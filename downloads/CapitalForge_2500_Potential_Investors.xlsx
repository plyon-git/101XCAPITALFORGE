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6499fa0140420d" /></Relationships>
</file>

<file path=xl/workbook.xml><?xml version="1.0" encoding="utf-8"?>
<x:workbook xmlns:x="http://schemas.openxmlformats.org/spreadsheetml/2006/main">
  <x:sheets>
    <x:sheet xmlns:r="http://schemas.openxmlformats.org/officeDocument/2006/relationships" name="Summary" sheetId="1" r:id="R24748ec782154fb1"/>
    <x:sheet xmlns:r="http://schemas.openxmlformats.org/officeDocument/2006/relationships" name="Prospects2500" sheetId="2" r:id="R123c53e0c7e44dcb"/>
  </x:sheets>
</x:workbook>
</file>

<file path=xl/comments1.xml><?xml version="1.0" encoding="utf-8"?>
<x:comments xmlns:x="http://schemas.openxmlformats.org/spreadsheetml/2006/main">
  <x:authors>
    <x:author/>
  </x:authors>
  <x:commentList>
    <x:comment ref="B20" authorId="0">
      <x:text>
        <x:r>
          <x:t>Source: supplied 101XVC Acquisition Holdings trial context and Contract 1 Amendment v2, October 2, 2026. Agreement underwriting basis: original §§2.14(d), 2.23 and 2.19; amendment §§1.A and 3. $20,000 underwritten gross spread per property x 500 trial closed-property target x 50% 101XVC assignment-fee share = $5,000,000 gross 101XVC assignment-fee base. Original §5.3: each party bears its own costs. AH acquisition costs are not netted before the split. Private agreement is not embedded.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
    <x:numFmt numFmtId="201" formatCode="&quot;$&quot;#,##0"/>
    <x:numFmt numFmtId="202" formatCode="mm/dd/yy"/>
    <x:numFmt numFmtId="203" formatCode="#,##0"/>
    <x:numFmt numFmtId="204" formatCode="mmm d, yyyy"/>
    <x:numFmt numFmtId="205" formatCode="0%"/>
  </x:numFmts>
  <x:fonts count="10">
    <x:font>
      <x:sz val="11"/>
      <x:name val="Carlito"/>
    </x:font>
    <x:font>
      <x:sz val="10"/>
      <x:color rgb="FF233248"/>
      <x:name val="Arial"/>
    </x:font>
    <x:font>
      <x:b/>
      <x:sz val="10"/>
      <x:color rgb="FFFFFFFF"/>
      <x:name val="Arial"/>
    </x:font>
    <x:font>
      <x:sz val="10"/>
      <x:color rgb="FF1F5283"/>
      <x:name val="Arial"/>
    </x:font>
    <x:font>
      <x:sz val="10"/>
      <x:color rgb="FF53657B"/>
      <x:name val="Arial"/>
    </x:font>
    <x:font>
      <x:b/>
      <x:sz val="14"/>
      <x:color rgb="FF1D3553"/>
      <x:name val="Arial"/>
    </x:font>
    <x:font>
      <x:b/>
      <x:sz val="10"/>
      <x:color rgb="FF233248"/>
      <x:name val="Arial"/>
    </x:font>
    <x:font>
      <x:sz val="10"/>
      <x:color rgb="FF255FA3"/>
      <x:name val="Arial"/>
    </x:font>
    <x:font>
      <x:i/>
      <x:sz val="10"/>
      <x:color rgb="FF53657B"/>
      <x:name val="Arial"/>
    </x:font>
    <x:font>
      <x:b/>
      <x:sz val="10"/>
      <x:color rgb="FF1D3553"/>
      <x:name val="Arial"/>
    </x:font>
  </x:fonts>
  <x:fills count="5">
    <x:fill>
      <x:patternFill patternType="none"/>
    </x:fill>
    <x:fill>
      <x:patternFill patternType="gray125"/>
    </x:fill>
    <x:fill>
      <x:patternFill patternType="solid">
        <x:fgColor rgb="FF1D3553"/>
      </x:patternFill>
    </x:fill>
    <x:fill>
      <x:patternFill patternType="solid">
        <x:fgColor rgb="FFFFF6DD"/>
      </x:patternFill>
    </x:fill>
    <x:fill>
      <x:patternFill patternType="solid">
        <x:fgColor rgb="FFE9EFF5"/>
      </x:patternFill>
    </x:fill>
  </x:fills>
  <x:borders count="7">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C6D3DF"/>
      </x:bottom>
      <x:diagonal/>
    </x:border>
    <x:border>
      <x:left/>
      <x:right/>
      <x:top/>
      <x:bottom style="thin">
        <x:color rgb="FFD7E1EB"/>
      </x:bottom>
      <x:diagonal/>
    </x:border>
    <x:border>
      <x:left/>
      <x:right/>
      <x:top style="thin">
        <x:color rgb="FF8AA3BA"/>
      </x:top>
      <x:bottom/>
      <x:diagonal/>
    </x:border>
  </x:borders>
  <x:cellStyleXfs count="1">
    <x:xf numFmtId="0" fontId="0" fillId="0" borderId="0"/>
  </x:cellStyleXfs>
  <x:cellXfs count="4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0"/>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0" fontId="2" fillId="2" borderId="0" xfId="0" applyNumberFormat="1" applyFont="1" applyFill="1" applyBorder="1" applyAlignment="1">
      <x:alignment vertical="center" wrapText="0"/>
    </x:xf>
    <x:xf numFmtId="0" fontId="2" fillId="2" borderId="1" xfId="0" applyNumberFormat="1" applyFont="1" applyFill="1" applyBorder="1" applyAlignment="1">
      <x:alignment vertical="center" wrapText="0"/>
    </x:xf>
    <x:xf numFmtId="0" fontId="2" fillId="2" borderId="2" xfId="0" applyNumberFormat="1" applyFont="1" applyFill="1" applyBorder="1" applyAlignment="1">
      <x:alignment vertical="center" wrapText="0"/>
    </x:xf>
    <x:xf numFmtId="0" fontId="2" fillId="2" borderId="3" xfId="0" applyNumberFormat="1" applyFont="1" applyFill="1" applyBorder="1" applyAlignment="1">
      <x:alignment vertical="center" wrapText="0"/>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0"/>
    </x:xf>
    <x:xf numFmtId="200" fontId="1" fillId="3" borderId="0" xfId="0" applyNumberFormat="1" applyFont="1" applyFill="1" applyBorder="1" applyAlignment="1">
      <x:alignment vertical="center" wrapText="0"/>
    </x:xf>
    <x:xf numFmtId="0" fontId="1" fillId="3" borderId="0" xfId="0" applyNumberFormat="1" applyFont="1" applyFill="1" applyBorder="1" applyAlignment="1">
      <x:alignment vertical="center" wrapText="0"/>
    </x:xf>
    <x:xf numFmtId="201" fontId="1" fillId="0" borderId="0" xfId="0" applyNumberFormat="1" applyFont="1" applyFill="1" applyBorder="1" applyAlignment="1">
      <x:alignment vertical="center" wrapText="0"/>
    </x:xf>
    <x:xf numFmtId="201" fontId="1" fillId="0" borderId="0" xfId="0" applyNumberFormat="1" applyFont="1" applyFill="1" applyBorder="1" applyAlignment="1">
      <x:alignment horizontal="right" vertical="center" wrapText="0"/>
    </x:xf>
    <x:xf numFmtId="202" fontId="1" fillId="0" borderId="0" xfId="0" applyNumberFormat="1" applyFont="1" applyFill="1" applyBorder="1" applyAlignment="1">
      <x:alignment vertical="center" wrapText="0"/>
    </x:xf>
    <x:xf numFmtId="203" fontId="1" fillId="0" borderId="0" xfId="0" applyNumberFormat="1" applyFont="1" applyFill="1" applyBorder="1" applyAlignment="1">
      <x:alignment vertical="center" wrapText="0"/>
    </x:xf>
    <x:xf numFmtId="203" fontId="1" fillId="0" borderId="0" xfId="0" applyNumberFormat="1" applyFont="1" applyFill="1" applyBorder="1" applyAlignment="1">
      <x:alignment horizontal="right" vertical="center" wrapText="0"/>
    </x:xf>
    <x:xf numFmtId="200" fontId="3" fillId="0" borderId="0" xfId="0" applyNumberFormat="1" applyFont="1" applyFill="1" applyBorder="1" applyAlignment="1">
      <x:alignment vertical="center" wrapText="0"/>
    </x:xf>
    <x:xf numFmtId="0" fontId="4" fillId="0" borderId="0" xfId="0" applyNumberFormat="1" applyFont="1" applyFill="1" applyBorder="1" applyAlignment="1">
      <x:alignment vertical="center" wrapText="0"/>
    </x:xf>
    <x:xf numFmtId="202" fontId="4" fillId="0" borderId="0" xfId="0" applyNumberFormat="1" applyFont="1" applyFill="1" applyBorder="1" applyAlignment="1">
      <x:alignment vertical="center" wrapText="0"/>
    </x:xf>
    <x:xf numFmtId="0" fontId="5" fillId="0" borderId="0" xfId="0" applyNumberFormat="1" applyFont="1" applyFill="1" applyBorder="1" applyAlignment="1">
      <x:alignment vertical="center" wrapText="0"/>
    </x:xf>
    <x:xf numFmtId="0" fontId="1" fillId="0" borderId="4" xfId="0" applyNumberFormat="1" applyFont="1" applyFill="1" applyBorder="1" applyAlignment="1">
      <x:alignment vertical="center" wrapText="0"/>
    </x:xf>
    <x:xf numFmtId="204" fontId="1" fillId="0" borderId="0" xfId="0" applyNumberFormat="1" applyFont="1" applyFill="1" applyBorder="1" applyAlignment="1">
      <x:alignment vertical="center" wrapText="0"/>
    </x:xf>
    <x:xf numFmtId="0" fontId="6" fillId="0" borderId="0" xfId="0" applyNumberFormat="1" applyFont="1" applyFill="1" applyBorder="1" applyAlignment="1">
      <x:alignment vertical="center" wrapText="0"/>
    </x:xf>
    <x:xf numFmtId="203" fontId="6" fillId="0" borderId="0" xfId="0" applyNumberFormat="1" applyFont="1" applyFill="1" applyBorder="1" applyAlignment="1">
      <x:alignment horizontal="right" vertical="center" wrapText="0"/>
    </x:xf>
    <x:xf numFmtId="0" fontId="1" fillId="0" borderId="5" xfId="0" applyNumberFormat="1" applyFont="1" applyFill="1" applyBorder="1" applyAlignment="1">
      <x:alignment vertical="center" wrapText="0"/>
    </x:xf>
    <x:xf numFmtId="203" fontId="1" fillId="0" borderId="5" xfId="0" applyNumberFormat="1" applyFont="1" applyFill="1" applyBorder="1" applyAlignment="1">
      <x:alignment horizontal="right" vertical="center" wrapText="0"/>
    </x:xf>
    <x:xf numFmtId="0" fontId="2" fillId="2" borderId="0" xfId="0" applyNumberFormat="1" applyFont="1" applyFill="1" applyBorder="1" applyAlignment="1">
      <x:alignment horizontal="center" vertical="center" wrapText="0"/>
    </x:xf>
    <x:xf numFmtId="205" fontId="1" fillId="0" borderId="0" xfId="0" applyNumberFormat="1" applyFont="1" applyFill="1" applyBorder="1" applyAlignment="1">
      <x:alignment vertical="center" wrapText="0"/>
    </x:xf>
    <x:xf numFmtId="205" fontId="1" fillId="0" borderId="0" xfId="0" applyNumberFormat="1" applyFont="1" applyFill="1" applyBorder="1" applyAlignment="1">
      <x:alignment horizontal="right" vertical="center" wrapText="0"/>
    </x:xf>
    <x:xf numFmtId="203" fontId="7" fillId="0" borderId="0" xfId="0" applyNumberFormat="1" applyFont="1" applyFill="1" applyBorder="1" applyAlignment="1">
      <x:alignment horizontal="right" vertical="center" wrapText="0"/>
    </x:xf>
    <x:xf numFmtId="201" fontId="7" fillId="0" borderId="0" xfId="0" applyNumberFormat="1" applyFont="1" applyFill="1" applyBorder="1" applyAlignment="1">
      <x:alignment horizontal="right" vertical="center" wrapText="0"/>
    </x:xf>
    <x:xf numFmtId="205" fontId="7" fillId="0" borderId="0" xfId="0" applyNumberFormat="1" applyFont="1" applyFill="1" applyBorder="1" applyAlignment="1">
      <x:alignment horizontal="right" vertical="center" wrapText="0"/>
    </x:xf>
    <x:xf numFmtId="0" fontId="1" fillId="4" borderId="0" xfId="0" applyNumberFormat="1" applyFont="1" applyFill="1" applyBorder="1" applyAlignment="1">
      <x:alignment vertical="center" wrapText="0"/>
    </x:xf>
    <x:xf numFmtId="201" fontId="1" fillId="4" borderId="0" xfId="0" applyNumberFormat="1" applyFont="1" applyFill="1" applyBorder="1" applyAlignment="1">
      <x:alignment horizontal="right" vertical="center" wrapText="0"/>
    </x:xf>
    <x:xf numFmtId="0" fontId="6" fillId="4" borderId="0" xfId="0" applyNumberFormat="1" applyFont="1" applyFill="1" applyBorder="1" applyAlignment="1">
      <x:alignment vertical="center" wrapText="0"/>
    </x:xf>
    <x:xf numFmtId="201" fontId="6" fillId="4" borderId="0" xfId="0" applyNumberFormat="1" applyFont="1" applyFill="1" applyBorder="1" applyAlignment="1">
      <x:alignment horizontal="right" vertical="center" wrapText="0"/>
    </x:xf>
    <x:xf numFmtId="0" fontId="6" fillId="4" borderId="6" xfId="0" applyNumberFormat="1" applyFont="1" applyFill="1" applyBorder="1" applyAlignment="1">
      <x:alignment vertical="center" wrapText="0"/>
    </x:xf>
    <x:xf numFmtId="201" fontId="6" fillId="4" borderId="6" xfId="0" applyNumberFormat="1" applyFont="1" applyFill="1" applyBorder="1" applyAlignment="1">
      <x:alignment horizontal="right" vertical="center" wrapText="0"/>
    </x:xf>
    <x:xf numFmtId="0" fontId="8" fillId="0" borderId="0" xfId="0" applyNumberFormat="1" applyFont="1" applyFill="1" applyBorder="1" applyAlignment="1">
      <x:alignment vertical="center" wrapText="0"/>
    </x:xf>
    <x:xf numFmtId="0" fontId="9" fillId="0" borderId="0"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b2816a34ec44f8" /><Relationship Type="http://schemas.openxmlformats.org/officeDocument/2006/relationships/theme" Target="/xl/theme/theme1.xml" Id="Re4b525fd1b094915" /><Relationship Type="http://schemas.openxmlformats.org/officeDocument/2006/relationships/sharedStrings" Target="/xl/sharedStrings.xml" Id="Rd11a1af854ff4e97" /><Relationship Type="http://schemas.openxmlformats.org/officeDocument/2006/relationships/worksheet" Target="/xl/worksheets/sheet1.xml" Id="R24748ec782154fb1" /><Relationship Type="http://schemas.openxmlformats.org/officeDocument/2006/relationships/worksheet" Target="/xl/worksheets/sheet2.xml" Id="R123c53e0c7e44dcb" /></Relationships>
</file>

<file path=xl/tables/table1.xml><?xml version="1.0" encoding="utf-8"?>
<x:table xmlns:x="http://schemas.openxmlformats.org/spreadsheetml/2006/main" id="1" name="InvestorProspects" displayName="InvestorProspects" ref="A1:AP2501" headerRowCount="1" totalsRowCount="0" totalsRowShown="0">
  <x:autoFilter ref="A1:AP2501"/>
  <x:tableColumns count="42">
    <x:tableColumn id="1" name="Rank"/>
    <x:tableColumn id="2" name="Company"/>
    <x:tableColumn id="3" name="Named contact"/>
    <x:tableColumn id="4" name="Category"/>
    <x:tableColumn id="5" name="Priority"/>
    <x:tableColumn id="6" name="Status"/>
    <x:tableColumn id="7" name="Email"/>
    <x:tableColumn id="8" name="Phone"/>
    <x:tableColumn id="9" name="Website"/>
    <x:tableColumn id="10" name="State"/>
    <x:tableColumn id="11" name="City"/>
    <x:tableColumn id="12" name="Contact role"/>
    <x:tableColumn id="13" name="Contact URL"/>
    <x:tableColumn id="14" name="Check status"/>
    <x:tableColumn id="15" name="Published minimum USD"/>
    <x:tableColumn id="16" name="Published maximum USD"/>
    <x:tableColumn id="17" name="Range meaning"/>
    <x:tableColumn id="18" name="Fit"/>
    <x:tableColumn id="19" name="Requirements"/>
    <x:tableColumn id="20" name="Next action"/>
    <x:tableColumn id="21" name="Source URLs"/>
    <x:tableColumn id="22" name="Checked date"/>
    <x:tableColumn id="23" name="Source date"/>
    <x:tableColumn id="24" name="Source provenance"/>
    <x:tableColumn id="25" name="Email source URL"/>
    <x:tableColumn id="26" name="Phone source URL"/>
    <x:tableColumn id="27" name="Evidence"/>
    <x:tableColumn id="28" name="Discovery"/>
    <x:tableColumn id="29" name="Capital status"/>
    <x:tableColumn id="30" name="Approval status"/>
    <x:tableColumn id="31" name="Primary activity checked"/>
    <x:tableColumn id="32" name="Primary contact checked"/>
    <x:tableColumn id="33" name="Other published contacts"/>
    <x:tableColumn id="34" name="Company aliases"/>
    <x:tableColumn id="35" name="Notes"/>
    <x:tableColumn id="36" name="Prospect ID"/>
    <x:tableColumn id="37" name="Original category"/>
    <x:tableColumn id="38" name="Requested minimum USD"/>
    <x:tableColumn id="39" name="Requested maximum USD"/>
    <x:tableColumn id="40" name="Primary source URL"/>
    <x:tableColumn id="41" name="Origin file"/>
    <x:tableColumn id="42" name="Published cash capacity US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df0a6b8bfd2744a8" /><Relationship Type="http://schemas.openxmlformats.org/officeDocument/2006/relationships/vmlDrawing" Target="/xl/drawings/vmldrawing.vml" Id="R6ddc1071fd764027" /></Relationships>
</file>

<file path=xl/worksheets/_rels/sheet2.xml.rels>&#65279;<?xml version="1.0" encoding="utf-8"?><Relationships xmlns="http://schemas.openxmlformats.org/package/2006/relationships"><Relationship Type="http://schemas.openxmlformats.org/officeDocument/2006/relationships/table" Target="/xl/tables/table1.xml" Id="Rcc61a940d3544bbb" /></Relationships>
</file>

<file path=xl/worksheets/sheet1.xml><?xml version="1.0" encoding="utf-8"?>
<x:worksheet xmlns:x="http://schemas.openxmlformats.org/spreadsheetml/2006/main">
  <x:sheetPr>
    <x:tabColor rgb="FF1D3553"/>
  </x:sheetPr>
  <x:sheetViews>
    <x:sheetView showGridLines="0" workbookViewId="0"/>
  </x:sheetViews>
  <x:sheetFormatPr defaultRowHeight="15"/>
  <x:cols>
    <x:col min="1" max="1" width="42" hidden="0" customWidth="1"/>
    <x:col min="2" max="2" width="16" hidden="0" customWidth="1"/>
    <x:col min="3" max="3" width="3" hidden="0" customWidth="1"/>
    <x:col min="4" max="4" width="56" hidden="0" customWidth="1"/>
    <x:col min="5" max="5" width="16" hidden="0" customWidth="1"/>
    <x:col min="6" max="6" width="3" hidden="0" customWidth="1"/>
    <x:col min="7" max="7" width="64" hidden="0" customWidth="1"/>
  </x:cols>
  <x:sheetData>
    <x:row r="1" ht="8" customHeight="1">
      <x:c r="A1" s="3"/>
      <x:c r="B1" s="3"/>
      <x:c r="C1" s="3"/>
      <x:c r="D1" s="3"/>
      <x:c r="E1" s="3"/>
      <x:c r="F1" s="3"/>
      <x:c r="G1" s="3"/>
    </x:row>
    <x:row r="2" ht="22" customHeight="1">
      <x:c r="A2" s="27" t="str">
        <x:v>101XVC CapitalForge</x:v>
      </x:c>
      <x:c r="B2" s="3"/>
      <x:c r="C2" s="3"/>
      <x:c r="D2" s="3"/>
      <x:c r="E2" s="3"/>
      <x:c r="F2" s="3"/>
      <x:c r="G2" s="3" t="str">
        <x:v>Source review date</x:v>
      </x:c>
    </x:row>
    <x:row r="3" ht="22" customHeight="1">
      <x:c r="A3" s="25" t="str">
        <x:v>2,500 potential investor contacts</x:v>
      </x:c>
      <x:c r="B3" s="3"/>
      <x:c r="C3" s="3"/>
      <x:c r="D3" s="3"/>
      <x:c r="E3" s="3"/>
      <x:c r="F3" s="3"/>
      <x:c r="G3" s="29" t="d">
        <x:v>2026-10-02T00:00:00.000Z</x:v>
      </x:c>
    </x:row>
    <x:row r="4" ht="8" customHeight="1">
      <x:c r="A4" s="28"/>
      <x:c r="B4" s="28"/>
      <x:c r="C4" s="28"/>
      <x:c r="D4" s="28"/>
      <x:c r="E4" s="28"/>
      <x:c r="F4" s="28"/>
      <x:c r="G4" s="28"/>
    </x:row>
    <x:row r="5" ht="24" customHeight="1">
      <x:c r="A5" s="5" t="str">
        <x:v>Contact coverage</x:v>
      </x:c>
      <x:c r="B5" s="5"/>
      <x:c r="C5" s="3"/>
      <x:c r="D5" s="5" t="str">
        <x:v>Prospecting order</x:v>
      </x:c>
      <x:c r="E5" s="34" t="str">
        <x:v>Count</x:v>
      </x:c>
      <x:c r="F5" s="3"/>
      <x:c r="G5" s="47" t="str">
        <x:v>How to use this list</x:v>
      </x:c>
    </x:row>
    <x:row r="6" ht="22" customHeight="1">
      <x:c r="A6" s="30" t="str">
        <x:v>Potential investor prospects</x:v>
      </x:c>
      <x:c r="B6" s="31" t="n">
        <x:f>COUNTA(InvestorProspects[Company])</x:f>
        <x:v>2500</x:v>
      </x:c>
      <x:c r="C6" s="3"/>
      <x:c r="D6" s="3" t="str">
        <x:v>Reviewed trial-capital route</x:v>
      </x:c>
      <x:c r="E6" s="23" t="n">
        <x:f>COUNTIFS(InvestorProspects[Priority],D6)</x:f>
        <x:v>29</x:v>
      </x:c>
      <x:c r="F6" s="3"/>
      <x:c r="G6" s="3" t="str">
        <x:v>Filter Prospects2500 by category, priority and state.</x:v>
      </x:c>
    </x:row>
    <x:row r="7" ht="22" customHeight="1">
      <x:c r="A7" s="3" t="str">
        <x:v>Public business emails</x:v>
      </x:c>
      <x:c r="B7" s="23" t="n">
        <x:f>COUNTA(InvestorProspects[Email])</x:f>
        <x:v>820</x:v>
      </x:c>
      <x:c r="C7" s="3"/>
      <x:c r="D7" s="3" t="str">
        <x:v>Property investor / operator inquiry</x:v>
      </x:c>
      <x:c r="E7" s="23" t="n">
        <x:f>COUNTIFS(InvestorProspects[Priority],D7)</x:f>
        <x:v>1424</x:v>
      </x:c>
      <x:c r="F7" s="3"/>
      <x:c r="G7" s="3" t="str">
        <x:v>Open the source and qualify the decision maker.</x:v>
      </x:c>
    </x:row>
    <x:row r="8" ht="22" customHeight="1">
      <x:c r="A8" s="3" t="str">
        <x:v>Public business phones</x:v>
      </x:c>
      <x:c r="B8" s="23" t="n">
        <x:f>COUNTA(InvestorProspects[Phone])</x:f>
        <x:v>2312</x:v>
      </x:c>
      <x:c r="C8" s="3"/>
      <x:c r="D8" s="3" t="str">
        <x:v>Private operating-company capital inquiry</x:v>
      </x:c>
      <x:c r="E8" s="23" t="n">
        <x:f>COUNTIFS(InvestorProspects[Priority],D8)</x:f>
        <x:v>102</x:v>
      </x:c>
      <x:c r="F8" s="3"/>
      <x:c r="G8" s="3" t="str">
        <x:v>Record replies and follow-up tasks in CapitalForge.</x:v>
      </x:c>
    </x:row>
    <x:row r="9" ht="22" customHeight="1">
      <x:c r="A9" s="3" t="str">
        <x:v>Email and phone published</x:v>
      </x:c>
      <x:c r="B9" s="23" t="n">
        <x:f>COUNTIFS(InvestorProspects[Email],"&lt;&gt;",InvestorProspects[Phone],"&lt;&gt;")</x:f>
        <x:v>735</x:v>
      </x:c>
      <x:c r="C9" s="3"/>
      <x:c r="D9" s="3" t="str">
        <x:v>Operating-capital eligibility inquiry</x:v>
      </x:c>
      <x:c r="E9" s="23" t="n">
        <x:f>COUNTIFS(InvestorProspects[Priority],D9)</x:f>
        <x:v>81</x:v>
      </x:c>
      <x:c r="F9" s="3"/>
      <x:c r="G9" s="3" t="str">
        <x:v>Amber Status and Notes cells are editable outreach fields.</x:v>
      </x:c>
    </x:row>
    <x:row r="10" ht="22" customHeight="1">
      <x:c r="A10" s="3" t="str">
        <x:v>Published business websites</x:v>
      </x:c>
      <x:c r="B10" s="23" t="n">
        <x:f>COUNTA(InvestorProspects[Website])</x:f>
        <x:v>2324</x:v>
      </x:c>
      <x:c r="C10" s="3"/>
      <x:c r="D10" s="3" t="str">
        <x:v>Property lender / private-money inquiry</x:v>
      </x:c>
      <x:c r="E10" s="23" t="n">
        <x:f>COUNTIFS(InvestorProspects[Priority],D10)</x:f>
        <x:v>864</x:v>
      </x:c>
      <x:c r="F10" s="3"/>
      <x:c r="G10" s="25" t="str">
        <x:v>Blank contact fields were not published in checked sources.</x:v>
      </x:c>
    </x:row>
    <x:row r="11" ht="22" customHeight="1">
      <x:c r="A11" s="3" t="str">
        <x:v>Newly collected prospects</x:v>
      </x:c>
      <x:c r="B11" s="23" t="n">
        <x:f>COUNTIFS(InvestorProspects[Discovery],"New public-source collection")</x:f>
        <x:v>1546</x:v>
      </x:c>
      <x:c r="C11" s="3"/>
      <x:c r="D11" s="3"/>
      <x:c r="E11" s="3"/>
      <x:c r="F11" s="3"/>
      <x:c r="G11" s="25" t="str">
        <x:v>A public contact does not establish investing authority.</x:v>
      </x:c>
    </x:row>
    <x:row r="12" ht="22" customHeight="1">
      <x:c r="A12" s="3" t="str">
        <x:v>First-party activity checks</x:v>
      </x:c>
      <x:c r="B12" s="23" t="n">
        <x:f>COUNTIFS(InvestorProspects[Primary activity checked],"Yes")</x:f>
        <x:v>190</x:v>
      </x:c>
      <x:c r="C12" s="3"/>
      <x:c r="D12" s="3"/>
      <x:c r="E12" s="3"/>
      <x:c r="F12" s="3"/>
      <x:c r="G12" s="25" t="str">
        <x:v>Published ranges retain their stated product meaning.</x:v>
      </x:c>
    </x:row>
    <x:row r="13" ht="22" customHeight="1">
      <x:c r="A13" s="3" t="str">
        <x:v>First-party contact checks</x:v>
      </x:c>
      <x:c r="B13" s="23" t="n">
        <x:f>COUNTIFS(InvestorProspects[Primary contact checked],"Yes")</x:f>
        <x:v>178</x:v>
      </x:c>
      <x:c r="C13" s="3"/>
      <x:c r="D13" s="3"/>
      <x:c r="E13" s="3"/>
      <x:c r="F13" s="3"/>
      <x:c r="G13" s="25" t="str">
        <x:v>Property-loan ranges are not corporate-investment tickets.</x:v>
      </x:c>
    </x:row>
    <x:row r="14" ht="22" customHeight="1">
      <x:c r="A14" s="3" t="str">
        <x:v>Published source ranges</x:v>
      </x:c>
      <x:c r="B14" s="23" t="n">
        <x:f>COUNTA(InvestorProspects[Published minimum USD])+COUNTA(InvestorProspects[Published maximum USD])-COUNTIFS(InvestorProspects[Published minimum USD],"&lt;&gt;",InvestorProspects[Published maximum USD],"&lt;&gt;")</x:f>
        <x:v>323</x:v>
      </x:c>
      <x:c r="C14" s="3"/>
      <x:c r="D14" s="3"/>
      <x:c r="E14" s="3"/>
      <x:c r="F14" s="3"/>
      <x:c r="G14" s="25" t="str">
        <x:v>Ticket, liquidity and interest remain unconfirmed.</x:v>
      </x:c>
    </x:row>
    <x:row r="15" ht="22" customHeight="1">
      <x:c r="A15" s="3" t="str">
        <x:v>Approved transactions</x:v>
      </x:c>
      <x:c r="B15" s="23" t="n">
        <x:f>COUNTIFS(InvestorProspects[Approval status],"Approved")</x:f>
        <x:v>0</x:v>
      </x:c>
      <x:c r="C15" s="3"/>
      <x:c r="D15" s="3"/>
      <x:c r="E15" s="3"/>
      <x:c r="F15" s="3"/>
      <x:c r="G15" s="3"/>
    </x:row>
    <x:row r="16" ht="22" customHeight="1">
      <x:c r="A16" s="32" t="str">
        <x:v>Documented available cash</x:v>
      </x:c>
      <x:c r="B16" s="33" t="n">
        <x:f>COUNTIFS(InvestorProspects[Capital status],"verified")</x:f>
        <x:v>0</x:v>
      </x:c>
      <x:c r="C16" s="3"/>
      <x:c r="D16" s="3"/>
      <x:c r="E16" s="3"/>
      <x:c r="F16" s="3"/>
      <x:c r="G16" s="3"/>
    </x:row>
    <x:row r="17" ht="22" customHeight="1">
      <x:c r="A17" s="3"/>
      <x:c r="B17" s="3"/>
      <x:c r="C17" s="3"/>
      <x:c r="D17" s="3"/>
      <x:c r="E17" s="3"/>
      <x:c r="F17" s="3"/>
      <x:c r="G17" s="3"/>
    </x:row>
    <x:row r="18" ht="22" customHeight="1">
      <x:c r="A18" s="3"/>
      <x:c r="B18" s="3"/>
      <x:c r="C18" s="3"/>
      <x:c r="D18" s="3"/>
      <x:c r="E18" s="3"/>
      <x:c r="F18" s="3"/>
      <x:c r="G18" s="3"/>
    </x:row>
    <x:row r="19" ht="24" customHeight="1">
      <x:c r="A19" s="5" t="str">
        <x:v>Agreement underwriting base (USD)</x:v>
      </x:c>
      <x:c r="B19" s="5"/>
      <x:c r="C19" s="3"/>
      <x:c r="D19" s="3"/>
      <x:c r="E19" s="3"/>
      <x:c r="F19" s="3"/>
      <x:c r="G19" s="47" t="str">
        <x:v>Agreement basis</x:v>
      </x:c>
    </x:row>
    <x:row r="20" ht="22" customHeight="1">
      <x:c r="A20" s="3" t="str">
        <x:v>Trial closed-property target</x:v>
      </x:c>
      <x:c r="B20" s="37" t="n">
        <x:v>500</x:v>
      </x:c>
      <x:c r="C20" s="3"/>
      <x:c r="D20" s="3"/>
      <x:c r="E20" s="3"/>
      <x:c r="F20" s="3"/>
      <x:c r="G20" s="25" t="str">
        <x:v>$20K gross spread x 500 properties x 50% = $5M.</x:v>
      </x:c>
    </x:row>
    <x:row r="21" ht="22" customHeight="1">
      <x:c r="A21" s="3" t="str">
        <x:v>Underwritten gross spread per property</x:v>
      </x:c>
      <x:c r="B21" s="38" t="n">
        <x:v>20000</x:v>
      </x:c>
      <x:c r="C21" s="3"/>
      <x:c r="D21" s="3"/>
      <x:c r="E21" s="3"/>
      <x:c r="F21" s="3"/>
      <x:c r="G21" s="25" t="str">
        <x:v>Original §§2.14(d), 2.23 and 2.19; amendment §§1.A and 3.</x:v>
      </x:c>
    </x:row>
    <x:row r="22" ht="22" customHeight="1">
      <x:c r="A22" s="3" t="str">
        <x:v>101XVC assignment-fee share</x:v>
      </x:c>
      <x:c r="B22" s="39" t="n">
        <x:v>0.5</x:v>
      </x:c>
      <x:c r="C22" s="3"/>
      <x:c r="D22" s="3"/>
      <x:c r="E22" s="3"/>
      <x:c r="F22" s="3"/>
      <x:c r="G22" s="25"/>
    </x:row>
    <x:row r="23" ht="22" customHeight="1">
      <x:c r="A23" s="3" t="str">
        <x:v>Underwritten 101XVC fee per closing</x:v>
      </x:c>
      <x:c r="B23" s="20" t="n">
        <x:f>B21*B22</x:f>
        <x:v>10000</x:v>
      </x:c>
      <x:c r="C23" s="3"/>
      <x:c r="D23" s="3"/>
      <x:c r="E23" s="3"/>
      <x:c r="F23" s="3"/>
      <x:c r="G23" s="25" t="str">
        <x:v>Management sensitivity: $3.9M-$7.2M.</x:v>
      </x:c>
    </x:row>
    <x:row r="24" ht="22" customHeight="1">
      <x:c r="A24" s="44" t="str">
        <x:v>Gross 101XVC assignment-fee base</x:v>
      </x:c>
      <x:c r="B24" s="45" t="n">
        <x:f>B20*B23</x:f>
        <x:v>5000000</x:v>
      </x:c>
      <x:c r="C24" s="3"/>
      <x:c r="D24" s="3"/>
      <x:c r="E24" s="3"/>
      <x:c r="F24" s="3"/>
      <x:c r="G24" s="25" t="str">
        <x:v>Agreement-derived underwriting base: $5M.</x:v>
      </x:c>
    </x:row>
    <x:row r="25" ht="22" customHeight="1">
      <x:c r="A25" s="46" t="str">
        <x:v>Before 101XVC's own costs</x:v>
      </x:c>
      <x:c r="B25" s="3"/>
      <x:c r="C25" s="3"/>
      <x:c r="D25" s="3"/>
      <x:c r="E25" s="3"/>
      <x:c r="F25" s="3"/>
      <x:c r="G25" s="25"/>
    </x:row>
    <x:row r="26" ht="22" customHeight="1">
      <x:c r="A26" s="3"/>
      <x:c r="B26" s="3"/>
      <x:c r="C26" s="3"/>
      <x:c r="D26" s="3"/>
      <x:c r="E26" s="3"/>
      <x:c r="F26" s="3"/>
      <x:c r="G26" s="25" t="str">
        <x:v>Original §5.3: each party bears its own costs.</x:v>
      </x:c>
    </x:row>
    <x:row r="27" ht="22" customHeight="1">
      <x:c r="A27" s="3"/>
      <x:c r="B27" s="3"/>
      <x:c r="C27" s="3"/>
      <x:c r="D27" s="3"/>
      <x:c r="E27" s="3"/>
      <x:c r="F27" s="3"/>
      <x:c r="G27" s="3"/>
    </x:row>
    <x:row r="28" ht="22" customHeight="1">
      <x:c r="A28" s="47" t="str">
        <x:v>Requested operating capital</x:v>
      </x:c>
      <x:c r="B28" s="3"/>
      <x:c r="C28" s="3"/>
      <x:c r="D28" s="3"/>
      <x:c r="E28" s="3"/>
      <x:c r="F28" s="3"/>
      <x:c r="G28" s="3"/>
    </x:row>
    <x:row r="29" ht="22" customHeight="1">
      <x:c r="A29" s="3" t="str">
        <x:v>Minimum requested</x:v>
      </x:c>
      <x:c r="B29" s="20" t="n">
        <x:v>100000</x:v>
      </x:c>
      <x:c r="C29" s="3"/>
      <x:c r="D29" s="3"/>
      <x:c r="E29" s="3"/>
      <x:c r="F29" s="3"/>
      <x:c r="G29" s="3"/>
    </x:row>
    <x:row r="30" ht="22" customHeight="1">
      <x:c r="A30" s="3" t="str">
        <x:v>Maximum requested</x:v>
      </x:c>
      <x:c r="B30" s="20" t="n">
        <x:v>500000</x:v>
      </x:c>
      <x:c r="C30" s="3"/>
      <x:c r="D30" s="3"/>
      <x:c r="E30" s="3"/>
      <x:c r="F30" s="3"/>
      <x:c r="G30" s="3"/>
    </x:row>
    <x:row r="31" ht="22" customHeight="1">
      <x:c r="A31" s="3"/>
      <x:c r="B31" s="3"/>
      <x:c r="C31" s="3"/>
      <x:c r="D31" s="3"/>
      <x:c r="E31" s="3"/>
      <x:c r="F31" s="3"/>
      <x:c r="G31" s="3"/>
    </x:row>
  </x:sheetData>
  <x:pageMargins left="0.7" right="0.7" top="0.75" bottom="0.75" header="0.3" footer="0.3"/>
  <x:legacyDrawing xmlns:r="http://schemas.openxmlformats.org/officeDocument/2006/relationships" r:id="R6ddc1071fd764027"/>
</x:worksheet>
</file>

<file path=xl/worksheets/sheet2.xml><?xml version="1.0" encoding="utf-8"?>
<x:worksheet xmlns:x="http://schemas.openxmlformats.org/spreadsheetml/2006/main">
  <x:sheetPr>
    <x:tabColor rgb="FF6687A3"/>
  </x:sheetPr>
  <x:sheetViews>
    <x:sheetView showGridLines="0" workbookViewId="0">
      <x:pane xSplit="2" ySplit="1" topLeftCell="C2" activePane="bottomRight" state="frozen"/>
    </x:sheetView>
  </x:sheetViews>
  <x:sheetFormatPr defaultRowHeight="15"/>
  <x:cols>
    <x:col min="1" max="1" width="8" hidden="0" customWidth="1"/>
    <x:col min="2" max="2" width="48" hidden="0" customWidth="1"/>
    <x:col min="3" max="3" width="32" hidden="0" customWidth="1"/>
    <x:col min="4" max="4" width="34" hidden="0" customWidth="1"/>
    <x:col min="5" max="5" width="38" hidden="0" customWidth="1"/>
    <x:col min="6" max="6" width="18" hidden="0" customWidth="1"/>
    <x:col min="7" max="7" width="36" hidden="0" customWidth="1"/>
    <x:col min="8" max="8" width="20" hidden="0" customWidth="1"/>
    <x:col min="9" max="9" width="48" hidden="0" customWidth="1"/>
    <x:col min="10" max="10" width="10" hidden="0" customWidth="1"/>
    <x:col min="11" max="11" width="22" hidden="0" customWidth="1"/>
    <x:col min="12" max="12" width="58" hidden="0" customWidth="1"/>
    <x:col min="13" max="13" width="70" hidden="0" customWidth="1"/>
    <x:col min="14" max="14" width="66" hidden="0" customWidth="1"/>
    <x:col min="15" max="15" width="22" hidden="0" customWidth="1"/>
    <x:col min="16" max="16" width="22" hidden="0" customWidth="1"/>
    <x:col min="17" max="17" width="84" hidden="0" customWidth="1"/>
    <x:col min="18" max="18" width="84" hidden="0" customWidth="1"/>
    <x:col min="19" max="19" width="96" hidden="0" customWidth="1"/>
    <x:col min="20" max="20" width="84" hidden="0" customWidth="1"/>
    <x:col min="21" max="21" width="96" hidden="0" customWidth="1"/>
    <x:col min="22" max="22" width="16" hidden="0" customWidth="1"/>
    <x:col min="23" max="23" width="16" hidden="0" customWidth="1"/>
    <x:col min="24" max="24" width="76" hidden="0" customWidth="1"/>
    <x:col min="25" max="25" width="76" hidden="0" customWidth="1"/>
    <x:col min="26" max="26" width="76" hidden="0" customWidth="1"/>
    <x:col min="27" max="27" width="100" hidden="0" customWidth="1"/>
    <x:col min="28" max="28" width="62" hidden="0" customWidth="1"/>
    <x:col min="29" max="29" width="28" hidden="0" customWidth="1"/>
    <x:col min="30" max="30" width="42" hidden="0" customWidth="1"/>
    <x:col min="31" max="31" width="24" hidden="0" customWidth="1"/>
    <x:col min="32" max="32" width="24" hidden="0" customWidth="1"/>
    <x:col min="33" max="33" width="64" hidden="0" customWidth="1"/>
    <x:col min="34" max="34" width="84" hidden="0" customWidth="1"/>
    <x:col min="35" max="35" width="54" hidden="0" customWidth="1"/>
    <x:col min="36" max="36" width="28" hidden="0" customWidth="1"/>
    <x:col min="37" max="37" width="58" hidden="0" customWidth="1"/>
    <x:col min="38" max="38" width="22" hidden="0" customWidth="1"/>
    <x:col min="39" max="39" width="22" hidden="0" customWidth="1"/>
    <x:col min="40" max="40" width="96" hidden="0" customWidth="1"/>
    <x:col min="41" max="41" width="48" hidden="0" customWidth="1"/>
    <x:col min="42" max="42" width="28" hidden="0" customWidth="1"/>
  </x:cols>
  <x:sheetData>
    <x:row r="1" ht="32" customHeight="1">
      <x:c r="A1" s="12" t="str">
        <x:v>Rank</x:v>
      </x:c>
      <x:c r="B1" s="13" t="str">
        <x:v>Company</x:v>
      </x:c>
      <x:c r="C1" s="13" t="str">
        <x:v>Named contact</x:v>
      </x:c>
      <x:c r="D1" s="13" t="str">
        <x:v>Category</x:v>
      </x:c>
      <x:c r="E1" s="13" t="str">
        <x:v>Priority</x:v>
      </x:c>
      <x:c r="F1" s="13" t="str">
        <x:v>Status</x:v>
      </x:c>
      <x:c r="G1" s="13" t="str">
        <x:v>Email</x:v>
      </x:c>
      <x:c r="H1" s="13" t="str">
        <x:v>Phone</x:v>
      </x:c>
      <x:c r="I1" s="13" t="str">
        <x:v>Website</x:v>
      </x:c>
      <x:c r="J1" s="13" t="str">
        <x:v>State</x:v>
      </x:c>
      <x:c r="K1" s="13" t="str">
        <x:v>City</x:v>
      </x:c>
      <x:c r="L1" s="13" t="str">
        <x:v>Contact role</x:v>
      </x:c>
      <x:c r="M1" s="13" t="str">
        <x:v>Contact URL</x:v>
      </x:c>
      <x:c r="N1" s="13" t="str">
        <x:v>Check status</x:v>
      </x:c>
      <x:c r="O1" s="13" t="str">
        <x:v>Published minimum USD</x:v>
      </x:c>
      <x:c r="P1" s="13" t="str">
        <x:v>Published maximum USD</x:v>
      </x:c>
      <x:c r="Q1" s="13" t="str">
        <x:v>Range meaning</x:v>
      </x:c>
      <x:c r="R1" s="13" t="str">
        <x:v>Fit</x:v>
      </x:c>
      <x:c r="S1" s="13" t="str">
        <x:v>Requirements</x:v>
      </x:c>
      <x:c r="T1" s="13" t="str">
        <x:v>Next action</x:v>
      </x:c>
      <x:c r="U1" s="13" t="str">
        <x:v>Source URLs</x:v>
      </x:c>
      <x:c r="V1" s="13" t="str">
        <x:v>Checked date</x:v>
      </x:c>
      <x:c r="W1" s="13" t="str">
        <x:v>Source date</x:v>
      </x:c>
      <x:c r="X1" s="13" t="str">
        <x:v>Source provenance</x:v>
      </x:c>
      <x:c r="Y1" s="13" t="str">
        <x:v>Email source URL</x:v>
      </x:c>
      <x:c r="Z1" s="13" t="str">
        <x:v>Phone source URL</x:v>
      </x:c>
      <x:c r="AA1" s="13" t="str">
        <x:v>Evidence</x:v>
      </x:c>
      <x:c r="AB1" s="13" t="str">
        <x:v>Discovery</x:v>
      </x:c>
      <x:c r="AC1" s="13" t="str">
        <x:v>Capital status</x:v>
      </x:c>
      <x:c r="AD1" s="13" t="str">
        <x:v>Approval status</x:v>
      </x:c>
      <x:c r="AE1" s="13" t="str">
        <x:v>Primary activity checked</x:v>
      </x:c>
      <x:c r="AF1" s="13" t="str">
        <x:v>Primary contact checked</x:v>
      </x:c>
      <x:c r="AG1" s="13" t="str">
        <x:v>Other published contacts</x:v>
      </x:c>
      <x:c r="AH1" s="13" t="str">
        <x:v>Company aliases</x:v>
      </x:c>
      <x:c r="AI1" s="13" t="str">
        <x:v>Notes</x:v>
      </x:c>
      <x:c r="AJ1" s="13" t="str">
        <x:v>Prospect ID</x:v>
      </x:c>
      <x:c r="AK1" s="13" t="str">
        <x:v>Original category</x:v>
      </x:c>
      <x:c r="AL1" s="13" t="str">
        <x:v>Requested minimum USD</x:v>
      </x:c>
      <x:c r="AM1" s="13" t="str">
        <x:v>Requested maximum USD</x:v>
      </x:c>
      <x:c r="AN1" s="13" t="str">
        <x:v>Primary source URL</x:v>
      </x:c>
      <x:c r="AO1" s="13" t="str">
        <x:v>Origin file</x:v>
      </x:c>
      <x:c r="AP1" s="14" t="str">
        <x:v>Published cash capacity USD</x:v>
      </x:c>
    </x:row>
    <x:row r="2" ht="36" customHeight="1">
      <x:c r="A2" s="23" t="n">
        <x:v>1</x:v>
      </x:c>
      <x:c r="B2" s="15" t="str">
        <x:v>Patterson Thoma Family Office</x:v>
      </x:c>
      <x:c r="C2" s="15"/>
      <x:c r="D2" s="15" t="str">
        <x:v>Direct family capital</x:v>
      </x:c>
      <x:c r="E2" s="15" t="str">
        <x:v>Reviewed trial-capital route</x:v>
      </x:c>
      <x:c r="F2" s="17" t="str">
        <x:v>New</x:v>
      </x:c>
      <x:c r="G2" s="24" t="str">
        <x:v>newinvestments@pattersonthoma.com</x:v>
      </x:c>
      <x:c r="H2" s="24" t="str">
        <x:v>+12149783831</x:v>
      </x:c>
      <x:c r="I2" s="24" t="str">
        <x:v>https://pattersonthoma.com/</x:v>
      </x:c>
      <x:c r="J2" s="16"/>
      <x:c r="K2" s="16"/>
      <x:c r="L2" s="16" t="str">
        <x:v>firm_business_routing</x:v>
      </x:c>
      <x:c r="M2" s="16" t="str">
        <x:v>https://pattersonthoma.com/</x:v>
      </x:c>
      <x:c r="N2" s="16" t="str">
        <x:v>Published source range; proposed allocation and structure require confirmation</x:v>
      </x:c>
      <x:c r="O2" s="20" t="n">
        <x:v>100000</x:v>
      </x:c>
      <x:c r="P2" s="20" t="n">
        <x:v>20000000</x:v>
      </x:c>
      <x:c r="Q2" s="25" t="str">
        <x:v>Published typical investment range, equity/debt combined; range overlaps $100K-$500K. This is not proof of allocation or approval.</x:v>
      </x:c>
      <x:c r="R2" s="25" t="str">
        <x:v>Direct generalist family investor permits equity/debt, working-capital loans and purchase-order loans, and publishes no minimum ownership requirement. Company-level capital is relevant to operating expenses for the trial.</x:v>
      </x:c>
      <x:c r="S2" s="25" t="str">
        <x:v>Early-stage companies must have achieved revenue success through proven market demand. Avoids highly cyclical and capital-intensive companies; real-estate-cycle exposure and single-counterparty concentration need discussion. 9.3% terms and investment acceptance unconfirmed.</x:v>
      </x:c>
      <x:c r="T2" s="25" t="str">
        <x:v>Send full company-level operating thesis through published inbox; request $100K-$500K equity/debt discussion and state actual existing revenue separately from projected trial fees.</x:v>
      </x:c>
      <x:c r="U2" s="25" t="str">
        <x:v>https://pattersonthoma.com/</x:v>
      </x:c>
      <x:c r="V2" s="26" t="d">
        <x:v>2026-10-02T00:00:00.000Z</x:v>
      </x:c>
      <x:c r="W2" s="26" t="d">
        <x:v>2026-10-02T00:00:00.000Z</x:v>
      </x:c>
      <x:c r="X2" s="25" t="str">
        <x:v>Saved public company, industry-directory or regulatory source; source date retained</x:v>
      </x:c>
      <x:c r="Y2" s="25" t="str">
        <x:v>https://pattersonthoma.com/</x:v>
      </x:c>
      <x:c r="Z2" s="25" t="str">
        <x:v>https://pattersonthoma.com/</x:v>
      </x:c>
      <x:c r="AA2" s="25" t="str">
        <x:v>$100K-$20M typical investments; no minimum ownership; working capital/purchase-order debt; early-stage needs revenue success; out-of-state US investments permitted.</x:v>
      </x:c>
      <x:c r="AB2" s="3" t="str">
        <x:v>Existing CapitalForge research, newly screened for this campaign</x:v>
      </x:c>
      <x:c r="AC2" s="3" t="str">
        <x:v>unverified</x:v>
      </x:c>
      <x:c r="AD2" s="3" t="str">
        <x:v>Not contacted / unconfirmed</x:v>
      </x:c>
      <x:c r="AE2" s="3" t="str">
        <x:v>No</x:v>
      </x:c>
      <x:c r="AF2" s="3" t="str">
        <x:v>No</x:v>
      </x:c>
      <x:c r="AG2" s="3"/>
      <x:c r="AH2" s="3"/>
      <x:c r="AI2" s="18"/>
      <x:c r="AJ2" s="3" t="str">
        <x:v>CF2500-36D8A4F94741</x:v>
      </x:c>
      <x:c r="AK2" s="3" t="str">
        <x:v>Operating-company equity or debt</x:v>
      </x:c>
      <x:c r="AL2" s="19" t="n">
        <x:v>100000</x:v>
      </x:c>
      <x:c r="AM2" s="19" t="n">
        <x:v>500000</x:v>
      </x:c>
      <x:c r="AN2" s="3" t="str">
        <x:v>https://pattersonthoma.com/</x:v>
      </x:c>
      <x:c r="AO2" s="3" t="str">
        <x:v>trial_capital_directory.jsonl</x:v>
      </x:c>
      <x:c r="AP2" s="19"/>
    </x:row>
    <x:row r="3" ht="36" customHeight="1">
      <x:c r="A3" s="23" t="n">
        <x:v>2</x:v>
      </x:c>
      <x:c r="B3" s="15" t="str">
        <x:v>Rockies Venture Club</x:v>
      </x:c>
      <x:c r="C3" s="15"/>
      <x:c r="D3" s="15" t="str">
        <x:v>Angel syndicate/SPV</x:v>
      </x:c>
      <x:c r="E3" s="15" t="str">
        <x:v>Reviewed trial-capital route</x:v>
      </x:c>
      <x:c r="F3" s="17" t="str">
        <x:v>New</x:v>
      </x:c>
      <x:c r="G3" s="24" t="str">
        <x:v>info@rockiesventureclub.org</x:v>
      </x:c>
      <x:c r="H3" s="24" t="str">
        <x:v>+17203054277</x:v>
      </x:c>
      <x:c r="I3" s="24" t="str">
        <x:v>https://rockiesventureclub.org/</x:v>
      </x:c>
      <x:c r="J3" s="16"/>
      <x:c r="K3" s="16"/>
      <x:c r="L3" s="16" t="str">
        <x:v>firm_business_routing</x:v>
      </x:c>
      <x:c r="M3" s="16" t="str">
        <x:v>https://www.sparkxyz.io/applications/623</x:v>
      </x:c>
      <x:c r="N3" s="16" t="str">
        <x:v>Published source range; proposed allocation and structure require confirmation</x:v>
      </x:c>
      <x:c r="O3" s="20" t="n">
        <x:v>100000</x:v>
      </x:c>
      <x:c r="P3" s="20" t="n">
        <x:v>500000</x:v>
      </x:c>
      <x:c r="Q3" s="25" t="str">
        <x:v>Published initial aggregate SPV/group investment $100K-$500K, not individual angel liquidity.</x:v>
      </x:c>
      <x:c r="R3" s="25" t="str">
        <x:v>Colorado angel network publishes exact requested initial range, leads/syndicates rounds, and supports AI/data-analytics companies. Attached service agreement can demonstrate execution demand but does not establish the separate venture-return thesis.</x:v>
      </x:c>
      <x:c r="S3" s="25" t="str">
        <x:v>Venture-backable pre-seed to Series A, defensibility, exit path and generally 10x investment-return case. Fee-based working-capital request alone may not fit. Alternate lending referral is separate from equity decision.</x:v>
      </x:c>
      <x:c r="T3" s="25" t="str">
        <x:v>Read linked technology intake and present actual operating traction plus defensible underwriting technology and scalable enterprise economics; discuss revenue-sharing or convertible debt only if supported by intake.</x:v>
      </x:c>
      <x:c r="U3" s="25" t="str">
        <x:v>https://rockiesventureclub.org/pitch
https://rockiesventureclub.org/seo-llm-page
https://www.sparkxyz.io/applications/623</x:v>
      </x:c>
      <x:c r="V3" s="26" t="d">
        <x:v>2026-10-02T00:00:00.000Z</x:v>
      </x:c>
      <x:c r="W3" s="26" t="d">
        <x:v>2026-10-02T00:00:00.000Z</x:v>
      </x:c>
      <x:c r="X3" s="25" t="str">
        <x:v>Saved public company, industry-directory or regulatory source; source date retained</x:v>
      </x:c>
      <x:c r="Y3" s="25" t="str">
        <x:v>https://rockiesventureclub.org/pitch</x:v>
      </x:c>
      <x:c r="Z3" s="25" t="str">
        <x:v>https://rockiesventureclub.org/pitch</x:v>
      </x:c>
      <x:c r="AA3" s="25" t="str">
        <x:v>$100K-$500K initial SPV; venture-backable/defensible/exit; applications and contact.; 10x return within five years; initial range.; Subagent verified official linked application; alternate structures case by case.</x:v>
      </x:c>
      <x:c r="AB3" s="3" t="str">
        <x:v>Existing CapitalForge research, newly screened for this campaign</x:v>
      </x:c>
      <x:c r="AC3" s="3" t="str">
        <x:v>unverified</x:v>
      </x:c>
      <x:c r="AD3" s="3" t="str">
        <x:v>Not contacted / unconfirmed</x:v>
      </x:c>
      <x:c r="AE3" s="3" t="str">
        <x:v>No</x:v>
      </x:c>
      <x:c r="AF3" s="3" t="str">
        <x:v>No</x:v>
      </x:c>
      <x:c r="AG3" s="3"/>
      <x:c r="AH3" s="3"/>
      <x:c r="AI3" s="18"/>
      <x:c r="AJ3" s="3" t="str">
        <x:v>CF2500-D131AE994750</x:v>
      </x:c>
      <x:c r="AK3" s="3" t="str">
        <x:v>Venture equity; application permits alternate structures case by case</x:v>
      </x:c>
      <x:c r="AL3" s="19" t="n">
        <x:v>100000</x:v>
      </x:c>
      <x:c r="AM3" s="19" t="n">
        <x:v>500000</x:v>
      </x:c>
      <x:c r="AN3" s="3" t="str">
        <x:v>https://rockiesventureclub.org/pitch</x:v>
      </x:c>
      <x:c r="AO3" s="3" t="str">
        <x:v>trial_capital_directory.jsonl</x:v>
      </x:c>
      <x:c r="AP3" s="19"/>
    </x:row>
    <x:row r="4" ht="36" customHeight="1">
      <x:c r="A4" s="23" t="n">
        <x:v>3</x:v>
      </x:c>
      <x:c r="B4" s="15" t="str">
        <x:v>Belgravia Management</x:v>
      </x:c>
      <x:c r="C4" s="15"/>
      <x:c r="D4" s="15" t="str">
        <x:v>Family office - debt or minority equity</x:v>
      </x:c>
      <x:c r="E4" s="15" t="str">
        <x:v>Reviewed trial-capital route</x:v>
      </x:c>
      <x:c r="F4" s="17" t="str">
        <x:v>New</x:v>
      </x:c>
      <x:c r="G4" s="24" t="str">
        <x:v>info@belgravialp.com</x:v>
      </x:c>
      <x:c r="H4" s="24" t="str">
        <x:v>+12673384994</x:v>
      </x:c>
      <x:c r="I4" s="24" t="str">
        <x:v>https://www.belgravia-management.com/</x:v>
      </x:c>
      <x:c r="J4" s="16"/>
      <x:c r="K4" s="16"/>
      <x:c r="L4" s="16" t="str">
        <x:v>firm_business_routing</x:v>
      </x:c>
      <x:c r="M4" s="16" t="str">
        <x:v>https://www.belgravia-management.com/</x:v>
      </x:c>
      <x:c r="N4" s="16" t="str">
        <x:v>$100K-$500K ticket not published / unconfirmed</x:v>
      </x:c>
      <x:c r="O4" s="20"/>
      <x:c r="P4" s="20"/>
      <x:c r="Q4" s="25" t="str">
        <x:v>No check size published</x:v>
      </x:c>
      <x:c r="R4" s="25" t="str">
        <x:v>Flexible minority capital for operating businesses across industries and stages; debt structures also offered.</x:v>
      </x:c>
      <x:c r="S4" s="25" t="str">
        <x:v>$100K-$500K ticket, 9.3% ownership and this wholesale business remain unconfirmed; firm prefers meaningful minority stakes.</x:v>
      </x:c>
      <x:c r="T4" s="25" t="str">
        <x:v>Route a $500K operating-company financing summary to the investment team; confirm check size and debt/equity appetite.</x:v>
      </x:c>
      <x:c r="U4" s="25" t="str">
        <x:v>https://www.belgravia-management.com/</x:v>
      </x:c>
      <x:c r="V4" s="26" t="d">
        <x:v>2026-10-02T00:00:00.000Z</x:v>
      </x:c>
      <x:c r="W4" s="26" t="d">
        <x:v>2026-10-02T00:00:00.000Z</x:v>
      </x:c>
      <x:c r="X4" s="25" t="str">
        <x:v>Saved public company, industry-directory or regulatory source; source date retained</x:v>
      </x:c>
      <x:c r="Y4" s="25" t="str">
        <x:v>https://www.belgravia-management.com/</x:v>
      </x:c>
      <x:c r="Z4" s="25" t="str">
        <x:v>https://www.belgravia-management.com/</x:v>
      </x:c>
      <x:c r="AA4" s="25" t="str">
        <x:v>Official operating-business and debt mandates plus public firm contact.</x:v>
      </x:c>
      <x:c r="AB4" s="3" t="str">
        <x:v>Existing CapitalForge research, newly screened for this campaign</x:v>
      </x:c>
      <x:c r="AC4" s="3" t="str">
        <x:v>unverified</x:v>
      </x:c>
      <x:c r="AD4" s="3" t="str">
        <x:v>Not contacted / unconfirmed</x:v>
      </x:c>
      <x:c r="AE4" s="3" t="str">
        <x:v>No</x:v>
      </x:c>
      <x:c r="AF4" s="3" t="str">
        <x:v>No</x:v>
      </x:c>
      <x:c r="AG4" s="3"/>
      <x:c r="AH4" s="3"/>
      <x:c r="AI4" s="18"/>
      <x:c r="AJ4" s="3" t="str">
        <x:v>CF2500-CE4E05158EB5</x:v>
      </x:c>
      <x:c r="AK4" s="3" t="str">
        <x:v>Family office - debt or minority equity</x:v>
      </x:c>
      <x:c r="AL4" s="19" t="n">
        <x:v>100000</x:v>
      </x:c>
      <x:c r="AM4" s="19" t="n">
        <x:v>500000</x:v>
      </x:c>
      <x:c r="AN4" s="3" t="str">
        <x:v>https://www.belgravia-management.com/</x:v>
      </x:c>
      <x:c r="AO4" s="3" t="str">
        <x:v>trial_capital_directory.jsonl</x:v>
      </x:c>
      <x:c r="AP4" s="19"/>
    </x:row>
    <x:row r="5" ht="36" customHeight="1">
      <x:c r="A5" s="23" t="n">
        <x:v>4</x:v>
      </x:c>
      <x:c r="B5" s="15" t="str">
        <x:v>Chatfield Legacy Investments</x:v>
      </x:c>
      <x:c r="C5" s="15"/>
      <x:c r="D5" s="15" t="str">
        <x:v>Family office - minority equity</x:v>
      </x:c>
      <x:c r="E5" s="15" t="str">
        <x:v>Reviewed trial-capital route</x:v>
      </x:c>
      <x:c r="F5" s="17" t="str">
        <x:v>New</x:v>
      </x:c>
      <x:c r="G5" s="24" t="str">
        <x:v>mike@chatfieldli.com</x:v>
      </x:c>
      <x:c r="H5" s="24" t="str">
        <x:v>+17028718535</x:v>
      </x:c>
      <x:c r="I5" s="24" t="str">
        <x:v>https://chatfieldli.com/</x:v>
      </x:c>
      <x:c r="J5" s="16"/>
      <x:c r="K5" s="16"/>
      <x:c r="L5" s="16" t="str">
        <x:v>firm_business_routing</x:v>
      </x:c>
      <x:c r="M5" s="16" t="str">
        <x:v>https://chatfieldli.com/</x:v>
      </x:c>
      <x:c r="N5" s="16" t="str">
        <x:v>$100K-$500K ticket not published / unconfirmed</x:v>
      </x:c>
      <x:c r="O5" s="20"/>
      <x:c r="P5" s="20"/>
      <x:c r="Q5" s="25" t="str">
        <x:v>No check size published</x:v>
      </x:c>
      <x:c r="R5" s="25" t="str">
        <x:v>Proprietary family capital with private-equity minority investments and residential real estate experience.</x:v>
      </x:c>
      <x:c r="S5" s="25" t="str">
        <x:v>Corporate check size, business stage, unsolicited investment process and current allocation are unpublished.</x:v>
      </x:c>
      <x:c r="T5" s="25" t="str">
        <x:v>Confirm willingness to invest $100K-$500K in an origination operator rather than a property asset.</x:v>
      </x:c>
      <x:c r="U5" s="25" t="str">
        <x:v>https://chatfieldli.com/</x:v>
      </x:c>
      <x:c r="V5" s="26" t="d">
        <x:v>2026-10-02T00:00:00.000Z</x:v>
      </x:c>
      <x:c r="W5" s="26" t="d">
        <x:v>2026-10-02T00:00:00.000Z</x:v>
      </x:c>
      <x:c r="X5" s="25" t="str">
        <x:v>Saved public company, industry-directory or regulatory source; source date retained</x:v>
      </x:c>
      <x:c r="Y5" s="25" t="str">
        <x:v>https://chatfieldli.com/</x:v>
      </x:c>
      <x:c r="Z5" s="25" t="str">
        <x:v>https://chatfieldli.com/</x:v>
      </x:c>
      <x:c r="AA5" s="25" t="str">
        <x:v>Official site lists minority investments and proprietary capital, with public Mike/Karen emails.</x:v>
      </x:c>
      <x:c r="AB5" s="3" t="str">
        <x:v>Existing CapitalForge research, newly screened for this campaign</x:v>
      </x:c>
      <x:c r="AC5" s="3" t="str">
        <x:v>unverified</x:v>
      </x:c>
      <x:c r="AD5" s="3" t="str">
        <x:v>Not contacted / unconfirmed</x:v>
      </x:c>
      <x:c r="AE5" s="3" t="str">
        <x:v>No</x:v>
      </x:c>
      <x:c r="AF5" s="3" t="str">
        <x:v>No</x:v>
      </x:c>
      <x:c r="AG5" s="3"/>
      <x:c r="AH5" s="3"/>
      <x:c r="AI5" s="18"/>
      <x:c r="AJ5" s="3" t="str">
        <x:v>CF2500-F0916FB0B1DC</x:v>
      </x:c>
      <x:c r="AK5" s="3" t="str">
        <x:v>Family office - minority equity</x:v>
      </x:c>
      <x:c r="AL5" s="19" t="n">
        <x:v>100000</x:v>
      </x:c>
      <x:c r="AM5" s="19" t="n">
        <x:v>500000</x:v>
      </x:c>
      <x:c r="AN5" s="3" t="str">
        <x:v>https://chatfieldli.com/</x:v>
      </x:c>
      <x:c r="AO5" s="3" t="str">
        <x:v>trial_capital_directory.jsonl</x:v>
      </x:c>
      <x:c r="AP5" s="19"/>
    </x:row>
    <x:row r="6" ht="36" customHeight="1">
      <x:c r="A6" s="23" t="n">
        <x:v>5</x:v>
      </x:c>
      <x:c r="B6" s="15" t="str">
        <x:v>Signet LLC</x:v>
      </x:c>
      <x:c r="C6" s="15"/>
      <x:c r="D6" s="15" t="str">
        <x:v>Direct operating-company investment platform</x:v>
      </x:c>
      <x:c r="E6" s="15" t="str">
        <x:v>Reviewed trial-capital route</x:v>
      </x:c>
      <x:c r="F6" s="17" t="str">
        <x:v>New</x:v>
      </x:c>
      <x:c r="G6" s="24" t="str">
        <x:v>mcorr@signetllc.com</x:v>
      </x:c>
      <x:c r="H6" s="24" t="str">
        <x:v>+13307629102</x:v>
      </x:c>
      <x:c r="I6" s="24" t="str">
        <x:v>https://www.signetllc.com/</x:v>
      </x:c>
      <x:c r="J6" s="16"/>
      <x:c r="K6" s="16"/>
      <x:c r="L6" s="16" t="str">
        <x:v>firm_business_routing</x:v>
      </x:c>
      <x:c r="M6" s="16" t="str">
        <x:v>https://www.signetllc.com/contact-us/</x:v>
      </x:c>
      <x:c r="N6" s="16" t="str">
        <x:v>$100K-$500K ticket not published / unconfirmed</x:v>
      </x:c>
      <x:c r="O6" s="20"/>
      <x:c r="P6" s="20"/>
      <x:c r="Q6" s="25" t="str">
        <x:v>No published direct ticket or minority check policy. Confirm principal-capital route rather than advisory financing.</x:v>
      </x:c>
      <x:c r="R6" s="25" t="str">
        <x:v>Direct equity platform commits principal and investor capital, and publishes operating-company investments in business services, financial/real-estate industries and venture/growth/startup capital.</x:v>
      </x:c>
      <x:c r="S6" s="25" t="str">
        <x:v>Control acquisitions emphasized alongside startup capital. $100K-$500K size, 9.3% minority acceptance and current allocation unknown. Distinguish Signet's own investment from its advisory/investment-bank subsidiaries.</x:v>
      </x:c>
      <x:c r="T6" s="25" t="str">
        <x:v>Ask Mark Corr for direct-equity routing to the operating-company investment decision team; specify minority working-capital request and actual completed-transaction traction.</x:v>
      </x:c>
      <x:c r="U6" s="25" t="str">
        <x:v>https://www.signetllc.com/industries/capital/
https://www.signetllc.com/about-us/team/
https://www.signetllc.com/</x:v>
      </x:c>
      <x:c r="V6" s="26" t="d">
        <x:v>2026-10-02T00:00:00.000Z</x:v>
      </x:c>
      <x:c r="W6" s="26" t="d">
        <x:v>2026-10-02T00:00:00.000Z</x:v>
      </x:c>
      <x:c r="X6" s="25" t="str">
        <x:v>Saved public company, industry-directory or regulatory source; source date retained</x:v>
      </x:c>
      <x:c r="Y6" s="25" t="str">
        <x:v>https://www.signetllc.com/industries/capital/</x:v>
      </x:c>
      <x:c r="Z6" s="25" t="str">
        <x:v>https://www.signetllc.com/industries/capital/</x:v>
      </x:c>
      <x:c r="AA6" s="25" t="str">
        <x:v>Direct equity principal/investor capital; control and startup; business services/real estate operating companies.; Mark Corr Principal/President/CEO and published business email/phone.</x:v>
      </x:c>
      <x:c r="AB6" s="3" t="str">
        <x:v>Existing CapitalForge research, newly screened for this campaign</x:v>
      </x:c>
      <x:c r="AC6" s="3" t="str">
        <x:v>unverified</x:v>
      </x:c>
      <x:c r="AD6" s="3" t="str">
        <x:v>Not contacted / unconfirmed</x:v>
      </x:c>
      <x:c r="AE6" s="3" t="str">
        <x:v>No</x:v>
      </x:c>
      <x:c r="AF6" s="3" t="str">
        <x:v>No</x:v>
      </x:c>
      <x:c r="AG6" s="3" t="str">
        <x:v>Anthony Manna</x:v>
      </x:c>
      <x:c r="AH6" s="3"/>
      <x:c r="AI6" s="18"/>
      <x:c r="AJ6" s="3" t="str">
        <x:v>CF2500-C2455C8900D7</x:v>
      </x:c>
      <x:c r="AK6" s="3" t="str">
        <x:v>Principal and investor equity; early-stage/growth capital</x:v>
      </x:c>
      <x:c r="AL6" s="19" t="n">
        <x:v>100000</x:v>
      </x:c>
      <x:c r="AM6" s="19" t="n">
        <x:v>500000</x:v>
      </x:c>
      <x:c r="AN6" s="3" t="str">
        <x:v>https://www.signetllc.com/industries/capital/</x:v>
      </x:c>
      <x:c r="AO6" s="3" t="str">
        <x:v>trial_capital_directory.jsonl</x:v>
      </x:c>
      <x:c r="AP6" s="19"/>
    </x:row>
    <x:row r="7" ht="36" customHeight="1">
      <x:c r="A7" s="23" t="n">
        <x:v>6</x:v>
      </x:c>
      <x:c r="B7" s="15" t="str">
        <x:v>Stella Maris Family Office</x:v>
      </x:c>
      <x:c r="C7" s="15"/>
      <x:c r="D7" s="15" t="str">
        <x:v>Family office - growth equity</x:v>
      </x:c>
      <x:c r="E7" s="15" t="str">
        <x:v>Reviewed trial-capital route</x:v>
      </x:c>
      <x:c r="F7" s="17" t="str">
        <x:v>New</x:v>
      </x:c>
      <x:c r="G7" s="24" t="str">
        <x:v>connect@stellamarisfo.com</x:v>
      </x:c>
      <x:c r="H7" s="24" t="str">
        <x:v>+19132780700</x:v>
      </x:c>
      <x:c r="I7" s="24" t="str">
        <x:v>https://stellamarisfo.com/</x:v>
      </x:c>
      <x:c r="J7" s="16"/>
      <x:c r="K7" s="16"/>
      <x:c r="L7" s="16" t="str">
        <x:v>firm_business_routing</x:v>
      </x:c>
      <x:c r="M7" s="16" t="str">
        <x:v>https://stellamarisfo.com/contact-us/</x:v>
      </x:c>
      <x:c r="N7" s="16" t="str">
        <x:v>$100K-$500K ticket not published / unconfirmed</x:v>
      </x:c>
      <x:c r="O7" s="20"/>
      <x:c r="P7" s="20"/>
      <x:c r="Q7" s="25" t="str">
        <x:v>LP equity $500K-$10M; do not equate with a direct corporate check</x:v>
      </x:c>
      <x:c r="R7" s="25" t="str">
        <x:v>Considers minority opportunities in professional services and financing; growth-equity mandate.</x:v>
      </x:c>
      <x:c r="S7" s="25" t="str">
        <x:v>Primarily majority owner; seeks steady cash flow and platform EBITDA $500K-$4M. Published LP-equity range requires structure clarification and is not direct-check proof.</x:v>
      </x:c>
      <x:c r="T7" s="25" t="str">
        <x:v>Clarify whether the LP range applies to direct company investment and whether the active origination business fits.</x:v>
      </x:c>
      <x:c r="U7" s="25" t="str">
        <x:v>https://stellamarisfo.com/our-approach/
https://stellamarisfo.com/contact-us/</x:v>
      </x:c>
      <x:c r="V7" s="26" t="d">
        <x:v>2026-10-02T00:00:00.000Z</x:v>
      </x:c>
      <x:c r="W7" s="26" t="d">
        <x:v>2026-10-02T00:00:00.000Z</x:v>
      </x:c>
      <x:c r="X7" s="25" t="str">
        <x:v>Saved public company, industry-directory or regulatory source; source date retained</x:v>
      </x:c>
      <x:c r="Y7" s="25" t="str">
        <x:v>https://stellamarisfo.com/our-approach/</x:v>
      </x:c>
      <x:c r="Z7" s="25" t="str">
        <x:v>https://stellamarisfo.com/our-approach/</x:v>
      </x:c>
      <x:c r="AA7" s="25" t="str">
        <x:v>Official approach and contact pages.</x:v>
      </x:c>
      <x:c r="AB7" s="3" t="str">
        <x:v>Existing CapitalForge research, newly screened for this campaign</x:v>
      </x:c>
      <x:c r="AC7" s="3" t="str">
        <x:v>unverified</x:v>
      </x:c>
      <x:c r="AD7" s="3" t="str">
        <x:v>Not contacted / unconfirmed</x:v>
      </x:c>
      <x:c r="AE7" s="3" t="str">
        <x:v>No</x:v>
      </x:c>
      <x:c r="AF7" s="3" t="str">
        <x:v>No</x:v>
      </x:c>
      <x:c r="AG7" s="3"/>
      <x:c r="AH7" s="3"/>
      <x:c r="AI7" s="18"/>
      <x:c r="AJ7" s="3" t="str">
        <x:v>CF2500-4186A52A3B93</x:v>
      </x:c>
      <x:c r="AK7" s="3" t="str">
        <x:v>Family office - growth equity</x:v>
      </x:c>
      <x:c r="AL7" s="19" t="n">
        <x:v>100000</x:v>
      </x:c>
      <x:c r="AM7" s="19" t="n">
        <x:v>500000</x:v>
      </x:c>
      <x:c r="AN7" s="3" t="str">
        <x:v>https://stellamarisfo.com/our-approach/</x:v>
      </x:c>
      <x:c r="AO7" s="3" t="str">
        <x:v>trial_capital_directory.jsonl</x:v>
      </x:c>
      <x:c r="AP7" s="19"/>
    </x:row>
    <x:row r="8" ht="36" customHeight="1">
      <x:c r="A8" s="23" t="n">
        <x:v>7</x:v>
      </x:c>
      <x:c r="B8" s="15" t="str">
        <x:v>Colorado Enterprise Fund - BUILD Denver</x:v>
      </x:c>
      <x:c r="C8" s="15"/>
      <x:c r="D8" s="15" t="str">
        <x:v>CDFI operating-business term loan; Denver subsidized program</x:v>
      </x:c>
      <x:c r="E8" s="15" t="str">
        <x:v>Reviewed trial-capital route</x:v>
      </x:c>
      <x:c r="F8" s="17" t="str">
        <x:v>New</x:v>
      </x:c>
      <x:c r="G8" s="24" t="str">
        <x:v>builddenver@coloradoenterprisefund.org</x:v>
      </x:c>
      <x:c r="H8" s="24" t="str">
        <x:v>+13038600242</x:v>
      </x:c>
      <x:c r="I8" s="24" t="str">
        <x:v>https://coloradoenterprisefund.org/BUILD-Denver-Loan-Fund</x:v>
      </x:c>
      <x:c r="J8" s="16"/>
      <x:c r="K8" s="16"/>
      <x:c r="L8" s="16" t="str">
        <x:v>firm_business_routing</x:v>
      </x:c>
      <x:c r="M8" s="16" t="str">
        <x:v>https://coloradoenterprisefund.org/Get-Started</x:v>
      </x:c>
      <x:c r="N8" s="16" t="str">
        <x:v>Published source range; proposed allocation and structure require confirmation</x:v>
      </x:c>
      <x:c r="O8" s="20" t="n">
        <x:v>10000</x:v>
      </x:c>
      <x:c r="P8" s="20" t="n">
        <x:v>350000</x:v>
      </x:c>
      <x:c r="Q8" s="25" t="str">
        <x:v>CDFI operating-business term loan; Denver subsidized program published product range; actual offer subject to underwriting</x:v>
      </x:c>
      <x:c r="R8" s="25" t="str">
        <x:v>Working capital explicitly permitted. Could support marketing/payroll ramp if CEF accepts the active acquisition-services model.</x:v>
      </x:c>
      <x:c r="S8" s="25" t="str">
        <x:v>Real estate holding entities excluded; residence in Denver alone is insufficient. Published approval timeline normally 90-120 days. Loans above $50K generally considered for SBA guarantee; active wholesale classification and actual repayment capacity require review.</x:v>
      </x:c>
      <x:c r="T8" s="25" t="str">
        <x:v>Confirm active origination-business eligibility and actual historical financial thresholds before requesting an offer.</x:v>
      </x:c>
      <x:c r="U8" s="25" t="str">
        <x:v>https://coloradoenterprisefund.org/BUILD-Denver-Loan-Fund
https://www.coloradoenterprisefund.org/Adams-County-Community-Loan</x:v>
      </x:c>
      <x:c r="V8" s="26" t="d">
        <x:v>2026-10-02T00:00:00.000Z</x:v>
      </x:c>
      <x:c r="W8" s="26" t="d">
        <x:v>2026-10-02T00:00:00.000Z</x:v>
      </x:c>
      <x:c r="X8" s="25" t="str">
        <x:v>Saved public company, industry-directory or regulatory source; source date retained</x:v>
      </x:c>
      <x:c r="Y8" s="25" t="str">
        <x:v>https://coloradoenterprisefund.org/BUILD-Denver-Loan-Fund</x:v>
      </x:c>
      <x:c r="Z8" s="25" t="str">
        <x:v>https://coloradoenterprisefund.org/BUILD-Denver-Loan-Fund</x:v>
      </x:c>
      <x:c r="AA8" s="25" t="str">
        <x:v>Official program and eligibility published; 101XVC eligibility unconfirmed</x:v>
      </x:c>
      <x:c r="AB8" s="3" t="str">
        <x:v>Existing CapitalForge research, newly screened for this campaign</x:v>
      </x:c>
      <x:c r="AC8" s="3" t="str">
        <x:v>unverified</x:v>
      </x:c>
      <x:c r="AD8" s="3" t="str">
        <x:v>Not contacted / unconfirmed</x:v>
      </x:c>
      <x:c r="AE8" s="3" t="str">
        <x:v>No</x:v>
      </x:c>
      <x:c r="AF8" s="3" t="str">
        <x:v>No</x:v>
      </x:c>
      <x:c r="AG8" s="3"/>
      <x:c r="AH8" s="3"/>
      <x:c r="AI8" s="18"/>
      <x:c r="AJ8" s="3" t="str">
        <x:v>CF2500-8893D771F0A5</x:v>
      </x:c>
      <x:c r="AK8" s="3" t="str">
        <x:v>CDFI operating-business term loan; Denver subsidized program</x:v>
      </x:c>
      <x:c r="AL8" s="19" t="n">
        <x:v>100000</x:v>
      </x:c>
      <x:c r="AM8" s="19" t="n">
        <x:v>500000</x:v>
      </x:c>
      <x:c r="AN8" s="3" t="str">
        <x:v>https://coloradoenterprisefund.org/BUILD-Denver-Loan-Fund</x:v>
      </x:c>
      <x:c r="AO8" s="3" t="str">
        <x:v>trial_capital_directory.jsonl</x:v>
      </x:c>
      <x:c r="AP8" s="19"/>
    </x:row>
    <x:row r="9" ht="36" customHeight="1">
      <x:c r="A9" s="23" t="n">
        <x:v>8</x:v>
      </x:c>
      <x:c r="B9" s="15" t="str">
        <x:v>OnDeck / lender identified in offer</x:v>
      </x:c>
      <x:c r="C9" s="15"/>
      <x:c r="D9" s="15" t="str">
        <x:v>Term loan or revolving line</x:v>
      </x:c>
      <x:c r="E9" s="15" t="str">
        <x:v>Reviewed trial-capital route</x:v>
      </x:c>
      <x:c r="F9" s="17" t="str">
        <x:v>New</x:v>
      </x:c>
      <x:c r="G9" s="24" t="str">
        <x:v>sales@ondeck.com</x:v>
      </x:c>
      <x:c r="H9" s="24" t="str">
        <x:v>+18882694246</x:v>
      </x:c>
      <x:c r="I9" s="24" t="str">
        <x:v>https://www.ondeck.com/contact-us</x:v>
      </x:c>
      <x:c r="J9" s="16"/>
      <x:c r="K9" s="16"/>
      <x:c r="L9" s="16" t="str">
        <x:v>firm_business_routing</x:v>
      </x:c>
      <x:c r="M9" s="16" t="str">
        <x:v>https://my.ondeck.com/apply/landing</x:v>
      </x:c>
      <x:c r="N9" s="16" t="str">
        <x:v>Published source range; proposed allocation and structure require confirmation</x:v>
      </x:c>
      <x:c r="O9" s="20" t="n">
        <x:v>5000</x:v>
      </x:c>
      <x:c r="P9" s="20" t="n">
        <x:v>400000</x:v>
      </x:c>
      <x:c r="Q9" s="25" t="str">
        <x:v>Term loan or revolving line published product range; actual offer subject to underwriting</x:v>
      </x:c>
      <x:c r="R9" s="25" t="str">
        <x:v>Payroll and marketing are explicit uses.</x:v>
      </x:c>
      <x:c r="S9" s="25" t="str">
        <x:v>Frequent repayment/cost can be poor fit for delayed closings; industry and existing lien review. Do not use old lower product caps from third-party articles.</x:v>
      </x:c>
      <x:c r="T9" s="25" t="str">
        <x:v>Confirm active origination-business eligibility and actual historical financial thresholds before requesting an offer.</x:v>
      </x:c>
      <x:c r="U9" s="25" t="str">
        <x:v>https://www.ondeck.com/
https://www.ondeck.com/restricted-industries
https://www.ondeck.com/faqs
https://www.ondeck.com/contact-us</x:v>
      </x:c>
      <x:c r="V9" s="26" t="d">
        <x:v>2026-10-02T00:00:00.000Z</x:v>
      </x:c>
      <x:c r="W9" s="26" t="d">
        <x:v>2026-10-02T00:00:00.000Z</x:v>
      </x:c>
      <x:c r="X9" s="25" t="str">
        <x:v>Saved public company, industry-directory or regulatory source; source date retained</x:v>
      </x:c>
      <x:c r="Y9" s="25" t="str">
        <x:v>https://www.ondeck.com/</x:v>
      </x:c>
      <x:c r="Z9" s="25" t="str">
        <x:v>https://www.ondeck.com/</x:v>
      </x:c>
      <x:c r="AA9" s="25" t="str">
        <x:v>Official current product caps and dated average APR verified</x:v>
      </x:c>
      <x:c r="AB9" s="3" t="str">
        <x:v>Existing CapitalForge research, newly screened for this campaign</x:v>
      </x:c>
      <x:c r="AC9" s="3" t="str">
        <x:v>unverified</x:v>
      </x:c>
      <x:c r="AD9" s="3" t="str">
        <x:v>Not contacted / unconfirmed</x:v>
      </x:c>
      <x:c r="AE9" s="3" t="str">
        <x:v>No</x:v>
      </x:c>
      <x:c r="AF9" s="3" t="str">
        <x:v>No</x:v>
      </x:c>
      <x:c r="AG9" s="3"/>
      <x:c r="AH9" s="3"/>
      <x:c r="AI9" s="18"/>
      <x:c r="AJ9" s="3" t="str">
        <x:v>CF2500-664F9C9C67A2</x:v>
      </x:c>
      <x:c r="AK9" s="3" t="str">
        <x:v>Term loan or revolving line</x:v>
      </x:c>
      <x:c r="AL9" s="19" t="n">
        <x:v>100000</x:v>
      </x:c>
      <x:c r="AM9" s="19" t="n">
        <x:v>500000</x:v>
      </x:c>
      <x:c r="AN9" s="3" t="str">
        <x:v>https://www.ondeck.com/</x:v>
      </x:c>
      <x:c r="AO9" s="3" t="str">
        <x:v>trial_capital_directory.jsonl</x:v>
      </x:c>
      <x:c r="AP9" s="19"/>
    </x:row>
    <x:row r="10" ht="36" customHeight="1">
      <x:c r="A10" s="23" t="n">
        <x:v>9</x:v>
      </x:c>
      <x:c r="B10" s="15" t="str">
        <x:v>Rifton Capital</x:v>
      </x:c>
      <x:c r="C10" s="15"/>
      <x:c r="D10" s="15" t="str">
        <x:v>Private growth equity</x:v>
      </x:c>
      <x:c r="E10" s="15" t="str">
        <x:v>Reviewed trial-capital route</x:v>
      </x:c>
      <x:c r="F10" s="17" t="str">
        <x:v>New</x:v>
      </x:c>
      <x:c r="G10" s="24" t="str">
        <x:v>riftoncapital@gmail.com</x:v>
      </x:c>
      <x:c r="H10" s="24"/>
      <x:c r="I10" s="24" t="str">
        <x:v>https://www.riftoncapital.com/</x:v>
      </x:c>
      <x:c r="J10" s="16"/>
      <x:c r="K10" s="16"/>
      <x:c r="L10" s="16" t="str">
        <x:v>firm_business_routing</x:v>
      </x:c>
      <x:c r="M10" s="16" t="str">
        <x:v>https://www.riftoncapital.com/</x:v>
      </x:c>
      <x:c r="N10" s="16" t="str">
        <x:v>Published source range; proposed allocation and structure require confirmation</x:v>
      </x:c>
      <x:c r="O10" s="20" t="n">
        <x:v>250000</x:v>
      </x:c>
      <x:c r="P10" s="20" t="n">
        <x:v>5000000</x:v>
      </x:c>
      <x:c r="Q10" s="25" t="str">
        <x:v>Typical firm equity investment</x:v>
      </x:c>
      <x:c r="R10" s="25" t="str">
        <x:v>Industry-agnostic minority or majority equity; published range overlaps $250K-$500K.</x:v>
      </x:c>
      <x:c r="S10" s="25" t="str">
        <x:v>Invests in profitable growing businesses and explicitly excludes startups. Trial projections do not establish profitability.</x:v>
      </x:c>
      <x:c r="T10" s="25" t="str">
        <x:v>Present only if operating financials demonstrate an established profitable company; request a $250K-$500K minority check.</x:v>
      </x:c>
      <x:c r="U10" s="25" t="str">
        <x:v>https://www.riftoncapital.com/</x:v>
      </x:c>
      <x:c r="V10" s="26" t="d">
        <x:v>2026-10-02T00:00:00.000Z</x:v>
      </x:c>
      <x:c r="W10" s="26" t="d">
        <x:v>2026-10-02T00:00:00.000Z</x:v>
      </x:c>
      <x:c r="X10" s="25" t="str">
        <x:v>Saved public company, industry-directory or regulatory source; source date retained</x:v>
      </x:c>
      <x:c r="Y10" s="25" t="str">
        <x:v>https://www.riftoncapital.com/</x:v>
      </x:c>
      <x:c r="Z10" s="25"/>
      <x:c r="AA10" s="25" t="str">
        <x:v>Current official investment criteria and public contact.</x:v>
      </x:c>
      <x:c r="AB10" s="3" t="str">
        <x:v>Existing CapitalForge research, newly screened for this campaign</x:v>
      </x:c>
      <x:c r="AC10" s="3" t="str">
        <x:v>unverified</x:v>
      </x:c>
      <x:c r="AD10" s="3" t="str">
        <x:v>Not contacted / unconfirmed</x:v>
      </x:c>
      <x:c r="AE10" s="3" t="str">
        <x:v>No</x:v>
      </x:c>
      <x:c r="AF10" s="3" t="str">
        <x:v>No</x:v>
      </x:c>
      <x:c r="AG10" s="3"/>
      <x:c r="AH10" s="3"/>
      <x:c r="AI10" s="18"/>
      <x:c r="AJ10" s="3" t="str">
        <x:v>CF2500-3D74ABD90EDB</x:v>
      </x:c>
      <x:c r="AK10" s="3" t="str">
        <x:v>Private growth equity</x:v>
      </x:c>
      <x:c r="AL10" s="19" t="n">
        <x:v>100000</x:v>
      </x:c>
      <x:c r="AM10" s="19" t="n">
        <x:v>500000</x:v>
      </x:c>
      <x:c r="AN10" s="3" t="str">
        <x:v>https://www.riftoncapital.com/</x:v>
      </x:c>
      <x:c r="AO10" s="3" t="str">
        <x:v>trial_capital_directory.jsonl</x:v>
      </x:c>
      <x:c r="AP10" s="19"/>
    </x:row>
    <x:row r="11" ht="36" customHeight="1">
      <x:c r="A11" s="23" t="n">
        <x:v>10</x:v>
      </x:c>
      <x:c r="B11" s="15" t="str">
        <x:v>CHW Capital</x:v>
      </x:c>
      <x:c r="C11" s="15"/>
      <x:c r="D11" s="15" t="str">
        <x:v>Minority growth equity</x:v>
      </x:c>
      <x:c r="E11" s="15" t="str">
        <x:v>Reviewed trial-capital route</x:v>
      </x:c>
      <x:c r="F11" s="17" t="str">
        <x:v>New</x:v>
      </x:c>
      <x:c r="G11" s="24" t="str">
        <x:v>travis@chw.capital</x:v>
      </x:c>
      <x:c r="H11" s="24"/>
      <x:c r="I11" s="24" t="str">
        <x:v>https://chw.capital/</x:v>
      </x:c>
      <x:c r="J11" s="16"/>
      <x:c r="K11" s="16"/>
      <x:c r="L11" s="16" t="str">
        <x:v>firm_business_routing</x:v>
      </x:c>
      <x:c r="M11" s="16" t="str">
        <x:v>https://chw.capital/</x:v>
      </x:c>
      <x:c r="N11" s="16" t="str">
        <x:v>Published source range; proposed allocation and structure require confirmation</x:v>
      </x:c>
      <x:c r="O11" s="20" t="n">
        <x:v>500000</x:v>
      </x:c>
      <x:c r="P11" s="20"/>
      <x:c r="Q11" s="25" t="str">
        <x:v>Published minimum firm check</x:v>
      </x:c>
      <x:c r="R11" s="25" t="str">
        <x:v>US industry-agnostic minority equity from $500K; service-business transaction precedent.</x:v>
      </x:c>
      <x:c r="S11" s="25" t="str">
        <x:v>Requires at least $1M revenue and 20% annual revenue growth, plus advisory/board involvement. Forecast trial receipts do not satisfy history requirements.</x:v>
      </x:c>
      <x:c r="T11" s="25" t="str">
        <x:v>Check actual revenue and growth against criteria; if met, route $500K minority opportunity.</x:v>
      </x:c>
      <x:c r="U11" s="25" t="str">
        <x:v>https://chw.capital/</x:v>
      </x:c>
      <x:c r="V11" s="26" t="d">
        <x:v>2026-10-02T00:00:00.000Z</x:v>
      </x:c>
      <x:c r="W11" s="26" t="d">
        <x:v>2026-10-02T00:00:00.000Z</x:v>
      </x:c>
      <x:c r="X11" s="25" t="str">
        <x:v>Saved public company, industry-directory or regulatory source; source date retained</x:v>
      </x:c>
      <x:c r="Y11" s="25" t="str">
        <x:v>https://chw.capital/</x:v>
      </x:c>
      <x:c r="Z11" s="25"/>
      <x:c r="AA11" s="25" t="str">
        <x:v>Official investment criteria and published Travis email.</x:v>
      </x:c>
      <x:c r="AB11" s="3" t="str">
        <x:v>Existing CapitalForge research, newly screened for this campaign</x:v>
      </x:c>
      <x:c r="AC11" s="3" t="str">
        <x:v>unverified</x:v>
      </x:c>
      <x:c r="AD11" s="3" t="str">
        <x:v>Not contacted / unconfirmed</x:v>
      </x:c>
      <x:c r="AE11" s="3" t="str">
        <x:v>No</x:v>
      </x:c>
      <x:c r="AF11" s="3" t="str">
        <x:v>No</x:v>
      </x:c>
      <x:c r="AG11" s="3"/>
      <x:c r="AH11" s="3"/>
      <x:c r="AI11" s="18"/>
      <x:c r="AJ11" s="3" t="str">
        <x:v>CF2500-CAFF11341660</x:v>
      </x:c>
      <x:c r="AK11" s="3" t="str">
        <x:v>Minority growth equity</x:v>
      </x:c>
      <x:c r="AL11" s="19" t="n">
        <x:v>100000</x:v>
      </x:c>
      <x:c r="AM11" s="19" t="n">
        <x:v>500000</x:v>
      </x:c>
      <x:c r="AN11" s="3" t="str">
        <x:v>https://chw.capital/</x:v>
      </x:c>
      <x:c r="AO11" s="3" t="str">
        <x:v>trial_capital_directory.jsonl</x:v>
      </x:c>
      <x:c r="AP11" s="19"/>
    </x:row>
    <x:row r="12" ht="36" customHeight="1">
      <x:c r="A12" s="23" t="n">
        <x:v>11</x:v>
      </x:c>
      <x:c r="B12" s="15" t="str">
        <x:v>DawnAscent Capital</x:v>
      </x:c>
      <x:c r="C12" s="15"/>
      <x:c r="D12" s="15" t="str">
        <x:v>Operator-led family office</x:v>
      </x:c>
      <x:c r="E12" s="15" t="str">
        <x:v>Reviewed trial-capital route</x:v>
      </x:c>
      <x:c r="F12" s="17" t="str">
        <x:v>New</x:v>
      </x:c>
      <x:c r="G12" s="24" t="str">
        <x:v>gregj@dawnascent.com</x:v>
      </x:c>
      <x:c r="H12" s="24"/>
      <x:c r="I12" s="24" t="str">
        <x:v>https://www.dawnascent.com/</x:v>
      </x:c>
      <x:c r="J12" s="16"/>
      <x:c r="K12" s="16"/>
      <x:c r="L12" s="16" t="str">
        <x:v>firm_business_routing</x:v>
      </x:c>
      <x:c r="M12" s="16" t="str">
        <x:v>https://www.dawnascent.com/submit-an-opportunity</x:v>
      </x:c>
      <x:c r="N12" s="16" t="str">
        <x:v>$100K-$500K ticket not published / unconfirmed</x:v>
      </x:c>
      <x:c r="O12" s="20"/>
      <x:c r="P12" s="20"/>
      <x:c r="Q12" s="25" t="str">
        <x:v>No published direct ticket. Historic $4B firm capital and principal track record are not present cash availability.</x:v>
      </x:c>
      <x:c r="R12" s="25" t="str">
        <x:v>Private-company equity/debt mandate includes business services, and explicitly seeks minority investments and participation rather than control. Operator-led approach could assess service execution and working-capital needs.</x:v>
      </x:c>
      <x:c r="S12" s="25" t="str">
        <x:v>No published check size, minimum current revenue or real-estate-wholesale eligibility. Under-60-day closing goal is firm's stated target, not assurance. Also offers consulting; confirm principal-investment route.</x:v>
      </x:c>
      <x:c r="T12" s="25" t="str">
        <x:v>Submit through opportunity form or Greg's published business email; request principal minority-equity/debt consideration, with current revenue and trial execution assumptions.</x:v>
      </x:c>
      <x:c r="U12" s="25" t="str">
        <x:v>https://www.dawnascent.com/
https://www.dawnascent.com/submit-an-opportunity</x:v>
      </x:c>
      <x:c r="V12" s="26" t="d">
        <x:v>2026-10-02T00:00:00.000Z</x:v>
      </x:c>
      <x:c r="W12" s="26" t="d">
        <x:v>2026-10-02T00:00:00.000Z</x:v>
      </x:c>
      <x:c r="X12" s="25" t="str">
        <x:v>Saved public company, industry-directory or regulatory source; source date retained</x:v>
      </x:c>
      <x:c r="Y12" s="25" t="str">
        <x:v>https://www.dawnascent.com/</x:v>
      </x:c>
      <x:c r="Z12" s="25"/>
      <x:c r="AA12" s="25" t="str">
        <x:v>Business-services/private-company-equity/debt; minority not control; Greg Jones; public email; under-60-day target.; Official opportunity intake.</x:v>
      </x:c>
      <x:c r="AB12" s="3" t="str">
        <x:v>Existing CapitalForge research, newly screened for this campaign</x:v>
      </x:c>
      <x:c r="AC12" s="3" t="str">
        <x:v>unverified</x:v>
      </x:c>
      <x:c r="AD12" s="3" t="str">
        <x:v>Not contacted / unconfirmed</x:v>
      </x:c>
      <x:c r="AE12" s="3" t="str">
        <x:v>No</x:v>
      </x:c>
      <x:c r="AF12" s="3" t="str">
        <x:v>No</x:v>
      </x:c>
      <x:c r="AG12" s="3"/>
      <x:c r="AH12" s="3"/>
      <x:c r="AI12" s="18"/>
      <x:c r="AJ12" s="3" t="str">
        <x:v>CF2500-BE09684E1A01</x:v>
      </x:c>
      <x:c r="AK12" s="3" t="str">
        <x:v>Minority operating-company equity or debt</x:v>
      </x:c>
      <x:c r="AL12" s="19" t="n">
        <x:v>100000</x:v>
      </x:c>
      <x:c r="AM12" s="19" t="n">
        <x:v>500000</x:v>
      </x:c>
      <x:c r="AN12" s="3" t="str">
        <x:v>https://www.dawnascent.com/</x:v>
      </x:c>
      <x:c r="AO12" s="3" t="str">
        <x:v>trial_capital_directory.jsonl</x:v>
      </x:c>
      <x:c r="AP12" s="19"/>
    </x:row>
    <x:row r="13" ht="36" customHeight="1">
      <x:c r="A13" s="23" t="n">
        <x:v>12</x:v>
      </x:c>
      <x:c r="B13" s="15" t="str">
        <x:v>Nebraska Angels</x:v>
      </x:c>
      <x:c r="C13" s="15"/>
      <x:c r="D13" s="15" t="str">
        <x:v>Angel member syndicate</x:v>
      </x:c>
      <x:c r="E13" s="15" t="str">
        <x:v>Reviewed trial-capital route</x:v>
      </x:c>
      <x:c r="F13" s="17" t="str">
        <x:v>New</x:v>
      </x:c>
      <x:c r="G13" s="24" t="str">
        <x:v>info@nebraskaangels.org</x:v>
      </x:c>
      <x:c r="H13" s="24"/>
      <x:c r="I13" s="24" t="str">
        <x:v>https://www.nebraskaangels.org/</x:v>
      </x:c>
      <x:c r="J13" s="16"/>
      <x:c r="K13" s="16"/>
      <x:c r="L13" s="16" t="str">
        <x:v>firm_business_routing</x:v>
      </x:c>
      <x:c r="M13" s="16" t="str">
        <x:v>https://gust.com/organizations/nebraska-angels/apply</x:v>
      </x:c>
      <x:c r="N13" s="16" t="str">
        <x:v>Published source range; proposed allocation and structure require confirmation</x:v>
      </x:c>
      <x:c r="O13" s="20" t="n">
        <x:v>250000</x:v>
      </x:c>
      <x:c r="P13" s="20"/>
      <x:c r="Q13" s="25" t="str">
        <x:v>Published aggregate member range $250K-$500K+; '+' means no verified hard maximum.</x:v>
      </x:c>
      <x:c r="R13" s="25" t="str">
        <x:v>Industry-agnostic angel group with $250K-$500K+ aggregate deal range.</x:v>
      </x:c>
      <x:c r="S13" s="25" t="str">
        <x:v>Midwest preference; MVP in market and users/pilots/revenue required. Lead investor/term sheet and credible 10x+ return in 3-5 years. No application fee, $2K closing contribution requested for investments over $200K excluding Invest Nebraska.</x:v>
      </x:c>
      <x:c r="T13" s="25" t="str">
        <x:v>Ask geography/service-business eligibility before completing Gust application; do not assume trial projections satisfy traction.</x:v>
      </x:c>
      <x:c r="U13" s="25" t="str">
        <x:v>https://www.nebraskaangels.org/entrepreneurs/investment-criteria.html
https://www.nebraskaangels.org/entrepreneurs/our-process.html
https://www.nebraskaangels.org/about/contact-us.html</x:v>
      </x:c>
      <x:c r="V13" s="26" t="d">
        <x:v>2026-10-02T00:00:00.000Z</x:v>
      </x:c>
      <x:c r="W13" s="26" t="d">
        <x:v>2026-10-02T00:00:00.000Z</x:v>
      </x:c>
      <x:c r="X13" s="25" t="str">
        <x:v>Saved public company, industry-directory or regulatory source; source date retained</x:v>
      </x:c>
      <x:c r="Y13" s="25" t="str">
        <x:v>https://www.nebraskaangels.org/entrepreneurs/investment-criteria.html</x:v>
      </x:c>
      <x:c r="Z13" s="25"/>
      <x:c r="AA13" s="25" t="str">
        <x:v>Subagent verified aggregate $250K-$500K+, sector/geography and traction.; Subagent verified process and fees.; Subagent verified public inbox.</x:v>
      </x:c>
      <x:c r="AB13" s="3" t="str">
        <x:v>Existing CapitalForge research, newly screened for this campaign</x:v>
      </x:c>
      <x:c r="AC13" s="3" t="str">
        <x:v>unverified</x:v>
      </x:c>
      <x:c r="AD13" s="3" t="str">
        <x:v>Not contacted / unconfirmed</x:v>
      </x:c>
      <x:c r="AE13" s="3" t="str">
        <x:v>No</x:v>
      </x:c>
      <x:c r="AF13" s="3" t="str">
        <x:v>No</x:v>
      </x:c>
      <x:c r="AG13" s="3"/>
      <x:c r="AH13" s="3"/>
      <x:c r="AI13" s="18"/>
      <x:c r="AJ13" s="3" t="str">
        <x:v>CF2500-19682766C694</x:v>
      </x:c>
      <x:c r="AK13" s="3" t="str">
        <x:v>Early-stage company equity</x:v>
      </x:c>
      <x:c r="AL13" s="19" t="n">
        <x:v>100000</x:v>
      </x:c>
      <x:c r="AM13" s="19" t="n">
        <x:v>500000</x:v>
      </x:c>
      <x:c r="AN13" s="3" t="str">
        <x:v>https://www.nebraskaangels.org/entrepreneurs/investment-criteria.html</x:v>
      </x:c>
      <x:c r="AO13" s="3" t="str">
        <x:v>trial_capital_directory.jsonl</x:v>
      </x:c>
      <x:c r="AP13" s="19"/>
    </x:row>
    <x:row r="14" ht="36" customHeight="1">
      <x:c r="A14" s="23" t="n">
        <x:v>13</x:v>
      </x:c>
      <x:c r="B14" s="15" t="str">
        <x:v>Fora Financial / funding network</x:v>
      </x:c>
      <x:c r="C14" s="15"/>
      <x:c r="D14" s="15" t="str">
        <x:v>Business term loan; separately small-business loan/revenue advance</x:v>
      </x:c>
      <x:c r="E14" s="15" t="str">
        <x:v>Reviewed trial-capital route</x:v>
      </x:c>
      <x:c r="F14" s="17" t="str">
        <x:v>New</x:v>
      </x:c>
      <x:c r="G14" s="24"/>
      <x:c r="H14" s="24" t="str">
        <x:v>+18774193568</x:v>
      </x:c>
      <x:c r="I14" s="24" t="str">
        <x:v>https://www.forafinancial.com/loans-and-financing/term-loans/</x:v>
      </x:c>
      <x:c r="J14" s="16"/>
      <x:c r="K14" s="16"/>
      <x:c r="L14" s="16" t="str">
        <x:v>firm_business_routing</x:v>
      </x:c>
      <x:c r="M14" s="16" t="str">
        <x:v>https://www.forafinancial.com/loans-and-financing/term-loans/</x:v>
      </x:c>
      <x:c r="N14" s="16" t="str">
        <x:v>Published source range; proposed allocation and structure require confirmation</x:v>
      </x:c>
      <x:c r="O14" s="20"/>
      <x:c r="P14" s="20" t="n">
        <x:v>500000</x:v>
      </x:c>
      <x:c r="Q14" s="25" t="str">
        <x:v>Business term loan; separately small-business loan/revenue advance published product range; actual offer subject to underwriting</x:v>
      </x:c>
      <x:c r="R14" s="25" t="str">
        <x:v>Defined marketing/acquisition ramp and cash-flow costs; service/realtor financing published elsewhere but wholesale acceptance unconfirmed.</x:v>
      </x:c>
      <x:c r="S14" s="25" t="str">
        <x:v>Product-specific age conflict on official page needs clarification; approval depends on actual revenue and repayment capacity. Exact originator and loan vs revenue-purchase structure must be identified in offer.</x:v>
      </x:c>
      <x:c r="T14" s="25" t="str">
        <x:v>Confirm active origination-business eligibility and actual historical financial thresholds before requesting an offer.</x:v>
      </x:c>
      <x:c r="U14" s="25" t="str">
        <x:v>https://www.forafinancial.com/loans-and-financing/term-loans/
https://www.forafinancial.com/loans-and-financing/colorado/
https://www.forafinancial.com/
https://www.forafinancial.com/contact-us/
https://www.forafinancial.com/faq/
https://www.forafinancial.com/about-us/
https://www.forafinancial.com/about-us/leadership/
https://www.nefassociation.org/wp-content/uploads/2025/06/Q2-2025-Membership-Directory.pdf</x:v>
      </x:c>
      <x:c r="V14" s="26" t="d">
        <x:v>2026-10-02T00:00:00.000Z</x:v>
      </x:c>
      <x:c r="W14" s="26" t="d">
        <x:v>2026-10-02T00:00:00.000Z</x:v>
      </x:c>
      <x:c r="X14" s="25" t="str">
        <x:v>Saved public company, industry-directory or regulatory source; source date retained</x:v>
      </x:c>
      <x:c r="Y14" s="25"/>
      <x:c r="Z14" s="25" t="str">
        <x:v>https://www.forafinancial.com/loans-and-financing/term-loans/</x:v>
      </x:c>
      <x:c r="AA14" s="25" t="str">
        <x:v>Official product, guarantee and baseline criteria verified; noted internal age inconsistency</x:v>
      </x:c>
      <x:c r="AB14" s="3" t="str">
        <x:v>Existing CapitalForge research, newly screened for this campaign</x:v>
      </x:c>
      <x:c r="AC14" s="3" t="str">
        <x:v>unverified</x:v>
      </x:c>
      <x:c r="AD14" s="3" t="str">
        <x:v>Not contacted / unconfirmed</x:v>
      </x:c>
      <x:c r="AE14" s="3" t="str">
        <x:v>No</x:v>
      </x:c>
      <x:c r="AF14" s="3" t="str">
        <x:v>No</x:v>
      </x:c>
      <x:c r="AG14" s="3" t="str">
        <x:v>Kajsa Garrett</x:v>
      </x:c>
      <x:c r="AH14" s="3" t="str">
        <x:v>Fora Financial</x:v>
      </x:c>
      <x:c r="AI14" s="18"/>
      <x:c r="AJ14" s="3" t="str">
        <x:v>CF2500-AE8988498FD2</x:v>
      </x:c>
      <x:c r="AK14" s="3" t="str">
        <x:v>Business term loan; separately small-business loan/revenue advance</x:v>
      </x:c>
      <x:c r="AL14" s="19" t="n">
        <x:v>100000</x:v>
      </x:c>
      <x:c r="AM14" s="19" t="n">
        <x:v>500000</x:v>
      </x:c>
      <x:c r="AN14" s="3" t="str">
        <x:v>https://www.forafinancial.com/loans-and-financing/term-loans/</x:v>
      </x:c>
      <x:c r="AO14" s="3" t="str">
        <x:v>trial_capital_directory.jsonl</x:v>
      </x:c>
      <x:c r="AP14" s="19"/>
    </x:row>
    <x:row r="15" ht="36" customHeight="1">
      <x:c r="A15" s="23" t="n">
        <x:v>14</x:v>
      </x:c>
      <x:c r="B15" s="15" t="str">
        <x:v>Headway Capital</x:v>
      </x:c>
      <x:c r="C15" s="15"/>
      <x:c r="D15" s="15" t="str">
        <x:v>True Line of Credit; OnDeck-affiliated application route</x:v>
      </x:c>
      <x:c r="E15" s="15" t="str">
        <x:v>Reviewed trial-capital route</x:v>
      </x:c>
      <x:c r="F15" s="17" t="str">
        <x:v>New</x:v>
      </x:c>
      <x:c r="G15" s="24"/>
      <x:c r="H15" s="24" t="str">
        <x:v>+18666988494</x:v>
      </x:c>
      <x:c r="I15" s="24" t="str">
        <x:v>https://www.headwaycapital.com/line-of-credit</x:v>
      </x:c>
      <x:c r="J15" s="16"/>
      <x:c r="K15" s="16"/>
      <x:c r="L15" s="16" t="str">
        <x:v>firm_business_routing</x:v>
      </x:c>
      <x:c r="M15" s="16" t="str">
        <x:v>https://www.headwaycapital.com/line-of-credit</x:v>
      </x:c>
      <x:c r="N15" s="16" t="str">
        <x:v>Published source range; proposed allocation and structure require confirmation</x:v>
      </x:c>
      <x:c r="O15" s="20" t="n">
        <x:v>5000</x:v>
      </x:c>
      <x:c r="P15" s="20" t="n">
        <x:v>100000</x:v>
      </x:c>
      <x:c r="Q15" s="25" t="str">
        <x:v>True Line of Credit; OnDeck-affiliated application route published product range; actual offer subject to underwriting</x:v>
      </x:c>
      <x:c r="R15" s="25" t="str">
        <x:v>Official real estate business page supports working capital while waiting on sales, advertising and employees; wholesaler specifics need confirmation.</x:v>
      </x:c>
      <x:c r="S15" s="25" t="str">
        <x:v>Maximum cap just reaches target minimum; 100000 secured requirement; current Apply Now link routes to OnDeck, so verify brand availability and lender overlap.</x:v>
      </x:c>
      <x:c r="T15" s="25" t="str">
        <x:v>Confirm active origination-business eligibility and actual historical financial thresholds before requesting an offer.</x:v>
      </x:c>
      <x:c r="U15" s="25" t="str">
        <x:v>https://www.headwaycapital.com/line-of-credit
https://www.headwaycapital.com/colorado-small-business-loans
https://www.headwaycapital.com/small-business-loans/real-estate
https://www.headwaycapital.com/about-us</x:v>
      </x:c>
      <x:c r="V15" s="26" t="d">
        <x:v>2026-10-02T00:00:00.000Z</x:v>
      </x:c>
      <x:c r="W15" s="26" t="d">
        <x:v>2026-10-02T00:00:00.000Z</x:v>
      </x:c>
      <x:c r="X15" s="25" t="str">
        <x:v>Saved public company, industry-directory or regulatory source; source date retained</x:v>
      </x:c>
      <x:c r="Y15" s="25"/>
      <x:c r="Z15" s="25" t="str">
        <x:v>https://www.headwaycapital.com/line-of-credit</x:v>
      </x:c>
      <x:c r="AA15" s="25" t="str">
        <x:v>Official product and Colorado state page verified; application routing flagged</x:v>
      </x:c>
      <x:c r="AB15" s="3" t="str">
        <x:v>Existing CapitalForge research, newly screened for this campaign</x:v>
      </x:c>
      <x:c r="AC15" s="3" t="str">
        <x:v>unverified</x:v>
      </x:c>
      <x:c r="AD15" s="3" t="str">
        <x:v>Not contacted / unconfirmed</x:v>
      </x:c>
      <x:c r="AE15" s="3" t="str">
        <x:v>No</x:v>
      </x:c>
      <x:c r="AF15" s="3" t="str">
        <x:v>No</x:v>
      </x:c>
      <x:c r="AG15" s="3"/>
      <x:c r="AH15" s="3"/>
      <x:c r="AI15" s="18"/>
      <x:c r="AJ15" s="3" t="str">
        <x:v>CF2500-5A5AC825A8C3</x:v>
      </x:c>
      <x:c r="AK15" s="3" t="str">
        <x:v>True Line of Credit; OnDeck-affiliated application route</x:v>
      </x:c>
      <x:c r="AL15" s="19" t="n">
        <x:v>100000</x:v>
      </x:c>
      <x:c r="AM15" s="19" t="n">
        <x:v>500000</x:v>
      </x:c>
      <x:c r="AN15" s="3" t="str">
        <x:v>https://www.headwaycapital.com/line-of-credit</x:v>
      </x:c>
      <x:c r="AO15" s="3" t="str">
        <x:v>trial_capital_directory.jsonl</x:v>
      </x:c>
      <x:c r="AP15" s="19"/>
    </x:row>
    <x:row r="16" ht="36" customHeight="1">
      <x:c r="A16" s="23" t="n">
        <x:v>15</x:v>
      </x:c>
      <x:c r="B16" s="15" t="str">
        <x:v>Kapitus / financing network</x:v>
      </x:c>
      <x:c r="C16" s="15"/>
      <x:c r="D16" s="15" t="str">
        <x:v>Operating-business term loan</x:v>
      </x:c>
      <x:c r="E16" s="15" t="str">
        <x:v>Reviewed trial-capital route</x:v>
      </x:c>
      <x:c r="F16" s="17" t="str">
        <x:v>New</x:v>
      </x:c>
      <x:c r="G16" s="24"/>
      <x:c r="H16" s="24" t="str">
        <x:v>+18007807133</x:v>
      </x:c>
      <x:c r="I16" s="24" t="str">
        <x:v>https://kapitus.com/products-services/business-loans/</x:v>
      </x:c>
      <x:c r="J16" s="16"/>
      <x:c r="K16" s="16"/>
      <x:c r="L16" s="16" t="str">
        <x:v>firm_business_routing</x:v>
      </x:c>
      <x:c r="M16" s="16" t="str">
        <x:v>https://kapitus.com/fast-application/</x:v>
      </x:c>
      <x:c r="N16" s="16" t="str">
        <x:v>Published source range; proposed allocation and structure require confirmation</x:v>
      </x:c>
      <x:c r="O16" s="20"/>
      <x:c r="P16" s="20" t="n">
        <x:v>5000000</x:v>
      </x:c>
      <x:c r="Q16" s="25" t="str">
        <x:v>Operating-business term loan published product range; actual offer subject to underwriting</x:v>
      </x:c>
      <x:c r="R16" s="25" t="str">
        <x:v>Operating working capital, hiring and payroll; can compare multiple options through one channel.</x:v>
      </x:c>
      <x:c r="S16" s="25" t="str">
        <x:v>Must have actual revenue/age; accelerated payments may precede trial closings. Direct and network offers may overlap lenders approached elsewhere.</x:v>
      </x:c>
      <x:c r="T16" s="25" t="str">
        <x:v>Confirm active origination-business eligibility and actual historical financial thresholds before requesting an offer.</x:v>
      </x:c>
      <x:c r="U16" s="25" t="str">
        <x:v>https://kapitus.com/products-services/business-loans/
https://kapitus.com/fast-application/
https://kapitus.com/
https://kapitus.com/business-funding/
https://kapitus.com/contact-us/
https://kapitus.com/about-us/
https://kapitus.com/about-us
https://kapitus.com/wp-content/uploads/2019/01/Small-Business-Financing-Checklist_KAPITUS.pdf
https://www.nefassociation.org/wp-content/uploads/2025/06/Q2-2025-Membership-Directory.pdf</x:v>
      </x:c>
      <x:c r="V16" s="26" t="d">
        <x:v>2026-10-02T00:00:00.000Z</x:v>
      </x:c>
      <x:c r="W16" s="26" t="d">
        <x:v>2026-10-02T00:00:00.000Z</x:v>
      </x:c>
      <x:c r="X16" s="25" t="str">
        <x:v>Saved public company, industry-directory or regulatory source; source date retained</x:v>
      </x:c>
      <x:c r="Y16" s="25"/>
      <x:c r="Z16" s="25" t="str">
        <x:v>https://kapitus.com/products-services/business-loans/</x:v>
      </x:c>
      <x:c r="AA16" s="25" t="str">
        <x:v>Official product-specific thresholds verified; alternative Kapitus products have different thresholds</x:v>
      </x:c>
      <x:c r="AB16" s="3" t="str">
        <x:v>Existing CapitalForge research, newly screened for this campaign</x:v>
      </x:c>
      <x:c r="AC16" s="3" t="str">
        <x:v>unverified</x:v>
      </x:c>
      <x:c r="AD16" s="3" t="str">
        <x:v>Not contacted / unconfirmed</x:v>
      </x:c>
      <x:c r="AE16" s="3" t="str">
        <x:v>No</x:v>
      </x:c>
      <x:c r="AF16" s="3" t="str">
        <x:v>No</x:v>
      </x:c>
      <x:c r="AG16" s="3" t="str">
        <x:v>Ben Johnston</x:v>
      </x:c>
      <x:c r="AH16" s="3" t="str">
        <x:v>Kapitus</x:v>
      </x:c>
      <x:c r="AI16" s="18"/>
      <x:c r="AJ16" s="3" t="str">
        <x:v>CF2500-0B64D4F2B792</x:v>
      </x:c>
      <x:c r="AK16" s="3" t="str">
        <x:v>Operating-business term loan</x:v>
      </x:c>
      <x:c r="AL16" s="19" t="n">
        <x:v>100000</x:v>
      </x:c>
      <x:c r="AM16" s="19" t="n">
        <x:v>500000</x:v>
      </x:c>
      <x:c r="AN16" s="3" t="str">
        <x:v>https://kapitus.com/products-services/business-loans/</x:v>
      </x:c>
      <x:c r="AO16" s="3" t="str">
        <x:v>trial_capital_directory.jsonl</x:v>
      </x:c>
      <x:c r="AP16" s="19"/>
    </x:row>
    <x:row r="17" ht="36" customHeight="1">
      <x:c r="A17" s="23" t="n">
        <x:v>16</x:v>
      </x:c>
      <x:c r="B17" s="15" t="str">
        <x:v>Live Oak Bank</x:v>
      </x:c>
      <x:c r="C17" s="15"/>
      <x:c r="D17" s="15" t="str">
        <x:v>Live Oak Express SBA 7(a) Small term loan</x:v>
      </x:c>
      <x:c r="E17" s="15" t="str">
        <x:v>Reviewed trial-capital route</x:v>
      </x:c>
      <x:c r="F17" s="17" t="str">
        <x:v>New</x:v>
      </x:c>
      <x:c r="G17" s="24"/>
      <x:c r="H17" s="24" t="str">
        <x:v>+18665180286</x:v>
      </x:c>
      <x:c r="I17" s="24" t="str">
        <x:v>https://www.liveoak.bank/business-loans/live-oak-express/</x:v>
      </x:c>
      <x:c r="J17" s="16"/>
      <x:c r="K17" s="16"/>
      <x:c r="L17" s="16" t="str">
        <x:v>firm_business_routing</x:v>
      </x:c>
      <x:c r="M17" s="16" t="str">
        <x:v>https://www.liveoak.bank/business-loans/live-oak-express/</x:v>
      </x:c>
      <x:c r="N17" s="16" t="str">
        <x:v>Published source range; proposed allocation and structure require confirmation</x:v>
      </x:c>
      <x:c r="O17" s="20" t="n">
        <x:v>10000</x:v>
      </x:c>
      <x:c r="P17" s="20" t="n">
        <x:v>350000</x:v>
      </x:c>
      <x:c r="Q17" s="25" t="str">
        <x:v>Live Oak Express SBA 7(a) Small term loan published product range; actual offer subject to underwriting</x:v>
      </x:c>
      <x:c r="R17" s="25" t="str">
        <x:v>Working capital and staff hiring explicitly permitted.</x:v>
      </x:c>
      <x:c r="S17" s="25" t="str">
        <x:v>Express cannot purchase/improve real estate or refinance MCA debt. Active wholesale business eligibility is unconfirmed; speculative/passive exclusions require substantive lender review. Do not call SBA approval assured.</x:v>
      </x:c>
      <x:c r="T17" s="25" t="str">
        <x:v>Confirm active origination-business eligibility and actual historical financial thresholds before requesting an offer.</x:v>
      </x:c>
      <x:c r="U17" s="25" t="str">
        <x:v>https://www.liveoak.bank/business-loans/live-oak-express/
https://www.ecfr.gov/current/title-13/section-120.110</x:v>
      </x:c>
      <x:c r="V17" s="26" t="d">
        <x:v>2026-10-02T00:00:00.000Z</x:v>
      </x:c>
      <x:c r="W17" s="26" t="d">
        <x:v>2026-10-02T00:00:00.000Z</x:v>
      </x:c>
      <x:c r="X17" s="25" t="str">
        <x:v>Saved public company, industry-directory or regulatory source; source date retained</x:v>
      </x:c>
      <x:c r="Y17" s="25"/>
      <x:c r="Z17" s="25" t="str">
        <x:v>https://www.liveoak.bank/business-loans/live-oak-express/</x:v>
      </x:c>
      <x:c r="AA17" s="25" t="str">
        <x:v>Official product verified; industry/SBA eligibility unconfirmed</x:v>
      </x:c>
      <x:c r="AB17" s="3" t="str">
        <x:v>Existing CapitalForge research, newly screened for this campaign</x:v>
      </x:c>
      <x:c r="AC17" s="3" t="str">
        <x:v>unverified</x:v>
      </x:c>
      <x:c r="AD17" s="3" t="str">
        <x:v>Not contacted / unconfirmed</x:v>
      </x:c>
      <x:c r="AE17" s="3" t="str">
        <x:v>No</x:v>
      </x:c>
      <x:c r="AF17" s="3" t="str">
        <x:v>No</x:v>
      </x:c>
      <x:c r="AG17" s="3"/>
      <x:c r="AH17" s="3"/>
      <x:c r="AI17" s="18"/>
      <x:c r="AJ17" s="3" t="str">
        <x:v>CF2500-78431609F720</x:v>
      </x:c>
      <x:c r="AK17" s="3" t="str">
        <x:v>Live Oak Express SBA 7(a) Small term loan</x:v>
      </x:c>
      <x:c r="AL17" s="19" t="n">
        <x:v>100000</x:v>
      </x:c>
      <x:c r="AM17" s="19" t="n">
        <x:v>500000</x:v>
      </x:c>
      <x:c r="AN17" s="3" t="str">
        <x:v>https://www.liveoak.bank/business-loans/live-oak-express/</x:v>
      </x:c>
      <x:c r="AO17" s="3" t="str">
        <x:v>trial_capital_directory.jsonl</x:v>
      </x:c>
      <x:c r="AP17" s="19"/>
    </x:row>
    <x:row r="18" ht="36" customHeight="1">
      <x:c r="A18" s="23" t="n">
        <x:v>17</x:v>
      </x:c>
      <x:c r="B18" s="15" t="str">
        <x:v>altLINE / The Southern Bank Company</x:v>
      </x:c>
      <x:c r="C18" s="15"/>
      <x:c r="D18" s="15" t="str">
        <x:v>Invoice factoring or accounts-receivable financing</x:v>
      </x:c>
      <x:c r="E18" s="15" t="str">
        <x:v>Reviewed trial-capital route</x:v>
      </x:c>
      <x:c r="F18" s="17" t="str">
        <x:v>New</x:v>
      </x:c>
      <x:c r="G18" s="24"/>
      <x:c r="H18" s="24" t="str">
        <x:v>+12056070811</x:v>
      </x:c>
      <x:c r="I18" s="24" t="str">
        <x:v>https://altline.sobanco.com/apply/</x:v>
      </x:c>
      <x:c r="J18" s="16"/>
      <x:c r="K18" s="16"/>
      <x:c r="L18" s="16" t="str">
        <x:v>firm_business_routing</x:v>
      </x:c>
      <x:c r="M18" s="16" t="str">
        <x:v>https://altline.sobanco.com/apply/</x:v>
      </x:c>
      <x:c r="N18" s="16" t="str">
        <x:v>Published source range; proposed allocation and structure require confirmation</x:v>
      </x:c>
      <x:c r="O18" s="20" t="n">
        <x:v>30000</x:v>
      </x:c>
      <x:c r="P18" s="20" t="n">
        <x:v>5000000</x:v>
      </x:c>
      <x:c r="Q18" s="25" t="str">
        <x:v>Invoice factoring or accounts-receivable financing published product range; actual offer subject to underwriting</x:v>
      </x:c>
      <x:c r="R18" s="25" t="str">
        <x:v>Potential if 101XVC has a legally earned fee that remains unpaid and a creditworthy obligated payor accepts notice/assignment.</x:v>
      </x:c>
      <x:c r="S18" s="25" t="str">
        <x:v>500 targeted closings and projected assignment fees are not invoices. Fees paid by title at closing may create no useful receivables interval. Customer/payment-obligor, assignability and closing-contingency risk must be accepted by factor.</x:v>
      </x:c>
      <x:c r="T18" s="25" t="str">
        <x:v>Confirm active origination-business eligibility and actual historical financial thresholds before requesting an offer.</x:v>
      </x:c>
      <x:c r="U18" s="25" t="str">
        <x:v>https://altline.sobanco.com/financing-for-your-business/
https://altline.sobanco.com/apply/
https://altline.sobanco.com/invoice-factoring/colorado/</x:v>
      </x:c>
      <x:c r="V18" s="26" t="d">
        <x:v>2026-10-02T00:00:00.000Z</x:v>
      </x:c>
      <x:c r="W18" s="26" t="d">
        <x:v>2026-10-02T00:00:00.000Z</x:v>
      </x:c>
      <x:c r="X18" s="25" t="str">
        <x:v>Saved public company, industry-directory or regulatory source; source date retained</x:v>
      </x:c>
      <x:c r="Y18" s="25"/>
      <x:c r="Z18" s="25" t="str">
        <x:v>https://altline.sobanco.com/financing-for-your-business/</x:v>
      </x:c>
      <x:c r="AA18" s="25" t="str">
        <x:v>Official product parameters verified; no evidence factor accepts this agreement</x:v>
      </x:c>
      <x:c r="AB18" s="3" t="str">
        <x:v>Existing CapitalForge research, newly screened for this campaign</x:v>
      </x:c>
      <x:c r="AC18" s="3" t="str">
        <x:v>unverified</x:v>
      </x:c>
      <x:c r="AD18" s="3" t="str">
        <x:v>Not contacted / unconfirmed</x:v>
      </x:c>
      <x:c r="AE18" s="3" t="str">
        <x:v>No</x:v>
      </x:c>
      <x:c r="AF18" s="3" t="str">
        <x:v>No</x:v>
      </x:c>
      <x:c r="AG18" s="3"/>
      <x:c r="AH18" s="3"/>
      <x:c r="AI18" s="18"/>
      <x:c r="AJ18" s="3" t="str">
        <x:v>CF2500-928F7AE765E7</x:v>
      </x:c>
      <x:c r="AK18" s="3" t="str">
        <x:v>Invoice factoring or accounts-receivable financing</x:v>
      </x:c>
      <x:c r="AL18" s="19" t="n">
        <x:v>100000</x:v>
      </x:c>
      <x:c r="AM18" s="19" t="n">
        <x:v>500000</x:v>
      </x:c>
      <x:c r="AN18" s="3" t="str">
        <x:v>https://altline.sobanco.com/financing-for-your-business/</x:v>
      </x:c>
      <x:c r="AO18" s="3" t="str">
        <x:v>trial_capital_directory.jsonl</x:v>
      </x:c>
      <x:c r="AP18" s="19"/>
    </x:row>
    <x:row r="19" ht="36" customHeight="1">
      <x:c r="A19" s="23" t="n">
        <x:v>18</x:v>
      </x:c>
      <x:c r="B19" s="15" t="str">
        <x:v>American Express National Bank</x:v>
      </x:c>
      <x:c r="C19" s="15"/>
      <x:c r="D19" s="15" t="str">
        <x:v>Business Line of Credit; installment loan per draw</x:v>
      </x:c>
      <x:c r="E19" s="15" t="str">
        <x:v>Reviewed trial-capital route</x:v>
      </x:c>
      <x:c r="F19" s="17" t="str">
        <x:v>New</x:v>
      </x:c>
      <x:c r="G19" s="24"/>
      <x:c r="H19" s="24"/>
      <x:c r="I19" s="24" t="str">
        <x:v>https://www.americanexpress.com/en-us/business/blueprint/help-center/business-line-of-credit/</x:v>
      </x:c>
      <x:c r="J19" s="16"/>
      <x:c r="K19" s="16"/>
      <x:c r="L19" s="16" t="str">
        <x:v>firm_business_routing</x:v>
      </x:c>
      <x:c r="M19" s="16" t="str">
        <x:v>https://www.americanexpress.com/en-us/business/business-line-of-credit/</x:v>
      </x:c>
      <x:c r="N19" s="16" t="str">
        <x:v>Published source range; proposed allocation and structure require confirmation</x:v>
      </x:c>
      <x:c r="O19" s="20" t="n">
        <x:v>2000</x:v>
      </x:c>
      <x:c r="P19" s="20" t="n">
        <x:v>250000</x:v>
      </x:c>
      <x:c r="Q19" s="25" t="str">
        <x:v>Business Line of Credit; installment loan per draw published product range; actual offer subject to underwriting</x:v>
      </x:c>
      <x:c r="R19" s="25" t="str">
        <x:v>Marketing, staffing, technology and ordinary cash-flow expenses are published uses.</x:v>
      </x:c>
      <x:c r="S19" s="25" t="str">
        <x:v>Size based on actual financial profile. Minimum revenue threshold does not imply $100K+ approval. Assets/lien and PG requirements need to align with investor terms.</x:v>
      </x:c>
      <x:c r="T19" s="25" t="str">
        <x:v>Confirm active origination-business eligibility and actual historical financial thresholds before requesting an offer.</x:v>
      </x:c>
      <x:c r="U19" s="25" t="str">
        <x:v>https://www.americanexpress.com/en-us/business/business-line-of-credit/
https://www.americanexpress.com/en-us/business/blueprint/terms-and-conditions/business-line-of-credit/</x:v>
      </x:c>
      <x:c r="V19" s="26" t="d">
        <x:v>2026-10-02T00:00:00.000Z</x:v>
      </x:c>
      <x:c r="W19" s="26" t="d">
        <x:v>2026-10-02T00:00:00.000Z</x:v>
      </x:c>
      <x:c r="X19" s="25" t="str">
        <x:v>Saved public company, industry-directory or regulatory source; source date retained</x:v>
      </x:c>
      <x:c r="Y19" s="25"/>
      <x:c r="Z19" s="25"/>
      <x:c r="AA19" s="25" t="str">
        <x:v>Official amount, eligibility, cost structure and security verified</x:v>
      </x:c>
      <x:c r="AB19" s="3" t="str">
        <x:v>Existing CapitalForge research, newly screened for this campaign</x:v>
      </x:c>
      <x:c r="AC19" s="3" t="str">
        <x:v>unverified</x:v>
      </x:c>
      <x:c r="AD19" s="3" t="str">
        <x:v>Not contacted / unconfirmed</x:v>
      </x:c>
      <x:c r="AE19" s="3" t="str">
        <x:v>No</x:v>
      </x:c>
      <x:c r="AF19" s="3" t="str">
        <x:v>No</x:v>
      </x:c>
      <x:c r="AG19" s="3"/>
      <x:c r="AH19" s="3"/>
      <x:c r="AI19" s="18"/>
      <x:c r="AJ19" s="3" t="str">
        <x:v>CF2500-48D4BC6E284B</x:v>
      </x:c>
      <x:c r="AK19" s="3" t="str">
        <x:v>Business Line of Credit; installment loan per draw</x:v>
      </x:c>
      <x:c r="AL19" s="19" t="n">
        <x:v>100000</x:v>
      </x:c>
      <x:c r="AM19" s="19" t="n">
        <x:v>500000</x:v>
      </x:c>
      <x:c r="AN19" s="3" t="str">
        <x:v>https://www.americanexpress.com/en-us/business/business-line-of-credit/</x:v>
      </x:c>
      <x:c r="AO19" s="3" t="str">
        <x:v>trial_capital_directory.jsonl</x:v>
      </x:c>
      <x:c r="AP19" s="19"/>
    </x:row>
    <x:row r="20" ht="36" customHeight="1">
      <x:c r="A20" s="23" t="n">
        <x:v>19</x:v>
      </x:c>
      <x:c r="B20" s="15" t="str">
        <x:v>Bank of America</x:v>
      </x:c>
      <x:c r="C20" s="15"/>
      <x:c r="D20" s="15" t="str">
        <x:v>Business Advantage unsecured revolving line</x:v>
      </x:c>
      <x:c r="E20" s="15" t="str">
        <x:v>Reviewed trial-capital route</x:v>
      </x:c>
      <x:c r="F20" s="17" t="str">
        <x:v>New</x:v>
      </x:c>
      <x:c r="G20" s="24"/>
      <x:c r="H20" s="24"/>
      <x:c r="I20" s="24" t="str">
        <x:v>https://business.bankofamerica.com/en/business-loans/unsecured-line-of-credit</x:v>
      </x:c>
      <x:c r="J20" s="16"/>
      <x:c r="K20" s="16"/>
      <x:c r="L20" s="16" t="str">
        <x:v>firm_business_routing</x:v>
      </x:c>
      <x:c r="M20" s="16" t="str">
        <x:v>https://business.bankofamerica.com/en/business-loans/unsecured-line-of-credit</x:v>
      </x:c>
      <x:c r="N20" s="16" t="str">
        <x:v>Published source range; proposed allocation and structure require confirmation</x:v>
      </x:c>
      <x:c r="O20" s="20" t="n">
        <x:v>10000</x:v>
      </x:c>
      <x:c r="P20" s="20" t="n">
        <x:v>250000</x:v>
      </x:c>
      <x:c r="Q20" s="25" t="str">
        <x:v>Business Advantage unsecured revolving line published product range; actual offer subject to underwriting</x:v>
      </x:c>
      <x:c r="R20" s="25" t="str">
        <x:v>Revolving working capital for payables/receivables gaps.</x:v>
      </x:c>
      <x:c r="S20" s="25" t="str">
        <x:v>Cannot substitute future trial projection for prior-year revenue. Full $500K outside this named product; operating cash flow and wholesale classification reviewed.</x:v>
      </x:c>
      <x:c r="T20" s="25" t="str">
        <x:v>Confirm active origination-business eligibility and actual historical financial thresholds before requesting an offer.</x:v>
      </x:c>
      <x:c r="U20" s="25" t="str">
        <x:v>https://business.bankofamerica.com/en/business-loans/unsecured-line-of-credit</x:v>
      </x:c>
      <x:c r="V20" s="26" t="d">
        <x:v>2026-10-02T00:00:00.000Z</x:v>
      </x:c>
      <x:c r="W20" s="26" t="d">
        <x:v>2026-10-02T00:00:00.000Z</x:v>
      </x:c>
      <x:c r="X20" s="25" t="str">
        <x:v>Saved public company, industry-directory or regulatory source; source date retained</x:v>
      </x:c>
      <x:c r="Y20" s="25"/>
      <x:c r="Z20" s="25"/>
      <x:c r="AA20" s="25" t="str">
        <x:v>Official current product amount and minimum criteria verified</x:v>
      </x:c>
      <x:c r="AB20" s="3" t="str">
        <x:v>Existing CapitalForge research, newly screened for this campaign</x:v>
      </x:c>
      <x:c r="AC20" s="3" t="str">
        <x:v>unverified</x:v>
      </x:c>
      <x:c r="AD20" s="3" t="str">
        <x:v>Not contacted / unconfirmed</x:v>
      </x:c>
      <x:c r="AE20" s="3" t="str">
        <x:v>No</x:v>
      </x:c>
      <x:c r="AF20" s="3" t="str">
        <x:v>No</x:v>
      </x:c>
      <x:c r="AG20" s="3"/>
      <x:c r="AH20" s="3"/>
      <x:c r="AI20" s="18"/>
      <x:c r="AJ20" s="3" t="str">
        <x:v>CF2500-3EA6C852484B</x:v>
      </x:c>
      <x:c r="AK20" s="3" t="str">
        <x:v>Business Advantage unsecured revolving line</x:v>
      </x:c>
      <x:c r="AL20" s="19" t="n">
        <x:v>100000</x:v>
      </x:c>
      <x:c r="AM20" s="19" t="n">
        <x:v>500000</x:v>
      </x:c>
      <x:c r="AN20" s="3" t="str">
        <x:v>https://business.bankofamerica.com/en/business-loans/unsecured-line-of-credit</x:v>
      </x:c>
      <x:c r="AO20" s="3" t="str">
        <x:v>trial_capital_directory.jsonl</x:v>
      </x:c>
      <x:c r="AP20" s="19"/>
    </x:row>
    <x:row r="21" ht="36" customHeight="1">
      <x:c r="A21" s="23" t="n">
        <x:v>20</x:v>
      </x:c>
      <x:c r="B21" s="15" t="str">
        <x:v>Bluevine / Celtic Bank</x:v>
      </x:c>
      <x:c r="C21" s="15"/>
      <x:c r="D21" s="15" t="str">
        <x:v>Revolving operating line; partner term-loan referral</x:v>
      </x:c>
      <x:c r="E21" s="15" t="str">
        <x:v>Reviewed trial-capital route</x:v>
      </x:c>
      <x:c r="F21" s="17" t="str">
        <x:v>New</x:v>
      </x:c>
      <x:c r="G21" s="24"/>
      <x:c r="H21" s="24"/>
      <x:c r="I21" s="24" t="str">
        <x:v>https://www.bluevine.com/contact-us</x:v>
      </x:c>
      <x:c r="J21" s="16"/>
      <x:c r="K21" s="16"/>
      <x:c r="L21" s="16" t="str">
        <x:v>firm_business_routing</x:v>
      </x:c>
      <x:c r="M21" s="16" t="str">
        <x:v>https://www.bluevine.com/business-loans/line-of-credit</x:v>
      </x:c>
      <x:c r="N21" s="16" t="str">
        <x:v>Published source range; proposed allocation and structure require confirmation</x:v>
      </x:c>
      <x:c r="O21" s="20"/>
      <x:c r="P21" s="20" t="n">
        <x:v>250000</x:v>
      </x:c>
      <x:c r="Q21" s="25" t="str">
        <x:v>Revolving operating line; partner term-loan referral published product range; actual offer subject to underwriting</x:v>
      </x:c>
      <x:c r="R21" s="25" t="str">
        <x:v>Recurring marketing and acquisition execution costs; draw only as needed.</x:v>
      </x:c>
      <x:c r="S21" s="25" t="str">
        <x:v>Projection is not historical deposits. Financial institutions/lenders excluded, so accurately describe active real estate origination model and disclose any investment/lending activities. Maximum line requires strongest profiles.</x:v>
      </x:c>
      <x:c r="T21" s="25" t="str">
        <x:v>Confirm active origination-business eligibility and actual historical financial thresholds before requesting an offer.</x:v>
      </x:c>
      <x:c r="U21" s="25" t="str">
        <x:v>https://www.bluevine.com/business-loans/line-of-credit
https://www.bluevine.com/contact-us
https://www.bluevine.com/business-loans/term-loan
https://www.privatelendersdirectory.com/united-states/jersey-city/business-lending/bluevine
https://www.bluevine.com/</x:v>
      </x:c>
      <x:c r="V21" s="26" t="d">
        <x:v>2026-10-02T00:00:00.000Z</x:v>
      </x:c>
      <x:c r="W21" s="26" t="d">
        <x:v>2026-10-02T00:00:00.000Z</x:v>
      </x:c>
      <x:c r="X21" s="25" t="str">
        <x:v>Saved public company, industry-directory or regulatory source; source date retained</x:v>
      </x:c>
      <x:c r="Y21" s="25"/>
      <x:c r="Z21" s="25"/>
      <x:c r="AA21" s="25" t="str">
        <x:v>Official current amount/requirements verified; partner products have separate underwriting</x:v>
      </x:c>
      <x:c r="AB21" s="3" t="str">
        <x:v>Existing CapitalForge research, newly screened for this campaign</x:v>
      </x:c>
      <x:c r="AC21" s="3" t="str">
        <x:v>unverified</x:v>
      </x:c>
      <x:c r="AD21" s="3" t="str">
        <x:v>Not contacted / unconfirmed</x:v>
      </x:c>
      <x:c r="AE21" s="3" t="str">
        <x:v>No</x:v>
      </x:c>
      <x:c r="AF21" s="3" t="str">
        <x:v>No</x:v>
      </x:c>
      <x:c r="AG21" s="3"/>
      <x:c r="AH21" s="3" t="str">
        <x:v>BLUEVINE; Bluevine - partner term loan channel</x:v>
      </x:c>
      <x:c r="AI21" s="18"/>
      <x:c r="AJ21" s="3" t="str">
        <x:v>CF2500-E92FFD5E5225</x:v>
      </x:c>
      <x:c r="AK21" s="3" t="str">
        <x:v>Revolving operating line; partner term-loan referral</x:v>
      </x:c>
      <x:c r="AL21" s="19" t="n">
        <x:v>100000</x:v>
      </x:c>
      <x:c r="AM21" s="19" t="n">
        <x:v>500000</x:v>
      </x:c>
      <x:c r="AN21" s="3" t="str">
        <x:v>https://www.bluevine.com/business-loans/line-of-credit</x:v>
      </x:c>
      <x:c r="AO21" s="3" t="str">
        <x:v>trial_capital_directory.jsonl</x:v>
      </x:c>
      <x:c r="AP21" s="19"/>
    </x:row>
    <x:row r="22" ht="36" customHeight="1">
      <x:c r="A22" s="23" t="n">
        <x:v>21</x:v>
      </x:c>
      <x:c r="B22" s="15" t="str">
        <x:v>Brownhelm Capital</x:v>
      </x:c>
      <x:c r="C22" s="15"/>
      <x:c r="D22" s="15" t="str">
        <x:v>Direct family capital</x:v>
      </x:c>
      <x:c r="E22" s="15" t="str">
        <x:v>Reviewed trial-capital route</x:v>
      </x:c>
      <x:c r="F22" s="17" t="str">
        <x:v>New</x:v>
      </x:c>
      <x:c r="G22" s="24"/>
      <x:c r="H22" s="24"/>
      <x:c r="I22" s="24" t="str">
        <x:v>https://www.brownhelmcapital.com/</x:v>
      </x:c>
      <x:c r="J22" s="16"/>
      <x:c r="K22" s="16"/>
      <x:c r="L22" s="16" t="str">
        <x:v>firm_business_routing</x:v>
      </x:c>
      <x:c r="M22" s="16" t="str">
        <x:v>https://www.brownhelmcapital.com/contact/</x:v>
      </x:c>
      <x:c r="N22" s="16" t="str">
        <x:v>$100K-$500K ticket not published / unconfirmed</x:v>
      </x:c>
      <x:c r="O22" s="20"/>
      <x:c r="P22" s="20"/>
      <x:c r="Q22" s="25" t="str">
        <x:v>No published investment ticket found. A $100K-$500K inquiry is proposed, not a verified mandate.</x:v>
      </x:c>
      <x:c r="R22" s="25" t="str">
        <x:v>Current official criteria include financial-services and real-estate direct operating companies; explicitly supports working capital and growth, both minority and majority ownership, and early-stage through mature businesses.</x:v>
      </x:c>
      <x:c r="S22" s="25" t="str">
        <x:v>Current specific sector examples emphasize RIAs, broker dealers, asset managers and financial-services vendors; the current fetched criteria do not explicitly list real-estate service providers. No ticket, ownership percentage, minimum revenue or willingness to finance this contract verified.</x:v>
      </x:c>
      <x:c r="T22" s="25" t="str">
        <x:v>Use official investment-opportunity contact form addressed to Max Weber; ask whether a $100K-$500K minority investment in an origination/disposition services company fits.</x:v>
      </x:c>
      <x:c r="U22" s="25" t="str">
        <x:v>https://www.brownhelmcapital.com/investment-criteria/
https://www.brownhelmcapital.com/contact/
https://www.brownhelmcapital.com/team/</x:v>
      </x:c>
      <x:c r="V22" s="26" t="d">
        <x:v>2026-10-02T00:00:00.000Z</x:v>
      </x:c>
      <x:c r="W22" s="26" t="d">
        <x:v>2026-10-02T00:00:00.000Z</x:v>
      </x:c>
      <x:c r="X22" s="25" t="str">
        <x:v>Saved public company, industry-directory or regulatory source; source date retained</x:v>
      </x:c>
      <x:c r="Y22" s="25"/>
      <x:c r="Z22" s="25"/>
      <x:c r="AA22" s="25" t="str">
        <x:v>Direct investments financial-services/real-estate; minority/majority; working-capital support; early stage to mature.; Named investment contact Max Weber and inquiry form.; Max Weber current title.</x:v>
      </x:c>
      <x:c r="AB22" s="3" t="str">
        <x:v>Existing CapitalForge research, newly screened for this campaign</x:v>
      </x:c>
      <x:c r="AC22" s="3" t="str">
        <x:v>unverified</x:v>
      </x:c>
      <x:c r="AD22" s="3" t="str">
        <x:v>Not contacted / unconfirmed</x:v>
      </x:c>
      <x:c r="AE22" s="3" t="str">
        <x:v>No</x:v>
      </x:c>
      <x:c r="AF22" s="3" t="str">
        <x:v>No</x:v>
      </x:c>
      <x:c r="AG22" s="3"/>
      <x:c r="AH22" s="3"/>
      <x:c r="AI22" s="18"/>
      <x:c r="AJ22" s="3" t="str">
        <x:v>CF2500-2A0089FF8280</x:v>
      </x:c>
      <x:c r="AK22" s="3" t="str">
        <x:v>Operating-company minority equity or flexible capital</x:v>
      </x:c>
      <x:c r="AL22" s="19" t="n">
        <x:v>100000</x:v>
      </x:c>
      <x:c r="AM22" s="19" t="n">
        <x:v>500000</x:v>
      </x:c>
      <x:c r="AN22" s="3" t="str">
        <x:v>https://www.brownhelmcapital.com/investment-criteria/</x:v>
      </x:c>
      <x:c r="AO22" s="3" t="str">
        <x:v>trial_capital_directory.jsonl</x:v>
      </x:c>
      <x:c r="AP22" s="19"/>
    </x:row>
    <x:row r="23" ht="36" customHeight="1">
      <x:c r="A23" s="23" t="n">
        <x:v>22</x:v>
      </x:c>
      <x:c r="B23" s="15" t="str">
        <x:v>Denver Ventures</x:v>
      </x:c>
      <x:c r="C23" s="15"/>
      <x:c r="D23" s="15" t="str">
        <x:v>Seed venture fund and syndication platform</x:v>
      </x:c>
      <x:c r="E23" s="15" t="str">
        <x:v>Reviewed trial-capital route</x:v>
      </x:c>
      <x:c r="F23" s="17" t="str">
        <x:v>New</x:v>
      </x:c>
      <x:c r="G23" s="24"/>
      <x:c r="H23" s="24"/>
      <x:c r="I23" s="24" t="str">
        <x:v>https://denverventures.co/</x:v>
      </x:c>
      <x:c r="J23" s="16"/>
      <x:c r="K23" s="16"/>
      <x:c r="L23" s="16" t="str">
        <x:v>firm_business_routing</x:v>
      </x:c>
      <x:c r="M23" s="16" t="str">
        <x:v>https://share.hsforms.com/18oAK_u6ZT360l9UK307NQw4oqmj</x:v>
      </x:c>
      <x:c r="N23" s="16" t="str">
        <x:v>Published source range; proposed allocation and structure require confirmation</x:v>
      </x:c>
      <x:c r="O23" s="20" t="n">
        <x:v>250000</x:v>
      </x:c>
      <x:c r="P23" s="20" t="n">
        <x:v>800000</x:v>
      </x:c>
      <x:c r="Q23" s="25" t="str">
        <x:v>Published seed-fund investment $250K-$800K; requested $250K-$500K overlaps.</x:v>
      </x:c>
      <x:c r="R23" s="25" t="str">
        <x:v>Denver investor ecosystem, nationwide seed investments, and published seed check overlaps the raise.</x:v>
      </x:c>
      <x:c r="S23" s="25" t="str">
        <x:v>Official seed focus TECHNOLOGY STARTUPS. Owning internal underwriting tools alone is not proof of venture-scalable company fit; request funds marketing/services execution does not automatically satisfy thesis. Avoid duplicate counting predecessor Denver Angels as independent fund.</x:v>
      </x:c>
      <x:c r="T23" s="25" t="str">
        <x:v>Apply through official Raise Capital form if defensible scalable platform thesis and current traction are demonstrated.</x:v>
      </x:c>
      <x:c r="U23" s="25" t="str">
        <x:v>https://denverventures.co/
https://share.hsforms.com/18oAK_u6ZT360l9UK307NQw4oqmj</x:v>
      </x:c>
      <x:c r="V23" s="26" t="d">
        <x:v>2026-10-02T00:00:00.000Z</x:v>
      </x:c>
      <x:c r="W23" s="26" t="d">
        <x:v>2026-10-02T00:00:00.000Z</x:v>
      </x:c>
      <x:c r="X23" s="25" t="str">
        <x:v>Saved public company, industry-directory or regulatory source; source date retained</x:v>
      </x:c>
      <x:c r="Y23" s="25"/>
      <x:c r="Z23" s="25"/>
      <x:c r="AA23" s="25" t="str">
        <x:v>$250K-$800K seed technology startups US; Amy Brandenburg and David Gold current roles.; Official homepage-linked Raise Capital form.</x:v>
      </x:c>
      <x:c r="AB23" s="3" t="str">
        <x:v>Existing CapitalForge research, newly screened for this campaign</x:v>
      </x:c>
      <x:c r="AC23" s="3" t="str">
        <x:v>unverified</x:v>
      </x:c>
      <x:c r="AD23" s="3" t="str">
        <x:v>Not contacted / unconfirmed</x:v>
      </x:c>
      <x:c r="AE23" s="3" t="str">
        <x:v>No</x:v>
      </x:c>
      <x:c r="AF23" s="3" t="str">
        <x:v>No</x:v>
      </x:c>
      <x:c r="AG23" s="3"/>
      <x:c r="AH23" s="3"/>
      <x:c r="AI23" s="18"/>
      <x:c r="AJ23" s="3" t="str">
        <x:v>CF2500-61DCA59F11A8</x:v>
      </x:c>
      <x:c r="AK23" s="3" t="str">
        <x:v>Technology-company seed equity</x:v>
      </x:c>
      <x:c r="AL23" s="19" t="n">
        <x:v>100000</x:v>
      </x:c>
      <x:c r="AM23" s="19" t="n">
        <x:v>500000</x:v>
      </x:c>
      <x:c r="AN23" s="3" t="str">
        <x:v>https://denverventures.co/</x:v>
      </x:c>
      <x:c r="AO23" s="3" t="str">
        <x:v>trial_capital_directory.jsonl</x:v>
      </x:c>
      <x:c r="AP23" s="19"/>
    </x:row>
    <x:row r="24" ht="36" customHeight="1">
      <x:c r="A24" s="23" t="n">
        <x:v>23</x:v>
      </x:c>
      <x:c r="B24" s="15" t="str">
        <x:v>GEM Ventures</x:v>
      </x:c>
      <x:c r="C24" s="15"/>
      <x:c r="D24" s="15" t="str">
        <x:v>Proptech operator-investor syndicate</x:v>
      </x:c>
      <x:c r="E24" s="15" t="str">
        <x:v>Reviewed trial-capital route</x:v>
      </x:c>
      <x:c r="F24" s="17" t="str">
        <x:v>New</x:v>
      </x:c>
      <x:c r="G24" s="24"/>
      <x:c r="H24" s="24"/>
      <x:c r="I24" s="24" t="str">
        <x:v>https://gem-ventures.co/</x:v>
      </x:c>
      <x:c r="J24" s="16"/>
      <x:c r="K24" s="16"/>
      <x:c r="L24" s="16" t="str">
        <x:v>firm_business_routing</x:v>
      </x:c>
      <x:c r="M24" s="16" t="str">
        <x:v>https://gem-ventures.co/</x:v>
      </x:c>
      <x:c r="N24" s="16" t="str">
        <x:v>Published source range; proposed allocation and structure require confirmation</x:v>
      </x:c>
      <x:c r="O24" s="20" t="n">
        <x:v>100000</x:v>
      </x:c>
      <x:c r="P24" s="20"/>
      <x:c r="Q24" s="25" t="str">
        <x:v>Published checks START at $100K; no published upper limit or assurance of $500K investment.</x:v>
      </x:c>
      <x:c r="R24" s="25" t="str">
        <x:v>Operator group with residential real-estate technology and brokerage relationships; comfortable first check or leading a round, syndicate gives one cap-table entry.</x:v>
      </x:c>
      <x:c r="S24" s="25" t="str">
        <x:v>Pre-seed/seed proptech/innovation in housing and construction. Relationship-earned deal flow, collective diligence, not urgent guaranteed deployment. Specific investing thesis includes homeownership, search, resilient housing and building homes; wholesale-service working capital fit unconfirmed.</x:v>
      </x:c>
      <x:c r="T24" s="25" t="str">
        <x:v>Use Apply for Funding entry on homepage (Airtable link also linked by official founder blog) with technology/marketplace case, then qualify $100K-$500K intended allocation.</x:v>
      </x:c>
      <x:c r="U24" s="25" t="str">
        <x:v>https://gem-ventures.co/
https://geekestateblog.com/shining-a-light-on-gem-ventures/</x:v>
      </x:c>
      <x:c r="V24" s="26" t="d">
        <x:v>2026-10-02T00:00:00.000Z</x:v>
      </x:c>
      <x:c r="W24" s="26" t="d">
        <x:v>2026-10-02T00:00:00.000Z</x:v>
      </x:c>
      <x:c r="X24" s="25" t="str">
        <x:v>Saved public company, industry-directory or regulatory source; source date retained</x:v>
      </x:c>
      <x:c r="Y24" s="25"/>
      <x:c r="Z24" s="25"/>
      <x:c r="AA24" s="25" t="str">
        <x:v>$100K+ pre-seed/seed syndicate; partner names; thesis; apply funding.; Founder-owned April 2026 post links application and invites partner inquiries.</x:v>
      </x:c>
      <x:c r="AB24" s="3" t="str">
        <x:v>Existing CapitalForge research, newly screened for this campaign</x:v>
      </x:c>
      <x:c r="AC24" s="3" t="str">
        <x:v>unverified</x:v>
      </x:c>
      <x:c r="AD24" s="3" t="str">
        <x:v>Not contacted / unconfirmed</x:v>
      </x:c>
      <x:c r="AE24" s="3" t="str">
        <x:v>No</x:v>
      </x:c>
      <x:c r="AF24" s="3" t="str">
        <x:v>No</x:v>
      </x:c>
      <x:c r="AG24" s="3"/>
      <x:c r="AH24" s="3"/>
      <x:c r="AI24" s="18"/>
      <x:c r="AJ24" s="3" t="str">
        <x:v>CF2500-C61334FDA758</x:v>
      </x:c>
      <x:c r="AK24" s="3" t="str">
        <x:v>Pre-seed/seed company equity</x:v>
      </x:c>
      <x:c r="AL24" s="19" t="n">
        <x:v>100000</x:v>
      </x:c>
      <x:c r="AM24" s="19" t="n">
        <x:v>500000</x:v>
      </x:c>
      <x:c r="AN24" s="3" t="str">
        <x:v>https://gem-ventures.co/</x:v>
      </x:c>
      <x:c r="AO24" s="3" t="str">
        <x:v>trial_capital_directory.jsonl</x:v>
      </x:c>
      <x:c r="AP24" s="19"/>
    </x:row>
    <x:row r="25" ht="36" customHeight="1">
      <x:c r="A25" s="23" t="n">
        <x:v>24</x:v>
      </x:c>
      <x:c r="B25" s="15" t="str">
        <x:v>LAB Ventures</x:v>
      </x:c>
      <x:c r="C25" s="15"/>
      <x:c r="D25" s="15" t="str">
        <x:v>Proptech seed venture capital</x:v>
      </x:c>
      <x:c r="E25" s="15" t="str">
        <x:v>Reviewed trial-capital route</x:v>
      </x:c>
      <x:c r="F25" s="17" t="str">
        <x:v>New</x:v>
      </x:c>
      <x:c r="G25" s="24"/>
      <x:c r="H25" s="24"/>
      <x:c r="I25" s="24" t="str">
        <x:v>https://www.labventures.co/</x:v>
      </x:c>
      <x:c r="J25" s="16"/>
      <x:c r="K25" s="16"/>
      <x:c r="L25" s="16" t="str">
        <x:v>firm_business_routing</x:v>
      </x:c>
      <x:c r="M25" s="16" t="str">
        <x:v>https://www.labventures.co/proptech-fund-startups</x:v>
      </x:c>
      <x:c r="N25" s="16" t="str">
        <x:v>Published source range; proposed allocation and structure require confirmation</x:v>
      </x:c>
      <x:c r="O25" s="20" t="n">
        <x:v>100000</x:v>
      </x:c>
      <x:c r="P25" s="20" t="n">
        <x:v>250000</x:v>
      </x:c>
      <x:c r="Q25" s="25" t="str">
        <x:v>Current published typical INITIAL investment $100K-$250K, usually as part of a larger round. Old 2021 $100K-$500K range superseded by current criteria.</x:v>
      </x:c>
      <x:c r="R25" s="25" t="str">
        <x:v>Real-estate/construction focus and operator-rich investor network; portfolio includes residential brokerage/transaction businesses, but investments still require a commercially available technology product and proof of product-market fit.</x:v>
      </x:c>
      <x:c r="S25" s="25" t="str">
        <x:v>Prefers software, recurring revenue and enterprise over consumer. Funding wholesale marketing operations alone is not verified mandate. Seed/Series A, most US-focused; larger historical investments not proof of current $500K initial check.</x:v>
      </x:c>
      <x:c r="T25" s="25" t="str">
        <x:v>Submit PDF pitch through official form only if technology-led operating platform/product fit can be demonstrated; propose $100K-$250K co-investment within $500K round.</x:v>
      </x:c>
      <x:c r="U25" s="25" t="str">
        <x:v>https://www.labventures.co/proptech-fund-startups
https://www.labventures.co/about</x:v>
      </x:c>
      <x:c r="V25" s="26" t="d">
        <x:v>2026-10-02T00:00:00.000Z</x:v>
      </x:c>
      <x:c r="W25" s="26" t="d">
        <x:v>2026-10-02T00:00:00.000Z</x:v>
      </x:c>
      <x:c r="X25" s="25" t="str">
        <x:v>Saved public company, industry-directory or regulatory source; source date retained</x:v>
      </x:c>
      <x:c r="Y25" s="25"/>
      <x:c r="Z25" s="25"/>
      <x:c r="AA25" s="25" t="str">
        <x:v>$100K-$250K initial; technology/product/PMF; software/recurring preference; form.; Tigre Wenrich and Rafael Valdivia Managing Partners.</x:v>
      </x:c>
      <x:c r="AB25" s="3" t="str">
        <x:v>Existing CapitalForge research, newly screened for this campaign</x:v>
      </x:c>
      <x:c r="AC25" s="3" t="str">
        <x:v>unverified</x:v>
      </x:c>
      <x:c r="AD25" s="3" t="str">
        <x:v>Not contacted / unconfirmed</x:v>
      </x:c>
      <x:c r="AE25" s="3" t="str">
        <x:v>No</x:v>
      </x:c>
      <x:c r="AF25" s="3" t="str">
        <x:v>No</x:v>
      </x:c>
      <x:c r="AG25" s="3"/>
      <x:c r="AH25" s="3"/>
      <x:c r="AI25" s="18"/>
      <x:c r="AJ25" s="3" t="str">
        <x:v>CF2500-2BF3DAA9C8F7</x:v>
      </x:c>
      <x:c r="AK25" s="3" t="str">
        <x:v>Technology-company seed equity</x:v>
      </x:c>
      <x:c r="AL25" s="19" t="n">
        <x:v>100000</x:v>
      </x:c>
      <x:c r="AM25" s="19" t="n">
        <x:v>500000</x:v>
      </x:c>
      <x:c r="AN25" s="3" t="str">
        <x:v>https://www.labventures.co/proptech-fund-startups</x:v>
      </x:c>
      <x:c r="AO25" s="3" t="str">
        <x:v>trial_capital_directory.jsonl</x:v>
      </x:c>
      <x:c r="AP25" s="19"/>
    </x:row>
    <x:row r="26" ht="36" customHeight="1">
      <x:c r="A26" s="23" t="n">
        <x:v>25</x:v>
      </x:c>
      <x:c r="B26" s="15" t="str">
        <x:v>New York Angels</x:v>
      </x:c>
      <x:c r="C26" s="15"/>
      <x:c r="D26" s="15" t="str">
        <x:v>Angel member syndicate</x:v>
      </x:c>
      <x:c r="E26" s="15" t="str">
        <x:v>Reviewed trial-capital route</x:v>
      </x:c>
      <x:c r="F26" s="17" t="str">
        <x:v>New</x:v>
      </x:c>
      <x:c r="G26" s="24"/>
      <x:c r="H26" s="24"/>
      <x:c r="I26" s="24" t="str">
        <x:v>https://www.newyorkangels.com/</x:v>
      </x:c>
      <x:c r="J26" s="16"/>
      <x:c r="K26" s="16"/>
      <x:c r="L26" s="16" t="str">
        <x:v>firm_business_routing</x:v>
      </x:c>
      <x:c r="M26" s="16" t="str">
        <x:v>https://gust.com/organizations/new-york-angels/public_profile</x:v>
      </x:c>
      <x:c r="N26" s="16" t="str">
        <x:v>Published source range; proposed allocation and structure require confirmation</x:v>
      </x:c>
      <x:c r="O26" s="20" t="n">
        <x:v>100000</x:v>
      </x:c>
      <x:c r="P26" s="20" t="n">
        <x:v>1500000</x:v>
      </x:c>
      <x:c r="Q26" s="25" t="str">
        <x:v>Published aggregate member investment $100K-$1.5M per deal, not an individual check policy.</x:v>
      </x:c>
      <x:c r="R26" s="25" t="str">
        <x:v>Broad early-stage industry scope and national/international reach could syndicate $100K-$500K within the company round.</x:v>
      </x:c>
      <x:c r="S26" s="25" t="str">
        <x:v>Needs scalable early-stage company thesis; wholesale operating expenditure alone is weaker venture fit. No allocation, exact ownership or current interest verified.</x:v>
      </x:c>
      <x:c r="T26" s="25" t="str">
        <x:v>Use official Gust application with full company case and financing model; qualify operating-services acceptance early.</x:v>
      </x:c>
      <x:c r="U26" s="25" t="str">
        <x:v>https://www.newyorkangels.com/entrepreneurs
https://www.newyorkangels.com/managing-team-board</x:v>
      </x:c>
      <x:c r="V26" s="26" t="d">
        <x:v>2026-10-02T00:00:00.000Z</x:v>
      </x:c>
      <x:c r="W26" s="26" t="d">
        <x:v>2026-10-02T00:00:00.000Z</x:v>
      </x:c>
      <x:c r="X26" s="25" t="str">
        <x:v>Saved public company, industry-directory or regulatory source; source date retained</x:v>
      </x:c>
      <x:c r="Y26" s="25"/>
      <x:c r="Z26" s="25"/>
      <x:c r="AA26" s="25" t="str">
        <x:v>Subagent verified $100K-$1.5M aggregate per deal and broad industries/geography.; Subagent verified current leadership.</x:v>
      </x:c>
      <x:c r="AB26" s="3" t="str">
        <x:v>Existing CapitalForge research, newly screened for this campaign</x:v>
      </x:c>
      <x:c r="AC26" s="3" t="str">
        <x:v>unverified</x:v>
      </x:c>
      <x:c r="AD26" s="3" t="str">
        <x:v>Not contacted / unconfirmed</x:v>
      </x:c>
      <x:c r="AE26" s="3" t="str">
        <x:v>No</x:v>
      </x:c>
      <x:c r="AF26" s="3" t="str">
        <x:v>No</x:v>
      </x:c>
      <x:c r="AG26" s="3"/>
      <x:c r="AH26" s="3"/>
      <x:c r="AI26" s="18"/>
      <x:c r="AJ26" s="3" t="str">
        <x:v>CF2500-DAF3BF541CEA</x:v>
      </x:c>
      <x:c r="AK26" s="3" t="str">
        <x:v>Early-stage company equity</x:v>
      </x:c>
      <x:c r="AL26" s="19" t="n">
        <x:v>100000</x:v>
      </x:c>
      <x:c r="AM26" s="19" t="n">
        <x:v>500000</x:v>
      </x:c>
      <x:c r="AN26" s="3" t="str">
        <x:v>https://www.newyorkangels.com/entrepreneurs</x:v>
      </x:c>
      <x:c r="AO26" s="3" t="str">
        <x:v>trial_capital_directory.jsonl</x:v>
      </x:c>
      <x:c r="AP26" s="19"/>
    </x:row>
    <x:row r="27" ht="36" customHeight="1">
      <x:c r="A27" s="23" t="n">
        <x:v>26</x:v>
      </x:c>
      <x:c r="B27" s="15" t="str">
        <x:v>Pasadena Angels</x:v>
      </x:c>
      <x:c r="C27" s="15"/>
      <x:c r="D27" s="15" t="str">
        <x:v>Angel member network (TCA-affiliated)</x:v>
      </x:c>
      <x:c r="E27" s="15" t="str">
        <x:v>Reviewed trial-capital route</x:v>
      </x:c>
      <x:c r="F27" s="17" t="str">
        <x:v>New</x:v>
      </x:c>
      <x:c r="G27" s="24"/>
      <x:c r="H27" s="24"/>
      <x:c r="I27" s="24" t="str">
        <x:v>https://www.pasadenaangels.com/</x:v>
      </x:c>
      <x:c r="J27" s="16"/>
      <x:c r="K27" s="16"/>
      <x:c r="L27" s="16" t="str">
        <x:v>firm_business_routing</x:v>
      </x:c>
      <x:c r="M27" s="16" t="str">
        <x:v>https://pasadena.ssdspvhub.com/dealflow/register-company</x:v>
      </x:c>
      <x:c r="N27" s="16" t="str">
        <x:v>Published source range; proposed allocation and structure require confirmation</x:v>
      </x:c>
      <x:c r="O27" s="20" t="n">
        <x:v>150000</x:v>
      </x:c>
      <x:c r="P27" s="20" t="n">
        <x:v>750000</x:v>
      </x:c>
      <x:c r="Q27" s="25" t="str">
        <x:v>Published typical aggregate $150K-$750K, potentially higher with partner co-investment.</x:v>
      </x:c>
      <x:c r="R27" s="25" t="str">
        <x:v>Preferred single-digit-million valuation and $150K-$750K published size overlap the proposed equity raise if technology-company criteria met.</x:v>
      </x:c>
      <x:c r="S27" s="25" t="str">
        <x:v>Rarely real estate except proptech/realtytech. C-corp tax status or conversion underway required, two+ founders, MVP and defensibility, $20M+ company in 3-5 years. California preference, national accepted. Part of TCA, do not count separate TCA network as wholly independent capital pool.</x:v>
      </x:c>
      <x:c r="T27" s="25" t="str">
        <x:v>Check legal tax structure and proptech eligibility before official application; do not imply LLC automatically eligible.</x:v>
      </x:c>
      <x:c r="U27" s="25" t="str">
        <x:v>https://www.pasadenaangels.com/entrepreneurs
https://www.pasadenaangels.com/faqs</x:v>
      </x:c>
      <x:c r="V27" s="26" t="d">
        <x:v>2026-10-02T00:00:00.000Z</x:v>
      </x:c>
      <x:c r="W27" s="26" t="d">
        <x:v>2026-10-02T00:00:00.000Z</x:v>
      </x:c>
      <x:c r="X27" s="25" t="str">
        <x:v>Saved public company, industry-directory or regulatory source; source date retained</x:v>
      </x:c>
      <x:c r="Y27" s="25"/>
      <x:c r="Z27" s="25"/>
      <x:c r="AA27" s="25" t="str">
        <x:v>Subagent verified check range and criteria.; Subagent verified application terms and no fee.</x:v>
      </x:c>
      <x:c r="AB27" s="3" t="str">
        <x:v>Existing CapitalForge research, newly screened for this campaign</x:v>
      </x:c>
      <x:c r="AC27" s="3" t="str">
        <x:v>unverified</x:v>
      </x:c>
      <x:c r="AD27" s="3" t="str">
        <x:v>Not contacted / unconfirmed</x:v>
      </x:c>
      <x:c r="AE27" s="3" t="str">
        <x:v>No</x:v>
      </x:c>
      <x:c r="AF27" s="3" t="str">
        <x:v>No</x:v>
      </x:c>
      <x:c r="AG27" s="3"/>
      <x:c r="AH27" s="3"/>
      <x:c r="AI27" s="18"/>
      <x:c r="AJ27" s="3" t="str">
        <x:v>CF2500-213E6F86D30E</x:v>
      </x:c>
      <x:c r="AK27" s="3" t="str">
        <x:v>Early-stage company preferred equity/convertibles</x:v>
      </x:c>
      <x:c r="AL27" s="19" t="n">
        <x:v>100000</x:v>
      </x:c>
      <x:c r="AM27" s="19" t="n">
        <x:v>500000</x:v>
      </x:c>
      <x:c r="AN27" s="3" t="str">
        <x:v>https://www.pasadenaangels.com/entrepreneurs</x:v>
      </x:c>
      <x:c r="AO27" s="3" t="str">
        <x:v>trial_capital_directory.jsonl</x:v>
      </x:c>
      <x:c r="AP27" s="19"/>
    </x:row>
    <x:row r="28" ht="36" customHeight="1">
      <x:c r="A28" s="23" t="n">
        <x:v>27</x:v>
      </x:c>
      <x:c r="B28" s="15" t="str">
        <x:v>SBA 7(a) Working Capital Pilot / Contract CAPLine through an SBA lender</x:v>
      </x:c>
      <x:c r="C28" s="15"/>
      <x:c r="D28" s="15" t="str">
        <x:v>SBA monitored working-capital program through participating lender</x:v>
      </x:c>
      <x:c r="E28" s="15" t="str">
        <x:v>Reviewed trial-capital route</x:v>
      </x:c>
      <x:c r="F28" s="17" t="str">
        <x:v>New</x:v>
      </x:c>
      <x:c r="G28" s="24"/>
      <x:c r="H28" s="24"/>
      <x:c r="I28" s="24" t="str">
        <x:v>https://www.sba.gov/loans/7a-loans/</x:v>
      </x:c>
      <x:c r="J28" s="16"/>
      <x:c r="K28" s="16"/>
      <x:c r="L28" s="16" t="str">
        <x:v>firm_business_routing</x:v>
      </x:c>
      <x:c r="M28" s="16" t="str">
        <x:v>https://www.sba.gov/loans/7a-loans/</x:v>
      </x:c>
      <x:c r="N28" s="16" t="str">
        <x:v>Published source range; proposed allocation and structure require confirmation</x:v>
      </x:c>
      <x:c r="O28" s="20"/>
      <x:c r="P28" s="20" t="n">
        <x:v>5000000</x:v>
      </x:c>
      <x:c r="Q28" s="25" t="str">
        <x:v>Program ceiling; not a named lender commitment</x:v>
      </x:c>
      <x:c r="R28" s="25" t="str">
        <x:v>Transaction-based monitored working capital can finance costs of projects/contracts earlier in sales cycle. WCP general guidance includes at least one year history and accurate financials, A/R and A/P agings and inventory reports; Contract CAPLine supports allocated contract overhead/G&amp;A.</x:v>
      </x:c>
      <x:c r="S28" s="25" t="str">
        <x:v>Requires SBA eligible operating business, qualifying transaction/contract, lender underwriting, monitoring and repayment. A contingent assignment-fee program is not automatically an acceptable contract. Passive developer/landlord, financial-lending and speculative activity exclusions require lender review of 101XVC's substantive model.</x:v>
      </x:c>
      <x:c r="T28" s="25" t="str">
        <x:v>Ask a participating lender whether a contingent fee origination contract supports monitored financing of eligible operating expenses.</x:v>
      </x:c>
      <x:c r="U28" s="25" t="str">
        <x:v>https://www.sba.gov/loans/7a-loans/
https://www.sba.gov/sba-lenders/
https://www.ecfr.gov/current/title-13/section-120.110</x:v>
      </x:c>
      <x:c r="V28" s="26" t="d">
        <x:v>2026-10-02T00:00:00.000Z</x:v>
      </x:c>
      <x:c r="W28" s="26" t="d">
        <x:v>2026-10-02T00:00:00.000Z</x:v>
      </x:c>
      <x:c r="X28" s="25" t="str">
        <x:v>Saved public company, industry-directory or regulatory source; source date retained</x:v>
      </x:c>
      <x:c r="Y28" s="25"/>
      <x:c r="Z28" s="25"/>
      <x:c r="AA28" s="25" t="str">
        <x:v>Official SBA working-capital and lender guidance; federal exclusions must be reviewed against actual business activity.</x:v>
      </x:c>
      <x:c r="AB28" s="3" t="str">
        <x:v>Existing CapitalForge research, newly screened for this campaign</x:v>
      </x:c>
      <x:c r="AC28" s="3" t="str">
        <x:v>unverified</x:v>
      </x:c>
      <x:c r="AD28" s="3" t="str">
        <x:v>Not contacted / unconfirmed</x:v>
      </x:c>
      <x:c r="AE28" s="3" t="str">
        <x:v>No</x:v>
      </x:c>
      <x:c r="AF28" s="3" t="str">
        <x:v>No</x:v>
      </x:c>
      <x:c r="AG28" s="3"/>
      <x:c r="AH28" s="3"/>
      <x:c r="AI28" s="18"/>
      <x:c r="AJ28" s="3" t="str">
        <x:v>CF2500-DFB1EC21634D</x:v>
      </x:c>
      <x:c r="AK28" s="3" t="str">
        <x:v>SBA monitored working-capital program through participating lender</x:v>
      </x:c>
      <x:c r="AL28" s="19" t="n">
        <x:v>100000</x:v>
      </x:c>
      <x:c r="AM28" s="19" t="n">
        <x:v>500000</x:v>
      </x:c>
      <x:c r="AN28" s="3" t="str">
        <x:v>https://www.sba.gov/loans/7a-loans/</x:v>
      </x:c>
      <x:c r="AO28" s="3" t="str">
        <x:v>trial_capital_directory.jsonl</x:v>
      </x:c>
      <x:c r="AP28" s="19"/>
    </x:row>
    <x:row r="29" ht="36" customHeight="1">
      <x:c r="A29" s="23" t="n">
        <x:v>28</x:v>
      </x:c>
      <x:c r="B29" s="15" t="str">
        <x:v>SmartBiz Bank / lender network</x:v>
      </x:c>
      <x:c r="C29" s="15"/>
      <x:c r="D29" s="15" t="str">
        <x:v>SBA working-capital term loan</x:v>
      </x:c>
      <x:c r="E29" s="15" t="str">
        <x:v>Reviewed trial-capital route</x:v>
      </x:c>
      <x:c r="F29" s="17" t="str">
        <x:v>New</x:v>
      </x:c>
      <x:c r="G29" s="24"/>
      <x:c r="H29" s="24"/>
      <x:c r="I29" s="24" t="str">
        <x:v>https://smartbizbank.com/faq</x:v>
      </x:c>
      <x:c r="J29" s="16"/>
      <x:c r="K29" s="16"/>
      <x:c r="L29" s="16" t="str">
        <x:v>firm_business_routing</x:v>
      </x:c>
      <x:c r="M29" s="16" t="str">
        <x:v>https://smartbizbank.com/sba-loans</x:v>
      </x:c>
      <x:c r="N29" s="16" t="str">
        <x:v>Published source range; proposed allocation and structure require confirmation</x:v>
      </x:c>
      <x:c r="O29" s="20" t="n">
        <x:v>50000</x:v>
      </x:c>
      <x:c r="P29" s="20" t="n">
        <x:v>350000</x:v>
      </x:c>
      <x:c r="Q29" s="25" t="str">
        <x:v>SBA working-capital term loan published product range; actual offer subject to underwriting</x:v>
      </x:c>
      <x:c r="R29" s="25" t="str">
        <x:v>Working capital and eligible debt refinance.</x:v>
      </x:c>
      <x:c r="S29" s="25" t="str">
        <x:v>Current product page shows 350000 ceiling despite some marketing pages advertising 500000. Wholesaling/speculative classification and actual debt-service cash flow must be resolved before treating as fit.</x:v>
      </x:c>
      <x:c r="T29" s="25" t="str">
        <x:v>Confirm active origination-business eligibility and actual historical financial thresholds before requesting an offer.</x:v>
      </x:c>
      <x:c r="U29" s="25" t="str">
        <x:v>https://smartbizbank.com/sba-loans
https://www.ecfr.gov/current/title-13/section-120.110</x:v>
      </x:c>
      <x:c r="V29" s="26" t="d">
        <x:v>2026-10-02T00:00:00.000Z</x:v>
      </x:c>
      <x:c r="W29" s="26" t="d">
        <x:v>2026-10-02T00:00:00.000Z</x:v>
      </x:c>
      <x:c r="X29" s="25" t="str">
        <x:v>Saved public company, industry-directory or regulatory source; source date retained</x:v>
      </x:c>
      <x:c r="Y29" s="25"/>
      <x:c r="Z29" s="25"/>
      <x:c r="AA29" s="25" t="str">
        <x:v>Current main product page prioritized over conflicting older marketing</x:v>
      </x:c>
      <x:c r="AB29" s="3" t="str">
        <x:v>Existing CapitalForge research, newly screened for this campaign</x:v>
      </x:c>
      <x:c r="AC29" s="3" t="str">
        <x:v>unverified</x:v>
      </x:c>
      <x:c r="AD29" s="3" t="str">
        <x:v>Not contacted / unconfirmed</x:v>
      </x:c>
      <x:c r="AE29" s="3" t="str">
        <x:v>No</x:v>
      </x:c>
      <x:c r="AF29" s="3" t="str">
        <x:v>No</x:v>
      </x:c>
      <x:c r="AG29" s="3"/>
      <x:c r="AH29" s="3"/>
      <x:c r="AI29" s="18"/>
      <x:c r="AJ29" s="3" t="str">
        <x:v>CF2500-3A72E70E7DBE</x:v>
      </x:c>
      <x:c r="AK29" s="3" t="str">
        <x:v>SBA working-capital term loan</x:v>
      </x:c>
      <x:c r="AL29" s="19" t="n">
        <x:v>100000</x:v>
      </x:c>
      <x:c r="AM29" s="19" t="n">
        <x:v>500000</x:v>
      </x:c>
      <x:c r="AN29" s="3" t="str">
        <x:v>https://smartbizbank.com/sba-loans</x:v>
      </x:c>
      <x:c r="AO29" s="3" t="str">
        <x:v>trial_capital_directory.jsonl</x:v>
      </x:c>
      <x:c r="AP29" s="19"/>
    </x:row>
    <x:row r="30" ht="36" customHeight="1">
      <x:c r="A30" s="23" t="n">
        <x:v>29</x:v>
      </x:c>
      <x:c r="B30" s="15" t="str">
        <x:v>Wells Fargo</x:v>
      </x:c>
      <x:c r="C30" s="15"/>
      <x:c r="D30" s="15" t="str">
        <x:v>BusinessLine unsecured revolving line</x:v>
      </x:c>
      <x:c r="E30" s="15" t="str">
        <x:v>Reviewed trial-capital route</x:v>
      </x:c>
      <x:c r="F30" s="17" t="str">
        <x:v>New</x:v>
      </x:c>
      <x:c r="G30" s="24"/>
      <x:c r="H30" s="24"/>
      <x:c r="I30" s="24" t="str">
        <x:v>https://www.wellsfargo.com/biz/business-credit/lines-of-credit/</x:v>
      </x:c>
      <x:c r="J30" s="16"/>
      <x:c r="K30" s="16"/>
      <x:c r="L30" s="16" t="str">
        <x:v>firm_business_routing</x:v>
      </x:c>
      <x:c r="M30" s="16" t="str">
        <x:v>https://www.wellsfargo.com/biz/business-credit/lines-of-credit/</x:v>
      </x:c>
      <x:c r="N30" s="16" t="str">
        <x:v>Published source range; proposed allocation and structure require confirmation</x:v>
      </x:c>
      <x:c r="O30" s="20" t="n">
        <x:v>10000</x:v>
      </x:c>
      <x:c r="P30" s="20" t="n">
        <x:v>150000</x:v>
      </x:c>
      <x:c r="Q30" s="25" t="str">
        <x:v>BusinessLine unsecured revolving line published product range; actual offer subject to underwriting</x:v>
      </x:c>
      <x:c r="R30" s="25" t="str">
        <x:v>Published short-term working-capital uses include payroll and operating expenses.</x:v>
      </x:c>
      <x:c r="S30" s="25" t="str">
        <x:v>Cannot fund full 500000 through this named line; credit and actual cash flow must support request. Express fast processing only up to 50000.</x:v>
      </x:c>
      <x:c r="T30" s="25" t="str">
        <x:v>Confirm active origination-business eligibility and actual historical financial thresholds before requesting an offer.</x:v>
      </x:c>
      <x:c r="U30" s="25" t="str">
        <x:v>https://www.wellsfargo.com/biz/business-credit/lines-of-credit/</x:v>
      </x:c>
      <x:c r="V30" s="26" t="d">
        <x:v>2026-10-02T00:00:00.000Z</x:v>
      </x:c>
      <x:c r="W30" s="26" t="d">
        <x:v>2026-10-02T00:00:00.000Z</x:v>
      </x:c>
      <x:c r="X30" s="25" t="str">
        <x:v>Saved public company, industry-directory or regulatory source; source date retained</x:v>
      </x:c>
      <x:c r="Y30" s="25"/>
      <x:c r="Z30" s="25"/>
      <x:c r="AA30" s="25" t="str">
        <x:v>Official current amount, credit guidance, guarantees and rate range verified</x:v>
      </x:c>
      <x:c r="AB30" s="3" t="str">
        <x:v>Existing CapitalForge research, newly screened for this campaign</x:v>
      </x:c>
      <x:c r="AC30" s="3" t="str">
        <x:v>unverified</x:v>
      </x:c>
      <x:c r="AD30" s="3" t="str">
        <x:v>Not contacted / unconfirmed</x:v>
      </x:c>
      <x:c r="AE30" s="3" t="str">
        <x:v>No</x:v>
      </x:c>
      <x:c r="AF30" s="3" t="str">
        <x:v>No</x:v>
      </x:c>
      <x:c r="AG30" s="3"/>
      <x:c r="AH30" s="3"/>
      <x:c r="AI30" s="18"/>
      <x:c r="AJ30" s="3" t="str">
        <x:v>CF2500-8DF63EB78118</x:v>
      </x:c>
      <x:c r="AK30" s="3" t="str">
        <x:v>BusinessLine unsecured revolving line</x:v>
      </x:c>
      <x:c r="AL30" s="19" t="n">
        <x:v>100000</x:v>
      </x:c>
      <x:c r="AM30" s="19" t="n">
        <x:v>500000</x:v>
      </x:c>
      <x:c r="AN30" s="3" t="str">
        <x:v>https://www.wellsfargo.com/biz/business-credit/lines-of-credit/</x:v>
      </x:c>
      <x:c r="AO30" s="3" t="str">
        <x:v>trial_capital_directory.jsonl</x:v>
      </x:c>
      <x:c r="AP30" s="19"/>
    </x:row>
    <x:row r="31" ht="36" customHeight="1">
      <x:c r="A31" s="23" t="n">
        <x:v>30</x:v>
      </x:c>
      <x:c r="B31" s="15" t="str">
        <x:v>A+ Home Buyers</x:v>
      </x:c>
      <x:c r="C31" s="15"/>
      <x:c r="D31" s="15" t="str">
        <x:v>Property investor / home-buying operator</x:v>
      </x:c>
      <x:c r="E31" s="15" t="str">
        <x:v>Property investor / operator inquiry</x:v>
      </x:c>
      <x:c r="F31" s="17" t="str">
        <x:v>New</x:v>
      </x:c>
      <x:c r="G31" s="24" t="str">
        <x:v>help@aplushomebuyer.com</x:v>
      </x:c>
      <x:c r="H31" s="24" t="str">
        <x:v>+18132007665</x:v>
      </x:c>
      <x:c r="I31" s="24" t="str">
        <x:v>https://www.aplushomebuyer.com/</x:v>
      </x:c>
      <x:c r="J31" s="16" t="str">
        <x:v>FL</x:v>
      </x:c>
      <x:c r="K31" s="16" t="str">
        <x:v>Tampa</x:v>
      </x:c>
      <x:c r="L31" s="16" t="str">
        <x:v>Public property-business route; investor decision maker unconfirmed</x:v>
      </x:c>
      <x:c r="M31" s="16" t="str">
        <x:v>https://www.aplushomebuyer.com/contact-us/</x:v>
      </x:c>
      <x:c r="N31" s="16" t="str">
        <x:v>$100K-$500K ticket not published / unconfirmed</x:v>
      </x:c>
      <x:c r="O31" s="20"/>
      <x:c r="P31" s="20"/>
      <x:c r="Q31" s="25" t="str">
        <x:v>No $100K-$500K corporate-investment ticket published in checked source</x:v>
      </x:c>
      <x:c r="R31" s="25" t="str">
        <x:v>Property acquisition or investor activity makes this an operator-capital prospect for the signed trial. Confirm operating-company debt/equity appetite.</x:v>
      </x:c>
      <x:c r="S31" s="25" t="str">
        <x:v>Corporate-investment ticket and appetite unconfirmed. Property-buying activity alone does not establish fit for funding 101XVC trial operating costs.</x:v>
      </x:c>
      <x:c r="T31" s="25" t="str">
        <x:v>Ask the owner/investor whether they can allocate $100K-$500K to trial marketing and acquisitions, and confirm structure, timing and decision authority.</x:v>
      </x:c>
      <x:c r="U31" s="25" t="str">
        <x:v>https://www.cashhomebuyersdirectory.com/cash-home-buyers/florida/tampa
https://www.aplushomebuyer.com/
https://www.aplushomebuyer.com/contact-us/</x:v>
      </x:c>
      <x:c r="V31" s="26" t="d">
        <x:v>2026-10-02T00:00:00.000Z</x:v>
      </x:c>
      <x:c r="W31" s="26" t="d">
        <x:v>2026-10-03T00:00:00.000Z</x:v>
      </x:c>
      <x:c r="X31" s="25" t="str">
        <x:v>Public investor directory; business role and contact ownership require qualification</x:v>
      </x:c>
      <x:c r="Y31" s="25" t="str">
        <x:v>https://www.aplushomebuyer.com/contact-us/</x:v>
      </x:c>
      <x:c r="Z31" s="25" t="str">
        <x:v>https://www.cashhomebuyersdirectory.com/cash-home-buyers/florida/tampa</x:v>
      </x:c>
      <x:c r="AA31" s="25" t="str">
        <x:v>Public cash-home-buyer directory lists business name, phone and market. Directory entry may include brokers or service providers. Official website fetched; home-buying or investing activity stated.</x:v>
      </x:c>
      <x:c r="AB31" s="3" t="str">
        <x:v>New public-source collection</x:v>
      </x:c>
      <x:c r="AC31" s="3" t="str">
        <x:v>unverified</x:v>
      </x:c>
      <x:c r="AD31" s="3" t="str">
        <x:v>Not contacted / unconfirmed</x:v>
      </x:c>
      <x:c r="AE31" s="3" t="str">
        <x:v>Yes</x:v>
      </x:c>
      <x:c r="AF31" s="3" t="str">
        <x:v>Yes</x:v>
      </x:c>
      <x:c r="AG31" s="3"/>
      <x:c r="AH31" s="3"/>
      <x:c r="AI31" s="18"/>
      <x:c r="AJ31" s="3" t="str">
        <x:v>CF2500-28647848926B</x:v>
      </x:c>
      <x:c r="AK31" s="3" t="str">
        <x:v>Property investor / home-buying operator prospect</x:v>
      </x:c>
      <x:c r="AL31" s="19" t="n">
        <x:v>100000</x:v>
      </x:c>
      <x:c r="AM31" s="19" t="n">
        <x:v>500000</x:v>
      </x:c>
      <x:c r="AN31" s="3" t="str">
        <x:v>https://www.cashhomebuyersdirectory.com/cash-home-buyers/florida/tampa</x:v>
      </x:c>
      <x:c r="AO31" s="3" t="str">
        <x:v>tx_fl_investors.jsonl</x:v>
      </x:c>
      <x:c r="AP31" s="19"/>
    </x:row>
    <x:row r="32" ht="36" customHeight="1">
      <x:c r="A32" s="23" t="n">
        <x:v>31</x:v>
      </x:c>
      <x:c r="B32" s="15" t="str">
        <x:v>Ace Homebuyers - We Buy Houses - Sell My House Fast</x:v>
      </x:c>
      <x:c r="C32" s="15"/>
      <x:c r="D32" s="15" t="str">
        <x:v>Property investor / home-buying operator</x:v>
      </x:c>
      <x:c r="E32" s="15" t="str">
        <x:v>Property investor / operator inquiry</x:v>
      </x:c>
      <x:c r="F32" s="17" t="str">
        <x:v>New</x:v>
      </x:c>
      <x:c r="G32" s="24" t="str">
        <x:v>invexproperties@gmail.com</x:v>
      </x:c>
      <x:c r="H32" s="24" t="str">
        <x:v>+19104440712</x:v>
      </x:c>
      <x:c r="I32" s="24" t="str">
        <x:v>https://www.cashforhousescompany.com/</x:v>
      </x:c>
      <x:c r="J32" s="16" t="str">
        <x:v>NC</x:v>
      </x:c>
      <x:c r="K32" s="16" t="str">
        <x:v>Wilmington</x:v>
      </x:c>
      <x:c r="L32" s="16" t="str">
        <x:v>Public property-business route; investor decision maker unconfirmed</x:v>
      </x:c>
      <x:c r="M32" s="16" t="str">
        <x:v>https://www.cashforhousescompany.com/</x:v>
      </x:c>
      <x:c r="N32" s="16" t="str">
        <x:v>$100K-$500K ticket not published / unconfirmed</x:v>
      </x:c>
      <x:c r="O32" s="20"/>
      <x:c r="P32" s="20"/>
      <x:c r="Q32" s="25" t="str">
        <x:v>No $100K-$500K operating-company investment ticket verified</x:v>
      </x:c>
      <x:c r="R32" s="25" t="str">
        <x:v>Property acquisition or investor activity makes this an operator-capital prospect for the signed trial. Confirm operating-company debt/equity appetite.</x:v>
      </x:c>
      <x:c r="S32" s="25" t="str">
        <x:v>Public property-buying activity or a directory listing does not establish available cash, investing decision-maker, current $100K-$500K capacity, or willingness to fund 101XVC operating costs.</x:v>
      </x:c>
      <x:c r="T32" s="25" t="str">
        <x:v>Ask the owner/investor whether they can allocate $100K-$500K to trial marketing and acquisitions, and confirm structure, timing and decision authority.</x:v>
      </x:c>
      <x:c r="U32" s="25" t="str">
        <x:v>https://www.cashhomebuyersdirectory.com/cash-home-buyers/north-carolina/wilmington
https://www.cashforhousescompany.com/</x:v>
      </x:c>
      <x:c r="V32" s="26" t="d">
        <x:v>2026-10-02T00:00:00.000Z</x:v>
      </x:c>
      <x:c r="W32" s="26" t="d">
        <x:v>2026-10-02T00:00:00.000Z</x:v>
      </x:c>
      <x:c r="X32" s="25" t="str">
        <x:v>Public investor directory; business role and contact ownership require qualification</x:v>
      </x:c>
      <x:c r="Y32" s="25" t="str">
        <x:v>https://www.cashforhousescompany.com/</x:v>
      </x:c>
      <x:c r="Z32" s="25" t="str">
        <x:v>https://www.cashhomebuyersdirectory.com/cash-home-buyers/north-carolina/wilmington</x:v>
      </x:c>
      <x:c r="AA32" s="25" t="str">
        <x:v>Public cash-home-buyer directory lists business name, phone and market. Directory entry may include brokers or service providers. Official website fetched; home-buying or investing activity stated.</x:v>
      </x:c>
      <x:c r="AB32" s="3" t="str">
        <x:v>New public-source collection</x:v>
      </x:c>
      <x:c r="AC32" s="3" t="str">
        <x:v>unverified</x:v>
      </x:c>
      <x:c r="AD32" s="3" t="str">
        <x:v>Not contacted / unconfirmed</x:v>
      </x:c>
      <x:c r="AE32" s="3" t="str">
        <x:v>Yes</x:v>
      </x:c>
      <x:c r="AF32" s="3" t="str">
        <x:v>Yes</x:v>
      </x:c>
      <x:c r="AG32" s="3"/>
      <x:c r="AH32" s="3"/>
      <x:c r="AI32" s="18"/>
      <x:c r="AJ32" s="3" t="str">
        <x:v>CF2500-C5CF8FB53914</x:v>
      </x:c>
      <x:c r="AK32" s="3" t="str">
        <x:v>Property investor / home-buying operator prospect</x:v>
      </x:c>
      <x:c r="AL32" s="19" t="n">
        <x:v>100000</x:v>
      </x:c>
      <x:c r="AM32" s="19" t="n">
        <x:v>500000</x:v>
      </x:c>
      <x:c r="AN32" s="3" t="str">
        <x:v>https://www.cashhomebuyersdirectory.com/cash-home-buyers/north-carolina/wilmington</x:v>
      </x:c>
      <x:c r="AO32" s="3" t="str">
        <x:v>nc_il_az_co_investors.jsonl</x:v>
      </x:c>
      <x:c r="AP32" s="19"/>
    </x:row>
    <x:row r="33" ht="36" customHeight="1">
      <x:c r="A33" s="23" t="n">
        <x:v>32</x:v>
      </x:c>
      <x:c r="B33" s="15" t="str">
        <x:v>Alamo Home Buyers</x:v>
      </x:c>
      <x:c r="C33" s="15"/>
      <x:c r="D33" s="15" t="str">
        <x:v>Property investor / home-buying operator</x:v>
      </x:c>
      <x:c r="E33" s="15" t="str">
        <x:v>Property investor / operator inquiry</x:v>
      </x:c>
      <x:c r="F33" s="17" t="str">
        <x:v>New</x:v>
      </x:c>
      <x:c r="G33" s="24" t="str">
        <x:v>alamohomebuyers@gmail.com</x:v>
      </x:c>
      <x:c r="H33" s="24" t="str">
        <x:v>+12103004000</x:v>
      </x:c>
      <x:c r="I33" s="24" t="str">
        <x:v>https://alamohomebuyers.com/</x:v>
      </x:c>
      <x:c r="J33" s="16" t="str">
        <x:v>TX</x:v>
      </x:c>
      <x:c r="K33" s="16" t="str">
        <x:v>San Antonio</x:v>
      </x:c>
      <x:c r="L33" s="16" t="str">
        <x:v>Public property-business route; investor decision maker unconfirmed</x:v>
      </x:c>
      <x:c r="M33" s="16" t="str">
        <x:v>https://alamohomebuyers.com/contact-us/</x:v>
      </x:c>
      <x:c r="N33" s="16" t="str">
        <x:v>$100K-$500K ticket not published / unconfirmed</x:v>
      </x:c>
      <x:c r="O33" s="20"/>
      <x:c r="P33" s="20"/>
      <x:c r="Q33" s="25" t="str">
        <x:v>No $100K-$500K corporate-investment ticket published in checked source</x:v>
      </x:c>
      <x:c r="R33" s="25" t="str">
        <x:v>Property acquisition or investor activity makes this an operator-capital prospect for the signed trial. Confirm operating-company debt/equity appetite.</x:v>
      </x:c>
      <x:c r="S33" s="25" t="str">
        <x:v>Corporate-investment ticket and appetite unconfirmed. Property-buying activity alone does not establish fit for funding 101XVC trial operating costs.</x:v>
      </x:c>
      <x:c r="T33" s="25" t="str">
        <x:v>Ask the owner/investor whether they can allocate $100K-$500K to trial marketing and acquisitions, and confirm structure, timing and decision authority.</x:v>
      </x:c>
      <x:c r="U33" s="25" t="str">
        <x:v>https://www.cashhomebuyersdirectory.com/cash-home-buyers/texas/san-antonio
https://alamohomebuyers.com/
https://alamohomebuyers.com/contact-us/</x:v>
      </x:c>
      <x:c r="V33" s="26" t="d">
        <x:v>2026-10-02T00:00:00.000Z</x:v>
      </x:c>
      <x:c r="W33" s="26" t="d">
        <x:v>2026-10-03T00:00:00.000Z</x:v>
      </x:c>
      <x:c r="X33" s="25" t="str">
        <x:v>Public investor directory; business role and contact ownership require qualification</x:v>
      </x:c>
      <x:c r="Y33" s="25" t="str">
        <x:v>https://alamohomebuyers.com/contact-us/</x:v>
      </x:c>
      <x:c r="Z33" s="25" t="str">
        <x:v>https://www.cashhomebuyersdirectory.com/cash-home-buyers/texas/san-antonio</x:v>
      </x:c>
      <x:c r="AA33" s="25" t="str">
        <x:v>Public cash-home-buyer directory lists business name, phone and market. Directory entry may include brokers or service providers. Official website fetched; home-buying or investing activity stated.</x:v>
      </x:c>
      <x:c r="AB33" s="3" t="str">
        <x:v>New public-source collection</x:v>
      </x:c>
      <x:c r="AC33" s="3" t="str">
        <x:v>unverified</x:v>
      </x:c>
      <x:c r="AD33" s="3" t="str">
        <x:v>Not contacted / unconfirmed</x:v>
      </x:c>
      <x:c r="AE33" s="3" t="str">
        <x:v>Yes</x:v>
      </x:c>
      <x:c r="AF33" s="3" t="str">
        <x:v>Yes</x:v>
      </x:c>
      <x:c r="AG33" s="3"/>
      <x:c r="AH33" s="3" t="str">
        <x:v>San Antonio Home Buyers</x:v>
      </x:c>
      <x:c r="AI33" s="18"/>
      <x:c r="AJ33" s="3" t="str">
        <x:v>CF2500-48EF2EB360F1</x:v>
      </x:c>
      <x:c r="AK33" s="3" t="str">
        <x:v>Property investor / home-buying operator prospect</x:v>
      </x:c>
      <x:c r="AL33" s="19" t="n">
        <x:v>100000</x:v>
      </x:c>
      <x:c r="AM33" s="19" t="n">
        <x:v>500000</x:v>
      </x:c>
      <x:c r="AN33" s="3" t="str">
        <x:v>https://www.cashhomebuyersdirectory.com/cash-home-buyers/texas/san-antonio</x:v>
      </x:c>
      <x:c r="AO33" s="3" t="str">
        <x:v>tx_fl_investors.jsonl</x:v>
      </x:c>
      <x:c r="AP33" s="19"/>
    </x:row>
    <x:row r="34" ht="36" customHeight="1">
      <x:c r="A34" s="23" t="n">
        <x:v>33</x:v>
      </x:c>
      <x:c r="B34" s="15" t="str">
        <x:v>Andrew the Home Buyer</x:v>
      </x:c>
      <x:c r="C34" s="15"/>
      <x:c r="D34" s="15" t="str">
        <x:v>Property investor / home-buying operator</x:v>
      </x:c>
      <x:c r="E34" s="15" t="str">
        <x:v>Property investor / operator inquiry</x:v>
      </x:c>
      <x:c r="F34" s="17" t="str">
        <x:v>New</x:v>
      </x:c>
      <x:c r="G34" s="24" t="str">
        <x:v>info@andrewthehomebuyer.com</x:v>
      </x:c>
      <x:c r="H34" s="24" t="str">
        <x:v>+16025291000</x:v>
      </x:c>
      <x:c r="I34" s="24" t="str">
        <x:v>https://www.andrewthehomebuyer.com/</x:v>
      </x:c>
      <x:c r="J34" s="16" t="str">
        <x:v>AZ</x:v>
      </x:c>
      <x:c r="K34" s="16" t="str">
        <x:v>Mesa</x:v>
      </x:c>
      <x:c r="L34" s="16" t="str">
        <x:v>Public property-business route; investor decision maker unconfirmed</x:v>
      </x:c>
      <x:c r="M34" s="16" t="str">
        <x:v>https://www.andrewthehomebuyer.com/contact/</x:v>
      </x:c>
      <x:c r="N34" s="16" t="str">
        <x:v>$100K-$500K ticket not published / unconfirmed</x:v>
      </x:c>
      <x:c r="O34" s="20"/>
      <x:c r="P34" s="20"/>
      <x:c r="Q34" s="25" t="str">
        <x:v>No $100K-$500K operating-company investment ticket verified</x:v>
      </x:c>
      <x:c r="R34" s="25" t="str">
        <x:v>Property acquisition or investor activity makes this an operator-capital prospect for the signed trial. Confirm operating-company debt/equity appetite.</x:v>
      </x:c>
      <x:c r="S34" s="25" t="str">
        <x:v>Public property-buying activity or a directory listing does not establish available cash, investing decision-maker, current $100K-$500K capacity, or willingness to fund 101XVC operating costs.</x:v>
      </x:c>
      <x:c r="T34" s="25" t="str">
        <x:v>Ask the owner/investor whether they can allocate $100K-$500K to trial marketing and acquisitions, and confirm structure, timing and decision authority.</x:v>
      </x:c>
      <x:c r="U34" s="25" t="str">
        <x:v>https://www.cashhomebuyersdirectory.com/cash-home-buyers/arizona/mesa
https://www.andrewthehomebuyer.com/
https://www.andrewthehomebuyer.com/contact/
https://www.bbb.org/us/az/category/home-buyers
https://sfranalytics.com/investors/az/phoenix-mesa-chandler-az
https://sfranalytics.com/investors/az/phoenix-mesa-chandler-az/andrew-the-home-buyer-llc-az</x:v>
      </x:c>
      <x:c r="V34" s="26" t="d">
        <x:v>2026-10-02T00:00:00.000Z</x:v>
      </x:c>
      <x:c r="W34" s="26" t="d">
        <x:v>2026-10-02T00:00:00.000Z</x:v>
      </x:c>
      <x:c r="X34" s="25" t="str">
        <x:v>Public investor directory; business role and contact ownership require qualification</x:v>
      </x:c>
      <x:c r="Y34" s="25" t="str">
        <x:v>https://www.andrewthehomebuyer.com/contact/</x:v>
      </x:c>
      <x:c r="Z34" s="25" t="str">
        <x:v>https://www.cashhomebuyersdirectory.com/cash-home-buyers/arizona/mesa</x:v>
      </x:c>
      <x:c r="AA34" s="25" t="str">
        <x:v>Public cash-home-buyer directory lists business name, phone and market. Directory entry may include brokers or service providers. Official website fetched; home-buying or investing activity stated.</x:v>
      </x:c>
      <x:c r="AB34" s="3" t="str">
        <x:v>New public-source collection</x:v>
      </x:c>
      <x:c r="AC34" s="3" t="str">
        <x:v>unverified</x:v>
      </x:c>
      <x:c r="AD34" s="3" t="str">
        <x:v>Not contacted / unconfirmed</x:v>
      </x:c>
      <x:c r="AE34" s="3" t="str">
        <x:v>Yes</x:v>
      </x:c>
      <x:c r="AF34" s="3" t="str">
        <x:v>Yes</x:v>
      </x:c>
      <x:c r="AG34" s="3"/>
      <x:c r="AH34" s="3" t="str">
        <x:v>ANDREW THE HOME BUYER LLC</x:v>
      </x:c>
      <x:c r="AI34" s="18"/>
      <x:c r="AJ34" s="3" t="str">
        <x:v>CF2500-02F574B13813</x:v>
      </x:c>
      <x:c r="AK34" s="3" t="str">
        <x:v>Property investor / home-buying operator prospect</x:v>
      </x:c>
      <x:c r="AL34" s="19" t="n">
        <x:v>100000</x:v>
      </x:c>
      <x:c r="AM34" s="19" t="n">
        <x:v>500000</x:v>
      </x:c>
      <x:c r="AN34" s="3" t="str">
        <x:v>https://www.cashhomebuyersdirectory.com/cash-home-buyers/arizona/mesa</x:v>
      </x:c>
      <x:c r="AO34" s="3" t="str">
        <x:v>nc_il_az_co_investors.jsonl</x:v>
      </x:c>
      <x:c r="AP34" s="19"/>
    </x:row>
    <x:row r="35" ht="36" customHeight="1">
      <x:c r="A35" s="23" t="n">
        <x:v>34</x:v>
      </x:c>
      <x:c r="B35" s="15" t="str">
        <x:v>Arena Homebuyers</x:v>
      </x:c>
      <x:c r="C35" s="15"/>
      <x:c r="D35" s="15" t="str">
        <x:v>Property investor / home-buying operator</x:v>
      </x:c>
      <x:c r="E35" s="15" t="str">
        <x:v>Property investor / operator inquiry</x:v>
      </x:c>
      <x:c r="F35" s="17" t="str">
        <x:v>New</x:v>
      </x:c>
      <x:c r="G35" s="24" t="str">
        <x:v>info@arenahomebuyers.com</x:v>
      </x:c>
      <x:c r="H35" s="24" t="str">
        <x:v>+16892206065</x:v>
      </x:c>
      <x:c r="I35" s="24" t="str">
        <x:v>https://www.arenahomebuyers.com/</x:v>
      </x:c>
      <x:c r="J35" s="16" t="str">
        <x:v>FL</x:v>
      </x:c>
      <x:c r="K35" s="16" t="str">
        <x:v>Orlando</x:v>
      </x:c>
      <x:c r="L35" s="16" t="str">
        <x:v>Public property-business route; investor decision maker unconfirmed</x:v>
      </x:c>
      <x:c r="M35" s="16" t="str">
        <x:v>https://www.arenahomebuyers.com/contact-us/</x:v>
      </x:c>
      <x:c r="N35" s="16" t="str">
        <x:v>$100K-$500K ticket not published / unconfirmed</x:v>
      </x:c>
      <x:c r="O35" s="20"/>
      <x:c r="P35" s="20"/>
      <x:c r="Q35" s="25" t="str">
        <x:v>No $100K-$500K corporate-investment ticket published in checked source</x:v>
      </x:c>
      <x:c r="R35" s="25" t="str">
        <x:v>Property acquisition or investor activity makes this an operator-capital prospect for the signed trial. Confirm operating-company debt/equity appetite.</x:v>
      </x:c>
      <x:c r="S35" s="25" t="str">
        <x:v>Corporate-investment ticket and appetite unconfirmed. Property-buying activity alone does not establish fit for funding 101XVC trial operating costs.</x:v>
      </x:c>
      <x:c r="T35" s="25" t="str">
        <x:v>Ask the owner/investor whether they can allocate $100K-$500K to trial marketing and acquisitions, and confirm structure, timing and decision authority.</x:v>
      </x:c>
      <x:c r="U35" s="25" t="str">
        <x:v>https://www.cashhomebuyersdirectory.com/cash-home-buyers/florida/orlando
https://www.arenahomebuyers.com/
https://www.arenahomebuyers.com/contact-us/</x:v>
      </x:c>
      <x:c r="V35" s="26" t="d">
        <x:v>2026-10-02T00:00:00.000Z</x:v>
      </x:c>
      <x:c r="W35" s="26" t="d">
        <x:v>2026-10-03T00:00:00.000Z</x:v>
      </x:c>
      <x:c r="X35" s="25" t="str">
        <x:v>Public investor directory; business role and contact ownership require qualification</x:v>
      </x:c>
      <x:c r="Y35" s="25" t="str">
        <x:v>https://www.arenahomebuyers.com/contact-us/</x:v>
      </x:c>
      <x:c r="Z35" s="25" t="str">
        <x:v>https://www.cashhomebuyersdirectory.com/cash-home-buyers/florida/orlando</x:v>
      </x:c>
      <x:c r="AA35" s="25" t="str">
        <x:v>Public cash-home-buyer directory lists business name, phone and market. Directory entry may include brokers or service providers. Official website fetched; home-buying or investing activity stated.</x:v>
      </x:c>
      <x:c r="AB35" s="3" t="str">
        <x:v>New public-source collection</x:v>
      </x:c>
      <x:c r="AC35" s="3" t="str">
        <x:v>unverified</x:v>
      </x:c>
      <x:c r="AD35" s="3" t="str">
        <x:v>Not contacted / unconfirmed</x:v>
      </x:c>
      <x:c r="AE35" s="3" t="str">
        <x:v>Yes</x:v>
      </x:c>
      <x:c r="AF35" s="3" t="str">
        <x:v>Yes</x:v>
      </x:c>
      <x:c r="AG35" s="3"/>
      <x:c r="AH35" s="3"/>
      <x:c r="AI35" s="18"/>
      <x:c r="AJ35" s="3" t="str">
        <x:v>CF2500-B994AEBB1C41</x:v>
      </x:c>
      <x:c r="AK35" s="3" t="str">
        <x:v>Property investor / home-buying operator prospect</x:v>
      </x:c>
      <x:c r="AL35" s="19" t="n">
        <x:v>100000</x:v>
      </x:c>
      <x:c r="AM35" s="19" t="n">
        <x:v>500000</x:v>
      </x:c>
      <x:c r="AN35" s="3" t="str">
        <x:v>https://www.cashhomebuyersdirectory.com/cash-home-buyers/florida/orlando</x:v>
      </x:c>
      <x:c r="AO35" s="3" t="str">
        <x:v>tx_fl_investors.jsonl</x:v>
      </x:c>
      <x:c r="AP35" s="19"/>
    </x:row>
    <x:row r="36" ht="36" customHeight="1">
      <x:c r="A36" s="23" t="n">
        <x:v>35</x:v>
      </x:c>
      <x:c r="B36" s="15" t="str">
        <x:v>ATLANTIS HOMEBUYERS LLC</x:v>
      </x:c>
      <x:c r="C36" s="15"/>
      <x:c r="D36" s="15" t="str">
        <x:v>Property investor / home-buying operator</x:v>
      </x:c>
      <x:c r="E36" s="15" t="str">
        <x:v>Property investor / operator inquiry</x:v>
      </x:c>
      <x:c r="F36" s="17" t="str">
        <x:v>New</x:v>
      </x:c>
      <x:c r="G36" s="24" t="str">
        <x:v>sell@atlantishomebuyers.com</x:v>
      </x:c>
      <x:c r="H36" s="24" t="str">
        <x:v>+19842056984</x:v>
      </x:c>
      <x:c r="I36" s="24" t="str">
        <x:v>https://www.atlantishomebuyers.com/</x:v>
      </x:c>
      <x:c r="J36" s="16" t="str">
        <x:v>NC</x:v>
      </x:c>
      <x:c r="K36" s="16" t="str">
        <x:v>Raleigh</x:v>
      </x:c>
      <x:c r="L36" s="16" t="str">
        <x:v>Public property-business route; investor decision maker unconfirmed</x:v>
      </x:c>
      <x:c r="M36" s="16" t="str">
        <x:v>https://www.atlantishomebuyers.com/</x:v>
      </x:c>
      <x:c r="N36" s="16" t="str">
        <x:v>$100K-$500K ticket not published / unconfirmed</x:v>
      </x:c>
      <x:c r="O36" s="20"/>
      <x:c r="P36" s="20"/>
      <x:c r="Q36" s="25" t="str">
        <x:v>No direct corporate-capital range established in checked source</x:v>
      </x:c>
      <x:c r="R36" s="25" t="str">
        <x:v>Property acquisition or investor activity makes this an operator-capital prospect for the signed trial. Confirm operating-company debt/equity appetite.</x:v>
      </x:c>
      <x:c r="S36" s="25" t="str">
        <x:v>Confirm the contact controls funding decisions; confirm willingness to invest in an operating company, current liquidity, $100K to $500K ticket size, required security and diligence.</x:v>
      </x:c>
      <x:c r="T36" s="25" t="str">
        <x:v>Ask the owner/investor whether they can allocate $100K-$500K to trial marketing and acquisitions, and confirm structure, timing and decision authority.</x:v>
      </x:c>
      <x:c r="U36" s="25" t="str">
        <x:v>https://www.atlantishomebuyers.com/
https://sfranalytics.com/investors/nc/raleigh-cary-nc
https://sfranalytics.com/investors/nc/raleigh-cary-nc/atlantis-homebuyers-llc-nc
https://www.bbb.org/us/nc/category/home-buyers</x:v>
      </x:c>
      <x:c r="V36" s="26" t="d">
        <x:v>2026-10-02T00:00:00.000Z</x:v>
      </x:c>
      <x:c r="W36" s="26" t="d">
        <x:v>2026-10-03T00:00:00.000Z</x:v>
      </x:c>
      <x:c r="X36" s="25" t="str">
        <x:v>SFR Analytics public investor discovery plus official-company activity, geography and published business contact checks</x:v>
      </x:c>
      <x:c r="Y36" s="25" t="str">
        <x:v>https://www.atlantishomebuyers.com/</x:v>
      </x:c>
      <x:c r="Z36" s="25" t="str">
        <x:v>https://www.atlantishomebuyers.com/</x:v>
      </x:c>
      <x:c r="AA36" s="25" t="str">
        <x:v>Company describes a founder-led home buying operation in Raleigh and North Carolina. Published general business contact observed: (984) 205-6984. SFR Analytics public directory lists ATLANTIS HOMEBUYERS LLC as an organization with a flipper strategy, 50 observed transactions and $8.74M tracked transaction volume. Observed listing market: Raleigh-Cary, NC. This is third-party public-record research, not evidence of available cash, a $100K to $500K check, an operating-company investment mandate, or acceptance of this transaction.</x:v>
      </x:c>
      <x:c r="AB36" s="3" t="str">
        <x:v>New public-source collection</x:v>
      </x:c>
      <x:c r="AC36" s="3" t="str">
        <x:v>unverified</x:v>
      </x:c>
      <x:c r="AD36" s="3" t="str">
        <x:v>Not contacted / unconfirmed</x:v>
      </x:c>
      <x:c r="AE36" s="3" t="str">
        <x:v>Yes</x:v>
      </x:c>
      <x:c r="AF36" s="3" t="str">
        <x:v>Yes</x:v>
      </x:c>
      <x:c r="AG36" s="3"/>
      <x:c r="AH36" s="3" t="str">
        <x:v>Atlantis Homebuyers, LLC</x:v>
      </x:c>
      <x:c r="AI36" s="18"/>
      <x:c r="AJ36" s="3" t="str">
        <x:v>CF2500-DA60BE6B41B9</x:v>
      </x:c>
      <x:c r="AK36" s="3" t="str">
        <x:v>real_estate_operator</x:v>
      </x:c>
      <x:c r="AL36" s="19" t="n">
        <x:v>100000</x:v>
      </x:c>
      <x:c r="AM36" s="19" t="n">
        <x:v>500000</x:v>
      </x:c>
      <x:c r="AN36" s="3" t="str">
        <x:v>https://www.atlantishomebuyers.com/</x:v>
      </x:c>
      <x:c r="AO36" s="3" t="str">
        <x:v>sfr_contact_enriched.jsonl</x:v>
      </x:c>
      <x:c r="AP36" s="19"/>
    </x:row>
    <x:row r="37" ht="36" customHeight="1">
      <x:c r="A37" s="23" t="n">
        <x:v>36</x:v>
      </x:c>
      <x:c r="B37" s="15" t="str">
        <x:v>AZ Home Buyer</x:v>
      </x:c>
      <x:c r="C37" s="15"/>
      <x:c r="D37" s="15" t="str">
        <x:v>Property investor / home-buying operator</x:v>
      </x:c>
      <x:c r="E37" s="15" t="str">
        <x:v>Property investor / operator inquiry</x:v>
      </x:c>
      <x:c r="F37" s="17" t="str">
        <x:v>New</x:v>
      </x:c>
      <x:c r="G37" s="24" t="str">
        <x:v>landon@azhomebuyer.com</x:v>
      </x:c>
      <x:c r="H37" s="24" t="str">
        <x:v>+14803311819</x:v>
      </x:c>
      <x:c r="I37" s="24" t="str">
        <x:v>https://www.azhomebuyer.com/</x:v>
      </x:c>
      <x:c r="J37" s="16" t="str">
        <x:v>AZ</x:v>
      </x:c>
      <x:c r="K37" s="16" t="str">
        <x:v>Mesa</x:v>
      </x:c>
      <x:c r="L37" s="16" t="str">
        <x:v>Public property-business route; investor decision maker unconfirmed</x:v>
      </x:c>
      <x:c r="M37" s="16" t="str">
        <x:v>https://www.azhomebuyer.com/contact</x:v>
      </x:c>
      <x:c r="N37" s="16" t="str">
        <x:v>$100K-$500K ticket not published / unconfirmed</x:v>
      </x:c>
      <x:c r="O37" s="20"/>
      <x:c r="P37" s="20"/>
      <x:c r="Q37" s="25" t="str">
        <x:v>No $100K-$500K operating-company investment ticket verified</x:v>
      </x:c>
      <x:c r="R37" s="25" t="str">
        <x:v>Property acquisition or investor activity makes this an operator-capital prospect for the signed trial. Confirm operating-company debt/equity appetite.</x:v>
      </x:c>
      <x:c r="S37" s="25" t="str">
        <x:v>Public property-buying activity or a directory listing does not establish available cash, investing decision-maker, current $100K-$500K capacity, or willingness to fund 101XVC operating costs.</x:v>
      </x:c>
      <x:c r="T37" s="25" t="str">
        <x:v>Ask the owner/investor whether they can allocate $100K-$500K to trial marketing and acquisitions, and confirm structure, timing and decision authority.</x:v>
      </x:c>
      <x:c r="U37" s="25" t="str">
        <x:v>https://www.cashhomebuyersdirectory.com/cash-home-buyers/arizona/mesa
https://www.azhomebuyer.com/
https://www.azhomebuyer.com/contact</x:v>
      </x:c>
      <x:c r="V37" s="26" t="d">
        <x:v>2026-10-02T00:00:00.000Z</x:v>
      </x:c>
      <x:c r="W37" s="26" t="d">
        <x:v>2026-10-02T00:00:00.000Z</x:v>
      </x:c>
      <x:c r="X37" s="25" t="str">
        <x:v>Public investor directory; business role and contact ownership require qualification</x:v>
      </x:c>
      <x:c r="Y37" s="25" t="str">
        <x:v>https://www.azhomebuyer.com/</x:v>
      </x:c>
      <x:c r="Z37" s="25" t="str">
        <x:v>https://www.cashhomebuyersdirectory.com/cash-home-buyers/arizona/mesa</x:v>
      </x:c>
      <x:c r="AA37" s="25" t="str">
        <x:v>Public cash-home-buyer directory lists business name, phone and market. Directory entry may include brokers or service providers. Official website fetched; home-buying or investing activity stated.</x:v>
      </x:c>
      <x:c r="AB37" s="3" t="str">
        <x:v>New public-source collection</x:v>
      </x:c>
      <x:c r="AC37" s="3" t="str">
        <x:v>unverified</x:v>
      </x:c>
      <x:c r="AD37" s="3" t="str">
        <x:v>Not contacted / unconfirmed</x:v>
      </x:c>
      <x:c r="AE37" s="3" t="str">
        <x:v>Yes</x:v>
      </x:c>
      <x:c r="AF37" s="3" t="str">
        <x:v>Yes</x:v>
      </x:c>
      <x:c r="AG37" s="3"/>
      <x:c r="AH37" s="3"/>
      <x:c r="AI37" s="18"/>
      <x:c r="AJ37" s="3" t="str">
        <x:v>CF2500-04FC54CFA36A</x:v>
      </x:c>
      <x:c r="AK37" s="3" t="str">
        <x:v>Property investor / home-buying operator prospect</x:v>
      </x:c>
      <x:c r="AL37" s="19" t="n">
        <x:v>100000</x:v>
      </x:c>
      <x:c r="AM37" s="19" t="n">
        <x:v>500000</x:v>
      </x:c>
      <x:c r="AN37" s="3" t="str">
        <x:v>https://www.cashhomebuyersdirectory.com/cash-home-buyers/arizona/mesa</x:v>
      </x:c>
      <x:c r="AO37" s="3" t="str">
        <x:v>nc_il_az_co_investors.jsonl</x:v>
      </x:c>
      <x:c r="AP37" s="19"/>
    </x:row>
    <x:row r="38" ht="36" customHeight="1">
      <x:c r="A38" s="23" t="n">
        <x:v>37</x:v>
      </x:c>
      <x:c r="B38" s="15" t="str">
        <x:v>Big Buck Home Buyers</x:v>
      </x:c>
      <x:c r="C38" s="15"/>
      <x:c r="D38" s="15" t="str">
        <x:v>Property investor / home-buying operator</x:v>
      </x:c>
      <x:c r="E38" s="15" t="str">
        <x:v>Property investor / operator inquiry</x:v>
      </x:c>
      <x:c r="F38" s="17" t="str">
        <x:v>New</x:v>
      </x:c>
      <x:c r="G38" s="24" t="str">
        <x:v>info@bridgeforwardproperties.com</x:v>
      </x:c>
      <x:c r="H38" s="24" t="str">
        <x:v>+12109205280</x:v>
      </x:c>
      <x:c r="I38" s="24" t="str">
        <x:v>https://www.bigbuckhomebuyers.com/</x:v>
      </x:c>
      <x:c r="J38" s="16" t="str">
        <x:v>TX</x:v>
      </x:c>
      <x:c r="K38" s="16" t="str">
        <x:v>San Antonio</x:v>
      </x:c>
      <x:c r="L38" s="16" t="str">
        <x:v>Public property-business route; investor decision maker unconfirmed</x:v>
      </x:c>
      <x:c r="M38" s="16" t="str">
        <x:v>https://www.bigbuckhomebuyers.com/contact-us/</x:v>
      </x:c>
      <x:c r="N38" s="16" t="str">
        <x:v>$100K-$500K ticket not published / unconfirmed</x:v>
      </x:c>
      <x:c r="O38" s="20"/>
      <x:c r="P38" s="20"/>
      <x:c r="Q38" s="25" t="str">
        <x:v>No $100K-$500K corporate-investment ticket published in checked source</x:v>
      </x:c>
      <x:c r="R38" s="25" t="str">
        <x:v>Property acquisition or investor activity makes this an operator-capital prospect for the signed trial. Confirm operating-company debt/equity appetite.</x:v>
      </x:c>
      <x:c r="S38" s="25" t="str">
        <x:v>Corporate-investment ticket and appetite unconfirmed. Property-buying activity alone does not establish fit for funding 101XVC trial operating costs.</x:v>
      </x:c>
      <x:c r="T38" s="25" t="str">
        <x:v>Ask the owner/investor whether they can allocate $100K-$500K to trial marketing and acquisitions, and confirm structure, timing and decision authority.</x:v>
      </x:c>
      <x:c r="U38" s="25" t="str">
        <x:v>https://www.cashhomebuyersdirectory.com/cash-home-buyers/texas/san-antonio
https://www.bigbuckhomebuyers.com/
https://www.bigbuckhomebuyers.com/contact-us/</x:v>
      </x:c>
      <x:c r="V38" s="26" t="d">
        <x:v>2026-10-02T00:00:00.000Z</x:v>
      </x:c>
      <x:c r="W38" s="26" t="d">
        <x:v>2026-10-03T00:00:00.000Z</x:v>
      </x:c>
      <x:c r="X38" s="25" t="str">
        <x:v>Public investor directory; business role and contact ownership require qualification</x:v>
      </x:c>
      <x:c r="Y38" s="25" t="str">
        <x:v>https://www.bigbuckhomebuyers.com/</x:v>
      </x:c>
      <x:c r="Z38" s="25" t="str">
        <x:v>https://www.cashhomebuyersdirectory.com/cash-home-buyers/texas/san-antonio</x:v>
      </x:c>
      <x:c r="AA38" s="25" t="str">
        <x:v>Public cash-home-buyer directory lists business name, phone and market. Directory entry may include brokers or service providers. Official website fetched; home-buying or investing activity stated.</x:v>
      </x:c>
      <x:c r="AB38" s="3" t="str">
        <x:v>New public-source collection</x:v>
      </x:c>
      <x:c r="AC38" s="3" t="str">
        <x:v>unverified</x:v>
      </x:c>
      <x:c r="AD38" s="3" t="str">
        <x:v>Not contacted / unconfirmed</x:v>
      </x:c>
      <x:c r="AE38" s="3" t="str">
        <x:v>Yes</x:v>
      </x:c>
      <x:c r="AF38" s="3" t="str">
        <x:v>Yes</x:v>
      </x:c>
      <x:c r="AG38" s="3"/>
      <x:c r="AH38" s="3"/>
      <x:c r="AI38" s="18"/>
      <x:c r="AJ38" s="3" t="str">
        <x:v>CF2500-86EC0FB23491</x:v>
      </x:c>
      <x:c r="AK38" s="3" t="str">
        <x:v>Property investor / home-buying operator prospect</x:v>
      </x:c>
      <x:c r="AL38" s="19" t="n">
        <x:v>100000</x:v>
      </x:c>
      <x:c r="AM38" s="19" t="n">
        <x:v>500000</x:v>
      </x:c>
      <x:c r="AN38" s="3" t="str">
        <x:v>https://www.cashhomebuyersdirectory.com/cash-home-buyers/texas/san-antonio</x:v>
      </x:c>
      <x:c r="AO38" s="3" t="str">
        <x:v>tx_fl_investors.jsonl</x:v>
      </x:c>
      <x:c r="AP38" s="19"/>
    </x:row>
    <x:row r="39" ht="36" customHeight="1">
      <x:c r="A39" s="23" t="n">
        <x:v>38</x:v>
      </x:c>
      <x:c r="B39" s="15" t="str">
        <x:v>Big State Home Buyers</x:v>
      </x:c>
      <x:c r="C39" s="15"/>
      <x:c r="D39" s="15" t="str">
        <x:v>Property investor / home-buying operator</x:v>
      </x:c>
      <x:c r="E39" s="15" t="str">
        <x:v>Property investor / operator inquiry</x:v>
      </x:c>
      <x:c r="F39" s="17" t="str">
        <x:v>New</x:v>
      </x:c>
      <x:c r="G39" s="24" t="str">
        <x:v>hello@bigstatebuyers.com</x:v>
      </x:c>
      <x:c r="H39" s="24" t="str">
        <x:v>+17133228803</x:v>
      </x:c>
      <x:c r="I39" s="24" t="str">
        <x:v>https://www.bigstatehomebuyers.com/</x:v>
      </x:c>
      <x:c r="J39" s="16" t="str">
        <x:v>TX</x:v>
      </x:c>
      <x:c r="K39" s="16" t="str">
        <x:v>Houston</x:v>
      </x:c>
      <x:c r="L39" s="16" t="str">
        <x:v>Public property-business route; investor decision maker unconfirmed</x:v>
      </x:c>
      <x:c r="M39" s="16" t="str">
        <x:v>https://www.bigstatehomebuyers.com/</x:v>
      </x:c>
      <x:c r="N39" s="16" t="str">
        <x:v>$100K-$500K ticket not published / unconfirmed</x:v>
      </x:c>
      <x:c r="O39" s="20"/>
      <x:c r="P39" s="20"/>
      <x:c r="Q39" s="25" t="str">
        <x:v>No $100K-$500K corporate-investment ticket published in checked source</x:v>
      </x:c>
      <x:c r="R39" s="25" t="str">
        <x:v>Property acquisition or investor activity makes this an operator-capital prospect for the signed trial. Confirm operating-company debt/equity appetite.</x:v>
      </x:c>
      <x:c r="S39" s="25" t="str">
        <x:v>Corporate-investment ticket and appetite unconfirmed. Property-buying activity alone does not establish fit for funding 101XVC trial operating costs.</x:v>
      </x:c>
      <x:c r="T39" s="25" t="str">
        <x:v>Ask the owner/investor whether they can allocate $100K-$500K to trial marketing and acquisitions, and confirm structure, timing and decision authority.</x:v>
      </x:c>
      <x:c r="U39" s="25" t="str">
        <x:v>https://www.cashhomebuyersdirectory.com/cash-home-buyers/texas/houston
https://www.bigstatehomebuyers.com/</x:v>
      </x:c>
      <x:c r="V39" s="26" t="d">
        <x:v>2026-10-02T00:00:00.000Z</x:v>
      </x:c>
      <x:c r="W39" s="26" t="d">
        <x:v>2026-10-03T00:00:00.000Z</x:v>
      </x:c>
      <x:c r="X39" s="25" t="str">
        <x:v>Public investor directory; business role and contact ownership require qualification</x:v>
      </x:c>
      <x:c r="Y39" s="25" t="str">
        <x:v>https://www.bigstatehomebuyers.com/</x:v>
      </x:c>
      <x:c r="Z39" s="25" t="str">
        <x:v>https://www.cashhomebuyersdirectory.com/cash-home-buyers/texas/houston</x:v>
      </x:c>
      <x:c r="AA39" s="25" t="str">
        <x:v>Public cash-home-buyer directory lists business name, phone and market. Directory entry may include brokers or service providers. Official website fetched; home-buying or investing activity stated.</x:v>
      </x:c>
      <x:c r="AB39" s="3" t="str">
        <x:v>New public-source collection</x:v>
      </x:c>
      <x:c r="AC39" s="3" t="str">
        <x:v>unverified</x:v>
      </x:c>
      <x:c r="AD39" s="3" t="str">
        <x:v>Not contacted / unconfirmed</x:v>
      </x:c>
      <x:c r="AE39" s="3" t="str">
        <x:v>Yes</x:v>
      </x:c>
      <x:c r="AF39" s="3" t="str">
        <x:v>No</x:v>
      </x:c>
      <x:c r="AG39" s="3"/>
      <x:c r="AH39" s="3"/>
      <x:c r="AI39" s="18"/>
      <x:c r="AJ39" s="3" t="str">
        <x:v>CF2500-086700414B84</x:v>
      </x:c>
      <x:c r="AK39" s="3" t="str">
        <x:v>Property investor / home-buying operator prospect</x:v>
      </x:c>
      <x:c r="AL39" s="19" t="n">
        <x:v>100000</x:v>
      </x:c>
      <x:c r="AM39" s="19" t="n">
        <x:v>500000</x:v>
      </x:c>
      <x:c r="AN39" s="3" t="str">
        <x:v>https://www.cashhomebuyersdirectory.com/cash-home-buyers/texas/houston</x:v>
      </x:c>
      <x:c r="AO39" s="3" t="str">
        <x:v>tx_fl_investors.jsonl</x:v>
      </x:c>
      <x:c r="AP39" s="19"/>
    </x:row>
    <x:row r="40" ht="36" customHeight="1">
      <x:c r="A40" s="23" t="n">
        <x:v>39</x:v>
      </x:c>
      <x:c r="B40" s="15" t="str">
        <x:v>Blue Chip Home Solutions</x:v>
      </x:c>
      <x:c r="C40" s="15"/>
      <x:c r="D40" s="15" t="str">
        <x:v>Property investor / home-buying operator</x:v>
      </x:c>
      <x:c r="E40" s="15" t="str">
        <x:v>Property investor / operator inquiry</x:v>
      </x:c>
      <x:c r="F40" s="17" t="str">
        <x:v>New</x:v>
      </x:c>
      <x:c r="G40" s="24" t="str">
        <x:v>amel@bluechiphomesolutionsllc.com</x:v>
      </x:c>
      <x:c r="H40" s="24" t="str">
        <x:v>+12395581801</x:v>
      </x:c>
      <x:c r="I40" s="24" t="str">
        <x:v>https://bluechiphomesolutions.com/</x:v>
      </x:c>
      <x:c r="J40" s="16" t="str">
        <x:v>FL</x:v>
      </x:c>
      <x:c r="K40" s="16" t="str">
        <x:v>Cape Coral</x:v>
      </x:c>
      <x:c r="L40" s="16" t="str">
        <x:v>Public property-business route; investor decision maker unconfirmed</x:v>
      </x:c>
      <x:c r="M40" s="16" t="str">
        <x:v>https://bluechiphomesolutions.com/</x:v>
      </x:c>
      <x:c r="N40" s="16" t="str">
        <x:v>$100K-$500K ticket not published / unconfirmed</x:v>
      </x:c>
      <x:c r="O40" s="20"/>
      <x:c r="P40" s="20"/>
      <x:c r="Q40" s="25" t="str">
        <x:v>No $100K-$500K corporate-investment ticket published in checked source</x:v>
      </x:c>
      <x:c r="R40" s="25" t="str">
        <x:v>Property acquisition or investor activity makes this an operator-capital prospect for the signed trial. Confirm operating-company debt/equity appetite.</x:v>
      </x:c>
      <x:c r="S40" s="25" t="str">
        <x:v>Home-buying activity does not verify ability or willingness to invest $100K-$500K into 101XVC operating company. Website and contact verification pending.</x:v>
      </x:c>
      <x:c r="T40" s="25" t="str">
        <x:v>Ask the owner/investor whether they can allocate $100K-$500K to trial marketing and acquisitions, and confirm structure, timing and decision authority.</x:v>
      </x:c>
      <x:c r="U40" s="25" t="str">
        <x:v>https://www.cashhomebuyersdirectory.com/cash-home-buyers/florida/cape-coral
https://bluechiphomesolutions.com/
https://fastcash.bluechiphomesolutions.com/
https://sfranalytics.com/investors/fl/cape-coral-fort-myers-fl
https://sfranalytics.com/investors/fl/cape-coral-fort-myers-fl/blue-chip-home-solutions-llc-fl</x:v>
      </x:c>
      <x:c r="V40" s="26" t="d">
        <x:v>2026-10-02T00:00:00.000Z</x:v>
      </x:c>
      <x:c r="W40" s="26" t="d">
        <x:v>2026-10-03T00:00:00.000Z</x:v>
      </x:c>
      <x:c r="X40" s="25" t="str">
        <x:v>Public investor directory; business role and contact ownership require qualification</x:v>
      </x:c>
      <x:c r="Y40" s="25" t="str">
        <x:v>https://bluechiphomesolutions.com/</x:v>
      </x:c>
      <x:c r="Z40" s="25" t="str">
        <x:v>https://bluechiphomesolutions.com/</x:v>
      </x:c>
      <x:c r="AA40" s="25" t="str">
        <x:v>Public cash-home-buyer directory lists business name, phone and market. Directory entry may include brokers or service providers. Primary website says it purchases homes directly in Southwest Florida and publishes business email and phone.</x:v>
      </x:c>
      <x:c r="AB40" s="3" t="str">
        <x:v>New public-source collection</x:v>
      </x:c>
      <x:c r="AC40" s="3" t="str">
        <x:v>unverified</x:v>
      </x:c>
      <x:c r="AD40" s="3" t="str">
        <x:v>Not contacted / unconfirmed</x:v>
      </x:c>
      <x:c r="AE40" s="3" t="str">
        <x:v>Yes</x:v>
      </x:c>
      <x:c r="AF40" s="3" t="str">
        <x:v>Yes</x:v>
      </x:c>
      <x:c r="AG40" s="3"/>
      <x:c r="AH40" s="3" t="str">
        <x:v>BLUE CHIP HOME SOLUTIONS LLC</x:v>
      </x:c>
      <x:c r="AI40" s="18"/>
      <x:c r="AJ40" s="3" t="str">
        <x:v>CF2500-E7EB57FC6498</x:v>
      </x:c>
      <x:c r="AK40" s="3" t="str">
        <x:v>Property investor / home-buying operator prospect</x:v>
      </x:c>
      <x:c r="AL40" s="19" t="n">
        <x:v>100000</x:v>
      </x:c>
      <x:c r="AM40" s="19" t="n">
        <x:v>500000</x:v>
      </x:c>
      <x:c r="AN40" s="3" t="str">
        <x:v>https://www.cashhomebuyersdirectory.com/cash-home-buyers/florida/cape-coral</x:v>
      </x:c>
      <x:c r="AO40" s="3" t="str">
        <x:v>tx_fl_investors.jsonl</x:v>
      </x:c>
      <x:c r="AP40" s="19"/>
    </x:row>
    <x:row r="41" ht="36" customHeight="1">
      <x:c r="A41" s="23" t="n">
        <x:v>40</x:v>
      </x:c>
      <x:c r="B41" s="15" t="str">
        <x:v>Blue Spot Properties</x:v>
      </x:c>
      <x:c r="C41" s="15"/>
      <x:c r="D41" s="15" t="str">
        <x:v>Property investor / home-buying operator</x:v>
      </x:c>
      <x:c r="E41" s="15" t="str">
        <x:v>Property investor / operator inquiry</x:v>
      </x:c>
      <x:c r="F41" s="17" t="str">
        <x:v>New</x:v>
      </x:c>
      <x:c r="G41" s="24" t="str">
        <x:v>support@bluespotproperties.com</x:v>
      </x:c>
      <x:c r="H41" s="24" t="str">
        <x:v>+17139001800</x:v>
      </x:c>
      <x:c r="I41" s="24" t="str">
        <x:v>http://www.bluespotproperties.com/</x:v>
      </x:c>
      <x:c r="J41" s="16" t="str">
        <x:v>TX</x:v>
      </x:c>
      <x:c r="K41" s="16" t="str">
        <x:v>Houston</x:v>
      </x:c>
      <x:c r="L41" s="16" t="str">
        <x:v>Public property-business route; investor decision maker unconfirmed</x:v>
      </x:c>
      <x:c r="M41" s="16" t="str">
        <x:v>http://www.bluespotproperties.com/contact-us</x:v>
      </x:c>
      <x:c r="N41" s="16" t="str">
        <x:v>$100K-$500K ticket not published / unconfirmed</x:v>
      </x:c>
      <x:c r="O41" s="20"/>
      <x:c r="P41" s="20"/>
      <x:c r="Q41" s="25" t="str">
        <x:v>No $100K-$500K corporate-investment ticket published in checked source</x:v>
      </x:c>
      <x:c r="R41" s="25" t="str">
        <x:v>Property acquisition or investor activity makes this an operator-capital prospect for the signed trial. Confirm operating-company debt/equity appetite.</x:v>
      </x:c>
      <x:c r="S41" s="25" t="str">
        <x:v>Corporate-investment ticket and appetite unconfirmed. Property-buying activity alone does not establish fit for funding 101XVC trial operating costs.</x:v>
      </x:c>
      <x:c r="T41" s="25" t="str">
        <x:v>Ask the owner/investor whether they can allocate $100K-$500K to trial marketing and acquisitions, and confirm structure, timing and decision authority.</x:v>
      </x:c>
      <x:c r="U41" s="25" t="str">
        <x:v>https://www.cashhomebuyersdirectory.com/cash-home-buyers/texas/houston
http://www.bluespotproperties.com/
http://www.bluespotproperties.com/contact-us</x:v>
      </x:c>
      <x:c r="V41" s="26" t="d">
        <x:v>2026-10-02T00:00:00.000Z</x:v>
      </x:c>
      <x:c r="W41" s="26" t="d">
        <x:v>2026-10-03T00:00:00.000Z</x:v>
      </x:c>
      <x:c r="X41" s="25" t="str">
        <x:v>Public investor directory; business role and contact ownership require qualification</x:v>
      </x:c>
      <x:c r="Y41" s="25" t="str">
        <x:v>http://www.bluespotproperties.com/</x:v>
      </x:c>
      <x:c r="Z41" s="25" t="str">
        <x:v>https://www.cashhomebuyersdirectory.com/cash-home-buyers/texas/houston</x:v>
      </x:c>
      <x:c r="AA41" s="25" t="str">
        <x:v>Public cash-home-buyer directory lists business name, phone and market. Directory entry may include brokers or service providers. Official website fetched; home-buying or investing activity stated.</x:v>
      </x:c>
      <x:c r="AB41" s="3" t="str">
        <x:v>New public-source collection</x:v>
      </x:c>
      <x:c r="AC41" s="3" t="str">
        <x:v>unverified</x:v>
      </x:c>
      <x:c r="AD41" s="3" t="str">
        <x:v>Not contacted / unconfirmed</x:v>
      </x:c>
      <x:c r="AE41" s="3" t="str">
        <x:v>Yes</x:v>
      </x:c>
      <x:c r="AF41" s="3" t="str">
        <x:v>Yes</x:v>
      </x:c>
      <x:c r="AG41" s="3"/>
      <x:c r="AH41" s="3"/>
      <x:c r="AI41" s="18"/>
      <x:c r="AJ41" s="3" t="str">
        <x:v>CF2500-AA034D521A87</x:v>
      </x:c>
      <x:c r="AK41" s="3" t="str">
        <x:v>Property investor / home-buying operator prospect</x:v>
      </x:c>
      <x:c r="AL41" s="19" t="n">
        <x:v>100000</x:v>
      </x:c>
      <x:c r="AM41" s="19" t="n">
        <x:v>500000</x:v>
      </x:c>
      <x:c r="AN41" s="3" t="str">
        <x:v>https://www.cashhomebuyersdirectory.com/cash-home-buyers/texas/houston</x:v>
      </x:c>
      <x:c r="AO41" s="3" t="str">
        <x:v>tx_fl_investors.jsonl</x:v>
      </x:c>
      <x:c r="AP41" s="19"/>
    </x:row>
    <x:row r="42" ht="36" customHeight="1">
      <x:c r="A42" s="23" t="n">
        <x:v>41</x:v>
      </x:c>
      <x:c r="B42" s="15" t="str">
        <x:v>Bob’s Buying Cape Coral Real Estate</x:v>
      </x:c>
      <x:c r="C42" s="15"/>
      <x:c r="D42" s="15" t="str">
        <x:v>Property investor / home-buying operator</x:v>
      </x:c>
      <x:c r="E42" s="15" t="str">
        <x:v>Property investor / operator inquiry</x:v>
      </x:c>
      <x:c r="F42" s="17" t="str">
        <x:v>New</x:v>
      </x:c>
      <x:c r="G42" s="24" t="str">
        <x:v>info@cashforhousesbybob.com</x:v>
      </x:c>
      <x:c r="H42" s="24" t="str">
        <x:v>+12393606243</x:v>
      </x:c>
      <x:c r="I42" s="24" t="str">
        <x:v>https://cashforhousesbybob.com/</x:v>
      </x:c>
      <x:c r="J42" s="16" t="str">
        <x:v>FL</x:v>
      </x:c>
      <x:c r="K42" s="16" t="str">
        <x:v>Cape Coral</x:v>
      </x:c>
      <x:c r="L42" s="16" t="str">
        <x:v>Public property-business route; investor decision maker unconfirmed</x:v>
      </x:c>
      <x:c r="M42" s="16" t="str">
        <x:v>https://cashforhousesbybob.com/contact-us/</x:v>
      </x:c>
      <x:c r="N42" s="16" t="str">
        <x:v>$100K-$500K ticket not published / unconfirmed</x:v>
      </x:c>
      <x:c r="O42" s="20"/>
      <x:c r="P42" s="20"/>
      <x:c r="Q42" s="25" t="str">
        <x:v>No $100K-$500K corporate-investment ticket published in checked source</x:v>
      </x:c>
      <x:c r="R42" s="25" t="str">
        <x:v>Property acquisition or investor activity makes this an operator-capital prospect for the signed trial. Confirm operating-company debt/equity appetite.</x:v>
      </x:c>
      <x:c r="S42" s="25" t="str">
        <x:v>Corporate-investment ticket and appetite unconfirmed. Property-buying activity alone does not establish fit for funding 101XVC trial operating costs.</x:v>
      </x:c>
      <x:c r="T42" s="25" t="str">
        <x:v>Ask the owner/investor whether they can allocate $100K-$500K to trial marketing and acquisitions, and confirm structure, timing and decision authority.</x:v>
      </x:c>
      <x:c r="U42" s="25" t="str">
        <x:v>https://www.cashhomebuyersdirectory.com/cash-home-buyers/florida/cape-coral
https://cashforhousesbybob.com/
https://cashforhousesbybob.com/contact-us/</x:v>
      </x:c>
      <x:c r="V42" s="26" t="d">
        <x:v>2026-10-02T00:00:00.000Z</x:v>
      </x:c>
      <x:c r="W42" s="26" t="d">
        <x:v>2026-10-03T00:00:00.000Z</x:v>
      </x:c>
      <x:c r="X42" s="25" t="str">
        <x:v>Public investor directory; business role and contact ownership require qualification</x:v>
      </x:c>
      <x:c r="Y42" s="25" t="str">
        <x:v>https://cashforhousesbybob.com/</x:v>
      </x:c>
      <x:c r="Z42" s="25" t="str">
        <x:v>https://www.cashhomebuyersdirectory.com/cash-home-buyers/florida/cape-coral</x:v>
      </x:c>
      <x:c r="AA42" s="25" t="str">
        <x:v>Public cash-home-buyer directory lists business name, phone and market. Directory entry may include brokers or service providers. Official website fetched; home-buying or investing activity stated.</x:v>
      </x:c>
      <x:c r="AB42" s="3" t="str">
        <x:v>New public-source collection</x:v>
      </x:c>
      <x:c r="AC42" s="3" t="str">
        <x:v>unverified</x:v>
      </x:c>
      <x:c r="AD42" s="3" t="str">
        <x:v>Not contacted / unconfirmed</x:v>
      </x:c>
      <x:c r="AE42" s="3" t="str">
        <x:v>Yes</x:v>
      </x:c>
      <x:c r="AF42" s="3" t="str">
        <x:v>No</x:v>
      </x:c>
      <x:c r="AG42" s="3"/>
      <x:c r="AH42" s="3"/>
      <x:c r="AI42" s="18"/>
      <x:c r="AJ42" s="3" t="str">
        <x:v>CF2500-8B440181B325</x:v>
      </x:c>
      <x:c r="AK42" s="3" t="str">
        <x:v>Property investor / home-buying operator prospect</x:v>
      </x:c>
      <x:c r="AL42" s="19" t="n">
        <x:v>100000</x:v>
      </x:c>
      <x:c r="AM42" s="19" t="n">
        <x:v>500000</x:v>
      </x:c>
      <x:c r="AN42" s="3" t="str">
        <x:v>https://www.cashhomebuyersdirectory.com/cash-home-buyers/florida/cape-coral</x:v>
      </x:c>
      <x:c r="AO42" s="3" t="str">
        <x:v>tx_fl_investors.jsonl</x:v>
      </x:c>
      <x:c r="AP42" s="19"/>
    </x:row>
    <x:row r="43" ht="36" customHeight="1">
      <x:c r="A43" s="23" t="n">
        <x:v>42</x:v>
      </x:c>
      <x:c r="B43" s="15" t="str">
        <x:v>Border City Home Buyers, LLC.</x:v>
      </x:c>
      <x:c r="C43" s="15"/>
      <x:c r="D43" s="15" t="str">
        <x:v>Property investor / home-buying operator</x:v>
      </x:c>
      <x:c r="E43" s="15" t="str">
        <x:v>Property investor / operator inquiry</x:v>
      </x:c>
      <x:c r="F43" s="17" t="str">
        <x:v>New</x:v>
      </x:c>
      <x:c r="G43" s="24" t="str">
        <x:v>info@bordercityhb.com</x:v>
      </x:c>
      <x:c r="H43" s="24" t="str">
        <x:v>+19155902002</x:v>
      </x:c>
      <x:c r="I43" s="24" t="str">
        <x:v>https://bordercityhb.com/</x:v>
      </x:c>
      <x:c r="J43" s="16" t="str">
        <x:v>TX</x:v>
      </x:c>
      <x:c r="K43" s="16" t="str">
        <x:v>El Paso</x:v>
      </x:c>
      <x:c r="L43" s="16" t="str">
        <x:v>Public property-business route; investor decision maker unconfirmed</x:v>
      </x:c>
      <x:c r="M43" s="16" t="str">
        <x:v>https://bordercityhb.com/contact-us/</x:v>
      </x:c>
      <x:c r="N43" s="16" t="str">
        <x:v>$100K-$500K ticket not published / unconfirmed</x:v>
      </x:c>
      <x:c r="O43" s="20"/>
      <x:c r="P43" s="20"/>
      <x:c r="Q43" s="25" t="str">
        <x:v>No $100K-$500K corporate-investment ticket published in checked source</x:v>
      </x:c>
      <x:c r="R43" s="25" t="str">
        <x:v>Property acquisition or investor activity makes this an operator-capital prospect for the signed trial. Confirm operating-company debt/equity appetite.</x:v>
      </x:c>
      <x:c r="S43" s="25" t="str">
        <x:v>Corporate-investment ticket and appetite unconfirmed. Property-buying activity alone does not establish fit for funding 101XVC trial operating costs.</x:v>
      </x:c>
      <x:c r="T43" s="25" t="str">
        <x:v>Ask the owner/investor whether they can allocate $100K-$500K to trial marketing and acquisitions, and confirm structure, timing and decision authority.</x:v>
      </x:c>
      <x:c r="U43" s="25" t="str">
        <x:v>https://www.cashhomebuyersdirectory.com/cash-home-buyers/texas/el-paso
https://bordercityhb.com/
https://bordercityhb.com/contact-us/</x:v>
      </x:c>
      <x:c r="V43" s="26" t="d">
        <x:v>2026-10-02T00:00:00.000Z</x:v>
      </x:c>
      <x:c r="W43" s="26" t="d">
        <x:v>2026-10-03T00:00:00.000Z</x:v>
      </x:c>
      <x:c r="X43" s="25" t="str">
        <x:v>Public investor directory; business role and contact ownership require qualification</x:v>
      </x:c>
      <x:c r="Y43" s="25" t="str">
        <x:v>https://bordercityhb.com/</x:v>
      </x:c>
      <x:c r="Z43" s="25" t="str">
        <x:v>https://www.cashhomebuyersdirectory.com/cash-home-buyers/texas/el-paso</x:v>
      </x:c>
      <x:c r="AA43" s="25" t="str">
        <x:v>Public cash-home-buyer directory lists business name, phone and market. Directory entry may include brokers or service providers. Official website fetched; home-buying or investing activity stated.</x:v>
      </x:c>
      <x:c r="AB43" s="3" t="str">
        <x:v>New public-source collection</x:v>
      </x:c>
      <x:c r="AC43" s="3" t="str">
        <x:v>unverified</x:v>
      </x:c>
      <x:c r="AD43" s="3" t="str">
        <x:v>Not contacted / unconfirmed</x:v>
      </x:c>
      <x:c r="AE43" s="3" t="str">
        <x:v>Yes</x:v>
      </x:c>
      <x:c r="AF43" s="3" t="str">
        <x:v>Yes</x:v>
      </x:c>
      <x:c r="AG43" s="3"/>
      <x:c r="AH43" s="3"/>
      <x:c r="AI43" s="18"/>
      <x:c r="AJ43" s="3" t="str">
        <x:v>CF2500-2E66BC57692F</x:v>
      </x:c>
      <x:c r="AK43" s="3" t="str">
        <x:v>Property investor / home-buying operator prospect</x:v>
      </x:c>
      <x:c r="AL43" s="19" t="n">
        <x:v>100000</x:v>
      </x:c>
      <x:c r="AM43" s="19" t="n">
        <x:v>500000</x:v>
      </x:c>
      <x:c r="AN43" s="3" t="str">
        <x:v>https://www.cashhomebuyersdirectory.com/cash-home-buyers/texas/el-paso</x:v>
      </x:c>
      <x:c r="AO43" s="3" t="str">
        <x:v>tx_fl_investors.jsonl</x:v>
      </x:c>
      <x:c r="AP43" s="19"/>
    </x:row>
    <x:row r="44" ht="36" customHeight="1">
      <x:c r="A44" s="23" t="n">
        <x:v>43</x:v>
      </x:c>
      <x:c r="B44" s="15" t="str">
        <x:v>Branden Buys Lubbock Houses</x:v>
      </x:c>
      <x:c r="C44" s="15"/>
      <x:c r="D44" s="15" t="str">
        <x:v>Property investor / home-buying operator</x:v>
      </x:c>
      <x:c r="E44" s="15" t="str">
        <x:v>Property investor / operator inquiry</x:v>
      </x:c>
      <x:c r="F44" s="17" t="str">
        <x:v>New</x:v>
      </x:c>
      <x:c r="G44" s="24" t="str">
        <x:v>branden@westtexaspropertysolution.com</x:v>
      </x:c>
      <x:c r="H44" s="24" t="str">
        <x:v>+18067773502</x:v>
      </x:c>
      <x:c r="I44" s="24" t="str">
        <x:v>https://brandenbuyslubbockhouses.com/</x:v>
      </x:c>
      <x:c r="J44" s="16" t="str">
        <x:v>TX</x:v>
      </x:c>
      <x:c r="K44" s="16" t="str">
        <x:v>Lubbock</x:v>
      </x:c>
      <x:c r="L44" s="16" t="str">
        <x:v>Public property-business route; investor decision maker unconfirmed</x:v>
      </x:c>
      <x:c r="M44" s="16" t="str">
        <x:v>https://brandenbuyslubbockhouses.com/contact-us/</x:v>
      </x:c>
      <x:c r="N44" s="16" t="str">
        <x:v>$100K-$500K ticket not published / unconfirmed</x:v>
      </x:c>
      <x:c r="O44" s="20"/>
      <x:c r="P44" s="20"/>
      <x:c r="Q44" s="25" t="str">
        <x:v>No $100K-$500K corporate-investment ticket published in checked source</x:v>
      </x:c>
      <x:c r="R44" s="25" t="str">
        <x:v>Property acquisition or investor activity makes this an operator-capital prospect for the signed trial. Confirm operating-company debt/equity appetite.</x:v>
      </x:c>
      <x:c r="S44" s="25" t="str">
        <x:v>Corporate-investment ticket and appetite unconfirmed. Property-buying activity alone does not establish fit for funding 101XVC trial operating costs.</x:v>
      </x:c>
      <x:c r="T44" s="25" t="str">
        <x:v>Ask the owner/investor whether they can allocate $100K-$500K to trial marketing and acquisitions, and confirm structure, timing and decision authority.</x:v>
      </x:c>
      <x:c r="U44" s="25" t="str">
        <x:v>https://www.cashhomebuyersdirectory.com/cash-home-buyers/texas/lubbock
https://brandenbuyslubbockhouses.com/
https://brandenbuyslubbockhouses.com/contact-us/</x:v>
      </x:c>
      <x:c r="V44" s="26" t="d">
        <x:v>2026-10-02T00:00:00.000Z</x:v>
      </x:c>
      <x:c r="W44" s="26" t="d">
        <x:v>2026-10-03T00:00:00.000Z</x:v>
      </x:c>
      <x:c r="X44" s="25" t="str">
        <x:v>Public investor directory; business role and contact ownership require qualification</x:v>
      </x:c>
      <x:c r="Y44" s="25" t="str">
        <x:v>https://brandenbuyslubbockhouses.com/</x:v>
      </x:c>
      <x:c r="Z44" s="25" t="str">
        <x:v>https://www.cashhomebuyersdirectory.com/cash-home-buyers/texas/lubbock</x:v>
      </x:c>
      <x:c r="AA44" s="25" t="str">
        <x:v>Public cash-home-buyer directory lists business name, phone and market. Directory entry may include brokers or service providers. Official website fetched; home-buying or investing activity stated.</x:v>
      </x:c>
      <x:c r="AB44" s="3" t="str">
        <x:v>New public-source collection</x:v>
      </x:c>
      <x:c r="AC44" s="3" t="str">
        <x:v>unverified</x:v>
      </x:c>
      <x:c r="AD44" s="3" t="str">
        <x:v>Not contacted / unconfirmed</x:v>
      </x:c>
      <x:c r="AE44" s="3" t="str">
        <x:v>Yes</x:v>
      </x:c>
      <x:c r="AF44" s="3" t="str">
        <x:v>No</x:v>
      </x:c>
      <x:c r="AG44" s="3"/>
      <x:c r="AH44" s="3"/>
      <x:c r="AI44" s="18"/>
      <x:c r="AJ44" s="3" t="str">
        <x:v>CF2500-DEBC8A00C17F</x:v>
      </x:c>
      <x:c r="AK44" s="3" t="str">
        <x:v>Property investor / home-buying operator prospect</x:v>
      </x:c>
      <x:c r="AL44" s="19" t="n">
        <x:v>100000</x:v>
      </x:c>
      <x:c r="AM44" s="19" t="n">
        <x:v>500000</x:v>
      </x:c>
      <x:c r="AN44" s="3" t="str">
        <x:v>https://www.cashhomebuyersdirectory.com/cash-home-buyers/texas/lubbock</x:v>
      </x:c>
      <x:c r="AO44" s="3" t="str">
        <x:v>tx_fl_investors.jsonl</x:v>
      </x:c>
      <x:c r="AP44" s="19"/>
    </x:row>
    <x:row r="45" ht="36" customHeight="1">
      <x:c r="A45" s="23" t="n">
        <x:v>44</x:v>
      </x:c>
      <x:c r="B45" s="15" t="str">
        <x:v>Bright Home Offer</x:v>
      </x:c>
      <x:c r="C45" s="15"/>
      <x:c r="D45" s="15" t="str">
        <x:v>Property investor / home-buying operator</x:v>
      </x:c>
      <x:c r="E45" s="15" t="str">
        <x:v>Property investor / operator inquiry</x:v>
      </x:c>
      <x:c r="F45" s="17" t="str">
        <x:v>New</x:v>
      </x:c>
      <x:c r="G45" s="24" t="str">
        <x:v>brighthomeoffer@gmail.com</x:v>
      </x:c>
      <x:c r="H45" s="24" t="str">
        <x:v>+19842036714</x:v>
      </x:c>
      <x:c r="I45" s="24" t="str">
        <x:v>https://brighthomeoffer.com/?utm_source=google&amp;utm_medium=Google%20Business%20Profile%20Website%20Link&amp;utm_campaign=carrot-campaign-v1-57815-2639</x:v>
      </x:c>
      <x:c r="J45" s="16" t="str">
        <x:v>NC</x:v>
      </x:c>
      <x:c r="K45" s="16" t="str">
        <x:v>Durham</x:v>
      </x:c>
      <x:c r="L45" s="16" t="str">
        <x:v>Public property-business route; investor decision maker unconfirmed</x:v>
      </x:c>
      <x:c r="M45" s="16" t="str">
        <x:v>https://brighthomeoffer.com/contact-us/</x:v>
      </x:c>
      <x:c r="N45" s="16" t="str">
        <x:v>$100K-$500K ticket not published / unconfirmed</x:v>
      </x:c>
      <x:c r="O45" s="20"/>
      <x:c r="P45" s="20"/>
      <x:c r="Q45" s="25" t="str">
        <x:v>No $100K-$500K operating-company investment ticket verified</x:v>
      </x:c>
      <x:c r="R45" s="25" t="str">
        <x:v>Property acquisition or investor activity makes this an operator-capital prospect for the signed trial. Confirm operating-company debt/equity appetite.</x:v>
      </x:c>
      <x:c r="S45" s="25" t="str">
        <x:v>Public property-buying activity or a directory listing does not establish available cash, investing decision-maker, current $100K-$500K capacity, or willingness to fund 101XVC operating costs.</x:v>
      </x:c>
      <x:c r="T45" s="25" t="str">
        <x:v>Ask the owner/investor whether they can allocate $100K-$500K to trial marketing and acquisitions, and confirm structure, timing and decision authority.</x:v>
      </x:c>
      <x:c r="U45" s="25" t="str">
        <x:v>https://www.cashhomebuyersdirectory.com/cash-home-buyers/north-carolina/durham
https://brighthomeoffer.com/?utm_source=google&amp;utm_medium=Google%20Business%20Profile%20Website%20Link&amp;utm_campaign=carrot-campaign-v1-57815-2639
https://brighthomeoffer.com/contact-us/</x:v>
      </x:c>
      <x:c r="V45" s="26" t="d">
        <x:v>2026-10-02T00:00:00.000Z</x:v>
      </x:c>
      <x:c r="W45" s="26" t="d">
        <x:v>2026-10-02T00:00:00.000Z</x:v>
      </x:c>
      <x:c r="X45" s="25" t="str">
        <x:v>Public investor directory; business role and contact ownership require qualification</x:v>
      </x:c>
      <x:c r="Y45" s="25" t="str">
        <x:v>https://brighthomeoffer.com/contact-us/</x:v>
      </x:c>
      <x:c r="Z45" s="25" t="str">
        <x:v>https://www.cashhomebuyersdirectory.com/cash-home-buyers/north-carolina/durham</x:v>
      </x:c>
      <x:c r="AA45" s="25" t="str">
        <x:v>Public cash-home-buyer directory lists business name, phone and market. Directory entry may include brokers or service providers. Official website fetched; home-buying or investing activity stated.</x:v>
      </x:c>
      <x:c r="AB45" s="3" t="str">
        <x:v>New public-source collection</x:v>
      </x:c>
      <x:c r="AC45" s="3" t="str">
        <x:v>unverified</x:v>
      </x:c>
      <x:c r="AD45" s="3" t="str">
        <x:v>Not contacted / unconfirmed</x:v>
      </x:c>
      <x:c r="AE45" s="3" t="str">
        <x:v>Yes</x:v>
      </x:c>
      <x:c r="AF45" s="3" t="str">
        <x:v>No</x:v>
      </x:c>
      <x:c r="AG45" s="3"/>
      <x:c r="AH45" s="3"/>
      <x:c r="AI45" s="18"/>
      <x:c r="AJ45" s="3" t="str">
        <x:v>CF2500-BD531A12CE50</x:v>
      </x:c>
      <x:c r="AK45" s="3" t="str">
        <x:v>Property investor / home-buying operator prospect</x:v>
      </x:c>
      <x:c r="AL45" s="19" t="n">
        <x:v>100000</x:v>
      </x:c>
      <x:c r="AM45" s="19" t="n">
        <x:v>500000</x:v>
      </x:c>
      <x:c r="AN45" s="3" t="str">
        <x:v>https://www.cashhomebuyersdirectory.com/cash-home-buyers/north-carolina/durham</x:v>
      </x:c>
      <x:c r="AO45" s="3" t="str">
        <x:v>nc_il_az_co_investors.jsonl</x:v>
      </x:c>
      <x:c r="AP45" s="19"/>
    </x:row>
    <x:row r="46" ht="36" customHeight="1">
      <x:c r="A46" s="23" t="n">
        <x:v>45</x:v>
      </x:c>
      <x:c r="B46" s="15" t="str">
        <x:v>Buddy Buys Florida</x:v>
      </x:c>
      <x:c r="C46" s="15"/>
      <x:c r="D46" s="15" t="str">
        <x:v>Property investor / home-buying operator</x:v>
      </x:c>
      <x:c r="E46" s="15" t="str">
        <x:v>Property investor / operator inquiry</x:v>
      </x:c>
      <x:c r="F46" s="17" t="str">
        <x:v>New</x:v>
      </x:c>
      <x:c r="G46" s="24" t="str">
        <x:v>daniel@buddybuysfl.com</x:v>
      </x:c>
      <x:c r="H46" s="24" t="str">
        <x:v>+15616002274</x:v>
      </x:c>
      <x:c r="I46" s="24" t="str">
        <x:v>https://buddybuysflorida.com/</x:v>
      </x:c>
      <x:c r="J46" s="16" t="str">
        <x:v>FL</x:v>
      </x:c>
      <x:c r="K46" s="16" t="str">
        <x:v>Port St. Lucie</x:v>
      </x:c>
      <x:c r="L46" s="16" t="str">
        <x:v>Public property-business route; investor decision maker unconfirmed</x:v>
      </x:c>
      <x:c r="M46" s="16" t="str">
        <x:v>https://buddybuysflorida.com/contact/</x:v>
      </x:c>
      <x:c r="N46" s="16" t="str">
        <x:v>$100K-$500K ticket not published / unconfirmed</x:v>
      </x:c>
      <x:c r="O46" s="20"/>
      <x:c r="P46" s="20"/>
      <x:c r="Q46" s="25" t="str">
        <x:v>No $100K-$500K corporate-investment ticket published in checked source</x:v>
      </x:c>
      <x:c r="R46" s="25" t="str">
        <x:v>Property acquisition or investor activity makes this an operator-capital prospect for the signed trial. Confirm operating-company debt/equity appetite.</x:v>
      </x:c>
      <x:c r="S46" s="25" t="str">
        <x:v>Corporate-investment ticket and appetite unconfirmed. Property-buying activity alone does not establish fit for funding 101XVC trial operating costs.</x:v>
      </x:c>
      <x:c r="T46" s="25" t="str">
        <x:v>Ask the owner/investor whether they can allocate $100K-$500K to trial marketing and acquisitions, and confirm structure, timing and decision authority.</x:v>
      </x:c>
      <x:c r="U46" s="25" t="str">
        <x:v>https://www.cashhomebuyersdirectory.com/cash-home-buyers/florida/port-st-lucie
https://buddybuysflorida.com/
https://buddybuysflorida.com/contact/</x:v>
      </x:c>
      <x:c r="V46" s="26" t="d">
        <x:v>2026-10-02T00:00:00.000Z</x:v>
      </x:c>
      <x:c r="W46" s="26" t="d">
        <x:v>2026-10-03T00:00:00.000Z</x:v>
      </x:c>
      <x:c r="X46" s="25" t="str">
        <x:v>Public investor directory; business role and contact ownership require qualification</x:v>
      </x:c>
      <x:c r="Y46" s="25" t="str">
        <x:v>https://buddybuysflorida.com/</x:v>
      </x:c>
      <x:c r="Z46" s="25" t="str">
        <x:v>https://www.cashhomebuyersdirectory.com/cash-home-buyers/florida/port-st-lucie</x:v>
      </x:c>
      <x:c r="AA46" s="25" t="str">
        <x:v>Public cash-home-buyer directory lists business name, phone and market. Directory entry may include brokers or service providers. Official website fetched; home-buying or investing activity stated.</x:v>
      </x:c>
      <x:c r="AB46" s="3" t="str">
        <x:v>New public-source collection</x:v>
      </x:c>
      <x:c r="AC46" s="3" t="str">
        <x:v>unverified</x:v>
      </x:c>
      <x:c r="AD46" s="3" t="str">
        <x:v>Not contacted / unconfirmed</x:v>
      </x:c>
      <x:c r="AE46" s="3" t="str">
        <x:v>Yes</x:v>
      </x:c>
      <x:c r="AF46" s="3" t="str">
        <x:v>Yes</x:v>
      </x:c>
      <x:c r="AG46" s="3"/>
      <x:c r="AH46" s="3"/>
      <x:c r="AI46" s="18"/>
      <x:c r="AJ46" s="3" t="str">
        <x:v>CF2500-D5C7AA480A82</x:v>
      </x:c>
      <x:c r="AK46" s="3" t="str">
        <x:v>Property investor / home-buying operator prospect</x:v>
      </x:c>
      <x:c r="AL46" s="19" t="n">
        <x:v>100000</x:v>
      </x:c>
      <x:c r="AM46" s="19" t="n">
        <x:v>500000</x:v>
      </x:c>
      <x:c r="AN46" s="3" t="str">
        <x:v>https://www.cashhomebuyersdirectory.com/cash-home-buyers/florida/port-st-lucie</x:v>
      </x:c>
      <x:c r="AO46" s="3" t="str">
        <x:v>tx_fl_investors.jsonl</x:v>
      </x:c>
      <x:c r="AP46" s="19"/>
    </x:row>
    <x:row r="47" ht="36" customHeight="1">
      <x:c r="A47" s="23" t="n">
        <x:v>46</x:v>
      </x:c>
      <x:c r="B47" s="15" t="str">
        <x:v>Buying Jax Homes</x:v>
      </x:c>
      <x:c r="C47" s="15"/>
      <x:c r="D47" s="15" t="str">
        <x:v>Property investor / home-buying operator</x:v>
      </x:c>
      <x:c r="E47" s="15" t="str">
        <x:v>Property investor / operator inquiry</x:v>
      </x:c>
      <x:c r="F47" s="17" t="str">
        <x:v>New</x:v>
      </x:c>
      <x:c r="G47" s="24" t="str">
        <x:v>getoffer@buyingjaxhomes.com</x:v>
      </x:c>
      <x:c r="H47" s="24" t="str">
        <x:v>+19043669174</x:v>
      </x:c>
      <x:c r="I47" s="24" t="str">
        <x:v>https://www.buyingjaxhomes.com/</x:v>
      </x:c>
      <x:c r="J47" s="16" t="str">
        <x:v>FL</x:v>
      </x:c>
      <x:c r="K47" s="16" t="str">
        <x:v>Jacksonville</x:v>
      </x:c>
      <x:c r="L47" s="16" t="str">
        <x:v>Public property-business route; investor decision maker unconfirmed</x:v>
      </x:c>
      <x:c r="M47" s="16" t="str">
        <x:v>https://www.buyingjaxhomes.com/contact-us/</x:v>
      </x:c>
      <x:c r="N47" s="16" t="str">
        <x:v>$100K-$500K ticket not published / unconfirmed</x:v>
      </x:c>
      <x:c r="O47" s="20"/>
      <x:c r="P47" s="20"/>
      <x:c r="Q47" s="25" t="str">
        <x:v>No $100K-$500K corporate-investment ticket published in checked source</x:v>
      </x:c>
      <x:c r="R47" s="25" t="str">
        <x:v>Property acquisition or investor activity makes this an operator-capital prospect for the signed trial. Confirm operating-company debt/equity appetite.</x:v>
      </x:c>
      <x:c r="S47" s="25" t="str">
        <x:v>Corporate-investment ticket and appetite unconfirmed. Property-buying activity alone does not establish fit for funding 101XVC trial operating costs.</x:v>
      </x:c>
      <x:c r="T47" s="25" t="str">
        <x:v>Ask the owner/investor whether they can allocate $100K-$500K to trial marketing and acquisitions, and confirm structure, timing and decision authority.</x:v>
      </x:c>
      <x:c r="U47" s="25" t="str">
        <x:v>https://www.cashhomebuyersdirectory.com/cash-home-buyers/florida/jacksonville
https://www.buyingjaxhomes.com/
https://www.buyingjaxhomes.com/contact-us/</x:v>
      </x:c>
      <x:c r="V47" s="26" t="d">
        <x:v>2026-10-02T00:00:00.000Z</x:v>
      </x:c>
      <x:c r="W47" s="26" t="d">
        <x:v>2026-10-03T00:00:00.000Z</x:v>
      </x:c>
      <x:c r="X47" s="25" t="str">
        <x:v>Public investor directory; business role and contact ownership require qualification</x:v>
      </x:c>
      <x:c r="Y47" s="25" t="str">
        <x:v>https://www.buyingjaxhomes.com/</x:v>
      </x:c>
      <x:c r="Z47" s="25" t="str">
        <x:v>https://www.cashhomebuyersdirectory.com/cash-home-buyers/florida/jacksonville</x:v>
      </x:c>
      <x:c r="AA47" s="25" t="str">
        <x:v>Public cash-home-buyer directory lists business name, phone and market. Directory entry may include brokers or service providers. Official website fetched; home-buying or investing activity stated.</x:v>
      </x:c>
      <x:c r="AB47" s="3" t="str">
        <x:v>New public-source collection</x:v>
      </x:c>
      <x:c r="AC47" s="3" t="str">
        <x:v>unverified</x:v>
      </x:c>
      <x:c r="AD47" s="3" t="str">
        <x:v>Not contacted / unconfirmed</x:v>
      </x:c>
      <x:c r="AE47" s="3" t="str">
        <x:v>Yes</x:v>
      </x:c>
      <x:c r="AF47" s="3" t="str">
        <x:v>Yes</x:v>
      </x:c>
      <x:c r="AG47" s="3"/>
      <x:c r="AH47" s="3"/>
      <x:c r="AI47" s="18"/>
      <x:c r="AJ47" s="3" t="str">
        <x:v>CF2500-F77A150691CC</x:v>
      </x:c>
      <x:c r="AK47" s="3" t="str">
        <x:v>Property investor / home-buying operator prospect</x:v>
      </x:c>
      <x:c r="AL47" s="19" t="n">
        <x:v>100000</x:v>
      </x:c>
      <x:c r="AM47" s="19" t="n">
        <x:v>500000</x:v>
      </x:c>
      <x:c r="AN47" s="3" t="str">
        <x:v>https://www.cashhomebuyersdirectory.com/cash-home-buyers/florida/jacksonville</x:v>
      </x:c>
      <x:c r="AO47" s="3" t="str">
        <x:v>tx_fl_investors.jsonl</x:v>
      </x:c>
      <x:c r="AP47" s="19"/>
    </x:row>
    <x:row r="48" ht="36" customHeight="1">
      <x:c r="A48" s="23" t="n">
        <x:v>47</x:v>
      </x:c>
      <x:c r="B48" s="15" t="str">
        <x:v>CAPITAL CITY OFFER INC</x:v>
      </x:c>
      <x:c r="C48" s="15"/>
      <x:c r="D48" s="15" t="str">
        <x:v>Property investor / home-buying operator</x:v>
      </x:c>
      <x:c r="E48" s="15" t="str">
        <x:v>Property investor / operator inquiry</x:v>
      </x:c>
      <x:c r="F48" s="17" t="str">
        <x:v>New</x:v>
      </x:c>
      <x:c r="G48" s="24" t="str">
        <x:v>info@capitalcityoffer.com</x:v>
      </x:c>
      <x:c r="H48" s="24" t="str">
        <x:v>+17732201768</x:v>
      </x:c>
      <x:c r="I48" s="24" t="str">
        <x:v>https://capitalcityoffer.com/</x:v>
      </x:c>
      <x:c r="J48" s="16" t="str">
        <x:v>IL</x:v>
      </x:c>
      <x:c r="K48" s="16" t="str">
        <x:v>Chicago</x:v>
      </x:c>
      <x:c r="L48" s="16" t="str">
        <x:v>Public property-business route; investor decision maker unconfirmed</x:v>
      </x:c>
      <x:c r="M48" s="16" t="str">
        <x:v>https://capitalcityoffer.com/</x:v>
      </x:c>
      <x:c r="N48" s="16" t="str">
        <x:v>$100K-$500K ticket not published / unconfirmed</x:v>
      </x:c>
      <x:c r="O48" s="20"/>
      <x:c r="P48" s="20"/>
      <x:c r="Q48" s="25" t="str">
        <x:v>No $100K-$500K operating-company investment ticket verified</x:v>
      </x:c>
      <x:c r="R48" s="25" t="str">
        <x:v>Property acquisition or investor activity makes this an operator-capital prospect for the signed trial. Confirm operating-company debt/equity appetite.</x:v>
      </x:c>
      <x:c r="S48" s="25" t="str">
        <x:v>Public property-buying activity or a directory listing does not establish available cash, investing decision-maker, current $100K-$500K capacity, or willingness to fund 101XVC operating costs.</x:v>
      </x:c>
      <x:c r="T48" s="25" t="str">
        <x:v>Ask the owner/investor whether they can allocate $100K-$500K to trial marketing and acquisitions, and confirm structure, timing and decision authority.</x:v>
      </x:c>
      <x:c r="U48" s="25" t="str">
        <x:v>https://www.cashhomebuyersdirectory.com/cash-home-buyers/illinois/chicago
https://capitalcityoffer.com/
https://www.bbb.org/us/il/category/home-buyers</x:v>
      </x:c>
      <x:c r="V48" s="26" t="d">
        <x:v>2026-10-02T00:00:00.000Z</x:v>
      </x:c>
      <x:c r="W48" s="26" t="d">
        <x:v>2026-10-02T00:00:00.000Z</x:v>
      </x:c>
      <x:c r="X48" s="25" t="str">
        <x:v>Public investor directory; business role and contact ownership require qualification</x:v>
      </x:c>
      <x:c r="Y48" s="25" t="str">
        <x:v>https://capitalcityoffer.com/</x:v>
      </x:c>
      <x:c r="Z48" s="25" t="str">
        <x:v>https://www.cashhomebuyersdirectory.com/cash-home-buyers/illinois/chicago</x:v>
      </x:c>
      <x:c r="AA48" s="25" t="str">
        <x:v>Public cash-home-buyer directory lists business name, phone and market. Directory entry may include brokers or service providers. Official website fetched; home-buying or investing activity stated.</x:v>
      </x:c>
      <x:c r="AB48" s="3" t="str">
        <x:v>New public-source collection</x:v>
      </x:c>
      <x:c r="AC48" s="3" t="str">
        <x:v>unverified</x:v>
      </x:c>
      <x:c r="AD48" s="3" t="str">
        <x:v>Not contacted / unconfirmed</x:v>
      </x:c>
      <x:c r="AE48" s="3" t="str">
        <x:v>Yes</x:v>
      </x:c>
      <x:c r="AF48" s="3" t="str">
        <x:v>Yes</x:v>
      </x:c>
      <x:c r="AG48" s="3"/>
      <x:c r="AH48" s="3"/>
      <x:c r="AI48" s="18"/>
      <x:c r="AJ48" s="3" t="str">
        <x:v>CF2500-ECB912185EA4</x:v>
      </x:c>
      <x:c r="AK48" s="3" t="str">
        <x:v>Property investor / home-buying operator prospect</x:v>
      </x:c>
      <x:c r="AL48" s="19" t="n">
        <x:v>100000</x:v>
      </x:c>
      <x:c r="AM48" s="19" t="n">
        <x:v>500000</x:v>
      </x:c>
      <x:c r="AN48" s="3" t="str">
        <x:v>https://www.cashhomebuyersdirectory.com/cash-home-buyers/illinois/chicago</x:v>
      </x:c>
      <x:c r="AO48" s="3" t="str">
        <x:v>nc_il_az_co_investors.jsonl</x:v>
      </x:c>
      <x:c r="AP48" s="19"/>
    </x:row>
    <x:row r="49" ht="36" customHeight="1">
      <x:c r="A49" s="23" t="n">
        <x:v>48</x:v>
      </x:c>
      <x:c r="B49" s="15" t="str">
        <x:v>Capstone Homebuyers</x:v>
      </x:c>
      <x:c r="C49" s="15"/>
      <x:c r="D49" s="15" t="str">
        <x:v>Property investor / home-buying operator</x:v>
      </x:c>
      <x:c r="E49" s="15" t="str">
        <x:v>Property investor / operator inquiry</x:v>
      </x:c>
      <x:c r="F49" s="17" t="str">
        <x:v>New</x:v>
      </x:c>
      <x:c r="G49" s="24" t="str">
        <x:v>colby@sellmysahousefast.com</x:v>
      </x:c>
      <x:c r="H49" s="24" t="str">
        <x:v>+12104464686</x:v>
      </x:c>
      <x:c r="I49" s="24" t="str">
        <x:v>https://www.sellmysahousefast.com/contact-us-sell-my-house-now/</x:v>
      </x:c>
      <x:c r="J49" s="16" t="str">
        <x:v>TX</x:v>
      </x:c>
      <x:c r="K49" s="16" t="str">
        <x:v>San Antonio</x:v>
      </x:c>
      <x:c r="L49" s="16" t="str">
        <x:v>Public property-business route; investor decision maker unconfirmed</x:v>
      </x:c>
      <x:c r="M49" s="16" t="str">
        <x:v>https://www.sellmysahousefast.com/contact-us-sell-my-house-now/</x:v>
      </x:c>
      <x:c r="N49" s="16" t="str">
        <x:v>$100K-$500K ticket not published / unconfirmed</x:v>
      </x:c>
      <x:c r="O49" s="20"/>
      <x:c r="P49" s="20"/>
      <x:c r="Q49" s="25" t="str">
        <x:v>No $100K-$500K corporate-investment ticket published in checked source</x:v>
      </x:c>
      <x:c r="R49" s="25" t="str">
        <x:v>Property acquisition or investor activity makes this an operator-capital prospect for the signed trial. Confirm operating-company debt/equity appetite.</x:v>
      </x:c>
      <x:c r="S49" s="25" t="str">
        <x:v>Corporate-investment ticket and appetite unconfirmed. Property-buying activity alone does not establish fit for funding 101XVC trial operating costs.</x:v>
      </x:c>
      <x:c r="T49" s="25" t="str">
        <x:v>Ask the owner/investor whether they can allocate $100K-$500K to trial marketing and acquisitions, and confirm structure, timing and decision authority.</x:v>
      </x:c>
      <x:c r="U49" s="25" t="str">
        <x:v>https://www.cashhomebuyersdirectory.com/cash-home-buyers/texas/san-antonio
https://www.sellmysahousefast.com/contact-us-sell-my-house-now/</x:v>
      </x:c>
      <x:c r="V49" s="26" t="d">
        <x:v>2026-10-02T00:00:00.000Z</x:v>
      </x:c>
      <x:c r="W49" s="26" t="d">
        <x:v>2026-10-03T00:00:00.000Z</x:v>
      </x:c>
      <x:c r="X49" s="25" t="str">
        <x:v>Public investor directory; business role and contact ownership require qualification</x:v>
      </x:c>
      <x:c r="Y49" s="25" t="str">
        <x:v>https://www.sellmysahousefast.com/contact-us-sell-my-house-now/</x:v>
      </x:c>
      <x:c r="Z49" s="25" t="str">
        <x:v>https://www.cashhomebuyersdirectory.com/cash-home-buyers/texas/san-antonio</x:v>
      </x:c>
      <x:c r="AA49" s="25" t="str">
        <x:v>Public cash-home-buyer directory lists business name, phone and market. Directory entry may include brokers or service providers. Official website fetched; home-buying or investing activity stated.</x:v>
      </x:c>
      <x:c r="AB49" s="3" t="str">
        <x:v>New public-source collection</x:v>
      </x:c>
      <x:c r="AC49" s="3" t="str">
        <x:v>unverified</x:v>
      </x:c>
      <x:c r="AD49" s="3" t="str">
        <x:v>Not contacted / unconfirmed</x:v>
      </x:c>
      <x:c r="AE49" s="3" t="str">
        <x:v>Yes</x:v>
      </x:c>
      <x:c r="AF49" s="3" t="str">
        <x:v>Yes</x:v>
      </x:c>
      <x:c r="AG49" s="3"/>
      <x:c r="AH49" s="3"/>
      <x:c r="AI49" s="18"/>
      <x:c r="AJ49" s="3" t="str">
        <x:v>CF2500-3DF5E603D019</x:v>
      </x:c>
      <x:c r="AK49" s="3" t="str">
        <x:v>Property investor / home-buying operator prospect</x:v>
      </x:c>
      <x:c r="AL49" s="19" t="n">
        <x:v>100000</x:v>
      </x:c>
      <x:c r="AM49" s="19" t="n">
        <x:v>500000</x:v>
      </x:c>
      <x:c r="AN49" s="3" t="str">
        <x:v>https://www.cashhomebuyersdirectory.com/cash-home-buyers/texas/san-antonio</x:v>
      </x:c>
      <x:c r="AO49" s="3" t="str">
        <x:v>tx_fl_investors.jsonl</x:v>
      </x:c>
      <x:c r="AP49" s="19"/>
    </x:row>
    <x:row r="50" ht="36" customHeight="1">
      <x:c r="A50" s="23" t="n">
        <x:v>49</x:v>
      </x:c>
      <x:c r="B50" s="15" t="str">
        <x:v>Carolinas House Buyers</x:v>
      </x:c>
      <x:c r="C50" s="15"/>
      <x:c r="D50" s="15" t="str">
        <x:v>Property investor / home-buying operator</x:v>
      </x:c>
      <x:c r="E50" s="15" t="str">
        <x:v>Property investor / operator inquiry</x:v>
      </x:c>
      <x:c r="F50" s="17" t="str">
        <x:v>New</x:v>
      </x:c>
      <x:c r="G50" s="24" t="str">
        <x:v>info@carolinashousebuyers.com</x:v>
      </x:c>
      <x:c r="H50" s="24" t="str">
        <x:v>+13368506495</x:v>
      </x:c>
      <x:c r="I50" s="24" t="str">
        <x:v>https://www.carolinashousebuyers.com/</x:v>
      </x:c>
      <x:c r="J50" s="16" t="str">
        <x:v>NC</x:v>
      </x:c>
      <x:c r="K50" s="16" t="str">
        <x:v>Greensboro</x:v>
      </x:c>
      <x:c r="L50" s="16" t="str">
        <x:v>Public property-business route; investor decision maker unconfirmed</x:v>
      </x:c>
      <x:c r="M50" s="16" t="str">
        <x:v>https://www.carolinashousebuyers.com/contact-us/</x:v>
      </x:c>
      <x:c r="N50" s="16" t="str">
        <x:v>$100K-$500K ticket not published / unconfirmed</x:v>
      </x:c>
      <x:c r="O50" s="20"/>
      <x:c r="P50" s="20"/>
      <x:c r="Q50" s="25" t="str">
        <x:v>No $100K-$500K operating-company investment ticket verified</x:v>
      </x:c>
      <x:c r="R50" s="25" t="str">
        <x:v>Property acquisition or investor activity makes this an operator-capital prospect for the signed trial. Confirm operating-company debt/equity appetite.</x:v>
      </x:c>
      <x:c r="S50" s="25" t="str">
        <x:v>Public property-buying activity or a directory listing does not establish available cash, investing decision-maker, current $100K-$500K capacity, or willingness to fund 101XVC operating costs.</x:v>
      </x:c>
      <x:c r="T50" s="25" t="str">
        <x:v>Ask the owner/investor whether they can allocate $100K-$500K to trial marketing and acquisitions, and confirm structure, timing and decision authority.</x:v>
      </x:c>
      <x:c r="U50" s="25" t="str">
        <x:v>https://www.cashhomebuyersdirectory.com/cash-home-buyers/north-carolina/greensboro
https://www.carolinashousebuyers.com/
https://www.carolinashousebuyers.com/contact-us/</x:v>
      </x:c>
      <x:c r="V50" s="26" t="d">
        <x:v>2026-10-02T00:00:00.000Z</x:v>
      </x:c>
      <x:c r="W50" s="26" t="d">
        <x:v>2026-10-02T00:00:00.000Z</x:v>
      </x:c>
      <x:c r="X50" s="25" t="str">
        <x:v>Public investor directory; business role and contact ownership require qualification</x:v>
      </x:c>
      <x:c r="Y50" s="25" t="str">
        <x:v>https://www.carolinashousebuyers.com/</x:v>
      </x:c>
      <x:c r="Z50" s="25" t="str">
        <x:v>https://www.cashhomebuyersdirectory.com/cash-home-buyers/north-carolina/greensboro</x:v>
      </x:c>
      <x:c r="AA50" s="25" t="str">
        <x:v>Public cash-home-buyer directory lists business name, phone and market. Directory entry may include brokers or service providers. Official website fetched; home-buying or investing activity stated.</x:v>
      </x:c>
      <x:c r="AB50" s="3" t="str">
        <x:v>New public-source collection</x:v>
      </x:c>
      <x:c r="AC50" s="3" t="str">
        <x:v>unverified</x:v>
      </x:c>
      <x:c r="AD50" s="3" t="str">
        <x:v>Not contacted / unconfirmed</x:v>
      </x:c>
      <x:c r="AE50" s="3" t="str">
        <x:v>Yes</x:v>
      </x:c>
      <x:c r="AF50" s="3" t="str">
        <x:v>No</x:v>
      </x:c>
      <x:c r="AG50" s="3"/>
      <x:c r="AH50" s="3"/>
      <x:c r="AI50" s="18"/>
      <x:c r="AJ50" s="3" t="str">
        <x:v>CF2500-F1AB5CE6F741</x:v>
      </x:c>
      <x:c r="AK50" s="3" t="str">
        <x:v>Property investor / home-buying operator prospect</x:v>
      </x:c>
      <x:c r="AL50" s="19" t="n">
        <x:v>100000</x:v>
      </x:c>
      <x:c r="AM50" s="19" t="n">
        <x:v>500000</x:v>
      </x:c>
      <x:c r="AN50" s="3" t="str">
        <x:v>https://www.cashhomebuyersdirectory.com/cash-home-buyers/north-carolina/greensboro</x:v>
      </x:c>
      <x:c r="AO50" s="3" t="str">
        <x:v>nc_il_az_co_investors.jsonl</x:v>
      </x:c>
      <x:c r="AP50" s="19"/>
    </x:row>
    <x:row r="51" ht="36" customHeight="1">
      <x:c r="A51" s="23" t="n">
        <x:v>50</x:v>
      </x:c>
      <x:c r="B51" s="15" t="str">
        <x:v>Casey The Home Buyer</x:v>
      </x:c>
      <x:c r="C51" s="15"/>
      <x:c r="D51" s="15" t="str">
        <x:v>Property investor / home-buying operator</x:v>
      </x:c>
      <x:c r="E51" s="15" t="str">
        <x:v>Property investor / operator inquiry</x:v>
      </x:c>
      <x:c r="F51" s="17" t="str">
        <x:v>New</x:v>
      </x:c>
      <x:c r="G51" s="24" t="str">
        <x:v>casey@ntxhomebuyers.com</x:v>
      </x:c>
      <x:c r="H51" s="24" t="str">
        <x:v>+18175878264</x:v>
      </x:c>
      <x:c r="I51" s="24" t="str">
        <x:v>https://www.caseythehomebuyer.com/</x:v>
      </x:c>
      <x:c r="J51" s="16" t="str">
        <x:v>TX</x:v>
      </x:c>
      <x:c r="K51" s="16" t="str">
        <x:v>Fort Worth</x:v>
      </x:c>
      <x:c r="L51" s="16" t="str">
        <x:v>Public property-business route; investor decision maker unconfirmed</x:v>
      </x:c>
      <x:c r="M51" s="16" t="str">
        <x:v>https://www.caseythehomebuyer.com/</x:v>
      </x:c>
      <x:c r="N51" s="16" t="str">
        <x:v>$100K-$500K ticket not published / unconfirmed</x:v>
      </x:c>
      <x:c r="O51" s="20"/>
      <x:c r="P51" s="20"/>
      <x:c r="Q51" s="25" t="str">
        <x:v>No $100K-$500K corporate-investment ticket published in checked source</x:v>
      </x:c>
      <x:c r="R51" s="25" t="str">
        <x:v>Property acquisition or investor activity makes this an operator-capital prospect for the signed trial. Confirm operating-company debt/equity appetite.</x:v>
      </x:c>
      <x:c r="S51" s="25" t="str">
        <x:v>Corporate-investment ticket and appetite unconfirmed. Property-buying activity alone does not establish fit for funding 101XVC trial operating costs.</x:v>
      </x:c>
      <x:c r="T51" s="25" t="str">
        <x:v>Ask the owner/investor whether they can allocate $100K-$500K to trial marketing and acquisitions, and confirm structure, timing and decision authority.</x:v>
      </x:c>
      <x:c r="U51" s="25" t="str">
        <x:v>https://www.cashhomebuyersdirectory.com/cash-home-buyers/texas/fort-worth
https://www.caseythehomebuyer.com/</x:v>
      </x:c>
      <x:c r="V51" s="26" t="d">
        <x:v>2026-10-02T00:00:00.000Z</x:v>
      </x:c>
      <x:c r="W51" s="26" t="d">
        <x:v>2026-10-03T00:00:00.000Z</x:v>
      </x:c>
      <x:c r="X51" s="25" t="str">
        <x:v>Public investor directory; business role and contact ownership require qualification</x:v>
      </x:c>
      <x:c r="Y51" s="25" t="str">
        <x:v>https://www.caseythehomebuyer.com/</x:v>
      </x:c>
      <x:c r="Z51" s="25" t="str">
        <x:v>https://www.cashhomebuyersdirectory.com/cash-home-buyers/texas/fort-worth</x:v>
      </x:c>
      <x:c r="AA51" s="25" t="str">
        <x:v>Public cash-home-buyer directory lists business name, phone and market. Directory entry may include brokers or service providers. Official website fetched; home-buying or investing activity stated.</x:v>
      </x:c>
      <x:c r="AB51" s="3" t="str">
        <x:v>New public-source collection</x:v>
      </x:c>
      <x:c r="AC51" s="3" t="str">
        <x:v>unverified</x:v>
      </x:c>
      <x:c r="AD51" s="3" t="str">
        <x:v>Not contacted / unconfirmed</x:v>
      </x:c>
      <x:c r="AE51" s="3" t="str">
        <x:v>Yes</x:v>
      </x:c>
      <x:c r="AF51" s="3" t="str">
        <x:v>Yes</x:v>
      </x:c>
      <x:c r="AG51" s="3"/>
      <x:c r="AH51" s="3"/>
      <x:c r="AI51" s="18"/>
      <x:c r="AJ51" s="3" t="str">
        <x:v>CF2500-D3B6B18226EC</x:v>
      </x:c>
      <x:c r="AK51" s="3" t="str">
        <x:v>Property investor / home-buying operator prospect</x:v>
      </x:c>
      <x:c r="AL51" s="19" t="n">
        <x:v>100000</x:v>
      </x:c>
      <x:c r="AM51" s="19" t="n">
        <x:v>500000</x:v>
      </x:c>
      <x:c r="AN51" s="3" t="str">
        <x:v>https://www.cashhomebuyersdirectory.com/cash-home-buyers/texas/fort-worth</x:v>
      </x:c>
      <x:c r="AO51" s="3" t="str">
        <x:v>tx_fl_investors.jsonl</x:v>
      </x:c>
      <x:c r="AP51" s="19"/>
    </x:row>
    <x:row r="52" ht="36" customHeight="1">
      <x:c r="A52" s="23" t="n">
        <x:v>51</x:v>
      </x:c>
      <x:c r="B52" s="15" t="str">
        <x:v>Cash Home Buyer Florida</x:v>
      </x:c>
      <x:c r="C52" s="15"/>
      <x:c r="D52" s="15" t="str">
        <x:v>Property investor / home-buying operator</x:v>
      </x:c>
      <x:c r="E52" s="15" t="str">
        <x:v>Property investor / operator inquiry</x:v>
      </x:c>
      <x:c r="F52" s="17" t="str">
        <x:v>New</x:v>
      </x:c>
      <x:c r="G52" s="24" t="str">
        <x:v>info@cashhomebuyerflorida.com</x:v>
      </x:c>
      <x:c r="H52" s="24" t="str">
        <x:v>+13863832085</x:v>
      </x:c>
      <x:c r="I52" s="24" t="str">
        <x:v>https://www.cashhomebuyerflorida.com/</x:v>
      </x:c>
      <x:c r="J52" s="16" t="str">
        <x:v>FL</x:v>
      </x:c>
      <x:c r="K52" s="16" t="str">
        <x:v>Daytona Beach</x:v>
      </x:c>
      <x:c r="L52" s="16" t="str">
        <x:v>Public property-business route; investor decision maker unconfirmed</x:v>
      </x:c>
      <x:c r="M52" s="16" t="str">
        <x:v>https://www.cashhomebuyerflorida.com/contact-us/</x:v>
      </x:c>
      <x:c r="N52" s="16" t="str">
        <x:v>$100K-$500K ticket not published / unconfirmed</x:v>
      </x:c>
      <x:c r="O52" s="20"/>
      <x:c r="P52" s="20"/>
      <x:c r="Q52" s="25" t="str">
        <x:v>No $100K-$500K corporate-investment ticket published in checked source</x:v>
      </x:c>
      <x:c r="R52" s="25" t="str">
        <x:v>Property acquisition or investor activity makes this an operator-capital prospect for the signed trial. Confirm operating-company debt/equity appetite.</x:v>
      </x:c>
      <x:c r="S52" s="25" t="str">
        <x:v>Corporate-investment ticket and appetite unconfirmed. Property-buying activity alone does not establish fit for funding 101XVC trial operating costs.</x:v>
      </x:c>
      <x:c r="T52" s="25" t="str">
        <x:v>Ask the owner/investor whether they can allocate $100K-$500K to trial marketing and acquisitions, and confirm structure, timing and decision authority.</x:v>
      </x:c>
      <x:c r="U52" s="25" t="str">
        <x:v>https://www.cashhomebuyersdirectory.com/cash-home-buyers/florida/daytona-beach
https://www.cashhomebuyerflorida.com/
https://www.cashhomebuyerflorida.com/contact-us/</x:v>
      </x:c>
      <x:c r="V52" s="26" t="d">
        <x:v>2026-10-02T00:00:00.000Z</x:v>
      </x:c>
      <x:c r="W52" s="26" t="d">
        <x:v>2026-10-03T00:00:00.000Z</x:v>
      </x:c>
      <x:c r="X52" s="25" t="str">
        <x:v>Public investor directory; business role and contact ownership require qualification</x:v>
      </x:c>
      <x:c r="Y52" s="25" t="str">
        <x:v>https://www.cashhomebuyerflorida.com/contact-us/</x:v>
      </x:c>
      <x:c r="Z52" s="25" t="str">
        <x:v>https://www.cashhomebuyersdirectory.com/cash-home-buyers/florida/daytona-beach</x:v>
      </x:c>
      <x:c r="AA52" s="25" t="str">
        <x:v>Public cash-home-buyer directory lists business name, phone and market. Directory entry may include brokers or service providers. Official website fetched; home-buying or investing activity stated.</x:v>
      </x:c>
      <x:c r="AB52" s="3" t="str">
        <x:v>New public-source collection</x:v>
      </x:c>
      <x:c r="AC52" s="3" t="str">
        <x:v>unverified</x:v>
      </x:c>
      <x:c r="AD52" s="3" t="str">
        <x:v>Not contacted / unconfirmed</x:v>
      </x:c>
      <x:c r="AE52" s="3" t="str">
        <x:v>Yes</x:v>
      </x:c>
      <x:c r="AF52" s="3" t="str">
        <x:v>Yes</x:v>
      </x:c>
      <x:c r="AG52" s="3"/>
      <x:c r="AH52" s="3"/>
      <x:c r="AI52" s="18"/>
      <x:c r="AJ52" s="3" t="str">
        <x:v>CF2500-92776A53DE24</x:v>
      </x:c>
      <x:c r="AK52" s="3" t="str">
        <x:v>Property investor / home-buying operator prospect</x:v>
      </x:c>
      <x:c r="AL52" s="19" t="n">
        <x:v>100000</x:v>
      </x:c>
      <x:c r="AM52" s="19" t="n">
        <x:v>500000</x:v>
      </x:c>
      <x:c r="AN52" s="3" t="str">
        <x:v>https://www.cashhomebuyersdirectory.com/cash-home-buyers/florida/daytona-beach</x:v>
      </x:c>
      <x:c r="AO52" s="3" t="str">
        <x:v>tx_fl_investors.jsonl</x:v>
      </x:c>
      <x:c r="AP52" s="19"/>
    </x:row>
    <x:row r="53" ht="36" customHeight="1">
      <x:c r="A53" s="23" t="n">
        <x:v>52</x:v>
      </x:c>
      <x:c r="B53" s="15" t="str">
        <x:v>Certified House Buyers</x:v>
      </x:c>
      <x:c r="C53" s="15"/>
      <x:c r="D53" s="15" t="str">
        <x:v>Property investor / home-buying operator</x:v>
      </x:c>
      <x:c r="E53" s="15" t="str">
        <x:v>Property investor / operator inquiry</x:v>
      </x:c>
      <x:c r="F53" s="17" t="str">
        <x:v>New</x:v>
      </x:c>
      <x:c r="G53" s="24" t="str">
        <x:v>info@certifiedhousebuyers.com</x:v>
      </x:c>
      <x:c r="H53" s="24" t="str">
        <x:v>+12818888757</x:v>
      </x:c>
      <x:c r="I53" s="24" t="str">
        <x:v>https://certifiedhousebuyers.com/</x:v>
      </x:c>
      <x:c r="J53" s="16" t="str">
        <x:v>TX</x:v>
      </x:c>
      <x:c r="K53" s="16" t="str">
        <x:v>Houston</x:v>
      </x:c>
      <x:c r="L53" s="16" t="str">
        <x:v>Public property-business route; investor decision maker unconfirmed</x:v>
      </x:c>
      <x:c r="M53" s="16" t="str">
        <x:v>https://certifiedhousebuyers.com/</x:v>
      </x:c>
      <x:c r="N53" s="16" t="str">
        <x:v>$100K-$500K ticket not published / unconfirmed</x:v>
      </x:c>
      <x:c r="O53" s="20"/>
      <x:c r="P53" s="20"/>
      <x:c r="Q53" s="25" t="str">
        <x:v>No $100K-$500K corporate-investment ticket published in checked source</x:v>
      </x:c>
      <x:c r="R53" s="25" t="str">
        <x:v>Property acquisition or investor activity makes this an operator-capital prospect for the signed trial. Confirm operating-company debt/equity appetite.</x:v>
      </x:c>
      <x:c r="S53" s="25" t="str">
        <x:v>Corporate-investment ticket and appetite unconfirmed. Property-buying activity alone does not establish fit for funding 101XVC trial operating costs.</x:v>
      </x:c>
      <x:c r="T53" s="25" t="str">
        <x:v>Ask the owner/investor whether they can allocate $100K-$500K to trial marketing and acquisitions, and confirm structure, timing and decision authority.</x:v>
      </x:c>
      <x:c r="U53" s="25" t="str">
        <x:v>https://www.cashhomebuyersdirectory.com/cash-home-buyers/texas/houston
https://certifiedhousebuyers.com/</x:v>
      </x:c>
      <x:c r="V53" s="26" t="d">
        <x:v>2026-10-02T00:00:00.000Z</x:v>
      </x:c>
      <x:c r="W53" s="26" t="d">
        <x:v>2026-10-03T00:00:00.000Z</x:v>
      </x:c>
      <x:c r="X53" s="25" t="str">
        <x:v>Public investor directory; business role and contact ownership require qualification</x:v>
      </x:c>
      <x:c r="Y53" s="25" t="str">
        <x:v>https://certifiedhousebuyers.com/</x:v>
      </x:c>
      <x:c r="Z53" s="25" t="str">
        <x:v>https://www.cashhomebuyersdirectory.com/cash-home-buyers/texas/houston</x:v>
      </x:c>
      <x:c r="AA53" s="25" t="str">
        <x:v>Public cash-home-buyer directory lists business name, phone and market. Directory entry may include brokers or service providers. Official website fetched; home-buying or investing activity stated.</x:v>
      </x:c>
      <x:c r="AB53" s="3" t="str">
        <x:v>New public-source collection</x:v>
      </x:c>
      <x:c r="AC53" s="3" t="str">
        <x:v>unverified</x:v>
      </x:c>
      <x:c r="AD53" s="3" t="str">
        <x:v>Not contacted / unconfirmed</x:v>
      </x:c>
      <x:c r="AE53" s="3" t="str">
        <x:v>Yes</x:v>
      </x:c>
      <x:c r="AF53" s="3" t="str">
        <x:v>Yes</x:v>
      </x:c>
      <x:c r="AG53" s="3"/>
      <x:c r="AH53" s="3"/>
      <x:c r="AI53" s="18"/>
      <x:c r="AJ53" s="3" t="str">
        <x:v>CF2500-DCF4DA428ADE</x:v>
      </x:c>
      <x:c r="AK53" s="3" t="str">
        <x:v>Property investor / home-buying operator prospect</x:v>
      </x:c>
      <x:c r="AL53" s="19" t="n">
        <x:v>100000</x:v>
      </x:c>
      <x:c r="AM53" s="19" t="n">
        <x:v>500000</x:v>
      </x:c>
      <x:c r="AN53" s="3" t="str">
        <x:v>https://www.cashhomebuyersdirectory.com/cash-home-buyers/texas/houston</x:v>
      </x:c>
      <x:c r="AO53" s="3" t="str">
        <x:v>tx_fl_investors.jsonl</x:v>
      </x:c>
      <x:c r="AP53" s="19"/>
    </x:row>
    <x:row r="54" ht="36" customHeight="1">
      <x:c r="A54" s="23" t="n">
        <x:v>53</x:v>
      </x:c>
      <x:c r="B54" s="15" t="str">
        <x:v>Chris Cash Homes ~ Chicago West Suburbs</x:v>
      </x:c>
      <x:c r="C54" s="15"/>
      <x:c r="D54" s="15" t="str">
        <x:v>Property investor / home-buying operator</x:v>
      </x:c>
      <x:c r="E54" s="15" t="str">
        <x:v>Property investor / operator inquiry</x:v>
      </x:c>
      <x:c r="F54" s="17" t="str">
        <x:v>New</x:v>
      </x:c>
      <x:c r="G54" s="24" t="str">
        <x:v>info@chriscashhomes.com</x:v>
      </x:c>
      <x:c r="H54" s="24" t="str">
        <x:v>+16302341770</x:v>
      </x:c>
      <x:c r="I54" s="24" t="str">
        <x:v>https://chriscashhomes.com/</x:v>
      </x:c>
      <x:c r="J54" s="16" t="str">
        <x:v>IL</x:v>
      </x:c>
      <x:c r="K54" s="16" t="str">
        <x:v>Aurora</x:v>
      </x:c>
      <x:c r="L54" s="16" t="str">
        <x:v>Public property-business route; investor decision maker unconfirmed</x:v>
      </x:c>
      <x:c r="M54" s="16" t="str">
        <x:v>https://chriscashhomes.com/contact/</x:v>
      </x:c>
      <x:c r="N54" s="16" t="str">
        <x:v>$100K-$500K ticket not published / unconfirmed</x:v>
      </x:c>
      <x:c r="O54" s="20"/>
      <x:c r="P54" s="20"/>
      <x:c r="Q54" s="25" t="str">
        <x:v>No $100K-$500K operating-company investment ticket verified</x:v>
      </x:c>
      <x:c r="R54" s="25" t="str">
        <x:v>Property acquisition or investor activity makes this an operator-capital prospect for the signed trial. Confirm operating-company debt/equity appetite.</x:v>
      </x:c>
      <x:c r="S54" s="25" t="str">
        <x:v>Public property-buying activity or a directory listing does not establish available cash, investing decision-maker, current $100K-$500K capacity, or willingness to fund 101XVC operating costs.</x:v>
      </x:c>
      <x:c r="T54" s="25" t="str">
        <x:v>Ask the owner/investor whether they can allocate $100K-$500K to trial marketing and acquisitions, and confirm structure, timing and decision authority.</x:v>
      </x:c>
      <x:c r="U54" s="25" t="str">
        <x:v>https://www.cashhomebuyersdirectory.com/cash-home-buyers/illinois/aurora
https://chriscashhomes.com/
https://chriscashhomes.com/contact/</x:v>
      </x:c>
      <x:c r="V54" s="26" t="d">
        <x:v>2026-10-02T00:00:00.000Z</x:v>
      </x:c>
      <x:c r="W54" s="26" t="d">
        <x:v>2026-10-02T00:00:00.000Z</x:v>
      </x:c>
      <x:c r="X54" s="25" t="str">
        <x:v>Public investor directory; business role and contact ownership require qualification</x:v>
      </x:c>
      <x:c r="Y54" s="25" t="str">
        <x:v>https://chriscashhomes.com/</x:v>
      </x:c>
      <x:c r="Z54" s="25" t="str">
        <x:v>https://www.cashhomebuyersdirectory.com/cash-home-buyers/illinois/aurora</x:v>
      </x:c>
      <x:c r="AA54" s="25" t="str">
        <x:v>Public cash-home-buyer directory lists business name, phone and market. Directory entry may include brokers or service providers. Official website fetched; home-buying or investing activity stated.</x:v>
      </x:c>
      <x:c r="AB54" s="3" t="str">
        <x:v>New public-source collection</x:v>
      </x:c>
      <x:c r="AC54" s="3" t="str">
        <x:v>unverified</x:v>
      </x:c>
      <x:c r="AD54" s="3" t="str">
        <x:v>Not contacted / unconfirmed</x:v>
      </x:c>
      <x:c r="AE54" s="3" t="str">
        <x:v>Yes</x:v>
      </x:c>
      <x:c r="AF54" s="3" t="str">
        <x:v>No</x:v>
      </x:c>
      <x:c r="AG54" s="3"/>
      <x:c r="AH54" s="3"/>
      <x:c r="AI54" s="18"/>
      <x:c r="AJ54" s="3" t="str">
        <x:v>CF2500-993A51A9F270</x:v>
      </x:c>
      <x:c r="AK54" s="3" t="str">
        <x:v>Property investor / home-buying operator prospect</x:v>
      </x:c>
      <x:c r="AL54" s="19" t="n">
        <x:v>100000</x:v>
      </x:c>
      <x:c r="AM54" s="19" t="n">
        <x:v>500000</x:v>
      </x:c>
      <x:c r="AN54" s="3" t="str">
        <x:v>https://www.cashhomebuyersdirectory.com/cash-home-buyers/illinois/aurora</x:v>
      </x:c>
      <x:c r="AO54" s="3" t="str">
        <x:v>nc_il_az_co_investors.jsonl</x:v>
      </x:c>
      <x:c r="AP54" s="19"/>
    </x:row>
    <x:row r="55" ht="36" customHeight="1">
      <x:c r="A55" s="23" t="n">
        <x:v>54</x:v>
      </x:c>
      <x:c r="B55" s="15" t="str">
        <x:v>Collier Home Buyers</x:v>
      </x:c>
      <x:c r="C55" s="15"/>
      <x:c r="D55" s="15" t="str">
        <x:v>Property investor / home-buying operator</x:v>
      </x:c>
      <x:c r="E55" s="15" t="str">
        <x:v>Property investor / operator inquiry</x:v>
      </x:c>
      <x:c r="F55" s="17" t="str">
        <x:v>New</x:v>
      </x:c>
      <x:c r="G55" s="24" t="str">
        <x:v>jaime@collierhomebuyers.com</x:v>
      </x:c>
      <x:c r="H55" s="24" t="str">
        <x:v>+12392121339</x:v>
      </x:c>
      <x:c r="I55" s="24" t="str">
        <x:v>https://collierhomebuyers.com/</x:v>
      </x:c>
      <x:c r="J55" s="16" t="str">
        <x:v>FL</x:v>
      </x:c>
      <x:c r="K55" s="16"/>
      <x:c r="L55" s="16" t="str">
        <x:v>Public property-business route; investor decision maker unconfirmed</x:v>
      </x:c>
      <x:c r="M55" s="16" t="str">
        <x:v>https://collierhomebuyers.com/</x:v>
      </x:c>
      <x:c r="N55" s="16" t="str">
        <x:v>$100K-$500K ticket not published / unconfirmed</x:v>
      </x:c>
      <x:c r="O55" s="20"/>
      <x:c r="P55" s="20"/>
      <x:c r="Q55" s="25" t="str">
        <x:v>No $100K-$500K corporate-investment ticket published in checked source</x:v>
      </x:c>
      <x:c r="R55" s="25" t="str">
        <x:v>Property acquisition or investor activity makes this an operator-capital prospect for the signed trial. Confirm operating-company debt/equity appetite.</x:v>
      </x:c>
      <x:c r="S55" s="25" t="str">
        <x:v>Corporate-investment ticket and appetite unconfirmed. Property-buying activity alone does not establish fit for funding 101XVC trial operating costs.</x:v>
      </x:c>
      <x:c r="T55" s="25" t="str">
        <x:v>Ask the owner/investor whether they can allocate $100K-$500K to trial marketing and acquisitions, and confirm structure, timing and decision authority.</x:v>
      </x:c>
      <x:c r="U55" s="25" t="str">
        <x:v>https://www.cashhomebuyersdirectory.com/cash-home-buyers/florida/fort-myers
https://collierhomebuyers.com/</x:v>
      </x:c>
      <x:c r="V55" s="26" t="d">
        <x:v>2026-10-02T00:00:00.000Z</x:v>
      </x:c>
      <x:c r="W55" s="26" t="d">
        <x:v>2026-10-03T00:00:00.000Z</x:v>
      </x:c>
      <x:c r="X55" s="25" t="str">
        <x:v>Public investor directory; business role and contact ownership require qualification</x:v>
      </x:c>
      <x:c r="Y55" s="25" t="str">
        <x:v>https://collierhomebuyers.com/</x:v>
      </x:c>
      <x:c r="Z55" s="25" t="str">
        <x:v>https://www.cashhomebuyersdirectory.com/cash-home-buyers/florida/fort-myers</x:v>
      </x:c>
      <x:c r="AA55" s="25" t="str">
        <x:v>Public cash-home-buyer directory lists business name, phone and market. Directory entry may include brokers or service providers. Official website fetched; home-buying or investing activity stated.</x:v>
      </x:c>
      <x:c r="AB55" s="3" t="str">
        <x:v>New public-source collection</x:v>
      </x:c>
      <x:c r="AC55" s="3" t="str">
        <x:v>unverified</x:v>
      </x:c>
      <x:c r="AD55" s="3" t="str">
        <x:v>Not contacted / unconfirmed</x:v>
      </x:c>
      <x:c r="AE55" s="3" t="str">
        <x:v>Yes</x:v>
      </x:c>
      <x:c r="AF55" s="3" t="str">
        <x:v>Yes</x:v>
      </x:c>
      <x:c r="AG55" s="3"/>
      <x:c r="AH55" s="3"/>
      <x:c r="AI55" s="18"/>
      <x:c r="AJ55" s="3" t="str">
        <x:v>CF2500-8609D6B7848D</x:v>
      </x:c>
      <x:c r="AK55" s="3" t="str">
        <x:v>Property investor / home-buying operator prospect</x:v>
      </x:c>
      <x:c r="AL55" s="19" t="n">
        <x:v>100000</x:v>
      </x:c>
      <x:c r="AM55" s="19" t="n">
        <x:v>500000</x:v>
      </x:c>
      <x:c r="AN55" s="3" t="str">
        <x:v>https://www.cashhomebuyersdirectory.com/cash-home-buyers/florida/fort-myers</x:v>
      </x:c>
      <x:c r="AO55" s="3" t="str">
        <x:v>tx_fl_investors.jsonl</x:v>
      </x:c>
      <x:c r="AP55" s="19"/>
    </x:row>
    <x:row r="56" ht="36" customHeight="1">
      <x:c r="A56" s="23" t="n">
        <x:v>55</x:v>
      </x:c>
      <x:c r="B56" s="15" t="str">
        <x:v>CU Home Buyers</x:v>
      </x:c>
      <x:c r="C56" s="15"/>
      <x:c r="D56" s="15" t="str">
        <x:v>Property investor / home-buying operator</x:v>
      </x:c>
      <x:c r="E56" s="15" t="str">
        <x:v>Property investor / operator inquiry</x:v>
      </x:c>
      <x:c r="F56" s="17" t="str">
        <x:v>New</x:v>
      </x:c>
      <x:c r="G56" s="24" t="str">
        <x:v>jeff@cuhomebuyers.com</x:v>
      </x:c>
      <x:c r="H56" s="24" t="str">
        <x:v>+12174039317</x:v>
      </x:c>
      <x:c r="I56" s="24" t="str">
        <x:v>https://www.cuhomebuyers.com/</x:v>
      </x:c>
      <x:c r="J56" s="16" t="str">
        <x:v>IL</x:v>
      </x:c>
      <x:c r="K56" s="16" t="str">
        <x:v>Champaign</x:v>
      </x:c>
      <x:c r="L56" s="16" t="str">
        <x:v>Public property-business route; investor decision maker unconfirmed</x:v>
      </x:c>
      <x:c r="M56" s="16" t="str">
        <x:v>https://www.cuhomebuyers.com/contact-us/</x:v>
      </x:c>
      <x:c r="N56" s="16" t="str">
        <x:v>$100K-$500K ticket not published / unconfirmed</x:v>
      </x:c>
      <x:c r="O56" s="20"/>
      <x:c r="P56" s="20"/>
      <x:c r="Q56" s="25" t="str">
        <x:v>No $100K-$500K operating-company investment ticket verified</x:v>
      </x:c>
      <x:c r="R56" s="25" t="str">
        <x:v>Property acquisition or investor activity makes this an operator-capital prospect for the signed trial. Confirm operating-company debt/equity appetite.</x:v>
      </x:c>
      <x:c r="S56" s="25" t="str">
        <x:v>Public property-buying activity or a directory listing does not establish available cash, investing decision-maker, current $100K-$500K capacity, or willingness to fund 101XVC operating costs.</x:v>
      </x:c>
      <x:c r="T56" s="25" t="str">
        <x:v>Ask the owner/investor whether they can allocate $100K-$500K to trial marketing and acquisitions, and confirm structure, timing and decision authority.</x:v>
      </x:c>
      <x:c r="U56" s="25" t="str">
        <x:v>https://www.cashhomebuyersdirectory.com/cash-home-buyers/illinois/champaign
https://www.cuhomebuyers.com/
https://www.cuhomebuyers.com/contact-us/</x:v>
      </x:c>
      <x:c r="V56" s="26" t="d">
        <x:v>2026-10-02T00:00:00.000Z</x:v>
      </x:c>
      <x:c r="W56" s="26" t="d">
        <x:v>2026-10-02T00:00:00.000Z</x:v>
      </x:c>
      <x:c r="X56" s="25" t="str">
        <x:v>Public investor directory; business role and contact ownership require qualification</x:v>
      </x:c>
      <x:c r="Y56" s="25" t="str">
        <x:v>https://www.cuhomebuyers.com/</x:v>
      </x:c>
      <x:c r="Z56" s="25" t="str">
        <x:v>https://www.cashhomebuyersdirectory.com/cash-home-buyers/illinois/champaign</x:v>
      </x:c>
      <x:c r="AA56" s="25" t="str">
        <x:v>Public cash-home-buyer directory lists business name, phone and market. Directory entry may include brokers or service providers. Official website fetched; home-buying or investing activity stated.</x:v>
      </x:c>
      <x:c r="AB56" s="3" t="str">
        <x:v>New public-source collection</x:v>
      </x:c>
      <x:c r="AC56" s="3" t="str">
        <x:v>unverified</x:v>
      </x:c>
      <x:c r="AD56" s="3" t="str">
        <x:v>Not contacted / unconfirmed</x:v>
      </x:c>
      <x:c r="AE56" s="3" t="str">
        <x:v>Yes</x:v>
      </x:c>
      <x:c r="AF56" s="3" t="str">
        <x:v>Yes</x:v>
      </x:c>
      <x:c r="AG56" s="3"/>
      <x:c r="AH56" s="3"/>
      <x:c r="AI56" s="18"/>
      <x:c r="AJ56" s="3" t="str">
        <x:v>CF2500-568991C241E7</x:v>
      </x:c>
      <x:c r="AK56" s="3" t="str">
        <x:v>Property investor / home-buying operator prospect</x:v>
      </x:c>
      <x:c r="AL56" s="19" t="n">
        <x:v>100000</x:v>
      </x:c>
      <x:c r="AM56" s="19" t="n">
        <x:v>500000</x:v>
      </x:c>
      <x:c r="AN56" s="3" t="str">
        <x:v>https://www.cashhomebuyersdirectory.com/cash-home-buyers/illinois/champaign</x:v>
      </x:c>
      <x:c r="AO56" s="3" t="str">
        <x:v>nc_il_az_co_investors.jsonl</x:v>
      </x:c>
      <x:c r="AP56" s="19"/>
    </x:row>
    <x:row r="57" ht="36" customHeight="1">
      <x:c r="A57" s="23" t="n">
        <x:v>56</x:v>
      </x:c>
      <x:c r="B57" s="15" t="str">
        <x:v>Dallas Homes for Cash | Sell My House Fast Dallas</x:v>
      </x:c>
      <x:c r="C57" s="15"/>
      <x:c r="D57" s="15" t="str">
        <x:v>Property investor / home-buying operator</x:v>
      </x:c>
      <x:c r="E57" s="15" t="str">
        <x:v>Property investor / operator inquiry</x:v>
      </x:c>
      <x:c r="F57" s="17" t="str">
        <x:v>New</x:v>
      </x:c>
      <x:c r="G57" s="24" t="str">
        <x:v>team@dallashomesforcash.com</x:v>
      </x:c>
      <x:c r="H57" s="24" t="str">
        <x:v>+14693050988</x:v>
      </x:c>
      <x:c r="I57" s="24" t="str">
        <x:v>https://www.dallashomesforcash.com/</x:v>
      </x:c>
      <x:c r="J57" s="16" t="str">
        <x:v>TX</x:v>
      </x:c>
      <x:c r="K57" s="16" t="str">
        <x:v>Dallas</x:v>
      </x:c>
      <x:c r="L57" s="16" t="str">
        <x:v>Public property-business route; investor decision maker unconfirmed</x:v>
      </x:c>
      <x:c r="M57" s="16" t="str">
        <x:v>https://www.dallashomesforcash.com/</x:v>
      </x:c>
      <x:c r="N57" s="16" t="str">
        <x:v>$100K-$500K ticket not published / unconfirmed</x:v>
      </x:c>
      <x:c r="O57" s="20"/>
      <x:c r="P57" s="20"/>
      <x:c r="Q57" s="25" t="str">
        <x:v>No $100K-$500K corporate-investment ticket published in checked source</x:v>
      </x:c>
      <x:c r="R57" s="25" t="str">
        <x:v>Property acquisition or investor activity makes this an operator-capital prospect for the signed trial. Confirm operating-company debt/equity appetite.</x:v>
      </x:c>
      <x:c r="S57" s="25" t="str">
        <x:v>Corporate-investment ticket and appetite unconfirmed. Property-buying activity alone does not establish fit for funding 101XVC trial operating costs.</x:v>
      </x:c>
      <x:c r="T57" s="25" t="str">
        <x:v>Ask the owner/investor whether they can allocate $100K-$500K to trial marketing and acquisitions, and confirm structure, timing and decision authority.</x:v>
      </x:c>
      <x:c r="U57" s="25" t="str">
        <x:v>https://www.cashhomebuyersdirectory.com/cash-home-buyers/texas/dallas
https://www.dallashomesforcash.com/</x:v>
      </x:c>
      <x:c r="V57" s="26" t="d">
        <x:v>2026-10-02T00:00:00.000Z</x:v>
      </x:c>
      <x:c r="W57" s="26" t="d">
        <x:v>2026-10-03T00:00:00.000Z</x:v>
      </x:c>
      <x:c r="X57" s="25" t="str">
        <x:v>Public investor directory; business role and contact ownership require qualification</x:v>
      </x:c>
      <x:c r="Y57" s="25" t="str">
        <x:v>https://www.dallashomesforcash.com/</x:v>
      </x:c>
      <x:c r="Z57" s="25" t="str">
        <x:v>https://www.cashhomebuyersdirectory.com/cash-home-buyers/texas/dallas</x:v>
      </x:c>
      <x:c r="AA57" s="25" t="str">
        <x:v>Public cash-home-buyer directory lists business name, phone and market. Directory entry may include brokers or service providers. Official website fetched; home-buying or investing activity stated.</x:v>
      </x:c>
      <x:c r="AB57" s="3" t="str">
        <x:v>New public-source collection</x:v>
      </x:c>
      <x:c r="AC57" s="3" t="str">
        <x:v>unverified</x:v>
      </x:c>
      <x:c r="AD57" s="3" t="str">
        <x:v>Not contacted / unconfirmed</x:v>
      </x:c>
      <x:c r="AE57" s="3" t="str">
        <x:v>Yes</x:v>
      </x:c>
      <x:c r="AF57" s="3" t="str">
        <x:v>Yes</x:v>
      </x:c>
      <x:c r="AG57" s="3"/>
      <x:c r="AH57" s="3"/>
      <x:c r="AI57" s="18"/>
      <x:c r="AJ57" s="3" t="str">
        <x:v>CF2500-2B26D9AE2499</x:v>
      </x:c>
      <x:c r="AK57" s="3" t="str">
        <x:v>Property investor / home-buying operator prospect</x:v>
      </x:c>
      <x:c r="AL57" s="19" t="n">
        <x:v>100000</x:v>
      </x:c>
      <x:c r="AM57" s="19" t="n">
        <x:v>500000</x:v>
      </x:c>
      <x:c r="AN57" s="3" t="str">
        <x:v>https://www.cashhomebuyersdirectory.com/cash-home-buyers/texas/dallas</x:v>
      </x:c>
      <x:c r="AO57" s="3" t="str">
        <x:v>tx_fl_investors.jsonl</x:v>
      </x:c>
      <x:c r="AP57" s="19"/>
    </x:row>
    <x:row r="58" ht="36" customHeight="1">
      <x:c r="A58" s="23" t="n">
        <x:v>57</x:v>
      </x:c>
      <x:c r="B58" s="15" t="str">
        <x:v>Dan Buys Houses</x:v>
      </x:c>
      <x:c r="C58" s="15"/>
      <x:c r="D58" s="15" t="str">
        <x:v>Property investor / home-buying operator</x:v>
      </x:c>
      <x:c r="E58" s="15" t="str">
        <x:v>Property investor / operator inquiry</x:v>
      </x:c>
      <x:c r="F58" s="17" t="str">
        <x:v>New</x:v>
      </x:c>
      <x:c r="G58" s="24" t="str">
        <x:v>danbuysnchouses@gmail.com</x:v>
      </x:c>
      <x:c r="H58" s="24" t="str">
        <x:v>+19102949389</x:v>
      </x:c>
      <x:c r="I58" s="24" t="str">
        <x:v>https://www.nccashforhomes.com/</x:v>
      </x:c>
      <x:c r="J58" s="16" t="str">
        <x:v>NC</x:v>
      </x:c>
      <x:c r="K58" s="16" t="str">
        <x:v>Raleigh</x:v>
      </x:c>
      <x:c r="L58" s="16" t="str">
        <x:v>Public property-business route; investor decision maker unconfirmed</x:v>
      </x:c>
      <x:c r="M58" s="16" t="str">
        <x:v>https://www.nccashforhomes.com/</x:v>
      </x:c>
      <x:c r="N58" s="16" t="str">
        <x:v>$100K-$500K ticket not published / unconfirmed</x:v>
      </x:c>
      <x:c r="O58" s="20"/>
      <x:c r="P58" s="20"/>
      <x:c r="Q58" s="25" t="str">
        <x:v>No $100K-$500K operating-company investment ticket verified</x:v>
      </x:c>
      <x:c r="R58" s="25" t="str">
        <x:v>Property acquisition or investor activity makes this an operator-capital prospect for the signed trial. Confirm operating-company debt/equity appetite.</x:v>
      </x:c>
      <x:c r="S58" s="25" t="str">
        <x:v>Public property-buying activity or a directory listing does not establish available cash, investing decision-maker, current $100K-$500K capacity, or willingness to fund 101XVC operating costs.</x:v>
      </x:c>
      <x:c r="T58" s="25" t="str">
        <x:v>Ask the owner/investor whether they can allocate $100K-$500K to trial marketing and acquisitions, and confirm structure, timing and decision authority.</x:v>
      </x:c>
      <x:c r="U58" s="25" t="str">
        <x:v>https://www.cashhomebuyersdirectory.com/cash-home-buyers/north-carolina/raleigh
https://www.nccashforhomes.com/</x:v>
      </x:c>
      <x:c r="V58" s="26" t="d">
        <x:v>2026-10-02T00:00:00.000Z</x:v>
      </x:c>
      <x:c r="W58" s="26" t="d">
        <x:v>2026-10-02T00:00:00.000Z</x:v>
      </x:c>
      <x:c r="X58" s="25" t="str">
        <x:v>Public investor directory; business role and contact ownership require qualification</x:v>
      </x:c>
      <x:c r="Y58" s="25" t="str">
        <x:v>https://www.nccashforhomes.com/</x:v>
      </x:c>
      <x:c r="Z58" s="25" t="str">
        <x:v>https://www.cashhomebuyersdirectory.com/cash-home-buyers/north-carolina/raleigh</x:v>
      </x:c>
      <x:c r="AA58" s="25" t="str">
        <x:v>Public cash-home-buyer directory lists business name, phone and market. Directory entry may include brokers or service providers. Official website fetched; home-buying or investing activity stated.</x:v>
      </x:c>
      <x:c r="AB58" s="3" t="str">
        <x:v>New public-source collection</x:v>
      </x:c>
      <x:c r="AC58" s="3" t="str">
        <x:v>unverified</x:v>
      </x:c>
      <x:c r="AD58" s="3" t="str">
        <x:v>Not contacted / unconfirmed</x:v>
      </x:c>
      <x:c r="AE58" s="3" t="str">
        <x:v>Yes</x:v>
      </x:c>
      <x:c r="AF58" s="3" t="str">
        <x:v>No</x:v>
      </x:c>
      <x:c r="AG58" s="3"/>
      <x:c r="AH58" s="3"/>
      <x:c r="AI58" s="18"/>
      <x:c r="AJ58" s="3" t="str">
        <x:v>CF2500-79BFA757B9E0</x:v>
      </x:c>
      <x:c r="AK58" s="3" t="str">
        <x:v>Property investor / home-buying operator prospect</x:v>
      </x:c>
      <x:c r="AL58" s="19" t="n">
        <x:v>100000</x:v>
      </x:c>
      <x:c r="AM58" s="19" t="n">
        <x:v>500000</x:v>
      </x:c>
      <x:c r="AN58" s="3" t="str">
        <x:v>https://www.cashhomebuyersdirectory.com/cash-home-buyers/north-carolina/raleigh</x:v>
      </x:c>
      <x:c r="AO58" s="3" t="str">
        <x:v>nc_il_az_co_investors.jsonl</x:v>
      </x:c>
      <x:c r="AP58" s="19"/>
    </x:row>
    <x:row r="59" ht="36" customHeight="1">
      <x:c r="A59" s="23" t="n">
        <x:v>58</x:v>
      </x:c>
      <x:c r="B59" s="15" t="str">
        <x:v>Doctor Home- we buy houses</x:v>
      </x:c>
      <x:c r="C59" s="15"/>
      <x:c r="D59" s="15" t="str">
        <x:v>Property investor / home-buying operator</x:v>
      </x:c>
      <x:c r="E59" s="15" t="str">
        <x:v>Property investor / operator inquiry</x:v>
      </x:c>
      <x:c r="F59" s="17" t="str">
        <x:v>New</x:v>
      </x:c>
      <x:c r="G59" s="24" t="str">
        <x:v>contact@doctor-home.com</x:v>
      </x:c>
      <x:c r="H59" s="24" t="str">
        <x:v>+17728375464</x:v>
      </x:c>
      <x:c r="I59" s="24" t="str">
        <x:v>https://doctor-home.com/</x:v>
      </x:c>
      <x:c r="J59" s="16" t="str">
        <x:v>FL</x:v>
      </x:c>
      <x:c r="K59" s="16" t="str">
        <x:v>Port St. Lucie</x:v>
      </x:c>
      <x:c r="L59" s="16" t="str">
        <x:v>Public property-business route; investor decision maker unconfirmed</x:v>
      </x:c>
      <x:c r="M59" s="16" t="str">
        <x:v>https://doctor-home.com/</x:v>
      </x:c>
      <x:c r="N59" s="16" t="str">
        <x:v>$100K-$500K ticket not published / unconfirmed</x:v>
      </x:c>
      <x:c r="O59" s="20"/>
      <x:c r="P59" s="20"/>
      <x:c r="Q59" s="25" t="str">
        <x:v>No $100K-$500K corporate-investment ticket published in checked source</x:v>
      </x:c>
      <x:c r="R59" s="25" t="str">
        <x:v>Property acquisition or investor activity makes this an operator-capital prospect for the signed trial. Confirm operating-company debt/equity appetite.</x:v>
      </x:c>
      <x:c r="S59" s="25" t="str">
        <x:v>Corporate-investment ticket and appetite unconfirmed. Property-buying activity alone does not establish fit for funding 101XVC trial operating costs.</x:v>
      </x:c>
      <x:c r="T59" s="25" t="str">
        <x:v>Ask the owner/investor whether they can allocate $100K-$500K to trial marketing and acquisitions, and confirm structure, timing and decision authority.</x:v>
      </x:c>
      <x:c r="U59" s="25" t="str">
        <x:v>https://www.cashhomebuyersdirectory.com/cash-home-buyers/florida/port-st-lucie
https://doctor-home.com/</x:v>
      </x:c>
      <x:c r="V59" s="26" t="d">
        <x:v>2026-10-02T00:00:00.000Z</x:v>
      </x:c>
      <x:c r="W59" s="26" t="d">
        <x:v>2026-10-03T00:00:00.000Z</x:v>
      </x:c>
      <x:c r="X59" s="25" t="str">
        <x:v>Public investor directory; business role and contact ownership require qualification</x:v>
      </x:c>
      <x:c r="Y59" s="25" t="str">
        <x:v>https://doctor-home.com/</x:v>
      </x:c>
      <x:c r="Z59" s="25" t="str">
        <x:v>https://www.cashhomebuyersdirectory.com/cash-home-buyers/florida/port-st-lucie</x:v>
      </x:c>
      <x:c r="AA59" s="25" t="str">
        <x:v>Public cash-home-buyer directory lists business name, phone and market. Directory entry may include brokers or service providers. Official website fetched; home-buying or investing activity stated.</x:v>
      </x:c>
      <x:c r="AB59" s="3" t="str">
        <x:v>New public-source collection</x:v>
      </x:c>
      <x:c r="AC59" s="3" t="str">
        <x:v>unverified</x:v>
      </x:c>
      <x:c r="AD59" s="3" t="str">
        <x:v>Not contacted / unconfirmed</x:v>
      </x:c>
      <x:c r="AE59" s="3" t="str">
        <x:v>Yes</x:v>
      </x:c>
      <x:c r="AF59" s="3" t="str">
        <x:v>No</x:v>
      </x:c>
      <x:c r="AG59" s="3"/>
      <x:c r="AH59" s="3"/>
      <x:c r="AI59" s="18"/>
      <x:c r="AJ59" s="3" t="str">
        <x:v>CF2500-87A2F78B47F6</x:v>
      </x:c>
      <x:c r="AK59" s="3" t="str">
        <x:v>Property investor / home-buying operator prospect</x:v>
      </x:c>
      <x:c r="AL59" s="19" t="n">
        <x:v>100000</x:v>
      </x:c>
      <x:c r="AM59" s="19" t="n">
        <x:v>500000</x:v>
      </x:c>
      <x:c r="AN59" s="3" t="str">
        <x:v>https://www.cashhomebuyersdirectory.com/cash-home-buyers/florida/port-st-lucie</x:v>
      </x:c>
      <x:c r="AO59" s="3" t="str">
        <x:v>tx_fl_investors.jsonl</x:v>
      </x:c>
      <x:c r="AP59" s="19"/>
    </x:row>
    <x:row r="60" ht="36" customHeight="1">
      <x:c r="A60" s="23" t="n">
        <x:v>59</x:v>
      </x:c>
      <x:c r="B60" s="15" t="str">
        <x:v>Doorbia Home Buyers</x:v>
      </x:c>
      <x:c r="C60" s="15"/>
      <x:c r="D60" s="15" t="str">
        <x:v>Property investor / home-buying operator</x:v>
      </x:c>
      <x:c r="E60" s="15" t="str">
        <x:v>Property investor / operator inquiry</x:v>
      </x:c>
      <x:c r="F60" s="17" t="str">
        <x:v>New</x:v>
      </x:c>
      <x:c r="G60" s="24" t="str">
        <x:v>nawid@doorbia.com</x:v>
      </x:c>
      <x:c r="H60" s="24" t="str">
        <x:v>+19046131229</x:v>
      </x:c>
      <x:c r="I60" s="24" t="str">
        <x:v>https://www.doorbia.com/</x:v>
      </x:c>
      <x:c r="J60" s="16" t="str">
        <x:v>FL</x:v>
      </x:c>
      <x:c r="K60" s="16" t="str">
        <x:v>Jacksonville</x:v>
      </x:c>
      <x:c r="L60" s="16" t="str">
        <x:v>Public property-business route; investor decision maker unconfirmed</x:v>
      </x:c>
      <x:c r="M60" s="16" t="str">
        <x:v>https://www.doorbia.com/contact/</x:v>
      </x:c>
      <x:c r="N60" s="16" t="str">
        <x:v>$100K-$500K ticket not published / unconfirmed</x:v>
      </x:c>
      <x:c r="O60" s="20"/>
      <x:c r="P60" s="20"/>
      <x:c r="Q60" s="25" t="str">
        <x:v>No $100K-$500K corporate-investment ticket published in checked source</x:v>
      </x:c>
      <x:c r="R60" s="25" t="str">
        <x:v>Property acquisition or investor activity makes this an operator-capital prospect for the signed trial. Confirm operating-company debt/equity appetite.</x:v>
      </x:c>
      <x:c r="S60" s="25" t="str">
        <x:v>Corporate-investment ticket and appetite unconfirmed. Property-buying activity alone does not establish fit for funding 101XVC trial operating costs.</x:v>
      </x:c>
      <x:c r="T60" s="25" t="str">
        <x:v>Ask the owner/investor whether they can allocate $100K-$500K to trial marketing and acquisitions, and confirm structure, timing and decision authority.</x:v>
      </x:c>
      <x:c r="U60" s="25" t="str">
        <x:v>https://www.cashhomebuyersdirectory.com/cash-home-buyers/florida/jacksonville
https://www.doorbia.com/
https://www.doorbia.com/contact/</x:v>
      </x:c>
      <x:c r="V60" s="26" t="d">
        <x:v>2026-10-02T00:00:00.000Z</x:v>
      </x:c>
      <x:c r="W60" s="26" t="d">
        <x:v>2026-10-03T00:00:00.000Z</x:v>
      </x:c>
      <x:c r="X60" s="25" t="str">
        <x:v>Public investor directory; business role and contact ownership require qualification</x:v>
      </x:c>
      <x:c r="Y60" s="25" t="str">
        <x:v>https://www.doorbia.com/</x:v>
      </x:c>
      <x:c r="Z60" s="25" t="str">
        <x:v>https://www.cashhomebuyersdirectory.com/cash-home-buyers/florida/jacksonville</x:v>
      </x:c>
      <x:c r="AA60" s="25" t="str">
        <x:v>Public cash-home-buyer directory lists business name, phone and market. Directory entry may include brokers or service providers. Official website fetched; home-buying or investing activity stated.</x:v>
      </x:c>
      <x:c r="AB60" s="3" t="str">
        <x:v>New public-source collection</x:v>
      </x:c>
      <x:c r="AC60" s="3" t="str">
        <x:v>unverified</x:v>
      </x:c>
      <x:c r="AD60" s="3" t="str">
        <x:v>Not contacted / unconfirmed</x:v>
      </x:c>
      <x:c r="AE60" s="3" t="str">
        <x:v>Yes</x:v>
      </x:c>
      <x:c r="AF60" s="3" t="str">
        <x:v>Yes</x:v>
      </x:c>
      <x:c r="AG60" s="3"/>
      <x:c r="AH60" s="3"/>
      <x:c r="AI60" s="18"/>
      <x:c r="AJ60" s="3" t="str">
        <x:v>CF2500-F605B330064F</x:v>
      </x:c>
      <x:c r="AK60" s="3" t="str">
        <x:v>Property investor / home-buying operator prospect</x:v>
      </x:c>
      <x:c r="AL60" s="19" t="n">
        <x:v>100000</x:v>
      </x:c>
      <x:c r="AM60" s="19" t="n">
        <x:v>500000</x:v>
      </x:c>
      <x:c r="AN60" s="3" t="str">
        <x:v>https://www.cashhomebuyersdirectory.com/cash-home-buyers/florida/jacksonville</x:v>
      </x:c>
      <x:c r="AO60" s="3" t="str">
        <x:v>tx_fl_investors.jsonl</x:v>
      </x:c>
      <x:c r="AP60" s="19"/>
    </x:row>
    <x:row r="61" ht="36" customHeight="1">
      <x:c r="A61" s="23" t="n">
        <x:v>60</x:v>
      </x:c>
      <x:c r="B61" s="15" t="str">
        <x:v>Duval Home Buyers</x:v>
      </x:c>
      <x:c r="C61" s="15"/>
      <x:c r="D61" s="15" t="str">
        <x:v>Property investor / home-buying operator</x:v>
      </x:c>
      <x:c r="E61" s="15" t="str">
        <x:v>Property investor / operator inquiry</x:v>
      </x:c>
      <x:c r="F61" s="17" t="str">
        <x:v>New</x:v>
      </x:c>
      <x:c r="G61" s="24" t="str">
        <x:v>info@duvalhomebuyers.com</x:v>
      </x:c>
      <x:c r="H61" s="24" t="str">
        <x:v>+19043460600</x:v>
      </x:c>
      <x:c r="I61" s="24" t="str">
        <x:v>https://www.duvalhomebuyers.com/</x:v>
      </x:c>
      <x:c r="J61" s="16" t="str">
        <x:v>FL</x:v>
      </x:c>
      <x:c r="K61" s="16" t="str">
        <x:v>Jacksonville</x:v>
      </x:c>
      <x:c r="L61" s="16" t="str">
        <x:v>Public property-business route; investor decision maker unconfirmed</x:v>
      </x:c>
      <x:c r="M61" s="16" t="str">
        <x:v>https://www.duvalhomebuyers.com/</x:v>
      </x:c>
      <x:c r="N61" s="16" t="str">
        <x:v>$100K-$500K ticket not published / unconfirmed</x:v>
      </x:c>
      <x:c r="O61" s="20"/>
      <x:c r="P61" s="20"/>
      <x:c r="Q61" s="25" t="str">
        <x:v>No $100K-$500K corporate-investment ticket published in checked source</x:v>
      </x:c>
      <x:c r="R61" s="25" t="str">
        <x:v>Property acquisition or investor activity makes this an operator-capital prospect for the signed trial. Confirm operating-company debt/equity appetite.</x:v>
      </x:c>
      <x:c r="S61" s="25" t="str">
        <x:v>Corporate-investment ticket and appetite unconfirmed. Property-buying activity alone does not establish fit for funding 101XVC trial operating costs.</x:v>
      </x:c>
      <x:c r="T61" s="25" t="str">
        <x:v>Ask the owner/investor whether they can allocate $100K-$500K to trial marketing and acquisitions, and confirm structure, timing and decision authority.</x:v>
      </x:c>
      <x:c r="U61" s="25" t="str">
        <x:v>https://www.cashhomebuyersdirectory.com/cash-home-buyers/florida/jacksonville
https://www.duvalhomebuyers.com/
https://www.wholesalejax.com/</x:v>
      </x:c>
      <x:c r="V61" s="26" t="d">
        <x:v>2026-10-02T00:00:00.000Z</x:v>
      </x:c>
      <x:c r="W61" s="26" t="d">
        <x:v>2026-10-03T00:00:00.000Z</x:v>
      </x:c>
      <x:c r="X61" s="25" t="str">
        <x:v>Public investor directory; business role and contact ownership require qualification</x:v>
      </x:c>
      <x:c r="Y61" s="25" t="str">
        <x:v>https://www.duvalhomebuyers.com/</x:v>
      </x:c>
      <x:c r="Z61" s="25" t="str">
        <x:v>https://www.cashhomebuyersdirectory.com/cash-home-buyers/florida/jacksonville</x:v>
      </x:c>
      <x:c r="AA61" s="25" t="str">
        <x:v>Public cash-home-buyer directory lists business name, phone and market. Directory entry may include brokers or service providers. Official website fetched; home-buying or investing activity stated.</x:v>
      </x:c>
      <x:c r="AB61" s="3" t="str">
        <x:v>New public-source collection</x:v>
      </x:c>
      <x:c r="AC61" s="3" t="str">
        <x:v>unverified</x:v>
      </x:c>
      <x:c r="AD61" s="3" t="str">
        <x:v>Not contacted / unconfirmed</x:v>
      </x:c>
      <x:c r="AE61" s="3" t="str">
        <x:v>Yes</x:v>
      </x:c>
      <x:c r="AF61" s="3" t="str">
        <x:v>Yes</x:v>
      </x:c>
      <x:c r="AG61" s="3"/>
      <x:c r="AH61" s="3" t="str">
        <x:v>Wholesale Realty</x:v>
      </x:c>
      <x:c r="AI61" s="18"/>
      <x:c r="AJ61" s="3" t="str">
        <x:v>CF2500-7B191E3F6478</x:v>
      </x:c>
      <x:c r="AK61" s="3" t="str">
        <x:v>Property investor / home-buying operator prospect</x:v>
      </x:c>
      <x:c r="AL61" s="19" t="n">
        <x:v>100000</x:v>
      </x:c>
      <x:c r="AM61" s="19" t="n">
        <x:v>500000</x:v>
      </x:c>
      <x:c r="AN61" s="3" t="str">
        <x:v>https://www.cashhomebuyersdirectory.com/cash-home-buyers/florida/jacksonville</x:v>
      </x:c>
      <x:c r="AO61" s="3" t="str">
        <x:v>tx_fl_investors.jsonl</x:v>
      </x:c>
      <x:c r="AP61" s="19"/>
    </x:row>
    <x:row r="62" ht="36" customHeight="1">
      <x:c r="A62" s="23" t="n">
        <x:v>61</x:v>
      </x:c>
      <x:c r="B62" s="15" t="str">
        <x:v>Elite Action Homebuyers</x:v>
      </x:c>
      <x:c r="C62" s="15"/>
      <x:c r="D62" s="15" t="str">
        <x:v>Property investor / home-buying operator</x:v>
      </x:c>
      <x:c r="E62" s="15" t="str">
        <x:v>Property investor / operator inquiry</x:v>
      </x:c>
      <x:c r="F62" s="17" t="str">
        <x:v>New</x:v>
      </x:c>
      <x:c r="G62" s="24" t="str">
        <x:v>properties@eliteactionre.com</x:v>
      </x:c>
      <x:c r="H62" s="24" t="str">
        <x:v>+13363109791</x:v>
      </x:c>
      <x:c r="I62" s="24" t="str">
        <x:v>https://www.eliteactionhomebuyers.com/</x:v>
      </x:c>
      <x:c r="J62" s="16" t="str">
        <x:v>NC</x:v>
      </x:c>
      <x:c r="K62" s="16"/>
      <x:c r="L62" s="16" t="str">
        <x:v>Public property-business route; investor decision maker unconfirmed</x:v>
      </x:c>
      <x:c r="M62" s="16" t="str">
        <x:v>https://www.eliteactionhomebuyers.com/</x:v>
      </x:c>
      <x:c r="N62" s="16" t="str">
        <x:v>$100K-$500K ticket not published / unconfirmed</x:v>
      </x:c>
      <x:c r="O62" s="20"/>
      <x:c r="P62" s="20"/>
      <x:c r="Q62" s="25" t="str">
        <x:v>No $100K-$500K operating-company investment ticket verified</x:v>
      </x:c>
      <x:c r="R62" s="25" t="str">
        <x:v>Property acquisition or investor activity makes this an operator-capital prospect for the signed trial. Confirm operating-company debt/equity appetite.</x:v>
      </x:c>
      <x:c r="S62" s="25" t="str">
        <x:v>Public property-buying activity or a directory listing does not establish available cash, investing decision-maker, current $100K-$500K capacity, or willingness to fund 101XVC operating costs.</x:v>
      </x:c>
      <x:c r="T62" s="25" t="str">
        <x:v>Ask the owner/investor whether they can allocate $100K-$500K to trial marketing and acquisitions, and confirm structure, timing and decision authority.</x:v>
      </x:c>
      <x:c r="U62" s="25" t="str">
        <x:v>https://www.cashhomebuyersdirectory.com/cash-home-buyers/north-carolina/greensboro
https://www.eliteactionhomebuyers.com/</x:v>
      </x:c>
      <x:c r="V62" s="26" t="d">
        <x:v>2026-10-02T00:00:00.000Z</x:v>
      </x:c>
      <x:c r="W62" s="26" t="d">
        <x:v>2026-10-02T00:00:00.000Z</x:v>
      </x:c>
      <x:c r="X62" s="25" t="str">
        <x:v>Public investor directory; business role and contact ownership require qualification</x:v>
      </x:c>
      <x:c r="Y62" s="25" t="str">
        <x:v>https://www.eliteactionhomebuyers.com/</x:v>
      </x:c>
      <x:c r="Z62" s="25" t="str">
        <x:v>https://www.cashhomebuyersdirectory.com/cash-home-buyers/north-carolina/greensboro</x:v>
      </x:c>
      <x:c r="AA62" s="25" t="str">
        <x:v>Public cash-home-buyer directory lists business name, phone and market. Directory entry may include brokers or service providers. Official website fetched; home-buying or investing activity stated.</x:v>
      </x:c>
      <x:c r="AB62" s="3" t="str">
        <x:v>New public-source collection</x:v>
      </x:c>
      <x:c r="AC62" s="3" t="str">
        <x:v>unverified</x:v>
      </x:c>
      <x:c r="AD62" s="3" t="str">
        <x:v>Not contacted / unconfirmed</x:v>
      </x:c>
      <x:c r="AE62" s="3" t="str">
        <x:v>Yes</x:v>
      </x:c>
      <x:c r="AF62" s="3" t="str">
        <x:v>Yes</x:v>
      </x:c>
      <x:c r="AG62" s="3"/>
      <x:c r="AH62" s="3"/>
      <x:c r="AI62" s="18"/>
      <x:c r="AJ62" s="3" t="str">
        <x:v>CF2500-69A502521F91</x:v>
      </x:c>
      <x:c r="AK62" s="3" t="str">
        <x:v>Property investor / home-buying operator prospect</x:v>
      </x:c>
      <x:c r="AL62" s="19" t="n">
        <x:v>100000</x:v>
      </x:c>
      <x:c r="AM62" s="19" t="n">
        <x:v>500000</x:v>
      </x:c>
      <x:c r="AN62" s="3" t="str">
        <x:v>https://www.cashhomebuyersdirectory.com/cash-home-buyers/north-carolina/greensboro</x:v>
      </x:c>
      <x:c r="AO62" s="3" t="str">
        <x:v>nc_il_az_co_investors.jsonl</x:v>
      </x:c>
      <x:c r="AP62" s="19"/>
    </x:row>
    <x:row r="63" ht="36" customHeight="1">
      <x:c r="A63" s="23" t="n">
        <x:v>62</x:v>
      </x:c>
      <x:c r="B63" s="15" t="str">
        <x:v>Encore Acquisitions</x:v>
      </x:c>
      <x:c r="C63" s="15"/>
      <x:c r="D63" s="15" t="str">
        <x:v>Property investor / home-buying operator</x:v>
      </x:c>
      <x:c r="E63" s="15" t="str">
        <x:v>Property investor / operator inquiry</x:v>
      </x:c>
      <x:c r="F63" s="17" t="str">
        <x:v>New</x:v>
      </x:c>
      <x:c r="G63" s="24" t="str">
        <x:v>info@encoreacquisitionstx.com</x:v>
      </x:c>
      <x:c r="H63" s="24" t="str">
        <x:v>+18329348254</x:v>
      </x:c>
      <x:c r="I63" s="24" t="str">
        <x:v>https://www.encorecompanies.com/</x:v>
      </x:c>
      <x:c r="J63" s="16" t="str">
        <x:v>TX</x:v>
      </x:c>
      <x:c r="K63" s="16" t="str">
        <x:v>Houston</x:v>
      </x:c>
      <x:c r="L63" s="16" t="str">
        <x:v>Public property-business route; investor decision maker unconfirmed</x:v>
      </x:c>
      <x:c r="M63" s="16" t="str">
        <x:v>https://www.encorecompanies.com/</x:v>
      </x:c>
      <x:c r="N63" s="16" t="str">
        <x:v>$100K-$500K ticket not published / unconfirmed</x:v>
      </x:c>
      <x:c r="O63" s="20"/>
      <x:c r="P63" s="20"/>
      <x:c r="Q63" s="25" t="str">
        <x:v>No $100K-$500K corporate-investment ticket published in checked source</x:v>
      </x:c>
      <x:c r="R63" s="25" t="str">
        <x:v>Property acquisition or investor activity makes this an operator-capital prospect for the signed trial. Confirm operating-company debt/equity appetite.</x:v>
      </x:c>
      <x:c r="S63" s="25" t="str">
        <x:v>Corporate-investment ticket and appetite unconfirmed. Property-buying activity alone does not establish fit for funding 101XVC trial operating costs.</x:v>
      </x:c>
      <x:c r="T63" s="25" t="str">
        <x:v>Ask the owner/investor whether they can allocate $100K-$500K to trial marketing and acquisitions, and confirm structure, timing and decision authority.</x:v>
      </x:c>
      <x:c r="U63" s="25" t="str">
        <x:v>https://www.cashhomebuyersdirectory.com/cash-home-buyers/texas/houston
https://www.encorecompanies.com/</x:v>
      </x:c>
      <x:c r="V63" s="26" t="d">
        <x:v>2026-10-02T00:00:00.000Z</x:v>
      </x:c>
      <x:c r="W63" s="26" t="d">
        <x:v>2026-10-03T00:00:00.000Z</x:v>
      </x:c>
      <x:c r="X63" s="25" t="str">
        <x:v>Public investor directory; business role and contact ownership require qualification</x:v>
      </x:c>
      <x:c r="Y63" s="25" t="str">
        <x:v>https://www.encorecompanies.com/</x:v>
      </x:c>
      <x:c r="Z63" s="25" t="str">
        <x:v>https://www.cashhomebuyersdirectory.com/cash-home-buyers/texas/houston</x:v>
      </x:c>
      <x:c r="AA63" s="25" t="str">
        <x:v>Public cash-home-buyer directory lists business name, phone and market. Directory entry may include brokers or service providers. Official website fetched; home-buying or investing activity stated.</x:v>
      </x:c>
      <x:c r="AB63" s="3" t="str">
        <x:v>New public-source collection</x:v>
      </x:c>
      <x:c r="AC63" s="3" t="str">
        <x:v>unverified</x:v>
      </x:c>
      <x:c r="AD63" s="3" t="str">
        <x:v>Not contacted / unconfirmed</x:v>
      </x:c>
      <x:c r="AE63" s="3" t="str">
        <x:v>Yes</x:v>
      </x:c>
      <x:c r="AF63" s="3" t="str">
        <x:v>No</x:v>
      </x:c>
      <x:c r="AG63" s="3"/>
      <x:c r="AH63" s="3"/>
      <x:c r="AI63" s="18"/>
      <x:c r="AJ63" s="3" t="str">
        <x:v>CF2500-619601BFB583</x:v>
      </x:c>
      <x:c r="AK63" s="3" t="str">
        <x:v>Property investor / home-buying operator prospect</x:v>
      </x:c>
      <x:c r="AL63" s="19" t="n">
        <x:v>100000</x:v>
      </x:c>
      <x:c r="AM63" s="19" t="n">
        <x:v>500000</x:v>
      </x:c>
      <x:c r="AN63" s="3" t="str">
        <x:v>https://www.cashhomebuyersdirectory.com/cash-home-buyers/texas/houston</x:v>
      </x:c>
      <x:c r="AO63" s="3" t="str">
        <x:v>tx_fl_investors.jsonl</x:v>
      </x:c>
      <x:c r="AP63" s="19"/>
    </x:row>
    <x:row r="64" ht="36" customHeight="1">
      <x:c r="A64" s="23" t="n">
        <x:v>63</x:v>
      </x:c>
      <x:c r="B64" s="15" t="str">
        <x:v>Equity Depot</x:v>
      </x:c>
      <x:c r="C64" s="15"/>
      <x:c r="D64" s="15" t="str">
        <x:v>Property investor / home-buying operator</x:v>
      </x:c>
      <x:c r="E64" s="15" t="str">
        <x:v>Property investor / operator inquiry</x:v>
      </x:c>
      <x:c r="F64" s="17" t="str">
        <x:v>New</x:v>
      </x:c>
      <x:c r="G64" s="24" t="str">
        <x:v>info@equitydepot.io</x:v>
      </x:c>
      <x:c r="H64" s="24" t="str">
        <x:v>+12109444221</x:v>
      </x:c>
      <x:c r="I64" s="24" t="str">
        <x:v>https://equitydepot.io/</x:v>
      </x:c>
      <x:c r="J64" s="16" t="str">
        <x:v>TX</x:v>
      </x:c>
      <x:c r="K64" s="16" t="str">
        <x:v>San Antonio</x:v>
      </x:c>
      <x:c r="L64" s="16" t="str">
        <x:v>Public property-business route; investor decision maker unconfirmed</x:v>
      </x:c>
      <x:c r="M64" s="16" t="str">
        <x:v>https://equitydepot.io/</x:v>
      </x:c>
      <x:c r="N64" s="16" t="str">
        <x:v>$100K-$500K ticket not published / unconfirmed</x:v>
      </x:c>
      <x:c r="O64" s="20"/>
      <x:c r="P64" s="20"/>
      <x:c r="Q64" s="25" t="str">
        <x:v>No $100K-$500K corporate-investment ticket published in checked source</x:v>
      </x:c>
      <x:c r="R64" s="25" t="str">
        <x:v>Property acquisition or investor activity makes this an operator-capital prospect for the signed trial. Confirm operating-company debt/equity appetite.</x:v>
      </x:c>
      <x:c r="S64" s="25" t="str">
        <x:v>Corporate-investment ticket and appetite unconfirmed. Property-buying activity alone does not establish fit for funding 101XVC trial operating costs.</x:v>
      </x:c>
      <x:c r="T64" s="25" t="str">
        <x:v>Ask the owner/investor whether they can allocate $100K-$500K to trial marketing and acquisitions, and confirm structure, timing and decision authority.</x:v>
      </x:c>
      <x:c r="U64" s="25" t="str">
        <x:v>https://www.cashhomebuyersdirectory.com/cash-home-buyers/texas/san-antonio
https://equitydepot.io/</x:v>
      </x:c>
      <x:c r="V64" s="26" t="d">
        <x:v>2026-10-02T00:00:00.000Z</x:v>
      </x:c>
      <x:c r="W64" s="26" t="d">
        <x:v>2026-10-03T00:00:00.000Z</x:v>
      </x:c>
      <x:c r="X64" s="25" t="str">
        <x:v>Public investor directory; business role and contact ownership require qualification</x:v>
      </x:c>
      <x:c r="Y64" s="25" t="str">
        <x:v>https://equitydepot.io/</x:v>
      </x:c>
      <x:c r="Z64" s="25" t="str">
        <x:v>https://www.cashhomebuyersdirectory.com/cash-home-buyers/texas/san-antonio</x:v>
      </x:c>
      <x:c r="AA64" s="25" t="str">
        <x:v>Public cash-home-buyer directory lists business name, phone and market. Directory entry may include brokers or service providers. Official website fetched; home-buying or investing activity stated.</x:v>
      </x:c>
      <x:c r="AB64" s="3" t="str">
        <x:v>New public-source collection</x:v>
      </x:c>
      <x:c r="AC64" s="3" t="str">
        <x:v>unverified</x:v>
      </x:c>
      <x:c r="AD64" s="3" t="str">
        <x:v>Not contacted / unconfirmed</x:v>
      </x:c>
      <x:c r="AE64" s="3" t="str">
        <x:v>Yes</x:v>
      </x:c>
      <x:c r="AF64" s="3" t="str">
        <x:v>Yes</x:v>
      </x:c>
      <x:c r="AG64" s="3"/>
      <x:c r="AH64" s="3"/>
      <x:c r="AI64" s="18"/>
      <x:c r="AJ64" s="3" t="str">
        <x:v>CF2500-5FF388BA0881</x:v>
      </x:c>
      <x:c r="AK64" s="3" t="str">
        <x:v>Property investor / home-buying operator prospect</x:v>
      </x:c>
      <x:c r="AL64" s="19" t="n">
        <x:v>100000</x:v>
      </x:c>
      <x:c r="AM64" s="19" t="n">
        <x:v>500000</x:v>
      </x:c>
      <x:c r="AN64" s="3" t="str">
        <x:v>https://www.cashhomebuyersdirectory.com/cash-home-buyers/texas/san-antonio</x:v>
      </x:c>
      <x:c r="AO64" s="3" t="str">
        <x:v>tx_fl_investors.jsonl</x:v>
      </x:c>
      <x:c r="AP64" s="19"/>
    </x:row>
    <x:row r="65" ht="36" customHeight="1">
      <x:c r="A65" s="23" t="n">
        <x:v>64</x:v>
      </x:c>
      <x:c r="B65" s="15" t="str">
        <x:v>FINEST HOME BUYERS LLC</x:v>
      </x:c>
      <x:c r="C65" s="15"/>
      <x:c r="D65" s="15" t="str">
        <x:v>Property investor / home-buying operator</x:v>
      </x:c>
      <x:c r="E65" s="15" t="str">
        <x:v>Property investor / operator inquiry</x:v>
      </x:c>
      <x:c r="F65" s="17" t="str">
        <x:v>New</x:v>
      </x:c>
      <x:c r="G65" s="24" t="str">
        <x:v>finesthomebuyers@gmail.com</x:v>
      </x:c>
      <x:c r="H65" s="24" t="str">
        <x:v>+13213215036</x:v>
      </x:c>
      <x:c r="I65" s="24" t="str">
        <x:v>https://finesthomebuyers.com/</x:v>
      </x:c>
      <x:c r="J65" s="16" t="str">
        <x:v>FL</x:v>
      </x:c>
      <x:c r="K65" s="16"/>
      <x:c r="L65" s="16" t="str">
        <x:v>Public property-business route; investor decision maker unconfirmed</x:v>
      </x:c>
      <x:c r="M65" s="16" t="str">
        <x:v>https://finesthomebuyers.com/faqs/</x:v>
      </x:c>
      <x:c r="N65" s="16" t="str">
        <x:v>$100K-$500K ticket not published / unconfirmed</x:v>
      </x:c>
      <x:c r="O65" s="20"/>
      <x:c r="P65" s="20"/>
      <x:c r="Q65" s="25" t="str">
        <x:v>No direct corporate-capital range established in checked source</x:v>
      </x:c>
      <x:c r="R65" s="25" t="str">
        <x:v>Property acquisition or investor activity makes this an operator-capital prospect for the signed trial. Confirm operating-company debt/equity appetite.</x:v>
      </x:c>
      <x:c r="S65" s="25" t="str">
        <x:v>Confirm the contact controls funding decisions; confirm willingness to invest in an operating company, current liquidity, $100K to $500K ticket size, required security and diligence.</x:v>
      </x:c>
      <x:c r="T65" s="25" t="str">
        <x:v>Ask the owner/investor whether they can allocate $100K-$500K to trial marketing and acquisitions, and confirm structure, timing and decision authority.</x:v>
      </x:c>
      <x:c r="U65" s="25" t="str">
        <x:v>https://finesthomebuyers.com/faqs/
https://sfranalytics.com/investors/fl/tampa-st-petersburg-clearwater-fl
https://sfranalytics.com/investors/fl/tampa-st-petersburg-clearwater-fl/finest-home-buyers-llc-fl</x:v>
      </x:c>
      <x:c r="V65" s="26" t="d">
        <x:v>2026-10-02T00:00:00.000Z</x:v>
      </x:c>
      <x:c r="W65" s="26" t="d">
        <x:v>2026-10-03T00:00:00.000Z</x:v>
      </x:c>
      <x:c r="X65" s="25" t="str">
        <x:v>SFR Analytics public investor discovery plus official-company activity, geography and published business contact checks</x:v>
      </x:c>
      <x:c r="Y65" s="25" t="str">
        <x:v>https://finesthomebuyers.com/faqs/</x:v>
      </x:c>
      <x:c r="Z65" s="25" t="str">
        <x:v>https://finesthomebuyers.com/faqs/</x:v>
      </x:c>
      <x:c r="AA65" s="25" t="str">
        <x:v>Company FAQ describes purchasing Florida houses in any condition. Published general business contact observed: (321) 321-5036. SFR Analytics public directory lists FINEST HOME BUYERS LLC as an organization with a flipper strategy, 20 observed transactions and $3.79M tracked transaction volume. Observed listing market: Tampa-St. Petersburg-Clearwater, FL. This is third-party public-record research, not evidence of available cash, a $100K to $500K check, an operating-company investment mandate, or acceptance of this transaction.</x:v>
      </x:c>
      <x:c r="AB65" s="3" t="str">
        <x:v>New public-source collection</x:v>
      </x:c>
      <x:c r="AC65" s="3" t="str">
        <x:v>unverified</x:v>
      </x:c>
      <x:c r="AD65" s="3" t="str">
        <x:v>Not contacted / unconfirmed</x:v>
      </x:c>
      <x:c r="AE65" s="3" t="str">
        <x:v>Yes</x:v>
      </x:c>
      <x:c r="AF65" s="3" t="str">
        <x:v>Yes</x:v>
      </x:c>
      <x:c r="AG65" s="3"/>
      <x:c r="AH65" s="3"/>
      <x:c r="AI65" s="18"/>
      <x:c r="AJ65" s="3" t="str">
        <x:v>CF2500-07456A22CD14</x:v>
      </x:c>
      <x:c r="AK65" s="3" t="str">
        <x:v>real_estate_operator</x:v>
      </x:c>
      <x:c r="AL65" s="19" t="n">
        <x:v>100000</x:v>
      </x:c>
      <x:c r="AM65" s="19" t="n">
        <x:v>500000</x:v>
      </x:c>
      <x:c r="AN65" s="3" t="str">
        <x:v>https://finesthomebuyers.com/faqs/</x:v>
      </x:c>
      <x:c r="AO65" s="3" t="str">
        <x:v>sfr_contact_enriched.jsonl</x:v>
      </x:c>
      <x:c r="AP65" s="19"/>
    </x:row>
    <x:row r="66" ht="36" customHeight="1">
      <x:c r="A66" s="23" t="n">
        <x:v>65</x:v>
      </x:c>
      <x:c r="B66" s="15" t="str">
        <x:v>FL CASH HOME BUYERS LLC</x:v>
      </x:c>
      <x:c r="C66" s="15"/>
      <x:c r="D66" s="15" t="str">
        <x:v>Property investor / home-buying operator</x:v>
      </x:c>
      <x:c r="E66" s="15" t="str">
        <x:v>Property investor / operator inquiry</x:v>
      </x:c>
      <x:c r="F66" s="17" t="str">
        <x:v>New</x:v>
      </x:c>
      <x:c r="G66" s="24" t="str">
        <x:v>info@floridacashhomebuyers.com</x:v>
      </x:c>
      <x:c r="H66" s="24" t="str">
        <x:v>+19545197040</x:v>
      </x:c>
      <x:c r="I66" s="24" t="str">
        <x:v>https://www.floridacashhomebuyers.com/</x:v>
      </x:c>
      <x:c r="J66" s="16" t="str">
        <x:v>FL</x:v>
      </x:c>
      <x:c r="K66" s="16"/>
      <x:c r="L66" s="16" t="str">
        <x:v>Public property-business route; investor decision maker unconfirmed</x:v>
      </x:c>
      <x:c r="M66" s="16" t="str">
        <x:v>https://www.floridacashhomebuyers.com/contact-us/</x:v>
      </x:c>
      <x:c r="N66" s="16" t="str">
        <x:v>$100K-$500K ticket not published / unconfirmed</x:v>
      </x:c>
      <x:c r="O66" s="20"/>
      <x:c r="P66" s="20"/>
      <x:c r="Q66" s="25" t="str">
        <x:v>No direct corporate-capital range established in checked source</x:v>
      </x:c>
      <x:c r="R66" s="25" t="str">
        <x:v>Property acquisition or investor activity makes this an operator-capital prospect for the signed trial. Confirm operating-company debt/equity appetite.</x:v>
      </x:c>
      <x:c r="S66" s="25" t="str">
        <x:v>Confirm the contact controls funding decisions; confirm willingness to invest in an operating company, current liquidity, $100K to $500K ticket size, required security and diligence.</x:v>
      </x:c>
      <x:c r="T66" s="25" t="str">
        <x:v>Ask the owner/investor whether they can allocate $100K-$500K to trial marketing and acquisitions, and confirm structure, timing and decision authority.</x:v>
      </x:c>
      <x:c r="U66" s="25" t="str">
        <x:v>https://www.floridacashhomebuyers.com/contact-us/
https://sfranalytics.com/investors/fl/miami-fort-lauderdale-west-palm-beach-fl
https://sfranalytics.com/investors/fl/miami-fort-lauderdale-west-palm-beach-fl/fl-cash-home-buyers-llc-fl
https://www.cashhomebuyersdirectory.com/cash-home-buyers/florida/cape-coral
https://www.floridacashhomebuyers.com/</x:v>
      </x:c>
      <x:c r="V66" s="26" t="d">
        <x:v>2026-10-02T00:00:00.000Z</x:v>
      </x:c>
      <x:c r="W66" s="26" t="d">
        <x:v>2026-10-03T00:00:00.000Z</x:v>
      </x:c>
      <x:c r="X66" s="25" t="str">
        <x:v>SFR Analytics public investor discovery plus official-company activity, geography and published business contact checks</x:v>
      </x:c>
      <x:c r="Y66" s="25" t="str">
        <x:v>https://www.floridacashhomebuyers.com/contact-us/</x:v>
      </x:c>
      <x:c r="Z66" s="25" t="str">
        <x:v>https://www.floridacashhomebuyers.com/contact-us/</x:v>
      </x:c>
      <x:c r="AA66" s="25" t="str">
        <x:v>Company trades as Florida Cash Home Buyers and describes buying Florida houses in any condition. Published general business contact observed: (954) 519-7040. SFR Analytics public directory lists FL CASH HOME BUYERS LLC as an organization with a flipper strategy, 14 observed transactions and $1.64M tracked transaction volume. Observed listing market: Miami-Fort Lauderdale-West Palm Beach, FL. This is third-party public-record research, not evidence of available cash, a $100K to $500K check, an operating-company investment mandate, or acceptance of this transaction.</x:v>
      </x:c>
      <x:c r="AB66" s="3" t="str">
        <x:v>New public-source collection</x:v>
      </x:c>
      <x:c r="AC66" s="3" t="str">
        <x:v>unverified</x:v>
      </x:c>
      <x:c r="AD66" s="3" t="str">
        <x:v>Not contacted / unconfirmed</x:v>
      </x:c>
      <x:c r="AE66" s="3" t="str">
        <x:v>Yes</x:v>
      </x:c>
      <x:c r="AF66" s="3" t="str">
        <x:v>Yes</x:v>
      </x:c>
      <x:c r="AG66" s="3"/>
      <x:c r="AH66" s="3" t="str">
        <x:v>Florida Cash Home Buyers</x:v>
      </x:c>
      <x:c r="AI66" s="18"/>
      <x:c r="AJ66" s="3" t="str">
        <x:v>CF2500-B861B3B53803</x:v>
      </x:c>
      <x:c r="AK66" s="3" t="str">
        <x:v>real_estate_operator</x:v>
      </x:c>
      <x:c r="AL66" s="19" t="n">
        <x:v>100000</x:v>
      </x:c>
      <x:c r="AM66" s="19" t="n">
        <x:v>500000</x:v>
      </x:c>
      <x:c r="AN66" s="3" t="str">
        <x:v>https://www.floridacashhomebuyers.com/contact-us/</x:v>
      </x:c>
      <x:c r="AO66" s="3" t="str">
        <x:v>sfr_contact_enriched.jsonl</x:v>
      </x:c>
      <x:c r="AP66" s="19"/>
    </x:row>
    <x:row r="67" ht="36" customHeight="1">
      <x:c r="A67" s="23" t="n">
        <x:v>66</x:v>
      </x:c>
      <x:c r="B67" s="15" t="str">
        <x:v>French Investments - Buys Houses In Florida</x:v>
      </x:c>
      <x:c r="C67" s="15"/>
      <x:c r="D67" s="15" t="str">
        <x:v>Property investor / home-buying operator</x:v>
      </x:c>
      <x:c r="E67" s="15" t="str">
        <x:v>Property investor / operator inquiry</x:v>
      </x:c>
      <x:c r="F67" s="17" t="str">
        <x:v>New</x:v>
      </x:c>
      <x:c r="G67" s="24" t="str">
        <x:v>ron@iwillgetitdone.com</x:v>
      </x:c>
      <x:c r="H67" s="24" t="str">
        <x:v>+18509728340</x:v>
      </x:c>
      <x:c r="I67" s="24" t="str">
        <x:v>https://iwillgetitdone.com/we-buy-houses-in-pensacola-florida/</x:v>
      </x:c>
      <x:c r="J67" s="16" t="str">
        <x:v>FL</x:v>
      </x:c>
      <x:c r="K67" s="16"/>
      <x:c r="L67" s="16" t="str">
        <x:v>Public property-business route; investor decision maker unconfirmed</x:v>
      </x:c>
      <x:c r="M67" s="16" t="str">
        <x:v>https://iwillgetitdone.com/we-buy-houses-in-pensacola-florida/</x:v>
      </x:c>
      <x:c r="N67" s="16" t="str">
        <x:v>$100K-$500K ticket not published / unconfirmed</x:v>
      </x:c>
      <x:c r="O67" s="20"/>
      <x:c r="P67" s="20"/>
      <x:c r="Q67" s="25" t="str">
        <x:v>No $100K-$500K corporate-investment ticket published in checked source</x:v>
      </x:c>
      <x:c r="R67" s="25" t="str">
        <x:v>Property acquisition or investor activity makes this an operator-capital prospect for the signed trial. Confirm operating-company debt/equity appetite.</x:v>
      </x:c>
      <x:c r="S67" s="25" t="str">
        <x:v>Corporate-investment ticket and appetite unconfirmed. Property-buying activity alone does not establish fit for funding 101XVC trial operating costs.</x:v>
      </x:c>
      <x:c r="T67" s="25" t="str">
        <x:v>Ask the owner/investor whether they can allocate $100K-$500K to trial marketing and acquisitions, and confirm structure, timing and decision authority.</x:v>
      </x:c>
      <x:c r="U67" s="25" t="str">
        <x:v>https://www.cashhomebuyersdirectory.com/cash-home-buyers/florida/pensacola
https://iwillgetitdone.com/we-buy-houses-in-pensacola-florida/</x:v>
      </x:c>
      <x:c r="V67" s="26" t="d">
        <x:v>2026-10-02T00:00:00.000Z</x:v>
      </x:c>
      <x:c r="W67" s="26" t="d">
        <x:v>2026-10-03T00:00:00.000Z</x:v>
      </x:c>
      <x:c r="X67" s="25" t="str">
        <x:v>Public investor directory; business role and contact ownership require qualification</x:v>
      </x:c>
      <x:c r="Y67" s="25" t="str">
        <x:v>https://iwillgetitdone.com/we-buy-houses-in-pensacola-florida/</x:v>
      </x:c>
      <x:c r="Z67" s="25" t="str">
        <x:v>https://www.cashhomebuyersdirectory.com/cash-home-buyers/florida/pensacola</x:v>
      </x:c>
      <x:c r="AA67" s="25" t="str">
        <x:v>Public cash-home-buyer directory lists business name, phone and market. Directory entry may include brokers or service providers. Official website fetched; home-buying or investing activity stated.</x:v>
      </x:c>
      <x:c r="AB67" s="3" t="str">
        <x:v>New public-source collection</x:v>
      </x:c>
      <x:c r="AC67" s="3" t="str">
        <x:v>unverified</x:v>
      </x:c>
      <x:c r="AD67" s="3" t="str">
        <x:v>Not contacted / unconfirmed</x:v>
      </x:c>
      <x:c r="AE67" s="3" t="str">
        <x:v>Yes</x:v>
      </x:c>
      <x:c r="AF67" s="3" t="str">
        <x:v>Yes</x:v>
      </x:c>
      <x:c r="AG67" s="3"/>
      <x:c r="AH67" s="3"/>
      <x:c r="AI67" s="18"/>
      <x:c r="AJ67" s="3" t="str">
        <x:v>CF2500-6867679AD4C4</x:v>
      </x:c>
      <x:c r="AK67" s="3" t="str">
        <x:v>Property investor / home-buying operator prospect</x:v>
      </x:c>
      <x:c r="AL67" s="19" t="n">
        <x:v>100000</x:v>
      </x:c>
      <x:c r="AM67" s="19" t="n">
        <x:v>500000</x:v>
      </x:c>
      <x:c r="AN67" s="3" t="str">
        <x:v>https://www.cashhomebuyersdirectory.com/cash-home-buyers/florida/pensacola</x:v>
      </x:c>
      <x:c r="AO67" s="3" t="str">
        <x:v>tx_fl_investors.jsonl</x:v>
      </x:c>
      <x:c r="AP67" s="19"/>
    </x:row>
    <x:row r="68" ht="36" customHeight="1">
      <x:c r="A68" s="23" t="n">
        <x:v>67</x:v>
      </x:c>
      <x:c r="B68" s="15" t="str">
        <x:v>Get It Done House Buyers Inc.</x:v>
      </x:c>
      <x:c r="C68" s="15"/>
      <x:c r="D68" s="15" t="str">
        <x:v>Property investor / home-buying operator</x:v>
      </x:c>
      <x:c r="E68" s="15" t="str">
        <x:v>Property investor / operator inquiry</x:v>
      </x:c>
      <x:c r="F68" s="17" t="str">
        <x:v>New</x:v>
      </x:c>
      <x:c r="G68" s="24" t="str">
        <x:v>marketing@getitdonehousebuyers.com</x:v>
      </x:c>
      <x:c r="H68" s="24" t="str">
        <x:v>+17724084441</x:v>
      </x:c>
      <x:c r="I68" s="24" t="str">
        <x:v>https://www.getitdonehousebuyers.com/</x:v>
      </x:c>
      <x:c r="J68" s="16" t="str">
        <x:v>FL</x:v>
      </x:c>
      <x:c r="K68" s="16" t="str">
        <x:v>Port St. Lucie</x:v>
      </x:c>
      <x:c r="L68" s="16" t="str">
        <x:v>Public property-business route; investor decision maker unconfirmed</x:v>
      </x:c>
      <x:c r="M68" s="16" t="str">
        <x:v>https://www.getitdonehousebuyers.com/</x:v>
      </x:c>
      <x:c r="N68" s="16" t="str">
        <x:v>$100K-$500K ticket not published / unconfirmed</x:v>
      </x:c>
      <x:c r="O68" s="20"/>
      <x:c r="P68" s="20"/>
      <x:c r="Q68" s="25" t="str">
        <x:v>No $100K-$500K corporate-investment ticket published in checked source</x:v>
      </x:c>
      <x:c r="R68" s="25" t="str">
        <x:v>Property acquisition or investor activity makes this an operator-capital prospect for the signed trial. Confirm operating-company debt/equity appetite.</x:v>
      </x:c>
      <x:c r="S68" s="25" t="str">
        <x:v>Corporate-investment ticket and appetite unconfirmed. Property-buying activity alone does not establish fit for funding 101XVC trial operating costs.</x:v>
      </x:c>
      <x:c r="T68" s="25" t="str">
        <x:v>Ask the owner/investor whether they can allocate $100K-$500K to trial marketing and acquisitions, and confirm structure, timing and decision authority.</x:v>
      </x:c>
      <x:c r="U68" s="25" t="str">
        <x:v>https://www.cashhomebuyersdirectory.com/cash-home-buyers/florida/port-st-lucie
https://www.getitdonehousebuyers.com/</x:v>
      </x:c>
      <x:c r="V68" s="26" t="d">
        <x:v>2026-10-02T00:00:00.000Z</x:v>
      </x:c>
      <x:c r="W68" s="26" t="d">
        <x:v>2026-10-03T00:00:00.000Z</x:v>
      </x:c>
      <x:c r="X68" s="25" t="str">
        <x:v>Public investor directory; business role and contact ownership require qualification</x:v>
      </x:c>
      <x:c r="Y68" s="25" t="str">
        <x:v>https://www.getitdonehousebuyers.com/</x:v>
      </x:c>
      <x:c r="Z68" s="25" t="str">
        <x:v>https://www.cashhomebuyersdirectory.com/cash-home-buyers/florida/port-st-lucie</x:v>
      </x:c>
      <x:c r="AA68" s="25" t="str">
        <x:v>Public cash-home-buyer directory lists business name, phone and market. Directory entry may include brokers or service providers. Official website fetched; home-buying or investing activity stated.</x:v>
      </x:c>
      <x:c r="AB68" s="3" t="str">
        <x:v>New public-source collection</x:v>
      </x:c>
      <x:c r="AC68" s="3" t="str">
        <x:v>unverified</x:v>
      </x:c>
      <x:c r="AD68" s="3" t="str">
        <x:v>Not contacted / unconfirmed</x:v>
      </x:c>
      <x:c r="AE68" s="3" t="str">
        <x:v>Yes</x:v>
      </x:c>
      <x:c r="AF68" s="3" t="str">
        <x:v>No</x:v>
      </x:c>
      <x:c r="AG68" s="3"/>
      <x:c r="AH68" s="3"/>
      <x:c r="AI68" s="18"/>
      <x:c r="AJ68" s="3" t="str">
        <x:v>CF2500-FD0C9761B771</x:v>
      </x:c>
      <x:c r="AK68" s="3" t="str">
        <x:v>Property investor / home-buying operator prospect</x:v>
      </x:c>
      <x:c r="AL68" s="19" t="n">
        <x:v>100000</x:v>
      </x:c>
      <x:c r="AM68" s="19" t="n">
        <x:v>500000</x:v>
      </x:c>
      <x:c r="AN68" s="3" t="str">
        <x:v>https://www.cashhomebuyersdirectory.com/cash-home-buyers/florida/port-st-lucie</x:v>
      </x:c>
      <x:c r="AO68" s="3" t="str">
        <x:v>tx_fl_investors.jsonl</x:v>
      </x:c>
      <x:c r="AP68" s="19"/>
    </x:row>
    <x:row r="69" ht="36" customHeight="1">
      <x:c r="A69" s="23" t="n">
        <x:v>68</x:v>
      </x:c>
      <x:c r="B69" s="15" t="str">
        <x:v>Golden Home Buyer</x:v>
      </x:c>
      <x:c r="C69" s="15"/>
      <x:c r="D69" s="15" t="str">
        <x:v>Property investor / home-buying operator</x:v>
      </x:c>
      <x:c r="E69" s="15" t="str">
        <x:v>Property investor / operator inquiry</x:v>
      </x:c>
      <x:c r="F69" s="17" t="str">
        <x:v>New</x:v>
      </x:c>
      <x:c r="G69" s="24" t="str">
        <x:v>info@goldenrealestatellc.com</x:v>
      </x:c>
      <x:c r="H69" s="24" t="str">
        <x:v>+15405464402</x:v>
      </x:c>
      <x:c r="I69" s="24" t="str">
        <x:v>https://goldenhomebuyer.com/</x:v>
      </x:c>
      <x:c r="J69" s="16" t="str">
        <x:v>NC</x:v>
      </x:c>
      <x:c r="K69" s="16" t="str">
        <x:v>Raleigh</x:v>
      </x:c>
      <x:c r="L69" s="16" t="str">
        <x:v>Public property-business route; investor decision maker unconfirmed</x:v>
      </x:c>
      <x:c r="M69" s="16" t="str">
        <x:v>https://goldenhomebuyer.com/contact-us/</x:v>
      </x:c>
      <x:c r="N69" s="16" t="str">
        <x:v>$100K-$500K ticket not published / unconfirmed</x:v>
      </x:c>
      <x:c r="O69" s="20"/>
      <x:c r="P69" s="20"/>
      <x:c r="Q69" s="25" t="str">
        <x:v>No $100K-$500K operating-company investment ticket verified</x:v>
      </x:c>
      <x:c r="R69" s="25" t="str">
        <x:v>Property acquisition or investor activity makes this an operator-capital prospect for the signed trial. Confirm operating-company debt/equity appetite.</x:v>
      </x:c>
      <x:c r="S69" s="25" t="str">
        <x:v>Public property-buying activity or a directory listing does not establish available cash, investing decision-maker, current $100K-$500K capacity, or willingness to fund 101XVC operating costs.</x:v>
      </x:c>
      <x:c r="T69" s="25" t="str">
        <x:v>Ask the owner/investor whether they can allocate $100K-$500K to trial marketing and acquisitions, and confirm structure, timing and decision authority.</x:v>
      </x:c>
      <x:c r="U69" s="25" t="str">
        <x:v>https://www.cashhomebuyersdirectory.com/cash-home-buyers/north-carolina/raleigh
https://goldenhomebuyer.com/
https://goldenhomebuyer.com/contact-us/</x:v>
      </x:c>
      <x:c r="V69" s="26" t="d">
        <x:v>2026-10-02T00:00:00.000Z</x:v>
      </x:c>
      <x:c r="W69" s="26" t="d">
        <x:v>2026-10-02T00:00:00.000Z</x:v>
      </x:c>
      <x:c r="X69" s="25" t="str">
        <x:v>Public investor directory; business role and contact ownership require qualification</x:v>
      </x:c>
      <x:c r="Y69" s="25" t="str">
        <x:v>https://goldenhomebuyer.com/contact-us/</x:v>
      </x:c>
      <x:c r="Z69" s="25" t="str">
        <x:v>https://www.cashhomebuyersdirectory.com/cash-home-buyers/north-carolina/raleigh</x:v>
      </x:c>
      <x:c r="AA69" s="25" t="str">
        <x:v>Public cash-home-buyer directory lists business name, phone and market. Directory entry may include brokers or service providers. Official website fetched; home-buying or investing activity stated.</x:v>
      </x:c>
      <x:c r="AB69" s="3" t="str">
        <x:v>New public-source collection</x:v>
      </x:c>
      <x:c r="AC69" s="3" t="str">
        <x:v>unverified</x:v>
      </x:c>
      <x:c r="AD69" s="3" t="str">
        <x:v>Not contacted / unconfirmed</x:v>
      </x:c>
      <x:c r="AE69" s="3" t="str">
        <x:v>Yes</x:v>
      </x:c>
      <x:c r="AF69" s="3" t="str">
        <x:v>Yes</x:v>
      </x:c>
      <x:c r="AG69" s="3"/>
      <x:c r="AH69" s="3"/>
      <x:c r="AI69" s="18"/>
      <x:c r="AJ69" s="3" t="str">
        <x:v>CF2500-E35AA9216B23</x:v>
      </x:c>
      <x:c r="AK69" s="3" t="str">
        <x:v>Property investor / home-buying operator prospect</x:v>
      </x:c>
      <x:c r="AL69" s="19" t="n">
        <x:v>100000</x:v>
      </x:c>
      <x:c r="AM69" s="19" t="n">
        <x:v>500000</x:v>
      </x:c>
      <x:c r="AN69" s="3" t="str">
        <x:v>https://www.cashhomebuyersdirectory.com/cash-home-buyers/north-carolina/raleigh</x:v>
      </x:c>
      <x:c r="AO69" s="3" t="str">
        <x:v>nc_il_az_co_investors.jsonl</x:v>
      </x:c>
      <x:c r="AP69" s="19"/>
    </x:row>
    <x:row r="70" ht="36" customHeight="1">
      <x:c r="A70" s="23" t="n">
        <x:v>69</x:v>
      </x:c>
      <x:c r="B70" s="15" t="str">
        <x:v>GoldStar Homebuyers</x:v>
      </x:c>
      <x:c r="C70" s="15"/>
      <x:c r="D70" s="15" t="str">
        <x:v>Property investor / home-buying operator</x:v>
      </x:c>
      <x:c r="E70" s="15" t="str">
        <x:v>Property investor / operator inquiry</x:v>
      </x:c>
      <x:c r="F70" s="17" t="str">
        <x:v>New</x:v>
      </x:c>
      <x:c r="G70" s="24" t="str">
        <x:v>goldstarhomebuyers1@gmail.com</x:v>
      </x:c>
      <x:c r="H70" s="24" t="str">
        <x:v>+13363372108</x:v>
      </x:c>
      <x:c r="I70" s="24" t="str">
        <x:v>https://www.goldstarhomebuyers.com/</x:v>
      </x:c>
      <x:c r="J70" s="16" t="str">
        <x:v>NC</x:v>
      </x:c>
      <x:c r="K70" s="16"/>
      <x:c r="L70" s="16" t="str">
        <x:v>Public property-business route; investor decision maker unconfirmed</x:v>
      </x:c>
      <x:c r="M70" s="16" t="str">
        <x:v>https://www.goldstarhomebuyers.com/</x:v>
      </x:c>
      <x:c r="N70" s="16" t="str">
        <x:v>$100K-$500K ticket not published / unconfirmed</x:v>
      </x:c>
      <x:c r="O70" s="20"/>
      <x:c r="P70" s="20"/>
      <x:c r="Q70" s="25" t="str">
        <x:v>No $100K-$500K operating-company investment ticket verified</x:v>
      </x:c>
      <x:c r="R70" s="25" t="str">
        <x:v>Property acquisition or investor activity makes this an operator-capital prospect for the signed trial. Confirm operating-company debt/equity appetite.</x:v>
      </x:c>
      <x:c r="S70" s="25" t="str">
        <x:v>Public property-buying activity or a directory listing does not establish available cash, investing decision-maker, current $100K-$500K capacity, or willingness to fund 101XVC operating costs.</x:v>
      </x:c>
      <x:c r="T70" s="25" t="str">
        <x:v>Ask the owner/investor whether they can allocate $100K-$500K to trial marketing and acquisitions, and confirm structure, timing and decision authority.</x:v>
      </x:c>
      <x:c r="U70" s="25" t="str">
        <x:v>https://www.cashhomebuyersdirectory.com/cash-home-buyers/north-carolina/greensboro
https://www.goldstarhomebuyers.com/</x:v>
      </x:c>
      <x:c r="V70" s="26" t="d">
        <x:v>2026-10-02T00:00:00.000Z</x:v>
      </x:c>
      <x:c r="W70" s="26" t="d">
        <x:v>2026-10-02T00:00:00.000Z</x:v>
      </x:c>
      <x:c r="X70" s="25" t="str">
        <x:v>Public investor directory; business role and contact ownership require qualification</x:v>
      </x:c>
      <x:c r="Y70" s="25" t="str">
        <x:v>https://www.goldstarhomebuyers.com/</x:v>
      </x:c>
      <x:c r="Z70" s="25" t="str">
        <x:v>https://www.cashhomebuyersdirectory.com/cash-home-buyers/north-carolina/greensboro</x:v>
      </x:c>
      <x:c r="AA70" s="25" t="str">
        <x:v>Public cash-home-buyer directory lists business name, phone and market. Directory entry may include brokers or service providers. Official website fetched; home-buying or investing activity stated.</x:v>
      </x:c>
      <x:c r="AB70" s="3" t="str">
        <x:v>New public-source collection</x:v>
      </x:c>
      <x:c r="AC70" s="3" t="str">
        <x:v>unverified</x:v>
      </x:c>
      <x:c r="AD70" s="3" t="str">
        <x:v>Not contacted / unconfirmed</x:v>
      </x:c>
      <x:c r="AE70" s="3" t="str">
        <x:v>Yes</x:v>
      </x:c>
      <x:c r="AF70" s="3" t="str">
        <x:v>No</x:v>
      </x:c>
      <x:c r="AG70" s="3"/>
      <x:c r="AH70" s="3"/>
      <x:c r="AI70" s="18"/>
      <x:c r="AJ70" s="3" t="str">
        <x:v>CF2500-E1B63DE1EC01</x:v>
      </x:c>
      <x:c r="AK70" s="3" t="str">
        <x:v>Property investor / home-buying operator prospect</x:v>
      </x:c>
      <x:c r="AL70" s="19" t="n">
        <x:v>100000</x:v>
      </x:c>
      <x:c r="AM70" s="19" t="n">
        <x:v>500000</x:v>
      </x:c>
      <x:c r="AN70" s="3" t="str">
        <x:v>https://www.cashhomebuyersdirectory.com/cash-home-buyers/north-carolina/greensboro</x:v>
      </x:c>
      <x:c r="AO70" s="3" t="str">
        <x:v>nc_il_az_co_investors.jsonl</x:v>
      </x:c>
      <x:c r="AP70" s="19"/>
    </x:row>
    <x:row r="71" ht="36" customHeight="1">
      <x:c r="A71" s="23" t="n">
        <x:v>70</x:v>
      </x:c>
      <x:c r="B71" s="15" t="str">
        <x:v>Good Home Buyers</x:v>
      </x:c>
      <x:c r="C71" s="15"/>
      <x:c r="D71" s="15" t="str">
        <x:v>Property investor / home-buying operator</x:v>
      </x:c>
      <x:c r="E71" s="15" t="str">
        <x:v>Property investor / operator inquiry</x:v>
      </x:c>
      <x:c r="F71" s="17" t="str">
        <x:v>New</x:v>
      </x:c>
      <x:c r="G71" s="24" t="str">
        <x:v>hello@goodviewhomes.org</x:v>
      </x:c>
      <x:c r="H71" s="24" t="str">
        <x:v>+12243477325</x:v>
      </x:c>
      <x:c r="I71" s="24" t="str">
        <x:v>https://goodhomebuyers.org/</x:v>
      </x:c>
      <x:c r="J71" s="16" t="str">
        <x:v>IL</x:v>
      </x:c>
      <x:c r="K71" s="16" t="str">
        <x:v>Fox Lake</x:v>
      </x:c>
      <x:c r="L71" s="16" t="str">
        <x:v>Public property-business route; investor decision maker unconfirmed</x:v>
      </x:c>
      <x:c r="M71" s="16" t="str">
        <x:v>https://goodhomebuyers.org/</x:v>
      </x:c>
      <x:c r="N71" s="16" t="str">
        <x:v>$100K-$500K ticket not published / unconfirmed</x:v>
      </x:c>
      <x:c r="O71" s="20"/>
      <x:c r="P71" s="20"/>
      <x:c r="Q71" s="25" t="str">
        <x:v>No $100K-$500K operating-company investment ticket verified</x:v>
      </x:c>
      <x:c r="R71" s="25" t="str">
        <x:v>Property acquisition or investor activity makes this an operator-capital prospect for the signed trial. Confirm operating-company debt/equity appetite.</x:v>
      </x:c>
      <x:c r="S71" s="25" t="str">
        <x:v>Public property-buying activity or a directory listing does not establish available cash, investing decision-maker, current $100K-$500K capacity, or willingness to fund 101XVC operating costs.</x:v>
      </x:c>
      <x:c r="T71" s="25" t="str">
        <x:v>Ask the owner/investor whether they can allocate $100K-$500K to trial marketing and acquisitions, and confirm structure, timing and decision authority.</x:v>
      </x:c>
      <x:c r="U71" s="25" t="str">
        <x:v>https://www.cashhomebuyersdirectory.com/cash-home-buyers/illinois/fox-lake
https://goodhomebuyers.org/</x:v>
      </x:c>
      <x:c r="V71" s="26" t="d">
        <x:v>2026-10-02T00:00:00.000Z</x:v>
      </x:c>
      <x:c r="W71" s="26" t="d">
        <x:v>2026-10-02T00:00:00.000Z</x:v>
      </x:c>
      <x:c r="X71" s="25" t="str">
        <x:v>Public investor directory; business role and contact ownership require qualification</x:v>
      </x:c>
      <x:c r="Y71" s="25" t="str">
        <x:v>https://goodhomebuyers.org/</x:v>
      </x:c>
      <x:c r="Z71" s="25" t="str">
        <x:v>https://www.cashhomebuyersdirectory.com/cash-home-buyers/illinois/fox-lake</x:v>
      </x:c>
      <x:c r="AA71" s="25" t="str">
        <x:v>Public cash-home-buyer directory lists business name, phone and market. Directory entry may include brokers or service providers. Official website fetched; home-buying or investing activity stated.</x:v>
      </x:c>
      <x:c r="AB71" s="3" t="str">
        <x:v>New public-source collection</x:v>
      </x:c>
      <x:c r="AC71" s="3" t="str">
        <x:v>unverified</x:v>
      </x:c>
      <x:c r="AD71" s="3" t="str">
        <x:v>Not contacted / unconfirmed</x:v>
      </x:c>
      <x:c r="AE71" s="3" t="str">
        <x:v>Yes</x:v>
      </x:c>
      <x:c r="AF71" s="3" t="str">
        <x:v>Yes</x:v>
      </x:c>
      <x:c r="AG71" s="3"/>
      <x:c r="AH71" s="3"/>
      <x:c r="AI71" s="18"/>
      <x:c r="AJ71" s="3" t="str">
        <x:v>CF2500-D6B186D83B28</x:v>
      </x:c>
      <x:c r="AK71" s="3" t="str">
        <x:v>Property investor / home-buying operator prospect</x:v>
      </x:c>
      <x:c r="AL71" s="19" t="n">
        <x:v>100000</x:v>
      </x:c>
      <x:c r="AM71" s="19" t="n">
        <x:v>500000</x:v>
      </x:c>
      <x:c r="AN71" s="3" t="str">
        <x:v>https://www.cashhomebuyersdirectory.com/cash-home-buyers/illinois/fox-lake</x:v>
      </x:c>
      <x:c r="AO71" s="3" t="str">
        <x:v>nc_il_az_co_investors.jsonl</x:v>
      </x:c>
      <x:c r="AP71" s="19"/>
    </x:row>
    <x:row r="72" ht="36" customHeight="1">
      <x:c r="A72" s="23" t="n">
        <x:v>71</x:v>
      </x:c>
      <x:c r="B72" s="15" t="str">
        <x:v>Good Neighbor Home Buyers</x:v>
      </x:c>
      <x:c r="C72" s="15"/>
      <x:c r="D72" s="15" t="str">
        <x:v>Property investor / home-buying operator</x:v>
      </x:c>
      <x:c r="E72" s="15" t="str">
        <x:v>Property investor / operator inquiry</x:v>
      </x:c>
      <x:c r="F72" s="17" t="str">
        <x:v>New</x:v>
      </x:c>
      <x:c r="G72" s="24" t="str">
        <x:v>office@goodneighborhomebuyers.us</x:v>
      </x:c>
      <x:c r="H72" s="24" t="str">
        <x:v>+17724481829</x:v>
      </x:c>
      <x:c r="I72" s="24" t="str">
        <x:v>https://goodneighborhomebuyers.us/</x:v>
      </x:c>
      <x:c r="J72" s="16" t="str">
        <x:v>FL</x:v>
      </x:c>
      <x:c r="K72" s="16" t="str">
        <x:v>Port St. Lucie</x:v>
      </x:c>
      <x:c r="L72" s="16" t="str">
        <x:v>Public property-business route; investor decision maker unconfirmed</x:v>
      </x:c>
      <x:c r="M72" s="16" t="str">
        <x:v>https://goodneighborhomebuyers.us/</x:v>
      </x:c>
      <x:c r="N72" s="16" t="str">
        <x:v>$100K-$500K ticket not published / unconfirmed</x:v>
      </x:c>
      <x:c r="O72" s="20"/>
      <x:c r="P72" s="20"/>
      <x:c r="Q72" s="25" t="str">
        <x:v>No $100K-$500K corporate-investment ticket published in checked source</x:v>
      </x:c>
      <x:c r="R72" s="25" t="str">
        <x:v>Property acquisition or investor activity makes this an operator-capital prospect for the signed trial. Confirm operating-company debt/equity appetite.</x:v>
      </x:c>
      <x:c r="S72" s="25" t="str">
        <x:v>Corporate-investment ticket and appetite unconfirmed. Property-buying activity alone does not establish fit for funding 101XVC trial operating costs.</x:v>
      </x:c>
      <x:c r="T72" s="25" t="str">
        <x:v>Ask the owner/investor whether they can allocate $100K-$500K to trial marketing and acquisitions, and confirm structure, timing and decision authority.</x:v>
      </x:c>
      <x:c r="U72" s="25" t="str">
        <x:v>https://www.cashhomebuyersdirectory.com/cash-home-buyers/florida/port-st-lucie
https://goodneighborhomebuyers.us/</x:v>
      </x:c>
      <x:c r="V72" s="26" t="d">
        <x:v>2026-10-02T00:00:00.000Z</x:v>
      </x:c>
      <x:c r="W72" s="26" t="d">
        <x:v>2026-10-03T00:00:00.000Z</x:v>
      </x:c>
      <x:c r="X72" s="25" t="str">
        <x:v>Public investor directory; business role and contact ownership require qualification</x:v>
      </x:c>
      <x:c r="Y72" s="25" t="str">
        <x:v>https://goodneighborhomebuyers.us/</x:v>
      </x:c>
      <x:c r="Z72" s="25" t="str">
        <x:v>https://www.cashhomebuyersdirectory.com/cash-home-buyers/florida/port-st-lucie</x:v>
      </x:c>
      <x:c r="AA72" s="25" t="str">
        <x:v>Public cash-home-buyer directory lists business name, phone and market. Directory entry may include brokers or service providers. Official website fetched; home-buying or investing activity stated.</x:v>
      </x:c>
      <x:c r="AB72" s="3" t="str">
        <x:v>New public-source collection</x:v>
      </x:c>
      <x:c r="AC72" s="3" t="str">
        <x:v>unverified</x:v>
      </x:c>
      <x:c r="AD72" s="3" t="str">
        <x:v>Not contacted / unconfirmed</x:v>
      </x:c>
      <x:c r="AE72" s="3" t="str">
        <x:v>Yes</x:v>
      </x:c>
      <x:c r="AF72" s="3" t="str">
        <x:v>Yes</x:v>
      </x:c>
      <x:c r="AG72" s="3"/>
      <x:c r="AH72" s="3"/>
      <x:c r="AI72" s="18"/>
      <x:c r="AJ72" s="3" t="str">
        <x:v>CF2500-D2091EEFA697</x:v>
      </x:c>
      <x:c r="AK72" s="3" t="str">
        <x:v>Property investor / home-buying operator prospect</x:v>
      </x:c>
      <x:c r="AL72" s="19" t="n">
        <x:v>100000</x:v>
      </x:c>
      <x:c r="AM72" s="19" t="n">
        <x:v>500000</x:v>
      </x:c>
      <x:c r="AN72" s="3" t="str">
        <x:v>https://www.cashhomebuyersdirectory.com/cash-home-buyers/florida/port-st-lucie</x:v>
      </x:c>
      <x:c r="AO72" s="3" t="str">
        <x:v>tx_fl_investors.jsonl</x:v>
      </x:c>
      <x:c r="AP72" s="19"/>
    </x:row>
    <x:row r="73" ht="36" customHeight="1">
      <x:c r="A73" s="23" t="n">
        <x:v>72</x:v>
      </x:c>
      <x:c r="B73" s="15" t="str">
        <x:v>Green Street Home Buyers</x:v>
      </x:c>
      <x:c r="C73" s="15"/>
      <x:c r="D73" s="15" t="str">
        <x:v>Property investor / home-buying operator</x:v>
      </x:c>
      <x:c r="E73" s="15" t="str">
        <x:v>Property investor / operator inquiry</x:v>
      </x:c>
      <x:c r="F73" s="17" t="str">
        <x:v>New</x:v>
      </x:c>
      <x:c r="G73" s="24" t="str">
        <x:v>info@greenstreethomebuyers.com</x:v>
      </x:c>
      <x:c r="H73" s="24" t="str">
        <x:v>+19199261791</x:v>
      </x:c>
      <x:c r="I73" s="24" t="str">
        <x:v>https://www.greenstreethomebuyers.com/</x:v>
      </x:c>
      <x:c r="J73" s="16" t="str">
        <x:v>NC</x:v>
      </x:c>
      <x:c r="K73" s="16" t="str">
        <x:v>Durham</x:v>
      </x:c>
      <x:c r="L73" s="16" t="str">
        <x:v>Public property-business route; investor decision maker unconfirmed</x:v>
      </x:c>
      <x:c r="M73" s="16" t="str">
        <x:v>https://www.greenstreethomebuyers.com/contact-us/</x:v>
      </x:c>
      <x:c r="N73" s="16" t="str">
        <x:v>$100K-$500K ticket not published / unconfirmed</x:v>
      </x:c>
      <x:c r="O73" s="20"/>
      <x:c r="P73" s="20"/>
      <x:c r="Q73" s="25" t="str">
        <x:v>No $100K-$500K operating-company investment ticket verified</x:v>
      </x:c>
      <x:c r="R73" s="25" t="str">
        <x:v>Property acquisition or investor activity makes this an operator-capital prospect for the signed trial. Confirm operating-company debt/equity appetite.</x:v>
      </x:c>
      <x:c r="S73" s="25" t="str">
        <x:v>Public property-buying activity or a directory listing does not establish available cash, investing decision-maker, current $100K-$500K capacity, or willingness to fund 101XVC operating costs.</x:v>
      </x:c>
      <x:c r="T73" s="25" t="str">
        <x:v>Ask the owner/investor whether they can allocate $100K-$500K to trial marketing and acquisitions, and confirm structure, timing and decision authority.</x:v>
      </x:c>
      <x:c r="U73" s="25" t="str">
        <x:v>https://www.cashhomebuyersdirectory.com/cash-home-buyers/north-carolina/durham
https://www.greenstreethomebuyers.com/
https://www.greenstreethomebuyers.com/contact-us/</x:v>
      </x:c>
      <x:c r="V73" s="26" t="d">
        <x:v>2026-10-02T00:00:00.000Z</x:v>
      </x:c>
      <x:c r="W73" s="26" t="d">
        <x:v>2026-10-02T00:00:00.000Z</x:v>
      </x:c>
      <x:c r="X73" s="25" t="str">
        <x:v>Public investor directory; business role and contact ownership require qualification</x:v>
      </x:c>
      <x:c r="Y73" s="25" t="str">
        <x:v>https://www.greenstreethomebuyers.com/contact-us/</x:v>
      </x:c>
      <x:c r="Z73" s="25" t="str">
        <x:v>https://www.cashhomebuyersdirectory.com/cash-home-buyers/north-carolina/durham</x:v>
      </x:c>
      <x:c r="AA73" s="25" t="str">
        <x:v>Public cash-home-buyer directory lists business name, phone and market. Directory entry may include brokers or service providers. Official website fetched; home-buying or investing activity stated.</x:v>
      </x:c>
      <x:c r="AB73" s="3" t="str">
        <x:v>New public-source collection</x:v>
      </x:c>
      <x:c r="AC73" s="3" t="str">
        <x:v>unverified</x:v>
      </x:c>
      <x:c r="AD73" s="3" t="str">
        <x:v>Not contacted / unconfirmed</x:v>
      </x:c>
      <x:c r="AE73" s="3" t="str">
        <x:v>Yes</x:v>
      </x:c>
      <x:c r="AF73" s="3" t="str">
        <x:v>Yes</x:v>
      </x:c>
      <x:c r="AG73" s="3"/>
      <x:c r="AH73" s="3"/>
      <x:c r="AI73" s="18"/>
      <x:c r="AJ73" s="3" t="str">
        <x:v>CF2500-DE8A27BDE544</x:v>
      </x:c>
      <x:c r="AK73" s="3" t="str">
        <x:v>Property investor / home-buying operator prospect</x:v>
      </x:c>
      <x:c r="AL73" s="19" t="n">
        <x:v>100000</x:v>
      </x:c>
      <x:c r="AM73" s="19" t="n">
        <x:v>500000</x:v>
      </x:c>
      <x:c r="AN73" s="3" t="str">
        <x:v>https://www.cashhomebuyersdirectory.com/cash-home-buyers/north-carolina/durham</x:v>
      </x:c>
      <x:c r="AO73" s="3" t="str">
        <x:v>nc_il_az_co_investors.jsonl</x:v>
      </x:c>
      <x:c r="AP73" s="19"/>
    </x:row>
    <x:row r="74" ht="36" customHeight="1">
      <x:c r="A74" s="23" t="n">
        <x:v>73</x:v>
      </x:c>
      <x:c r="B74" s="15" t="str">
        <x:v>Harmony Home Buyers</x:v>
      </x:c>
      <x:c r="C74" s="15"/>
      <x:c r="D74" s="15" t="str">
        <x:v>Property investor / home-buying operator</x:v>
      </x:c>
      <x:c r="E74" s="15" t="str">
        <x:v>Property investor / operator inquiry</x:v>
      </x:c>
      <x:c r="F74" s="17" t="str">
        <x:v>New</x:v>
      </x:c>
      <x:c r="G74" s="24" t="str">
        <x:v>ryan@harmonyhomebuyers.com</x:v>
      </x:c>
      <x:c r="H74" s="24" t="str">
        <x:v>+17042852485</x:v>
      </x:c>
      <x:c r="I74" s="24" t="str">
        <x:v>https://www.harmonyhomebuyers.com/</x:v>
      </x:c>
      <x:c r="J74" s="16" t="str">
        <x:v>NC</x:v>
      </x:c>
      <x:c r="K74" s="16" t="str">
        <x:v>Charlotte</x:v>
      </x:c>
      <x:c r="L74" s="16" t="str">
        <x:v>Public property-business route; investor decision maker unconfirmed</x:v>
      </x:c>
      <x:c r="M74" s="16" t="str">
        <x:v>https://www.harmonyhomebuyers.com/</x:v>
      </x:c>
      <x:c r="N74" s="16" t="str">
        <x:v>$100K-$500K ticket not published / unconfirmed</x:v>
      </x:c>
      <x:c r="O74" s="20"/>
      <x:c r="P74" s="20"/>
      <x:c r="Q74" s="25" t="str">
        <x:v>No $100K-$500K operating-company investment ticket verified</x:v>
      </x:c>
      <x:c r="R74" s="25" t="str">
        <x:v>Property acquisition or investor activity makes this an operator-capital prospect for the signed trial. Confirm operating-company debt/equity appetite.</x:v>
      </x:c>
      <x:c r="S74" s="25" t="str">
        <x:v>Public property-buying activity or a directory listing does not establish available cash, investing decision-maker, current $100K-$500K capacity, or willingness to fund 101XVC operating costs.</x:v>
      </x:c>
      <x:c r="T74" s="25" t="str">
        <x:v>Ask the owner/investor whether they can allocate $100K-$500K to trial marketing and acquisitions, and confirm structure, timing and decision authority.</x:v>
      </x:c>
      <x:c r="U74" s="25" t="str">
        <x:v>https://www.cashhomebuyersdirectory.com/cash-home-buyers/north-carolina/charlotte
https://www.harmonyhomebuyers.com/</x:v>
      </x:c>
      <x:c r="V74" s="26" t="d">
        <x:v>2026-10-02T00:00:00.000Z</x:v>
      </x:c>
      <x:c r="W74" s="26" t="d">
        <x:v>2026-10-02T00:00:00.000Z</x:v>
      </x:c>
      <x:c r="X74" s="25" t="str">
        <x:v>Public investor directory; business role and contact ownership require qualification</x:v>
      </x:c>
      <x:c r="Y74" s="25" t="str">
        <x:v>https://www.harmonyhomebuyers.com/</x:v>
      </x:c>
      <x:c r="Z74" s="25" t="str">
        <x:v>https://www.cashhomebuyersdirectory.com/cash-home-buyers/north-carolina/charlotte</x:v>
      </x:c>
      <x:c r="AA74" s="25" t="str">
        <x:v>Public cash-home-buyer directory lists business name, phone and market. Directory entry may include brokers or service providers. Official website fetched; home-buying or investing activity stated.</x:v>
      </x:c>
      <x:c r="AB74" s="3" t="str">
        <x:v>New public-source collection</x:v>
      </x:c>
      <x:c r="AC74" s="3" t="str">
        <x:v>unverified</x:v>
      </x:c>
      <x:c r="AD74" s="3" t="str">
        <x:v>Not contacted / unconfirmed</x:v>
      </x:c>
      <x:c r="AE74" s="3" t="str">
        <x:v>Yes</x:v>
      </x:c>
      <x:c r="AF74" s="3" t="str">
        <x:v>Yes</x:v>
      </x:c>
      <x:c r="AG74" s="3"/>
      <x:c r="AH74" s="3"/>
      <x:c r="AI74" s="18"/>
      <x:c r="AJ74" s="3" t="str">
        <x:v>CF2500-4E3A43432D5D</x:v>
      </x:c>
      <x:c r="AK74" s="3" t="str">
        <x:v>Property investor / home-buying operator prospect</x:v>
      </x:c>
      <x:c r="AL74" s="19" t="n">
        <x:v>100000</x:v>
      </x:c>
      <x:c r="AM74" s="19" t="n">
        <x:v>500000</x:v>
      </x:c>
      <x:c r="AN74" s="3" t="str">
        <x:v>https://www.cashhomebuyersdirectory.com/cash-home-buyers/north-carolina/charlotte</x:v>
      </x:c>
      <x:c r="AO74" s="3" t="str">
        <x:v>nc_il_az_co_investors.jsonl</x:v>
      </x:c>
      <x:c r="AP74" s="19"/>
    </x:row>
    <x:row r="75" ht="36" customHeight="1">
      <x:c r="A75" s="23" t="n">
        <x:v>74</x:v>
      </x:c>
      <x:c r="B75" s="15" t="str">
        <x:v>HighLife Property Solutions Inc.</x:v>
      </x:c>
      <x:c r="C75" s="15"/>
      <x:c r="D75" s="15" t="str">
        <x:v>Property investor / home-buying operator</x:v>
      </x:c>
      <x:c r="E75" s="15" t="str">
        <x:v>Property investor / operator inquiry</x:v>
      </x:c>
      <x:c r="F75" s="17" t="str">
        <x:v>New</x:v>
      </x:c>
      <x:c r="G75" s="24" t="str">
        <x:v>dephone420@gmail.com</x:v>
      </x:c>
      <x:c r="H75" s="24" t="str">
        <x:v>+19049930927</x:v>
      </x:c>
      <x:c r="I75" s="24" t="str">
        <x:v>https://highlifepropertysolutions.com/contact-us</x:v>
      </x:c>
      <x:c r="J75" s="16" t="str">
        <x:v>FL</x:v>
      </x:c>
      <x:c r="K75" s="16" t="str">
        <x:v>Jacksonville</x:v>
      </x:c>
      <x:c r="L75" s="16" t="str">
        <x:v>Public property-business route; investor decision maker unconfirmed</x:v>
      </x:c>
      <x:c r="M75" s="16" t="str">
        <x:v>https://highlifepropertysolutions.com/contact-us</x:v>
      </x:c>
      <x:c r="N75" s="16" t="str">
        <x:v>$100K-$500K ticket not published / unconfirmed</x:v>
      </x:c>
      <x:c r="O75" s="20"/>
      <x:c r="P75" s="20"/>
      <x:c r="Q75" s="25" t="str">
        <x:v>No $100K-$500K corporate-investment ticket published in checked source</x:v>
      </x:c>
      <x:c r="R75" s="25" t="str">
        <x:v>Property acquisition or investor activity makes this an operator-capital prospect for the signed trial. Confirm operating-company debt/equity appetite.</x:v>
      </x:c>
      <x:c r="S75" s="25" t="str">
        <x:v>Home-buying activity does not verify ability or willingness to invest $100K-$500K into 101XVC operating company. Website and contact verification pending. Florida registry search shows an inactive same-name entity; verify current legal entity and activity before outreach.</x:v>
      </x:c>
      <x:c r="T75" s="25" t="str">
        <x:v>Ask the owner/investor whether they can allocate $100K-$500K to trial marketing and acquisitions, and confirm structure, timing and decision authority.</x:v>
      </x:c>
      <x:c r="U75" s="25" t="str">
        <x:v>https://www.cashhomebuyersdirectory.com/cash-home-buyers/florida/jacksonville
https://highlifepropertysolutions.com/contact-us
https://search.sunbiz.org/Inquiry/CorporationSearch/SearchResults?ListNameOrder=HIGHLIFEMUSIC+P070001017640&amp;inquiryDirectionType=CurrentList&amp;inquiryType=EntityName&amp;searchNameOrder=HIGHLIFEMUSIC+P070001017640&amp;searchTerm=HIGH+LINE+AUTO+SERVICE+CORP</x:v>
      </x:c>
      <x:c r="V75" s="26" t="d">
        <x:v>2026-10-02T00:00:00.000Z</x:v>
      </x:c>
      <x:c r="W75" s="26" t="d">
        <x:v>2026-10-03T00:00:00.000Z</x:v>
      </x:c>
      <x:c r="X75" s="25" t="str">
        <x:v>Public investor directory; business role and contact ownership require qualification</x:v>
      </x:c>
      <x:c r="Y75" s="25" t="str">
        <x:v>https://highlifepropertysolutions.com/contact-us</x:v>
      </x:c>
      <x:c r="Z75" s="25" t="str">
        <x:v>https://highlifepropertysolutions.com/contact-us</x:v>
      </x:c>
      <x:c r="AA75" s="25" t="str">
        <x:v>Public cash-home-buyer directory lists business name, phone and market. Directory entry may include brokers or service providers. Primary contact page publishes email and phone; company page describes direct house buying. Entity status requires review.</x:v>
      </x:c>
      <x:c r="AB75" s="3" t="str">
        <x:v>New public-source collection</x:v>
      </x:c>
      <x:c r="AC75" s="3" t="str">
        <x:v>unverified</x:v>
      </x:c>
      <x:c r="AD75" s="3" t="str">
        <x:v>Not contacted / unconfirmed</x:v>
      </x:c>
      <x:c r="AE75" s="3" t="str">
        <x:v>Yes</x:v>
      </x:c>
      <x:c r="AF75" s="3" t="str">
        <x:v>Yes</x:v>
      </x:c>
      <x:c r="AG75" s="3"/>
      <x:c r="AH75" s="3"/>
      <x:c r="AI75" s="18"/>
      <x:c r="AJ75" s="3" t="str">
        <x:v>CF2500-CAF32EAF124E</x:v>
      </x:c>
      <x:c r="AK75" s="3" t="str">
        <x:v>Property investor / home-buying operator prospect</x:v>
      </x:c>
      <x:c r="AL75" s="19" t="n">
        <x:v>100000</x:v>
      </x:c>
      <x:c r="AM75" s="19" t="n">
        <x:v>500000</x:v>
      </x:c>
      <x:c r="AN75" s="3" t="str">
        <x:v>https://www.cashhomebuyersdirectory.com/cash-home-buyers/florida/jacksonville</x:v>
      </x:c>
      <x:c r="AO75" s="3" t="str">
        <x:v>tx_fl_investors.jsonl</x:v>
      </x:c>
      <x:c r="AP75" s="19"/>
    </x:row>
    <x:row r="76" ht="36" customHeight="1">
      <x:c r="A76" s="23" t="n">
        <x:v>75</x:v>
      </x:c>
      <x:c r="B76" s="15" t="str">
        <x:v>Illini Home Buyers</x:v>
      </x:c>
      <x:c r="C76" s="15"/>
      <x:c r="D76" s="15" t="str">
        <x:v>Property investor / home-buying operator</x:v>
      </x:c>
      <x:c r="E76" s="15" t="str">
        <x:v>Property investor / operator inquiry</x:v>
      </x:c>
      <x:c r="F76" s="17" t="str">
        <x:v>New</x:v>
      </x:c>
      <x:c r="G76" s="24" t="str">
        <x:v>zach@illinihomebuyers.com</x:v>
      </x:c>
      <x:c r="H76" s="24" t="str">
        <x:v>+12179540252</x:v>
      </x:c>
      <x:c r="I76" s="24" t="str">
        <x:v>https://www.illinihomebuyers.com/</x:v>
      </x:c>
      <x:c r="J76" s="16" t="str">
        <x:v>IL</x:v>
      </x:c>
      <x:c r="K76" s="16" t="str">
        <x:v>Urbana</x:v>
      </x:c>
      <x:c r="L76" s="16" t="str">
        <x:v>Public property-business route; investor decision maker unconfirmed</x:v>
      </x:c>
      <x:c r="M76" s="16" t="str">
        <x:v>https://www.illinihomebuyers.com/</x:v>
      </x:c>
      <x:c r="N76" s="16" t="str">
        <x:v>$100K-$500K ticket not published / unconfirmed</x:v>
      </x:c>
      <x:c r="O76" s="20"/>
      <x:c r="P76" s="20"/>
      <x:c r="Q76" s="25" t="str">
        <x:v>No $100K-$500K operating-company investment ticket verified</x:v>
      </x:c>
      <x:c r="R76" s="25" t="str">
        <x:v>Property acquisition or investor activity makes this an operator-capital prospect for the signed trial. Confirm operating-company debt/equity appetite.</x:v>
      </x:c>
      <x:c r="S76" s="25" t="str">
        <x:v>Public property-buying activity or a directory listing does not establish available cash, investing decision-maker, current $100K-$500K capacity, or willingness to fund 101XVC operating costs.</x:v>
      </x:c>
      <x:c r="T76" s="25" t="str">
        <x:v>Ask the owner/investor whether they can allocate $100K-$500K to trial marketing and acquisitions, and confirm structure, timing and decision authority.</x:v>
      </x:c>
      <x:c r="U76" s="25" t="str">
        <x:v>https://www.cashhomebuyersdirectory.com/cash-home-buyers/illinois/urbana
https://www.illinihomebuyers.com/</x:v>
      </x:c>
      <x:c r="V76" s="26" t="d">
        <x:v>2026-10-02T00:00:00.000Z</x:v>
      </x:c>
      <x:c r="W76" s="26" t="d">
        <x:v>2026-10-02T00:00:00.000Z</x:v>
      </x:c>
      <x:c r="X76" s="25" t="str">
        <x:v>Public investor directory; business role and contact ownership require qualification</x:v>
      </x:c>
      <x:c r="Y76" s="25" t="str">
        <x:v>https://www.illinihomebuyers.com/</x:v>
      </x:c>
      <x:c r="Z76" s="25" t="str">
        <x:v>https://www.cashhomebuyersdirectory.com/cash-home-buyers/illinois/urbana</x:v>
      </x:c>
      <x:c r="AA76" s="25" t="str">
        <x:v>Public cash-home-buyer directory lists business name, phone and market. Directory entry may include brokers or service providers. Official website fetched; home-buying or investing activity stated.</x:v>
      </x:c>
      <x:c r="AB76" s="3" t="str">
        <x:v>New public-source collection</x:v>
      </x:c>
      <x:c r="AC76" s="3" t="str">
        <x:v>unverified</x:v>
      </x:c>
      <x:c r="AD76" s="3" t="str">
        <x:v>Not contacted / unconfirmed</x:v>
      </x:c>
      <x:c r="AE76" s="3" t="str">
        <x:v>Yes</x:v>
      </x:c>
      <x:c r="AF76" s="3" t="str">
        <x:v>No</x:v>
      </x:c>
      <x:c r="AG76" s="3"/>
      <x:c r="AH76" s="3"/>
      <x:c r="AI76" s="18"/>
      <x:c r="AJ76" s="3" t="str">
        <x:v>CF2500-1F803BB82AFE</x:v>
      </x:c>
      <x:c r="AK76" s="3" t="str">
        <x:v>Property investor / home-buying operator prospect</x:v>
      </x:c>
      <x:c r="AL76" s="19" t="n">
        <x:v>100000</x:v>
      </x:c>
      <x:c r="AM76" s="19" t="n">
        <x:v>500000</x:v>
      </x:c>
      <x:c r="AN76" s="3" t="str">
        <x:v>https://www.cashhomebuyersdirectory.com/cash-home-buyers/illinois/urbana</x:v>
      </x:c>
      <x:c r="AO76" s="3" t="str">
        <x:v>nc_il_az_co_investors.jsonl</x:v>
      </x:c>
      <x:c r="AP76" s="19"/>
    </x:row>
    <x:row r="77" ht="36" customHeight="1">
      <x:c r="A77" s="23" t="n">
        <x:v>76</x:v>
      </x:c>
      <x:c r="B77" s="15" t="str">
        <x:v>ILM Cash Offer</x:v>
      </x:c>
      <x:c r="C77" s="15"/>
      <x:c r="D77" s="15" t="str">
        <x:v>Property investor / home-buying operator</x:v>
      </x:c>
      <x:c r="E77" s="15" t="str">
        <x:v>Property investor / operator inquiry</x:v>
      </x:c>
      <x:c r="F77" s="17" t="str">
        <x:v>New</x:v>
      </x:c>
      <x:c r="G77" s="24" t="str">
        <x:v>info@ilmcashoffer.com</x:v>
      </x:c>
      <x:c r="H77" s="24" t="str">
        <x:v>+19102009237</x:v>
      </x:c>
      <x:c r="I77" s="24" t="str">
        <x:v>https://www.ilmcashoffer.com/</x:v>
      </x:c>
      <x:c r="J77" s="16" t="str">
        <x:v>NC</x:v>
      </x:c>
      <x:c r="K77" s="16" t="str">
        <x:v>Wilmington</x:v>
      </x:c>
      <x:c r="L77" s="16" t="str">
        <x:v>Public property-business route; investor decision maker unconfirmed</x:v>
      </x:c>
      <x:c r="M77" s="16" t="str">
        <x:v>https://www.ilmcashoffer.com/</x:v>
      </x:c>
      <x:c r="N77" s="16" t="str">
        <x:v>$100K-$500K ticket not published / unconfirmed</x:v>
      </x:c>
      <x:c r="O77" s="20"/>
      <x:c r="P77" s="20"/>
      <x:c r="Q77" s="25" t="str">
        <x:v>No $100K-$500K operating-company investment ticket verified</x:v>
      </x:c>
      <x:c r="R77" s="25" t="str">
        <x:v>Property acquisition or investor activity makes this an operator-capital prospect for the signed trial. Confirm operating-company debt/equity appetite.</x:v>
      </x:c>
      <x:c r="S77" s="25" t="str">
        <x:v>Public property-buying activity or a directory listing does not establish available cash, investing decision-maker, current $100K-$500K capacity, or willingness to fund 101XVC operating costs.</x:v>
      </x:c>
      <x:c r="T77" s="25" t="str">
        <x:v>Ask the owner/investor whether they can allocate $100K-$500K to trial marketing and acquisitions, and confirm structure, timing and decision authority.</x:v>
      </x:c>
      <x:c r="U77" s="25" t="str">
        <x:v>https://www.cashhomebuyersdirectory.com/cash-home-buyers/north-carolina/wilmington
https://www.ilmcashoffer.com/</x:v>
      </x:c>
      <x:c r="V77" s="26" t="d">
        <x:v>2026-10-02T00:00:00.000Z</x:v>
      </x:c>
      <x:c r="W77" s="26" t="d">
        <x:v>2026-10-02T00:00:00.000Z</x:v>
      </x:c>
      <x:c r="X77" s="25" t="str">
        <x:v>Public investor directory; business role and contact ownership require qualification</x:v>
      </x:c>
      <x:c r="Y77" s="25" t="str">
        <x:v>https://www.ilmcashoffer.com/</x:v>
      </x:c>
      <x:c r="Z77" s="25" t="str">
        <x:v>https://www.cashhomebuyersdirectory.com/cash-home-buyers/north-carolina/wilmington</x:v>
      </x:c>
      <x:c r="AA77" s="25" t="str">
        <x:v>Public cash-home-buyer directory lists business name, phone and market. Directory entry may include brokers or service providers. Official website fetched; home-buying or investing activity stated.</x:v>
      </x:c>
      <x:c r="AB77" s="3" t="str">
        <x:v>New public-source collection</x:v>
      </x:c>
      <x:c r="AC77" s="3" t="str">
        <x:v>unverified</x:v>
      </x:c>
      <x:c r="AD77" s="3" t="str">
        <x:v>Not contacted / unconfirmed</x:v>
      </x:c>
      <x:c r="AE77" s="3" t="str">
        <x:v>Yes</x:v>
      </x:c>
      <x:c r="AF77" s="3" t="str">
        <x:v>No</x:v>
      </x:c>
      <x:c r="AG77" s="3"/>
      <x:c r="AH77" s="3"/>
      <x:c r="AI77" s="18"/>
      <x:c r="AJ77" s="3" t="str">
        <x:v>CF2500-637512A23746</x:v>
      </x:c>
      <x:c r="AK77" s="3" t="str">
        <x:v>Property investor / home-buying operator prospect</x:v>
      </x:c>
      <x:c r="AL77" s="19" t="n">
        <x:v>100000</x:v>
      </x:c>
      <x:c r="AM77" s="19" t="n">
        <x:v>500000</x:v>
      </x:c>
      <x:c r="AN77" s="3" t="str">
        <x:v>https://www.cashhomebuyersdirectory.com/cash-home-buyers/north-carolina/wilmington</x:v>
      </x:c>
      <x:c r="AO77" s="3" t="str">
        <x:v>nc_il_az_co_investors.jsonl</x:v>
      </x:c>
      <x:c r="AP77" s="19"/>
    </x:row>
    <x:row r="78" ht="36" customHeight="1">
      <x:c r="A78" s="23" t="n">
        <x:v>77</x:v>
      </x:c>
      <x:c r="B78" s="15" t="str">
        <x:v>JWB Real Estate Capital</x:v>
      </x:c>
      <x:c r="C78" s="15"/>
      <x:c r="D78" s="15" t="str">
        <x:v>Property investor / home-buying operator</x:v>
      </x:c>
      <x:c r="E78" s="15" t="str">
        <x:v>Property investor / operator inquiry</x:v>
      </x:c>
      <x:c r="F78" s="17" t="str">
        <x:v>New</x:v>
      </x:c>
      <x:c r="G78" s="24" t="str">
        <x:v>info@jwbcompanies.com</x:v>
      </x:c>
      <x:c r="H78" s="24" t="str">
        <x:v>+19046776777</x:v>
      </x:c>
      <x:c r="I78" s="24" t="str">
        <x:v>https://www.jwbrealestatecapital.com/</x:v>
      </x:c>
      <x:c r="J78" s="16" t="str">
        <x:v>FL</x:v>
      </x:c>
      <x:c r="K78" s="16" t="str">
        <x:v>Jacksonville</x:v>
      </x:c>
      <x:c r="L78" s="16" t="str">
        <x:v>Public property-business route; investor decision maker unconfirmed</x:v>
      </x:c>
      <x:c r="M78" s="16" t="str">
        <x:v>https://www.jwbrealestatecapital.com/</x:v>
      </x:c>
      <x:c r="N78" s="16" t="str">
        <x:v>$100K-$500K ticket not published / unconfirmed</x:v>
      </x:c>
      <x:c r="O78" s="20"/>
      <x:c r="P78" s="20"/>
      <x:c r="Q78" s="25" t="str">
        <x:v>No $100K-$500K corporate-investment ticket published in checked source</x:v>
      </x:c>
      <x:c r="R78" s="25" t="str">
        <x:v>Property acquisition or investor activity makes this an operator-capital prospect for the signed trial. Confirm operating-company debt/equity appetite.</x:v>
      </x:c>
      <x:c r="S78" s="25" t="str">
        <x:v>Home-buying activity does not verify ability or willingness to invest $100K-$500K into 101XVC operating company. Website and contact verification pending.</x:v>
      </x:c>
      <x:c r="T78" s="25" t="str">
        <x:v>Ask the owner/investor whether they can allocate $100K-$500K to trial marketing and acquisitions, and confirm structure, timing and decision authority.</x:v>
      </x:c>
      <x:c r="U78" s="25" t="str">
        <x:v>https://www.cashhomebuyersdirectory.com/cash-home-buyers/florida/jacksonville
https://www.jwbrealestatecapital.com/</x:v>
      </x:c>
      <x:c r="V78" s="26" t="d">
        <x:v>2026-10-02T00:00:00.000Z</x:v>
      </x:c>
      <x:c r="W78" s="26" t="d">
        <x:v>2026-10-03T00:00:00.000Z</x:v>
      </x:c>
      <x:c r="X78" s="25" t="str">
        <x:v>Public investor directory; business role and contact ownership require qualification</x:v>
      </x:c>
      <x:c r="Y78" s="25" t="str">
        <x:v>https://www.jwbrealestatecapital.com/</x:v>
      </x:c>
      <x:c r="Z78" s="25" t="str">
        <x:v>https://www.jwbrealestatecapital.com/</x:v>
      </x:c>
      <x:c r="AA78" s="25" t="str">
        <x:v>Public cash-home-buyer directory lists business name, phone and market. Directory entry may include brokers or service providers. Primary website describes a vertically integrated investment company with acquisitions, construction, rental investing and management.</x:v>
      </x:c>
      <x:c r="AB78" s="3" t="str">
        <x:v>New public-source collection</x:v>
      </x:c>
      <x:c r="AC78" s="3" t="str">
        <x:v>unverified</x:v>
      </x:c>
      <x:c r="AD78" s="3" t="str">
        <x:v>Not contacted / unconfirmed</x:v>
      </x:c>
      <x:c r="AE78" s="3" t="str">
        <x:v>Yes</x:v>
      </x:c>
      <x:c r="AF78" s="3" t="str">
        <x:v>Yes</x:v>
      </x:c>
      <x:c r="AG78" s="3"/>
      <x:c r="AH78" s="3"/>
      <x:c r="AI78" s="18"/>
      <x:c r="AJ78" s="3" t="str">
        <x:v>CF2500-02C7C244C0BF</x:v>
      </x:c>
      <x:c r="AK78" s="3" t="str">
        <x:v>Property investor / home-buying operator prospect</x:v>
      </x:c>
      <x:c r="AL78" s="19" t="n">
        <x:v>100000</x:v>
      </x:c>
      <x:c r="AM78" s="19" t="n">
        <x:v>500000</x:v>
      </x:c>
      <x:c r="AN78" s="3" t="str">
        <x:v>https://www.cashhomebuyersdirectory.com/cash-home-buyers/florida/jacksonville</x:v>
      </x:c>
      <x:c r="AO78" s="3" t="str">
        <x:v>tx_fl_investors.jsonl</x:v>
      </x:c>
      <x:c r="AP78" s="19"/>
    </x:row>
    <x:row r="79" ht="36" customHeight="1">
      <x:c r="A79" s="23" t="n">
        <x:v>78</x:v>
      </x:c>
      <x:c r="B79" s="15" t="str">
        <x:v>NC Cash Home Buyers</x:v>
      </x:c>
      <x:c r="C79" s="15"/>
      <x:c r="D79" s="15" t="str">
        <x:v>Property investor / home-buying operator</x:v>
      </x:c>
      <x:c r="E79" s="15" t="str">
        <x:v>Property investor / operator inquiry</x:v>
      </x:c>
      <x:c r="F79" s="17" t="str">
        <x:v>New</x:v>
      </x:c>
      <x:c r="G79" s="24" t="str">
        <x:v>alex@nccashhomebuyers.com</x:v>
      </x:c>
      <x:c r="H79" s="24" t="str">
        <x:v>+19192835585</x:v>
      </x:c>
      <x:c r="I79" s="24" t="str">
        <x:v>https://www.nccashhomebuyers.com/</x:v>
      </x:c>
      <x:c r="J79" s="16" t="str">
        <x:v>NC</x:v>
      </x:c>
      <x:c r="K79" s="16" t="str">
        <x:v>Durham</x:v>
      </x:c>
      <x:c r="L79" s="16" t="str">
        <x:v>Public property-business route; investor decision maker unconfirmed</x:v>
      </x:c>
      <x:c r="M79" s="16" t="str">
        <x:v>https://www.nccashhomebuyers.com/</x:v>
      </x:c>
      <x:c r="N79" s="16" t="str">
        <x:v>$100K-$500K ticket not published / unconfirmed</x:v>
      </x:c>
      <x:c r="O79" s="20"/>
      <x:c r="P79" s="20"/>
      <x:c r="Q79" s="25" t="str">
        <x:v>No $100K-$500K operating-company investment ticket verified</x:v>
      </x:c>
      <x:c r="R79" s="25" t="str">
        <x:v>Property acquisition or investor activity makes this an operator-capital prospect for the signed trial. Confirm operating-company debt/equity appetite.</x:v>
      </x:c>
      <x:c r="S79" s="25" t="str">
        <x:v>Public property-buying activity or a directory listing does not establish available cash, investing decision-maker, current $100K-$500K capacity, or willingness to fund 101XVC operating costs.</x:v>
      </x:c>
      <x:c r="T79" s="25" t="str">
        <x:v>Ask the owner/investor whether they can allocate $100K-$500K to trial marketing and acquisitions, and confirm structure, timing and decision authority.</x:v>
      </x:c>
      <x:c r="U79" s="25" t="str">
        <x:v>https://www.cashhomebuyersdirectory.com/cash-home-buyers/north-carolina/durham
https://www.nccashhomebuyers.com/</x:v>
      </x:c>
      <x:c r="V79" s="26" t="d">
        <x:v>2026-10-02T00:00:00.000Z</x:v>
      </x:c>
      <x:c r="W79" s="26" t="d">
        <x:v>2026-10-02T00:00:00.000Z</x:v>
      </x:c>
      <x:c r="X79" s="25" t="str">
        <x:v>Public investor directory; business role and contact ownership require qualification</x:v>
      </x:c>
      <x:c r="Y79" s="25" t="str">
        <x:v>https://www.nccashhomebuyers.com/</x:v>
      </x:c>
      <x:c r="Z79" s="25" t="str">
        <x:v>https://www.cashhomebuyersdirectory.com/cash-home-buyers/north-carolina/durham</x:v>
      </x:c>
      <x:c r="AA79" s="25" t="str">
        <x:v>Public cash-home-buyer directory lists business name, phone and market. Directory entry may include brokers or service providers. Official website fetched; home-buying or investing activity stated.</x:v>
      </x:c>
      <x:c r="AB79" s="3" t="str">
        <x:v>New public-source collection</x:v>
      </x:c>
      <x:c r="AC79" s="3" t="str">
        <x:v>unverified</x:v>
      </x:c>
      <x:c r="AD79" s="3" t="str">
        <x:v>Not contacted / unconfirmed</x:v>
      </x:c>
      <x:c r="AE79" s="3" t="str">
        <x:v>Yes</x:v>
      </x:c>
      <x:c r="AF79" s="3" t="str">
        <x:v>No</x:v>
      </x:c>
      <x:c r="AG79" s="3"/>
      <x:c r="AH79" s="3"/>
      <x:c r="AI79" s="18"/>
      <x:c r="AJ79" s="3" t="str">
        <x:v>CF2500-B18B11019BE8</x:v>
      </x:c>
      <x:c r="AK79" s="3" t="str">
        <x:v>Property investor / home-buying operator prospect</x:v>
      </x:c>
      <x:c r="AL79" s="19" t="n">
        <x:v>100000</x:v>
      </x:c>
      <x:c r="AM79" s="19" t="n">
        <x:v>500000</x:v>
      </x:c>
      <x:c r="AN79" s="3" t="str">
        <x:v>https://www.cashhomebuyersdirectory.com/cash-home-buyers/north-carolina/durham</x:v>
      </x:c>
      <x:c r="AO79" s="3" t="str">
        <x:v>nc_il_az_co_investors.jsonl</x:v>
      </x:c>
      <x:c r="AP79" s="19"/>
    </x:row>
    <x:row r="80" ht="36" customHeight="1">
      <x:c r="A80" s="23" t="n">
        <x:v>79</x:v>
      </x:c>
      <x:c r="B80" s="15" t="str">
        <x:v>Nc HomeBuyers</x:v>
      </x:c>
      <x:c r="C80" s="15"/>
      <x:c r="D80" s="15" t="str">
        <x:v>Property investor / home-buying operator</x:v>
      </x:c>
      <x:c r="E80" s="15" t="str">
        <x:v>Property investor / operator inquiry</x:v>
      </x:c>
      <x:c r="F80" s="17" t="str">
        <x:v>New</x:v>
      </x:c>
      <x:c r="G80" s="24" t="str">
        <x:v>kevin@nchomebuyers.org</x:v>
      </x:c>
      <x:c r="H80" s="24" t="str">
        <x:v>+19199447511</x:v>
      </x:c>
      <x:c r="I80" s="24" t="str">
        <x:v>https://www.nchomebuyers.org/</x:v>
      </x:c>
      <x:c r="J80" s="16" t="str">
        <x:v>NC</x:v>
      </x:c>
      <x:c r="K80" s="16"/>
      <x:c r="L80" s="16" t="str">
        <x:v>Public property-business route; investor decision maker unconfirmed</x:v>
      </x:c>
      <x:c r="M80" s="16" t="str">
        <x:v>https://www.nchomebuyers.org/</x:v>
      </x:c>
      <x:c r="N80" s="16" t="str">
        <x:v>$100K-$500K ticket not published / unconfirmed</x:v>
      </x:c>
      <x:c r="O80" s="20"/>
      <x:c r="P80" s="20"/>
      <x:c r="Q80" s="25" t="str">
        <x:v>No $100K-$500K operating-company investment ticket verified</x:v>
      </x:c>
      <x:c r="R80" s="25" t="str">
        <x:v>Property acquisition or investor activity makes this an operator-capital prospect for the signed trial. Confirm operating-company debt/equity appetite.</x:v>
      </x:c>
      <x:c r="S80" s="25" t="str">
        <x:v>Public property-buying activity or a directory listing does not establish available cash, investing decision-maker, current $100K-$500K capacity, or willingness to fund 101XVC operating costs.</x:v>
      </x:c>
      <x:c r="T80" s="25" t="str">
        <x:v>Ask the owner/investor whether they can allocate $100K-$500K to trial marketing and acquisitions, and confirm structure, timing and decision authority.</x:v>
      </x:c>
      <x:c r="U80" s="25" t="str">
        <x:v>https://www.cashhomebuyersdirectory.com/cash-home-buyers/north-carolina/durham
https://www.nchomebuyers.org/
https://www.bbb.org/us/nc/category/home-buyers</x:v>
      </x:c>
      <x:c r="V80" s="26" t="d">
        <x:v>2026-10-02T00:00:00.000Z</x:v>
      </x:c>
      <x:c r="W80" s="26" t="d">
        <x:v>2026-10-02T00:00:00.000Z</x:v>
      </x:c>
      <x:c r="X80" s="25" t="str">
        <x:v>Public investor directory; business role and contact ownership require qualification</x:v>
      </x:c>
      <x:c r="Y80" s="25" t="str">
        <x:v>https://www.nchomebuyers.org/</x:v>
      </x:c>
      <x:c r="Z80" s="25" t="str">
        <x:v>https://www.cashhomebuyersdirectory.com/cash-home-buyers/north-carolina/durham</x:v>
      </x:c>
      <x:c r="AA80" s="25" t="str">
        <x:v>Public cash-home-buyer directory lists business name, phone and market. Directory entry may include brokers or service providers. Official website fetched; home-buying or investing activity stated.</x:v>
      </x:c>
      <x:c r="AB80" s="3" t="str">
        <x:v>New public-source collection</x:v>
      </x:c>
      <x:c r="AC80" s="3" t="str">
        <x:v>unverified</x:v>
      </x:c>
      <x:c r="AD80" s="3" t="str">
        <x:v>Not contacted / unconfirmed</x:v>
      </x:c>
      <x:c r="AE80" s="3" t="str">
        <x:v>Yes</x:v>
      </x:c>
      <x:c r="AF80" s="3" t="str">
        <x:v>No</x:v>
      </x:c>
      <x:c r="AG80" s="3"/>
      <x:c r="AH80" s="3"/>
      <x:c r="AI80" s="18"/>
      <x:c r="AJ80" s="3" t="str">
        <x:v>CF2500-D6DDB0566791</x:v>
      </x:c>
      <x:c r="AK80" s="3" t="str">
        <x:v>Property investor / home-buying operator prospect</x:v>
      </x:c>
      <x:c r="AL80" s="19" t="n">
        <x:v>100000</x:v>
      </x:c>
      <x:c r="AM80" s="19" t="n">
        <x:v>500000</x:v>
      </x:c>
      <x:c r="AN80" s="3" t="str">
        <x:v>https://www.cashhomebuyersdirectory.com/cash-home-buyers/north-carolina/durham</x:v>
      </x:c>
      <x:c r="AO80" s="3" t="str">
        <x:v>nc_il_az_co_investors.jsonl</x:v>
      </x:c>
      <x:c r="AP80" s="19"/>
    </x:row>
    <x:row r="81" ht="36" customHeight="1">
      <x:c r="A81" s="23" t="n">
        <x:v>80</x:v>
      </x:c>
      <x:c r="B81" s="15" t="str">
        <x:v>New Again Houses</x:v>
      </x:c>
      <x:c r="C81" s="15"/>
      <x:c r="D81" s="15" t="str">
        <x:v>Property investor / home-buying operator</x:v>
      </x:c>
      <x:c r="E81" s="15" t="str">
        <x:v>Property investor / operator inquiry</x:v>
      </x:c>
      <x:c r="F81" s="17" t="str">
        <x:v>New</x:v>
      </x:c>
      <x:c r="G81" s="24" t="str">
        <x:v>sales@newagainhouses.com</x:v>
      </x:c>
      <x:c r="H81" s="24" t="str">
        <x:v>+19193415284</x:v>
      </x:c>
      <x:c r="I81" s="24" t="str">
        <x:v>https://newagainhouses.com/locations/nc/raleigh</x:v>
      </x:c>
      <x:c r="J81" s="16" t="str">
        <x:v>NC</x:v>
      </x:c>
      <x:c r="K81" s="16" t="str">
        <x:v>Raleigh</x:v>
      </x:c>
      <x:c r="L81" s="16" t="str">
        <x:v>Public property-business route; investor decision maker unconfirmed</x:v>
      </x:c>
      <x:c r="M81" s="16" t="str">
        <x:v>https://newagainhouses.com/locations/nc/raleigh</x:v>
      </x:c>
      <x:c r="N81" s="16" t="str">
        <x:v>$100K-$500K ticket not published / unconfirmed</x:v>
      </x:c>
      <x:c r="O81" s="20"/>
      <x:c r="P81" s="20"/>
      <x:c r="Q81" s="25" t="str">
        <x:v>No $100K-$500K operating-company investment ticket verified</x:v>
      </x:c>
      <x:c r="R81" s="25" t="str">
        <x:v>Property acquisition or investor activity makes this an operator-capital prospect for the signed trial. Confirm operating-company debt/equity appetite.</x:v>
      </x:c>
      <x:c r="S81" s="25" t="str">
        <x:v>Public property-buying activity or a directory listing does not establish available cash, investing decision-maker, current $100K-$500K capacity, or willingness to fund 101XVC operating costs.</x:v>
      </x:c>
      <x:c r="T81" s="25" t="str">
        <x:v>Ask the owner/investor whether they can allocate $100K-$500K to trial marketing and acquisitions, and confirm structure, timing and decision authority.</x:v>
      </x:c>
      <x:c r="U81" s="25" t="str">
        <x:v>https://www.cashhomebuyersdirectory.com/cash-home-buyers/north-carolina/raleigh
https://newagainhouses.com/locations/nc/raleigh</x:v>
      </x:c>
      <x:c r="V81" s="26" t="d">
        <x:v>2026-10-02T00:00:00.000Z</x:v>
      </x:c>
      <x:c r="W81" s="26" t="d">
        <x:v>2026-10-02T00:00:00.000Z</x:v>
      </x:c>
      <x:c r="X81" s="25" t="str">
        <x:v>Public investor directory; business role and contact ownership require qualification</x:v>
      </x:c>
      <x:c r="Y81" s="25" t="str">
        <x:v>https://newagainhouses.com/locations/nc/raleigh</x:v>
      </x:c>
      <x:c r="Z81" s="25" t="str">
        <x:v>https://www.cashhomebuyersdirectory.com/cash-home-buyers/north-carolina/raleigh</x:v>
      </x:c>
      <x:c r="AA81" s="25" t="str">
        <x:v>Public cash-home-buyer directory lists business name, phone and market. Directory entry may include brokers or service providers. Official website fetched; home-buying or investing activity stated.</x:v>
      </x:c>
      <x:c r="AB81" s="3" t="str">
        <x:v>New public-source collection</x:v>
      </x:c>
      <x:c r="AC81" s="3" t="str">
        <x:v>unverified</x:v>
      </x:c>
      <x:c r="AD81" s="3" t="str">
        <x:v>Not contacted / unconfirmed</x:v>
      </x:c>
      <x:c r="AE81" s="3" t="str">
        <x:v>Yes</x:v>
      </x:c>
      <x:c r="AF81" s="3" t="str">
        <x:v>No</x:v>
      </x:c>
      <x:c r="AG81" s="3"/>
      <x:c r="AH81" s="3"/>
      <x:c r="AI81" s="18"/>
      <x:c r="AJ81" s="3" t="str">
        <x:v>CF2500-162D4C4B8E4A</x:v>
      </x:c>
      <x:c r="AK81" s="3" t="str">
        <x:v>Property investor / home-buying operator prospect</x:v>
      </x:c>
      <x:c r="AL81" s="19" t="n">
        <x:v>100000</x:v>
      </x:c>
      <x:c r="AM81" s="19" t="n">
        <x:v>500000</x:v>
      </x:c>
      <x:c r="AN81" s="3" t="str">
        <x:v>https://www.cashhomebuyersdirectory.com/cash-home-buyers/north-carolina/raleigh</x:v>
      </x:c>
      <x:c r="AO81" s="3" t="str">
        <x:v>nc_il_az_co_investors.jsonl</x:v>
      </x:c>
      <x:c r="AP81" s="19"/>
    </x:row>
    <x:row r="82" ht="36" customHeight="1">
      <x:c r="A82" s="23" t="n">
        <x:v>81</x:v>
      </x:c>
      <x:c r="B82" s="15" t="str">
        <x:v>North Shore Cash Offers</x:v>
      </x:c>
      <x:c r="C82" s="15"/>
      <x:c r="D82" s="15" t="str">
        <x:v>Property investor / home-buying operator</x:v>
      </x:c>
      <x:c r="E82" s="15" t="str">
        <x:v>Property investor / operator inquiry</x:v>
      </x:c>
      <x:c r="F82" s="17" t="str">
        <x:v>New</x:v>
      </x:c>
      <x:c r="G82" s="24" t="str">
        <x:v>admin@northshorecashoffer.com</x:v>
      </x:c>
      <x:c r="H82" s="24" t="str">
        <x:v>+19109941100</x:v>
      </x:c>
      <x:c r="I82" s="24" t="str">
        <x:v>https://northshorecashoffer.com/</x:v>
      </x:c>
      <x:c r="J82" s="16" t="str">
        <x:v>NC</x:v>
      </x:c>
      <x:c r="K82" s="16" t="str">
        <x:v>Raleigh</x:v>
      </x:c>
      <x:c r="L82" s="16" t="str">
        <x:v>Public property-business route; investor decision maker unconfirmed</x:v>
      </x:c>
      <x:c r="M82" s="16" t="str">
        <x:v>https://northshorecashoffer.com/</x:v>
      </x:c>
      <x:c r="N82" s="16" t="str">
        <x:v>$100K-$500K ticket not published / unconfirmed</x:v>
      </x:c>
      <x:c r="O82" s="20"/>
      <x:c r="P82" s="20"/>
      <x:c r="Q82" s="25" t="str">
        <x:v>No $100K-$500K operating-company investment ticket verified</x:v>
      </x:c>
      <x:c r="R82" s="25" t="str">
        <x:v>Property acquisition or investor activity makes this an operator-capital prospect for the signed trial. Confirm operating-company debt/equity appetite.</x:v>
      </x:c>
      <x:c r="S82" s="25" t="str">
        <x:v>Public property-buying activity or a directory listing does not establish available cash, investing decision-maker, current $100K-$500K capacity, or willingness to fund 101XVC operating costs.</x:v>
      </x:c>
      <x:c r="T82" s="25" t="str">
        <x:v>Ask the owner/investor whether they can allocate $100K-$500K to trial marketing and acquisitions, and confirm structure, timing and decision authority.</x:v>
      </x:c>
      <x:c r="U82" s="25" t="str">
        <x:v>https://www.cashhomebuyersdirectory.com/cash-home-buyers/north-carolina/raleigh
https://northshorecashoffer.com/</x:v>
      </x:c>
      <x:c r="V82" s="26" t="d">
        <x:v>2026-10-02T00:00:00.000Z</x:v>
      </x:c>
      <x:c r="W82" s="26" t="d">
        <x:v>2026-10-02T00:00:00.000Z</x:v>
      </x:c>
      <x:c r="X82" s="25" t="str">
        <x:v>Public investor directory; business role and contact ownership require qualification</x:v>
      </x:c>
      <x:c r="Y82" s="25" t="str">
        <x:v>https://northshorecashoffer.com/</x:v>
      </x:c>
      <x:c r="Z82" s="25" t="str">
        <x:v>https://www.cashhomebuyersdirectory.com/cash-home-buyers/north-carolina/raleigh</x:v>
      </x:c>
      <x:c r="AA82" s="25" t="str">
        <x:v>Public cash-home-buyer directory lists business name, phone and market. Directory entry may include brokers or service providers. Official website fetched; home-buying or investing activity stated.</x:v>
      </x:c>
      <x:c r="AB82" s="3" t="str">
        <x:v>New public-source collection</x:v>
      </x:c>
      <x:c r="AC82" s="3" t="str">
        <x:v>unverified</x:v>
      </x:c>
      <x:c r="AD82" s="3" t="str">
        <x:v>Not contacted / unconfirmed</x:v>
      </x:c>
      <x:c r="AE82" s="3" t="str">
        <x:v>Yes</x:v>
      </x:c>
      <x:c r="AF82" s="3" t="str">
        <x:v>Yes</x:v>
      </x:c>
      <x:c r="AG82" s="3"/>
      <x:c r="AH82" s="3"/>
      <x:c r="AI82" s="18"/>
      <x:c r="AJ82" s="3" t="str">
        <x:v>CF2500-71B825A6A151</x:v>
      </x:c>
      <x:c r="AK82" s="3" t="str">
        <x:v>Property investor / home-buying operator prospect</x:v>
      </x:c>
      <x:c r="AL82" s="19" t="n">
        <x:v>100000</x:v>
      </x:c>
      <x:c r="AM82" s="19" t="n">
        <x:v>500000</x:v>
      </x:c>
      <x:c r="AN82" s="3" t="str">
        <x:v>https://www.cashhomebuyersdirectory.com/cash-home-buyers/north-carolina/raleigh</x:v>
      </x:c>
      <x:c r="AO82" s="3" t="str">
        <x:v>nc_il_az_co_investors.jsonl</x:v>
      </x:c>
      <x:c r="AP82" s="19"/>
    </x:row>
    <x:row r="83" ht="36" customHeight="1">
      <x:c r="A83" s="23" t="n">
        <x:v>82</x:v>
      </x:c>
      <x:c r="B83" s="15" t="str">
        <x:v>Offer Out Home Buyers | We Buy Houses | Sell My House Fast Winston Salem</x:v>
      </x:c>
      <x:c r="C83" s="15"/>
      <x:c r="D83" s="15" t="str">
        <x:v>Property investor / home-buying operator</x:v>
      </x:c>
      <x:c r="E83" s="15" t="str">
        <x:v>Property investor / operator inquiry</x:v>
      </x:c>
      <x:c r="F83" s="17" t="str">
        <x:v>New</x:v>
      </x:c>
      <x:c r="G83" s="24" t="str">
        <x:v>info@offer-out.com</x:v>
      </x:c>
      <x:c r="H83" s="24" t="str">
        <x:v>+13367154418</x:v>
      </x:c>
      <x:c r="I83" s="24" t="str">
        <x:v>https://carolinacashhomebuyers.com/</x:v>
      </x:c>
      <x:c r="J83" s="16" t="str">
        <x:v>NC</x:v>
      </x:c>
      <x:c r="K83" s="16" t="str">
        <x:v>Winston-Salem</x:v>
      </x:c>
      <x:c r="L83" s="16" t="str">
        <x:v>Public property-business route; investor decision maker unconfirmed</x:v>
      </x:c>
      <x:c r="M83" s="16" t="str">
        <x:v>https://carolinacashhomebuyers.com/</x:v>
      </x:c>
      <x:c r="N83" s="16" t="str">
        <x:v>$100K-$500K ticket not published / unconfirmed</x:v>
      </x:c>
      <x:c r="O83" s="20"/>
      <x:c r="P83" s="20"/>
      <x:c r="Q83" s="25" t="str">
        <x:v>No $100K-$500K operating-company investment ticket verified</x:v>
      </x:c>
      <x:c r="R83" s="25" t="str">
        <x:v>Property acquisition or investor activity makes this an operator-capital prospect for the signed trial. Confirm operating-company debt/equity appetite.</x:v>
      </x:c>
      <x:c r="S83" s="25" t="str">
        <x:v>Public property-buying activity or a directory listing does not establish available cash, investing decision-maker, current $100K-$500K capacity, or willingness to fund 101XVC operating costs.</x:v>
      </x:c>
      <x:c r="T83" s="25" t="str">
        <x:v>Ask the owner/investor whether they can allocate $100K-$500K to trial marketing and acquisitions, and confirm structure, timing and decision authority.</x:v>
      </x:c>
      <x:c r="U83" s="25" t="str">
        <x:v>https://www.cashhomebuyersdirectory.com/cash-home-buyers/north-carolina/winston-salem
https://carolinacashhomebuyers.com/</x:v>
      </x:c>
      <x:c r="V83" s="26" t="d">
        <x:v>2026-10-02T00:00:00.000Z</x:v>
      </x:c>
      <x:c r="W83" s="26" t="d">
        <x:v>2026-10-02T00:00:00.000Z</x:v>
      </x:c>
      <x:c r="X83" s="25" t="str">
        <x:v>Public investor directory; business role and contact ownership require qualification</x:v>
      </x:c>
      <x:c r="Y83" s="25" t="str">
        <x:v>https://carolinacashhomebuyers.com/</x:v>
      </x:c>
      <x:c r="Z83" s="25" t="str">
        <x:v>https://www.cashhomebuyersdirectory.com/cash-home-buyers/north-carolina/winston-salem</x:v>
      </x:c>
      <x:c r="AA83" s="25" t="str">
        <x:v>Public cash-home-buyer directory lists business name, phone and market. Directory entry may include brokers or service providers. Official website fetched; home-buying or investing activity stated.</x:v>
      </x:c>
      <x:c r="AB83" s="3" t="str">
        <x:v>New public-source collection</x:v>
      </x:c>
      <x:c r="AC83" s="3" t="str">
        <x:v>unverified</x:v>
      </x:c>
      <x:c r="AD83" s="3" t="str">
        <x:v>Not contacted / unconfirmed</x:v>
      </x:c>
      <x:c r="AE83" s="3" t="str">
        <x:v>Yes</x:v>
      </x:c>
      <x:c r="AF83" s="3" t="str">
        <x:v>Yes</x:v>
      </x:c>
      <x:c r="AG83" s="3"/>
      <x:c r="AH83" s="3"/>
      <x:c r="AI83" s="18"/>
      <x:c r="AJ83" s="3" t="str">
        <x:v>CF2500-5A0AE752F00E</x:v>
      </x:c>
      <x:c r="AK83" s="3" t="str">
        <x:v>Property investor / home-buying operator prospect</x:v>
      </x:c>
      <x:c r="AL83" s="19" t="n">
        <x:v>100000</x:v>
      </x:c>
      <x:c r="AM83" s="19" t="n">
        <x:v>500000</x:v>
      </x:c>
      <x:c r="AN83" s="3" t="str">
        <x:v>https://www.cashhomebuyersdirectory.com/cash-home-buyers/north-carolina/winston-salem</x:v>
      </x:c>
      <x:c r="AO83" s="3" t="str">
        <x:v>nc_il_az_co_investors.jsonl</x:v>
      </x:c>
      <x:c r="AP83" s="19"/>
    </x:row>
    <x:row r="84" ht="36" customHeight="1">
      <x:c r="A84" s="23" t="n">
        <x:v>83</x:v>
      </x:c>
      <x:c r="B84" s="15" t="str">
        <x:v>Pay Cash 4 Houses</x:v>
      </x:c>
      <x:c r="C84" s="15"/>
      <x:c r="D84" s="15" t="str">
        <x:v>Property investor / home-buying operator</x:v>
      </x:c>
      <x:c r="E84" s="15" t="str">
        <x:v>Property investor / operator inquiry</x:v>
      </x:c>
      <x:c r="F84" s="17" t="str">
        <x:v>New</x:v>
      </x:c>
      <x:c r="G84" s="24" t="str">
        <x:v>deals@wepaycash4houses.net</x:v>
      </x:c>
      <x:c r="H84" s="24" t="str">
        <x:v>+19045313113</x:v>
      </x:c>
      <x:c r="I84" s="24" t="str">
        <x:v>https://wepaycash4houses.net/</x:v>
      </x:c>
      <x:c r="J84" s="16" t="str">
        <x:v>FL</x:v>
      </x:c>
      <x:c r="K84" s="16" t="str">
        <x:v>Jacksonville</x:v>
      </x:c>
      <x:c r="L84" s="16" t="str">
        <x:v>Public property-business route; investor decision maker unconfirmed</x:v>
      </x:c>
      <x:c r="M84" s="16" t="str">
        <x:v>https://wepaycash4houses.net/</x:v>
      </x:c>
      <x:c r="N84" s="16" t="str">
        <x:v>$100K-$500K ticket not published / unconfirmed</x:v>
      </x:c>
      <x:c r="O84" s="20"/>
      <x:c r="P84" s="20"/>
      <x:c r="Q84" s="25" t="str">
        <x:v>No $100K-$500K corporate-investment ticket published in checked source</x:v>
      </x:c>
      <x:c r="R84" s="25" t="str">
        <x:v>Property acquisition or investor activity makes this an operator-capital prospect for the signed trial. Confirm operating-company debt/equity appetite.</x:v>
      </x:c>
      <x:c r="S84" s="25" t="str">
        <x:v>Corporate-investment ticket and appetite unconfirmed. Property-buying activity alone does not establish fit for funding 101XVC trial operating costs.</x:v>
      </x:c>
      <x:c r="T84" s="25" t="str">
        <x:v>Ask the owner/investor whether they can allocate $100K-$500K to trial marketing and acquisitions, and confirm structure, timing and decision authority.</x:v>
      </x:c>
      <x:c r="U84" s="25" t="str">
        <x:v>https://www.cashhomebuyersdirectory.com/cash-home-buyers/florida/jacksonville
https://wepaycash4houses.net/</x:v>
      </x:c>
      <x:c r="V84" s="26" t="d">
        <x:v>2026-10-02T00:00:00.000Z</x:v>
      </x:c>
      <x:c r="W84" s="26" t="d">
        <x:v>2026-10-03T00:00:00.000Z</x:v>
      </x:c>
      <x:c r="X84" s="25" t="str">
        <x:v>Public investor directory; business role and contact ownership require qualification</x:v>
      </x:c>
      <x:c r="Y84" s="25" t="str">
        <x:v>https://wepaycash4houses.net/</x:v>
      </x:c>
      <x:c r="Z84" s="25" t="str">
        <x:v>https://www.cashhomebuyersdirectory.com/cash-home-buyers/florida/jacksonville</x:v>
      </x:c>
      <x:c r="AA84" s="25" t="str">
        <x:v>Public cash-home-buyer directory lists business name, phone and market. Directory entry may include brokers or service providers. Official website fetched; home-buying or investing activity stated.</x:v>
      </x:c>
      <x:c r="AB84" s="3" t="str">
        <x:v>New public-source collection</x:v>
      </x:c>
      <x:c r="AC84" s="3" t="str">
        <x:v>unverified</x:v>
      </x:c>
      <x:c r="AD84" s="3" t="str">
        <x:v>Not contacted / unconfirmed</x:v>
      </x:c>
      <x:c r="AE84" s="3" t="str">
        <x:v>Yes</x:v>
      </x:c>
      <x:c r="AF84" s="3" t="str">
        <x:v>Yes</x:v>
      </x:c>
      <x:c r="AG84" s="3"/>
      <x:c r="AH84" s="3"/>
      <x:c r="AI84" s="18"/>
      <x:c r="AJ84" s="3" t="str">
        <x:v>CF2500-C5A3DF6566D4</x:v>
      </x:c>
      <x:c r="AK84" s="3" t="str">
        <x:v>Property investor / home-buying operator prospect</x:v>
      </x:c>
      <x:c r="AL84" s="19" t="n">
        <x:v>100000</x:v>
      </x:c>
      <x:c r="AM84" s="19" t="n">
        <x:v>500000</x:v>
      </x:c>
      <x:c r="AN84" s="3" t="str">
        <x:v>https://www.cashhomebuyersdirectory.com/cash-home-buyers/florida/jacksonville</x:v>
      </x:c>
      <x:c r="AO84" s="3" t="str">
        <x:v>tx_fl_investors.jsonl</x:v>
      </x:c>
      <x:c r="AP84" s="19"/>
    </x:row>
    <x:row r="85" ht="36" customHeight="1">
      <x:c r="A85" s="23" t="n">
        <x:v>84</x:v>
      </x:c>
      <x:c r="B85" s="15" t="str">
        <x:v>South Texas Property Cash Buyers</x:v>
      </x:c>
      <x:c r="C85" s="15"/>
      <x:c r="D85" s="15" t="str">
        <x:v>Property investor / home-buying operator</x:v>
      </x:c>
      <x:c r="E85" s="15" t="str">
        <x:v>Property investor / operator inquiry</x:v>
      </x:c>
      <x:c r="F85" s="17" t="str">
        <x:v>New</x:v>
      </x:c>
      <x:c r="G85" s="24" t="str">
        <x:v>compramostucasa@protonmail.com</x:v>
      </x:c>
      <x:c r="H85" s="24" t="str">
        <x:v>+19563690246</x:v>
      </x:c>
      <x:c r="I85" s="24" t="str">
        <x:v>https://compramostucasa.us/</x:v>
      </x:c>
      <x:c r="J85" s="16" t="str">
        <x:v>TX</x:v>
      </x:c>
      <x:c r="K85" s="16" t="str">
        <x:v>McAllen</x:v>
      </x:c>
      <x:c r="L85" s="16" t="str">
        <x:v>Public property-business route; investor decision maker unconfirmed</x:v>
      </x:c>
      <x:c r="M85" s="16" t="str">
        <x:v>https://compramostucasa.us/</x:v>
      </x:c>
      <x:c r="N85" s="16" t="str">
        <x:v>$100K-$500K ticket not published / unconfirmed</x:v>
      </x:c>
      <x:c r="O85" s="20"/>
      <x:c r="P85" s="20"/>
      <x:c r="Q85" s="25" t="str">
        <x:v>No $100K-$500K corporate-investment ticket published in checked source</x:v>
      </x:c>
      <x:c r="R85" s="25" t="str">
        <x:v>Property acquisition or investor activity makes this an operator-capital prospect for the signed trial. Confirm operating-company debt/equity appetite.</x:v>
      </x:c>
      <x:c r="S85" s="25" t="str">
        <x:v>Corporate-investment ticket and appetite unconfirmed. Property-buying activity alone does not establish fit for funding 101XVC trial operating costs.</x:v>
      </x:c>
      <x:c r="T85" s="25" t="str">
        <x:v>Ask the owner/investor whether they can allocate $100K-$500K to trial marketing and acquisitions, and confirm structure, timing and decision authority.</x:v>
      </x:c>
      <x:c r="U85" s="25" t="str">
        <x:v>https://www.cashhomebuyersdirectory.com/cash-home-buyers/texas/mcallen
https://compramostucasa.us/</x:v>
      </x:c>
      <x:c r="V85" s="26" t="d">
        <x:v>2026-10-02T00:00:00.000Z</x:v>
      </x:c>
      <x:c r="W85" s="26" t="d">
        <x:v>2026-10-03T00:00:00.000Z</x:v>
      </x:c>
      <x:c r="X85" s="25" t="str">
        <x:v>Public investor directory; business role and contact ownership require qualification</x:v>
      </x:c>
      <x:c r="Y85" s="25" t="str">
        <x:v>https://compramostucasa.us/</x:v>
      </x:c>
      <x:c r="Z85" s="25" t="str">
        <x:v>https://www.cashhomebuyersdirectory.com/cash-home-buyers/texas/mcallen</x:v>
      </x:c>
      <x:c r="AA85" s="25" t="str">
        <x:v>Public cash-home-buyer directory lists business name, phone and market. Directory entry may include brokers or service providers. Official website fetched; home-buying or investing activity stated.</x:v>
      </x:c>
      <x:c r="AB85" s="3" t="str">
        <x:v>New public-source collection</x:v>
      </x:c>
      <x:c r="AC85" s="3" t="str">
        <x:v>unverified</x:v>
      </x:c>
      <x:c r="AD85" s="3" t="str">
        <x:v>Not contacted / unconfirmed</x:v>
      </x:c>
      <x:c r="AE85" s="3" t="str">
        <x:v>Yes</x:v>
      </x:c>
      <x:c r="AF85" s="3" t="str">
        <x:v>No</x:v>
      </x:c>
      <x:c r="AG85" s="3"/>
      <x:c r="AH85" s="3"/>
      <x:c r="AI85" s="18"/>
      <x:c r="AJ85" s="3" t="str">
        <x:v>CF2500-7DAA203C0D3D</x:v>
      </x:c>
      <x:c r="AK85" s="3" t="str">
        <x:v>Property investor / home-buying operator prospect</x:v>
      </x:c>
      <x:c r="AL85" s="19" t="n">
        <x:v>100000</x:v>
      </x:c>
      <x:c r="AM85" s="19" t="n">
        <x:v>500000</x:v>
      </x:c>
      <x:c r="AN85" s="3" t="str">
        <x:v>https://www.cashhomebuyersdirectory.com/cash-home-buyers/texas/mcallen</x:v>
      </x:c>
      <x:c r="AO85" s="3" t="str">
        <x:v>tx_fl_investors.jsonl</x:v>
      </x:c>
      <x:c r="AP85" s="19"/>
    </x:row>
    <x:row r="86" ht="36" customHeight="1">
      <x:c r="A86" s="23" t="n">
        <x:v>85</x:v>
      </x:c>
      <x:c r="B86" s="15" t="str">
        <x:v>TAMPA BAY INTEGRITY HOME BUYERS LLC</x:v>
      </x:c>
      <x:c r="C86" s="15"/>
      <x:c r="D86" s="15" t="str">
        <x:v>Property investor / home-buying operator</x:v>
      </x:c>
      <x:c r="E86" s="15" t="str">
        <x:v>Property investor / operator inquiry</x:v>
      </x:c>
      <x:c r="F86" s="17" t="str">
        <x:v>New</x:v>
      </x:c>
      <x:c r="G86" s="24" t="str">
        <x:v>steven@integrityhomebuyerstb.com</x:v>
      </x:c>
      <x:c r="H86" s="24" t="str">
        <x:v>+17275606596</x:v>
      </x:c>
      <x:c r="I86" s="24" t="str">
        <x:v>https://www.integrityhomebuyerstb.com/</x:v>
      </x:c>
      <x:c r="J86" s="16" t="str">
        <x:v>FL</x:v>
      </x:c>
      <x:c r="K86" s="16" t="str">
        <x:v>Tampa Bay</x:v>
      </x:c>
      <x:c r="L86" s="16" t="str">
        <x:v>Public property-business route; investor decision maker unconfirmed</x:v>
      </x:c>
      <x:c r="M86" s="16" t="str">
        <x:v>https://www.integrityhomebuyerstb.com/blank-3</x:v>
      </x:c>
      <x:c r="N86" s="16" t="str">
        <x:v>$100K-$500K ticket not published / unconfirmed</x:v>
      </x:c>
      <x:c r="O86" s="20"/>
      <x:c r="P86" s="20"/>
      <x:c r="Q86" s="25" t="str">
        <x:v>No direct corporate-capital range established in checked source</x:v>
      </x:c>
      <x:c r="R86" s="25" t="str">
        <x:v>Property acquisition or investor activity makes this an operator-capital prospect for the signed trial. Confirm operating-company debt/equity appetite.</x:v>
      </x:c>
      <x:c r="S86" s="25" t="str">
        <x:v>Confirm the contact controls funding decisions; confirm willingness to invest in an operating company, current liquidity, $100K to $500K ticket size, required security and diligence.</x:v>
      </x:c>
      <x:c r="T86" s="25" t="str">
        <x:v>Ask the owner/investor whether they can allocate $100K-$500K to trial marketing and acquisitions, and confirm structure, timing and decision authority.</x:v>
      </x:c>
      <x:c r="U86" s="25" t="str">
        <x:v>https://www.integrityhomebuyerstb.com/blank-3
https://sfranalytics.com/investors/fl/tampa-st-petersburg-clearwater-fl
https://sfranalytics.com/investors/fl/tampa-st-petersburg-clearwater-fl/tampa-bay-integrity-home-buyers-llc-fl</x:v>
      </x:c>
      <x:c r="V86" s="26" t="d">
        <x:v>2026-10-02T00:00:00.000Z</x:v>
      </x:c>
      <x:c r="W86" s="26" t="d">
        <x:v>2026-10-03T00:00:00.000Z</x:v>
      </x:c>
      <x:c r="X86" s="25" t="str">
        <x:v>SFR Analytics public investor discovery plus official-company activity, geography and published business contact checks</x:v>
      </x:c>
      <x:c r="Y86" s="25" t="str">
        <x:v>https://www.integrityhomebuyerstb.com/blank-3</x:v>
      </x:c>
      <x:c r="Z86" s="25" t="str">
        <x:v>https://www.integrityhomebuyerstb.com/blank-3</x:v>
      </x:c>
      <x:c r="AA86" s="25" t="str">
        <x:v>Official team page names Tampa Bay Integrity Home Buyers and describes purchasing in Pinellas and Pasco counties. Published general business contact observed: (727) 560-6596. SFR Analytics public directory lists TAMPA BAY INTEGRITY HOME BUYERS LLC as an organization with a flipper strategy, 21 observed transactions and $4.10M tracked transaction volume. Observed listing market: Tampa-St. Petersburg-Clearwater, FL. This is third-party public-record research, not evidence of available cash, a $100K to $500K check, an operating-company investment mandate, or acceptance of this transaction.</x:v>
      </x:c>
      <x:c r="AB86" s="3" t="str">
        <x:v>New public-source collection</x:v>
      </x:c>
      <x:c r="AC86" s="3" t="str">
        <x:v>unverified</x:v>
      </x:c>
      <x:c r="AD86" s="3" t="str">
        <x:v>Not contacted / unconfirmed</x:v>
      </x:c>
      <x:c r="AE86" s="3" t="str">
        <x:v>Yes</x:v>
      </x:c>
      <x:c r="AF86" s="3" t="str">
        <x:v>Yes</x:v>
      </x:c>
      <x:c r="AG86" s="3"/>
      <x:c r="AH86" s="3"/>
      <x:c r="AI86" s="18"/>
      <x:c r="AJ86" s="3" t="str">
        <x:v>CF2500-DB3BB2739FEC</x:v>
      </x:c>
      <x:c r="AK86" s="3" t="str">
        <x:v>real_estate_operator</x:v>
      </x:c>
      <x:c r="AL86" s="19" t="n">
        <x:v>100000</x:v>
      </x:c>
      <x:c r="AM86" s="19" t="n">
        <x:v>500000</x:v>
      </x:c>
      <x:c r="AN86" s="3" t="str">
        <x:v>https://www.integrityhomebuyerstb.com/blank-3</x:v>
      </x:c>
      <x:c r="AO86" s="3" t="str">
        <x:v>sfr_contact_enriched.jsonl</x:v>
      </x:c>
      <x:c r="AP86" s="19"/>
    </x:row>
    <x:row r="87" ht="36" customHeight="1">
      <x:c r="A87" s="23" t="n">
        <x:v>86</x:v>
      </x:c>
      <x:c r="B87" s="15" t="str">
        <x:v>VERY FAST HOME BUYERS LLC</x:v>
      </x:c>
      <x:c r="C87" s="15"/>
      <x:c r="D87" s="15" t="str">
        <x:v>Property investor / home-buying operator</x:v>
      </x:c>
      <x:c r="E87" s="15" t="str">
        <x:v>Property investor / operator inquiry</x:v>
      </x:c>
      <x:c r="F87" s="17" t="str">
        <x:v>New</x:v>
      </x:c>
      <x:c r="G87" s="24" t="str">
        <x:v>veryfasthomebuyers@gmail.com</x:v>
      </x:c>
      <x:c r="H87" s="24" t="str">
        <x:v>+17133220329</x:v>
      </x:c>
      <x:c r="I87" s="24" t="str">
        <x:v>https://www.veryfasthomebuyers.com/</x:v>
      </x:c>
      <x:c r="J87" s="16" t="str">
        <x:v>TX</x:v>
      </x:c>
      <x:c r="K87" s="16" t="str">
        <x:v>Houston</x:v>
      </x:c>
      <x:c r="L87" s="16" t="str">
        <x:v>Public property-business route; investor decision maker unconfirmed</x:v>
      </x:c>
      <x:c r="M87" s="16" t="str">
        <x:v>https://www.veryfasthomebuyers.com/contact-us/</x:v>
      </x:c>
      <x:c r="N87" s="16" t="str">
        <x:v>$100K-$500K ticket not published / unconfirmed</x:v>
      </x:c>
      <x:c r="O87" s="20"/>
      <x:c r="P87" s="20"/>
      <x:c r="Q87" s="25" t="str">
        <x:v>No direct corporate-capital range established in checked source</x:v>
      </x:c>
      <x:c r="R87" s="25" t="str">
        <x:v>Property acquisition or investor activity makes this an operator-capital prospect for the signed trial. Confirm operating-company debt/equity appetite.</x:v>
      </x:c>
      <x:c r="S87" s="25" t="str">
        <x:v>Confirm the contact controls funding decisions; confirm willingness to invest in an operating company, current liquidity, $100K to $500K ticket size, required security and diligence.</x:v>
      </x:c>
      <x:c r="T87" s="25" t="str">
        <x:v>Ask the owner/investor whether they can allocate $100K-$500K to trial marketing and acquisitions, and confirm structure, timing and decision authority.</x:v>
      </x:c>
      <x:c r="U87" s="25" t="str">
        <x:v>https://www.veryfasthomebuyers.com/contact-us/
https://sfranalytics.com/investors/tx/houston-pasadena-the-woodlands-tx
https://sfranalytics.com/investors/tx/houston-pasadena-the-woodlands-tx/very-fast-home-buyers-llc-tx</x:v>
      </x:c>
      <x:c r="V87" s="26" t="d">
        <x:v>2026-10-02T00:00:00.000Z</x:v>
      </x:c>
      <x:c r="W87" s="26" t="d">
        <x:v>2026-10-03T00:00:00.000Z</x:v>
      </x:c>
      <x:c r="X87" s="25" t="str">
        <x:v>SFR Analytics public investor discovery plus official-company activity, geography and published business contact checks</x:v>
      </x:c>
      <x:c r="Y87" s="25" t="str">
        <x:v>https://www.veryfasthomebuyers.com/contact-us/</x:v>
      </x:c>
      <x:c r="Z87" s="25" t="str">
        <x:v>https://www.veryfasthomebuyers.com/contact-us/</x:v>
      </x:c>
      <x:c r="AA87" s="25" t="str">
        <x:v>Company describes buying houses and helping owners sell in Houston, Texas. Published general business contact observed: (713) 322-0329. SFR Analytics public directory lists VERY FAST HOME BUYERS LLC as an organization with a flipper strategy, 103 observed transactions and $24.9M tracked transaction volume. Observed listing market: Houston-Pasadena-The Woodlands, TX. This is third-party public-record research, not evidence of available cash, a $100K to $500K check, an operating-company investment mandate, or acceptance of this transaction.</x:v>
      </x:c>
      <x:c r="AB87" s="3" t="str">
        <x:v>New public-source collection</x:v>
      </x:c>
      <x:c r="AC87" s="3" t="str">
        <x:v>unverified</x:v>
      </x:c>
      <x:c r="AD87" s="3" t="str">
        <x:v>Not contacted / unconfirmed</x:v>
      </x:c>
      <x:c r="AE87" s="3" t="str">
        <x:v>Yes</x:v>
      </x:c>
      <x:c r="AF87" s="3" t="str">
        <x:v>Yes</x:v>
      </x:c>
      <x:c r="AG87" s="3"/>
      <x:c r="AH87" s="3"/>
      <x:c r="AI87" s="18"/>
      <x:c r="AJ87" s="3" t="str">
        <x:v>CF2500-6074794C93A6</x:v>
      </x:c>
      <x:c r="AK87" s="3" t="str">
        <x:v>real_estate_operator</x:v>
      </x:c>
      <x:c r="AL87" s="19" t="n">
        <x:v>100000</x:v>
      </x:c>
      <x:c r="AM87" s="19" t="n">
        <x:v>500000</x:v>
      </x:c>
      <x:c r="AN87" s="3" t="str">
        <x:v>https://www.veryfasthomebuyers.com/contact-us/</x:v>
      </x:c>
      <x:c r="AO87" s="3" t="str">
        <x:v>sfr_contact_enriched.jsonl</x:v>
      </x:c>
      <x:c r="AP87" s="19"/>
    </x:row>
    <x:row r="88" ht="36" customHeight="1">
      <x:c r="A88" s="23" t="n">
        <x:v>87</x:v>
      </x:c>
      <x:c r="B88" s="15" t="str">
        <x:v>We Buy ALL Houses Corpus Christi</x:v>
      </x:c>
      <x:c r="C88" s="15"/>
      <x:c r="D88" s="15" t="str">
        <x:v>Property investor / home-buying operator</x:v>
      </x:c>
      <x:c r="E88" s="15" t="str">
        <x:v>Property investor / operator inquiry</x:v>
      </x:c>
      <x:c r="F88" s="17" t="str">
        <x:v>New</x:v>
      </x:c>
      <x:c r="G88" s="24" t="str">
        <x:v>webuyhousescctx@gmail.com</x:v>
      </x:c>
      <x:c r="H88" s="24" t="str">
        <x:v>+13612396625</x:v>
      </x:c>
      <x:c r="I88" s="24" t="str">
        <x:v>https://www.webuyhousescctx.net/</x:v>
      </x:c>
      <x:c r="J88" s="16" t="str">
        <x:v>TX</x:v>
      </x:c>
      <x:c r="K88" s="16" t="str">
        <x:v>Corpus Christi</x:v>
      </x:c>
      <x:c r="L88" s="16" t="str">
        <x:v>Public property-business route; investor decision maker unconfirmed</x:v>
      </x:c>
      <x:c r="M88" s="16" t="str">
        <x:v>https://www.webuyhousescctx.net/</x:v>
      </x:c>
      <x:c r="N88" s="16" t="str">
        <x:v>$100K-$500K ticket not published / unconfirmed</x:v>
      </x:c>
      <x:c r="O88" s="20"/>
      <x:c r="P88" s="20"/>
      <x:c r="Q88" s="25" t="str">
        <x:v>No $100K-$500K corporate-investment ticket published in checked source</x:v>
      </x:c>
      <x:c r="R88" s="25" t="str">
        <x:v>Property acquisition or investor activity makes this an operator-capital prospect for the signed trial. Confirm operating-company debt/equity appetite.</x:v>
      </x:c>
      <x:c r="S88" s="25" t="str">
        <x:v>Corporate-investment ticket and appetite unconfirmed. Property-buying activity alone does not establish fit for funding 101XVC trial operating costs.</x:v>
      </x:c>
      <x:c r="T88" s="25" t="str">
        <x:v>Ask the owner/investor whether they can allocate $100K-$500K to trial marketing and acquisitions, and confirm structure, timing and decision authority.</x:v>
      </x:c>
      <x:c r="U88" s="25" t="str">
        <x:v>https://www.cashhomebuyersdirectory.com/cash-home-buyers/texas/corpus-christi
https://www.webuyhousescctx.net/</x:v>
      </x:c>
      <x:c r="V88" s="26" t="d">
        <x:v>2026-10-02T00:00:00.000Z</x:v>
      </x:c>
      <x:c r="W88" s="26" t="d">
        <x:v>2026-10-03T00:00:00.000Z</x:v>
      </x:c>
      <x:c r="X88" s="25" t="str">
        <x:v>Public investor directory; business role and contact ownership require qualification</x:v>
      </x:c>
      <x:c r="Y88" s="25" t="str">
        <x:v>https://www.webuyhousescctx.net/</x:v>
      </x:c>
      <x:c r="Z88" s="25" t="str">
        <x:v>https://www.cashhomebuyersdirectory.com/cash-home-buyers/texas/corpus-christi</x:v>
      </x:c>
      <x:c r="AA88" s="25" t="str">
        <x:v>Public cash-home-buyer directory lists business name, phone and market. Directory entry may include brokers or service providers. Official website fetched; home-buying or investing activity stated.</x:v>
      </x:c>
      <x:c r="AB88" s="3" t="str">
        <x:v>New public-source collection</x:v>
      </x:c>
      <x:c r="AC88" s="3" t="str">
        <x:v>unverified</x:v>
      </x:c>
      <x:c r="AD88" s="3" t="str">
        <x:v>Not contacted / unconfirmed</x:v>
      </x:c>
      <x:c r="AE88" s="3" t="str">
        <x:v>Yes</x:v>
      </x:c>
      <x:c r="AF88" s="3" t="str">
        <x:v>Yes</x:v>
      </x:c>
      <x:c r="AG88" s="3"/>
      <x:c r="AH88" s="3"/>
      <x:c r="AI88" s="18"/>
      <x:c r="AJ88" s="3" t="str">
        <x:v>CF2500-D604266F7670</x:v>
      </x:c>
      <x:c r="AK88" s="3" t="str">
        <x:v>Property investor / home-buying operator prospect</x:v>
      </x:c>
      <x:c r="AL88" s="19" t="n">
        <x:v>100000</x:v>
      </x:c>
      <x:c r="AM88" s="19" t="n">
        <x:v>500000</x:v>
      </x:c>
      <x:c r="AN88" s="3" t="str">
        <x:v>https://www.cashhomebuyersdirectory.com/cash-home-buyers/texas/corpus-christi</x:v>
      </x:c>
      <x:c r="AO88" s="3" t="str">
        <x:v>tx_fl_investors.jsonl</x:v>
      </x:c>
      <x:c r="AP88" s="19"/>
    </x:row>
    <x:row r="89" ht="36" customHeight="1">
      <x:c r="A89" s="23" t="n">
        <x:v>88</x:v>
      </x:c>
      <x:c r="B89" s="15" t="str">
        <x:v>520 Home Buyers</x:v>
      </x:c>
      <x:c r="C89" s="15"/>
      <x:c r="D89" s="15" t="str">
        <x:v>Property investor / home-buying operator</x:v>
      </x:c>
      <x:c r="E89" s="15" t="str">
        <x:v>Property investor / operator inquiry</x:v>
      </x:c>
      <x:c r="F89" s="17" t="str">
        <x:v>New</x:v>
      </x:c>
      <x:c r="G89" s="24"/>
      <x:c r="H89" s="24" t="str">
        <x:v>+15202305320</x:v>
      </x:c>
      <x:c r="I89" s="24" t="str">
        <x:v>https://520homebuyers.com/</x:v>
      </x:c>
      <x:c r="J89" s="16" t="str">
        <x:v>AZ</x:v>
      </x:c>
      <x:c r="K89" s="16"/>
      <x:c r="L89" s="16" t="str">
        <x:v>Public property-business route; investor decision maker unconfirmed</x:v>
      </x:c>
      <x:c r="M89" s="16" t="str">
        <x:v>https://520homebuyers.com/</x:v>
      </x:c>
      <x:c r="N89" s="16" t="str">
        <x:v>$100K-$500K ticket not published / unconfirmed</x:v>
      </x:c>
      <x:c r="O89" s="20"/>
      <x:c r="P89" s="20"/>
      <x:c r="Q89" s="25" t="str">
        <x:v>No $100K-$500K operating-company investment ticket verified</x:v>
      </x:c>
      <x:c r="R89" s="25" t="str">
        <x:v>Property acquisition or investor activity makes this an operator-capital prospect for the signed trial. Confirm operating-company debt/equity appetite.</x:v>
      </x:c>
      <x:c r="S89" s="25" t="str">
        <x:v>Public property-buying activity or a directory listing does not establish available cash, investing decision-maker, current $100K-$500K capacity, or willingness to fund 101XVC operating costs.</x:v>
      </x:c>
      <x:c r="T89" s="25" t="str">
        <x:v>Ask the owner/investor whether they can allocate $100K-$500K to trial marketing and acquisitions, and confirm structure, timing and decision authority.</x:v>
      </x:c>
      <x:c r="U89" s="25" t="str">
        <x:v>https://www.cashhomebuyersdirectory.com/cash-home-buyers/arizona/tucson
https://520homebuyers.com/</x:v>
      </x:c>
      <x:c r="V89" s="26" t="d">
        <x:v>2026-10-02T00:00:00.000Z</x:v>
      </x:c>
      <x:c r="W89" s="26" t="d">
        <x:v>2026-10-02T00:00:00.000Z</x:v>
      </x:c>
      <x:c r="X89" s="25" t="str">
        <x:v>Public investor directory; business role and contact ownership require qualification</x:v>
      </x:c>
      <x:c r="Y89" s="25"/>
      <x:c r="Z89" s="25" t="str">
        <x:v>https://www.cashhomebuyersdirectory.com/cash-home-buyers/arizona/tucson</x:v>
      </x:c>
      <x:c r="AA89" s="25" t="str">
        <x:v>Public cash-home-buyer directory lists business name, phone and market. Directory entry may include brokers or service providers. Official website fetched; home-buying or investing activity stated.</x:v>
      </x:c>
      <x:c r="AB89" s="3" t="str">
        <x:v>New public-source collection</x:v>
      </x:c>
      <x:c r="AC89" s="3" t="str">
        <x:v>unverified</x:v>
      </x:c>
      <x:c r="AD89" s="3" t="str">
        <x:v>Not contacted / unconfirmed</x:v>
      </x:c>
      <x:c r="AE89" s="3" t="str">
        <x:v>Yes</x:v>
      </x:c>
      <x:c r="AF89" s="3" t="str">
        <x:v>Yes</x:v>
      </x:c>
      <x:c r="AG89" s="3"/>
      <x:c r="AH89" s="3"/>
      <x:c r="AI89" s="18"/>
      <x:c r="AJ89" s="3" t="str">
        <x:v>CF2500-E8DC3E99BD95</x:v>
      </x:c>
      <x:c r="AK89" s="3" t="str">
        <x:v>Property investor / home-buying operator prospect</x:v>
      </x:c>
      <x:c r="AL89" s="19" t="n">
        <x:v>100000</x:v>
      </x:c>
      <x:c r="AM89" s="19" t="n">
        <x:v>500000</x:v>
      </x:c>
      <x:c r="AN89" s="3" t="str">
        <x:v>https://www.cashhomebuyersdirectory.com/cash-home-buyers/arizona/tucson</x:v>
      </x:c>
      <x:c r="AO89" s="3" t="str">
        <x:v>nc_il_az_co_investors.jsonl</x:v>
      </x:c>
      <x:c r="AP89" s="19"/>
    </x:row>
    <x:row r="90" ht="36" customHeight="1">
      <x:c r="A90" s="23" t="n">
        <x:v>89</x:v>
      </x:c>
      <x:c r="B90" s="15" t="str">
        <x:v>806 House Buyers</x:v>
      </x:c>
      <x:c r="C90" s="15"/>
      <x:c r="D90" s="15" t="str">
        <x:v>Property investor / home-buying operator</x:v>
      </x:c>
      <x:c r="E90" s="15" t="str">
        <x:v>Property investor / operator inquiry</x:v>
      </x:c>
      <x:c r="F90" s="17" t="str">
        <x:v>New</x:v>
      </x:c>
      <x:c r="G90" s="24"/>
      <x:c r="H90" s="24" t="str">
        <x:v>+18067027912</x:v>
      </x:c>
      <x:c r="I90" s="24" t="str">
        <x:v>https://www.806housebuyers.com/</x:v>
      </x:c>
      <x:c r="J90" s="16" t="str">
        <x:v>TX</x:v>
      </x:c>
      <x:c r="K90" s="16" t="str">
        <x:v>Lubbock</x:v>
      </x:c>
      <x:c r="L90" s="16" t="str">
        <x:v>Public property-business route; investor decision maker unconfirmed</x:v>
      </x:c>
      <x:c r="M90" s="16" t="str">
        <x:v>https://www.806housebuyers.com/contact-us</x:v>
      </x:c>
      <x:c r="N90" s="16" t="str">
        <x:v>$100K-$500K ticket not published / unconfirmed</x:v>
      </x:c>
      <x:c r="O90" s="20"/>
      <x:c r="P90" s="20"/>
      <x:c r="Q90" s="25" t="str">
        <x:v>No $100K-$500K corporate-investment ticket published in checked source</x:v>
      </x:c>
      <x:c r="R90" s="25" t="str">
        <x:v>Property acquisition or investor activity makes this an operator-capital prospect for the signed trial. Confirm operating-company debt/equity appetite.</x:v>
      </x:c>
      <x:c r="S90" s="25" t="str">
        <x:v>Corporate-investment ticket and appetite unconfirmed. Property-buying activity alone does not establish fit for funding 101XVC trial operating costs.</x:v>
      </x:c>
      <x:c r="T90" s="25" t="str">
        <x:v>Ask the owner/investor whether they can allocate $100K-$500K to trial marketing and acquisitions, and confirm structure, timing and decision authority.</x:v>
      </x:c>
      <x:c r="U90" s="25" t="str">
        <x:v>https://www.cashhomebuyersdirectory.com/cash-home-buyers/texas/lubbock
https://www.806housebuyers.com/
https://www.806housebuyers.com/contact-us</x:v>
      </x:c>
      <x:c r="V90" s="26" t="d">
        <x:v>2026-10-02T00:00:00.000Z</x:v>
      </x:c>
      <x:c r="W90" s="26" t="d">
        <x:v>2026-10-03T00:00:00.000Z</x:v>
      </x:c>
      <x:c r="X90" s="25" t="str">
        <x:v>Public investor directory; business role and contact ownership require qualification</x:v>
      </x:c>
      <x:c r="Y90" s="25"/>
      <x:c r="Z90" s="25" t="str">
        <x:v>https://www.cashhomebuyersdirectory.com/cash-home-buyers/texas/lubbock</x:v>
      </x:c>
      <x:c r="AA90" s="25" t="str">
        <x:v>Public cash-home-buyer directory lists business name, phone and market. Directory entry may include brokers or service providers. Official website fetched; home-buying or investing activity stated.</x:v>
      </x:c>
      <x:c r="AB90" s="3" t="str">
        <x:v>New public-source collection</x:v>
      </x:c>
      <x:c r="AC90" s="3" t="str">
        <x:v>unverified</x:v>
      </x:c>
      <x:c r="AD90" s="3" t="str">
        <x:v>Not contacted / unconfirmed</x:v>
      </x:c>
      <x:c r="AE90" s="3" t="str">
        <x:v>Yes</x:v>
      </x:c>
      <x:c r="AF90" s="3" t="str">
        <x:v>Yes</x:v>
      </x:c>
      <x:c r="AG90" s="3"/>
      <x:c r="AH90" s="3"/>
      <x:c r="AI90" s="18"/>
      <x:c r="AJ90" s="3" t="str">
        <x:v>CF2500-3A4EBA7D3D1A</x:v>
      </x:c>
      <x:c r="AK90" s="3" t="str">
        <x:v>Property investor / home-buying operator prospect</x:v>
      </x:c>
      <x:c r="AL90" s="19" t="n">
        <x:v>100000</x:v>
      </x:c>
      <x:c r="AM90" s="19" t="n">
        <x:v>500000</x:v>
      </x:c>
      <x:c r="AN90" s="3" t="str">
        <x:v>https://www.cashhomebuyersdirectory.com/cash-home-buyers/texas/lubbock</x:v>
      </x:c>
      <x:c r="AO90" s="3" t="str">
        <x:v>tx_fl_investors.jsonl</x:v>
      </x:c>
      <x:c r="AP90" s="19"/>
    </x:row>
    <x:row r="91" ht="36" customHeight="1">
      <x:c r="A91" s="23" t="n">
        <x:v>90</x:v>
      </x:c>
      <x:c r="B91" s="15" t="str">
        <x:v>Ace House Buyers</x:v>
      </x:c>
      <x:c r="C91" s="15"/>
      <x:c r="D91" s="15" t="str">
        <x:v>Property investor / home-buying operator</x:v>
      </x:c>
      <x:c r="E91" s="15" t="str">
        <x:v>Property investor / operator inquiry</x:v>
      </x:c>
      <x:c r="F91" s="17" t="str">
        <x:v>New</x:v>
      </x:c>
      <x:c r="G91" s="24"/>
      <x:c r="H91" s="24" t="str">
        <x:v>+18173693929</x:v>
      </x:c>
      <x:c r="I91" s="24" t="str">
        <x:v>https://www.acehousebuyers.com/</x:v>
      </x:c>
      <x:c r="J91" s="16" t="str">
        <x:v>TX</x:v>
      </x:c>
      <x:c r="K91" s="16" t="str">
        <x:v>Dallas</x:v>
      </x:c>
      <x:c r="L91" s="16" t="str">
        <x:v>Public property-business route; investor decision maker unconfirmed</x:v>
      </x:c>
      <x:c r="M91" s="16" t="str">
        <x:v>https://www.acehousebuyers.com/</x:v>
      </x:c>
      <x:c r="N91" s="16" t="str">
        <x:v>$100K-$500K ticket not published / unconfirmed</x:v>
      </x:c>
      <x:c r="O91" s="20"/>
      <x:c r="P91" s="20"/>
      <x:c r="Q91" s="25" t="str">
        <x:v>No $100K-$500K corporate-investment ticket published in checked source</x:v>
      </x:c>
      <x:c r="R91" s="25" t="str">
        <x:v>Property acquisition or investor activity makes this an operator-capital prospect for the signed trial. Confirm operating-company debt/equity appetite.</x:v>
      </x:c>
      <x:c r="S91" s="25" t="str">
        <x:v>Corporate-investment ticket and appetite unconfirmed. Property-buying activity alone does not establish fit for funding 101XVC trial operating costs.</x:v>
      </x:c>
      <x:c r="T91" s="25" t="str">
        <x:v>Ask the owner/investor whether they can allocate $100K-$500K to trial marketing and acquisitions, and confirm structure, timing and decision authority.</x:v>
      </x:c>
      <x:c r="U91" s="25" t="str">
        <x:v>https://www.cashhomebuyersdirectory.com/cash-home-buyers/texas/dallas
https://www.acehousebuyers.com/</x:v>
      </x:c>
      <x:c r="V91" s="26" t="d">
        <x:v>2026-10-02T00:00:00.000Z</x:v>
      </x:c>
      <x:c r="W91" s="26" t="d">
        <x:v>2026-10-03T00:00:00.000Z</x:v>
      </x:c>
      <x:c r="X91" s="25" t="str">
        <x:v>Public investor directory; business role and contact ownership require qualification</x:v>
      </x:c>
      <x:c r="Y91" s="25"/>
      <x:c r="Z91" s="25" t="str">
        <x:v>https://www.cashhomebuyersdirectory.com/cash-home-buyers/texas/dallas</x:v>
      </x:c>
      <x:c r="AA91" s="25" t="str">
        <x:v>Public cash-home-buyer directory lists business name, phone and market. Directory entry may include brokers or service providers. Official website fetched; home-buying or investing activity stated.</x:v>
      </x:c>
      <x:c r="AB91" s="3" t="str">
        <x:v>New public-source collection</x:v>
      </x:c>
      <x:c r="AC91" s="3" t="str">
        <x:v>unverified</x:v>
      </x:c>
      <x:c r="AD91" s="3" t="str">
        <x:v>Not contacted / unconfirmed</x:v>
      </x:c>
      <x:c r="AE91" s="3" t="str">
        <x:v>Yes</x:v>
      </x:c>
      <x:c r="AF91" s="3" t="str">
        <x:v>No</x:v>
      </x:c>
      <x:c r="AG91" s="3"/>
      <x:c r="AH91" s="3"/>
      <x:c r="AI91" s="18"/>
      <x:c r="AJ91" s="3" t="str">
        <x:v>CF2500-65A79E410881</x:v>
      </x:c>
      <x:c r="AK91" s="3" t="str">
        <x:v>Property investor / home-buying operator prospect</x:v>
      </x:c>
      <x:c r="AL91" s="19" t="n">
        <x:v>100000</x:v>
      </x:c>
      <x:c r="AM91" s="19" t="n">
        <x:v>500000</x:v>
      </x:c>
      <x:c r="AN91" s="3" t="str">
        <x:v>https://www.cashhomebuyersdirectory.com/cash-home-buyers/texas/dallas</x:v>
      </x:c>
      <x:c r="AO91" s="3" t="str">
        <x:v>tx_fl_investors.jsonl</x:v>
      </x:c>
      <x:c r="AP91" s="19"/>
    </x:row>
    <x:row r="92" ht="36" customHeight="1">
      <x:c r="A92" s="23" t="n">
        <x:v>91</x:v>
      </x:c>
      <x:c r="B92" s="15" t="str">
        <x:v>ACF Buys Homes</x:v>
      </x:c>
      <x:c r="C92" s="15"/>
      <x:c r="D92" s="15" t="str">
        <x:v>Property investor / home-buying operator</x:v>
      </x:c>
      <x:c r="E92" s="15" t="str">
        <x:v>Property investor / operator inquiry</x:v>
      </x:c>
      <x:c r="F92" s="17" t="str">
        <x:v>New</x:v>
      </x:c>
      <x:c r="G92" s="24"/>
      <x:c r="H92" s="24" t="str">
        <x:v>+15128830767</x:v>
      </x:c>
      <x:c r="I92" s="24" t="str">
        <x:v>https://sellyourhousefasttx.com/sell-your-corpus-christi-house-fast-for-cash/</x:v>
      </x:c>
      <x:c r="J92" s="16" t="str">
        <x:v>TX</x:v>
      </x:c>
      <x:c r="K92" s="16" t="str">
        <x:v>Corpus Christi</x:v>
      </x:c>
      <x:c r="L92" s="16" t="str">
        <x:v>Public property-business route; investor decision maker unconfirmed</x:v>
      </x:c>
      <x:c r="M92" s="16" t="str">
        <x:v>https://sellyourhousefasttx.com/contact-us/</x:v>
      </x:c>
      <x:c r="N92" s="16" t="str">
        <x:v>$100K-$500K ticket not published / unconfirmed</x:v>
      </x:c>
      <x:c r="O92" s="20"/>
      <x:c r="P92" s="20"/>
      <x:c r="Q92" s="25" t="str">
        <x:v>No $100K-$500K corporate-investment ticket published in checked source</x:v>
      </x:c>
      <x:c r="R92" s="25" t="str">
        <x:v>Property acquisition or investor activity makes this an operator-capital prospect for the signed trial. Confirm operating-company debt/equity appetite.</x:v>
      </x:c>
      <x:c r="S92" s="25" t="str">
        <x:v>Corporate-investment ticket and appetite unconfirmed. Property-buying activity alone does not establish fit for funding 101XVC trial operating costs.</x:v>
      </x:c>
      <x:c r="T92" s="25" t="str">
        <x:v>Ask the owner/investor whether they can allocate $100K-$500K to trial marketing and acquisitions, and confirm structure, timing and decision authority.</x:v>
      </x:c>
      <x:c r="U92" s="25" t="str">
        <x:v>https://www.cashhomebuyersdirectory.com/cash-home-buyers/texas/corpus-christi
https://sellyourhousefasttx.com/sell-your-corpus-christi-house-fast-for-cash/
https://sellyourhousefasttx.com/contact-us/</x:v>
      </x:c>
      <x:c r="V92" s="26" t="d">
        <x:v>2026-10-02T00:00:00.000Z</x:v>
      </x:c>
      <x:c r="W92" s="26" t="d">
        <x:v>2026-10-03T00:00:00.000Z</x:v>
      </x:c>
      <x:c r="X92" s="25" t="str">
        <x:v>Public investor directory; business role and contact ownership require qualification</x:v>
      </x:c>
      <x:c r="Y92" s="25"/>
      <x:c r="Z92" s="25" t="str">
        <x:v>https://www.cashhomebuyersdirectory.com/cash-home-buyers/texas/corpus-christi</x:v>
      </x:c>
      <x:c r="AA92" s="25" t="str">
        <x:v>Public cash-home-buyer directory lists business name, phone and market. Directory entry may include brokers or service providers. Official website fetched; home-buying or investing activity stated.</x:v>
      </x:c>
      <x:c r="AB92" s="3" t="str">
        <x:v>New public-source collection</x:v>
      </x:c>
      <x:c r="AC92" s="3" t="str">
        <x:v>unverified</x:v>
      </x:c>
      <x:c r="AD92" s="3" t="str">
        <x:v>Not contacted / unconfirmed</x:v>
      </x:c>
      <x:c r="AE92" s="3" t="str">
        <x:v>Yes</x:v>
      </x:c>
      <x:c r="AF92" s="3" t="str">
        <x:v>Yes</x:v>
      </x:c>
      <x:c r="AG92" s="3"/>
      <x:c r="AH92" s="3"/>
      <x:c r="AI92" s="18"/>
      <x:c r="AJ92" s="3" t="str">
        <x:v>CF2500-10843B15A48B</x:v>
      </x:c>
      <x:c r="AK92" s="3" t="str">
        <x:v>Property investor / home-buying operator prospect</x:v>
      </x:c>
      <x:c r="AL92" s="19" t="n">
        <x:v>100000</x:v>
      </x:c>
      <x:c r="AM92" s="19" t="n">
        <x:v>500000</x:v>
      </x:c>
      <x:c r="AN92" s="3" t="str">
        <x:v>https://www.cashhomebuyersdirectory.com/cash-home-buyers/texas/corpus-christi</x:v>
      </x:c>
      <x:c r="AO92" s="3" t="str">
        <x:v>tx_fl_investors.jsonl</x:v>
      </x:c>
      <x:c r="AP92" s="19"/>
    </x:row>
    <x:row r="93" ht="36" customHeight="1">
      <x:c r="A93" s="23" t="n">
        <x:v>92</x:v>
      </x:c>
      <x:c r="B93" s="15" t="str">
        <x:v>All Florida Home Buyer</x:v>
      </x:c>
      <x:c r="C93" s="15"/>
      <x:c r="D93" s="15" t="str">
        <x:v>Property investor / home-buying operator</x:v>
      </x:c>
      <x:c r="E93" s="15" t="str">
        <x:v>Property investor / operator inquiry</x:v>
      </x:c>
      <x:c r="F93" s="17" t="str">
        <x:v>New</x:v>
      </x:c>
      <x:c r="G93" s="24"/>
      <x:c r="H93" s="24" t="str">
        <x:v>+18134000163</x:v>
      </x:c>
      <x:c r="I93" s="24" t="str">
        <x:v>https://www.allfloridahomebuyer.com/</x:v>
      </x:c>
      <x:c r="J93" s="16" t="str">
        <x:v>FL</x:v>
      </x:c>
      <x:c r="K93" s="16" t="str">
        <x:v>Tampa</x:v>
      </x:c>
      <x:c r="L93" s="16" t="str">
        <x:v>Public property-business route; investor decision maker unconfirmed</x:v>
      </x:c>
      <x:c r="M93" s="16" t="str">
        <x:v>https://www.allfloridahomebuyer.com/contact-us/</x:v>
      </x:c>
      <x:c r="N93" s="16" t="str">
        <x:v>$100K-$500K ticket not published / unconfirmed</x:v>
      </x:c>
      <x:c r="O93" s="20"/>
      <x:c r="P93" s="20"/>
      <x:c r="Q93" s="25" t="str">
        <x:v>No $100K-$500K corporate-investment ticket published in checked source</x:v>
      </x:c>
      <x:c r="R93" s="25" t="str">
        <x:v>Property acquisition or investor activity makes this an operator-capital prospect for the signed trial. Confirm operating-company debt/equity appetite.</x:v>
      </x:c>
      <x:c r="S93" s="25" t="str">
        <x:v>Corporate-investment ticket and appetite unconfirmed. Property-buying activity alone does not establish fit for funding 101XVC trial operating costs.</x:v>
      </x:c>
      <x:c r="T93" s="25" t="str">
        <x:v>Ask the owner/investor whether they can allocate $100K-$500K to trial marketing and acquisitions, and confirm structure, timing and decision authority.</x:v>
      </x:c>
      <x:c r="U93" s="25" t="str">
        <x:v>https://www.cashhomebuyersdirectory.com/cash-home-buyers/florida/tampa
https://www.allfloridahomebuyer.com/
https://www.allfloridahomebuyer.com/contact-us/</x:v>
      </x:c>
      <x:c r="V93" s="26" t="d">
        <x:v>2026-10-02T00:00:00.000Z</x:v>
      </x:c>
      <x:c r="W93" s="26" t="d">
        <x:v>2026-10-03T00:00:00.000Z</x:v>
      </x:c>
      <x:c r="X93" s="25" t="str">
        <x:v>Public investor directory; business role and contact ownership require qualification</x:v>
      </x:c>
      <x:c r="Y93" s="25"/>
      <x:c r="Z93" s="25" t="str">
        <x:v>https://www.cashhomebuyersdirectory.com/cash-home-buyers/florida/tampa</x:v>
      </x:c>
      <x:c r="AA93" s="25" t="str">
        <x:v>Public cash-home-buyer directory lists business name, phone and market. Directory entry may include brokers or service providers. Official website fetched; home-buying or investing activity stated.</x:v>
      </x:c>
      <x:c r="AB93" s="3" t="str">
        <x:v>New public-source collection</x:v>
      </x:c>
      <x:c r="AC93" s="3" t="str">
        <x:v>unverified</x:v>
      </x:c>
      <x:c r="AD93" s="3" t="str">
        <x:v>Not contacted / unconfirmed</x:v>
      </x:c>
      <x:c r="AE93" s="3" t="str">
        <x:v>Yes</x:v>
      </x:c>
      <x:c r="AF93" s="3" t="str">
        <x:v>Yes</x:v>
      </x:c>
      <x:c r="AG93" s="3"/>
      <x:c r="AH93" s="3"/>
      <x:c r="AI93" s="18"/>
      <x:c r="AJ93" s="3" t="str">
        <x:v>CF2500-A7239D6B8A46</x:v>
      </x:c>
      <x:c r="AK93" s="3" t="str">
        <x:v>Property investor / home-buying operator prospect</x:v>
      </x:c>
      <x:c r="AL93" s="19" t="n">
        <x:v>100000</x:v>
      </x:c>
      <x:c r="AM93" s="19" t="n">
        <x:v>500000</x:v>
      </x:c>
      <x:c r="AN93" s="3" t="str">
        <x:v>https://www.cashhomebuyersdirectory.com/cash-home-buyers/florida/tampa</x:v>
      </x:c>
      <x:c r="AO93" s="3" t="str">
        <x:v>tx_fl_investors.jsonl</x:v>
      </x:c>
      <x:c r="AP93" s="19"/>
    </x:row>
    <x:row r="94" ht="36" customHeight="1">
      <x:c r="A94" s="23" t="n">
        <x:v>93</x:v>
      </x:c>
      <x:c r="B94" s="15" t="str">
        <x:v>American Home Buyer</x:v>
      </x:c>
      <x:c r="C94" s="15"/>
      <x:c r="D94" s="15" t="str">
        <x:v>Property investor / home-buying operator</x:v>
      </x:c>
      <x:c r="E94" s="15" t="str">
        <x:v>Property investor / operator inquiry</x:v>
      </x:c>
      <x:c r="F94" s="17" t="str">
        <x:v>New</x:v>
      </x:c>
      <x:c r="G94" s="24"/>
      <x:c r="H94" s="24" t="str">
        <x:v>+17132559850</x:v>
      </x:c>
      <x:c r="I94" s="24" t="str">
        <x:v>https://www.americanhomebuyer.us/</x:v>
      </x:c>
      <x:c r="J94" s="16" t="str">
        <x:v>TX</x:v>
      </x:c>
      <x:c r="K94" s="16" t="str">
        <x:v>Houston</x:v>
      </x:c>
      <x:c r="L94" s="16" t="str">
        <x:v>Public property-business route; investor decision maker unconfirmed</x:v>
      </x:c>
      <x:c r="M94" s="16" t="str">
        <x:v>https://www.americanhomebuyer.us/contact-us/</x:v>
      </x:c>
      <x:c r="N94" s="16" t="str">
        <x:v>$100K-$500K ticket not published / unconfirmed</x:v>
      </x:c>
      <x:c r="O94" s="20"/>
      <x:c r="P94" s="20"/>
      <x:c r="Q94" s="25" t="str">
        <x:v>No $100K-$500K corporate-investment ticket published in checked source</x:v>
      </x:c>
      <x:c r="R94" s="25" t="str">
        <x:v>Property acquisition or investor activity makes this an operator-capital prospect for the signed trial. Confirm operating-company debt/equity appetite.</x:v>
      </x:c>
      <x:c r="S94" s="25" t="str">
        <x:v>Corporate-investment ticket and appetite unconfirmed. Property-buying activity alone does not establish fit for funding 101XVC trial operating costs.</x:v>
      </x:c>
      <x:c r="T94" s="25" t="str">
        <x:v>Ask the owner/investor whether they can allocate $100K-$500K to trial marketing and acquisitions, and confirm structure, timing and decision authority.</x:v>
      </x:c>
      <x:c r="U94" s="25" t="str">
        <x:v>https://www.cashhomebuyersdirectory.com/cash-home-buyers/texas/houston
https://www.americanhomebuyer.us/
https://www.americanhomebuyer.us/contact-us/</x:v>
      </x:c>
      <x:c r="V94" s="26" t="d">
        <x:v>2026-10-02T00:00:00.000Z</x:v>
      </x:c>
      <x:c r="W94" s="26" t="d">
        <x:v>2026-10-03T00:00:00.000Z</x:v>
      </x:c>
      <x:c r="X94" s="25" t="str">
        <x:v>Public investor directory; business role and contact ownership require qualification</x:v>
      </x:c>
      <x:c r="Y94" s="25"/>
      <x:c r="Z94" s="25" t="str">
        <x:v>https://www.cashhomebuyersdirectory.com/cash-home-buyers/texas/houston</x:v>
      </x:c>
      <x:c r="AA94" s="25" t="str">
        <x:v>Public cash-home-buyer directory lists business name, phone and market. Directory entry may include brokers or service providers. Official website fetched; home-buying or investing activity stated.</x:v>
      </x:c>
      <x:c r="AB94" s="3" t="str">
        <x:v>New public-source collection</x:v>
      </x:c>
      <x:c r="AC94" s="3" t="str">
        <x:v>unverified</x:v>
      </x:c>
      <x:c r="AD94" s="3" t="str">
        <x:v>Not contacted / unconfirmed</x:v>
      </x:c>
      <x:c r="AE94" s="3" t="str">
        <x:v>Yes</x:v>
      </x:c>
      <x:c r="AF94" s="3" t="str">
        <x:v>No</x:v>
      </x:c>
      <x:c r="AG94" s="3"/>
      <x:c r="AH94" s="3"/>
      <x:c r="AI94" s="18"/>
      <x:c r="AJ94" s="3" t="str">
        <x:v>CF2500-8DF481FECA64</x:v>
      </x:c>
      <x:c r="AK94" s="3" t="str">
        <x:v>Property investor / home-buying operator prospect</x:v>
      </x:c>
      <x:c r="AL94" s="19" t="n">
        <x:v>100000</x:v>
      </x:c>
      <x:c r="AM94" s="19" t="n">
        <x:v>500000</x:v>
      </x:c>
      <x:c r="AN94" s="3" t="str">
        <x:v>https://www.cashhomebuyersdirectory.com/cash-home-buyers/texas/houston</x:v>
      </x:c>
      <x:c r="AO94" s="3" t="str">
        <x:v>tx_fl_investors.jsonl</x:v>
      </x:c>
      <x:c r="AP94" s="19"/>
    </x:row>
    <x:row r="95" ht="36" customHeight="1">
      <x:c r="A95" s="23" t="n">
        <x:v>94</x:v>
      </x:c>
      <x:c r="B95" s="15" t="str">
        <x:v>Amigos House Buyer</x:v>
      </x:c>
      <x:c r="C95" s="15"/>
      <x:c r="D95" s="15" t="str">
        <x:v>Property investor / home-buying operator</x:v>
      </x:c>
      <x:c r="E95" s="15" t="str">
        <x:v>Property investor / operator inquiry</x:v>
      </x:c>
      <x:c r="F95" s="17" t="str">
        <x:v>New</x:v>
      </x:c>
      <x:c r="G95" s="24"/>
      <x:c r="H95" s="24" t="str">
        <x:v>+18636603118</x:v>
      </x:c>
      <x:c r="I95" s="24" t="str">
        <x:v>https://www.amigoshousebuyer.com/</x:v>
      </x:c>
      <x:c r="J95" s="16" t="str">
        <x:v>FL</x:v>
      </x:c>
      <x:c r="K95" s="16" t="str">
        <x:v>Tampa</x:v>
      </x:c>
      <x:c r="L95" s="16" t="str">
        <x:v>Public property-business route; investor decision maker unconfirmed</x:v>
      </x:c>
      <x:c r="M95" s="16" t="str">
        <x:v>https://www.amigoshousebuyer.com/</x:v>
      </x:c>
      <x:c r="N95" s="16" t="str">
        <x:v>$100K-$500K ticket not published / unconfirmed</x:v>
      </x:c>
      <x:c r="O95" s="20"/>
      <x:c r="P95" s="20"/>
      <x:c r="Q95" s="25" t="str">
        <x:v>No $100K-$500K corporate-investment ticket published in checked source</x:v>
      </x:c>
      <x:c r="R95" s="25" t="str">
        <x:v>Property acquisition or investor activity makes this an operator-capital prospect for the signed trial. Confirm operating-company debt/equity appetite.</x:v>
      </x:c>
      <x:c r="S95" s="25" t="str">
        <x:v>Corporate-investment ticket and appetite unconfirmed. Property-buying activity alone does not establish fit for funding 101XVC trial operating costs.</x:v>
      </x:c>
      <x:c r="T95" s="25" t="str">
        <x:v>Ask the owner/investor whether they can allocate $100K-$500K to trial marketing and acquisitions, and confirm structure, timing and decision authority.</x:v>
      </x:c>
      <x:c r="U95" s="25" t="str">
        <x:v>https://www.cashhomebuyersdirectory.com/cash-home-buyers/florida/tampa
https://www.amigoshousebuyer.com/</x:v>
      </x:c>
      <x:c r="V95" s="26" t="d">
        <x:v>2026-10-02T00:00:00.000Z</x:v>
      </x:c>
      <x:c r="W95" s="26" t="d">
        <x:v>2026-10-03T00:00:00.000Z</x:v>
      </x:c>
      <x:c r="X95" s="25" t="str">
        <x:v>Public investor directory; business role and contact ownership require qualification</x:v>
      </x:c>
      <x:c r="Y95" s="25"/>
      <x:c r="Z95" s="25" t="str">
        <x:v>https://www.cashhomebuyersdirectory.com/cash-home-buyers/florida/tampa</x:v>
      </x:c>
      <x:c r="AA95" s="25" t="str">
        <x:v>Public cash-home-buyer directory lists business name, phone and market. Directory entry may include brokers or service providers. Official website fetched; home-buying or investing activity stated.</x:v>
      </x:c>
      <x:c r="AB95" s="3" t="str">
        <x:v>New public-source collection</x:v>
      </x:c>
      <x:c r="AC95" s="3" t="str">
        <x:v>unverified</x:v>
      </x:c>
      <x:c r="AD95" s="3" t="str">
        <x:v>Not contacted / unconfirmed</x:v>
      </x:c>
      <x:c r="AE95" s="3" t="str">
        <x:v>Yes</x:v>
      </x:c>
      <x:c r="AF95" s="3" t="str">
        <x:v>Yes</x:v>
      </x:c>
      <x:c r="AG95" s="3"/>
      <x:c r="AH95" s="3"/>
      <x:c r="AI95" s="18"/>
      <x:c r="AJ95" s="3" t="str">
        <x:v>CF2500-E269BB8A2D37</x:v>
      </x:c>
      <x:c r="AK95" s="3" t="str">
        <x:v>Property investor / home-buying operator prospect</x:v>
      </x:c>
      <x:c r="AL95" s="19" t="n">
        <x:v>100000</x:v>
      </x:c>
      <x:c r="AM95" s="19" t="n">
        <x:v>500000</x:v>
      </x:c>
      <x:c r="AN95" s="3" t="str">
        <x:v>https://www.cashhomebuyersdirectory.com/cash-home-buyers/florida/tampa</x:v>
      </x:c>
      <x:c r="AO95" s="3" t="str">
        <x:v>tx_fl_investors.jsonl</x:v>
      </x:c>
      <x:c r="AP95" s="19"/>
    </x:row>
    <x:row r="96" ht="36" customHeight="1">
      <x:c r="A96" s="23" t="n">
        <x:v>95</x:v>
      </x:c>
      <x:c r="B96" s="15" t="str">
        <x:v>Amroc Homes, LLC</x:v>
      </x:c>
      <x:c r="C96" s="15"/>
      <x:c r="D96" s="15" t="str">
        <x:v>Property investor / home-buying operator</x:v>
      </x:c>
      <x:c r="E96" s="15" t="str">
        <x:v>Property investor / operator inquiry</x:v>
      </x:c>
      <x:c r="F96" s="17" t="str">
        <x:v>New</x:v>
      </x:c>
      <x:c r="G96" s="24"/>
      <x:c r="H96" s="24" t="str">
        <x:v>+18325008246</x:v>
      </x:c>
      <x:c r="I96" s="24" t="str">
        <x:v>https://amroc-homes.com/home</x:v>
      </x:c>
      <x:c r="J96" s="16" t="str">
        <x:v>TX</x:v>
      </x:c>
      <x:c r="K96" s="16" t="str">
        <x:v>Houston</x:v>
      </x:c>
      <x:c r="L96" s="16" t="str">
        <x:v>Public property-business route; investor decision maker unconfirmed</x:v>
      </x:c>
      <x:c r="M96" s="16" t="str">
        <x:v>https://amroc-homes.com/contact-us</x:v>
      </x:c>
      <x:c r="N96" s="16" t="str">
        <x:v>$100K-$500K ticket not published / unconfirmed</x:v>
      </x:c>
      <x:c r="O96" s="20"/>
      <x:c r="P96" s="20"/>
      <x:c r="Q96" s="25" t="str">
        <x:v>No $100K-$500K corporate-investment ticket published in checked source</x:v>
      </x:c>
      <x:c r="R96" s="25" t="str">
        <x:v>Property acquisition or investor activity makes this an operator-capital prospect for the signed trial. Confirm operating-company debt/equity appetite.</x:v>
      </x:c>
      <x:c r="S96" s="25" t="str">
        <x:v>Corporate-investment ticket and appetite unconfirmed. Property-buying activity alone does not establish fit for funding 101XVC trial operating costs.</x:v>
      </x:c>
      <x:c r="T96" s="25" t="str">
        <x:v>Ask the owner/investor whether they can allocate $100K-$500K to trial marketing and acquisitions, and confirm structure, timing and decision authority.</x:v>
      </x:c>
      <x:c r="U96" s="25" t="str">
        <x:v>https://www.cashhomebuyersdirectory.com/cash-home-buyers/texas/houston
https://amroc-homes.com/home
https://amroc-homes.com/contact-us</x:v>
      </x:c>
      <x:c r="V96" s="26" t="d">
        <x:v>2026-10-02T00:00:00.000Z</x:v>
      </x:c>
      <x:c r="W96" s="26" t="d">
        <x:v>2026-10-03T00:00:00.000Z</x:v>
      </x:c>
      <x:c r="X96" s="25" t="str">
        <x:v>Public investor directory; business role and contact ownership require qualification</x:v>
      </x:c>
      <x:c r="Y96" s="25"/>
      <x:c r="Z96" s="25" t="str">
        <x:v>https://www.cashhomebuyersdirectory.com/cash-home-buyers/texas/houston</x:v>
      </x:c>
      <x:c r="AA96" s="25" t="str">
        <x:v>Public cash-home-buyer directory lists business name, phone and market. Directory entry may include brokers or service providers. Official website fetched; home-buying or investing activity stated.</x:v>
      </x:c>
      <x:c r="AB96" s="3" t="str">
        <x:v>New public-source collection</x:v>
      </x:c>
      <x:c r="AC96" s="3" t="str">
        <x:v>unverified</x:v>
      </x:c>
      <x:c r="AD96" s="3" t="str">
        <x:v>Not contacted / unconfirmed</x:v>
      </x:c>
      <x:c r="AE96" s="3" t="str">
        <x:v>Yes</x:v>
      </x:c>
      <x:c r="AF96" s="3" t="str">
        <x:v>Yes</x:v>
      </x:c>
      <x:c r="AG96" s="3"/>
      <x:c r="AH96" s="3"/>
      <x:c r="AI96" s="18"/>
      <x:c r="AJ96" s="3" t="str">
        <x:v>CF2500-F2F1E34209F2</x:v>
      </x:c>
      <x:c r="AK96" s="3" t="str">
        <x:v>Property investor / home-buying operator prospect</x:v>
      </x:c>
      <x:c r="AL96" s="19" t="n">
        <x:v>100000</x:v>
      </x:c>
      <x:c r="AM96" s="19" t="n">
        <x:v>500000</x:v>
      </x:c>
      <x:c r="AN96" s="3" t="str">
        <x:v>https://www.cashhomebuyersdirectory.com/cash-home-buyers/texas/houston</x:v>
      </x:c>
      <x:c r="AO96" s="3" t="str">
        <x:v>tx_fl_investors.jsonl</x:v>
      </x:c>
      <x:c r="AP96" s="19"/>
    </x:row>
    <x:row r="97" ht="36" customHeight="1">
      <x:c r="A97" s="23" t="n">
        <x:v>96</x:v>
      </x:c>
      <x:c r="B97" s="15" t="str">
        <x:v>Applegate Home Buyers</x:v>
      </x:c>
      <x:c r="C97" s="15"/>
      <x:c r="D97" s="15" t="str">
        <x:v>Property investor / home-buying operator</x:v>
      </x:c>
      <x:c r="E97" s="15" t="str">
        <x:v>Property investor / operator inquiry</x:v>
      </x:c>
      <x:c r="F97" s="17" t="str">
        <x:v>New</x:v>
      </x:c>
      <x:c r="G97" s="24"/>
      <x:c r="H97" s="24" t="str">
        <x:v>+14806604329</x:v>
      </x:c>
      <x:c r="I97" s="24" t="str">
        <x:v>https://applegatehomes.com/</x:v>
      </x:c>
      <x:c r="J97" s="16" t="str">
        <x:v>AZ</x:v>
      </x:c>
      <x:c r="K97" s="16"/>
      <x:c r="L97" s="16" t="str">
        <x:v>Public property-business route; investor decision maker unconfirmed</x:v>
      </x:c>
      <x:c r="M97" s="16" t="str">
        <x:v>https://applegatehomes.com/</x:v>
      </x:c>
      <x:c r="N97" s="16" t="str">
        <x:v>$100K-$500K ticket not published / unconfirmed</x:v>
      </x:c>
      <x:c r="O97" s="20"/>
      <x:c r="P97" s="20"/>
      <x:c r="Q97" s="25" t="str">
        <x:v>No $100K-$500K operating-company investment ticket verified</x:v>
      </x:c>
      <x:c r="R97" s="25" t="str">
        <x:v>Property acquisition or investor activity makes this an operator-capital prospect for the signed trial. Confirm operating-company debt/equity appetite.</x:v>
      </x:c>
      <x:c r="S97" s="25" t="str">
        <x:v>Public property-buying activity or a directory listing does not establish available cash, investing decision-maker, current $100K-$500K capacity, or willingness to fund 101XVC operating costs.</x:v>
      </x:c>
      <x:c r="T97" s="25" t="str">
        <x:v>Ask the owner/investor whether they can allocate $100K-$500K to trial marketing and acquisitions, and confirm structure, timing and decision authority.</x:v>
      </x:c>
      <x:c r="U97" s="25" t="str">
        <x:v>https://www.cashhomebuyersdirectory.com/cash-home-buyers/arizona/mesa
https://applegatehomes.com/</x:v>
      </x:c>
      <x:c r="V97" s="26" t="d">
        <x:v>2026-10-02T00:00:00.000Z</x:v>
      </x:c>
      <x:c r="W97" s="26" t="d">
        <x:v>2026-10-02T00:00:00.000Z</x:v>
      </x:c>
      <x:c r="X97" s="25" t="str">
        <x:v>Public investor directory; business role and contact ownership require qualification</x:v>
      </x:c>
      <x:c r="Y97" s="25"/>
      <x:c r="Z97" s="25" t="str">
        <x:v>https://www.cashhomebuyersdirectory.com/cash-home-buyers/arizona/mesa</x:v>
      </x:c>
      <x:c r="AA97" s="25" t="str">
        <x:v>Public cash-home-buyer directory lists business name, phone and market. Directory entry may include brokers or service providers. Official website fetched; home-buying or investing activity stated.</x:v>
      </x:c>
      <x:c r="AB97" s="3" t="str">
        <x:v>New public-source collection</x:v>
      </x:c>
      <x:c r="AC97" s="3" t="str">
        <x:v>unverified</x:v>
      </x:c>
      <x:c r="AD97" s="3" t="str">
        <x:v>Not contacted / unconfirmed</x:v>
      </x:c>
      <x:c r="AE97" s="3" t="str">
        <x:v>Yes</x:v>
      </x:c>
      <x:c r="AF97" s="3" t="str">
        <x:v>Yes</x:v>
      </x:c>
      <x:c r="AG97" s="3"/>
      <x:c r="AH97" s="3"/>
      <x:c r="AI97" s="18"/>
      <x:c r="AJ97" s="3" t="str">
        <x:v>CF2500-DB909755C091</x:v>
      </x:c>
      <x:c r="AK97" s="3" t="str">
        <x:v>Property investor / home-buying operator prospect</x:v>
      </x:c>
      <x:c r="AL97" s="19" t="n">
        <x:v>100000</x:v>
      </x:c>
      <x:c r="AM97" s="19" t="n">
        <x:v>500000</x:v>
      </x:c>
      <x:c r="AN97" s="3" t="str">
        <x:v>https://www.cashhomebuyersdirectory.com/cash-home-buyers/arizona/mesa</x:v>
      </x:c>
      <x:c r="AO97" s="3" t="str">
        <x:v>nc_il_az_co_investors.jsonl</x:v>
      </x:c>
      <x:c r="AP97" s="19"/>
    </x:row>
    <x:row r="98" ht="36" customHeight="1">
      <x:c r="A98" s="23" t="n">
        <x:v>97</x:v>
      </x:c>
      <x:c r="B98" s="15" t="str">
        <x:v>As-is House Buyers LLC</x:v>
      </x:c>
      <x:c r="C98" s="15"/>
      <x:c r="D98" s="15" t="str">
        <x:v>Property investor / home-buying operator</x:v>
      </x:c>
      <x:c r="E98" s="15" t="str">
        <x:v>Property investor / operator inquiry</x:v>
      </x:c>
      <x:c r="F98" s="17" t="str">
        <x:v>New</x:v>
      </x:c>
      <x:c r="G98" s="24"/>
      <x:c r="H98" s="24" t="str">
        <x:v>+13612736166</x:v>
      </x:c>
      <x:c r="I98" s="24" t="str">
        <x:v>https://asisbuyscc.com/</x:v>
      </x:c>
      <x:c r="J98" s="16" t="str">
        <x:v>TX</x:v>
      </x:c>
      <x:c r="K98" s="16" t="str">
        <x:v>Corpus Christi</x:v>
      </x:c>
      <x:c r="L98" s="16" t="str">
        <x:v>Public property-business route; investor decision maker unconfirmed</x:v>
      </x:c>
      <x:c r="M98" s="16" t="str">
        <x:v>https://asisbuyscc.com/contact-us/</x:v>
      </x:c>
      <x:c r="N98" s="16" t="str">
        <x:v>$100K-$500K ticket not published / unconfirmed</x:v>
      </x:c>
      <x:c r="O98" s="20"/>
      <x:c r="P98" s="20"/>
      <x:c r="Q98" s="25" t="str">
        <x:v>No $100K-$500K corporate-investment ticket published in checked source</x:v>
      </x:c>
      <x:c r="R98" s="25" t="str">
        <x:v>Property acquisition or investor activity makes this an operator-capital prospect for the signed trial. Confirm operating-company debt/equity appetite.</x:v>
      </x:c>
      <x:c r="S98" s="25" t="str">
        <x:v>Corporate-investment ticket and appetite unconfirmed. Property-buying activity alone does not establish fit for funding 101XVC trial operating costs.</x:v>
      </x:c>
      <x:c r="T98" s="25" t="str">
        <x:v>Ask the owner/investor whether they can allocate $100K-$500K to trial marketing and acquisitions, and confirm structure, timing and decision authority.</x:v>
      </x:c>
      <x:c r="U98" s="25" t="str">
        <x:v>https://www.cashhomebuyersdirectory.com/cash-home-buyers/texas/corpus-christi
https://asisbuyscc.com/
https://asisbuyscc.com/contact-us/</x:v>
      </x:c>
      <x:c r="V98" s="26" t="d">
        <x:v>2026-10-02T00:00:00.000Z</x:v>
      </x:c>
      <x:c r="W98" s="26" t="d">
        <x:v>2026-10-03T00:00:00.000Z</x:v>
      </x:c>
      <x:c r="X98" s="25" t="str">
        <x:v>Public investor directory; business role and contact ownership require qualification</x:v>
      </x:c>
      <x:c r="Y98" s="25"/>
      <x:c r="Z98" s="25" t="str">
        <x:v>https://www.cashhomebuyersdirectory.com/cash-home-buyers/texas/corpus-christi</x:v>
      </x:c>
      <x:c r="AA98" s="25" t="str">
        <x:v>Public cash-home-buyer directory lists business name, phone and market. Directory entry may include brokers or service providers. Official website fetched; home-buying or investing activity stated.</x:v>
      </x:c>
      <x:c r="AB98" s="3" t="str">
        <x:v>New public-source collection</x:v>
      </x:c>
      <x:c r="AC98" s="3" t="str">
        <x:v>unverified</x:v>
      </x:c>
      <x:c r="AD98" s="3" t="str">
        <x:v>Not contacted / unconfirmed</x:v>
      </x:c>
      <x:c r="AE98" s="3" t="str">
        <x:v>Yes</x:v>
      </x:c>
      <x:c r="AF98" s="3" t="str">
        <x:v>Yes</x:v>
      </x:c>
      <x:c r="AG98" s="3"/>
      <x:c r="AH98" s="3"/>
      <x:c r="AI98" s="18"/>
      <x:c r="AJ98" s="3" t="str">
        <x:v>CF2500-82C97B896749</x:v>
      </x:c>
      <x:c r="AK98" s="3" t="str">
        <x:v>Property investor / home-buying operator prospect</x:v>
      </x:c>
      <x:c r="AL98" s="19" t="n">
        <x:v>100000</x:v>
      </x:c>
      <x:c r="AM98" s="19" t="n">
        <x:v>500000</x:v>
      </x:c>
      <x:c r="AN98" s="3" t="str">
        <x:v>https://www.cashhomebuyersdirectory.com/cash-home-buyers/texas/corpus-christi</x:v>
      </x:c>
      <x:c r="AO98" s="3" t="str">
        <x:v>tx_fl_investors.jsonl</x:v>
      </x:c>
      <x:c r="AP98" s="19"/>
    </x:row>
    <x:row r="99" ht="36" customHeight="1">
      <x:c r="A99" s="23" t="n">
        <x:v>98</x:v>
      </x:c>
      <x:c r="B99" s="15" t="str">
        <x:v>Asset Resolution Partners</x:v>
      </x:c>
      <x:c r="C99" s="15"/>
      <x:c r="D99" s="15" t="str">
        <x:v>Property investor / home-buying operator</x:v>
      </x:c>
      <x:c r="E99" s="15" t="str">
        <x:v>Property investor / operator inquiry</x:v>
      </x:c>
      <x:c r="F99" s="17" t="str">
        <x:v>New</x:v>
      </x:c>
      <x:c r="G99" s="24"/>
      <x:c r="H99" s="24" t="str">
        <x:v>+12104753545</x:v>
      </x:c>
      <x:c r="I99" s="24" t="str">
        <x:v>https://arpusa.com/</x:v>
      </x:c>
      <x:c r="J99" s="16" t="str">
        <x:v>TX</x:v>
      </x:c>
      <x:c r="K99" s="16" t="str">
        <x:v>San Antonio</x:v>
      </x:c>
      <x:c r="L99" s="16" t="str">
        <x:v>Public property-business route; investor decision maker unconfirmed</x:v>
      </x:c>
      <x:c r="M99" s="16" t="str">
        <x:v>https://arpusa.com/</x:v>
      </x:c>
      <x:c r="N99" s="16" t="str">
        <x:v>$100K-$500K ticket not published / unconfirmed</x:v>
      </x:c>
      <x:c r="O99" s="20"/>
      <x:c r="P99" s="20"/>
      <x:c r="Q99" s="25" t="str">
        <x:v>No $100K-$500K corporate-investment ticket published in checked source</x:v>
      </x:c>
      <x:c r="R99" s="25" t="str">
        <x:v>Property acquisition or investor activity makes this an operator-capital prospect for the signed trial. Confirm operating-company debt/equity appetite.</x:v>
      </x:c>
      <x:c r="S99" s="25" t="str">
        <x:v>Corporate-investment ticket and appetite unconfirmed. Property-buying activity alone does not establish fit for funding 101XVC trial operating costs.</x:v>
      </x:c>
      <x:c r="T99" s="25" t="str">
        <x:v>Ask the owner/investor whether they can allocate $100K-$500K to trial marketing and acquisitions, and confirm structure, timing and decision authority.</x:v>
      </x:c>
      <x:c r="U99" s="25" t="str">
        <x:v>https://www.cashhomebuyersdirectory.com/cash-home-buyers/texas/san-antonio
https://arpusa.com/</x:v>
      </x:c>
      <x:c r="V99" s="26" t="d">
        <x:v>2026-10-02T00:00:00.000Z</x:v>
      </x:c>
      <x:c r="W99" s="26" t="d">
        <x:v>2026-10-03T00:00:00.000Z</x:v>
      </x:c>
      <x:c r="X99" s="25" t="str">
        <x:v>Public investor directory; business role and contact ownership require qualification</x:v>
      </x:c>
      <x:c r="Y99" s="25"/>
      <x:c r="Z99" s="25" t="str">
        <x:v>https://www.cashhomebuyersdirectory.com/cash-home-buyers/texas/san-antonio</x:v>
      </x:c>
      <x:c r="AA99" s="25" t="str">
        <x:v>Public cash-home-buyer directory lists business name, phone and market. Directory entry may include brokers or service providers. Official website fetched; investing role requires manual review. Primary website describes Texas property acquisitions and resolving complex ownership situations.</x:v>
      </x:c>
      <x:c r="AB99" s="3" t="str">
        <x:v>New public-source collection</x:v>
      </x:c>
      <x:c r="AC99" s="3" t="str">
        <x:v>unverified</x:v>
      </x:c>
      <x:c r="AD99" s="3" t="str">
        <x:v>Not contacted / unconfirmed</x:v>
      </x:c>
      <x:c r="AE99" s="3" t="str">
        <x:v>Yes</x:v>
      </x:c>
      <x:c r="AF99" s="3" t="str">
        <x:v>No</x:v>
      </x:c>
      <x:c r="AG99" s="3"/>
      <x:c r="AH99" s="3"/>
      <x:c r="AI99" s="18"/>
      <x:c r="AJ99" s="3" t="str">
        <x:v>CF2500-840EBC4550B6</x:v>
      </x:c>
      <x:c r="AK99" s="3" t="str">
        <x:v>Property investor / home-buying operator prospect</x:v>
      </x:c>
      <x:c r="AL99" s="19" t="n">
        <x:v>100000</x:v>
      </x:c>
      <x:c r="AM99" s="19" t="n">
        <x:v>500000</x:v>
      </x:c>
      <x:c r="AN99" s="3" t="str">
        <x:v>https://www.cashhomebuyersdirectory.com/cash-home-buyers/texas/san-antonio</x:v>
      </x:c>
      <x:c r="AO99" s="3" t="str">
        <x:v>tx_fl_investors.jsonl</x:v>
      </x:c>
      <x:c r="AP99" s="19"/>
    </x:row>
    <x:row r="100" ht="36" customHeight="1">
      <x:c r="A100" s="23" t="n">
        <x:v>99</x:v>
      </x:c>
      <x:c r="B100" s="15" t="str">
        <x:v>Austin Home Buyers</x:v>
      </x:c>
      <x:c r="C100" s="15"/>
      <x:c r="D100" s="15" t="str">
        <x:v>Property investor / home-buying operator</x:v>
      </x:c>
      <x:c r="E100" s="15" t="str">
        <x:v>Property investor / operator inquiry</x:v>
      </x:c>
      <x:c r="F100" s="17" t="str">
        <x:v>New</x:v>
      </x:c>
      <x:c r="G100" s="24"/>
      <x:c r="H100" s="24" t="str">
        <x:v>+15124992006</x:v>
      </x:c>
      <x:c r="I100" s="24" t="str">
        <x:v>https://austinhomebuyers.net/</x:v>
      </x:c>
      <x:c r="J100" s="16" t="str">
        <x:v>TX</x:v>
      </x:c>
      <x:c r="K100" s="16"/>
      <x:c r="L100" s="16" t="str">
        <x:v>Public property-business route; investor decision maker unconfirmed</x:v>
      </x:c>
      <x:c r="M100" s="16" t="str">
        <x:v>https://austinhomebuyers.net/contact-us/</x:v>
      </x:c>
      <x:c r="N100" s="16" t="str">
        <x:v>$100K-$500K ticket not published / unconfirmed</x:v>
      </x:c>
      <x:c r="O100" s="20"/>
      <x:c r="P100" s="20"/>
      <x:c r="Q100" s="25" t="str">
        <x:v>No $100K-$500K corporate-investment ticket published in checked source</x:v>
      </x:c>
      <x:c r="R100" s="25" t="str">
        <x:v>Property acquisition or investor activity makes this an operator-capital prospect for the signed trial. Confirm operating-company debt/equity appetite.</x:v>
      </x:c>
      <x:c r="S100" s="25" t="str">
        <x:v>Corporate-investment ticket and appetite unconfirmed. Property-buying activity alone does not establish fit for funding 101XVC trial operating costs.</x:v>
      </x:c>
      <x:c r="T100" s="25" t="str">
        <x:v>Ask the owner/investor whether they can allocate $100K-$500K to trial marketing and acquisitions, and confirm structure, timing and decision authority.</x:v>
      </x:c>
      <x:c r="U100" s="25" t="str">
        <x:v>https://www.cashhomebuyersdirectory.com/cash-home-buyers/texas/austin
https://austinhomebuyers.net/
https://austinhomebuyers.net/contact-us/</x:v>
      </x:c>
      <x:c r="V100" s="26" t="d">
        <x:v>2026-10-02T00:00:00.000Z</x:v>
      </x:c>
      <x:c r="W100" s="26" t="d">
        <x:v>2026-10-03T00:00:00.000Z</x:v>
      </x:c>
      <x:c r="X100" s="25" t="str">
        <x:v>Public investor directory; business role and contact ownership require qualification</x:v>
      </x:c>
      <x:c r="Y100" s="25"/>
      <x:c r="Z100" s="25" t="str">
        <x:v>https://www.cashhomebuyersdirectory.com/cash-home-buyers/texas/austin</x:v>
      </x:c>
      <x:c r="AA100" s="25" t="str">
        <x:v>Public cash-home-buyer directory lists business name, phone and market. Directory entry may include brokers or service providers. Official website fetched; home-buying or investing activity stated.</x:v>
      </x:c>
      <x:c r="AB100" s="3" t="str">
        <x:v>New public-source collection</x:v>
      </x:c>
      <x:c r="AC100" s="3" t="str">
        <x:v>unverified</x:v>
      </x:c>
      <x:c r="AD100" s="3" t="str">
        <x:v>Not contacted / unconfirmed</x:v>
      </x:c>
      <x:c r="AE100" s="3" t="str">
        <x:v>Yes</x:v>
      </x:c>
      <x:c r="AF100" s="3" t="str">
        <x:v>Yes</x:v>
      </x:c>
      <x:c r="AG100" s="3"/>
      <x:c r="AH100" s="3"/>
      <x:c r="AI100" s="18"/>
      <x:c r="AJ100" s="3" t="str">
        <x:v>CF2500-9C72B9284208</x:v>
      </x:c>
      <x:c r="AK100" s="3" t="str">
        <x:v>Property investor / home-buying operator prospect</x:v>
      </x:c>
      <x:c r="AL100" s="19" t="n">
        <x:v>100000</x:v>
      </x:c>
      <x:c r="AM100" s="19" t="n">
        <x:v>500000</x:v>
      </x:c>
      <x:c r="AN100" s="3" t="str">
        <x:v>https://www.cashhomebuyersdirectory.com/cash-home-buyers/texas/austin</x:v>
      </x:c>
      <x:c r="AO100" s="3" t="str">
        <x:v>tx_fl_investors.jsonl</x:v>
      </x:c>
      <x:c r="AP100" s="19"/>
    </x:row>
    <x:row r="101" ht="36" customHeight="1">
      <x:c r="A101" s="23" t="n">
        <x:v>100</x:v>
      </x:c>
      <x:c r="B101" s="15" t="str">
        <x:v>Austin House Buyer</x:v>
      </x:c>
      <x:c r="C101" s="15"/>
      <x:c r="D101" s="15" t="str">
        <x:v>Property investor / home-buying operator</x:v>
      </x:c>
      <x:c r="E101" s="15" t="str">
        <x:v>Property investor / operator inquiry</x:v>
      </x:c>
      <x:c r="F101" s="17" t="str">
        <x:v>New</x:v>
      </x:c>
      <x:c r="G101" s="24"/>
      <x:c r="H101" s="24" t="str">
        <x:v>+15127770447</x:v>
      </x:c>
      <x:c r="I101" s="24" t="str">
        <x:v>https://austinhousebuyer.com/cash-offer-for-house-austin-tx/</x:v>
      </x:c>
      <x:c r="J101" s="16" t="str">
        <x:v>TX</x:v>
      </x:c>
      <x:c r="K101" s="16" t="str">
        <x:v>Austin</x:v>
      </x:c>
      <x:c r="L101" s="16" t="str">
        <x:v>Public property-business route; investor decision maker unconfirmed</x:v>
      </x:c>
      <x:c r="M101" s="16" t="str">
        <x:v>https://austinhousebuyer.com/cash-offer-for-house-austin-tx/</x:v>
      </x:c>
      <x:c r="N101" s="16" t="str">
        <x:v>$100K-$500K ticket not published / unconfirmed</x:v>
      </x:c>
      <x:c r="O101" s="20"/>
      <x:c r="P101" s="20"/>
      <x:c r="Q101" s="25" t="str">
        <x:v>No $100K-$500K corporate-investment ticket published in checked source</x:v>
      </x:c>
      <x:c r="R101" s="25" t="str">
        <x:v>Property acquisition or investor activity makes this an operator-capital prospect for the signed trial. Confirm operating-company debt/equity appetite.</x:v>
      </x:c>
      <x:c r="S101" s="25" t="str">
        <x:v>Corporate-investment ticket and appetite unconfirmed. Property-buying activity alone does not establish fit for funding 101XVC trial operating costs.</x:v>
      </x:c>
      <x:c r="T101" s="25" t="str">
        <x:v>Ask the owner/investor whether they can allocate $100K-$500K to trial marketing and acquisitions, and confirm structure, timing and decision authority.</x:v>
      </x:c>
      <x:c r="U101" s="25" t="str">
        <x:v>https://www.cashhomebuyersdirectory.com/cash-home-buyers/texas/austin
https://austinhousebuyer.com/cash-offer-for-house-austin-tx/</x:v>
      </x:c>
      <x:c r="V101" s="26" t="d">
        <x:v>2026-10-02T00:00:00.000Z</x:v>
      </x:c>
      <x:c r="W101" s="26" t="d">
        <x:v>2026-10-03T00:00:00.000Z</x:v>
      </x:c>
      <x:c r="X101" s="25" t="str">
        <x:v>Public investor directory; business role and contact ownership require qualification</x:v>
      </x:c>
      <x:c r="Y101" s="25"/>
      <x:c r="Z101" s="25" t="str">
        <x:v>https://www.cashhomebuyersdirectory.com/cash-home-buyers/texas/austin</x:v>
      </x:c>
      <x:c r="AA101" s="25" t="str">
        <x:v>Public cash-home-buyer directory lists business name, phone and market. Directory entry may include brokers or service providers. Official website fetched; home-buying or investing activity stated.</x:v>
      </x:c>
      <x:c r="AB101" s="3" t="str">
        <x:v>New public-source collection</x:v>
      </x:c>
      <x:c r="AC101" s="3" t="str">
        <x:v>unverified</x:v>
      </x:c>
      <x:c r="AD101" s="3" t="str">
        <x:v>Not contacted / unconfirmed</x:v>
      </x:c>
      <x:c r="AE101" s="3" t="str">
        <x:v>Yes</x:v>
      </x:c>
      <x:c r="AF101" s="3" t="str">
        <x:v>No</x:v>
      </x:c>
      <x:c r="AG101" s="3"/>
      <x:c r="AH101" s="3"/>
      <x:c r="AI101" s="18"/>
      <x:c r="AJ101" s="3" t="str">
        <x:v>CF2500-F27438601D84</x:v>
      </x:c>
      <x:c r="AK101" s="3" t="str">
        <x:v>Property investor / home-buying operator prospect</x:v>
      </x:c>
      <x:c r="AL101" s="19" t="n">
        <x:v>100000</x:v>
      </x:c>
      <x:c r="AM101" s="19" t="n">
        <x:v>500000</x:v>
      </x:c>
      <x:c r="AN101" s="3" t="str">
        <x:v>https://www.cashhomebuyersdirectory.com/cash-home-buyers/texas/austin</x:v>
      </x:c>
      <x:c r="AO101" s="3" t="str">
        <x:v>tx_fl_investors.jsonl</x:v>
      </x:c>
      <x:c r="AP101" s="19"/>
    </x:row>
    <x:row r="102" ht="36" customHeight="1">
      <x:c r="A102" s="23" t="n">
        <x:v>101</x:v>
      </x:c>
      <x:c r="B102" s="15" t="str">
        <x:v>Austin House Buyers Cash</x:v>
      </x:c>
      <x:c r="C102" s="15"/>
      <x:c r="D102" s="15" t="str">
        <x:v>Property investor / home-buying operator</x:v>
      </x:c>
      <x:c r="E102" s="15" t="str">
        <x:v>Property investor / operator inquiry</x:v>
      </x:c>
      <x:c r="F102" s="17" t="str">
        <x:v>New</x:v>
      </x:c>
      <x:c r="G102" s="24"/>
      <x:c r="H102" s="24" t="str">
        <x:v>+17379803536</x:v>
      </x:c>
      <x:c r="I102" s="24" t="str">
        <x:v>https://housebuyerscash.com/texas/we-buy-houses-austin/</x:v>
      </x:c>
      <x:c r="J102" s="16" t="str">
        <x:v>TX</x:v>
      </x:c>
      <x:c r="K102" s="16" t="str">
        <x:v>Austin</x:v>
      </x:c>
      <x:c r="L102" s="16" t="str">
        <x:v>Public property-business route; investor decision maker unconfirmed</x:v>
      </x:c>
      <x:c r="M102" s="16" t="str">
        <x:v>https://housebuyerscash.com/texas/we-buy-houses-austin/</x:v>
      </x:c>
      <x:c r="N102" s="16" t="str">
        <x:v>$100K-$500K ticket not published / unconfirmed</x:v>
      </x:c>
      <x:c r="O102" s="20"/>
      <x:c r="P102" s="20"/>
      <x:c r="Q102" s="25" t="str">
        <x:v>No $100K-$500K corporate-investment ticket published in checked source</x:v>
      </x:c>
      <x:c r="R102" s="25" t="str">
        <x:v>Property acquisition or investor activity makes this an operator-capital prospect for the signed trial. Confirm operating-company debt/equity appetite.</x:v>
      </x:c>
      <x:c r="S102" s="25" t="str">
        <x:v>Corporate-investment ticket and appetite unconfirmed. Property-buying activity alone does not establish fit for funding 101XVC trial operating costs.</x:v>
      </x:c>
      <x:c r="T102" s="25" t="str">
        <x:v>Ask the owner/investor whether they can allocate $100K-$500K to trial marketing and acquisitions, and confirm structure, timing and decision authority.</x:v>
      </x:c>
      <x:c r="U102" s="25" t="str">
        <x:v>https://www.cashhomebuyersdirectory.com/cash-home-buyers/texas/austin
https://housebuyerscash.com/texas/we-buy-houses-austin/
https://www.cashhomebuyersdirectory.com/cash-home-buyers/maryland/north-bethesda</x:v>
      </x:c>
      <x:c r="V102" s="26" t="d">
        <x:v>2026-10-02T00:00:00.000Z</x:v>
      </x:c>
      <x:c r="W102" s="26" t="d">
        <x:v>2026-10-03T00:00:00.000Z</x:v>
      </x:c>
      <x:c r="X102" s="25" t="str">
        <x:v>Public investor directory; business role and contact ownership require qualification</x:v>
      </x:c>
      <x:c r="Y102" s="25"/>
      <x:c r="Z102" s="25" t="str">
        <x:v>https://www.cashhomebuyersdirectory.com/cash-home-buyers/texas/austin</x:v>
      </x:c>
      <x:c r="AA102" s="25" t="str">
        <x:v>Public cash-home-buyer directory lists business name, phone and market. Directory entry may include brokers or service providers. Official website fetched; home-buying or investing activity stated.</x:v>
      </x:c>
      <x:c r="AB102" s="3" t="str">
        <x:v>New public-source collection</x:v>
      </x:c>
      <x:c r="AC102" s="3" t="str">
        <x:v>unverified</x:v>
      </x:c>
      <x:c r="AD102" s="3" t="str">
        <x:v>Not contacted / unconfirmed</x:v>
      </x:c>
      <x:c r="AE102" s="3" t="str">
        <x:v>Yes</x:v>
      </x:c>
      <x:c r="AF102" s="3" t="str">
        <x:v>No</x:v>
      </x:c>
      <x:c r="AG102" s="3"/>
      <x:c r="AH102" s="3" t="str">
        <x:v>House Buyers Cash</x:v>
      </x:c>
      <x:c r="AI102" s="18"/>
      <x:c r="AJ102" s="3" t="str">
        <x:v>CF2500-13408E5A001E</x:v>
      </x:c>
      <x:c r="AK102" s="3" t="str">
        <x:v>Property investor / home-buying operator prospect</x:v>
      </x:c>
      <x:c r="AL102" s="19" t="n">
        <x:v>100000</x:v>
      </x:c>
      <x:c r="AM102" s="19" t="n">
        <x:v>500000</x:v>
      </x:c>
      <x:c r="AN102" s="3" t="str">
        <x:v>https://www.cashhomebuyersdirectory.com/cash-home-buyers/texas/austin</x:v>
      </x:c>
      <x:c r="AO102" s="3" t="str">
        <x:v>tx_fl_investors.jsonl</x:v>
      </x:c>
      <x:c r="AP102" s="19"/>
    </x:row>
    <x:row r="103" ht="36" customHeight="1">
      <x:c r="A103" s="23" t="n">
        <x:v>102</x:v>
      </x:c>
      <x:c r="B103" s="15" t="str">
        <x:v>Axiom Home Investments</x:v>
      </x:c>
      <x:c r="C103" s="15"/>
      <x:c r="D103" s="15" t="str">
        <x:v>Property investor / home-buying operator</x:v>
      </x:c>
      <x:c r="E103" s="15" t="str">
        <x:v>Property investor / operator inquiry</x:v>
      </x:c>
      <x:c r="F103" s="17" t="str">
        <x:v>New</x:v>
      </x:c>
      <x:c r="G103" s="24"/>
      <x:c r="H103" s="24" t="str">
        <x:v>+18557643822</x:v>
      </x:c>
      <x:c r="I103" s="24" t="str">
        <x:v>https://axiomhome.us/</x:v>
      </x:c>
      <x:c r="J103" s="16" t="str">
        <x:v>IL</x:v>
      </x:c>
      <x:c r="K103" s="16" t="str">
        <x:v>Naperville</x:v>
      </x:c>
      <x:c r="L103" s="16" t="str">
        <x:v>Public property-business route; investor decision maker unconfirmed</x:v>
      </x:c>
      <x:c r="M103" s="16" t="str">
        <x:v>https://axiomhome.us/</x:v>
      </x:c>
      <x:c r="N103" s="16" t="str">
        <x:v>$100K-$500K ticket not published / unconfirmed</x:v>
      </x:c>
      <x:c r="O103" s="20"/>
      <x:c r="P103" s="20"/>
      <x:c r="Q103" s="25" t="str">
        <x:v>No $100K-$500K operating-company investment ticket verified</x:v>
      </x:c>
      <x:c r="R103" s="25" t="str">
        <x:v>Property acquisition or investor activity makes this an operator-capital prospect for the signed trial. Confirm operating-company debt/equity appetite.</x:v>
      </x:c>
      <x:c r="S103" s="25" t="str">
        <x:v>Public property-buying activity or a directory listing does not establish available cash, investing decision-maker, current $100K-$500K capacity, or willingness to fund 101XVC operating costs.</x:v>
      </x:c>
      <x:c r="T103" s="25" t="str">
        <x:v>Ask the owner/investor whether they can allocate $100K-$500K to trial marketing and acquisitions, and confirm structure, timing and decision authority.</x:v>
      </x:c>
      <x:c r="U103" s="25" t="str">
        <x:v>https://www.cashhomebuyersdirectory.com/cash-home-buyers/illinois/naperville
https://axiomhome.us/</x:v>
      </x:c>
      <x:c r="V103" s="26" t="d">
        <x:v>2026-10-02T00:00:00.000Z</x:v>
      </x:c>
      <x:c r="W103" s="26" t="d">
        <x:v>2026-10-02T00:00:00.000Z</x:v>
      </x:c>
      <x:c r="X103" s="25" t="str">
        <x:v>Public investor directory; business role and contact ownership require qualification</x:v>
      </x:c>
      <x:c r="Y103" s="25"/>
      <x:c r="Z103" s="25" t="str">
        <x:v>https://www.cashhomebuyersdirectory.com/cash-home-buyers/illinois/naperville</x:v>
      </x:c>
      <x:c r="AA103" s="25" t="str">
        <x:v>Public cash-home-buyer directory lists business name, phone and market. Directory entry may include brokers or service providers. Official website fetched; home-buying or investing activity stated.</x:v>
      </x:c>
      <x:c r="AB103" s="3" t="str">
        <x:v>New public-source collection</x:v>
      </x:c>
      <x:c r="AC103" s="3" t="str">
        <x:v>unverified</x:v>
      </x:c>
      <x:c r="AD103" s="3" t="str">
        <x:v>Not contacted / unconfirmed</x:v>
      </x:c>
      <x:c r="AE103" s="3" t="str">
        <x:v>Yes</x:v>
      </x:c>
      <x:c r="AF103" s="3" t="str">
        <x:v>Yes</x:v>
      </x:c>
      <x:c r="AG103" s="3"/>
      <x:c r="AH103" s="3"/>
      <x:c r="AI103" s="18"/>
      <x:c r="AJ103" s="3" t="str">
        <x:v>CF2500-35CC8246AC98</x:v>
      </x:c>
      <x:c r="AK103" s="3" t="str">
        <x:v>Property investor / home-buying operator prospect</x:v>
      </x:c>
      <x:c r="AL103" s="19" t="n">
        <x:v>100000</x:v>
      </x:c>
      <x:c r="AM103" s="19" t="n">
        <x:v>500000</x:v>
      </x:c>
      <x:c r="AN103" s="3" t="str">
        <x:v>https://www.cashhomebuyersdirectory.com/cash-home-buyers/illinois/naperville</x:v>
      </x:c>
      <x:c r="AO103" s="3" t="str">
        <x:v>nc_il_az_co_investors.jsonl</x:v>
      </x:c>
      <x:c r="AP103" s="19"/>
    </x:row>
    <x:row r="104" ht="36" customHeight="1">
      <x:c r="A104" s="23" t="n">
        <x:v>103</x:v>
      </x:c>
      <x:c r="B104" s="15" t="str">
        <x:v>Barrett Buys Houses</x:v>
      </x:c>
      <x:c r="C104" s="15"/>
      <x:c r="D104" s="15" t="str">
        <x:v>Property investor / home-buying operator</x:v>
      </x:c>
      <x:c r="E104" s="15" t="str">
        <x:v>Property investor / operator inquiry</x:v>
      </x:c>
      <x:c r="F104" s="17" t="str">
        <x:v>New</x:v>
      </x:c>
      <x:c r="G104" s="24"/>
      <x:c r="H104" s="24" t="str">
        <x:v>+16027262264</x:v>
      </x:c>
      <x:c r="I104" s="24" t="str">
        <x:v>https://www.barrettbuyshouses.com/</x:v>
      </x:c>
      <x:c r="J104" s="16" t="str">
        <x:v>AZ</x:v>
      </x:c>
      <x:c r="K104" s="16" t="str">
        <x:v>Phoenix</x:v>
      </x:c>
      <x:c r="L104" s="16" t="str">
        <x:v>Public property-business route; investor decision maker unconfirmed</x:v>
      </x:c>
      <x:c r="M104" s="16" t="str">
        <x:v>https://www.barrettbuyshouses.com/contact-us/</x:v>
      </x:c>
      <x:c r="N104" s="16" t="str">
        <x:v>$100K-$500K ticket not published / unconfirmed</x:v>
      </x:c>
      <x:c r="O104" s="20"/>
      <x:c r="P104" s="20"/>
      <x:c r="Q104" s="25" t="str">
        <x:v>No $100K-$500K operating-company investment ticket verified</x:v>
      </x:c>
      <x:c r="R104" s="25" t="str">
        <x:v>Property acquisition or investor activity makes this an operator-capital prospect for the signed trial. Confirm operating-company debt/equity appetite.</x:v>
      </x:c>
      <x:c r="S104" s="25" t="str">
        <x:v>Public property-buying activity or a directory listing does not establish available cash, investing decision-maker, current $100K-$500K capacity, or willingness to fund 101XVC operating costs.</x:v>
      </x:c>
      <x:c r="T104" s="25" t="str">
        <x:v>Ask the owner/investor whether they can allocate $100K-$500K to trial marketing and acquisitions, and confirm structure, timing and decision authority.</x:v>
      </x:c>
      <x:c r="U104" s="25" t="str">
        <x:v>https://www.cashhomebuyersdirectory.com/cash-home-buyers/arizona/phoenix
https://www.barrettbuyshouses.com/
https://www.barrettbuyshouses.com/contact-us/</x:v>
      </x:c>
      <x:c r="V104" s="26" t="d">
        <x:v>2026-10-02T00:00:00.000Z</x:v>
      </x:c>
      <x:c r="W104" s="26" t="d">
        <x:v>2026-10-02T00:00:00.000Z</x:v>
      </x:c>
      <x:c r="X104" s="25" t="str">
        <x:v>Public investor directory; business role and contact ownership require qualification</x:v>
      </x:c>
      <x:c r="Y104" s="25"/>
      <x:c r="Z104" s="25" t="str">
        <x:v>https://www.cashhomebuyersdirectory.com/cash-home-buyers/arizona/phoenix</x:v>
      </x:c>
      <x:c r="AA104" s="25" t="str">
        <x:v>Public cash-home-buyer directory lists business name, phone and market. Directory entry may include brokers or service providers. Official website fetched; home-buying or investing activity stated.</x:v>
      </x:c>
      <x:c r="AB104" s="3" t="str">
        <x:v>New public-source collection</x:v>
      </x:c>
      <x:c r="AC104" s="3" t="str">
        <x:v>unverified</x:v>
      </x:c>
      <x:c r="AD104" s="3" t="str">
        <x:v>Not contacted / unconfirmed</x:v>
      </x:c>
      <x:c r="AE104" s="3" t="str">
        <x:v>Yes</x:v>
      </x:c>
      <x:c r="AF104" s="3" t="str">
        <x:v>No</x:v>
      </x:c>
      <x:c r="AG104" s="3"/>
      <x:c r="AH104" s="3"/>
      <x:c r="AI104" s="18"/>
      <x:c r="AJ104" s="3" t="str">
        <x:v>CF2500-A0A8E7482BDE</x:v>
      </x:c>
      <x:c r="AK104" s="3" t="str">
        <x:v>Property investor / home-buying operator prospect</x:v>
      </x:c>
      <x:c r="AL104" s="19" t="n">
        <x:v>100000</x:v>
      </x:c>
      <x:c r="AM104" s="19" t="n">
        <x:v>500000</x:v>
      </x:c>
      <x:c r="AN104" s="3" t="str">
        <x:v>https://www.cashhomebuyersdirectory.com/cash-home-buyers/arizona/phoenix</x:v>
      </x:c>
      <x:c r="AO104" s="3" t="str">
        <x:v>nc_il_az_co_investors.jsonl</x:v>
      </x:c>
      <x:c r="AP104" s="19"/>
    </x:row>
    <x:row r="105" ht="36" customHeight="1">
      <x:c r="A105" s="23" t="n">
        <x:v>104</x:v>
      </x:c>
      <x:c r="B105" s="15" t="str">
        <x:v>Beaumont Cash Home Buyers</x:v>
      </x:c>
      <x:c r="C105" s="15"/>
      <x:c r="D105" s="15" t="str">
        <x:v>Property investor / home-buying operator</x:v>
      </x:c>
      <x:c r="E105" s="15" t="str">
        <x:v>Property investor / operator inquiry</x:v>
      </x:c>
      <x:c r="F105" s="17" t="str">
        <x:v>New</x:v>
      </x:c>
      <x:c r="G105" s="24"/>
      <x:c r="H105" s="24" t="str">
        <x:v>+14094443555</x:v>
      </x:c>
      <x:c r="I105" s="24" t="str">
        <x:v>https://beaumontcashhomebuyers.com/</x:v>
      </x:c>
      <x:c r="J105" s="16" t="str">
        <x:v>TX</x:v>
      </x:c>
      <x:c r="K105" s="16" t="str">
        <x:v>Beaumont</x:v>
      </x:c>
      <x:c r="L105" s="16" t="str">
        <x:v>Public property-business route; investor decision maker unconfirmed</x:v>
      </x:c>
      <x:c r="M105" s="16" t="str">
        <x:v>https://beaumontcashhomebuyers.com/contact-us/</x:v>
      </x:c>
      <x:c r="N105" s="16" t="str">
        <x:v>$100K-$500K ticket not published / unconfirmed</x:v>
      </x:c>
      <x:c r="O105" s="20"/>
      <x:c r="P105" s="20"/>
      <x:c r="Q105" s="25" t="str">
        <x:v>No $100K-$500K corporate-investment ticket published in checked source</x:v>
      </x:c>
      <x:c r="R105" s="25" t="str">
        <x:v>Property acquisition or investor activity makes this an operator-capital prospect for the signed trial. Confirm operating-company debt/equity appetite.</x:v>
      </x:c>
      <x:c r="S105" s="25" t="str">
        <x:v>Corporate-investment ticket and appetite unconfirmed. Property-buying activity alone does not establish fit for funding 101XVC trial operating costs.</x:v>
      </x:c>
      <x:c r="T105" s="25" t="str">
        <x:v>Ask the owner/investor whether they can allocate $100K-$500K to trial marketing and acquisitions, and confirm structure, timing and decision authority.</x:v>
      </x:c>
      <x:c r="U105" s="25" t="str">
        <x:v>https://www.cashhomebuyersdirectory.com/cash-home-buyers/texas/beaumont
https://beaumontcashhomebuyers.com/
https://beaumontcashhomebuyers.com/contact-us/</x:v>
      </x:c>
      <x:c r="V105" s="26" t="d">
        <x:v>2026-10-02T00:00:00.000Z</x:v>
      </x:c>
      <x:c r="W105" s="26" t="d">
        <x:v>2026-10-03T00:00:00.000Z</x:v>
      </x:c>
      <x:c r="X105" s="25" t="str">
        <x:v>Public investor directory; business role and contact ownership require qualification</x:v>
      </x:c>
      <x:c r="Y105" s="25"/>
      <x:c r="Z105" s="25" t="str">
        <x:v>https://www.cashhomebuyersdirectory.com/cash-home-buyers/texas/beaumont</x:v>
      </x:c>
      <x:c r="AA105" s="25" t="str">
        <x:v>Public cash-home-buyer directory lists business name, phone and market. Directory entry may include brokers or service providers. Official website fetched; home-buying or investing activity stated.</x:v>
      </x:c>
      <x:c r="AB105" s="3" t="str">
        <x:v>New public-source collection</x:v>
      </x:c>
      <x:c r="AC105" s="3" t="str">
        <x:v>unverified</x:v>
      </x:c>
      <x:c r="AD105" s="3" t="str">
        <x:v>Not contacted / unconfirmed</x:v>
      </x:c>
      <x:c r="AE105" s="3" t="str">
        <x:v>Yes</x:v>
      </x:c>
      <x:c r="AF105" s="3" t="str">
        <x:v>Yes</x:v>
      </x:c>
      <x:c r="AG105" s="3"/>
      <x:c r="AH105" s="3"/>
      <x:c r="AI105" s="18"/>
      <x:c r="AJ105" s="3" t="str">
        <x:v>CF2500-C36D1DCDBAA6</x:v>
      </x:c>
      <x:c r="AK105" s="3" t="str">
        <x:v>Property investor / home-buying operator prospect</x:v>
      </x:c>
      <x:c r="AL105" s="19" t="n">
        <x:v>100000</x:v>
      </x:c>
      <x:c r="AM105" s="19" t="n">
        <x:v>500000</x:v>
      </x:c>
      <x:c r="AN105" s="3" t="str">
        <x:v>https://www.cashhomebuyersdirectory.com/cash-home-buyers/texas/beaumont</x:v>
      </x:c>
      <x:c r="AO105" s="3" t="str">
        <x:v>tx_fl_investors.jsonl</x:v>
      </x:c>
      <x:c r="AP105" s="19"/>
    </x:row>
    <x:row r="106" ht="36" customHeight="1">
      <x:c r="A106" s="23" t="n">
        <x:v>105</x:v>
      </x:c>
      <x:c r="B106" s="15" t="str">
        <x:v>Big Day Homebuyers</x:v>
      </x:c>
      <x:c r="C106" s="15"/>
      <x:c r="D106" s="15" t="str">
        <x:v>Property investor / home-buying operator</x:v>
      </x:c>
      <x:c r="E106" s="15" t="str">
        <x:v>Property investor / operator inquiry</x:v>
      </x:c>
      <x:c r="F106" s="17" t="str">
        <x:v>New</x:v>
      </x:c>
      <x:c r="G106" s="24"/>
      <x:c r="H106" s="24" t="str">
        <x:v>+14097309218</x:v>
      </x:c>
      <x:c r="I106" s="24" t="str">
        <x:v>https://bigdayhomebuyers.com/</x:v>
      </x:c>
      <x:c r="J106" s="16" t="str">
        <x:v>TX</x:v>
      </x:c>
      <x:c r="K106" s="16"/>
      <x:c r="L106" s="16" t="str">
        <x:v>Public property-business route; investor decision maker unconfirmed</x:v>
      </x:c>
      <x:c r="M106" s="16" t="str">
        <x:v>https://bigdayhomebuyers.com/contact-us/</x:v>
      </x:c>
      <x:c r="N106" s="16" t="str">
        <x:v>$100K-$500K ticket not published / unconfirmed</x:v>
      </x:c>
      <x:c r="O106" s="20"/>
      <x:c r="P106" s="20"/>
      <x:c r="Q106" s="25" t="str">
        <x:v>No $100K-$500K corporate-investment ticket published in checked source</x:v>
      </x:c>
      <x:c r="R106" s="25" t="str">
        <x:v>Property acquisition or investor activity makes this an operator-capital prospect for the signed trial. Confirm operating-company debt/equity appetite.</x:v>
      </x:c>
      <x:c r="S106" s="25" t="str">
        <x:v>Corporate-investment ticket and appetite unconfirmed. Property-buying activity alone does not establish fit for funding 101XVC trial operating costs.</x:v>
      </x:c>
      <x:c r="T106" s="25" t="str">
        <x:v>Ask the owner/investor whether they can allocate $100K-$500K to trial marketing and acquisitions, and confirm structure, timing and decision authority.</x:v>
      </x:c>
      <x:c r="U106" s="25" t="str">
        <x:v>https://www.cashhomebuyersdirectory.com/cash-home-buyers/texas/beaumont
https://bigdayhomebuyers.com/
https://bigdayhomebuyers.com/contact-us/</x:v>
      </x:c>
      <x:c r="V106" s="26" t="d">
        <x:v>2026-10-02T00:00:00.000Z</x:v>
      </x:c>
      <x:c r="W106" s="26" t="d">
        <x:v>2026-10-03T00:00:00.000Z</x:v>
      </x:c>
      <x:c r="X106" s="25" t="str">
        <x:v>Public investor directory; business role and contact ownership require qualification</x:v>
      </x:c>
      <x:c r="Y106" s="25"/>
      <x:c r="Z106" s="25" t="str">
        <x:v>https://www.cashhomebuyersdirectory.com/cash-home-buyers/texas/beaumont</x:v>
      </x:c>
      <x:c r="AA106" s="25" t="str">
        <x:v>Public cash-home-buyer directory lists business name, phone and market. Directory entry may include brokers or service providers. Official website fetched; home-buying or investing activity stated.</x:v>
      </x:c>
      <x:c r="AB106" s="3" t="str">
        <x:v>New public-source collection</x:v>
      </x:c>
      <x:c r="AC106" s="3" t="str">
        <x:v>unverified</x:v>
      </x:c>
      <x:c r="AD106" s="3" t="str">
        <x:v>Not contacted / unconfirmed</x:v>
      </x:c>
      <x:c r="AE106" s="3" t="str">
        <x:v>Yes</x:v>
      </x:c>
      <x:c r="AF106" s="3" t="str">
        <x:v>Yes</x:v>
      </x:c>
      <x:c r="AG106" s="3"/>
      <x:c r="AH106" s="3"/>
      <x:c r="AI106" s="18"/>
      <x:c r="AJ106" s="3" t="str">
        <x:v>CF2500-8B12158132C5</x:v>
      </x:c>
      <x:c r="AK106" s="3" t="str">
        <x:v>Property investor / home-buying operator prospect</x:v>
      </x:c>
      <x:c r="AL106" s="19" t="n">
        <x:v>100000</x:v>
      </x:c>
      <x:c r="AM106" s="19" t="n">
        <x:v>500000</x:v>
      </x:c>
      <x:c r="AN106" s="3" t="str">
        <x:v>https://www.cashhomebuyersdirectory.com/cash-home-buyers/texas/beaumont</x:v>
      </x:c>
      <x:c r="AO106" s="3" t="str">
        <x:v>tx_fl_investors.jsonl</x:v>
      </x:c>
      <x:c r="AP106" s="19"/>
    </x:row>
    <x:row r="107" ht="36" customHeight="1">
      <x:c r="A107" s="23" t="n">
        <x:v>106</x:v>
      </x:c>
      <x:c r="B107" s="15" t="str">
        <x:v>BIG DOOR HOME BUYERS LLC</x:v>
      </x:c>
      <x:c r="C107" s="15"/>
      <x:c r="D107" s="15" t="str">
        <x:v>Property investor / home-buying operator</x:v>
      </x:c>
      <x:c r="E107" s="15" t="str">
        <x:v>Property investor / operator inquiry</x:v>
      </x:c>
      <x:c r="F107" s="17" t="str">
        <x:v>New</x:v>
      </x:c>
      <x:c r="G107" s="24"/>
      <x:c r="H107" s="24" t="str">
        <x:v>+12244643623</x:v>
      </x:c>
      <x:c r="I107" s="24" t="str">
        <x:v>https://bigdoorhomebuyers.com/</x:v>
      </x:c>
      <x:c r="J107" s="16" t="str">
        <x:v>IL</x:v>
      </x:c>
      <x:c r="K107" s="16" t="str">
        <x:v>Chicago</x:v>
      </x:c>
      <x:c r="L107" s="16" t="str">
        <x:v>Public property-business route; investor decision maker unconfirmed</x:v>
      </x:c>
      <x:c r="M107" s="16" t="str">
        <x:v>https://bigdoorhomebuyers.com/contact/</x:v>
      </x:c>
      <x:c r="N107" s="16" t="str">
        <x:v>$100K-$500K ticket not published / unconfirmed</x:v>
      </x:c>
      <x:c r="O107" s="20"/>
      <x:c r="P107" s="20"/>
      <x:c r="Q107" s="25" t="str">
        <x:v>No direct corporate-capital range established in checked source</x:v>
      </x:c>
      <x:c r="R107" s="25" t="str">
        <x:v>Property acquisition or investor activity makes this an operator-capital prospect for the signed trial. Confirm operating-company debt/equity appetite.</x:v>
      </x:c>
      <x:c r="S107" s="25" t="str">
        <x:v>Confirm the contact controls funding decisions; confirm willingness to invest in an operating company, current liquidity, $100K to $500K ticket size, required security and diligence.</x:v>
      </x:c>
      <x:c r="T107" s="25" t="str">
        <x:v>Ask the owner/investor whether they can allocate $100K-$500K to trial marketing and acquisitions, and confirm structure, timing and decision authority.</x:v>
      </x:c>
      <x:c r="U107" s="25" t="str">
        <x:v>https://bigdoorhomebuyers.com/contact/
https://sfranalytics.com/investors/il/chicago-naperville-elgin-il-in
https://sfranalytics.com/investors/il/chicago-naperville-elgin-il-in/big-door-home-buyers-llc-il</x:v>
      </x:c>
      <x:c r="V107" s="26" t="d">
        <x:v>2026-10-02T00:00:00.000Z</x:v>
      </x:c>
      <x:c r="W107" s="26" t="d">
        <x:v>2026-10-03T00:00:00.000Z</x:v>
      </x:c>
      <x:c r="X107" s="25" t="str">
        <x:v>SFR Analytics public investor discovery plus official-company activity, geography and published business contact checks</x:v>
      </x:c>
      <x:c r="Y107" s="25"/>
      <x:c r="Z107" s="25" t="str">
        <x:v>https://bigdoorhomebuyers.com/contact/</x:v>
      </x:c>
      <x:c r="AA107" s="25" t="str">
        <x:v>Official company contact page identifies Big Door Home Buyers in the Chicago, Illinois market. Published general business contact observed: (224) 464-3623. SFR Analytics public directory lists BIG DOOR HOME BUYERS LLC as an organization with a flipper strategy, 32 observed transactions and $6.93M tracked transaction volume. Observed listing market: Chicago-Naperville-Elgin, IL-IN. This is third-party public-record research, not evidence of available cash, a $100K to $500K check, an operating-company investment mandate, or acceptance of this transaction.</x:v>
      </x:c>
      <x:c r="AB107" s="3" t="str">
        <x:v>New public-source collection</x:v>
      </x:c>
      <x:c r="AC107" s="3" t="str">
        <x:v>unverified</x:v>
      </x:c>
      <x:c r="AD107" s="3" t="str">
        <x:v>Not contacted / unconfirmed</x:v>
      </x:c>
      <x:c r="AE107" s="3" t="str">
        <x:v>Yes</x:v>
      </x:c>
      <x:c r="AF107" s="3" t="str">
        <x:v>Yes</x:v>
      </x:c>
      <x:c r="AG107" s="3"/>
      <x:c r="AH107" s="3"/>
      <x:c r="AI107" s="18"/>
      <x:c r="AJ107" s="3" t="str">
        <x:v>CF2500-9377190A6B72</x:v>
      </x:c>
      <x:c r="AK107" s="3" t="str">
        <x:v>real_estate_operator</x:v>
      </x:c>
      <x:c r="AL107" s="19" t="n">
        <x:v>100000</x:v>
      </x:c>
      <x:c r="AM107" s="19" t="n">
        <x:v>500000</x:v>
      </x:c>
      <x:c r="AN107" s="3" t="str">
        <x:v>https://bigdoorhomebuyers.com/contact/</x:v>
      </x:c>
      <x:c r="AO107" s="3" t="str">
        <x:v>sfr_contact_enriched.jsonl</x:v>
      </x:c>
      <x:c r="AP107" s="19"/>
    </x:row>
    <x:row r="108" ht="36" customHeight="1">
      <x:c r="A108" s="23" t="n">
        <x:v>107</x:v>
      </x:c>
      <x:c r="B108" s="15" t="str">
        <x:v>Blair Buys Houses -</x:v>
      </x:c>
      <x:c r="C108" s="15"/>
      <x:c r="D108" s="15" t="str">
        <x:v>Property investor / home-buying operator</x:v>
      </x:c>
      <x:c r="E108" s="15" t="str">
        <x:v>Property investor / operator inquiry</x:v>
      </x:c>
      <x:c r="F108" s="17" t="str">
        <x:v>New</x:v>
      </x:c>
      <x:c r="G108" s="24"/>
      <x:c r="H108" s="24" t="str">
        <x:v>+13364854415</x:v>
      </x:c>
      <x:c r="I108" s="24" t="str">
        <x:v>https://www.lifehomesolutions.com/</x:v>
      </x:c>
      <x:c r="J108" s="16" t="str">
        <x:v>NC</x:v>
      </x:c>
      <x:c r="K108" s="16" t="str">
        <x:v>Winston-Salem</x:v>
      </x:c>
      <x:c r="L108" s="16" t="str">
        <x:v>Public property-business route; investor decision maker unconfirmed</x:v>
      </x:c>
      <x:c r="M108" s="16" t="str">
        <x:v>https://www.lifehomesolutions.com/</x:v>
      </x:c>
      <x:c r="N108" s="16" t="str">
        <x:v>$100K-$500K ticket not published / unconfirmed</x:v>
      </x:c>
      <x:c r="O108" s="20"/>
      <x:c r="P108" s="20"/>
      <x:c r="Q108" s="25" t="str">
        <x:v>No $100K-$500K operating-company investment ticket verified</x:v>
      </x:c>
      <x:c r="R108" s="25" t="str">
        <x:v>Property acquisition or investor activity makes this an operator-capital prospect for the signed trial. Confirm operating-company debt/equity appetite.</x:v>
      </x:c>
      <x:c r="S108" s="25" t="str">
        <x:v>Public property-buying activity or a directory listing does not establish available cash, investing decision-maker, current $100K-$500K capacity, or willingness to fund 101XVC operating costs.</x:v>
      </x:c>
      <x:c r="T108" s="25" t="str">
        <x:v>Ask the owner/investor whether they can allocate $100K-$500K to trial marketing and acquisitions, and confirm structure, timing and decision authority.</x:v>
      </x:c>
      <x:c r="U108" s="25" t="str">
        <x:v>https://www.cashhomebuyersdirectory.com/cash-home-buyers/north-carolina/winston-salem
https://www.lifehomesolutions.com/</x:v>
      </x:c>
      <x:c r="V108" s="26" t="d">
        <x:v>2026-10-02T00:00:00.000Z</x:v>
      </x:c>
      <x:c r="W108" s="26" t="d">
        <x:v>2026-10-02T00:00:00.000Z</x:v>
      </x:c>
      <x:c r="X108" s="25" t="str">
        <x:v>Public investor directory; business role and contact ownership require qualification</x:v>
      </x:c>
      <x:c r="Y108" s="25"/>
      <x:c r="Z108" s="25" t="str">
        <x:v>https://www.cashhomebuyersdirectory.com/cash-home-buyers/north-carolina/winston-salem</x:v>
      </x:c>
      <x:c r="AA108" s="25" t="str">
        <x:v>Public cash-home-buyer directory lists business name, phone and market. Directory entry may include brokers or service providers. Official website fetched; home-buying or investing activity stated.</x:v>
      </x:c>
      <x:c r="AB108" s="3" t="str">
        <x:v>New public-source collection</x:v>
      </x:c>
      <x:c r="AC108" s="3" t="str">
        <x:v>unverified</x:v>
      </x:c>
      <x:c r="AD108" s="3" t="str">
        <x:v>Not contacted / unconfirmed</x:v>
      </x:c>
      <x:c r="AE108" s="3" t="str">
        <x:v>Yes</x:v>
      </x:c>
      <x:c r="AF108" s="3" t="str">
        <x:v>No</x:v>
      </x:c>
      <x:c r="AG108" s="3"/>
      <x:c r="AH108" s="3"/>
      <x:c r="AI108" s="18"/>
      <x:c r="AJ108" s="3" t="str">
        <x:v>CF2500-A9CBBF12B670</x:v>
      </x:c>
      <x:c r="AK108" s="3" t="str">
        <x:v>Property investor / home-buying operator prospect</x:v>
      </x:c>
      <x:c r="AL108" s="19" t="n">
        <x:v>100000</x:v>
      </x:c>
      <x:c r="AM108" s="19" t="n">
        <x:v>500000</x:v>
      </x:c>
      <x:c r="AN108" s="3" t="str">
        <x:v>https://www.cashhomebuyersdirectory.com/cash-home-buyers/north-carolina/winston-salem</x:v>
      </x:c>
      <x:c r="AO108" s="3" t="str">
        <x:v>nc_il_az_co_investors.jsonl</x:v>
      </x:c>
      <x:c r="AP108" s="19"/>
    </x:row>
    <x:row r="109" ht="36" customHeight="1">
      <x:c r="A109" s="23" t="n">
        <x:v>108</x:v>
      </x:c>
      <x:c r="B109" s="15" t="str">
        <x:v>Blue Sky Home Buyers</x:v>
      </x:c>
      <x:c r="C109" s="15"/>
      <x:c r="D109" s="15" t="str">
        <x:v>Property investor / home-buying operator</x:v>
      </x:c>
      <x:c r="E109" s="15" t="str">
        <x:v>Property investor / operator inquiry</x:v>
      </x:c>
      <x:c r="F109" s="17" t="str">
        <x:v>New</x:v>
      </x:c>
      <x:c r="G109" s="24"/>
      <x:c r="H109" s="24" t="str">
        <x:v>+19048677775</x:v>
      </x:c>
      <x:c r="I109" s="24" t="str">
        <x:v>https://www.selltoblueskyjax.com/</x:v>
      </x:c>
      <x:c r="J109" s="16" t="str">
        <x:v>FL</x:v>
      </x:c>
      <x:c r="K109" s="16" t="str">
        <x:v>Jacksonville</x:v>
      </x:c>
      <x:c r="L109" s="16" t="str">
        <x:v>Public property-business route; investor decision maker unconfirmed</x:v>
      </x:c>
      <x:c r="M109" s="16" t="str">
        <x:v>https://www.selltoblueskyjax.com/contact-us/</x:v>
      </x:c>
      <x:c r="N109" s="16" t="str">
        <x:v>$100K-$500K ticket not published / unconfirmed</x:v>
      </x:c>
      <x:c r="O109" s="20"/>
      <x:c r="P109" s="20"/>
      <x:c r="Q109" s="25" t="str">
        <x:v>No $100K-$500K corporate-investment ticket published in checked source</x:v>
      </x:c>
      <x:c r="R109" s="25" t="str">
        <x:v>Property acquisition or investor activity makes this an operator-capital prospect for the signed trial. Confirm operating-company debt/equity appetite.</x:v>
      </x:c>
      <x:c r="S109" s="25" t="str">
        <x:v>Corporate-investment ticket and appetite unconfirmed. Property-buying activity alone does not establish fit for funding 101XVC trial operating costs.</x:v>
      </x:c>
      <x:c r="T109" s="25" t="str">
        <x:v>Ask the owner/investor whether they can allocate $100K-$500K to trial marketing and acquisitions, and confirm structure, timing and decision authority.</x:v>
      </x:c>
      <x:c r="U109" s="25" t="str">
        <x:v>https://www.cashhomebuyersdirectory.com/cash-home-buyers/florida/jacksonville
https://www.selltoblueskyjax.com/
https://www.selltoblueskyjax.com/contact-us/
https://sfranalytics.com/investors/fl/jacksonville-fl
https://sfranalytics.com/investors/fl/jacksonville-fl/blue-sky-home-buyers-llc-fl</x:v>
      </x:c>
      <x:c r="V109" s="26" t="d">
        <x:v>2026-10-02T00:00:00.000Z</x:v>
      </x:c>
      <x:c r="W109" s="26" t="d">
        <x:v>2026-10-03T00:00:00.000Z</x:v>
      </x:c>
      <x:c r="X109" s="25" t="str">
        <x:v>Public investor directory; business role and contact ownership require qualification</x:v>
      </x:c>
      <x:c r="Y109" s="25"/>
      <x:c r="Z109" s="25" t="str">
        <x:v>https://www.cashhomebuyersdirectory.com/cash-home-buyers/florida/jacksonville</x:v>
      </x:c>
      <x:c r="AA109" s="25" t="str">
        <x:v>Public cash-home-buyer directory lists business name, phone and market. Directory entry may include brokers or service providers. Official website fetched; home-buying or investing activity stated.</x:v>
      </x:c>
      <x:c r="AB109" s="3" t="str">
        <x:v>New public-source collection</x:v>
      </x:c>
      <x:c r="AC109" s="3" t="str">
        <x:v>unverified</x:v>
      </x:c>
      <x:c r="AD109" s="3" t="str">
        <x:v>Not contacted / unconfirmed</x:v>
      </x:c>
      <x:c r="AE109" s="3" t="str">
        <x:v>Yes</x:v>
      </x:c>
      <x:c r="AF109" s="3" t="str">
        <x:v>No</x:v>
      </x:c>
      <x:c r="AG109" s="3"/>
      <x:c r="AH109" s="3" t="str">
        <x:v>BLUE SKY HOME BUYERS LLC</x:v>
      </x:c>
      <x:c r="AI109" s="18"/>
      <x:c r="AJ109" s="3" t="str">
        <x:v>CF2500-862DF9A64AE2</x:v>
      </x:c>
      <x:c r="AK109" s="3" t="str">
        <x:v>Property investor / home-buying operator prospect</x:v>
      </x:c>
      <x:c r="AL109" s="19" t="n">
        <x:v>100000</x:v>
      </x:c>
      <x:c r="AM109" s="19" t="n">
        <x:v>500000</x:v>
      </x:c>
      <x:c r="AN109" s="3" t="str">
        <x:v>https://www.cashhomebuyersdirectory.com/cash-home-buyers/florida/jacksonville</x:v>
      </x:c>
      <x:c r="AO109" s="3" t="str">
        <x:v>tx_fl_investors.jsonl</x:v>
      </x:c>
      <x:c r="AP109" s="19"/>
    </x:row>
    <x:row r="110" ht="36" customHeight="1">
      <x:c r="A110" s="23" t="n">
        <x:v>109</x:v>
      </x:c>
      <x:c r="B110" s="15" t="str">
        <x:v>Bull City Buyers</x:v>
      </x:c>
      <x:c r="C110" s="15"/>
      <x:c r="D110" s="15" t="str">
        <x:v>Property investor / home-buying operator</x:v>
      </x:c>
      <x:c r="E110" s="15" t="str">
        <x:v>Property investor / operator inquiry</x:v>
      </x:c>
      <x:c r="F110" s="17" t="str">
        <x:v>New</x:v>
      </x:c>
      <x:c r="G110" s="24"/>
      <x:c r="H110" s="24" t="str">
        <x:v>+19199857816</x:v>
      </x:c>
      <x:c r="I110" s="24" t="str">
        <x:v>https://www.bullcitybuyers.com/</x:v>
      </x:c>
      <x:c r="J110" s="16" t="str">
        <x:v>NC</x:v>
      </x:c>
      <x:c r="K110" s="16"/>
      <x:c r="L110" s="16" t="str">
        <x:v>Public property-business route; investor decision maker unconfirmed</x:v>
      </x:c>
      <x:c r="M110" s="16" t="str">
        <x:v>https://www.bullcitybuyers.com/contact-us/</x:v>
      </x:c>
      <x:c r="N110" s="16" t="str">
        <x:v>$100K-$500K ticket not published / unconfirmed</x:v>
      </x:c>
      <x:c r="O110" s="20"/>
      <x:c r="P110" s="20"/>
      <x:c r="Q110" s="25" t="str">
        <x:v>No $100K-$500K operating-company investment ticket verified</x:v>
      </x:c>
      <x:c r="R110" s="25" t="str">
        <x:v>Property acquisition or investor activity makes this an operator-capital prospect for the signed trial. Confirm operating-company debt/equity appetite.</x:v>
      </x:c>
      <x:c r="S110" s="25" t="str">
        <x:v>Public property-buying activity or a directory listing does not establish available cash, investing decision-maker, current $100K-$500K capacity, or willingness to fund 101XVC operating costs.</x:v>
      </x:c>
      <x:c r="T110" s="25" t="str">
        <x:v>Ask the owner/investor whether they can allocate $100K-$500K to trial marketing and acquisitions, and confirm structure, timing and decision authority.</x:v>
      </x:c>
      <x:c r="U110" s="25" t="str">
        <x:v>https://www.cashhomebuyersdirectory.com/cash-home-buyers/north-carolina/durham
https://www.bullcitybuyers.com/
https://www.bullcitybuyers.com/contact-us/
https://www.bbb.org/us/nc/category/home-buyers</x:v>
      </x:c>
      <x:c r="V110" s="26" t="d">
        <x:v>2026-10-02T00:00:00.000Z</x:v>
      </x:c>
      <x:c r="W110" s="26" t="d">
        <x:v>2026-10-02T00:00:00.000Z</x:v>
      </x:c>
      <x:c r="X110" s="25" t="str">
        <x:v>Public investor directory; business role and contact ownership require qualification</x:v>
      </x:c>
      <x:c r="Y110" s="25"/>
      <x:c r="Z110" s="25" t="str">
        <x:v>https://www.cashhomebuyersdirectory.com/cash-home-buyers/north-carolina/durham</x:v>
      </x:c>
      <x:c r="AA110" s="25" t="str">
        <x:v>Public cash-home-buyer directory lists business name, phone and market. Directory entry may include brokers or service providers. Official website fetched; home-buying or investing activity stated.</x:v>
      </x:c>
      <x:c r="AB110" s="3" t="str">
        <x:v>New public-source collection</x:v>
      </x:c>
      <x:c r="AC110" s="3" t="str">
        <x:v>unverified</x:v>
      </x:c>
      <x:c r="AD110" s="3" t="str">
        <x:v>Not contacted / unconfirmed</x:v>
      </x:c>
      <x:c r="AE110" s="3" t="str">
        <x:v>Yes</x:v>
      </x:c>
      <x:c r="AF110" s="3" t="str">
        <x:v>No</x:v>
      </x:c>
      <x:c r="AG110" s="3"/>
      <x:c r="AH110" s="3"/>
      <x:c r="AI110" s="18"/>
      <x:c r="AJ110" s="3" t="str">
        <x:v>CF2500-9D62646D5098</x:v>
      </x:c>
      <x:c r="AK110" s="3" t="str">
        <x:v>Property investor / home-buying operator prospect</x:v>
      </x:c>
      <x:c r="AL110" s="19" t="n">
        <x:v>100000</x:v>
      </x:c>
      <x:c r="AM110" s="19" t="n">
        <x:v>500000</x:v>
      </x:c>
      <x:c r="AN110" s="3" t="str">
        <x:v>https://www.cashhomebuyersdirectory.com/cash-home-buyers/north-carolina/durham</x:v>
      </x:c>
      <x:c r="AO110" s="3" t="str">
        <x:v>nc_il_az_co_investors.jsonl</x:v>
      </x:c>
      <x:c r="AP110" s="19"/>
    </x:row>
    <x:row r="111" ht="36" customHeight="1">
      <x:c r="A111" s="23" t="n">
        <x:v>110</x:v>
      </x:c>
      <x:c r="B111" s="15" t="str">
        <x:v>Buy a Wholesale House Today</x:v>
      </x:c>
      <x:c r="C111" s="15"/>
      <x:c r="D111" s="15" t="str">
        <x:v>Property investor / home-buying operator</x:v>
      </x:c>
      <x:c r="E111" s="15" t="str">
        <x:v>Property investor / operator inquiry</x:v>
      </x:c>
      <x:c r="F111" s="17" t="str">
        <x:v>New</x:v>
      </x:c>
      <x:c r="G111" s="24"/>
      <x:c r="H111" s="24" t="str">
        <x:v>+12109879720</x:v>
      </x:c>
      <x:c r="I111" s="24" t="str">
        <x:v>https://webuydiscountrealty.com/contact.html</x:v>
      </x:c>
      <x:c r="J111" s="16" t="str">
        <x:v>TX</x:v>
      </x:c>
      <x:c r="K111" s="16" t="str">
        <x:v>San Antonio</x:v>
      </x:c>
      <x:c r="L111" s="16" t="str">
        <x:v>Public property-business route; investor decision maker unconfirmed</x:v>
      </x:c>
      <x:c r="M111" s="16" t="str">
        <x:v>https://webuydiscountrealty.com/contact.html</x:v>
      </x:c>
      <x:c r="N111" s="16" t="str">
        <x:v>$100K-$500K ticket not published / unconfirmed</x:v>
      </x:c>
      <x:c r="O111" s="20"/>
      <x:c r="P111" s="20"/>
      <x:c r="Q111" s="25" t="str">
        <x:v>No $100K-$500K corporate-investment ticket published in checked source</x:v>
      </x:c>
      <x:c r="R111" s="25" t="str">
        <x:v>Property acquisition or investor activity makes this an operator-capital prospect for the signed trial. Confirm operating-company debt/equity appetite.</x:v>
      </x:c>
      <x:c r="S111" s="25" t="str">
        <x:v>Corporate-investment ticket and appetite unconfirmed. Property-buying activity alone does not establish fit for funding 101XVC trial operating costs.</x:v>
      </x:c>
      <x:c r="T111" s="25" t="str">
        <x:v>Ask the owner/investor whether they can allocate $100K-$500K to trial marketing and acquisitions, and confirm structure, timing and decision authority.</x:v>
      </x:c>
      <x:c r="U111" s="25" t="str">
        <x:v>https://www.cashhomebuyersdirectory.com/cash-home-buyers/texas/san-antonio
https://webuydiscountrealty.com/contact.html</x:v>
      </x:c>
      <x:c r="V111" s="26" t="d">
        <x:v>2026-10-02T00:00:00.000Z</x:v>
      </x:c>
      <x:c r="W111" s="26" t="d">
        <x:v>2026-10-03T00:00:00.000Z</x:v>
      </x:c>
      <x:c r="X111" s="25" t="str">
        <x:v>Public investor directory; business role and contact ownership require qualification</x:v>
      </x:c>
      <x:c r="Y111" s="25"/>
      <x:c r="Z111" s="25" t="str">
        <x:v>https://www.cashhomebuyersdirectory.com/cash-home-buyers/texas/san-antonio</x:v>
      </x:c>
      <x:c r="AA111" s="25" t="str">
        <x:v>Public cash-home-buyer directory lists business name, phone and market. Directory entry may include brokers or service providers. Official website fetched; home-buying or investing activity stated.</x:v>
      </x:c>
      <x:c r="AB111" s="3" t="str">
        <x:v>New public-source collection</x:v>
      </x:c>
      <x:c r="AC111" s="3" t="str">
        <x:v>unverified</x:v>
      </x:c>
      <x:c r="AD111" s="3" t="str">
        <x:v>Not contacted / unconfirmed</x:v>
      </x:c>
      <x:c r="AE111" s="3" t="str">
        <x:v>Yes</x:v>
      </x:c>
      <x:c r="AF111" s="3" t="str">
        <x:v>Yes</x:v>
      </x:c>
      <x:c r="AG111" s="3"/>
      <x:c r="AH111" s="3"/>
      <x:c r="AI111" s="18"/>
      <x:c r="AJ111" s="3" t="str">
        <x:v>CF2500-853BE970529C</x:v>
      </x:c>
      <x:c r="AK111" s="3" t="str">
        <x:v>Property investor / home-buying operator prospect</x:v>
      </x:c>
      <x:c r="AL111" s="19" t="n">
        <x:v>100000</x:v>
      </x:c>
      <x:c r="AM111" s="19" t="n">
        <x:v>500000</x:v>
      </x:c>
      <x:c r="AN111" s="3" t="str">
        <x:v>https://www.cashhomebuyersdirectory.com/cash-home-buyers/texas/san-antonio</x:v>
      </x:c>
      <x:c r="AO111" s="3" t="str">
        <x:v>tx_fl_investors.jsonl</x:v>
      </x:c>
      <x:c r="AP111" s="19"/>
    </x:row>
    <x:row r="112" ht="36" customHeight="1">
      <x:c r="A112" s="23" t="n">
        <x:v>111</x:v>
      </x:c>
      <x:c r="B112" s="15" t="str">
        <x:v>Buy My Lubbock House</x:v>
      </x:c>
      <x:c r="C112" s="15"/>
      <x:c r="D112" s="15" t="str">
        <x:v>Property investor / home-buying operator</x:v>
      </x:c>
      <x:c r="E112" s="15" t="str">
        <x:v>Property investor / operator inquiry</x:v>
      </x:c>
      <x:c r="F112" s="17" t="str">
        <x:v>New</x:v>
      </x:c>
      <x:c r="G112" s="24"/>
      <x:c r="H112" s="24" t="str">
        <x:v>+18066874030</x:v>
      </x:c>
      <x:c r="I112" s="24" t="str">
        <x:v>https://buymylubbockhouse.com/</x:v>
      </x:c>
      <x:c r="J112" s="16" t="str">
        <x:v>TX</x:v>
      </x:c>
      <x:c r="K112" s="16" t="str">
        <x:v>Lubbock</x:v>
      </x:c>
      <x:c r="L112" s="16" t="str">
        <x:v>Public property-business route; investor decision maker unconfirmed</x:v>
      </x:c>
      <x:c r="M112" s="16" t="str">
        <x:v>https://buymylubbockhouse.com/contact</x:v>
      </x:c>
      <x:c r="N112" s="16" t="str">
        <x:v>$100K-$500K ticket not published / unconfirmed</x:v>
      </x:c>
      <x:c r="O112" s="20"/>
      <x:c r="P112" s="20"/>
      <x:c r="Q112" s="25" t="str">
        <x:v>No $100K-$500K corporate-investment ticket published in checked source</x:v>
      </x:c>
      <x:c r="R112" s="25" t="str">
        <x:v>Property acquisition or investor activity makes this an operator-capital prospect for the signed trial. Confirm operating-company debt/equity appetite.</x:v>
      </x:c>
      <x:c r="S112" s="25" t="str">
        <x:v>Corporate-investment ticket and appetite unconfirmed. Property-buying activity alone does not establish fit for funding 101XVC trial operating costs.</x:v>
      </x:c>
      <x:c r="T112" s="25" t="str">
        <x:v>Ask the owner/investor whether they can allocate $100K-$500K to trial marketing and acquisitions, and confirm structure, timing and decision authority.</x:v>
      </x:c>
      <x:c r="U112" s="25" t="str">
        <x:v>https://www.cashhomebuyersdirectory.com/cash-home-buyers/texas/lubbock
https://buymylubbockhouse.com/
https://buymylubbockhouse.com/contact</x:v>
      </x:c>
      <x:c r="V112" s="26" t="d">
        <x:v>2026-10-02T00:00:00.000Z</x:v>
      </x:c>
      <x:c r="W112" s="26" t="d">
        <x:v>2026-10-03T00:00:00.000Z</x:v>
      </x:c>
      <x:c r="X112" s="25" t="str">
        <x:v>Public investor directory; business role and contact ownership require qualification</x:v>
      </x:c>
      <x:c r="Y112" s="25"/>
      <x:c r="Z112" s="25" t="str">
        <x:v>https://www.cashhomebuyersdirectory.com/cash-home-buyers/texas/lubbock</x:v>
      </x:c>
      <x:c r="AA112" s="25" t="str">
        <x:v>Public cash-home-buyer directory lists business name, phone and market. Directory entry may include brokers or service providers. Official website fetched; home-buying or investing activity stated.</x:v>
      </x:c>
      <x:c r="AB112" s="3" t="str">
        <x:v>New public-source collection</x:v>
      </x:c>
      <x:c r="AC112" s="3" t="str">
        <x:v>unverified</x:v>
      </x:c>
      <x:c r="AD112" s="3" t="str">
        <x:v>Not contacted / unconfirmed</x:v>
      </x:c>
      <x:c r="AE112" s="3" t="str">
        <x:v>Yes</x:v>
      </x:c>
      <x:c r="AF112" s="3" t="str">
        <x:v>No</x:v>
      </x:c>
      <x:c r="AG112" s="3"/>
      <x:c r="AH112" s="3"/>
      <x:c r="AI112" s="18"/>
      <x:c r="AJ112" s="3" t="str">
        <x:v>CF2500-E82C63F877C8</x:v>
      </x:c>
      <x:c r="AK112" s="3" t="str">
        <x:v>Property investor / home-buying operator prospect</x:v>
      </x:c>
      <x:c r="AL112" s="19" t="n">
        <x:v>100000</x:v>
      </x:c>
      <x:c r="AM112" s="19" t="n">
        <x:v>500000</x:v>
      </x:c>
      <x:c r="AN112" s="3" t="str">
        <x:v>https://www.cashhomebuyersdirectory.com/cash-home-buyers/texas/lubbock</x:v>
      </x:c>
      <x:c r="AO112" s="3" t="str">
        <x:v>tx_fl_investors.jsonl</x:v>
      </x:c>
      <x:c r="AP112" s="19"/>
    </x:row>
    <x:row r="113" ht="36" customHeight="1">
      <x:c r="A113" s="23" t="n">
        <x:v>112</x:v>
      </x:c>
      <x:c r="B113" s="15" t="str">
        <x:v>Buying AZ Homes</x:v>
      </x:c>
      <x:c r="C113" s="15"/>
      <x:c r="D113" s="15" t="str">
        <x:v>Property investor / home-buying operator</x:v>
      </x:c>
      <x:c r="E113" s="15" t="str">
        <x:v>Property investor / operator inquiry</x:v>
      </x:c>
      <x:c r="F113" s="17" t="str">
        <x:v>New</x:v>
      </x:c>
      <x:c r="G113" s="24"/>
      <x:c r="H113" s="24" t="str">
        <x:v>+16025004999</x:v>
      </x:c>
      <x:c r="I113" s="24" t="str">
        <x:v>https://buyingazhomes.com/</x:v>
      </x:c>
      <x:c r="J113" s="16" t="str">
        <x:v>AZ</x:v>
      </x:c>
      <x:c r="K113" s="16" t="str">
        <x:v>Mesa</x:v>
      </x:c>
      <x:c r="L113" s="16" t="str">
        <x:v>Public property-business route; investor decision maker unconfirmed</x:v>
      </x:c>
      <x:c r="M113" s="16" t="str">
        <x:v>https://buyingazhomes.com/</x:v>
      </x:c>
      <x:c r="N113" s="16" t="str">
        <x:v>$100K-$500K ticket not published / unconfirmed</x:v>
      </x:c>
      <x:c r="O113" s="20"/>
      <x:c r="P113" s="20"/>
      <x:c r="Q113" s="25" t="str">
        <x:v>No $100K-$500K operating-company investment ticket verified</x:v>
      </x:c>
      <x:c r="R113" s="25" t="str">
        <x:v>Property acquisition or investor activity makes this an operator-capital prospect for the signed trial. Confirm operating-company debt/equity appetite.</x:v>
      </x:c>
      <x:c r="S113" s="25" t="str">
        <x:v>Public property-buying activity or a directory listing does not establish available cash, investing decision-maker, current $100K-$500K capacity, or willingness to fund 101XVC operating costs.</x:v>
      </x:c>
      <x:c r="T113" s="25" t="str">
        <x:v>Ask the owner/investor whether they can allocate $100K-$500K to trial marketing and acquisitions, and confirm structure, timing and decision authority.</x:v>
      </x:c>
      <x:c r="U113" s="25" t="str">
        <x:v>https://www.cashhomebuyersdirectory.com/cash-home-buyers/arizona/mesa
https://buyingazhomes.com/</x:v>
      </x:c>
      <x:c r="V113" s="26" t="d">
        <x:v>2026-10-02T00:00:00.000Z</x:v>
      </x:c>
      <x:c r="W113" s="26" t="d">
        <x:v>2026-10-02T00:00:00.000Z</x:v>
      </x:c>
      <x:c r="X113" s="25" t="str">
        <x:v>Public investor directory; business role and contact ownership require qualification</x:v>
      </x:c>
      <x:c r="Y113" s="25"/>
      <x:c r="Z113" s="25" t="str">
        <x:v>https://www.cashhomebuyersdirectory.com/cash-home-buyers/arizona/mesa</x:v>
      </x:c>
      <x:c r="AA113" s="25" t="str">
        <x:v>Public cash-home-buyer directory lists business name, phone and market. Directory entry may include brokers or service providers. Official website fetched; home-buying or investing activity stated.</x:v>
      </x:c>
      <x:c r="AB113" s="3" t="str">
        <x:v>New public-source collection</x:v>
      </x:c>
      <x:c r="AC113" s="3" t="str">
        <x:v>unverified</x:v>
      </x:c>
      <x:c r="AD113" s="3" t="str">
        <x:v>Not contacted / unconfirmed</x:v>
      </x:c>
      <x:c r="AE113" s="3" t="str">
        <x:v>Yes</x:v>
      </x:c>
      <x:c r="AF113" s="3" t="str">
        <x:v>Yes</x:v>
      </x:c>
      <x:c r="AG113" s="3"/>
      <x:c r="AH113" s="3"/>
      <x:c r="AI113" s="18"/>
      <x:c r="AJ113" s="3" t="str">
        <x:v>CF2500-9083CA71D707</x:v>
      </x:c>
      <x:c r="AK113" s="3" t="str">
        <x:v>Property investor / home-buying operator prospect</x:v>
      </x:c>
      <x:c r="AL113" s="19" t="n">
        <x:v>100000</x:v>
      </x:c>
      <x:c r="AM113" s="19" t="n">
        <x:v>500000</x:v>
      </x:c>
      <x:c r="AN113" s="3" t="str">
        <x:v>https://www.cashhomebuyersdirectory.com/cash-home-buyers/arizona/mesa</x:v>
      </x:c>
      <x:c r="AO113" s="3" t="str">
        <x:v>nc_il_az_co_investors.jsonl</x:v>
      </x:c>
      <x:c r="AP113" s="19"/>
    </x:row>
    <x:row r="114" ht="36" customHeight="1">
      <x:c r="A114" s="23" t="n">
        <x:v>113</x:v>
      </x:c>
      <x:c r="B114" s="15" t="str">
        <x:v>Buying Texas Today</x:v>
      </x:c>
      <x:c r="C114" s="15"/>
      <x:c r="D114" s="15" t="str">
        <x:v>Property investor / home-buying operator</x:v>
      </x:c>
      <x:c r="E114" s="15" t="str">
        <x:v>Property investor / operator inquiry</x:v>
      </x:c>
      <x:c r="F114" s="17" t="str">
        <x:v>New</x:v>
      </x:c>
      <x:c r="G114" s="24"/>
      <x:c r="H114" s="24" t="str">
        <x:v>+13614002282</x:v>
      </x:c>
      <x:c r="I114" s="24" t="str">
        <x:v>https://buyingtexastoday.com/</x:v>
      </x:c>
      <x:c r="J114" s="16" t="str">
        <x:v>TX</x:v>
      </x:c>
      <x:c r="K114" s="16" t="str">
        <x:v>Corpus Christi</x:v>
      </x:c>
      <x:c r="L114" s="16" t="str">
        <x:v>Public property-business route; investor decision maker unconfirmed</x:v>
      </x:c>
      <x:c r="M114" s="16" t="str">
        <x:v>https://buyingtexastoday.com/</x:v>
      </x:c>
      <x:c r="N114" s="16" t="str">
        <x:v>$100K-$500K ticket not published / unconfirmed</x:v>
      </x:c>
      <x:c r="O114" s="20"/>
      <x:c r="P114" s="20"/>
      <x:c r="Q114" s="25" t="str">
        <x:v>No $100K-$500K corporate-investment ticket published in checked source</x:v>
      </x:c>
      <x:c r="R114" s="25" t="str">
        <x:v>Property acquisition or investor activity makes this an operator-capital prospect for the signed trial. Confirm operating-company debt/equity appetite.</x:v>
      </x:c>
      <x:c r="S114" s="25" t="str">
        <x:v>Corporate-investment ticket and appetite unconfirmed. Property-buying activity alone does not establish fit for funding 101XVC trial operating costs.</x:v>
      </x:c>
      <x:c r="T114" s="25" t="str">
        <x:v>Ask the owner/investor whether they can allocate $100K-$500K to trial marketing and acquisitions, and confirm structure, timing and decision authority.</x:v>
      </x:c>
      <x:c r="U114" s="25" t="str">
        <x:v>https://www.cashhomebuyersdirectory.com/cash-home-buyers/texas/corpus-christi
https://buyingtexastoday.com/</x:v>
      </x:c>
      <x:c r="V114" s="26" t="d">
        <x:v>2026-10-02T00:00:00.000Z</x:v>
      </x:c>
      <x:c r="W114" s="26" t="d">
        <x:v>2026-10-03T00:00:00.000Z</x:v>
      </x:c>
      <x:c r="X114" s="25" t="str">
        <x:v>Public investor directory; business role and contact ownership require qualification</x:v>
      </x:c>
      <x:c r="Y114" s="25"/>
      <x:c r="Z114" s="25" t="str">
        <x:v>https://www.cashhomebuyersdirectory.com/cash-home-buyers/texas/corpus-christi</x:v>
      </x:c>
      <x:c r="AA114" s="25" t="str">
        <x:v>Public cash-home-buyer directory lists business name, phone and market. Directory entry may include brokers or service providers. Official website fetched; home-buying or investing activity stated.</x:v>
      </x:c>
      <x:c r="AB114" s="3" t="str">
        <x:v>New public-source collection</x:v>
      </x:c>
      <x:c r="AC114" s="3" t="str">
        <x:v>unverified</x:v>
      </x:c>
      <x:c r="AD114" s="3" t="str">
        <x:v>Not contacted / unconfirmed</x:v>
      </x:c>
      <x:c r="AE114" s="3" t="str">
        <x:v>Yes</x:v>
      </x:c>
      <x:c r="AF114" s="3" t="str">
        <x:v>No</x:v>
      </x:c>
      <x:c r="AG114" s="3"/>
      <x:c r="AH114" s="3"/>
      <x:c r="AI114" s="18"/>
      <x:c r="AJ114" s="3" t="str">
        <x:v>CF2500-AA7080ACF90B</x:v>
      </x:c>
      <x:c r="AK114" s="3" t="str">
        <x:v>Property investor / home-buying operator prospect</x:v>
      </x:c>
      <x:c r="AL114" s="19" t="n">
        <x:v>100000</x:v>
      </x:c>
      <x:c r="AM114" s="19" t="n">
        <x:v>500000</x:v>
      </x:c>
      <x:c r="AN114" s="3" t="str">
        <x:v>https://www.cashhomebuyersdirectory.com/cash-home-buyers/texas/corpus-christi</x:v>
      </x:c>
      <x:c r="AO114" s="3" t="str">
        <x:v>tx_fl_investors.jsonl</x:v>
      </x:c>
      <x:c r="AP114" s="19"/>
    </x:row>
    <x:row r="115" ht="36" customHeight="1">
      <x:c r="A115" s="23" t="n">
        <x:v>114</x:v>
      </x:c>
      <x:c r="B115" s="15" t="str">
        <x:v>Camelback Cash Offer</x:v>
      </x:c>
      <x:c r="C115" s="15"/>
      <x:c r="D115" s="15" t="str">
        <x:v>Property investor / home-buying operator</x:v>
      </x:c>
      <x:c r="E115" s="15" t="str">
        <x:v>Property investor / operator inquiry</x:v>
      </x:c>
      <x:c r="F115" s="17" t="str">
        <x:v>New</x:v>
      </x:c>
      <x:c r="G115" s="24"/>
      <x:c r="H115" s="24" t="str">
        <x:v>+14804706849</x:v>
      </x:c>
      <x:c r="I115" s="24" t="str">
        <x:v>https://camelbackcashoffer.com/</x:v>
      </x:c>
      <x:c r="J115" s="16" t="str">
        <x:v>AZ</x:v>
      </x:c>
      <x:c r="K115" s="16" t="str">
        <x:v>Mesa</x:v>
      </x:c>
      <x:c r="L115" s="16" t="str">
        <x:v>Public property-business route; investor decision maker unconfirmed</x:v>
      </x:c>
      <x:c r="M115" s="16" t="str">
        <x:v>https://camelbackcashoffer.com/</x:v>
      </x:c>
      <x:c r="N115" s="16" t="str">
        <x:v>$100K-$500K ticket not published / unconfirmed</x:v>
      </x:c>
      <x:c r="O115" s="20"/>
      <x:c r="P115" s="20"/>
      <x:c r="Q115" s="25" t="str">
        <x:v>No $100K-$500K operating-company investment ticket verified</x:v>
      </x:c>
      <x:c r="R115" s="25" t="str">
        <x:v>Property acquisition or investor activity makes this an operator-capital prospect for the signed trial. Confirm operating-company debt/equity appetite.</x:v>
      </x:c>
      <x:c r="S115" s="25" t="str">
        <x:v>Public property-buying activity or a directory listing does not establish available cash, investing decision-maker, current $100K-$500K capacity, or willingness to fund 101XVC operating costs.</x:v>
      </x:c>
      <x:c r="T115" s="25" t="str">
        <x:v>Ask the owner/investor whether they can allocate $100K-$500K to trial marketing and acquisitions, and confirm structure, timing and decision authority.</x:v>
      </x:c>
      <x:c r="U115" s="25" t="str">
        <x:v>https://www.cashhomebuyersdirectory.com/cash-home-buyers/arizona/mesa
https://camelbackcashoffer.com/</x:v>
      </x:c>
      <x:c r="V115" s="26" t="d">
        <x:v>2026-10-02T00:00:00.000Z</x:v>
      </x:c>
      <x:c r="W115" s="26" t="d">
        <x:v>2026-10-02T00:00:00.000Z</x:v>
      </x:c>
      <x:c r="X115" s="25" t="str">
        <x:v>Public investor directory; business role and contact ownership require qualification</x:v>
      </x:c>
      <x:c r="Y115" s="25"/>
      <x:c r="Z115" s="25" t="str">
        <x:v>https://www.cashhomebuyersdirectory.com/cash-home-buyers/arizona/mesa</x:v>
      </x:c>
      <x:c r="AA115" s="25" t="str">
        <x:v>Public cash-home-buyer directory lists business name, phone and market. Directory entry may include brokers or service providers. Official website fetched; home-buying or investing activity stated.</x:v>
      </x:c>
      <x:c r="AB115" s="3" t="str">
        <x:v>New public-source collection</x:v>
      </x:c>
      <x:c r="AC115" s="3" t="str">
        <x:v>unverified</x:v>
      </x:c>
      <x:c r="AD115" s="3" t="str">
        <x:v>Not contacted / unconfirmed</x:v>
      </x:c>
      <x:c r="AE115" s="3" t="str">
        <x:v>Yes</x:v>
      </x:c>
      <x:c r="AF115" s="3" t="str">
        <x:v>Yes</x:v>
      </x:c>
      <x:c r="AG115" s="3"/>
      <x:c r="AH115" s="3"/>
      <x:c r="AI115" s="18"/>
      <x:c r="AJ115" s="3" t="str">
        <x:v>CF2500-4095F352E989</x:v>
      </x:c>
      <x:c r="AK115" s="3" t="str">
        <x:v>Property investor / home-buying operator prospect</x:v>
      </x:c>
      <x:c r="AL115" s="19" t="n">
        <x:v>100000</x:v>
      </x:c>
      <x:c r="AM115" s="19" t="n">
        <x:v>500000</x:v>
      </x:c>
      <x:c r="AN115" s="3" t="str">
        <x:v>https://www.cashhomebuyersdirectory.com/cash-home-buyers/arizona/mesa</x:v>
      </x:c>
      <x:c r="AO115" s="3" t="str">
        <x:v>nc_il_az_co_investors.jsonl</x:v>
      </x:c>
      <x:c r="AP115" s="19"/>
    </x:row>
    <x:row r="116" ht="36" customHeight="1">
      <x:c r="A116" s="23" t="n">
        <x:v>115</x:v>
      </x:c>
      <x:c r="B116" s="15" t="str">
        <x:v>Cardinal Home Buyers</x:v>
      </x:c>
      <x:c r="C116" s="15"/>
      <x:c r="D116" s="15" t="str">
        <x:v>Property investor / home-buying operator</x:v>
      </x:c>
      <x:c r="E116" s="15" t="str">
        <x:v>Property investor / operator inquiry</x:v>
      </x:c>
      <x:c r="F116" s="17" t="str">
        <x:v>New</x:v>
      </x:c>
      <x:c r="G116" s="24"/>
      <x:c r="H116" s="24" t="str">
        <x:v>+19196095173</x:v>
      </x:c>
      <x:c r="I116" s="24" t="str">
        <x:v>https://www.cardinalhomebuyers.net/</x:v>
      </x:c>
      <x:c r="J116" s="16" t="str">
        <x:v>NC</x:v>
      </x:c>
      <x:c r="K116" s="16" t="str">
        <x:v>Raleigh</x:v>
      </x:c>
      <x:c r="L116" s="16" t="str">
        <x:v>Public property-business route; investor decision maker unconfirmed</x:v>
      </x:c>
      <x:c r="M116" s="16" t="str">
        <x:v>https://www.cardinalhomebuyers.net/</x:v>
      </x:c>
      <x:c r="N116" s="16" t="str">
        <x:v>$100K-$500K ticket not published / unconfirmed</x:v>
      </x:c>
      <x:c r="O116" s="20"/>
      <x:c r="P116" s="20"/>
      <x:c r="Q116" s="25" t="str">
        <x:v>No $100K-$500K operating-company investment ticket verified</x:v>
      </x:c>
      <x:c r="R116" s="25" t="str">
        <x:v>Property acquisition or investor activity makes this an operator-capital prospect for the signed trial. Confirm operating-company debt/equity appetite.</x:v>
      </x:c>
      <x:c r="S116" s="25" t="str">
        <x:v>Public property-buying activity or a directory listing does not establish available cash, investing decision-maker, current $100K-$500K capacity, or willingness to fund 101XVC operating costs.</x:v>
      </x:c>
      <x:c r="T116" s="25" t="str">
        <x:v>Ask the owner/investor whether they can allocate $100K-$500K to trial marketing and acquisitions, and confirm structure, timing and decision authority.</x:v>
      </x:c>
      <x:c r="U116" s="25" t="str">
        <x:v>https://www.cashhomebuyersdirectory.com/cash-home-buyers/north-carolina/raleigh
https://www.cardinalhomebuyers.net/
https://www.bbb.org/us/nc/category/home-buyers</x:v>
      </x:c>
      <x:c r="V116" s="26" t="d">
        <x:v>2026-10-02T00:00:00.000Z</x:v>
      </x:c>
      <x:c r="W116" s="26" t="d">
        <x:v>2026-10-02T00:00:00.000Z</x:v>
      </x:c>
      <x:c r="X116" s="25" t="str">
        <x:v>Public investor directory; business role and contact ownership require qualification</x:v>
      </x:c>
      <x:c r="Y116" s="25"/>
      <x:c r="Z116" s="25" t="str">
        <x:v>https://www.cashhomebuyersdirectory.com/cash-home-buyers/north-carolina/raleigh</x:v>
      </x:c>
      <x:c r="AA116" s="25" t="str">
        <x:v>Public cash-home-buyer directory lists business name, phone and market. Directory entry may include brokers or service providers. Official website fetched; home-buying or investing activity stated.</x:v>
      </x:c>
      <x:c r="AB116" s="3" t="str">
        <x:v>New public-source collection</x:v>
      </x:c>
      <x:c r="AC116" s="3" t="str">
        <x:v>unverified</x:v>
      </x:c>
      <x:c r="AD116" s="3" t="str">
        <x:v>Not contacted / unconfirmed</x:v>
      </x:c>
      <x:c r="AE116" s="3" t="str">
        <x:v>Yes</x:v>
      </x:c>
      <x:c r="AF116" s="3" t="str">
        <x:v>Yes</x:v>
      </x:c>
      <x:c r="AG116" s="3"/>
      <x:c r="AH116" s="3"/>
      <x:c r="AI116" s="18"/>
      <x:c r="AJ116" s="3" t="str">
        <x:v>CF2500-1C3374FF11B3</x:v>
      </x:c>
      <x:c r="AK116" s="3" t="str">
        <x:v>Property investor / home-buying operator prospect</x:v>
      </x:c>
      <x:c r="AL116" s="19" t="n">
        <x:v>100000</x:v>
      </x:c>
      <x:c r="AM116" s="19" t="n">
        <x:v>500000</x:v>
      </x:c>
      <x:c r="AN116" s="3" t="str">
        <x:v>https://www.cashhomebuyersdirectory.com/cash-home-buyers/north-carolina/raleigh</x:v>
      </x:c>
      <x:c r="AO116" s="3" t="str">
        <x:v>nc_il_az_co_investors.jsonl</x:v>
      </x:c>
      <x:c r="AP116" s="19"/>
    </x:row>
    <x:row r="117" ht="36" customHeight="1">
      <x:c r="A117" s="23" t="n">
        <x:v>116</x:v>
      </x:c>
      <x:c r="B117" s="15" t="str">
        <x:v>Cash For Chicago Houses</x:v>
      </x:c>
      <x:c r="C117" s="15"/>
      <x:c r="D117" s="15" t="str">
        <x:v>Property investor / home-buying operator</x:v>
      </x:c>
      <x:c r="E117" s="15" t="str">
        <x:v>Property investor / operator inquiry</x:v>
      </x:c>
      <x:c r="F117" s="17" t="str">
        <x:v>New</x:v>
      </x:c>
      <x:c r="G117" s="24"/>
      <x:c r="H117" s="24" t="str">
        <x:v>+18479085379</x:v>
      </x:c>
      <x:c r="I117" s="24" t="str">
        <x:v>https://www.cashforchicagohouses.com/</x:v>
      </x:c>
      <x:c r="J117" s="16" t="str">
        <x:v>IL</x:v>
      </x:c>
      <x:c r="K117" s="16" t="str">
        <x:v>Chicago</x:v>
      </x:c>
      <x:c r="L117" s="16" t="str">
        <x:v>Public property-business route; investor decision maker unconfirmed</x:v>
      </x:c>
      <x:c r="M117" s="16" t="str">
        <x:v>https://www.cashforchicagohouses.com/contact-us/</x:v>
      </x:c>
      <x:c r="N117" s="16" t="str">
        <x:v>$100K-$500K ticket not published / unconfirmed</x:v>
      </x:c>
      <x:c r="O117" s="20"/>
      <x:c r="P117" s="20"/>
      <x:c r="Q117" s="25" t="str">
        <x:v>No $100K-$500K operating-company investment ticket verified</x:v>
      </x:c>
      <x:c r="R117" s="25" t="str">
        <x:v>Property acquisition or investor activity makes this an operator-capital prospect for the signed trial. Confirm operating-company debt/equity appetite.</x:v>
      </x:c>
      <x:c r="S117" s="25" t="str">
        <x:v>Public property-buying activity or a directory listing does not establish available cash, investing decision-maker, current $100K-$500K capacity, or willingness to fund 101XVC operating costs.</x:v>
      </x:c>
      <x:c r="T117" s="25" t="str">
        <x:v>Ask the owner/investor whether they can allocate $100K-$500K to trial marketing and acquisitions, and confirm structure, timing and decision authority.</x:v>
      </x:c>
      <x:c r="U117" s="25" t="str">
        <x:v>https://www.cashhomebuyersdirectory.com/cash-home-buyers/illinois/chicago
https://www.cashforchicagohouses.com/
https://www.cashforchicagohouses.com/contact-us/
https://www.bbb.org/us/il/category/home-buyers</x:v>
      </x:c>
      <x:c r="V117" s="26" t="d">
        <x:v>2026-10-02T00:00:00.000Z</x:v>
      </x:c>
      <x:c r="W117" s="26" t="d">
        <x:v>2026-10-02T00:00:00.000Z</x:v>
      </x:c>
      <x:c r="X117" s="25" t="str">
        <x:v>Public investor directory; business role and contact ownership require qualification</x:v>
      </x:c>
      <x:c r="Y117" s="25"/>
      <x:c r="Z117" s="25" t="str">
        <x:v>https://www.cashhomebuyersdirectory.com/cash-home-buyers/illinois/chicago</x:v>
      </x:c>
      <x:c r="AA117" s="25" t="str">
        <x:v>Public cash-home-buyer directory lists business name, phone and market. Directory entry may include brokers or service providers. Official website fetched; home-buying or investing activity stated.</x:v>
      </x:c>
      <x:c r="AB117" s="3" t="str">
        <x:v>New public-source collection</x:v>
      </x:c>
      <x:c r="AC117" s="3" t="str">
        <x:v>unverified</x:v>
      </x:c>
      <x:c r="AD117" s="3" t="str">
        <x:v>Not contacted / unconfirmed</x:v>
      </x:c>
      <x:c r="AE117" s="3" t="str">
        <x:v>Yes</x:v>
      </x:c>
      <x:c r="AF117" s="3" t="str">
        <x:v>No</x:v>
      </x:c>
      <x:c r="AG117" s="3"/>
      <x:c r="AH117" s="3"/>
      <x:c r="AI117" s="18"/>
      <x:c r="AJ117" s="3" t="str">
        <x:v>CF2500-03650D8932D8</x:v>
      </x:c>
      <x:c r="AK117" s="3" t="str">
        <x:v>Property investor / home-buying operator prospect</x:v>
      </x:c>
      <x:c r="AL117" s="19" t="n">
        <x:v>100000</x:v>
      </x:c>
      <x:c r="AM117" s="19" t="n">
        <x:v>500000</x:v>
      </x:c>
      <x:c r="AN117" s="3" t="str">
        <x:v>https://www.cashhomebuyersdirectory.com/cash-home-buyers/illinois/chicago</x:v>
      </x:c>
      <x:c r="AO117" s="3" t="str">
        <x:v>nc_il_az_co_investors.jsonl</x:v>
      </x:c>
      <x:c r="AP117" s="19"/>
    </x:row>
    <x:row r="118" ht="36" customHeight="1">
      <x:c r="A118" s="23" t="n">
        <x:v>117</x:v>
      </x:c>
      <x:c r="B118" s="15" t="str">
        <x:v>Cash For Your Home</x:v>
      </x:c>
      <x:c r="C118" s="15"/>
      <x:c r="D118" s="15" t="str">
        <x:v>Property investor / home-buying operator</x:v>
      </x:c>
      <x:c r="E118" s="15" t="str">
        <x:v>Property investor / operator inquiry</x:v>
      </x:c>
      <x:c r="F118" s="17" t="str">
        <x:v>New</x:v>
      </x:c>
      <x:c r="G118" s="24"/>
      <x:c r="H118" s="24" t="str">
        <x:v>+14694600115</x:v>
      </x:c>
      <x:c r="I118" s="24" t="str">
        <x:v>https://cash4yohome.com/</x:v>
      </x:c>
      <x:c r="J118" s="16" t="str">
        <x:v>TX</x:v>
      </x:c>
      <x:c r="K118" s="16" t="str">
        <x:v>Dallas</x:v>
      </x:c>
      <x:c r="L118" s="16" t="str">
        <x:v>Public property-business route; investor decision maker unconfirmed</x:v>
      </x:c>
      <x:c r="M118" s="16" t="str">
        <x:v>https://cash4yohome.com/contact</x:v>
      </x:c>
      <x:c r="N118" s="16" t="str">
        <x:v>$100K-$500K ticket not published / unconfirmed</x:v>
      </x:c>
      <x:c r="O118" s="20"/>
      <x:c r="P118" s="20"/>
      <x:c r="Q118" s="25" t="str">
        <x:v>No $100K-$500K corporate-investment ticket published in checked source</x:v>
      </x:c>
      <x:c r="R118" s="25" t="str">
        <x:v>Property acquisition or investor activity makes this an operator-capital prospect for the signed trial. Confirm operating-company debt/equity appetite.</x:v>
      </x:c>
      <x:c r="S118" s="25" t="str">
        <x:v>Corporate-investment ticket and appetite unconfirmed. Property-buying activity alone does not establish fit for funding 101XVC trial operating costs.</x:v>
      </x:c>
      <x:c r="T118" s="25" t="str">
        <x:v>Ask the owner/investor whether they can allocate $100K-$500K to trial marketing and acquisitions, and confirm structure, timing and decision authority.</x:v>
      </x:c>
      <x:c r="U118" s="25" t="str">
        <x:v>https://www.cashhomebuyersdirectory.com/cash-home-buyers/texas/dallas
https://cash4yohome.com/
https://cash4yohome.com/contact</x:v>
      </x:c>
      <x:c r="V118" s="26" t="d">
        <x:v>2026-10-02T00:00:00.000Z</x:v>
      </x:c>
      <x:c r="W118" s="26" t="d">
        <x:v>2026-10-03T00:00:00.000Z</x:v>
      </x:c>
      <x:c r="X118" s="25" t="str">
        <x:v>Public investor directory; business role and contact ownership require qualification</x:v>
      </x:c>
      <x:c r="Y118" s="25"/>
      <x:c r="Z118" s="25" t="str">
        <x:v>https://www.cashhomebuyersdirectory.com/cash-home-buyers/texas/dallas</x:v>
      </x:c>
      <x:c r="AA118" s="25" t="str">
        <x:v>Public cash-home-buyer directory lists business name, phone and market. Directory entry may include brokers or service providers. Official website fetched; home-buying or investing activity stated.</x:v>
      </x:c>
      <x:c r="AB118" s="3" t="str">
        <x:v>New public-source collection</x:v>
      </x:c>
      <x:c r="AC118" s="3" t="str">
        <x:v>unverified</x:v>
      </x:c>
      <x:c r="AD118" s="3" t="str">
        <x:v>Not contacted / unconfirmed</x:v>
      </x:c>
      <x:c r="AE118" s="3" t="str">
        <x:v>Yes</x:v>
      </x:c>
      <x:c r="AF118" s="3" t="str">
        <x:v>No</x:v>
      </x:c>
      <x:c r="AG118" s="3"/>
      <x:c r="AH118" s="3"/>
      <x:c r="AI118" s="18"/>
      <x:c r="AJ118" s="3" t="str">
        <x:v>CF2500-FBE992021C0D</x:v>
      </x:c>
      <x:c r="AK118" s="3" t="str">
        <x:v>Property investor / home-buying operator prospect</x:v>
      </x:c>
      <x:c r="AL118" s="19" t="n">
        <x:v>100000</x:v>
      </x:c>
      <x:c r="AM118" s="19" t="n">
        <x:v>500000</x:v>
      </x:c>
      <x:c r="AN118" s="3" t="str">
        <x:v>https://www.cashhomebuyersdirectory.com/cash-home-buyers/texas/dallas</x:v>
      </x:c>
      <x:c r="AO118" s="3" t="str">
        <x:v>tx_fl_investors.jsonl</x:v>
      </x:c>
      <x:c r="AP118" s="19"/>
    </x:row>
    <x:row r="119" ht="36" customHeight="1">
      <x:c r="A119" s="23" t="n">
        <x:v>118</x:v>
      </x:c>
      <x:c r="B119" s="15" t="str">
        <x:v>Cash Home Buyers Arizona</x:v>
      </x:c>
      <x:c r="C119" s="15"/>
      <x:c r="D119" s="15" t="str">
        <x:v>Property investor / home-buying operator</x:v>
      </x:c>
      <x:c r="E119" s="15" t="str">
        <x:v>Property investor / operator inquiry</x:v>
      </x:c>
      <x:c r="F119" s="17" t="str">
        <x:v>New</x:v>
      </x:c>
      <x:c r="G119" s="24"/>
      <x:c r="H119" s="24" t="str">
        <x:v>+16232546754</x:v>
      </x:c>
      <x:c r="I119" s="24" t="str">
        <x:v>https://www.cashhomebuyersarizona.com/</x:v>
      </x:c>
      <x:c r="J119" s="16" t="str">
        <x:v>AZ</x:v>
      </x:c>
      <x:c r="K119" s="16"/>
      <x:c r="L119" s="16" t="str">
        <x:v>Public property-business route; investor decision maker unconfirmed</x:v>
      </x:c>
      <x:c r="M119" s="16" t="str">
        <x:v>https://www.cashhomebuyersarizona.com/contact/</x:v>
      </x:c>
      <x:c r="N119" s="16" t="str">
        <x:v>$100K-$500K ticket not published / unconfirmed</x:v>
      </x:c>
      <x:c r="O119" s="20"/>
      <x:c r="P119" s="20"/>
      <x:c r="Q119" s="25" t="str">
        <x:v>No $100K-$500K operating-company investment ticket verified</x:v>
      </x:c>
      <x:c r="R119" s="25" t="str">
        <x:v>Property acquisition or investor activity makes this an operator-capital prospect for the signed trial. Confirm operating-company debt/equity appetite.</x:v>
      </x:c>
      <x:c r="S119" s="25" t="str">
        <x:v>Public property-buying activity or a directory listing does not establish available cash, investing decision-maker, current $100K-$500K capacity, or willingness to fund 101XVC operating costs.</x:v>
      </x:c>
      <x:c r="T119" s="25" t="str">
        <x:v>Ask the owner/investor whether they can allocate $100K-$500K to trial marketing and acquisitions, and confirm structure, timing and decision authority.</x:v>
      </x:c>
      <x:c r="U119" s="25" t="str">
        <x:v>https://www.cashhomebuyersdirectory.com/cash-home-buyers/arizona/mesa
https://www.cashhomebuyersarizona.com/
https://www.cashhomebuyersarizona.com/contact/</x:v>
      </x:c>
      <x:c r="V119" s="26" t="d">
        <x:v>2026-10-02T00:00:00.000Z</x:v>
      </x:c>
      <x:c r="W119" s="26" t="d">
        <x:v>2026-10-02T00:00:00.000Z</x:v>
      </x:c>
      <x:c r="X119" s="25" t="str">
        <x:v>Public investor directory; business role and contact ownership require qualification</x:v>
      </x:c>
      <x:c r="Y119" s="25"/>
      <x:c r="Z119" s="25" t="str">
        <x:v>https://www.cashhomebuyersdirectory.com/cash-home-buyers/arizona/mesa</x:v>
      </x:c>
      <x:c r="AA119" s="25" t="str">
        <x:v>Public cash-home-buyer directory lists business name, phone and market. Directory entry may include brokers or service providers. Official website fetched; home-buying or investing activity stated.</x:v>
      </x:c>
      <x:c r="AB119" s="3" t="str">
        <x:v>New public-source collection</x:v>
      </x:c>
      <x:c r="AC119" s="3" t="str">
        <x:v>unverified</x:v>
      </x:c>
      <x:c r="AD119" s="3" t="str">
        <x:v>Not contacted / unconfirmed</x:v>
      </x:c>
      <x:c r="AE119" s="3" t="str">
        <x:v>Yes</x:v>
      </x:c>
      <x:c r="AF119" s="3" t="str">
        <x:v>No</x:v>
      </x:c>
      <x:c r="AG119" s="3"/>
      <x:c r="AH119" s="3"/>
      <x:c r="AI119" s="18"/>
      <x:c r="AJ119" s="3" t="str">
        <x:v>CF2500-1DB632D72515</x:v>
      </x:c>
      <x:c r="AK119" s="3" t="str">
        <x:v>Property investor / home-buying operator prospect</x:v>
      </x:c>
      <x:c r="AL119" s="19" t="n">
        <x:v>100000</x:v>
      </x:c>
      <x:c r="AM119" s="19" t="n">
        <x:v>500000</x:v>
      </x:c>
      <x:c r="AN119" s="3" t="str">
        <x:v>https://www.cashhomebuyersdirectory.com/cash-home-buyers/arizona/mesa</x:v>
      </x:c>
      <x:c r="AO119" s="3" t="str">
        <x:v>nc_il_az_co_investors.jsonl</x:v>
      </x:c>
      <x:c r="AP119" s="19"/>
    </x:row>
    <x:row r="120" ht="36" customHeight="1">
      <x:c r="A120" s="23" t="n">
        <x:v>119</x:v>
      </x:c>
      <x:c r="B120" s="15" t="str">
        <x:v>Cash Home Buyers of Florida</x:v>
      </x:c>
      <x:c r="C120" s="15"/>
      <x:c r="D120" s="15" t="str">
        <x:v>Property investor / home-buying operator</x:v>
      </x:c>
      <x:c r="E120" s="15" t="str">
        <x:v>Property investor / operator inquiry</x:v>
      </x:c>
      <x:c r="F120" s="17" t="str">
        <x:v>New</x:v>
      </x:c>
      <x:c r="G120" s="24"/>
      <x:c r="H120" s="24" t="str">
        <x:v>+18884081002</x:v>
      </x:c>
      <x:c r="I120" s="24" t="str">
        <x:v>https://www.webuyinflorida.com/contact-us/</x:v>
      </x:c>
      <x:c r="J120" s="16" t="str">
        <x:v>FL</x:v>
      </x:c>
      <x:c r="K120" s="16"/>
      <x:c r="L120" s="16" t="str">
        <x:v>Public property-business route; investor decision maker unconfirmed</x:v>
      </x:c>
      <x:c r="M120" s="16" t="str">
        <x:v>https://www.webuyinflorida.com/contact-us/</x:v>
      </x:c>
      <x:c r="N120" s="16" t="str">
        <x:v>$100K-$500K ticket not published / unconfirmed</x:v>
      </x:c>
      <x:c r="O120" s="20"/>
      <x:c r="P120" s="20"/>
      <x:c r="Q120" s="25" t="str">
        <x:v>No $100K-$500K corporate-investment ticket published in checked source</x:v>
      </x:c>
      <x:c r="R120" s="25" t="str">
        <x:v>Property acquisition or investor activity makes this an operator-capital prospect for the signed trial. Confirm operating-company debt/equity appetite.</x:v>
      </x:c>
      <x:c r="S120" s="25" t="str">
        <x:v>Corporate-investment ticket and appetite unconfirmed. Property-buying activity alone does not establish fit for funding 101XVC trial operating costs.</x:v>
      </x:c>
      <x:c r="T120" s="25" t="str">
        <x:v>Ask the owner/investor whether they can allocate $100K-$500K to trial marketing and acquisitions, and confirm structure, timing and decision authority.</x:v>
      </x:c>
      <x:c r="U120" s="25" t="str">
        <x:v>https://www.cashhomebuyersdirectory.com/cash-home-buyers/florida/cape-coral
https://www.webuyinflorida.com/contact-us/</x:v>
      </x:c>
      <x:c r="V120" s="26" t="d">
        <x:v>2026-10-02T00:00:00.000Z</x:v>
      </x:c>
      <x:c r="W120" s="26" t="d">
        <x:v>2026-10-03T00:00:00.000Z</x:v>
      </x:c>
      <x:c r="X120" s="25" t="str">
        <x:v>Public investor directory; business role and contact ownership require qualification</x:v>
      </x:c>
      <x:c r="Y120" s="25"/>
      <x:c r="Z120" s="25" t="str">
        <x:v>https://www.cashhomebuyersdirectory.com/cash-home-buyers/florida/cape-coral</x:v>
      </x:c>
      <x:c r="AA120" s="25" t="str">
        <x:v>Public cash-home-buyer directory lists business name, phone and market. Directory entry may include brokers or service providers. Official website fetched; home-buying or investing activity stated.</x:v>
      </x:c>
      <x:c r="AB120" s="3" t="str">
        <x:v>New public-source collection</x:v>
      </x:c>
      <x:c r="AC120" s="3" t="str">
        <x:v>unverified</x:v>
      </x:c>
      <x:c r="AD120" s="3" t="str">
        <x:v>Not contacted / unconfirmed</x:v>
      </x:c>
      <x:c r="AE120" s="3" t="str">
        <x:v>Yes</x:v>
      </x:c>
      <x:c r="AF120" s="3" t="str">
        <x:v>No</x:v>
      </x:c>
      <x:c r="AG120" s="3"/>
      <x:c r="AH120" s="3"/>
      <x:c r="AI120" s="18"/>
      <x:c r="AJ120" s="3" t="str">
        <x:v>CF2500-AC542516700B</x:v>
      </x:c>
      <x:c r="AK120" s="3" t="str">
        <x:v>Property investor / home-buying operator prospect</x:v>
      </x:c>
      <x:c r="AL120" s="19" t="n">
        <x:v>100000</x:v>
      </x:c>
      <x:c r="AM120" s="19" t="n">
        <x:v>500000</x:v>
      </x:c>
      <x:c r="AN120" s="3" t="str">
        <x:v>https://www.cashhomebuyersdirectory.com/cash-home-buyers/florida/cape-coral</x:v>
      </x:c>
      <x:c r="AO120" s="3" t="str">
        <x:v>tx_fl_investors.jsonl</x:v>
      </x:c>
      <x:c r="AP120" s="19"/>
    </x:row>
    <x:row r="121" ht="36" customHeight="1">
      <x:c r="A121" s="23" t="n">
        <x:v>120</x:v>
      </x:c>
      <x:c r="B121" s="15" t="str">
        <x:v>Cash Homebuyers America</x:v>
      </x:c>
      <x:c r="C121" s="15"/>
      <x:c r="D121" s="15" t="str">
        <x:v>Property investor / home-buying operator</x:v>
      </x:c>
      <x:c r="E121" s="15" t="str">
        <x:v>Property investor / operator inquiry</x:v>
      </x:c>
      <x:c r="F121" s="17" t="str">
        <x:v>New</x:v>
      </x:c>
      <x:c r="G121" s="24"/>
      <x:c r="H121" s="24" t="str">
        <x:v>+18556061855</x:v>
      </x:c>
      <x:c r="I121" s="24" t="str">
        <x:v>https://www.cashhomebuyersamerica.com/</x:v>
      </x:c>
      <x:c r="J121" s="16" t="str">
        <x:v>AZ</x:v>
      </x:c>
      <x:c r="K121" s="16" t="str">
        <x:v>Mesa</x:v>
      </x:c>
      <x:c r="L121" s="16" t="str">
        <x:v>Public property-business route; investor decision maker unconfirmed</x:v>
      </x:c>
      <x:c r="M121" s="16" t="str">
        <x:v>https://www.cashhomebuyersamerica.com/contact-us/</x:v>
      </x:c>
      <x:c r="N121" s="16" t="str">
        <x:v>$100K-$500K ticket not published / unconfirmed</x:v>
      </x:c>
      <x:c r="O121" s="20"/>
      <x:c r="P121" s="20"/>
      <x:c r="Q121" s="25" t="str">
        <x:v>No $100K-$500K operating-company investment ticket verified</x:v>
      </x:c>
      <x:c r="R121" s="25" t="str">
        <x:v>Property acquisition or investor activity makes this an operator-capital prospect for the signed trial. Confirm operating-company debt/equity appetite.</x:v>
      </x:c>
      <x:c r="S121" s="25" t="str">
        <x:v>Public property-buying activity or a directory listing does not establish available cash, investing decision-maker, current $100K-$500K capacity, or willingness to fund 101XVC operating costs.</x:v>
      </x:c>
      <x:c r="T121" s="25" t="str">
        <x:v>Ask the owner/investor whether they can allocate $100K-$500K to trial marketing and acquisitions, and confirm structure, timing and decision authority.</x:v>
      </x:c>
      <x:c r="U121" s="25" t="str">
        <x:v>https://www.cashhomebuyersdirectory.com/cash-home-buyers/arizona/mesa
https://www.cashhomebuyersamerica.com/
https://www.cashhomebuyersamerica.com/contact-us/</x:v>
      </x:c>
      <x:c r="V121" s="26" t="d">
        <x:v>2026-10-02T00:00:00.000Z</x:v>
      </x:c>
      <x:c r="W121" s="26" t="d">
        <x:v>2026-10-02T00:00:00.000Z</x:v>
      </x:c>
      <x:c r="X121" s="25" t="str">
        <x:v>Public investor directory; business role and contact ownership require qualification</x:v>
      </x:c>
      <x:c r="Y121" s="25"/>
      <x:c r="Z121" s="25" t="str">
        <x:v>https://www.cashhomebuyersdirectory.com/cash-home-buyers/arizona/mesa</x:v>
      </x:c>
      <x:c r="AA121" s="25" t="str">
        <x:v>Public cash-home-buyer directory lists business name, phone and market. Directory entry may include brokers or service providers. Official website fetched; home-buying or investing activity stated.</x:v>
      </x:c>
      <x:c r="AB121" s="3" t="str">
        <x:v>New public-source collection</x:v>
      </x:c>
      <x:c r="AC121" s="3" t="str">
        <x:v>unverified</x:v>
      </x:c>
      <x:c r="AD121" s="3" t="str">
        <x:v>Not contacted / unconfirmed</x:v>
      </x:c>
      <x:c r="AE121" s="3" t="str">
        <x:v>Yes</x:v>
      </x:c>
      <x:c r="AF121" s="3" t="str">
        <x:v>No</x:v>
      </x:c>
      <x:c r="AG121" s="3"/>
      <x:c r="AH121" s="3"/>
      <x:c r="AI121" s="18"/>
      <x:c r="AJ121" s="3" t="str">
        <x:v>CF2500-D63CBBCC94D7</x:v>
      </x:c>
      <x:c r="AK121" s="3" t="str">
        <x:v>Property investor / home-buying operator prospect</x:v>
      </x:c>
      <x:c r="AL121" s="19" t="n">
        <x:v>100000</x:v>
      </x:c>
      <x:c r="AM121" s="19" t="n">
        <x:v>500000</x:v>
      </x:c>
      <x:c r="AN121" s="3" t="str">
        <x:v>https://www.cashhomebuyersdirectory.com/cash-home-buyers/arizona/mesa</x:v>
      </x:c>
      <x:c r="AO121" s="3" t="str">
        <x:v>nc_il_az_co_investors.jsonl</x:v>
      </x:c>
      <x:c r="AP121" s="19"/>
    </x:row>
    <x:row r="122" ht="36" customHeight="1">
      <x:c r="A122" s="23" t="n">
        <x:v>121</x:v>
      </x:c>
      <x:c r="B122" s="15" t="str">
        <x:v>Cash House Buyers USA - Austin TX</x:v>
      </x:c>
      <x:c r="C122" s="15"/>
      <x:c r="D122" s="15" t="str">
        <x:v>Property investor / home-buying operator</x:v>
      </x:c>
      <x:c r="E122" s="15" t="str">
        <x:v>Property investor / operator inquiry</x:v>
      </x:c>
      <x:c r="F122" s="17" t="str">
        <x:v>New</x:v>
      </x:c>
      <x:c r="G122" s="24"/>
      <x:c r="H122" s="24" t="str">
        <x:v>+15125639127</x:v>
      </x:c>
      <x:c r="I122" s="24" t="str">
        <x:v>https://cashhousebuyersusa.com/areas/sell-house-cash-austin-texas-we-buy-austin-tx-houses-fast/</x:v>
      </x:c>
      <x:c r="J122" s="16" t="str">
        <x:v>TX</x:v>
      </x:c>
      <x:c r="K122" s="16" t="str">
        <x:v>Austin</x:v>
      </x:c>
      <x:c r="L122" s="16" t="str">
        <x:v>Public property-business route; investor decision maker unconfirmed</x:v>
      </x:c>
      <x:c r="M122" s="16" t="str">
        <x:v>https://cashhousebuyersusa.com/contact/</x:v>
      </x:c>
      <x:c r="N122" s="16" t="str">
        <x:v>$100K-$500K ticket not published / unconfirmed</x:v>
      </x:c>
      <x:c r="O122" s="20"/>
      <x:c r="P122" s="20"/>
      <x:c r="Q122" s="25" t="str">
        <x:v>No $100K-$500K corporate-investment ticket published in checked source</x:v>
      </x:c>
      <x:c r="R122" s="25" t="str">
        <x:v>Property acquisition or investor activity makes this an operator-capital prospect for the signed trial. Confirm operating-company debt/equity appetite.</x:v>
      </x:c>
      <x:c r="S122" s="25" t="str">
        <x:v>Corporate-investment ticket and appetite unconfirmed. Property-buying activity alone does not establish fit for funding 101XVC trial operating costs.</x:v>
      </x:c>
      <x:c r="T122" s="25" t="str">
        <x:v>Ask the owner/investor whether they can allocate $100K-$500K to trial marketing and acquisitions, and confirm structure, timing and decision authority.</x:v>
      </x:c>
      <x:c r="U122" s="25" t="str">
        <x:v>https://www.cashhomebuyersdirectory.com/cash-home-buyers/texas/austin
https://cashhousebuyersusa.com/areas/sell-house-cash-austin-texas-we-buy-austin-tx-houses-fast/
https://cashhousebuyersusa.com/contact/</x:v>
      </x:c>
      <x:c r="V122" s="26" t="d">
        <x:v>2026-10-02T00:00:00.000Z</x:v>
      </x:c>
      <x:c r="W122" s="26" t="d">
        <x:v>2026-10-03T00:00:00.000Z</x:v>
      </x:c>
      <x:c r="X122" s="25" t="str">
        <x:v>Public investor directory; business role and contact ownership require qualification</x:v>
      </x:c>
      <x:c r="Y122" s="25"/>
      <x:c r="Z122" s="25" t="str">
        <x:v>https://www.cashhomebuyersdirectory.com/cash-home-buyers/texas/austin</x:v>
      </x:c>
      <x:c r="AA122" s="25" t="str">
        <x:v>Public cash-home-buyer directory lists business name, phone and market. Directory entry may include brokers or service providers. Official website fetched; home-buying or investing activity stated.</x:v>
      </x:c>
      <x:c r="AB122" s="3" t="str">
        <x:v>New public-source collection</x:v>
      </x:c>
      <x:c r="AC122" s="3" t="str">
        <x:v>unverified</x:v>
      </x:c>
      <x:c r="AD122" s="3" t="str">
        <x:v>Not contacted / unconfirmed</x:v>
      </x:c>
      <x:c r="AE122" s="3" t="str">
        <x:v>Yes</x:v>
      </x:c>
      <x:c r="AF122" s="3" t="str">
        <x:v>No</x:v>
      </x:c>
      <x:c r="AG122" s="3"/>
      <x:c r="AH122" s="3"/>
      <x:c r="AI122" s="18"/>
      <x:c r="AJ122" s="3" t="str">
        <x:v>CF2500-DAA543C24D26</x:v>
      </x:c>
      <x:c r="AK122" s="3" t="str">
        <x:v>Property investor / home-buying operator prospect</x:v>
      </x:c>
      <x:c r="AL122" s="19" t="n">
        <x:v>100000</x:v>
      </x:c>
      <x:c r="AM122" s="19" t="n">
        <x:v>500000</x:v>
      </x:c>
      <x:c r="AN122" s="3" t="str">
        <x:v>https://www.cashhomebuyersdirectory.com/cash-home-buyers/texas/austin</x:v>
      </x:c>
      <x:c r="AO122" s="3" t="str">
        <x:v>tx_fl_investors.jsonl</x:v>
      </x:c>
      <x:c r="AP122" s="19"/>
    </x:row>
    <x:row r="123" ht="36" customHeight="1">
      <x:c r="A123" s="23" t="n">
        <x:v>122</x:v>
      </x:c>
      <x:c r="B123" s="15" t="str">
        <x:v>Cash Out Your Home | Sell My House Fast</x:v>
      </x:c>
      <x:c r="C123" s="15"/>
      <x:c r="D123" s="15" t="str">
        <x:v>Property investor / home-buying operator</x:v>
      </x:c>
      <x:c r="E123" s="15" t="str">
        <x:v>Property investor / operator inquiry</x:v>
      </x:c>
      <x:c r="F123" s="17" t="str">
        <x:v>New</x:v>
      </x:c>
      <x:c r="G123" s="24"/>
      <x:c r="H123" s="24" t="str">
        <x:v>+17867052899</x:v>
      </x:c>
      <x:c r="I123" s="24" t="str">
        <x:v>https://www.cashoutyourhome.com/</x:v>
      </x:c>
      <x:c r="J123" s="16" t="str">
        <x:v>FL</x:v>
      </x:c>
      <x:c r="K123" s="16" t="str">
        <x:v>Miami</x:v>
      </x:c>
      <x:c r="L123" s="16" t="str">
        <x:v>Public property-business route; investor decision maker unconfirmed</x:v>
      </x:c>
      <x:c r="M123" s="16" t="str">
        <x:v>https://www.cashoutyourhome.com/</x:v>
      </x:c>
      <x:c r="N123" s="16" t="str">
        <x:v>$100K-$500K ticket not published / unconfirmed</x:v>
      </x:c>
      <x:c r="O123" s="20"/>
      <x:c r="P123" s="20"/>
      <x:c r="Q123" s="25" t="str">
        <x:v>No $100K-$500K corporate-investment ticket published in checked source</x:v>
      </x:c>
      <x:c r="R123" s="25" t="str">
        <x:v>Property acquisition or investor activity makes this an operator-capital prospect for the signed trial. Confirm operating-company debt/equity appetite.</x:v>
      </x:c>
      <x:c r="S123" s="25" t="str">
        <x:v>Corporate-investment ticket and appetite unconfirmed. Property-buying activity alone does not establish fit for funding 101XVC trial operating costs.</x:v>
      </x:c>
      <x:c r="T123" s="25" t="str">
        <x:v>Ask the owner/investor whether they can allocate $100K-$500K to trial marketing and acquisitions, and confirm structure, timing and decision authority.</x:v>
      </x:c>
      <x:c r="U123" s="25" t="str">
        <x:v>https://www.cashhomebuyersdirectory.com/cash-home-buyers/florida/miami
https://www.cashoutyourhome.com/</x:v>
      </x:c>
      <x:c r="V123" s="26" t="d">
        <x:v>2026-10-02T00:00:00.000Z</x:v>
      </x:c>
      <x:c r="W123" s="26" t="d">
        <x:v>2026-10-03T00:00:00.000Z</x:v>
      </x:c>
      <x:c r="X123" s="25" t="str">
        <x:v>Public investor directory; business role and contact ownership require qualification</x:v>
      </x:c>
      <x:c r="Y123" s="25"/>
      <x:c r="Z123" s="25" t="str">
        <x:v>https://www.cashhomebuyersdirectory.com/cash-home-buyers/florida/miami</x:v>
      </x:c>
      <x:c r="AA123" s="25" t="str">
        <x:v>Public cash-home-buyer directory lists business name, phone and market. Directory entry may include brokers or service providers. Official website fetched; home-buying or investing activity stated.</x:v>
      </x:c>
      <x:c r="AB123" s="3" t="str">
        <x:v>New public-source collection</x:v>
      </x:c>
      <x:c r="AC123" s="3" t="str">
        <x:v>unverified</x:v>
      </x:c>
      <x:c r="AD123" s="3" t="str">
        <x:v>Not contacted / unconfirmed</x:v>
      </x:c>
      <x:c r="AE123" s="3" t="str">
        <x:v>Yes</x:v>
      </x:c>
      <x:c r="AF123" s="3" t="str">
        <x:v>No</x:v>
      </x:c>
      <x:c r="AG123" s="3"/>
      <x:c r="AH123" s="3"/>
      <x:c r="AI123" s="18"/>
      <x:c r="AJ123" s="3" t="str">
        <x:v>CF2500-B8CA18666BD3</x:v>
      </x:c>
      <x:c r="AK123" s="3" t="str">
        <x:v>Property investor / home-buying operator prospect</x:v>
      </x:c>
      <x:c r="AL123" s="19" t="n">
        <x:v>100000</x:v>
      </x:c>
      <x:c r="AM123" s="19" t="n">
        <x:v>500000</x:v>
      </x:c>
      <x:c r="AN123" s="3" t="str">
        <x:v>https://www.cashhomebuyersdirectory.com/cash-home-buyers/florida/miami</x:v>
      </x:c>
      <x:c r="AO123" s="3" t="str">
        <x:v>tx_fl_investors.jsonl</x:v>
      </x:c>
      <x:c r="AP123" s="19"/>
    </x:row>
    <x:row r="124" ht="36" customHeight="1">
      <x:c r="A124" s="23" t="n">
        <x:v>123</x:v>
      </x:c>
      <x:c r="B124" s="15" t="str">
        <x:v>Cash Today Home Buyers</x:v>
      </x:c>
      <x:c r="C124" s="15"/>
      <x:c r="D124" s="15" t="str">
        <x:v>Property investor / home-buying operator</x:v>
      </x:c>
      <x:c r="E124" s="15" t="str">
        <x:v>Property investor / operator inquiry</x:v>
      </x:c>
      <x:c r="F124" s="17" t="str">
        <x:v>New</x:v>
      </x:c>
      <x:c r="G124" s="24"/>
      <x:c r="H124" s="24" t="str">
        <x:v>+17045243130</x:v>
      </x:c>
      <x:c r="I124" s="24" t="str">
        <x:v>https://www.cashtodayhomebuyers.com/</x:v>
      </x:c>
      <x:c r="J124" s="16" t="str">
        <x:v>NC</x:v>
      </x:c>
      <x:c r="K124" s="16" t="str">
        <x:v>Charlotte</x:v>
      </x:c>
      <x:c r="L124" s="16" t="str">
        <x:v>Public property-business route; investor decision maker unconfirmed</x:v>
      </x:c>
      <x:c r="M124" s="16" t="str">
        <x:v>https://www.cashtodayhomebuyers.com/</x:v>
      </x:c>
      <x:c r="N124" s="16" t="str">
        <x:v>$100K-$500K ticket not published / unconfirmed</x:v>
      </x:c>
      <x:c r="O124" s="20"/>
      <x:c r="P124" s="20"/>
      <x:c r="Q124" s="25" t="str">
        <x:v>No $100K-$500K operating-company investment ticket verified</x:v>
      </x:c>
      <x:c r="R124" s="25" t="str">
        <x:v>Property acquisition or investor activity makes this an operator-capital prospect for the signed trial. Confirm operating-company debt/equity appetite.</x:v>
      </x:c>
      <x:c r="S124" s="25" t="str">
        <x:v>Public property-buying activity or a directory listing does not establish available cash, investing decision-maker, current $100K-$500K capacity, or willingness to fund 101XVC operating costs.</x:v>
      </x:c>
      <x:c r="T124" s="25" t="str">
        <x:v>Ask the owner/investor whether they can allocate $100K-$500K to trial marketing and acquisitions, and confirm structure, timing and decision authority.</x:v>
      </x:c>
      <x:c r="U124" s="25" t="str">
        <x:v>https://www.cashhomebuyersdirectory.com/cash-home-buyers/north-carolina/charlotte
https://www.cashtodayhomebuyers.com/</x:v>
      </x:c>
      <x:c r="V124" s="26" t="d">
        <x:v>2026-10-02T00:00:00.000Z</x:v>
      </x:c>
      <x:c r="W124" s="26" t="d">
        <x:v>2026-10-02T00:00:00.000Z</x:v>
      </x:c>
      <x:c r="X124" s="25" t="str">
        <x:v>Public investor directory; business role and contact ownership require qualification</x:v>
      </x:c>
      <x:c r="Y124" s="25"/>
      <x:c r="Z124" s="25" t="str">
        <x:v>https://www.cashhomebuyersdirectory.com/cash-home-buyers/north-carolina/charlotte</x:v>
      </x:c>
      <x:c r="AA124" s="25" t="str">
        <x:v>Public cash-home-buyer directory lists business name, phone and market. Directory entry may include brokers or service providers. Official website fetched; home-buying or investing activity stated.</x:v>
      </x:c>
      <x:c r="AB124" s="3" t="str">
        <x:v>New public-source collection</x:v>
      </x:c>
      <x:c r="AC124" s="3" t="str">
        <x:v>unverified</x:v>
      </x:c>
      <x:c r="AD124" s="3" t="str">
        <x:v>Not contacted / unconfirmed</x:v>
      </x:c>
      <x:c r="AE124" s="3" t="str">
        <x:v>Yes</x:v>
      </x:c>
      <x:c r="AF124" s="3" t="str">
        <x:v>Yes</x:v>
      </x:c>
      <x:c r="AG124" s="3"/>
      <x:c r="AH124" s="3"/>
      <x:c r="AI124" s="18"/>
      <x:c r="AJ124" s="3" t="str">
        <x:v>CF2500-8B167EEECC50</x:v>
      </x:c>
      <x:c r="AK124" s="3" t="str">
        <x:v>Property investor / home-buying operator prospect</x:v>
      </x:c>
      <x:c r="AL124" s="19" t="n">
        <x:v>100000</x:v>
      </x:c>
      <x:c r="AM124" s="19" t="n">
        <x:v>500000</x:v>
      </x:c>
      <x:c r="AN124" s="3" t="str">
        <x:v>https://www.cashhomebuyersdirectory.com/cash-home-buyers/north-carolina/charlotte</x:v>
      </x:c>
      <x:c r="AO124" s="3" t="str">
        <x:v>nc_il_az_co_investors.jsonl</x:v>
      </x:c>
      <x:c r="AP124" s="19"/>
    </x:row>
    <x:row r="125" ht="36" customHeight="1">
      <x:c r="A125" s="23" t="n">
        <x:v>124</x:v>
      </x:c>
      <x:c r="B125" s="15" t="str">
        <x:v>Cash4Keys Homebuyers LLC</x:v>
      </x:c>
      <x:c r="C125" s="15"/>
      <x:c r="D125" s="15" t="str">
        <x:v>Property investor / home-buying operator</x:v>
      </x:c>
      <x:c r="E125" s="15" t="str">
        <x:v>Property investor / operator inquiry</x:v>
      </x:c>
      <x:c r="F125" s="17" t="str">
        <x:v>New</x:v>
      </x:c>
      <x:c r="G125" s="24"/>
      <x:c r="H125" s="24" t="str">
        <x:v>+18323922801</x:v>
      </x:c>
      <x:c r="I125" s="24" t="str">
        <x:v>https://cash4keysbuyers.com/</x:v>
      </x:c>
      <x:c r="J125" s="16" t="str">
        <x:v>TX</x:v>
      </x:c>
      <x:c r="K125" s="16" t="str">
        <x:v>Houston</x:v>
      </x:c>
      <x:c r="L125" s="16" t="str">
        <x:v>Public property-business route; investor decision maker unconfirmed</x:v>
      </x:c>
      <x:c r="M125" s="16" t="str">
        <x:v>https://cash4keysbuyers.com/</x:v>
      </x:c>
      <x:c r="N125" s="16" t="str">
        <x:v>$100K-$500K ticket not published / unconfirmed</x:v>
      </x:c>
      <x:c r="O125" s="20"/>
      <x:c r="P125" s="20"/>
      <x:c r="Q125" s="25" t="str">
        <x:v>No $100K-$500K corporate-investment ticket published in checked source</x:v>
      </x:c>
      <x:c r="R125" s="25" t="str">
        <x:v>Property acquisition or investor activity makes this an operator-capital prospect for the signed trial. Confirm operating-company debt/equity appetite.</x:v>
      </x:c>
      <x:c r="S125" s="25" t="str">
        <x:v>Corporate-investment ticket and appetite unconfirmed. Property-buying activity alone does not establish fit for funding 101XVC trial operating costs.</x:v>
      </x:c>
      <x:c r="T125" s="25" t="str">
        <x:v>Ask the owner/investor whether they can allocate $100K-$500K to trial marketing and acquisitions, and confirm structure, timing and decision authority.</x:v>
      </x:c>
      <x:c r="U125" s="25" t="str">
        <x:v>https://www.cashhomebuyersdirectory.com/cash-home-buyers/texas/houston
https://cash4keysbuyers.com/</x:v>
      </x:c>
      <x:c r="V125" s="26" t="d">
        <x:v>2026-10-02T00:00:00.000Z</x:v>
      </x:c>
      <x:c r="W125" s="26" t="d">
        <x:v>2026-10-03T00:00:00.000Z</x:v>
      </x:c>
      <x:c r="X125" s="25" t="str">
        <x:v>Public investor directory; business role and contact ownership require qualification</x:v>
      </x:c>
      <x:c r="Y125" s="25"/>
      <x:c r="Z125" s="25" t="str">
        <x:v>https://www.cashhomebuyersdirectory.com/cash-home-buyers/texas/houston</x:v>
      </x:c>
      <x:c r="AA125" s="25" t="str">
        <x:v>Public cash-home-buyer directory lists business name, phone and market. Directory entry may include brokers or service providers. Official website fetched; home-buying or investing activity stated.</x:v>
      </x:c>
      <x:c r="AB125" s="3" t="str">
        <x:v>New public-source collection</x:v>
      </x:c>
      <x:c r="AC125" s="3" t="str">
        <x:v>unverified</x:v>
      </x:c>
      <x:c r="AD125" s="3" t="str">
        <x:v>Not contacted / unconfirmed</x:v>
      </x:c>
      <x:c r="AE125" s="3" t="str">
        <x:v>Yes</x:v>
      </x:c>
      <x:c r="AF125" s="3" t="str">
        <x:v>Yes</x:v>
      </x:c>
      <x:c r="AG125" s="3"/>
      <x:c r="AH125" s="3"/>
      <x:c r="AI125" s="18"/>
      <x:c r="AJ125" s="3" t="str">
        <x:v>CF2500-1E790553DFE9</x:v>
      </x:c>
      <x:c r="AK125" s="3" t="str">
        <x:v>Property investor / home-buying operator prospect</x:v>
      </x:c>
      <x:c r="AL125" s="19" t="n">
        <x:v>100000</x:v>
      </x:c>
      <x:c r="AM125" s="19" t="n">
        <x:v>500000</x:v>
      </x:c>
      <x:c r="AN125" s="3" t="str">
        <x:v>https://www.cashhomebuyersdirectory.com/cash-home-buyers/texas/houston</x:v>
      </x:c>
      <x:c r="AO125" s="3" t="str">
        <x:v>tx_fl_investors.jsonl</x:v>
      </x:c>
      <x:c r="AP125" s="19"/>
    </x:row>
    <x:row r="126" ht="36" customHeight="1">
      <x:c r="A126" s="23" t="n">
        <x:v>125</x:v>
      </x:c>
      <x:c r="B126" s="15" t="str">
        <x:v>Chris Buys Houses LLC</x:v>
      </x:c>
      <x:c r="C126" s="15"/>
      <x:c r="D126" s="15" t="str">
        <x:v>Property investor / home-buying operator</x:v>
      </x:c>
      <x:c r="E126" s="15" t="str">
        <x:v>Property investor / operator inquiry</x:v>
      </x:c>
      <x:c r="F126" s="17" t="str">
        <x:v>New</x:v>
      </x:c>
      <x:c r="G126" s="24"/>
      <x:c r="H126" s="24" t="str">
        <x:v>+18325832601</x:v>
      </x:c>
      <x:c r="I126" s="24" t="str">
        <x:v>https://chrisbuysfast.com/</x:v>
      </x:c>
      <x:c r="J126" s="16" t="str">
        <x:v>TX</x:v>
      </x:c>
      <x:c r="K126" s="16" t="str">
        <x:v>Houston</x:v>
      </x:c>
      <x:c r="L126" s="16" t="str">
        <x:v>Public property-business route; investor decision maker unconfirmed</x:v>
      </x:c>
      <x:c r="M126" s="16" t="str">
        <x:v>https://chrisbuysfast.com/</x:v>
      </x:c>
      <x:c r="N126" s="16" t="str">
        <x:v>$100K-$500K ticket not published / unconfirmed</x:v>
      </x:c>
      <x:c r="O126" s="20"/>
      <x:c r="P126" s="20"/>
      <x:c r="Q126" s="25" t="str">
        <x:v>No $100K-$500K corporate-investment ticket published in checked source</x:v>
      </x:c>
      <x:c r="R126" s="25" t="str">
        <x:v>Property acquisition or investor activity makes this an operator-capital prospect for the signed trial. Confirm operating-company debt/equity appetite.</x:v>
      </x:c>
      <x:c r="S126" s="25" t="str">
        <x:v>Corporate-investment ticket and appetite unconfirmed. Property-buying activity alone does not establish fit for funding 101XVC trial operating costs.</x:v>
      </x:c>
      <x:c r="T126" s="25" t="str">
        <x:v>Ask the owner/investor whether they can allocate $100K-$500K to trial marketing and acquisitions, and confirm structure, timing and decision authority.</x:v>
      </x:c>
      <x:c r="U126" s="25" t="str">
        <x:v>https://www.cashhomebuyersdirectory.com/cash-home-buyers/texas/houston
https://chrisbuysfast.com/</x:v>
      </x:c>
      <x:c r="V126" s="26" t="d">
        <x:v>2026-10-02T00:00:00.000Z</x:v>
      </x:c>
      <x:c r="W126" s="26" t="d">
        <x:v>2026-10-03T00:00:00.000Z</x:v>
      </x:c>
      <x:c r="X126" s="25" t="str">
        <x:v>Public investor directory; business role and contact ownership require qualification</x:v>
      </x:c>
      <x:c r="Y126" s="25"/>
      <x:c r="Z126" s="25" t="str">
        <x:v>https://www.cashhomebuyersdirectory.com/cash-home-buyers/texas/houston</x:v>
      </x:c>
      <x:c r="AA126" s="25" t="str">
        <x:v>Public cash-home-buyer directory lists business name, phone and market. Directory entry may include brokers or service providers. Official website fetched; home-buying or investing activity stated.</x:v>
      </x:c>
      <x:c r="AB126" s="3" t="str">
        <x:v>New public-source collection</x:v>
      </x:c>
      <x:c r="AC126" s="3" t="str">
        <x:v>unverified</x:v>
      </x:c>
      <x:c r="AD126" s="3" t="str">
        <x:v>Not contacted / unconfirmed</x:v>
      </x:c>
      <x:c r="AE126" s="3" t="str">
        <x:v>Yes</x:v>
      </x:c>
      <x:c r="AF126" s="3" t="str">
        <x:v>No</x:v>
      </x:c>
      <x:c r="AG126" s="3"/>
      <x:c r="AH126" s="3"/>
      <x:c r="AI126" s="18"/>
      <x:c r="AJ126" s="3" t="str">
        <x:v>CF2500-713D97E2AABF</x:v>
      </x:c>
      <x:c r="AK126" s="3" t="str">
        <x:v>Property investor / home-buying operator prospect</x:v>
      </x:c>
      <x:c r="AL126" s="19" t="n">
        <x:v>100000</x:v>
      </x:c>
      <x:c r="AM126" s="19" t="n">
        <x:v>500000</x:v>
      </x:c>
      <x:c r="AN126" s="3" t="str">
        <x:v>https://www.cashhomebuyersdirectory.com/cash-home-buyers/texas/houston</x:v>
      </x:c>
      <x:c r="AO126" s="3" t="str">
        <x:v>tx_fl_investors.jsonl</x:v>
      </x:c>
      <x:c r="AP126" s="19"/>
    </x:row>
    <x:row r="127" ht="36" customHeight="1">
      <x:c r="A127" s="23" t="n">
        <x:v>126</x:v>
      </x:c>
      <x:c r="B127" s="15" t="str">
        <x:v>Clearway Home Buyers | Sell My House Fast for Cash Sarasota</x:v>
      </x:c>
      <x:c r="C127" s="15"/>
      <x:c r="D127" s="15" t="str">
        <x:v>Property investor / home-buying operator</x:v>
      </x:c>
      <x:c r="E127" s="15" t="str">
        <x:v>Property investor / operator inquiry</x:v>
      </x:c>
      <x:c r="F127" s="17" t="str">
        <x:v>New</x:v>
      </x:c>
      <x:c r="G127" s="24"/>
      <x:c r="H127" s="24" t="str">
        <x:v>+19413945887</x:v>
      </x:c>
      <x:c r="I127" s="24" t="str">
        <x:v>https://clearwayhomebuyers.com/sell-my-house-fast-for-cash-sarasota-florida/</x:v>
      </x:c>
      <x:c r="J127" s="16" t="str">
        <x:v>FL</x:v>
      </x:c>
      <x:c r="K127" s="16" t="str">
        <x:v>Sarasota</x:v>
      </x:c>
      <x:c r="L127" s="16" t="str">
        <x:v>Public property-business route; investor decision maker unconfirmed</x:v>
      </x:c>
      <x:c r="M127" s="16" t="str">
        <x:v>https://clearwayhomebuyers.com/sell-my-house-fast-for-cash-sarasota-florida/</x:v>
      </x:c>
      <x:c r="N127" s="16" t="str">
        <x:v>$100K-$500K ticket not published / unconfirmed</x:v>
      </x:c>
      <x:c r="O127" s="20"/>
      <x:c r="P127" s="20"/>
      <x:c r="Q127" s="25" t="str">
        <x:v>No $100K-$500K corporate-investment ticket published in checked source</x:v>
      </x:c>
      <x:c r="R127" s="25" t="str">
        <x:v>Property acquisition or investor activity makes this an operator-capital prospect for the signed trial. Confirm operating-company debt/equity appetite.</x:v>
      </x:c>
      <x:c r="S127" s="25" t="str">
        <x:v>Corporate-investment ticket and appetite unconfirmed. Property-buying activity alone does not establish fit for funding 101XVC trial operating costs.</x:v>
      </x:c>
      <x:c r="T127" s="25" t="str">
        <x:v>Ask the owner/investor whether they can allocate $100K-$500K to trial marketing and acquisitions, and confirm structure, timing and decision authority.</x:v>
      </x:c>
      <x:c r="U127" s="25" t="str">
        <x:v>https://www.cashhomebuyersdirectory.com/cash-home-buyers/florida/sarasota
https://clearwayhomebuyers.com/sell-my-house-fast-for-cash-sarasota-florida/
https://www.cashhomebuyersdirectory.com/cash-home-buyers/new-york/albany
https://www.cashhomebuyersdirectory.com/cash-home-buyers/new-york/binghamton
https://www.cashhomebuyersdirectory.com/cash-home-buyers/connecticut/bridgeport
https://www.cashhomebuyersdirectory.com/cash-home-buyers/massachusetts/boston
https://www.cashhomebuyersdirectory.com/cash-home-buyers/new-york/buffalo
https://www.cashhomebuyersdirectory.com/cash-home-buyers/vermont/burlington
https://www.cashhomebuyersdirectory.com/cash-home-buyers/west-virginia/charleston
https://www.cashhomebuyersdirectory.com/cash-home-buyers/virginia/chesapeake
https://www.cashhomebuyersdirectory.com/cash-home-buyers/connecticut/hartford
https://www.cashhomebuyersdirectory.com/cash-home-buyers/new-hampshire/manchester
https://www.cashhomebuyersdirectory.com/cash-home-buyers/connecticut/new-haven
https://www.cashhomebuyersdirectory.com/cash-home-buyers/new-york/new-york
https://www.cashhomebuyersdirectory.com/cash-home-buyers/virginia/newport-news
https://www.cashhomebuyersdirectory.com/cash-home-buyers/virginia/norfolk
https://www.cashhomebuyersdirectory.com/cash-home-buyers/maine/portland
https://www.cashhomebuyersdirectory.com/cash-home-buyers/rhode-island/providence
https://www.cashhomebuyersdirectory.com/cash-home-buyers/virginia/richmond
https://www.cashhomebuyersdirectory.com/cash-home-buyers/virginia/roanoke</x:v>
      </x:c>
      <x:c r="V127" s="26" t="d">
        <x:v>2026-10-02T00:00:00.000Z</x:v>
      </x:c>
      <x:c r="W127" s="26" t="d">
        <x:v>2026-10-03T00:00:00.000Z</x:v>
      </x:c>
      <x:c r="X127" s="25" t="str">
        <x:v>Public investor directory; business role and contact ownership require qualification</x:v>
      </x:c>
      <x:c r="Y127" s="25"/>
      <x:c r="Z127" s="25" t="str">
        <x:v>https://www.cashhomebuyersdirectory.com/cash-home-buyers/florida/sarasota</x:v>
      </x:c>
      <x:c r="AA127" s="25" t="str">
        <x:v>Public cash-home-buyer directory lists business name, phone and market. Directory entry may include brokers or service providers. Official website fetched; home-buying or investing activity stated.</x:v>
      </x:c>
      <x:c r="AB127" s="3" t="str">
        <x:v>New public-source collection</x:v>
      </x:c>
      <x:c r="AC127" s="3" t="str">
        <x:v>unverified</x:v>
      </x:c>
      <x:c r="AD127" s="3" t="str">
        <x:v>Not contacted / unconfirmed</x:v>
      </x:c>
      <x:c r="AE127" s="3" t="str">
        <x:v>Yes</x:v>
      </x:c>
      <x:c r="AF127" s="3" t="str">
        <x:v>Yes</x:v>
      </x:c>
      <x:c r="AG127" s="3"/>
      <x:c r="AH127" s="3" t="str">
        <x:v>Clearway Home Buyers | Sell My House Fast for Cash Albany; Clearway Home Buyers | Sell My House Fast for Cash Binghamton; Clearway Home Buyers | Sell My House Fast for Cash Bridgeport; Clearway Home Buyers | Sell My House Fast for Cash Brookline; Clearway Home Buyers | Sell My House Fast for Cash Buffalo; Clearway Home Buyers | Sell My House Fast for Cash Burlington; Clearway Home Buyers | Sell My House Fast for Cash Charleston; Clearway Home Buyers | Sell My House Fast for Cash Chesapeake; Clearway Home Buyers | Sell My House Fast for Cash Hartford; Clearway Home Buyers | Sell My House Fast for Cash Manchester; Clearway Home Buyers | Sell My House Fast for Cash New Haven; Clearway Home Buyers | Sell My House Fast for Cash New York; Clearway Home Buyers | Sell My House Fast for Cash Newport News; Clearway Home Buyers | Sell My House Fast for Cash Norfolk; Clearway Home Buyers | Sell My House Fast for Cash Portland; Clearway Home Buyers | Sell My House Fast for Cash Providence; Clearway Home Buyers | Sell My House Fast for Cash Richmond; Clearway Home Buyers | Sell My House Fast for Cash Roanoke; Clearway Home Buyers | Sell My House Fast for Cash Rochester; Clearway Home Buyers | Sell My House Fast for Cash Syracuse; Clearway Home Buyers | Sell My House Fast for Cash Trenton; Clearway Home Buyers | Sell My House Fast for Cash Utica; Clearway Home Buyers | Sell My House Fast for Cash Virginia Beach; Clearway Home Buyers | Sell My House Fast for Cash Washington DC; Clearway Home Buyers | Sell My House Fast for Cash West Orange; Clearway Home Buyers | Sell My House Fast for Cash Wilmington; Clearway Home Buyers | Sell My House Fast for Cash Woodbridge; Clearway Home Buyers | Sell My House Fast for Cash Worcester</x:v>
      </x:c>
      <x:c r="AI127" s="18"/>
      <x:c r="AJ127" s="3" t="str">
        <x:v>CF2500-6A2CB10FDD34</x:v>
      </x:c>
      <x:c r="AK127" s="3" t="str">
        <x:v>Property investor / home-buying operator prospect</x:v>
      </x:c>
      <x:c r="AL127" s="19" t="n">
        <x:v>100000</x:v>
      </x:c>
      <x:c r="AM127" s="19" t="n">
        <x:v>500000</x:v>
      </x:c>
      <x:c r="AN127" s="3" t="str">
        <x:v>https://www.cashhomebuyersdirectory.com/cash-home-buyers/florida/sarasota</x:v>
      </x:c>
      <x:c r="AO127" s="3" t="str">
        <x:v>tx_fl_investors.jsonl</x:v>
      </x:c>
      <x:c r="AP127" s="19"/>
    </x:row>
    <x:row r="128" ht="36" customHeight="1">
      <x:c r="A128" s="23" t="n">
        <x:v>127</x:v>
      </x:c>
      <x:c r="B128" s="15" t="str">
        <x:v>Company That Buys Houses</x:v>
      </x:c>
      <x:c r="C128" s="15"/>
      <x:c r="D128" s="15" t="str">
        <x:v>Property investor / home-buying operator</x:v>
      </x:c>
      <x:c r="E128" s="15" t="str">
        <x:v>Property investor / operator inquiry</x:v>
      </x:c>
      <x:c r="F128" s="17" t="str">
        <x:v>New</x:v>
      </x:c>
      <x:c r="G128" s="24"/>
      <x:c r="H128" s="24" t="str">
        <x:v>+18176235054</x:v>
      </x:c>
      <x:c r="I128" s="24" t="str">
        <x:v>https://www.acompanythatbuyshouses.com/</x:v>
      </x:c>
      <x:c r="J128" s="16" t="str">
        <x:v>TX</x:v>
      </x:c>
      <x:c r="K128" s="16" t="str">
        <x:v>Fort Worth</x:v>
      </x:c>
      <x:c r="L128" s="16" t="str">
        <x:v>Public property-business route; investor decision maker unconfirmed</x:v>
      </x:c>
      <x:c r="M128" s="16" t="str">
        <x:v>https://www.acompanythatbuyshouses.com/contact-us/</x:v>
      </x:c>
      <x:c r="N128" s="16" t="str">
        <x:v>$100K-$500K ticket not published / unconfirmed</x:v>
      </x:c>
      <x:c r="O128" s="20"/>
      <x:c r="P128" s="20"/>
      <x:c r="Q128" s="25" t="str">
        <x:v>No $100K-$500K corporate-investment ticket published in checked source</x:v>
      </x:c>
      <x:c r="R128" s="25" t="str">
        <x:v>Property acquisition or investor activity makes this an operator-capital prospect for the signed trial. Confirm operating-company debt/equity appetite.</x:v>
      </x:c>
      <x:c r="S128" s="25" t="str">
        <x:v>Corporate-investment ticket and appetite unconfirmed. Property-buying activity alone does not establish fit for funding 101XVC trial operating costs.</x:v>
      </x:c>
      <x:c r="T128" s="25" t="str">
        <x:v>Ask the owner/investor whether they can allocate $100K-$500K to trial marketing and acquisitions, and confirm structure, timing and decision authority.</x:v>
      </x:c>
      <x:c r="U128" s="25" t="str">
        <x:v>https://www.cashhomebuyersdirectory.com/cash-home-buyers/texas/fort-worth
https://www.acompanythatbuyshouses.com/
https://www.acompanythatbuyshouses.com/contact-us/</x:v>
      </x:c>
      <x:c r="V128" s="26" t="d">
        <x:v>2026-10-02T00:00:00.000Z</x:v>
      </x:c>
      <x:c r="W128" s="26" t="d">
        <x:v>2026-10-03T00:00:00.000Z</x:v>
      </x:c>
      <x:c r="X128" s="25" t="str">
        <x:v>Public investor directory; business role and contact ownership require qualification</x:v>
      </x:c>
      <x:c r="Y128" s="25"/>
      <x:c r="Z128" s="25" t="str">
        <x:v>https://www.cashhomebuyersdirectory.com/cash-home-buyers/texas/fort-worth</x:v>
      </x:c>
      <x:c r="AA128" s="25" t="str">
        <x:v>Public cash-home-buyer directory lists business name, phone and market. Directory entry may include brokers or service providers. Official website fetched; home-buying or investing activity stated.</x:v>
      </x:c>
      <x:c r="AB128" s="3" t="str">
        <x:v>New public-source collection</x:v>
      </x:c>
      <x:c r="AC128" s="3" t="str">
        <x:v>unverified</x:v>
      </x:c>
      <x:c r="AD128" s="3" t="str">
        <x:v>Not contacted / unconfirmed</x:v>
      </x:c>
      <x:c r="AE128" s="3" t="str">
        <x:v>Yes</x:v>
      </x:c>
      <x:c r="AF128" s="3" t="str">
        <x:v>Yes</x:v>
      </x:c>
      <x:c r="AG128" s="3"/>
      <x:c r="AH128" s="3"/>
      <x:c r="AI128" s="18"/>
      <x:c r="AJ128" s="3" t="str">
        <x:v>CF2500-5F241D1FA7A6</x:v>
      </x:c>
      <x:c r="AK128" s="3" t="str">
        <x:v>Property investor / home-buying operator prospect</x:v>
      </x:c>
      <x:c r="AL128" s="19" t="n">
        <x:v>100000</x:v>
      </x:c>
      <x:c r="AM128" s="19" t="n">
        <x:v>500000</x:v>
      </x:c>
      <x:c r="AN128" s="3" t="str">
        <x:v>https://www.cashhomebuyersdirectory.com/cash-home-buyers/texas/fort-worth</x:v>
      </x:c>
      <x:c r="AO128" s="3" t="str">
        <x:v>tx_fl_investors.jsonl</x:v>
      </x:c>
      <x:c r="AP128" s="19"/>
    </x:row>
    <x:row r="129" ht="36" customHeight="1">
      <x:c r="A129" s="23" t="n">
        <x:v>128</x:v>
      </x:c>
      <x:c r="B129" s="15" t="str">
        <x:v>Compassionate Home Buyers Fort Worth</x:v>
      </x:c>
      <x:c r="C129" s="15"/>
      <x:c r="D129" s="15" t="str">
        <x:v>Property investor / home-buying operator</x:v>
      </x:c>
      <x:c r="E129" s="15" t="str">
        <x:v>Property investor / operator inquiry</x:v>
      </x:c>
      <x:c r="F129" s="17" t="str">
        <x:v>New</x:v>
      </x:c>
      <x:c r="G129" s="24"/>
      <x:c r="H129" s="24" t="str">
        <x:v>+18447363846</x:v>
      </x:c>
      <x:c r="I129" s="24" t="str">
        <x:v>https://compassionatebuyers.com/</x:v>
      </x:c>
      <x:c r="J129" s="16" t="str">
        <x:v>TX</x:v>
      </x:c>
      <x:c r="K129" s="16"/>
      <x:c r="L129" s="16" t="str">
        <x:v>Public property-business route; investor decision maker unconfirmed</x:v>
      </x:c>
      <x:c r="M129" s="16" t="str">
        <x:v>https://compassionatebuyers.com/</x:v>
      </x:c>
      <x:c r="N129" s="16" t="str">
        <x:v>$100K-$500K ticket not published / unconfirmed</x:v>
      </x:c>
      <x:c r="O129" s="20"/>
      <x:c r="P129" s="20"/>
      <x:c r="Q129" s="25" t="str">
        <x:v>No $100K-$500K corporate-investment ticket published in checked source</x:v>
      </x:c>
      <x:c r="R129" s="25" t="str">
        <x:v>Property acquisition or investor activity makes this an operator-capital prospect for the signed trial. Confirm operating-company debt/equity appetite.</x:v>
      </x:c>
      <x:c r="S129" s="25" t="str">
        <x:v>Corporate-investment ticket and appetite unconfirmed. Property-buying activity alone does not establish fit for funding 101XVC trial operating costs.</x:v>
      </x:c>
      <x:c r="T129" s="25" t="str">
        <x:v>Ask the owner/investor whether they can allocate $100K-$500K to trial marketing and acquisitions, and confirm structure, timing and decision authority.</x:v>
      </x:c>
      <x:c r="U129" s="25" t="str">
        <x:v>https://www.cashhomebuyersdirectory.com/cash-home-buyers/texas/fort-worth
https://compassionatebuyers.com/</x:v>
      </x:c>
      <x:c r="V129" s="26" t="d">
        <x:v>2026-10-02T00:00:00.000Z</x:v>
      </x:c>
      <x:c r="W129" s="26" t="d">
        <x:v>2026-10-03T00:00:00.000Z</x:v>
      </x:c>
      <x:c r="X129" s="25" t="str">
        <x:v>Public investor directory; business role and contact ownership require qualification</x:v>
      </x:c>
      <x:c r="Y129" s="25"/>
      <x:c r="Z129" s="25" t="str">
        <x:v>https://www.cashhomebuyersdirectory.com/cash-home-buyers/texas/fort-worth</x:v>
      </x:c>
      <x:c r="AA129" s="25" t="str">
        <x:v>Public cash-home-buyer directory lists business name, phone and market. Directory entry may include brokers or service providers. Official website fetched; home-buying or investing activity stated.</x:v>
      </x:c>
      <x:c r="AB129" s="3" t="str">
        <x:v>New public-source collection</x:v>
      </x:c>
      <x:c r="AC129" s="3" t="str">
        <x:v>unverified</x:v>
      </x:c>
      <x:c r="AD129" s="3" t="str">
        <x:v>Not contacted / unconfirmed</x:v>
      </x:c>
      <x:c r="AE129" s="3" t="str">
        <x:v>Yes</x:v>
      </x:c>
      <x:c r="AF129" s="3" t="str">
        <x:v>No</x:v>
      </x:c>
      <x:c r="AG129" s="3"/>
      <x:c r="AH129" s="3"/>
      <x:c r="AI129" s="18"/>
      <x:c r="AJ129" s="3" t="str">
        <x:v>CF2500-D51304D5A96F</x:v>
      </x:c>
      <x:c r="AK129" s="3" t="str">
        <x:v>Property investor / home-buying operator prospect</x:v>
      </x:c>
      <x:c r="AL129" s="19" t="n">
        <x:v>100000</x:v>
      </x:c>
      <x:c r="AM129" s="19" t="n">
        <x:v>500000</x:v>
      </x:c>
      <x:c r="AN129" s="3" t="str">
        <x:v>https://www.cashhomebuyersdirectory.com/cash-home-buyers/texas/fort-worth</x:v>
      </x:c>
      <x:c r="AO129" s="3" t="str">
        <x:v>tx_fl_investors.jsonl</x:v>
      </x:c>
      <x:c r="AP129" s="19"/>
    </x:row>
    <x:row r="130" ht="36" customHeight="1">
      <x:c r="A130" s="23" t="n">
        <x:v>129</x:v>
      </x:c>
      <x:c r="B130" s="15" t="str">
        <x:v>Core Cash Offer</x:v>
      </x:c>
      <x:c r="C130" s="15"/>
      <x:c r="D130" s="15" t="str">
        <x:v>Property investor / home-buying operator</x:v>
      </x:c>
      <x:c r="E130" s="15" t="str">
        <x:v>Property investor / operator inquiry</x:v>
      </x:c>
      <x:c r="F130" s="17" t="str">
        <x:v>New</x:v>
      </x:c>
      <x:c r="G130" s="24"/>
      <x:c r="H130" s="24" t="str">
        <x:v>+14803934038</x:v>
      </x:c>
      <x:c r="I130" s="24" t="str">
        <x:v>https://corecashoffer.com/</x:v>
      </x:c>
      <x:c r="J130" s="16" t="str">
        <x:v>AZ</x:v>
      </x:c>
      <x:c r="K130" s="16"/>
      <x:c r="L130" s="16" t="str">
        <x:v>Public property-business route; investor decision maker unconfirmed</x:v>
      </x:c>
      <x:c r="M130" s="16" t="str">
        <x:v>https://corecashoffer.com/</x:v>
      </x:c>
      <x:c r="N130" s="16" t="str">
        <x:v>$100K-$500K ticket not published / unconfirmed</x:v>
      </x:c>
      <x:c r="O130" s="20"/>
      <x:c r="P130" s="20"/>
      <x:c r="Q130" s="25" t="str">
        <x:v>No $100K-$500K operating-company investment ticket verified</x:v>
      </x:c>
      <x:c r="R130" s="25" t="str">
        <x:v>Property acquisition or investor activity makes this an operator-capital prospect for the signed trial. Confirm operating-company debt/equity appetite.</x:v>
      </x:c>
      <x:c r="S130" s="25" t="str">
        <x:v>Public property-buying activity or a directory listing does not establish available cash, investing decision-maker, current $100K-$500K capacity, or willingness to fund 101XVC operating costs.</x:v>
      </x:c>
      <x:c r="T130" s="25" t="str">
        <x:v>Ask the owner/investor whether they can allocate $100K-$500K to trial marketing and acquisitions, and confirm structure, timing and decision authority.</x:v>
      </x:c>
      <x:c r="U130" s="25" t="str">
        <x:v>https://www.cashhomebuyersdirectory.com/cash-home-buyers/arizona/mesa
https://corecashoffer.com/</x:v>
      </x:c>
      <x:c r="V130" s="26" t="d">
        <x:v>2026-10-02T00:00:00.000Z</x:v>
      </x:c>
      <x:c r="W130" s="26" t="d">
        <x:v>2026-10-02T00:00:00.000Z</x:v>
      </x:c>
      <x:c r="X130" s="25" t="str">
        <x:v>Public investor directory; business role and contact ownership require qualification</x:v>
      </x:c>
      <x:c r="Y130" s="25"/>
      <x:c r="Z130" s="25" t="str">
        <x:v>https://www.cashhomebuyersdirectory.com/cash-home-buyers/arizona/mesa</x:v>
      </x:c>
      <x:c r="AA130" s="25" t="str">
        <x:v>Public cash-home-buyer directory lists business name, phone and market. Directory entry may include brokers or service providers. Official website fetched; home-buying or investing activity stated.</x:v>
      </x:c>
      <x:c r="AB130" s="3" t="str">
        <x:v>New public-source collection</x:v>
      </x:c>
      <x:c r="AC130" s="3" t="str">
        <x:v>unverified</x:v>
      </x:c>
      <x:c r="AD130" s="3" t="str">
        <x:v>Not contacted / unconfirmed</x:v>
      </x:c>
      <x:c r="AE130" s="3" t="str">
        <x:v>Yes</x:v>
      </x:c>
      <x:c r="AF130" s="3" t="str">
        <x:v>Yes</x:v>
      </x:c>
      <x:c r="AG130" s="3"/>
      <x:c r="AH130" s="3"/>
      <x:c r="AI130" s="18"/>
      <x:c r="AJ130" s="3" t="str">
        <x:v>CF2500-6A94536877F3</x:v>
      </x:c>
      <x:c r="AK130" s="3" t="str">
        <x:v>Property investor / home-buying operator prospect</x:v>
      </x:c>
      <x:c r="AL130" s="19" t="n">
        <x:v>100000</x:v>
      </x:c>
      <x:c r="AM130" s="19" t="n">
        <x:v>500000</x:v>
      </x:c>
      <x:c r="AN130" s="3" t="str">
        <x:v>https://www.cashhomebuyersdirectory.com/cash-home-buyers/arizona/mesa</x:v>
      </x:c>
      <x:c r="AO130" s="3" t="str">
        <x:v>nc_il_az_co_investors.jsonl</x:v>
      </x:c>
      <x:c r="AP130" s="19"/>
    </x:row>
    <x:row r="131" ht="36" customHeight="1">
      <x:c r="A131" s="23" t="n">
        <x:v>130</x:v>
      </x:c>
      <x:c r="B131" s="15" t="str">
        <x:v>Core Real Estate Solutions</x:v>
      </x:c>
      <x:c r="C131" s="15"/>
      <x:c r="D131" s="15" t="str">
        <x:v>Property investor / home-buying operator</x:v>
      </x:c>
      <x:c r="E131" s="15" t="str">
        <x:v>Property investor / operator inquiry</x:v>
      </x:c>
      <x:c r="F131" s="17" t="str">
        <x:v>New</x:v>
      </x:c>
      <x:c r="G131" s="24"/>
      <x:c r="H131" s="24" t="str">
        <x:v>+12393603176</x:v>
      </x:c>
      <x:c r="I131" s="24" t="str">
        <x:v>https://www.sellmyhousenowusa.com/</x:v>
      </x:c>
      <x:c r="J131" s="16" t="str">
        <x:v>FL</x:v>
      </x:c>
      <x:c r="K131" s="16" t="str">
        <x:v>Fort Myers</x:v>
      </x:c>
      <x:c r="L131" s="16" t="str">
        <x:v>Public property-business route; investor decision maker unconfirmed</x:v>
      </x:c>
      <x:c r="M131" s="16" t="str">
        <x:v>https://www.sellmyhousenowusa.com/</x:v>
      </x:c>
      <x:c r="N131" s="16" t="str">
        <x:v>$100K-$500K ticket not published / unconfirmed</x:v>
      </x:c>
      <x:c r="O131" s="20"/>
      <x:c r="P131" s="20"/>
      <x:c r="Q131" s="25" t="str">
        <x:v>No $100K-$500K corporate-investment ticket published in checked source</x:v>
      </x:c>
      <x:c r="R131" s="25" t="str">
        <x:v>Property acquisition or investor activity makes this an operator-capital prospect for the signed trial. Confirm operating-company debt/equity appetite.</x:v>
      </x:c>
      <x:c r="S131" s="25" t="str">
        <x:v>Corporate-investment ticket and appetite unconfirmed. Property-buying activity alone does not establish fit for funding 101XVC trial operating costs.</x:v>
      </x:c>
      <x:c r="T131" s="25" t="str">
        <x:v>Ask the owner/investor whether they can allocate $100K-$500K to trial marketing and acquisitions, and confirm structure, timing and decision authority.</x:v>
      </x:c>
      <x:c r="U131" s="25" t="str">
        <x:v>https://www.cashhomebuyersdirectory.com/cash-home-buyers/florida/fort-myers
https://www.sellmyhousenowusa.com/</x:v>
      </x:c>
      <x:c r="V131" s="26" t="d">
        <x:v>2026-10-02T00:00:00.000Z</x:v>
      </x:c>
      <x:c r="W131" s="26" t="d">
        <x:v>2026-10-03T00:00:00.000Z</x:v>
      </x:c>
      <x:c r="X131" s="25" t="str">
        <x:v>Public investor directory; business role and contact ownership require qualification</x:v>
      </x:c>
      <x:c r="Y131" s="25"/>
      <x:c r="Z131" s="25" t="str">
        <x:v>https://www.cashhomebuyersdirectory.com/cash-home-buyers/florida/fort-myers</x:v>
      </x:c>
      <x:c r="AA131" s="25" t="str">
        <x:v>Public cash-home-buyer directory lists business name, phone and market. Directory entry may include brokers or service providers. Official website fetched; home-buying or investing activity stated.</x:v>
      </x:c>
      <x:c r="AB131" s="3" t="str">
        <x:v>New public-source collection</x:v>
      </x:c>
      <x:c r="AC131" s="3" t="str">
        <x:v>unverified</x:v>
      </x:c>
      <x:c r="AD131" s="3" t="str">
        <x:v>Not contacted / unconfirmed</x:v>
      </x:c>
      <x:c r="AE131" s="3" t="str">
        <x:v>Yes</x:v>
      </x:c>
      <x:c r="AF131" s="3" t="str">
        <x:v>Yes</x:v>
      </x:c>
      <x:c r="AG131" s="3"/>
      <x:c r="AH131" s="3"/>
      <x:c r="AI131" s="18"/>
      <x:c r="AJ131" s="3" t="str">
        <x:v>CF2500-F4C7DD39582D</x:v>
      </x:c>
      <x:c r="AK131" s="3" t="str">
        <x:v>Property investor / home-buying operator prospect</x:v>
      </x:c>
      <x:c r="AL131" s="19" t="n">
        <x:v>100000</x:v>
      </x:c>
      <x:c r="AM131" s="19" t="n">
        <x:v>500000</x:v>
      </x:c>
      <x:c r="AN131" s="3" t="str">
        <x:v>https://www.cashhomebuyersdirectory.com/cash-home-buyers/florida/fort-myers</x:v>
      </x:c>
      <x:c r="AO131" s="3" t="str">
        <x:v>tx_fl_investors.jsonl</x:v>
      </x:c>
      <x:c r="AP131" s="19"/>
    </x:row>
    <x:row r="132" ht="36" customHeight="1">
      <x:c r="A132" s="23" t="n">
        <x:v>131</x:v>
      </x:c>
      <x:c r="B132" s="15" t="str">
        <x:v>Corpus Christi Home Buyers</x:v>
      </x:c>
      <x:c r="C132" s="15"/>
      <x:c r="D132" s="15" t="str">
        <x:v>Property investor / home-buying operator</x:v>
      </x:c>
      <x:c r="E132" s="15" t="str">
        <x:v>Property investor / operator inquiry</x:v>
      </x:c>
      <x:c r="F132" s="17" t="str">
        <x:v>New</x:v>
      </x:c>
      <x:c r="G132" s="24"/>
      <x:c r="H132" s="24" t="str">
        <x:v>+13612710660</x:v>
      </x:c>
      <x:c r="I132" s="24" t="str">
        <x:v>https://corpuschristihomebuyers.net/</x:v>
      </x:c>
      <x:c r="J132" s="16" t="str">
        <x:v>TX</x:v>
      </x:c>
      <x:c r="K132" s="16"/>
      <x:c r="L132" s="16" t="str">
        <x:v>Public property-business route; investor decision maker unconfirmed</x:v>
      </x:c>
      <x:c r="M132" s="16" t="str">
        <x:v>https://corpuschristihomebuyers.net/contact-us/</x:v>
      </x:c>
      <x:c r="N132" s="16" t="str">
        <x:v>$100K-$500K ticket not published / unconfirmed</x:v>
      </x:c>
      <x:c r="O132" s="20"/>
      <x:c r="P132" s="20"/>
      <x:c r="Q132" s="25" t="str">
        <x:v>No $100K-$500K corporate-investment ticket published in checked source</x:v>
      </x:c>
      <x:c r="R132" s="25" t="str">
        <x:v>Property acquisition or investor activity makes this an operator-capital prospect for the signed trial. Confirm operating-company debt/equity appetite.</x:v>
      </x:c>
      <x:c r="S132" s="25" t="str">
        <x:v>Corporate-investment ticket and appetite unconfirmed. Property-buying activity alone does not establish fit for funding 101XVC trial operating costs.</x:v>
      </x:c>
      <x:c r="T132" s="25" t="str">
        <x:v>Ask the owner/investor whether they can allocate $100K-$500K to trial marketing and acquisitions, and confirm structure, timing and decision authority.</x:v>
      </x:c>
      <x:c r="U132" s="25" t="str">
        <x:v>https://www.cashhomebuyersdirectory.com/cash-home-buyers/texas/corpus-christi
https://corpuschristihomebuyers.net/
https://corpuschristihomebuyers.net/contact-us/</x:v>
      </x:c>
      <x:c r="V132" s="26" t="d">
        <x:v>2026-10-02T00:00:00.000Z</x:v>
      </x:c>
      <x:c r="W132" s="26" t="d">
        <x:v>2026-10-03T00:00:00.000Z</x:v>
      </x:c>
      <x:c r="X132" s="25" t="str">
        <x:v>Public investor directory; business role and contact ownership require qualification</x:v>
      </x:c>
      <x:c r="Y132" s="25"/>
      <x:c r="Z132" s="25" t="str">
        <x:v>https://www.cashhomebuyersdirectory.com/cash-home-buyers/texas/corpus-christi</x:v>
      </x:c>
      <x:c r="AA132" s="25" t="str">
        <x:v>Public cash-home-buyer directory lists business name, phone and market. Directory entry may include brokers or service providers. Official website fetched; home-buying or investing activity stated.</x:v>
      </x:c>
      <x:c r="AB132" s="3" t="str">
        <x:v>New public-source collection</x:v>
      </x:c>
      <x:c r="AC132" s="3" t="str">
        <x:v>unverified</x:v>
      </x:c>
      <x:c r="AD132" s="3" t="str">
        <x:v>Not contacted / unconfirmed</x:v>
      </x:c>
      <x:c r="AE132" s="3" t="str">
        <x:v>Yes</x:v>
      </x:c>
      <x:c r="AF132" s="3" t="str">
        <x:v>Yes</x:v>
      </x:c>
      <x:c r="AG132" s="3"/>
      <x:c r="AH132" s="3"/>
      <x:c r="AI132" s="18"/>
      <x:c r="AJ132" s="3" t="str">
        <x:v>CF2500-DFAA7FE1C1FB</x:v>
      </x:c>
      <x:c r="AK132" s="3" t="str">
        <x:v>Property investor / home-buying operator prospect</x:v>
      </x:c>
      <x:c r="AL132" s="19" t="n">
        <x:v>100000</x:v>
      </x:c>
      <x:c r="AM132" s="19" t="n">
        <x:v>500000</x:v>
      </x:c>
      <x:c r="AN132" s="3" t="str">
        <x:v>https://www.cashhomebuyersdirectory.com/cash-home-buyers/texas/corpus-christi</x:v>
      </x:c>
      <x:c r="AO132" s="3" t="str">
        <x:v>tx_fl_investors.jsonl</x:v>
      </x:c>
      <x:c r="AP132" s="19"/>
    </x:row>
    <x:row r="133" ht="36" customHeight="1">
      <x:c r="A133" s="23" t="n">
        <x:v>132</x:v>
      </x:c>
      <x:c r="B133" s="15" t="str">
        <x:v>Dash Home Buyers</x:v>
      </x:c>
      <x:c r="C133" s="15"/>
      <x:c r="D133" s="15" t="str">
        <x:v>Property investor / home-buying operator</x:v>
      </x:c>
      <x:c r="E133" s="15" t="str">
        <x:v>Property investor / operator inquiry</x:v>
      </x:c>
      <x:c r="F133" s="17" t="str">
        <x:v>New</x:v>
      </x:c>
      <x:c r="G133" s="24"/>
      <x:c r="H133" s="24" t="str">
        <x:v>+14808523381</x:v>
      </x:c>
      <x:c r="I133" s="24" t="str">
        <x:v>https://dashhomebuyers.com/sell-my-house-fast-for-cash-mesa-arizona/</x:v>
      </x:c>
      <x:c r="J133" s="16" t="str">
        <x:v>AZ</x:v>
      </x:c>
      <x:c r="K133" s="16" t="str">
        <x:v>Mesa</x:v>
      </x:c>
      <x:c r="L133" s="16" t="str">
        <x:v>Public property-business route; investor decision maker unconfirmed</x:v>
      </x:c>
      <x:c r="M133" s="16" t="str">
        <x:v>https://dashhomebuyers.com/sell-my-house-fast-for-cash-mesa-arizona/</x:v>
      </x:c>
      <x:c r="N133" s="16" t="str">
        <x:v>$100K-$500K ticket not published / unconfirmed</x:v>
      </x:c>
      <x:c r="O133" s="20"/>
      <x:c r="P133" s="20"/>
      <x:c r="Q133" s="25" t="str">
        <x:v>No $100K-$500K operating-company investment ticket verified</x:v>
      </x:c>
      <x:c r="R133" s="25" t="str">
        <x:v>Property acquisition or investor activity makes this an operator-capital prospect for the signed trial. Confirm operating-company debt/equity appetite.</x:v>
      </x:c>
      <x:c r="S133" s="25" t="str">
        <x:v>Public property-buying activity or a directory listing does not establish available cash, investing decision-maker, current $100K-$500K capacity, or willingness to fund 101XVC operating costs.</x:v>
      </x:c>
      <x:c r="T133" s="25" t="str">
        <x:v>Ask the owner/investor whether they can allocate $100K-$500K to trial marketing and acquisitions, and confirm structure, timing and decision authority.</x:v>
      </x:c>
      <x:c r="U133" s="25" t="str">
        <x:v>https://www.cashhomebuyersdirectory.com/cash-home-buyers/arizona/mesa
https://dashhomebuyers.com/sell-my-house-fast-for-cash-mesa-arizona/
https://www.cashhomebuyersdirectory.com/cash-home-buyers/texas/amarillo
https://dashhomebuyers.com/sell-my-house-fast-for-cash-amarillo-texas/
https://www.cashhomebuyersdirectory.com/cash-home-buyers/oklahoma/broken-arrow
https://www.cashhomebuyersdirectory.com/cash-home-buyers/oklahoma/norman
https://www.cashhomebuyersdirectory.com/cash-home-buyers/oklahoma/oklahoma-city
https://www.cashhomebuyersdirectory.com/cash-home-buyers/utah/salt-lake-city
https://www.cashhomebuyersdirectory.com/cash-home-buyers/oklahoma/tulsa
https://www.cashhomebuyersdirectory.com/cash-home-buyers/new-mexico/albuquerque
https://www.cashhomebuyersdirectory.com/cash-home-buyers/montana/billings
https://www.cashhomebuyersdirectory.com/cash-home-buyers/idaho/boise
https://www.cashhomebuyersdirectory.com/cash-home-buyers/wyoming/cheyenne
https://www.cashhomebuyersdirectory.com/cash-home-buyers/arkansas/fayetteville
https://www.cashhomebuyersdirectory.com/cash-home-buyers/arkansas/fort-smith
https://www.cashhomebuyersdirectory.com/cash-home-buyers/arkansas/jonesboro
https://www.cashhomebuyersdirectory.com/cash-home-buyers/new-mexico/las-cruces
https://www.cashhomebuyersdirectory.com/cash-home-buyers/arkansas/little-rock</x:v>
      </x:c>
      <x:c r="V133" s="26" t="d">
        <x:v>2026-10-02T00:00:00.000Z</x:v>
      </x:c>
      <x:c r="W133" s="26" t="d">
        <x:v>2026-10-02T00:00:00.000Z</x:v>
      </x:c>
      <x:c r="X133" s="25" t="str">
        <x:v>Public investor directory; business role and contact ownership require qualification</x:v>
      </x:c>
      <x:c r="Y133" s="25"/>
      <x:c r="Z133" s="25" t="str">
        <x:v>https://www.cashhomebuyersdirectory.com/cash-home-buyers/arizona/mesa</x:v>
      </x:c>
      <x:c r="AA133" s="25" t="str">
        <x:v>Public cash-home-buyer directory lists business name, phone and market. Directory entry may include brokers or service providers. Official website fetched; home-buying or investing activity stated.</x:v>
      </x:c>
      <x:c r="AB133" s="3" t="str">
        <x:v>New public-source collection</x:v>
      </x:c>
      <x:c r="AC133" s="3" t="str">
        <x:v>unverified</x:v>
      </x:c>
      <x:c r="AD133" s="3" t="str">
        <x:v>Not contacted / unconfirmed</x:v>
      </x:c>
      <x:c r="AE133" s="3" t="str">
        <x:v>Yes</x:v>
      </x:c>
      <x:c r="AF133" s="3" t="str">
        <x:v>Yes</x:v>
      </x:c>
      <x:c r="AG133" s="3"/>
      <x:c r="AH133" s="3" t="str">
        <x:v>Dash Home Buyers | Sell My House Fast for Cash Albuquerque; Dash Home Buyers | Sell My House Fast for Cash Amarillo; Dash Home Buyers | Sell My House Fast for Cash Billings; Dash Home Buyers | Sell My House Fast for Cash Boise; Dash Home Buyers | Sell My House Fast for Cash Broken Arrow; Dash Home Buyers | Sell My House Fast for Cash Cheyenne; Dash Home Buyers | Sell My House Fast for Cash Fayetteville; Dash Home Buyers | Sell My House Fast for Cash Fort Smith; Dash Home Buyers | Sell My House Fast for Cash Jonesboro; Dash Home Buyers | Sell My House Fast for Cash Las Cruces; Dash Home Buyers | Sell My House Fast for Cash Little Rock; Dash Home Buyers | Sell My House Fast for Cash Norman; Dash Home Buyers | Sell My House Fast for Cash Oklahoma City; Dash Home Buyers | Sell My House Fast for Cash Salt Lake City; Dash Home Buyers | Sell My House Fast for Cash Tulsa</x:v>
      </x:c>
      <x:c r="AI133" s="18"/>
      <x:c r="AJ133" s="3" t="str">
        <x:v>CF2500-2C282CB28BFA</x:v>
      </x:c>
      <x:c r="AK133" s="3" t="str">
        <x:v>Property investor / home-buying operator prospect</x:v>
      </x:c>
      <x:c r="AL133" s="19" t="n">
        <x:v>100000</x:v>
      </x:c>
      <x:c r="AM133" s="19" t="n">
        <x:v>500000</x:v>
      </x:c>
      <x:c r="AN133" s="3" t="str">
        <x:v>https://www.cashhomebuyersdirectory.com/cash-home-buyers/arizona/mesa</x:v>
      </x:c>
      <x:c r="AO133" s="3" t="str">
        <x:v>nc_il_az_co_investors.jsonl</x:v>
      </x:c>
      <x:c r="AP133" s="19"/>
    </x:row>
    <x:row r="134" ht="36" customHeight="1">
      <x:c r="A134" s="23" t="n">
        <x:v>133</x:v>
      </x:c>
      <x:c r="B134" s="15" t="str">
        <x:v>Dignity Properties | Cash Home Buyer | Sell My House Fast For Cash</x:v>
      </x:c>
      <x:c r="C134" s="15"/>
      <x:c r="D134" s="15" t="str">
        <x:v>Property investor / home-buying operator</x:v>
      </x:c>
      <x:c r="E134" s="15" t="str">
        <x:v>Property investor / operator inquiry</x:v>
      </x:c>
      <x:c r="F134" s="17" t="str">
        <x:v>New</x:v>
      </x:c>
      <x:c r="G134" s="24"/>
      <x:c r="H134" s="24" t="str">
        <x:v>+13093951030</x:v>
      </x:c>
      <x:c r="I134" s="24" t="str">
        <x:v>https://dignitypropertiesillinois.com/</x:v>
      </x:c>
      <x:c r="J134" s="16" t="str">
        <x:v>IL</x:v>
      </x:c>
      <x:c r="K134" s="16" t="str">
        <x:v>Tremont</x:v>
      </x:c>
      <x:c r="L134" s="16" t="str">
        <x:v>Public property-business route; investor decision maker unconfirmed</x:v>
      </x:c>
      <x:c r="M134" s="16" t="str">
        <x:v>https://dignitypropertiesillinois.com/</x:v>
      </x:c>
      <x:c r="N134" s="16" t="str">
        <x:v>$100K-$500K ticket not published / unconfirmed</x:v>
      </x:c>
      <x:c r="O134" s="20"/>
      <x:c r="P134" s="20"/>
      <x:c r="Q134" s="25" t="str">
        <x:v>No $100K-$500K operating-company investment ticket verified</x:v>
      </x:c>
      <x:c r="R134" s="25" t="str">
        <x:v>Property acquisition or investor activity makes this an operator-capital prospect for the signed trial. Confirm operating-company debt/equity appetite.</x:v>
      </x:c>
      <x:c r="S134" s="25" t="str">
        <x:v>Public property-buying activity or a directory listing does not establish available cash, investing decision-maker, current $100K-$500K capacity, or willingness to fund 101XVC operating costs.</x:v>
      </x:c>
      <x:c r="T134" s="25" t="str">
        <x:v>Ask the owner/investor whether they can allocate $100K-$500K to trial marketing and acquisitions, and confirm structure, timing and decision authority.</x:v>
      </x:c>
      <x:c r="U134" s="25" t="str">
        <x:v>https://www.cashhomebuyersdirectory.com/cash-home-buyers/illinois/tremont
https://dignitypropertiesillinois.com/</x:v>
      </x:c>
      <x:c r="V134" s="26" t="d">
        <x:v>2026-10-02T00:00:00.000Z</x:v>
      </x:c>
      <x:c r="W134" s="26" t="d">
        <x:v>2026-10-02T00:00:00.000Z</x:v>
      </x:c>
      <x:c r="X134" s="25" t="str">
        <x:v>Public investor directory; business role and contact ownership require qualification</x:v>
      </x:c>
      <x:c r="Y134" s="25"/>
      <x:c r="Z134" s="25" t="str">
        <x:v>https://www.cashhomebuyersdirectory.com/cash-home-buyers/illinois/tremont</x:v>
      </x:c>
      <x:c r="AA134" s="25" t="str">
        <x:v>Public cash-home-buyer directory lists business name, phone and market. Directory entry may include brokers or service providers. Official website fetched; home-buying or investing activity stated.</x:v>
      </x:c>
      <x:c r="AB134" s="3" t="str">
        <x:v>New public-source collection</x:v>
      </x:c>
      <x:c r="AC134" s="3" t="str">
        <x:v>unverified</x:v>
      </x:c>
      <x:c r="AD134" s="3" t="str">
        <x:v>Not contacted / unconfirmed</x:v>
      </x:c>
      <x:c r="AE134" s="3" t="str">
        <x:v>Yes</x:v>
      </x:c>
      <x:c r="AF134" s="3" t="str">
        <x:v>Yes</x:v>
      </x:c>
      <x:c r="AG134" s="3"/>
      <x:c r="AH134" s="3"/>
      <x:c r="AI134" s="18"/>
      <x:c r="AJ134" s="3" t="str">
        <x:v>CF2500-8B44B1D04AA3</x:v>
      </x:c>
      <x:c r="AK134" s="3" t="str">
        <x:v>Property investor / home-buying operator prospect</x:v>
      </x:c>
      <x:c r="AL134" s="19" t="n">
        <x:v>100000</x:v>
      </x:c>
      <x:c r="AM134" s="19" t="n">
        <x:v>500000</x:v>
      </x:c>
      <x:c r="AN134" s="3" t="str">
        <x:v>https://www.cashhomebuyersdirectory.com/cash-home-buyers/illinois/tremont</x:v>
      </x:c>
      <x:c r="AO134" s="3" t="str">
        <x:v>nc_il_az_co_investors.jsonl</x:v>
      </x:c>
      <x:c r="AP134" s="19"/>
    </x:row>
    <x:row r="135" ht="36" customHeight="1">
      <x:c r="A135" s="23" t="n">
        <x:v>134</x:v>
      </x:c>
      <x:c r="B135" s="15" t="str">
        <x:v>Direct Property Aid - Cash Home Buyers</x:v>
      </x:c>
      <x:c r="C135" s="15"/>
      <x:c r="D135" s="15" t="str">
        <x:v>Property investor / home-buying operator</x:v>
      </x:c>
      <x:c r="E135" s="15" t="str">
        <x:v>Property investor / operator inquiry</x:v>
      </x:c>
      <x:c r="F135" s="17" t="str">
        <x:v>New</x:v>
      </x:c>
      <x:c r="G135" s="24"/>
      <x:c r="H135" s="24" t="str">
        <x:v>+17736944230</x:v>
      </x:c>
      <x:c r="I135" s="24" t="str">
        <x:v>https://directpropertyaid.com/</x:v>
      </x:c>
      <x:c r="J135" s="16" t="str">
        <x:v>IL</x:v>
      </x:c>
      <x:c r="K135" s="16" t="str">
        <x:v>Chicago</x:v>
      </x:c>
      <x:c r="L135" s="16" t="str">
        <x:v>Public property-business route; investor decision maker unconfirmed</x:v>
      </x:c>
      <x:c r="M135" s="16" t="str">
        <x:v>https://directpropertyaid.com/</x:v>
      </x:c>
      <x:c r="N135" s="16" t="str">
        <x:v>$100K-$500K ticket not published / unconfirmed</x:v>
      </x:c>
      <x:c r="O135" s="20"/>
      <x:c r="P135" s="20"/>
      <x:c r="Q135" s="25" t="str">
        <x:v>No $100K-$500K operating-company investment ticket verified</x:v>
      </x:c>
      <x:c r="R135" s="25" t="str">
        <x:v>Property acquisition or investor activity makes this an operator-capital prospect for the signed trial. Confirm operating-company debt/equity appetite.</x:v>
      </x:c>
      <x:c r="S135" s="25" t="str">
        <x:v>Public property-buying activity or a directory listing does not establish available cash, investing decision-maker, current $100K-$500K capacity, or willingness to fund 101XVC operating costs.</x:v>
      </x:c>
      <x:c r="T135" s="25" t="str">
        <x:v>Ask the owner/investor whether they can allocate $100K-$500K to trial marketing and acquisitions, and confirm structure, timing and decision authority.</x:v>
      </x:c>
      <x:c r="U135" s="25" t="str">
        <x:v>https://www.cashhomebuyersdirectory.com/cash-home-buyers/illinois/chicago
https://directpropertyaid.com/</x:v>
      </x:c>
      <x:c r="V135" s="26" t="d">
        <x:v>2026-10-02T00:00:00.000Z</x:v>
      </x:c>
      <x:c r="W135" s="26" t="d">
        <x:v>2026-10-02T00:00:00.000Z</x:v>
      </x:c>
      <x:c r="X135" s="25" t="str">
        <x:v>Public investor directory; business role and contact ownership require qualification</x:v>
      </x:c>
      <x:c r="Y135" s="25"/>
      <x:c r="Z135" s="25" t="str">
        <x:v>https://www.cashhomebuyersdirectory.com/cash-home-buyers/illinois/chicago</x:v>
      </x:c>
      <x:c r="AA135" s="25" t="str">
        <x:v>Public cash-home-buyer directory lists business name, phone and market. Directory entry may include brokers or service providers. Official website fetched; home-buying or investing activity stated.</x:v>
      </x:c>
      <x:c r="AB135" s="3" t="str">
        <x:v>New public-source collection</x:v>
      </x:c>
      <x:c r="AC135" s="3" t="str">
        <x:v>unverified</x:v>
      </x:c>
      <x:c r="AD135" s="3" t="str">
        <x:v>Not contacted / unconfirmed</x:v>
      </x:c>
      <x:c r="AE135" s="3" t="str">
        <x:v>Yes</x:v>
      </x:c>
      <x:c r="AF135" s="3" t="str">
        <x:v>No</x:v>
      </x:c>
      <x:c r="AG135" s="3"/>
      <x:c r="AH135" s="3"/>
      <x:c r="AI135" s="18"/>
      <x:c r="AJ135" s="3" t="str">
        <x:v>CF2500-12FF84A688FB</x:v>
      </x:c>
      <x:c r="AK135" s="3" t="str">
        <x:v>Property investor / home-buying operator prospect</x:v>
      </x:c>
      <x:c r="AL135" s="19" t="n">
        <x:v>100000</x:v>
      </x:c>
      <x:c r="AM135" s="19" t="n">
        <x:v>500000</x:v>
      </x:c>
      <x:c r="AN135" s="3" t="str">
        <x:v>https://www.cashhomebuyersdirectory.com/cash-home-buyers/illinois/chicago</x:v>
      </x:c>
      <x:c r="AO135" s="3" t="str">
        <x:v>nc_il_az_co_investors.jsonl</x:v>
      </x:c>
      <x:c r="AP135" s="19"/>
    </x:row>
    <x:row r="136" ht="36" customHeight="1">
      <x:c r="A136" s="23" t="n">
        <x:v>135</x:v>
      </x:c>
      <x:c r="B136" s="15" t="str">
        <x:v>Dr Cash Home Buyers</x:v>
      </x:c>
      <x:c r="C136" s="15"/>
      <x:c r="D136" s="15" t="str">
        <x:v>Property investor / home-buying operator</x:v>
      </x:c>
      <x:c r="E136" s="15" t="str">
        <x:v>Property investor / operator inquiry</x:v>
      </x:c>
      <x:c r="F136" s="17" t="str">
        <x:v>New</x:v>
      </x:c>
      <x:c r="G136" s="24"/>
      <x:c r="H136" s="24" t="str">
        <x:v>+12102656611</x:v>
      </x:c>
      <x:c r="I136" s="24" t="str">
        <x:v>https://drcashhomebuyers.com/san-antonio-tx/</x:v>
      </x:c>
      <x:c r="J136" s="16" t="str">
        <x:v>TX</x:v>
      </x:c>
      <x:c r="K136" s="16" t="str">
        <x:v>San Antonio</x:v>
      </x:c>
      <x:c r="L136" s="16" t="str">
        <x:v>Public property-business route; investor decision maker unconfirmed</x:v>
      </x:c>
      <x:c r="M136" s="16" t="str">
        <x:v>https://drcashhomebuyers.com/san-antonio-tx/</x:v>
      </x:c>
      <x:c r="N136" s="16" t="str">
        <x:v>$100K-$500K ticket not published / unconfirmed</x:v>
      </x:c>
      <x:c r="O136" s="20"/>
      <x:c r="P136" s="20"/>
      <x:c r="Q136" s="25" t="str">
        <x:v>No $100K-$500K corporate-investment ticket published in checked source</x:v>
      </x:c>
      <x:c r="R136" s="25" t="str">
        <x:v>Property acquisition or investor activity makes this an operator-capital prospect for the signed trial. Confirm operating-company debt/equity appetite.</x:v>
      </x:c>
      <x:c r="S136" s="25" t="str">
        <x:v>Corporate-investment ticket and appetite unconfirmed. Property-buying activity alone does not establish fit for funding 101XVC trial operating costs.</x:v>
      </x:c>
      <x:c r="T136" s="25" t="str">
        <x:v>Ask the owner/investor whether they can allocate $100K-$500K to trial marketing and acquisitions, and confirm structure, timing and decision authority.</x:v>
      </x:c>
      <x:c r="U136" s="25" t="str">
        <x:v>https://www.cashhomebuyersdirectory.com/cash-home-buyers/texas/san-antonio
https://drcashhomebuyers.com/san-antonio-tx/
https://www.cashhomebuyersdirectory.com/cash-home-buyers/colorado/denver
https://www.cashhomebuyersdirectory.com/cash-home-buyers/georgia/atlanta
https://www.cashhomebuyersdirectory.com/cash-home-buyers/california/san-diego
https://www.cashhomebuyersdirectory.com/cash-home-buyers/virginia/richmond</x:v>
      </x:c>
      <x:c r="V136" s="26" t="d">
        <x:v>2026-10-02T00:00:00.000Z</x:v>
      </x:c>
      <x:c r="W136" s="26" t="d">
        <x:v>2026-10-03T00:00:00.000Z</x:v>
      </x:c>
      <x:c r="X136" s="25" t="str">
        <x:v>Public investor directory; business role and contact ownership require qualification</x:v>
      </x:c>
      <x:c r="Y136" s="25"/>
      <x:c r="Z136" s="25" t="str">
        <x:v>https://www.cashhomebuyersdirectory.com/cash-home-buyers/texas/san-antonio</x:v>
      </x:c>
      <x:c r="AA136" s="25" t="str">
        <x:v>Public cash-home-buyer directory lists business name, phone and market. Directory entry may include brokers or service providers. Official website fetched; home-buying or investing activity stated.</x:v>
      </x:c>
      <x:c r="AB136" s="3" t="str">
        <x:v>New public-source collection</x:v>
      </x:c>
      <x:c r="AC136" s="3" t="str">
        <x:v>unverified</x:v>
      </x:c>
      <x:c r="AD136" s="3" t="str">
        <x:v>Not contacted / unconfirmed</x:v>
      </x:c>
      <x:c r="AE136" s="3" t="str">
        <x:v>Yes</x:v>
      </x:c>
      <x:c r="AF136" s="3" t="str">
        <x:v>No</x:v>
      </x:c>
      <x:c r="AG136" s="3"/>
      <x:c r="AH136" s="3"/>
      <x:c r="AI136" s="18"/>
      <x:c r="AJ136" s="3" t="str">
        <x:v>CF2500-CAD2C917D6B0</x:v>
      </x:c>
      <x:c r="AK136" s="3" t="str">
        <x:v>Property investor / home-buying operator prospect</x:v>
      </x:c>
      <x:c r="AL136" s="19" t="n">
        <x:v>100000</x:v>
      </x:c>
      <x:c r="AM136" s="19" t="n">
        <x:v>500000</x:v>
      </x:c>
      <x:c r="AN136" s="3" t="str">
        <x:v>https://www.cashhomebuyersdirectory.com/cash-home-buyers/texas/san-antonio</x:v>
      </x:c>
      <x:c r="AO136" s="3" t="str">
        <x:v>tx_fl_investors.jsonl</x:v>
      </x:c>
      <x:c r="AP136" s="19"/>
    </x:row>
    <x:row r="137" ht="36" customHeight="1">
      <x:c r="A137" s="23" t="n">
        <x:v>136</x:v>
      </x:c>
      <x:c r="B137" s="15" t="str">
        <x:v>Easy Sale Home Buyers</x:v>
      </x:c>
      <x:c r="C137" s="15"/>
      <x:c r="D137" s="15" t="str">
        <x:v>Property investor / home-buying operator</x:v>
      </x:c>
      <x:c r="E137" s="15" t="str">
        <x:v>Property investor / operator inquiry</x:v>
      </x:c>
      <x:c r="F137" s="17" t="str">
        <x:v>New</x:v>
      </x:c>
      <x:c r="G137" s="24"/>
      <x:c r="H137" s="24" t="str">
        <x:v>+19198878452</x:v>
      </x:c>
      <x:c r="I137" s="24" t="str">
        <x:v>https://www.easysalehomebuyers.com/</x:v>
      </x:c>
      <x:c r="J137" s="16" t="str">
        <x:v>NC</x:v>
      </x:c>
      <x:c r="K137" s="16"/>
      <x:c r="L137" s="16" t="str">
        <x:v>Public property-business route; investor decision maker unconfirmed</x:v>
      </x:c>
      <x:c r="M137" s="16" t="str">
        <x:v>https://www.easysalehomebuyers.com/contact-us/</x:v>
      </x:c>
      <x:c r="N137" s="16" t="str">
        <x:v>$100K-$500K ticket not published / unconfirmed</x:v>
      </x:c>
      <x:c r="O137" s="20"/>
      <x:c r="P137" s="20"/>
      <x:c r="Q137" s="25" t="str">
        <x:v>No $100K-$500K operating-company investment ticket verified</x:v>
      </x:c>
      <x:c r="R137" s="25" t="str">
        <x:v>Property acquisition or investor activity makes this an operator-capital prospect for the signed trial. Confirm operating-company debt/equity appetite.</x:v>
      </x:c>
      <x:c r="S137" s="25" t="str">
        <x:v>Public property-buying activity or a directory listing does not establish available cash, investing decision-maker, current $100K-$500K capacity, or willingness to fund 101XVC operating costs.</x:v>
      </x:c>
      <x:c r="T137" s="25" t="str">
        <x:v>Ask the owner/investor whether they can allocate $100K-$500K to trial marketing and acquisitions, and confirm structure, timing and decision authority.</x:v>
      </x:c>
      <x:c r="U137" s="25" t="str">
        <x:v>https://www.cashhomebuyersdirectory.com/cash-home-buyers/north-carolina/durham
https://www.easysalehomebuyers.com/
https://www.easysalehomebuyers.com/contact-us/
https://www.bbb.org/us/nc/category/home-buyers</x:v>
      </x:c>
      <x:c r="V137" s="26" t="d">
        <x:v>2026-10-02T00:00:00.000Z</x:v>
      </x:c>
      <x:c r="W137" s="26" t="d">
        <x:v>2026-10-02T00:00:00.000Z</x:v>
      </x:c>
      <x:c r="X137" s="25" t="str">
        <x:v>Public investor directory; business role and contact ownership require qualification</x:v>
      </x:c>
      <x:c r="Y137" s="25"/>
      <x:c r="Z137" s="25" t="str">
        <x:v>https://www.cashhomebuyersdirectory.com/cash-home-buyers/north-carolina/durham</x:v>
      </x:c>
      <x:c r="AA137" s="25" t="str">
        <x:v>Public cash-home-buyer directory lists business name, phone and market. Directory entry may include brokers or service providers. Official website fetched; home-buying or investing activity stated.</x:v>
      </x:c>
      <x:c r="AB137" s="3" t="str">
        <x:v>New public-source collection</x:v>
      </x:c>
      <x:c r="AC137" s="3" t="str">
        <x:v>unverified</x:v>
      </x:c>
      <x:c r="AD137" s="3" t="str">
        <x:v>Not contacted / unconfirmed</x:v>
      </x:c>
      <x:c r="AE137" s="3" t="str">
        <x:v>Yes</x:v>
      </x:c>
      <x:c r="AF137" s="3" t="str">
        <x:v>Yes</x:v>
      </x:c>
      <x:c r="AG137" s="3"/>
      <x:c r="AH137" s="3"/>
      <x:c r="AI137" s="18"/>
      <x:c r="AJ137" s="3" t="str">
        <x:v>CF2500-1D0DBFEC7464</x:v>
      </x:c>
      <x:c r="AK137" s="3" t="str">
        <x:v>Property investor / home-buying operator prospect</x:v>
      </x:c>
      <x:c r="AL137" s="19" t="n">
        <x:v>100000</x:v>
      </x:c>
      <x:c r="AM137" s="19" t="n">
        <x:v>500000</x:v>
      </x:c>
      <x:c r="AN137" s="3" t="str">
        <x:v>https://www.cashhomebuyersdirectory.com/cash-home-buyers/north-carolina/durham</x:v>
      </x:c>
      <x:c r="AO137" s="3" t="str">
        <x:v>nc_il_az_co_investors.jsonl</x:v>
      </x:c>
      <x:c r="AP137" s="19"/>
    </x:row>
    <x:row r="138" ht="36" customHeight="1">
      <x:c r="A138" s="23" t="n">
        <x:v>137</x:v>
      </x:c>
      <x:c r="B138" s="15" t="str">
        <x:v>El Paso Home Buyers</x:v>
      </x:c>
      <x:c r="C138" s="15"/>
      <x:c r="D138" s="15" t="str">
        <x:v>Property investor / home-buying operator</x:v>
      </x:c>
      <x:c r="E138" s="15" t="str">
        <x:v>Property investor / operator inquiry</x:v>
      </x:c>
      <x:c r="F138" s="17" t="str">
        <x:v>New</x:v>
      </x:c>
      <x:c r="G138" s="24"/>
      <x:c r="H138" s="24" t="str">
        <x:v>+19156711200</x:v>
      </x:c>
      <x:c r="I138" s="24" t="str">
        <x:v>https://texashouseinvestors.com/</x:v>
      </x:c>
      <x:c r="J138" s="16" t="str">
        <x:v>TX</x:v>
      </x:c>
      <x:c r="K138" s="16" t="str">
        <x:v>El Paso</x:v>
      </x:c>
      <x:c r="L138" s="16" t="str">
        <x:v>Public property-business route; investor decision maker unconfirmed</x:v>
      </x:c>
      <x:c r="M138" s="16" t="str">
        <x:v>https://texashouseinvestors.com/</x:v>
      </x:c>
      <x:c r="N138" s="16" t="str">
        <x:v>$100K-$500K ticket not published / unconfirmed</x:v>
      </x:c>
      <x:c r="O138" s="20"/>
      <x:c r="P138" s="20"/>
      <x:c r="Q138" s="25" t="str">
        <x:v>No $100K-$500K corporate-investment ticket published in checked source</x:v>
      </x:c>
      <x:c r="R138" s="25" t="str">
        <x:v>Property acquisition or investor activity makes this an operator-capital prospect for the signed trial. Confirm operating-company debt/equity appetite.</x:v>
      </x:c>
      <x:c r="S138" s="25" t="str">
        <x:v>Corporate-investment ticket and appetite unconfirmed. Property-buying activity alone does not establish fit for funding 101XVC trial operating costs.</x:v>
      </x:c>
      <x:c r="T138" s="25" t="str">
        <x:v>Ask the owner/investor whether they can allocate $100K-$500K to trial marketing and acquisitions, and confirm structure, timing and decision authority.</x:v>
      </x:c>
      <x:c r="U138" s="25" t="str">
        <x:v>https://www.cashhomebuyersdirectory.com/cash-home-buyers/texas/el-paso
https://texashouseinvestors.com/</x:v>
      </x:c>
      <x:c r="V138" s="26" t="d">
        <x:v>2026-10-02T00:00:00.000Z</x:v>
      </x:c>
      <x:c r="W138" s="26" t="d">
        <x:v>2026-10-03T00:00:00.000Z</x:v>
      </x:c>
      <x:c r="X138" s="25" t="str">
        <x:v>Public investor directory; business role and contact ownership require qualification</x:v>
      </x:c>
      <x:c r="Y138" s="25"/>
      <x:c r="Z138" s="25" t="str">
        <x:v>https://www.cashhomebuyersdirectory.com/cash-home-buyers/texas/el-paso</x:v>
      </x:c>
      <x:c r="AA138" s="25" t="str">
        <x:v>Public cash-home-buyer directory lists business name, phone and market. Directory entry may include brokers or service providers. Official website fetched; home-buying or investing activity stated.</x:v>
      </x:c>
      <x:c r="AB138" s="3" t="str">
        <x:v>New public-source collection</x:v>
      </x:c>
      <x:c r="AC138" s="3" t="str">
        <x:v>unverified</x:v>
      </x:c>
      <x:c r="AD138" s="3" t="str">
        <x:v>Not contacted / unconfirmed</x:v>
      </x:c>
      <x:c r="AE138" s="3" t="str">
        <x:v>Yes</x:v>
      </x:c>
      <x:c r="AF138" s="3" t="str">
        <x:v>Yes</x:v>
      </x:c>
      <x:c r="AG138" s="3"/>
      <x:c r="AH138" s="3"/>
      <x:c r="AI138" s="18"/>
      <x:c r="AJ138" s="3" t="str">
        <x:v>CF2500-A9C28D728B98</x:v>
      </x:c>
      <x:c r="AK138" s="3" t="str">
        <x:v>Property investor / home-buying operator prospect</x:v>
      </x:c>
      <x:c r="AL138" s="19" t="n">
        <x:v>100000</x:v>
      </x:c>
      <x:c r="AM138" s="19" t="n">
        <x:v>500000</x:v>
      </x:c>
      <x:c r="AN138" s="3" t="str">
        <x:v>https://www.cashhomebuyersdirectory.com/cash-home-buyers/texas/el-paso</x:v>
      </x:c>
      <x:c r="AO138" s="3" t="str">
        <x:v>tx_fl_investors.jsonl</x:v>
      </x:c>
      <x:c r="AP138" s="19"/>
    </x:row>
    <x:row r="139" ht="36" customHeight="1">
      <x:c r="A139" s="23" t="n">
        <x:v>138</x:v>
      </x:c>
      <x:c r="B139" s="15" t="str">
        <x:v>El Paso TX Home Buyers</x:v>
      </x:c>
      <x:c r="C139" s="15"/>
      <x:c r="D139" s="15" t="str">
        <x:v>Property investor / home-buying operator</x:v>
      </x:c>
      <x:c r="E139" s="15" t="str">
        <x:v>Property investor / operator inquiry</x:v>
      </x:c>
      <x:c r="F139" s="17" t="str">
        <x:v>New</x:v>
      </x:c>
      <x:c r="G139" s="24"/>
      <x:c r="H139" s="24" t="str">
        <x:v>+19152065315</x:v>
      </x:c>
      <x:c r="I139" s="24" t="str">
        <x:v>https://elpasotxhomebuyers.com/</x:v>
      </x:c>
      <x:c r="J139" s="16" t="str">
        <x:v>TX</x:v>
      </x:c>
      <x:c r="K139" s="16" t="str">
        <x:v>El Paso</x:v>
      </x:c>
      <x:c r="L139" s="16" t="str">
        <x:v>Public property-business route; investor decision maker unconfirmed</x:v>
      </x:c>
      <x:c r="M139" s="16" t="str">
        <x:v>https://elpasotxhomebuyers.com/</x:v>
      </x:c>
      <x:c r="N139" s="16" t="str">
        <x:v>$100K-$500K ticket not published / unconfirmed</x:v>
      </x:c>
      <x:c r="O139" s="20"/>
      <x:c r="P139" s="20"/>
      <x:c r="Q139" s="25" t="str">
        <x:v>No $100K-$500K corporate-investment ticket published in checked source</x:v>
      </x:c>
      <x:c r="R139" s="25" t="str">
        <x:v>Property acquisition or investor activity makes this an operator-capital prospect for the signed trial. Confirm operating-company debt/equity appetite.</x:v>
      </x:c>
      <x:c r="S139" s="25" t="str">
        <x:v>Corporate-investment ticket and appetite unconfirmed. Property-buying activity alone does not establish fit for funding 101XVC trial operating costs.</x:v>
      </x:c>
      <x:c r="T139" s="25" t="str">
        <x:v>Ask the owner/investor whether they can allocate $100K-$500K to trial marketing and acquisitions, and confirm structure, timing and decision authority.</x:v>
      </x:c>
      <x:c r="U139" s="25" t="str">
        <x:v>https://www.cashhomebuyersdirectory.com/cash-home-buyers/texas/el-paso
https://elpasotxhomebuyers.com/</x:v>
      </x:c>
      <x:c r="V139" s="26" t="d">
        <x:v>2026-10-02T00:00:00.000Z</x:v>
      </x:c>
      <x:c r="W139" s="26" t="d">
        <x:v>2026-10-03T00:00:00.000Z</x:v>
      </x:c>
      <x:c r="X139" s="25" t="str">
        <x:v>Public investor directory; business role and contact ownership require qualification</x:v>
      </x:c>
      <x:c r="Y139" s="25"/>
      <x:c r="Z139" s="25" t="str">
        <x:v>https://www.cashhomebuyersdirectory.com/cash-home-buyers/texas/el-paso</x:v>
      </x:c>
      <x:c r="AA139" s="25" t="str">
        <x:v>Public cash-home-buyer directory lists business name, phone and market. Directory entry may include brokers or service providers. Official website fetched; home-buying or investing activity stated.</x:v>
      </x:c>
      <x:c r="AB139" s="3" t="str">
        <x:v>New public-source collection</x:v>
      </x:c>
      <x:c r="AC139" s="3" t="str">
        <x:v>unverified</x:v>
      </x:c>
      <x:c r="AD139" s="3" t="str">
        <x:v>Not contacted / unconfirmed</x:v>
      </x:c>
      <x:c r="AE139" s="3" t="str">
        <x:v>Yes</x:v>
      </x:c>
      <x:c r="AF139" s="3" t="str">
        <x:v>Yes</x:v>
      </x:c>
      <x:c r="AG139" s="3"/>
      <x:c r="AH139" s="3"/>
      <x:c r="AI139" s="18"/>
      <x:c r="AJ139" s="3" t="str">
        <x:v>CF2500-D56792ED5C04</x:v>
      </x:c>
      <x:c r="AK139" s="3" t="str">
        <x:v>Property investor / home-buying operator prospect</x:v>
      </x:c>
      <x:c r="AL139" s="19" t="n">
        <x:v>100000</x:v>
      </x:c>
      <x:c r="AM139" s="19" t="n">
        <x:v>500000</x:v>
      </x:c>
      <x:c r="AN139" s="3" t="str">
        <x:v>https://www.cashhomebuyersdirectory.com/cash-home-buyers/texas/el-paso</x:v>
      </x:c>
      <x:c r="AO139" s="3" t="str">
        <x:v>tx_fl_investors.jsonl</x:v>
      </x:c>
      <x:c r="AP139" s="19"/>
    </x:row>
    <x:row r="140" ht="36" customHeight="1">
      <x:c r="A140" s="23" t="n">
        <x:v>139</x:v>
      </x:c>
      <x:c r="B140" s="15" t="str">
        <x:v>EVERGREEN HOME BUYERS LLC</x:v>
      </x:c>
      <x:c r="C140" s="15"/>
      <x:c r="D140" s="15" t="str">
        <x:v>Property investor / home-buying operator</x:v>
      </x:c>
      <x:c r="E140" s="15" t="str">
        <x:v>Property investor / operator inquiry</x:v>
      </x:c>
      <x:c r="F140" s="17" t="str">
        <x:v>New</x:v>
      </x:c>
      <x:c r="G140" s="24"/>
      <x:c r="H140" s="24" t="str">
        <x:v>+19043423216</x:v>
      </x:c>
      <x:c r="I140" s="24" t="str">
        <x:v>https://www.selltoevergreenjax.com/</x:v>
      </x:c>
      <x:c r="J140" s="16" t="str">
        <x:v>FL</x:v>
      </x:c>
      <x:c r="K140" s="16" t="str">
        <x:v>Jacksonville</x:v>
      </x:c>
      <x:c r="L140" s="16" t="str">
        <x:v>Public property-business route; investor decision maker unconfirmed</x:v>
      </x:c>
      <x:c r="M140" s="16" t="str">
        <x:v>https://www.selltoevergreenjax.com/contact/</x:v>
      </x:c>
      <x:c r="N140" s="16" t="str">
        <x:v>$100K-$500K ticket not published / unconfirmed</x:v>
      </x:c>
      <x:c r="O140" s="20"/>
      <x:c r="P140" s="20"/>
      <x:c r="Q140" s="25" t="str">
        <x:v>No direct corporate-capital range established in checked source</x:v>
      </x:c>
      <x:c r="R140" s="25" t="str">
        <x:v>Property acquisition or investor activity makes this an operator-capital prospect for the signed trial. Confirm operating-company debt/equity appetite.</x:v>
      </x:c>
      <x:c r="S140" s="25" t="str">
        <x:v>Confirm the contact controls funding decisions; confirm willingness to invest in an operating company, current liquidity, $100K to $500K ticket size, required security and diligence.</x:v>
      </x:c>
      <x:c r="T140" s="25" t="str">
        <x:v>Ask the owner/investor whether they can allocate $100K-$500K to trial marketing and acquisitions, and confirm structure, timing and decision authority.</x:v>
      </x:c>
      <x:c r="U140" s="25" t="str">
        <x:v>https://www.selltoevergreenjax.com/contact/
https://sfranalytics.com/investors/fl/jacksonville-fl
https://sfranalytics.com/investors/fl/jacksonville-fl/evergreen-home-buyers-llc-fl
https://www.cashhomebuyersdirectory.com/cash-home-buyers/florida/jacksonville
https://www.selltoevergreenjax.com/</x:v>
      </x:c>
      <x:c r="V140" s="26" t="d">
        <x:v>2026-10-02T00:00:00.000Z</x:v>
      </x:c>
      <x:c r="W140" s="26" t="d">
        <x:v>2026-10-03T00:00:00.000Z</x:v>
      </x:c>
      <x:c r="X140" s="25" t="str">
        <x:v>SFR Analytics public investor discovery plus official-company activity, geography and published business contact checks</x:v>
      </x:c>
      <x:c r="Y140" s="25"/>
      <x:c r="Z140" s="25" t="str">
        <x:v>https://www.selltoevergreenjax.com/contact/</x:v>
      </x:c>
      <x:c r="AA140" s="25" t="str">
        <x:v>Official company contact page publishes the Jacksonville, Florida business phone and home buying services. Published general business contact observed: (904) 342-3216. SFR Analytics public directory lists EVERGREEN HOME BUYERS LLC as an organization with a flipper strategy, 126 observed transactions and $25.1M tracked transaction volume. Observed listing market: Jacksonville, FL. This is third-party public-record research, not evidence of available cash, a $100K to $500K check, an operating-company investment mandate, or acceptance of this transaction.</x:v>
      </x:c>
      <x:c r="AB140" s="3" t="str">
        <x:v>New public-source collection</x:v>
      </x:c>
      <x:c r="AC140" s="3" t="str">
        <x:v>unverified</x:v>
      </x:c>
      <x:c r="AD140" s="3" t="str">
        <x:v>Not contacted / unconfirmed</x:v>
      </x:c>
      <x:c r="AE140" s="3" t="str">
        <x:v>Yes</x:v>
      </x:c>
      <x:c r="AF140" s="3" t="str">
        <x:v>Yes</x:v>
      </x:c>
      <x:c r="AG140" s="3"/>
      <x:c r="AH140" s="3" t="str">
        <x:v>Evergreen Home Buyers</x:v>
      </x:c>
      <x:c r="AI140" s="18"/>
      <x:c r="AJ140" s="3" t="str">
        <x:v>CF2500-D1C666BDC235</x:v>
      </x:c>
      <x:c r="AK140" s="3" t="str">
        <x:v>real_estate_operator</x:v>
      </x:c>
      <x:c r="AL140" s="19" t="n">
        <x:v>100000</x:v>
      </x:c>
      <x:c r="AM140" s="19" t="n">
        <x:v>500000</x:v>
      </x:c>
      <x:c r="AN140" s="3" t="str">
        <x:v>https://www.selltoevergreenjax.com/contact/</x:v>
      </x:c>
      <x:c r="AO140" s="3" t="str">
        <x:v>sfr_contact_enriched.jsonl</x:v>
      </x:c>
      <x:c r="AP140" s="19"/>
    </x:row>
    <x:row r="141" ht="36" customHeight="1">
      <x:c r="A141" s="23" t="n">
        <x:v>140</x:v>
      </x:c>
      <x:c r="B141" s="15" t="str">
        <x:v>Fair Fast Buyers</x:v>
      </x:c>
      <x:c r="C141" s="15"/>
      <x:c r="D141" s="15" t="str">
        <x:v>Property investor / home-buying operator</x:v>
      </x:c>
      <x:c r="E141" s="15" t="str">
        <x:v>Property investor / operator inquiry</x:v>
      </x:c>
      <x:c r="F141" s="17" t="str">
        <x:v>New</x:v>
      </x:c>
      <x:c r="G141" s="24"/>
      <x:c r="H141" s="24" t="str">
        <x:v>+18553723069</x:v>
      </x:c>
      <x:c r="I141" s="24" t="str">
        <x:v>https://www.fairfastbuyers.com/</x:v>
      </x:c>
      <x:c r="J141" s="16" t="str">
        <x:v>FL</x:v>
      </x:c>
      <x:c r="K141" s="16" t="str">
        <x:v>Tampa</x:v>
      </x:c>
      <x:c r="L141" s="16" t="str">
        <x:v>Public property-business route; investor decision maker unconfirmed</x:v>
      </x:c>
      <x:c r="M141" s="16" t="str">
        <x:v>https://www.fairfastbuyers.com/</x:v>
      </x:c>
      <x:c r="N141" s="16" t="str">
        <x:v>$100K-$500K ticket not published / unconfirmed</x:v>
      </x:c>
      <x:c r="O141" s="20"/>
      <x:c r="P141" s="20"/>
      <x:c r="Q141" s="25" t="str">
        <x:v>No $100K-$500K corporate-investment ticket published in checked source</x:v>
      </x:c>
      <x:c r="R141" s="25" t="str">
        <x:v>Property acquisition or investor activity makes this an operator-capital prospect for the signed trial. Confirm operating-company debt/equity appetite.</x:v>
      </x:c>
      <x:c r="S141" s="25" t="str">
        <x:v>Corporate-investment ticket and appetite unconfirmed. Property-buying activity alone does not establish fit for funding 101XVC trial operating costs.</x:v>
      </x:c>
      <x:c r="T141" s="25" t="str">
        <x:v>Ask the owner/investor whether they can allocate $100K-$500K to trial marketing and acquisitions, and confirm structure, timing and decision authority.</x:v>
      </x:c>
      <x:c r="U141" s="25" t="str">
        <x:v>https://www.cashhomebuyersdirectory.com/cash-home-buyers/florida/tampa
https://www.fairfastbuyers.com/</x:v>
      </x:c>
      <x:c r="V141" s="26" t="d">
        <x:v>2026-10-02T00:00:00.000Z</x:v>
      </x:c>
      <x:c r="W141" s="26" t="d">
        <x:v>2026-10-03T00:00:00.000Z</x:v>
      </x:c>
      <x:c r="X141" s="25" t="str">
        <x:v>Public investor directory; business role and contact ownership require qualification</x:v>
      </x:c>
      <x:c r="Y141" s="25"/>
      <x:c r="Z141" s="25" t="str">
        <x:v>https://www.cashhomebuyersdirectory.com/cash-home-buyers/florida/tampa</x:v>
      </x:c>
      <x:c r="AA141" s="25" t="str">
        <x:v>Public cash-home-buyer directory lists business name, phone and market. Directory entry may include brokers or service providers. Official website fetched; home-buying or investing activity stated.</x:v>
      </x:c>
      <x:c r="AB141" s="3" t="str">
        <x:v>New public-source collection</x:v>
      </x:c>
      <x:c r="AC141" s="3" t="str">
        <x:v>unverified</x:v>
      </x:c>
      <x:c r="AD141" s="3" t="str">
        <x:v>Not contacted / unconfirmed</x:v>
      </x:c>
      <x:c r="AE141" s="3" t="str">
        <x:v>Yes</x:v>
      </x:c>
      <x:c r="AF141" s="3" t="str">
        <x:v>No</x:v>
      </x:c>
      <x:c r="AG141" s="3"/>
      <x:c r="AH141" s="3"/>
      <x:c r="AI141" s="18"/>
      <x:c r="AJ141" s="3" t="str">
        <x:v>CF2500-0B560FA360BF</x:v>
      </x:c>
      <x:c r="AK141" s="3" t="str">
        <x:v>Property investor / home-buying operator prospect</x:v>
      </x:c>
      <x:c r="AL141" s="19" t="n">
        <x:v>100000</x:v>
      </x:c>
      <x:c r="AM141" s="19" t="n">
        <x:v>500000</x:v>
      </x:c>
      <x:c r="AN141" s="3" t="str">
        <x:v>https://www.cashhomebuyersdirectory.com/cash-home-buyers/florida/tampa</x:v>
      </x:c>
      <x:c r="AO141" s="3" t="str">
        <x:v>tx_fl_investors.jsonl</x:v>
      </x:c>
      <x:c r="AP141" s="19"/>
    </x:row>
    <x:row r="142" ht="36" customHeight="1">
      <x:c r="A142" s="23" t="n">
        <x:v>141</x:v>
      </x:c>
      <x:c r="B142" s="15" t="str">
        <x:v>Fast Cash Home Buyers</x:v>
      </x:c>
      <x:c r="C142" s="15"/>
      <x:c r="D142" s="15" t="str">
        <x:v>Property investor / home-buying operator</x:v>
      </x:c>
      <x:c r="E142" s="15" t="str">
        <x:v>Property investor / operator inquiry</x:v>
      </x:c>
      <x:c r="F142" s="17" t="str">
        <x:v>New</x:v>
      </x:c>
      <x:c r="G142" s="24"/>
      <x:c r="H142" s="24" t="str">
        <x:v>+15129432575</x:v>
      </x:c>
      <x:c r="I142" s="24" t="str">
        <x:v>https://fastcashhomebuyers.org/</x:v>
      </x:c>
      <x:c r="J142" s="16" t="str">
        <x:v>TX</x:v>
      </x:c>
      <x:c r="K142" s="16"/>
      <x:c r="L142" s="16" t="str">
        <x:v>Public property-business route; investor decision maker unconfirmed</x:v>
      </x:c>
      <x:c r="M142" s="16" t="str">
        <x:v>https://fastcashhomebuyers.org/</x:v>
      </x:c>
      <x:c r="N142" s="16" t="str">
        <x:v>$100K-$500K ticket not published / unconfirmed</x:v>
      </x:c>
      <x:c r="O142" s="20"/>
      <x:c r="P142" s="20"/>
      <x:c r="Q142" s="25" t="str">
        <x:v>No $100K-$500K corporate-investment ticket published in checked source</x:v>
      </x:c>
      <x:c r="R142" s="25" t="str">
        <x:v>Property acquisition or investor activity makes this an operator-capital prospect for the signed trial. Confirm operating-company debt/equity appetite.</x:v>
      </x:c>
      <x:c r="S142" s="25" t="str">
        <x:v>Corporate-investment ticket and appetite unconfirmed. Property-buying activity alone does not establish fit for funding 101XVC trial operating costs.</x:v>
      </x:c>
      <x:c r="T142" s="25" t="str">
        <x:v>Ask the owner/investor whether they can allocate $100K-$500K to trial marketing and acquisitions, and confirm structure, timing and decision authority.</x:v>
      </x:c>
      <x:c r="U142" s="25" t="str">
        <x:v>https://www.cashhomebuyersdirectory.com/cash-home-buyers/texas/austin
https://fastcashhomebuyers.org/</x:v>
      </x:c>
      <x:c r="V142" s="26" t="d">
        <x:v>2026-10-02T00:00:00.000Z</x:v>
      </x:c>
      <x:c r="W142" s="26" t="d">
        <x:v>2026-10-03T00:00:00.000Z</x:v>
      </x:c>
      <x:c r="X142" s="25" t="str">
        <x:v>Public investor directory; business role and contact ownership require qualification</x:v>
      </x:c>
      <x:c r="Y142" s="25"/>
      <x:c r="Z142" s="25" t="str">
        <x:v>https://www.cashhomebuyersdirectory.com/cash-home-buyers/texas/austin</x:v>
      </x:c>
      <x:c r="AA142" s="25" t="str">
        <x:v>Public cash-home-buyer directory lists business name, phone and market. Directory entry may include brokers or service providers. Official website fetched; home-buying or investing activity stated.</x:v>
      </x:c>
      <x:c r="AB142" s="3" t="str">
        <x:v>New public-source collection</x:v>
      </x:c>
      <x:c r="AC142" s="3" t="str">
        <x:v>unverified</x:v>
      </x:c>
      <x:c r="AD142" s="3" t="str">
        <x:v>Not contacted / unconfirmed</x:v>
      </x:c>
      <x:c r="AE142" s="3" t="str">
        <x:v>Yes</x:v>
      </x:c>
      <x:c r="AF142" s="3" t="str">
        <x:v>Yes</x:v>
      </x:c>
      <x:c r="AG142" s="3"/>
      <x:c r="AH142" s="3"/>
      <x:c r="AI142" s="18"/>
      <x:c r="AJ142" s="3" t="str">
        <x:v>CF2500-BEF197BFE593</x:v>
      </x:c>
      <x:c r="AK142" s="3" t="str">
        <x:v>Property investor / home-buying operator prospect</x:v>
      </x:c>
      <x:c r="AL142" s="19" t="n">
        <x:v>100000</x:v>
      </x:c>
      <x:c r="AM142" s="19" t="n">
        <x:v>500000</x:v>
      </x:c>
      <x:c r="AN142" s="3" t="str">
        <x:v>https://www.cashhomebuyersdirectory.com/cash-home-buyers/texas/austin</x:v>
      </x:c>
      <x:c r="AO142" s="3" t="str">
        <x:v>tx_fl_investors.jsonl</x:v>
      </x:c>
      <x:c r="AP142" s="19"/>
    </x:row>
    <x:row r="143" ht="36" customHeight="1">
      <x:c r="A143" s="23" t="n">
        <x:v>142</x:v>
      </x:c>
      <x:c r="B143" s="15" t="str">
        <x:v>Favor Homebuyers</x:v>
      </x:c>
      <x:c r="C143" s="15"/>
      <x:c r="D143" s="15" t="str">
        <x:v>Property investor / home-buying operator</x:v>
      </x:c>
      <x:c r="E143" s="15" t="str">
        <x:v>Property investor / operator inquiry</x:v>
      </x:c>
      <x:c r="F143" s="17" t="str">
        <x:v>New</x:v>
      </x:c>
      <x:c r="G143" s="24"/>
      <x:c r="H143" s="24" t="str">
        <x:v>+18554907653</x:v>
      </x:c>
      <x:c r="I143" s="24" t="str">
        <x:v>https://www.favorhomebuyers.com/contact-us/</x:v>
      </x:c>
      <x:c r="J143" s="16" t="str">
        <x:v>FL</x:v>
      </x:c>
      <x:c r="K143" s="16" t="str">
        <x:v>Fort Myers</x:v>
      </x:c>
      <x:c r="L143" s="16" t="str">
        <x:v>Public property-business route; investor decision maker unconfirmed</x:v>
      </x:c>
      <x:c r="M143" s="16" t="str">
        <x:v>https://www.favorhomebuyers.com/contact-us/</x:v>
      </x:c>
      <x:c r="N143" s="16" t="str">
        <x:v>$100K-$500K ticket not published / unconfirmed</x:v>
      </x:c>
      <x:c r="O143" s="20"/>
      <x:c r="P143" s="20"/>
      <x:c r="Q143" s="25" t="str">
        <x:v>No $100K-$500K corporate-investment ticket published in checked source</x:v>
      </x:c>
      <x:c r="R143" s="25" t="str">
        <x:v>Property acquisition or investor activity makes this an operator-capital prospect for the signed trial. Confirm operating-company debt/equity appetite.</x:v>
      </x:c>
      <x:c r="S143" s="25" t="str">
        <x:v>Corporate-investment ticket and appetite unconfirmed. Property-buying activity alone does not establish fit for funding 101XVC trial operating costs.</x:v>
      </x:c>
      <x:c r="T143" s="25" t="str">
        <x:v>Ask the owner/investor whether they can allocate $100K-$500K to trial marketing and acquisitions, and confirm structure, timing and decision authority.</x:v>
      </x:c>
      <x:c r="U143" s="25" t="str">
        <x:v>https://www.cashhomebuyersdirectory.com/cash-home-buyers/florida/fort-myers
https://www.favorhomebuyers.com/contact-us/</x:v>
      </x:c>
      <x:c r="V143" s="26" t="d">
        <x:v>2026-10-02T00:00:00.000Z</x:v>
      </x:c>
      <x:c r="W143" s="26" t="d">
        <x:v>2026-10-03T00:00:00.000Z</x:v>
      </x:c>
      <x:c r="X143" s="25" t="str">
        <x:v>Public investor directory; business role and contact ownership require qualification</x:v>
      </x:c>
      <x:c r="Y143" s="25"/>
      <x:c r="Z143" s="25" t="str">
        <x:v>https://www.cashhomebuyersdirectory.com/cash-home-buyers/florida/fort-myers</x:v>
      </x:c>
      <x:c r="AA143" s="25" t="str">
        <x:v>Public cash-home-buyer directory lists business name, phone and market. Directory entry may include brokers or service providers. Official website fetched; home-buying or investing activity stated.</x:v>
      </x:c>
      <x:c r="AB143" s="3" t="str">
        <x:v>New public-source collection</x:v>
      </x:c>
      <x:c r="AC143" s="3" t="str">
        <x:v>unverified</x:v>
      </x:c>
      <x:c r="AD143" s="3" t="str">
        <x:v>Not contacted / unconfirmed</x:v>
      </x:c>
      <x:c r="AE143" s="3" t="str">
        <x:v>Yes</x:v>
      </x:c>
      <x:c r="AF143" s="3" t="str">
        <x:v>Yes</x:v>
      </x:c>
      <x:c r="AG143" s="3"/>
      <x:c r="AH143" s="3"/>
      <x:c r="AI143" s="18"/>
      <x:c r="AJ143" s="3" t="str">
        <x:v>CF2500-CEF0176CAD13</x:v>
      </x:c>
      <x:c r="AK143" s="3" t="str">
        <x:v>Property investor / home-buying operator prospect</x:v>
      </x:c>
      <x:c r="AL143" s="19" t="n">
        <x:v>100000</x:v>
      </x:c>
      <x:c r="AM143" s="19" t="n">
        <x:v>500000</x:v>
      </x:c>
      <x:c r="AN143" s="3" t="str">
        <x:v>https://www.cashhomebuyersdirectory.com/cash-home-buyers/florida/fort-myers</x:v>
      </x:c>
      <x:c r="AO143" s="3" t="str">
        <x:v>tx_fl_investors.jsonl</x:v>
      </x:c>
      <x:c r="AP143" s="19"/>
    </x:row>
    <x:row r="144" ht="36" customHeight="1">
      <x:c r="A144" s="23" t="n">
        <x:v>143</x:v>
      </x:c>
      <x:c r="B144" s="15" t="str">
        <x:v>Fayetteville Cash Home Buyer</x:v>
      </x:c>
      <x:c r="C144" s="15"/>
      <x:c r="D144" s="15" t="str">
        <x:v>Property investor / home-buying operator</x:v>
      </x:c>
      <x:c r="E144" s="15" t="str">
        <x:v>Property investor / operator inquiry</x:v>
      </x:c>
      <x:c r="F144" s="17" t="str">
        <x:v>New</x:v>
      </x:c>
      <x:c r="G144" s="24"/>
      <x:c r="H144" s="24" t="str">
        <x:v>+19105875165</x:v>
      </x:c>
      <x:c r="I144" s="24" t="str">
        <x:v>https://fayhomebuyers.com/</x:v>
      </x:c>
      <x:c r="J144" s="16" t="str">
        <x:v>NC</x:v>
      </x:c>
      <x:c r="K144" s="16" t="str">
        <x:v>Fayetteville</x:v>
      </x:c>
      <x:c r="L144" s="16" t="str">
        <x:v>Public property-business route; investor decision maker unconfirmed</x:v>
      </x:c>
      <x:c r="M144" s="16" t="str">
        <x:v>https://fayhomebuyers.com/contact-us</x:v>
      </x:c>
      <x:c r="N144" s="16" t="str">
        <x:v>$100K-$500K ticket not published / unconfirmed</x:v>
      </x:c>
      <x:c r="O144" s="20"/>
      <x:c r="P144" s="20"/>
      <x:c r="Q144" s="25" t="str">
        <x:v>No $100K-$500K operating-company investment ticket verified</x:v>
      </x:c>
      <x:c r="R144" s="25" t="str">
        <x:v>Property acquisition or investor activity makes this an operator-capital prospect for the signed trial. Confirm operating-company debt/equity appetite.</x:v>
      </x:c>
      <x:c r="S144" s="25" t="str">
        <x:v>Public property-buying activity or a directory listing does not establish available cash, investing decision-maker, current $100K-$500K capacity, or willingness to fund 101XVC operating costs.</x:v>
      </x:c>
      <x:c r="T144" s="25" t="str">
        <x:v>Ask the owner/investor whether they can allocate $100K-$500K to trial marketing and acquisitions, and confirm structure, timing and decision authority.</x:v>
      </x:c>
      <x:c r="U144" s="25" t="str">
        <x:v>https://www.cashhomebuyersdirectory.com/cash-home-buyers/north-carolina/fayetteville
https://fayhomebuyers.com/
https://fayhomebuyers.com/contact-us</x:v>
      </x:c>
      <x:c r="V144" s="26" t="d">
        <x:v>2026-10-02T00:00:00.000Z</x:v>
      </x:c>
      <x:c r="W144" s="26" t="d">
        <x:v>2026-10-02T00:00:00.000Z</x:v>
      </x:c>
      <x:c r="X144" s="25" t="str">
        <x:v>Public investor directory; business role and contact ownership require qualification</x:v>
      </x:c>
      <x:c r="Y144" s="25"/>
      <x:c r="Z144" s="25" t="str">
        <x:v>https://www.cashhomebuyersdirectory.com/cash-home-buyers/north-carolina/fayetteville</x:v>
      </x:c>
      <x:c r="AA144" s="25" t="str">
        <x:v>Public cash-home-buyer directory lists business name, phone and market. Directory entry may include brokers or service providers. Official website fetched; home-buying or investing activity stated.</x:v>
      </x:c>
      <x:c r="AB144" s="3" t="str">
        <x:v>New public-source collection</x:v>
      </x:c>
      <x:c r="AC144" s="3" t="str">
        <x:v>unverified</x:v>
      </x:c>
      <x:c r="AD144" s="3" t="str">
        <x:v>Not contacted / unconfirmed</x:v>
      </x:c>
      <x:c r="AE144" s="3" t="str">
        <x:v>Yes</x:v>
      </x:c>
      <x:c r="AF144" s="3" t="str">
        <x:v>Yes</x:v>
      </x:c>
      <x:c r="AG144" s="3"/>
      <x:c r="AH144" s="3"/>
      <x:c r="AI144" s="18"/>
      <x:c r="AJ144" s="3" t="str">
        <x:v>CF2500-581C3EA7B7B3</x:v>
      </x:c>
      <x:c r="AK144" s="3" t="str">
        <x:v>Property investor / home-buying operator prospect</x:v>
      </x:c>
      <x:c r="AL144" s="19" t="n">
        <x:v>100000</x:v>
      </x:c>
      <x:c r="AM144" s="19" t="n">
        <x:v>500000</x:v>
      </x:c>
      <x:c r="AN144" s="3" t="str">
        <x:v>https://www.cashhomebuyersdirectory.com/cash-home-buyers/north-carolina/fayetteville</x:v>
      </x:c>
      <x:c r="AO144" s="3" t="str">
        <x:v>nc_il_az_co_investors.jsonl</x:v>
      </x:c>
      <x:c r="AP144" s="19"/>
    </x:row>
    <x:row r="145" ht="36" customHeight="1">
      <x:c r="A145" s="23" t="n">
        <x:v>144</x:v>
      </x:c>
      <x:c r="B145" s="15" t="str">
        <x:v>FIRST CALL HOME BUYERS LLC</x:v>
      </x:c>
      <x:c r="C145" s="15"/>
      <x:c r="D145" s="15" t="str">
        <x:v>Property investor / home-buying operator</x:v>
      </x:c>
      <x:c r="E145" s="15" t="str">
        <x:v>Property investor / operator inquiry</x:v>
      </x:c>
      <x:c r="F145" s="17" t="str">
        <x:v>New</x:v>
      </x:c>
      <x:c r="G145" s="24"/>
      <x:c r="H145" s="24" t="str">
        <x:v>+18135826583</x:v>
      </x:c>
      <x:c r="I145" s="24" t="str">
        <x:v>https://www.firstcallhomebuyers.com/</x:v>
      </x:c>
      <x:c r="J145" s="16" t="str">
        <x:v>FL</x:v>
      </x:c>
      <x:c r="K145" s="16" t="str">
        <x:v>Tampa Bay</x:v>
      </x:c>
      <x:c r="L145" s="16" t="str">
        <x:v>Public property-business route; investor decision maker unconfirmed</x:v>
      </x:c>
      <x:c r="M145" s="16" t="str">
        <x:v>https://www.firstcallhomebuyers.com/contact-us/</x:v>
      </x:c>
      <x:c r="N145" s="16" t="str">
        <x:v>$100K-$500K ticket not published / unconfirmed</x:v>
      </x:c>
      <x:c r="O145" s="20"/>
      <x:c r="P145" s="20"/>
      <x:c r="Q145" s="25" t="str">
        <x:v>No direct corporate-capital range established in checked source</x:v>
      </x:c>
      <x:c r="R145" s="25" t="str">
        <x:v>Property acquisition or investor activity makes this an operator-capital prospect for the signed trial. Confirm operating-company debt/equity appetite.</x:v>
      </x:c>
      <x:c r="S145" s="25" t="str">
        <x:v>Confirm the contact controls funding decisions; confirm willingness to invest in an operating company, current liquidity, $100K to $500K ticket size, required security and diligence.</x:v>
      </x:c>
      <x:c r="T145" s="25" t="str">
        <x:v>Ask the owner/investor whether they can allocate $100K-$500K to trial marketing and acquisitions, and confirm structure, timing and decision authority.</x:v>
      </x:c>
      <x:c r="U145" s="25" t="str">
        <x:v>https://www.firstcallhomebuyers.com/contact-us/
https://sfranalytics.com/investors/fl/tampa-st-petersburg-clearwater-fl
https://sfranalytics.com/investors/fl/tampa-st-petersburg-clearwater-fl/first-call-home-buyers-llc-fl</x:v>
      </x:c>
      <x:c r="V145" s="26" t="d">
        <x:v>2026-10-02T00:00:00.000Z</x:v>
      </x:c>
      <x:c r="W145" s="26" t="d">
        <x:v>2026-10-03T00:00:00.000Z</x:v>
      </x:c>
      <x:c r="X145" s="25" t="str">
        <x:v>SFR Analytics public investor discovery plus official-company activity, geography and published business contact checks</x:v>
      </x:c>
      <x:c r="Y145" s="25"/>
      <x:c r="Z145" s="25" t="str">
        <x:v>https://www.firstcallhomebuyers.com/contact-us/</x:v>
      </x:c>
      <x:c r="AA145" s="25" t="str">
        <x:v>Official company page describes buying houses in Tampa Bay, Florida. Published general business contact observed: (813) 582-6583. SFR Analytics public directory lists FIRST CALL HOME BUYERS LLC as an organization with a flipper strategy, 127 observed transactions and $26.7M tracked transaction volume. Observed listing market: Tampa-St. Petersburg-Clearwater, FL. This is third-party public-record research, not evidence of available cash, a $100K to $500K check, an operating-company investment mandate, or acceptance of this transaction.</x:v>
      </x:c>
      <x:c r="AB145" s="3" t="str">
        <x:v>New public-source collection</x:v>
      </x:c>
      <x:c r="AC145" s="3" t="str">
        <x:v>unverified</x:v>
      </x:c>
      <x:c r="AD145" s="3" t="str">
        <x:v>Not contacted / unconfirmed</x:v>
      </x:c>
      <x:c r="AE145" s="3" t="str">
        <x:v>Yes</x:v>
      </x:c>
      <x:c r="AF145" s="3" t="str">
        <x:v>Yes</x:v>
      </x:c>
      <x:c r="AG145" s="3"/>
      <x:c r="AH145" s="3"/>
      <x:c r="AI145" s="18"/>
      <x:c r="AJ145" s="3" t="str">
        <x:v>CF2500-59AADDCA23B5</x:v>
      </x:c>
      <x:c r="AK145" s="3" t="str">
        <x:v>real_estate_operator</x:v>
      </x:c>
      <x:c r="AL145" s="19" t="n">
        <x:v>100000</x:v>
      </x:c>
      <x:c r="AM145" s="19" t="n">
        <x:v>500000</x:v>
      </x:c>
      <x:c r="AN145" s="3" t="str">
        <x:v>https://www.firstcallhomebuyers.com/contact-us/</x:v>
      </x:c>
      <x:c r="AO145" s="3" t="str">
        <x:v>sfr_contact_enriched.jsonl</x:v>
      </x:c>
      <x:c r="AP145" s="19"/>
    </x:row>
    <x:row r="146" ht="36" customHeight="1">
      <x:c r="A146" s="23" t="n">
        <x:v>145</x:v>
      </x:c>
      <x:c r="B146" s="15" t="str">
        <x:v>First Choice Home Buyer</x:v>
      </x:c>
      <x:c r="C146" s="15"/>
      <x:c r="D146" s="15" t="str">
        <x:v>Property investor / home-buying operator</x:v>
      </x:c>
      <x:c r="E146" s="15" t="str">
        <x:v>Property investor / operator inquiry</x:v>
      </x:c>
      <x:c r="F146" s="17" t="str">
        <x:v>New</x:v>
      </x:c>
      <x:c r="G146" s="24"/>
      <x:c r="H146" s="24" t="str">
        <x:v>+18305901344</x:v>
      </x:c>
      <x:c r="I146" s="24" t="str">
        <x:v>https://www.firstchoicehomebuyer.com/</x:v>
      </x:c>
      <x:c r="J146" s="16" t="str">
        <x:v>TX</x:v>
      </x:c>
      <x:c r="K146" s="16" t="str">
        <x:v>San Antonio</x:v>
      </x:c>
      <x:c r="L146" s="16" t="str">
        <x:v>Public property-business route; investor decision maker unconfirmed</x:v>
      </x:c>
      <x:c r="M146" s="16" t="str">
        <x:v>https://www.firstchoicehomebuyer.com/</x:v>
      </x:c>
      <x:c r="N146" s="16" t="str">
        <x:v>$100K-$500K ticket not published / unconfirmed</x:v>
      </x:c>
      <x:c r="O146" s="20"/>
      <x:c r="P146" s="20"/>
      <x:c r="Q146" s="25" t="str">
        <x:v>No $100K-$500K corporate-investment ticket published in checked source</x:v>
      </x:c>
      <x:c r="R146" s="25" t="str">
        <x:v>Property acquisition or investor activity makes this an operator-capital prospect for the signed trial. Confirm operating-company debt/equity appetite.</x:v>
      </x:c>
      <x:c r="S146" s="25" t="str">
        <x:v>Corporate-investment ticket and appetite unconfirmed. Property-buying activity alone does not establish fit for funding 101XVC trial operating costs.</x:v>
      </x:c>
      <x:c r="T146" s="25" t="str">
        <x:v>Ask the owner/investor whether they can allocate $100K-$500K to trial marketing and acquisitions, and confirm structure, timing and decision authority.</x:v>
      </x:c>
      <x:c r="U146" s="25" t="str">
        <x:v>https://www.cashhomebuyersdirectory.com/cash-home-buyers/texas/san-antonio
https://www.firstchoicehomebuyer.com/</x:v>
      </x:c>
      <x:c r="V146" s="26" t="d">
        <x:v>2026-10-02T00:00:00.000Z</x:v>
      </x:c>
      <x:c r="W146" s="26" t="d">
        <x:v>2026-10-03T00:00:00.000Z</x:v>
      </x:c>
      <x:c r="X146" s="25" t="str">
        <x:v>Public investor directory; business role and contact ownership require qualification</x:v>
      </x:c>
      <x:c r="Y146" s="25"/>
      <x:c r="Z146" s="25" t="str">
        <x:v>https://www.cashhomebuyersdirectory.com/cash-home-buyers/texas/san-antonio</x:v>
      </x:c>
      <x:c r="AA146" s="25" t="str">
        <x:v>Public cash-home-buyer directory lists business name, phone and market. Directory entry may include brokers or service providers. Official website fetched; home-buying or investing activity stated.</x:v>
      </x:c>
      <x:c r="AB146" s="3" t="str">
        <x:v>New public-source collection</x:v>
      </x:c>
      <x:c r="AC146" s="3" t="str">
        <x:v>unverified</x:v>
      </x:c>
      <x:c r="AD146" s="3" t="str">
        <x:v>Not contacted / unconfirmed</x:v>
      </x:c>
      <x:c r="AE146" s="3" t="str">
        <x:v>Yes</x:v>
      </x:c>
      <x:c r="AF146" s="3" t="str">
        <x:v>No</x:v>
      </x:c>
      <x:c r="AG146" s="3"/>
      <x:c r="AH146" s="3"/>
      <x:c r="AI146" s="18"/>
      <x:c r="AJ146" s="3" t="str">
        <x:v>CF2500-3BC408CEBF66</x:v>
      </x:c>
      <x:c r="AK146" s="3" t="str">
        <x:v>Property investor / home-buying operator prospect</x:v>
      </x:c>
      <x:c r="AL146" s="19" t="n">
        <x:v>100000</x:v>
      </x:c>
      <x:c r="AM146" s="19" t="n">
        <x:v>500000</x:v>
      </x:c>
      <x:c r="AN146" s="3" t="str">
        <x:v>https://www.cashhomebuyersdirectory.com/cash-home-buyers/texas/san-antonio</x:v>
      </x:c>
      <x:c r="AO146" s="3" t="str">
        <x:v>tx_fl_investors.jsonl</x:v>
      </x:c>
      <x:c r="AP146" s="19"/>
    </x:row>
    <x:row r="147" ht="36" customHeight="1">
      <x:c r="A147" s="23" t="n">
        <x:v>146</x:v>
      </x:c>
      <x:c r="B147" s="15" t="str">
        <x:v>Forward Home Buyers | Sell My House Fast for Cash Cicero</x:v>
      </x:c>
      <x:c r="C147" s="15"/>
      <x:c r="D147" s="15" t="str">
        <x:v>Property investor / home-buying operator</x:v>
      </x:c>
      <x:c r="E147" s="15" t="str">
        <x:v>Property investor / operator inquiry</x:v>
      </x:c>
      <x:c r="F147" s="17" t="str">
        <x:v>New</x:v>
      </x:c>
      <x:c r="G147" s="24"/>
      <x:c r="H147" s="24" t="str">
        <x:v>+17082908567</x:v>
      </x:c>
      <x:c r="I147" s="24" t="str">
        <x:v>https://forwardhomebuyers.com/sell-my-house-fast-for-cash-cicero-illinois/</x:v>
      </x:c>
      <x:c r="J147" s="16" t="str">
        <x:v>IL</x:v>
      </x:c>
      <x:c r="K147" s="16" t="str">
        <x:v>Chicago</x:v>
      </x:c>
      <x:c r="L147" s="16" t="str">
        <x:v>Public property-business route; investor decision maker unconfirmed</x:v>
      </x:c>
      <x:c r="M147" s="16" t="str">
        <x:v>https://forwardhomebuyers.com/sell-my-house-fast-for-cash-cicero-illinois/</x:v>
      </x:c>
      <x:c r="N147" s="16" t="str">
        <x:v>$100K-$500K ticket not published / unconfirmed</x:v>
      </x:c>
      <x:c r="O147" s="20"/>
      <x:c r="P147" s="20"/>
      <x:c r="Q147" s="25" t="str">
        <x:v>No $100K-$500K operating-company investment ticket verified</x:v>
      </x:c>
      <x:c r="R147" s="25" t="str">
        <x:v>Property acquisition or investor activity makes this an operator-capital prospect for the signed trial. Confirm operating-company debt/equity appetite.</x:v>
      </x:c>
      <x:c r="S147" s="25" t="str">
        <x:v>Public property-buying activity or a directory listing does not establish available cash, investing decision-maker, current $100K-$500K capacity, or willingness to fund 101XVC operating costs.</x:v>
      </x:c>
      <x:c r="T147" s="25" t="str">
        <x:v>Ask the owner/investor whether they can allocate $100K-$500K to trial marketing and acquisitions, and confirm structure, timing and decision authority.</x:v>
      </x:c>
      <x:c r="U147" s="25" t="str">
        <x:v>https://www.cashhomebuyersdirectory.com/cash-home-buyers/illinois/chicago
https://forwardhomebuyers.com/sell-my-house-fast-for-cash-cicero-illinois/</x:v>
      </x:c>
      <x:c r="V147" s="26" t="d">
        <x:v>2026-10-02T00:00:00.000Z</x:v>
      </x:c>
      <x:c r="W147" s="26" t="d">
        <x:v>2026-10-02T00:00:00.000Z</x:v>
      </x:c>
      <x:c r="X147" s="25" t="str">
        <x:v>Public investor directory; business role and contact ownership require qualification</x:v>
      </x:c>
      <x:c r="Y147" s="25"/>
      <x:c r="Z147" s="25" t="str">
        <x:v>https://www.cashhomebuyersdirectory.com/cash-home-buyers/illinois/chicago</x:v>
      </x:c>
      <x:c r="AA147" s="25" t="str">
        <x:v>Public cash-home-buyer directory lists business name, phone and market. Directory entry may include brokers or service providers. Official website fetched; home-buying or investing activity stated.</x:v>
      </x:c>
      <x:c r="AB147" s="3" t="str">
        <x:v>New public-source collection</x:v>
      </x:c>
      <x:c r="AC147" s="3" t="str">
        <x:v>unverified</x:v>
      </x:c>
      <x:c r="AD147" s="3" t="str">
        <x:v>Not contacted / unconfirmed</x:v>
      </x:c>
      <x:c r="AE147" s="3" t="str">
        <x:v>Yes</x:v>
      </x:c>
      <x:c r="AF147" s="3" t="str">
        <x:v>Yes</x:v>
      </x:c>
      <x:c r="AG147" s="3"/>
      <x:c r="AH147" s="3"/>
      <x:c r="AI147" s="18"/>
      <x:c r="AJ147" s="3" t="str">
        <x:v>CF2500-2C6D4FC9FBF8</x:v>
      </x:c>
      <x:c r="AK147" s="3" t="str">
        <x:v>Property investor / home-buying operator prospect</x:v>
      </x:c>
      <x:c r="AL147" s="19" t="n">
        <x:v>100000</x:v>
      </x:c>
      <x:c r="AM147" s="19" t="n">
        <x:v>500000</x:v>
      </x:c>
      <x:c r="AN147" s="3" t="str">
        <x:v>https://www.cashhomebuyersdirectory.com/cash-home-buyers/illinois/chicago</x:v>
      </x:c>
      <x:c r="AO147" s="3" t="str">
        <x:v>nc_il_az_co_investors.jsonl</x:v>
      </x:c>
      <x:c r="AP147" s="19"/>
    </x:row>
    <x:row r="148" ht="36" customHeight="1">
      <x:c r="A148" s="23" t="n">
        <x:v>147</x:v>
      </x:c>
      <x:c r="B148" s="15" t="str">
        <x:v>Generous Home Buyers</x:v>
      </x:c>
      <x:c r="C148" s="15"/>
      <x:c r="D148" s="15" t="str">
        <x:v>Property investor / home-buying operator</x:v>
      </x:c>
      <x:c r="E148" s="15" t="str">
        <x:v>Property investor / operator inquiry</x:v>
      </x:c>
      <x:c r="F148" s="17" t="str">
        <x:v>New</x:v>
      </x:c>
      <x:c r="G148" s="24"/>
      <x:c r="H148" s="24" t="str">
        <x:v>+18333247355</x:v>
      </x:c>
      <x:c r="I148" s="24" t="str">
        <x:v>https://generoushomebuyers.com/</x:v>
      </x:c>
      <x:c r="J148" s="16" t="str">
        <x:v>NC</x:v>
      </x:c>
      <x:c r="K148" s="16" t="str">
        <x:v>Charlotte</x:v>
      </x:c>
      <x:c r="L148" s="16" t="str">
        <x:v>Public property-business route; investor decision maker unconfirmed</x:v>
      </x:c>
      <x:c r="M148" s="16" t="str">
        <x:v>https://generoushomebuyers.com/contact-us/</x:v>
      </x:c>
      <x:c r="N148" s="16" t="str">
        <x:v>$100K-$500K ticket not published / unconfirmed</x:v>
      </x:c>
      <x:c r="O148" s="20"/>
      <x:c r="P148" s="20"/>
      <x:c r="Q148" s="25" t="str">
        <x:v>No $100K-$500K operating-company investment ticket verified</x:v>
      </x:c>
      <x:c r="R148" s="25" t="str">
        <x:v>Property acquisition or investor activity makes this an operator-capital prospect for the signed trial. Confirm operating-company debt/equity appetite.</x:v>
      </x:c>
      <x:c r="S148" s="25" t="str">
        <x:v>Public property-buying activity or a directory listing does not establish available cash, investing decision-maker, current $100K-$500K capacity, or willingness to fund 101XVC operating costs.</x:v>
      </x:c>
      <x:c r="T148" s="25" t="str">
        <x:v>Ask the owner/investor whether they can allocate $100K-$500K to trial marketing and acquisitions, and confirm structure, timing and decision authority.</x:v>
      </x:c>
      <x:c r="U148" s="25" t="str">
        <x:v>https://www.cashhomebuyersdirectory.com/cash-home-buyers/north-carolina/charlotte
https://generoushomebuyers.com/
https://generoushomebuyers.com/contact-us/</x:v>
      </x:c>
      <x:c r="V148" s="26" t="d">
        <x:v>2026-10-02T00:00:00.000Z</x:v>
      </x:c>
      <x:c r="W148" s="26" t="d">
        <x:v>2026-10-02T00:00:00.000Z</x:v>
      </x:c>
      <x:c r="X148" s="25" t="str">
        <x:v>Public investor directory; business role and contact ownership require qualification</x:v>
      </x:c>
      <x:c r="Y148" s="25"/>
      <x:c r="Z148" s="25" t="str">
        <x:v>https://www.cashhomebuyersdirectory.com/cash-home-buyers/north-carolina/charlotte</x:v>
      </x:c>
      <x:c r="AA148" s="25" t="str">
        <x:v>Public cash-home-buyer directory lists business name, phone and market. Directory entry may include brokers or service providers. Official website fetched; home-buying or investing activity stated.</x:v>
      </x:c>
      <x:c r="AB148" s="3" t="str">
        <x:v>New public-source collection</x:v>
      </x:c>
      <x:c r="AC148" s="3" t="str">
        <x:v>unverified</x:v>
      </x:c>
      <x:c r="AD148" s="3" t="str">
        <x:v>Not contacted / unconfirmed</x:v>
      </x:c>
      <x:c r="AE148" s="3" t="str">
        <x:v>Yes</x:v>
      </x:c>
      <x:c r="AF148" s="3" t="str">
        <x:v>Yes</x:v>
      </x:c>
      <x:c r="AG148" s="3"/>
      <x:c r="AH148" s="3"/>
      <x:c r="AI148" s="18"/>
      <x:c r="AJ148" s="3" t="str">
        <x:v>CF2500-1CD6BBC38100</x:v>
      </x:c>
      <x:c r="AK148" s="3" t="str">
        <x:v>Property investor / home-buying operator prospect</x:v>
      </x:c>
      <x:c r="AL148" s="19" t="n">
        <x:v>100000</x:v>
      </x:c>
      <x:c r="AM148" s="19" t="n">
        <x:v>500000</x:v>
      </x:c>
      <x:c r="AN148" s="3" t="str">
        <x:v>https://www.cashhomebuyersdirectory.com/cash-home-buyers/north-carolina/charlotte</x:v>
      </x:c>
      <x:c r="AO148" s="3" t="str">
        <x:v>nc_il_az_co_investors.jsonl</x:v>
      </x:c>
      <x:c r="AP148" s="19"/>
    </x:row>
    <x:row r="149" ht="36" customHeight="1">
      <x:c r="A149" s="23" t="n">
        <x:v>148</x:v>
      </x:c>
      <x:c r="B149" s="15" t="str">
        <x:v>Greg Buys Houses</x:v>
      </x:c>
      <x:c r="C149" s="15"/>
      <x:c r="D149" s="15" t="str">
        <x:v>Property investor / home-buying operator</x:v>
      </x:c>
      <x:c r="E149" s="15" t="str">
        <x:v>Property investor / operator inquiry</x:v>
      </x:c>
      <x:c r="F149" s="17" t="str">
        <x:v>New</x:v>
      </x:c>
      <x:c r="G149" s="24"/>
      <x:c r="H149" s="24" t="str">
        <x:v>+18509790031</x:v>
      </x:c>
      <x:c r="I149" s="24" t="str">
        <x:v>https://www.sellyourhousetogreg.com/</x:v>
      </x:c>
      <x:c r="J149" s="16" t="str">
        <x:v>FL</x:v>
      </x:c>
      <x:c r="K149" s="16" t="str">
        <x:v>Pensacola</x:v>
      </x:c>
      <x:c r="L149" s="16" t="str">
        <x:v>Public property-business route; investor decision maker unconfirmed</x:v>
      </x:c>
      <x:c r="M149" s="16" t="str">
        <x:v>https://www.sellyourhousetogreg.com/</x:v>
      </x:c>
      <x:c r="N149" s="16" t="str">
        <x:v>$100K-$500K ticket not published / unconfirmed</x:v>
      </x:c>
      <x:c r="O149" s="20"/>
      <x:c r="P149" s="20"/>
      <x:c r="Q149" s="25" t="str">
        <x:v>No $100K-$500K corporate-investment ticket published in checked source</x:v>
      </x:c>
      <x:c r="R149" s="25" t="str">
        <x:v>Property acquisition or investor activity makes this an operator-capital prospect for the signed trial. Confirm operating-company debt/equity appetite.</x:v>
      </x:c>
      <x:c r="S149" s="25" t="str">
        <x:v>Corporate-investment ticket and appetite unconfirmed. Property-buying activity alone does not establish fit for funding 101XVC trial operating costs.</x:v>
      </x:c>
      <x:c r="T149" s="25" t="str">
        <x:v>Ask the owner/investor whether they can allocate $100K-$500K to trial marketing and acquisitions, and confirm structure, timing and decision authority.</x:v>
      </x:c>
      <x:c r="U149" s="25" t="str">
        <x:v>https://www.cashhomebuyersdirectory.com/cash-home-buyers/florida/pensacola
https://www.sellyourhousetogreg.com/</x:v>
      </x:c>
      <x:c r="V149" s="26" t="d">
        <x:v>2026-10-02T00:00:00.000Z</x:v>
      </x:c>
      <x:c r="W149" s="26" t="d">
        <x:v>2026-10-03T00:00:00.000Z</x:v>
      </x:c>
      <x:c r="X149" s="25" t="str">
        <x:v>Public investor directory; business role and contact ownership require qualification</x:v>
      </x:c>
      <x:c r="Y149" s="25"/>
      <x:c r="Z149" s="25" t="str">
        <x:v>https://www.cashhomebuyersdirectory.com/cash-home-buyers/florida/pensacola</x:v>
      </x:c>
      <x:c r="AA149" s="25" t="str">
        <x:v>Public cash-home-buyer directory lists business name, phone and market. Directory entry may include brokers or service providers. Official website fetched; home-buying or investing activity stated.</x:v>
      </x:c>
      <x:c r="AB149" s="3" t="str">
        <x:v>New public-source collection</x:v>
      </x:c>
      <x:c r="AC149" s="3" t="str">
        <x:v>unverified</x:v>
      </x:c>
      <x:c r="AD149" s="3" t="str">
        <x:v>Not contacted / unconfirmed</x:v>
      </x:c>
      <x:c r="AE149" s="3" t="str">
        <x:v>Yes</x:v>
      </x:c>
      <x:c r="AF149" s="3" t="str">
        <x:v>Yes</x:v>
      </x:c>
      <x:c r="AG149" s="3"/>
      <x:c r="AH149" s="3"/>
      <x:c r="AI149" s="18"/>
      <x:c r="AJ149" s="3" t="str">
        <x:v>CF2500-4037717C5F56</x:v>
      </x:c>
      <x:c r="AK149" s="3" t="str">
        <x:v>Property investor / home-buying operator prospect</x:v>
      </x:c>
      <x:c r="AL149" s="19" t="n">
        <x:v>100000</x:v>
      </x:c>
      <x:c r="AM149" s="19" t="n">
        <x:v>500000</x:v>
      </x:c>
      <x:c r="AN149" s="3" t="str">
        <x:v>https://www.cashhomebuyersdirectory.com/cash-home-buyers/florida/pensacola</x:v>
      </x:c>
      <x:c r="AO149" s="3" t="str">
        <x:v>tx_fl_investors.jsonl</x:v>
      </x:c>
      <x:c r="AP149" s="19"/>
    </x:row>
    <x:row r="150" ht="36" customHeight="1">
      <x:c r="A150" s="23" t="n">
        <x:v>149</x:v>
      </x:c>
      <x:c r="B150" s="15" t="str">
        <x:v>Gulf Coast Real Estate Cash Buyers</x:v>
      </x:c>
      <x:c r="C150" s="15"/>
      <x:c r="D150" s="15" t="str">
        <x:v>Property investor / home-buying operator</x:v>
      </x:c>
      <x:c r="E150" s="15" t="str">
        <x:v>Property investor / operator inquiry</x:v>
      </x:c>
      <x:c r="F150" s="17" t="str">
        <x:v>New</x:v>
      </x:c>
      <x:c r="G150" s="24"/>
      <x:c r="H150" s="24" t="str">
        <x:v>+18507367354</x:v>
      </x:c>
      <x:c r="I150" s="24" t="str">
        <x:v>https://gulfcoastrecashbuyersseller.carrot.com/</x:v>
      </x:c>
      <x:c r="J150" s="16" t="str">
        <x:v>FL</x:v>
      </x:c>
      <x:c r="K150" s="16"/>
      <x:c r="L150" s="16" t="str">
        <x:v>Public property-business route; investor decision maker unconfirmed</x:v>
      </x:c>
      <x:c r="M150" s="16" t="str">
        <x:v>https://gulfcoastrecashbuyersseller.carrot.com/</x:v>
      </x:c>
      <x:c r="N150" s="16" t="str">
        <x:v>$100K-$500K ticket not published / unconfirmed</x:v>
      </x:c>
      <x:c r="O150" s="20"/>
      <x:c r="P150" s="20"/>
      <x:c r="Q150" s="25" t="str">
        <x:v>No $100K-$500K corporate-investment ticket published in checked source</x:v>
      </x:c>
      <x:c r="R150" s="25" t="str">
        <x:v>Property acquisition or investor activity makes this an operator-capital prospect for the signed trial. Confirm operating-company debt/equity appetite.</x:v>
      </x:c>
      <x:c r="S150" s="25" t="str">
        <x:v>Corporate-investment ticket and appetite unconfirmed. Property-buying activity alone does not establish fit for funding 101XVC trial operating costs.</x:v>
      </x:c>
      <x:c r="T150" s="25" t="str">
        <x:v>Ask the owner/investor whether they can allocate $100K-$500K to trial marketing and acquisitions, and confirm structure, timing and decision authority.</x:v>
      </x:c>
      <x:c r="U150" s="25" t="str">
        <x:v>https://www.cashhomebuyersdirectory.com/cash-home-buyers/florida/pensacola
https://gulfcoastrecashbuyersseller.carrot.com/</x:v>
      </x:c>
      <x:c r="V150" s="26" t="d">
        <x:v>2026-10-02T00:00:00.000Z</x:v>
      </x:c>
      <x:c r="W150" s="26" t="d">
        <x:v>2026-10-03T00:00:00.000Z</x:v>
      </x:c>
      <x:c r="X150" s="25" t="str">
        <x:v>Public investor directory; business role and contact ownership require qualification</x:v>
      </x:c>
      <x:c r="Y150" s="25"/>
      <x:c r="Z150" s="25" t="str">
        <x:v>https://www.cashhomebuyersdirectory.com/cash-home-buyers/florida/pensacola</x:v>
      </x:c>
      <x:c r="AA150" s="25" t="str">
        <x:v>Public cash-home-buyer directory lists business name, phone and market. Directory entry may include brokers or service providers. Official website fetched; home-buying or investing activity stated.</x:v>
      </x:c>
      <x:c r="AB150" s="3" t="str">
        <x:v>New public-source collection</x:v>
      </x:c>
      <x:c r="AC150" s="3" t="str">
        <x:v>unverified</x:v>
      </x:c>
      <x:c r="AD150" s="3" t="str">
        <x:v>Not contacted / unconfirmed</x:v>
      </x:c>
      <x:c r="AE150" s="3" t="str">
        <x:v>Yes</x:v>
      </x:c>
      <x:c r="AF150" s="3" t="str">
        <x:v>Yes</x:v>
      </x:c>
      <x:c r="AG150" s="3"/>
      <x:c r="AH150" s="3"/>
      <x:c r="AI150" s="18"/>
      <x:c r="AJ150" s="3" t="str">
        <x:v>CF2500-FA95E0D01AE4</x:v>
      </x:c>
      <x:c r="AK150" s="3" t="str">
        <x:v>Property investor / home-buying operator prospect</x:v>
      </x:c>
      <x:c r="AL150" s="19" t="n">
        <x:v>100000</x:v>
      </x:c>
      <x:c r="AM150" s="19" t="n">
        <x:v>500000</x:v>
      </x:c>
      <x:c r="AN150" s="3" t="str">
        <x:v>https://www.cashhomebuyersdirectory.com/cash-home-buyers/florida/pensacola</x:v>
      </x:c>
      <x:c r="AO150" s="3" t="str">
        <x:v>tx_fl_investors.jsonl</x:v>
      </x:c>
      <x:c r="AP150" s="19"/>
    </x:row>
    <x:row r="151" ht="36" customHeight="1">
      <x:c r="A151" s="23" t="n">
        <x:v>150</x:v>
      </x:c>
      <x:c r="B151" s="15" t="str">
        <x:v>Hilltop Home Buyer</x:v>
      </x:c>
      <x:c r="C151" s="15"/>
      <x:c r="D151" s="15" t="str">
        <x:v>Property investor / home-buying operator</x:v>
      </x:c>
      <x:c r="E151" s="15" t="str">
        <x:v>Property investor / operator inquiry</x:v>
      </x:c>
      <x:c r="F151" s="17" t="str">
        <x:v>New</x:v>
      </x:c>
      <x:c r="G151" s="24"/>
      <x:c r="H151" s="24" t="str">
        <x:v>+18339622274</x:v>
      </x:c>
      <x:c r="I151" s="24" t="str">
        <x:v>https://www.hilltophomebuyer.com/contact-us/</x:v>
      </x:c>
      <x:c r="J151" s="16" t="str">
        <x:v>TX</x:v>
      </x:c>
      <x:c r="K151" s="16" t="str">
        <x:v>Dallas</x:v>
      </x:c>
      <x:c r="L151" s="16" t="str">
        <x:v>Public property-business route; investor decision maker unconfirmed</x:v>
      </x:c>
      <x:c r="M151" s="16" t="str">
        <x:v>https://www.hilltophomebuyer.com/contact-us/</x:v>
      </x:c>
      <x:c r="N151" s="16" t="str">
        <x:v>$100K-$500K ticket not published / unconfirmed</x:v>
      </x:c>
      <x:c r="O151" s="20"/>
      <x:c r="P151" s="20"/>
      <x:c r="Q151" s="25" t="str">
        <x:v>No $100K-$500K corporate-investment ticket published in checked source</x:v>
      </x:c>
      <x:c r="R151" s="25" t="str">
        <x:v>Property acquisition or investor activity makes this an operator-capital prospect for the signed trial. Confirm operating-company debt/equity appetite.</x:v>
      </x:c>
      <x:c r="S151" s="25" t="str">
        <x:v>Corporate-investment ticket and appetite unconfirmed. Property-buying activity alone does not establish fit for funding 101XVC trial operating costs.</x:v>
      </x:c>
      <x:c r="T151" s="25" t="str">
        <x:v>Ask the owner/investor whether they can allocate $100K-$500K to trial marketing and acquisitions, and confirm structure, timing and decision authority.</x:v>
      </x:c>
      <x:c r="U151" s="25" t="str">
        <x:v>https://www.cashhomebuyersdirectory.com/cash-home-buyers/texas/dallas
https://www.hilltophomebuyer.com/contact-us/</x:v>
      </x:c>
      <x:c r="V151" s="26" t="d">
        <x:v>2026-10-02T00:00:00.000Z</x:v>
      </x:c>
      <x:c r="W151" s="26" t="d">
        <x:v>2026-10-03T00:00:00.000Z</x:v>
      </x:c>
      <x:c r="X151" s="25" t="str">
        <x:v>Public investor directory; business role and contact ownership require qualification</x:v>
      </x:c>
      <x:c r="Y151" s="25"/>
      <x:c r="Z151" s="25" t="str">
        <x:v>https://www.cashhomebuyersdirectory.com/cash-home-buyers/texas/dallas</x:v>
      </x:c>
      <x:c r="AA151" s="25" t="str">
        <x:v>Public cash-home-buyer directory lists business name, phone and market. Directory entry may include brokers or service providers. Official website fetched; home-buying or investing activity stated.</x:v>
      </x:c>
      <x:c r="AB151" s="3" t="str">
        <x:v>New public-source collection</x:v>
      </x:c>
      <x:c r="AC151" s="3" t="str">
        <x:v>unverified</x:v>
      </x:c>
      <x:c r="AD151" s="3" t="str">
        <x:v>Not contacted / unconfirmed</x:v>
      </x:c>
      <x:c r="AE151" s="3" t="str">
        <x:v>Yes</x:v>
      </x:c>
      <x:c r="AF151" s="3" t="str">
        <x:v>Yes</x:v>
      </x:c>
      <x:c r="AG151" s="3"/>
      <x:c r="AH151" s="3"/>
      <x:c r="AI151" s="18"/>
      <x:c r="AJ151" s="3" t="str">
        <x:v>CF2500-3D1B2A45A2B1</x:v>
      </x:c>
      <x:c r="AK151" s="3" t="str">
        <x:v>Property investor / home-buying operator prospect</x:v>
      </x:c>
      <x:c r="AL151" s="19" t="n">
        <x:v>100000</x:v>
      </x:c>
      <x:c r="AM151" s="19" t="n">
        <x:v>500000</x:v>
      </x:c>
      <x:c r="AN151" s="3" t="str">
        <x:v>https://www.cashhomebuyersdirectory.com/cash-home-buyers/texas/dallas</x:v>
      </x:c>
      <x:c r="AO151" s="3" t="str">
        <x:v>tx_fl_investors.jsonl</x:v>
      </x:c>
      <x:c r="AP151" s="19"/>
    </x:row>
    <x:row r="152" ht="36" customHeight="1">
      <x:c r="A152" s="23" t="n">
        <x:v>151</x:v>
      </x:c>
      <x:c r="B152" s="15" t="str">
        <x:v>HOME BUYERS OF NORTHEAST FLORIDA LLC</x:v>
      </x:c>
      <x:c r="C152" s="15"/>
      <x:c r="D152" s="15" t="str">
        <x:v>Property investor / home-buying operator</x:v>
      </x:c>
      <x:c r="E152" s="15" t="str">
        <x:v>Property investor / operator inquiry</x:v>
      </x:c>
      <x:c r="F152" s="17" t="str">
        <x:v>New</x:v>
      </x:c>
      <x:c r="G152" s="24"/>
      <x:c r="H152" s="24" t="str">
        <x:v>+13866276110</x:v>
      </x:c>
      <x:c r="I152" s="24" t="str">
        <x:v>https://homebuyersofnortheastflorida.com/</x:v>
      </x:c>
      <x:c r="J152" s="16" t="str">
        <x:v>FL</x:v>
      </x:c>
      <x:c r="K152" s="16"/>
      <x:c r="L152" s="16" t="str">
        <x:v>Public property-business route; investor decision maker unconfirmed</x:v>
      </x:c>
      <x:c r="M152" s="16" t="str">
        <x:v>https://homebuyersofnortheastflorida.com/</x:v>
      </x:c>
      <x:c r="N152" s="16" t="str">
        <x:v>$100K-$500K ticket not published / unconfirmed</x:v>
      </x:c>
      <x:c r="O152" s="20"/>
      <x:c r="P152" s="20"/>
      <x:c r="Q152" s="25" t="str">
        <x:v>No direct corporate-capital range established in checked source</x:v>
      </x:c>
      <x:c r="R152" s="25" t="str">
        <x:v>Property acquisition or investor activity makes this an operator-capital prospect for the signed trial. Confirm operating-company debt/equity appetite.</x:v>
      </x:c>
      <x:c r="S152" s="25" t="str">
        <x:v>Confirm the contact controls funding decisions; confirm willingness to invest in an operating company, current liquidity, $100K to $500K ticket size, required security and diligence.</x:v>
      </x:c>
      <x:c r="T152" s="25" t="str">
        <x:v>Ask the owner/investor whether they can allocate $100K-$500K to trial marketing and acquisitions, and confirm structure, timing and decision authority.</x:v>
      </x:c>
      <x:c r="U152" s="25" t="str">
        <x:v>https://homebuyersofnortheastflorida.com/
https://sfranalytics.com/investors/fl/deltona-daytona-beach-ormond-beach-fl
https://sfranalytics.com/investors/fl/deltona-daytona-beach-ormond-beach-fl/home-buyers-of-northeast-florida-llc-fl</x:v>
      </x:c>
      <x:c r="V152" s="26" t="d">
        <x:v>2026-10-02T00:00:00.000Z</x:v>
      </x:c>
      <x:c r="W152" s="26" t="d">
        <x:v>2026-10-03T00:00:00.000Z</x:v>
      </x:c>
      <x:c r="X152" s="25" t="str">
        <x:v>SFR Analytics public investor discovery plus official-company activity, geography and published business contact checks</x:v>
      </x:c>
      <x:c r="Y152" s="25"/>
      <x:c r="Z152" s="25" t="str">
        <x:v>https://homebuyersofnortheastflorida.com/</x:v>
      </x:c>
      <x:c r="AA152" s="25" t="str">
        <x:v>Official company site identifies Home Buyers of Northeast Florida and requests cash home offers. Published general business contact observed: (386) 627-6110. SFR Analytics public directory lists HOME BUYERS OF NORTHEAST FLORIDA LLC as an organization with a flipper strategy, 35 observed transactions and $12.4M tracked transaction volume. Observed listing market: Deltona-Daytona Beach-Ormond Beach, FL. This is third-party public-record research, not evidence of available cash, a $100K to $500K check, an operating-company investment mandate, or acceptance of this transaction.</x:v>
      </x:c>
      <x:c r="AB152" s="3" t="str">
        <x:v>New public-source collection</x:v>
      </x:c>
      <x:c r="AC152" s="3" t="str">
        <x:v>unverified</x:v>
      </x:c>
      <x:c r="AD152" s="3" t="str">
        <x:v>Not contacted / unconfirmed</x:v>
      </x:c>
      <x:c r="AE152" s="3" t="str">
        <x:v>Yes</x:v>
      </x:c>
      <x:c r="AF152" s="3" t="str">
        <x:v>Yes</x:v>
      </x:c>
      <x:c r="AG152" s="3"/>
      <x:c r="AH152" s="3"/>
      <x:c r="AI152" s="18"/>
      <x:c r="AJ152" s="3" t="str">
        <x:v>CF2500-28691CFA7C5A</x:v>
      </x:c>
      <x:c r="AK152" s="3" t="str">
        <x:v>real_estate_operator</x:v>
      </x:c>
      <x:c r="AL152" s="19" t="n">
        <x:v>100000</x:v>
      </x:c>
      <x:c r="AM152" s="19" t="n">
        <x:v>500000</x:v>
      </x:c>
      <x:c r="AN152" s="3" t="str">
        <x:v>https://homebuyersofnortheastflorida.com/</x:v>
      </x:c>
      <x:c r="AO152" s="3" t="str">
        <x:v>sfr_contact_enriched.jsonl</x:v>
      </x:c>
      <x:c r="AP152" s="19"/>
    </x:row>
    <x:row r="153" ht="36" customHeight="1">
      <x:c r="A153" s="23" t="n">
        <x:v>152</x:v>
      </x:c>
      <x:c r="B153" s="15" t="str">
        <x:v>HOUSE BUYER JOE LLC</x:v>
      </x:c>
      <x:c r="C153" s="15"/>
      <x:c r="D153" s="15" t="str">
        <x:v>Property investor / home-buying operator</x:v>
      </x:c>
      <x:c r="E153" s="15" t="str">
        <x:v>Property investor / operator inquiry</x:v>
      </x:c>
      <x:c r="F153" s="17" t="str">
        <x:v>New</x:v>
      </x:c>
      <x:c r="G153" s="24"/>
      <x:c r="H153" s="24" t="str">
        <x:v>+19042049389</x:v>
      </x:c>
      <x:c r="I153" s="24" t="str">
        <x:v>https://www.housebuyerjoe.com/</x:v>
      </x:c>
      <x:c r="J153" s="16" t="str">
        <x:v>FL</x:v>
      </x:c>
      <x:c r="K153" s="16" t="str">
        <x:v>Jacksonville</x:v>
      </x:c>
      <x:c r="L153" s="16" t="str">
        <x:v>Public property-business route; investor decision maker unconfirmed</x:v>
      </x:c>
      <x:c r="M153" s="16" t="str">
        <x:v>https://www.housebuyerjoe.com/contact-us/</x:v>
      </x:c>
      <x:c r="N153" s="16" t="str">
        <x:v>$100K-$500K ticket not published / unconfirmed</x:v>
      </x:c>
      <x:c r="O153" s="20"/>
      <x:c r="P153" s="20"/>
      <x:c r="Q153" s="25" t="str">
        <x:v>No direct corporate-capital range established in checked source</x:v>
      </x:c>
      <x:c r="R153" s="25" t="str">
        <x:v>Property acquisition or investor activity makes this an operator-capital prospect for the signed trial. Confirm operating-company debt/equity appetite.</x:v>
      </x:c>
      <x:c r="S153" s="25" t="str">
        <x:v>Confirm the contact controls funding decisions; confirm willingness to invest in an operating company, current liquidity, $100K to $500K ticket size, required security and diligence.</x:v>
      </x:c>
      <x:c r="T153" s="25" t="str">
        <x:v>Ask the owner/investor whether they can allocate $100K-$500K to trial marketing and acquisitions, and confirm structure, timing and decision authority.</x:v>
      </x:c>
      <x:c r="U153" s="25" t="str">
        <x:v>https://www.housebuyerjoe.com/contact-us/
https://sfranalytics.com/investors/fl/jacksonville-fl
https://sfranalytics.com/investors/fl/jacksonville-fl/house-buyer-joe-llc-fl</x:v>
      </x:c>
      <x:c r="V153" s="26" t="d">
        <x:v>2026-10-02T00:00:00.000Z</x:v>
      </x:c>
      <x:c r="W153" s="26" t="d">
        <x:v>2026-10-03T00:00:00.000Z</x:v>
      </x:c>
      <x:c r="X153" s="25" t="str">
        <x:v>SFR Analytics public investor discovery plus official-company activity, geography and published business contact checks</x:v>
      </x:c>
      <x:c r="Y153" s="25"/>
      <x:c r="Z153" s="25" t="str">
        <x:v>https://www.housebuyerjoe.com/contact-us/</x:v>
      </x:c>
      <x:c r="AA153" s="25" t="str">
        <x:v>Company contact page describes buying houses across Duval, Clay, St. Johns and Nassau counties. Published general business contact observed: (904) 204-9389. SFR Analytics public directory lists HOUSE BUYER JOE LLC as an organization with a flipper strategy, 10 observed transactions and $1.14M tracked transaction volume. Observed listing market: Jacksonville, FL. This is third-party public-record research, not evidence of available cash, a $100K to $500K check, an operating-company investment mandate, or acceptance of this transaction.</x:v>
      </x:c>
      <x:c r="AB153" s="3" t="str">
        <x:v>New public-source collection</x:v>
      </x:c>
      <x:c r="AC153" s="3" t="str">
        <x:v>unverified</x:v>
      </x:c>
      <x:c r="AD153" s="3" t="str">
        <x:v>Not contacted / unconfirmed</x:v>
      </x:c>
      <x:c r="AE153" s="3" t="str">
        <x:v>Yes</x:v>
      </x:c>
      <x:c r="AF153" s="3" t="str">
        <x:v>Yes</x:v>
      </x:c>
      <x:c r="AG153" s="3"/>
      <x:c r="AH153" s="3"/>
      <x:c r="AI153" s="18"/>
      <x:c r="AJ153" s="3" t="str">
        <x:v>CF2500-5E79570A97C5</x:v>
      </x:c>
      <x:c r="AK153" s="3" t="str">
        <x:v>real_estate_operator</x:v>
      </x:c>
      <x:c r="AL153" s="19" t="n">
        <x:v>100000</x:v>
      </x:c>
      <x:c r="AM153" s="19" t="n">
        <x:v>500000</x:v>
      </x:c>
      <x:c r="AN153" s="3" t="str">
        <x:v>https://www.housebuyerjoe.com/contact-us/</x:v>
      </x:c>
      <x:c r="AO153" s="3" t="str">
        <x:v>sfr_contact_enriched.jsonl</x:v>
      </x:c>
      <x:c r="AP153" s="19"/>
    </x:row>
    <x:row r="154" ht="36" customHeight="1">
      <x:c r="A154" s="23" t="n">
        <x:v>153</x:v>
      </x:c>
      <x:c r="B154" s="15" t="str">
        <x:v>House Buyers USA LLC</x:v>
      </x:c>
      <x:c r="C154" s="15"/>
      <x:c r="D154" s="15" t="str">
        <x:v>Property investor / home-buying operator</x:v>
      </x:c>
      <x:c r="E154" s="15" t="str">
        <x:v>Property investor / operator inquiry</x:v>
      </x:c>
      <x:c r="F154" s="17" t="str">
        <x:v>New</x:v>
      </x:c>
      <x:c r="G154" s="24"/>
      <x:c r="H154" s="24" t="str">
        <x:v>+15206006583</x:v>
      </x:c>
      <x:c r="I154" s="24" t="str">
        <x:v>https://www.housebuyersusa.com/</x:v>
      </x:c>
      <x:c r="J154" s="16" t="str">
        <x:v>AZ</x:v>
      </x:c>
      <x:c r="K154" s="16"/>
      <x:c r="L154" s="16" t="str">
        <x:v>Public property-business route; investor decision maker unconfirmed</x:v>
      </x:c>
      <x:c r="M154" s="16" t="str">
        <x:v>https://www.housebuyersusa.com/</x:v>
      </x:c>
      <x:c r="N154" s="16" t="str">
        <x:v>$100K-$500K ticket not published / unconfirmed</x:v>
      </x:c>
      <x:c r="O154" s="20"/>
      <x:c r="P154" s="20"/>
      <x:c r="Q154" s="25" t="str">
        <x:v>No $100K-$500K operating-company investment ticket verified</x:v>
      </x:c>
      <x:c r="R154" s="25" t="str">
        <x:v>Property acquisition or investor activity makes this an operator-capital prospect for the signed trial. Confirm operating-company debt/equity appetite.</x:v>
      </x:c>
      <x:c r="S154" s="25" t="str">
        <x:v>Public property-buying activity or a directory listing does not establish available cash, investing decision-maker, current $100K-$500K capacity, or willingness to fund 101XVC operating costs.</x:v>
      </x:c>
      <x:c r="T154" s="25" t="str">
        <x:v>Ask the owner/investor whether they can allocate $100K-$500K to trial marketing and acquisitions, and confirm structure, timing and decision authority.</x:v>
      </x:c>
      <x:c r="U154" s="25" t="str">
        <x:v>https://www.cashhomebuyersdirectory.com/cash-home-buyers/arizona/tucson
https://www.housebuyersusa.com/</x:v>
      </x:c>
      <x:c r="V154" s="26" t="d">
        <x:v>2026-10-02T00:00:00.000Z</x:v>
      </x:c>
      <x:c r="W154" s="26" t="d">
        <x:v>2026-10-02T00:00:00.000Z</x:v>
      </x:c>
      <x:c r="X154" s="25" t="str">
        <x:v>Public investor directory; business role and contact ownership require qualification</x:v>
      </x:c>
      <x:c r="Y154" s="25"/>
      <x:c r="Z154" s="25" t="str">
        <x:v>https://www.cashhomebuyersdirectory.com/cash-home-buyers/arizona/tucson</x:v>
      </x:c>
      <x:c r="AA154" s="25" t="str">
        <x:v>Public cash-home-buyer directory lists business name, phone and market. Directory entry may include brokers or service providers. Official website fetched; home-buying or investing activity stated.</x:v>
      </x:c>
      <x:c r="AB154" s="3" t="str">
        <x:v>New public-source collection</x:v>
      </x:c>
      <x:c r="AC154" s="3" t="str">
        <x:v>unverified</x:v>
      </x:c>
      <x:c r="AD154" s="3" t="str">
        <x:v>Not contacted / unconfirmed</x:v>
      </x:c>
      <x:c r="AE154" s="3" t="str">
        <x:v>Yes</x:v>
      </x:c>
      <x:c r="AF154" s="3" t="str">
        <x:v>No</x:v>
      </x:c>
      <x:c r="AG154" s="3"/>
      <x:c r="AH154" s="3"/>
      <x:c r="AI154" s="18"/>
      <x:c r="AJ154" s="3" t="str">
        <x:v>CF2500-38D60DC26CDF</x:v>
      </x:c>
      <x:c r="AK154" s="3" t="str">
        <x:v>Property investor / home-buying operator prospect</x:v>
      </x:c>
      <x:c r="AL154" s="19" t="n">
        <x:v>100000</x:v>
      </x:c>
      <x:c r="AM154" s="19" t="n">
        <x:v>500000</x:v>
      </x:c>
      <x:c r="AN154" s="3" t="str">
        <x:v>https://www.cashhomebuyersdirectory.com/cash-home-buyers/arizona/tucson</x:v>
      </x:c>
      <x:c r="AO154" s="3" t="str">
        <x:v>nc_il_az_co_investors.jsonl</x:v>
      </x:c>
      <x:c r="AP154" s="19"/>
    </x:row>
    <x:row r="155" ht="36" customHeight="1">
      <x:c r="A155" s="23" t="n">
        <x:v>154</x:v>
      </x:c>
      <x:c r="B155" s="15" t="str">
        <x:v>Huge Cash Offer</x:v>
      </x:c>
      <x:c r="C155" s="15"/>
      <x:c r="D155" s="15" t="str">
        <x:v>Property investor / home-buying operator</x:v>
      </x:c>
      <x:c r="E155" s="15" t="str">
        <x:v>Property investor / operator inquiry</x:v>
      </x:c>
      <x:c r="F155" s="17" t="str">
        <x:v>New</x:v>
      </x:c>
      <x:c r="G155" s="24"/>
      <x:c r="H155" s="24" t="str">
        <x:v>+16023888716</x:v>
      </x:c>
      <x:c r="I155" s="24" t="str">
        <x:v>https://hugecashoffer.com/</x:v>
      </x:c>
      <x:c r="J155" s="16" t="str">
        <x:v>AZ</x:v>
      </x:c>
      <x:c r="K155" s="16" t="str">
        <x:v>Phoenix</x:v>
      </x:c>
      <x:c r="L155" s="16" t="str">
        <x:v>Public property-business route; investor decision maker unconfirmed</x:v>
      </x:c>
      <x:c r="M155" s="16" t="str">
        <x:v>https://hugecashoffer.com/</x:v>
      </x:c>
      <x:c r="N155" s="16" t="str">
        <x:v>$100K-$500K ticket not published / unconfirmed</x:v>
      </x:c>
      <x:c r="O155" s="20"/>
      <x:c r="P155" s="20"/>
      <x:c r="Q155" s="25" t="str">
        <x:v>No $100K-$500K operating-company investment ticket verified</x:v>
      </x:c>
      <x:c r="R155" s="25" t="str">
        <x:v>Property acquisition or investor activity makes this an operator-capital prospect for the signed trial. Confirm operating-company debt/equity appetite.</x:v>
      </x:c>
      <x:c r="S155" s="25" t="str">
        <x:v>Public property-buying activity or a directory listing does not establish available cash, investing decision-maker, current $100K-$500K capacity, or willingness to fund 101XVC operating costs.</x:v>
      </x:c>
      <x:c r="T155" s="25" t="str">
        <x:v>Ask the owner/investor whether they can allocate $100K-$500K to trial marketing and acquisitions, and confirm structure, timing and decision authority.</x:v>
      </x:c>
      <x:c r="U155" s="25" t="str">
        <x:v>https://www.cashhomebuyersdirectory.com/cash-home-buyers/arizona/phoenix
https://hugecashoffer.com/</x:v>
      </x:c>
      <x:c r="V155" s="26" t="d">
        <x:v>2026-10-02T00:00:00.000Z</x:v>
      </x:c>
      <x:c r="W155" s="26" t="d">
        <x:v>2026-10-02T00:00:00.000Z</x:v>
      </x:c>
      <x:c r="X155" s="25" t="str">
        <x:v>Public investor directory; business role and contact ownership require qualification</x:v>
      </x:c>
      <x:c r="Y155" s="25"/>
      <x:c r="Z155" s="25" t="str">
        <x:v>https://www.cashhomebuyersdirectory.com/cash-home-buyers/arizona/phoenix</x:v>
      </x:c>
      <x:c r="AA155" s="25" t="str">
        <x:v>Public cash-home-buyer directory lists business name, phone and market. Directory entry may include brokers or service providers. Official website fetched; home-buying or investing activity stated.</x:v>
      </x:c>
      <x:c r="AB155" s="3" t="str">
        <x:v>New public-source collection</x:v>
      </x:c>
      <x:c r="AC155" s="3" t="str">
        <x:v>unverified</x:v>
      </x:c>
      <x:c r="AD155" s="3" t="str">
        <x:v>Not contacted / unconfirmed</x:v>
      </x:c>
      <x:c r="AE155" s="3" t="str">
        <x:v>Yes</x:v>
      </x:c>
      <x:c r="AF155" s="3" t="str">
        <x:v>Yes</x:v>
      </x:c>
      <x:c r="AG155" s="3"/>
      <x:c r="AH155" s="3"/>
      <x:c r="AI155" s="18"/>
      <x:c r="AJ155" s="3" t="str">
        <x:v>CF2500-B726ACBC6AB1</x:v>
      </x:c>
      <x:c r="AK155" s="3" t="str">
        <x:v>Property investor / home-buying operator prospect</x:v>
      </x:c>
      <x:c r="AL155" s="19" t="n">
        <x:v>100000</x:v>
      </x:c>
      <x:c r="AM155" s="19" t="n">
        <x:v>500000</x:v>
      </x:c>
      <x:c r="AN155" s="3" t="str">
        <x:v>https://www.cashhomebuyersdirectory.com/cash-home-buyers/arizona/phoenix</x:v>
      </x:c>
      <x:c r="AO155" s="3" t="str">
        <x:v>nc_il_az_co_investors.jsonl</x:v>
      </x:c>
      <x:c r="AP155" s="19"/>
    </x:row>
    <x:row r="156" ht="36" customHeight="1">
      <x:c r="A156" s="23" t="n">
        <x:v>155</x:v>
      </x:c>
      <x:c r="B156" s="15" t="str">
        <x:v>JiT Home Buyers</x:v>
      </x:c>
      <x:c r="C156" s="15"/>
      <x:c r="D156" s="15" t="str">
        <x:v>Property investor / home-buying operator</x:v>
      </x:c>
      <x:c r="E156" s="15" t="str">
        <x:v>Property investor / operator inquiry</x:v>
      </x:c>
      <x:c r="F156" s="17" t="str">
        <x:v>New</x:v>
      </x:c>
      <x:c r="G156" s="24"/>
      <x:c r="H156" s="24" t="str">
        <x:v>+15207753880</x:v>
      </x:c>
      <x:c r="I156" s="24" t="str">
        <x:v>https://jithomebuyers.com/arizona/sell-my-house-fast-in-tucson-arizona/</x:v>
      </x:c>
      <x:c r="J156" s="16" t="str">
        <x:v>AZ</x:v>
      </x:c>
      <x:c r="K156" s="16" t="str">
        <x:v>Tucson</x:v>
      </x:c>
      <x:c r="L156" s="16" t="str">
        <x:v>Public property-business route; investor decision maker unconfirmed</x:v>
      </x:c>
      <x:c r="M156" s="16" t="str">
        <x:v>https://jithomebuyers.com/contact-us/</x:v>
      </x:c>
      <x:c r="N156" s="16" t="str">
        <x:v>$100K-$500K ticket not published / unconfirmed</x:v>
      </x:c>
      <x:c r="O156" s="20"/>
      <x:c r="P156" s="20"/>
      <x:c r="Q156" s="25" t="str">
        <x:v>No $100K-$500K operating-company investment ticket verified</x:v>
      </x:c>
      <x:c r="R156" s="25" t="str">
        <x:v>Property acquisition or investor activity makes this an operator-capital prospect for the signed trial. Confirm operating-company debt/equity appetite.</x:v>
      </x:c>
      <x:c r="S156" s="25" t="str">
        <x:v>Public property-buying activity or a directory listing does not establish available cash, investing decision-maker, current $100K-$500K capacity, or willingness to fund 101XVC operating costs.</x:v>
      </x:c>
      <x:c r="T156" s="25" t="str">
        <x:v>Ask the owner/investor whether they can allocate $100K-$500K to trial marketing and acquisitions, and confirm structure, timing and decision authority.</x:v>
      </x:c>
      <x:c r="U156" s="25" t="str">
        <x:v>https://www.cashhomebuyersdirectory.com/cash-home-buyers/arizona/tucson
https://jithomebuyers.com/arizona/sell-my-house-fast-in-tucson-arizona/
https://jithomebuyers.com/contact-us/
https://www.cashhomebuyersdirectory.com/cash-home-buyers/texas/dallas
https://www.cashhomebuyersdirectory.com/cash-home-buyers/missouri/kansas-city
https://www.cashhomebuyersdirectory.com/cash-home-buyers/oklahoma/oklahoma-city
https://www.cashhomebuyersdirectory.com/cash-home-buyers/oklahoma/tulsa
https://www.cashhomebuyersdirectory.com/cash-home-buyers/california/oakland
https://www.cashhomebuyersdirectory.com/cash-home-buyers/michigan/lansing
https://www.cashhomebuyersdirectory.com/cash-home-buyers/ohio/columbus
https://www.cashhomebuyersdirectory.com/cash-home-buyers/virginia/richmond
https://www.cashhomebuyersdirectory.com/cash-home-buyers/maryland/baltimore
https://www.cashhomebuyersdirectory.com/cash-home-buyers/california/san-francisco</x:v>
      </x:c>
      <x:c r="V156" s="26" t="d">
        <x:v>2026-10-02T00:00:00.000Z</x:v>
      </x:c>
      <x:c r="W156" s="26" t="d">
        <x:v>2026-10-02T00:00:00.000Z</x:v>
      </x:c>
      <x:c r="X156" s="25" t="str">
        <x:v>Public investor directory; business role and contact ownership require qualification</x:v>
      </x:c>
      <x:c r="Y156" s="25"/>
      <x:c r="Z156" s="25" t="str">
        <x:v>https://www.cashhomebuyersdirectory.com/cash-home-buyers/arizona/tucson</x:v>
      </x:c>
      <x:c r="AA156" s="25" t="str">
        <x:v>Public cash-home-buyer directory lists business name, phone and market. Directory entry may include brokers or service providers. Official website fetched; home-buying or investing activity stated.</x:v>
      </x:c>
      <x:c r="AB156" s="3" t="str">
        <x:v>New public-source collection</x:v>
      </x:c>
      <x:c r="AC156" s="3" t="str">
        <x:v>unverified</x:v>
      </x:c>
      <x:c r="AD156" s="3" t="str">
        <x:v>Not contacted / unconfirmed</x:v>
      </x:c>
      <x:c r="AE156" s="3" t="str">
        <x:v>Yes</x:v>
      </x:c>
      <x:c r="AF156" s="3" t="str">
        <x:v>No</x:v>
      </x:c>
      <x:c r="AG156" s="3"/>
      <x:c r="AH156" s="3" t="str">
        <x:v>JIT Home Buyers; JiT Home Buyers LLC; JiT Home Buyers | We Buy Houses Baltimore; We Buy Houses in SF Bay Area</x:v>
      </x:c>
      <x:c r="AI156" s="18"/>
      <x:c r="AJ156" s="3" t="str">
        <x:v>CF2500-B54B17622646</x:v>
      </x:c>
      <x:c r="AK156" s="3" t="str">
        <x:v>Property investor / home-buying operator prospect</x:v>
      </x:c>
      <x:c r="AL156" s="19" t="n">
        <x:v>100000</x:v>
      </x:c>
      <x:c r="AM156" s="19" t="n">
        <x:v>500000</x:v>
      </x:c>
      <x:c r="AN156" s="3" t="str">
        <x:v>https://www.cashhomebuyersdirectory.com/cash-home-buyers/arizona/tucson</x:v>
      </x:c>
      <x:c r="AO156" s="3" t="str">
        <x:v>nc_il_az_co_investors.jsonl</x:v>
      </x:c>
      <x:c r="AP156" s="19"/>
    </x:row>
    <x:row r="157" ht="36" customHeight="1">
      <x:c r="A157" s="23" t="n">
        <x:v>156</x:v>
      </x:c>
      <x:c r="B157" s="15" t="str">
        <x:v>Joe Homebuyer of the Piedmont Triad</x:v>
      </x:c>
      <x:c r="C157" s="15"/>
      <x:c r="D157" s="15" t="str">
        <x:v>Property investor / home-buying operator</x:v>
      </x:c>
      <x:c r="E157" s="15" t="str">
        <x:v>Property investor / operator inquiry</x:v>
      </x:c>
      <x:c r="F157" s="17" t="str">
        <x:v>New</x:v>
      </x:c>
      <x:c r="G157" s="24"/>
      <x:c r="H157" s="24" t="str">
        <x:v>+13367395904</x:v>
      </x:c>
      <x:c r="I157" s="24" t="str">
        <x:v>https://joehomebuyerofpiedmonttriadarea.com/</x:v>
      </x:c>
      <x:c r="J157" s="16" t="str">
        <x:v>NC</x:v>
      </x:c>
      <x:c r="K157" s="16" t="str">
        <x:v>Greensboro</x:v>
      </x:c>
      <x:c r="L157" s="16" t="str">
        <x:v>Public property-business route; investor decision maker unconfirmed</x:v>
      </x:c>
      <x:c r="M157" s="16" t="str">
        <x:v>https://joehomebuyerofpiedmonttriadarea.com/</x:v>
      </x:c>
      <x:c r="N157" s="16" t="str">
        <x:v>$100K-$500K ticket not published / unconfirmed</x:v>
      </x:c>
      <x:c r="O157" s="20"/>
      <x:c r="P157" s="20"/>
      <x:c r="Q157" s="25" t="str">
        <x:v>No $100K-$500K operating-company investment ticket verified</x:v>
      </x:c>
      <x:c r="R157" s="25" t="str">
        <x:v>Property acquisition or investor activity makes this an operator-capital prospect for the signed trial. Confirm operating-company debt/equity appetite.</x:v>
      </x:c>
      <x:c r="S157" s="25" t="str">
        <x:v>Public property-buying activity or a directory listing does not establish available cash, investing decision-maker, current $100K-$500K capacity, or willingness to fund 101XVC operating costs.</x:v>
      </x:c>
      <x:c r="T157" s="25" t="str">
        <x:v>Ask the owner/investor whether they can allocate $100K-$500K to trial marketing and acquisitions, and confirm structure, timing and decision authority.</x:v>
      </x:c>
      <x:c r="U157" s="25" t="str">
        <x:v>https://www.cashhomebuyersdirectory.com/cash-home-buyers/north-carolina/greensboro
https://joehomebuyerofpiedmonttriadarea.com/</x:v>
      </x:c>
      <x:c r="V157" s="26" t="d">
        <x:v>2026-10-02T00:00:00.000Z</x:v>
      </x:c>
      <x:c r="W157" s="26" t="d">
        <x:v>2026-10-02T00:00:00.000Z</x:v>
      </x:c>
      <x:c r="X157" s="25" t="str">
        <x:v>Public investor directory; business role and contact ownership require qualification</x:v>
      </x:c>
      <x:c r="Y157" s="25"/>
      <x:c r="Z157" s="25" t="str">
        <x:v>https://www.cashhomebuyersdirectory.com/cash-home-buyers/north-carolina/greensboro</x:v>
      </x:c>
      <x:c r="AA157" s="25" t="str">
        <x:v>Public cash-home-buyer directory lists business name, phone and market. Directory entry may include brokers or service providers. Official website fetched; home-buying or investing activity stated.</x:v>
      </x:c>
      <x:c r="AB157" s="3" t="str">
        <x:v>New public-source collection</x:v>
      </x:c>
      <x:c r="AC157" s="3" t="str">
        <x:v>unverified</x:v>
      </x:c>
      <x:c r="AD157" s="3" t="str">
        <x:v>Not contacted / unconfirmed</x:v>
      </x:c>
      <x:c r="AE157" s="3" t="str">
        <x:v>Yes</x:v>
      </x:c>
      <x:c r="AF157" s="3" t="str">
        <x:v>No</x:v>
      </x:c>
      <x:c r="AG157" s="3"/>
      <x:c r="AH157" s="3"/>
      <x:c r="AI157" s="18"/>
      <x:c r="AJ157" s="3" t="str">
        <x:v>CF2500-5D7643896827</x:v>
      </x:c>
      <x:c r="AK157" s="3" t="str">
        <x:v>Property investor / home-buying operator prospect</x:v>
      </x:c>
      <x:c r="AL157" s="19" t="n">
        <x:v>100000</x:v>
      </x:c>
      <x:c r="AM157" s="19" t="n">
        <x:v>500000</x:v>
      </x:c>
      <x:c r="AN157" s="3" t="str">
        <x:v>https://www.cashhomebuyersdirectory.com/cash-home-buyers/north-carolina/greensboro</x:v>
      </x:c>
      <x:c r="AO157" s="3" t="str">
        <x:v>nc_il_az_co_investors.jsonl</x:v>
      </x:c>
      <x:c r="AP157" s="19"/>
    </x:row>
    <x:row r="158" ht="36" customHeight="1">
      <x:c r="A158" s="23" t="n">
        <x:v>157</x:v>
      </x:c>
      <x:c r="B158" s="15" t="str">
        <x:v>KENDALL PARTNERS LTD</x:v>
      </x:c>
      <x:c r="C158" s="15"/>
      <x:c r="D158" s="15" t="str">
        <x:v>Property investor / home-buying operator</x:v>
      </x:c>
      <x:c r="E158" s="15" t="str">
        <x:v>Property investor / operator inquiry</x:v>
      </x:c>
      <x:c r="F158" s="17" t="str">
        <x:v>New</x:v>
      </x:c>
      <x:c r="G158" s="24"/>
      <x:c r="H158" s="24" t="str">
        <x:v>+16303489833</x:v>
      </x:c>
      <x:c r="I158" s="24" t="str">
        <x:v>https://www.kendallpartnersltd.com/</x:v>
      </x:c>
      <x:c r="J158" s="16" t="str">
        <x:v>IL</x:v>
      </x:c>
      <x:c r="K158" s="16" t="str">
        <x:v>Yorkville</x:v>
      </x:c>
      <x:c r="L158" s="16" t="str">
        <x:v>Public property-business route; investor decision maker unconfirmed</x:v>
      </x:c>
      <x:c r="M158" s="16" t="str">
        <x:v>https://www.kendallpartnersltd.com/contact-us/</x:v>
      </x:c>
      <x:c r="N158" s="16" t="str">
        <x:v>$100K-$500K ticket not published / unconfirmed</x:v>
      </x:c>
      <x:c r="O158" s="20"/>
      <x:c r="P158" s="20"/>
      <x:c r="Q158" s="25" t="str">
        <x:v>No direct corporate-capital range established in checked source</x:v>
      </x:c>
      <x:c r="R158" s="25" t="str">
        <x:v>Property acquisition or investor activity makes this an operator-capital prospect for the signed trial. Confirm operating-company debt/equity appetite.</x:v>
      </x:c>
      <x:c r="S158" s="25" t="str">
        <x:v>Confirm the contact controls funding decisions; confirm willingness to invest in an operating company, current liquidity, $100K to $500K ticket size, required security and diligence.</x:v>
      </x:c>
      <x:c r="T158" s="25" t="str">
        <x:v>Ask the owner/investor whether they can allocate $100K-$500K to trial marketing and acquisitions, and confirm structure, timing and decision authority.</x:v>
      </x:c>
      <x:c r="U158" s="25" t="str">
        <x:v>https://www.kendallpartnersltd.com/contact-us/
https://sfranalytics.com/investors
https://sfranalytics.com/investors/il/chicago-naperville-elgin-il-in/kendall-partners-ltd-il
https://sfranalytics.com/investors/il
https://sfranalytics.com/investors/il/chicago-naperville-elgin-il-in</x:v>
      </x:c>
      <x:c r="V158" s="26" t="d">
        <x:v>2026-10-02T00:00:00.000Z</x:v>
      </x:c>
      <x:c r="W158" s="26" t="d">
        <x:v>2026-10-03T00:00:00.000Z</x:v>
      </x:c>
      <x:c r="X158" s="25" t="str">
        <x:v>SFR Analytics public investor discovery plus official-company activity, geography and published business contact checks</x:v>
      </x:c>
      <x:c r="Y158" s="25"/>
      <x:c r="Z158" s="25" t="str">
        <x:v>https://www.kendallpartnersltd.com/contact-us/</x:v>
      </x:c>
      <x:c r="AA158" s="25" t="str">
        <x:v>Official company contact page gives Yorkville, Illinois headquarters and describes cash home buying. Published general business contact observed: (630) 348-9833. SFR Analytics public directory lists KENDALL PARTNERS LTD as an organization with a flipper strategy, 928 observed transactions and $169.8M tracked transaction volume. Observed listing market: Real Estate Investor Directory. This is third-party public-record research, not evidence of available cash, a $100K to $500K check, an operating-company investment mandate, or acceptance of this transaction.</x:v>
      </x:c>
      <x:c r="AB158" s="3" t="str">
        <x:v>New public-source collection</x:v>
      </x:c>
      <x:c r="AC158" s="3" t="str">
        <x:v>unverified</x:v>
      </x:c>
      <x:c r="AD158" s="3" t="str">
        <x:v>Not contacted / unconfirmed</x:v>
      </x:c>
      <x:c r="AE158" s="3" t="str">
        <x:v>Yes</x:v>
      </x:c>
      <x:c r="AF158" s="3" t="str">
        <x:v>Yes</x:v>
      </x:c>
      <x:c r="AG158" s="3"/>
      <x:c r="AH158" s="3"/>
      <x:c r="AI158" s="18"/>
      <x:c r="AJ158" s="3" t="str">
        <x:v>CF2500-39EC6041BCD2</x:v>
      </x:c>
      <x:c r="AK158" s="3" t="str">
        <x:v>real_estate_operator</x:v>
      </x:c>
      <x:c r="AL158" s="19" t="n">
        <x:v>100000</x:v>
      </x:c>
      <x:c r="AM158" s="19" t="n">
        <x:v>500000</x:v>
      </x:c>
      <x:c r="AN158" s="3" t="str">
        <x:v>https://www.kendallpartnersltd.com/contact-us/</x:v>
      </x:c>
      <x:c r="AO158" s="3" t="str">
        <x:v>sfr_contact_enriched.jsonl</x:v>
      </x:c>
      <x:c r="AP158" s="19"/>
    </x:row>
    <x:row r="159" ht="36" customHeight="1">
      <x:c r="A159" s="23" t="n">
        <x:v>158</x:v>
      </x:c>
      <x:c r="B159" s="15" t="str">
        <x:v>MIDWEST HOMEBUYERS LLC</x:v>
      </x:c>
      <x:c r="C159" s="15"/>
      <x:c r="D159" s="15" t="str">
        <x:v>Property investor / home-buying operator</x:v>
      </x:c>
      <x:c r="E159" s="15" t="str">
        <x:v>Property investor / operator inquiry</x:v>
      </x:c>
      <x:c r="F159" s="17" t="str">
        <x:v>New</x:v>
      </x:c>
      <x:c r="G159" s="24"/>
      <x:c r="H159" s="24" t="str">
        <x:v>+15637230524</x:v>
      </x:c>
      <x:c r="I159" s="24" t="str">
        <x:v>https://www.midwesthomebuyersllc.net/</x:v>
      </x:c>
      <x:c r="J159" s="16" t="str">
        <x:v>IL</x:v>
      </x:c>
      <x:c r="K159" s="16" t="str">
        <x:v>Quad Cities</x:v>
      </x:c>
      <x:c r="L159" s="16" t="str">
        <x:v>Public property-business route; investor decision maker unconfirmed</x:v>
      </x:c>
      <x:c r="M159" s="16" t="str">
        <x:v>https://www.midwesthomebuyersllc.net/</x:v>
      </x:c>
      <x:c r="N159" s="16" t="str">
        <x:v>$100K-$500K ticket not published / unconfirmed</x:v>
      </x:c>
      <x:c r="O159" s="20"/>
      <x:c r="P159" s="20"/>
      <x:c r="Q159" s="25" t="str">
        <x:v>No direct corporate-capital range established in checked source</x:v>
      </x:c>
      <x:c r="R159" s="25" t="str">
        <x:v>Property acquisition or investor activity makes this an operator-capital prospect for the signed trial. Confirm operating-company debt/equity appetite.</x:v>
      </x:c>
      <x:c r="S159" s="25" t="str">
        <x:v>Confirm the contact controls funding decisions; confirm willingness to invest in an operating company, current liquidity, $100K to $500K ticket size, required security and diligence.</x:v>
      </x:c>
      <x:c r="T159" s="25" t="str">
        <x:v>Ask the owner/investor whether they can allocate $100K-$500K to trial marketing and acquisitions, and confirm structure, timing and decision authority.</x:v>
      </x:c>
      <x:c r="U159" s="25" t="str">
        <x:v>https://www.midwesthomebuyersllc.net/
https://sfranalytics.com/investors/il
https://sfranalytics.com/investors/il/davenport-moline-rock-island-ia-il/midwest-homebuyers-llc-il
https://www.cashhomebuyersdirectory.com/cash-home-buyers/iowa/davenport</x:v>
      </x:c>
      <x:c r="V159" s="26" t="d">
        <x:v>2026-10-02T00:00:00.000Z</x:v>
      </x:c>
      <x:c r="W159" s="26" t="d">
        <x:v>2026-10-03T00:00:00.000Z</x:v>
      </x:c>
      <x:c r="X159" s="25" t="str">
        <x:v>SFR Analytics public investor discovery plus official-company activity, geography and published business contact checks</x:v>
      </x:c>
      <x:c r="Y159" s="25"/>
      <x:c r="Z159" s="25" t="str">
        <x:v>https://www.midwesthomebuyersllc.net/</x:v>
      </x:c>
      <x:c r="AA159" s="25" t="str">
        <x:v>Company describes buying houses in Iowa and Illinois, including Moline and Rock Island. Published general business contact observed: (563) 723-0524. SFR Analytics public directory lists MIDWEST HOMEBUYERS LLC as an organization with a flipper strategy, 82 observed transactions and $5.10M tracked transaction volume. Observed listing market: Illinois. This is third-party public-record research, not evidence of available cash, a $100K to $500K check, an operating-company investment mandate, or acceptance of this transaction.</x:v>
      </x:c>
      <x:c r="AB159" s="3" t="str">
        <x:v>New public-source collection</x:v>
      </x:c>
      <x:c r="AC159" s="3" t="str">
        <x:v>unverified</x:v>
      </x:c>
      <x:c r="AD159" s="3" t="str">
        <x:v>Not contacted / unconfirmed</x:v>
      </x:c>
      <x:c r="AE159" s="3" t="str">
        <x:v>Yes</x:v>
      </x:c>
      <x:c r="AF159" s="3" t="str">
        <x:v>Yes</x:v>
      </x:c>
      <x:c r="AG159" s="3"/>
      <x:c r="AH159" s="3" t="str">
        <x:v>Midwest HomeBuyers</x:v>
      </x:c>
      <x:c r="AI159" s="18"/>
      <x:c r="AJ159" s="3" t="str">
        <x:v>CF2500-76AA3CD13752</x:v>
      </x:c>
      <x:c r="AK159" s="3" t="str">
        <x:v>real_estate_operator</x:v>
      </x:c>
      <x:c r="AL159" s="19" t="n">
        <x:v>100000</x:v>
      </x:c>
      <x:c r="AM159" s="19" t="n">
        <x:v>500000</x:v>
      </x:c>
      <x:c r="AN159" s="3" t="str">
        <x:v>https://www.midwesthomebuyersllc.net/</x:v>
      </x:c>
      <x:c r="AO159" s="3" t="str">
        <x:v>sfr_contact_enriched.jsonl</x:v>
      </x:c>
      <x:c r="AP159" s="19"/>
    </x:row>
    <x:row r="160" ht="36" customHeight="1">
      <x:c r="A160" s="23" t="n">
        <x:v>159</x:v>
      </x:c>
      <x:c r="B160" s="15" t="str">
        <x:v>NC Home Buyer</x:v>
      </x:c>
      <x:c r="C160" s="15"/>
      <x:c r="D160" s="15" t="str">
        <x:v>Property investor / home-buying operator</x:v>
      </x:c>
      <x:c r="E160" s="15" t="str">
        <x:v>Property investor / operator inquiry</x:v>
      </x:c>
      <x:c r="F160" s="17" t="str">
        <x:v>New</x:v>
      </x:c>
      <x:c r="G160" s="24"/>
      <x:c r="H160" s="24" t="str">
        <x:v>+19197877440</x:v>
      </x:c>
      <x:c r="I160" s="24" t="str">
        <x:v>https://www.nchomebuyer.com/</x:v>
      </x:c>
      <x:c r="J160" s="16" t="str">
        <x:v>NC</x:v>
      </x:c>
      <x:c r="K160" s="16" t="str">
        <x:v>Raleigh</x:v>
      </x:c>
      <x:c r="L160" s="16" t="str">
        <x:v>Public property-business route; investor decision maker unconfirmed</x:v>
      </x:c>
      <x:c r="M160" s="16" t="str">
        <x:v>https://www.nchomebuyer.com/</x:v>
      </x:c>
      <x:c r="N160" s="16" t="str">
        <x:v>$100K-$500K ticket not published / unconfirmed</x:v>
      </x:c>
      <x:c r="O160" s="20"/>
      <x:c r="P160" s="20"/>
      <x:c r="Q160" s="25" t="str">
        <x:v>No $100K-$500K operating-company investment ticket verified</x:v>
      </x:c>
      <x:c r="R160" s="25" t="str">
        <x:v>Property acquisition or investor activity makes this an operator-capital prospect for the signed trial. Confirm operating-company debt/equity appetite.</x:v>
      </x:c>
      <x:c r="S160" s="25" t="str">
        <x:v>Public property-buying activity or a directory listing does not establish available cash, investing decision-maker, current $100K-$500K capacity, or willingness to fund 101XVC operating costs.</x:v>
      </x:c>
      <x:c r="T160" s="25" t="str">
        <x:v>Ask the owner/investor whether they can allocate $100K-$500K to trial marketing and acquisitions, and confirm structure, timing and decision authority.</x:v>
      </x:c>
      <x:c r="U160" s="25" t="str">
        <x:v>https://www.cashhomebuyersdirectory.com/cash-home-buyers/north-carolina/raleigh
https://www.nchomebuyer.com/</x:v>
      </x:c>
      <x:c r="V160" s="26" t="d">
        <x:v>2026-10-02T00:00:00.000Z</x:v>
      </x:c>
      <x:c r="W160" s="26" t="d">
        <x:v>2026-10-02T00:00:00.000Z</x:v>
      </x:c>
      <x:c r="X160" s="25" t="str">
        <x:v>Public investor directory; business role and contact ownership require qualification</x:v>
      </x:c>
      <x:c r="Y160" s="25"/>
      <x:c r="Z160" s="25" t="str">
        <x:v>https://www.cashhomebuyersdirectory.com/cash-home-buyers/north-carolina/raleigh</x:v>
      </x:c>
      <x:c r="AA160" s="25" t="str">
        <x:v>Public cash-home-buyer directory lists business name, phone and market. Directory entry may include brokers or service providers. Official website fetched; home-buying or investing activity stated.</x:v>
      </x:c>
      <x:c r="AB160" s="3" t="str">
        <x:v>New public-source collection</x:v>
      </x:c>
      <x:c r="AC160" s="3" t="str">
        <x:v>unverified</x:v>
      </x:c>
      <x:c r="AD160" s="3" t="str">
        <x:v>Not contacted / unconfirmed</x:v>
      </x:c>
      <x:c r="AE160" s="3" t="str">
        <x:v>Yes</x:v>
      </x:c>
      <x:c r="AF160" s="3" t="str">
        <x:v>No</x:v>
      </x:c>
      <x:c r="AG160" s="3"/>
      <x:c r="AH160" s="3"/>
      <x:c r="AI160" s="18"/>
      <x:c r="AJ160" s="3" t="str">
        <x:v>CF2500-1F01BC370967</x:v>
      </x:c>
      <x:c r="AK160" s="3" t="str">
        <x:v>Property investor / home-buying operator prospect</x:v>
      </x:c>
      <x:c r="AL160" s="19" t="n">
        <x:v>100000</x:v>
      </x:c>
      <x:c r="AM160" s="19" t="n">
        <x:v>500000</x:v>
      </x:c>
      <x:c r="AN160" s="3" t="str">
        <x:v>https://www.cashhomebuyersdirectory.com/cash-home-buyers/north-carolina/raleigh</x:v>
      </x:c>
      <x:c r="AO160" s="3" t="str">
        <x:v>nc_il_az_co_investors.jsonl</x:v>
      </x:c>
      <x:c r="AP160" s="19"/>
    </x:row>
    <x:row r="161" ht="36" customHeight="1">
      <x:c r="A161" s="23" t="n">
        <x:v>160</x:v>
      </x:c>
      <x:c r="B161" s="15" t="str">
        <x:v>New South Property Solutions</x:v>
      </x:c>
      <x:c r="C161" s="15"/>
      <x:c r="D161" s="15" t="str">
        <x:v>Property investor / home-buying operator</x:v>
      </x:c>
      <x:c r="E161" s="15" t="str">
        <x:v>Property investor / operator inquiry</x:v>
      </x:c>
      <x:c r="F161" s="17" t="str">
        <x:v>New</x:v>
      </x:c>
      <x:c r="G161" s="24"/>
      <x:c r="H161" s="24" t="str">
        <x:v>+13368606882</x:v>
      </x:c>
      <x:c r="I161" s="24" t="str">
        <x:v>https://www.newsouthpropertysolutions.com/</x:v>
      </x:c>
      <x:c r="J161" s="16" t="str">
        <x:v>NC</x:v>
      </x:c>
      <x:c r="K161" s="16" t="str">
        <x:v>Greensboro</x:v>
      </x:c>
      <x:c r="L161" s="16" t="str">
        <x:v>Public property-business route; investor decision maker unconfirmed</x:v>
      </x:c>
      <x:c r="M161" s="16" t="str">
        <x:v>https://www.newsouthpropertysolutions.com/</x:v>
      </x:c>
      <x:c r="N161" s="16" t="str">
        <x:v>$100K-$500K ticket not published / unconfirmed</x:v>
      </x:c>
      <x:c r="O161" s="20"/>
      <x:c r="P161" s="20"/>
      <x:c r="Q161" s="25" t="str">
        <x:v>No $100K-$500K operating-company investment ticket verified</x:v>
      </x:c>
      <x:c r="R161" s="25" t="str">
        <x:v>Property acquisition or investor activity makes this an operator-capital prospect for the signed trial. Confirm operating-company debt/equity appetite.</x:v>
      </x:c>
      <x:c r="S161" s="25" t="str">
        <x:v>Public property-buying activity or a directory listing does not establish available cash, investing decision-maker, current $100K-$500K capacity, or willingness to fund 101XVC operating costs.</x:v>
      </x:c>
      <x:c r="T161" s="25" t="str">
        <x:v>Ask the owner/investor whether they can allocate $100K-$500K to trial marketing and acquisitions, and confirm structure, timing and decision authority.</x:v>
      </x:c>
      <x:c r="U161" s="25" t="str">
        <x:v>https://www.cashhomebuyersdirectory.com/cash-home-buyers/north-carolina/greensboro
https://www.newsouthpropertysolutions.com/</x:v>
      </x:c>
      <x:c r="V161" s="26" t="d">
        <x:v>2026-10-02T00:00:00.000Z</x:v>
      </x:c>
      <x:c r="W161" s="26" t="d">
        <x:v>2026-10-02T00:00:00.000Z</x:v>
      </x:c>
      <x:c r="X161" s="25" t="str">
        <x:v>Public investor directory; business role and contact ownership require qualification</x:v>
      </x:c>
      <x:c r="Y161" s="25"/>
      <x:c r="Z161" s="25" t="str">
        <x:v>https://www.cashhomebuyersdirectory.com/cash-home-buyers/north-carolina/greensboro</x:v>
      </x:c>
      <x:c r="AA161" s="25" t="str">
        <x:v>Public cash-home-buyer directory lists business name, phone and market. Directory entry may include brokers or service providers. Official website fetched; home-buying or investing activity stated.</x:v>
      </x:c>
      <x:c r="AB161" s="3" t="str">
        <x:v>New public-source collection</x:v>
      </x:c>
      <x:c r="AC161" s="3" t="str">
        <x:v>unverified</x:v>
      </x:c>
      <x:c r="AD161" s="3" t="str">
        <x:v>Not contacted / unconfirmed</x:v>
      </x:c>
      <x:c r="AE161" s="3" t="str">
        <x:v>Yes</x:v>
      </x:c>
      <x:c r="AF161" s="3" t="str">
        <x:v>Yes</x:v>
      </x:c>
      <x:c r="AG161" s="3"/>
      <x:c r="AH161" s="3"/>
      <x:c r="AI161" s="18"/>
      <x:c r="AJ161" s="3" t="str">
        <x:v>CF2500-EC1737DBB261</x:v>
      </x:c>
      <x:c r="AK161" s="3" t="str">
        <x:v>Property investor / home-buying operator prospect</x:v>
      </x:c>
      <x:c r="AL161" s="19" t="n">
        <x:v>100000</x:v>
      </x:c>
      <x:c r="AM161" s="19" t="n">
        <x:v>500000</x:v>
      </x:c>
      <x:c r="AN161" s="3" t="str">
        <x:v>https://www.cashhomebuyersdirectory.com/cash-home-buyers/north-carolina/greensboro</x:v>
      </x:c>
      <x:c r="AO161" s="3" t="str">
        <x:v>nc_il_az_co_investors.jsonl</x:v>
      </x:c>
      <x:c r="AP161" s="19"/>
    </x:row>
    <x:row r="162" ht="36" customHeight="1">
      <x:c r="A162" s="23" t="n">
        <x:v>161</x:v>
      </x:c>
      <x:c r="B162" s="15" t="str">
        <x:v>NEXJEN HOME SOLUTIONS LLC</x:v>
      </x:c>
      <x:c r="C162" s="15"/>
      <x:c r="D162" s="15" t="str">
        <x:v>Property investor / home-buying operator</x:v>
      </x:c>
      <x:c r="E162" s="15" t="str">
        <x:v>Property investor / operator inquiry</x:v>
      </x:c>
      <x:c r="F162" s="17" t="str">
        <x:v>New</x:v>
      </x:c>
      <x:c r="G162" s="24"/>
      <x:c r="H162" s="24" t="str">
        <x:v>+17044082301</x:v>
      </x:c>
      <x:c r="I162" s="24" t="str">
        <x:v>https://www.nexjenhomesolutions.com/</x:v>
      </x:c>
      <x:c r="J162" s="16" t="str">
        <x:v>NC</x:v>
      </x:c>
      <x:c r="K162" s="16"/>
      <x:c r="L162" s="16" t="str">
        <x:v>Public property-business route; investor decision maker unconfirmed</x:v>
      </x:c>
      <x:c r="M162" s="16" t="str">
        <x:v>https://www.nexjenhomesolutions.com/contact-us/</x:v>
      </x:c>
      <x:c r="N162" s="16" t="str">
        <x:v>$100K-$500K ticket not published / unconfirmed</x:v>
      </x:c>
      <x:c r="O162" s="20"/>
      <x:c r="P162" s="20"/>
      <x:c r="Q162" s="25" t="str">
        <x:v>No direct corporate-capital range established in checked source</x:v>
      </x:c>
      <x:c r="R162" s="25" t="str">
        <x:v>Property acquisition or investor activity makes this an operator-capital prospect for the signed trial. Confirm operating-company debt/equity appetite.</x:v>
      </x:c>
      <x:c r="S162" s="25" t="str">
        <x:v>Confirm the contact controls funding decisions; confirm willingness to invest in an operating company, current liquidity, $100K to $500K ticket size, required security and diligence.</x:v>
      </x:c>
      <x:c r="T162" s="25" t="str">
        <x:v>Ask the owner/investor whether they can allocate $100K-$500K to trial marketing and acquisitions, and confirm structure, timing and decision authority.</x:v>
      </x:c>
      <x:c r="U162" s="25" t="str">
        <x:v>https://www.nexjenhomesolutions.com/contact-us/
https://sfranalytics.com/investors/nc/charlotte-concord-gastonia-nc-sc
https://sfranalytics.com/investors/nc/charlotte-concord-gastonia-nc-sc/nexjen-home-solutions-llc-nc</x:v>
      </x:c>
      <x:c r="V162" s="26" t="d">
        <x:v>2026-10-02T00:00:00.000Z</x:v>
      </x:c>
      <x:c r="W162" s="26" t="d">
        <x:v>2026-10-03T00:00:00.000Z</x:v>
      </x:c>
      <x:c r="X162" s="25" t="str">
        <x:v>SFR Analytics public investor discovery plus official-company activity, geography and published business contact checks</x:v>
      </x:c>
      <x:c r="Y162" s="25"/>
      <x:c r="Z162" s="25" t="str">
        <x:v>https://www.nexjenhomesolutions.com/contact-us/</x:v>
      </x:c>
      <x:c r="AA162" s="25" t="str">
        <x:v>Company page names NexJen Home Solutions LLC and says it buys houses in North Carolina. Published general business contact observed: (704) 408-2301. SFR Analytics public directory lists NEXJEN HOME SOLUTIONS LLC as an organization with a flipper strategy, 99 observed transactions and $11.3M tracked transaction volume. Observed listing market: Charlotte-Concord-Gastonia, NC-SC. This is third-party public-record research, not evidence of available cash, a $100K to $500K check, an operating-company investment mandate, or acceptance of this transaction.</x:v>
      </x:c>
      <x:c r="AB162" s="3" t="str">
        <x:v>New public-source collection</x:v>
      </x:c>
      <x:c r="AC162" s="3" t="str">
        <x:v>unverified</x:v>
      </x:c>
      <x:c r="AD162" s="3" t="str">
        <x:v>Not contacted / unconfirmed</x:v>
      </x:c>
      <x:c r="AE162" s="3" t="str">
        <x:v>Yes</x:v>
      </x:c>
      <x:c r="AF162" s="3" t="str">
        <x:v>Yes</x:v>
      </x:c>
      <x:c r="AG162" s="3"/>
      <x:c r="AH162" s="3"/>
      <x:c r="AI162" s="18"/>
      <x:c r="AJ162" s="3" t="str">
        <x:v>CF2500-B3E3E1F1D931</x:v>
      </x:c>
      <x:c r="AK162" s="3" t="str">
        <x:v>real_estate_operator</x:v>
      </x:c>
      <x:c r="AL162" s="19" t="n">
        <x:v>100000</x:v>
      </x:c>
      <x:c r="AM162" s="19" t="n">
        <x:v>500000</x:v>
      </x:c>
      <x:c r="AN162" s="3" t="str">
        <x:v>https://www.nexjenhomesolutions.com/contact-us/</x:v>
      </x:c>
      <x:c r="AO162" s="3" t="str">
        <x:v>sfr_contact_enriched.jsonl</x:v>
      </x:c>
      <x:c r="AP162" s="19"/>
    </x:row>
    <x:row r="163" ht="36" customHeight="1">
      <x:c r="A163" s="23" t="n">
        <x:v>162</x:v>
      </x:c>
      <x:c r="B163" s="15" t="str">
        <x:v>Next Chapter Properties</x:v>
      </x:c>
      <x:c r="C163" s="15"/>
      <x:c r="D163" s="15" t="str">
        <x:v>Property investor / home-buying operator</x:v>
      </x:c>
      <x:c r="E163" s="15" t="str">
        <x:v>Property investor / operator inquiry</x:v>
      </x:c>
      <x:c r="F163" s="17" t="str">
        <x:v>New</x:v>
      </x:c>
      <x:c r="G163" s="24"/>
      <x:c r="H163" s="24" t="str">
        <x:v>+16893052178</x:v>
      </x:c>
      <x:c r="I163" s="24" t="str">
        <x:v>https://selltonextchapter.com/</x:v>
      </x:c>
      <x:c r="J163" s="16" t="str">
        <x:v>FL</x:v>
      </x:c>
      <x:c r="K163" s="16" t="str">
        <x:v>Orlando</x:v>
      </x:c>
      <x:c r="L163" s="16" t="str">
        <x:v>Public property-business route; investor decision maker unconfirmed</x:v>
      </x:c>
      <x:c r="M163" s="16" t="str">
        <x:v>https://selltonextchapter.com/</x:v>
      </x:c>
      <x:c r="N163" s="16" t="str">
        <x:v>$100K-$500K ticket not published / unconfirmed</x:v>
      </x:c>
      <x:c r="O163" s="20"/>
      <x:c r="P163" s="20"/>
      <x:c r="Q163" s="25" t="str">
        <x:v>No $100K-$500K corporate-investment ticket published in checked source</x:v>
      </x:c>
      <x:c r="R163" s="25" t="str">
        <x:v>Property acquisition or investor activity makes this an operator-capital prospect for the signed trial. Confirm operating-company debt/equity appetite.</x:v>
      </x:c>
      <x:c r="S163" s="25" t="str">
        <x:v>Home-buying activity does not verify ability or willingness to invest $100K-$500K into 101XVC operating company. Website and contact verification pending.</x:v>
      </x:c>
      <x:c r="T163" s="25" t="str">
        <x:v>Ask the owner/investor whether they can allocate $100K-$500K to trial marketing and acquisitions, and confirm structure, timing and decision authority.</x:v>
      </x:c>
      <x:c r="U163" s="25" t="str">
        <x:v>https://www.cashhomebuyersdirectory.com/cash-home-buyers/florida/orlando
https://selltonextchapter.com/</x:v>
      </x:c>
      <x:c r="V163" s="26" t="d">
        <x:v>2026-10-02T00:00:00.000Z</x:v>
      </x:c>
      <x:c r="W163" s="26" t="d">
        <x:v>2026-10-03T00:00:00.000Z</x:v>
      </x:c>
      <x:c r="X163" s="25" t="str">
        <x:v>Public investor directory; business role and contact ownership require qualification</x:v>
      </x:c>
      <x:c r="Y163" s="25"/>
      <x:c r="Z163" s="25" t="str">
        <x:v>https://www.cashhomebuyersdirectory.com/cash-home-buyers/florida/orlando</x:v>
      </x:c>
      <x:c r="AA163" s="25" t="str">
        <x:v>Public cash-home-buyer directory lists business name, phone and market. Directory entry may include brokers or service providers. Primary website offers direct cash home buying in Orlando and Central Florida.</x:v>
      </x:c>
      <x:c r="AB163" s="3" t="str">
        <x:v>New public-source collection</x:v>
      </x:c>
      <x:c r="AC163" s="3" t="str">
        <x:v>unverified</x:v>
      </x:c>
      <x:c r="AD163" s="3" t="str">
        <x:v>Not contacted / unconfirmed</x:v>
      </x:c>
      <x:c r="AE163" s="3" t="str">
        <x:v>Yes</x:v>
      </x:c>
      <x:c r="AF163" s="3" t="str">
        <x:v>No</x:v>
      </x:c>
      <x:c r="AG163" s="3"/>
      <x:c r="AH163" s="3"/>
      <x:c r="AI163" s="18"/>
      <x:c r="AJ163" s="3" t="str">
        <x:v>CF2500-7C1728CA9951</x:v>
      </x:c>
      <x:c r="AK163" s="3" t="str">
        <x:v>Property investor / home-buying operator prospect</x:v>
      </x:c>
      <x:c r="AL163" s="19" t="n">
        <x:v>100000</x:v>
      </x:c>
      <x:c r="AM163" s="19" t="n">
        <x:v>500000</x:v>
      </x:c>
      <x:c r="AN163" s="3" t="str">
        <x:v>https://www.cashhomebuyersdirectory.com/cash-home-buyers/florida/orlando</x:v>
      </x:c>
      <x:c r="AO163" s="3" t="str">
        <x:v>tx_fl_investors.jsonl</x:v>
      </x:c>
      <x:c r="AP163" s="19"/>
    </x:row>
    <x:row r="164" ht="36" customHeight="1">
      <x:c r="A164" s="23" t="n">
        <x:v>163</x:v>
      </x:c>
      <x:c r="B164" s="15" t="str">
        <x:v>Offer4Homes</x:v>
      </x:c>
      <x:c r="C164" s="15"/>
      <x:c r="D164" s="15" t="str">
        <x:v>Property investor / home-buying operator</x:v>
      </x:c>
      <x:c r="E164" s="15" t="str">
        <x:v>Property investor / operator inquiry</x:v>
      </x:c>
      <x:c r="F164" s="17" t="str">
        <x:v>New</x:v>
      </x:c>
      <x:c r="G164" s="24"/>
      <x:c r="H164" s="24" t="str">
        <x:v>+18479720044</x:v>
      </x:c>
      <x:c r="I164" s="24" t="str">
        <x:v>https://www.offer4homes.com/</x:v>
      </x:c>
      <x:c r="J164" s="16" t="str">
        <x:v>IL</x:v>
      </x:c>
      <x:c r="K164" s="16" t="str">
        <x:v>Skokie</x:v>
      </x:c>
      <x:c r="L164" s="16" t="str">
        <x:v>Public property-business route; investor decision maker unconfirmed</x:v>
      </x:c>
      <x:c r="M164" s="16" t="str">
        <x:v>https://www.offer4homes.com/</x:v>
      </x:c>
      <x:c r="N164" s="16" t="str">
        <x:v>$100K-$500K ticket not published / unconfirmed</x:v>
      </x:c>
      <x:c r="O164" s="20"/>
      <x:c r="P164" s="20"/>
      <x:c r="Q164" s="25" t="str">
        <x:v>No $100K-$500K operating-company investment ticket verified</x:v>
      </x:c>
      <x:c r="R164" s="25" t="str">
        <x:v>Property acquisition or investor activity makes this an operator-capital prospect for the signed trial. Confirm operating-company debt/equity appetite.</x:v>
      </x:c>
      <x:c r="S164" s="25" t="str">
        <x:v>Public property-buying activity or a directory listing does not establish available cash, investing decision-maker, current $100K-$500K capacity, or willingness to fund 101XVC operating costs.</x:v>
      </x:c>
      <x:c r="T164" s="25" t="str">
        <x:v>Ask the owner/investor whether they can allocate $100K-$500K to trial marketing and acquisitions, and confirm structure, timing and decision authority.</x:v>
      </x:c>
      <x:c r="U164" s="25" t="str">
        <x:v>https://www.cashhomebuyersdirectory.com/cash-home-buyers/illinois/skokie
https://www.offer4homes.com/
https://www.bbb.org/us/il/category/home-buyers</x:v>
      </x:c>
      <x:c r="V164" s="26" t="d">
        <x:v>2026-10-02T00:00:00.000Z</x:v>
      </x:c>
      <x:c r="W164" s="26" t="d">
        <x:v>2026-10-02T00:00:00.000Z</x:v>
      </x:c>
      <x:c r="X164" s="25" t="str">
        <x:v>Public investor directory; business role and contact ownership require qualification</x:v>
      </x:c>
      <x:c r="Y164" s="25"/>
      <x:c r="Z164" s="25" t="str">
        <x:v>https://www.cashhomebuyersdirectory.com/cash-home-buyers/illinois/skokie</x:v>
      </x:c>
      <x:c r="AA164" s="25" t="str">
        <x:v>Public cash-home-buyer directory lists business name, phone and market. Directory entry may include brokers or service providers. Official website fetched; home-buying or investing activity stated.</x:v>
      </x:c>
      <x:c r="AB164" s="3" t="str">
        <x:v>New public-source collection</x:v>
      </x:c>
      <x:c r="AC164" s="3" t="str">
        <x:v>unverified</x:v>
      </x:c>
      <x:c r="AD164" s="3" t="str">
        <x:v>Not contacted / unconfirmed</x:v>
      </x:c>
      <x:c r="AE164" s="3" t="str">
        <x:v>Yes</x:v>
      </x:c>
      <x:c r="AF164" s="3" t="str">
        <x:v>Yes</x:v>
      </x:c>
      <x:c r="AG164" s="3"/>
      <x:c r="AH164" s="3"/>
      <x:c r="AI164" s="18"/>
      <x:c r="AJ164" s="3" t="str">
        <x:v>CF2500-7BAC2BFE1EA9</x:v>
      </x:c>
      <x:c r="AK164" s="3" t="str">
        <x:v>Property investor / home-buying operator prospect</x:v>
      </x:c>
      <x:c r="AL164" s="19" t="n">
        <x:v>100000</x:v>
      </x:c>
      <x:c r="AM164" s="19" t="n">
        <x:v>500000</x:v>
      </x:c>
      <x:c r="AN164" s="3" t="str">
        <x:v>https://www.cashhomebuyersdirectory.com/cash-home-buyers/illinois/skokie</x:v>
      </x:c>
      <x:c r="AO164" s="3" t="str">
        <x:v>nc_il_az_co_investors.jsonl</x:v>
      </x:c>
      <x:c r="AP164" s="19"/>
    </x:row>
    <x:row r="165" ht="36" customHeight="1">
      <x:c r="A165" s="23" t="n">
        <x:v>164</x:v>
      </x:c>
      <x:c r="B165" s="15" t="str">
        <x:v>Phoenix Home Buyers</x:v>
      </x:c>
      <x:c r="C165" s="15"/>
      <x:c r="D165" s="15" t="str">
        <x:v>Property investor / home-buying operator</x:v>
      </x:c>
      <x:c r="E165" s="15" t="str">
        <x:v>Property investor / operator inquiry</x:v>
      </x:c>
      <x:c r="F165" s="17" t="str">
        <x:v>New</x:v>
      </x:c>
      <x:c r="G165" s="24"/>
      <x:c r="H165" s="24" t="str">
        <x:v>+16027042020</x:v>
      </x:c>
      <x:c r="I165" s="24" t="str">
        <x:v>https://phoenix-home-buyers.com/</x:v>
      </x:c>
      <x:c r="J165" s="16" t="str">
        <x:v>AZ</x:v>
      </x:c>
      <x:c r="K165" s="16" t="str">
        <x:v>Phoenix</x:v>
      </x:c>
      <x:c r="L165" s="16" t="str">
        <x:v>Public property-business route; investor decision maker unconfirmed</x:v>
      </x:c>
      <x:c r="M165" s="16" t="str">
        <x:v>https://phoenix-home-buyers.com/</x:v>
      </x:c>
      <x:c r="N165" s="16" t="str">
        <x:v>$100K-$500K ticket not published / unconfirmed</x:v>
      </x:c>
      <x:c r="O165" s="20"/>
      <x:c r="P165" s="20"/>
      <x:c r="Q165" s="25" t="str">
        <x:v>No $100K-$500K operating-company investment ticket verified</x:v>
      </x:c>
      <x:c r="R165" s="25" t="str">
        <x:v>Property acquisition or investor activity makes this an operator-capital prospect for the signed trial. Confirm operating-company debt/equity appetite.</x:v>
      </x:c>
      <x:c r="S165" s="25" t="str">
        <x:v>Public property-buying activity or a directory listing does not establish available cash, investing decision-maker, current $100K-$500K capacity, or willingness to fund 101XVC operating costs.</x:v>
      </x:c>
      <x:c r="T165" s="25" t="str">
        <x:v>Ask the owner/investor whether they can allocate $100K-$500K to trial marketing and acquisitions, and confirm structure, timing and decision authority.</x:v>
      </x:c>
      <x:c r="U165" s="25" t="str">
        <x:v>https://www.cashhomebuyersdirectory.com/cash-home-buyers/arizona/phoenix
https://phoenix-home-buyers.com/</x:v>
      </x:c>
      <x:c r="V165" s="26" t="d">
        <x:v>2026-10-02T00:00:00.000Z</x:v>
      </x:c>
      <x:c r="W165" s="26" t="d">
        <x:v>2026-10-02T00:00:00.000Z</x:v>
      </x:c>
      <x:c r="X165" s="25" t="str">
        <x:v>Public investor directory; business role and contact ownership require qualification</x:v>
      </x:c>
      <x:c r="Y165" s="25"/>
      <x:c r="Z165" s="25" t="str">
        <x:v>https://www.cashhomebuyersdirectory.com/cash-home-buyers/arizona/phoenix</x:v>
      </x:c>
      <x:c r="AA165" s="25" t="str">
        <x:v>Public cash-home-buyer directory lists business name, phone and market. Directory entry may include brokers or service providers. Official website fetched; home-buying or investing activity stated.</x:v>
      </x:c>
      <x:c r="AB165" s="3" t="str">
        <x:v>New public-source collection</x:v>
      </x:c>
      <x:c r="AC165" s="3" t="str">
        <x:v>unverified</x:v>
      </x:c>
      <x:c r="AD165" s="3" t="str">
        <x:v>Not contacted / unconfirmed</x:v>
      </x:c>
      <x:c r="AE165" s="3" t="str">
        <x:v>Yes</x:v>
      </x:c>
      <x:c r="AF165" s="3" t="str">
        <x:v>Yes</x:v>
      </x:c>
      <x:c r="AG165" s="3"/>
      <x:c r="AH165" s="3"/>
      <x:c r="AI165" s="18"/>
      <x:c r="AJ165" s="3" t="str">
        <x:v>CF2500-12030011C682</x:v>
      </x:c>
      <x:c r="AK165" s="3" t="str">
        <x:v>Property investor / home-buying operator prospect</x:v>
      </x:c>
      <x:c r="AL165" s="19" t="n">
        <x:v>100000</x:v>
      </x:c>
      <x:c r="AM165" s="19" t="n">
        <x:v>500000</x:v>
      </x:c>
      <x:c r="AN165" s="3" t="str">
        <x:v>https://www.cashhomebuyersdirectory.com/cash-home-buyers/arizona/phoenix</x:v>
      </x:c>
      <x:c r="AO165" s="3" t="str">
        <x:v>nc_il_az_co_investors.jsonl</x:v>
      </x:c>
      <x:c r="AP165" s="19"/>
    </x:row>
    <x:row r="166" ht="36" customHeight="1">
      <x:c r="A166" s="23" t="n">
        <x:v>165</x:v>
      </x:c>
      <x:c r="B166" s="15" t="str">
        <x:v>Priority Home Buyers</x:v>
      </x:c>
      <x:c r="C166" s="15"/>
      <x:c r="D166" s="15" t="str">
        <x:v>Property investor / home-buying operator</x:v>
      </x:c>
      <x:c r="E166" s="15" t="str">
        <x:v>Property investor / operator inquiry</x:v>
      </x:c>
      <x:c r="F166" s="17" t="str">
        <x:v>New</x:v>
      </x:c>
      <x:c r="G166" s="24"/>
      <x:c r="H166" s="24" t="str">
        <x:v>+12142955925</x:v>
      </x:c>
      <x:c r="I166" s="24" t="str">
        <x:v>https://priorityhomebuyers.com/sell-my-house-fast-dallas-texas/</x:v>
      </x:c>
      <x:c r="J166" s="16" t="str">
        <x:v>TX</x:v>
      </x:c>
      <x:c r="K166" s="16" t="str">
        <x:v>Dallas</x:v>
      </x:c>
      <x:c r="L166" s="16" t="str">
        <x:v>Public property-business route; investor decision maker unconfirmed</x:v>
      </x:c>
      <x:c r="M166" s="16" t="str">
        <x:v>https://priorityhomebuyers.com/sell-my-house-fast-dallas-texas/</x:v>
      </x:c>
      <x:c r="N166" s="16" t="str">
        <x:v>$100K-$500K ticket not published / unconfirmed</x:v>
      </x:c>
      <x:c r="O166" s="20"/>
      <x:c r="P166" s="20"/>
      <x:c r="Q166" s="25" t="str">
        <x:v>No $100K-$500K corporate-investment ticket published in checked source</x:v>
      </x:c>
      <x:c r="R166" s="25" t="str">
        <x:v>Property acquisition or investor activity makes this an operator-capital prospect for the signed trial. Confirm operating-company debt/equity appetite.</x:v>
      </x:c>
      <x:c r="S166" s="25" t="str">
        <x:v>Corporate-investment ticket and appetite unconfirmed. Property-buying activity alone does not establish fit for funding 101XVC trial operating costs.</x:v>
      </x:c>
      <x:c r="T166" s="25" t="str">
        <x:v>Ask the owner/investor whether they can allocate $100K-$500K to trial marketing and acquisitions, and confirm structure, timing and decision authority.</x:v>
      </x:c>
      <x:c r="U166" s="25" t="str">
        <x:v>https://www.cashhomebuyersdirectory.com/cash-home-buyers/texas/dallas
https://priorityhomebuyers.com/sell-my-house-fast-dallas-texas/
https://www.cashhomebuyersdirectory.com/cash-home-buyers/arizona/tucson
https://www.cashhomebuyersdirectory.com/cash-home-buyers/indiana/indianapolis
https://www.cashhomebuyersdirectory.com/cash-home-buyers/missouri/kansas-city
https://www.cashhomebuyersdirectory.com/cash-home-buyers/missouri/st-louis
https://www.cashhomebuyersdirectory.com/cash-home-buyers/oklahoma/oklahoma-city
https://www.cashhomebuyersdirectory.com/cash-home-buyers/tennessee/memphis
https://www.cashhomebuyersdirectory.com/cash-home-buyers/utah/salt-lake-city
https://www.cashhomebuyersdirectory.com/cash-home-buyers/georgia/atlanta
https://www.cashhomebuyersdirectory.com/cash-home-buyers/alabama/birmingham
https://www.cashhomebuyersdirectory.com/cash-home-buyers/south-carolina/charleston
https://www.cashhomebuyersdirectory.com/cash-home-buyers/alabama/mobile
https://www.cashhomebuyersdirectory.com/cash-home-buyers/tennessee/nashville
https://www.cashhomebuyersdirectory.com/cash-home-buyers/arkansas/little-rock
https://www.cashhomebuyersdirectory.com/cash-home-buyers/california/fresno
https://www.cashhomebuyersdirectory.com/cash-home-buyers/california/los-angeles
https://www.cashhomebuyersdirectory.com/cash-home-buyers/california/sacramento
https://www.cashhomebuyersdirectory.com/cash-home-buyers/california/san-diego
https://www.cashhomebuyersdirectory.com/cash-home-buyers/california/san-jose</x:v>
      </x:c>
      <x:c r="V166" s="26" t="d">
        <x:v>2026-10-02T00:00:00.000Z</x:v>
      </x:c>
      <x:c r="W166" s="26" t="d">
        <x:v>2026-10-03T00:00:00.000Z</x:v>
      </x:c>
      <x:c r="X166" s="25" t="str">
        <x:v>Public investor directory; business role and contact ownership require qualification</x:v>
      </x:c>
      <x:c r="Y166" s="25"/>
      <x:c r="Z166" s="25" t="str">
        <x:v>https://www.cashhomebuyersdirectory.com/cash-home-buyers/texas/dallas</x:v>
      </x:c>
      <x:c r="AA166" s="25" t="str">
        <x:v>Public cash-home-buyer directory lists business name, phone and market. Directory entry may include brokers or service providers. Official website fetched; home-buying or investing activity stated.</x:v>
      </x:c>
      <x:c r="AB166" s="3" t="str">
        <x:v>New public-source collection</x:v>
      </x:c>
      <x:c r="AC166" s="3" t="str">
        <x:v>unverified</x:v>
      </x:c>
      <x:c r="AD166" s="3" t="str">
        <x:v>Not contacted / unconfirmed</x:v>
      </x:c>
      <x:c r="AE166" s="3" t="str">
        <x:v>Yes</x:v>
      </x:c>
      <x:c r="AF166" s="3" t="str">
        <x:v>Yes</x:v>
      </x:c>
      <x:c r="AG166" s="3"/>
      <x:c r="AH166" s="3" t="str">
        <x:v>Priority Home Buyers | Sell My House Fast for Cash Atlanta; Priority Home Buyers | Sell My House Fast for Cash Billings; Priority Home Buyers | Sell My House Fast for Cash Birmingham; Priority Home Buyers | Sell My House Fast for Cash Boise; Priority Home Buyers | Sell My House Fast for Cash Charleston; Priority Home Buyers | Sell My House Fast for Cash Cincinatti; Priority Home Buyers | Sell My House Fast for Cash Cleveland; Priority Home Buyers | Sell My House Fast for Cash Columbus; Priority Home Buyers | Sell My House Fast for Cash Detroit; Priority Home Buyers | Sell My House Fast for Cash Fargo; Priority Home Buyers | Sell My House Fast for Cash Honolulu; Priority Home Buyers | Sell My House Fast for Cash Las Vegas; Priority Home Buyers | Sell My House Fast for Cash Louisville; Priority Home Buyers | Sell My House Fast for Cash Mobile; Priority Home Buyers | Sell My House Fast for Cash Nashville; Priority Home Buyers | Sell My House Fast for Cash New Orleans; Priority Home Buyers | Sell My House Fast for Cash Norfolk; Priority Home Buyers | Sell My House Fast for Cash Omaha; Priority Home Buyers | Sell My House Fast for Cash Sioux Falls; Priority Home Buyers | Sell My House Fast for Cash Spokane; Priority Home Buyers | Sell My House Fast for Cash Summerlin; Priority Home Buyers | Sell My House Fast for Cash Washington DC; Priority Home Buyers | Sell My House Fast for Cash Wilmington</x:v>
      </x:c>
      <x:c r="AI166" s="18"/>
      <x:c r="AJ166" s="3" t="str">
        <x:v>CF2500-5898B37A1AEA</x:v>
      </x:c>
      <x:c r="AK166" s="3" t="str">
        <x:v>Property investor / home-buying operator prospect</x:v>
      </x:c>
      <x:c r="AL166" s="19" t="n">
        <x:v>100000</x:v>
      </x:c>
      <x:c r="AM166" s="19" t="n">
        <x:v>500000</x:v>
      </x:c>
      <x:c r="AN166" s="3" t="str">
        <x:v>https://www.cashhomebuyersdirectory.com/cash-home-buyers/texas/dallas</x:v>
      </x:c>
      <x:c r="AO166" s="3" t="str">
        <x:v>tx_fl_investors.jsonl</x:v>
      </x:c>
      <x:c r="AP166" s="19"/>
    </x:row>
    <x:row r="167" ht="36" customHeight="1">
      <x:c r="A167" s="23" t="n">
        <x:v>166</x:v>
      </x:c>
      <x:c r="B167" s="15" t="str">
        <x:v>PRYME Home Solutions</x:v>
      </x:c>
      <x:c r="C167" s="15"/>
      <x:c r="D167" s="15" t="str">
        <x:v>Property investor / home-buying operator</x:v>
      </x:c>
      <x:c r="E167" s="15" t="str">
        <x:v>Property investor / operator inquiry</x:v>
      </x:c>
      <x:c r="F167" s="17" t="str">
        <x:v>New</x:v>
      </x:c>
      <x:c r="G167" s="24"/>
      <x:c r="H167" s="24" t="str">
        <x:v>+12108077071</x:v>
      </x:c>
      <x:c r="I167" s="24" t="str">
        <x:v>https://www.prymehomesolutions.com/</x:v>
      </x:c>
      <x:c r="J167" s="16" t="str">
        <x:v>TX</x:v>
      </x:c>
      <x:c r="K167" s="16" t="str">
        <x:v>San Antonio</x:v>
      </x:c>
      <x:c r="L167" s="16" t="str">
        <x:v>Public property-business route; investor decision maker unconfirmed</x:v>
      </x:c>
      <x:c r="M167" s="16" t="str">
        <x:v>https://www.prymehomesolutions.com/</x:v>
      </x:c>
      <x:c r="N167" s="16" t="str">
        <x:v>$100K-$500K ticket not published / unconfirmed</x:v>
      </x:c>
      <x:c r="O167" s="20"/>
      <x:c r="P167" s="20"/>
      <x:c r="Q167" s="25" t="str">
        <x:v>No $100K-$500K corporate-investment ticket published in checked source</x:v>
      </x:c>
      <x:c r="R167" s="25" t="str">
        <x:v>Property acquisition or investor activity makes this an operator-capital prospect for the signed trial. Confirm operating-company debt/equity appetite.</x:v>
      </x:c>
      <x:c r="S167" s="25" t="str">
        <x:v>Corporate-investment ticket and appetite unconfirmed. Property-buying activity alone does not establish fit for funding 101XVC trial operating costs.</x:v>
      </x:c>
      <x:c r="T167" s="25" t="str">
        <x:v>Ask the owner/investor whether they can allocate $100K-$500K to trial marketing and acquisitions, and confirm structure, timing and decision authority.</x:v>
      </x:c>
      <x:c r="U167" s="25" t="str">
        <x:v>https://www.cashhomebuyersdirectory.com/cash-home-buyers/texas/san-antonio
https://www.prymehomesolutions.com/</x:v>
      </x:c>
      <x:c r="V167" s="26" t="d">
        <x:v>2026-10-02T00:00:00.000Z</x:v>
      </x:c>
      <x:c r="W167" s="26" t="d">
        <x:v>2026-10-03T00:00:00.000Z</x:v>
      </x:c>
      <x:c r="X167" s="25" t="str">
        <x:v>Public investor directory; business role and contact ownership require qualification</x:v>
      </x:c>
      <x:c r="Y167" s="25"/>
      <x:c r="Z167" s="25" t="str">
        <x:v>https://www.cashhomebuyersdirectory.com/cash-home-buyers/texas/san-antonio</x:v>
      </x:c>
      <x:c r="AA167" s="25" t="str">
        <x:v>Public cash-home-buyer directory lists business name, phone and market. Directory entry may include brokers or service providers. Official website fetched; home-buying or investing activity stated.</x:v>
      </x:c>
      <x:c r="AB167" s="3" t="str">
        <x:v>New public-source collection</x:v>
      </x:c>
      <x:c r="AC167" s="3" t="str">
        <x:v>unverified</x:v>
      </x:c>
      <x:c r="AD167" s="3" t="str">
        <x:v>Not contacted / unconfirmed</x:v>
      </x:c>
      <x:c r="AE167" s="3" t="str">
        <x:v>Yes</x:v>
      </x:c>
      <x:c r="AF167" s="3" t="str">
        <x:v>No</x:v>
      </x:c>
      <x:c r="AG167" s="3"/>
      <x:c r="AH167" s="3"/>
      <x:c r="AI167" s="18"/>
      <x:c r="AJ167" s="3" t="str">
        <x:v>CF2500-36EC6B8FFA14</x:v>
      </x:c>
      <x:c r="AK167" s="3" t="str">
        <x:v>Property investor / home-buying operator prospect</x:v>
      </x:c>
      <x:c r="AL167" s="19" t="n">
        <x:v>100000</x:v>
      </x:c>
      <x:c r="AM167" s="19" t="n">
        <x:v>500000</x:v>
      </x:c>
      <x:c r="AN167" s="3" t="str">
        <x:v>https://www.cashhomebuyersdirectory.com/cash-home-buyers/texas/san-antonio</x:v>
      </x:c>
      <x:c r="AO167" s="3" t="str">
        <x:v>tx_fl_investors.jsonl</x:v>
      </x:c>
      <x:c r="AP167" s="19"/>
    </x:row>
    <x:row r="168" ht="36" customHeight="1">
      <x:c r="A168" s="23" t="n">
        <x:v>167</x:v>
      </x:c>
      <x:c r="B168" s="15" t="str">
        <x:v>Quality Properties of Northwest Florida LLC</x:v>
      </x:c>
      <x:c r="C168" s="15"/>
      <x:c r="D168" s="15" t="str">
        <x:v>Property investor / home-buying operator</x:v>
      </x:c>
      <x:c r="E168" s="15" t="str">
        <x:v>Property investor / operator inquiry</x:v>
      </x:c>
      <x:c r="F168" s="17" t="str">
        <x:v>New</x:v>
      </x:c>
      <x:c r="G168" s="24"/>
      <x:c r="H168" s="24" t="str">
        <x:v>+18503464995</x:v>
      </x:c>
      <x:c r="I168" s="24" t="str">
        <x:v>https://www.qualitypropertiescashbuyer.com/</x:v>
      </x:c>
      <x:c r="J168" s="16" t="str">
        <x:v>FL</x:v>
      </x:c>
      <x:c r="K168" s="16" t="str">
        <x:v>Pensacola</x:v>
      </x:c>
      <x:c r="L168" s="16" t="str">
        <x:v>Public property-business route; investor decision maker unconfirmed</x:v>
      </x:c>
      <x:c r="M168" s="16" t="str">
        <x:v>https://www.qualitypropertiescashbuyer.com/</x:v>
      </x:c>
      <x:c r="N168" s="16" t="str">
        <x:v>$100K-$500K ticket not published / unconfirmed</x:v>
      </x:c>
      <x:c r="O168" s="20"/>
      <x:c r="P168" s="20"/>
      <x:c r="Q168" s="25" t="str">
        <x:v>No $100K-$500K corporate-investment ticket published in checked source</x:v>
      </x:c>
      <x:c r="R168" s="25" t="str">
        <x:v>Property acquisition or investor activity makes this an operator-capital prospect for the signed trial. Confirm operating-company debt/equity appetite.</x:v>
      </x:c>
      <x:c r="S168" s="25" t="str">
        <x:v>Corporate-investment ticket and appetite unconfirmed. Property-buying activity alone does not establish fit for funding 101XVC trial operating costs.</x:v>
      </x:c>
      <x:c r="T168" s="25" t="str">
        <x:v>Ask the owner/investor whether they can allocate $100K-$500K to trial marketing and acquisitions, and confirm structure, timing and decision authority.</x:v>
      </x:c>
      <x:c r="U168" s="25" t="str">
        <x:v>https://www.cashhomebuyersdirectory.com/cash-home-buyers/florida/pensacola
https://www.qualitypropertiescashbuyer.com/</x:v>
      </x:c>
      <x:c r="V168" s="26" t="d">
        <x:v>2026-10-02T00:00:00.000Z</x:v>
      </x:c>
      <x:c r="W168" s="26" t="d">
        <x:v>2026-10-03T00:00:00.000Z</x:v>
      </x:c>
      <x:c r="X168" s="25" t="str">
        <x:v>Public investor directory; business role and contact ownership require qualification</x:v>
      </x:c>
      <x:c r="Y168" s="25"/>
      <x:c r="Z168" s="25" t="str">
        <x:v>https://www.cashhomebuyersdirectory.com/cash-home-buyers/florida/pensacola</x:v>
      </x:c>
      <x:c r="AA168" s="25" t="str">
        <x:v>Public cash-home-buyer directory lists business name, phone and market. Directory entry may include brokers or service providers. Official website fetched; home-buying or investing activity stated.</x:v>
      </x:c>
      <x:c r="AB168" s="3" t="str">
        <x:v>New public-source collection</x:v>
      </x:c>
      <x:c r="AC168" s="3" t="str">
        <x:v>unverified</x:v>
      </x:c>
      <x:c r="AD168" s="3" t="str">
        <x:v>Not contacted / unconfirmed</x:v>
      </x:c>
      <x:c r="AE168" s="3" t="str">
        <x:v>Yes</x:v>
      </x:c>
      <x:c r="AF168" s="3" t="str">
        <x:v>Yes</x:v>
      </x:c>
      <x:c r="AG168" s="3"/>
      <x:c r="AH168" s="3"/>
      <x:c r="AI168" s="18"/>
      <x:c r="AJ168" s="3" t="str">
        <x:v>CF2500-316A3C399570</x:v>
      </x:c>
      <x:c r="AK168" s="3" t="str">
        <x:v>Property investor / home-buying operator prospect</x:v>
      </x:c>
      <x:c r="AL168" s="19" t="n">
        <x:v>100000</x:v>
      </x:c>
      <x:c r="AM168" s="19" t="n">
        <x:v>500000</x:v>
      </x:c>
      <x:c r="AN168" s="3" t="str">
        <x:v>https://www.cashhomebuyersdirectory.com/cash-home-buyers/florida/pensacola</x:v>
      </x:c>
      <x:c r="AO168" s="3" t="str">
        <x:v>tx_fl_investors.jsonl</x:v>
      </x:c>
      <x:c r="AP168" s="19"/>
    </x:row>
    <x:row r="169" ht="36" customHeight="1">
      <x:c r="A169" s="23" t="n">
        <x:v>168</x:v>
      </x:c>
      <x:c r="B169" s="15" t="str">
        <x:v>Quest Home Buyers</x:v>
      </x:c>
      <x:c r="C169" s="15"/>
      <x:c r="D169" s="15" t="str">
        <x:v>Property investor / home-buying operator</x:v>
      </x:c>
      <x:c r="E169" s="15" t="str">
        <x:v>Property investor / operator inquiry</x:v>
      </x:c>
      <x:c r="F169" s="17" t="str">
        <x:v>New</x:v>
      </x:c>
      <x:c r="G169" s="24"/>
      <x:c r="H169" s="24" t="str">
        <x:v>+16823370349</x:v>
      </x:c>
      <x:c r="I169" s="24" t="str">
        <x:v>https://questhomebuyers.com/</x:v>
      </x:c>
      <x:c r="J169" s="16" t="str">
        <x:v>TX</x:v>
      </x:c>
      <x:c r="K169" s="16" t="str">
        <x:v>Dallas</x:v>
      </x:c>
      <x:c r="L169" s="16" t="str">
        <x:v>Public property-business route; investor decision maker unconfirmed</x:v>
      </x:c>
      <x:c r="M169" s="16" t="str">
        <x:v>https://questhomebuyers.com/</x:v>
      </x:c>
      <x:c r="N169" s="16" t="str">
        <x:v>$100K-$500K ticket not published / unconfirmed</x:v>
      </x:c>
      <x:c r="O169" s="20"/>
      <x:c r="P169" s="20"/>
      <x:c r="Q169" s="25" t="str">
        <x:v>No $100K-$500K corporate-investment ticket published in checked source</x:v>
      </x:c>
      <x:c r="R169" s="25" t="str">
        <x:v>Property acquisition or investor activity makes this an operator-capital prospect for the signed trial. Confirm operating-company debt/equity appetite.</x:v>
      </x:c>
      <x:c r="S169" s="25" t="str">
        <x:v>Corporate-investment ticket and appetite unconfirmed. Property-buying activity alone does not establish fit for funding 101XVC trial operating costs.</x:v>
      </x:c>
      <x:c r="T169" s="25" t="str">
        <x:v>Ask the owner/investor whether they can allocate $100K-$500K to trial marketing and acquisitions, and confirm structure, timing and decision authority.</x:v>
      </x:c>
      <x:c r="U169" s="25" t="str">
        <x:v>https://www.cashhomebuyersdirectory.com/cash-home-buyers/texas/dallas
https://questhomebuyers.com/</x:v>
      </x:c>
      <x:c r="V169" s="26" t="d">
        <x:v>2026-10-02T00:00:00.000Z</x:v>
      </x:c>
      <x:c r="W169" s="26" t="d">
        <x:v>2026-10-03T00:00:00.000Z</x:v>
      </x:c>
      <x:c r="X169" s="25" t="str">
        <x:v>Public investor directory; business role and contact ownership require qualification</x:v>
      </x:c>
      <x:c r="Y169" s="25"/>
      <x:c r="Z169" s="25" t="str">
        <x:v>https://www.cashhomebuyersdirectory.com/cash-home-buyers/texas/dallas</x:v>
      </x:c>
      <x:c r="AA169" s="25" t="str">
        <x:v>Public cash-home-buyer directory lists business name, phone and market. Directory entry may include brokers or service providers. Official website fetched; home-buying or investing activity stated.</x:v>
      </x:c>
      <x:c r="AB169" s="3" t="str">
        <x:v>New public-source collection</x:v>
      </x:c>
      <x:c r="AC169" s="3" t="str">
        <x:v>unverified</x:v>
      </x:c>
      <x:c r="AD169" s="3" t="str">
        <x:v>Not contacted / unconfirmed</x:v>
      </x:c>
      <x:c r="AE169" s="3" t="str">
        <x:v>Yes</x:v>
      </x:c>
      <x:c r="AF169" s="3" t="str">
        <x:v>No</x:v>
      </x:c>
      <x:c r="AG169" s="3"/>
      <x:c r="AH169" s="3"/>
      <x:c r="AI169" s="18"/>
      <x:c r="AJ169" s="3" t="str">
        <x:v>CF2500-3747E9EFB210</x:v>
      </x:c>
      <x:c r="AK169" s="3" t="str">
        <x:v>Property investor / home-buying operator prospect</x:v>
      </x:c>
      <x:c r="AL169" s="19" t="n">
        <x:v>100000</x:v>
      </x:c>
      <x:c r="AM169" s="19" t="n">
        <x:v>500000</x:v>
      </x:c>
      <x:c r="AN169" s="3" t="str">
        <x:v>https://www.cashhomebuyersdirectory.com/cash-home-buyers/texas/dallas</x:v>
      </x:c>
      <x:c r="AO169" s="3" t="str">
        <x:v>tx_fl_investors.jsonl</x:v>
      </x:c>
      <x:c r="AP169" s="19"/>
    </x:row>
    <x:row r="170" ht="36" customHeight="1">
      <x:c r="A170" s="23" t="n">
        <x:v>169</x:v>
      </x:c>
      <x:c r="B170" s="15" t="str">
        <x:v>Quick Offer Homes | Sell My House Fast for Cash Lakeland</x:v>
      </x:c>
      <x:c r="C170" s="15"/>
      <x:c r="D170" s="15" t="str">
        <x:v>Property investor / home-buying operator</x:v>
      </x:c>
      <x:c r="E170" s="15" t="str">
        <x:v>Property investor / operator inquiry</x:v>
      </x:c>
      <x:c r="F170" s="17" t="str">
        <x:v>New</x:v>
      </x:c>
      <x:c r="G170" s="24"/>
      <x:c r="H170" s="24" t="str">
        <x:v>+19412631121</x:v>
      </x:c>
      <x:c r="I170" s="24" t="str">
        <x:v>https://www.quickofferhomesfl.com/</x:v>
      </x:c>
      <x:c r="J170" s="16" t="str">
        <x:v>FL</x:v>
      </x:c>
      <x:c r="K170" s="16"/>
      <x:c r="L170" s="16" t="str">
        <x:v>Public property-business route; investor decision maker unconfirmed</x:v>
      </x:c>
      <x:c r="M170" s="16" t="str">
        <x:v>https://www.quickofferhomesfl.com/</x:v>
      </x:c>
      <x:c r="N170" s="16" t="str">
        <x:v>$100K-$500K ticket not published / unconfirmed</x:v>
      </x:c>
      <x:c r="O170" s="20"/>
      <x:c r="P170" s="20"/>
      <x:c r="Q170" s="25" t="str">
        <x:v>No $100K-$500K corporate-investment ticket published in checked source</x:v>
      </x:c>
      <x:c r="R170" s="25" t="str">
        <x:v>Property acquisition or investor activity makes this an operator-capital prospect for the signed trial. Confirm operating-company debt/equity appetite.</x:v>
      </x:c>
      <x:c r="S170" s="25" t="str">
        <x:v>Corporate-investment ticket and appetite unconfirmed. Property-buying activity alone does not establish fit for funding 101XVC trial operating costs.</x:v>
      </x:c>
      <x:c r="T170" s="25" t="str">
        <x:v>Ask the owner/investor whether they can allocate $100K-$500K to trial marketing and acquisitions, and confirm structure, timing and decision authority.</x:v>
      </x:c>
      <x:c r="U170" s="25" t="str">
        <x:v>https://www.cashhomebuyersdirectory.com/cash-home-buyers/florida/lakeland
https://www.quickofferhomesfl.com/</x:v>
      </x:c>
      <x:c r="V170" s="26" t="d">
        <x:v>2026-10-02T00:00:00.000Z</x:v>
      </x:c>
      <x:c r="W170" s="26" t="d">
        <x:v>2026-10-03T00:00:00.000Z</x:v>
      </x:c>
      <x:c r="X170" s="25" t="str">
        <x:v>Public investor directory; business role and contact ownership require qualification</x:v>
      </x:c>
      <x:c r="Y170" s="25"/>
      <x:c r="Z170" s="25" t="str">
        <x:v>https://www.cashhomebuyersdirectory.com/cash-home-buyers/florida/lakeland</x:v>
      </x:c>
      <x:c r="AA170" s="25" t="str">
        <x:v>Public cash-home-buyer directory lists business name, phone and market. Directory entry may include brokers or service providers. Official website fetched; home-buying or investing activity stated.</x:v>
      </x:c>
      <x:c r="AB170" s="3" t="str">
        <x:v>New public-source collection</x:v>
      </x:c>
      <x:c r="AC170" s="3" t="str">
        <x:v>unverified</x:v>
      </x:c>
      <x:c r="AD170" s="3" t="str">
        <x:v>Not contacted / unconfirmed</x:v>
      </x:c>
      <x:c r="AE170" s="3" t="str">
        <x:v>Yes</x:v>
      </x:c>
      <x:c r="AF170" s="3" t="str">
        <x:v>No</x:v>
      </x:c>
      <x:c r="AG170" s="3"/>
      <x:c r="AH170" s="3"/>
      <x:c r="AI170" s="18"/>
      <x:c r="AJ170" s="3" t="str">
        <x:v>CF2500-692EDB17ABEB</x:v>
      </x:c>
      <x:c r="AK170" s="3" t="str">
        <x:v>Property investor / home-buying operator prospect</x:v>
      </x:c>
      <x:c r="AL170" s="19" t="n">
        <x:v>100000</x:v>
      </x:c>
      <x:c r="AM170" s="19" t="n">
        <x:v>500000</x:v>
      </x:c>
      <x:c r="AN170" s="3" t="str">
        <x:v>https://www.cashhomebuyersdirectory.com/cash-home-buyers/florida/lakeland</x:v>
      </x:c>
      <x:c r="AO170" s="3" t="str">
        <x:v>tx_fl_investors.jsonl</x:v>
      </x:c>
      <x:c r="AP170" s="19"/>
    </x:row>
    <x:row r="171" ht="36" customHeight="1">
      <x:c r="A171" s="23" t="n">
        <x:v>170</x:v>
      </x:c>
      <x:c r="B171" s="15" t="str">
        <x:v>Real Options and Investments</x:v>
      </x:c>
      <x:c r="C171" s="15"/>
      <x:c r="D171" s="15" t="str">
        <x:v>Property investor / home-buying operator</x:v>
      </x:c>
      <x:c r="E171" s="15" t="str">
        <x:v>Property investor / operator inquiry</x:v>
      </x:c>
      <x:c r="F171" s="17" t="str">
        <x:v>New</x:v>
      </x:c>
      <x:c r="G171" s="24"/>
      <x:c r="H171" s="24" t="str">
        <x:v>+12394290114</x:v>
      </x:c>
      <x:c r="I171" s="24" t="str">
        <x:v>https://www.myrealoptions.com/</x:v>
      </x:c>
      <x:c r="J171" s="16" t="str">
        <x:v>FL</x:v>
      </x:c>
      <x:c r="K171" s="16" t="str">
        <x:v>Fort Myers</x:v>
      </x:c>
      <x:c r="L171" s="16" t="str">
        <x:v>Public property-business route; investor decision maker unconfirmed</x:v>
      </x:c>
      <x:c r="M171" s="16" t="str">
        <x:v>https://www.myrealoptions.com/</x:v>
      </x:c>
      <x:c r="N171" s="16" t="str">
        <x:v>$100K-$500K ticket not published / unconfirmed</x:v>
      </x:c>
      <x:c r="O171" s="20"/>
      <x:c r="P171" s="20"/>
      <x:c r="Q171" s="25" t="str">
        <x:v>No $100K-$500K corporate-investment ticket published in checked source</x:v>
      </x:c>
      <x:c r="R171" s="25" t="str">
        <x:v>Property acquisition or investor activity makes this an operator-capital prospect for the signed trial. Confirm operating-company debt/equity appetite.</x:v>
      </x:c>
      <x:c r="S171" s="25" t="str">
        <x:v>Corporate-investment ticket and appetite unconfirmed. Property-buying activity alone does not establish fit for funding 101XVC trial operating costs.</x:v>
      </x:c>
      <x:c r="T171" s="25" t="str">
        <x:v>Ask the owner/investor whether they can allocate $100K-$500K to trial marketing and acquisitions, and confirm structure, timing and decision authority.</x:v>
      </x:c>
      <x:c r="U171" s="25" t="str">
        <x:v>https://www.cashhomebuyersdirectory.com/cash-home-buyers/florida/fort-myers
https://www.myrealoptions.com/</x:v>
      </x:c>
      <x:c r="V171" s="26" t="d">
        <x:v>2026-10-02T00:00:00.000Z</x:v>
      </x:c>
      <x:c r="W171" s="26" t="d">
        <x:v>2026-10-03T00:00:00.000Z</x:v>
      </x:c>
      <x:c r="X171" s="25" t="str">
        <x:v>Public investor directory; business role and contact ownership require qualification</x:v>
      </x:c>
      <x:c r="Y171" s="25"/>
      <x:c r="Z171" s="25" t="str">
        <x:v>https://www.cashhomebuyersdirectory.com/cash-home-buyers/florida/fort-myers</x:v>
      </x:c>
      <x:c r="AA171" s="25" t="str">
        <x:v>Public cash-home-buyer directory lists business name, phone and market. Directory entry may include brokers or service providers. Official website fetched; home-buying or investing activity stated.</x:v>
      </x:c>
      <x:c r="AB171" s="3" t="str">
        <x:v>New public-source collection</x:v>
      </x:c>
      <x:c r="AC171" s="3" t="str">
        <x:v>unverified</x:v>
      </x:c>
      <x:c r="AD171" s="3" t="str">
        <x:v>Not contacted / unconfirmed</x:v>
      </x:c>
      <x:c r="AE171" s="3" t="str">
        <x:v>Yes</x:v>
      </x:c>
      <x:c r="AF171" s="3" t="str">
        <x:v>No</x:v>
      </x:c>
      <x:c r="AG171" s="3"/>
      <x:c r="AH171" s="3"/>
      <x:c r="AI171" s="18"/>
      <x:c r="AJ171" s="3" t="str">
        <x:v>CF2500-11E66C7AE908</x:v>
      </x:c>
      <x:c r="AK171" s="3" t="str">
        <x:v>Property investor / home-buying operator prospect</x:v>
      </x:c>
      <x:c r="AL171" s="19" t="n">
        <x:v>100000</x:v>
      </x:c>
      <x:c r="AM171" s="19" t="n">
        <x:v>500000</x:v>
      </x:c>
      <x:c r="AN171" s="3" t="str">
        <x:v>https://www.cashhomebuyersdirectory.com/cash-home-buyers/florida/fort-myers</x:v>
      </x:c>
      <x:c r="AO171" s="3" t="str">
        <x:v>tx_fl_investors.jsonl</x:v>
      </x:c>
      <x:c r="AP171" s="19"/>
    </x:row>
    <x:row r="172" ht="36" customHeight="1">
      <x:c r="A172" s="23" t="n">
        <x:v>171</x:v>
      </x:c>
      <x:c r="B172" s="15" t="str">
        <x:v>RESQ Homes</x:v>
      </x:c>
      <x:c r="C172" s="15" t="str">
        <x:v>Keith Crisp; Kathileen Crisp</x:v>
      </x:c>
      <x:c r="D172" s="15" t="str">
        <x:v>Property investor / home-buying operator</x:v>
      </x:c>
      <x:c r="E172" s="15" t="str">
        <x:v>Property investor / operator inquiry</x:v>
      </x:c>
      <x:c r="F172" s="17" t="str">
        <x:v>New</x:v>
      </x:c>
      <x:c r="G172" s="24"/>
      <x:c r="H172" s="24" t="str">
        <x:v>+18133083131</x:v>
      </x:c>
      <x:c r="I172" s="24" t="str">
        <x:v>https://resq.homes/</x:v>
      </x:c>
      <x:c r="J172" s="16" t="str">
        <x:v>FL</x:v>
      </x:c>
      <x:c r="K172" s="16" t="str">
        <x:v>Tampa</x:v>
      </x:c>
      <x:c r="L172" s="16" t="str">
        <x:v>Public property-business route; investor decision maker unconfirmed</x:v>
      </x:c>
      <x:c r="M172" s="16" t="str">
        <x:v>https://resq.homes/</x:v>
      </x:c>
      <x:c r="N172" s="16" t="str">
        <x:v>$100K-$500K ticket not published / unconfirmed</x:v>
      </x:c>
      <x:c r="O172" s="20"/>
      <x:c r="P172" s="20"/>
      <x:c r="Q172" s="25" t="str">
        <x:v>No $100K-$500K corporate-investment ticket published in checked source</x:v>
      </x:c>
      <x:c r="R172" s="25" t="str">
        <x:v>Property acquisition or investor activity makes this an operator-capital prospect for the signed trial. Confirm operating-company debt/equity appetite.</x:v>
      </x:c>
      <x:c r="S172" s="25" t="str">
        <x:v>Home-buying activity does not verify ability or willingness to invest $100K-$500K into 101XVC operating company. Website and contact verification pending.</x:v>
      </x:c>
      <x:c r="T172" s="25" t="str">
        <x:v>Ask the owner/investor whether they can allocate $100K-$500K to trial marketing and acquisitions, and confirm structure, timing and decision authority.</x:v>
      </x:c>
      <x:c r="U172" s="25" t="str">
        <x:v>https://www.cashhomebuyersdirectory.com/cash-home-buyers/florida/tampa
https://resq.homes/</x:v>
      </x:c>
      <x:c r="V172" s="26" t="d">
        <x:v>2026-10-02T00:00:00.000Z</x:v>
      </x:c>
      <x:c r="W172" s="26" t="d">
        <x:v>2026-10-03T00:00:00.000Z</x:v>
      </x:c>
      <x:c r="X172" s="25" t="str">
        <x:v>Public investor directory; business role and contact ownership require qualification</x:v>
      </x:c>
      <x:c r="Y172" s="25"/>
      <x:c r="Z172" s="25" t="str">
        <x:v>https://www.cashhomebuyersdirectory.com/cash-home-buyers/florida/tampa</x:v>
      </x:c>
      <x:c r="AA172" s="25" t="str">
        <x:v>Public cash-home-buyer directory lists business name, phone and market. Directory entry may include brokers or service providers. Primary website states it purchases Florida homes directly for cash; public team names Keith and Kathileen Crisp.</x:v>
      </x:c>
      <x:c r="AB172" s="3" t="str">
        <x:v>New public-source collection</x:v>
      </x:c>
      <x:c r="AC172" s="3" t="str">
        <x:v>unverified</x:v>
      </x:c>
      <x:c r="AD172" s="3" t="str">
        <x:v>Not contacted / unconfirmed</x:v>
      </x:c>
      <x:c r="AE172" s="3" t="str">
        <x:v>Yes</x:v>
      </x:c>
      <x:c r="AF172" s="3" t="str">
        <x:v>No</x:v>
      </x:c>
      <x:c r="AG172" s="3"/>
      <x:c r="AH172" s="3"/>
      <x:c r="AI172" s="18"/>
      <x:c r="AJ172" s="3" t="str">
        <x:v>CF2500-65F3961AEC70</x:v>
      </x:c>
      <x:c r="AK172" s="3" t="str">
        <x:v>Property investor / home-buying operator prospect</x:v>
      </x:c>
      <x:c r="AL172" s="19" t="n">
        <x:v>100000</x:v>
      </x:c>
      <x:c r="AM172" s="19" t="n">
        <x:v>500000</x:v>
      </x:c>
      <x:c r="AN172" s="3" t="str">
        <x:v>https://www.cashhomebuyersdirectory.com/cash-home-buyers/florida/tampa</x:v>
      </x:c>
      <x:c r="AO172" s="3" t="str">
        <x:v>tx_fl_investors.jsonl</x:v>
      </x:c>
      <x:c r="AP172" s="19"/>
    </x:row>
    <x:row r="173" ht="36" customHeight="1">
      <x:c r="A173" s="23" t="n">
        <x:v>172</x:v>
      </x:c>
      <x:c r="B173" s="15" t="str">
        <x:v>Roadrunner Home Buyers</x:v>
      </x:c>
      <x:c r="C173" s="15"/>
      <x:c r="D173" s="15" t="str">
        <x:v>Property investor / home-buying operator</x:v>
      </x:c>
      <x:c r="E173" s="15" t="str">
        <x:v>Property investor / operator inquiry</x:v>
      </x:c>
      <x:c r="F173" s="17" t="str">
        <x:v>New</x:v>
      </x:c>
      <x:c r="G173" s="24"/>
      <x:c r="H173" s="24" t="str">
        <x:v>+12109872233</x:v>
      </x:c>
      <x:c r="I173" s="24" t="str">
        <x:v>https://www.quickesthomebuyers.com/</x:v>
      </x:c>
      <x:c r="J173" s="16" t="str">
        <x:v>TX</x:v>
      </x:c>
      <x:c r="K173" s="16" t="str">
        <x:v>San Antonio</x:v>
      </x:c>
      <x:c r="L173" s="16" t="str">
        <x:v>Public property-business route; investor decision maker unconfirmed</x:v>
      </x:c>
      <x:c r="M173" s="16" t="str">
        <x:v>https://www.quickesthomebuyers.com/</x:v>
      </x:c>
      <x:c r="N173" s="16" t="str">
        <x:v>$100K-$500K ticket not published / unconfirmed</x:v>
      </x:c>
      <x:c r="O173" s="20"/>
      <x:c r="P173" s="20"/>
      <x:c r="Q173" s="25" t="str">
        <x:v>No $100K-$500K corporate-investment ticket published in checked source</x:v>
      </x:c>
      <x:c r="R173" s="25" t="str">
        <x:v>Property acquisition or investor activity makes this an operator-capital prospect for the signed trial. Confirm operating-company debt/equity appetite.</x:v>
      </x:c>
      <x:c r="S173" s="25" t="str">
        <x:v>Corporate-investment ticket and appetite unconfirmed. Property-buying activity alone does not establish fit for funding 101XVC trial operating costs.</x:v>
      </x:c>
      <x:c r="T173" s="25" t="str">
        <x:v>Ask the owner/investor whether they can allocate $100K-$500K to trial marketing and acquisitions, and confirm structure, timing and decision authority.</x:v>
      </x:c>
      <x:c r="U173" s="25" t="str">
        <x:v>https://www.cashhomebuyersdirectory.com/cash-home-buyers/texas/san-antonio
https://www.quickesthomebuyers.com/</x:v>
      </x:c>
      <x:c r="V173" s="26" t="d">
        <x:v>2026-10-02T00:00:00.000Z</x:v>
      </x:c>
      <x:c r="W173" s="26" t="d">
        <x:v>2026-10-03T00:00:00.000Z</x:v>
      </x:c>
      <x:c r="X173" s="25" t="str">
        <x:v>Public investor directory; business role and contact ownership require qualification</x:v>
      </x:c>
      <x:c r="Y173" s="25"/>
      <x:c r="Z173" s="25" t="str">
        <x:v>https://www.cashhomebuyersdirectory.com/cash-home-buyers/texas/san-antonio</x:v>
      </x:c>
      <x:c r="AA173" s="25" t="str">
        <x:v>Public cash-home-buyer directory lists business name, phone and market. Directory entry may include brokers or service providers. Official website fetched; home-buying or investing activity stated.</x:v>
      </x:c>
      <x:c r="AB173" s="3" t="str">
        <x:v>New public-source collection</x:v>
      </x:c>
      <x:c r="AC173" s="3" t="str">
        <x:v>unverified</x:v>
      </x:c>
      <x:c r="AD173" s="3" t="str">
        <x:v>Not contacted / unconfirmed</x:v>
      </x:c>
      <x:c r="AE173" s="3" t="str">
        <x:v>Yes</x:v>
      </x:c>
      <x:c r="AF173" s="3" t="str">
        <x:v>Yes</x:v>
      </x:c>
      <x:c r="AG173" s="3"/>
      <x:c r="AH173" s="3"/>
      <x:c r="AI173" s="18"/>
      <x:c r="AJ173" s="3" t="str">
        <x:v>CF2500-71E5036BE850</x:v>
      </x:c>
      <x:c r="AK173" s="3" t="str">
        <x:v>Property investor / home-buying operator prospect</x:v>
      </x:c>
      <x:c r="AL173" s="19" t="n">
        <x:v>100000</x:v>
      </x:c>
      <x:c r="AM173" s="19" t="n">
        <x:v>500000</x:v>
      </x:c>
      <x:c r="AN173" s="3" t="str">
        <x:v>https://www.cashhomebuyersdirectory.com/cash-home-buyers/texas/san-antonio</x:v>
      </x:c>
      <x:c r="AO173" s="3" t="str">
        <x:v>tx_fl_investors.jsonl</x:v>
      </x:c>
      <x:c r="AP173" s="19"/>
    </x:row>
    <x:row r="174" ht="36" customHeight="1">
      <x:c r="A174" s="23" t="n">
        <x:v>173</x:v>
      </x:c>
      <x:c r="B174" s="15" t="str">
        <x:v>RRM HOUSE BUYER LLC</x:v>
      </x:c>
      <x:c r="C174" s="15"/>
      <x:c r="D174" s="15" t="str">
        <x:v>Property investor / home-buying operator</x:v>
      </x:c>
      <x:c r="E174" s="15" t="str">
        <x:v>Property investor / operator inquiry</x:v>
      </x:c>
      <x:c r="F174" s="17" t="str">
        <x:v>New</x:v>
      </x:c>
      <x:c r="G174" s="24"/>
      <x:c r="H174" s="24" t="str">
        <x:v>+18133688732</x:v>
      </x:c>
      <x:c r="I174" s="24" t="str">
        <x:v>https://rrmhouse.com/</x:v>
      </x:c>
      <x:c r="J174" s="16" t="str">
        <x:v>FL</x:v>
      </x:c>
      <x:c r="K174" s="16" t="str">
        <x:v>Tampa</x:v>
      </x:c>
      <x:c r="L174" s="16" t="str">
        <x:v>Public property-business route; investor decision maker unconfirmed</x:v>
      </x:c>
      <x:c r="M174" s="16" t="str">
        <x:v>https://rrmhouse.com/</x:v>
      </x:c>
      <x:c r="N174" s="16" t="str">
        <x:v>$100K-$500K ticket not published / unconfirmed</x:v>
      </x:c>
      <x:c r="O174" s="20"/>
      <x:c r="P174" s="20"/>
      <x:c r="Q174" s="25" t="str">
        <x:v>No direct corporate-capital range established in checked source</x:v>
      </x:c>
      <x:c r="R174" s="25" t="str">
        <x:v>Property acquisition or investor activity makes this an operator-capital prospect for the signed trial. Confirm operating-company debt/equity appetite.</x:v>
      </x:c>
      <x:c r="S174" s="25" t="str">
        <x:v>Confirm the contact controls funding decisions; confirm willingness to invest in an operating company, current liquidity, $100K to $500K ticket size, required security and diligence.</x:v>
      </x:c>
      <x:c r="T174" s="25" t="str">
        <x:v>Ask the owner/investor whether they can allocate $100K-$500K to trial marketing and acquisitions, and confirm structure, timing and decision authority.</x:v>
      </x:c>
      <x:c r="U174" s="25" t="str">
        <x:v>https://rrmhouse.com/
https://sfranalytics.com/investors/fl/tampa-st-petersburg-clearwater-fl
https://sfranalytics.com/investors/fl/tampa-st-petersburg-clearwater-fl/rrm-house-buyer-llc-fl</x:v>
      </x:c>
      <x:c r="V174" s="26" t="d">
        <x:v>2026-10-02T00:00:00.000Z</x:v>
      </x:c>
      <x:c r="W174" s="26" t="d">
        <x:v>2026-10-03T00:00:00.000Z</x:v>
      </x:c>
      <x:c r="X174" s="25" t="str">
        <x:v>SFR Analytics public investor discovery plus official-company activity, geography and published business contact checks</x:v>
      </x:c>
      <x:c r="Y174" s="25"/>
      <x:c r="Z174" s="25" t="str">
        <x:v>https://rrmhouse.com/</x:v>
      </x:c>
      <x:c r="AA174" s="25" t="str">
        <x:v>Official page names RRM House Buyer LLC and describes buying and selling Florida homes. Published general business contact observed: (813) 368-8732. SFR Analytics public directory lists RRM HOUSE BUYER LLC as an organization with a flipper strategy, 68 observed transactions and $4.76M tracked transaction volume. Observed listing market: Tampa-St. Petersburg-Clearwater, FL. This is third-party public-record research, not evidence of available cash, a $100K to $500K check, an operating-company investment mandate, or acceptance of this transaction.</x:v>
      </x:c>
      <x:c r="AB174" s="3" t="str">
        <x:v>New public-source collection</x:v>
      </x:c>
      <x:c r="AC174" s="3" t="str">
        <x:v>unverified</x:v>
      </x:c>
      <x:c r="AD174" s="3" t="str">
        <x:v>Not contacted / unconfirmed</x:v>
      </x:c>
      <x:c r="AE174" s="3" t="str">
        <x:v>Yes</x:v>
      </x:c>
      <x:c r="AF174" s="3" t="str">
        <x:v>Yes</x:v>
      </x:c>
      <x:c r="AG174" s="3"/>
      <x:c r="AH174" s="3"/>
      <x:c r="AI174" s="18"/>
      <x:c r="AJ174" s="3" t="str">
        <x:v>CF2500-6B3AF2BF655B</x:v>
      </x:c>
      <x:c r="AK174" s="3" t="str">
        <x:v>real_estate_operator</x:v>
      </x:c>
      <x:c r="AL174" s="19" t="n">
        <x:v>100000</x:v>
      </x:c>
      <x:c r="AM174" s="19" t="n">
        <x:v>500000</x:v>
      </x:c>
      <x:c r="AN174" s="3" t="str">
        <x:v>https://rrmhouse.com/</x:v>
      </x:c>
      <x:c r="AO174" s="3" t="str">
        <x:v>sfr_contact_enriched.jsonl</x:v>
      </x:c>
      <x:c r="AP174" s="19"/>
    </x:row>
    <x:row r="175" ht="36" customHeight="1">
      <x:c r="A175" s="23" t="n">
        <x:v>174</x:v>
      </x:c>
      <x:c r="B175" s="15" t="str">
        <x:v>SIMPLY SELL RE LLC</x:v>
      </x:c>
      <x:c r="C175" s="15"/>
      <x:c r="D175" s="15" t="str">
        <x:v>Property investor / home-buying operator</x:v>
      </x:c>
      <x:c r="E175" s="15" t="str">
        <x:v>Property investor / operator inquiry</x:v>
      </x:c>
      <x:c r="F175" s="17" t="str">
        <x:v>New</x:v>
      </x:c>
      <x:c r="G175" s="24"/>
      <x:c r="H175" s="24" t="str">
        <x:v>+16309379960</x:v>
      </x:c>
      <x:c r="I175" s="24" t="str">
        <x:v>https://simplysellmyproperty.com/</x:v>
      </x:c>
      <x:c r="J175" s="16" t="str">
        <x:v>IL</x:v>
      </x:c>
      <x:c r="K175" s="16" t="str">
        <x:v>Chicago</x:v>
      </x:c>
      <x:c r="L175" s="16" t="str">
        <x:v>Public property-business route; investor decision maker unconfirmed</x:v>
      </x:c>
      <x:c r="M175" s="16" t="str">
        <x:v>https://simplysellmyproperty.com/</x:v>
      </x:c>
      <x:c r="N175" s="16" t="str">
        <x:v>$100K-$500K ticket not published / unconfirmed</x:v>
      </x:c>
      <x:c r="O175" s="20"/>
      <x:c r="P175" s="20"/>
      <x:c r="Q175" s="25" t="str">
        <x:v>No direct corporate-capital range established in checked source</x:v>
      </x:c>
      <x:c r="R175" s="25" t="str">
        <x:v>Property acquisition or investor activity makes this an operator-capital prospect for the signed trial. Confirm operating-company debt/equity appetite.</x:v>
      </x:c>
      <x:c r="S175" s="25" t="str">
        <x:v>Confirm the contact controls funding decisions; confirm willingness to invest in an operating company, current liquidity, $100K to $500K ticket size, required security and diligence.</x:v>
      </x:c>
      <x:c r="T175" s="25" t="str">
        <x:v>Ask the owner/investor whether they can allocate $100K-$500K to trial marketing and acquisitions, and confirm structure, timing and decision authority.</x:v>
      </x:c>
      <x:c r="U175" s="25" t="str">
        <x:v>https://simplysellmyproperty.com/
https://sfranalytics.com/investors/il/chicago-naperville-elgin-il-in
https://sfranalytics.com/investors/il/chicago-naperville-elgin-il-in/simply-sell-re-llc-il</x:v>
      </x:c>
      <x:c r="V175" s="26" t="d">
        <x:v>2026-10-02T00:00:00.000Z</x:v>
      </x:c>
      <x:c r="W175" s="26" t="d">
        <x:v>2026-10-03T00:00:00.000Z</x:v>
      </x:c>
      <x:c r="X175" s="25" t="str">
        <x:v>SFR Analytics public investor discovery plus official-company activity, geography and published business contact checks</x:v>
      </x:c>
      <x:c r="Y175" s="25"/>
      <x:c r="Z175" s="25" t="str">
        <x:v>https://simplysellmyproperty.com/</x:v>
      </x:c>
      <x:c r="AA175" s="25" t="str">
        <x:v>Company page names Simply Sell RE LLC and describes buying homes in Illinois and Chicago. Published general business contact observed: (630) 937-9960. SFR Analytics public directory lists SIMPLY SELL RE LLC as an organization with a flipper strategy, 22 observed transactions and $3.40M tracked transaction volume. Observed listing market: Chicago-Naperville-Elgin, IL-IN. This is third-party public-record research, not evidence of available cash, a $100K to $500K check, an operating-company investment mandate, or acceptance of this transaction.</x:v>
      </x:c>
      <x:c r="AB175" s="3" t="str">
        <x:v>New public-source collection</x:v>
      </x:c>
      <x:c r="AC175" s="3" t="str">
        <x:v>unverified</x:v>
      </x:c>
      <x:c r="AD175" s="3" t="str">
        <x:v>Not contacted / unconfirmed</x:v>
      </x:c>
      <x:c r="AE175" s="3" t="str">
        <x:v>Yes</x:v>
      </x:c>
      <x:c r="AF175" s="3" t="str">
        <x:v>Yes</x:v>
      </x:c>
      <x:c r="AG175" s="3"/>
      <x:c r="AH175" s="3"/>
      <x:c r="AI175" s="18"/>
      <x:c r="AJ175" s="3" t="str">
        <x:v>CF2500-674C725D0721</x:v>
      </x:c>
      <x:c r="AK175" s="3" t="str">
        <x:v>real_estate_operator</x:v>
      </x:c>
      <x:c r="AL175" s="19" t="n">
        <x:v>100000</x:v>
      </x:c>
      <x:c r="AM175" s="19" t="n">
        <x:v>500000</x:v>
      </x:c>
      <x:c r="AN175" s="3" t="str">
        <x:v>https://simplysellmyproperty.com/</x:v>
      </x:c>
      <x:c r="AO175" s="3" t="str">
        <x:v>sfr_contact_enriched.jsonl</x:v>
      </x:c>
      <x:c r="AP175" s="19"/>
    </x:row>
    <x:row r="176" ht="36" customHeight="1">
      <x:c r="A176" s="23" t="n">
        <x:v>175</x:v>
      </x:c>
      <x:c r="B176" s="15" t="str">
        <x:v>Sunshine Venture Group</x:v>
      </x:c>
      <x:c r="C176" s="15"/>
      <x:c r="D176" s="15" t="str">
        <x:v>Property investor / home-buying operator</x:v>
      </x:c>
      <x:c r="E176" s="15" t="str">
        <x:v>Property investor / operator inquiry</x:v>
      </x:c>
      <x:c r="F176" s="17" t="str">
        <x:v>New</x:v>
      </x:c>
      <x:c r="G176" s="24"/>
      <x:c r="H176" s="24" t="str">
        <x:v>+19048623396</x:v>
      </x:c>
      <x:c r="I176" s="24" t="str">
        <x:v>https://www.sunshinecashbuyers.com/</x:v>
      </x:c>
      <x:c r="J176" s="16" t="str">
        <x:v>FL</x:v>
      </x:c>
      <x:c r="K176" s="16" t="str">
        <x:v>Jacksonville</x:v>
      </x:c>
      <x:c r="L176" s="16" t="str">
        <x:v>Public property-business route; investor decision maker unconfirmed</x:v>
      </x:c>
      <x:c r="M176" s="16" t="str">
        <x:v>https://www.sunshinecashbuyers.com/</x:v>
      </x:c>
      <x:c r="N176" s="16" t="str">
        <x:v>$100K-$500K ticket not published / unconfirmed</x:v>
      </x:c>
      <x:c r="O176" s="20"/>
      <x:c r="P176" s="20"/>
      <x:c r="Q176" s="25" t="str">
        <x:v>No $100K-$500K corporate-investment ticket published in checked source</x:v>
      </x:c>
      <x:c r="R176" s="25" t="str">
        <x:v>Property acquisition or investor activity makes this an operator-capital prospect for the signed trial. Confirm operating-company debt/equity appetite.</x:v>
      </x:c>
      <x:c r="S176" s="25" t="str">
        <x:v>Home-buying activity does not verify ability or willingness to invest $100K-$500K into 101XVC operating company. Website and contact verification pending.</x:v>
      </x:c>
      <x:c r="T176" s="25" t="str">
        <x:v>Ask the owner/investor whether they can allocate $100K-$500K to trial marketing and acquisitions, and confirm structure, timing and decision authority.</x:v>
      </x:c>
      <x:c r="U176" s="25" t="str">
        <x:v>https://www.cashhomebuyersdirectory.com/cash-home-buyers/florida/jacksonville
https://www.sunshinecashbuyers.com/</x:v>
      </x:c>
      <x:c r="V176" s="26" t="d">
        <x:v>2026-10-02T00:00:00.000Z</x:v>
      </x:c>
      <x:c r="W176" s="26" t="d">
        <x:v>2026-10-03T00:00:00.000Z</x:v>
      </x:c>
      <x:c r="X176" s="25" t="str">
        <x:v>Public investor directory; business role and contact ownership require qualification</x:v>
      </x:c>
      <x:c r="Y176" s="25"/>
      <x:c r="Z176" s="25" t="str">
        <x:v>https://www.cashhomebuyersdirectory.com/cash-home-buyers/florida/jacksonville</x:v>
      </x:c>
      <x:c r="AA176" s="25" t="str">
        <x:v>Public cash-home-buyer directory lists business name, phone and market. Directory entry may include brokers or service providers. Primary website identifies Sunshine cash home buyers and states it buys houses in Jacksonville.</x:v>
      </x:c>
      <x:c r="AB176" s="3" t="str">
        <x:v>New public-source collection</x:v>
      </x:c>
      <x:c r="AC176" s="3" t="str">
        <x:v>unverified</x:v>
      </x:c>
      <x:c r="AD176" s="3" t="str">
        <x:v>Not contacted / unconfirmed</x:v>
      </x:c>
      <x:c r="AE176" s="3" t="str">
        <x:v>Yes</x:v>
      </x:c>
      <x:c r="AF176" s="3" t="str">
        <x:v>No</x:v>
      </x:c>
      <x:c r="AG176" s="3"/>
      <x:c r="AH176" s="3"/>
      <x:c r="AI176" s="18"/>
      <x:c r="AJ176" s="3" t="str">
        <x:v>CF2500-E9F80FC668CA</x:v>
      </x:c>
      <x:c r="AK176" s="3" t="str">
        <x:v>Property investor / home-buying operator prospect</x:v>
      </x:c>
      <x:c r="AL176" s="19" t="n">
        <x:v>100000</x:v>
      </x:c>
      <x:c r="AM176" s="19" t="n">
        <x:v>500000</x:v>
      </x:c>
      <x:c r="AN176" s="3" t="str">
        <x:v>https://www.cashhomebuyersdirectory.com/cash-home-buyers/florida/jacksonville</x:v>
      </x:c>
      <x:c r="AO176" s="3" t="str">
        <x:v>tx_fl_investors.jsonl</x:v>
      </x:c>
      <x:c r="AP176" s="19"/>
    </x:row>
    <x:row r="177" ht="36" customHeight="1">
      <x:c r="A177" s="23" t="n">
        <x:v>176</x:v>
      </x:c>
      <x:c r="B177" s="15" t="str">
        <x:v>Texas Property Heroes</x:v>
      </x:c>
      <x:c r="C177" s="15"/>
      <x:c r="D177" s="15" t="str">
        <x:v>Property investor / home-buying operator</x:v>
      </x:c>
      <x:c r="E177" s="15" t="str">
        <x:v>Property investor / operator inquiry</x:v>
      </x:c>
      <x:c r="F177" s="17" t="str">
        <x:v>New</x:v>
      </x:c>
      <x:c r="G177" s="24"/>
      <x:c r="H177" s="24" t="str">
        <x:v>+18327726867</x:v>
      </x:c>
      <x:c r="I177" s="24" t="str">
        <x:v>https://www.texaspropertyheroes.com/</x:v>
      </x:c>
      <x:c r="J177" s="16" t="str">
        <x:v>TX</x:v>
      </x:c>
      <x:c r="K177" s="16" t="str">
        <x:v>Houston</x:v>
      </x:c>
      <x:c r="L177" s="16" t="str">
        <x:v>Public property-business route; investor decision maker unconfirmed</x:v>
      </x:c>
      <x:c r="M177" s="16" t="str">
        <x:v>https://www.texaspropertyheroes.com/</x:v>
      </x:c>
      <x:c r="N177" s="16" t="str">
        <x:v>$100K-$500K ticket not published / unconfirmed</x:v>
      </x:c>
      <x:c r="O177" s="20"/>
      <x:c r="P177" s="20"/>
      <x:c r="Q177" s="25" t="str">
        <x:v>No $100K-$500K corporate-investment ticket published in checked source</x:v>
      </x:c>
      <x:c r="R177" s="25" t="str">
        <x:v>Property acquisition or investor activity makes this an operator-capital prospect for the signed trial. Confirm operating-company debt/equity appetite.</x:v>
      </x:c>
      <x:c r="S177" s="25" t="str">
        <x:v>Home-buying activity does not verify ability or willingness to invest $100K-$500K into 101XVC operating company. Website and contact verification pending.</x:v>
      </x:c>
      <x:c r="T177" s="25" t="str">
        <x:v>Ask the owner/investor whether they can allocate $100K-$500K to trial marketing and acquisitions, and confirm structure, timing and decision authority.</x:v>
      </x:c>
      <x:c r="U177" s="25" t="str">
        <x:v>https://www.cashhomebuyersdirectory.com/cash-home-buyers/texas/houston
https://www.texaspropertyheroes.com/</x:v>
      </x:c>
      <x:c r="V177" s="26" t="d">
        <x:v>2026-10-02T00:00:00.000Z</x:v>
      </x:c>
      <x:c r="W177" s="26" t="d">
        <x:v>2026-10-03T00:00:00.000Z</x:v>
      </x:c>
      <x:c r="X177" s="25" t="str">
        <x:v>Public investor directory; business role and contact ownership require qualification</x:v>
      </x:c>
      <x:c r="Y177" s="25"/>
      <x:c r="Z177" s="25" t="str">
        <x:v>https://www.texaspropertyheroes.com/</x:v>
      </x:c>
      <x:c r="AA177" s="25" t="str">
        <x:v>Public cash-home-buyer directory lists business name, phone and market. Directory entry may include brokers or service providers. Primary website describes direct cash property purchases and publishes Houston business phone.</x:v>
      </x:c>
      <x:c r="AB177" s="3" t="str">
        <x:v>New public-source collection</x:v>
      </x:c>
      <x:c r="AC177" s="3" t="str">
        <x:v>unverified</x:v>
      </x:c>
      <x:c r="AD177" s="3" t="str">
        <x:v>Not contacted / unconfirmed</x:v>
      </x:c>
      <x:c r="AE177" s="3" t="str">
        <x:v>Yes</x:v>
      </x:c>
      <x:c r="AF177" s="3" t="str">
        <x:v>Yes</x:v>
      </x:c>
      <x:c r="AG177" s="3"/>
      <x:c r="AH177" s="3"/>
      <x:c r="AI177" s="18"/>
      <x:c r="AJ177" s="3" t="str">
        <x:v>CF2500-6ABDC16EB43E</x:v>
      </x:c>
      <x:c r="AK177" s="3" t="str">
        <x:v>Property investor / home-buying operator prospect</x:v>
      </x:c>
      <x:c r="AL177" s="19" t="n">
        <x:v>100000</x:v>
      </x:c>
      <x:c r="AM177" s="19" t="n">
        <x:v>500000</x:v>
      </x:c>
      <x:c r="AN177" s="3" t="str">
        <x:v>https://www.cashhomebuyersdirectory.com/cash-home-buyers/texas/houston</x:v>
      </x:c>
      <x:c r="AO177" s="3" t="str">
        <x:v>tx_fl_investors.jsonl</x:v>
      </x:c>
      <x:c r="AP177" s="19"/>
    </x:row>
    <x:row r="178" ht="36" customHeight="1">
      <x:c r="A178" s="23" t="n">
        <x:v>177</x:v>
      </x:c>
      <x:c r="B178" s="15" t="str">
        <x:v>We Buy Houses Southeast Texas | Sell My House Fast</x:v>
      </x:c>
      <x:c r="C178" s="15"/>
      <x:c r="D178" s="15" t="str">
        <x:v>Property investor / home-buying operator</x:v>
      </x:c>
      <x:c r="E178" s="15" t="str">
        <x:v>Property investor / operator inquiry</x:v>
      </x:c>
      <x:c r="F178" s="17" t="str">
        <x:v>New</x:v>
      </x:c>
      <x:c r="G178" s="24"/>
      <x:c r="H178" s="24" t="str">
        <x:v>+14094442274</x:v>
      </x:c>
      <x:c r="I178" s="24" t="str">
        <x:v>https://moodsterbuyshouses.com/</x:v>
      </x:c>
      <x:c r="J178" s="16" t="str">
        <x:v>TX</x:v>
      </x:c>
      <x:c r="K178" s="16" t="str">
        <x:v>Beaumont</x:v>
      </x:c>
      <x:c r="L178" s="16" t="str">
        <x:v>Public property-business route; investor decision maker unconfirmed</x:v>
      </x:c>
      <x:c r="M178" s="16" t="str">
        <x:v>https://moodsterbuyshouses.com/</x:v>
      </x:c>
      <x:c r="N178" s="16" t="str">
        <x:v>$100K-$500K ticket not published / unconfirmed</x:v>
      </x:c>
      <x:c r="O178" s="20"/>
      <x:c r="P178" s="20"/>
      <x:c r="Q178" s="25" t="str">
        <x:v>No $100K-$500K corporate-investment ticket published in checked source</x:v>
      </x:c>
      <x:c r="R178" s="25" t="str">
        <x:v>Property acquisition or investor activity makes this an operator-capital prospect for the signed trial. Confirm operating-company debt/equity appetite.</x:v>
      </x:c>
      <x:c r="S178" s="25" t="str">
        <x:v>Corporate-investment ticket and appetite unconfirmed. Property-buying activity alone does not establish fit for funding 101XVC trial operating costs.</x:v>
      </x:c>
      <x:c r="T178" s="25" t="str">
        <x:v>Ask the owner/investor whether they can allocate $100K-$500K to trial marketing and acquisitions, and confirm structure, timing and decision authority.</x:v>
      </x:c>
      <x:c r="U178" s="25" t="str">
        <x:v>https://www.cashhomebuyersdirectory.com/cash-home-buyers/texas/beaumont
https://moodsterbuyshouses.com/</x:v>
      </x:c>
      <x:c r="V178" s="26" t="d">
        <x:v>2026-10-02T00:00:00.000Z</x:v>
      </x:c>
      <x:c r="W178" s="26" t="d">
        <x:v>2026-10-03T00:00:00.000Z</x:v>
      </x:c>
      <x:c r="X178" s="25" t="str">
        <x:v>Public investor directory; business role and contact ownership require qualification</x:v>
      </x:c>
      <x:c r="Y178" s="25"/>
      <x:c r="Z178" s="25" t="str">
        <x:v>https://www.cashhomebuyersdirectory.com/cash-home-buyers/texas/beaumont</x:v>
      </x:c>
      <x:c r="AA178" s="25" t="str">
        <x:v>Public cash-home-buyer directory lists business name, phone and market. Directory entry may include brokers or service providers. Official website fetched; home-buying or investing activity stated.</x:v>
      </x:c>
      <x:c r="AB178" s="3" t="str">
        <x:v>New public-source collection</x:v>
      </x:c>
      <x:c r="AC178" s="3" t="str">
        <x:v>unverified</x:v>
      </x:c>
      <x:c r="AD178" s="3" t="str">
        <x:v>Not contacted / unconfirmed</x:v>
      </x:c>
      <x:c r="AE178" s="3" t="str">
        <x:v>Yes</x:v>
      </x:c>
      <x:c r="AF178" s="3" t="str">
        <x:v>Yes</x:v>
      </x:c>
      <x:c r="AG178" s="3"/>
      <x:c r="AH178" s="3"/>
      <x:c r="AI178" s="18"/>
      <x:c r="AJ178" s="3" t="str">
        <x:v>CF2500-D019AAE1DF1D</x:v>
      </x:c>
      <x:c r="AK178" s="3" t="str">
        <x:v>Property investor / home-buying operator prospect</x:v>
      </x:c>
      <x:c r="AL178" s="19" t="n">
        <x:v>100000</x:v>
      </x:c>
      <x:c r="AM178" s="19" t="n">
        <x:v>500000</x:v>
      </x:c>
      <x:c r="AN178" s="3" t="str">
        <x:v>https://www.cashhomebuyersdirectory.com/cash-home-buyers/texas/beaumont</x:v>
      </x:c>
      <x:c r="AO178" s="3" t="str">
        <x:v>tx_fl_investors.jsonl</x:v>
      </x:c>
      <x:c r="AP178" s="19"/>
    </x:row>
    <x:row r="179" ht="36" customHeight="1">
      <x:c r="A179" s="23" t="n">
        <x:v>178</x:v>
      </x:c>
      <x:c r="B179" s="15" t="str">
        <x:v>ZENN HOMEBUYERS LLC</x:v>
      </x:c>
      <x:c r="C179" s="15"/>
      <x:c r="D179" s="15" t="str">
        <x:v>Property investor / home-buying operator</x:v>
      </x:c>
      <x:c r="E179" s="15" t="str">
        <x:v>Property investor / operator inquiry</x:v>
      </x:c>
      <x:c r="F179" s="17" t="str">
        <x:v>New</x:v>
      </x:c>
      <x:c r="G179" s="24"/>
      <x:c r="H179" s="24" t="str">
        <x:v>+14079102385</x:v>
      </x:c>
      <x:c r="I179" s="24" t="str">
        <x:v>https://www.zennhomebuyers.com/</x:v>
      </x:c>
      <x:c r="J179" s="16" t="str">
        <x:v>FL</x:v>
      </x:c>
      <x:c r="K179" s="16" t="str">
        <x:v>Orlando</x:v>
      </x:c>
      <x:c r="L179" s="16" t="str">
        <x:v>Public property-business route; investor decision maker unconfirmed</x:v>
      </x:c>
      <x:c r="M179" s="16" t="str">
        <x:v>https://www.zennhomebuyers.com/contact-us/</x:v>
      </x:c>
      <x:c r="N179" s="16" t="str">
        <x:v>$100K-$500K ticket not published / unconfirmed</x:v>
      </x:c>
      <x:c r="O179" s="20"/>
      <x:c r="P179" s="20"/>
      <x:c r="Q179" s="25" t="str">
        <x:v>No direct corporate-capital range established in checked source</x:v>
      </x:c>
      <x:c r="R179" s="25" t="str">
        <x:v>Property acquisition or investor activity makes this an operator-capital prospect for the signed trial. Confirm operating-company debt/equity appetite.</x:v>
      </x:c>
      <x:c r="S179" s="25" t="str">
        <x:v>Confirm the contact controls funding decisions; confirm willingness to invest in an operating company, current liquidity, $100K to $500K ticket size, required security and diligence.</x:v>
      </x:c>
      <x:c r="T179" s="25" t="str">
        <x:v>Ask the owner/investor whether they can allocate $100K-$500K to trial marketing and acquisitions, and confirm structure, timing and decision authority.</x:v>
      </x:c>
      <x:c r="U179" s="25" t="str">
        <x:v>https://www.zennhomebuyers.com/contact-us/
https://sfranalytics.com/investors/fl/orlando-kissimmee-sanford-fl
https://sfranalytics.com/investors/fl/orlando-kissimmee-sanford-fl/zenn-homebuyers-llc-fl</x:v>
      </x:c>
      <x:c r="V179" s="26" t="d">
        <x:v>2026-10-02T00:00:00.000Z</x:v>
      </x:c>
      <x:c r="W179" s="26" t="d">
        <x:v>2026-10-03T00:00:00.000Z</x:v>
      </x:c>
      <x:c r="X179" s="25" t="str">
        <x:v>SFR Analytics public investor discovery plus official-company activity, geography and published business contact checks</x:v>
      </x:c>
      <x:c r="Y179" s="25"/>
      <x:c r="Z179" s="25" t="str">
        <x:v>https://www.zennhomebuyers.com/contact-us/</x:v>
      </x:c>
      <x:c r="AA179" s="25" t="str">
        <x:v>Company contact page identifies Zenn Homebuyers and buying houses in Orlando, Florida. Published general business contact observed: (407) 910-2385. SFR Analytics public directory lists ZENN HOMEBUYERS LLC as an organization with a flipper strategy, 24 observed transactions and $5.29M tracked transaction volume. Observed listing market: Orlando-Kissimmee-Sanford, FL. This is third-party public-record research, not evidence of available cash, a $100K to $500K check, an operating-company investment mandate, or acceptance of this transaction.</x:v>
      </x:c>
      <x:c r="AB179" s="3" t="str">
        <x:v>New public-source collection</x:v>
      </x:c>
      <x:c r="AC179" s="3" t="str">
        <x:v>unverified</x:v>
      </x:c>
      <x:c r="AD179" s="3" t="str">
        <x:v>Not contacted / unconfirmed</x:v>
      </x:c>
      <x:c r="AE179" s="3" t="str">
        <x:v>Yes</x:v>
      </x:c>
      <x:c r="AF179" s="3" t="str">
        <x:v>Yes</x:v>
      </x:c>
      <x:c r="AG179" s="3"/>
      <x:c r="AH179" s="3"/>
      <x:c r="AI179" s="18"/>
      <x:c r="AJ179" s="3" t="str">
        <x:v>CF2500-FBC10B79E0BA</x:v>
      </x:c>
      <x:c r="AK179" s="3" t="str">
        <x:v>real_estate_operator</x:v>
      </x:c>
      <x:c r="AL179" s="19" t="n">
        <x:v>100000</x:v>
      </x:c>
      <x:c r="AM179" s="19" t="n">
        <x:v>500000</x:v>
      </x:c>
      <x:c r="AN179" s="3" t="str">
        <x:v>https://www.zennhomebuyers.com/contact-us/</x:v>
      </x:c>
      <x:c r="AO179" s="3" t="str">
        <x:v>sfr_contact_enriched.jsonl</x:v>
      </x:c>
      <x:c r="AP179" s="19"/>
    </x:row>
    <x:row r="180" ht="36" customHeight="1">
      <x:c r="A180" s="23" t="n">
        <x:v>179</x:v>
      </x:c>
      <x:c r="B180" s="15" t="str">
        <x:v>AIP House Buyers / Arrington Investment Properties Group</x:v>
      </x:c>
      <x:c r="C180" s="15"/>
      <x:c r="D180" s="15" t="str">
        <x:v>Property investor / home-buying operator</x:v>
      </x:c>
      <x:c r="E180" s="15" t="str">
        <x:v>Property investor / operator inquiry</x:v>
      </x:c>
      <x:c r="F180" s="17" t="str">
        <x:v>New</x:v>
      </x:c>
      <x:c r="G180" s="24"/>
      <x:c r="H180" s="24" t="str">
        <x:v>+13367075223</x:v>
      </x:c>
      <x:c r="I180" s="24"/>
      <x:c r="J180" s="16" t="str">
        <x:v>NC</x:v>
      </x:c>
      <x:c r="K180" s="16" t="str">
        <x:v>Greensboro</x:v>
      </x:c>
      <x:c r="L180" s="16" t="str">
        <x:v>Public property-business route; investor decision maker unconfirmed</x:v>
      </x:c>
      <x:c r="M180" s="16" t="str">
        <x:v>https://www.facebook.com/AIProperties</x:v>
      </x:c>
      <x:c r="N180" s="16" t="str">
        <x:v>$100K-$500K ticket not published / unconfirmed</x:v>
      </x:c>
      <x:c r="O180" s="20"/>
      <x:c r="P180" s="20"/>
      <x:c r="Q180" s="25" t="str">
        <x:v>No $100K-$500K operating-company investment ticket verified</x:v>
      </x:c>
      <x:c r="R180" s="25" t="str">
        <x:v>Property acquisition or investor activity makes this an operator-capital prospect for the signed trial. Confirm operating-company debt/equity appetite.</x:v>
      </x:c>
      <x:c r="S180" s="25" t="str">
        <x:v>Public property-buying activity or a directory listing does not establish available cash, investing decision-maker, current $100K-$500K capacity, or willingness to fund 101XVC operating costs.</x:v>
      </x:c>
      <x:c r="T180" s="25" t="str">
        <x:v>Ask the owner/investor whether they can allocate $100K-$500K to trial marketing and acquisitions, and confirm structure, timing and decision authority.</x:v>
      </x:c>
      <x:c r="U180" s="25" t="str">
        <x:v>https://www.cashhomebuyersdirectory.com/cash-home-buyers/north-carolina/greensboro
https://www.facebook.com/AIProperties</x:v>
      </x:c>
      <x:c r="V180" s="26" t="d">
        <x:v>2026-10-02T00:00:00.000Z</x:v>
      </x:c>
      <x:c r="W180" s="26" t="d">
        <x:v>2026-10-02T00:00:00.000Z</x:v>
      </x:c>
      <x:c r="X180" s="25" t="str">
        <x:v>Public investor directory; business role and contact ownership require qualification</x:v>
      </x:c>
      <x:c r="Y180" s="25"/>
      <x:c r="Z180" s="25" t="str">
        <x:v>https://www.cashhomebuyersdirectory.com/cash-home-buyers/north-carolina/greensboro</x:v>
      </x:c>
      <x:c r="AA180" s="25" t="str">
        <x:v>Public cash-home-buyer directory lists business name, phone and market. Directory entry may include brokers or service providers. Official website fetched; home-buying or investing activity stated.</x:v>
      </x:c>
      <x:c r="AB180" s="3" t="str">
        <x:v>New public-source collection</x:v>
      </x:c>
      <x:c r="AC180" s="3" t="str">
        <x:v>unverified</x:v>
      </x:c>
      <x:c r="AD180" s="3" t="str">
        <x:v>Not contacted / unconfirmed</x:v>
      </x:c>
      <x:c r="AE180" s="3" t="str">
        <x:v>Yes</x:v>
      </x:c>
      <x:c r="AF180" s="3" t="str">
        <x:v>No</x:v>
      </x:c>
      <x:c r="AG180" s="3"/>
      <x:c r="AH180" s="3"/>
      <x:c r="AI180" s="18"/>
      <x:c r="AJ180" s="3" t="str">
        <x:v>CF2500-F6D7283044F8</x:v>
      </x:c>
      <x:c r="AK180" s="3" t="str">
        <x:v>Property investor / home-buying operator prospect</x:v>
      </x:c>
      <x:c r="AL180" s="19" t="n">
        <x:v>100000</x:v>
      </x:c>
      <x:c r="AM180" s="19" t="n">
        <x:v>500000</x:v>
      </x:c>
      <x:c r="AN180" s="3" t="str">
        <x:v>https://www.cashhomebuyersdirectory.com/cash-home-buyers/north-carolina/greensboro</x:v>
      </x:c>
      <x:c r="AO180" s="3" t="str">
        <x:v>nc_il_az_co_investors.jsonl</x:v>
      </x:c>
      <x:c r="AP180" s="19"/>
    </x:row>
    <x:row r="181" ht="36" customHeight="1">
      <x:c r="A181" s="23" t="n">
        <x:v>180</x:v>
      </x:c>
      <x:c r="B181" s="15" t="str">
        <x:v>Bear Atlantic Group</x:v>
      </x:c>
      <x:c r="C181" s="15" t="str">
        <x:v>Kaven Jean-Charles</x:v>
      </x:c>
      <x:c r="D181" s="15" t="str">
        <x:v>Property investor / home-buying operator</x:v>
      </x:c>
      <x:c r="E181" s="15" t="str">
        <x:v>Property investor / operator inquiry</x:v>
      </x:c>
      <x:c r="F181" s="17" t="str">
        <x:v>New</x:v>
      </x:c>
      <x:c r="G181" s="24"/>
      <x:c r="H181" s="24"/>
      <x:c r="I181" s="24" t="str">
        <x:v>https://www.bearatlantic.com</x:v>
      </x:c>
      <x:c r="J181" s="16" t="str">
        <x:v>FL</x:v>
      </x:c>
      <x:c r="K181" s="16"/>
      <x:c r="L181" s="16" t="str">
        <x:v>Public property-business route; investor decision maker unconfirmed</x:v>
      </x:c>
      <x:c r="M181" s="16" t="str">
        <x:v>https://www.bearatlantic.com/contact-us/</x:v>
      </x:c>
      <x:c r="N181" s="16" t="str">
        <x:v>$100K-$500K ticket not published / unconfirmed</x:v>
      </x:c>
      <x:c r="O181" s="20"/>
      <x:c r="P181" s="20"/>
      <x:c r="Q181" s="25" t="str">
        <x:v>No $100K-$500K 101XVC operating-company ticket confirmed</x:v>
      </x:c>
      <x:c r="R181" s="25" t="str">
        <x:v>Property acquisition or investor activity makes this an operator-capital prospect for the signed trial. Confirm operating-company debt/equity appetite.</x:v>
      </x:c>
      <x:c r="S181" s="25" t="str">
        <x:v>Corporate-investment ticket and appetite unconfirmed. Property-buying activity alone does not establish fit for funding 101XVC trial operating costs.</x:v>
      </x:c>
      <x:c r="T181" s="25" t="str">
        <x:v>Ask the owner/investor whether they can allocate $100K-$500K to trial marketing and acquisitions, and confirm structure, timing and decision authority.</x:v>
      </x:c>
      <x:c r="U181" s="25" t="str">
        <x:v>https://flrechamber.com/members/bear-atlantic-group/
https://www.bearatlantic.com
https://www.bearatlantic.com/contact-us/</x:v>
      </x:c>
      <x:c r="V181" s="26" t="d">
        <x:v>2026-10-02T00:00:00.000Z</x:v>
      </x:c>
      <x:c r="W181" s="26" t="d">
        <x:v>2026-10-02T00:00:00.000Z</x:v>
      </x:c>
      <x:c r="X181" s="25" t="str">
        <x:v>Public investor directory; business role and contact ownership require qualification</x:v>
      </x:c>
      <x:c r="Y181" s="25"/>
      <x:c r="Z181" s="25" t="str">
        <x:v>https://flrechamber.com/members/bear-atlantic-group/</x:v>
      </x:c>
      <x:c r="AA181" s="25" t="str">
        <x:v>FREC publicly lists member: A South Florida development platform applying analytical rigor to workforce multifamily, hospitality and structured public-private opportunities. Official website fetched; home-buying or investing activity stated.</x:v>
      </x:c>
      <x:c r="AB181" s="3" t="str">
        <x:v>New public-source collection</x:v>
      </x:c>
      <x:c r="AC181" s="3" t="str">
        <x:v>unverified</x:v>
      </x:c>
      <x:c r="AD181" s="3" t="str">
        <x:v>Not contacted / unconfirmed</x:v>
      </x:c>
      <x:c r="AE181" s="3" t="str">
        <x:v>Yes</x:v>
      </x:c>
      <x:c r="AF181" s="3" t="str">
        <x:v>No</x:v>
      </x:c>
      <x:c r="AG181" s="3"/>
      <x:c r="AH181" s="3"/>
      <x:c r="AI181" s="18"/>
      <x:c r="AJ181" s="3" t="str">
        <x:v>CF2500-A4FA3DAA09DC</x:v>
      </x:c>
      <x:c r="AK181" s="3" t="str">
        <x:v>Real estate developer / strategic capital prospect</x:v>
      </x:c>
      <x:c r="AL181" s="19" t="n">
        <x:v>100000</x:v>
      </x:c>
      <x:c r="AM181" s="19" t="n">
        <x:v>500000</x:v>
      </x:c>
      <x:c r="AN181" s="3" t="str">
        <x:v>https://flrechamber.com/members/bear-atlantic-group/</x:v>
      </x:c>
      <x:c r="AO181" s="3" t="str">
        <x:v>fl_chamber_investors.jsonl</x:v>
      </x:c>
      <x:c r="AP181" s="19"/>
    </x:row>
    <x:row r="182" ht="36" customHeight="1">
      <x:c r="A182" s="23" t="n">
        <x:v>181</x:v>
      </x:c>
      <x:c r="B182" s="15" t="str">
        <x:v>The Peebles Corporation</x:v>
      </x:c>
      <x:c r="C182" s="15" t="str">
        <x:v>Donahue Peebles, III</x:v>
      </x:c>
      <x:c r="D182" s="15" t="str">
        <x:v>Property investor / home-buying operator</x:v>
      </x:c>
      <x:c r="E182" s="15" t="str">
        <x:v>Property investor / operator inquiry</x:v>
      </x:c>
      <x:c r="F182" s="17" t="str">
        <x:v>New</x:v>
      </x:c>
      <x:c r="G182" s="24"/>
      <x:c r="H182" s="24"/>
      <x:c r="I182" s="24" t="str">
        <x:v>https://peeblescorp.com/</x:v>
      </x:c>
      <x:c r="J182" s="16" t="str">
        <x:v>FL</x:v>
      </x:c>
      <x:c r="K182" s="16"/>
      <x:c r="L182" s="16" t="str">
        <x:v>Public property-business route; investor decision maker unconfirmed</x:v>
      </x:c>
      <x:c r="M182" s="16" t="str">
        <x:v>https://peeblescorp.com/contact</x:v>
      </x:c>
      <x:c r="N182" s="16" t="str">
        <x:v>$100K-$500K ticket not published / unconfirmed</x:v>
      </x:c>
      <x:c r="O182" s="20"/>
      <x:c r="P182" s="20"/>
      <x:c r="Q182" s="25" t="str">
        <x:v>No $100K-$500K 101XVC operating-company ticket confirmed</x:v>
      </x:c>
      <x:c r="R182" s="25" t="str">
        <x:v>Property acquisition or investor activity makes this an operator-capital prospect for the signed trial. Confirm operating-company debt/equity appetite.</x:v>
      </x:c>
      <x:c r="S182" s="25" t="str">
        <x:v>Corporate-investment ticket and appetite unconfirmed. Property-buying activity alone does not establish fit for funding 101XVC trial operating costs.</x:v>
      </x:c>
      <x:c r="T182" s="25" t="str">
        <x:v>Ask the owner/investor whether they can allocate $100K-$500K to trial marketing and acquisitions, and confirm structure, timing and decision authority.</x:v>
      </x:c>
      <x:c r="U182" s="25" t="str">
        <x:v>https://flrechamber.com/members/the-peebles-corporation/
https://peeblescorp.com/
https://peeblescorp.com/contact</x:v>
      </x:c>
      <x:c r="V182" s="26" t="d">
        <x:v>2026-10-02T00:00:00.000Z</x:v>
      </x:c>
      <x:c r="W182" s="26" t="d">
        <x:v>2026-10-02T00:00:00.000Z</x:v>
      </x:c>
      <x:c r="X182" s="25" t="str">
        <x:v>Public investor directory; business role and contact ownership require qualification</x:v>
      </x:c>
      <x:c r="Y182" s="25"/>
      <x:c r="Z182" s="25" t="str">
        <x:v>https://flrechamber.com/members/the-peebles-corporation/</x:v>
      </x:c>
      <x:c r="AA182" s="25" t="str">
        <x:v>FREC publicly lists member: The Peebles Corporation is a privately held national real estate investment and development company with real estate developers specializing in residential, hospitality, retail and mixed-use commercial properties. Official website fetched; home-buying or investing activity stated.</x:v>
      </x:c>
      <x:c r="AB182" s="3" t="str">
        <x:v>New public-source collection</x:v>
      </x:c>
      <x:c r="AC182" s="3" t="str">
        <x:v>unverified</x:v>
      </x:c>
      <x:c r="AD182" s="3" t="str">
        <x:v>Not contacted / unconfirmed</x:v>
      </x:c>
      <x:c r="AE182" s="3" t="str">
        <x:v>Yes</x:v>
      </x:c>
      <x:c r="AF182" s="3" t="str">
        <x:v>No</x:v>
      </x:c>
      <x:c r="AG182" s="3"/>
      <x:c r="AH182" s="3"/>
      <x:c r="AI182" s="18"/>
      <x:c r="AJ182" s="3" t="str">
        <x:v>CF2500-2415E95252FB</x:v>
      </x:c>
      <x:c r="AK182" s="3" t="str">
        <x:v>Real estate developer / strategic capital prospect</x:v>
      </x:c>
      <x:c r="AL182" s="19" t="n">
        <x:v>100000</x:v>
      </x:c>
      <x:c r="AM182" s="19" t="n">
        <x:v>500000</x:v>
      </x:c>
      <x:c r="AN182" s="3" t="str">
        <x:v>https://flrechamber.com/members/the-peebles-corporation/</x:v>
      </x:c>
      <x:c r="AO182" s="3" t="str">
        <x:v>fl_chamber_investors.jsonl</x:v>
      </x:c>
      <x:c r="AP182" s="19"/>
    </x:row>
    <x:row r="183" ht="36" customHeight="1">
      <x:c r="A183" s="23" t="n">
        <x:v>182</x:v>
      </x:c>
      <x:c r="B183" s="15" t="str">
        <x:v>UPVGM / United Partners</x:v>
      </x:c>
      <x:c r="C183" s="15" t="str">
        <x:v>Nyron Chin Sang</x:v>
      </x:c>
      <x:c r="D183" s="15" t="str">
        <x:v>Property investor / home-buying operator</x:v>
      </x:c>
      <x:c r="E183" s="15" t="str">
        <x:v>Property investor / operator inquiry</x:v>
      </x:c>
      <x:c r="F183" s="17" t="str">
        <x:v>New</x:v>
      </x:c>
      <x:c r="G183" s="24"/>
      <x:c r="H183" s="24"/>
      <x:c r="I183" s="24" t="str">
        <x:v>https://upvgm.com/</x:v>
      </x:c>
      <x:c r="J183" s="16" t="str">
        <x:v>FL</x:v>
      </x:c>
      <x:c r="K183" s="16"/>
      <x:c r="L183" s="16" t="str">
        <x:v>Public property-business route; investor decision maker unconfirmed</x:v>
      </x:c>
      <x:c r="M183" s="16" t="str">
        <x:v>https://upvgm.com/contact-us/</x:v>
      </x:c>
      <x:c r="N183" s="16" t="str">
        <x:v>$100K-$500K ticket not published / unconfirmed</x:v>
      </x:c>
      <x:c r="O183" s="20"/>
      <x:c r="P183" s="20"/>
      <x:c r="Q183" s="25" t="str">
        <x:v>No $100K-$500K 101XVC operating-company ticket confirmed</x:v>
      </x:c>
      <x:c r="R183" s="25" t="str">
        <x:v>Property acquisition or investor activity makes this an operator-capital prospect for the signed trial. Confirm operating-company debt/equity appetite.</x:v>
      </x:c>
      <x:c r="S183" s="25" t="str">
        <x:v>Corporate-investment ticket and appetite unconfirmed. Property-buying activity alone does not establish fit for funding 101XVC trial operating costs.</x:v>
      </x:c>
      <x:c r="T183" s="25" t="str">
        <x:v>Ask the owner/investor whether they can allocate $100K-$500K to trial marketing and acquisitions, and confirm structure, timing and decision authority.</x:v>
      </x:c>
      <x:c r="U183" s="25" t="str">
        <x:v>https://flrechamber.com/members/upvgm-united-partners/
https://upvgm.com/
https://upvgm.com/contact-us/</x:v>
      </x:c>
      <x:c r="V183" s="26" t="d">
        <x:v>2026-10-02T00:00:00.000Z</x:v>
      </x:c>
      <x:c r="W183" s="26" t="d">
        <x:v>2026-10-02T00:00:00.000Z</x:v>
      </x:c>
      <x:c r="X183" s="25" t="str">
        <x:v>Public investor directory; business role and contact ownership require qualification</x:v>
      </x:c>
      <x:c r="Y183" s="25"/>
      <x:c r="Z183" s="25" t="str">
        <x:v>https://flrechamber.com/members/upvgm-united-partners/</x:v>
      </x:c>
      <x:c r="AA183" s="25" t="str">
        <x:v>FREC publicly lists member: A real estate investment and asset-management platform with specialty experience in HAP-contract recapitalizations and value-add multifamily. Official website fetched; home-buying or investing activity stated.</x:v>
      </x:c>
      <x:c r="AB183" s="3" t="str">
        <x:v>New public-source collection</x:v>
      </x:c>
      <x:c r="AC183" s="3" t="str">
        <x:v>unverified</x:v>
      </x:c>
      <x:c r="AD183" s="3" t="str">
        <x:v>Not contacted / unconfirmed</x:v>
      </x:c>
      <x:c r="AE183" s="3" t="str">
        <x:v>Yes</x:v>
      </x:c>
      <x:c r="AF183" s="3" t="str">
        <x:v>No</x:v>
      </x:c>
      <x:c r="AG183" s="3"/>
      <x:c r="AH183" s="3"/>
      <x:c r="AI183" s="18"/>
      <x:c r="AJ183" s="3" t="str">
        <x:v>CF2500-AEBEFA47DAA6</x:v>
      </x:c>
      <x:c r="AK183" s="3" t="str">
        <x:v>Real estate developer / strategic capital prospect</x:v>
      </x:c>
      <x:c r="AL183" s="19" t="n">
        <x:v>100000</x:v>
      </x:c>
      <x:c r="AM183" s="19" t="n">
        <x:v>500000</x:v>
      </x:c>
      <x:c r="AN183" s="3" t="str">
        <x:v>https://flrechamber.com/members/upvgm-united-partners/</x:v>
      </x:c>
      <x:c r="AO183" s="3" t="str">
        <x:v>fl_chamber_investors.jsonl</x:v>
      </x:c>
      <x:c r="AP183" s="19"/>
    </x:row>
    <x:row r="184" ht="36" customHeight="1">
      <x:c r="A184" s="23" t="n">
        <x:v>183</x:v>
      </x:c>
      <x:c r="B184" s="15" t="str">
        <x:v>1912 CAPITAL</x:v>
      </x:c>
      <x:c r="C184" s="15"/>
      <x:c r="D184" s="15" t="str">
        <x:v>Property operator or real-estate investment company; finance willingness unconfirmed</x:v>
      </x:c>
      <x:c r="E184" s="15" t="str">
        <x:v>Property investor / operator inquiry</x:v>
      </x:c>
      <x:c r="F184" s="17" t="str">
        <x:v>New</x:v>
      </x:c>
      <x:c r="G184" s="24" t="str">
        <x:v>info@1912capital.com</x:v>
      </x:c>
      <x:c r="H184" s="24" t="str">
        <x:v>+16026101912</x:v>
      </x:c>
      <x:c r="I184" s="24" t="str">
        <x:v>https://1912capital.com/</x:v>
      </x:c>
      <x:c r="J184" s="16" t="str">
        <x:v>AZ</x:v>
      </x:c>
      <x:c r="K184" s="16" t="str">
        <x:v>Phoenix</x:v>
      </x:c>
      <x:c r="L184" s="16" t="str">
        <x:v>firm_business_routing</x:v>
      </x:c>
      <x:c r="M184" s="16" t="str">
        <x:v>https://1912capital.com/</x:v>
      </x:c>
      <x:c r="N184" s="16" t="str">
        <x:v>$100K-$500K ticket not published / unconfirmed</x:v>
      </x:c>
      <x:c r="O184" s="20"/>
      <x:c r="P184" s="20"/>
      <x:c r="Q184" s="25" t="str">
        <x:v>No direct corporate-capital range established in checked source</x:v>
      </x:c>
      <x:c r="R184" s="25" t="str">
        <x:v>Public directory listing; contact ownership, lender/broker role, present operations, deployable $500K cash and unsecured/equity appetite remain unverified. PHOENIX, AZ REAL ESTATE INVESTMENT LENDER we are real estate investors lending money to real estate investors.</x:v>
      </x:c>
      <x:c r="S184" s="25"/>
      <x:c r="T184" s="25" t="str">
        <x:v>Confirm $100K-$500K ticket, company-stage and sector eligibility, investment authority, available allocation and proposed terms.</x:v>
      </x:c>
      <x:c r="U184" s="25" t="str">
        <x:v>https://www.privatelendersdirectory.com/united-states/phoenix/top-level-category/1912-capital
https://1912capital.com/</x:v>
      </x:c>
      <x:c r="V184" s="26" t="d">
        <x:v>2026-10-02T00:00:00.000Z</x:v>
      </x:c>
      <x:c r="W184" s="26" t="d">
        <x:v>2026-09-30T00:00:00.000Z</x:v>
      </x:c>
      <x:c r="X184" s="25" t="str">
        <x:v>Saved public company, industry-directory or regulatory source; source date retained</x:v>
      </x:c>
      <x:c r="Y184" s="25" t="str">
        <x:v>https://1912capital.com/</x:v>
      </x:c>
      <x:c r="Z184" s="25" t="str">
        <x:v>https://1912capital.com/</x:v>
      </x:c>
      <x:c r="AA184" s="25" t="str">
        <x:v>[]</x:v>
      </x:c>
      <x:c r="AB184" s="3" t="str">
        <x:v>Existing CapitalForge research, newly screened for this campaign</x:v>
      </x:c>
      <x:c r="AC184" s="3" t="str">
        <x:v>unverified</x:v>
      </x:c>
      <x:c r="AD184" s="3" t="str">
        <x:v>Not contacted / unconfirmed</x:v>
      </x:c>
      <x:c r="AE184" s="3" t="str">
        <x:v>No</x:v>
      </x:c>
      <x:c r="AF184" s="3" t="str">
        <x:v>No</x:v>
      </x:c>
      <x:c r="AG184" s="3"/>
      <x:c r="AH184" s="3"/>
      <x:c r="AI184" s="18"/>
      <x:c r="AJ184" s="3" t="str">
        <x:v>CF2500-D99F7EE0E85B</x:v>
      </x:c>
      <x:c r="AK184" s="3" t="str">
        <x:v>private_real_estate_lender</x:v>
      </x:c>
      <x:c r="AL184" s="19" t="n">
        <x:v>100000</x:v>
      </x:c>
      <x:c r="AM184" s="19" t="n">
        <x:v>500000</x:v>
      </x:c>
      <x:c r="AN184" s="3" t="str">
        <x:v>https://www.privatelendersdirectory.com/united-states/phoenix/top-level-category/1912-capital</x:v>
      </x:c>
      <x:c r="AO184" s="3" t="str">
        <x:v>public_directory.jsonl</x:v>
      </x:c>
      <x:c r="AP184" s="19"/>
    </x:row>
    <x:row r="185" ht="36" customHeight="1">
      <x:c r="A185" s="23" t="n">
        <x:v>184</x:v>
      </x:c>
      <x:c r="B185" s="15" t="str">
        <x:v>CALIBER COMPANIES</x:v>
      </x:c>
      <x:c r="C185" s="15"/>
      <x:c r="D185" s="15" t="str">
        <x:v>Property operator or real-estate investment company; finance willingness unconfirmed</x:v>
      </x:c>
      <x:c r="E185" s="15" t="str">
        <x:v>Property investor / operator inquiry</x:v>
      </x:c>
      <x:c r="F185" s="17" t="str">
        <x:v>New</x:v>
      </x:c>
      <x:c r="G185" s="24" t="str">
        <x:v>invest@caliberco.com</x:v>
      </x:c>
      <x:c r="H185" s="24" t="str">
        <x:v>+14802957600</x:v>
      </x:c>
      <x:c r="I185" s="24" t="str">
        <x:v>https://www.caliberco.com/</x:v>
      </x:c>
      <x:c r="J185" s="16" t="str">
        <x:v>AZ</x:v>
      </x:c>
      <x:c r="K185" s="16" t="str">
        <x:v>Scottsdale</x:v>
      </x:c>
      <x:c r="L185" s="16" t="str">
        <x:v>firm_business_routing</x:v>
      </x:c>
      <x:c r="M185" s="16" t="str">
        <x:v>https://www.caliberco.com/</x:v>
      </x:c>
      <x:c r="N185" s="16" t="str">
        <x:v>$100K-$500K ticket not published / unconfirmed</x:v>
      </x:c>
      <x:c r="O185" s="20"/>
      <x:c r="P185" s="20"/>
      <x:c r="Q185" s="25" t="str">
        <x:v>No direct corporate-capital range established in checked source</x:v>
      </x:c>
      <x:c r="R185" s="25" t="str">
        <x:v>Public directory listing; contact ownership, lender/broker role, present operations, deployable $500K cash and unsecured/equity appetite remain unverified. SCOTTSDALE, AZ REAL ESTATE INVESTMENT LENDER Caliber is a PE Real Estate Investment Company located in Scottsdale, AZ</x:v>
      </x:c>
      <x:c r="S185" s="25"/>
      <x:c r="T185" s="25" t="str">
        <x:v>Confirm $100K-$500K ticket, company-stage and sector eligibility, investment authority, available allocation and proposed terms.</x:v>
      </x:c>
      <x:c r="U185" s="25" t="str">
        <x:v>https://www.privatelendersdirectory.com/united-states/scottsdale/real-estate-investment-lending/caliber-companies
https://www.caliberco.com/
https://www.caliberco.com/contact/</x:v>
      </x:c>
      <x:c r="V185" s="26" t="d">
        <x:v>2026-10-02T00:00:00.000Z</x:v>
      </x:c>
      <x:c r="W185" s="26" t="d">
        <x:v>2026-09-30T00:00:00.000Z</x:v>
      </x:c>
      <x:c r="X185" s="25" t="str">
        <x:v>Saved public company, industry-directory or regulatory source; source date retained</x:v>
      </x:c>
      <x:c r="Y185" s="25" t="str">
        <x:v>https://www.caliberco.com/contact/</x:v>
      </x:c>
      <x:c r="Z185" s="25" t="str">
        <x:v>https://www.caliberco.com/</x:v>
      </x:c>
      <x:c r="AA185" s="25" t="str">
        <x:v>[]</x:v>
      </x:c>
      <x:c r="AB185" s="3" t="str">
        <x:v>Existing CapitalForge research, newly screened for this campaign</x:v>
      </x:c>
      <x:c r="AC185" s="3" t="str">
        <x:v>unverified</x:v>
      </x:c>
      <x:c r="AD185" s="3" t="str">
        <x:v>Not contacted / unconfirmed</x:v>
      </x:c>
      <x:c r="AE185" s="3" t="str">
        <x:v>No</x:v>
      </x:c>
      <x:c r="AF185" s="3" t="str">
        <x:v>No</x:v>
      </x:c>
      <x:c r="AG185" s="3"/>
      <x:c r="AH185" s="3"/>
      <x:c r="AI185" s="18"/>
      <x:c r="AJ185" s="3" t="str">
        <x:v>CF2500-83860207064F</x:v>
      </x:c>
      <x:c r="AK185" s="3" t="str">
        <x:v>private_real_estate_lender</x:v>
      </x:c>
      <x:c r="AL185" s="19" t="n">
        <x:v>100000</x:v>
      </x:c>
      <x:c r="AM185" s="19" t="n">
        <x:v>500000</x:v>
      </x:c>
      <x:c r="AN185" s="3" t="str">
        <x:v>https://www.privatelendersdirectory.com/united-states/scottsdale/real-estate-investment-lending/caliber-companies</x:v>
      </x:c>
      <x:c r="AO185" s="3" t="str">
        <x:v>public_directory.jsonl</x:v>
      </x:c>
      <x:c r="AP185" s="19"/>
    </x:row>
    <x:row r="186" ht="36" customHeight="1">
      <x:c r="A186" s="23" t="n">
        <x:v>185</x:v>
      </x:c>
      <x:c r="B186" s="15" t="str">
        <x:v>CIRCLE CAPITAL PARTNERS</x:v>
      </x:c>
      <x:c r="C186" s="15"/>
      <x:c r="D186" s="15" t="str">
        <x:v>Property operator or real-estate investment company; finance willingness unconfirmed</x:v>
      </x:c>
      <x:c r="E186" s="15" t="str">
        <x:v>Property investor / operator inquiry</x:v>
      </x:c>
      <x:c r="F186" s="17" t="str">
        <x:v>New</x:v>
      </x:c>
      <x:c r="G186" s="24" t="str">
        <x:v>info@circlecapitalpartners.com</x:v>
      </x:c>
      <x:c r="H186" s="24" t="str">
        <x:v>+17865630373</x:v>
      </x:c>
      <x:c r="I186" s="24" t="str">
        <x:v>https://circlecapitalpartners.com/</x:v>
      </x:c>
      <x:c r="J186" s="16" t="str">
        <x:v>FL</x:v>
      </x:c>
      <x:c r="K186" s="16" t="str">
        <x:v>Miami</x:v>
      </x:c>
      <x:c r="L186" s="16" t="str">
        <x:v>firm_business_routing</x:v>
      </x:c>
      <x:c r="M186" s="16" t="str">
        <x:v>https://circlecapitalpartners.com/</x:v>
      </x:c>
      <x:c r="N186" s="16" t="str">
        <x:v>$100K-$500K ticket not published / unconfirmed</x:v>
      </x:c>
      <x:c r="O186" s="20"/>
      <x:c r="P186" s="20"/>
      <x:c r="Q186" s="25" t="str">
        <x:v>No direct corporate-capital range established in checked source</x:v>
      </x:c>
      <x:c r="R186" s="25" t="str">
        <x:v>Public directory listing; contact ownership, lender/broker role, present operations, deployable $500K cash and unsecured/equity appetite remain unverified. MIAMI, FL REAL ESTATE INVESTMENT LENDER Circle Capital Partners is a real estate investment company.</x:v>
      </x:c>
      <x:c r="S186" s="25"/>
      <x:c r="T186" s="25" t="str">
        <x:v>Confirm $100K-$500K ticket, company-stage and sector eligibility, investment authority, available allocation and proposed terms.</x:v>
      </x:c>
      <x:c r="U186" s="25" t="str">
        <x:v>https://www.privatelendersdirectory.com/united-states/miami/top-level-category/circle-capital-partners
https://circlecapitalpartners.com/</x:v>
      </x:c>
      <x:c r="V186" s="26" t="d">
        <x:v>2026-10-02T00:00:00.000Z</x:v>
      </x:c>
      <x:c r="W186" s="26" t="d">
        <x:v>2026-09-30T00:00:00.000Z</x:v>
      </x:c>
      <x:c r="X186" s="25" t="str">
        <x:v>Saved public company, industry-directory or regulatory source; source date retained</x:v>
      </x:c>
      <x:c r="Y186" s="25" t="str">
        <x:v>https://circlecapitalpartners.com/</x:v>
      </x:c>
      <x:c r="Z186" s="25" t="str">
        <x:v>https://circlecapitalpartners.com/</x:v>
      </x:c>
      <x:c r="AA186" s="25" t="str">
        <x:v>[]</x:v>
      </x:c>
      <x:c r="AB186" s="3" t="str">
        <x:v>Existing CapitalForge research, newly screened for this campaign</x:v>
      </x:c>
      <x:c r="AC186" s="3" t="str">
        <x:v>unverified</x:v>
      </x:c>
      <x:c r="AD186" s="3" t="str">
        <x:v>Not contacted / unconfirmed</x:v>
      </x:c>
      <x:c r="AE186" s="3" t="str">
        <x:v>No</x:v>
      </x:c>
      <x:c r="AF186" s="3" t="str">
        <x:v>No</x:v>
      </x:c>
      <x:c r="AG186" s="3"/>
      <x:c r="AH186" s="3"/>
      <x:c r="AI186" s="18"/>
      <x:c r="AJ186" s="3" t="str">
        <x:v>CF2500-7BAA0DF0720B</x:v>
      </x:c>
      <x:c r="AK186" s="3" t="str">
        <x:v>private_real_estate_lender</x:v>
      </x:c>
      <x:c r="AL186" s="19" t="n">
        <x:v>100000</x:v>
      </x:c>
      <x:c r="AM186" s="19" t="n">
        <x:v>500000</x:v>
      </x:c>
      <x:c r="AN186" s="3" t="str">
        <x:v>https://www.privatelendersdirectory.com/united-states/miami/top-level-category/circle-capital-partners</x:v>
      </x:c>
      <x:c r="AO186" s="3" t="str">
        <x:v>public_directory.jsonl</x:v>
      </x:c>
      <x:c r="AP186" s="19"/>
    </x:row>
    <x:row r="187" ht="36" customHeight="1">
      <x:c r="A187" s="23" t="n">
        <x:v>186</x:v>
      </x:c>
      <x:c r="B187" s="15" t="str">
        <x:v>DMAC CAPITAL</x:v>
      </x:c>
      <x:c r="C187" s="15"/>
      <x:c r="D187" s="15" t="str">
        <x:v>Property operator or real-estate investment company; finance willingness unconfirmed</x:v>
      </x:c>
      <x:c r="E187" s="15" t="str">
        <x:v>Property investor / operator inquiry</x:v>
      </x:c>
      <x:c r="F187" s="17" t="str">
        <x:v>New</x:v>
      </x:c>
      <x:c r="G187" s="24" t="str">
        <x:v>invest@dmaccapital.com</x:v>
      </x:c>
      <x:c r="H187" s="24" t="str">
        <x:v>+13465372811</x:v>
      </x:c>
      <x:c r="I187" s="24" t="str">
        <x:v>https://dmaccapital.com/</x:v>
      </x:c>
      <x:c r="J187" s="16" t="str">
        <x:v>TX</x:v>
      </x:c>
      <x:c r="K187" s="16" t="str">
        <x:v>Houston</x:v>
      </x:c>
      <x:c r="L187" s="16" t="str">
        <x:v>firm_business_routing</x:v>
      </x:c>
      <x:c r="M187" s="16" t="str">
        <x:v>https://dmaccapital.com/</x:v>
      </x:c>
      <x:c r="N187" s="16" t="str">
        <x:v>$100K-$500K ticket not published / unconfirmed</x:v>
      </x:c>
      <x:c r="O187" s="20"/>
      <x:c r="P187" s="20"/>
      <x:c r="Q187" s="25" t="str">
        <x:v>No direct corporate-capital range established in checked source</x:v>
      </x:c>
      <x:c r="R187" s="25" t="str">
        <x:v>Public directory listing; contact ownership, lender/broker role, present operations, deployable $500K cash and unsecured/equity appetite remain unverified. HOUSTON, TX PRIVATE LENDER DMAC Capital provides secure and transparent investments for real estate investors and borrowers.
Public directory listing. Lender/broker role, available cash, unsecured fulfillment eligibility and equity willingness need direct confirmation. Directory description: HOUSTON, TX REAL ESTATE INVESTMENT LENDER Real Estate Investment Company where our investors and partners are priority.</x:v>
      </x:c>
      <x:c r="S187" s="25"/>
      <x:c r="T187" s="25" t="str">
        <x:v>Confirm $100K-$500K ticket, company-stage and sector eligibility, investment authority, available allocation and proposed terms.</x:v>
      </x:c>
      <x:c r="U187" s="25" t="str">
        <x:v>https://www.privatelendersdirectory.com/united-states/houston/top-level-category/dmac-capital
https://dmaccapital.com/contact
https://www.privatelendersdirectory.com/united-states/houston/real-estate-investment-lending/dmac-capital-funding</x:v>
      </x:c>
      <x:c r="V187" s="26" t="d">
        <x:v>2026-10-02T00:00:00.000Z</x:v>
      </x:c>
      <x:c r="W187" s="26" t="d">
        <x:v>2026-09-30T00:00:00.000Z</x:v>
      </x:c>
      <x:c r="X187" s="25" t="str">
        <x:v>Saved public company, industry-directory or regulatory source; source date retained</x:v>
      </x:c>
      <x:c r="Y187" s="25" t="str">
        <x:v>https://dmaccapital.com/contact</x:v>
      </x:c>
      <x:c r="Z187" s="25" t="str">
        <x:v>https://dmaccapital.com/contact</x:v>
      </x:c>
      <x:c r="AA187" s="25" t="str">
        <x:v>[]</x:v>
      </x:c>
      <x:c r="AB187" s="3" t="str">
        <x:v>Existing CapitalForge research, newly screened for this campaign</x:v>
      </x:c>
      <x:c r="AC187" s="3" t="str">
        <x:v>unverified</x:v>
      </x:c>
      <x:c r="AD187" s="3" t="str">
        <x:v>Not contacted / unconfirmed</x:v>
      </x:c>
      <x:c r="AE187" s="3" t="str">
        <x:v>No</x:v>
      </x:c>
      <x:c r="AF187" s="3" t="str">
        <x:v>No</x:v>
      </x:c>
      <x:c r="AG187" s="3"/>
      <x:c r="AH187" s="3"/>
      <x:c r="AI187" s="18"/>
      <x:c r="AJ187" s="3" t="str">
        <x:v>CF2500-990CD4CE312B</x:v>
      </x:c>
      <x:c r="AK187" s="3" t="str">
        <x:v>private_real_estate_lender</x:v>
      </x:c>
      <x:c r="AL187" s="19" t="n">
        <x:v>100000</x:v>
      </x:c>
      <x:c r="AM187" s="19" t="n">
        <x:v>500000</x:v>
      </x:c>
      <x:c r="AN187" s="3" t="str">
        <x:v>https://www.privatelendersdirectory.com/united-states/houston/top-level-category/dmac-capital</x:v>
      </x:c>
      <x:c r="AO187" s="3" t="str">
        <x:v>public_directory.jsonl</x:v>
      </x:c>
      <x:c r="AP187" s="19"/>
    </x:row>
    <x:row r="188" ht="36" customHeight="1">
      <x:c r="A188" s="23" t="n">
        <x:v>187</x:v>
      </x:c>
      <x:c r="B188" s="15" t="str">
        <x:v>365 Property Buyers of San Antonio</x:v>
      </x:c>
      <x:c r="C188" s="15"/>
      <x:c r="D188" s="15" t="str">
        <x:v>Property investor / home-buying operator</x:v>
      </x:c>
      <x:c r="E188" s="15" t="str">
        <x:v>Property investor / operator inquiry</x:v>
      </x:c>
      <x:c r="F188" s="17" t="str">
        <x:v>New</x:v>
      </x:c>
      <x:c r="G188" s="24"/>
      <x:c r="H188" s="24" t="str">
        <x:v>+12109343650</x:v>
      </x:c>
      <x:c r="I188" s="24" t="str">
        <x:v>https://www.365propertybuyers.com/sell-my-house-fast-san-antonio-texas/</x:v>
      </x:c>
      <x:c r="J188" s="16" t="str">
        <x:v>TX</x:v>
      </x:c>
      <x:c r="K188" s="16" t="str">
        <x:v>San Antonio</x:v>
      </x:c>
      <x:c r="L188" s="16" t="str">
        <x:v>Public property-business route; investor decision maker unconfirmed</x:v>
      </x:c>
      <x:c r="M188" s="16" t="str">
        <x:v>https://www.365propertybuyers.com/sell-my-house-fast-san-antonio-texas/</x:v>
      </x:c>
      <x:c r="N188" s="16" t="str">
        <x:v>$100K-$500K ticket not published / unconfirmed</x:v>
      </x:c>
      <x:c r="O188" s="20"/>
      <x:c r="P188" s="20"/>
      <x:c r="Q188" s="25" t="str">
        <x:v>No $100K-$500K corporate-investment ticket published in checked source</x:v>
      </x:c>
      <x:c r="R188" s="25" t="str">
        <x:v>Property acquisition or investor activity makes this an operator-capital prospect for the signed trial. Confirm operating-company debt/equity appetite.</x:v>
      </x:c>
      <x:c r="S188" s="25" t="str">
        <x:v>Home-buying activity does not verify ability or willingness to invest $100K-$500K into 101XVC operating company. Website and contact verification pending.</x:v>
      </x:c>
      <x:c r="T188" s="25" t="str">
        <x:v>Ask the owner/investor whether they can allocate $100K-$500K to trial marketing and acquisitions, and confirm structure, timing and decision authority.</x:v>
      </x:c>
      <x:c r="U188" s="25" t="str">
        <x:v>https://www.cashhomebuyersdirectory.com/cash-home-buyers/texas/san-antonio</x:v>
      </x:c>
      <x:c r="V188" s="26" t="d">
        <x:v>2026-10-02T00:00:00.000Z</x:v>
      </x:c>
      <x:c r="W188" s="26" t="d">
        <x:v>2026-10-03T00:00:00.000Z</x:v>
      </x:c>
      <x:c r="X188" s="25" t="str">
        <x:v>Public investor directory; business role and contact ownership require qualification</x:v>
      </x:c>
      <x:c r="Y188" s="25"/>
      <x:c r="Z188" s="25" t="str">
        <x:v>https://www.cashhomebuyersdirectory.com/cash-home-buyers/texas/san-antonio</x:v>
      </x:c>
      <x:c r="AA188" s="25" t="str">
        <x:v>Public cash-home-buyer directory lists business name, phone and market. Directory entry may include brokers or service providers.</x:v>
      </x:c>
      <x:c r="AB188" s="3" t="str">
        <x:v>New public-source collection</x:v>
      </x:c>
      <x:c r="AC188" s="3" t="str">
        <x:v>unverified</x:v>
      </x:c>
      <x:c r="AD188" s="3" t="str">
        <x:v>Not contacted / unconfirmed</x:v>
      </x:c>
      <x:c r="AE188" s="3" t="str">
        <x:v>No</x:v>
      </x:c>
      <x:c r="AF188" s="3" t="str">
        <x:v>No</x:v>
      </x:c>
      <x:c r="AG188" s="3"/>
      <x:c r="AH188" s="3"/>
      <x:c r="AI188" s="18"/>
      <x:c r="AJ188" s="3" t="str">
        <x:v>CF2500-A43066EC355B</x:v>
      </x:c>
      <x:c r="AK188" s="3" t="str">
        <x:v>Property investor / home-buying operator prospect</x:v>
      </x:c>
      <x:c r="AL188" s="19" t="n">
        <x:v>100000</x:v>
      </x:c>
      <x:c r="AM188" s="19" t="n">
        <x:v>500000</x:v>
      </x:c>
      <x:c r="AN188" s="3" t="str">
        <x:v>https://www.cashhomebuyersdirectory.com/cash-home-buyers/texas/san-antonio</x:v>
      </x:c>
      <x:c r="AO188" s="3" t="str">
        <x:v>tx_fl_investors.jsonl</x:v>
      </x:c>
      <x:c r="AP188" s="19"/>
    </x:row>
    <x:row r="189" ht="36" customHeight="1">
      <x:c r="A189" s="23" t="n">
        <x:v>188</x:v>
      </x:c>
      <x:c r="B189" s="15" t="str">
        <x:v>919 Home Buyers</x:v>
      </x:c>
      <x:c r="C189" s="15"/>
      <x:c r="D189" s="15" t="str">
        <x:v>Property investor / home-buying operator</x:v>
      </x:c>
      <x:c r="E189" s="15" t="str">
        <x:v>Property investor / operator inquiry</x:v>
      </x:c>
      <x:c r="F189" s="17" t="str">
        <x:v>New</x:v>
      </x:c>
      <x:c r="G189" s="24"/>
      <x:c r="H189" s="24" t="str">
        <x:v>+19196704766</x:v>
      </x:c>
      <x:c r="I189" s="24" t="str">
        <x:v>https://www.919homebuyers.com/</x:v>
      </x:c>
      <x:c r="J189" s="16" t="str">
        <x:v>NC</x:v>
      </x:c>
      <x:c r="K189" s="16" t="str">
        <x:v>Raleigh</x:v>
      </x:c>
      <x:c r="L189" s="16" t="str">
        <x:v>Public property-business route; investor decision maker unconfirmed</x:v>
      </x:c>
      <x:c r="M189" s="16" t="str">
        <x:v>https://www.919homebuyers.com/</x:v>
      </x:c>
      <x:c r="N189" s="16" t="str">
        <x:v>$100K-$500K ticket not published / unconfirmed</x:v>
      </x:c>
      <x:c r="O189" s="20"/>
      <x:c r="P189" s="20"/>
      <x:c r="Q189" s="25" t="str">
        <x:v>No $100K-$500K operating-company investment ticket verified</x:v>
      </x:c>
      <x:c r="R189" s="25" t="str">
        <x:v>Property acquisition or investor activity makes this an operator-capital prospect for the signed trial. Confirm operating-company debt/equity appetite.</x:v>
      </x:c>
      <x:c r="S189" s="25" t="str">
        <x:v>Public property-buying activity or a directory listing does not establish available cash, investing decision-maker, current $100K-$500K capacity, or willingness to fund 101XVC operating costs.</x:v>
      </x:c>
      <x:c r="T189" s="25" t="str">
        <x:v>Ask the owner/investor whether they can allocate $100K-$500K to trial marketing and acquisitions, and confirm structure, timing and decision authority.</x:v>
      </x:c>
      <x:c r="U189" s="25" t="str">
        <x:v>https://www.cashhomebuyersdirectory.com/cash-home-buyers/north-carolina/raleigh</x:v>
      </x:c>
      <x:c r="V189" s="26" t="d">
        <x:v>2026-10-02T00:00:00.000Z</x:v>
      </x:c>
      <x:c r="W189" s="26" t="d">
        <x:v>2026-10-02T00:00:00.000Z</x:v>
      </x:c>
      <x:c r="X189" s="25" t="str">
        <x:v>Public investor directory; business role and contact ownership require qualification</x:v>
      </x:c>
      <x:c r="Y189" s="25"/>
      <x:c r="Z189" s="25" t="str">
        <x:v>https://www.cashhomebuyersdirectory.com/cash-home-buyers/north-carolina/raleigh</x:v>
      </x:c>
      <x:c r="AA189" s="25" t="str">
        <x:v>Public cash-home-buyer directory lists business name, phone and market. Directory entry may include brokers or service providers.</x:v>
      </x:c>
      <x:c r="AB189" s="3" t="str">
        <x:v>New public-source collection</x:v>
      </x:c>
      <x:c r="AC189" s="3" t="str">
        <x:v>unverified</x:v>
      </x:c>
      <x:c r="AD189" s="3" t="str">
        <x:v>Not contacted / unconfirmed</x:v>
      </x:c>
      <x:c r="AE189" s="3" t="str">
        <x:v>No</x:v>
      </x:c>
      <x:c r="AF189" s="3" t="str">
        <x:v>No</x:v>
      </x:c>
      <x:c r="AG189" s="3"/>
      <x:c r="AH189" s="3"/>
      <x:c r="AI189" s="18"/>
      <x:c r="AJ189" s="3" t="str">
        <x:v>CF2500-32A075421A9E</x:v>
      </x:c>
      <x:c r="AK189" s="3" t="str">
        <x:v>Property investor / home-buying operator prospect</x:v>
      </x:c>
      <x:c r="AL189" s="19" t="n">
        <x:v>100000</x:v>
      </x:c>
      <x:c r="AM189" s="19" t="n">
        <x:v>500000</x:v>
      </x:c>
      <x:c r="AN189" s="3" t="str">
        <x:v>https://www.cashhomebuyersdirectory.com/cash-home-buyers/north-carolina/raleigh</x:v>
      </x:c>
      <x:c r="AO189" s="3" t="str">
        <x:v>nc_il_az_co_investors.jsonl</x:v>
      </x:c>
      <x:c r="AP189" s="19"/>
    </x:row>
    <x:row r="190" ht="36" customHeight="1">
      <x:c r="A190" s="23" t="n">
        <x:v>189</x:v>
      </x:c>
      <x:c r="B190" s="15" t="str">
        <x:v>A Fresh Start Home Buyers</x:v>
      </x:c>
      <x:c r="C190" s="15"/>
      <x:c r="D190" s="15" t="str">
        <x:v>Property investor / home-buying operator</x:v>
      </x:c>
      <x:c r="E190" s="15" t="str">
        <x:v>Property investor / operator inquiry</x:v>
      </x:c>
      <x:c r="F190" s="17" t="str">
        <x:v>New</x:v>
      </x:c>
      <x:c r="G190" s="24"/>
      <x:c r="H190" s="24" t="str">
        <x:v>+13366011666</x:v>
      </x:c>
      <x:c r="I190" s="24" t="str">
        <x:v>http://afreshstarthomebuyers.com/</x:v>
      </x:c>
      <x:c r="J190" s="16" t="str">
        <x:v>NC</x:v>
      </x:c>
      <x:c r="K190" s="16" t="str">
        <x:v>Charlotte</x:v>
      </x:c>
      <x:c r="L190" s="16" t="str">
        <x:v>Public property-business route; investor decision maker unconfirmed</x:v>
      </x:c>
      <x:c r="M190" s="16" t="str">
        <x:v>http://afreshstarthomebuyers.com/</x:v>
      </x:c>
      <x:c r="N190" s="16" t="str">
        <x:v>$100K-$500K ticket not published / unconfirmed</x:v>
      </x:c>
      <x:c r="O190" s="20"/>
      <x:c r="P190" s="20"/>
      <x:c r="Q190" s="25" t="str">
        <x:v>No $100K-$500K operating-company investment ticket verified</x:v>
      </x:c>
      <x:c r="R190" s="25" t="str">
        <x:v>Property acquisition or investor activity makes this an operator-capital prospect for the signed trial. Confirm operating-company debt/equity appetite.</x:v>
      </x:c>
      <x:c r="S190" s="25" t="str">
        <x:v>Public property-buying activity or a directory listing does not establish available cash, investing decision-maker, current $100K-$500K capacity, or willingness to fund 101XVC operating costs.</x:v>
      </x:c>
      <x:c r="T190" s="25" t="str">
        <x:v>Ask the owner/investor whether they can allocate $100K-$500K to trial marketing and acquisitions, and confirm structure, timing and decision authority.</x:v>
      </x:c>
      <x:c r="U190" s="25" t="str">
        <x:v>https://www.cashhomebuyersdirectory.com/cash-home-buyers/north-carolina/charlotte</x:v>
      </x:c>
      <x:c r="V190" s="26" t="d">
        <x:v>2026-10-02T00:00:00.000Z</x:v>
      </x:c>
      <x:c r="W190" s="26" t="d">
        <x:v>2026-10-02T00:00:00.000Z</x:v>
      </x:c>
      <x:c r="X190" s="25" t="str">
        <x:v>Public investor directory; business role and contact ownership require qualification</x:v>
      </x:c>
      <x:c r="Y190" s="25"/>
      <x:c r="Z190" s="25" t="str">
        <x:v>https://www.cashhomebuyersdirectory.com/cash-home-buyers/north-carolina/charlotte</x:v>
      </x:c>
      <x:c r="AA190" s="25" t="str">
        <x:v>Public cash-home-buyer directory lists business name, phone and market. Directory entry may include brokers or service providers.</x:v>
      </x:c>
      <x:c r="AB190" s="3" t="str">
        <x:v>New public-source collection</x:v>
      </x:c>
      <x:c r="AC190" s="3" t="str">
        <x:v>unverified</x:v>
      </x:c>
      <x:c r="AD190" s="3" t="str">
        <x:v>Not contacted / unconfirmed</x:v>
      </x:c>
      <x:c r="AE190" s="3" t="str">
        <x:v>No</x:v>
      </x:c>
      <x:c r="AF190" s="3" t="str">
        <x:v>No</x:v>
      </x:c>
      <x:c r="AG190" s="3"/>
      <x:c r="AH190" s="3"/>
      <x:c r="AI190" s="18"/>
      <x:c r="AJ190" s="3" t="str">
        <x:v>CF2500-3C516FFC12E5</x:v>
      </x:c>
      <x:c r="AK190" s="3" t="str">
        <x:v>Property investor / home-buying operator prospect</x:v>
      </x:c>
      <x:c r="AL190" s="19" t="n">
        <x:v>100000</x:v>
      </x:c>
      <x:c r="AM190" s="19" t="n">
        <x:v>500000</x:v>
      </x:c>
      <x:c r="AN190" s="3" t="str">
        <x:v>https://www.cashhomebuyersdirectory.com/cash-home-buyers/north-carolina/charlotte</x:v>
      </x:c>
      <x:c r="AO190" s="3" t="str">
        <x:v>nc_il_az_co_investors.jsonl</x:v>
      </x:c>
      <x:c r="AP190" s="19"/>
    </x:row>
    <x:row r="191" ht="36" customHeight="1">
      <x:c r="A191" s="23" t="n">
        <x:v>190</x:v>
      </x:c>
      <x:c r="B191" s="15" t="str">
        <x:v>AN We Buy Houses</x:v>
      </x:c>
      <x:c r="C191" s="15"/>
      <x:c r="D191" s="15" t="str">
        <x:v>Property investor / home-buying operator</x:v>
      </x:c>
      <x:c r="E191" s="15" t="str">
        <x:v>Property investor / operator inquiry</x:v>
      </x:c>
      <x:c r="F191" s="17" t="str">
        <x:v>New</x:v>
      </x:c>
      <x:c r="G191" s="24"/>
      <x:c r="H191" s="24" t="str">
        <x:v>+12249001736</x:v>
      </x:c>
      <x:c r="I191" s="24" t="str">
        <x:v>https://webuyhouseswheeling.com/</x:v>
      </x:c>
      <x:c r="J191" s="16" t="str">
        <x:v>IL</x:v>
      </x:c>
      <x:c r="K191" s="16" t="str">
        <x:v>Wheeling</x:v>
      </x:c>
      <x:c r="L191" s="16" t="str">
        <x:v>Public property-business route; investor decision maker unconfirmed</x:v>
      </x:c>
      <x:c r="M191" s="16" t="str">
        <x:v>https://webuyhouseswheeling.com/</x:v>
      </x:c>
      <x:c r="N191" s="16" t="str">
        <x:v>$100K-$500K ticket not published / unconfirmed</x:v>
      </x:c>
      <x:c r="O191" s="20"/>
      <x:c r="P191" s="20"/>
      <x:c r="Q191" s="25" t="str">
        <x:v>No $100K-$500K operating-company investment ticket verified</x:v>
      </x:c>
      <x:c r="R191" s="25" t="str">
        <x:v>Property acquisition or investor activity makes this an operator-capital prospect for the signed trial. Confirm operating-company debt/equity appetite.</x:v>
      </x:c>
      <x:c r="S191" s="25" t="str">
        <x:v>Public property-buying activity or a directory listing does not establish available cash, investing decision-maker, current $100K-$500K capacity, or willingness to fund 101XVC operating costs.</x:v>
      </x:c>
      <x:c r="T191" s="25" t="str">
        <x:v>Ask the owner/investor whether they can allocate $100K-$500K to trial marketing and acquisitions, and confirm structure, timing and decision authority.</x:v>
      </x:c>
      <x:c r="U191" s="25" t="str">
        <x:v>https://www.cashhomebuyersdirectory.com/cash-home-buyers/illinois/wheeling</x:v>
      </x:c>
      <x:c r="V191" s="26" t="d">
        <x:v>2026-10-02T00:00:00.000Z</x:v>
      </x:c>
      <x:c r="W191" s="26" t="d">
        <x:v>2026-10-02T00:00:00.000Z</x:v>
      </x:c>
      <x:c r="X191" s="25" t="str">
        <x:v>Public investor directory; business role and contact ownership require qualification</x:v>
      </x:c>
      <x:c r="Y191" s="25"/>
      <x:c r="Z191" s="25" t="str">
        <x:v>https://www.cashhomebuyersdirectory.com/cash-home-buyers/illinois/wheeling</x:v>
      </x:c>
      <x:c r="AA191" s="25" t="str">
        <x:v>Public cash-home-buyer directory lists business name, phone and market. Directory entry may include brokers or service providers.</x:v>
      </x:c>
      <x:c r="AB191" s="3" t="str">
        <x:v>New public-source collection</x:v>
      </x:c>
      <x:c r="AC191" s="3" t="str">
        <x:v>unverified</x:v>
      </x:c>
      <x:c r="AD191" s="3" t="str">
        <x:v>Not contacted / unconfirmed</x:v>
      </x:c>
      <x:c r="AE191" s="3" t="str">
        <x:v>No</x:v>
      </x:c>
      <x:c r="AF191" s="3" t="str">
        <x:v>No</x:v>
      </x:c>
      <x:c r="AG191" s="3"/>
      <x:c r="AH191" s="3"/>
      <x:c r="AI191" s="18"/>
      <x:c r="AJ191" s="3" t="str">
        <x:v>CF2500-C44CD48848D3</x:v>
      </x:c>
      <x:c r="AK191" s="3" t="str">
        <x:v>Property investor / home-buying operator prospect</x:v>
      </x:c>
      <x:c r="AL191" s="19" t="n">
        <x:v>100000</x:v>
      </x:c>
      <x:c r="AM191" s="19" t="n">
        <x:v>500000</x:v>
      </x:c>
      <x:c r="AN191" s="3" t="str">
        <x:v>https://www.cashhomebuyersdirectory.com/cash-home-buyers/illinois/wheeling</x:v>
      </x:c>
      <x:c r="AO191" s="3" t="str">
        <x:v>nc_il_az_co_investors.jsonl</x:v>
      </x:c>
      <x:c r="AP191" s="19"/>
    </x:row>
    <x:row r="192" ht="36" customHeight="1">
      <x:c r="A192" s="23" t="n">
        <x:v>191</x:v>
      </x:c>
      <x:c r="B192" s="15" t="str">
        <x:v>Arizona Mobile Home Buyer | We Buy Mobile Homes</x:v>
      </x:c>
      <x:c r="C192" s="15"/>
      <x:c r="D192" s="15" t="str">
        <x:v>Property investor / home-buying operator</x:v>
      </x:c>
      <x:c r="E192" s="15" t="str">
        <x:v>Property investor / operator inquiry</x:v>
      </x:c>
      <x:c r="F192" s="17" t="str">
        <x:v>New</x:v>
      </x:c>
      <x:c r="G192" s="24"/>
      <x:c r="H192" s="24" t="str">
        <x:v>+14805319002</x:v>
      </x:c>
      <x:c r="I192" s="24" t="str">
        <x:v>http://azmobilehomebuyer.com/</x:v>
      </x:c>
      <x:c r="J192" s="16" t="str">
        <x:v>AZ</x:v>
      </x:c>
      <x:c r="K192" s="16" t="str">
        <x:v>Phoenix</x:v>
      </x:c>
      <x:c r="L192" s="16" t="str">
        <x:v>Public property-business route; investor decision maker unconfirmed</x:v>
      </x:c>
      <x:c r="M192" s="16" t="str">
        <x:v>http://azmobilehomebuyer.com/</x:v>
      </x:c>
      <x:c r="N192" s="16" t="str">
        <x:v>$100K-$500K ticket not published / unconfirmed</x:v>
      </x:c>
      <x:c r="O192" s="20"/>
      <x:c r="P192" s="20"/>
      <x:c r="Q192" s="25" t="str">
        <x:v>No $100K-$500K operating-company investment ticket verified</x:v>
      </x:c>
      <x:c r="R192" s="25" t="str">
        <x:v>Property acquisition or investor activity makes this an operator-capital prospect for the signed trial. Confirm operating-company debt/equity appetite.</x:v>
      </x:c>
      <x:c r="S192" s="25" t="str">
        <x:v>Public property-buying activity or a directory listing does not establish available cash, investing decision-maker, current $100K-$500K capacity, or willingness to fund 101XVC operating costs.</x:v>
      </x:c>
      <x:c r="T192" s="25" t="str">
        <x:v>Ask the owner/investor whether they can allocate $100K-$500K to trial marketing and acquisitions, and confirm structure, timing and decision authority.</x:v>
      </x:c>
      <x:c r="U192" s="25" t="str">
        <x:v>https://www.cashhomebuyersdirectory.com/cash-home-buyers/arizona/phoenix</x:v>
      </x:c>
      <x:c r="V192" s="26" t="d">
        <x:v>2026-10-02T00:00:00.000Z</x:v>
      </x:c>
      <x:c r="W192" s="26" t="d">
        <x:v>2026-10-02T00:00:00.000Z</x:v>
      </x:c>
      <x:c r="X192" s="25" t="str">
        <x:v>Public investor directory; business role and contact ownership require qualification</x:v>
      </x:c>
      <x:c r="Y192" s="25"/>
      <x:c r="Z192" s="25" t="str">
        <x:v>https://www.cashhomebuyersdirectory.com/cash-home-buyers/arizona/phoenix</x:v>
      </x:c>
      <x:c r="AA192" s="25" t="str">
        <x:v>Public cash-home-buyer directory lists business name, phone and market. Directory entry may include brokers or service providers.</x:v>
      </x:c>
      <x:c r="AB192" s="3" t="str">
        <x:v>New public-source collection</x:v>
      </x:c>
      <x:c r="AC192" s="3" t="str">
        <x:v>unverified</x:v>
      </x:c>
      <x:c r="AD192" s="3" t="str">
        <x:v>Not contacted / unconfirmed</x:v>
      </x:c>
      <x:c r="AE192" s="3" t="str">
        <x:v>No</x:v>
      </x:c>
      <x:c r="AF192" s="3" t="str">
        <x:v>No</x:v>
      </x:c>
      <x:c r="AG192" s="3"/>
      <x:c r="AH192" s="3"/>
      <x:c r="AI192" s="18"/>
      <x:c r="AJ192" s="3" t="str">
        <x:v>CF2500-67A6E3DBC9C0</x:v>
      </x:c>
      <x:c r="AK192" s="3" t="str">
        <x:v>Property investor / home-buying operator prospect</x:v>
      </x:c>
      <x:c r="AL192" s="19" t="n">
        <x:v>100000</x:v>
      </x:c>
      <x:c r="AM192" s="19" t="n">
        <x:v>500000</x:v>
      </x:c>
      <x:c r="AN192" s="3" t="str">
        <x:v>https://www.cashhomebuyersdirectory.com/cash-home-buyers/arizona/phoenix</x:v>
      </x:c>
      <x:c r="AO192" s="3" t="str">
        <x:v>nc_il_az_co_investors.jsonl</x:v>
      </x:c>
      <x:c r="AP192" s="19"/>
    </x:row>
    <x:row r="193" ht="36" customHeight="1">
      <x:c r="A193" s="23" t="n">
        <x:v>192</x:v>
      </x:c>
      <x:c r="B193" s="15" t="str">
        <x:v>Atlantic Breeze House Buyers</x:v>
      </x:c>
      <x:c r="C193" s="15"/>
      <x:c r="D193" s="15" t="str">
        <x:v>Property investor / home-buying operator</x:v>
      </x:c>
      <x:c r="E193" s="15" t="str">
        <x:v>Property investor / operator inquiry</x:v>
      </x:c>
      <x:c r="F193" s="17" t="str">
        <x:v>New</x:v>
      </x:c>
      <x:c r="G193" s="24"/>
      <x:c r="H193" s="24" t="str">
        <x:v>+17722588737</x:v>
      </x:c>
      <x:c r="I193" s="24" t="str">
        <x:v>https://www.wehandleithomebuyers.com/cities/atlantic-breeze-house-buyers-port-st-lucie-fl.html</x:v>
      </x:c>
      <x:c r="J193" s="16" t="str">
        <x:v>FL</x:v>
      </x:c>
      <x:c r="K193" s="16" t="str">
        <x:v>Port St. Lucie</x:v>
      </x:c>
      <x:c r="L193" s="16" t="str">
        <x:v>Public property-business route; investor decision maker unconfirmed</x:v>
      </x:c>
      <x:c r="M193" s="16" t="str">
        <x:v>https://www.wehandleithomebuyers.com/cities/atlantic-breeze-house-buyers-port-st-lucie-fl.html</x:v>
      </x:c>
      <x:c r="N193" s="16" t="str">
        <x:v>$100K-$500K ticket not published / unconfirmed</x:v>
      </x:c>
      <x:c r="O193" s="20"/>
      <x:c r="P193" s="20"/>
      <x:c r="Q193" s="25" t="str">
        <x:v>No $100K-$500K corporate-investment ticket published in checked source</x:v>
      </x:c>
      <x:c r="R193" s="25" t="str">
        <x:v>Property acquisition or investor activity makes this an operator-capital prospect for the signed trial. Confirm operating-company debt/equity appetite.</x:v>
      </x:c>
      <x:c r="S193" s="25" t="str">
        <x:v>Home-buying activity does not verify ability or willingness to invest $100K-$500K into 101XVC operating company. Website and contact verification pending.</x:v>
      </x:c>
      <x:c r="T193" s="25" t="str">
        <x:v>Ask the owner/investor whether they can allocate $100K-$500K to trial marketing and acquisitions, and confirm structure, timing and decision authority.</x:v>
      </x:c>
      <x:c r="U193" s="25" t="str">
        <x:v>https://www.cashhomebuyersdirectory.com/cash-home-buyers/florida/port-st-lucie
https://www.cashhomebuyersdirectory.com/cash-home-buyers/georgia/columbus
https://www.cashhomebuyersdirectory.com/cash-home-buyers/tennessee/clarksville
https://www.cashhomebuyersdirectory.com/cash-home-buyers/alabama/tuscaloosa</x:v>
      </x:c>
      <x:c r="V193" s="26" t="d">
        <x:v>2026-10-02T00:00:00.000Z</x:v>
      </x:c>
      <x:c r="W193" s="26" t="d">
        <x:v>2026-10-03T00:00:00.000Z</x:v>
      </x:c>
      <x:c r="X193" s="25" t="str">
        <x:v>Public investor directory; business role and contact ownership require qualification</x:v>
      </x:c>
      <x:c r="Y193" s="25"/>
      <x:c r="Z193" s="25" t="str">
        <x:v>https://www.cashhomebuyersdirectory.com/cash-home-buyers/florida/port-st-lucie</x:v>
      </x:c>
      <x:c r="AA193" s="25" t="str">
        <x:v>Public cash-home-buyer directory lists business name, phone and market. Directory entry may include brokers or service providers.</x:v>
      </x:c>
      <x:c r="AB193" s="3" t="str">
        <x:v>New public-source collection</x:v>
      </x:c>
      <x:c r="AC193" s="3" t="str">
        <x:v>unverified</x:v>
      </x:c>
      <x:c r="AD193" s="3" t="str">
        <x:v>Not contacted / unconfirmed</x:v>
      </x:c>
      <x:c r="AE193" s="3" t="str">
        <x:v>No</x:v>
      </x:c>
      <x:c r="AF193" s="3" t="str">
        <x:v>No</x:v>
      </x:c>
      <x:c r="AG193" s="3"/>
      <x:c r="AH193" s="3" t="str">
        <x:v>Georgia Quick Home Buyers; Red River Home Buyers; Sunrise State Home Buyers</x:v>
      </x:c>
      <x:c r="AI193" s="18"/>
      <x:c r="AJ193" s="3" t="str">
        <x:v>CF2500-C2FAFCF5128A</x:v>
      </x:c>
      <x:c r="AK193" s="3" t="str">
        <x:v>Property investor / home-buying operator prospect</x:v>
      </x:c>
      <x:c r="AL193" s="19" t="n">
        <x:v>100000</x:v>
      </x:c>
      <x:c r="AM193" s="19" t="n">
        <x:v>500000</x:v>
      </x:c>
      <x:c r="AN193" s="3" t="str">
        <x:v>https://www.cashhomebuyersdirectory.com/cash-home-buyers/florida/port-st-lucie</x:v>
      </x:c>
      <x:c r="AO193" s="3" t="str">
        <x:v>tx_fl_investors.jsonl</x:v>
      </x:c>
      <x:c r="AP193" s="19"/>
    </x:row>
    <x:row r="194" ht="36" customHeight="1">
      <x:c r="A194" s="23" t="n">
        <x:v>193</x:v>
      </x:c>
      <x:c r="B194" s="15" t="str">
        <x:v>Austin All Cash Home Buyers - Sell My House Fast</x:v>
      </x:c>
      <x:c r="C194" s="15"/>
      <x:c r="D194" s="15" t="str">
        <x:v>Property investor / home-buying operator</x:v>
      </x:c>
      <x:c r="E194" s="15" t="str">
        <x:v>Property investor / operator inquiry</x:v>
      </x:c>
      <x:c r="F194" s="17" t="str">
        <x:v>New</x:v>
      </x:c>
      <x:c r="G194" s="24"/>
      <x:c r="H194" s="24" t="str">
        <x:v>+15125807557</x:v>
      </x:c>
      <x:c r="I194" s="24" t="str">
        <x:v>https://www.austinallcash.com/?utm_source=organic&amp;utm_medium=SEO&amp;utm_campaign=GBP</x:v>
      </x:c>
      <x:c r="J194" s="16" t="str">
        <x:v>TX</x:v>
      </x:c>
      <x:c r="K194" s="16" t="str">
        <x:v>Austin</x:v>
      </x:c>
      <x:c r="L194" s="16" t="str">
        <x:v>Public property-business route; investor decision maker unconfirmed</x:v>
      </x:c>
      <x:c r="M194" s="16" t="str">
        <x:v>https://www.austinallcash.com/?utm_source=organic&amp;utm_medium=SEO&amp;utm_campaign=GBP</x:v>
      </x:c>
      <x:c r="N194" s="16" t="str">
        <x:v>$100K-$500K ticket not published / unconfirmed</x:v>
      </x:c>
      <x:c r="O194" s="20"/>
      <x:c r="P194" s="20"/>
      <x:c r="Q194" s="25" t="str">
        <x:v>No $100K-$500K corporate-investment ticket published in checked source</x:v>
      </x:c>
      <x:c r="R194" s="25" t="str">
        <x:v>Property acquisition or investor activity makes this an operator-capital prospect for the signed trial. Confirm operating-company debt/equity appetite.</x:v>
      </x:c>
      <x:c r="S194" s="25" t="str">
        <x:v>Home-buying activity does not verify ability or willingness to invest $100K-$500K into 101XVC operating company. Website and contact verification pending.</x:v>
      </x:c>
      <x:c r="T194" s="25" t="str">
        <x:v>Ask the owner/investor whether they can allocate $100K-$500K to trial marketing and acquisitions, and confirm structure, timing and decision authority.</x:v>
      </x:c>
      <x:c r="U194" s="25" t="str">
        <x:v>https://www.cashhomebuyersdirectory.com/cash-home-buyers/texas/austin</x:v>
      </x:c>
      <x:c r="V194" s="26" t="d">
        <x:v>2026-10-02T00:00:00.000Z</x:v>
      </x:c>
      <x:c r="W194" s="26" t="d">
        <x:v>2026-10-03T00:00:00.000Z</x:v>
      </x:c>
      <x:c r="X194" s="25" t="str">
        <x:v>Public investor directory; business role and contact ownership require qualification</x:v>
      </x:c>
      <x:c r="Y194" s="25"/>
      <x:c r="Z194" s="25" t="str">
        <x:v>https://www.cashhomebuyersdirectory.com/cash-home-buyers/texas/austin</x:v>
      </x:c>
      <x:c r="AA194" s="25" t="str">
        <x:v>Public cash-home-buyer directory lists business name, phone and market. Directory entry may include brokers or service providers.</x:v>
      </x:c>
      <x:c r="AB194" s="3" t="str">
        <x:v>New public-source collection</x:v>
      </x:c>
      <x:c r="AC194" s="3" t="str">
        <x:v>unverified</x:v>
      </x:c>
      <x:c r="AD194" s="3" t="str">
        <x:v>Not contacted / unconfirmed</x:v>
      </x:c>
      <x:c r="AE194" s="3" t="str">
        <x:v>No</x:v>
      </x:c>
      <x:c r="AF194" s="3" t="str">
        <x:v>No</x:v>
      </x:c>
      <x:c r="AG194" s="3"/>
      <x:c r="AH194" s="3"/>
      <x:c r="AI194" s="18"/>
      <x:c r="AJ194" s="3" t="str">
        <x:v>CF2500-DA6D56C701D2</x:v>
      </x:c>
      <x:c r="AK194" s="3" t="str">
        <x:v>Property investor / home-buying operator prospect</x:v>
      </x:c>
      <x:c r="AL194" s="19" t="n">
        <x:v>100000</x:v>
      </x:c>
      <x:c r="AM194" s="19" t="n">
        <x:v>500000</x:v>
      </x:c>
      <x:c r="AN194" s="3" t="str">
        <x:v>https://www.cashhomebuyersdirectory.com/cash-home-buyers/texas/austin</x:v>
      </x:c>
      <x:c r="AO194" s="3" t="str">
        <x:v>tx_fl_investors.jsonl</x:v>
      </x:c>
      <x:c r="AP194" s="19"/>
    </x:row>
    <x:row r="195" ht="36" customHeight="1">
      <x:c r="A195" s="23" t="n">
        <x:v>194</x:v>
      </x:c>
      <x:c r="B195" s="15" t="str">
        <x:v>BEST DEAL HOME BUYERS</x:v>
      </x:c>
      <x:c r="C195" s="15"/>
      <x:c r="D195" s="15" t="str">
        <x:v>Property investor / home-buying operator</x:v>
      </x:c>
      <x:c r="E195" s="15" t="str">
        <x:v>Property investor / operator inquiry</x:v>
      </x:c>
      <x:c r="F195" s="17" t="str">
        <x:v>New</x:v>
      </x:c>
      <x:c r="G195" s="24"/>
      <x:c r="H195" s="24" t="str">
        <x:v>+14095274546</x:v>
      </x:c>
      <x:c r="I195" s="24" t="str">
        <x:v>http://www.beaumontcashbuyer.com/</x:v>
      </x:c>
      <x:c r="J195" s="16" t="str">
        <x:v>TX</x:v>
      </x:c>
      <x:c r="K195" s="16"/>
      <x:c r="L195" s="16" t="str">
        <x:v>Public property-business route; investor decision maker unconfirmed</x:v>
      </x:c>
      <x:c r="M195" s="16" t="str">
        <x:v>http://www.beaumontcashbuyer.com/</x:v>
      </x:c>
      <x:c r="N195" s="16" t="str">
        <x:v>$100K-$500K ticket not published / unconfirmed</x:v>
      </x:c>
      <x:c r="O195" s="20"/>
      <x:c r="P195" s="20"/>
      <x:c r="Q195" s="25" t="str">
        <x:v>No $100K-$500K corporate-investment ticket published in checked source</x:v>
      </x:c>
      <x:c r="R195" s="25" t="str">
        <x:v>Property acquisition or investor activity makes this an operator-capital prospect for the signed trial. Confirm operating-company debt/equity appetite.</x:v>
      </x:c>
      <x:c r="S195" s="25" t="str">
        <x:v>Home-buying activity does not verify ability or willingness to invest $100K-$500K into 101XVC operating company. Website and contact verification pending.</x:v>
      </x:c>
      <x:c r="T195" s="25" t="str">
        <x:v>Ask the owner/investor whether they can allocate $100K-$500K to trial marketing and acquisitions, and confirm structure, timing and decision authority.</x:v>
      </x:c>
      <x:c r="U195" s="25" t="str">
        <x:v>https://www.cashhomebuyersdirectory.com/cash-home-buyers/texas/beaumont</x:v>
      </x:c>
      <x:c r="V195" s="26" t="d">
        <x:v>2026-10-02T00:00:00.000Z</x:v>
      </x:c>
      <x:c r="W195" s="26" t="d">
        <x:v>2026-10-03T00:00:00.000Z</x:v>
      </x:c>
      <x:c r="X195" s="25" t="str">
        <x:v>Public investor directory; business role and contact ownership require qualification</x:v>
      </x:c>
      <x:c r="Y195" s="25"/>
      <x:c r="Z195" s="25" t="str">
        <x:v>https://www.cashhomebuyersdirectory.com/cash-home-buyers/texas/beaumont</x:v>
      </x:c>
      <x:c r="AA195" s="25" t="str">
        <x:v>Public cash-home-buyer directory lists business name, phone and market. Directory entry may include brokers or service providers.</x:v>
      </x:c>
      <x:c r="AB195" s="3" t="str">
        <x:v>New public-source collection</x:v>
      </x:c>
      <x:c r="AC195" s="3" t="str">
        <x:v>unverified</x:v>
      </x:c>
      <x:c r="AD195" s="3" t="str">
        <x:v>Not contacted / unconfirmed</x:v>
      </x:c>
      <x:c r="AE195" s="3" t="str">
        <x:v>No</x:v>
      </x:c>
      <x:c r="AF195" s="3" t="str">
        <x:v>No</x:v>
      </x:c>
      <x:c r="AG195" s="3"/>
      <x:c r="AH195" s="3"/>
      <x:c r="AI195" s="18"/>
      <x:c r="AJ195" s="3" t="str">
        <x:v>CF2500-D19718C98283</x:v>
      </x:c>
      <x:c r="AK195" s="3" t="str">
        <x:v>Property investor / home-buying operator prospect</x:v>
      </x:c>
      <x:c r="AL195" s="19" t="n">
        <x:v>100000</x:v>
      </x:c>
      <x:c r="AM195" s="19" t="n">
        <x:v>500000</x:v>
      </x:c>
      <x:c r="AN195" s="3" t="str">
        <x:v>https://www.cashhomebuyersdirectory.com/cash-home-buyers/texas/beaumont</x:v>
      </x:c>
      <x:c r="AO195" s="3" t="str">
        <x:v>tx_fl_investors.jsonl</x:v>
      </x:c>
      <x:c r="AP195" s="19"/>
    </x:row>
    <x:row r="196" ht="36" customHeight="1">
      <x:c r="A196" s="23" t="n">
        <x:v>195</x:v>
      </x:c>
      <x:c r="B196" s="15" t="str">
        <x:v>Best Texas House Buyers, LLC</x:v>
      </x:c>
      <x:c r="C196" s="15"/>
      <x:c r="D196" s="15" t="str">
        <x:v>Property investor / home-buying operator</x:v>
      </x:c>
      <x:c r="E196" s="15" t="str">
        <x:v>Property investor / operator inquiry</x:v>
      </x:c>
      <x:c r="F196" s="17" t="str">
        <x:v>New</x:v>
      </x:c>
      <x:c r="G196" s="24"/>
      <x:c r="H196" s="24" t="str">
        <x:v>+14692327494</x:v>
      </x:c>
      <x:c r="I196" s="24" t="str">
        <x:v>http://www.besttexashousebuyers.com/</x:v>
      </x:c>
      <x:c r="J196" s="16" t="str">
        <x:v>TX</x:v>
      </x:c>
      <x:c r="K196" s="16" t="str">
        <x:v>Dallas</x:v>
      </x:c>
      <x:c r="L196" s="16" t="str">
        <x:v>Public property-business route; investor decision maker unconfirmed</x:v>
      </x:c>
      <x:c r="M196" s="16" t="str">
        <x:v>http://www.besttexashousebuyers.com/</x:v>
      </x:c>
      <x:c r="N196" s="16" t="str">
        <x:v>$100K-$500K ticket not published / unconfirmed</x:v>
      </x:c>
      <x:c r="O196" s="20"/>
      <x:c r="P196" s="20"/>
      <x:c r="Q196" s="25" t="str">
        <x:v>No $100K-$500K corporate-investment ticket published in checked source</x:v>
      </x:c>
      <x:c r="R196" s="25" t="str">
        <x:v>Property acquisition or investor activity makes this an operator-capital prospect for the signed trial. Confirm operating-company debt/equity appetite.</x:v>
      </x:c>
      <x:c r="S196" s="25" t="str">
        <x:v>Home-buying activity does not verify ability or willingness to invest $100K-$500K into 101XVC operating company. Website and contact verification pending.</x:v>
      </x:c>
      <x:c r="T196" s="25" t="str">
        <x:v>Ask the owner/investor whether they can allocate $100K-$500K to trial marketing and acquisitions, and confirm structure, timing and decision authority.</x:v>
      </x:c>
      <x:c r="U196" s="25" t="str">
        <x:v>https://www.cashhomebuyersdirectory.com/cash-home-buyers/texas/dallas</x:v>
      </x:c>
      <x:c r="V196" s="26" t="d">
        <x:v>2026-10-02T00:00:00.000Z</x:v>
      </x:c>
      <x:c r="W196" s="26" t="d">
        <x:v>2026-10-03T00:00:00.000Z</x:v>
      </x:c>
      <x:c r="X196" s="25" t="str">
        <x:v>Public investor directory; business role and contact ownership require qualification</x:v>
      </x:c>
      <x:c r="Y196" s="25"/>
      <x:c r="Z196" s="25" t="str">
        <x:v>https://www.cashhomebuyersdirectory.com/cash-home-buyers/texas/dallas</x:v>
      </x:c>
      <x:c r="AA196" s="25" t="str">
        <x:v>Public cash-home-buyer directory lists business name, phone and market. Directory entry may include brokers or service providers.</x:v>
      </x:c>
      <x:c r="AB196" s="3" t="str">
        <x:v>New public-source collection</x:v>
      </x:c>
      <x:c r="AC196" s="3" t="str">
        <x:v>unverified</x:v>
      </x:c>
      <x:c r="AD196" s="3" t="str">
        <x:v>Not contacted / unconfirmed</x:v>
      </x:c>
      <x:c r="AE196" s="3" t="str">
        <x:v>No</x:v>
      </x:c>
      <x:c r="AF196" s="3" t="str">
        <x:v>No</x:v>
      </x:c>
      <x:c r="AG196" s="3"/>
      <x:c r="AH196" s="3"/>
      <x:c r="AI196" s="18"/>
      <x:c r="AJ196" s="3" t="str">
        <x:v>CF2500-0A33967EE063</x:v>
      </x:c>
      <x:c r="AK196" s="3" t="str">
        <x:v>Property investor / home-buying operator prospect</x:v>
      </x:c>
      <x:c r="AL196" s="19" t="n">
        <x:v>100000</x:v>
      </x:c>
      <x:c r="AM196" s="19" t="n">
        <x:v>500000</x:v>
      </x:c>
      <x:c r="AN196" s="3" t="str">
        <x:v>https://www.cashhomebuyersdirectory.com/cash-home-buyers/texas/dallas</x:v>
      </x:c>
      <x:c r="AO196" s="3" t="str">
        <x:v>tx_fl_investors.jsonl</x:v>
      </x:c>
      <x:c r="AP196" s="19"/>
    </x:row>
    <x:row r="197" ht="36" customHeight="1">
      <x:c r="A197" s="23" t="n">
        <x:v>196</x:v>
      </x:c>
      <x:c r="B197" s="15" t="str">
        <x:v>Better House Buyers | We Buy Houses Wilmington</x:v>
      </x:c>
      <x:c r="C197" s="15"/>
      <x:c r="D197" s="15" t="str">
        <x:v>Property investor / home-buying operator</x:v>
      </x:c>
      <x:c r="E197" s="15" t="str">
        <x:v>Property investor / operator inquiry</x:v>
      </x:c>
      <x:c r="F197" s="17" t="str">
        <x:v>New</x:v>
      </x:c>
      <x:c r="G197" s="24"/>
      <x:c r="H197" s="24" t="str">
        <x:v>+19107861818</x:v>
      </x:c>
      <x:c r="I197" s="24" t="str">
        <x:v>https://thebetterhousebuyers.com/</x:v>
      </x:c>
      <x:c r="J197" s="16" t="str">
        <x:v>NC</x:v>
      </x:c>
      <x:c r="K197" s="16" t="str">
        <x:v>Wilmington</x:v>
      </x:c>
      <x:c r="L197" s="16" t="str">
        <x:v>Public property-business route; investor decision maker unconfirmed</x:v>
      </x:c>
      <x:c r="M197" s="16" t="str">
        <x:v>https://thebetterhousebuyers.com/</x:v>
      </x:c>
      <x:c r="N197" s="16" t="str">
        <x:v>$100K-$500K ticket not published / unconfirmed</x:v>
      </x:c>
      <x:c r="O197" s="20"/>
      <x:c r="P197" s="20"/>
      <x:c r="Q197" s="25" t="str">
        <x:v>No $100K-$500K operating-company investment ticket verified</x:v>
      </x:c>
      <x:c r="R197" s="25" t="str">
        <x:v>Property acquisition or investor activity makes this an operator-capital prospect for the signed trial. Confirm operating-company debt/equity appetite.</x:v>
      </x:c>
      <x:c r="S197" s="25" t="str">
        <x:v>Public property-buying activity or a directory listing does not establish available cash, investing decision-maker, current $100K-$500K capacity, or willingness to fund 101XVC operating costs.</x:v>
      </x:c>
      <x:c r="T197" s="25" t="str">
        <x:v>Ask the owner/investor whether they can allocate $100K-$500K to trial marketing and acquisitions, and confirm structure, timing and decision authority.</x:v>
      </x:c>
      <x:c r="U197" s="25" t="str">
        <x:v>https://www.cashhomebuyersdirectory.com/cash-home-buyers/north-carolina/wilmington</x:v>
      </x:c>
      <x:c r="V197" s="26" t="d">
        <x:v>2026-10-02T00:00:00.000Z</x:v>
      </x:c>
      <x:c r="W197" s="26" t="d">
        <x:v>2026-10-02T00:00:00.000Z</x:v>
      </x:c>
      <x:c r="X197" s="25" t="str">
        <x:v>Public investor directory; business role and contact ownership require qualification</x:v>
      </x:c>
      <x:c r="Y197" s="25"/>
      <x:c r="Z197" s="25" t="str">
        <x:v>https://www.cashhomebuyersdirectory.com/cash-home-buyers/north-carolina/wilmington</x:v>
      </x:c>
      <x:c r="AA197" s="25" t="str">
        <x:v>Public cash-home-buyer directory lists business name, phone and market. Directory entry may include brokers or service providers.</x:v>
      </x:c>
      <x:c r="AB197" s="3" t="str">
        <x:v>New public-source collection</x:v>
      </x:c>
      <x:c r="AC197" s="3" t="str">
        <x:v>unverified</x:v>
      </x:c>
      <x:c r="AD197" s="3" t="str">
        <x:v>Not contacted / unconfirmed</x:v>
      </x:c>
      <x:c r="AE197" s="3" t="str">
        <x:v>No</x:v>
      </x:c>
      <x:c r="AF197" s="3" t="str">
        <x:v>No</x:v>
      </x:c>
      <x:c r="AG197" s="3"/>
      <x:c r="AH197" s="3"/>
      <x:c r="AI197" s="18"/>
      <x:c r="AJ197" s="3" t="str">
        <x:v>CF2500-EEF748962E41</x:v>
      </x:c>
      <x:c r="AK197" s="3" t="str">
        <x:v>Property investor / home-buying operator prospect</x:v>
      </x:c>
      <x:c r="AL197" s="19" t="n">
        <x:v>100000</x:v>
      </x:c>
      <x:c r="AM197" s="19" t="n">
        <x:v>500000</x:v>
      </x:c>
      <x:c r="AN197" s="3" t="str">
        <x:v>https://www.cashhomebuyersdirectory.com/cash-home-buyers/north-carolina/wilmington</x:v>
      </x:c>
      <x:c r="AO197" s="3" t="str">
        <x:v>nc_il_az_co_investors.jsonl</x:v>
      </x:c>
      <x:c r="AP197" s="19"/>
    </x:row>
    <x:row r="198" ht="36" customHeight="1">
      <x:c r="A198" s="23" t="n">
        <x:v>197</x:v>
      </x:c>
      <x:c r="B198" s="15" t="str">
        <x:v>Cape Fear Cash Offer</x:v>
      </x:c>
      <x:c r="C198" s="15"/>
      <x:c r="D198" s="15" t="str">
        <x:v>Property investor / home-buying operator</x:v>
      </x:c>
      <x:c r="E198" s="15" t="str">
        <x:v>Property investor / operator inquiry</x:v>
      </x:c>
      <x:c r="F198" s="17" t="str">
        <x:v>New</x:v>
      </x:c>
      <x:c r="G198" s="24"/>
      <x:c r="H198" s="24" t="str">
        <x:v>+19106367295</x:v>
      </x:c>
      <x:c r="I198" s="24" t="str">
        <x:v>http://www.capefearcashoffer.com/i/czY0/</x:v>
      </x:c>
      <x:c r="J198" s="16" t="str">
        <x:v>NC</x:v>
      </x:c>
      <x:c r="K198" s="16" t="str">
        <x:v>Wilmington</x:v>
      </x:c>
      <x:c r="L198" s="16" t="str">
        <x:v>Public property-business route; investor decision maker unconfirmed</x:v>
      </x:c>
      <x:c r="M198" s="16" t="str">
        <x:v>http://www.capefearcashoffer.com/i/czY0/</x:v>
      </x:c>
      <x:c r="N198" s="16" t="str">
        <x:v>$100K-$500K ticket not published / unconfirmed</x:v>
      </x:c>
      <x:c r="O198" s="20"/>
      <x:c r="P198" s="20"/>
      <x:c r="Q198" s="25" t="str">
        <x:v>No $100K-$500K operating-company investment ticket verified</x:v>
      </x:c>
      <x:c r="R198" s="25" t="str">
        <x:v>Property acquisition or investor activity makes this an operator-capital prospect for the signed trial. Confirm operating-company debt/equity appetite.</x:v>
      </x:c>
      <x:c r="S198" s="25" t="str">
        <x:v>Public property-buying activity or a directory listing does not establish available cash, investing decision-maker, current $100K-$500K capacity, or willingness to fund 101XVC operating costs.</x:v>
      </x:c>
      <x:c r="T198" s="25" t="str">
        <x:v>Ask the owner/investor whether they can allocate $100K-$500K to trial marketing and acquisitions, and confirm structure, timing and decision authority.</x:v>
      </x:c>
      <x:c r="U198" s="25" t="str">
        <x:v>https://www.cashhomebuyersdirectory.com/cash-home-buyers/north-carolina/wilmington</x:v>
      </x:c>
      <x:c r="V198" s="26" t="d">
        <x:v>2026-10-02T00:00:00.000Z</x:v>
      </x:c>
      <x:c r="W198" s="26" t="d">
        <x:v>2026-10-02T00:00:00.000Z</x:v>
      </x:c>
      <x:c r="X198" s="25" t="str">
        <x:v>Public investor directory; business role and contact ownership require qualification</x:v>
      </x:c>
      <x:c r="Y198" s="25"/>
      <x:c r="Z198" s="25" t="str">
        <x:v>https://www.cashhomebuyersdirectory.com/cash-home-buyers/north-carolina/wilmington</x:v>
      </x:c>
      <x:c r="AA198" s="25" t="str">
        <x:v>Public cash-home-buyer directory lists business name, phone and market. Directory entry may include brokers or service providers.</x:v>
      </x:c>
      <x:c r="AB198" s="3" t="str">
        <x:v>New public-source collection</x:v>
      </x:c>
      <x:c r="AC198" s="3" t="str">
        <x:v>unverified</x:v>
      </x:c>
      <x:c r="AD198" s="3" t="str">
        <x:v>Not contacted / unconfirmed</x:v>
      </x:c>
      <x:c r="AE198" s="3" t="str">
        <x:v>No</x:v>
      </x:c>
      <x:c r="AF198" s="3" t="str">
        <x:v>No</x:v>
      </x:c>
      <x:c r="AG198" s="3"/>
      <x:c r="AH198" s="3"/>
      <x:c r="AI198" s="18"/>
      <x:c r="AJ198" s="3" t="str">
        <x:v>CF2500-46081B3F3653</x:v>
      </x:c>
      <x:c r="AK198" s="3" t="str">
        <x:v>Property investor / home-buying operator prospect</x:v>
      </x:c>
      <x:c r="AL198" s="19" t="n">
        <x:v>100000</x:v>
      </x:c>
      <x:c r="AM198" s="19" t="n">
        <x:v>500000</x:v>
      </x:c>
      <x:c r="AN198" s="3" t="str">
        <x:v>https://www.cashhomebuyersdirectory.com/cash-home-buyers/north-carolina/wilmington</x:v>
      </x:c>
      <x:c r="AO198" s="3" t="str">
        <x:v>nc_il_az_co_investors.jsonl</x:v>
      </x:c>
      <x:c r="AP198" s="19"/>
    </x:row>
    <x:row r="199" ht="36" customHeight="1">
      <x:c r="A199" s="23" t="n">
        <x:v>198</x:v>
      </x:c>
      <x:c r="B199" s="15" t="str">
        <x:v>Carolina Home Cash Offer</x:v>
      </x:c>
      <x:c r="C199" s="15"/>
      <x:c r="D199" s="15" t="str">
        <x:v>Property investor / home-buying operator</x:v>
      </x:c>
      <x:c r="E199" s="15" t="str">
        <x:v>Property investor / operator inquiry</x:v>
      </x:c>
      <x:c r="F199" s="17" t="str">
        <x:v>New</x:v>
      </x:c>
      <x:c r="G199" s="24"/>
      <x:c r="H199" s="24" t="str">
        <x:v>+17044927214</x:v>
      </x:c>
      <x:c r="I199" s="24" t="str">
        <x:v>https://carolinahomecashoffer.com/</x:v>
      </x:c>
      <x:c r="J199" s="16" t="str">
        <x:v>NC</x:v>
      </x:c>
      <x:c r="K199" s="16" t="str">
        <x:v>Charlotte</x:v>
      </x:c>
      <x:c r="L199" s="16" t="str">
        <x:v>Public property-business route; investor decision maker unconfirmed</x:v>
      </x:c>
      <x:c r="M199" s="16" t="str">
        <x:v>https://carolinahomecashoffer.com/</x:v>
      </x:c>
      <x:c r="N199" s="16" t="str">
        <x:v>$100K-$500K ticket not published / unconfirmed</x:v>
      </x:c>
      <x:c r="O199" s="20"/>
      <x:c r="P199" s="20"/>
      <x:c r="Q199" s="25" t="str">
        <x:v>No $100K-$500K operating-company investment ticket verified</x:v>
      </x:c>
      <x:c r="R199" s="25" t="str">
        <x:v>Property acquisition or investor activity makes this an operator-capital prospect for the signed trial. Confirm operating-company debt/equity appetite.</x:v>
      </x:c>
      <x:c r="S199" s="25" t="str">
        <x:v>Public property-buying activity or a directory listing does not establish available cash, investing decision-maker, current $100K-$500K capacity, or willingness to fund 101XVC operating costs.</x:v>
      </x:c>
      <x:c r="T199" s="25" t="str">
        <x:v>Ask the owner/investor whether they can allocate $100K-$500K to trial marketing and acquisitions, and confirm structure, timing and decision authority.</x:v>
      </x:c>
      <x:c r="U199" s="25" t="str">
        <x:v>https://www.cashhomebuyersdirectory.com/cash-home-buyers/north-carolina/charlotte
https://www.bbb.org/us/nc/category/home-buyers</x:v>
      </x:c>
      <x:c r="V199" s="26" t="d">
        <x:v>2026-10-02T00:00:00.000Z</x:v>
      </x:c>
      <x:c r="W199" s="26" t="d">
        <x:v>2026-10-02T00:00:00.000Z</x:v>
      </x:c>
      <x:c r="X199" s="25" t="str">
        <x:v>Public investor directory; business role and contact ownership require qualification</x:v>
      </x:c>
      <x:c r="Y199" s="25"/>
      <x:c r="Z199" s="25" t="str">
        <x:v>https://www.cashhomebuyersdirectory.com/cash-home-buyers/north-carolina/charlotte</x:v>
      </x:c>
      <x:c r="AA199" s="25" t="str">
        <x:v>Public cash-home-buyer directory lists business name, phone and market. Directory entry may include brokers or service providers.</x:v>
      </x:c>
      <x:c r="AB199" s="3" t="str">
        <x:v>New public-source collection</x:v>
      </x:c>
      <x:c r="AC199" s="3" t="str">
        <x:v>unverified</x:v>
      </x:c>
      <x:c r="AD199" s="3" t="str">
        <x:v>Not contacted / unconfirmed</x:v>
      </x:c>
      <x:c r="AE199" s="3" t="str">
        <x:v>No</x:v>
      </x:c>
      <x:c r="AF199" s="3" t="str">
        <x:v>No</x:v>
      </x:c>
      <x:c r="AG199" s="3"/>
      <x:c r="AH199" s="3"/>
      <x:c r="AI199" s="18"/>
      <x:c r="AJ199" s="3" t="str">
        <x:v>CF2500-3B7CD01CA0CF</x:v>
      </x:c>
      <x:c r="AK199" s="3" t="str">
        <x:v>Property investor / home-buying operator prospect</x:v>
      </x:c>
      <x:c r="AL199" s="19" t="n">
        <x:v>100000</x:v>
      </x:c>
      <x:c r="AM199" s="19" t="n">
        <x:v>500000</x:v>
      </x:c>
      <x:c r="AN199" s="3" t="str">
        <x:v>https://www.cashhomebuyersdirectory.com/cash-home-buyers/north-carolina/charlotte</x:v>
      </x:c>
      <x:c r="AO199" s="3" t="str">
        <x:v>nc_il_az_co_investors.jsonl</x:v>
      </x:c>
      <x:c r="AP199" s="19"/>
    </x:row>
    <x:row r="200" ht="36" customHeight="1">
      <x:c r="A200" s="23" t="n">
        <x:v>199</x:v>
      </x:c>
      <x:c r="B200" s="15" t="str">
        <x:v>Casa Property Buyers</x:v>
      </x:c>
      <x:c r="C200" s="15"/>
      <x:c r="D200" s="15" t="str">
        <x:v>Property investor / home-buying operator</x:v>
      </x:c>
      <x:c r="E200" s="15" t="str">
        <x:v>Property investor / operator inquiry</x:v>
      </x:c>
      <x:c r="F200" s="17" t="str">
        <x:v>New</x:v>
      </x:c>
      <x:c r="G200" s="24"/>
      <x:c r="H200" s="24" t="str">
        <x:v>+12106193959</x:v>
      </x:c>
      <x:c r="I200" s="24" t="str">
        <x:v>http://www.casapropertybuyers.com/</x:v>
      </x:c>
      <x:c r="J200" s="16" t="str">
        <x:v>TX</x:v>
      </x:c>
      <x:c r="K200" s="16" t="str">
        <x:v>San Antonio</x:v>
      </x:c>
      <x:c r="L200" s="16" t="str">
        <x:v>Public property-business route; investor decision maker unconfirmed</x:v>
      </x:c>
      <x:c r="M200" s="16" t="str">
        <x:v>http://www.casapropertybuyers.com/</x:v>
      </x:c>
      <x:c r="N200" s="16" t="str">
        <x:v>$100K-$500K ticket not published / unconfirmed</x:v>
      </x:c>
      <x:c r="O200" s="20"/>
      <x:c r="P200" s="20"/>
      <x:c r="Q200" s="25" t="str">
        <x:v>No $100K-$500K corporate-investment ticket published in checked source</x:v>
      </x:c>
      <x:c r="R200" s="25" t="str">
        <x:v>Property acquisition or investor activity makes this an operator-capital prospect for the signed trial. Confirm operating-company debt/equity appetite.</x:v>
      </x:c>
      <x:c r="S200" s="25" t="str">
        <x:v>Home-buying activity does not verify ability or willingness to invest $100K-$500K into 101XVC operating company. Website and contact verification pending.</x:v>
      </x:c>
      <x:c r="T200" s="25" t="str">
        <x:v>Ask the owner/investor whether they can allocate $100K-$500K to trial marketing and acquisitions, and confirm structure, timing and decision authority.</x:v>
      </x:c>
      <x:c r="U200" s="25" t="str">
        <x:v>https://www.cashhomebuyersdirectory.com/cash-home-buyers/texas/san-antonio</x:v>
      </x:c>
      <x:c r="V200" s="26" t="d">
        <x:v>2026-10-02T00:00:00.000Z</x:v>
      </x:c>
      <x:c r="W200" s="26" t="d">
        <x:v>2026-10-03T00:00:00.000Z</x:v>
      </x:c>
      <x:c r="X200" s="25" t="str">
        <x:v>Public investor directory; business role and contact ownership require qualification</x:v>
      </x:c>
      <x:c r="Y200" s="25"/>
      <x:c r="Z200" s="25" t="str">
        <x:v>https://www.cashhomebuyersdirectory.com/cash-home-buyers/texas/san-antonio</x:v>
      </x:c>
      <x:c r="AA200" s="25" t="str">
        <x:v>Public cash-home-buyer directory lists business name, phone and market. Directory entry may include brokers or service providers.</x:v>
      </x:c>
      <x:c r="AB200" s="3" t="str">
        <x:v>New public-source collection</x:v>
      </x:c>
      <x:c r="AC200" s="3" t="str">
        <x:v>unverified</x:v>
      </x:c>
      <x:c r="AD200" s="3" t="str">
        <x:v>Not contacted / unconfirmed</x:v>
      </x:c>
      <x:c r="AE200" s="3" t="str">
        <x:v>No</x:v>
      </x:c>
      <x:c r="AF200" s="3" t="str">
        <x:v>No</x:v>
      </x:c>
      <x:c r="AG200" s="3"/>
      <x:c r="AH200" s="3"/>
      <x:c r="AI200" s="18"/>
      <x:c r="AJ200" s="3" t="str">
        <x:v>CF2500-6AEEEB2EB077</x:v>
      </x:c>
      <x:c r="AK200" s="3" t="str">
        <x:v>Property investor / home-buying operator prospect</x:v>
      </x:c>
      <x:c r="AL200" s="19" t="n">
        <x:v>100000</x:v>
      </x:c>
      <x:c r="AM200" s="19" t="n">
        <x:v>500000</x:v>
      </x:c>
      <x:c r="AN200" s="3" t="str">
        <x:v>https://www.cashhomebuyersdirectory.com/cash-home-buyers/texas/san-antonio</x:v>
      </x:c>
      <x:c r="AO200" s="3" t="str">
        <x:v>tx_fl_investors.jsonl</x:v>
      </x:c>
      <x:c r="AP200" s="19"/>
    </x:row>
    <x:row r="201" ht="36" customHeight="1">
      <x:c r="A201" s="23" t="n">
        <x:v>200</x:v>
      </x:c>
      <x:c r="B201" s="15" t="str">
        <x:v>Cash for Homes El Paso</x:v>
      </x:c>
      <x:c r="C201" s="15"/>
      <x:c r="D201" s="15" t="str">
        <x:v>Property investor / home-buying operator</x:v>
      </x:c>
      <x:c r="E201" s="15" t="str">
        <x:v>Property investor / operator inquiry</x:v>
      </x:c>
      <x:c r="F201" s="17" t="str">
        <x:v>New</x:v>
      </x:c>
      <x:c r="G201" s="24"/>
      <x:c r="H201" s="24" t="str">
        <x:v>+19153145050</x:v>
      </x:c>
      <x:c r="I201" s="24" t="str">
        <x:v>http://sellhousecashelpaso.com/</x:v>
      </x:c>
      <x:c r="J201" s="16" t="str">
        <x:v>TX</x:v>
      </x:c>
      <x:c r="K201" s="16" t="str">
        <x:v>El Paso</x:v>
      </x:c>
      <x:c r="L201" s="16" t="str">
        <x:v>Public property-business route; investor decision maker unconfirmed</x:v>
      </x:c>
      <x:c r="M201" s="16" t="str">
        <x:v>http://sellhousecashelpaso.com/</x:v>
      </x:c>
      <x:c r="N201" s="16" t="str">
        <x:v>$100K-$500K ticket not published / unconfirmed</x:v>
      </x:c>
      <x:c r="O201" s="20"/>
      <x:c r="P201" s="20"/>
      <x:c r="Q201" s="25" t="str">
        <x:v>No $100K-$500K corporate-investment ticket published in checked source</x:v>
      </x:c>
      <x:c r="R201" s="25" t="str">
        <x:v>Property acquisition or investor activity makes this an operator-capital prospect for the signed trial. Confirm operating-company debt/equity appetite.</x:v>
      </x:c>
      <x:c r="S201" s="25" t="str">
        <x:v>Home-buying activity does not verify ability or willingness to invest $100K-$500K into 101XVC operating company. Website and contact verification pending.</x:v>
      </x:c>
      <x:c r="T201" s="25" t="str">
        <x:v>Ask the owner/investor whether they can allocate $100K-$500K to trial marketing and acquisitions, and confirm structure, timing and decision authority.</x:v>
      </x:c>
      <x:c r="U201" s="25" t="str">
        <x:v>https://www.cashhomebuyersdirectory.com/cash-home-buyers/texas/el-paso</x:v>
      </x:c>
      <x:c r="V201" s="26" t="d">
        <x:v>2026-10-02T00:00:00.000Z</x:v>
      </x:c>
      <x:c r="W201" s="26" t="d">
        <x:v>2026-10-03T00:00:00.000Z</x:v>
      </x:c>
      <x:c r="X201" s="25" t="str">
        <x:v>Public investor directory; business role and contact ownership require qualification</x:v>
      </x:c>
      <x:c r="Y201" s="25"/>
      <x:c r="Z201" s="25" t="str">
        <x:v>https://www.cashhomebuyersdirectory.com/cash-home-buyers/texas/el-paso</x:v>
      </x:c>
      <x:c r="AA201" s="25" t="str">
        <x:v>Public cash-home-buyer directory lists business name, phone and market. Directory entry may include brokers or service providers.</x:v>
      </x:c>
      <x:c r="AB201" s="3" t="str">
        <x:v>New public-source collection</x:v>
      </x:c>
      <x:c r="AC201" s="3" t="str">
        <x:v>unverified</x:v>
      </x:c>
      <x:c r="AD201" s="3" t="str">
        <x:v>Not contacted / unconfirmed</x:v>
      </x:c>
      <x:c r="AE201" s="3" t="str">
        <x:v>No</x:v>
      </x:c>
      <x:c r="AF201" s="3" t="str">
        <x:v>No</x:v>
      </x:c>
      <x:c r="AG201" s="3"/>
      <x:c r="AH201" s="3"/>
      <x:c r="AI201" s="18"/>
      <x:c r="AJ201" s="3" t="str">
        <x:v>CF2500-554B08D2DBB4</x:v>
      </x:c>
      <x:c r="AK201" s="3" t="str">
        <x:v>Property investor / home-buying operator prospect</x:v>
      </x:c>
      <x:c r="AL201" s="19" t="n">
        <x:v>100000</x:v>
      </x:c>
      <x:c r="AM201" s="19" t="n">
        <x:v>500000</x:v>
      </x:c>
      <x:c r="AN201" s="3" t="str">
        <x:v>https://www.cashhomebuyersdirectory.com/cash-home-buyers/texas/el-paso</x:v>
      </x:c>
      <x:c r="AO201" s="3" t="str">
        <x:v>tx_fl_investors.jsonl</x:v>
      </x:c>
      <x:c r="AP201" s="19"/>
    </x:row>
    <x:row r="202" ht="36" customHeight="1">
      <x:c r="A202" s="23" t="n">
        <x:v>201</x:v>
      </x:c>
      <x:c r="B202" s="15" t="str">
        <x:v>Cash for Homes Houston</x:v>
      </x:c>
      <x:c r="C202" s="15"/>
      <x:c r="D202" s="15" t="str">
        <x:v>Property investor / home-buying operator</x:v>
      </x:c>
      <x:c r="E202" s="15" t="str">
        <x:v>Property investor / operator inquiry</x:v>
      </x:c>
      <x:c r="F202" s="17" t="str">
        <x:v>New</x:v>
      </x:c>
      <x:c r="G202" s="24"/>
      <x:c r="H202" s="24" t="str">
        <x:v>+17138045990</x:v>
      </x:c>
      <x:c r="I202" s="24" t="str">
        <x:v>http://www.cashforhomeshouston.com/</x:v>
      </x:c>
      <x:c r="J202" s="16" t="str">
        <x:v>TX</x:v>
      </x:c>
      <x:c r="K202" s="16" t="str">
        <x:v>Houston</x:v>
      </x:c>
      <x:c r="L202" s="16" t="str">
        <x:v>Public property-business route; investor decision maker unconfirmed</x:v>
      </x:c>
      <x:c r="M202" s="16" t="str">
        <x:v>http://www.cashforhomeshouston.com/</x:v>
      </x:c>
      <x:c r="N202" s="16" t="str">
        <x:v>$100K-$500K ticket not published / unconfirmed</x:v>
      </x:c>
      <x:c r="O202" s="20"/>
      <x:c r="P202" s="20"/>
      <x:c r="Q202" s="25" t="str">
        <x:v>No $100K-$500K corporate-investment ticket published in checked source</x:v>
      </x:c>
      <x:c r="R202" s="25" t="str">
        <x:v>Property acquisition or investor activity makes this an operator-capital prospect for the signed trial. Confirm operating-company debt/equity appetite.</x:v>
      </x:c>
      <x:c r="S202" s="25" t="str">
        <x:v>Home-buying activity does not verify ability or willingness to invest $100K-$500K into 101XVC operating company. Website and contact verification pending.</x:v>
      </x:c>
      <x:c r="T202" s="25" t="str">
        <x:v>Ask the owner/investor whether they can allocate $100K-$500K to trial marketing and acquisitions, and confirm structure, timing and decision authority.</x:v>
      </x:c>
      <x:c r="U202" s="25" t="str">
        <x:v>https://www.cashhomebuyersdirectory.com/cash-home-buyers/texas/houston</x:v>
      </x:c>
      <x:c r="V202" s="26" t="d">
        <x:v>2026-10-02T00:00:00.000Z</x:v>
      </x:c>
      <x:c r="W202" s="26" t="d">
        <x:v>2026-10-03T00:00:00.000Z</x:v>
      </x:c>
      <x:c r="X202" s="25" t="str">
        <x:v>Public investor directory; business role and contact ownership require qualification</x:v>
      </x:c>
      <x:c r="Y202" s="25"/>
      <x:c r="Z202" s="25" t="str">
        <x:v>https://www.cashhomebuyersdirectory.com/cash-home-buyers/texas/houston</x:v>
      </x:c>
      <x:c r="AA202" s="25" t="str">
        <x:v>Public cash-home-buyer directory lists business name, phone and market. Directory entry may include brokers or service providers.</x:v>
      </x:c>
      <x:c r="AB202" s="3" t="str">
        <x:v>New public-source collection</x:v>
      </x:c>
      <x:c r="AC202" s="3" t="str">
        <x:v>unverified</x:v>
      </x:c>
      <x:c r="AD202" s="3" t="str">
        <x:v>Not contacted / unconfirmed</x:v>
      </x:c>
      <x:c r="AE202" s="3" t="str">
        <x:v>No</x:v>
      </x:c>
      <x:c r="AF202" s="3" t="str">
        <x:v>No</x:v>
      </x:c>
      <x:c r="AG202" s="3"/>
      <x:c r="AH202" s="3"/>
      <x:c r="AI202" s="18"/>
      <x:c r="AJ202" s="3" t="str">
        <x:v>CF2500-1627073B0708</x:v>
      </x:c>
      <x:c r="AK202" s="3" t="str">
        <x:v>Property investor / home-buying operator prospect</x:v>
      </x:c>
      <x:c r="AL202" s="19" t="n">
        <x:v>100000</x:v>
      </x:c>
      <x:c r="AM202" s="19" t="n">
        <x:v>500000</x:v>
      </x:c>
      <x:c r="AN202" s="3" t="str">
        <x:v>https://www.cashhomebuyersdirectory.com/cash-home-buyers/texas/houston</x:v>
      </x:c>
      <x:c r="AO202" s="3" t="str">
        <x:v>tx_fl_investors.jsonl</x:v>
      </x:c>
      <x:c r="AP202" s="19"/>
    </x:row>
    <x:row r="203" ht="36" customHeight="1">
      <x:c r="A203" s="23" t="n">
        <x:v>202</x:v>
      </x:c>
      <x:c r="B203" s="15" t="str">
        <x:v>Cash Home Buyer San Antonio - We Buy Houses | Sell My House Fast</x:v>
      </x:c>
      <x:c r="C203" s="15"/>
      <x:c r="D203" s="15" t="str">
        <x:v>Property investor / home-buying operator</x:v>
      </x:c>
      <x:c r="E203" s="15" t="str">
        <x:v>Property investor / operator inquiry</x:v>
      </x:c>
      <x:c r="F203" s="17" t="str">
        <x:v>New</x:v>
      </x:c>
      <x:c r="G203" s="24"/>
      <x:c r="H203" s="24" t="str">
        <x:v>+12109346150</x:v>
      </x:c>
      <x:c r="I203" s="24" t="str">
        <x:v>https://cashhomebuyersanantonio.com/</x:v>
      </x:c>
      <x:c r="J203" s="16" t="str">
        <x:v>TX</x:v>
      </x:c>
      <x:c r="K203" s="16" t="str">
        <x:v>San Antonio</x:v>
      </x:c>
      <x:c r="L203" s="16" t="str">
        <x:v>Public property-business route; investor decision maker unconfirmed</x:v>
      </x:c>
      <x:c r="M203" s="16" t="str">
        <x:v>https://cashhomebuyersanantonio.com/</x:v>
      </x:c>
      <x:c r="N203" s="16" t="str">
        <x:v>$100K-$500K ticket not published / unconfirmed</x:v>
      </x:c>
      <x:c r="O203" s="20"/>
      <x:c r="P203" s="20"/>
      <x:c r="Q203" s="25" t="str">
        <x:v>No $100K-$500K corporate-investment ticket published in checked source</x:v>
      </x:c>
      <x:c r="R203" s="25" t="str">
        <x:v>Property acquisition or investor activity makes this an operator-capital prospect for the signed trial. Confirm operating-company debt/equity appetite.</x:v>
      </x:c>
      <x:c r="S203" s="25" t="str">
        <x:v>Home-buying activity does not verify ability or willingness to invest $100K-$500K into 101XVC operating company. Website and contact verification pending.</x:v>
      </x:c>
      <x:c r="T203" s="25" t="str">
        <x:v>Ask the owner/investor whether they can allocate $100K-$500K to trial marketing and acquisitions, and confirm structure, timing and decision authority.</x:v>
      </x:c>
      <x:c r="U203" s="25" t="str">
        <x:v>https://www.cashhomebuyersdirectory.com/cash-home-buyers/texas/san-antonio</x:v>
      </x:c>
      <x:c r="V203" s="26" t="d">
        <x:v>2026-10-02T00:00:00.000Z</x:v>
      </x:c>
      <x:c r="W203" s="26" t="d">
        <x:v>2026-10-03T00:00:00.000Z</x:v>
      </x:c>
      <x:c r="X203" s="25" t="str">
        <x:v>Public investor directory; business role and contact ownership require qualification</x:v>
      </x:c>
      <x:c r="Y203" s="25"/>
      <x:c r="Z203" s="25" t="str">
        <x:v>https://www.cashhomebuyersdirectory.com/cash-home-buyers/texas/san-antonio</x:v>
      </x:c>
      <x:c r="AA203" s="25" t="str">
        <x:v>Public cash-home-buyer directory lists business name, phone and market. Directory entry may include brokers or service providers.</x:v>
      </x:c>
      <x:c r="AB203" s="3" t="str">
        <x:v>New public-source collection</x:v>
      </x:c>
      <x:c r="AC203" s="3" t="str">
        <x:v>unverified</x:v>
      </x:c>
      <x:c r="AD203" s="3" t="str">
        <x:v>Not contacted / unconfirmed</x:v>
      </x:c>
      <x:c r="AE203" s="3" t="str">
        <x:v>No</x:v>
      </x:c>
      <x:c r="AF203" s="3" t="str">
        <x:v>No</x:v>
      </x:c>
      <x:c r="AG203" s="3"/>
      <x:c r="AH203" s="3"/>
      <x:c r="AI203" s="18"/>
      <x:c r="AJ203" s="3" t="str">
        <x:v>CF2500-880F4F1D3A9A</x:v>
      </x:c>
      <x:c r="AK203" s="3" t="str">
        <x:v>Property investor / home-buying operator prospect</x:v>
      </x:c>
      <x:c r="AL203" s="19" t="n">
        <x:v>100000</x:v>
      </x:c>
      <x:c r="AM203" s="19" t="n">
        <x:v>500000</x:v>
      </x:c>
      <x:c r="AN203" s="3" t="str">
        <x:v>https://www.cashhomebuyersdirectory.com/cash-home-buyers/texas/san-antonio</x:v>
      </x:c>
      <x:c r="AO203" s="3" t="str">
        <x:v>tx_fl_investors.jsonl</x:v>
      </x:c>
      <x:c r="AP203" s="19"/>
    </x:row>
    <x:row r="204" ht="36" customHeight="1">
      <x:c r="A204" s="23" t="n">
        <x:v>203</x:v>
      </x:c>
      <x:c r="B204" s="15" t="str">
        <x:v>Cash Home Buyers Club</x:v>
      </x:c>
      <x:c r="C204" s="15"/>
      <x:c r="D204" s="15" t="str">
        <x:v>Property investor / home-buying operator</x:v>
      </x:c>
      <x:c r="E204" s="15" t="str">
        <x:v>Property investor / operator inquiry</x:v>
      </x:c>
      <x:c r="F204" s="17" t="str">
        <x:v>New</x:v>
      </x:c>
      <x:c r="G204" s="24"/>
      <x:c r="H204" s="24" t="str">
        <x:v>+13366381965</x:v>
      </x:c>
      <x:c r="I204" s="24" t="str">
        <x:v>http://www.cashhomebuyersclub.com/</x:v>
      </x:c>
      <x:c r="J204" s="16" t="str">
        <x:v>NC</x:v>
      </x:c>
      <x:c r="K204" s="16" t="str">
        <x:v>Greensboro</x:v>
      </x:c>
      <x:c r="L204" s="16" t="str">
        <x:v>Public property-business route; investor decision maker unconfirmed</x:v>
      </x:c>
      <x:c r="M204" s="16" t="str">
        <x:v>http://www.cashhomebuyersclub.com/</x:v>
      </x:c>
      <x:c r="N204" s="16" t="str">
        <x:v>$100K-$500K ticket not published / unconfirmed</x:v>
      </x:c>
      <x:c r="O204" s="20"/>
      <x:c r="P204" s="20"/>
      <x:c r="Q204" s="25" t="str">
        <x:v>No $100K-$500K operating-company investment ticket verified</x:v>
      </x:c>
      <x:c r="R204" s="25" t="str">
        <x:v>Property acquisition or investor activity makes this an operator-capital prospect for the signed trial. Confirm operating-company debt/equity appetite.</x:v>
      </x:c>
      <x:c r="S204" s="25" t="str">
        <x:v>Public property-buying activity or a directory listing does not establish available cash, investing decision-maker, current $100K-$500K capacity, or willingness to fund 101XVC operating costs.</x:v>
      </x:c>
      <x:c r="T204" s="25" t="str">
        <x:v>Ask the owner/investor whether they can allocate $100K-$500K to trial marketing and acquisitions, and confirm structure, timing and decision authority.</x:v>
      </x:c>
      <x:c r="U204" s="25" t="str">
        <x:v>https://www.cashhomebuyersdirectory.com/cash-home-buyers/north-carolina/greensboro</x:v>
      </x:c>
      <x:c r="V204" s="26" t="d">
        <x:v>2026-10-02T00:00:00.000Z</x:v>
      </x:c>
      <x:c r="W204" s="26" t="d">
        <x:v>2026-10-02T00:00:00.000Z</x:v>
      </x:c>
      <x:c r="X204" s="25" t="str">
        <x:v>Public investor directory; business role and contact ownership require qualification</x:v>
      </x:c>
      <x:c r="Y204" s="25"/>
      <x:c r="Z204" s="25" t="str">
        <x:v>https://www.cashhomebuyersdirectory.com/cash-home-buyers/north-carolina/greensboro</x:v>
      </x:c>
      <x:c r="AA204" s="25" t="str">
        <x:v>Public cash-home-buyer directory lists business name, phone and market. Directory entry may include brokers or service providers.</x:v>
      </x:c>
      <x:c r="AB204" s="3" t="str">
        <x:v>New public-source collection</x:v>
      </x:c>
      <x:c r="AC204" s="3" t="str">
        <x:v>unverified</x:v>
      </x:c>
      <x:c r="AD204" s="3" t="str">
        <x:v>Not contacted / unconfirmed</x:v>
      </x:c>
      <x:c r="AE204" s="3" t="str">
        <x:v>No</x:v>
      </x:c>
      <x:c r="AF204" s="3" t="str">
        <x:v>No</x:v>
      </x:c>
      <x:c r="AG204" s="3"/>
      <x:c r="AH204" s="3"/>
      <x:c r="AI204" s="18"/>
      <x:c r="AJ204" s="3" t="str">
        <x:v>CF2500-C8757D4B1C5A</x:v>
      </x:c>
      <x:c r="AK204" s="3" t="str">
        <x:v>Property investor / home-buying operator prospect</x:v>
      </x:c>
      <x:c r="AL204" s="19" t="n">
        <x:v>100000</x:v>
      </x:c>
      <x:c r="AM204" s="19" t="n">
        <x:v>500000</x:v>
      </x:c>
      <x:c r="AN204" s="3" t="str">
        <x:v>https://www.cashhomebuyersdirectory.com/cash-home-buyers/north-carolina/greensboro</x:v>
      </x:c>
      <x:c r="AO204" s="3" t="str">
        <x:v>nc_il_az_co_investors.jsonl</x:v>
      </x:c>
      <x:c r="AP204" s="19"/>
    </x:row>
    <x:row r="205" ht="36" customHeight="1">
      <x:c r="A205" s="23" t="n">
        <x:v>204</x:v>
      </x:c>
      <x:c r="B205" s="15" t="str">
        <x:v>Cash Home Buyers Texas - We Buy Houses Fast El Paso</x:v>
      </x:c>
      <x:c r="C205" s="15"/>
      <x:c r="D205" s="15" t="str">
        <x:v>Property investor / home-buying operator</x:v>
      </x:c>
      <x:c r="E205" s="15" t="str">
        <x:v>Property investor / operator inquiry</x:v>
      </x:c>
      <x:c r="F205" s="17" t="str">
        <x:v>New</x:v>
      </x:c>
      <x:c r="G205" s="24"/>
      <x:c r="H205" s="24" t="str">
        <x:v>+19156212973</x:v>
      </x:c>
      <x:c r="I205" s="24" t="str">
        <x:v>https://cashhomebuyerstexas.com/sell-your-house-fast-in-el-paso/?</x:v>
      </x:c>
      <x:c r="J205" s="16" t="str">
        <x:v>TX</x:v>
      </x:c>
      <x:c r="K205" s="16" t="str">
        <x:v>El Paso</x:v>
      </x:c>
      <x:c r="L205" s="16" t="str">
        <x:v>Public property-business route; investor decision maker unconfirmed</x:v>
      </x:c>
      <x:c r="M205" s="16" t="str">
        <x:v>https://cashhomebuyerstexas.com/sell-your-house-fast-in-el-paso/?</x:v>
      </x:c>
      <x:c r="N205" s="16" t="str">
        <x:v>$100K-$500K ticket not published / unconfirmed</x:v>
      </x:c>
      <x:c r="O205" s="20"/>
      <x:c r="P205" s="20"/>
      <x:c r="Q205" s="25" t="str">
        <x:v>No $100K-$500K corporate-investment ticket published in checked source</x:v>
      </x:c>
      <x:c r="R205" s="25" t="str">
        <x:v>Property acquisition or investor activity makes this an operator-capital prospect for the signed trial. Confirm operating-company debt/equity appetite.</x:v>
      </x:c>
      <x:c r="S205" s="25" t="str">
        <x:v>Home-buying activity does not verify ability or willingness to invest $100K-$500K into 101XVC operating company. Website and contact verification pending.</x:v>
      </x:c>
      <x:c r="T205" s="25" t="str">
        <x:v>Ask the owner/investor whether they can allocate $100K-$500K to trial marketing and acquisitions, and confirm structure, timing and decision authority.</x:v>
      </x:c>
      <x:c r="U205" s="25" t="str">
        <x:v>https://www.cashhomebuyersdirectory.com/cash-home-buyers/texas/el-paso</x:v>
      </x:c>
      <x:c r="V205" s="26" t="d">
        <x:v>2026-10-02T00:00:00.000Z</x:v>
      </x:c>
      <x:c r="W205" s="26" t="d">
        <x:v>2026-10-03T00:00:00.000Z</x:v>
      </x:c>
      <x:c r="X205" s="25" t="str">
        <x:v>Public investor directory; business role and contact ownership require qualification</x:v>
      </x:c>
      <x:c r="Y205" s="25"/>
      <x:c r="Z205" s="25" t="str">
        <x:v>https://www.cashhomebuyersdirectory.com/cash-home-buyers/texas/el-paso</x:v>
      </x:c>
      <x:c r="AA205" s="25" t="str">
        <x:v>Public cash-home-buyer directory lists business name, phone and market. Directory entry may include brokers or service providers.</x:v>
      </x:c>
      <x:c r="AB205" s="3" t="str">
        <x:v>New public-source collection</x:v>
      </x:c>
      <x:c r="AC205" s="3" t="str">
        <x:v>unverified</x:v>
      </x:c>
      <x:c r="AD205" s="3" t="str">
        <x:v>Not contacted / unconfirmed</x:v>
      </x:c>
      <x:c r="AE205" s="3" t="str">
        <x:v>No</x:v>
      </x:c>
      <x:c r="AF205" s="3" t="str">
        <x:v>No</x:v>
      </x:c>
      <x:c r="AG205" s="3"/>
      <x:c r="AH205" s="3"/>
      <x:c r="AI205" s="18"/>
      <x:c r="AJ205" s="3" t="str">
        <x:v>CF2500-60BB690DCDAD</x:v>
      </x:c>
      <x:c r="AK205" s="3" t="str">
        <x:v>Property investor / home-buying operator prospect</x:v>
      </x:c>
      <x:c r="AL205" s="19" t="n">
        <x:v>100000</x:v>
      </x:c>
      <x:c r="AM205" s="19" t="n">
        <x:v>500000</x:v>
      </x:c>
      <x:c r="AN205" s="3" t="str">
        <x:v>https://www.cashhomebuyersdirectory.com/cash-home-buyers/texas/el-paso</x:v>
      </x:c>
      <x:c r="AO205" s="3" t="str">
        <x:v>tx_fl_investors.jsonl</x:v>
      </x:c>
      <x:c r="AP205" s="19"/>
    </x:row>
    <x:row r="206" ht="36" customHeight="1">
      <x:c r="A206" s="23" t="n">
        <x:v>205</x:v>
      </x:c>
      <x:c r="B206" s="15" t="str">
        <x:v>Cash Home Investors</x:v>
      </x:c>
      <x:c r="C206" s="15"/>
      <x:c r="D206" s="15" t="str">
        <x:v>Property investor / home-buying operator</x:v>
      </x:c>
      <x:c r="E206" s="15" t="str">
        <x:v>Property investor / operator inquiry</x:v>
      </x:c>
      <x:c r="F206" s="17" t="str">
        <x:v>New</x:v>
      </x:c>
      <x:c r="G206" s="24"/>
      <x:c r="H206" s="24" t="str">
        <x:v>+15122712228</x:v>
      </x:c>
      <x:c r="I206" s="24" t="str">
        <x:v>http://www.cashhomeinvestors.com/</x:v>
      </x:c>
      <x:c r="J206" s="16" t="str">
        <x:v>TX</x:v>
      </x:c>
      <x:c r="K206" s="16" t="str">
        <x:v>Austin</x:v>
      </x:c>
      <x:c r="L206" s="16" t="str">
        <x:v>Public property-business route; investor decision maker unconfirmed</x:v>
      </x:c>
      <x:c r="M206" s="16" t="str">
        <x:v>http://www.cashhomeinvestors.com/</x:v>
      </x:c>
      <x:c r="N206" s="16" t="str">
        <x:v>$100K-$500K ticket not published / unconfirmed</x:v>
      </x:c>
      <x:c r="O206" s="20"/>
      <x:c r="P206" s="20"/>
      <x:c r="Q206" s="25" t="str">
        <x:v>No $100K-$500K corporate-investment ticket published in checked source</x:v>
      </x:c>
      <x:c r="R206" s="25" t="str">
        <x:v>Property acquisition or investor activity makes this an operator-capital prospect for the signed trial. Confirm operating-company debt/equity appetite.</x:v>
      </x:c>
      <x:c r="S206" s="25" t="str">
        <x:v>Home-buying activity does not verify ability or willingness to invest $100K-$500K into 101XVC operating company. Website and contact verification pending.</x:v>
      </x:c>
      <x:c r="T206" s="25" t="str">
        <x:v>Ask the owner/investor whether they can allocate $100K-$500K to trial marketing and acquisitions, and confirm structure, timing and decision authority.</x:v>
      </x:c>
      <x:c r="U206" s="25" t="str">
        <x:v>https://www.cashhomebuyersdirectory.com/cash-home-buyers/texas/austin</x:v>
      </x:c>
      <x:c r="V206" s="26" t="d">
        <x:v>2026-10-02T00:00:00.000Z</x:v>
      </x:c>
      <x:c r="W206" s="26" t="d">
        <x:v>2026-10-03T00:00:00.000Z</x:v>
      </x:c>
      <x:c r="X206" s="25" t="str">
        <x:v>Public investor directory; business role and contact ownership require qualification</x:v>
      </x:c>
      <x:c r="Y206" s="25"/>
      <x:c r="Z206" s="25" t="str">
        <x:v>https://www.cashhomebuyersdirectory.com/cash-home-buyers/texas/austin</x:v>
      </x:c>
      <x:c r="AA206" s="25" t="str">
        <x:v>Public cash-home-buyer directory lists business name, phone and market. Directory entry may include brokers or service providers.</x:v>
      </x:c>
      <x:c r="AB206" s="3" t="str">
        <x:v>New public-source collection</x:v>
      </x:c>
      <x:c r="AC206" s="3" t="str">
        <x:v>unverified</x:v>
      </x:c>
      <x:c r="AD206" s="3" t="str">
        <x:v>Not contacted / unconfirmed</x:v>
      </x:c>
      <x:c r="AE206" s="3" t="str">
        <x:v>No</x:v>
      </x:c>
      <x:c r="AF206" s="3" t="str">
        <x:v>No</x:v>
      </x:c>
      <x:c r="AG206" s="3"/>
      <x:c r="AH206" s="3"/>
      <x:c r="AI206" s="18"/>
      <x:c r="AJ206" s="3" t="str">
        <x:v>CF2500-A659A1CBF762</x:v>
      </x:c>
      <x:c r="AK206" s="3" t="str">
        <x:v>Property investor / home-buying operator prospect</x:v>
      </x:c>
      <x:c r="AL206" s="19" t="n">
        <x:v>100000</x:v>
      </x:c>
      <x:c r="AM206" s="19" t="n">
        <x:v>500000</x:v>
      </x:c>
      <x:c r="AN206" s="3" t="str">
        <x:v>https://www.cashhomebuyersdirectory.com/cash-home-buyers/texas/austin</x:v>
      </x:c>
      <x:c r="AO206" s="3" t="str">
        <x:v>tx_fl_investors.jsonl</x:v>
      </x:c>
      <x:c r="AP206" s="19"/>
    </x:row>
    <x:row r="207" ht="36" customHeight="1">
      <x:c r="A207" s="23" t="n">
        <x:v>206</x:v>
      </x:c>
      <x:c r="B207" s="15" t="str">
        <x:v>Cash House Buyers DFW</x:v>
      </x:c>
      <x:c r="C207" s="15"/>
      <x:c r="D207" s="15" t="str">
        <x:v>Property investor / home-buying operator</x:v>
      </x:c>
      <x:c r="E207" s="15" t="str">
        <x:v>Property investor / operator inquiry</x:v>
      </x:c>
      <x:c r="F207" s="17" t="str">
        <x:v>New</x:v>
      </x:c>
      <x:c r="G207" s="24"/>
      <x:c r="H207" s="24" t="str">
        <x:v>+12142722177</x:v>
      </x:c>
      <x:c r="I207" s="24" t="str">
        <x:v>https://www.cashhousebuyersdfw.com/</x:v>
      </x:c>
      <x:c r="J207" s="16" t="str">
        <x:v>TX</x:v>
      </x:c>
      <x:c r="K207" s="16" t="str">
        <x:v>Dallas</x:v>
      </x:c>
      <x:c r="L207" s="16" t="str">
        <x:v>Public property-business route; investor decision maker unconfirmed</x:v>
      </x:c>
      <x:c r="M207" s="16" t="str">
        <x:v>https://www.cashhousebuyersdfw.com/</x:v>
      </x:c>
      <x:c r="N207" s="16" t="str">
        <x:v>$100K-$500K ticket not published / unconfirmed</x:v>
      </x:c>
      <x:c r="O207" s="20"/>
      <x:c r="P207" s="20"/>
      <x:c r="Q207" s="25" t="str">
        <x:v>No $100K-$500K corporate-investment ticket published in checked source</x:v>
      </x:c>
      <x:c r="R207" s="25" t="str">
        <x:v>Property acquisition or investor activity makes this an operator-capital prospect for the signed trial. Confirm operating-company debt/equity appetite.</x:v>
      </x:c>
      <x:c r="S207" s="25" t="str">
        <x:v>Home-buying activity does not verify ability or willingness to invest $100K-$500K into 101XVC operating company. Website and contact verification pending.</x:v>
      </x:c>
      <x:c r="T207" s="25" t="str">
        <x:v>Ask the owner/investor whether they can allocate $100K-$500K to trial marketing and acquisitions, and confirm structure, timing and decision authority.</x:v>
      </x:c>
      <x:c r="U207" s="25" t="str">
        <x:v>https://www.cashhomebuyersdirectory.com/cash-home-buyers/texas/dallas</x:v>
      </x:c>
      <x:c r="V207" s="26" t="d">
        <x:v>2026-10-02T00:00:00.000Z</x:v>
      </x:c>
      <x:c r="W207" s="26" t="d">
        <x:v>2026-10-03T00:00:00.000Z</x:v>
      </x:c>
      <x:c r="X207" s="25" t="str">
        <x:v>Public investor directory; business role and contact ownership require qualification</x:v>
      </x:c>
      <x:c r="Y207" s="25"/>
      <x:c r="Z207" s="25" t="str">
        <x:v>https://www.cashhomebuyersdirectory.com/cash-home-buyers/texas/dallas</x:v>
      </x:c>
      <x:c r="AA207" s="25" t="str">
        <x:v>Public cash-home-buyer directory lists business name, phone and market. Directory entry may include brokers or service providers.</x:v>
      </x:c>
      <x:c r="AB207" s="3" t="str">
        <x:v>New public-source collection</x:v>
      </x:c>
      <x:c r="AC207" s="3" t="str">
        <x:v>unverified</x:v>
      </x:c>
      <x:c r="AD207" s="3" t="str">
        <x:v>Not contacted / unconfirmed</x:v>
      </x:c>
      <x:c r="AE207" s="3" t="str">
        <x:v>No</x:v>
      </x:c>
      <x:c r="AF207" s="3" t="str">
        <x:v>No</x:v>
      </x:c>
      <x:c r="AG207" s="3"/>
      <x:c r="AH207" s="3"/>
      <x:c r="AI207" s="18"/>
      <x:c r="AJ207" s="3" t="str">
        <x:v>CF2500-42B69D5DF6F2</x:v>
      </x:c>
      <x:c r="AK207" s="3" t="str">
        <x:v>Property investor / home-buying operator prospect</x:v>
      </x:c>
      <x:c r="AL207" s="19" t="n">
        <x:v>100000</x:v>
      </x:c>
      <x:c r="AM207" s="19" t="n">
        <x:v>500000</x:v>
      </x:c>
      <x:c r="AN207" s="3" t="str">
        <x:v>https://www.cashhomebuyersdirectory.com/cash-home-buyers/texas/dallas</x:v>
      </x:c>
      <x:c r="AO207" s="3" t="str">
        <x:v>tx_fl_investors.jsonl</x:v>
      </x:c>
      <x:c r="AP207" s="19"/>
    </x:row>
    <x:row r="208" ht="36" customHeight="1">
      <x:c r="A208" s="23" t="n">
        <x:v>207</x:v>
      </x:c>
      <x:c r="B208" s="15" t="str">
        <x:v>CashNow Sell My House Fast</x:v>
      </x:c>
      <x:c r="C208" s="15"/>
      <x:c r="D208" s="15" t="str">
        <x:v>Property investor / home-buying operator</x:v>
      </x:c>
      <x:c r="E208" s="15" t="str">
        <x:v>Property investor / operator inquiry</x:v>
      </x:c>
      <x:c r="F208" s="17" t="str">
        <x:v>New</x:v>
      </x:c>
      <x:c r="G208" s="24"/>
      <x:c r="H208" s="24" t="str">
        <x:v>+12246897788</x:v>
      </x:c>
      <x:c r="I208" s="24" t="str">
        <x:v>https://cashnowsellmyhousefast.com/</x:v>
      </x:c>
      <x:c r="J208" s="16" t="str">
        <x:v>IL</x:v>
      </x:c>
      <x:c r="K208" s="16" t="str">
        <x:v>South Elgin</x:v>
      </x:c>
      <x:c r="L208" s="16" t="str">
        <x:v>Public property-business route; investor decision maker unconfirmed</x:v>
      </x:c>
      <x:c r="M208" s="16" t="str">
        <x:v>https://cashnowsellmyhousefast.com/</x:v>
      </x:c>
      <x:c r="N208" s="16" t="str">
        <x:v>$100K-$500K ticket not published / unconfirmed</x:v>
      </x:c>
      <x:c r="O208" s="20"/>
      <x:c r="P208" s="20"/>
      <x:c r="Q208" s="25" t="str">
        <x:v>No $100K-$500K operating-company investment ticket verified</x:v>
      </x:c>
      <x:c r="R208" s="25" t="str">
        <x:v>Property acquisition or investor activity makes this an operator-capital prospect for the signed trial. Confirm operating-company debt/equity appetite.</x:v>
      </x:c>
      <x:c r="S208" s="25" t="str">
        <x:v>Public property-buying activity or a directory listing does not establish available cash, investing decision-maker, current $100K-$500K capacity, or willingness to fund 101XVC operating costs.</x:v>
      </x:c>
      <x:c r="T208" s="25" t="str">
        <x:v>Ask the owner/investor whether they can allocate $100K-$500K to trial marketing and acquisitions, and confirm structure, timing and decision authority.</x:v>
      </x:c>
      <x:c r="U208" s="25" t="str">
        <x:v>https://www.cashhomebuyersdirectory.com/cash-home-buyers/illinois/south-elgin</x:v>
      </x:c>
      <x:c r="V208" s="26" t="d">
        <x:v>2026-10-02T00:00:00.000Z</x:v>
      </x:c>
      <x:c r="W208" s="26" t="d">
        <x:v>2026-10-02T00:00:00.000Z</x:v>
      </x:c>
      <x:c r="X208" s="25" t="str">
        <x:v>Public investor directory; business role and contact ownership require qualification</x:v>
      </x:c>
      <x:c r="Y208" s="25"/>
      <x:c r="Z208" s="25" t="str">
        <x:v>https://www.cashhomebuyersdirectory.com/cash-home-buyers/illinois/south-elgin</x:v>
      </x:c>
      <x:c r="AA208" s="25" t="str">
        <x:v>Public cash-home-buyer directory lists business name, phone and market. Directory entry may include brokers or service providers.</x:v>
      </x:c>
      <x:c r="AB208" s="3" t="str">
        <x:v>New public-source collection</x:v>
      </x:c>
      <x:c r="AC208" s="3" t="str">
        <x:v>unverified</x:v>
      </x:c>
      <x:c r="AD208" s="3" t="str">
        <x:v>Not contacted / unconfirmed</x:v>
      </x:c>
      <x:c r="AE208" s="3" t="str">
        <x:v>No</x:v>
      </x:c>
      <x:c r="AF208" s="3" t="str">
        <x:v>No</x:v>
      </x:c>
      <x:c r="AG208" s="3"/>
      <x:c r="AH208" s="3"/>
      <x:c r="AI208" s="18"/>
      <x:c r="AJ208" s="3" t="str">
        <x:v>CF2500-CE06E3AE3577</x:v>
      </x:c>
      <x:c r="AK208" s="3" t="str">
        <x:v>Property investor / home-buying operator prospect</x:v>
      </x:c>
      <x:c r="AL208" s="19" t="n">
        <x:v>100000</x:v>
      </x:c>
      <x:c r="AM208" s="19" t="n">
        <x:v>500000</x:v>
      </x:c>
      <x:c r="AN208" s="3" t="str">
        <x:v>https://www.cashhomebuyersdirectory.com/cash-home-buyers/illinois/south-elgin</x:v>
      </x:c>
      <x:c r="AO208" s="3" t="str">
        <x:v>nc_il_az_co_investors.jsonl</x:v>
      </x:c>
      <x:c r="AP208" s="19"/>
    </x:row>
    <x:row r="209" ht="36" customHeight="1">
      <x:c r="A209" s="23" t="n">
        <x:v>208</x:v>
      </x:c>
      <x:c r="B209" s="15" t="str">
        <x:v>Chambana Home Buyer</x:v>
      </x:c>
      <x:c r="C209" s="15"/>
      <x:c r="D209" s="15" t="str">
        <x:v>Property investor / home-buying operator</x:v>
      </x:c>
      <x:c r="E209" s="15" t="str">
        <x:v>Property investor / operator inquiry</x:v>
      </x:c>
      <x:c r="F209" s="17" t="str">
        <x:v>New</x:v>
      </x:c>
      <x:c r="G209" s="24"/>
      <x:c r="H209" s="24" t="str">
        <x:v>+12174172710</x:v>
      </x:c>
      <x:c r="I209" s="24" t="str">
        <x:v>https://chambanabuyer.com/</x:v>
      </x:c>
      <x:c r="J209" s="16" t="str">
        <x:v>IL</x:v>
      </x:c>
      <x:c r="K209" s="16" t="str">
        <x:v>Champaign</x:v>
      </x:c>
      <x:c r="L209" s="16" t="str">
        <x:v>Public property-business route; investor decision maker unconfirmed</x:v>
      </x:c>
      <x:c r="M209" s="16" t="str">
        <x:v>https://chambanabuyer.com/</x:v>
      </x:c>
      <x:c r="N209" s="16" t="str">
        <x:v>$100K-$500K ticket not published / unconfirmed</x:v>
      </x:c>
      <x:c r="O209" s="20"/>
      <x:c r="P209" s="20"/>
      <x:c r="Q209" s="25" t="str">
        <x:v>No $100K-$500K operating-company investment ticket verified</x:v>
      </x:c>
      <x:c r="R209" s="25" t="str">
        <x:v>Property acquisition or investor activity makes this an operator-capital prospect for the signed trial. Confirm operating-company debt/equity appetite.</x:v>
      </x:c>
      <x:c r="S209" s="25" t="str">
        <x:v>Public property-buying activity or a directory listing does not establish available cash, investing decision-maker, current $100K-$500K capacity, or willingness to fund 101XVC operating costs.</x:v>
      </x:c>
      <x:c r="T209" s="25" t="str">
        <x:v>Ask the owner/investor whether they can allocate $100K-$500K to trial marketing and acquisitions, and confirm structure, timing and decision authority.</x:v>
      </x:c>
      <x:c r="U209" s="25" t="str">
        <x:v>https://www.cashhomebuyersdirectory.com/cash-home-buyers/illinois/champaign</x:v>
      </x:c>
      <x:c r="V209" s="26" t="d">
        <x:v>2026-10-02T00:00:00.000Z</x:v>
      </x:c>
      <x:c r="W209" s="26" t="d">
        <x:v>2026-10-02T00:00:00.000Z</x:v>
      </x:c>
      <x:c r="X209" s="25" t="str">
        <x:v>Public investor directory; business role and contact ownership require qualification</x:v>
      </x:c>
      <x:c r="Y209" s="25"/>
      <x:c r="Z209" s="25" t="str">
        <x:v>https://www.cashhomebuyersdirectory.com/cash-home-buyers/illinois/champaign</x:v>
      </x:c>
      <x:c r="AA209" s="25" t="str">
        <x:v>Public cash-home-buyer directory lists business name, phone and market. Directory entry may include brokers or service providers.</x:v>
      </x:c>
      <x:c r="AB209" s="3" t="str">
        <x:v>New public-source collection</x:v>
      </x:c>
      <x:c r="AC209" s="3" t="str">
        <x:v>unverified</x:v>
      </x:c>
      <x:c r="AD209" s="3" t="str">
        <x:v>Not contacted / unconfirmed</x:v>
      </x:c>
      <x:c r="AE209" s="3" t="str">
        <x:v>No</x:v>
      </x:c>
      <x:c r="AF209" s="3" t="str">
        <x:v>No</x:v>
      </x:c>
      <x:c r="AG209" s="3"/>
      <x:c r="AH209" s="3"/>
      <x:c r="AI209" s="18"/>
      <x:c r="AJ209" s="3" t="str">
        <x:v>CF2500-BB1B99B4084E</x:v>
      </x:c>
      <x:c r="AK209" s="3" t="str">
        <x:v>Property investor / home-buying operator prospect</x:v>
      </x:c>
      <x:c r="AL209" s="19" t="n">
        <x:v>100000</x:v>
      </x:c>
      <x:c r="AM209" s="19" t="n">
        <x:v>500000</x:v>
      </x:c>
      <x:c r="AN209" s="3" t="str">
        <x:v>https://www.cashhomebuyersdirectory.com/cash-home-buyers/illinois/champaign</x:v>
      </x:c>
      <x:c r="AO209" s="3" t="str">
        <x:v>nc_il_az_co_investors.jsonl</x:v>
      </x:c>
      <x:c r="AP209" s="19"/>
    </x:row>
    <x:row r="210" ht="36" customHeight="1">
      <x:c r="A210" s="23" t="n">
        <x:v>209</x:v>
      </x:c>
      <x:c r="B210" s="15" t="str">
        <x:v>Charms Home Buyers</x:v>
      </x:c>
      <x:c r="C210" s="15"/>
      <x:c r="D210" s="15" t="str">
        <x:v>Property investor / home-buying operator</x:v>
      </x:c>
      <x:c r="E210" s="15" t="str">
        <x:v>Property investor / operator inquiry</x:v>
      </x:c>
      <x:c r="F210" s="17" t="str">
        <x:v>New</x:v>
      </x:c>
      <x:c r="G210" s="24"/>
      <x:c r="H210" s="24" t="str">
        <x:v>+17139292006</x:v>
      </x:c>
      <x:c r="I210" s="24" t="str">
        <x:v>https://www.charmshomebuyers.com/home</x:v>
      </x:c>
      <x:c r="J210" s="16" t="str">
        <x:v>TX</x:v>
      </x:c>
      <x:c r="K210" s="16" t="str">
        <x:v>Houston</x:v>
      </x:c>
      <x:c r="L210" s="16" t="str">
        <x:v>Public property-business route; investor decision maker unconfirmed</x:v>
      </x:c>
      <x:c r="M210" s="16" t="str">
        <x:v>https://www.charmshomebuyers.com/home</x:v>
      </x:c>
      <x:c r="N210" s="16" t="str">
        <x:v>$100K-$500K ticket not published / unconfirmed</x:v>
      </x:c>
      <x:c r="O210" s="20"/>
      <x:c r="P210" s="20"/>
      <x:c r="Q210" s="25" t="str">
        <x:v>No $100K-$500K corporate-investment ticket published in checked source</x:v>
      </x:c>
      <x:c r="R210" s="25" t="str">
        <x:v>Property acquisition or investor activity makes this an operator-capital prospect for the signed trial. Confirm operating-company debt/equity appetite.</x:v>
      </x:c>
      <x:c r="S210" s="25" t="str">
        <x:v>Corporate-investment ticket and appetite unconfirmed. Property-buying activity alone does not establish fit for funding 101XVC trial operating costs.</x:v>
      </x:c>
      <x:c r="T210" s="25" t="str">
        <x:v>Ask the owner/investor whether they can allocate $100K-$500K to trial marketing and acquisitions, and confirm structure, timing and decision authority.</x:v>
      </x:c>
      <x:c r="U210" s="25" t="str">
        <x:v>https://www.cashhomebuyersdirectory.com/cash-home-buyers/texas/houston
https://www.charmshomebuyers.com/home</x:v>
      </x:c>
      <x:c r="V210" s="26" t="d">
        <x:v>2026-10-02T00:00:00.000Z</x:v>
      </x:c>
      <x:c r="W210" s="26" t="d">
        <x:v>2026-10-03T00:00:00.000Z</x:v>
      </x:c>
      <x:c r="X210" s="25" t="str">
        <x:v>Public investor directory; business role and contact ownership require qualification</x:v>
      </x:c>
      <x:c r="Y210" s="25"/>
      <x:c r="Z210" s="25" t="str">
        <x:v>https://www.cashhomebuyersdirectory.com/cash-home-buyers/texas/houston</x:v>
      </x:c>
      <x:c r="AA210" s="25" t="str">
        <x:v>Public cash-home-buyer directory lists business name, phone and market. Directory entry may include brokers or service providers. Official website fetched; investing role requires manual review.</x:v>
      </x:c>
      <x:c r="AB210" s="3" t="str">
        <x:v>New public-source collection</x:v>
      </x:c>
      <x:c r="AC210" s="3" t="str">
        <x:v>unverified</x:v>
      </x:c>
      <x:c r="AD210" s="3" t="str">
        <x:v>Not contacted / unconfirmed</x:v>
      </x:c>
      <x:c r="AE210" s="3" t="str">
        <x:v>No</x:v>
      </x:c>
      <x:c r="AF210" s="3" t="str">
        <x:v>No</x:v>
      </x:c>
      <x:c r="AG210" s="3"/>
      <x:c r="AH210" s="3"/>
      <x:c r="AI210" s="18"/>
      <x:c r="AJ210" s="3" t="str">
        <x:v>CF2500-D26F8B0063D1</x:v>
      </x:c>
      <x:c r="AK210" s="3" t="str">
        <x:v>Property investor / home-buying operator prospect</x:v>
      </x:c>
      <x:c r="AL210" s="19" t="n">
        <x:v>100000</x:v>
      </x:c>
      <x:c r="AM210" s="19" t="n">
        <x:v>500000</x:v>
      </x:c>
      <x:c r="AN210" s="3" t="str">
        <x:v>https://www.cashhomebuyersdirectory.com/cash-home-buyers/texas/houston</x:v>
      </x:c>
      <x:c r="AO210" s="3" t="str">
        <x:v>tx_fl_investors.jsonl</x:v>
      </x:c>
      <x:c r="AP210" s="19"/>
    </x:row>
    <x:row r="211" ht="36" customHeight="1">
      <x:c r="A211" s="23" t="n">
        <x:v>210</x:v>
      </x:c>
      <x:c r="B211" s="15" t="str">
        <x:v>Closed EZ - Sell Your House Cash in SWFL</x:v>
      </x:c>
      <x:c r="C211" s="15"/>
      <x:c r="D211" s="15" t="str">
        <x:v>Property investor / home-buying operator</x:v>
      </x:c>
      <x:c r="E211" s="15" t="str">
        <x:v>Property investor / operator inquiry</x:v>
      </x:c>
      <x:c r="F211" s="17" t="str">
        <x:v>New</x:v>
      </x:c>
      <x:c r="G211" s="24"/>
      <x:c r="H211" s="24" t="str">
        <x:v>+12399206406</x:v>
      </x:c>
      <x:c r="I211" s="24" t="str">
        <x:v>http://closedez.com/</x:v>
      </x:c>
      <x:c r="J211" s="16" t="str">
        <x:v>FL</x:v>
      </x:c>
      <x:c r="K211" s="16"/>
      <x:c r="L211" s="16" t="str">
        <x:v>Public property-business route; investor decision maker unconfirmed</x:v>
      </x:c>
      <x:c r="M211" s="16" t="str">
        <x:v>http://closedez.com/</x:v>
      </x:c>
      <x:c r="N211" s="16" t="str">
        <x:v>$100K-$500K ticket not published / unconfirmed</x:v>
      </x:c>
      <x:c r="O211" s="20"/>
      <x:c r="P211" s="20"/>
      <x:c r="Q211" s="25" t="str">
        <x:v>No $100K-$500K corporate-investment ticket published in checked source</x:v>
      </x:c>
      <x:c r="R211" s="25" t="str">
        <x:v>Property acquisition or investor activity makes this an operator-capital prospect for the signed trial. Confirm operating-company debt/equity appetite.</x:v>
      </x:c>
      <x:c r="S211" s="25" t="str">
        <x:v>Home-buying activity does not verify ability or willingness to invest $100K-$500K into 101XVC operating company. Website and contact verification pending.</x:v>
      </x:c>
      <x:c r="T211" s="25" t="str">
        <x:v>Ask the owner/investor whether they can allocate $100K-$500K to trial marketing and acquisitions, and confirm structure, timing and decision authority.</x:v>
      </x:c>
      <x:c r="U211" s="25" t="str">
        <x:v>https://www.cashhomebuyersdirectory.com/cash-home-buyers/florida/fort-myers</x:v>
      </x:c>
      <x:c r="V211" s="26" t="d">
        <x:v>2026-10-02T00:00:00.000Z</x:v>
      </x:c>
      <x:c r="W211" s="26" t="d">
        <x:v>2026-10-03T00:00:00.000Z</x:v>
      </x:c>
      <x:c r="X211" s="25" t="str">
        <x:v>Public investor directory; business role and contact ownership require qualification</x:v>
      </x:c>
      <x:c r="Y211" s="25"/>
      <x:c r="Z211" s="25" t="str">
        <x:v>https://www.cashhomebuyersdirectory.com/cash-home-buyers/florida/fort-myers</x:v>
      </x:c>
      <x:c r="AA211" s="25" t="str">
        <x:v>Public cash-home-buyer directory lists business name, phone and market. Directory entry may include brokers or service providers.</x:v>
      </x:c>
      <x:c r="AB211" s="3" t="str">
        <x:v>New public-source collection</x:v>
      </x:c>
      <x:c r="AC211" s="3" t="str">
        <x:v>unverified</x:v>
      </x:c>
      <x:c r="AD211" s="3" t="str">
        <x:v>Not contacted / unconfirmed</x:v>
      </x:c>
      <x:c r="AE211" s="3" t="str">
        <x:v>No</x:v>
      </x:c>
      <x:c r="AF211" s="3" t="str">
        <x:v>No</x:v>
      </x:c>
      <x:c r="AG211" s="3"/>
      <x:c r="AH211" s="3"/>
      <x:c r="AI211" s="18"/>
      <x:c r="AJ211" s="3" t="str">
        <x:v>CF2500-14F97C4A0C2A</x:v>
      </x:c>
      <x:c r="AK211" s="3" t="str">
        <x:v>Property investor / home-buying operator prospect</x:v>
      </x:c>
      <x:c r="AL211" s="19" t="n">
        <x:v>100000</x:v>
      </x:c>
      <x:c r="AM211" s="19" t="n">
        <x:v>500000</x:v>
      </x:c>
      <x:c r="AN211" s="3" t="str">
        <x:v>https://www.cashhomebuyersdirectory.com/cash-home-buyers/florida/fort-myers</x:v>
      </x:c>
      <x:c r="AO211" s="3" t="str">
        <x:v>tx_fl_investors.jsonl</x:v>
      </x:c>
      <x:c r="AP211" s="19"/>
    </x:row>
    <x:row r="212" ht="36" customHeight="1">
      <x:c r="A212" s="23" t="n">
        <x:v>211</x:v>
      </x:c>
      <x:c r="B212" s="15" t="str">
        <x:v>CLT Buyers | We Buy Houses</x:v>
      </x:c>
      <x:c r="C212" s="15"/>
      <x:c r="D212" s="15" t="str">
        <x:v>Property investor / home-buying operator</x:v>
      </x:c>
      <x:c r="E212" s="15" t="str">
        <x:v>Property investor / operator inquiry</x:v>
      </x:c>
      <x:c r="F212" s="17" t="str">
        <x:v>New</x:v>
      </x:c>
      <x:c r="G212" s="24"/>
      <x:c r="H212" s="24" t="str">
        <x:v>+17047413399</x:v>
      </x:c>
      <x:c r="I212" s="24" t="str">
        <x:v>https://www.cltbuyers.com/</x:v>
      </x:c>
      <x:c r="J212" s="16" t="str">
        <x:v>NC</x:v>
      </x:c>
      <x:c r="K212" s="16" t="str">
        <x:v>Charlotte</x:v>
      </x:c>
      <x:c r="L212" s="16" t="str">
        <x:v>Public property-business route; investor decision maker unconfirmed</x:v>
      </x:c>
      <x:c r="M212" s="16" t="str">
        <x:v>https://www.cltbuyers.com/</x:v>
      </x:c>
      <x:c r="N212" s="16" t="str">
        <x:v>$100K-$500K ticket not published / unconfirmed</x:v>
      </x:c>
      <x:c r="O212" s="20"/>
      <x:c r="P212" s="20"/>
      <x:c r="Q212" s="25" t="str">
        <x:v>No $100K-$500K operating-company investment ticket verified</x:v>
      </x:c>
      <x:c r="R212" s="25" t="str">
        <x:v>Property acquisition or investor activity makes this an operator-capital prospect for the signed trial. Confirm operating-company debt/equity appetite.</x:v>
      </x:c>
      <x:c r="S212" s="25" t="str">
        <x:v>Public property-buying activity or a directory listing does not establish available cash, investing decision-maker, current $100K-$500K capacity, or willingness to fund 101XVC operating costs.</x:v>
      </x:c>
      <x:c r="T212" s="25" t="str">
        <x:v>Ask the owner/investor whether they can allocate $100K-$500K to trial marketing and acquisitions, and confirm structure, timing and decision authority.</x:v>
      </x:c>
      <x:c r="U212" s="25" t="str">
        <x:v>https://www.cashhomebuyersdirectory.com/cash-home-buyers/north-carolina/charlotte</x:v>
      </x:c>
      <x:c r="V212" s="26" t="d">
        <x:v>2026-10-02T00:00:00.000Z</x:v>
      </x:c>
      <x:c r="W212" s="26" t="d">
        <x:v>2026-10-02T00:00:00.000Z</x:v>
      </x:c>
      <x:c r="X212" s="25" t="str">
        <x:v>Public investor directory; business role and contact ownership require qualification</x:v>
      </x:c>
      <x:c r="Y212" s="25"/>
      <x:c r="Z212" s="25" t="str">
        <x:v>https://www.cashhomebuyersdirectory.com/cash-home-buyers/north-carolina/charlotte</x:v>
      </x:c>
      <x:c r="AA212" s="25" t="str">
        <x:v>Public cash-home-buyer directory lists business name, phone and market. Directory entry may include brokers or service providers.</x:v>
      </x:c>
      <x:c r="AB212" s="3" t="str">
        <x:v>New public-source collection</x:v>
      </x:c>
      <x:c r="AC212" s="3" t="str">
        <x:v>unverified</x:v>
      </x:c>
      <x:c r="AD212" s="3" t="str">
        <x:v>Not contacted / unconfirmed</x:v>
      </x:c>
      <x:c r="AE212" s="3" t="str">
        <x:v>No</x:v>
      </x:c>
      <x:c r="AF212" s="3" t="str">
        <x:v>No</x:v>
      </x:c>
      <x:c r="AG212" s="3"/>
      <x:c r="AH212" s="3"/>
      <x:c r="AI212" s="18"/>
      <x:c r="AJ212" s="3" t="str">
        <x:v>CF2500-BB903BCCDC84</x:v>
      </x:c>
      <x:c r="AK212" s="3" t="str">
        <x:v>Property investor / home-buying operator prospect</x:v>
      </x:c>
      <x:c r="AL212" s="19" t="n">
        <x:v>100000</x:v>
      </x:c>
      <x:c r="AM212" s="19" t="n">
        <x:v>500000</x:v>
      </x:c>
      <x:c r="AN212" s="3" t="str">
        <x:v>https://www.cashhomebuyersdirectory.com/cash-home-buyers/north-carolina/charlotte</x:v>
      </x:c>
      <x:c r="AO212" s="3" t="str">
        <x:v>nc_il_az_co_investors.jsonl</x:v>
      </x:c>
      <x:c r="AP212" s="19"/>
    </x:row>
    <x:row r="213" ht="36" customHeight="1">
      <x:c r="A213" s="23" t="n">
        <x:v>212</x:v>
      </x:c>
      <x:c r="B213" s="15" t="str">
        <x:v>Coastal Mountain Home Buyers, LLC</x:v>
      </x:c>
      <x:c r="C213" s="15"/>
      <x:c r="D213" s="15" t="str">
        <x:v>Property investor / home-buying operator</x:v>
      </x:c>
      <x:c r="E213" s="15" t="str">
        <x:v>Property investor / operator inquiry</x:v>
      </x:c>
      <x:c r="F213" s="17" t="str">
        <x:v>New</x:v>
      </x:c>
      <x:c r="G213" s="24"/>
      <x:c r="H213" s="24" t="str">
        <x:v>+12398299591</x:v>
      </x:c>
      <x:c r="I213" s="24" t="str">
        <x:v>http://coastalmountainhb.com/</x:v>
      </x:c>
      <x:c r="J213" s="16" t="str">
        <x:v>FL</x:v>
      </x:c>
      <x:c r="K213" s="16" t="str">
        <x:v>Cape Coral</x:v>
      </x:c>
      <x:c r="L213" s="16" t="str">
        <x:v>Public property-business route; investor decision maker unconfirmed</x:v>
      </x:c>
      <x:c r="M213" s="16" t="str">
        <x:v>http://coastalmountainhb.com/</x:v>
      </x:c>
      <x:c r="N213" s="16" t="str">
        <x:v>$100K-$500K ticket not published / unconfirmed</x:v>
      </x:c>
      <x:c r="O213" s="20"/>
      <x:c r="P213" s="20"/>
      <x:c r="Q213" s="25" t="str">
        <x:v>No $100K-$500K corporate-investment ticket published in checked source</x:v>
      </x:c>
      <x:c r="R213" s="25" t="str">
        <x:v>Property acquisition or investor activity makes this an operator-capital prospect for the signed trial. Confirm operating-company debt/equity appetite.</x:v>
      </x:c>
      <x:c r="S213" s="25" t="str">
        <x:v>Home-buying activity does not verify ability or willingness to invest $100K-$500K into 101XVC operating company. Website and contact verification pending.</x:v>
      </x:c>
      <x:c r="T213" s="25" t="str">
        <x:v>Ask the owner/investor whether they can allocate $100K-$500K to trial marketing and acquisitions, and confirm structure, timing and decision authority.</x:v>
      </x:c>
      <x:c r="U213" s="25" t="str">
        <x:v>https://www.cashhomebuyersdirectory.com/cash-home-buyers/florida/cape-coral</x:v>
      </x:c>
      <x:c r="V213" s="26" t="d">
        <x:v>2026-10-02T00:00:00.000Z</x:v>
      </x:c>
      <x:c r="W213" s="26" t="d">
        <x:v>2026-10-03T00:00:00.000Z</x:v>
      </x:c>
      <x:c r="X213" s="25" t="str">
        <x:v>Public investor directory; business role and contact ownership require qualification</x:v>
      </x:c>
      <x:c r="Y213" s="25"/>
      <x:c r="Z213" s="25" t="str">
        <x:v>https://www.cashhomebuyersdirectory.com/cash-home-buyers/florida/cape-coral</x:v>
      </x:c>
      <x:c r="AA213" s="25" t="str">
        <x:v>Public cash-home-buyer directory lists business name, phone and market. Directory entry may include brokers or service providers.</x:v>
      </x:c>
      <x:c r="AB213" s="3" t="str">
        <x:v>New public-source collection</x:v>
      </x:c>
      <x:c r="AC213" s="3" t="str">
        <x:v>unverified</x:v>
      </x:c>
      <x:c r="AD213" s="3" t="str">
        <x:v>Not contacted / unconfirmed</x:v>
      </x:c>
      <x:c r="AE213" s="3" t="str">
        <x:v>No</x:v>
      </x:c>
      <x:c r="AF213" s="3" t="str">
        <x:v>No</x:v>
      </x:c>
      <x:c r="AG213" s="3"/>
      <x:c r="AH213" s="3"/>
      <x:c r="AI213" s="18"/>
      <x:c r="AJ213" s="3" t="str">
        <x:v>CF2500-11CE849F1E77</x:v>
      </x:c>
      <x:c r="AK213" s="3" t="str">
        <x:v>Property investor / home-buying operator prospect</x:v>
      </x:c>
      <x:c r="AL213" s="19" t="n">
        <x:v>100000</x:v>
      </x:c>
      <x:c r="AM213" s="19" t="n">
        <x:v>500000</x:v>
      </x:c>
      <x:c r="AN213" s="3" t="str">
        <x:v>https://www.cashhomebuyersdirectory.com/cash-home-buyers/florida/cape-coral</x:v>
      </x:c>
      <x:c r="AO213" s="3" t="str">
        <x:v>tx_fl_investors.jsonl</x:v>
      </x:c>
      <x:c r="AP213" s="19"/>
    </x:row>
    <x:row r="214" ht="36" customHeight="1">
      <x:c r="A214" s="23" t="n">
        <x:v>213</x:v>
      </x:c>
      <x:c r="B214" s="15" t="str">
        <x:v>Coastal NC Cash Offer</x:v>
      </x:c>
      <x:c r="C214" s="15"/>
      <x:c r="D214" s="15" t="str">
        <x:v>Property investor / home-buying operator</x:v>
      </x:c>
      <x:c r="E214" s="15" t="str">
        <x:v>Property investor / operator inquiry</x:v>
      </x:c>
      <x:c r="F214" s="17" t="str">
        <x:v>New</x:v>
      </x:c>
      <x:c r="G214" s="24"/>
      <x:c r="H214" s="24" t="str">
        <x:v>+19103198878</x:v>
      </x:c>
      <x:c r="I214" s="24" t="str">
        <x:v>http://www.coastalnccashoffer.com/i/NFJM/</x:v>
      </x:c>
      <x:c r="J214" s="16" t="str">
        <x:v>NC</x:v>
      </x:c>
      <x:c r="K214" s="16" t="str">
        <x:v>Wilmington</x:v>
      </x:c>
      <x:c r="L214" s="16" t="str">
        <x:v>Public property-business route; investor decision maker unconfirmed</x:v>
      </x:c>
      <x:c r="M214" s="16" t="str">
        <x:v>http://www.coastalnccashoffer.com/i/NFJM/</x:v>
      </x:c>
      <x:c r="N214" s="16" t="str">
        <x:v>$100K-$500K ticket not published / unconfirmed</x:v>
      </x:c>
      <x:c r="O214" s="20"/>
      <x:c r="P214" s="20"/>
      <x:c r="Q214" s="25" t="str">
        <x:v>No $100K-$500K operating-company investment ticket verified</x:v>
      </x:c>
      <x:c r="R214" s="25" t="str">
        <x:v>Property acquisition or investor activity makes this an operator-capital prospect for the signed trial. Confirm operating-company debt/equity appetite.</x:v>
      </x:c>
      <x:c r="S214" s="25" t="str">
        <x:v>Public property-buying activity or a directory listing does not establish available cash, investing decision-maker, current $100K-$500K capacity, or willingness to fund 101XVC operating costs.</x:v>
      </x:c>
      <x:c r="T214" s="25" t="str">
        <x:v>Ask the owner/investor whether they can allocate $100K-$500K to trial marketing and acquisitions, and confirm structure, timing and decision authority.</x:v>
      </x:c>
      <x:c r="U214" s="25" t="str">
        <x:v>https://www.cashhomebuyersdirectory.com/cash-home-buyers/north-carolina/wilmington</x:v>
      </x:c>
      <x:c r="V214" s="26" t="d">
        <x:v>2026-10-02T00:00:00.000Z</x:v>
      </x:c>
      <x:c r="W214" s="26" t="d">
        <x:v>2026-10-02T00:00:00.000Z</x:v>
      </x:c>
      <x:c r="X214" s="25" t="str">
        <x:v>Public investor directory; business role and contact ownership require qualification</x:v>
      </x:c>
      <x:c r="Y214" s="25"/>
      <x:c r="Z214" s="25" t="str">
        <x:v>https://www.cashhomebuyersdirectory.com/cash-home-buyers/north-carolina/wilmington</x:v>
      </x:c>
      <x:c r="AA214" s="25" t="str">
        <x:v>Public cash-home-buyer directory lists business name, phone and market. Directory entry may include brokers or service providers.</x:v>
      </x:c>
      <x:c r="AB214" s="3" t="str">
        <x:v>New public-source collection</x:v>
      </x:c>
      <x:c r="AC214" s="3" t="str">
        <x:v>unverified</x:v>
      </x:c>
      <x:c r="AD214" s="3" t="str">
        <x:v>Not contacted / unconfirmed</x:v>
      </x:c>
      <x:c r="AE214" s="3" t="str">
        <x:v>No</x:v>
      </x:c>
      <x:c r="AF214" s="3" t="str">
        <x:v>No</x:v>
      </x:c>
      <x:c r="AG214" s="3"/>
      <x:c r="AH214" s="3"/>
      <x:c r="AI214" s="18"/>
      <x:c r="AJ214" s="3" t="str">
        <x:v>CF2500-B3CB1DCD0CC7</x:v>
      </x:c>
      <x:c r="AK214" s="3" t="str">
        <x:v>Property investor / home-buying operator prospect</x:v>
      </x:c>
      <x:c r="AL214" s="19" t="n">
        <x:v>100000</x:v>
      </x:c>
      <x:c r="AM214" s="19" t="n">
        <x:v>500000</x:v>
      </x:c>
      <x:c r="AN214" s="3" t="str">
        <x:v>https://www.cashhomebuyersdirectory.com/cash-home-buyers/north-carolina/wilmington</x:v>
      </x:c>
      <x:c r="AO214" s="3" t="str">
        <x:v>nc_il_az_co_investors.jsonl</x:v>
      </x:c>
      <x:c r="AP214" s="19"/>
    </x:row>
    <x:row r="215" ht="36" customHeight="1">
      <x:c r="A215" s="23" t="n">
        <x:v>214</x:v>
      </x:c>
      <x:c r="B215" s="15" t="str">
        <x:v>Community Cash Offer</x:v>
      </x:c>
      <x:c r="C215" s="15"/>
      <x:c r="D215" s="15" t="str">
        <x:v>Property investor / home-buying operator</x:v>
      </x:c>
      <x:c r="E215" s="15" t="str">
        <x:v>Property investor / operator inquiry</x:v>
      </x:c>
      <x:c r="F215" s="17" t="str">
        <x:v>New</x:v>
      </x:c>
      <x:c r="G215" s="24"/>
      <x:c r="H215" s="24" t="str">
        <x:v>+13462201185</x:v>
      </x:c>
      <x:c r="I215" s="24" t="str">
        <x:v>https://www.communitycashoffers.com/</x:v>
      </x:c>
      <x:c r="J215" s="16" t="str">
        <x:v>TX</x:v>
      </x:c>
      <x:c r="K215" s="16" t="str">
        <x:v>Houston</x:v>
      </x:c>
      <x:c r="L215" s="16" t="str">
        <x:v>Public property-business route; investor decision maker unconfirmed</x:v>
      </x:c>
      <x:c r="M215" s="16" t="str">
        <x:v>https://www.communitycashoffers.com/</x:v>
      </x:c>
      <x:c r="N215" s="16" t="str">
        <x:v>$100K-$500K ticket not published / unconfirmed</x:v>
      </x:c>
      <x:c r="O215" s="20"/>
      <x:c r="P215" s="20"/>
      <x:c r="Q215" s="25" t="str">
        <x:v>No $100K-$500K corporate-investment ticket published in checked source</x:v>
      </x:c>
      <x:c r="R215" s="25" t="str">
        <x:v>Property acquisition or investor activity makes this an operator-capital prospect for the signed trial. Confirm operating-company debt/equity appetite.</x:v>
      </x:c>
      <x:c r="S215" s="25" t="str">
        <x:v>Home-buying activity does not verify ability or willingness to invest $100K-$500K into 101XVC operating company. Website and contact verification pending.</x:v>
      </x:c>
      <x:c r="T215" s="25" t="str">
        <x:v>Ask the owner/investor whether they can allocate $100K-$500K to trial marketing and acquisitions, and confirm structure, timing and decision authority.</x:v>
      </x:c>
      <x:c r="U215" s="25" t="str">
        <x:v>https://www.cashhomebuyersdirectory.com/cash-home-buyers/texas/houston</x:v>
      </x:c>
      <x:c r="V215" s="26" t="d">
        <x:v>2026-10-02T00:00:00.000Z</x:v>
      </x:c>
      <x:c r="W215" s="26" t="d">
        <x:v>2026-10-03T00:00:00.000Z</x:v>
      </x:c>
      <x:c r="X215" s="25" t="str">
        <x:v>Public investor directory; business role and contact ownership require qualification</x:v>
      </x:c>
      <x:c r="Y215" s="25"/>
      <x:c r="Z215" s="25" t="str">
        <x:v>https://www.cashhomebuyersdirectory.com/cash-home-buyers/texas/houston</x:v>
      </x:c>
      <x:c r="AA215" s="25" t="str">
        <x:v>Public cash-home-buyer directory lists business name, phone and market. Directory entry may include brokers or service providers.</x:v>
      </x:c>
      <x:c r="AB215" s="3" t="str">
        <x:v>New public-source collection</x:v>
      </x:c>
      <x:c r="AC215" s="3" t="str">
        <x:v>unverified</x:v>
      </x:c>
      <x:c r="AD215" s="3" t="str">
        <x:v>Not contacted / unconfirmed</x:v>
      </x:c>
      <x:c r="AE215" s="3" t="str">
        <x:v>No</x:v>
      </x:c>
      <x:c r="AF215" s="3" t="str">
        <x:v>No</x:v>
      </x:c>
      <x:c r="AG215" s="3"/>
      <x:c r="AH215" s="3"/>
      <x:c r="AI215" s="18"/>
      <x:c r="AJ215" s="3" t="str">
        <x:v>CF2500-F821C9B12BDC</x:v>
      </x:c>
      <x:c r="AK215" s="3" t="str">
        <x:v>Property investor / home-buying operator prospect</x:v>
      </x:c>
      <x:c r="AL215" s="19" t="n">
        <x:v>100000</x:v>
      </x:c>
      <x:c r="AM215" s="19" t="n">
        <x:v>500000</x:v>
      </x:c>
      <x:c r="AN215" s="3" t="str">
        <x:v>https://www.cashhomebuyersdirectory.com/cash-home-buyers/texas/houston</x:v>
      </x:c>
      <x:c r="AO215" s="3" t="str">
        <x:v>tx_fl_investors.jsonl</x:v>
      </x:c>
      <x:c r="AP215" s="19"/>
    </x:row>
    <x:row r="216" ht="36" customHeight="1">
      <x:c r="A216" s="23" t="n">
        <x:v>215</x:v>
      </x:c>
      <x:c r="B216" s="15" t="str">
        <x:v>Cornerstone Homebuyers</x:v>
      </x:c>
      <x:c r="C216" s="15"/>
      <x:c r="D216" s="15" t="str">
        <x:v>Property investor / home-buying operator</x:v>
      </x:c>
      <x:c r="E216" s="15" t="str">
        <x:v>Property investor / operator inquiry</x:v>
      </x:c>
      <x:c r="F216" s="17" t="str">
        <x:v>New</x:v>
      </x:c>
      <x:c r="G216" s="24"/>
      <x:c r="H216" s="24" t="str">
        <x:v>+13056152888</x:v>
      </x:c>
      <x:c r="I216" s="24" t="str">
        <x:v>https://www.cornerstonehomebuyers.com/</x:v>
      </x:c>
      <x:c r="J216" s="16" t="str">
        <x:v>FL</x:v>
      </x:c>
      <x:c r="K216" s="16" t="str">
        <x:v>Miami</x:v>
      </x:c>
      <x:c r="L216" s="16" t="str">
        <x:v>Public property-business route; investor decision maker unconfirmed</x:v>
      </x:c>
      <x:c r="M216" s="16" t="str">
        <x:v>https://www.cornerstonehomebuyers.com/</x:v>
      </x:c>
      <x:c r="N216" s="16" t="str">
        <x:v>$100K-$500K ticket not published / unconfirmed</x:v>
      </x:c>
      <x:c r="O216" s="20"/>
      <x:c r="P216" s="20"/>
      <x:c r="Q216" s="25" t="str">
        <x:v>No $100K-$500K corporate-investment ticket published in checked source</x:v>
      </x:c>
      <x:c r="R216" s="25" t="str">
        <x:v>Property acquisition or investor activity makes this an operator-capital prospect for the signed trial. Confirm operating-company debt/equity appetite.</x:v>
      </x:c>
      <x:c r="S216" s="25" t="str">
        <x:v>Home-buying activity does not verify ability or willingness to invest $100K-$500K into 101XVC operating company. Website and contact verification pending.</x:v>
      </x:c>
      <x:c r="T216" s="25" t="str">
        <x:v>Ask the owner/investor whether they can allocate $100K-$500K to trial marketing and acquisitions, and confirm structure, timing and decision authority.</x:v>
      </x:c>
      <x:c r="U216" s="25" t="str">
        <x:v>https://www.cashhomebuyersdirectory.com/cash-home-buyers/florida/miami</x:v>
      </x:c>
      <x:c r="V216" s="26" t="d">
        <x:v>2026-10-02T00:00:00.000Z</x:v>
      </x:c>
      <x:c r="W216" s="26" t="d">
        <x:v>2026-10-03T00:00:00.000Z</x:v>
      </x:c>
      <x:c r="X216" s="25" t="str">
        <x:v>Public investor directory; business role and contact ownership require qualification</x:v>
      </x:c>
      <x:c r="Y216" s="25"/>
      <x:c r="Z216" s="25" t="str">
        <x:v>https://www.cashhomebuyersdirectory.com/cash-home-buyers/florida/miami</x:v>
      </x:c>
      <x:c r="AA216" s="25" t="str">
        <x:v>Public cash-home-buyer directory lists business name, phone and market. Directory entry may include brokers or service providers.</x:v>
      </x:c>
      <x:c r="AB216" s="3" t="str">
        <x:v>New public-source collection</x:v>
      </x:c>
      <x:c r="AC216" s="3" t="str">
        <x:v>unverified</x:v>
      </x:c>
      <x:c r="AD216" s="3" t="str">
        <x:v>Not contacted / unconfirmed</x:v>
      </x:c>
      <x:c r="AE216" s="3" t="str">
        <x:v>No</x:v>
      </x:c>
      <x:c r="AF216" s="3" t="str">
        <x:v>No</x:v>
      </x:c>
      <x:c r="AG216" s="3"/>
      <x:c r="AH216" s="3"/>
      <x:c r="AI216" s="18"/>
      <x:c r="AJ216" s="3" t="str">
        <x:v>CF2500-8B9EF6B71F12</x:v>
      </x:c>
      <x:c r="AK216" s="3" t="str">
        <x:v>Property investor / home-buying operator prospect</x:v>
      </x:c>
      <x:c r="AL216" s="19" t="n">
        <x:v>100000</x:v>
      </x:c>
      <x:c r="AM216" s="19" t="n">
        <x:v>500000</x:v>
      </x:c>
      <x:c r="AN216" s="3" t="str">
        <x:v>https://www.cashhomebuyersdirectory.com/cash-home-buyers/florida/miami</x:v>
      </x:c>
      <x:c r="AO216" s="3" t="str">
        <x:v>tx_fl_investors.jsonl</x:v>
      </x:c>
      <x:c r="AP216" s="19"/>
    </x:row>
    <x:row r="217" ht="36" customHeight="1">
      <x:c r="A217" s="23" t="n">
        <x:v>216</x:v>
      </x:c>
      <x:c r="B217" s="15" t="str">
        <x:v>Cowtown Home Buyers</x:v>
      </x:c>
      <x:c r="C217" s="15"/>
      <x:c r="D217" s="15" t="str">
        <x:v>Property investor / home-buying operator</x:v>
      </x:c>
      <x:c r="E217" s="15" t="str">
        <x:v>Property investor / operator inquiry</x:v>
      </x:c>
      <x:c r="F217" s="17" t="str">
        <x:v>New</x:v>
      </x:c>
      <x:c r="G217" s="24"/>
      <x:c r="H217" s="24" t="str">
        <x:v>+16822077895</x:v>
      </x:c>
      <x:c r="I217" s="24" t="str">
        <x:v>http://www.cowtownhomebuyer.com/i/jRzV/</x:v>
      </x:c>
      <x:c r="J217" s="16" t="str">
        <x:v>TX</x:v>
      </x:c>
      <x:c r="K217" s="16" t="str">
        <x:v>Fort Worth</x:v>
      </x:c>
      <x:c r="L217" s="16" t="str">
        <x:v>Public property-business route; investor decision maker unconfirmed</x:v>
      </x:c>
      <x:c r="M217" s="16" t="str">
        <x:v>http://www.cowtownhomebuyer.com/i/jRzV/</x:v>
      </x:c>
      <x:c r="N217" s="16" t="str">
        <x:v>$100K-$500K ticket not published / unconfirmed</x:v>
      </x:c>
      <x:c r="O217" s="20"/>
      <x:c r="P217" s="20"/>
      <x:c r="Q217" s="25" t="str">
        <x:v>No $100K-$500K corporate-investment ticket published in checked source</x:v>
      </x:c>
      <x:c r="R217" s="25" t="str">
        <x:v>Property acquisition or investor activity makes this an operator-capital prospect for the signed trial. Confirm operating-company debt/equity appetite.</x:v>
      </x:c>
      <x:c r="S217" s="25" t="str">
        <x:v>Home-buying activity does not verify ability or willingness to invest $100K-$500K into 101XVC operating company. Website and contact verification pending.</x:v>
      </x:c>
      <x:c r="T217" s="25" t="str">
        <x:v>Ask the owner/investor whether they can allocate $100K-$500K to trial marketing and acquisitions, and confirm structure, timing and decision authority.</x:v>
      </x:c>
      <x:c r="U217" s="25" t="str">
        <x:v>https://www.cashhomebuyersdirectory.com/cash-home-buyers/texas/fort-worth</x:v>
      </x:c>
      <x:c r="V217" s="26" t="d">
        <x:v>2026-10-02T00:00:00.000Z</x:v>
      </x:c>
      <x:c r="W217" s="26" t="d">
        <x:v>2026-10-03T00:00:00.000Z</x:v>
      </x:c>
      <x:c r="X217" s="25" t="str">
        <x:v>Public investor directory; business role and contact ownership require qualification</x:v>
      </x:c>
      <x:c r="Y217" s="25"/>
      <x:c r="Z217" s="25" t="str">
        <x:v>https://www.cashhomebuyersdirectory.com/cash-home-buyers/texas/fort-worth</x:v>
      </x:c>
      <x:c r="AA217" s="25" t="str">
        <x:v>Public cash-home-buyer directory lists business name, phone and market. Directory entry may include brokers or service providers.</x:v>
      </x:c>
      <x:c r="AB217" s="3" t="str">
        <x:v>New public-source collection</x:v>
      </x:c>
      <x:c r="AC217" s="3" t="str">
        <x:v>unverified</x:v>
      </x:c>
      <x:c r="AD217" s="3" t="str">
        <x:v>Not contacted / unconfirmed</x:v>
      </x:c>
      <x:c r="AE217" s="3" t="str">
        <x:v>No</x:v>
      </x:c>
      <x:c r="AF217" s="3" t="str">
        <x:v>No</x:v>
      </x:c>
      <x:c r="AG217" s="3"/>
      <x:c r="AH217" s="3"/>
      <x:c r="AI217" s="18"/>
      <x:c r="AJ217" s="3" t="str">
        <x:v>CF2500-02009F5EBB86</x:v>
      </x:c>
      <x:c r="AK217" s="3" t="str">
        <x:v>Property investor / home-buying operator prospect</x:v>
      </x:c>
      <x:c r="AL217" s="19" t="n">
        <x:v>100000</x:v>
      </x:c>
      <x:c r="AM217" s="19" t="n">
        <x:v>500000</x:v>
      </x:c>
      <x:c r="AN217" s="3" t="str">
        <x:v>https://www.cashhomebuyersdirectory.com/cash-home-buyers/texas/fort-worth</x:v>
      </x:c>
      <x:c r="AO217" s="3" t="str">
        <x:v>tx_fl_investors.jsonl</x:v>
      </x:c>
      <x:c r="AP217" s="19"/>
    </x:row>
    <x:row r="218" ht="36" customHeight="1">
      <x:c r="A218" s="23" t="n">
        <x:v>217</x:v>
      </x:c>
      <x:c r="B218" s="15" t="str">
        <x:v>Crossroad Home Buyer</x:v>
      </x:c>
      <x:c r="C218" s="15"/>
      <x:c r="D218" s="15" t="str">
        <x:v>Property investor / home-buying operator</x:v>
      </x:c>
      <x:c r="E218" s="15" t="str">
        <x:v>Property investor / operator inquiry</x:v>
      </x:c>
      <x:c r="F218" s="17" t="str">
        <x:v>New</x:v>
      </x:c>
      <x:c r="G218" s="24"/>
      <x:c r="H218" s="24" t="str">
        <x:v>+18154733034</x:v>
      </x:c>
      <x:c r="I218" s="24" t="str">
        <x:v>https://www.crossroadhomebuyer.com/contact-us/</x:v>
      </x:c>
      <x:c r="J218" s="16" t="str">
        <x:v>IL</x:v>
      </x:c>
      <x:c r="K218" s="16" t="str">
        <x:v>Roscoe</x:v>
      </x:c>
      <x:c r="L218" s="16" t="str">
        <x:v>Public property-business route; investor decision maker unconfirmed</x:v>
      </x:c>
      <x:c r="M218" s="16" t="str">
        <x:v>https://www.crossroadhomebuyer.com/contact-us/</x:v>
      </x:c>
      <x:c r="N218" s="16" t="str">
        <x:v>$100K-$500K ticket not published / unconfirmed</x:v>
      </x:c>
      <x:c r="O218" s="20"/>
      <x:c r="P218" s="20"/>
      <x:c r="Q218" s="25" t="str">
        <x:v>No $100K-$500K operating-company investment ticket verified</x:v>
      </x:c>
      <x:c r="R218" s="25" t="str">
        <x:v>Property acquisition or investor activity makes this an operator-capital prospect for the signed trial. Confirm operating-company debt/equity appetite.</x:v>
      </x:c>
      <x:c r="S218" s="25" t="str">
        <x:v>Public property-buying activity or a directory listing does not establish available cash, investing decision-maker, current $100K-$500K capacity, or willingness to fund 101XVC operating costs.</x:v>
      </x:c>
      <x:c r="T218" s="25" t="str">
        <x:v>Ask the owner/investor whether they can allocate $100K-$500K to trial marketing and acquisitions, and confirm structure, timing and decision authority.</x:v>
      </x:c>
      <x:c r="U218" s="25" t="str">
        <x:v>https://www.cashhomebuyersdirectory.com/cash-home-buyers/illinois/roscoe</x:v>
      </x:c>
      <x:c r="V218" s="26" t="d">
        <x:v>2026-10-02T00:00:00.000Z</x:v>
      </x:c>
      <x:c r="W218" s="26" t="d">
        <x:v>2026-10-02T00:00:00.000Z</x:v>
      </x:c>
      <x:c r="X218" s="25" t="str">
        <x:v>Public investor directory; business role and contact ownership require qualification</x:v>
      </x:c>
      <x:c r="Y218" s="25"/>
      <x:c r="Z218" s="25" t="str">
        <x:v>https://www.cashhomebuyersdirectory.com/cash-home-buyers/illinois/roscoe</x:v>
      </x:c>
      <x:c r="AA218" s="25" t="str">
        <x:v>Public cash-home-buyer directory lists business name, phone and market. Directory entry may include brokers or service providers.</x:v>
      </x:c>
      <x:c r="AB218" s="3" t="str">
        <x:v>New public-source collection</x:v>
      </x:c>
      <x:c r="AC218" s="3" t="str">
        <x:v>unverified</x:v>
      </x:c>
      <x:c r="AD218" s="3" t="str">
        <x:v>Not contacted / unconfirmed</x:v>
      </x:c>
      <x:c r="AE218" s="3" t="str">
        <x:v>No</x:v>
      </x:c>
      <x:c r="AF218" s="3" t="str">
        <x:v>No</x:v>
      </x:c>
      <x:c r="AG218" s="3"/>
      <x:c r="AH218" s="3"/>
      <x:c r="AI218" s="18"/>
      <x:c r="AJ218" s="3" t="str">
        <x:v>CF2500-800223BB244C</x:v>
      </x:c>
      <x:c r="AK218" s="3" t="str">
        <x:v>Property investor / home-buying operator prospect</x:v>
      </x:c>
      <x:c r="AL218" s="19" t="n">
        <x:v>100000</x:v>
      </x:c>
      <x:c r="AM218" s="19" t="n">
        <x:v>500000</x:v>
      </x:c>
      <x:c r="AN218" s="3" t="str">
        <x:v>https://www.cashhomebuyersdirectory.com/cash-home-buyers/illinois/roscoe</x:v>
      </x:c>
      <x:c r="AO218" s="3" t="str">
        <x:v>nc_il_az_co_investors.jsonl</x:v>
      </x:c>
      <x:c r="AP218" s="19"/>
    </x:row>
    <x:row r="219" ht="36" customHeight="1">
      <x:c r="A219" s="23" t="n">
        <x:v>218</x:v>
      </x:c>
      <x:c r="B219" s="15" t="str">
        <x:v>Crown Real Estate - Home Buyer</x:v>
      </x:c>
      <x:c r="C219" s="15"/>
      <x:c r="D219" s="15" t="str">
        <x:v>Property investor / home-buying operator</x:v>
      </x:c>
      <x:c r="E219" s="15" t="str">
        <x:v>Property investor / operator inquiry</x:v>
      </x:c>
      <x:c r="F219" s="17" t="str">
        <x:v>New</x:v>
      </x:c>
      <x:c r="G219" s="24"/>
      <x:c r="H219" s="24" t="str">
        <x:v>+13369365335</x:v>
      </x:c>
      <x:c r="I219" s="24" t="str">
        <x:v>https://www.crownrealestateusa.com/</x:v>
      </x:c>
      <x:c r="J219" s="16" t="str">
        <x:v>NC</x:v>
      </x:c>
      <x:c r="K219" s="16" t="str">
        <x:v>Winston-Salem</x:v>
      </x:c>
      <x:c r="L219" s="16" t="str">
        <x:v>Public property-business route; investor decision maker unconfirmed</x:v>
      </x:c>
      <x:c r="M219" s="16" t="str">
        <x:v>https://www.crownrealestateusa.com/</x:v>
      </x:c>
      <x:c r="N219" s="16" t="str">
        <x:v>$100K-$500K ticket not published / unconfirmed</x:v>
      </x:c>
      <x:c r="O219" s="20"/>
      <x:c r="P219" s="20"/>
      <x:c r="Q219" s="25" t="str">
        <x:v>No $100K-$500K operating-company investment ticket verified</x:v>
      </x:c>
      <x:c r="R219" s="25" t="str">
        <x:v>Property acquisition or investor activity makes this an operator-capital prospect for the signed trial. Confirm operating-company debt/equity appetite.</x:v>
      </x:c>
      <x:c r="S219" s="25" t="str">
        <x:v>Public property-buying activity or a directory listing does not establish available cash, investing decision-maker, current $100K-$500K capacity, or willingness to fund 101XVC operating costs.</x:v>
      </x:c>
      <x:c r="T219" s="25" t="str">
        <x:v>Ask the owner/investor whether they can allocate $100K-$500K to trial marketing and acquisitions, and confirm structure, timing and decision authority.</x:v>
      </x:c>
      <x:c r="U219" s="25" t="str">
        <x:v>https://www.cashhomebuyersdirectory.com/cash-home-buyers/north-carolina/winston-salem</x:v>
      </x:c>
      <x:c r="V219" s="26" t="d">
        <x:v>2026-10-02T00:00:00.000Z</x:v>
      </x:c>
      <x:c r="W219" s="26" t="d">
        <x:v>2026-10-02T00:00:00.000Z</x:v>
      </x:c>
      <x:c r="X219" s="25" t="str">
        <x:v>Public investor directory; business role and contact ownership require qualification</x:v>
      </x:c>
      <x:c r="Y219" s="25"/>
      <x:c r="Z219" s="25" t="str">
        <x:v>https://www.cashhomebuyersdirectory.com/cash-home-buyers/north-carolina/winston-salem</x:v>
      </x:c>
      <x:c r="AA219" s="25" t="str">
        <x:v>Public cash-home-buyer directory lists business name, phone and market. Directory entry may include brokers or service providers.</x:v>
      </x:c>
      <x:c r="AB219" s="3" t="str">
        <x:v>New public-source collection</x:v>
      </x:c>
      <x:c r="AC219" s="3" t="str">
        <x:v>unverified</x:v>
      </x:c>
      <x:c r="AD219" s="3" t="str">
        <x:v>Not contacted / unconfirmed</x:v>
      </x:c>
      <x:c r="AE219" s="3" t="str">
        <x:v>No</x:v>
      </x:c>
      <x:c r="AF219" s="3" t="str">
        <x:v>No</x:v>
      </x:c>
      <x:c r="AG219" s="3"/>
      <x:c r="AH219" s="3"/>
      <x:c r="AI219" s="18"/>
      <x:c r="AJ219" s="3" t="str">
        <x:v>CF2500-585698967969</x:v>
      </x:c>
      <x:c r="AK219" s="3" t="str">
        <x:v>Property investor / home-buying operator prospect</x:v>
      </x:c>
      <x:c r="AL219" s="19" t="n">
        <x:v>100000</x:v>
      </x:c>
      <x:c r="AM219" s="19" t="n">
        <x:v>500000</x:v>
      </x:c>
      <x:c r="AN219" s="3" t="str">
        <x:v>https://www.cashhomebuyersdirectory.com/cash-home-buyers/north-carolina/winston-salem</x:v>
      </x:c>
      <x:c r="AO219" s="3" t="str">
        <x:v>nc_il_az_co_investors.jsonl</x:v>
      </x:c>
      <x:c r="AP219" s="19"/>
    </x:row>
    <x:row r="220" ht="36" customHeight="1">
      <x:c r="A220" s="23" t="n">
        <x:v>219</x:v>
      </x:c>
      <x:c r="B220" s="15" t="str">
        <x:v>CRP Home Buyers</x:v>
      </x:c>
      <x:c r="C220" s="15"/>
      <x:c r="D220" s="15" t="str">
        <x:v>Property investor / home-buying operator</x:v>
      </x:c>
      <x:c r="E220" s="15" t="str">
        <x:v>Property investor / operator inquiry</x:v>
      </x:c>
      <x:c r="F220" s="17" t="str">
        <x:v>New</x:v>
      </x:c>
      <x:c r="G220" s="24"/>
      <x:c r="H220" s="24" t="str">
        <x:v>+14692654490</x:v>
      </x:c>
      <x:c r="I220" s="24" t="str">
        <x:v>https://www.crphomebuyers.com/</x:v>
      </x:c>
      <x:c r="J220" s="16" t="str">
        <x:v>TX</x:v>
      </x:c>
      <x:c r="K220" s="16" t="str">
        <x:v>Dallas</x:v>
      </x:c>
      <x:c r="L220" s="16" t="str">
        <x:v>Public property-business route; investor decision maker unconfirmed</x:v>
      </x:c>
      <x:c r="M220" s="16" t="str">
        <x:v>https://www.crphomebuyers.com/</x:v>
      </x:c>
      <x:c r="N220" s="16" t="str">
        <x:v>$100K-$500K ticket not published / unconfirmed</x:v>
      </x:c>
      <x:c r="O220" s="20"/>
      <x:c r="P220" s="20"/>
      <x:c r="Q220" s="25" t="str">
        <x:v>No $100K-$500K corporate-investment ticket published in checked source</x:v>
      </x:c>
      <x:c r="R220" s="25" t="str">
        <x:v>Property acquisition or investor activity makes this an operator-capital prospect for the signed trial. Confirm operating-company debt/equity appetite.</x:v>
      </x:c>
      <x:c r="S220" s="25" t="str">
        <x:v>Home-buying activity does not verify ability or willingness to invest $100K-$500K into 101XVC operating company. Website and contact verification pending.</x:v>
      </x:c>
      <x:c r="T220" s="25" t="str">
        <x:v>Ask the owner/investor whether they can allocate $100K-$500K to trial marketing and acquisitions, and confirm structure, timing and decision authority.</x:v>
      </x:c>
      <x:c r="U220" s="25" t="str">
        <x:v>https://www.cashhomebuyersdirectory.com/cash-home-buyers/texas/dallas</x:v>
      </x:c>
      <x:c r="V220" s="26" t="d">
        <x:v>2026-10-02T00:00:00.000Z</x:v>
      </x:c>
      <x:c r="W220" s="26" t="d">
        <x:v>2026-10-03T00:00:00.000Z</x:v>
      </x:c>
      <x:c r="X220" s="25" t="str">
        <x:v>Public investor directory; business role and contact ownership require qualification</x:v>
      </x:c>
      <x:c r="Y220" s="25"/>
      <x:c r="Z220" s="25" t="str">
        <x:v>https://www.cashhomebuyersdirectory.com/cash-home-buyers/texas/dallas</x:v>
      </x:c>
      <x:c r="AA220" s="25" t="str">
        <x:v>Public cash-home-buyer directory lists business name, phone and market. Directory entry may include brokers or service providers.</x:v>
      </x:c>
      <x:c r="AB220" s="3" t="str">
        <x:v>New public-source collection</x:v>
      </x:c>
      <x:c r="AC220" s="3" t="str">
        <x:v>unverified</x:v>
      </x:c>
      <x:c r="AD220" s="3" t="str">
        <x:v>Not contacted / unconfirmed</x:v>
      </x:c>
      <x:c r="AE220" s="3" t="str">
        <x:v>No</x:v>
      </x:c>
      <x:c r="AF220" s="3" t="str">
        <x:v>No</x:v>
      </x:c>
      <x:c r="AG220" s="3"/>
      <x:c r="AH220" s="3"/>
      <x:c r="AI220" s="18"/>
      <x:c r="AJ220" s="3" t="str">
        <x:v>CF2500-C997762A2EB7</x:v>
      </x:c>
      <x:c r="AK220" s="3" t="str">
        <x:v>Property investor / home-buying operator prospect</x:v>
      </x:c>
      <x:c r="AL220" s="19" t="n">
        <x:v>100000</x:v>
      </x:c>
      <x:c r="AM220" s="19" t="n">
        <x:v>500000</x:v>
      </x:c>
      <x:c r="AN220" s="3" t="str">
        <x:v>https://www.cashhomebuyersdirectory.com/cash-home-buyers/texas/dallas</x:v>
      </x:c>
      <x:c r="AO220" s="3" t="str">
        <x:v>tx_fl_investors.jsonl</x:v>
      </x:c>
      <x:c r="AP220" s="19"/>
    </x:row>
    <x:row r="221" ht="36" customHeight="1">
      <x:c r="A221" s="23" t="n">
        <x:v>220</x:v>
      </x:c>
      <x:c r="B221" s="15" t="str">
        <x:v>Duval Home Buyers 1, LLC</x:v>
      </x:c>
      <x:c r="C221" s="15"/>
      <x:c r="D221" s="15" t="str">
        <x:v>Property investor / home-buying operator</x:v>
      </x:c>
      <x:c r="E221" s="15" t="str">
        <x:v>Property investor / operator inquiry</x:v>
      </x:c>
      <x:c r="F221" s="17" t="str">
        <x:v>New</x:v>
      </x:c>
      <x:c r="G221" s="24"/>
      <x:c r="H221" s="24" t="str">
        <x:v>+19046061362</x:v>
      </x:c>
      <x:c r="I221" s="24" t="str">
        <x:v>http://www.duvalhomebuyersllc.com/</x:v>
      </x:c>
      <x:c r="J221" s="16" t="str">
        <x:v>FL</x:v>
      </x:c>
      <x:c r="K221" s="16" t="str">
        <x:v>Jacksonville</x:v>
      </x:c>
      <x:c r="L221" s="16" t="str">
        <x:v>Public property-business route; investor decision maker unconfirmed</x:v>
      </x:c>
      <x:c r="M221" s="16" t="str">
        <x:v>http://www.duvalhomebuyersllc.com/</x:v>
      </x:c>
      <x:c r="N221" s="16" t="str">
        <x:v>$100K-$500K ticket not published / unconfirmed</x:v>
      </x:c>
      <x:c r="O221" s="20"/>
      <x:c r="P221" s="20"/>
      <x:c r="Q221" s="25" t="str">
        <x:v>No $100K-$500K corporate-investment ticket published in checked source</x:v>
      </x:c>
      <x:c r="R221" s="25" t="str">
        <x:v>Property acquisition or investor activity makes this an operator-capital prospect for the signed trial. Confirm operating-company debt/equity appetite.</x:v>
      </x:c>
      <x:c r="S221" s="25" t="str">
        <x:v>Home-buying activity does not verify ability or willingness to invest $100K-$500K into 101XVC operating company. Website and contact verification pending.</x:v>
      </x:c>
      <x:c r="T221" s="25" t="str">
        <x:v>Ask the owner/investor whether they can allocate $100K-$500K to trial marketing and acquisitions, and confirm structure, timing and decision authority.</x:v>
      </x:c>
      <x:c r="U221" s="25" t="str">
        <x:v>https://www.cashhomebuyersdirectory.com/cash-home-buyers/florida/jacksonville</x:v>
      </x:c>
      <x:c r="V221" s="26" t="d">
        <x:v>2026-10-02T00:00:00.000Z</x:v>
      </x:c>
      <x:c r="W221" s="26" t="d">
        <x:v>2026-10-03T00:00:00.000Z</x:v>
      </x:c>
      <x:c r="X221" s="25" t="str">
        <x:v>Public investor directory; business role and contact ownership require qualification</x:v>
      </x:c>
      <x:c r="Y221" s="25"/>
      <x:c r="Z221" s="25" t="str">
        <x:v>https://www.cashhomebuyersdirectory.com/cash-home-buyers/florida/jacksonville</x:v>
      </x:c>
      <x:c r="AA221" s="25" t="str">
        <x:v>Public cash-home-buyer directory lists business name, phone and market. Directory entry may include brokers or service providers.</x:v>
      </x:c>
      <x:c r="AB221" s="3" t="str">
        <x:v>New public-source collection</x:v>
      </x:c>
      <x:c r="AC221" s="3" t="str">
        <x:v>unverified</x:v>
      </x:c>
      <x:c r="AD221" s="3" t="str">
        <x:v>Not contacted / unconfirmed</x:v>
      </x:c>
      <x:c r="AE221" s="3" t="str">
        <x:v>No</x:v>
      </x:c>
      <x:c r="AF221" s="3" t="str">
        <x:v>No</x:v>
      </x:c>
      <x:c r="AG221" s="3"/>
      <x:c r="AH221" s="3"/>
      <x:c r="AI221" s="18"/>
      <x:c r="AJ221" s="3" t="str">
        <x:v>CF2500-7376D692EF5E</x:v>
      </x:c>
      <x:c r="AK221" s="3" t="str">
        <x:v>Property investor / home-buying operator prospect</x:v>
      </x:c>
      <x:c r="AL221" s="19" t="n">
        <x:v>100000</x:v>
      </x:c>
      <x:c r="AM221" s="19" t="n">
        <x:v>500000</x:v>
      </x:c>
      <x:c r="AN221" s="3" t="str">
        <x:v>https://www.cashhomebuyersdirectory.com/cash-home-buyers/florida/jacksonville</x:v>
      </x:c>
      <x:c r="AO221" s="3" t="str">
        <x:v>tx_fl_investors.jsonl</x:v>
      </x:c>
      <x:c r="AP221" s="19"/>
    </x:row>
    <x:row r="222" ht="36" customHeight="1">
      <x:c r="A222" s="23" t="n">
        <x:v>221</x:v>
      </x:c>
      <x:c r="B222" s="15" t="str">
        <x:v>Easy Exit Home Buyers</x:v>
      </x:c>
      <x:c r="C222" s="15"/>
      <x:c r="D222" s="15" t="str">
        <x:v>Property investor / home-buying operator</x:v>
      </x:c>
      <x:c r="E222" s="15" t="str">
        <x:v>Property investor / operator inquiry</x:v>
      </x:c>
      <x:c r="F222" s="17" t="str">
        <x:v>New</x:v>
      </x:c>
      <x:c r="G222" s="24"/>
      <x:c r="H222" s="24" t="str">
        <x:v>+12242679324</x:v>
      </x:c>
      <x:c r="I222" s="24" t="str">
        <x:v>https://geteasyexit.com/</x:v>
      </x:c>
      <x:c r="J222" s="16" t="str">
        <x:v>IL</x:v>
      </x:c>
      <x:c r="K222" s="16" t="str">
        <x:v>Crystal Lake</x:v>
      </x:c>
      <x:c r="L222" s="16" t="str">
        <x:v>Public property-business route; investor decision maker unconfirmed</x:v>
      </x:c>
      <x:c r="M222" s="16" t="str">
        <x:v>https://geteasyexit.com/</x:v>
      </x:c>
      <x:c r="N222" s="16" t="str">
        <x:v>$100K-$500K ticket not published / unconfirmed</x:v>
      </x:c>
      <x:c r="O222" s="20"/>
      <x:c r="P222" s="20"/>
      <x:c r="Q222" s="25" t="str">
        <x:v>No $100K-$500K operating-company investment ticket verified</x:v>
      </x:c>
      <x:c r="R222" s="25" t="str">
        <x:v>Property acquisition or investor activity makes this an operator-capital prospect for the signed trial. Confirm operating-company debt/equity appetite.</x:v>
      </x:c>
      <x:c r="S222" s="25" t="str">
        <x:v>Public property-buying activity or a directory listing does not establish available cash, investing decision-maker, current $100K-$500K capacity, or willingness to fund 101XVC operating costs.</x:v>
      </x:c>
      <x:c r="T222" s="25" t="str">
        <x:v>Ask the owner/investor whether they can allocate $100K-$500K to trial marketing and acquisitions, and confirm structure, timing and decision authority.</x:v>
      </x:c>
      <x:c r="U222" s="25" t="str">
        <x:v>https://www.cashhomebuyersdirectory.com/cash-home-buyers/illinois/crystal-lake</x:v>
      </x:c>
      <x:c r="V222" s="26" t="d">
        <x:v>2026-10-02T00:00:00.000Z</x:v>
      </x:c>
      <x:c r="W222" s="26" t="d">
        <x:v>2026-10-02T00:00:00.000Z</x:v>
      </x:c>
      <x:c r="X222" s="25" t="str">
        <x:v>Public investor directory; business role and contact ownership require qualification</x:v>
      </x:c>
      <x:c r="Y222" s="25"/>
      <x:c r="Z222" s="25" t="str">
        <x:v>https://www.cashhomebuyersdirectory.com/cash-home-buyers/illinois/crystal-lake</x:v>
      </x:c>
      <x:c r="AA222" s="25" t="str">
        <x:v>Public cash-home-buyer directory lists business name, phone and market. Directory entry may include brokers or service providers.</x:v>
      </x:c>
      <x:c r="AB222" s="3" t="str">
        <x:v>New public-source collection</x:v>
      </x:c>
      <x:c r="AC222" s="3" t="str">
        <x:v>unverified</x:v>
      </x:c>
      <x:c r="AD222" s="3" t="str">
        <x:v>Not contacted / unconfirmed</x:v>
      </x:c>
      <x:c r="AE222" s="3" t="str">
        <x:v>No</x:v>
      </x:c>
      <x:c r="AF222" s="3" t="str">
        <x:v>No</x:v>
      </x:c>
      <x:c r="AG222" s="3"/>
      <x:c r="AH222" s="3"/>
      <x:c r="AI222" s="18"/>
      <x:c r="AJ222" s="3" t="str">
        <x:v>CF2500-9BA7DE851CFD</x:v>
      </x:c>
      <x:c r="AK222" s="3" t="str">
        <x:v>Property investor / home-buying operator prospect</x:v>
      </x:c>
      <x:c r="AL222" s="19" t="n">
        <x:v>100000</x:v>
      </x:c>
      <x:c r="AM222" s="19" t="n">
        <x:v>500000</x:v>
      </x:c>
      <x:c r="AN222" s="3" t="str">
        <x:v>https://www.cashhomebuyersdirectory.com/cash-home-buyers/illinois/crystal-lake</x:v>
      </x:c>
      <x:c r="AO222" s="3" t="str">
        <x:v>nc_il_az_co_investors.jsonl</x:v>
      </x:c>
      <x:c r="AP222" s="19"/>
    </x:row>
    <x:row r="223" ht="36" customHeight="1">
      <x:c r="A223" s="23" t="n">
        <x:v>222</x:v>
      </x:c>
      <x:c r="B223" s="15" t="str">
        <x:v>Easy Sale Homebuyers</x:v>
      </x:c>
      <x:c r="C223" s="15"/>
      <x:c r="D223" s="15" t="str">
        <x:v>Property investor / home-buying operator</x:v>
      </x:c>
      <x:c r="E223" s="15" t="str">
        <x:v>Property investor / operator inquiry</x:v>
      </x:c>
      <x:c r="F223" s="17" t="str">
        <x:v>New</x:v>
      </x:c>
      <x:c r="G223" s="24"/>
      <x:c r="H223" s="24" t="str">
        <x:v>+14073348482</x:v>
      </x:c>
      <x:c r="I223" s="24" t="str">
        <x:v>https://www.easysalehq.com/</x:v>
      </x:c>
      <x:c r="J223" s="16" t="str">
        <x:v>FL</x:v>
      </x:c>
      <x:c r="K223" s="16" t="str">
        <x:v>Tampa</x:v>
      </x:c>
      <x:c r="L223" s="16" t="str">
        <x:v>Public property-business route; investor decision maker unconfirmed</x:v>
      </x:c>
      <x:c r="M223" s="16" t="str">
        <x:v>https://www.easysalehq.com/</x:v>
      </x:c>
      <x:c r="N223" s="16" t="str">
        <x:v>$100K-$500K ticket not published / unconfirmed</x:v>
      </x:c>
      <x:c r="O223" s="20"/>
      <x:c r="P223" s="20"/>
      <x:c r="Q223" s="25" t="str">
        <x:v>No $100K-$500K corporate-investment ticket published in checked source</x:v>
      </x:c>
      <x:c r="R223" s="25" t="str">
        <x:v>Property acquisition or investor activity makes this an operator-capital prospect for the signed trial. Confirm operating-company debt/equity appetite.</x:v>
      </x:c>
      <x:c r="S223" s="25" t="str">
        <x:v>Home-buying activity does not verify ability or willingness to invest $100K-$500K into 101XVC operating company. Website and contact verification pending.</x:v>
      </x:c>
      <x:c r="T223" s="25" t="str">
        <x:v>Ask the owner/investor whether they can allocate $100K-$500K to trial marketing and acquisitions, and confirm structure, timing and decision authority.</x:v>
      </x:c>
      <x:c r="U223" s="25" t="str">
        <x:v>https://www.cashhomebuyersdirectory.com/cash-home-buyers/florida/tampa</x:v>
      </x:c>
      <x:c r="V223" s="26" t="d">
        <x:v>2026-10-02T00:00:00.000Z</x:v>
      </x:c>
      <x:c r="W223" s="26" t="d">
        <x:v>2026-10-03T00:00:00.000Z</x:v>
      </x:c>
      <x:c r="X223" s="25" t="str">
        <x:v>Public investor directory; business role and contact ownership require qualification</x:v>
      </x:c>
      <x:c r="Y223" s="25"/>
      <x:c r="Z223" s="25" t="str">
        <x:v>https://www.cashhomebuyersdirectory.com/cash-home-buyers/florida/tampa</x:v>
      </x:c>
      <x:c r="AA223" s="25" t="str">
        <x:v>Public cash-home-buyer directory lists business name, phone and market. Directory entry may include brokers or service providers.</x:v>
      </x:c>
      <x:c r="AB223" s="3" t="str">
        <x:v>New public-source collection</x:v>
      </x:c>
      <x:c r="AC223" s="3" t="str">
        <x:v>unverified</x:v>
      </x:c>
      <x:c r="AD223" s="3" t="str">
        <x:v>Not contacted / unconfirmed</x:v>
      </x:c>
      <x:c r="AE223" s="3" t="str">
        <x:v>No</x:v>
      </x:c>
      <x:c r="AF223" s="3" t="str">
        <x:v>No</x:v>
      </x:c>
      <x:c r="AG223" s="3"/>
      <x:c r="AH223" s="3"/>
      <x:c r="AI223" s="18"/>
      <x:c r="AJ223" s="3" t="str">
        <x:v>CF2500-90A7080B1FE1</x:v>
      </x:c>
      <x:c r="AK223" s="3" t="str">
        <x:v>Property investor / home-buying operator prospect</x:v>
      </x:c>
      <x:c r="AL223" s="19" t="n">
        <x:v>100000</x:v>
      </x:c>
      <x:c r="AM223" s="19" t="n">
        <x:v>500000</x:v>
      </x:c>
      <x:c r="AN223" s="3" t="str">
        <x:v>https://www.cashhomebuyersdirectory.com/cash-home-buyers/florida/tampa</x:v>
      </x:c>
      <x:c r="AO223" s="3" t="str">
        <x:v>tx_fl_investors.jsonl</x:v>
      </x:c>
      <x:c r="AP223" s="19"/>
    </x:row>
    <x:row r="224" ht="36" customHeight="1">
      <x:c r="A224" s="23" t="n">
        <x:v>223</x:v>
      </x:c>
      <x:c r="B224" s="15" t="str">
        <x:v>Eazy Home Buyers</x:v>
      </x:c>
      <x:c r="C224" s="15"/>
      <x:c r="D224" s="15" t="str">
        <x:v>Property investor / home-buying operator</x:v>
      </x:c>
      <x:c r="E224" s="15" t="str">
        <x:v>Property investor / operator inquiry</x:v>
      </x:c>
      <x:c r="F224" s="17" t="str">
        <x:v>New</x:v>
      </x:c>
      <x:c r="G224" s="24"/>
      <x:c r="H224" s="24" t="str">
        <x:v>+12108122626</x:v>
      </x:c>
      <x:c r="I224" s="24" t="str">
        <x:v>https://www.sellmyhousesanantonio.org/</x:v>
      </x:c>
      <x:c r="J224" s="16" t="str">
        <x:v>TX</x:v>
      </x:c>
      <x:c r="K224" s="16" t="str">
        <x:v>San Antonio</x:v>
      </x:c>
      <x:c r="L224" s="16" t="str">
        <x:v>Public property-business route; investor decision maker unconfirmed</x:v>
      </x:c>
      <x:c r="M224" s="16" t="str">
        <x:v>https://www.sellmyhousesanantonio.org/</x:v>
      </x:c>
      <x:c r="N224" s="16" t="str">
        <x:v>$100K-$500K ticket not published / unconfirmed</x:v>
      </x:c>
      <x:c r="O224" s="20"/>
      <x:c r="P224" s="20"/>
      <x:c r="Q224" s="25" t="str">
        <x:v>No $100K-$500K corporate-investment ticket published in checked source</x:v>
      </x:c>
      <x:c r="R224" s="25" t="str">
        <x:v>Property acquisition or investor activity makes this an operator-capital prospect for the signed trial. Confirm operating-company debt/equity appetite.</x:v>
      </x:c>
      <x:c r="S224" s="25" t="str">
        <x:v>Home-buying activity does not verify ability or willingness to invest $100K-$500K into 101XVC operating company. Website and contact verification pending.</x:v>
      </x:c>
      <x:c r="T224" s="25" t="str">
        <x:v>Ask the owner/investor whether they can allocate $100K-$500K to trial marketing and acquisitions, and confirm structure, timing and decision authority.</x:v>
      </x:c>
      <x:c r="U224" s="25" t="str">
        <x:v>https://www.cashhomebuyersdirectory.com/cash-home-buyers/texas/san-antonio</x:v>
      </x:c>
      <x:c r="V224" s="26" t="d">
        <x:v>2026-10-02T00:00:00.000Z</x:v>
      </x:c>
      <x:c r="W224" s="26" t="d">
        <x:v>2026-10-03T00:00:00.000Z</x:v>
      </x:c>
      <x:c r="X224" s="25" t="str">
        <x:v>Public investor directory; business role and contact ownership require qualification</x:v>
      </x:c>
      <x:c r="Y224" s="25"/>
      <x:c r="Z224" s="25" t="str">
        <x:v>https://www.cashhomebuyersdirectory.com/cash-home-buyers/texas/san-antonio</x:v>
      </x:c>
      <x:c r="AA224" s="25" t="str">
        <x:v>Public cash-home-buyer directory lists business name, phone and market. Directory entry may include brokers or service providers.</x:v>
      </x:c>
      <x:c r="AB224" s="3" t="str">
        <x:v>New public-source collection</x:v>
      </x:c>
      <x:c r="AC224" s="3" t="str">
        <x:v>unverified</x:v>
      </x:c>
      <x:c r="AD224" s="3" t="str">
        <x:v>Not contacted / unconfirmed</x:v>
      </x:c>
      <x:c r="AE224" s="3" t="str">
        <x:v>No</x:v>
      </x:c>
      <x:c r="AF224" s="3" t="str">
        <x:v>No</x:v>
      </x:c>
      <x:c r="AG224" s="3"/>
      <x:c r="AH224" s="3"/>
      <x:c r="AI224" s="18"/>
      <x:c r="AJ224" s="3" t="str">
        <x:v>CF2500-97640D462296</x:v>
      </x:c>
      <x:c r="AK224" s="3" t="str">
        <x:v>Property investor / home-buying operator prospect</x:v>
      </x:c>
      <x:c r="AL224" s="19" t="n">
        <x:v>100000</x:v>
      </x:c>
      <x:c r="AM224" s="19" t="n">
        <x:v>500000</x:v>
      </x:c>
      <x:c r="AN224" s="3" t="str">
        <x:v>https://www.cashhomebuyersdirectory.com/cash-home-buyers/texas/san-antonio</x:v>
      </x:c>
      <x:c r="AO224" s="3" t="str">
        <x:v>tx_fl_investors.jsonl</x:v>
      </x:c>
      <x:c r="AP224" s="19"/>
    </x:row>
    <x:row r="225" ht="36" customHeight="1">
      <x:c r="A225" s="23" t="n">
        <x:v>224</x:v>
      </x:c>
      <x:c r="B225" s="15" t="str">
        <x:v>El Paso Cash Home Buyers</x:v>
      </x:c>
      <x:c r="C225" s="15"/>
      <x:c r="D225" s="15" t="str">
        <x:v>Property investor / home-buying operator</x:v>
      </x:c>
      <x:c r="E225" s="15" t="str">
        <x:v>Property investor / operator inquiry</x:v>
      </x:c>
      <x:c r="F225" s="17" t="str">
        <x:v>New</x:v>
      </x:c>
      <x:c r="G225" s="24"/>
      <x:c r="H225" s="24" t="str">
        <x:v>+19152332824</x:v>
      </x:c>
      <x:c r="I225" s="24" t="str">
        <x:v>https://www.elpasocashhomebuyers.com/</x:v>
      </x:c>
      <x:c r="J225" s="16" t="str">
        <x:v>TX</x:v>
      </x:c>
      <x:c r="K225" s="16" t="str">
        <x:v>El Paso</x:v>
      </x:c>
      <x:c r="L225" s="16" t="str">
        <x:v>Public property-business route; investor decision maker unconfirmed</x:v>
      </x:c>
      <x:c r="M225" s="16" t="str">
        <x:v>https://www.elpasocashhomebuyers.com/</x:v>
      </x:c>
      <x:c r="N225" s="16" t="str">
        <x:v>$100K-$500K ticket not published / unconfirmed</x:v>
      </x:c>
      <x:c r="O225" s="20"/>
      <x:c r="P225" s="20"/>
      <x:c r="Q225" s="25" t="str">
        <x:v>No $100K-$500K corporate-investment ticket published in checked source</x:v>
      </x:c>
      <x:c r="R225" s="25" t="str">
        <x:v>Property acquisition or investor activity makes this an operator-capital prospect for the signed trial. Confirm operating-company debt/equity appetite.</x:v>
      </x:c>
      <x:c r="S225" s="25" t="str">
        <x:v>Home-buying activity does not verify ability or willingness to invest $100K-$500K into 101XVC operating company. Website and contact verification pending.</x:v>
      </x:c>
      <x:c r="T225" s="25" t="str">
        <x:v>Ask the owner/investor whether they can allocate $100K-$500K to trial marketing and acquisitions, and confirm structure, timing and decision authority.</x:v>
      </x:c>
      <x:c r="U225" s="25" t="str">
        <x:v>https://www.cashhomebuyersdirectory.com/cash-home-buyers/texas/el-paso</x:v>
      </x:c>
      <x:c r="V225" s="26" t="d">
        <x:v>2026-10-02T00:00:00.000Z</x:v>
      </x:c>
      <x:c r="W225" s="26" t="d">
        <x:v>2026-10-03T00:00:00.000Z</x:v>
      </x:c>
      <x:c r="X225" s="25" t="str">
        <x:v>Public investor directory; business role and contact ownership require qualification</x:v>
      </x:c>
      <x:c r="Y225" s="25"/>
      <x:c r="Z225" s="25" t="str">
        <x:v>https://www.cashhomebuyersdirectory.com/cash-home-buyers/texas/el-paso</x:v>
      </x:c>
      <x:c r="AA225" s="25" t="str">
        <x:v>Public cash-home-buyer directory lists business name, phone and market. Directory entry may include brokers or service providers.</x:v>
      </x:c>
      <x:c r="AB225" s="3" t="str">
        <x:v>New public-source collection</x:v>
      </x:c>
      <x:c r="AC225" s="3" t="str">
        <x:v>unverified</x:v>
      </x:c>
      <x:c r="AD225" s="3" t="str">
        <x:v>Not contacted / unconfirmed</x:v>
      </x:c>
      <x:c r="AE225" s="3" t="str">
        <x:v>No</x:v>
      </x:c>
      <x:c r="AF225" s="3" t="str">
        <x:v>No</x:v>
      </x:c>
      <x:c r="AG225" s="3"/>
      <x:c r="AH225" s="3"/>
      <x:c r="AI225" s="18"/>
      <x:c r="AJ225" s="3" t="str">
        <x:v>CF2500-A28014D4549A</x:v>
      </x:c>
      <x:c r="AK225" s="3" t="str">
        <x:v>Property investor / home-buying operator prospect</x:v>
      </x:c>
      <x:c r="AL225" s="19" t="n">
        <x:v>100000</x:v>
      </x:c>
      <x:c r="AM225" s="19" t="n">
        <x:v>500000</x:v>
      </x:c>
      <x:c r="AN225" s="3" t="str">
        <x:v>https://www.cashhomebuyersdirectory.com/cash-home-buyers/texas/el-paso</x:v>
      </x:c>
      <x:c r="AO225" s="3" t="str">
        <x:v>tx_fl_investors.jsonl</x:v>
      </x:c>
      <x:c r="AP225" s="19"/>
    </x:row>
    <x:row r="226" ht="36" customHeight="1">
      <x:c r="A226" s="23" t="n">
        <x:v>225</x:v>
      </x:c>
      <x:c r="B226" s="15" t="str">
        <x:v>Elk Grove Village House Buyer</x:v>
      </x:c>
      <x:c r="C226" s="15"/>
      <x:c r="D226" s="15" t="str">
        <x:v>Property investor / home-buying operator</x:v>
      </x:c>
      <x:c r="E226" s="15" t="str">
        <x:v>Property investor / operator inquiry</x:v>
      </x:c>
      <x:c r="F226" s="17" t="str">
        <x:v>New</x:v>
      </x:c>
      <x:c r="G226" s="24"/>
      <x:c r="H226" s="24" t="str">
        <x:v>+12242781010</x:v>
      </x:c>
      <x:c r="I226" s="24" t="str">
        <x:v>http://housebuyerelkgrovevillage.com/</x:v>
      </x:c>
      <x:c r="J226" s="16" t="str">
        <x:v>IL</x:v>
      </x:c>
      <x:c r="K226" s="16" t="str">
        <x:v>Elk Grove Village</x:v>
      </x:c>
      <x:c r="L226" s="16" t="str">
        <x:v>Public property-business route; investor decision maker unconfirmed</x:v>
      </x:c>
      <x:c r="M226" s="16" t="str">
        <x:v>http://housebuyerelkgrovevillage.com/</x:v>
      </x:c>
      <x:c r="N226" s="16" t="str">
        <x:v>$100K-$500K ticket not published / unconfirmed</x:v>
      </x:c>
      <x:c r="O226" s="20"/>
      <x:c r="P226" s="20"/>
      <x:c r="Q226" s="25" t="str">
        <x:v>No $100K-$500K operating-company investment ticket verified</x:v>
      </x:c>
      <x:c r="R226" s="25" t="str">
        <x:v>Property acquisition or investor activity makes this an operator-capital prospect for the signed trial. Confirm operating-company debt/equity appetite.</x:v>
      </x:c>
      <x:c r="S226" s="25" t="str">
        <x:v>Public property-buying activity or a directory listing does not establish available cash, investing decision-maker, current $100K-$500K capacity, or willingness to fund 101XVC operating costs.</x:v>
      </x:c>
      <x:c r="T226" s="25" t="str">
        <x:v>Ask the owner/investor whether they can allocate $100K-$500K to trial marketing and acquisitions, and confirm structure, timing and decision authority.</x:v>
      </x:c>
      <x:c r="U226" s="25" t="str">
        <x:v>https://www.cashhomebuyersdirectory.com/cash-home-buyers/illinois/elk-grove-village</x:v>
      </x:c>
      <x:c r="V226" s="26" t="d">
        <x:v>2026-10-02T00:00:00.000Z</x:v>
      </x:c>
      <x:c r="W226" s="26" t="d">
        <x:v>2026-10-02T00:00:00.000Z</x:v>
      </x:c>
      <x:c r="X226" s="25" t="str">
        <x:v>Public investor directory; business role and contact ownership require qualification</x:v>
      </x:c>
      <x:c r="Y226" s="25"/>
      <x:c r="Z226" s="25" t="str">
        <x:v>https://www.cashhomebuyersdirectory.com/cash-home-buyers/illinois/elk-grove-village</x:v>
      </x:c>
      <x:c r="AA226" s="25" t="str">
        <x:v>Public cash-home-buyer directory lists business name, phone and market. Directory entry may include brokers or service providers.</x:v>
      </x:c>
      <x:c r="AB226" s="3" t="str">
        <x:v>New public-source collection</x:v>
      </x:c>
      <x:c r="AC226" s="3" t="str">
        <x:v>unverified</x:v>
      </x:c>
      <x:c r="AD226" s="3" t="str">
        <x:v>Not contacted / unconfirmed</x:v>
      </x:c>
      <x:c r="AE226" s="3" t="str">
        <x:v>No</x:v>
      </x:c>
      <x:c r="AF226" s="3" t="str">
        <x:v>No</x:v>
      </x:c>
      <x:c r="AG226" s="3"/>
      <x:c r="AH226" s="3"/>
      <x:c r="AI226" s="18"/>
      <x:c r="AJ226" s="3" t="str">
        <x:v>CF2500-A8520AA0A424</x:v>
      </x:c>
      <x:c r="AK226" s="3" t="str">
        <x:v>Property investor / home-buying operator prospect</x:v>
      </x:c>
      <x:c r="AL226" s="19" t="n">
        <x:v>100000</x:v>
      </x:c>
      <x:c r="AM226" s="19" t="n">
        <x:v>500000</x:v>
      </x:c>
      <x:c r="AN226" s="3" t="str">
        <x:v>https://www.cashhomebuyersdirectory.com/cash-home-buyers/illinois/elk-grove-village</x:v>
      </x:c>
      <x:c r="AO226" s="3" t="str">
        <x:v>nc_il_az_co_investors.jsonl</x:v>
      </x:c>
      <x:c r="AP226" s="19"/>
    </x:row>
    <x:row r="227" ht="36" customHeight="1">
      <x:c r="A227" s="23" t="n">
        <x:v>226</x:v>
      </x:c>
      <x:c r="B227" s="15" t="str">
        <x:v>Emperor House Buyers LLC</x:v>
      </x:c>
      <x:c r="C227" s="15"/>
      <x:c r="D227" s="15" t="str">
        <x:v>Property investor / home-buying operator</x:v>
      </x:c>
      <x:c r="E227" s="15" t="str">
        <x:v>Property investor / operator inquiry</x:v>
      </x:c>
      <x:c r="F227" s="17" t="str">
        <x:v>New</x:v>
      </x:c>
      <x:c r="G227" s="24"/>
      <x:c r="H227" s="24" t="str">
        <x:v>+18138032777</x:v>
      </x:c>
      <x:c r="I227" s="24" t="str">
        <x:v>https://www.emperorhousebuyers.com/</x:v>
      </x:c>
      <x:c r="J227" s="16" t="str">
        <x:v>FL</x:v>
      </x:c>
      <x:c r="K227" s="16" t="str">
        <x:v>Tampa</x:v>
      </x:c>
      <x:c r="L227" s="16" t="str">
        <x:v>Public property-business route; investor decision maker unconfirmed</x:v>
      </x:c>
      <x:c r="M227" s="16" t="str">
        <x:v>https://www.emperorhousebuyers.com/</x:v>
      </x:c>
      <x:c r="N227" s="16" t="str">
        <x:v>$100K-$500K ticket not published / unconfirmed</x:v>
      </x:c>
      <x:c r="O227" s="20"/>
      <x:c r="P227" s="20"/>
      <x:c r="Q227" s="25" t="str">
        <x:v>No $100K-$500K corporate-investment ticket published in checked source</x:v>
      </x:c>
      <x:c r="R227" s="25" t="str">
        <x:v>Property acquisition or investor activity makes this an operator-capital prospect for the signed trial. Confirm operating-company debt/equity appetite.</x:v>
      </x:c>
      <x:c r="S227" s="25" t="str">
        <x:v>Home-buying activity does not verify ability or willingness to invest $100K-$500K into 101XVC operating company. Website and contact verification pending.</x:v>
      </x:c>
      <x:c r="T227" s="25" t="str">
        <x:v>Ask the owner/investor whether they can allocate $100K-$500K to trial marketing and acquisitions, and confirm structure, timing and decision authority.</x:v>
      </x:c>
      <x:c r="U227" s="25" t="str">
        <x:v>https://www.cashhomebuyersdirectory.com/cash-home-buyers/florida/tampa</x:v>
      </x:c>
      <x:c r="V227" s="26" t="d">
        <x:v>2026-10-02T00:00:00.000Z</x:v>
      </x:c>
      <x:c r="W227" s="26" t="d">
        <x:v>2026-10-03T00:00:00.000Z</x:v>
      </x:c>
      <x:c r="X227" s="25" t="str">
        <x:v>Public investor directory; business role and contact ownership require qualification</x:v>
      </x:c>
      <x:c r="Y227" s="25"/>
      <x:c r="Z227" s="25" t="str">
        <x:v>https://www.cashhomebuyersdirectory.com/cash-home-buyers/florida/tampa</x:v>
      </x:c>
      <x:c r="AA227" s="25" t="str">
        <x:v>Public cash-home-buyer directory lists business name, phone and market. Directory entry may include brokers or service providers.</x:v>
      </x:c>
      <x:c r="AB227" s="3" t="str">
        <x:v>New public-source collection</x:v>
      </x:c>
      <x:c r="AC227" s="3" t="str">
        <x:v>unverified</x:v>
      </x:c>
      <x:c r="AD227" s="3" t="str">
        <x:v>Not contacted / unconfirmed</x:v>
      </x:c>
      <x:c r="AE227" s="3" t="str">
        <x:v>No</x:v>
      </x:c>
      <x:c r="AF227" s="3" t="str">
        <x:v>No</x:v>
      </x:c>
      <x:c r="AG227" s="3"/>
      <x:c r="AH227" s="3"/>
      <x:c r="AI227" s="18"/>
      <x:c r="AJ227" s="3" t="str">
        <x:v>CF2500-20645505ECC1</x:v>
      </x:c>
      <x:c r="AK227" s="3" t="str">
        <x:v>Property investor / home-buying operator prospect</x:v>
      </x:c>
      <x:c r="AL227" s="19" t="n">
        <x:v>100000</x:v>
      </x:c>
      <x:c r="AM227" s="19" t="n">
        <x:v>500000</x:v>
      </x:c>
      <x:c r="AN227" s="3" t="str">
        <x:v>https://www.cashhomebuyersdirectory.com/cash-home-buyers/florida/tampa</x:v>
      </x:c>
      <x:c r="AO227" s="3" t="str">
        <x:v>tx_fl_investors.jsonl</x:v>
      </x:c>
      <x:c r="AP227" s="19"/>
    </x:row>
    <x:row r="228" ht="36" customHeight="1">
      <x:c r="A228" s="23" t="n">
        <x:v>227</x:v>
      </x:c>
      <x:c r="B228" s="15" t="str">
        <x:v>EPTX House Buyers</x:v>
      </x:c>
      <x:c r="C228" s="15"/>
      <x:c r="D228" s="15" t="str">
        <x:v>Property investor / home-buying operator</x:v>
      </x:c>
      <x:c r="E228" s="15" t="str">
        <x:v>Property investor / operator inquiry</x:v>
      </x:c>
      <x:c r="F228" s="17" t="str">
        <x:v>New</x:v>
      </x:c>
      <x:c r="G228" s="24"/>
      <x:c r="H228" s="24" t="str">
        <x:v>+19152341818</x:v>
      </x:c>
      <x:c r="I228" s="24" t="str">
        <x:v>https://eptxhousebuyers.com/</x:v>
      </x:c>
      <x:c r="J228" s="16" t="str">
        <x:v>TX</x:v>
      </x:c>
      <x:c r="K228" s="16" t="str">
        <x:v>El Paso</x:v>
      </x:c>
      <x:c r="L228" s="16" t="str">
        <x:v>Public property-business route; investor decision maker unconfirmed</x:v>
      </x:c>
      <x:c r="M228" s="16" t="str">
        <x:v>https://eptxhousebuyers.com/</x:v>
      </x:c>
      <x:c r="N228" s="16" t="str">
        <x:v>$100K-$500K ticket not published / unconfirmed</x:v>
      </x:c>
      <x:c r="O228" s="20"/>
      <x:c r="P228" s="20"/>
      <x:c r="Q228" s="25" t="str">
        <x:v>No $100K-$500K corporate-investment ticket published in checked source</x:v>
      </x:c>
      <x:c r="R228" s="25" t="str">
        <x:v>Property acquisition or investor activity makes this an operator-capital prospect for the signed trial. Confirm operating-company debt/equity appetite.</x:v>
      </x:c>
      <x:c r="S228" s="25" t="str">
        <x:v>Home-buying activity does not verify ability or willingness to invest $100K-$500K into 101XVC operating company. Website and contact verification pending.</x:v>
      </x:c>
      <x:c r="T228" s="25" t="str">
        <x:v>Ask the owner/investor whether they can allocate $100K-$500K to trial marketing and acquisitions, and confirm structure, timing and decision authority.</x:v>
      </x:c>
      <x:c r="U228" s="25" t="str">
        <x:v>https://www.cashhomebuyersdirectory.com/cash-home-buyers/texas/el-paso</x:v>
      </x:c>
      <x:c r="V228" s="26" t="d">
        <x:v>2026-10-02T00:00:00.000Z</x:v>
      </x:c>
      <x:c r="W228" s="26" t="d">
        <x:v>2026-10-03T00:00:00.000Z</x:v>
      </x:c>
      <x:c r="X228" s="25" t="str">
        <x:v>Public investor directory; business role and contact ownership require qualification</x:v>
      </x:c>
      <x:c r="Y228" s="25"/>
      <x:c r="Z228" s="25" t="str">
        <x:v>https://www.cashhomebuyersdirectory.com/cash-home-buyers/texas/el-paso</x:v>
      </x:c>
      <x:c r="AA228" s="25" t="str">
        <x:v>Public cash-home-buyer directory lists business name, phone and market. Directory entry may include brokers or service providers.</x:v>
      </x:c>
      <x:c r="AB228" s="3" t="str">
        <x:v>New public-source collection</x:v>
      </x:c>
      <x:c r="AC228" s="3" t="str">
        <x:v>unverified</x:v>
      </x:c>
      <x:c r="AD228" s="3" t="str">
        <x:v>Not contacted / unconfirmed</x:v>
      </x:c>
      <x:c r="AE228" s="3" t="str">
        <x:v>No</x:v>
      </x:c>
      <x:c r="AF228" s="3" t="str">
        <x:v>No</x:v>
      </x:c>
      <x:c r="AG228" s="3"/>
      <x:c r="AH228" s="3"/>
      <x:c r="AI228" s="18"/>
      <x:c r="AJ228" s="3" t="str">
        <x:v>CF2500-AFF3CEEA7E61</x:v>
      </x:c>
      <x:c r="AK228" s="3" t="str">
        <x:v>Property investor / home-buying operator prospect</x:v>
      </x:c>
      <x:c r="AL228" s="19" t="n">
        <x:v>100000</x:v>
      </x:c>
      <x:c r="AM228" s="19" t="n">
        <x:v>500000</x:v>
      </x:c>
      <x:c r="AN228" s="3" t="str">
        <x:v>https://www.cashhomebuyersdirectory.com/cash-home-buyers/texas/el-paso</x:v>
      </x:c>
      <x:c r="AO228" s="3" t="str">
        <x:v>tx_fl_investors.jsonl</x:v>
      </x:c>
      <x:c r="AP228" s="19"/>
    </x:row>
    <x:row r="229" ht="36" customHeight="1">
      <x:c r="A229" s="23" t="n">
        <x:v>228</x:v>
      </x:c>
      <x:c r="B229" s="15" t="str">
        <x:v>Equity House Buyer</x:v>
      </x:c>
      <x:c r="C229" s="15"/>
      <x:c r="D229" s="15" t="str">
        <x:v>Property investor / home-buying operator</x:v>
      </x:c>
      <x:c r="E229" s="15" t="str">
        <x:v>Property investor / operator inquiry</x:v>
      </x:c>
      <x:c r="F229" s="17" t="str">
        <x:v>New</x:v>
      </x:c>
      <x:c r="G229" s="24"/>
      <x:c r="H229" s="24" t="str">
        <x:v>+17725285800</x:v>
      </x:c>
      <x:c r="I229" s="24" t="str">
        <x:v>http://www.equityhousebuyer.com/</x:v>
      </x:c>
      <x:c r="J229" s="16" t="str">
        <x:v>FL</x:v>
      </x:c>
      <x:c r="K229" s="16"/>
      <x:c r="L229" s="16" t="str">
        <x:v>Public property-business route; investor decision maker unconfirmed</x:v>
      </x:c>
      <x:c r="M229" s="16" t="str">
        <x:v>http://www.equityhousebuyer.com/</x:v>
      </x:c>
      <x:c r="N229" s="16" t="str">
        <x:v>$100K-$500K ticket not published / unconfirmed</x:v>
      </x:c>
      <x:c r="O229" s="20"/>
      <x:c r="P229" s="20"/>
      <x:c r="Q229" s="25" t="str">
        <x:v>No $100K-$500K corporate-investment ticket published in checked source</x:v>
      </x:c>
      <x:c r="R229" s="25" t="str">
        <x:v>Property acquisition or investor activity makes this an operator-capital prospect for the signed trial. Confirm operating-company debt/equity appetite.</x:v>
      </x:c>
      <x:c r="S229" s="25" t="str">
        <x:v>Home-buying activity does not verify ability or willingness to invest $100K-$500K into 101XVC operating company. Website and contact verification pending.</x:v>
      </x:c>
      <x:c r="T229" s="25" t="str">
        <x:v>Ask the owner/investor whether they can allocate $100K-$500K to trial marketing and acquisitions, and confirm structure, timing and decision authority.</x:v>
      </x:c>
      <x:c r="U229" s="25" t="str">
        <x:v>https://www.cashhomebuyersdirectory.com/cash-home-buyers/florida/port-st-lucie</x:v>
      </x:c>
      <x:c r="V229" s="26" t="d">
        <x:v>2026-10-02T00:00:00.000Z</x:v>
      </x:c>
      <x:c r="W229" s="26" t="d">
        <x:v>2026-10-03T00:00:00.000Z</x:v>
      </x:c>
      <x:c r="X229" s="25" t="str">
        <x:v>Public investor directory; business role and contact ownership require qualification</x:v>
      </x:c>
      <x:c r="Y229" s="25"/>
      <x:c r="Z229" s="25" t="str">
        <x:v>https://www.cashhomebuyersdirectory.com/cash-home-buyers/florida/port-st-lucie</x:v>
      </x:c>
      <x:c r="AA229" s="25" t="str">
        <x:v>Public cash-home-buyer directory lists business name, phone and market. Directory entry may include brokers or service providers.</x:v>
      </x:c>
      <x:c r="AB229" s="3" t="str">
        <x:v>New public-source collection</x:v>
      </x:c>
      <x:c r="AC229" s="3" t="str">
        <x:v>unverified</x:v>
      </x:c>
      <x:c r="AD229" s="3" t="str">
        <x:v>Not contacted / unconfirmed</x:v>
      </x:c>
      <x:c r="AE229" s="3" t="str">
        <x:v>No</x:v>
      </x:c>
      <x:c r="AF229" s="3" t="str">
        <x:v>No</x:v>
      </x:c>
      <x:c r="AG229" s="3"/>
      <x:c r="AH229" s="3"/>
      <x:c r="AI229" s="18"/>
      <x:c r="AJ229" s="3" t="str">
        <x:v>CF2500-3155AEDCC016</x:v>
      </x:c>
      <x:c r="AK229" s="3" t="str">
        <x:v>Property investor / home-buying operator prospect</x:v>
      </x:c>
      <x:c r="AL229" s="19" t="n">
        <x:v>100000</x:v>
      </x:c>
      <x:c r="AM229" s="19" t="n">
        <x:v>500000</x:v>
      </x:c>
      <x:c r="AN229" s="3" t="str">
        <x:v>https://www.cashhomebuyersdirectory.com/cash-home-buyers/florida/port-st-lucie</x:v>
      </x:c>
      <x:c r="AO229" s="3" t="str">
        <x:v>tx_fl_investors.jsonl</x:v>
      </x:c>
      <x:c r="AP229" s="19"/>
    </x:row>
    <x:row r="230" ht="36" customHeight="1">
      <x:c r="A230" s="23" t="n">
        <x:v>229</x:v>
      </x:c>
      <x:c r="B230" s="15" t="str">
        <x:v>Exit Home Buyer, LLC</x:v>
      </x:c>
      <x:c r="C230" s="15"/>
      <x:c r="D230" s="15" t="str">
        <x:v>Property investor / home-buying operator</x:v>
      </x:c>
      <x:c r="E230" s="15" t="str">
        <x:v>Property investor / operator inquiry</x:v>
      </x:c>
      <x:c r="F230" s="17" t="str">
        <x:v>New</x:v>
      </x:c>
      <x:c r="G230" s="24"/>
      <x:c r="H230" s="24" t="str">
        <x:v>+18136702311</x:v>
      </x:c>
      <x:c r="I230" s="24" t="str">
        <x:v>https://www.exitbuyer.com/</x:v>
      </x:c>
      <x:c r="J230" s="16" t="str">
        <x:v>FL</x:v>
      </x:c>
      <x:c r="K230" s="16" t="str">
        <x:v>Tampa</x:v>
      </x:c>
      <x:c r="L230" s="16" t="str">
        <x:v>Public property-business route; investor decision maker unconfirmed</x:v>
      </x:c>
      <x:c r="M230" s="16" t="str">
        <x:v>https://www.exitbuyer.com/</x:v>
      </x:c>
      <x:c r="N230" s="16" t="str">
        <x:v>$100K-$500K ticket not published / unconfirmed</x:v>
      </x:c>
      <x:c r="O230" s="20"/>
      <x:c r="P230" s="20"/>
      <x:c r="Q230" s="25" t="str">
        <x:v>No $100K-$500K corporate-investment ticket published in checked source</x:v>
      </x:c>
      <x:c r="R230" s="25" t="str">
        <x:v>Property acquisition or investor activity makes this an operator-capital prospect for the signed trial. Confirm operating-company debt/equity appetite.</x:v>
      </x:c>
      <x:c r="S230" s="25" t="str">
        <x:v>Corporate-investment ticket and appetite unconfirmed. Property-buying activity alone does not establish fit for funding 101XVC trial operating costs.</x:v>
      </x:c>
      <x:c r="T230" s="25" t="str">
        <x:v>Ask the owner/investor whether they can allocate $100K-$500K to trial marketing and acquisitions, and confirm structure, timing and decision authority.</x:v>
      </x:c>
      <x:c r="U230" s="25" t="str">
        <x:v>https://www.cashhomebuyersdirectory.com/cash-home-buyers/florida/tampa
https://www.exitbuyer.com/</x:v>
      </x:c>
      <x:c r="V230" s="26" t="d">
        <x:v>2026-10-02T00:00:00.000Z</x:v>
      </x:c>
      <x:c r="W230" s="26" t="d">
        <x:v>2026-10-03T00:00:00.000Z</x:v>
      </x:c>
      <x:c r="X230" s="25" t="str">
        <x:v>Public investor directory; business role and contact ownership require qualification</x:v>
      </x:c>
      <x:c r="Y230" s="25"/>
      <x:c r="Z230" s="25" t="str">
        <x:v>https://www.cashhomebuyersdirectory.com/cash-home-buyers/florida/tampa</x:v>
      </x:c>
      <x:c r="AA230" s="25" t="str">
        <x:v>Public cash-home-buyer directory lists business name, phone and market. Directory entry may include brokers or service providers. Official website fetched; investing role requires manual review.</x:v>
      </x:c>
      <x:c r="AB230" s="3" t="str">
        <x:v>New public-source collection</x:v>
      </x:c>
      <x:c r="AC230" s="3" t="str">
        <x:v>unverified</x:v>
      </x:c>
      <x:c r="AD230" s="3" t="str">
        <x:v>Not contacted / unconfirmed</x:v>
      </x:c>
      <x:c r="AE230" s="3" t="str">
        <x:v>No</x:v>
      </x:c>
      <x:c r="AF230" s="3" t="str">
        <x:v>No</x:v>
      </x:c>
      <x:c r="AG230" s="3"/>
      <x:c r="AH230" s="3"/>
      <x:c r="AI230" s="18"/>
      <x:c r="AJ230" s="3" t="str">
        <x:v>CF2500-A35E06A9878E</x:v>
      </x:c>
      <x:c r="AK230" s="3" t="str">
        <x:v>Property investor / home-buying operator prospect</x:v>
      </x:c>
      <x:c r="AL230" s="19" t="n">
        <x:v>100000</x:v>
      </x:c>
      <x:c r="AM230" s="19" t="n">
        <x:v>500000</x:v>
      </x:c>
      <x:c r="AN230" s="3" t="str">
        <x:v>https://www.cashhomebuyersdirectory.com/cash-home-buyers/florida/tampa</x:v>
      </x:c>
      <x:c r="AO230" s="3" t="str">
        <x:v>tx_fl_investors.jsonl</x:v>
      </x:c>
      <x:c r="AP230" s="19"/>
    </x:row>
    <x:row r="231" ht="36" customHeight="1">
      <x:c r="A231" s="23" t="n">
        <x:v>230</x:v>
      </x:c>
      <x:c r="B231" s="15" t="str">
        <x:v>EZ Cash Homes/ Double R Realty LLC</x:v>
      </x:c>
      <x:c r="C231" s="15"/>
      <x:c r="D231" s="15" t="str">
        <x:v>Property investor / home-buying operator</x:v>
      </x:c>
      <x:c r="E231" s="15" t="str">
        <x:v>Property investor / operator inquiry</x:v>
      </x:c>
      <x:c r="F231" s="17" t="str">
        <x:v>New</x:v>
      </x:c>
      <x:c r="G231" s="24"/>
      <x:c r="H231" s="24" t="str">
        <x:v>+12242142903</x:v>
      </x:c>
      <x:c r="I231" s="24" t="str">
        <x:v>https://ezcashhomes.com/</x:v>
      </x:c>
      <x:c r="J231" s="16" t="str">
        <x:v>IL</x:v>
      </x:c>
      <x:c r="K231" s="16" t="str">
        <x:v>Waukegan</x:v>
      </x:c>
      <x:c r="L231" s="16" t="str">
        <x:v>Public property-business route; investor decision maker unconfirmed</x:v>
      </x:c>
      <x:c r="M231" s="16" t="str">
        <x:v>https://ezcashhomes.com/</x:v>
      </x:c>
      <x:c r="N231" s="16" t="str">
        <x:v>$100K-$500K ticket not published / unconfirmed</x:v>
      </x:c>
      <x:c r="O231" s="20"/>
      <x:c r="P231" s="20"/>
      <x:c r="Q231" s="25" t="str">
        <x:v>No $100K-$500K operating-company investment ticket verified</x:v>
      </x:c>
      <x:c r="R231" s="25" t="str">
        <x:v>Property acquisition or investor activity makes this an operator-capital prospect for the signed trial. Confirm operating-company debt/equity appetite.</x:v>
      </x:c>
      <x:c r="S231" s="25" t="str">
        <x:v>Public property-buying activity or a directory listing does not establish available cash, investing decision-maker, current $100K-$500K capacity, or willingness to fund 101XVC operating costs.</x:v>
      </x:c>
      <x:c r="T231" s="25" t="str">
        <x:v>Ask the owner/investor whether they can allocate $100K-$500K to trial marketing and acquisitions, and confirm structure, timing and decision authority.</x:v>
      </x:c>
      <x:c r="U231" s="25" t="str">
        <x:v>https://www.cashhomebuyersdirectory.com/cash-home-buyers/illinois/waukegan</x:v>
      </x:c>
      <x:c r="V231" s="26" t="d">
        <x:v>2026-10-02T00:00:00.000Z</x:v>
      </x:c>
      <x:c r="W231" s="26" t="d">
        <x:v>2026-10-02T00:00:00.000Z</x:v>
      </x:c>
      <x:c r="X231" s="25" t="str">
        <x:v>Public investor directory; business role and contact ownership require qualification</x:v>
      </x:c>
      <x:c r="Y231" s="25"/>
      <x:c r="Z231" s="25" t="str">
        <x:v>https://www.cashhomebuyersdirectory.com/cash-home-buyers/illinois/waukegan</x:v>
      </x:c>
      <x:c r="AA231" s="25" t="str">
        <x:v>Public cash-home-buyer directory lists business name, phone and market. Directory entry may include brokers or service providers.</x:v>
      </x:c>
      <x:c r="AB231" s="3" t="str">
        <x:v>New public-source collection</x:v>
      </x:c>
      <x:c r="AC231" s="3" t="str">
        <x:v>unverified</x:v>
      </x:c>
      <x:c r="AD231" s="3" t="str">
        <x:v>Not contacted / unconfirmed</x:v>
      </x:c>
      <x:c r="AE231" s="3" t="str">
        <x:v>No</x:v>
      </x:c>
      <x:c r="AF231" s="3" t="str">
        <x:v>No</x:v>
      </x:c>
      <x:c r="AG231" s="3"/>
      <x:c r="AH231" s="3"/>
      <x:c r="AI231" s="18"/>
      <x:c r="AJ231" s="3" t="str">
        <x:v>CF2500-294AAD6593D5</x:v>
      </x:c>
      <x:c r="AK231" s="3" t="str">
        <x:v>Property investor / home-buying operator prospect</x:v>
      </x:c>
      <x:c r="AL231" s="19" t="n">
        <x:v>100000</x:v>
      </x:c>
      <x:c r="AM231" s="19" t="n">
        <x:v>500000</x:v>
      </x:c>
      <x:c r="AN231" s="3" t="str">
        <x:v>https://www.cashhomebuyersdirectory.com/cash-home-buyers/illinois/waukegan</x:v>
      </x:c>
      <x:c r="AO231" s="3" t="str">
        <x:v>nc_il_az_co_investors.jsonl</x:v>
      </x:c>
      <x:c r="AP231" s="19"/>
    </x:row>
    <x:row r="232" ht="36" customHeight="1">
      <x:c r="A232" s="23" t="n">
        <x:v>231</x:v>
      </x:c>
      <x:c r="B232" s="15" t="str">
        <x:v>Fair Cash Offer Houston</x:v>
      </x:c>
      <x:c r="C232" s="15"/>
      <x:c r="D232" s="15" t="str">
        <x:v>Property investor / home-buying operator</x:v>
      </x:c>
      <x:c r="E232" s="15" t="str">
        <x:v>Property investor / operator inquiry</x:v>
      </x:c>
      <x:c r="F232" s="17" t="str">
        <x:v>New</x:v>
      </x:c>
      <x:c r="G232" s="24"/>
      <x:c r="H232" s="24" t="str">
        <x:v>+17137142689</x:v>
      </x:c>
      <x:c r="I232" s="24" t="str">
        <x:v>http://www.faircashoffferhouston.com/</x:v>
      </x:c>
      <x:c r="J232" s="16" t="str">
        <x:v>TX</x:v>
      </x:c>
      <x:c r="K232" s="16" t="str">
        <x:v>Houston</x:v>
      </x:c>
      <x:c r="L232" s="16" t="str">
        <x:v>Public property-business route; investor decision maker unconfirmed</x:v>
      </x:c>
      <x:c r="M232" s="16" t="str">
        <x:v>http://www.faircashoffferhouston.com/</x:v>
      </x:c>
      <x:c r="N232" s="16" t="str">
        <x:v>$100K-$500K ticket not published / unconfirmed</x:v>
      </x:c>
      <x:c r="O232" s="20"/>
      <x:c r="P232" s="20"/>
      <x:c r="Q232" s="25" t="str">
        <x:v>No $100K-$500K corporate-investment ticket published in checked source</x:v>
      </x:c>
      <x:c r="R232" s="25" t="str">
        <x:v>Property acquisition or investor activity makes this an operator-capital prospect for the signed trial. Confirm operating-company debt/equity appetite.</x:v>
      </x:c>
      <x:c r="S232" s="25" t="str">
        <x:v>Home-buying activity does not verify ability or willingness to invest $100K-$500K into 101XVC operating company. Website and contact verification pending.</x:v>
      </x:c>
      <x:c r="T232" s="25" t="str">
        <x:v>Ask the owner/investor whether they can allocate $100K-$500K to trial marketing and acquisitions, and confirm structure, timing and decision authority.</x:v>
      </x:c>
      <x:c r="U232" s="25" t="str">
        <x:v>https://www.cashhomebuyersdirectory.com/cash-home-buyers/texas/houston</x:v>
      </x:c>
      <x:c r="V232" s="26" t="d">
        <x:v>2026-10-02T00:00:00.000Z</x:v>
      </x:c>
      <x:c r="W232" s="26" t="d">
        <x:v>2026-10-03T00:00:00.000Z</x:v>
      </x:c>
      <x:c r="X232" s="25" t="str">
        <x:v>Public investor directory; business role and contact ownership require qualification</x:v>
      </x:c>
      <x:c r="Y232" s="25"/>
      <x:c r="Z232" s="25" t="str">
        <x:v>https://www.cashhomebuyersdirectory.com/cash-home-buyers/texas/houston</x:v>
      </x:c>
      <x:c r="AA232" s="25" t="str">
        <x:v>Public cash-home-buyer directory lists business name, phone and market. Directory entry may include brokers or service providers.</x:v>
      </x:c>
      <x:c r="AB232" s="3" t="str">
        <x:v>New public-source collection</x:v>
      </x:c>
      <x:c r="AC232" s="3" t="str">
        <x:v>unverified</x:v>
      </x:c>
      <x:c r="AD232" s="3" t="str">
        <x:v>Not contacted / unconfirmed</x:v>
      </x:c>
      <x:c r="AE232" s="3" t="str">
        <x:v>No</x:v>
      </x:c>
      <x:c r="AF232" s="3" t="str">
        <x:v>No</x:v>
      </x:c>
      <x:c r="AG232" s="3"/>
      <x:c r="AH232" s="3"/>
      <x:c r="AI232" s="18"/>
      <x:c r="AJ232" s="3" t="str">
        <x:v>CF2500-B75A976B43A8</x:v>
      </x:c>
      <x:c r="AK232" s="3" t="str">
        <x:v>Property investor / home-buying operator prospect</x:v>
      </x:c>
      <x:c r="AL232" s="19" t="n">
        <x:v>100000</x:v>
      </x:c>
      <x:c r="AM232" s="19" t="n">
        <x:v>500000</x:v>
      </x:c>
      <x:c r="AN232" s="3" t="str">
        <x:v>https://www.cashhomebuyersdirectory.com/cash-home-buyers/texas/houston</x:v>
      </x:c>
      <x:c r="AO232" s="3" t="str">
        <x:v>tx_fl_investors.jsonl</x:v>
      </x:c>
      <x:c r="AP232" s="19"/>
    </x:row>
    <x:row r="233" ht="36" customHeight="1">
      <x:c r="A233" s="23" t="n">
        <x:v>232</x:v>
      </x:c>
      <x:c r="B233" s="15" t="str">
        <x:v>Fair Home Buyers</x:v>
      </x:c>
      <x:c r="C233" s="15"/>
      <x:c r="D233" s="15" t="str">
        <x:v>Property investor / home-buying operator</x:v>
      </x:c>
      <x:c r="E233" s="15" t="str">
        <x:v>Property investor / operator inquiry</x:v>
      </x:c>
      <x:c r="F233" s="17" t="str">
        <x:v>New</x:v>
      </x:c>
      <x:c r="G233" s="24"/>
      <x:c r="H233" s="24" t="str">
        <x:v>+19044974555</x:v>
      </x:c>
      <x:c r="I233" s="24" t="str">
        <x:v>http://www.fairhomebuyers.com/</x:v>
      </x:c>
      <x:c r="J233" s="16" t="str">
        <x:v>FL</x:v>
      </x:c>
      <x:c r="K233" s="16" t="str">
        <x:v>Jacksonville</x:v>
      </x:c>
      <x:c r="L233" s="16" t="str">
        <x:v>Public property-business route; investor decision maker unconfirmed</x:v>
      </x:c>
      <x:c r="M233" s="16" t="str">
        <x:v>http://www.fairhomebuyers.com/</x:v>
      </x:c>
      <x:c r="N233" s="16" t="str">
        <x:v>$100K-$500K ticket not published / unconfirmed</x:v>
      </x:c>
      <x:c r="O233" s="20"/>
      <x:c r="P233" s="20"/>
      <x:c r="Q233" s="25" t="str">
        <x:v>No $100K-$500K corporate-investment ticket published in checked source</x:v>
      </x:c>
      <x:c r="R233" s="25" t="str">
        <x:v>Property acquisition or investor activity makes this an operator-capital prospect for the signed trial. Confirm operating-company debt/equity appetite.</x:v>
      </x:c>
      <x:c r="S233" s="25" t="str">
        <x:v>Home-buying activity does not verify ability or willingness to invest $100K-$500K into 101XVC operating company. Website and contact verification pending.</x:v>
      </x:c>
      <x:c r="T233" s="25" t="str">
        <x:v>Ask the owner/investor whether they can allocate $100K-$500K to trial marketing and acquisitions, and confirm structure, timing and decision authority.</x:v>
      </x:c>
      <x:c r="U233" s="25" t="str">
        <x:v>https://www.cashhomebuyersdirectory.com/cash-home-buyers/florida/jacksonville</x:v>
      </x:c>
      <x:c r="V233" s="26" t="d">
        <x:v>2026-10-02T00:00:00.000Z</x:v>
      </x:c>
      <x:c r="W233" s="26" t="d">
        <x:v>2026-10-03T00:00:00.000Z</x:v>
      </x:c>
      <x:c r="X233" s="25" t="str">
        <x:v>Public investor directory; business role and contact ownership require qualification</x:v>
      </x:c>
      <x:c r="Y233" s="25"/>
      <x:c r="Z233" s="25" t="str">
        <x:v>https://www.cashhomebuyersdirectory.com/cash-home-buyers/florida/jacksonville</x:v>
      </x:c>
      <x:c r="AA233" s="25" t="str">
        <x:v>Public cash-home-buyer directory lists business name, phone and market. Directory entry may include brokers or service providers.</x:v>
      </x:c>
      <x:c r="AB233" s="3" t="str">
        <x:v>New public-source collection</x:v>
      </x:c>
      <x:c r="AC233" s="3" t="str">
        <x:v>unverified</x:v>
      </x:c>
      <x:c r="AD233" s="3" t="str">
        <x:v>Not contacted / unconfirmed</x:v>
      </x:c>
      <x:c r="AE233" s="3" t="str">
        <x:v>No</x:v>
      </x:c>
      <x:c r="AF233" s="3" t="str">
        <x:v>No</x:v>
      </x:c>
      <x:c r="AG233" s="3"/>
      <x:c r="AH233" s="3"/>
      <x:c r="AI233" s="18"/>
      <x:c r="AJ233" s="3" t="str">
        <x:v>CF2500-8132347F5207</x:v>
      </x:c>
      <x:c r="AK233" s="3" t="str">
        <x:v>Property investor / home-buying operator prospect</x:v>
      </x:c>
      <x:c r="AL233" s="19" t="n">
        <x:v>100000</x:v>
      </x:c>
      <x:c r="AM233" s="19" t="n">
        <x:v>500000</x:v>
      </x:c>
      <x:c r="AN233" s="3" t="str">
        <x:v>https://www.cashhomebuyersdirectory.com/cash-home-buyers/florida/jacksonville</x:v>
      </x:c>
      <x:c r="AO233" s="3" t="str">
        <x:v>tx_fl_investors.jsonl</x:v>
      </x:c>
      <x:c r="AP233" s="19"/>
    </x:row>
    <x:row r="234" ht="36" customHeight="1">
      <x:c r="A234" s="23" t="n">
        <x:v>233</x:v>
      </x:c>
      <x:c r="B234" s="15" t="str">
        <x:v>Fast Cash Florida Home | Sell My Home</x:v>
      </x:c>
      <x:c r="C234" s="15"/>
      <x:c r="D234" s="15" t="str">
        <x:v>Property investor / home-buying operator</x:v>
      </x:c>
      <x:c r="E234" s="15" t="str">
        <x:v>Property investor / operator inquiry</x:v>
      </x:c>
      <x:c r="F234" s="17" t="str">
        <x:v>New</x:v>
      </x:c>
      <x:c r="G234" s="24"/>
      <x:c r="H234" s="24" t="str">
        <x:v>+17867677671</x:v>
      </x:c>
      <x:c r="I234" s="24" t="str">
        <x:v>https://www.fastcashfloridahome.com/</x:v>
      </x:c>
      <x:c r="J234" s="16" t="str">
        <x:v>FL</x:v>
      </x:c>
      <x:c r="K234" s="16" t="str">
        <x:v>Miami</x:v>
      </x:c>
      <x:c r="L234" s="16" t="str">
        <x:v>Public property-business route; investor decision maker unconfirmed</x:v>
      </x:c>
      <x:c r="M234" s="16" t="str">
        <x:v>https://www.fastcashfloridahome.com/</x:v>
      </x:c>
      <x:c r="N234" s="16" t="str">
        <x:v>$100K-$500K ticket not published / unconfirmed</x:v>
      </x:c>
      <x:c r="O234" s="20"/>
      <x:c r="P234" s="20"/>
      <x:c r="Q234" s="25" t="str">
        <x:v>No $100K-$500K corporate-investment ticket published in checked source</x:v>
      </x:c>
      <x:c r="R234" s="25" t="str">
        <x:v>Property acquisition or investor activity makes this an operator-capital prospect for the signed trial. Confirm operating-company debt/equity appetite.</x:v>
      </x:c>
      <x:c r="S234" s="25" t="str">
        <x:v>Home-buying activity does not verify ability or willingness to invest $100K-$500K into 101XVC operating company. Website and contact verification pending.</x:v>
      </x:c>
      <x:c r="T234" s="25" t="str">
        <x:v>Ask the owner/investor whether they can allocate $100K-$500K to trial marketing and acquisitions, and confirm structure, timing and decision authority.</x:v>
      </x:c>
      <x:c r="U234" s="25" t="str">
        <x:v>https://www.cashhomebuyersdirectory.com/cash-home-buyers/florida/miami</x:v>
      </x:c>
      <x:c r="V234" s="26" t="d">
        <x:v>2026-10-02T00:00:00.000Z</x:v>
      </x:c>
      <x:c r="W234" s="26" t="d">
        <x:v>2026-10-03T00:00:00.000Z</x:v>
      </x:c>
      <x:c r="X234" s="25" t="str">
        <x:v>Public investor directory; business role and contact ownership require qualification</x:v>
      </x:c>
      <x:c r="Y234" s="25"/>
      <x:c r="Z234" s="25" t="str">
        <x:v>https://www.cashhomebuyersdirectory.com/cash-home-buyers/florida/miami</x:v>
      </x:c>
      <x:c r="AA234" s="25" t="str">
        <x:v>Public cash-home-buyer directory lists business name, phone and market. Directory entry may include brokers or service providers.</x:v>
      </x:c>
      <x:c r="AB234" s="3" t="str">
        <x:v>New public-source collection</x:v>
      </x:c>
      <x:c r="AC234" s="3" t="str">
        <x:v>unverified</x:v>
      </x:c>
      <x:c r="AD234" s="3" t="str">
        <x:v>Not contacted / unconfirmed</x:v>
      </x:c>
      <x:c r="AE234" s="3" t="str">
        <x:v>No</x:v>
      </x:c>
      <x:c r="AF234" s="3" t="str">
        <x:v>No</x:v>
      </x:c>
      <x:c r="AG234" s="3"/>
      <x:c r="AH234" s="3"/>
      <x:c r="AI234" s="18"/>
      <x:c r="AJ234" s="3" t="str">
        <x:v>CF2500-26AD81F2BC85</x:v>
      </x:c>
      <x:c r="AK234" s="3" t="str">
        <x:v>Property investor / home-buying operator prospect</x:v>
      </x:c>
      <x:c r="AL234" s="19" t="n">
        <x:v>100000</x:v>
      </x:c>
      <x:c r="AM234" s="19" t="n">
        <x:v>500000</x:v>
      </x:c>
      <x:c r="AN234" s="3" t="str">
        <x:v>https://www.cashhomebuyersdirectory.com/cash-home-buyers/florida/miami</x:v>
      </x:c>
      <x:c r="AO234" s="3" t="str">
        <x:v>tx_fl_investors.jsonl</x:v>
      </x:c>
      <x:c r="AP234" s="19"/>
    </x:row>
    <x:row r="235" ht="36" customHeight="1">
      <x:c r="A235" s="23" t="n">
        <x:v>234</x:v>
      </x:c>
      <x:c r="B235" s="15" t="str">
        <x:v>Fast House Buyers</x:v>
      </x:c>
      <x:c r="C235" s="15"/>
      <x:c r="D235" s="15" t="str">
        <x:v>Property investor / home-buying operator</x:v>
      </x:c>
      <x:c r="E235" s="15" t="str">
        <x:v>Property investor / operator inquiry</x:v>
      </x:c>
      <x:c r="F235" s="17" t="str">
        <x:v>New</x:v>
      </x:c>
      <x:c r="G235" s="24"/>
      <x:c r="H235" s="24" t="str">
        <x:v>+19153484109</x:v>
      </x:c>
      <x:c r="I235" s="24" t="str">
        <x:v>https://fasthousebuying.com/cities/el-paso</x:v>
      </x:c>
      <x:c r="J235" s="16" t="str">
        <x:v>TX</x:v>
      </x:c>
      <x:c r="K235" s="16" t="str">
        <x:v>El Paso</x:v>
      </x:c>
      <x:c r="L235" s="16" t="str">
        <x:v>Public property-business route; investor decision maker unconfirmed</x:v>
      </x:c>
      <x:c r="M235" s="16" t="str">
        <x:v>https://fasthousebuying.com/cities/el-paso</x:v>
      </x:c>
      <x:c r="N235" s="16" t="str">
        <x:v>$100K-$500K ticket not published / unconfirmed</x:v>
      </x:c>
      <x:c r="O235" s="20"/>
      <x:c r="P235" s="20"/>
      <x:c r="Q235" s="25" t="str">
        <x:v>No $100K-$500K corporate-investment ticket published in checked source</x:v>
      </x:c>
      <x:c r="R235" s="25" t="str">
        <x:v>Property acquisition or investor activity makes this an operator-capital prospect for the signed trial. Confirm operating-company debt/equity appetite.</x:v>
      </x:c>
      <x:c r="S235" s="25" t="str">
        <x:v>Home-buying activity does not verify ability or willingness to invest $100K-$500K into 101XVC operating company. Website and contact verification pending.</x:v>
      </x:c>
      <x:c r="T235" s="25" t="str">
        <x:v>Ask the owner/investor whether they can allocate $100K-$500K to trial marketing and acquisitions, and confirm structure, timing and decision authority.</x:v>
      </x:c>
      <x:c r="U235" s="25" t="str">
        <x:v>https://www.cashhomebuyersdirectory.com/cash-home-buyers/texas/el-paso</x:v>
      </x:c>
      <x:c r="V235" s="26" t="d">
        <x:v>2026-10-02T00:00:00.000Z</x:v>
      </x:c>
      <x:c r="W235" s="26" t="d">
        <x:v>2026-10-03T00:00:00.000Z</x:v>
      </x:c>
      <x:c r="X235" s="25" t="str">
        <x:v>Public investor directory; business role and contact ownership require qualification</x:v>
      </x:c>
      <x:c r="Y235" s="25"/>
      <x:c r="Z235" s="25" t="str">
        <x:v>https://www.cashhomebuyersdirectory.com/cash-home-buyers/texas/el-paso</x:v>
      </x:c>
      <x:c r="AA235" s="25" t="str">
        <x:v>Public cash-home-buyer directory lists business name, phone and market. Directory entry may include brokers or service providers.</x:v>
      </x:c>
      <x:c r="AB235" s="3" t="str">
        <x:v>New public-source collection</x:v>
      </x:c>
      <x:c r="AC235" s="3" t="str">
        <x:v>unverified</x:v>
      </x:c>
      <x:c r="AD235" s="3" t="str">
        <x:v>Not contacted / unconfirmed</x:v>
      </x:c>
      <x:c r="AE235" s="3" t="str">
        <x:v>No</x:v>
      </x:c>
      <x:c r="AF235" s="3" t="str">
        <x:v>No</x:v>
      </x:c>
      <x:c r="AG235" s="3"/>
      <x:c r="AH235" s="3"/>
      <x:c r="AI235" s="18"/>
      <x:c r="AJ235" s="3" t="str">
        <x:v>CF2500-48736FCDA27F</x:v>
      </x:c>
      <x:c r="AK235" s="3" t="str">
        <x:v>Property investor / home-buying operator prospect</x:v>
      </x:c>
      <x:c r="AL235" s="19" t="n">
        <x:v>100000</x:v>
      </x:c>
      <x:c r="AM235" s="19" t="n">
        <x:v>500000</x:v>
      </x:c>
      <x:c r="AN235" s="3" t="str">
        <x:v>https://www.cashhomebuyersdirectory.com/cash-home-buyers/texas/el-paso</x:v>
      </x:c>
      <x:c r="AO235" s="3" t="str">
        <x:v>tx_fl_investors.jsonl</x:v>
      </x:c>
      <x:c r="AP235" s="19"/>
    </x:row>
    <x:row r="236" ht="36" customHeight="1">
      <x:c r="A236" s="23" t="n">
        <x:v>235</x:v>
      </x:c>
      <x:c r="B236" s="15" t="str">
        <x:v>FAST Sell My House For Cash</x:v>
      </x:c>
      <x:c r="C236" s="15"/>
      <x:c r="D236" s="15" t="str">
        <x:v>Property investor / home-buying operator</x:v>
      </x:c>
      <x:c r="E236" s="15" t="str">
        <x:v>Property investor / operator inquiry</x:v>
      </x:c>
      <x:c r="F236" s="17" t="str">
        <x:v>New</x:v>
      </x:c>
      <x:c r="G236" s="24"/>
      <x:c r="H236" s="24" t="str">
        <x:v>+12243020388</x:v>
      </x:c>
      <x:c r="I236" s="24" t="str">
        <x:v>https://fastsellhouseforcash.com/</x:v>
      </x:c>
      <x:c r="J236" s="16" t="str">
        <x:v>IL</x:v>
      </x:c>
      <x:c r="K236" s="16" t="str">
        <x:v>Waukegan</x:v>
      </x:c>
      <x:c r="L236" s="16" t="str">
        <x:v>Public property-business route; investor decision maker unconfirmed</x:v>
      </x:c>
      <x:c r="M236" s="16" t="str">
        <x:v>https://fastsellhouseforcash.com/</x:v>
      </x:c>
      <x:c r="N236" s="16" t="str">
        <x:v>$100K-$500K ticket not published / unconfirmed</x:v>
      </x:c>
      <x:c r="O236" s="20"/>
      <x:c r="P236" s="20"/>
      <x:c r="Q236" s="25" t="str">
        <x:v>No $100K-$500K operating-company investment ticket verified</x:v>
      </x:c>
      <x:c r="R236" s="25" t="str">
        <x:v>Property acquisition or investor activity makes this an operator-capital prospect for the signed trial. Confirm operating-company debt/equity appetite.</x:v>
      </x:c>
      <x:c r="S236" s="25" t="str">
        <x:v>Public property-buying activity or a directory listing does not establish available cash, investing decision-maker, current $100K-$500K capacity, or willingness to fund 101XVC operating costs.</x:v>
      </x:c>
      <x:c r="T236" s="25" t="str">
        <x:v>Ask the owner/investor whether they can allocate $100K-$500K to trial marketing and acquisitions, and confirm structure, timing and decision authority.</x:v>
      </x:c>
      <x:c r="U236" s="25" t="str">
        <x:v>https://www.cashhomebuyersdirectory.com/cash-home-buyers/illinois/waukegan</x:v>
      </x:c>
      <x:c r="V236" s="26" t="d">
        <x:v>2026-10-02T00:00:00.000Z</x:v>
      </x:c>
      <x:c r="W236" s="26" t="d">
        <x:v>2026-10-02T00:00:00.000Z</x:v>
      </x:c>
      <x:c r="X236" s="25" t="str">
        <x:v>Public investor directory; business role and contact ownership require qualification</x:v>
      </x:c>
      <x:c r="Y236" s="25"/>
      <x:c r="Z236" s="25" t="str">
        <x:v>https://www.cashhomebuyersdirectory.com/cash-home-buyers/illinois/waukegan</x:v>
      </x:c>
      <x:c r="AA236" s="25" t="str">
        <x:v>Public cash-home-buyer directory lists business name, phone and market. Directory entry may include brokers or service providers.</x:v>
      </x:c>
      <x:c r="AB236" s="3" t="str">
        <x:v>New public-source collection</x:v>
      </x:c>
      <x:c r="AC236" s="3" t="str">
        <x:v>unverified</x:v>
      </x:c>
      <x:c r="AD236" s="3" t="str">
        <x:v>Not contacted / unconfirmed</x:v>
      </x:c>
      <x:c r="AE236" s="3" t="str">
        <x:v>No</x:v>
      </x:c>
      <x:c r="AF236" s="3" t="str">
        <x:v>No</x:v>
      </x:c>
      <x:c r="AG236" s="3"/>
      <x:c r="AH236" s="3"/>
      <x:c r="AI236" s="18"/>
      <x:c r="AJ236" s="3" t="str">
        <x:v>CF2500-4595DD4312D6</x:v>
      </x:c>
      <x:c r="AK236" s="3" t="str">
        <x:v>Property investor / home-buying operator prospect</x:v>
      </x:c>
      <x:c r="AL236" s="19" t="n">
        <x:v>100000</x:v>
      </x:c>
      <x:c r="AM236" s="19" t="n">
        <x:v>500000</x:v>
      </x:c>
      <x:c r="AN236" s="3" t="str">
        <x:v>https://www.cashhomebuyersdirectory.com/cash-home-buyers/illinois/waukegan</x:v>
      </x:c>
      <x:c r="AO236" s="3" t="str">
        <x:v>nc_il_az_co_investors.jsonl</x:v>
      </x:c>
      <x:c r="AP236" s="19"/>
    </x:row>
    <x:row r="237" ht="36" customHeight="1">
      <x:c r="A237" s="23" t="n">
        <x:v>236</x:v>
      </x:c>
      <x:c r="B237" s="15" t="str">
        <x:v>Flash Home Buyers</x:v>
      </x:c>
      <x:c r="C237" s="15"/>
      <x:c r="D237" s="15" t="str">
        <x:v>Property investor / home-buying operator</x:v>
      </x:c>
      <x:c r="E237" s="15" t="str">
        <x:v>Property investor / operator inquiry</x:v>
      </x:c>
      <x:c r="F237" s="17" t="str">
        <x:v>New</x:v>
      </x:c>
      <x:c r="G237" s="24"/>
      <x:c r="H237" s="24" t="str">
        <x:v>+18326628151</x:v>
      </x:c>
      <x:c r="I237" s="24" t="str">
        <x:v>https://flashhomebuyers.com/</x:v>
      </x:c>
      <x:c r="J237" s="16" t="str">
        <x:v>TX</x:v>
      </x:c>
      <x:c r="K237" s="16" t="str">
        <x:v>Houston</x:v>
      </x:c>
      <x:c r="L237" s="16" t="str">
        <x:v>Public property-business route; investor decision maker unconfirmed</x:v>
      </x:c>
      <x:c r="M237" s="16" t="str">
        <x:v>https://flashhomebuyers.com/</x:v>
      </x:c>
      <x:c r="N237" s="16" t="str">
        <x:v>$100K-$500K ticket not published / unconfirmed</x:v>
      </x:c>
      <x:c r="O237" s="20"/>
      <x:c r="P237" s="20"/>
      <x:c r="Q237" s="25" t="str">
        <x:v>No $100K-$500K corporate-investment ticket published in checked source</x:v>
      </x:c>
      <x:c r="R237" s="25" t="str">
        <x:v>Property acquisition or investor activity makes this an operator-capital prospect for the signed trial. Confirm operating-company debt/equity appetite.</x:v>
      </x:c>
      <x:c r="S237" s="25" t="str">
        <x:v>Home-buying activity does not verify ability or willingness to invest $100K-$500K into 101XVC operating company. Website and contact verification pending.</x:v>
      </x:c>
      <x:c r="T237" s="25" t="str">
        <x:v>Ask the owner/investor whether they can allocate $100K-$500K to trial marketing and acquisitions, and confirm structure, timing and decision authority.</x:v>
      </x:c>
      <x:c r="U237" s="25" t="str">
        <x:v>https://www.cashhomebuyersdirectory.com/cash-home-buyers/texas/houston</x:v>
      </x:c>
      <x:c r="V237" s="26" t="d">
        <x:v>2026-10-02T00:00:00.000Z</x:v>
      </x:c>
      <x:c r="W237" s="26" t="d">
        <x:v>2026-10-03T00:00:00.000Z</x:v>
      </x:c>
      <x:c r="X237" s="25" t="str">
        <x:v>Public investor directory; business role and contact ownership require qualification</x:v>
      </x:c>
      <x:c r="Y237" s="25"/>
      <x:c r="Z237" s="25" t="str">
        <x:v>https://www.cashhomebuyersdirectory.com/cash-home-buyers/texas/houston</x:v>
      </x:c>
      <x:c r="AA237" s="25" t="str">
        <x:v>Public cash-home-buyer directory lists business name, phone and market. Directory entry may include brokers or service providers.</x:v>
      </x:c>
      <x:c r="AB237" s="3" t="str">
        <x:v>New public-source collection</x:v>
      </x:c>
      <x:c r="AC237" s="3" t="str">
        <x:v>unverified</x:v>
      </x:c>
      <x:c r="AD237" s="3" t="str">
        <x:v>Not contacted / unconfirmed</x:v>
      </x:c>
      <x:c r="AE237" s="3" t="str">
        <x:v>No</x:v>
      </x:c>
      <x:c r="AF237" s="3" t="str">
        <x:v>No</x:v>
      </x:c>
      <x:c r="AG237" s="3"/>
      <x:c r="AH237" s="3"/>
      <x:c r="AI237" s="18"/>
      <x:c r="AJ237" s="3" t="str">
        <x:v>CF2500-691E29E0FEE9</x:v>
      </x:c>
      <x:c r="AK237" s="3" t="str">
        <x:v>Property investor / home-buying operator prospect</x:v>
      </x:c>
      <x:c r="AL237" s="19" t="n">
        <x:v>100000</x:v>
      </x:c>
      <x:c r="AM237" s="19" t="n">
        <x:v>500000</x:v>
      </x:c>
      <x:c r="AN237" s="3" t="str">
        <x:v>https://www.cashhomebuyersdirectory.com/cash-home-buyers/texas/houston</x:v>
      </x:c>
      <x:c r="AO237" s="3" t="str">
        <x:v>tx_fl_investors.jsonl</x:v>
      </x:c>
      <x:c r="AP237" s="19"/>
    </x:row>
    <x:row r="238" ht="36" customHeight="1">
      <x:c r="A238" s="23" t="n">
        <x:v>237</x:v>
      </x:c>
      <x:c r="B238" s="15" t="str">
        <x:v>Florida Fast Cash Home Buyers</x:v>
      </x:c>
      <x:c r="C238" s="15"/>
      <x:c r="D238" s="15" t="str">
        <x:v>Property investor / home-buying operator</x:v>
      </x:c>
      <x:c r="E238" s="15" t="str">
        <x:v>Property investor / operator inquiry</x:v>
      </x:c>
      <x:c r="F238" s="17" t="str">
        <x:v>New</x:v>
      </x:c>
      <x:c r="G238" s="24"/>
      <x:c r="H238" s="24" t="str">
        <x:v>+13219610531</x:v>
      </x:c>
      <x:c r="I238" s="24" t="str">
        <x:v>http://flfastcashclosers.com/</x:v>
      </x:c>
      <x:c r="J238" s="16" t="str">
        <x:v>FL</x:v>
      </x:c>
      <x:c r="K238" s="16"/>
      <x:c r="L238" s="16" t="str">
        <x:v>Public property-business route; investor decision maker unconfirmed</x:v>
      </x:c>
      <x:c r="M238" s="16" t="str">
        <x:v>http://flfastcashclosers.com/</x:v>
      </x:c>
      <x:c r="N238" s="16" t="str">
        <x:v>$100K-$500K ticket not published / unconfirmed</x:v>
      </x:c>
      <x:c r="O238" s="20"/>
      <x:c r="P238" s="20"/>
      <x:c r="Q238" s="25" t="str">
        <x:v>No $100K-$500K corporate-investment ticket published in checked source</x:v>
      </x:c>
      <x:c r="R238" s="25" t="str">
        <x:v>Property acquisition or investor activity makes this an operator-capital prospect for the signed trial. Confirm operating-company debt/equity appetite.</x:v>
      </x:c>
      <x:c r="S238" s="25" t="str">
        <x:v>Home-buying activity does not verify ability or willingness to invest $100K-$500K into 101XVC operating company. Website and contact verification pending.</x:v>
      </x:c>
      <x:c r="T238" s="25" t="str">
        <x:v>Ask the owner/investor whether they can allocate $100K-$500K to trial marketing and acquisitions, and confirm structure, timing and decision authority.</x:v>
      </x:c>
      <x:c r="U238" s="25" t="str">
        <x:v>https://www.cashhomebuyersdirectory.com/cash-home-buyers/florida/palm-bay</x:v>
      </x:c>
      <x:c r="V238" s="26" t="d">
        <x:v>2026-10-02T00:00:00.000Z</x:v>
      </x:c>
      <x:c r="W238" s="26" t="d">
        <x:v>2026-10-03T00:00:00.000Z</x:v>
      </x:c>
      <x:c r="X238" s="25" t="str">
        <x:v>Public investor directory; business role and contact ownership require qualification</x:v>
      </x:c>
      <x:c r="Y238" s="25"/>
      <x:c r="Z238" s="25" t="str">
        <x:v>https://www.cashhomebuyersdirectory.com/cash-home-buyers/florida/palm-bay</x:v>
      </x:c>
      <x:c r="AA238" s="25" t="str">
        <x:v>Public cash-home-buyer directory lists business name, phone and market. Directory entry may include brokers or service providers.</x:v>
      </x:c>
      <x:c r="AB238" s="3" t="str">
        <x:v>New public-source collection</x:v>
      </x:c>
      <x:c r="AC238" s="3" t="str">
        <x:v>unverified</x:v>
      </x:c>
      <x:c r="AD238" s="3" t="str">
        <x:v>Not contacted / unconfirmed</x:v>
      </x:c>
      <x:c r="AE238" s="3" t="str">
        <x:v>No</x:v>
      </x:c>
      <x:c r="AF238" s="3" t="str">
        <x:v>No</x:v>
      </x:c>
      <x:c r="AG238" s="3"/>
      <x:c r="AH238" s="3"/>
      <x:c r="AI238" s="18"/>
      <x:c r="AJ238" s="3" t="str">
        <x:v>CF2500-CB1FE47180ED</x:v>
      </x:c>
      <x:c r="AK238" s="3" t="str">
        <x:v>Property investor / home-buying operator prospect</x:v>
      </x:c>
      <x:c r="AL238" s="19" t="n">
        <x:v>100000</x:v>
      </x:c>
      <x:c r="AM238" s="19" t="n">
        <x:v>500000</x:v>
      </x:c>
      <x:c r="AN238" s="3" t="str">
        <x:v>https://www.cashhomebuyersdirectory.com/cash-home-buyers/florida/palm-bay</x:v>
      </x:c>
      <x:c r="AO238" s="3" t="str">
        <x:v>tx_fl_investors.jsonl</x:v>
      </x:c>
      <x:c r="AP238" s="19"/>
    </x:row>
    <x:row r="239" ht="36" customHeight="1">
      <x:c r="A239" s="23" t="n">
        <x:v>238</x:v>
      </x:c>
      <x:c r="B239" s="15" t="str">
        <x:v>Florida Home Buyers</x:v>
      </x:c>
      <x:c r="C239" s="15"/>
      <x:c r="D239" s="15" t="str">
        <x:v>Property investor / home-buying operator</x:v>
      </x:c>
      <x:c r="E239" s="15" t="str">
        <x:v>Property investor / operator inquiry</x:v>
      </x:c>
      <x:c r="F239" s="17" t="str">
        <x:v>New</x:v>
      </x:c>
      <x:c r="G239" s="24"/>
      <x:c r="H239" s="24" t="str">
        <x:v>+19419270040</x:v>
      </x:c>
      <x:c r="I239" s="24" t="str">
        <x:v>http://www.floridahomebuyers.com/sarasota-bradenton-north-port/</x:v>
      </x:c>
      <x:c r="J239" s="16" t="str">
        <x:v>FL</x:v>
      </x:c>
      <x:c r="K239" s="16" t="str">
        <x:v>Sarasota</x:v>
      </x:c>
      <x:c r="L239" s="16" t="str">
        <x:v>Public property-business route; investor decision maker unconfirmed</x:v>
      </x:c>
      <x:c r="M239" s="16" t="str">
        <x:v>http://www.floridahomebuyers.com/sarasota-bradenton-north-port/</x:v>
      </x:c>
      <x:c r="N239" s="16" t="str">
        <x:v>$100K-$500K ticket not published / unconfirmed</x:v>
      </x:c>
      <x:c r="O239" s="20"/>
      <x:c r="P239" s="20"/>
      <x:c r="Q239" s="25" t="str">
        <x:v>No $100K-$500K corporate-investment ticket published in checked source</x:v>
      </x:c>
      <x:c r="R239" s="25" t="str">
        <x:v>Property acquisition or investor activity makes this an operator-capital prospect for the signed trial. Confirm operating-company debt/equity appetite.</x:v>
      </x:c>
      <x:c r="S239" s="25" t="str">
        <x:v>Home-buying activity does not verify ability or willingness to invest $100K-$500K into 101XVC operating company. Website and contact verification pending.</x:v>
      </x:c>
      <x:c r="T239" s="25" t="str">
        <x:v>Ask the owner/investor whether they can allocate $100K-$500K to trial marketing and acquisitions, and confirm structure, timing and decision authority.</x:v>
      </x:c>
      <x:c r="U239" s="25" t="str">
        <x:v>https://www.cashhomebuyersdirectory.com/cash-home-buyers/florida/sarasota</x:v>
      </x:c>
      <x:c r="V239" s="26" t="d">
        <x:v>2026-10-02T00:00:00.000Z</x:v>
      </x:c>
      <x:c r="W239" s="26" t="d">
        <x:v>2026-10-03T00:00:00.000Z</x:v>
      </x:c>
      <x:c r="X239" s="25" t="str">
        <x:v>Public investor directory; business role and contact ownership require qualification</x:v>
      </x:c>
      <x:c r="Y239" s="25"/>
      <x:c r="Z239" s="25" t="str">
        <x:v>https://www.cashhomebuyersdirectory.com/cash-home-buyers/florida/sarasota</x:v>
      </x:c>
      <x:c r="AA239" s="25" t="str">
        <x:v>Public cash-home-buyer directory lists business name, phone and market. Directory entry may include brokers or service providers.</x:v>
      </x:c>
      <x:c r="AB239" s="3" t="str">
        <x:v>New public-source collection</x:v>
      </x:c>
      <x:c r="AC239" s="3" t="str">
        <x:v>unverified</x:v>
      </x:c>
      <x:c r="AD239" s="3" t="str">
        <x:v>Not contacted / unconfirmed</x:v>
      </x:c>
      <x:c r="AE239" s="3" t="str">
        <x:v>No</x:v>
      </x:c>
      <x:c r="AF239" s="3" t="str">
        <x:v>No</x:v>
      </x:c>
      <x:c r="AG239" s="3"/>
      <x:c r="AH239" s="3"/>
      <x:c r="AI239" s="18"/>
      <x:c r="AJ239" s="3" t="str">
        <x:v>CF2500-C12A39E991BD</x:v>
      </x:c>
      <x:c r="AK239" s="3" t="str">
        <x:v>Property investor / home-buying operator prospect</x:v>
      </x:c>
      <x:c r="AL239" s="19" t="n">
        <x:v>100000</x:v>
      </x:c>
      <x:c r="AM239" s="19" t="n">
        <x:v>500000</x:v>
      </x:c>
      <x:c r="AN239" s="3" t="str">
        <x:v>https://www.cashhomebuyersdirectory.com/cash-home-buyers/florida/sarasota</x:v>
      </x:c>
      <x:c r="AO239" s="3" t="str">
        <x:v>tx_fl_investors.jsonl</x:v>
      </x:c>
      <x:c r="AP239" s="19"/>
    </x:row>
    <x:row r="240" ht="36" customHeight="1">
      <x:c r="A240" s="23" t="n">
        <x:v>239</x:v>
      </x:c>
      <x:c r="B240" s="15" t="str">
        <x:v>Fort Worth Home Buyers</x:v>
      </x:c>
      <x:c r="C240" s="15"/>
      <x:c r="D240" s="15" t="str">
        <x:v>Property investor / home-buying operator</x:v>
      </x:c>
      <x:c r="E240" s="15" t="str">
        <x:v>Property investor / operator inquiry</x:v>
      </x:c>
      <x:c r="F240" s="17" t="str">
        <x:v>New</x:v>
      </x:c>
      <x:c r="G240" s="24"/>
      <x:c r="H240" s="24" t="str">
        <x:v>+18178526300</x:v>
      </x:c>
      <x:c r="I240" s="24" t="str">
        <x:v>https://ftworthhomebuyers.net/</x:v>
      </x:c>
      <x:c r="J240" s="16" t="str">
        <x:v>TX</x:v>
      </x:c>
      <x:c r="K240" s="16"/>
      <x:c r="L240" s="16" t="str">
        <x:v>Public property-business route; investor decision maker unconfirmed</x:v>
      </x:c>
      <x:c r="M240" s="16" t="str">
        <x:v>https://ftworthhomebuyers.net/</x:v>
      </x:c>
      <x:c r="N240" s="16" t="str">
        <x:v>$100K-$500K ticket not published / unconfirmed</x:v>
      </x:c>
      <x:c r="O240" s="20"/>
      <x:c r="P240" s="20"/>
      <x:c r="Q240" s="25" t="str">
        <x:v>No $100K-$500K corporate-investment ticket published in checked source</x:v>
      </x:c>
      <x:c r="R240" s="25" t="str">
        <x:v>Property acquisition or investor activity makes this an operator-capital prospect for the signed trial. Confirm operating-company debt/equity appetite.</x:v>
      </x:c>
      <x:c r="S240" s="25" t="str">
        <x:v>Home-buying activity does not verify ability or willingness to invest $100K-$500K into 101XVC operating company. Website and contact verification pending.</x:v>
      </x:c>
      <x:c r="T240" s="25" t="str">
        <x:v>Ask the owner/investor whether they can allocate $100K-$500K to trial marketing and acquisitions, and confirm structure, timing and decision authority.</x:v>
      </x:c>
      <x:c r="U240" s="25" t="str">
        <x:v>https://www.cashhomebuyersdirectory.com/cash-home-buyers/texas/fort-worth</x:v>
      </x:c>
      <x:c r="V240" s="26" t="d">
        <x:v>2026-10-02T00:00:00.000Z</x:v>
      </x:c>
      <x:c r="W240" s="26" t="d">
        <x:v>2026-10-03T00:00:00.000Z</x:v>
      </x:c>
      <x:c r="X240" s="25" t="str">
        <x:v>Public investor directory; business role and contact ownership require qualification</x:v>
      </x:c>
      <x:c r="Y240" s="25"/>
      <x:c r="Z240" s="25" t="str">
        <x:v>https://www.cashhomebuyersdirectory.com/cash-home-buyers/texas/fort-worth</x:v>
      </x:c>
      <x:c r="AA240" s="25" t="str">
        <x:v>Public cash-home-buyer directory lists business name, phone and market. Directory entry may include brokers or service providers.</x:v>
      </x:c>
      <x:c r="AB240" s="3" t="str">
        <x:v>New public-source collection</x:v>
      </x:c>
      <x:c r="AC240" s="3" t="str">
        <x:v>unverified</x:v>
      </x:c>
      <x:c r="AD240" s="3" t="str">
        <x:v>Not contacted / unconfirmed</x:v>
      </x:c>
      <x:c r="AE240" s="3" t="str">
        <x:v>No</x:v>
      </x:c>
      <x:c r="AF240" s="3" t="str">
        <x:v>No</x:v>
      </x:c>
      <x:c r="AG240" s="3"/>
      <x:c r="AH240" s="3"/>
      <x:c r="AI240" s="18"/>
      <x:c r="AJ240" s="3" t="str">
        <x:v>CF2500-0BEBA9C927F7</x:v>
      </x:c>
      <x:c r="AK240" s="3" t="str">
        <x:v>Property investor / home-buying operator prospect</x:v>
      </x:c>
      <x:c r="AL240" s="19" t="n">
        <x:v>100000</x:v>
      </x:c>
      <x:c r="AM240" s="19" t="n">
        <x:v>500000</x:v>
      </x:c>
      <x:c r="AN240" s="3" t="str">
        <x:v>https://www.cashhomebuyersdirectory.com/cash-home-buyers/texas/fort-worth</x:v>
      </x:c>
      <x:c r="AO240" s="3" t="str">
        <x:v>tx_fl_investors.jsonl</x:v>
      </x:c>
      <x:c r="AP240" s="19"/>
    </x:row>
    <x:row r="241" ht="36" customHeight="1">
      <x:c r="A241" s="23" t="n">
        <x:v>240</x:v>
      </x:c>
      <x:c r="B241" s="15" t="str">
        <x:v>Foundation and Light Home Solutions - Sell Your House Fast - We Buy Houses</x:v>
      </x:c>
      <x:c r="C241" s="15"/>
      <x:c r="D241" s="15" t="str">
        <x:v>Property investor / home-buying operator</x:v>
      </x:c>
      <x:c r="E241" s="15" t="str">
        <x:v>Property investor / operator inquiry</x:v>
      </x:c>
      <x:c r="F241" s="17" t="str">
        <x:v>New</x:v>
      </x:c>
      <x:c r="G241" s="24"/>
      <x:c r="H241" s="24" t="str">
        <x:v>+18507161903</x:v>
      </x:c>
      <x:c r="I241" s="24" t="str">
        <x:v>https://www.foundationandlight.com/</x:v>
      </x:c>
      <x:c r="J241" s="16" t="str">
        <x:v>TX</x:v>
      </x:c>
      <x:c r="K241" s="16"/>
      <x:c r="L241" s="16" t="str">
        <x:v>Public property-business route; investor decision maker unconfirmed</x:v>
      </x:c>
      <x:c r="M241" s="16" t="str">
        <x:v>https://www.foundationandlight.com/</x:v>
      </x:c>
      <x:c r="N241" s="16" t="str">
        <x:v>$100K-$500K ticket not published / unconfirmed</x:v>
      </x:c>
      <x:c r="O241" s="20"/>
      <x:c r="P241" s="20"/>
      <x:c r="Q241" s="25" t="str">
        <x:v>No $100K-$500K corporate-investment ticket published in checked source</x:v>
      </x:c>
      <x:c r="R241" s="25" t="str">
        <x:v>Property acquisition or investor activity makes this an operator-capital prospect for the signed trial. Confirm operating-company debt/equity appetite.</x:v>
      </x:c>
      <x:c r="S241" s="25" t="str">
        <x:v>Home-buying activity does not verify ability or willingness to invest $100K-$500K into 101XVC operating company. Website and contact verification pending.</x:v>
      </x:c>
      <x:c r="T241" s="25" t="str">
        <x:v>Ask the owner/investor whether they can allocate $100K-$500K to trial marketing and acquisitions, and confirm structure, timing and decision authority.</x:v>
      </x:c>
      <x:c r="U241" s="25" t="str">
        <x:v>https://www.cashhomebuyersdirectory.com/cash-home-buyers/texas/austin</x:v>
      </x:c>
      <x:c r="V241" s="26" t="d">
        <x:v>2026-10-02T00:00:00.000Z</x:v>
      </x:c>
      <x:c r="W241" s="26" t="d">
        <x:v>2026-10-03T00:00:00.000Z</x:v>
      </x:c>
      <x:c r="X241" s="25" t="str">
        <x:v>Public investor directory; business role and contact ownership require qualification</x:v>
      </x:c>
      <x:c r="Y241" s="25"/>
      <x:c r="Z241" s="25" t="str">
        <x:v>https://www.cashhomebuyersdirectory.com/cash-home-buyers/texas/austin</x:v>
      </x:c>
      <x:c r="AA241" s="25" t="str">
        <x:v>Public cash-home-buyer directory lists business name, phone and market. Directory entry may include brokers or service providers.</x:v>
      </x:c>
      <x:c r="AB241" s="3" t="str">
        <x:v>New public-source collection</x:v>
      </x:c>
      <x:c r="AC241" s="3" t="str">
        <x:v>unverified</x:v>
      </x:c>
      <x:c r="AD241" s="3" t="str">
        <x:v>Not contacted / unconfirmed</x:v>
      </x:c>
      <x:c r="AE241" s="3" t="str">
        <x:v>No</x:v>
      </x:c>
      <x:c r="AF241" s="3" t="str">
        <x:v>No</x:v>
      </x:c>
      <x:c r="AG241" s="3"/>
      <x:c r="AH241" s="3"/>
      <x:c r="AI241" s="18"/>
      <x:c r="AJ241" s="3" t="str">
        <x:v>CF2500-F0CA9256AB32</x:v>
      </x:c>
      <x:c r="AK241" s="3" t="str">
        <x:v>Property investor / home-buying operator prospect</x:v>
      </x:c>
      <x:c r="AL241" s="19" t="n">
        <x:v>100000</x:v>
      </x:c>
      <x:c r="AM241" s="19" t="n">
        <x:v>500000</x:v>
      </x:c>
      <x:c r="AN241" s="3" t="str">
        <x:v>https://www.cashhomebuyersdirectory.com/cash-home-buyers/texas/austin</x:v>
      </x:c>
      <x:c r="AO241" s="3" t="str">
        <x:v>tx_fl_investors.jsonl</x:v>
      </x:c>
      <x:c r="AP241" s="19"/>
    </x:row>
    <x:row r="242" ht="36" customHeight="1">
      <x:c r="A242" s="23" t="n">
        <x:v>241</x:v>
      </x:c>
      <x:c r="B242" s="15" t="str">
        <x:v>Foxy Home Buyer</x:v>
      </x:c>
      <x:c r="C242" s="15"/>
      <x:c r="D242" s="15" t="str">
        <x:v>Property investor / home-buying operator</x:v>
      </x:c>
      <x:c r="E242" s="15" t="str">
        <x:v>Property investor / operator inquiry</x:v>
      </x:c>
      <x:c r="F242" s="17" t="str">
        <x:v>New</x:v>
      </x:c>
      <x:c r="G242" s="24"/>
      <x:c r="H242" s="24" t="str">
        <x:v>+18664043664</x:v>
      </x:c>
      <x:c r="I242" s="24" t="str">
        <x:v>http://www.foxyhomebuyer.com/</x:v>
      </x:c>
      <x:c r="J242" s="16" t="str">
        <x:v>FL</x:v>
      </x:c>
      <x:c r="K242" s="16" t="str">
        <x:v>Tampa</x:v>
      </x:c>
      <x:c r="L242" s="16" t="str">
        <x:v>Public property-business route; investor decision maker unconfirmed</x:v>
      </x:c>
      <x:c r="M242" s="16" t="str">
        <x:v>http://www.foxyhomebuyer.com/</x:v>
      </x:c>
      <x:c r="N242" s="16" t="str">
        <x:v>$100K-$500K ticket not published / unconfirmed</x:v>
      </x:c>
      <x:c r="O242" s="20"/>
      <x:c r="P242" s="20"/>
      <x:c r="Q242" s="25" t="str">
        <x:v>No $100K-$500K corporate-investment ticket published in checked source</x:v>
      </x:c>
      <x:c r="R242" s="25" t="str">
        <x:v>Property acquisition or investor activity makes this an operator-capital prospect for the signed trial. Confirm operating-company debt/equity appetite.</x:v>
      </x:c>
      <x:c r="S242" s="25" t="str">
        <x:v>Home-buying activity does not verify ability or willingness to invest $100K-$500K into 101XVC operating company. Website and contact verification pending.</x:v>
      </x:c>
      <x:c r="T242" s="25" t="str">
        <x:v>Ask the owner/investor whether they can allocate $100K-$500K to trial marketing and acquisitions, and confirm structure, timing and decision authority.</x:v>
      </x:c>
      <x:c r="U242" s="25" t="str">
        <x:v>https://www.cashhomebuyersdirectory.com/cash-home-buyers/florida/tampa</x:v>
      </x:c>
      <x:c r="V242" s="26" t="d">
        <x:v>2026-10-02T00:00:00.000Z</x:v>
      </x:c>
      <x:c r="W242" s="26" t="d">
        <x:v>2026-10-03T00:00:00.000Z</x:v>
      </x:c>
      <x:c r="X242" s="25" t="str">
        <x:v>Public investor directory; business role and contact ownership require qualification</x:v>
      </x:c>
      <x:c r="Y242" s="25"/>
      <x:c r="Z242" s="25" t="str">
        <x:v>https://www.cashhomebuyersdirectory.com/cash-home-buyers/florida/tampa</x:v>
      </x:c>
      <x:c r="AA242" s="25" t="str">
        <x:v>Public cash-home-buyer directory lists business name, phone and market. Directory entry may include brokers or service providers.</x:v>
      </x:c>
      <x:c r="AB242" s="3" t="str">
        <x:v>New public-source collection</x:v>
      </x:c>
      <x:c r="AC242" s="3" t="str">
        <x:v>unverified</x:v>
      </x:c>
      <x:c r="AD242" s="3" t="str">
        <x:v>Not contacted / unconfirmed</x:v>
      </x:c>
      <x:c r="AE242" s="3" t="str">
        <x:v>No</x:v>
      </x:c>
      <x:c r="AF242" s="3" t="str">
        <x:v>No</x:v>
      </x:c>
      <x:c r="AG242" s="3"/>
      <x:c r="AH242" s="3"/>
      <x:c r="AI242" s="18"/>
      <x:c r="AJ242" s="3" t="str">
        <x:v>CF2500-8DC20BA7F77E</x:v>
      </x:c>
      <x:c r="AK242" s="3" t="str">
        <x:v>Property investor / home-buying operator prospect</x:v>
      </x:c>
      <x:c r="AL242" s="19" t="n">
        <x:v>100000</x:v>
      </x:c>
      <x:c r="AM242" s="19" t="n">
        <x:v>500000</x:v>
      </x:c>
      <x:c r="AN242" s="3" t="str">
        <x:v>https://www.cashhomebuyersdirectory.com/cash-home-buyers/florida/tampa</x:v>
      </x:c>
      <x:c r="AO242" s="3" t="str">
        <x:v>tx_fl_investors.jsonl</x:v>
      </x:c>
      <x:c r="AP242" s="19"/>
    </x:row>
    <x:row r="243" ht="36" customHeight="1">
      <x:c r="A243" s="23" t="n">
        <x:v>242</x:v>
      </x:c>
      <x:c r="B243" s="15" t="str">
        <x:v>Freedom Homebuyer</x:v>
      </x:c>
      <x:c r="C243" s="15"/>
      <x:c r="D243" s="15" t="str">
        <x:v>Property investor / home-buying operator</x:v>
      </x:c>
      <x:c r="E243" s="15" t="str">
        <x:v>Property investor / operator inquiry</x:v>
      </x:c>
      <x:c r="F243" s="17" t="str">
        <x:v>New</x:v>
      </x:c>
      <x:c r="G243" s="24"/>
      <x:c r="H243" s="24" t="str">
        <x:v>+14804626445</x:v>
      </x:c>
      <x:c r="I243" s="24" t="str">
        <x:v>https://freedomhomebuyer.com:443/</x:v>
      </x:c>
      <x:c r="J243" s="16" t="str">
        <x:v>AZ</x:v>
      </x:c>
      <x:c r="K243" s="16" t="str">
        <x:v>Mesa</x:v>
      </x:c>
      <x:c r="L243" s="16" t="str">
        <x:v>Public property-business route; investor decision maker unconfirmed</x:v>
      </x:c>
      <x:c r="M243" s="16" t="str">
        <x:v>https://freedomhomebuyer.com:443/</x:v>
      </x:c>
      <x:c r="N243" s="16" t="str">
        <x:v>$100K-$500K ticket not published / unconfirmed</x:v>
      </x:c>
      <x:c r="O243" s="20"/>
      <x:c r="P243" s="20"/>
      <x:c r="Q243" s="25" t="str">
        <x:v>No $100K-$500K operating-company investment ticket verified</x:v>
      </x:c>
      <x:c r="R243" s="25" t="str">
        <x:v>Property acquisition or investor activity makes this an operator-capital prospect for the signed trial. Confirm operating-company debt/equity appetite.</x:v>
      </x:c>
      <x:c r="S243" s="25" t="str">
        <x:v>Public property-buying activity or a directory listing does not establish available cash, investing decision-maker, current $100K-$500K capacity, or willingness to fund 101XVC operating costs.</x:v>
      </x:c>
      <x:c r="T243" s="25" t="str">
        <x:v>Ask the owner/investor whether they can allocate $100K-$500K to trial marketing and acquisitions, and confirm structure, timing and decision authority.</x:v>
      </x:c>
      <x:c r="U243" s="25" t="str">
        <x:v>https://www.cashhomebuyersdirectory.com/cash-home-buyers/arizona/mesa
https://freedomhomebuyer.com:443/</x:v>
      </x:c>
      <x:c r="V243" s="26" t="d">
        <x:v>2026-10-02T00:00:00.000Z</x:v>
      </x:c>
      <x:c r="W243" s="26" t="d">
        <x:v>2026-10-02T00:00:00.000Z</x:v>
      </x:c>
      <x:c r="X243" s="25" t="str">
        <x:v>Public investor directory; business role and contact ownership require qualification</x:v>
      </x:c>
      <x:c r="Y243" s="25"/>
      <x:c r="Z243" s="25" t="str">
        <x:v>https://www.cashhomebuyersdirectory.com/cash-home-buyers/arizona/mesa</x:v>
      </x:c>
      <x:c r="AA243" s="25" t="str">
        <x:v>Public cash-home-buyer directory lists business name, phone and market. Directory entry may include brokers or service providers. Official website fetched; investing role requires manual review.</x:v>
      </x:c>
      <x:c r="AB243" s="3" t="str">
        <x:v>New public-source collection</x:v>
      </x:c>
      <x:c r="AC243" s="3" t="str">
        <x:v>unverified</x:v>
      </x:c>
      <x:c r="AD243" s="3" t="str">
        <x:v>Not contacted / unconfirmed</x:v>
      </x:c>
      <x:c r="AE243" s="3" t="str">
        <x:v>No</x:v>
      </x:c>
      <x:c r="AF243" s="3" t="str">
        <x:v>No</x:v>
      </x:c>
      <x:c r="AG243" s="3"/>
      <x:c r="AH243" s="3"/>
      <x:c r="AI243" s="18"/>
      <x:c r="AJ243" s="3" t="str">
        <x:v>CF2500-A2C0023C66B2</x:v>
      </x:c>
      <x:c r="AK243" s="3" t="str">
        <x:v>Property investor / home-buying operator prospect</x:v>
      </x:c>
      <x:c r="AL243" s="19" t="n">
        <x:v>100000</x:v>
      </x:c>
      <x:c r="AM243" s="19" t="n">
        <x:v>500000</x:v>
      </x:c>
      <x:c r="AN243" s="3" t="str">
        <x:v>https://www.cashhomebuyersdirectory.com/cash-home-buyers/arizona/mesa</x:v>
      </x:c>
      <x:c r="AO243" s="3" t="str">
        <x:v>nc_il_az_co_investors.jsonl</x:v>
      </x:c>
      <x:c r="AP243" s="19"/>
    </x:row>
    <x:row r="244" ht="36" customHeight="1">
      <x:c r="A244" s="23" t="n">
        <x:v>243</x:v>
      </x:c>
      <x:c r="B244" s="15" t="str">
        <x:v>Got Help Home Buyers</x:v>
      </x:c>
      <x:c r="C244" s="15"/>
      <x:c r="D244" s="15" t="str">
        <x:v>Property investor / home-buying operator</x:v>
      </x:c>
      <x:c r="E244" s="15" t="str">
        <x:v>Property investor / operator inquiry</x:v>
      </x:c>
      <x:c r="F244" s="17" t="str">
        <x:v>New</x:v>
      </x:c>
      <x:c r="G244" s="24"/>
      <x:c r="H244" s="24" t="str">
        <x:v>+19042099219</x:v>
      </x:c>
      <x:c r="I244" s="24" t="str">
        <x:v>http://www.gothelphomebuyers.com/</x:v>
      </x:c>
      <x:c r="J244" s="16" t="str">
        <x:v>FL</x:v>
      </x:c>
      <x:c r="K244" s="16" t="str">
        <x:v>Jacksonville</x:v>
      </x:c>
      <x:c r="L244" s="16" t="str">
        <x:v>Public property-business route; investor decision maker unconfirmed</x:v>
      </x:c>
      <x:c r="M244" s="16" t="str">
        <x:v>http://www.gothelphomebuyers.com/</x:v>
      </x:c>
      <x:c r="N244" s="16" t="str">
        <x:v>$100K-$500K ticket not published / unconfirmed</x:v>
      </x:c>
      <x:c r="O244" s="20"/>
      <x:c r="P244" s="20"/>
      <x:c r="Q244" s="25" t="str">
        <x:v>No $100K-$500K corporate-investment ticket published in checked source</x:v>
      </x:c>
      <x:c r="R244" s="25" t="str">
        <x:v>Property acquisition or investor activity makes this an operator-capital prospect for the signed trial. Confirm operating-company debt/equity appetite.</x:v>
      </x:c>
      <x:c r="S244" s="25" t="str">
        <x:v>Home-buying activity does not verify ability or willingness to invest $100K-$500K into 101XVC operating company. Website and contact verification pending.</x:v>
      </x:c>
      <x:c r="T244" s="25" t="str">
        <x:v>Ask the owner/investor whether they can allocate $100K-$500K to trial marketing and acquisitions, and confirm structure, timing and decision authority.</x:v>
      </x:c>
      <x:c r="U244" s="25" t="str">
        <x:v>https://www.cashhomebuyersdirectory.com/cash-home-buyers/florida/jacksonville</x:v>
      </x:c>
      <x:c r="V244" s="26" t="d">
        <x:v>2026-10-02T00:00:00.000Z</x:v>
      </x:c>
      <x:c r="W244" s="26" t="d">
        <x:v>2026-10-03T00:00:00.000Z</x:v>
      </x:c>
      <x:c r="X244" s="25" t="str">
        <x:v>Public investor directory; business role and contact ownership require qualification</x:v>
      </x:c>
      <x:c r="Y244" s="25"/>
      <x:c r="Z244" s="25" t="str">
        <x:v>https://www.cashhomebuyersdirectory.com/cash-home-buyers/florida/jacksonville</x:v>
      </x:c>
      <x:c r="AA244" s="25" t="str">
        <x:v>Public cash-home-buyer directory lists business name, phone and market. Directory entry may include brokers or service providers.</x:v>
      </x:c>
      <x:c r="AB244" s="3" t="str">
        <x:v>New public-source collection</x:v>
      </x:c>
      <x:c r="AC244" s="3" t="str">
        <x:v>unverified</x:v>
      </x:c>
      <x:c r="AD244" s="3" t="str">
        <x:v>Not contacted / unconfirmed</x:v>
      </x:c>
      <x:c r="AE244" s="3" t="str">
        <x:v>No</x:v>
      </x:c>
      <x:c r="AF244" s="3" t="str">
        <x:v>No</x:v>
      </x:c>
      <x:c r="AG244" s="3"/>
      <x:c r="AH244" s="3"/>
      <x:c r="AI244" s="18"/>
      <x:c r="AJ244" s="3" t="str">
        <x:v>CF2500-E030845F05BD</x:v>
      </x:c>
      <x:c r="AK244" s="3" t="str">
        <x:v>Property investor / home-buying operator prospect</x:v>
      </x:c>
      <x:c r="AL244" s="19" t="n">
        <x:v>100000</x:v>
      </x:c>
      <x:c r="AM244" s="19" t="n">
        <x:v>500000</x:v>
      </x:c>
      <x:c r="AN244" s="3" t="str">
        <x:v>https://www.cashhomebuyersdirectory.com/cash-home-buyers/florida/jacksonville</x:v>
      </x:c>
      <x:c r="AO244" s="3" t="str">
        <x:v>tx_fl_investors.jsonl</x:v>
      </x:c>
      <x:c r="AP244" s="19"/>
    </x:row>
    <x:row r="245" ht="36" customHeight="1">
      <x:c r="A245" s="23" t="n">
        <x:v>244</x:v>
      </x:c>
      <x:c r="B245" s="15" t="str">
        <x:v>Great Rock Home Buyers</x:v>
      </x:c>
      <x:c r="C245" s="15"/>
      <x:c r="D245" s="15" t="str">
        <x:v>Property investor / home-buying operator</x:v>
      </x:c>
      <x:c r="E245" s="15" t="str">
        <x:v>Property investor / operator inquiry</x:v>
      </x:c>
      <x:c r="F245" s="17" t="str">
        <x:v>New</x:v>
      </x:c>
      <x:c r="G245" s="24"/>
      <x:c r="H245" s="24" t="str">
        <x:v>+17137145142</x:v>
      </x:c>
      <x:c r="I245" s="24" t="str">
        <x:v>http://greatrockhomebuyers.com/</x:v>
      </x:c>
      <x:c r="J245" s="16" t="str">
        <x:v>TX</x:v>
      </x:c>
      <x:c r="K245" s="16" t="str">
        <x:v>Houston</x:v>
      </x:c>
      <x:c r="L245" s="16" t="str">
        <x:v>Public property-business route; investor decision maker unconfirmed</x:v>
      </x:c>
      <x:c r="M245" s="16" t="str">
        <x:v>http://greatrockhomebuyers.com/</x:v>
      </x:c>
      <x:c r="N245" s="16" t="str">
        <x:v>$100K-$500K ticket not published / unconfirmed</x:v>
      </x:c>
      <x:c r="O245" s="20"/>
      <x:c r="P245" s="20"/>
      <x:c r="Q245" s="25" t="str">
        <x:v>No $100K-$500K corporate-investment ticket published in checked source</x:v>
      </x:c>
      <x:c r="R245" s="25" t="str">
        <x:v>Property acquisition or investor activity makes this an operator-capital prospect for the signed trial. Confirm operating-company debt/equity appetite.</x:v>
      </x:c>
      <x:c r="S245" s="25" t="str">
        <x:v>Home-buying activity does not verify ability or willingness to invest $100K-$500K into 101XVC operating company. Website and contact verification pending.</x:v>
      </x:c>
      <x:c r="T245" s="25" t="str">
        <x:v>Ask the owner/investor whether they can allocate $100K-$500K to trial marketing and acquisitions, and confirm structure, timing and decision authority.</x:v>
      </x:c>
      <x:c r="U245" s="25" t="str">
        <x:v>https://www.cashhomebuyersdirectory.com/cash-home-buyers/texas/houston</x:v>
      </x:c>
      <x:c r="V245" s="26" t="d">
        <x:v>2026-10-02T00:00:00.000Z</x:v>
      </x:c>
      <x:c r="W245" s="26" t="d">
        <x:v>2026-10-03T00:00:00.000Z</x:v>
      </x:c>
      <x:c r="X245" s="25" t="str">
        <x:v>Public investor directory; business role and contact ownership require qualification</x:v>
      </x:c>
      <x:c r="Y245" s="25"/>
      <x:c r="Z245" s="25" t="str">
        <x:v>https://www.cashhomebuyersdirectory.com/cash-home-buyers/texas/houston</x:v>
      </x:c>
      <x:c r="AA245" s="25" t="str">
        <x:v>Public cash-home-buyer directory lists business name, phone and market. Directory entry may include brokers or service providers.</x:v>
      </x:c>
      <x:c r="AB245" s="3" t="str">
        <x:v>New public-source collection</x:v>
      </x:c>
      <x:c r="AC245" s="3" t="str">
        <x:v>unverified</x:v>
      </x:c>
      <x:c r="AD245" s="3" t="str">
        <x:v>Not contacted / unconfirmed</x:v>
      </x:c>
      <x:c r="AE245" s="3" t="str">
        <x:v>No</x:v>
      </x:c>
      <x:c r="AF245" s="3" t="str">
        <x:v>No</x:v>
      </x:c>
      <x:c r="AG245" s="3"/>
      <x:c r="AH245" s="3"/>
      <x:c r="AI245" s="18"/>
      <x:c r="AJ245" s="3" t="str">
        <x:v>CF2500-6CFE4446E564</x:v>
      </x:c>
      <x:c r="AK245" s="3" t="str">
        <x:v>Property investor / home-buying operator prospect</x:v>
      </x:c>
      <x:c r="AL245" s="19" t="n">
        <x:v>100000</x:v>
      </x:c>
      <x:c r="AM245" s="19" t="n">
        <x:v>500000</x:v>
      </x:c>
      <x:c r="AN245" s="3" t="str">
        <x:v>https://www.cashhomebuyersdirectory.com/cash-home-buyers/texas/houston</x:v>
      </x:c>
      <x:c r="AO245" s="3" t="str">
        <x:v>tx_fl_investors.jsonl</x:v>
      </x:c>
      <x:c r="AP245" s="19"/>
    </x:row>
    <x:row r="246" ht="36" customHeight="1">
      <x:c r="A246" s="23" t="n">
        <x:v>245</x:v>
      </x:c>
      <x:c r="B246" s="15" t="str">
        <x:v>Happy Home Cash Offer (Sell My House In Midland - Odessa Tx, Cash Offer, Sell Fast, Fixer Upper)</x:v>
      </x:c>
      <x:c r="C246" s="15"/>
      <x:c r="D246" s="15" t="str">
        <x:v>Property investor / home-buying operator</x:v>
      </x:c>
      <x:c r="E246" s="15" t="str">
        <x:v>Property investor / operator inquiry</x:v>
      </x:c>
      <x:c r="F246" s="17" t="str">
        <x:v>New</x:v>
      </x:c>
      <x:c r="G246" s="24"/>
      <x:c r="H246" s="24" t="str">
        <x:v>+14322239200</x:v>
      </x:c>
      <x:c r="I246" s="24" t="str">
        <x:v>https://happyhome.casa/</x:v>
      </x:c>
      <x:c r="J246" s="16" t="str">
        <x:v>TX</x:v>
      </x:c>
      <x:c r="K246" s="16" t="str">
        <x:v>Midland</x:v>
      </x:c>
      <x:c r="L246" s="16" t="str">
        <x:v>Public property-business route; investor decision maker unconfirmed</x:v>
      </x:c>
      <x:c r="M246" s="16" t="str">
        <x:v>https://happyhome.casa/</x:v>
      </x:c>
      <x:c r="N246" s="16" t="str">
        <x:v>$100K-$500K ticket not published / unconfirmed</x:v>
      </x:c>
      <x:c r="O246" s="20"/>
      <x:c r="P246" s="20"/>
      <x:c r="Q246" s="25" t="str">
        <x:v>No $100K-$500K corporate-investment ticket published in checked source</x:v>
      </x:c>
      <x:c r="R246" s="25" t="str">
        <x:v>Property acquisition or investor activity makes this an operator-capital prospect for the signed trial. Confirm operating-company debt/equity appetite.</x:v>
      </x:c>
      <x:c r="S246" s="25" t="str">
        <x:v>Home-buying activity does not verify ability or willingness to invest $100K-$500K into 101XVC operating company. Website and contact verification pending.</x:v>
      </x:c>
      <x:c r="T246" s="25" t="str">
        <x:v>Ask the owner/investor whether they can allocate $100K-$500K to trial marketing and acquisitions, and confirm structure, timing and decision authority.</x:v>
      </x:c>
      <x:c r="U246" s="25" t="str">
        <x:v>https://www.cashhomebuyersdirectory.com/cash-home-buyers/texas/midland</x:v>
      </x:c>
      <x:c r="V246" s="26" t="d">
        <x:v>2026-10-02T00:00:00.000Z</x:v>
      </x:c>
      <x:c r="W246" s="26" t="d">
        <x:v>2026-10-03T00:00:00.000Z</x:v>
      </x:c>
      <x:c r="X246" s="25" t="str">
        <x:v>Public investor directory; business role and contact ownership require qualification</x:v>
      </x:c>
      <x:c r="Y246" s="25"/>
      <x:c r="Z246" s="25" t="str">
        <x:v>https://www.cashhomebuyersdirectory.com/cash-home-buyers/texas/midland</x:v>
      </x:c>
      <x:c r="AA246" s="25" t="str">
        <x:v>Public cash-home-buyer directory lists business name, phone and market. Directory entry may include brokers or service providers.</x:v>
      </x:c>
      <x:c r="AB246" s="3" t="str">
        <x:v>New public-source collection</x:v>
      </x:c>
      <x:c r="AC246" s="3" t="str">
        <x:v>unverified</x:v>
      </x:c>
      <x:c r="AD246" s="3" t="str">
        <x:v>Not contacted / unconfirmed</x:v>
      </x:c>
      <x:c r="AE246" s="3" t="str">
        <x:v>No</x:v>
      </x:c>
      <x:c r="AF246" s="3" t="str">
        <x:v>No</x:v>
      </x:c>
      <x:c r="AG246" s="3"/>
      <x:c r="AH246" s="3"/>
      <x:c r="AI246" s="18"/>
      <x:c r="AJ246" s="3" t="str">
        <x:v>CF2500-A2DCF524DDE8</x:v>
      </x:c>
      <x:c r="AK246" s="3" t="str">
        <x:v>Property investor / home-buying operator prospect</x:v>
      </x:c>
      <x:c r="AL246" s="19" t="n">
        <x:v>100000</x:v>
      </x:c>
      <x:c r="AM246" s="19" t="n">
        <x:v>500000</x:v>
      </x:c>
      <x:c r="AN246" s="3" t="str">
        <x:v>https://www.cashhomebuyersdirectory.com/cash-home-buyers/texas/midland</x:v>
      </x:c>
      <x:c r="AO246" s="3" t="str">
        <x:v>tx_fl_investors.jsonl</x:v>
      </x:c>
      <x:c r="AP246" s="19"/>
    </x:row>
    <x:row r="247" ht="36" customHeight="1">
      <x:c r="A247" s="23" t="n">
        <x:v>246</x:v>
      </x:c>
      <x:c r="B247" s="15" t="str">
        <x:v>Hawthorn Home Buyers</x:v>
      </x:c>
      <x:c r="C247" s="15"/>
      <x:c r="D247" s="15" t="str">
        <x:v>Property investor / home-buying operator</x:v>
      </x:c>
      <x:c r="E247" s="15" t="str">
        <x:v>Property investor / operator inquiry</x:v>
      </x:c>
      <x:c r="F247" s="17" t="str">
        <x:v>New</x:v>
      </x:c>
      <x:c r="G247" s="24"/>
      <x:c r="H247" s="24" t="str">
        <x:v>+18479969800</x:v>
      </x:c>
      <x:c r="I247" s="24" t="str">
        <x:v>http://www.hawthornhomebuyers.com/</x:v>
      </x:c>
      <x:c r="J247" s="16" t="str">
        <x:v>IL</x:v>
      </x:c>
      <x:c r="K247" s="16" t="str">
        <x:v>Chicago</x:v>
      </x:c>
      <x:c r="L247" s="16" t="str">
        <x:v>Public property-business route; investor decision maker unconfirmed</x:v>
      </x:c>
      <x:c r="M247" s="16" t="str">
        <x:v>http://www.hawthornhomebuyers.com/</x:v>
      </x:c>
      <x:c r="N247" s="16" t="str">
        <x:v>$100K-$500K ticket not published / unconfirmed</x:v>
      </x:c>
      <x:c r="O247" s="20"/>
      <x:c r="P247" s="20"/>
      <x:c r="Q247" s="25" t="str">
        <x:v>No $100K-$500K operating-company investment ticket verified</x:v>
      </x:c>
      <x:c r="R247" s="25" t="str">
        <x:v>Property acquisition or investor activity makes this an operator-capital prospect for the signed trial. Confirm operating-company debt/equity appetite.</x:v>
      </x:c>
      <x:c r="S247" s="25" t="str">
        <x:v>Public property-buying activity or a directory listing does not establish available cash, investing decision-maker, current $100K-$500K capacity, or willingness to fund 101XVC operating costs.</x:v>
      </x:c>
      <x:c r="T247" s="25" t="str">
        <x:v>Ask the owner/investor whether they can allocate $100K-$500K to trial marketing and acquisitions, and confirm structure, timing and decision authority.</x:v>
      </x:c>
      <x:c r="U247" s="25" t="str">
        <x:v>https://www.cashhomebuyersdirectory.com/cash-home-buyers/illinois/chicago</x:v>
      </x:c>
      <x:c r="V247" s="26" t="d">
        <x:v>2026-10-02T00:00:00.000Z</x:v>
      </x:c>
      <x:c r="W247" s="26" t="d">
        <x:v>2026-10-02T00:00:00.000Z</x:v>
      </x:c>
      <x:c r="X247" s="25" t="str">
        <x:v>Public investor directory; business role and contact ownership require qualification</x:v>
      </x:c>
      <x:c r="Y247" s="25"/>
      <x:c r="Z247" s="25" t="str">
        <x:v>https://www.cashhomebuyersdirectory.com/cash-home-buyers/illinois/chicago</x:v>
      </x:c>
      <x:c r="AA247" s="25" t="str">
        <x:v>Public cash-home-buyer directory lists business name, phone and market. Directory entry may include brokers or service providers.</x:v>
      </x:c>
      <x:c r="AB247" s="3" t="str">
        <x:v>New public-source collection</x:v>
      </x:c>
      <x:c r="AC247" s="3" t="str">
        <x:v>unverified</x:v>
      </x:c>
      <x:c r="AD247" s="3" t="str">
        <x:v>Not contacted / unconfirmed</x:v>
      </x:c>
      <x:c r="AE247" s="3" t="str">
        <x:v>No</x:v>
      </x:c>
      <x:c r="AF247" s="3" t="str">
        <x:v>No</x:v>
      </x:c>
      <x:c r="AG247" s="3"/>
      <x:c r="AH247" s="3"/>
      <x:c r="AI247" s="18"/>
      <x:c r="AJ247" s="3" t="str">
        <x:v>CF2500-B3AD1BD3311F</x:v>
      </x:c>
      <x:c r="AK247" s="3" t="str">
        <x:v>Property investor / home-buying operator prospect</x:v>
      </x:c>
      <x:c r="AL247" s="19" t="n">
        <x:v>100000</x:v>
      </x:c>
      <x:c r="AM247" s="19" t="n">
        <x:v>500000</x:v>
      </x:c>
      <x:c r="AN247" s="3" t="str">
        <x:v>https://www.cashhomebuyersdirectory.com/cash-home-buyers/illinois/chicago</x:v>
      </x:c>
      <x:c r="AO247" s="3" t="str">
        <x:v>nc_il_az_co_investors.jsonl</x:v>
      </x:c>
      <x:c r="AP247" s="19"/>
    </x:row>
    <x:row r="248" ht="36" customHeight="1">
      <x:c r="A248" s="23" t="n">
        <x:v>247</x:v>
      </x:c>
      <x:c r="B248" s="15" t="str">
        <x:v>Hero Homebuyers Houston</x:v>
      </x:c>
      <x:c r="C248" s="15"/>
      <x:c r="D248" s="15" t="str">
        <x:v>Property investor / home-buying operator</x:v>
      </x:c>
      <x:c r="E248" s="15" t="str">
        <x:v>Property investor / operator inquiry</x:v>
      </x:c>
      <x:c r="F248" s="17" t="str">
        <x:v>New</x:v>
      </x:c>
      <x:c r="G248" s="24"/>
      <x:c r="H248" s="24" t="str">
        <x:v>+17133794376</x:v>
      </x:c>
      <x:c r="I248" s="24" t="str">
        <x:v>http://www.herohomebuyers.com/</x:v>
      </x:c>
      <x:c r="J248" s="16" t="str">
        <x:v>TX</x:v>
      </x:c>
      <x:c r="K248" s="16" t="str">
        <x:v>Houston</x:v>
      </x:c>
      <x:c r="L248" s="16" t="str">
        <x:v>Public property-business route; investor decision maker unconfirmed</x:v>
      </x:c>
      <x:c r="M248" s="16" t="str">
        <x:v>http://www.herohomebuyers.com/</x:v>
      </x:c>
      <x:c r="N248" s="16" t="str">
        <x:v>$100K-$500K ticket not published / unconfirmed</x:v>
      </x:c>
      <x:c r="O248" s="20"/>
      <x:c r="P248" s="20"/>
      <x:c r="Q248" s="25" t="str">
        <x:v>No $100K-$500K corporate-investment ticket published in checked source</x:v>
      </x:c>
      <x:c r="R248" s="25" t="str">
        <x:v>Property acquisition or investor activity makes this an operator-capital prospect for the signed trial. Confirm operating-company debt/equity appetite.</x:v>
      </x:c>
      <x:c r="S248" s="25" t="str">
        <x:v>Home-buying activity does not verify ability or willingness to invest $100K-$500K into 101XVC operating company. Website and contact verification pending.</x:v>
      </x:c>
      <x:c r="T248" s="25" t="str">
        <x:v>Ask the owner/investor whether they can allocate $100K-$500K to trial marketing and acquisitions, and confirm structure, timing and decision authority.</x:v>
      </x:c>
      <x:c r="U248" s="25" t="str">
        <x:v>https://www.cashhomebuyersdirectory.com/cash-home-buyers/texas/houston</x:v>
      </x:c>
      <x:c r="V248" s="26" t="d">
        <x:v>2026-10-02T00:00:00.000Z</x:v>
      </x:c>
      <x:c r="W248" s="26" t="d">
        <x:v>2026-10-03T00:00:00.000Z</x:v>
      </x:c>
      <x:c r="X248" s="25" t="str">
        <x:v>Public investor directory; business role and contact ownership require qualification</x:v>
      </x:c>
      <x:c r="Y248" s="25"/>
      <x:c r="Z248" s="25" t="str">
        <x:v>https://www.cashhomebuyersdirectory.com/cash-home-buyers/texas/houston</x:v>
      </x:c>
      <x:c r="AA248" s="25" t="str">
        <x:v>Public cash-home-buyer directory lists business name, phone and market. Directory entry may include brokers or service providers.</x:v>
      </x:c>
      <x:c r="AB248" s="3" t="str">
        <x:v>New public-source collection</x:v>
      </x:c>
      <x:c r="AC248" s="3" t="str">
        <x:v>unverified</x:v>
      </x:c>
      <x:c r="AD248" s="3" t="str">
        <x:v>Not contacted / unconfirmed</x:v>
      </x:c>
      <x:c r="AE248" s="3" t="str">
        <x:v>No</x:v>
      </x:c>
      <x:c r="AF248" s="3" t="str">
        <x:v>No</x:v>
      </x:c>
      <x:c r="AG248" s="3"/>
      <x:c r="AH248" s="3"/>
      <x:c r="AI248" s="18"/>
      <x:c r="AJ248" s="3" t="str">
        <x:v>CF2500-73C0D4190E99</x:v>
      </x:c>
      <x:c r="AK248" s="3" t="str">
        <x:v>Property investor / home-buying operator prospect</x:v>
      </x:c>
      <x:c r="AL248" s="19" t="n">
        <x:v>100000</x:v>
      </x:c>
      <x:c r="AM248" s="19" t="n">
        <x:v>500000</x:v>
      </x:c>
      <x:c r="AN248" s="3" t="str">
        <x:v>https://www.cashhomebuyersdirectory.com/cash-home-buyers/texas/houston</x:v>
      </x:c>
      <x:c r="AO248" s="3" t="str">
        <x:v>tx_fl_investors.jsonl</x:v>
      </x:c>
      <x:c r="AP248" s="19"/>
    </x:row>
    <x:row r="249" ht="36" customHeight="1">
      <x:c r="A249" s="23" t="n">
        <x:v>248</x:v>
      </x:c>
      <x:c r="B249" s="15" t="str">
        <x:v>High Plains Home Buyers</x:v>
      </x:c>
      <x:c r="C249" s="15"/>
      <x:c r="D249" s="15" t="str">
        <x:v>Property investor / home-buying operator</x:v>
      </x:c>
      <x:c r="E249" s="15" t="str">
        <x:v>Property investor / operator inquiry</x:v>
      </x:c>
      <x:c r="F249" s="17" t="str">
        <x:v>New</x:v>
      </x:c>
      <x:c r="G249" s="24"/>
      <x:c r="H249" s="24" t="str">
        <x:v>+18062231443</x:v>
      </x:c>
      <x:c r="I249" s="24" t="str">
        <x:v>http://www.highplainshomebuyers.com/</x:v>
      </x:c>
      <x:c r="J249" s="16" t="str">
        <x:v>TX</x:v>
      </x:c>
      <x:c r="K249" s="16" t="str">
        <x:v>Amarillo</x:v>
      </x:c>
      <x:c r="L249" s="16" t="str">
        <x:v>Public property-business route; investor decision maker unconfirmed</x:v>
      </x:c>
      <x:c r="M249" s="16" t="str">
        <x:v>http://www.highplainshomebuyers.com/</x:v>
      </x:c>
      <x:c r="N249" s="16" t="str">
        <x:v>$100K-$500K ticket not published / unconfirmed</x:v>
      </x:c>
      <x:c r="O249" s="20"/>
      <x:c r="P249" s="20"/>
      <x:c r="Q249" s="25" t="str">
        <x:v>No $100K-$500K corporate-investment ticket published in checked source</x:v>
      </x:c>
      <x:c r="R249" s="25" t="str">
        <x:v>Property acquisition or investor activity makes this an operator-capital prospect for the signed trial. Confirm operating-company debt/equity appetite.</x:v>
      </x:c>
      <x:c r="S249" s="25" t="str">
        <x:v>Home-buying activity does not verify ability or willingness to invest $100K-$500K into 101XVC operating company. Website and contact verification pending.</x:v>
      </x:c>
      <x:c r="T249" s="25" t="str">
        <x:v>Ask the owner/investor whether they can allocate $100K-$500K to trial marketing and acquisitions, and confirm structure, timing and decision authority.</x:v>
      </x:c>
      <x:c r="U249" s="25" t="str">
        <x:v>https://www.cashhomebuyersdirectory.com/cash-home-buyers/texas/amarillo</x:v>
      </x:c>
      <x:c r="V249" s="26" t="d">
        <x:v>2026-10-02T00:00:00.000Z</x:v>
      </x:c>
      <x:c r="W249" s="26" t="d">
        <x:v>2026-10-03T00:00:00.000Z</x:v>
      </x:c>
      <x:c r="X249" s="25" t="str">
        <x:v>Public investor directory; business role and contact ownership require qualification</x:v>
      </x:c>
      <x:c r="Y249" s="25"/>
      <x:c r="Z249" s="25" t="str">
        <x:v>https://www.cashhomebuyersdirectory.com/cash-home-buyers/texas/amarillo</x:v>
      </x:c>
      <x:c r="AA249" s="25" t="str">
        <x:v>Public cash-home-buyer directory lists business name, phone and market. Directory entry may include brokers or service providers.</x:v>
      </x:c>
      <x:c r="AB249" s="3" t="str">
        <x:v>New public-source collection</x:v>
      </x:c>
      <x:c r="AC249" s="3" t="str">
        <x:v>unverified</x:v>
      </x:c>
      <x:c r="AD249" s="3" t="str">
        <x:v>Not contacted / unconfirmed</x:v>
      </x:c>
      <x:c r="AE249" s="3" t="str">
        <x:v>No</x:v>
      </x:c>
      <x:c r="AF249" s="3" t="str">
        <x:v>No</x:v>
      </x:c>
      <x:c r="AG249" s="3"/>
      <x:c r="AH249" s="3"/>
      <x:c r="AI249" s="18"/>
      <x:c r="AJ249" s="3" t="str">
        <x:v>CF2500-80D5F70F0BBD</x:v>
      </x:c>
      <x:c r="AK249" s="3" t="str">
        <x:v>Property investor / home-buying operator prospect</x:v>
      </x:c>
      <x:c r="AL249" s="19" t="n">
        <x:v>100000</x:v>
      </x:c>
      <x:c r="AM249" s="19" t="n">
        <x:v>500000</x:v>
      </x:c>
      <x:c r="AN249" s="3" t="str">
        <x:v>https://www.cashhomebuyersdirectory.com/cash-home-buyers/texas/amarillo</x:v>
      </x:c>
      <x:c r="AO249" s="3" t="str">
        <x:v>tx_fl_investors.jsonl</x:v>
      </x:c>
      <x:c r="AP249" s="19"/>
    </x:row>
    <x:row r="250" ht="36" customHeight="1">
      <x:c r="A250" s="23" t="n">
        <x:v>249</x:v>
      </x:c>
      <x:c r="B250" s="15" t="str">
        <x:v>Home Buyer Network</x:v>
      </x:c>
      <x:c r="C250" s="15"/>
      <x:c r="D250" s="15" t="str">
        <x:v>Property investor / home-buying operator</x:v>
      </x:c>
      <x:c r="E250" s="15" t="str">
        <x:v>Property investor / operator inquiry</x:v>
      </x:c>
      <x:c r="F250" s="17" t="str">
        <x:v>New</x:v>
      </x:c>
      <x:c r="G250" s="24"/>
      <x:c r="H250" s="24" t="str">
        <x:v>+17086235831</x:v>
      </x:c>
      <x:c r="I250" s="24" t="str">
        <x:v>http://homebuyernetwork.org/</x:v>
      </x:c>
      <x:c r="J250" s="16" t="str">
        <x:v>IL</x:v>
      </x:c>
      <x:c r="K250" s="16" t="str">
        <x:v>Streamwood</x:v>
      </x:c>
      <x:c r="L250" s="16" t="str">
        <x:v>Public property-business route; investor decision maker unconfirmed</x:v>
      </x:c>
      <x:c r="M250" s="16" t="str">
        <x:v>http://homebuyernetwork.org/</x:v>
      </x:c>
      <x:c r="N250" s="16" t="str">
        <x:v>$100K-$500K ticket not published / unconfirmed</x:v>
      </x:c>
      <x:c r="O250" s="20"/>
      <x:c r="P250" s="20"/>
      <x:c r="Q250" s="25" t="str">
        <x:v>No $100K-$500K operating-company investment ticket verified</x:v>
      </x:c>
      <x:c r="R250" s="25" t="str">
        <x:v>Property acquisition or investor activity makes this an operator-capital prospect for the signed trial. Confirm operating-company debt/equity appetite.</x:v>
      </x:c>
      <x:c r="S250" s="25" t="str">
        <x:v>Public property-buying activity or a directory listing does not establish available cash, investing decision-maker, current $100K-$500K capacity, or willingness to fund 101XVC operating costs.</x:v>
      </x:c>
      <x:c r="T250" s="25" t="str">
        <x:v>Ask the owner/investor whether they can allocate $100K-$500K to trial marketing and acquisitions, and confirm structure, timing and decision authority.</x:v>
      </x:c>
      <x:c r="U250" s="25" t="str">
        <x:v>https://www.cashhomebuyersdirectory.com/cash-home-buyers/illinois/streamwood</x:v>
      </x:c>
      <x:c r="V250" s="26" t="d">
        <x:v>2026-10-02T00:00:00.000Z</x:v>
      </x:c>
      <x:c r="W250" s="26" t="d">
        <x:v>2026-10-02T00:00:00.000Z</x:v>
      </x:c>
      <x:c r="X250" s="25" t="str">
        <x:v>Public investor directory; business role and contact ownership require qualification</x:v>
      </x:c>
      <x:c r="Y250" s="25"/>
      <x:c r="Z250" s="25" t="str">
        <x:v>https://www.cashhomebuyersdirectory.com/cash-home-buyers/illinois/streamwood</x:v>
      </x:c>
      <x:c r="AA250" s="25" t="str">
        <x:v>Public cash-home-buyer directory lists business name, phone and market. Directory entry may include brokers or service providers.</x:v>
      </x:c>
      <x:c r="AB250" s="3" t="str">
        <x:v>New public-source collection</x:v>
      </x:c>
      <x:c r="AC250" s="3" t="str">
        <x:v>unverified</x:v>
      </x:c>
      <x:c r="AD250" s="3" t="str">
        <x:v>Not contacted / unconfirmed</x:v>
      </x:c>
      <x:c r="AE250" s="3" t="str">
        <x:v>No</x:v>
      </x:c>
      <x:c r="AF250" s="3" t="str">
        <x:v>No</x:v>
      </x:c>
      <x:c r="AG250" s="3"/>
      <x:c r="AH250" s="3"/>
      <x:c r="AI250" s="18"/>
      <x:c r="AJ250" s="3" t="str">
        <x:v>CF2500-F36AA6C368E8</x:v>
      </x:c>
      <x:c r="AK250" s="3" t="str">
        <x:v>Property investor / home-buying operator prospect</x:v>
      </x:c>
      <x:c r="AL250" s="19" t="n">
        <x:v>100000</x:v>
      </x:c>
      <x:c r="AM250" s="19" t="n">
        <x:v>500000</x:v>
      </x:c>
      <x:c r="AN250" s="3" t="str">
        <x:v>https://www.cashhomebuyersdirectory.com/cash-home-buyers/illinois/streamwood</x:v>
      </x:c>
      <x:c r="AO250" s="3" t="str">
        <x:v>nc_il_az_co_investors.jsonl</x:v>
      </x:c>
      <x:c r="AP250" s="19"/>
    </x:row>
    <x:row r="251" ht="36" customHeight="1">
      <x:c r="A251" s="23" t="n">
        <x:v>250</x:v>
      </x:c>
      <x:c r="B251" s="15" t="str">
        <x:v>Home Buyers Network</x:v>
      </x:c>
      <x:c r="C251" s="15"/>
      <x:c r="D251" s="15" t="str">
        <x:v>Property investor / home-buying operator</x:v>
      </x:c>
      <x:c r="E251" s="15" t="str">
        <x:v>Property investor / operator inquiry</x:v>
      </x:c>
      <x:c r="F251" s="17" t="str">
        <x:v>New</x:v>
      </x:c>
      <x:c r="G251" s="24"/>
      <x:c r="H251" s="24" t="str">
        <x:v>+12813817410</x:v>
      </x:c>
      <x:c r="I251" s="24" t="str">
        <x:v>https://houstonhomebuyersnetwork.com/contact-us</x:v>
      </x:c>
      <x:c r="J251" s="16" t="str">
        <x:v>TX</x:v>
      </x:c>
      <x:c r="K251" s="16" t="str">
        <x:v>Cypress</x:v>
      </x:c>
      <x:c r="L251" s="16" t="str">
        <x:v>Public property-business route; investor decision maker unconfirmed</x:v>
      </x:c>
      <x:c r="M251" s="16" t="str">
        <x:v>https://houstonhomebuyersnetwork.com/contact-us</x:v>
      </x:c>
      <x:c r="N251" s="16" t="str">
        <x:v>$100K-$500K ticket not published / unconfirmed</x:v>
      </x:c>
      <x:c r="O251" s="20"/>
      <x:c r="P251" s="20"/>
      <x:c r="Q251" s="25" t="str">
        <x:v>No $100K-$500K corporate-investment ticket published in checked source</x:v>
      </x:c>
      <x:c r="R251" s="25" t="str">
        <x:v>Property acquisition or investor activity makes this an operator-capital prospect for the signed trial. Confirm operating-company debt/equity appetite.</x:v>
      </x:c>
      <x:c r="S251" s="25" t="str">
        <x:v>Home-buying activity does not verify ability or willingness to invest $100K-$500K into 101XVC operating company. Website and contact verification pending.</x:v>
      </x:c>
      <x:c r="T251" s="25" t="str">
        <x:v>Ask the owner/investor whether they can allocate $100K-$500K to trial marketing and acquisitions, and confirm structure, timing and decision authority.</x:v>
      </x:c>
      <x:c r="U251" s="25" t="str">
        <x:v>https://www.cashhomebuyersdirectory.com/cash-home-buyers/texas/cypress</x:v>
      </x:c>
      <x:c r="V251" s="26" t="d">
        <x:v>2026-10-02T00:00:00.000Z</x:v>
      </x:c>
      <x:c r="W251" s="26" t="d">
        <x:v>2026-10-03T00:00:00.000Z</x:v>
      </x:c>
      <x:c r="X251" s="25" t="str">
        <x:v>Public investor directory; business role and contact ownership require qualification</x:v>
      </x:c>
      <x:c r="Y251" s="25"/>
      <x:c r="Z251" s="25" t="str">
        <x:v>https://www.cashhomebuyersdirectory.com/cash-home-buyers/texas/cypress</x:v>
      </x:c>
      <x:c r="AA251" s="25" t="str">
        <x:v>Public cash-home-buyer directory lists business name, phone and market. Directory entry may include brokers or service providers.</x:v>
      </x:c>
      <x:c r="AB251" s="3" t="str">
        <x:v>New public-source collection</x:v>
      </x:c>
      <x:c r="AC251" s="3" t="str">
        <x:v>unverified</x:v>
      </x:c>
      <x:c r="AD251" s="3" t="str">
        <x:v>Not contacted / unconfirmed</x:v>
      </x:c>
      <x:c r="AE251" s="3" t="str">
        <x:v>No</x:v>
      </x:c>
      <x:c r="AF251" s="3" t="str">
        <x:v>No</x:v>
      </x:c>
      <x:c r="AG251" s="3"/>
      <x:c r="AH251" s="3"/>
      <x:c r="AI251" s="18"/>
      <x:c r="AJ251" s="3" t="str">
        <x:v>CF2500-C9CDFA5467BC</x:v>
      </x:c>
      <x:c r="AK251" s="3" t="str">
        <x:v>Property investor / home-buying operator prospect</x:v>
      </x:c>
      <x:c r="AL251" s="19" t="n">
        <x:v>100000</x:v>
      </x:c>
      <x:c r="AM251" s="19" t="n">
        <x:v>500000</x:v>
      </x:c>
      <x:c r="AN251" s="3" t="str">
        <x:v>https://www.cashhomebuyersdirectory.com/cash-home-buyers/texas/cypress</x:v>
      </x:c>
      <x:c r="AO251" s="3" t="str">
        <x:v>tx_fl_investors.jsonl</x:v>
      </x:c>
      <x:c r="AP251" s="19"/>
    </x:row>
    <x:row r="252" ht="36" customHeight="1">
      <x:c r="A252" s="23" t="n">
        <x:v>251</x:v>
      </x:c>
      <x:c r="B252" s="15" t="str">
        <x:v>Home Buyers of Central Florida</x:v>
      </x:c>
      <x:c r="C252" s="15"/>
      <x:c r="D252" s="15" t="str">
        <x:v>Property investor / home-buying operator</x:v>
      </x:c>
      <x:c r="E252" s="15" t="str">
        <x:v>Property investor / operator inquiry</x:v>
      </x:c>
      <x:c r="F252" s="17" t="str">
        <x:v>New</x:v>
      </x:c>
      <x:c r="G252" s="24"/>
      <x:c r="H252" s="24" t="str">
        <x:v>+14076347464</x:v>
      </x:c>
      <x:c r="I252" s="24" t="str">
        <x:v>http://cflbuyers.com/</x:v>
      </x:c>
      <x:c r="J252" s="16" t="str">
        <x:v>FL</x:v>
      </x:c>
      <x:c r="K252" s="16" t="str">
        <x:v>Orlando</x:v>
      </x:c>
      <x:c r="L252" s="16" t="str">
        <x:v>Public property-business route; investor decision maker unconfirmed</x:v>
      </x:c>
      <x:c r="M252" s="16" t="str">
        <x:v>http://cflbuyers.com/</x:v>
      </x:c>
      <x:c r="N252" s="16" t="str">
        <x:v>$100K-$500K ticket not published / unconfirmed</x:v>
      </x:c>
      <x:c r="O252" s="20"/>
      <x:c r="P252" s="20"/>
      <x:c r="Q252" s="25" t="str">
        <x:v>No $100K-$500K corporate-investment ticket published in checked source</x:v>
      </x:c>
      <x:c r="R252" s="25" t="str">
        <x:v>Property acquisition or investor activity makes this an operator-capital prospect for the signed trial. Confirm operating-company debt/equity appetite.</x:v>
      </x:c>
      <x:c r="S252" s="25" t="str">
        <x:v>Home-buying activity does not verify ability or willingness to invest $100K-$500K into 101XVC operating company. Website and contact verification pending.</x:v>
      </x:c>
      <x:c r="T252" s="25" t="str">
        <x:v>Ask the owner/investor whether they can allocate $100K-$500K to trial marketing and acquisitions, and confirm structure, timing and decision authority.</x:v>
      </x:c>
      <x:c r="U252" s="25" t="str">
        <x:v>https://www.cashhomebuyersdirectory.com/cash-home-buyers/florida/orlando</x:v>
      </x:c>
      <x:c r="V252" s="26" t="d">
        <x:v>2026-10-02T00:00:00.000Z</x:v>
      </x:c>
      <x:c r="W252" s="26" t="d">
        <x:v>2026-10-03T00:00:00.000Z</x:v>
      </x:c>
      <x:c r="X252" s="25" t="str">
        <x:v>Public investor directory; business role and contact ownership require qualification</x:v>
      </x:c>
      <x:c r="Y252" s="25"/>
      <x:c r="Z252" s="25" t="str">
        <x:v>https://www.cashhomebuyersdirectory.com/cash-home-buyers/florida/orlando</x:v>
      </x:c>
      <x:c r="AA252" s="25" t="str">
        <x:v>Public cash-home-buyer directory lists business name, phone and market. Directory entry may include brokers or service providers.</x:v>
      </x:c>
      <x:c r="AB252" s="3" t="str">
        <x:v>New public-source collection</x:v>
      </x:c>
      <x:c r="AC252" s="3" t="str">
        <x:v>unverified</x:v>
      </x:c>
      <x:c r="AD252" s="3" t="str">
        <x:v>Not contacted / unconfirmed</x:v>
      </x:c>
      <x:c r="AE252" s="3" t="str">
        <x:v>No</x:v>
      </x:c>
      <x:c r="AF252" s="3" t="str">
        <x:v>No</x:v>
      </x:c>
      <x:c r="AG252" s="3"/>
      <x:c r="AH252" s="3"/>
      <x:c r="AI252" s="18"/>
      <x:c r="AJ252" s="3" t="str">
        <x:v>CF2500-B5234C711647</x:v>
      </x:c>
      <x:c r="AK252" s="3" t="str">
        <x:v>Property investor / home-buying operator prospect</x:v>
      </x:c>
      <x:c r="AL252" s="19" t="n">
        <x:v>100000</x:v>
      </x:c>
      <x:c r="AM252" s="19" t="n">
        <x:v>500000</x:v>
      </x:c>
      <x:c r="AN252" s="3" t="str">
        <x:v>https://www.cashhomebuyersdirectory.com/cash-home-buyers/florida/orlando</x:v>
      </x:c>
      <x:c r="AO252" s="3" t="str">
        <x:v>tx_fl_investors.jsonl</x:v>
      </x:c>
      <x:c r="AP252" s="19"/>
    </x:row>
    <x:row r="253" ht="36" customHeight="1">
      <x:c r="A253" s="23" t="n">
        <x:v>252</x:v>
      </x:c>
      <x:c r="B253" s="15" t="str">
        <x:v>Home Buyers Plus, LLC</x:v>
      </x:c>
      <x:c r="C253" s="15"/>
      <x:c r="D253" s="15" t="str">
        <x:v>Property investor / home-buying operator</x:v>
      </x:c>
      <x:c r="E253" s="15" t="str">
        <x:v>Property investor / operator inquiry</x:v>
      </x:c>
      <x:c r="F253" s="17" t="str">
        <x:v>New</x:v>
      </x:c>
      <x:c r="G253" s="24"/>
      <x:c r="H253" s="24" t="str">
        <x:v>+19415595559</x:v>
      </x:c>
      <x:c r="I253" s="24" t="str">
        <x:v>http://www.homebuyersplusllc.com/</x:v>
      </x:c>
      <x:c r="J253" s="16" t="str">
        <x:v>FL</x:v>
      </x:c>
      <x:c r="K253" s="16" t="str">
        <x:v>Sarasota</x:v>
      </x:c>
      <x:c r="L253" s="16" t="str">
        <x:v>Public property-business route; investor decision maker unconfirmed</x:v>
      </x:c>
      <x:c r="M253" s="16" t="str">
        <x:v>http://www.homebuyersplusllc.com/</x:v>
      </x:c>
      <x:c r="N253" s="16" t="str">
        <x:v>$100K-$500K ticket not published / unconfirmed</x:v>
      </x:c>
      <x:c r="O253" s="20"/>
      <x:c r="P253" s="20"/>
      <x:c r="Q253" s="25" t="str">
        <x:v>No $100K-$500K corporate-investment ticket published in checked source</x:v>
      </x:c>
      <x:c r="R253" s="25" t="str">
        <x:v>Property acquisition or investor activity makes this an operator-capital prospect for the signed trial. Confirm operating-company debt/equity appetite.</x:v>
      </x:c>
      <x:c r="S253" s="25" t="str">
        <x:v>Home-buying activity does not verify ability or willingness to invest $100K-$500K into 101XVC operating company. Website and contact verification pending.</x:v>
      </x:c>
      <x:c r="T253" s="25" t="str">
        <x:v>Ask the owner/investor whether they can allocate $100K-$500K to trial marketing and acquisitions, and confirm structure, timing and decision authority.</x:v>
      </x:c>
      <x:c r="U253" s="25" t="str">
        <x:v>https://www.cashhomebuyersdirectory.com/cash-home-buyers/florida/sarasota</x:v>
      </x:c>
      <x:c r="V253" s="26" t="d">
        <x:v>2026-10-02T00:00:00.000Z</x:v>
      </x:c>
      <x:c r="W253" s="26" t="d">
        <x:v>2026-10-03T00:00:00.000Z</x:v>
      </x:c>
      <x:c r="X253" s="25" t="str">
        <x:v>Public investor directory; business role and contact ownership require qualification</x:v>
      </x:c>
      <x:c r="Y253" s="25"/>
      <x:c r="Z253" s="25" t="str">
        <x:v>https://www.cashhomebuyersdirectory.com/cash-home-buyers/florida/sarasota</x:v>
      </x:c>
      <x:c r="AA253" s="25" t="str">
        <x:v>Public cash-home-buyer directory lists business name, phone and market. Directory entry may include brokers or service providers.</x:v>
      </x:c>
      <x:c r="AB253" s="3" t="str">
        <x:v>New public-source collection</x:v>
      </x:c>
      <x:c r="AC253" s="3" t="str">
        <x:v>unverified</x:v>
      </x:c>
      <x:c r="AD253" s="3" t="str">
        <x:v>Not contacted / unconfirmed</x:v>
      </x:c>
      <x:c r="AE253" s="3" t="str">
        <x:v>No</x:v>
      </x:c>
      <x:c r="AF253" s="3" t="str">
        <x:v>No</x:v>
      </x:c>
      <x:c r="AG253" s="3"/>
      <x:c r="AH253" s="3"/>
      <x:c r="AI253" s="18"/>
      <x:c r="AJ253" s="3" t="str">
        <x:v>CF2500-7AA0CBCBA1CB</x:v>
      </x:c>
      <x:c r="AK253" s="3" t="str">
        <x:v>Property investor / home-buying operator prospect</x:v>
      </x:c>
      <x:c r="AL253" s="19" t="n">
        <x:v>100000</x:v>
      </x:c>
      <x:c r="AM253" s="19" t="n">
        <x:v>500000</x:v>
      </x:c>
      <x:c r="AN253" s="3" t="str">
        <x:v>https://www.cashhomebuyersdirectory.com/cash-home-buyers/florida/sarasota</x:v>
      </x:c>
      <x:c r="AO253" s="3" t="str">
        <x:v>tx_fl_investors.jsonl</x:v>
      </x:c>
      <x:c r="AP253" s="19"/>
    </x:row>
    <x:row r="254" ht="36" customHeight="1">
      <x:c r="A254" s="23" t="n">
        <x:v>253</x:v>
      </x:c>
      <x:c r="B254" s="15" t="str">
        <x:v>HomeBuyers of NC</x:v>
      </x:c>
      <x:c r="C254" s="15"/>
      <x:c r="D254" s="15" t="str">
        <x:v>Property investor / home-buying operator</x:v>
      </x:c>
      <x:c r="E254" s="15" t="str">
        <x:v>Property investor / operator inquiry</x:v>
      </x:c>
      <x:c r="F254" s="17" t="str">
        <x:v>New</x:v>
      </x:c>
      <x:c r="G254" s="24"/>
      <x:c r="H254" s="24" t="str">
        <x:v>+19102188874</x:v>
      </x:c>
      <x:c r="I254" s="24" t="str">
        <x:v>https://www.homebuyers-nc.com/sell-my-house-fast-wilmington-nc/?utm_source=gbp&amp;utm_medium=organic&amp;utm_campaign=wilmington_profile&amp;utm_content=website</x:v>
      </x:c>
      <x:c r="J254" s="16" t="str">
        <x:v>NC</x:v>
      </x:c>
      <x:c r="K254" s="16" t="str">
        <x:v>Wilmington</x:v>
      </x:c>
      <x:c r="L254" s="16" t="str">
        <x:v>Public property-business route; investor decision maker unconfirmed</x:v>
      </x:c>
      <x:c r="M254" s="16" t="str">
        <x:v>https://www.homebuyers-nc.com/sell-my-house-fast-wilmington-nc/?utm_source=gbp&amp;utm_medium=organic&amp;utm_campaign=wilmington_profile&amp;utm_content=website</x:v>
      </x:c>
      <x:c r="N254" s="16" t="str">
        <x:v>$100K-$500K ticket not published / unconfirmed</x:v>
      </x:c>
      <x:c r="O254" s="20"/>
      <x:c r="P254" s="20"/>
      <x:c r="Q254" s="25" t="str">
        <x:v>No $100K-$500K operating-company investment ticket verified</x:v>
      </x:c>
      <x:c r="R254" s="25" t="str">
        <x:v>Property acquisition or investor activity makes this an operator-capital prospect for the signed trial. Confirm operating-company debt/equity appetite.</x:v>
      </x:c>
      <x:c r="S254" s="25" t="str">
        <x:v>Public property-buying activity or a directory listing does not establish available cash, investing decision-maker, current $100K-$500K capacity, or willingness to fund 101XVC operating costs.</x:v>
      </x:c>
      <x:c r="T254" s="25" t="str">
        <x:v>Ask the owner/investor whether they can allocate $100K-$500K to trial marketing and acquisitions, and confirm structure, timing and decision authority.</x:v>
      </x:c>
      <x:c r="U254" s="25" t="str">
        <x:v>https://www.cashhomebuyersdirectory.com/cash-home-buyers/north-carolina/wilmington</x:v>
      </x:c>
      <x:c r="V254" s="26" t="d">
        <x:v>2026-10-02T00:00:00.000Z</x:v>
      </x:c>
      <x:c r="W254" s="26" t="d">
        <x:v>2026-10-02T00:00:00.000Z</x:v>
      </x:c>
      <x:c r="X254" s="25" t="str">
        <x:v>Public investor directory; business role and contact ownership require qualification</x:v>
      </x:c>
      <x:c r="Y254" s="25"/>
      <x:c r="Z254" s="25" t="str">
        <x:v>https://www.cashhomebuyersdirectory.com/cash-home-buyers/north-carolina/wilmington</x:v>
      </x:c>
      <x:c r="AA254" s="25" t="str">
        <x:v>Public cash-home-buyer directory lists business name, phone and market. Directory entry may include brokers or service providers.</x:v>
      </x:c>
      <x:c r="AB254" s="3" t="str">
        <x:v>New public-source collection</x:v>
      </x:c>
      <x:c r="AC254" s="3" t="str">
        <x:v>unverified</x:v>
      </x:c>
      <x:c r="AD254" s="3" t="str">
        <x:v>Not contacted / unconfirmed</x:v>
      </x:c>
      <x:c r="AE254" s="3" t="str">
        <x:v>No</x:v>
      </x:c>
      <x:c r="AF254" s="3" t="str">
        <x:v>No</x:v>
      </x:c>
      <x:c r="AG254" s="3"/>
      <x:c r="AH254" s="3"/>
      <x:c r="AI254" s="18"/>
      <x:c r="AJ254" s="3" t="str">
        <x:v>CF2500-3D0CC77C6C0B</x:v>
      </x:c>
      <x:c r="AK254" s="3" t="str">
        <x:v>Property investor / home-buying operator prospect</x:v>
      </x:c>
      <x:c r="AL254" s="19" t="n">
        <x:v>100000</x:v>
      </x:c>
      <x:c r="AM254" s="19" t="n">
        <x:v>500000</x:v>
      </x:c>
      <x:c r="AN254" s="3" t="str">
        <x:v>https://www.cashhomebuyersdirectory.com/cash-home-buyers/north-carolina/wilmington</x:v>
      </x:c>
      <x:c r="AO254" s="3" t="str">
        <x:v>nc_il_az_co_investors.jsonl</x:v>
      </x:c>
      <x:c r="AP254" s="19"/>
    </x:row>
    <x:row r="255" ht="36" customHeight="1">
      <x:c r="A255" s="23" t="n">
        <x:v>254</x:v>
      </x:c>
      <x:c r="B255" s="15" t="str">
        <x:v>HomeGo - Sell Your House for Cash</x:v>
      </x:c>
      <x:c r="C255" s="15"/>
      <x:c r="D255" s="15" t="str">
        <x:v>Property investor / home-buying operator</x:v>
      </x:c>
      <x:c r="E255" s="15" t="str">
        <x:v>Property investor / operator inquiry</x:v>
      </x:c>
      <x:c r="F255" s="17" t="str">
        <x:v>New</x:v>
      </x:c>
      <x:c r="G255" s="24"/>
      <x:c r="H255" s="24" t="str">
        <x:v>+13124772993</x:v>
      </x:c>
      <x:c r="I255" s="24" t="str">
        <x:v>https://www.homego.com/offices/chicago/?utm_medium=organic&amp;utm_source=google%20my%20business&amp;utm_campaign=google%20my%20business</x:v>
      </x:c>
      <x:c r="J255" s="16" t="str">
        <x:v>IL</x:v>
      </x:c>
      <x:c r="K255" s="16" t="str">
        <x:v>Downers Grove</x:v>
      </x:c>
      <x:c r="L255" s="16" t="str">
        <x:v>Public property-business route; investor decision maker unconfirmed</x:v>
      </x:c>
      <x:c r="M255" s="16" t="str">
        <x:v>https://www.homego.com/offices/chicago/?utm_medium=organic&amp;utm_source=google%20my%20business&amp;utm_campaign=google%20my%20business</x:v>
      </x:c>
      <x:c r="N255" s="16" t="str">
        <x:v>$100K-$500K ticket not published / unconfirmed</x:v>
      </x:c>
      <x:c r="O255" s="20"/>
      <x:c r="P255" s="20"/>
      <x:c r="Q255" s="25" t="str">
        <x:v>No $100K-$500K operating-company investment ticket verified</x:v>
      </x:c>
      <x:c r="R255" s="25" t="str">
        <x:v>Property acquisition or investor activity makes this an operator-capital prospect for the signed trial. Confirm operating-company debt/equity appetite.</x:v>
      </x:c>
      <x:c r="S255" s="25" t="str">
        <x:v>Public property-buying activity or a directory listing does not establish available cash, investing decision-maker, current $100K-$500K capacity, or willingness to fund 101XVC operating costs.</x:v>
      </x:c>
      <x:c r="T255" s="25" t="str">
        <x:v>Ask the owner/investor whether they can allocate $100K-$500K to trial marketing and acquisitions, and confirm structure, timing and decision authority.</x:v>
      </x:c>
      <x:c r="U255" s="25" t="str">
        <x:v>https://www.cashhomebuyersdirectory.com/cash-home-buyers/illinois/downers-grove
https://www.cashhomebuyersdirectory.com/cash-home-buyers/missouri/st-louis
https://www.cashhomebuyersdirectory.com/cash-home-buyers/south-carolina/greenville
https://www.cashhomebuyersdirectory.com/cash-home-buyers/pennsylvania/drexel-hill</x:v>
      </x:c>
      <x:c r="V255" s="26" t="d">
        <x:v>2026-10-02T00:00:00.000Z</x:v>
      </x:c>
      <x:c r="W255" s="26" t="d">
        <x:v>2026-10-02T00:00:00.000Z</x:v>
      </x:c>
      <x:c r="X255" s="25" t="str">
        <x:v>Public investor directory; business role and contact ownership require qualification</x:v>
      </x:c>
      <x:c r="Y255" s="25"/>
      <x:c r="Z255" s="25" t="str">
        <x:v>https://www.cashhomebuyersdirectory.com/cash-home-buyers/illinois/downers-grove</x:v>
      </x:c>
      <x:c r="AA255" s="25" t="str">
        <x:v>Public cash-home-buyer directory lists business name, phone and market. Directory entry may include brokers or service providers.</x:v>
      </x:c>
      <x:c r="AB255" s="3" t="str">
        <x:v>New public-source collection</x:v>
      </x:c>
      <x:c r="AC255" s="3" t="str">
        <x:v>unverified</x:v>
      </x:c>
      <x:c r="AD255" s="3" t="str">
        <x:v>Not contacted / unconfirmed</x:v>
      </x:c>
      <x:c r="AE255" s="3" t="str">
        <x:v>No</x:v>
      </x:c>
      <x:c r="AF255" s="3" t="str">
        <x:v>No</x:v>
      </x:c>
      <x:c r="AG255" s="3"/>
      <x:c r="AH255" s="3"/>
      <x:c r="AI255" s="18"/>
      <x:c r="AJ255" s="3" t="str">
        <x:v>CF2500-1D3AFE614372</x:v>
      </x:c>
      <x:c r="AK255" s="3" t="str">
        <x:v>Property investor / home-buying operator prospect</x:v>
      </x:c>
      <x:c r="AL255" s="19" t="n">
        <x:v>100000</x:v>
      </x:c>
      <x:c r="AM255" s="19" t="n">
        <x:v>500000</x:v>
      </x:c>
      <x:c r="AN255" s="3" t="str">
        <x:v>https://www.cashhomebuyersdirectory.com/cash-home-buyers/illinois/downers-grove</x:v>
      </x:c>
      <x:c r="AO255" s="3" t="str">
        <x:v>nc_il_az_co_investors.jsonl</x:v>
      </x:c>
      <x:c r="AP255" s="19"/>
    </x:row>
    <x:row r="256" ht="36" customHeight="1">
      <x:c r="A256" s="23" t="n">
        <x:v>255</x:v>
      </x:c>
      <x:c r="B256" s="15" t="str">
        <x:v>Honey Home Buyers | Sell My House Fast for Cash Lakeland</x:v>
      </x:c>
      <x:c r="C256" s="15"/>
      <x:c r="D256" s="15" t="str">
        <x:v>Property investor / home-buying operator</x:v>
      </x:c>
      <x:c r="E256" s="15" t="str">
        <x:v>Property investor / operator inquiry</x:v>
      </x:c>
      <x:c r="F256" s="17" t="str">
        <x:v>New</x:v>
      </x:c>
      <x:c r="G256" s="24"/>
      <x:c r="H256" s="24" t="str">
        <x:v>+18632523397</x:v>
      </x:c>
      <x:c r="I256" s="24" t="str">
        <x:v>https://honeyhomebuyers.com/sell-my-house-fast-for-cash-lakeland-florida/</x:v>
      </x:c>
      <x:c r="J256" s="16" t="str">
        <x:v>FL</x:v>
      </x:c>
      <x:c r="K256" s="16" t="str">
        <x:v>Lakeland</x:v>
      </x:c>
      <x:c r="L256" s="16" t="str">
        <x:v>Public property-business route; investor decision maker unconfirmed</x:v>
      </x:c>
      <x:c r="M256" s="16" t="str">
        <x:v>https://honeyhomebuyers.com/sell-my-house-fast-for-cash-lakeland-florida/</x:v>
      </x:c>
      <x:c r="N256" s="16" t="str">
        <x:v>$100K-$500K ticket not published / unconfirmed</x:v>
      </x:c>
      <x:c r="O256" s="20"/>
      <x:c r="P256" s="20"/>
      <x:c r="Q256" s="25" t="str">
        <x:v>No $100K-$500K corporate-investment ticket published in checked source</x:v>
      </x:c>
      <x:c r="R256" s="25" t="str">
        <x:v>Property acquisition or investor activity makes this an operator-capital prospect for the signed trial. Confirm operating-company debt/equity appetite.</x:v>
      </x:c>
      <x:c r="S256" s="25" t="str">
        <x:v>Home-buying activity does not verify ability or willingness to invest $100K-$500K into 101XVC operating company. Website and contact verification pending.</x:v>
      </x:c>
      <x:c r="T256" s="25" t="str">
        <x:v>Ask the owner/investor whether they can allocate $100K-$500K to trial marketing and acquisitions, and confirm structure, timing and decision authority.</x:v>
      </x:c>
      <x:c r="U256" s="25" t="str">
        <x:v>https://www.cashhomebuyersdirectory.com/cash-home-buyers/florida/lakeland</x:v>
      </x:c>
      <x:c r="V256" s="26" t="d">
        <x:v>2026-10-02T00:00:00.000Z</x:v>
      </x:c>
      <x:c r="W256" s="26" t="d">
        <x:v>2026-10-03T00:00:00.000Z</x:v>
      </x:c>
      <x:c r="X256" s="25" t="str">
        <x:v>Public investor directory; business role and contact ownership require qualification</x:v>
      </x:c>
      <x:c r="Y256" s="25"/>
      <x:c r="Z256" s="25" t="str">
        <x:v>https://www.cashhomebuyersdirectory.com/cash-home-buyers/florida/lakeland</x:v>
      </x:c>
      <x:c r="AA256" s="25" t="str">
        <x:v>Public cash-home-buyer directory lists business name, phone and market. Directory entry may include brokers or service providers.</x:v>
      </x:c>
      <x:c r="AB256" s="3" t="str">
        <x:v>New public-source collection</x:v>
      </x:c>
      <x:c r="AC256" s="3" t="str">
        <x:v>unverified</x:v>
      </x:c>
      <x:c r="AD256" s="3" t="str">
        <x:v>Not contacted / unconfirmed</x:v>
      </x:c>
      <x:c r="AE256" s="3" t="str">
        <x:v>No</x:v>
      </x:c>
      <x:c r="AF256" s="3" t="str">
        <x:v>No</x:v>
      </x:c>
      <x:c r="AG256" s="3"/>
      <x:c r="AH256" s="3"/>
      <x:c r="AI256" s="18"/>
      <x:c r="AJ256" s="3" t="str">
        <x:v>CF2500-D02F65E24045</x:v>
      </x:c>
      <x:c r="AK256" s="3" t="str">
        <x:v>Property investor / home-buying operator prospect</x:v>
      </x:c>
      <x:c r="AL256" s="19" t="n">
        <x:v>100000</x:v>
      </x:c>
      <x:c r="AM256" s="19" t="n">
        <x:v>500000</x:v>
      </x:c>
      <x:c r="AN256" s="3" t="str">
        <x:v>https://www.cashhomebuyersdirectory.com/cash-home-buyers/florida/lakeland</x:v>
      </x:c>
      <x:c r="AO256" s="3" t="str">
        <x:v>tx_fl_investors.jsonl</x:v>
      </x:c>
      <x:c r="AP256" s="19"/>
    </x:row>
    <x:row r="257" ht="36" customHeight="1">
      <x:c r="A257" s="23" t="n">
        <x:v>256</x:v>
      </x:c>
      <x:c r="B257" s="15" t="str">
        <x:v>House Buyers Corpus Christi</x:v>
      </x:c>
      <x:c r="C257" s="15"/>
      <x:c r="D257" s="15" t="str">
        <x:v>Property investor / home-buying operator</x:v>
      </x:c>
      <x:c r="E257" s="15" t="str">
        <x:v>Property investor / operator inquiry</x:v>
      </x:c>
      <x:c r="F257" s="17" t="str">
        <x:v>New</x:v>
      </x:c>
      <x:c r="G257" s="24"/>
      <x:c r="H257" s="24" t="str">
        <x:v>+13613385817</x:v>
      </x:c>
      <x:c r="I257" s="24" t="str">
        <x:v>https://housebuyerscorpuschristi.com/</x:v>
      </x:c>
      <x:c r="J257" s="16" t="str">
        <x:v>TX</x:v>
      </x:c>
      <x:c r="K257" s="16" t="str">
        <x:v>Corpus Christi</x:v>
      </x:c>
      <x:c r="L257" s="16" t="str">
        <x:v>Public property-business route; investor decision maker unconfirmed</x:v>
      </x:c>
      <x:c r="M257" s="16" t="str">
        <x:v>https://housebuyerscorpuschristi.com/</x:v>
      </x:c>
      <x:c r="N257" s="16" t="str">
        <x:v>$100K-$500K ticket not published / unconfirmed</x:v>
      </x:c>
      <x:c r="O257" s="20"/>
      <x:c r="P257" s="20"/>
      <x:c r="Q257" s="25" t="str">
        <x:v>No $100K-$500K corporate-investment ticket published in checked source</x:v>
      </x:c>
      <x:c r="R257" s="25" t="str">
        <x:v>Property acquisition or investor activity makes this an operator-capital prospect for the signed trial. Confirm operating-company debt/equity appetite.</x:v>
      </x:c>
      <x:c r="S257" s="25" t="str">
        <x:v>Home-buying activity does not verify ability or willingness to invest $100K-$500K into 101XVC operating company. Website and contact verification pending.</x:v>
      </x:c>
      <x:c r="T257" s="25" t="str">
        <x:v>Ask the owner/investor whether they can allocate $100K-$500K to trial marketing and acquisitions, and confirm structure, timing and decision authority.</x:v>
      </x:c>
      <x:c r="U257" s="25" t="str">
        <x:v>https://www.cashhomebuyersdirectory.com/cash-home-buyers/texas/corpus-christi</x:v>
      </x:c>
      <x:c r="V257" s="26" t="d">
        <x:v>2026-10-02T00:00:00.000Z</x:v>
      </x:c>
      <x:c r="W257" s="26" t="d">
        <x:v>2026-10-03T00:00:00.000Z</x:v>
      </x:c>
      <x:c r="X257" s="25" t="str">
        <x:v>Public investor directory; business role and contact ownership require qualification</x:v>
      </x:c>
      <x:c r="Y257" s="25"/>
      <x:c r="Z257" s="25" t="str">
        <x:v>https://www.cashhomebuyersdirectory.com/cash-home-buyers/texas/corpus-christi</x:v>
      </x:c>
      <x:c r="AA257" s="25" t="str">
        <x:v>Public cash-home-buyer directory lists business name, phone and market. Directory entry may include brokers or service providers.</x:v>
      </x:c>
      <x:c r="AB257" s="3" t="str">
        <x:v>New public-source collection</x:v>
      </x:c>
      <x:c r="AC257" s="3" t="str">
        <x:v>unverified</x:v>
      </x:c>
      <x:c r="AD257" s="3" t="str">
        <x:v>Not contacted / unconfirmed</x:v>
      </x:c>
      <x:c r="AE257" s="3" t="str">
        <x:v>No</x:v>
      </x:c>
      <x:c r="AF257" s="3" t="str">
        <x:v>No</x:v>
      </x:c>
      <x:c r="AG257" s="3"/>
      <x:c r="AH257" s="3"/>
      <x:c r="AI257" s="18"/>
      <x:c r="AJ257" s="3" t="str">
        <x:v>CF2500-59C71D289F72</x:v>
      </x:c>
      <x:c r="AK257" s="3" t="str">
        <x:v>Property investor / home-buying operator prospect</x:v>
      </x:c>
      <x:c r="AL257" s="19" t="n">
        <x:v>100000</x:v>
      </x:c>
      <x:c r="AM257" s="19" t="n">
        <x:v>500000</x:v>
      </x:c>
      <x:c r="AN257" s="3" t="str">
        <x:v>https://www.cashhomebuyersdirectory.com/cash-home-buyers/texas/corpus-christi</x:v>
      </x:c>
      <x:c r="AO257" s="3" t="str">
        <x:v>tx_fl_investors.jsonl</x:v>
      </x:c>
      <x:c r="AP257" s="19"/>
    </x:row>
    <x:row r="258" ht="36" customHeight="1">
      <x:c r="A258" s="23" t="n">
        <x:v>257</x:v>
      </x:c>
      <x:c r="B258" s="15" t="str">
        <x:v>House Buyers Florida</x:v>
      </x:c>
      <x:c r="C258" s="15"/>
      <x:c r="D258" s="15" t="str">
        <x:v>Property investor / home-buying operator</x:v>
      </x:c>
      <x:c r="E258" s="15" t="str">
        <x:v>Property investor / operator inquiry</x:v>
      </x:c>
      <x:c r="F258" s="17" t="str">
        <x:v>New</x:v>
      </x:c>
      <x:c r="G258" s="24"/>
      <x:c r="H258" s="24" t="str">
        <x:v>+18508217249</x:v>
      </x:c>
      <x:c r="I258" s="24" t="str">
        <x:v>https://myhousebuyersflorida.com/cities/tallahassee-fl</x:v>
      </x:c>
      <x:c r="J258" s="16" t="str">
        <x:v>FL</x:v>
      </x:c>
      <x:c r="K258" s="16" t="str">
        <x:v>Tallahassee</x:v>
      </x:c>
      <x:c r="L258" s="16" t="str">
        <x:v>Public property-business route; investor decision maker unconfirmed</x:v>
      </x:c>
      <x:c r="M258" s="16" t="str">
        <x:v>https://myhousebuyersflorida.com/cities/tallahassee-fl</x:v>
      </x:c>
      <x:c r="N258" s="16" t="str">
        <x:v>$100K-$500K ticket not published / unconfirmed</x:v>
      </x:c>
      <x:c r="O258" s="20"/>
      <x:c r="P258" s="20"/>
      <x:c r="Q258" s="25" t="str">
        <x:v>No $100K-$500K corporate-investment ticket published in checked source</x:v>
      </x:c>
      <x:c r="R258" s="25" t="str">
        <x:v>Property acquisition or investor activity makes this an operator-capital prospect for the signed trial. Confirm operating-company debt/equity appetite.</x:v>
      </x:c>
      <x:c r="S258" s="25" t="str">
        <x:v>Home-buying activity does not verify ability or willingness to invest $100K-$500K into 101XVC operating company. Website and contact verification pending.</x:v>
      </x:c>
      <x:c r="T258" s="25" t="str">
        <x:v>Ask the owner/investor whether they can allocate $100K-$500K to trial marketing and acquisitions, and confirm structure, timing and decision authority.</x:v>
      </x:c>
      <x:c r="U258" s="25" t="str">
        <x:v>https://www.cashhomebuyersdirectory.com/cash-home-buyers/florida/tallahassee</x:v>
      </x:c>
      <x:c r="V258" s="26" t="d">
        <x:v>2026-10-02T00:00:00.000Z</x:v>
      </x:c>
      <x:c r="W258" s="26" t="d">
        <x:v>2026-10-03T00:00:00.000Z</x:v>
      </x:c>
      <x:c r="X258" s="25" t="str">
        <x:v>Public investor directory; business role and contact ownership require qualification</x:v>
      </x:c>
      <x:c r="Y258" s="25"/>
      <x:c r="Z258" s="25" t="str">
        <x:v>https://www.cashhomebuyersdirectory.com/cash-home-buyers/florida/tallahassee</x:v>
      </x:c>
      <x:c r="AA258" s="25" t="str">
        <x:v>Public cash-home-buyer directory lists business name, phone and market. Directory entry may include brokers or service providers.</x:v>
      </x:c>
      <x:c r="AB258" s="3" t="str">
        <x:v>New public-source collection</x:v>
      </x:c>
      <x:c r="AC258" s="3" t="str">
        <x:v>unverified</x:v>
      </x:c>
      <x:c r="AD258" s="3" t="str">
        <x:v>Not contacted / unconfirmed</x:v>
      </x:c>
      <x:c r="AE258" s="3" t="str">
        <x:v>No</x:v>
      </x:c>
      <x:c r="AF258" s="3" t="str">
        <x:v>No</x:v>
      </x:c>
      <x:c r="AG258" s="3"/>
      <x:c r="AH258" s="3"/>
      <x:c r="AI258" s="18"/>
      <x:c r="AJ258" s="3" t="str">
        <x:v>CF2500-8F69ED7C34A9</x:v>
      </x:c>
      <x:c r="AK258" s="3" t="str">
        <x:v>Property investor / home-buying operator prospect</x:v>
      </x:c>
      <x:c r="AL258" s="19" t="n">
        <x:v>100000</x:v>
      </x:c>
      <x:c r="AM258" s="19" t="n">
        <x:v>500000</x:v>
      </x:c>
      <x:c r="AN258" s="3" t="str">
        <x:v>https://www.cashhomebuyersdirectory.com/cash-home-buyers/florida/tallahassee</x:v>
      </x:c>
      <x:c r="AO258" s="3" t="str">
        <x:v>tx_fl_investors.jsonl</x:v>
      </x:c>
      <x:c r="AP258" s="19"/>
    </x:row>
    <x:row r="259" ht="36" customHeight="1">
      <x:c r="A259" s="23" t="n">
        <x:v>258</x:v>
      </x:c>
      <x:c r="B259" s="15" t="str">
        <x:v>House Buyers Mesa</x:v>
      </x:c>
      <x:c r="C259" s="15"/>
      <x:c r="D259" s="15" t="str">
        <x:v>Property investor / home-buying operator</x:v>
      </x:c>
      <x:c r="E259" s="15" t="str">
        <x:v>Property investor / operator inquiry</x:v>
      </x:c>
      <x:c r="F259" s="17" t="str">
        <x:v>New</x:v>
      </x:c>
      <x:c r="G259" s="24"/>
      <x:c r="H259" s="24" t="str">
        <x:v>+14082073506</x:v>
      </x:c>
      <x:c r="I259" s="24" t="str">
        <x:v>https://housebuyersarizona.com/sell-my-house-fast-mesa/</x:v>
      </x:c>
      <x:c r="J259" s="16" t="str">
        <x:v>AZ</x:v>
      </x:c>
      <x:c r="K259" s="16" t="str">
        <x:v>Mesa</x:v>
      </x:c>
      <x:c r="L259" s="16" t="str">
        <x:v>Public property-business route; investor decision maker unconfirmed</x:v>
      </x:c>
      <x:c r="M259" s="16" t="str">
        <x:v>https://housebuyersarizona.com/sell-my-house-fast-mesa/</x:v>
      </x:c>
      <x:c r="N259" s="16" t="str">
        <x:v>$100K-$500K ticket not published / unconfirmed</x:v>
      </x:c>
      <x:c r="O259" s="20"/>
      <x:c r="P259" s="20"/>
      <x:c r="Q259" s="25" t="str">
        <x:v>No $100K-$500K operating-company investment ticket verified</x:v>
      </x:c>
      <x:c r="R259" s="25" t="str">
        <x:v>Property acquisition or investor activity makes this an operator-capital prospect for the signed trial. Confirm operating-company debt/equity appetite.</x:v>
      </x:c>
      <x:c r="S259" s="25" t="str">
        <x:v>Public property-buying activity or a directory listing does not establish available cash, investing decision-maker, current $100K-$500K capacity, or willingness to fund 101XVC operating costs.</x:v>
      </x:c>
      <x:c r="T259" s="25" t="str">
        <x:v>Ask the owner/investor whether they can allocate $100K-$500K to trial marketing and acquisitions, and confirm structure, timing and decision authority.</x:v>
      </x:c>
      <x:c r="U259" s="25" t="str">
        <x:v>https://www.cashhomebuyersdirectory.com/cash-home-buyers/arizona/mesa</x:v>
      </x:c>
      <x:c r="V259" s="26" t="d">
        <x:v>2026-10-02T00:00:00.000Z</x:v>
      </x:c>
      <x:c r="W259" s="26" t="d">
        <x:v>2026-10-02T00:00:00.000Z</x:v>
      </x:c>
      <x:c r="X259" s="25" t="str">
        <x:v>Public investor directory; business role and contact ownership require qualification</x:v>
      </x:c>
      <x:c r="Y259" s="25"/>
      <x:c r="Z259" s="25" t="str">
        <x:v>https://www.cashhomebuyersdirectory.com/cash-home-buyers/arizona/mesa</x:v>
      </x:c>
      <x:c r="AA259" s="25" t="str">
        <x:v>Public cash-home-buyer directory lists business name, phone and market. Directory entry may include brokers or service providers.</x:v>
      </x:c>
      <x:c r="AB259" s="3" t="str">
        <x:v>New public-source collection</x:v>
      </x:c>
      <x:c r="AC259" s="3" t="str">
        <x:v>unverified</x:v>
      </x:c>
      <x:c r="AD259" s="3" t="str">
        <x:v>Not contacted / unconfirmed</x:v>
      </x:c>
      <x:c r="AE259" s="3" t="str">
        <x:v>No</x:v>
      </x:c>
      <x:c r="AF259" s="3" t="str">
        <x:v>No</x:v>
      </x:c>
      <x:c r="AG259" s="3"/>
      <x:c r="AH259" s="3"/>
      <x:c r="AI259" s="18"/>
      <x:c r="AJ259" s="3" t="str">
        <x:v>CF2500-F270DE806505</x:v>
      </x:c>
      <x:c r="AK259" s="3" t="str">
        <x:v>Property investor / home-buying operator prospect</x:v>
      </x:c>
      <x:c r="AL259" s="19" t="n">
        <x:v>100000</x:v>
      </x:c>
      <x:c r="AM259" s="19" t="n">
        <x:v>500000</x:v>
      </x:c>
      <x:c r="AN259" s="3" t="str">
        <x:v>https://www.cashhomebuyersdirectory.com/cash-home-buyers/arizona/mesa</x:v>
      </x:c>
      <x:c r="AO259" s="3" t="str">
        <x:v>nc_il_az_co_investors.jsonl</x:v>
      </x:c>
      <x:c r="AP259" s="19"/>
    </x:row>
    <x:row r="260" ht="36" customHeight="1">
      <x:c r="A260" s="23" t="n">
        <x:v>259</x:v>
      </x:c>
      <x:c r="B260" s="15" t="str">
        <x:v>House Buyers Miami Beach - We Buy Houses Cash</x:v>
      </x:c>
      <x:c r="C260" s="15"/>
      <x:c r="D260" s="15" t="str">
        <x:v>Property investor / home-buying operator</x:v>
      </x:c>
      <x:c r="E260" s="15" t="str">
        <x:v>Property investor / operator inquiry</x:v>
      </x:c>
      <x:c r="F260" s="17" t="str">
        <x:v>New</x:v>
      </x:c>
      <x:c r="G260" s="24"/>
      <x:c r="H260" s="24" t="str">
        <x:v>+17866488743</x:v>
      </x:c>
      <x:c r="I260" s="24" t="str">
        <x:v>http://housebuyersmiamibeach.com/</x:v>
      </x:c>
      <x:c r="J260" s="16" t="str">
        <x:v>FL</x:v>
      </x:c>
      <x:c r="K260" s="16" t="str">
        <x:v>Miami</x:v>
      </x:c>
      <x:c r="L260" s="16" t="str">
        <x:v>Public property-business route; investor decision maker unconfirmed</x:v>
      </x:c>
      <x:c r="M260" s="16" t="str">
        <x:v>http://housebuyersmiamibeach.com/</x:v>
      </x:c>
      <x:c r="N260" s="16" t="str">
        <x:v>$100K-$500K ticket not published / unconfirmed</x:v>
      </x:c>
      <x:c r="O260" s="20"/>
      <x:c r="P260" s="20"/>
      <x:c r="Q260" s="25" t="str">
        <x:v>No $100K-$500K corporate-investment ticket published in checked source</x:v>
      </x:c>
      <x:c r="R260" s="25" t="str">
        <x:v>Property acquisition or investor activity makes this an operator-capital prospect for the signed trial. Confirm operating-company debt/equity appetite.</x:v>
      </x:c>
      <x:c r="S260" s="25" t="str">
        <x:v>Home-buying activity does not verify ability or willingness to invest $100K-$500K into 101XVC operating company. Website and contact verification pending.</x:v>
      </x:c>
      <x:c r="T260" s="25" t="str">
        <x:v>Ask the owner/investor whether they can allocate $100K-$500K to trial marketing and acquisitions, and confirm structure, timing and decision authority.</x:v>
      </x:c>
      <x:c r="U260" s="25" t="str">
        <x:v>https://www.cashhomebuyersdirectory.com/cash-home-buyers/florida/miami</x:v>
      </x:c>
      <x:c r="V260" s="26" t="d">
        <x:v>2026-10-02T00:00:00.000Z</x:v>
      </x:c>
      <x:c r="W260" s="26" t="d">
        <x:v>2026-10-03T00:00:00.000Z</x:v>
      </x:c>
      <x:c r="X260" s="25" t="str">
        <x:v>Public investor directory; business role and contact ownership require qualification</x:v>
      </x:c>
      <x:c r="Y260" s="25"/>
      <x:c r="Z260" s="25" t="str">
        <x:v>https://www.cashhomebuyersdirectory.com/cash-home-buyers/florida/miami</x:v>
      </x:c>
      <x:c r="AA260" s="25" t="str">
        <x:v>Public cash-home-buyer directory lists business name, phone and market. Directory entry may include brokers or service providers.</x:v>
      </x:c>
      <x:c r="AB260" s="3" t="str">
        <x:v>New public-source collection</x:v>
      </x:c>
      <x:c r="AC260" s="3" t="str">
        <x:v>unverified</x:v>
      </x:c>
      <x:c r="AD260" s="3" t="str">
        <x:v>Not contacted / unconfirmed</x:v>
      </x:c>
      <x:c r="AE260" s="3" t="str">
        <x:v>No</x:v>
      </x:c>
      <x:c r="AF260" s="3" t="str">
        <x:v>No</x:v>
      </x:c>
      <x:c r="AG260" s="3"/>
      <x:c r="AH260" s="3"/>
      <x:c r="AI260" s="18"/>
      <x:c r="AJ260" s="3" t="str">
        <x:v>CF2500-B8A82BCDCB1E</x:v>
      </x:c>
      <x:c r="AK260" s="3" t="str">
        <x:v>Property investor / home-buying operator prospect</x:v>
      </x:c>
      <x:c r="AL260" s="19" t="n">
        <x:v>100000</x:v>
      </x:c>
      <x:c r="AM260" s="19" t="n">
        <x:v>500000</x:v>
      </x:c>
      <x:c r="AN260" s="3" t="str">
        <x:v>https://www.cashhomebuyersdirectory.com/cash-home-buyers/florida/miami</x:v>
      </x:c>
      <x:c r="AO260" s="3" t="str">
        <x:v>tx_fl_investors.jsonl</x:v>
      </x:c>
      <x:c r="AP260" s="19"/>
    </x:row>
    <x:row r="261" ht="36" customHeight="1">
      <x:c r="A261" s="23" t="n">
        <x:v>260</x:v>
      </x:c>
      <x:c r="B261" s="15" t="str">
        <x:v>House Buyers Texas</x:v>
      </x:c>
      <x:c r="C261" s="15"/>
      <x:c r="D261" s="15" t="str">
        <x:v>Property investor / home-buying operator</x:v>
      </x:c>
      <x:c r="E261" s="15" t="str">
        <x:v>Property investor / operator inquiry</x:v>
      </x:c>
      <x:c r="F261" s="17" t="str">
        <x:v>New</x:v>
      </x:c>
      <x:c r="G261" s="24"/>
      <x:c r="H261" s="24" t="str">
        <x:v>+12543262553</x:v>
      </x:c>
      <x:c r="I261" s="24" t="str">
        <x:v>https://housebuyerstexas.net/we-buy-houses-austin-sell-my-house-fast/</x:v>
      </x:c>
      <x:c r="J261" s="16" t="str">
        <x:v>TX</x:v>
      </x:c>
      <x:c r="K261" s="16" t="str">
        <x:v>Austin</x:v>
      </x:c>
      <x:c r="L261" s="16" t="str">
        <x:v>Public property-business route; investor decision maker unconfirmed</x:v>
      </x:c>
      <x:c r="M261" s="16" t="str">
        <x:v>https://housebuyerstexas.net/we-buy-houses-austin-sell-my-house-fast/</x:v>
      </x:c>
      <x:c r="N261" s="16" t="str">
        <x:v>$100K-$500K ticket not published / unconfirmed</x:v>
      </x:c>
      <x:c r="O261" s="20"/>
      <x:c r="P261" s="20"/>
      <x:c r="Q261" s="25" t="str">
        <x:v>No $100K-$500K corporate-investment ticket published in checked source</x:v>
      </x:c>
      <x:c r="R261" s="25" t="str">
        <x:v>Property acquisition or investor activity makes this an operator-capital prospect for the signed trial. Confirm operating-company debt/equity appetite.</x:v>
      </x:c>
      <x:c r="S261" s="25" t="str">
        <x:v>Home-buying activity does not verify ability or willingness to invest $100K-$500K into 101XVC operating company. Website and contact verification pending.</x:v>
      </x:c>
      <x:c r="T261" s="25" t="str">
        <x:v>Ask the owner/investor whether they can allocate $100K-$500K to trial marketing and acquisitions, and confirm structure, timing and decision authority.</x:v>
      </x:c>
      <x:c r="U261" s="25" t="str">
        <x:v>https://www.cashhomebuyersdirectory.com/cash-home-buyers/texas/austin</x:v>
      </x:c>
      <x:c r="V261" s="26" t="d">
        <x:v>2026-10-02T00:00:00.000Z</x:v>
      </x:c>
      <x:c r="W261" s="26" t="d">
        <x:v>2026-10-03T00:00:00.000Z</x:v>
      </x:c>
      <x:c r="X261" s="25" t="str">
        <x:v>Public investor directory; business role and contact ownership require qualification</x:v>
      </x:c>
      <x:c r="Y261" s="25"/>
      <x:c r="Z261" s="25" t="str">
        <x:v>https://www.cashhomebuyersdirectory.com/cash-home-buyers/texas/austin</x:v>
      </x:c>
      <x:c r="AA261" s="25" t="str">
        <x:v>Public cash-home-buyer directory lists business name, phone and market. Directory entry may include brokers or service providers.</x:v>
      </x:c>
      <x:c r="AB261" s="3" t="str">
        <x:v>New public-source collection</x:v>
      </x:c>
      <x:c r="AC261" s="3" t="str">
        <x:v>unverified</x:v>
      </x:c>
      <x:c r="AD261" s="3" t="str">
        <x:v>Not contacted / unconfirmed</x:v>
      </x:c>
      <x:c r="AE261" s="3" t="str">
        <x:v>No</x:v>
      </x:c>
      <x:c r="AF261" s="3" t="str">
        <x:v>No</x:v>
      </x:c>
      <x:c r="AG261" s="3"/>
      <x:c r="AH261" s="3"/>
      <x:c r="AI261" s="18"/>
      <x:c r="AJ261" s="3" t="str">
        <x:v>CF2500-9041ADD55C03</x:v>
      </x:c>
      <x:c r="AK261" s="3" t="str">
        <x:v>Property investor / home-buying operator prospect</x:v>
      </x:c>
      <x:c r="AL261" s="19" t="n">
        <x:v>100000</x:v>
      </x:c>
      <x:c r="AM261" s="19" t="n">
        <x:v>500000</x:v>
      </x:c>
      <x:c r="AN261" s="3" t="str">
        <x:v>https://www.cashhomebuyersdirectory.com/cash-home-buyers/texas/austin</x:v>
      </x:c>
      <x:c r="AO261" s="3" t="str">
        <x:v>tx_fl_investors.jsonl</x:v>
      </x:c>
      <x:c r="AP261" s="19"/>
    </x:row>
    <x:row r="262" ht="36" customHeight="1">
      <x:c r="A262" s="23" t="n">
        <x:v>261</x:v>
      </x:c>
      <x:c r="B262" s="15" t="str">
        <x:v>Houston Capital Home Buyers</x:v>
      </x:c>
      <x:c r="C262" s="15"/>
      <x:c r="D262" s="15" t="str">
        <x:v>Property investor / home-buying operator</x:v>
      </x:c>
      <x:c r="E262" s="15" t="str">
        <x:v>Property investor / operator inquiry</x:v>
      </x:c>
      <x:c r="F262" s="17" t="str">
        <x:v>New</x:v>
      </x:c>
      <x:c r="G262" s="24"/>
      <x:c r="H262" s="24" t="str">
        <x:v>+17135819075</x:v>
      </x:c>
      <x:c r="I262" s="24" t="str">
        <x:v>https://houstoncapitalhomebuyers.com/</x:v>
      </x:c>
      <x:c r="J262" s="16" t="str">
        <x:v>TX</x:v>
      </x:c>
      <x:c r="K262" s="16" t="str">
        <x:v>Houston</x:v>
      </x:c>
      <x:c r="L262" s="16" t="str">
        <x:v>Public property-business route; investor decision maker unconfirmed</x:v>
      </x:c>
      <x:c r="M262" s="16" t="str">
        <x:v>https://houstoncapitalhomebuyers.com/</x:v>
      </x:c>
      <x:c r="N262" s="16" t="str">
        <x:v>$100K-$500K ticket not published / unconfirmed</x:v>
      </x:c>
      <x:c r="O262" s="20"/>
      <x:c r="P262" s="20"/>
      <x:c r="Q262" s="25" t="str">
        <x:v>No $100K-$500K corporate-investment ticket published in checked source</x:v>
      </x:c>
      <x:c r="R262" s="25" t="str">
        <x:v>Property acquisition or investor activity makes this an operator-capital prospect for the signed trial. Confirm operating-company debt/equity appetite.</x:v>
      </x:c>
      <x:c r="S262" s="25" t="str">
        <x:v>Home-buying activity does not verify ability or willingness to invest $100K-$500K into 101XVC operating company. Website and contact verification pending.</x:v>
      </x:c>
      <x:c r="T262" s="25" t="str">
        <x:v>Ask the owner/investor whether they can allocate $100K-$500K to trial marketing and acquisitions, and confirm structure, timing and decision authority.</x:v>
      </x:c>
      <x:c r="U262" s="25" t="str">
        <x:v>https://www.cashhomebuyersdirectory.com/cash-home-buyers/texas/houston</x:v>
      </x:c>
      <x:c r="V262" s="26" t="d">
        <x:v>2026-10-02T00:00:00.000Z</x:v>
      </x:c>
      <x:c r="W262" s="26" t="d">
        <x:v>2026-10-03T00:00:00.000Z</x:v>
      </x:c>
      <x:c r="X262" s="25" t="str">
        <x:v>Public investor directory; business role and contact ownership require qualification</x:v>
      </x:c>
      <x:c r="Y262" s="25"/>
      <x:c r="Z262" s="25" t="str">
        <x:v>https://www.cashhomebuyersdirectory.com/cash-home-buyers/texas/houston</x:v>
      </x:c>
      <x:c r="AA262" s="25" t="str">
        <x:v>Public cash-home-buyer directory lists business name, phone and market. Directory entry may include brokers or service providers.</x:v>
      </x:c>
      <x:c r="AB262" s="3" t="str">
        <x:v>New public-source collection</x:v>
      </x:c>
      <x:c r="AC262" s="3" t="str">
        <x:v>unverified</x:v>
      </x:c>
      <x:c r="AD262" s="3" t="str">
        <x:v>Not contacted / unconfirmed</x:v>
      </x:c>
      <x:c r="AE262" s="3" t="str">
        <x:v>No</x:v>
      </x:c>
      <x:c r="AF262" s="3" t="str">
        <x:v>No</x:v>
      </x:c>
      <x:c r="AG262" s="3"/>
      <x:c r="AH262" s="3"/>
      <x:c r="AI262" s="18"/>
      <x:c r="AJ262" s="3" t="str">
        <x:v>CF2500-F94D093EC915</x:v>
      </x:c>
      <x:c r="AK262" s="3" t="str">
        <x:v>Property investor / home-buying operator prospect</x:v>
      </x:c>
      <x:c r="AL262" s="19" t="n">
        <x:v>100000</x:v>
      </x:c>
      <x:c r="AM262" s="19" t="n">
        <x:v>500000</x:v>
      </x:c>
      <x:c r="AN262" s="3" t="str">
        <x:v>https://www.cashhomebuyersdirectory.com/cash-home-buyers/texas/houston</x:v>
      </x:c>
      <x:c r="AO262" s="3" t="str">
        <x:v>tx_fl_investors.jsonl</x:v>
      </x:c>
      <x:c r="AP262" s="19"/>
    </x:row>
    <x:row r="263" ht="36" customHeight="1">
      <x:c r="A263" s="23" t="n">
        <x:v>262</x:v>
      </x:c>
      <x:c r="B263" s="15" t="str">
        <x:v>Houston Home Buyers</x:v>
      </x:c>
      <x:c r="C263" s="15"/>
      <x:c r="D263" s="15" t="str">
        <x:v>Property investor / home-buying operator</x:v>
      </x:c>
      <x:c r="E263" s="15" t="str">
        <x:v>Property investor / operator inquiry</x:v>
      </x:c>
      <x:c r="F263" s="17" t="str">
        <x:v>New</x:v>
      </x:c>
      <x:c r="G263" s="24"/>
      <x:c r="H263" s="24" t="str">
        <x:v>+12812312703</x:v>
      </x:c>
      <x:c r="I263" s="24" t="str">
        <x:v>https://www.houston-home-buyers.com/compare-us-to-realtors-and-ibuyers/</x:v>
      </x:c>
      <x:c r="J263" s="16" t="str">
        <x:v>TX</x:v>
      </x:c>
      <x:c r="K263" s="16" t="str">
        <x:v>Houston</x:v>
      </x:c>
      <x:c r="L263" s="16" t="str">
        <x:v>Public property-business route; investor decision maker unconfirmed</x:v>
      </x:c>
      <x:c r="M263" s="16" t="str">
        <x:v>https://www.houston-home-buyers.com/compare-us-to-realtors-and-ibuyers/</x:v>
      </x:c>
      <x:c r="N263" s="16" t="str">
        <x:v>$100K-$500K ticket not published / unconfirmed</x:v>
      </x:c>
      <x:c r="O263" s="20"/>
      <x:c r="P263" s="20"/>
      <x:c r="Q263" s="25" t="str">
        <x:v>No $100K-$500K corporate-investment ticket published in checked source</x:v>
      </x:c>
      <x:c r="R263" s="25" t="str">
        <x:v>Property acquisition or investor activity makes this an operator-capital prospect for the signed trial. Confirm operating-company debt/equity appetite.</x:v>
      </x:c>
      <x:c r="S263" s="25" t="str">
        <x:v>Home-buying activity does not verify ability or willingness to invest $100K-$500K into 101XVC operating company. Website and contact verification pending.</x:v>
      </x:c>
      <x:c r="T263" s="25" t="str">
        <x:v>Ask the owner/investor whether they can allocate $100K-$500K to trial marketing and acquisitions, and confirm structure, timing and decision authority.</x:v>
      </x:c>
      <x:c r="U263" s="25" t="str">
        <x:v>https://www.cashhomebuyersdirectory.com/cash-home-buyers/texas/houston</x:v>
      </x:c>
      <x:c r="V263" s="26" t="d">
        <x:v>2026-10-02T00:00:00.000Z</x:v>
      </x:c>
      <x:c r="W263" s="26" t="d">
        <x:v>2026-10-03T00:00:00.000Z</x:v>
      </x:c>
      <x:c r="X263" s="25" t="str">
        <x:v>Public investor directory; business role and contact ownership require qualification</x:v>
      </x:c>
      <x:c r="Y263" s="25"/>
      <x:c r="Z263" s="25" t="str">
        <x:v>https://www.cashhomebuyersdirectory.com/cash-home-buyers/texas/houston</x:v>
      </x:c>
      <x:c r="AA263" s="25" t="str">
        <x:v>Public cash-home-buyer directory lists business name, phone and market. Directory entry may include brokers or service providers.</x:v>
      </x:c>
      <x:c r="AB263" s="3" t="str">
        <x:v>New public-source collection</x:v>
      </x:c>
      <x:c r="AC263" s="3" t="str">
        <x:v>unverified</x:v>
      </x:c>
      <x:c r="AD263" s="3" t="str">
        <x:v>Not contacted / unconfirmed</x:v>
      </x:c>
      <x:c r="AE263" s="3" t="str">
        <x:v>No</x:v>
      </x:c>
      <x:c r="AF263" s="3" t="str">
        <x:v>No</x:v>
      </x:c>
      <x:c r="AG263" s="3"/>
      <x:c r="AH263" s="3" t="str">
        <x:v>Houston Home Buyers, LLC</x:v>
      </x:c>
      <x:c r="AI263" s="18"/>
      <x:c r="AJ263" s="3" t="str">
        <x:v>CF2500-1F8A4F87638F</x:v>
      </x:c>
      <x:c r="AK263" s="3" t="str">
        <x:v>Property investor / home-buying operator prospect</x:v>
      </x:c>
      <x:c r="AL263" s="19" t="n">
        <x:v>100000</x:v>
      </x:c>
      <x:c r="AM263" s="19" t="n">
        <x:v>500000</x:v>
      </x:c>
      <x:c r="AN263" s="3" t="str">
        <x:v>https://www.cashhomebuyersdirectory.com/cash-home-buyers/texas/houston</x:v>
      </x:c>
      <x:c r="AO263" s="3" t="str">
        <x:v>tx_fl_investors.jsonl</x:v>
      </x:c>
      <x:c r="AP263" s="19"/>
    </x:row>
    <x:row r="264" ht="36" customHeight="1">
      <x:c r="A264" s="23" t="n">
        <x:v>263</x:v>
      </x:c>
      <x:c r="B264" s="15" t="str">
        <x:v>Houston House Buyers</x:v>
      </x:c>
      <x:c r="C264" s="15"/>
      <x:c r="D264" s="15" t="str">
        <x:v>Property investor / home-buying operator</x:v>
      </x:c>
      <x:c r="E264" s="15" t="str">
        <x:v>Property investor / operator inquiry</x:v>
      </x:c>
      <x:c r="F264" s="17" t="str">
        <x:v>New</x:v>
      </x:c>
      <x:c r="G264" s="24"/>
      <x:c r="H264" s="24" t="str">
        <x:v>+12818435172</x:v>
      </x:c>
      <x:c r="I264" s="24" t="str">
        <x:v>https://houstonhousebuyers.net/</x:v>
      </x:c>
      <x:c r="J264" s="16" t="str">
        <x:v>TX</x:v>
      </x:c>
      <x:c r="K264" s="16" t="str">
        <x:v>Houston</x:v>
      </x:c>
      <x:c r="L264" s="16" t="str">
        <x:v>Public property-business route; investor decision maker unconfirmed</x:v>
      </x:c>
      <x:c r="M264" s="16" t="str">
        <x:v>https://houstonhousebuyers.net/</x:v>
      </x:c>
      <x:c r="N264" s="16" t="str">
        <x:v>$100K-$500K ticket not published / unconfirmed</x:v>
      </x:c>
      <x:c r="O264" s="20"/>
      <x:c r="P264" s="20"/>
      <x:c r="Q264" s="25" t="str">
        <x:v>No $100K-$500K corporate-investment ticket published in checked source</x:v>
      </x:c>
      <x:c r="R264" s="25" t="str">
        <x:v>Property acquisition or investor activity makes this an operator-capital prospect for the signed trial. Confirm operating-company debt/equity appetite.</x:v>
      </x:c>
      <x:c r="S264" s="25" t="str">
        <x:v>Home-buying activity does not verify ability or willingness to invest $100K-$500K into 101XVC operating company. Website and contact verification pending.</x:v>
      </x:c>
      <x:c r="T264" s="25" t="str">
        <x:v>Ask the owner/investor whether they can allocate $100K-$500K to trial marketing and acquisitions, and confirm structure, timing and decision authority.</x:v>
      </x:c>
      <x:c r="U264" s="25" t="str">
        <x:v>https://www.cashhomebuyersdirectory.com/cash-home-buyers/texas/houston</x:v>
      </x:c>
      <x:c r="V264" s="26" t="d">
        <x:v>2026-10-02T00:00:00.000Z</x:v>
      </x:c>
      <x:c r="W264" s="26" t="d">
        <x:v>2026-10-03T00:00:00.000Z</x:v>
      </x:c>
      <x:c r="X264" s="25" t="str">
        <x:v>Public investor directory; business role and contact ownership require qualification</x:v>
      </x:c>
      <x:c r="Y264" s="25"/>
      <x:c r="Z264" s="25" t="str">
        <x:v>https://www.cashhomebuyersdirectory.com/cash-home-buyers/texas/houston</x:v>
      </x:c>
      <x:c r="AA264" s="25" t="str">
        <x:v>Public cash-home-buyer directory lists business name, phone and market. Directory entry may include brokers or service providers.</x:v>
      </x:c>
      <x:c r="AB264" s="3" t="str">
        <x:v>New public-source collection</x:v>
      </x:c>
      <x:c r="AC264" s="3" t="str">
        <x:v>unverified</x:v>
      </x:c>
      <x:c r="AD264" s="3" t="str">
        <x:v>Not contacted / unconfirmed</x:v>
      </x:c>
      <x:c r="AE264" s="3" t="str">
        <x:v>No</x:v>
      </x:c>
      <x:c r="AF264" s="3" t="str">
        <x:v>No</x:v>
      </x:c>
      <x:c r="AG264" s="3"/>
      <x:c r="AH264" s="3"/>
      <x:c r="AI264" s="18"/>
      <x:c r="AJ264" s="3" t="str">
        <x:v>CF2500-E4BDD99A04EB</x:v>
      </x:c>
      <x:c r="AK264" s="3" t="str">
        <x:v>Property investor / home-buying operator prospect</x:v>
      </x:c>
      <x:c r="AL264" s="19" t="n">
        <x:v>100000</x:v>
      </x:c>
      <x:c r="AM264" s="19" t="n">
        <x:v>500000</x:v>
      </x:c>
      <x:c r="AN264" s="3" t="str">
        <x:v>https://www.cashhomebuyersdirectory.com/cash-home-buyers/texas/houston</x:v>
      </x:c>
      <x:c r="AO264" s="3" t="str">
        <x:v>tx_fl_investors.jsonl</x:v>
      </x:c>
      <x:c r="AP264" s="19"/>
    </x:row>
    <x:row r="265" ht="36" customHeight="1">
      <x:c r="A265" s="23" t="n">
        <x:v>264</x:v>
      </x:c>
      <x:c r="B265" s="15" t="str">
        <x:v>INS Home Buyers, INC</x:v>
      </x:c>
      <x:c r="C265" s="15"/>
      <x:c r="D265" s="15" t="str">
        <x:v>Property investor / home-buying operator</x:v>
      </x:c>
      <x:c r="E265" s="15" t="str">
        <x:v>Property investor / operator inquiry</x:v>
      </x:c>
      <x:c r="F265" s="17" t="str">
        <x:v>New</x:v>
      </x:c>
      <x:c r="G265" s="24"/>
      <x:c r="H265" s="24" t="str">
        <x:v>+18183719734</x:v>
      </x:c>
      <x:c r="I265" s="24" t="str">
        <x:v>https://inshomebuyers.com/</x:v>
      </x:c>
      <x:c r="J265" s="16" t="str">
        <x:v>FL</x:v>
      </x:c>
      <x:c r="K265" s="16" t="str">
        <x:v>Miami</x:v>
      </x:c>
      <x:c r="L265" s="16" t="str">
        <x:v>Public property-business route; investor decision maker unconfirmed</x:v>
      </x:c>
      <x:c r="M265" s="16" t="str">
        <x:v>https://inshomebuyers.com/</x:v>
      </x:c>
      <x:c r="N265" s="16" t="str">
        <x:v>$100K-$500K ticket not published / unconfirmed</x:v>
      </x:c>
      <x:c r="O265" s="20"/>
      <x:c r="P265" s="20"/>
      <x:c r="Q265" s="25" t="str">
        <x:v>No $100K-$500K corporate-investment ticket published in checked source</x:v>
      </x:c>
      <x:c r="R265" s="25" t="str">
        <x:v>Property acquisition or investor activity makes this an operator-capital prospect for the signed trial. Confirm operating-company debt/equity appetite.</x:v>
      </x:c>
      <x:c r="S265" s="25" t="str">
        <x:v>Home-buying activity does not verify ability or willingness to invest $100K-$500K into 101XVC operating company. Website and contact verification pending.</x:v>
      </x:c>
      <x:c r="T265" s="25" t="str">
        <x:v>Ask the owner/investor whether they can allocate $100K-$500K to trial marketing and acquisitions, and confirm structure, timing and decision authority.</x:v>
      </x:c>
      <x:c r="U265" s="25" t="str">
        <x:v>https://www.cashhomebuyersdirectory.com/cash-home-buyers/florida/miami</x:v>
      </x:c>
      <x:c r="V265" s="26" t="d">
        <x:v>2026-10-02T00:00:00.000Z</x:v>
      </x:c>
      <x:c r="W265" s="26" t="d">
        <x:v>2026-10-03T00:00:00.000Z</x:v>
      </x:c>
      <x:c r="X265" s="25" t="str">
        <x:v>Public investor directory; business role and contact ownership require qualification</x:v>
      </x:c>
      <x:c r="Y265" s="25"/>
      <x:c r="Z265" s="25" t="str">
        <x:v>https://www.cashhomebuyersdirectory.com/cash-home-buyers/florida/miami</x:v>
      </x:c>
      <x:c r="AA265" s="25" t="str">
        <x:v>Public cash-home-buyer directory lists business name, phone and market. Directory entry may include brokers or service providers.</x:v>
      </x:c>
      <x:c r="AB265" s="3" t="str">
        <x:v>New public-source collection</x:v>
      </x:c>
      <x:c r="AC265" s="3" t="str">
        <x:v>unverified</x:v>
      </x:c>
      <x:c r="AD265" s="3" t="str">
        <x:v>Not contacted / unconfirmed</x:v>
      </x:c>
      <x:c r="AE265" s="3" t="str">
        <x:v>No</x:v>
      </x:c>
      <x:c r="AF265" s="3" t="str">
        <x:v>No</x:v>
      </x:c>
      <x:c r="AG265" s="3"/>
      <x:c r="AH265" s="3"/>
      <x:c r="AI265" s="18"/>
      <x:c r="AJ265" s="3" t="str">
        <x:v>CF2500-2D728AA41429</x:v>
      </x:c>
      <x:c r="AK265" s="3" t="str">
        <x:v>Property investor / home-buying operator prospect</x:v>
      </x:c>
      <x:c r="AL265" s="19" t="n">
        <x:v>100000</x:v>
      </x:c>
      <x:c r="AM265" s="19" t="n">
        <x:v>500000</x:v>
      </x:c>
      <x:c r="AN265" s="3" t="str">
        <x:v>https://www.cashhomebuyersdirectory.com/cash-home-buyers/florida/miami</x:v>
      </x:c>
      <x:c r="AO265" s="3" t="str">
        <x:v>tx_fl_investors.jsonl</x:v>
      </x:c>
      <x:c r="AP265" s="19"/>
    </x:row>
    <x:row r="266" ht="36" customHeight="1">
      <x:c r="A266" s="23" t="n">
        <x:v>265</x:v>
      </x:c>
      <x:c r="B266" s="15" t="str">
        <x:v>Integrity Home Buyers</x:v>
      </x:c>
      <x:c r="C266" s="15"/>
      <x:c r="D266" s="15" t="str">
        <x:v>Property investor / home-buying operator</x:v>
      </x:c>
      <x:c r="E266" s="15" t="str">
        <x:v>Property investor / operator inquiry</x:v>
      </x:c>
      <x:c r="F266" s="17" t="str">
        <x:v>New</x:v>
      </x:c>
      <x:c r="G266" s="24"/>
      <x:c r="H266" s="24" t="str">
        <x:v>+13523044654</x:v>
      </x:c>
      <x:c r="I266" s="24" t="str">
        <x:v>https://www.buymyhouseocala.com/contact-us/</x:v>
      </x:c>
      <x:c r="J266" s="16" t="str">
        <x:v>FL</x:v>
      </x:c>
      <x:c r="K266" s="16" t="str">
        <x:v>Ocala</x:v>
      </x:c>
      <x:c r="L266" s="16" t="str">
        <x:v>Public property-business route; investor decision maker unconfirmed</x:v>
      </x:c>
      <x:c r="M266" s="16" t="str">
        <x:v>https://www.buymyhouseocala.com/contact-us/</x:v>
      </x:c>
      <x:c r="N266" s="16" t="str">
        <x:v>$100K-$500K ticket not published / unconfirmed</x:v>
      </x:c>
      <x:c r="O266" s="20"/>
      <x:c r="P266" s="20"/>
      <x:c r="Q266" s="25" t="str">
        <x:v>No $100K-$500K corporate-investment ticket published in checked source</x:v>
      </x:c>
      <x:c r="R266" s="25" t="str">
        <x:v>Property acquisition or investor activity makes this an operator-capital prospect for the signed trial. Confirm operating-company debt/equity appetite.</x:v>
      </x:c>
      <x:c r="S266" s="25" t="str">
        <x:v>Home-buying activity does not verify ability or willingness to invest $100K-$500K into 101XVC operating company. Website and contact verification pending.</x:v>
      </x:c>
      <x:c r="T266" s="25" t="str">
        <x:v>Ask the owner/investor whether they can allocate $100K-$500K to trial marketing and acquisitions, and confirm structure, timing and decision authority.</x:v>
      </x:c>
      <x:c r="U266" s="25" t="str">
        <x:v>https://www.cashhomebuyersdirectory.com/cash-home-buyers/florida/ocala</x:v>
      </x:c>
      <x:c r="V266" s="26" t="d">
        <x:v>2026-10-02T00:00:00.000Z</x:v>
      </x:c>
      <x:c r="W266" s="26" t="d">
        <x:v>2026-10-03T00:00:00.000Z</x:v>
      </x:c>
      <x:c r="X266" s="25" t="str">
        <x:v>Public investor directory; business role and contact ownership require qualification</x:v>
      </x:c>
      <x:c r="Y266" s="25"/>
      <x:c r="Z266" s="25" t="str">
        <x:v>https://www.cashhomebuyersdirectory.com/cash-home-buyers/florida/ocala</x:v>
      </x:c>
      <x:c r="AA266" s="25" t="str">
        <x:v>Public cash-home-buyer directory lists business name, phone and market. Directory entry may include brokers or service providers.</x:v>
      </x:c>
      <x:c r="AB266" s="3" t="str">
        <x:v>New public-source collection</x:v>
      </x:c>
      <x:c r="AC266" s="3" t="str">
        <x:v>unverified</x:v>
      </x:c>
      <x:c r="AD266" s="3" t="str">
        <x:v>Not contacted / unconfirmed</x:v>
      </x:c>
      <x:c r="AE266" s="3" t="str">
        <x:v>No</x:v>
      </x:c>
      <x:c r="AF266" s="3" t="str">
        <x:v>No</x:v>
      </x:c>
      <x:c r="AG266" s="3"/>
      <x:c r="AH266" s="3"/>
      <x:c r="AI266" s="18"/>
      <x:c r="AJ266" s="3" t="str">
        <x:v>CF2500-44AB15FE582B</x:v>
      </x:c>
      <x:c r="AK266" s="3" t="str">
        <x:v>Property investor / home-buying operator prospect</x:v>
      </x:c>
      <x:c r="AL266" s="19" t="n">
        <x:v>100000</x:v>
      </x:c>
      <x:c r="AM266" s="19" t="n">
        <x:v>500000</x:v>
      </x:c>
      <x:c r="AN266" s="3" t="str">
        <x:v>https://www.cashhomebuyersdirectory.com/cash-home-buyers/florida/ocala</x:v>
      </x:c>
      <x:c r="AO266" s="3" t="str">
        <x:v>tx_fl_investors.jsonl</x:v>
      </x:c>
      <x:c r="AP266" s="19"/>
    </x:row>
    <x:row r="267" ht="36" customHeight="1">
      <x:c r="A267" s="23" t="n">
        <x:v>266</x:v>
      </x:c>
      <x:c r="B267" s="15" t="str">
        <x:v>investorade</x:v>
      </x:c>
      <x:c r="C267" s="15"/>
      <x:c r="D267" s="15" t="str">
        <x:v>Property investor / home-buying operator</x:v>
      </x:c>
      <x:c r="E267" s="15" t="str">
        <x:v>Property investor / operator inquiry</x:v>
      </x:c>
      <x:c r="F267" s="17" t="str">
        <x:v>New</x:v>
      </x:c>
      <x:c r="G267" s="24"/>
      <x:c r="H267" s="24" t="str">
        <x:v>+19727343251</x:v>
      </x:c>
      <x:c r="I267" s="24" t="str">
        <x:v>https://investorade.com/</x:v>
      </x:c>
      <x:c r="J267" s="16" t="str">
        <x:v>TX</x:v>
      </x:c>
      <x:c r="K267" s="16" t="str">
        <x:v>Dallas</x:v>
      </x:c>
      <x:c r="L267" s="16" t="str">
        <x:v>Public property-business route; investor decision maker unconfirmed</x:v>
      </x:c>
      <x:c r="M267" s="16" t="str">
        <x:v>https://investorade.com/</x:v>
      </x:c>
      <x:c r="N267" s="16" t="str">
        <x:v>$100K-$500K ticket not published / unconfirmed</x:v>
      </x:c>
      <x:c r="O267" s="20"/>
      <x:c r="P267" s="20"/>
      <x:c r="Q267" s="25" t="str">
        <x:v>No $100K-$500K corporate-investment ticket published in checked source</x:v>
      </x:c>
      <x:c r="R267" s="25" t="str">
        <x:v>Property acquisition or investor activity makes this an operator-capital prospect for the signed trial. Confirm operating-company debt/equity appetite.</x:v>
      </x:c>
      <x:c r="S267" s="25" t="str">
        <x:v>Home-buying activity does not verify ability or willingness to invest $100K-$500K into 101XVC operating company. Website and contact verification pending.</x:v>
      </x:c>
      <x:c r="T267" s="25" t="str">
        <x:v>Ask the owner/investor whether they can allocate $100K-$500K to trial marketing and acquisitions, and confirm structure, timing and decision authority.</x:v>
      </x:c>
      <x:c r="U267" s="25" t="str">
        <x:v>https://www.cashhomebuyersdirectory.com/cash-home-buyers/texas/dallas</x:v>
      </x:c>
      <x:c r="V267" s="26" t="d">
        <x:v>2026-10-02T00:00:00.000Z</x:v>
      </x:c>
      <x:c r="W267" s="26" t="d">
        <x:v>2026-10-03T00:00:00.000Z</x:v>
      </x:c>
      <x:c r="X267" s="25" t="str">
        <x:v>Public investor directory; business role and contact ownership require qualification</x:v>
      </x:c>
      <x:c r="Y267" s="25"/>
      <x:c r="Z267" s="25" t="str">
        <x:v>https://www.cashhomebuyersdirectory.com/cash-home-buyers/texas/dallas</x:v>
      </x:c>
      <x:c r="AA267" s="25" t="str">
        <x:v>Public cash-home-buyer directory lists business name, phone and market. Directory entry may include brokers or service providers.</x:v>
      </x:c>
      <x:c r="AB267" s="3" t="str">
        <x:v>New public-source collection</x:v>
      </x:c>
      <x:c r="AC267" s="3" t="str">
        <x:v>unverified</x:v>
      </x:c>
      <x:c r="AD267" s="3" t="str">
        <x:v>Not contacted / unconfirmed</x:v>
      </x:c>
      <x:c r="AE267" s="3" t="str">
        <x:v>No</x:v>
      </x:c>
      <x:c r="AF267" s="3" t="str">
        <x:v>No</x:v>
      </x:c>
      <x:c r="AG267" s="3"/>
      <x:c r="AH267" s="3"/>
      <x:c r="AI267" s="18"/>
      <x:c r="AJ267" s="3" t="str">
        <x:v>CF2500-CD8CA55D95E8</x:v>
      </x:c>
      <x:c r="AK267" s="3" t="str">
        <x:v>Property investor / home-buying operator prospect</x:v>
      </x:c>
      <x:c r="AL267" s="19" t="n">
        <x:v>100000</x:v>
      </x:c>
      <x:c r="AM267" s="19" t="n">
        <x:v>500000</x:v>
      </x:c>
      <x:c r="AN267" s="3" t="str">
        <x:v>https://www.cashhomebuyersdirectory.com/cash-home-buyers/texas/dallas</x:v>
      </x:c>
      <x:c r="AO267" s="3" t="str">
        <x:v>tx_fl_investors.jsonl</x:v>
      </x:c>
      <x:c r="AP267" s="19"/>
    </x:row>
    <x:row r="268" ht="36" customHeight="1">
      <x:c r="A268" s="23" t="n">
        <x:v>267</x:v>
      </x:c>
      <x:c r="B268" s="15" t="str">
        <x:v>Investors Developers &amp; Associates, LLC</x:v>
      </x:c>
      <x:c r="C268" s="15"/>
      <x:c r="D268" s="15" t="str">
        <x:v>Property investor / home-buying operator</x:v>
      </x:c>
      <x:c r="E268" s="15" t="str">
        <x:v>Property investor / operator inquiry</x:v>
      </x:c>
      <x:c r="F268" s="17" t="str">
        <x:v>New</x:v>
      </x:c>
      <x:c r="G268" s="24"/>
      <x:c r="H268" s="24" t="str">
        <x:v>+12145501066</x:v>
      </x:c>
      <x:c r="I268" s="24" t="str">
        <x:v>https://www.homemortgageforyou.com/</x:v>
      </x:c>
      <x:c r="J268" s="16" t="str">
        <x:v>TX</x:v>
      </x:c>
      <x:c r="K268" s="16" t="str">
        <x:v>Dallas</x:v>
      </x:c>
      <x:c r="L268" s="16" t="str">
        <x:v>Public property-business route; investor decision maker unconfirmed</x:v>
      </x:c>
      <x:c r="M268" s="16" t="str">
        <x:v>https://www.homemortgageforyou.com/</x:v>
      </x:c>
      <x:c r="N268" s="16" t="str">
        <x:v>$100K-$500K ticket not published / unconfirmed</x:v>
      </x:c>
      <x:c r="O268" s="20"/>
      <x:c r="P268" s="20"/>
      <x:c r="Q268" s="25" t="str">
        <x:v>No $100K-$500K corporate-investment ticket published in checked source</x:v>
      </x:c>
      <x:c r="R268" s="25" t="str">
        <x:v>Property acquisition or investor activity makes this an operator-capital prospect for the signed trial. Confirm operating-company debt/equity appetite.</x:v>
      </x:c>
      <x:c r="S268" s="25" t="str">
        <x:v>Home-buying activity does not verify ability or willingness to invest $100K-$500K into 101XVC operating company. Website and contact verification pending.</x:v>
      </x:c>
      <x:c r="T268" s="25" t="str">
        <x:v>Ask the owner/investor whether they can allocate $100K-$500K to trial marketing and acquisitions, and confirm structure, timing and decision authority.</x:v>
      </x:c>
      <x:c r="U268" s="25" t="str">
        <x:v>https://www.cashhomebuyersdirectory.com/cash-home-buyers/texas/dallas</x:v>
      </x:c>
      <x:c r="V268" s="26" t="d">
        <x:v>2026-10-02T00:00:00.000Z</x:v>
      </x:c>
      <x:c r="W268" s="26" t="d">
        <x:v>2026-10-03T00:00:00.000Z</x:v>
      </x:c>
      <x:c r="X268" s="25" t="str">
        <x:v>Public investor directory; business role and contact ownership require qualification</x:v>
      </x:c>
      <x:c r="Y268" s="25"/>
      <x:c r="Z268" s="25" t="str">
        <x:v>https://www.cashhomebuyersdirectory.com/cash-home-buyers/texas/dallas</x:v>
      </x:c>
      <x:c r="AA268" s="25" t="str">
        <x:v>Public cash-home-buyer directory lists business name, phone and market. Directory entry may include brokers or service providers.</x:v>
      </x:c>
      <x:c r="AB268" s="3" t="str">
        <x:v>New public-source collection</x:v>
      </x:c>
      <x:c r="AC268" s="3" t="str">
        <x:v>unverified</x:v>
      </x:c>
      <x:c r="AD268" s="3" t="str">
        <x:v>Not contacted / unconfirmed</x:v>
      </x:c>
      <x:c r="AE268" s="3" t="str">
        <x:v>No</x:v>
      </x:c>
      <x:c r="AF268" s="3" t="str">
        <x:v>No</x:v>
      </x:c>
      <x:c r="AG268" s="3"/>
      <x:c r="AH268" s="3"/>
      <x:c r="AI268" s="18"/>
      <x:c r="AJ268" s="3" t="str">
        <x:v>CF2500-8C1307BCC4FA</x:v>
      </x:c>
      <x:c r="AK268" s="3" t="str">
        <x:v>Property investor / home-buying operator prospect</x:v>
      </x:c>
      <x:c r="AL268" s="19" t="n">
        <x:v>100000</x:v>
      </x:c>
      <x:c r="AM268" s="19" t="n">
        <x:v>500000</x:v>
      </x:c>
      <x:c r="AN268" s="3" t="str">
        <x:v>https://www.cashhomebuyersdirectory.com/cash-home-buyers/texas/dallas</x:v>
      </x:c>
      <x:c r="AO268" s="3" t="str">
        <x:v>tx_fl_investors.jsonl</x:v>
      </x:c>
      <x:c r="AP268" s="19"/>
    </x:row>
    <x:row r="269" ht="36" customHeight="1">
      <x:c r="A269" s="23" t="n">
        <x:v>268</x:v>
      </x:c>
      <x:c r="B269" s="15" t="str">
        <x:v>investWyze Homes</x:v>
      </x:c>
      <x:c r="C269" s="15"/>
      <x:c r="D269" s="15" t="str">
        <x:v>Property investor / home-buying operator</x:v>
      </x:c>
      <x:c r="E269" s="15" t="str">
        <x:v>Property investor / operator inquiry</x:v>
      </x:c>
      <x:c r="F269" s="17" t="str">
        <x:v>New</x:v>
      </x:c>
      <x:c r="G269" s="24"/>
      <x:c r="H269" s="24" t="str">
        <x:v>+19046041400</x:v>
      </x:c>
      <x:c r="I269" s="24" t="str">
        <x:v>https://jaxcashhomebuyer.com/</x:v>
      </x:c>
      <x:c r="J269" s="16" t="str">
        <x:v>FL</x:v>
      </x:c>
      <x:c r="K269" s="16" t="str">
        <x:v>Jacksonville</x:v>
      </x:c>
      <x:c r="L269" s="16" t="str">
        <x:v>Public property-business route; investor decision maker unconfirmed</x:v>
      </x:c>
      <x:c r="M269" s="16" t="str">
        <x:v>https://jaxcashhomebuyer.com/</x:v>
      </x:c>
      <x:c r="N269" s="16" t="str">
        <x:v>$100K-$500K ticket not published / unconfirmed</x:v>
      </x:c>
      <x:c r="O269" s="20"/>
      <x:c r="P269" s="20"/>
      <x:c r="Q269" s="25" t="str">
        <x:v>No $100K-$500K corporate-investment ticket published in checked source</x:v>
      </x:c>
      <x:c r="R269" s="25" t="str">
        <x:v>Property acquisition or investor activity makes this an operator-capital prospect for the signed trial. Confirm operating-company debt/equity appetite.</x:v>
      </x:c>
      <x:c r="S269" s="25" t="str">
        <x:v>Home-buying activity does not verify ability or willingness to invest $100K-$500K into 101XVC operating company. Website and contact verification pending.</x:v>
      </x:c>
      <x:c r="T269" s="25" t="str">
        <x:v>Ask the owner/investor whether they can allocate $100K-$500K to trial marketing and acquisitions, and confirm structure, timing and decision authority.</x:v>
      </x:c>
      <x:c r="U269" s="25" t="str">
        <x:v>https://www.cashhomebuyersdirectory.com/cash-home-buyers/florida/jacksonville</x:v>
      </x:c>
      <x:c r="V269" s="26" t="d">
        <x:v>2026-10-02T00:00:00.000Z</x:v>
      </x:c>
      <x:c r="W269" s="26" t="d">
        <x:v>2026-10-03T00:00:00.000Z</x:v>
      </x:c>
      <x:c r="X269" s="25" t="str">
        <x:v>Public investor directory; business role and contact ownership require qualification</x:v>
      </x:c>
      <x:c r="Y269" s="25"/>
      <x:c r="Z269" s="25" t="str">
        <x:v>https://www.cashhomebuyersdirectory.com/cash-home-buyers/florida/jacksonville</x:v>
      </x:c>
      <x:c r="AA269" s="25" t="str">
        <x:v>Public cash-home-buyer directory lists business name, phone and market. Directory entry may include brokers or service providers.</x:v>
      </x:c>
      <x:c r="AB269" s="3" t="str">
        <x:v>New public-source collection</x:v>
      </x:c>
      <x:c r="AC269" s="3" t="str">
        <x:v>unverified</x:v>
      </x:c>
      <x:c r="AD269" s="3" t="str">
        <x:v>Not contacted / unconfirmed</x:v>
      </x:c>
      <x:c r="AE269" s="3" t="str">
        <x:v>No</x:v>
      </x:c>
      <x:c r="AF269" s="3" t="str">
        <x:v>No</x:v>
      </x:c>
      <x:c r="AG269" s="3"/>
      <x:c r="AH269" s="3"/>
      <x:c r="AI269" s="18"/>
      <x:c r="AJ269" s="3" t="str">
        <x:v>CF2500-F109BC0D3F02</x:v>
      </x:c>
      <x:c r="AK269" s="3" t="str">
        <x:v>Property investor / home-buying operator prospect</x:v>
      </x:c>
      <x:c r="AL269" s="19" t="n">
        <x:v>100000</x:v>
      </x:c>
      <x:c r="AM269" s="19" t="n">
        <x:v>500000</x:v>
      </x:c>
      <x:c r="AN269" s="3" t="str">
        <x:v>https://www.cashhomebuyersdirectory.com/cash-home-buyers/florida/jacksonville</x:v>
      </x:c>
      <x:c r="AO269" s="3" t="str">
        <x:v>tx_fl_investors.jsonl</x:v>
      </x:c>
      <x:c r="AP269" s="19"/>
    </x:row>
    <x:row r="270" ht="36" customHeight="1">
      <x:c r="A270" s="23" t="n">
        <x:v>269</x:v>
      </x:c>
      <x:c r="B270" s="15" t="str">
        <x:v>Jack Home Buyers LLC</x:v>
      </x:c>
      <x:c r="C270" s="15"/>
      <x:c r="D270" s="15" t="str">
        <x:v>Property investor / home-buying operator</x:v>
      </x:c>
      <x:c r="E270" s="15" t="str">
        <x:v>Property investor / operator inquiry</x:v>
      </x:c>
      <x:c r="F270" s="17" t="str">
        <x:v>New</x:v>
      </x:c>
      <x:c r="G270" s="24"/>
      <x:c r="H270" s="24" t="str">
        <x:v>+16822267272</x:v>
      </x:c>
      <x:c r="I270" s="24" t="str">
        <x:v>https://www.jackhomebuyers.com/</x:v>
      </x:c>
      <x:c r="J270" s="16" t="str">
        <x:v>TX</x:v>
      </x:c>
      <x:c r="K270" s="16" t="str">
        <x:v>Dallas</x:v>
      </x:c>
      <x:c r="L270" s="16" t="str">
        <x:v>Public property-business route; investor decision maker unconfirmed</x:v>
      </x:c>
      <x:c r="M270" s="16" t="str">
        <x:v>https://www.jackhomebuyers.com/</x:v>
      </x:c>
      <x:c r="N270" s="16" t="str">
        <x:v>$100K-$500K ticket not published / unconfirmed</x:v>
      </x:c>
      <x:c r="O270" s="20"/>
      <x:c r="P270" s="20"/>
      <x:c r="Q270" s="25" t="str">
        <x:v>No $100K-$500K corporate-investment ticket published in checked source</x:v>
      </x:c>
      <x:c r="R270" s="25" t="str">
        <x:v>Property acquisition or investor activity makes this an operator-capital prospect for the signed trial. Confirm operating-company debt/equity appetite.</x:v>
      </x:c>
      <x:c r="S270" s="25" t="str">
        <x:v>Home-buying activity does not verify ability or willingness to invest $100K-$500K into 101XVC operating company. Website and contact verification pending.</x:v>
      </x:c>
      <x:c r="T270" s="25" t="str">
        <x:v>Ask the owner/investor whether they can allocate $100K-$500K to trial marketing and acquisitions, and confirm structure, timing and decision authority.</x:v>
      </x:c>
      <x:c r="U270" s="25" t="str">
        <x:v>https://www.cashhomebuyersdirectory.com/cash-home-buyers/texas/dallas</x:v>
      </x:c>
      <x:c r="V270" s="26" t="d">
        <x:v>2026-10-02T00:00:00.000Z</x:v>
      </x:c>
      <x:c r="W270" s="26" t="d">
        <x:v>2026-10-03T00:00:00.000Z</x:v>
      </x:c>
      <x:c r="X270" s="25" t="str">
        <x:v>Public investor directory; business role and contact ownership require qualification</x:v>
      </x:c>
      <x:c r="Y270" s="25"/>
      <x:c r="Z270" s="25" t="str">
        <x:v>https://www.cashhomebuyersdirectory.com/cash-home-buyers/texas/dallas</x:v>
      </x:c>
      <x:c r="AA270" s="25" t="str">
        <x:v>Public cash-home-buyer directory lists business name, phone and market. Directory entry may include brokers or service providers.</x:v>
      </x:c>
      <x:c r="AB270" s="3" t="str">
        <x:v>New public-source collection</x:v>
      </x:c>
      <x:c r="AC270" s="3" t="str">
        <x:v>unverified</x:v>
      </x:c>
      <x:c r="AD270" s="3" t="str">
        <x:v>Not contacted / unconfirmed</x:v>
      </x:c>
      <x:c r="AE270" s="3" t="str">
        <x:v>No</x:v>
      </x:c>
      <x:c r="AF270" s="3" t="str">
        <x:v>No</x:v>
      </x:c>
      <x:c r="AG270" s="3"/>
      <x:c r="AH270" s="3"/>
      <x:c r="AI270" s="18"/>
      <x:c r="AJ270" s="3" t="str">
        <x:v>CF2500-4B00BC0586FE</x:v>
      </x:c>
      <x:c r="AK270" s="3" t="str">
        <x:v>Property investor / home-buying operator prospect</x:v>
      </x:c>
      <x:c r="AL270" s="19" t="n">
        <x:v>100000</x:v>
      </x:c>
      <x:c r="AM270" s="19" t="n">
        <x:v>500000</x:v>
      </x:c>
      <x:c r="AN270" s="3" t="str">
        <x:v>https://www.cashhomebuyersdirectory.com/cash-home-buyers/texas/dallas</x:v>
      </x:c>
      <x:c r="AO270" s="3" t="str">
        <x:v>tx_fl_investors.jsonl</x:v>
      </x:c>
      <x:c r="AP270" s="19"/>
    </x:row>
    <x:row r="271" ht="36" customHeight="1">
      <x:c r="A271" s="23" t="n">
        <x:v>270</x:v>
      </x:c>
      <x:c r="B271" s="15" t="str">
        <x:v>Jax Home Buyers</x:v>
      </x:c>
      <x:c r="C271" s="15"/>
      <x:c r="D271" s="15" t="str">
        <x:v>Property investor / home-buying operator</x:v>
      </x:c>
      <x:c r="E271" s="15" t="str">
        <x:v>Property investor / operator inquiry</x:v>
      </x:c>
      <x:c r="F271" s="17" t="str">
        <x:v>New</x:v>
      </x:c>
      <x:c r="G271" s="24"/>
      <x:c r="H271" s="24" t="str">
        <x:v>+19048887606</x:v>
      </x:c>
      <x:c r="I271" s="24" t="str">
        <x:v>https://www.jaxhomebuyers.com/?utm_source=GBP</x:v>
      </x:c>
      <x:c r="J271" s="16" t="str">
        <x:v>FL</x:v>
      </x:c>
      <x:c r="K271" s="16" t="str">
        <x:v>Jacksonville</x:v>
      </x:c>
      <x:c r="L271" s="16" t="str">
        <x:v>Public property-business route; investor decision maker unconfirmed</x:v>
      </x:c>
      <x:c r="M271" s="16" t="str">
        <x:v>https://www.jaxhomebuyers.com/?utm_source=GBP</x:v>
      </x:c>
      <x:c r="N271" s="16" t="str">
        <x:v>$100K-$500K ticket not published / unconfirmed</x:v>
      </x:c>
      <x:c r="O271" s="20"/>
      <x:c r="P271" s="20"/>
      <x:c r="Q271" s="25" t="str">
        <x:v>No $100K-$500K corporate-investment ticket published in checked source</x:v>
      </x:c>
      <x:c r="R271" s="25" t="str">
        <x:v>Property acquisition or investor activity makes this an operator-capital prospect for the signed trial. Confirm operating-company debt/equity appetite.</x:v>
      </x:c>
      <x:c r="S271" s="25" t="str">
        <x:v>Home-buying activity does not verify ability or willingness to invest $100K-$500K into 101XVC operating company. Website and contact verification pending.</x:v>
      </x:c>
      <x:c r="T271" s="25" t="str">
        <x:v>Ask the owner/investor whether they can allocate $100K-$500K to trial marketing and acquisitions, and confirm structure, timing and decision authority.</x:v>
      </x:c>
      <x:c r="U271" s="25" t="str">
        <x:v>https://www.cashhomebuyersdirectory.com/cash-home-buyers/florida/jacksonville</x:v>
      </x:c>
      <x:c r="V271" s="26" t="d">
        <x:v>2026-10-02T00:00:00.000Z</x:v>
      </x:c>
      <x:c r="W271" s="26" t="d">
        <x:v>2026-10-03T00:00:00.000Z</x:v>
      </x:c>
      <x:c r="X271" s="25" t="str">
        <x:v>Public investor directory; business role and contact ownership require qualification</x:v>
      </x:c>
      <x:c r="Y271" s="25"/>
      <x:c r="Z271" s="25" t="str">
        <x:v>https://www.cashhomebuyersdirectory.com/cash-home-buyers/florida/jacksonville</x:v>
      </x:c>
      <x:c r="AA271" s="25" t="str">
        <x:v>Public cash-home-buyer directory lists business name, phone and market. Directory entry may include brokers or service providers.</x:v>
      </x:c>
      <x:c r="AB271" s="3" t="str">
        <x:v>New public-source collection</x:v>
      </x:c>
      <x:c r="AC271" s="3" t="str">
        <x:v>unverified</x:v>
      </x:c>
      <x:c r="AD271" s="3" t="str">
        <x:v>Not contacted / unconfirmed</x:v>
      </x:c>
      <x:c r="AE271" s="3" t="str">
        <x:v>No</x:v>
      </x:c>
      <x:c r="AF271" s="3" t="str">
        <x:v>No</x:v>
      </x:c>
      <x:c r="AG271" s="3"/>
      <x:c r="AH271" s="3"/>
      <x:c r="AI271" s="18"/>
      <x:c r="AJ271" s="3" t="str">
        <x:v>CF2500-1430A812B9EC</x:v>
      </x:c>
      <x:c r="AK271" s="3" t="str">
        <x:v>Property investor / home-buying operator prospect</x:v>
      </x:c>
      <x:c r="AL271" s="19" t="n">
        <x:v>100000</x:v>
      </x:c>
      <x:c r="AM271" s="19" t="n">
        <x:v>500000</x:v>
      </x:c>
      <x:c r="AN271" s="3" t="str">
        <x:v>https://www.cashhomebuyersdirectory.com/cash-home-buyers/florida/jacksonville</x:v>
      </x:c>
      <x:c r="AO271" s="3" t="str">
        <x:v>tx_fl_investors.jsonl</x:v>
      </x:c>
      <x:c r="AP271" s="19"/>
    </x:row>
    <x:row r="272" ht="36" customHeight="1">
      <x:c r="A272" s="23" t="n">
        <x:v>271</x:v>
      </x:c>
      <x:c r="B272" s="15" t="str">
        <x:v>JD House Buyers</x:v>
      </x:c>
      <x:c r="C272" s="15"/>
      <x:c r="D272" s="15" t="str">
        <x:v>Property investor / home-buying operator</x:v>
      </x:c>
      <x:c r="E272" s="15" t="str">
        <x:v>Property investor / operator inquiry</x:v>
      </x:c>
      <x:c r="F272" s="17" t="str">
        <x:v>New</x:v>
      </x:c>
      <x:c r="G272" s="24"/>
      <x:c r="H272" s="24" t="str">
        <x:v>+14805307601</x:v>
      </x:c>
      <x:c r="I272" s="24" t="str">
        <x:v>https://jdhousebuyers.com/</x:v>
      </x:c>
      <x:c r="J272" s="16" t="str">
        <x:v>AZ</x:v>
      </x:c>
      <x:c r="K272" s="16" t="str">
        <x:v>Mesa</x:v>
      </x:c>
      <x:c r="L272" s="16" t="str">
        <x:v>Public property-business route; investor decision maker unconfirmed</x:v>
      </x:c>
      <x:c r="M272" s="16" t="str">
        <x:v>https://jdhousebuyers.com/</x:v>
      </x:c>
      <x:c r="N272" s="16" t="str">
        <x:v>$100K-$500K ticket not published / unconfirmed</x:v>
      </x:c>
      <x:c r="O272" s="20"/>
      <x:c r="P272" s="20"/>
      <x:c r="Q272" s="25" t="str">
        <x:v>No $100K-$500K operating-company investment ticket verified</x:v>
      </x:c>
      <x:c r="R272" s="25" t="str">
        <x:v>Property acquisition or investor activity makes this an operator-capital prospect for the signed trial. Confirm operating-company debt/equity appetite.</x:v>
      </x:c>
      <x:c r="S272" s="25" t="str">
        <x:v>Public property-buying activity or a directory listing does not establish available cash, investing decision-maker, current $100K-$500K capacity, or willingness to fund 101XVC operating costs.</x:v>
      </x:c>
      <x:c r="T272" s="25" t="str">
        <x:v>Ask the owner/investor whether they can allocate $100K-$500K to trial marketing and acquisitions, and confirm structure, timing and decision authority.</x:v>
      </x:c>
      <x:c r="U272" s="25" t="str">
        <x:v>https://www.cashhomebuyersdirectory.com/cash-home-buyers/arizona/mesa</x:v>
      </x:c>
      <x:c r="V272" s="26" t="d">
        <x:v>2026-10-02T00:00:00.000Z</x:v>
      </x:c>
      <x:c r="W272" s="26" t="d">
        <x:v>2026-10-02T00:00:00.000Z</x:v>
      </x:c>
      <x:c r="X272" s="25" t="str">
        <x:v>Public investor directory; business role and contact ownership require qualification</x:v>
      </x:c>
      <x:c r="Y272" s="25"/>
      <x:c r="Z272" s="25" t="str">
        <x:v>https://www.cashhomebuyersdirectory.com/cash-home-buyers/arizona/mesa</x:v>
      </x:c>
      <x:c r="AA272" s="25" t="str">
        <x:v>Public cash-home-buyer directory lists business name, phone and market. Directory entry may include brokers or service providers.</x:v>
      </x:c>
      <x:c r="AB272" s="3" t="str">
        <x:v>New public-source collection</x:v>
      </x:c>
      <x:c r="AC272" s="3" t="str">
        <x:v>unverified</x:v>
      </x:c>
      <x:c r="AD272" s="3" t="str">
        <x:v>Not contacted / unconfirmed</x:v>
      </x:c>
      <x:c r="AE272" s="3" t="str">
        <x:v>No</x:v>
      </x:c>
      <x:c r="AF272" s="3" t="str">
        <x:v>No</x:v>
      </x:c>
      <x:c r="AG272" s="3"/>
      <x:c r="AH272" s="3"/>
      <x:c r="AI272" s="18"/>
      <x:c r="AJ272" s="3" t="str">
        <x:v>CF2500-9E0EC7D12FF0</x:v>
      </x:c>
      <x:c r="AK272" s="3" t="str">
        <x:v>Property investor / home-buying operator prospect</x:v>
      </x:c>
      <x:c r="AL272" s="19" t="n">
        <x:v>100000</x:v>
      </x:c>
      <x:c r="AM272" s="19" t="n">
        <x:v>500000</x:v>
      </x:c>
      <x:c r="AN272" s="3" t="str">
        <x:v>https://www.cashhomebuyersdirectory.com/cash-home-buyers/arizona/mesa</x:v>
      </x:c>
      <x:c r="AO272" s="3" t="str">
        <x:v>nc_il_az_co_investors.jsonl</x:v>
      </x:c>
      <x:c r="AP272" s="19"/>
    </x:row>
    <x:row r="273" ht="36" customHeight="1">
      <x:c r="A273" s="23" t="n">
        <x:v>272</x:v>
      </x:c>
      <x:c r="B273" s="15" t="str">
        <x:v>Jemm House Buyers</x:v>
      </x:c>
      <x:c r="C273" s="15"/>
      <x:c r="D273" s="15" t="str">
        <x:v>Property investor / home-buying operator</x:v>
      </x:c>
      <x:c r="E273" s="15" t="str">
        <x:v>Property investor / operator inquiry</x:v>
      </x:c>
      <x:c r="F273" s="17" t="str">
        <x:v>New</x:v>
      </x:c>
      <x:c r="G273" s="24"/>
      <x:c r="H273" s="24" t="str">
        <x:v>+12193334599</x:v>
      </x:c>
      <x:c r="I273" s="24" t="str">
        <x:v>https://jemmhousebuyers.com/</x:v>
      </x:c>
      <x:c r="J273" s="16" t="str">
        <x:v>IL</x:v>
      </x:c>
      <x:c r="K273" s="16" t="str">
        <x:v>Chicago</x:v>
      </x:c>
      <x:c r="L273" s="16" t="str">
        <x:v>Public property-business route; investor decision maker unconfirmed</x:v>
      </x:c>
      <x:c r="M273" s="16" t="str">
        <x:v>https://jemmhousebuyers.com/</x:v>
      </x:c>
      <x:c r="N273" s="16" t="str">
        <x:v>$100K-$500K ticket not published / unconfirmed</x:v>
      </x:c>
      <x:c r="O273" s="20"/>
      <x:c r="P273" s="20"/>
      <x:c r="Q273" s="25" t="str">
        <x:v>No $100K-$500K operating-company investment ticket verified</x:v>
      </x:c>
      <x:c r="R273" s="25" t="str">
        <x:v>Property acquisition or investor activity makes this an operator-capital prospect for the signed trial. Confirm operating-company debt/equity appetite.</x:v>
      </x:c>
      <x:c r="S273" s="25" t="str">
        <x:v>Public property-buying activity or a directory listing does not establish available cash, investing decision-maker, current $100K-$500K capacity, or willingness to fund 101XVC operating costs.</x:v>
      </x:c>
      <x:c r="T273" s="25" t="str">
        <x:v>Ask the owner/investor whether they can allocate $100K-$500K to trial marketing and acquisitions, and confirm structure, timing and decision authority.</x:v>
      </x:c>
      <x:c r="U273" s="25" t="str">
        <x:v>https://www.cashhomebuyersdirectory.com/cash-home-buyers/illinois/chicago</x:v>
      </x:c>
      <x:c r="V273" s="26" t="d">
        <x:v>2026-10-02T00:00:00.000Z</x:v>
      </x:c>
      <x:c r="W273" s="26" t="d">
        <x:v>2026-10-02T00:00:00.000Z</x:v>
      </x:c>
      <x:c r="X273" s="25" t="str">
        <x:v>Public investor directory; business role and contact ownership require qualification</x:v>
      </x:c>
      <x:c r="Y273" s="25"/>
      <x:c r="Z273" s="25" t="str">
        <x:v>https://www.cashhomebuyersdirectory.com/cash-home-buyers/illinois/chicago</x:v>
      </x:c>
      <x:c r="AA273" s="25" t="str">
        <x:v>Public cash-home-buyer directory lists business name, phone and market. Directory entry may include brokers or service providers.</x:v>
      </x:c>
      <x:c r="AB273" s="3" t="str">
        <x:v>New public-source collection</x:v>
      </x:c>
      <x:c r="AC273" s="3" t="str">
        <x:v>unverified</x:v>
      </x:c>
      <x:c r="AD273" s="3" t="str">
        <x:v>Not contacted / unconfirmed</x:v>
      </x:c>
      <x:c r="AE273" s="3" t="str">
        <x:v>No</x:v>
      </x:c>
      <x:c r="AF273" s="3" t="str">
        <x:v>No</x:v>
      </x:c>
      <x:c r="AG273" s="3"/>
      <x:c r="AH273" s="3"/>
      <x:c r="AI273" s="18"/>
      <x:c r="AJ273" s="3" t="str">
        <x:v>CF2500-3E1608182D47</x:v>
      </x:c>
      <x:c r="AK273" s="3" t="str">
        <x:v>Property investor / home-buying operator prospect</x:v>
      </x:c>
      <x:c r="AL273" s="19" t="n">
        <x:v>100000</x:v>
      </x:c>
      <x:c r="AM273" s="19" t="n">
        <x:v>500000</x:v>
      </x:c>
      <x:c r="AN273" s="3" t="str">
        <x:v>https://www.cashhomebuyersdirectory.com/cash-home-buyers/illinois/chicago</x:v>
      </x:c>
      <x:c r="AO273" s="3" t="str">
        <x:v>nc_il_az_co_investors.jsonl</x:v>
      </x:c>
      <x:c r="AP273" s="19"/>
    </x:row>
    <x:row r="274" ht="36" customHeight="1">
      <x:c r="A274" s="23" t="n">
        <x:v>273</x:v>
      </x:c>
      <x:c r="B274" s="15" t="str">
        <x:v>JMS Home Buyers LLC</x:v>
      </x:c>
      <x:c r="C274" s="15"/>
      <x:c r="D274" s="15" t="str">
        <x:v>Property investor / home-buying operator</x:v>
      </x:c>
      <x:c r="E274" s="15" t="str">
        <x:v>Property investor / operator inquiry</x:v>
      </x:c>
      <x:c r="F274" s="17" t="str">
        <x:v>New</x:v>
      </x:c>
      <x:c r="G274" s="24"/>
      <x:c r="H274" s="24" t="str">
        <x:v>+17047076016</x:v>
      </x:c>
      <x:c r="I274" s="24" t="str">
        <x:v>http://www.jmshomebuyers.com/</x:v>
      </x:c>
      <x:c r="J274" s="16" t="str">
        <x:v>NC</x:v>
      </x:c>
      <x:c r="K274" s="16" t="str">
        <x:v>Charlotte</x:v>
      </x:c>
      <x:c r="L274" s="16" t="str">
        <x:v>Public property-business route; investor decision maker unconfirmed</x:v>
      </x:c>
      <x:c r="M274" s="16" t="str">
        <x:v>http://www.jmshomebuyers.com/</x:v>
      </x:c>
      <x:c r="N274" s="16" t="str">
        <x:v>$100K-$500K ticket not published / unconfirmed</x:v>
      </x:c>
      <x:c r="O274" s="20"/>
      <x:c r="P274" s="20"/>
      <x:c r="Q274" s="25" t="str">
        <x:v>No $100K-$500K operating-company investment ticket verified</x:v>
      </x:c>
      <x:c r="R274" s="25" t="str">
        <x:v>Property acquisition or investor activity makes this an operator-capital prospect for the signed trial. Confirm operating-company debt/equity appetite.</x:v>
      </x:c>
      <x:c r="S274" s="25" t="str">
        <x:v>Public property-buying activity or a directory listing does not establish available cash, investing decision-maker, current $100K-$500K capacity, or willingness to fund 101XVC operating costs.</x:v>
      </x:c>
      <x:c r="T274" s="25" t="str">
        <x:v>Ask the owner/investor whether they can allocate $100K-$500K to trial marketing and acquisitions, and confirm structure, timing and decision authority.</x:v>
      </x:c>
      <x:c r="U274" s="25" t="str">
        <x:v>https://www.cashhomebuyersdirectory.com/cash-home-buyers/north-carolina/charlotte
https://www.bbb.org/us/nc/category/home-buyers</x:v>
      </x:c>
      <x:c r="V274" s="26" t="d">
        <x:v>2026-10-02T00:00:00.000Z</x:v>
      </x:c>
      <x:c r="W274" s="26" t="d">
        <x:v>2026-10-02T00:00:00.000Z</x:v>
      </x:c>
      <x:c r="X274" s="25" t="str">
        <x:v>Public investor directory; business role and contact ownership require qualification</x:v>
      </x:c>
      <x:c r="Y274" s="25"/>
      <x:c r="Z274" s="25" t="str">
        <x:v>https://www.cashhomebuyersdirectory.com/cash-home-buyers/north-carolina/charlotte</x:v>
      </x:c>
      <x:c r="AA274" s="25" t="str">
        <x:v>Public cash-home-buyer directory lists business name, phone and market. Directory entry may include brokers or service providers.</x:v>
      </x:c>
      <x:c r="AB274" s="3" t="str">
        <x:v>New public-source collection</x:v>
      </x:c>
      <x:c r="AC274" s="3" t="str">
        <x:v>unverified</x:v>
      </x:c>
      <x:c r="AD274" s="3" t="str">
        <x:v>Not contacted / unconfirmed</x:v>
      </x:c>
      <x:c r="AE274" s="3" t="str">
        <x:v>No</x:v>
      </x:c>
      <x:c r="AF274" s="3" t="str">
        <x:v>No</x:v>
      </x:c>
      <x:c r="AG274" s="3"/>
      <x:c r="AH274" s="3"/>
      <x:c r="AI274" s="18"/>
      <x:c r="AJ274" s="3" t="str">
        <x:v>CF2500-0F9BE62871BB</x:v>
      </x:c>
      <x:c r="AK274" s="3" t="str">
        <x:v>Property investor / home-buying operator prospect</x:v>
      </x:c>
      <x:c r="AL274" s="19" t="n">
        <x:v>100000</x:v>
      </x:c>
      <x:c r="AM274" s="19" t="n">
        <x:v>500000</x:v>
      </x:c>
      <x:c r="AN274" s="3" t="str">
        <x:v>https://www.cashhomebuyersdirectory.com/cash-home-buyers/north-carolina/charlotte</x:v>
      </x:c>
      <x:c r="AO274" s="3" t="str">
        <x:v>nc_il_az_co_investors.jsonl</x:v>
      </x:c>
      <x:c r="AP274" s="19"/>
    </x:row>
    <x:row r="275" ht="36" customHeight="1">
      <x:c r="A275" s="23" t="n">
        <x:v>274</x:v>
      </x:c>
      <x:c r="B275" s="15" t="str">
        <x:v>Joe Homebuyer Arizona</x:v>
      </x:c>
      <x:c r="C275" s="15"/>
      <x:c r="D275" s="15" t="str">
        <x:v>Property investor / home-buying operator</x:v>
      </x:c>
      <x:c r="E275" s="15" t="str">
        <x:v>Property investor / operator inquiry</x:v>
      </x:c>
      <x:c r="F275" s="17" t="str">
        <x:v>New</x:v>
      </x:c>
      <x:c r="G275" s="24"/>
      <x:c r="H275" s="24" t="str">
        <x:v>+16025605903</x:v>
      </x:c>
      <x:c r="I275" s="24" t="str">
        <x:v>https://www.joehomebuyerarizona.com/</x:v>
      </x:c>
      <x:c r="J275" s="16" t="str">
        <x:v>AZ</x:v>
      </x:c>
      <x:c r="K275" s="16" t="str">
        <x:v>Phoenix</x:v>
      </x:c>
      <x:c r="L275" s="16" t="str">
        <x:v>Public property-business route; investor decision maker unconfirmed</x:v>
      </x:c>
      <x:c r="M275" s="16" t="str">
        <x:v>https://www.joehomebuyerarizona.com/</x:v>
      </x:c>
      <x:c r="N275" s="16" t="str">
        <x:v>$100K-$500K ticket not published / unconfirmed</x:v>
      </x:c>
      <x:c r="O275" s="20"/>
      <x:c r="P275" s="20"/>
      <x:c r="Q275" s="25" t="str">
        <x:v>No $100K-$500K operating-company investment ticket verified</x:v>
      </x:c>
      <x:c r="R275" s="25" t="str">
        <x:v>Property acquisition or investor activity makes this an operator-capital prospect for the signed trial. Confirm operating-company debt/equity appetite.</x:v>
      </x:c>
      <x:c r="S275" s="25" t="str">
        <x:v>Public property-buying activity or a directory listing does not establish available cash, investing decision-maker, current $100K-$500K capacity, or willingness to fund 101XVC operating costs.</x:v>
      </x:c>
      <x:c r="T275" s="25" t="str">
        <x:v>Ask the owner/investor whether they can allocate $100K-$500K to trial marketing and acquisitions, and confirm structure, timing and decision authority.</x:v>
      </x:c>
      <x:c r="U275" s="25" t="str">
        <x:v>https://www.cashhomebuyersdirectory.com/cash-home-buyers/arizona/phoenix</x:v>
      </x:c>
      <x:c r="V275" s="26" t="d">
        <x:v>2026-10-02T00:00:00.000Z</x:v>
      </x:c>
      <x:c r="W275" s="26" t="d">
        <x:v>2026-10-02T00:00:00.000Z</x:v>
      </x:c>
      <x:c r="X275" s="25" t="str">
        <x:v>Public investor directory; business role and contact ownership require qualification</x:v>
      </x:c>
      <x:c r="Y275" s="25"/>
      <x:c r="Z275" s="25" t="str">
        <x:v>https://www.cashhomebuyersdirectory.com/cash-home-buyers/arizona/phoenix</x:v>
      </x:c>
      <x:c r="AA275" s="25" t="str">
        <x:v>Public cash-home-buyer directory lists business name, phone and market. Directory entry may include brokers or service providers.</x:v>
      </x:c>
      <x:c r="AB275" s="3" t="str">
        <x:v>New public-source collection</x:v>
      </x:c>
      <x:c r="AC275" s="3" t="str">
        <x:v>unverified</x:v>
      </x:c>
      <x:c r="AD275" s="3" t="str">
        <x:v>Not contacted / unconfirmed</x:v>
      </x:c>
      <x:c r="AE275" s="3" t="str">
        <x:v>No</x:v>
      </x:c>
      <x:c r="AF275" s="3" t="str">
        <x:v>No</x:v>
      </x:c>
      <x:c r="AG275" s="3"/>
      <x:c r="AH275" s="3"/>
      <x:c r="AI275" s="18"/>
      <x:c r="AJ275" s="3" t="str">
        <x:v>CF2500-91CCA4A7E2EA</x:v>
      </x:c>
      <x:c r="AK275" s="3" t="str">
        <x:v>Property investor / home-buying operator prospect</x:v>
      </x:c>
      <x:c r="AL275" s="19" t="n">
        <x:v>100000</x:v>
      </x:c>
      <x:c r="AM275" s="19" t="n">
        <x:v>500000</x:v>
      </x:c>
      <x:c r="AN275" s="3" t="str">
        <x:v>https://www.cashhomebuyersdirectory.com/cash-home-buyers/arizona/phoenix</x:v>
      </x:c>
      <x:c r="AO275" s="3" t="str">
        <x:v>nc_il_az_co_investors.jsonl</x:v>
      </x:c>
      <x:c r="AP275" s="19"/>
    </x:row>
    <x:row r="276" ht="36" customHeight="1">
      <x:c r="A276" s="23" t="n">
        <x:v>275</x:v>
      </x:c>
      <x:c r="B276" s="15" t="str">
        <x:v>Joe Homebuyer Triad Group</x:v>
      </x:c>
      <x:c r="C276" s="15"/>
      <x:c r="D276" s="15" t="str">
        <x:v>Property investor / home-buying operator</x:v>
      </x:c>
      <x:c r="E276" s="15" t="str">
        <x:v>Property investor / operator inquiry</x:v>
      </x:c>
      <x:c r="F276" s="17" t="str">
        <x:v>New</x:v>
      </x:c>
      <x:c r="G276" s="24"/>
      <x:c r="H276" s="24" t="str">
        <x:v>+13365305715</x:v>
      </x:c>
      <x:c r="I276" s="24" t="str">
        <x:v>https://www.joehomebuyertriadgroup.com/?utm_source=GoogleBusinessProfile&amp;utm_medium=organic</x:v>
      </x:c>
      <x:c r="J276" s="16" t="str">
        <x:v>NC</x:v>
      </x:c>
      <x:c r="K276" s="16" t="str">
        <x:v>Greensboro</x:v>
      </x:c>
      <x:c r="L276" s="16" t="str">
        <x:v>Public property-business route; investor decision maker unconfirmed</x:v>
      </x:c>
      <x:c r="M276" s="16" t="str">
        <x:v>https://www.joehomebuyertriadgroup.com/?utm_source=GoogleBusinessProfile&amp;utm_medium=organic</x:v>
      </x:c>
      <x:c r="N276" s="16" t="str">
        <x:v>$100K-$500K ticket not published / unconfirmed</x:v>
      </x:c>
      <x:c r="O276" s="20"/>
      <x:c r="P276" s="20"/>
      <x:c r="Q276" s="25" t="str">
        <x:v>No $100K-$500K operating-company investment ticket verified</x:v>
      </x:c>
      <x:c r="R276" s="25" t="str">
        <x:v>Property acquisition or investor activity makes this an operator-capital prospect for the signed trial. Confirm operating-company debt/equity appetite.</x:v>
      </x:c>
      <x:c r="S276" s="25" t="str">
        <x:v>Public property-buying activity or a directory listing does not establish available cash, investing decision-maker, current $100K-$500K capacity, or willingness to fund 101XVC operating costs.</x:v>
      </x:c>
      <x:c r="T276" s="25" t="str">
        <x:v>Ask the owner/investor whether they can allocate $100K-$500K to trial marketing and acquisitions, and confirm structure, timing and decision authority.</x:v>
      </x:c>
      <x:c r="U276" s="25" t="str">
        <x:v>https://www.cashhomebuyersdirectory.com/cash-home-buyers/north-carolina/greensboro</x:v>
      </x:c>
      <x:c r="V276" s="26" t="d">
        <x:v>2026-10-02T00:00:00.000Z</x:v>
      </x:c>
      <x:c r="W276" s="26" t="d">
        <x:v>2026-10-02T00:00:00.000Z</x:v>
      </x:c>
      <x:c r="X276" s="25" t="str">
        <x:v>Public investor directory; business role and contact ownership require qualification</x:v>
      </x:c>
      <x:c r="Y276" s="25"/>
      <x:c r="Z276" s="25" t="str">
        <x:v>https://www.cashhomebuyersdirectory.com/cash-home-buyers/north-carolina/greensboro</x:v>
      </x:c>
      <x:c r="AA276" s="25" t="str">
        <x:v>Public cash-home-buyer directory lists business name, phone and market. Directory entry may include brokers or service providers.</x:v>
      </x:c>
      <x:c r="AB276" s="3" t="str">
        <x:v>New public-source collection</x:v>
      </x:c>
      <x:c r="AC276" s="3" t="str">
        <x:v>unverified</x:v>
      </x:c>
      <x:c r="AD276" s="3" t="str">
        <x:v>Not contacted / unconfirmed</x:v>
      </x:c>
      <x:c r="AE276" s="3" t="str">
        <x:v>No</x:v>
      </x:c>
      <x:c r="AF276" s="3" t="str">
        <x:v>No</x:v>
      </x:c>
      <x:c r="AG276" s="3"/>
      <x:c r="AH276" s="3"/>
      <x:c r="AI276" s="18"/>
      <x:c r="AJ276" s="3" t="str">
        <x:v>CF2500-4FA4E532DCCA</x:v>
      </x:c>
      <x:c r="AK276" s="3" t="str">
        <x:v>Property investor / home-buying operator prospect</x:v>
      </x:c>
      <x:c r="AL276" s="19" t="n">
        <x:v>100000</x:v>
      </x:c>
      <x:c r="AM276" s="19" t="n">
        <x:v>500000</x:v>
      </x:c>
      <x:c r="AN276" s="3" t="str">
        <x:v>https://www.cashhomebuyersdirectory.com/cash-home-buyers/north-carolina/greensboro</x:v>
      </x:c>
      <x:c r="AO276" s="3" t="str">
        <x:v>nc_il_az_co_investors.jsonl</x:v>
      </x:c>
      <x:c r="AP276" s="19"/>
    </x:row>
    <x:row r="277" ht="36" customHeight="1">
      <x:c r="A277" s="23" t="n">
        <x:v>276</x:v>
      </x:c>
      <x:c r="B277" s="15" t="str">
        <x:v>John Buys Your House | Sell My House Fast</x:v>
      </x:c>
      <x:c r="C277" s="15"/>
      <x:c r="D277" s="15" t="str">
        <x:v>Property investor / home-buying operator</x:v>
      </x:c>
      <x:c r="E277" s="15" t="str">
        <x:v>Property investor / operator inquiry</x:v>
      </x:c>
      <x:c r="F277" s="17" t="str">
        <x:v>New</x:v>
      </x:c>
      <x:c r="G277" s="24"/>
      <x:c r="H277" s="24" t="str">
        <x:v>+17046104024</x:v>
      </x:c>
      <x:c r="I277" s="24" t="str">
        <x:v>https://www.johnbuysyourhouse.com/i/xq33/</x:v>
      </x:c>
      <x:c r="J277" s="16" t="str">
        <x:v>NC</x:v>
      </x:c>
      <x:c r="K277" s="16" t="str">
        <x:v>Charlotte</x:v>
      </x:c>
      <x:c r="L277" s="16" t="str">
        <x:v>Public property-business route; investor decision maker unconfirmed</x:v>
      </x:c>
      <x:c r="M277" s="16" t="str">
        <x:v>https://www.johnbuysyourhouse.com/i/xq33/</x:v>
      </x:c>
      <x:c r="N277" s="16" t="str">
        <x:v>$100K-$500K ticket not published / unconfirmed</x:v>
      </x:c>
      <x:c r="O277" s="20"/>
      <x:c r="P277" s="20"/>
      <x:c r="Q277" s="25" t="str">
        <x:v>No $100K-$500K operating-company investment ticket verified</x:v>
      </x:c>
      <x:c r="R277" s="25" t="str">
        <x:v>Property acquisition or investor activity makes this an operator-capital prospect for the signed trial. Confirm operating-company debt/equity appetite.</x:v>
      </x:c>
      <x:c r="S277" s="25" t="str">
        <x:v>Public property-buying activity or a directory listing does not establish available cash, investing decision-maker, current $100K-$500K capacity, or willingness to fund 101XVC operating costs.</x:v>
      </x:c>
      <x:c r="T277" s="25" t="str">
        <x:v>Ask the owner/investor whether they can allocate $100K-$500K to trial marketing and acquisitions, and confirm structure, timing and decision authority.</x:v>
      </x:c>
      <x:c r="U277" s="25" t="str">
        <x:v>https://www.cashhomebuyersdirectory.com/cash-home-buyers/north-carolina/charlotte
https://www.bbb.org/us/nc/category/home-buyers</x:v>
      </x:c>
      <x:c r="V277" s="26" t="d">
        <x:v>2026-10-02T00:00:00.000Z</x:v>
      </x:c>
      <x:c r="W277" s="26" t="d">
        <x:v>2026-10-02T00:00:00.000Z</x:v>
      </x:c>
      <x:c r="X277" s="25" t="str">
        <x:v>Public investor directory; business role and contact ownership require qualification</x:v>
      </x:c>
      <x:c r="Y277" s="25"/>
      <x:c r="Z277" s="25" t="str">
        <x:v>https://www.cashhomebuyersdirectory.com/cash-home-buyers/north-carolina/charlotte</x:v>
      </x:c>
      <x:c r="AA277" s="25" t="str">
        <x:v>Public cash-home-buyer directory lists business name, phone and market. Directory entry may include brokers or service providers.</x:v>
      </x:c>
      <x:c r="AB277" s="3" t="str">
        <x:v>New public-source collection</x:v>
      </x:c>
      <x:c r="AC277" s="3" t="str">
        <x:v>unverified</x:v>
      </x:c>
      <x:c r="AD277" s="3" t="str">
        <x:v>Not contacted / unconfirmed</x:v>
      </x:c>
      <x:c r="AE277" s="3" t="str">
        <x:v>No</x:v>
      </x:c>
      <x:c r="AF277" s="3" t="str">
        <x:v>No</x:v>
      </x:c>
      <x:c r="AG277" s="3"/>
      <x:c r="AH277" s="3"/>
      <x:c r="AI277" s="18"/>
      <x:c r="AJ277" s="3" t="str">
        <x:v>CF2500-A24B86E6CBD8</x:v>
      </x:c>
      <x:c r="AK277" s="3" t="str">
        <x:v>Property investor / home-buying operator prospect</x:v>
      </x:c>
      <x:c r="AL277" s="19" t="n">
        <x:v>100000</x:v>
      </x:c>
      <x:c r="AM277" s="19" t="n">
        <x:v>500000</x:v>
      </x:c>
      <x:c r="AN277" s="3" t="str">
        <x:v>https://www.cashhomebuyersdirectory.com/cash-home-buyers/north-carolina/charlotte</x:v>
      </x:c>
      <x:c r="AO277" s="3" t="str">
        <x:v>nc_il_az_co_investors.jsonl</x:v>
      </x:c>
      <x:c r="AP277" s="19"/>
    </x:row>
    <x:row r="278" ht="36" customHeight="1">
      <x:c r="A278" s="23" t="n">
        <x:v>277</x:v>
      </x:c>
      <x:c r="B278" s="15" t="str">
        <x:v>John Clark - Home Buyer Phoenix John Clark - Home Buyer Phoenix</x:v>
      </x:c>
      <x:c r="C278" s="15"/>
      <x:c r="D278" s="15" t="str">
        <x:v>Property investor / home-buying operator</x:v>
      </x:c>
      <x:c r="E278" s="15" t="str">
        <x:v>Property investor / operator inquiry</x:v>
      </x:c>
      <x:c r="F278" s="17" t="str">
        <x:v>New</x:v>
      </x:c>
      <x:c r="G278" s="24"/>
      <x:c r="H278" s="24" t="str">
        <x:v>+14807038494</x:v>
      </x:c>
      <x:c r="I278" s="24" t="str">
        <x:v>http://homebuyerphoenix.com/contact-us/</x:v>
      </x:c>
      <x:c r="J278" s="16" t="str">
        <x:v>AZ</x:v>
      </x:c>
      <x:c r="K278" s="16" t="str">
        <x:v>Phoenix</x:v>
      </x:c>
      <x:c r="L278" s="16" t="str">
        <x:v>Public property-business route; investor decision maker unconfirmed</x:v>
      </x:c>
      <x:c r="M278" s="16" t="str">
        <x:v>http://homebuyerphoenix.com/contact-us/</x:v>
      </x:c>
      <x:c r="N278" s="16" t="str">
        <x:v>$100K-$500K ticket not published / unconfirmed</x:v>
      </x:c>
      <x:c r="O278" s="20"/>
      <x:c r="P278" s="20"/>
      <x:c r="Q278" s="25" t="str">
        <x:v>No $100K-$500K operating-company investment ticket verified</x:v>
      </x:c>
      <x:c r="R278" s="25" t="str">
        <x:v>Property acquisition or investor activity makes this an operator-capital prospect for the signed trial. Confirm operating-company debt/equity appetite.</x:v>
      </x:c>
      <x:c r="S278" s="25" t="str">
        <x:v>Public property-buying activity or a directory listing does not establish available cash, investing decision-maker, current $100K-$500K capacity, or willingness to fund 101XVC operating costs.</x:v>
      </x:c>
      <x:c r="T278" s="25" t="str">
        <x:v>Ask the owner/investor whether they can allocate $100K-$500K to trial marketing and acquisitions, and confirm structure, timing and decision authority.</x:v>
      </x:c>
      <x:c r="U278" s="25" t="str">
        <x:v>https://www.cashhomebuyersdirectory.com/cash-home-buyers/arizona/phoenix</x:v>
      </x:c>
      <x:c r="V278" s="26" t="d">
        <x:v>2026-10-02T00:00:00.000Z</x:v>
      </x:c>
      <x:c r="W278" s="26" t="d">
        <x:v>2026-10-02T00:00:00.000Z</x:v>
      </x:c>
      <x:c r="X278" s="25" t="str">
        <x:v>Public investor directory; business role and contact ownership require qualification</x:v>
      </x:c>
      <x:c r="Y278" s="25"/>
      <x:c r="Z278" s="25" t="str">
        <x:v>https://www.cashhomebuyersdirectory.com/cash-home-buyers/arizona/phoenix</x:v>
      </x:c>
      <x:c r="AA278" s="25" t="str">
        <x:v>Public cash-home-buyer directory lists business name, phone and market. Directory entry may include brokers or service providers.</x:v>
      </x:c>
      <x:c r="AB278" s="3" t="str">
        <x:v>New public-source collection</x:v>
      </x:c>
      <x:c r="AC278" s="3" t="str">
        <x:v>unverified</x:v>
      </x:c>
      <x:c r="AD278" s="3" t="str">
        <x:v>Not contacted / unconfirmed</x:v>
      </x:c>
      <x:c r="AE278" s="3" t="str">
        <x:v>No</x:v>
      </x:c>
      <x:c r="AF278" s="3" t="str">
        <x:v>No</x:v>
      </x:c>
      <x:c r="AG278" s="3"/>
      <x:c r="AH278" s="3"/>
      <x:c r="AI278" s="18"/>
      <x:c r="AJ278" s="3" t="str">
        <x:v>CF2500-4B7BE5B3EB78</x:v>
      </x:c>
      <x:c r="AK278" s="3" t="str">
        <x:v>Property investor / home-buying operator prospect</x:v>
      </x:c>
      <x:c r="AL278" s="19" t="n">
        <x:v>100000</x:v>
      </x:c>
      <x:c r="AM278" s="19" t="n">
        <x:v>500000</x:v>
      </x:c>
      <x:c r="AN278" s="3" t="str">
        <x:v>https://www.cashhomebuyersdirectory.com/cash-home-buyers/arizona/phoenix</x:v>
      </x:c>
      <x:c r="AO278" s="3" t="str">
        <x:v>nc_il_az_co_investors.jsonl</x:v>
      </x:c>
      <x:c r="AP278" s="19"/>
    </x:row>
    <x:row r="279" ht="36" customHeight="1">
      <x:c r="A279" s="23" t="n">
        <x:v>278</x:v>
      </x:c>
      <x:c r="B279" s="15" t="str">
        <x:v>JW Home Buyer</x:v>
      </x:c>
      <x:c r="C279" s="15"/>
      <x:c r="D279" s="15" t="str">
        <x:v>Property investor / home-buying operator</x:v>
      </x:c>
      <x:c r="E279" s="15" t="str">
        <x:v>Property investor / operator inquiry</x:v>
      </x:c>
      <x:c r="F279" s="17" t="str">
        <x:v>New</x:v>
      </x:c>
      <x:c r="G279" s="24"/>
      <x:c r="H279" s="24" t="str">
        <x:v>+17133823158</x:v>
      </x:c>
      <x:c r="I279" s="24" t="str">
        <x:v>https://jwhomebuyer.com/</x:v>
      </x:c>
      <x:c r="J279" s="16" t="str">
        <x:v>TX</x:v>
      </x:c>
      <x:c r="K279" s="16" t="str">
        <x:v>Houston</x:v>
      </x:c>
      <x:c r="L279" s="16" t="str">
        <x:v>Public property-business route; investor decision maker unconfirmed</x:v>
      </x:c>
      <x:c r="M279" s="16" t="str">
        <x:v>https://jwhomebuyer.com/</x:v>
      </x:c>
      <x:c r="N279" s="16" t="str">
        <x:v>$100K-$500K ticket not published / unconfirmed</x:v>
      </x:c>
      <x:c r="O279" s="20"/>
      <x:c r="P279" s="20"/>
      <x:c r="Q279" s="25" t="str">
        <x:v>No $100K-$500K corporate-investment ticket published in checked source</x:v>
      </x:c>
      <x:c r="R279" s="25" t="str">
        <x:v>Property acquisition or investor activity makes this an operator-capital prospect for the signed trial. Confirm operating-company debt/equity appetite.</x:v>
      </x:c>
      <x:c r="S279" s="25" t="str">
        <x:v>Home-buying activity does not verify ability or willingness to invest $100K-$500K into 101XVC operating company. Website and contact verification pending.</x:v>
      </x:c>
      <x:c r="T279" s="25" t="str">
        <x:v>Ask the owner/investor whether they can allocate $100K-$500K to trial marketing and acquisitions, and confirm structure, timing and decision authority.</x:v>
      </x:c>
      <x:c r="U279" s="25" t="str">
        <x:v>https://www.cashhomebuyersdirectory.com/cash-home-buyers/texas/houston</x:v>
      </x:c>
      <x:c r="V279" s="26" t="d">
        <x:v>2026-10-02T00:00:00.000Z</x:v>
      </x:c>
      <x:c r="W279" s="26" t="d">
        <x:v>2026-10-03T00:00:00.000Z</x:v>
      </x:c>
      <x:c r="X279" s="25" t="str">
        <x:v>Public investor directory; business role and contact ownership require qualification</x:v>
      </x:c>
      <x:c r="Y279" s="25"/>
      <x:c r="Z279" s="25" t="str">
        <x:v>https://www.cashhomebuyersdirectory.com/cash-home-buyers/texas/houston</x:v>
      </x:c>
      <x:c r="AA279" s="25" t="str">
        <x:v>Public cash-home-buyer directory lists business name, phone and market. Directory entry may include brokers or service providers.</x:v>
      </x:c>
      <x:c r="AB279" s="3" t="str">
        <x:v>New public-source collection</x:v>
      </x:c>
      <x:c r="AC279" s="3" t="str">
        <x:v>unverified</x:v>
      </x:c>
      <x:c r="AD279" s="3" t="str">
        <x:v>Not contacted / unconfirmed</x:v>
      </x:c>
      <x:c r="AE279" s="3" t="str">
        <x:v>No</x:v>
      </x:c>
      <x:c r="AF279" s="3" t="str">
        <x:v>No</x:v>
      </x:c>
      <x:c r="AG279" s="3"/>
      <x:c r="AH279" s="3"/>
      <x:c r="AI279" s="18"/>
      <x:c r="AJ279" s="3" t="str">
        <x:v>CF2500-2FCAD0ABF434</x:v>
      </x:c>
      <x:c r="AK279" s="3" t="str">
        <x:v>Property investor / home-buying operator prospect</x:v>
      </x:c>
      <x:c r="AL279" s="19" t="n">
        <x:v>100000</x:v>
      </x:c>
      <x:c r="AM279" s="19" t="n">
        <x:v>500000</x:v>
      </x:c>
      <x:c r="AN279" s="3" t="str">
        <x:v>https://www.cashhomebuyersdirectory.com/cash-home-buyers/texas/houston</x:v>
      </x:c>
      <x:c r="AO279" s="3" t="str">
        <x:v>tx_fl_investors.jsonl</x:v>
      </x:c>
      <x:c r="AP279" s="19"/>
    </x:row>
    <x:row r="280" ht="36" customHeight="1">
      <x:c r="A280" s="23" t="n">
        <x:v>279</x:v>
      </x:c>
      <x:c r="B280" s="15" t="str">
        <x:v>JWB Home Buyers</x:v>
      </x:c>
      <x:c r="C280" s="15"/>
      <x:c r="D280" s="15" t="str">
        <x:v>Property investor / home-buying operator</x:v>
      </x:c>
      <x:c r="E280" s="15" t="str">
        <x:v>Property investor / operator inquiry</x:v>
      </x:c>
      <x:c r="F280" s="17" t="str">
        <x:v>New</x:v>
      </x:c>
      <x:c r="G280" s="24"/>
      <x:c r="H280" s="24" t="str">
        <x:v>+19043333333</x:v>
      </x:c>
      <x:c r="I280" s="24" t="str">
        <x:v>http://jwbhomebuyers.com/</x:v>
      </x:c>
      <x:c r="J280" s="16" t="str">
        <x:v>FL</x:v>
      </x:c>
      <x:c r="K280" s="16" t="str">
        <x:v>Jacksonville</x:v>
      </x:c>
      <x:c r="L280" s="16" t="str">
        <x:v>Public property-business route; investor decision maker unconfirmed</x:v>
      </x:c>
      <x:c r="M280" s="16" t="str">
        <x:v>http://jwbhomebuyers.com/</x:v>
      </x:c>
      <x:c r="N280" s="16" t="str">
        <x:v>$100K-$500K ticket not published / unconfirmed</x:v>
      </x:c>
      <x:c r="O280" s="20"/>
      <x:c r="P280" s="20"/>
      <x:c r="Q280" s="25" t="str">
        <x:v>No $100K-$500K corporate-investment ticket published in checked source</x:v>
      </x:c>
      <x:c r="R280" s="25" t="str">
        <x:v>Property acquisition or investor activity makes this an operator-capital prospect for the signed trial. Confirm operating-company debt/equity appetite.</x:v>
      </x:c>
      <x:c r="S280" s="25" t="str">
        <x:v>Home-buying activity does not verify ability or willingness to invest $100K-$500K into 101XVC operating company. Website and contact verification pending.</x:v>
      </x:c>
      <x:c r="T280" s="25" t="str">
        <x:v>Ask the owner/investor whether they can allocate $100K-$500K to trial marketing and acquisitions, and confirm structure, timing and decision authority.</x:v>
      </x:c>
      <x:c r="U280" s="25" t="str">
        <x:v>https://www.cashhomebuyersdirectory.com/cash-home-buyers/florida/jacksonville</x:v>
      </x:c>
      <x:c r="V280" s="26" t="d">
        <x:v>2026-10-02T00:00:00.000Z</x:v>
      </x:c>
      <x:c r="W280" s="26" t="d">
        <x:v>2026-10-03T00:00:00.000Z</x:v>
      </x:c>
      <x:c r="X280" s="25" t="str">
        <x:v>Public investor directory; business role and contact ownership require qualification</x:v>
      </x:c>
      <x:c r="Y280" s="25"/>
      <x:c r="Z280" s="25" t="str">
        <x:v>https://www.cashhomebuyersdirectory.com/cash-home-buyers/florida/jacksonville</x:v>
      </x:c>
      <x:c r="AA280" s="25" t="str">
        <x:v>Public cash-home-buyer directory lists business name, phone and market. Directory entry may include brokers or service providers.</x:v>
      </x:c>
      <x:c r="AB280" s="3" t="str">
        <x:v>New public-source collection</x:v>
      </x:c>
      <x:c r="AC280" s="3" t="str">
        <x:v>unverified</x:v>
      </x:c>
      <x:c r="AD280" s="3" t="str">
        <x:v>Not contacted / unconfirmed</x:v>
      </x:c>
      <x:c r="AE280" s="3" t="str">
        <x:v>No</x:v>
      </x:c>
      <x:c r="AF280" s="3" t="str">
        <x:v>No</x:v>
      </x:c>
      <x:c r="AG280" s="3"/>
      <x:c r="AH280" s="3"/>
      <x:c r="AI280" s="18"/>
      <x:c r="AJ280" s="3" t="str">
        <x:v>CF2500-35FBC7F7FC87</x:v>
      </x:c>
      <x:c r="AK280" s="3" t="str">
        <x:v>Property investor / home-buying operator prospect</x:v>
      </x:c>
      <x:c r="AL280" s="19" t="n">
        <x:v>100000</x:v>
      </x:c>
      <x:c r="AM280" s="19" t="n">
        <x:v>500000</x:v>
      </x:c>
      <x:c r="AN280" s="3" t="str">
        <x:v>https://www.cashhomebuyersdirectory.com/cash-home-buyers/florida/jacksonville</x:v>
      </x:c>
      <x:c r="AO280" s="3" t="str">
        <x:v>tx_fl_investors.jsonl</x:v>
      </x:c>
      <x:c r="AP280" s="19"/>
    </x:row>
    <x:row r="281" ht="36" customHeight="1">
      <x:c r="A281" s="23" t="n">
        <x:v>280</x:v>
      </x:c>
      <x:c r="B281" s="15" t="str">
        <x:v>JZ Home Buyers</x:v>
      </x:c>
      <x:c r="C281" s="15"/>
      <x:c r="D281" s="15" t="str">
        <x:v>Property investor / home-buying operator</x:v>
      </x:c>
      <x:c r="E281" s="15" t="str">
        <x:v>Property investor / operator inquiry</x:v>
      </x:c>
      <x:c r="F281" s="17" t="str">
        <x:v>New</x:v>
      </x:c>
      <x:c r="G281" s="24"/>
      <x:c r="H281" s="24" t="str">
        <x:v>+18173823579</x:v>
      </x:c>
      <x:c r="I281" s="24" t="str">
        <x:v>https://www.jzhomebuyers.com/?utm_source=gbp</x:v>
      </x:c>
      <x:c r="J281" s="16" t="str">
        <x:v>TX</x:v>
      </x:c>
      <x:c r="K281" s="16" t="str">
        <x:v>Fort Worth</x:v>
      </x:c>
      <x:c r="L281" s="16" t="str">
        <x:v>Public property-business route; investor decision maker unconfirmed</x:v>
      </x:c>
      <x:c r="M281" s="16" t="str">
        <x:v>https://www.jzhomebuyers.com/?utm_source=gbp</x:v>
      </x:c>
      <x:c r="N281" s="16" t="str">
        <x:v>$100K-$500K ticket not published / unconfirmed</x:v>
      </x:c>
      <x:c r="O281" s="20"/>
      <x:c r="P281" s="20"/>
      <x:c r="Q281" s="25" t="str">
        <x:v>No $100K-$500K corporate-investment ticket published in checked source</x:v>
      </x:c>
      <x:c r="R281" s="25" t="str">
        <x:v>Property acquisition or investor activity makes this an operator-capital prospect for the signed trial. Confirm operating-company debt/equity appetite.</x:v>
      </x:c>
      <x:c r="S281" s="25" t="str">
        <x:v>Home-buying activity does not verify ability or willingness to invest $100K-$500K into 101XVC operating company. Website and contact verification pending.</x:v>
      </x:c>
      <x:c r="T281" s="25" t="str">
        <x:v>Ask the owner/investor whether they can allocate $100K-$500K to trial marketing and acquisitions, and confirm structure, timing and decision authority.</x:v>
      </x:c>
      <x:c r="U281" s="25" t="str">
        <x:v>https://www.cashhomebuyersdirectory.com/cash-home-buyers/texas/fort-worth</x:v>
      </x:c>
      <x:c r="V281" s="26" t="d">
        <x:v>2026-10-02T00:00:00.000Z</x:v>
      </x:c>
      <x:c r="W281" s="26" t="d">
        <x:v>2026-10-03T00:00:00.000Z</x:v>
      </x:c>
      <x:c r="X281" s="25" t="str">
        <x:v>Public investor directory; business role and contact ownership require qualification</x:v>
      </x:c>
      <x:c r="Y281" s="25"/>
      <x:c r="Z281" s="25" t="str">
        <x:v>https://www.cashhomebuyersdirectory.com/cash-home-buyers/texas/fort-worth</x:v>
      </x:c>
      <x:c r="AA281" s="25" t="str">
        <x:v>Public cash-home-buyer directory lists business name, phone and market. Directory entry may include brokers or service providers.</x:v>
      </x:c>
      <x:c r="AB281" s="3" t="str">
        <x:v>New public-source collection</x:v>
      </x:c>
      <x:c r="AC281" s="3" t="str">
        <x:v>unverified</x:v>
      </x:c>
      <x:c r="AD281" s="3" t="str">
        <x:v>Not contacted / unconfirmed</x:v>
      </x:c>
      <x:c r="AE281" s="3" t="str">
        <x:v>No</x:v>
      </x:c>
      <x:c r="AF281" s="3" t="str">
        <x:v>No</x:v>
      </x:c>
      <x:c r="AG281" s="3"/>
      <x:c r="AH281" s="3"/>
      <x:c r="AI281" s="18"/>
      <x:c r="AJ281" s="3" t="str">
        <x:v>CF2500-0145309FE821</x:v>
      </x:c>
      <x:c r="AK281" s="3" t="str">
        <x:v>Property investor / home-buying operator prospect</x:v>
      </x:c>
      <x:c r="AL281" s="19" t="n">
        <x:v>100000</x:v>
      </x:c>
      <x:c r="AM281" s="19" t="n">
        <x:v>500000</x:v>
      </x:c>
      <x:c r="AN281" s="3" t="str">
        <x:v>https://www.cashhomebuyersdirectory.com/cash-home-buyers/texas/fort-worth</x:v>
      </x:c>
      <x:c r="AO281" s="3" t="str">
        <x:v>tx_fl_investors.jsonl</x:v>
      </x:c>
      <x:c r="AP281" s="19"/>
    </x:row>
    <x:row r="282" ht="36" customHeight="1">
      <x:c r="A282" s="23" t="n">
        <x:v>281</x:v>
      </x:c>
      <x:c r="B282" s="15" t="str">
        <x:v>Keystone Home Buyers</x:v>
      </x:c>
      <x:c r="C282" s="15"/>
      <x:c r="D282" s="15" t="str">
        <x:v>Property investor / home-buying operator</x:v>
      </x:c>
      <x:c r="E282" s="15" t="str">
        <x:v>Property investor / operator inquiry</x:v>
      </x:c>
      <x:c r="F282" s="17" t="str">
        <x:v>New</x:v>
      </x:c>
      <x:c r="G282" s="24"/>
      <x:c r="H282" s="24" t="str">
        <x:v>+13368149336</x:v>
      </x:c>
      <x:c r="I282" s="24" t="str">
        <x:v>http://kcghomebuyers.com/</x:v>
      </x:c>
      <x:c r="J282" s="16" t="str">
        <x:v>NC</x:v>
      </x:c>
      <x:c r="K282" s="16"/>
      <x:c r="L282" s="16" t="str">
        <x:v>Public property-business route; investor decision maker unconfirmed</x:v>
      </x:c>
      <x:c r="M282" s="16" t="str">
        <x:v>http://kcghomebuyers.com/</x:v>
      </x:c>
      <x:c r="N282" s="16" t="str">
        <x:v>$100K-$500K ticket not published / unconfirmed</x:v>
      </x:c>
      <x:c r="O282" s="20"/>
      <x:c r="P282" s="20"/>
      <x:c r="Q282" s="25" t="str">
        <x:v>No $100K-$500K operating-company investment ticket verified</x:v>
      </x:c>
      <x:c r="R282" s="25" t="str">
        <x:v>Property acquisition or investor activity makes this an operator-capital prospect for the signed trial. Confirm operating-company debt/equity appetite.</x:v>
      </x:c>
      <x:c r="S282" s="25" t="str">
        <x:v>Public property-buying activity or a directory listing does not establish available cash, investing decision-maker, current $100K-$500K capacity, or willingness to fund 101XVC operating costs.</x:v>
      </x:c>
      <x:c r="T282" s="25" t="str">
        <x:v>Ask the owner/investor whether they can allocate $100K-$500K to trial marketing and acquisitions, and confirm structure, timing and decision authority.</x:v>
      </x:c>
      <x:c r="U282" s="25" t="str">
        <x:v>https://www.cashhomebuyersdirectory.com/cash-home-buyers/north-carolina/greensboro</x:v>
      </x:c>
      <x:c r="V282" s="26" t="d">
        <x:v>2026-10-02T00:00:00.000Z</x:v>
      </x:c>
      <x:c r="W282" s="26" t="d">
        <x:v>2026-10-02T00:00:00.000Z</x:v>
      </x:c>
      <x:c r="X282" s="25" t="str">
        <x:v>Public investor directory; business role and contact ownership require qualification</x:v>
      </x:c>
      <x:c r="Y282" s="25"/>
      <x:c r="Z282" s="25" t="str">
        <x:v>https://www.cashhomebuyersdirectory.com/cash-home-buyers/north-carolina/greensboro</x:v>
      </x:c>
      <x:c r="AA282" s="25" t="str">
        <x:v>Public cash-home-buyer directory lists business name, phone and market. Directory entry may include brokers or service providers.</x:v>
      </x:c>
      <x:c r="AB282" s="3" t="str">
        <x:v>New public-source collection</x:v>
      </x:c>
      <x:c r="AC282" s="3" t="str">
        <x:v>unverified</x:v>
      </x:c>
      <x:c r="AD282" s="3" t="str">
        <x:v>Not contacted / unconfirmed</x:v>
      </x:c>
      <x:c r="AE282" s="3" t="str">
        <x:v>No</x:v>
      </x:c>
      <x:c r="AF282" s="3" t="str">
        <x:v>No</x:v>
      </x:c>
      <x:c r="AG282" s="3"/>
      <x:c r="AH282" s="3"/>
      <x:c r="AI282" s="18"/>
      <x:c r="AJ282" s="3" t="str">
        <x:v>CF2500-5F1F9E359C72</x:v>
      </x:c>
      <x:c r="AK282" s="3" t="str">
        <x:v>Property investor / home-buying operator prospect</x:v>
      </x:c>
      <x:c r="AL282" s="19" t="n">
        <x:v>100000</x:v>
      </x:c>
      <x:c r="AM282" s="19" t="n">
        <x:v>500000</x:v>
      </x:c>
      <x:c r="AN282" s="3" t="str">
        <x:v>https://www.cashhomebuyersdirectory.com/cash-home-buyers/north-carolina/greensboro</x:v>
      </x:c>
      <x:c r="AO282" s="3" t="str">
        <x:v>nc_il_az_co_investors.jsonl</x:v>
      </x:c>
      <x:c r="AP282" s="19"/>
    </x:row>
    <x:row r="283" ht="36" customHeight="1">
      <x:c r="A283" s="23" t="n">
        <x:v>282</x:v>
      </x:c>
      <x:c r="B283" s="15" t="str">
        <x:v>KPH Home Buyers</x:v>
      </x:c>
      <x:c r="C283" s="15"/>
      <x:c r="D283" s="15" t="str">
        <x:v>Property investor / home-buying operator</x:v>
      </x:c>
      <x:c r="E283" s="15" t="str">
        <x:v>Property investor / operator inquiry</x:v>
      </x:c>
      <x:c r="F283" s="17" t="str">
        <x:v>New</x:v>
      </x:c>
      <x:c r="G283" s="24"/>
      <x:c r="H283" s="24" t="str">
        <x:v>+14075698430</x:v>
      </x:c>
      <x:c r="I283" s="24" t="str">
        <x:v>https://www.kphhomebuyers.com/</x:v>
      </x:c>
      <x:c r="J283" s="16" t="str">
        <x:v>FL</x:v>
      </x:c>
      <x:c r="K283" s="16" t="str">
        <x:v>Orlando</x:v>
      </x:c>
      <x:c r="L283" s="16" t="str">
        <x:v>Public property-business route; investor decision maker unconfirmed</x:v>
      </x:c>
      <x:c r="M283" s="16" t="str">
        <x:v>https://www.kphhomebuyers.com/</x:v>
      </x:c>
      <x:c r="N283" s="16" t="str">
        <x:v>$100K-$500K ticket not published / unconfirmed</x:v>
      </x:c>
      <x:c r="O283" s="20"/>
      <x:c r="P283" s="20"/>
      <x:c r="Q283" s="25" t="str">
        <x:v>No $100K-$500K corporate-investment ticket published in checked source</x:v>
      </x:c>
      <x:c r="R283" s="25" t="str">
        <x:v>Property acquisition or investor activity makes this an operator-capital prospect for the signed trial. Confirm operating-company debt/equity appetite.</x:v>
      </x:c>
      <x:c r="S283" s="25" t="str">
        <x:v>Home-buying activity does not verify ability or willingness to invest $100K-$500K into 101XVC operating company. Website and contact verification pending.</x:v>
      </x:c>
      <x:c r="T283" s="25" t="str">
        <x:v>Ask the owner/investor whether they can allocate $100K-$500K to trial marketing and acquisitions, and confirm structure, timing and decision authority.</x:v>
      </x:c>
      <x:c r="U283" s="25" t="str">
        <x:v>https://www.cashhomebuyersdirectory.com/cash-home-buyers/florida/orlando</x:v>
      </x:c>
      <x:c r="V283" s="26" t="d">
        <x:v>2026-10-02T00:00:00.000Z</x:v>
      </x:c>
      <x:c r="W283" s="26" t="d">
        <x:v>2026-10-03T00:00:00.000Z</x:v>
      </x:c>
      <x:c r="X283" s="25" t="str">
        <x:v>Public investor directory; business role and contact ownership require qualification</x:v>
      </x:c>
      <x:c r="Y283" s="25"/>
      <x:c r="Z283" s="25" t="str">
        <x:v>https://www.cashhomebuyersdirectory.com/cash-home-buyers/florida/orlando</x:v>
      </x:c>
      <x:c r="AA283" s="25" t="str">
        <x:v>Public cash-home-buyer directory lists business name, phone and market. Directory entry may include brokers or service providers.</x:v>
      </x:c>
      <x:c r="AB283" s="3" t="str">
        <x:v>New public-source collection</x:v>
      </x:c>
      <x:c r="AC283" s="3" t="str">
        <x:v>unverified</x:v>
      </x:c>
      <x:c r="AD283" s="3" t="str">
        <x:v>Not contacted / unconfirmed</x:v>
      </x:c>
      <x:c r="AE283" s="3" t="str">
        <x:v>No</x:v>
      </x:c>
      <x:c r="AF283" s="3" t="str">
        <x:v>No</x:v>
      </x:c>
      <x:c r="AG283" s="3"/>
      <x:c r="AH283" s="3"/>
      <x:c r="AI283" s="18"/>
      <x:c r="AJ283" s="3" t="str">
        <x:v>CF2500-DEC7FB8846D0</x:v>
      </x:c>
      <x:c r="AK283" s="3" t="str">
        <x:v>Property investor / home-buying operator prospect</x:v>
      </x:c>
      <x:c r="AL283" s="19" t="n">
        <x:v>100000</x:v>
      </x:c>
      <x:c r="AM283" s="19" t="n">
        <x:v>500000</x:v>
      </x:c>
      <x:c r="AN283" s="3" t="str">
        <x:v>https://www.cashhomebuyersdirectory.com/cash-home-buyers/florida/orlando</x:v>
      </x:c>
      <x:c r="AO283" s="3" t="str">
        <x:v>tx_fl_investors.jsonl</x:v>
      </x:c>
      <x:c r="AP283" s="19"/>
    </x:row>
    <x:row r="284" ht="36" customHeight="1">
      <x:c r="A284" s="23" t="n">
        <x:v>283</x:v>
      </x:c>
      <x:c r="B284" s="15" t="str">
        <x:v>KSP Home Buyers &amp; Investments</x:v>
      </x:c>
      <x:c r="C284" s="15"/>
      <x:c r="D284" s="15" t="str">
        <x:v>Property investor / home-buying operator</x:v>
      </x:c>
      <x:c r="E284" s="15" t="str">
        <x:v>Property investor / operator inquiry</x:v>
      </x:c>
      <x:c r="F284" s="17" t="str">
        <x:v>New</x:v>
      </x:c>
      <x:c r="G284" s="24"/>
      <x:c r="H284" s="24" t="str">
        <x:v>+17132508726</x:v>
      </x:c>
      <x:c r="I284" s="24" t="str">
        <x:v>https://www.ksphomebuyers.com/</x:v>
      </x:c>
      <x:c r="J284" s="16" t="str">
        <x:v>TX</x:v>
      </x:c>
      <x:c r="K284" s="16" t="str">
        <x:v>Houston</x:v>
      </x:c>
      <x:c r="L284" s="16" t="str">
        <x:v>Public property-business route; investor decision maker unconfirmed</x:v>
      </x:c>
      <x:c r="M284" s="16" t="str">
        <x:v>https://www.ksphomebuyers.com/</x:v>
      </x:c>
      <x:c r="N284" s="16" t="str">
        <x:v>$100K-$500K ticket not published / unconfirmed</x:v>
      </x:c>
      <x:c r="O284" s="20"/>
      <x:c r="P284" s="20"/>
      <x:c r="Q284" s="25" t="str">
        <x:v>No $100K-$500K corporate-investment ticket published in checked source</x:v>
      </x:c>
      <x:c r="R284" s="25" t="str">
        <x:v>Property acquisition or investor activity makes this an operator-capital prospect for the signed trial. Confirm operating-company debt/equity appetite.</x:v>
      </x:c>
      <x:c r="S284" s="25" t="str">
        <x:v>Home-buying activity does not verify ability or willingness to invest $100K-$500K into 101XVC operating company. Website and contact verification pending.</x:v>
      </x:c>
      <x:c r="T284" s="25" t="str">
        <x:v>Ask the owner/investor whether they can allocate $100K-$500K to trial marketing and acquisitions, and confirm structure, timing and decision authority.</x:v>
      </x:c>
      <x:c r="U284" s="25" t="str">
        <x:v>https://www.cashhomebuyersdirectory.com/cash-home-buyers/texas/houston</x:v>
      </x:c>
      <x:c r="V284" s="26" t="d">
        <x:v>2026-10-02T00:00:00.000Z</x:v>
      </x:c>
      <x:c r="W284" s="26" t="d">
        <x:v>2026-10-03T00:00:00.000Z</x:v>
      </x:c>
      <x:c r="X284" s="25" t="str">
        <x:v>Public investor directory; business role and contact ownership require qualification</x:v>
      </x:c>
      <x:c r="Y284" s="25"/>
      <x:c r="Z284" s="25" t="str">
        <x:v>https://www.cashhomebuyersdirectory.com/cash-home-buyers/texas/houston</x:v>
      </x:c>
      <x:c r="AA284" s="25" t="str">
        <x:v>Public cash-home-buyer directory lists business name, phone and market. Directory entry may include brokers or service providers.</x:v>
      </x:c>
      <x:c r="AB284" s="3" t="str">
        <x:v>New public-source collection</x:v>
      </x:c>
      <x:c r="AC284" s="3" t="str">
        <x:v>unverified</x:v>
      </x:c>
      <x:c r="AD284" s="3" t="str">
        <x:v>Not contacted / unconfirmed</x:v>
      </x:c>
      <x:c r="AE284" s="3" t="str">
        <x:v>No</x:v>
      </x:c>
      <x:c r="AF284" s="3" t="str">
        <x:v>No</x:v>
      </x:c>
      <x:c r="AG284" s="3"/>
      <x:c r="AH284" s="3"/>
      <x:c r="AI284" s="18"/>
      <x:c r="AJ284" s="3" t="str">
        <x:v>CF2500-D1A0442251BC</x:v>
      </x:c>
      <x:c r="AK284" s="3" t="str">
        <x:v>Property investor / home-buying operator prospect</x:v>
      </x:c>
      <x:c r="AL284" s="19" t="n">
        <x:v>100000</x:v>
      </x:c>
      <x:c r="AM284" s="19" t="n">
        <x:v>500000</x:v>
      </x:c>
      <x:c r="AN284" s="3" t="str">
        <x:v>https://www.cashhomebuyersdirectory.com/cash-home-buyers/texas/houston</x:v>
      </x:c>
      <x:c r="AO284" s="3" t="str">
        <x:v>tx_fl_investors.jsonl</x:v>
      </x:c>
      <x:c r="AP284" s="19"/>
    </x:row>
    <x:row r="285" ht="36" customHeight="1">
      <x:c r="A285" s="23" t="n">
        <x:v>284</x:v>
      </x:c>
      <x:c r="B285" s="15" t="str">
        <x:v>Lakeland Property Buyers</x:v>
      </x:c>
      <x:c r="C285" s="15"/>
      <x:c r="D285" s="15" t="str">
        <x:v>Property investor / home-buying operator</x:v>
      </x:c>
      <x:c r="E285" s="15" t="str">
        <x:v>Property investor / operator inquiry</x:v>
      </x:c>
      <x:c r="F285" s="17" t="str">
        <x:v>New</x:v>
      </x:c>
      <x:c r="G285" s="24"/>
      <x:c r="H285" s="24" t="str">
        <x:v>+18636068081</x:v>
      </x:c>
      <x:c r="I285" s="24" t="str">
        <x:v>https://www.lakelandpropertybuyers.com/</x:v>
      </x:c>
      <x:c r="J285" s="16" t="str">
        <x:v>FL</x:v>
      </x:c>
      <x:c r="K285" s="16"/>
      <x:c r="L285" s="16" t="str">
        <x:v>Public property-business route; investor decision maker unconfirmed</x:v>
      </x:c>
      <x:c r="M285" s="16" t="str">
        <x:v>https://www.lakelandpropertybuyers.com/</x:v>
      </x:c>
      <x:c r="N285" s="16" t="str">
        <x:v>$100K-$500K ticket not published / unconfirmed</x:v>
      </x:c>
      <x:c r="O285" s="20"/>
      <x:c r="P285" s="20"/>
      <x:c r="Q285" s="25" t="str">
        <x:v>No $100K-$500K corporate-investment ticket published in checked source</x:v>
      </x:c>
      <x:c r="R285" s="25" t="str">
        <x:v>Property acquisition or investor activity makes this an operator-capital prospect for the signed trial. Confirm operating-company debt/equity appetite.</x:v>
      </x:c>
      <x:c r="S285" s="25" t="str">
        <x:v>Home-buying activity does not verify ability or willingness to invest $100K-$500K into 101XVC operating company. Website and contact verification pending.</x:v>
      </x:c>
      <x:c r="T285" s="25" t="str">
        <x:v>Ask the owner/investor whether they can allocate $100K-$500K to trial marketing and acquisitions, and confirm structure, timing and decision authority.</x:v>
      </x:c>
      <x:c r="U285" s="25" t="str">
        <x:v>https://www.cashhomebuyersdirectory.com/cash-home-buyers/florida/lakeland</x:v>
      </x:c>
      <x:c r="V285" s="26" t="d">
        <x:v>2026-10-02T00:00:00.000Z</x:v>
      </x:c>
      <x:c r="W285" s="26" t="d">
        <x:v>2026-10-03T00:00:00.000Z</x:v>
      </x:c>
      <x:c r="X285" s="25" t="str">
        <x:v>Public investor directory; business role and contact ownership require qualification</x:v>
      </x:c>
      <x:c r="Y285" s="25"/>
      <x:c r="Z285" s="25" t="str">
        <x:v>https://www.cashhomebuyersdirectory.com/cash-home-buyers/florida/lakeland</x:v>
      </x:c>
      <x:c r="AA285" s="25" t="str">
        <x:v>Public cash-home-buyer directory lists business name, phone and market. Directory entry may include brokers or service providers.</x:v>
      </x:c>
      <x:c r="AB285" s="3" t="str">
        <x:v>New public-source collection</x:v>
      </x:c>
      <x:c r="AC285" s="3" t="str">
        <x:v>unverified</x:v>
      </x:c>
      <x:c r="AD285" s="3" t="str">
        <x:v>Not contacted / unconfirmed</x:v>
      </x:c>
      <x:c r="AE285" s="3" t="str">
        <x:v>No</x:v>
      </x:c>
      <x:c r="AF285" s="3" t="str">
        <x:v>No</x:v>
      </x:c>
      <x:c r="AG285" s="3"/>
      <x:c r="AH285" s="3"/>
      <x:c r="AI285" s="18"/>
      <x:c r="AJ285" s="3" t="str">
        <x:v>CF2500-571D0DAB35C2</x:v>
      </x:c>
      <x:c r="AK285" s="3" t="str">
        <x:v>Property investor / home-buying operator prospect</x:v>
      </x:c>
      <x:c r="AL285" s="19" t="n">
        <x:v>100000</x:v>
      </x:c>
      <x:c r="AM285" s="19" t="n">
        <x:v>500000</x:v>
      </x:c>
      <x:c r="AN285" s="3" t="str">
        <x:v>https://www.cashhomebuyersdirectory.com/cash-home-buyers/florida/lakeland</x:v>
      </x:c>
      <x:c r="AO285" s="3" t="str">
        <x:v>tx_fl_investors.jsonl</x:v>
      </x:c>
      <x:c r="AP285" s="19"/>
    </x:row>
    <x:row r="286" ht="36" customHeight="1">
      <x:c r="A286" s="23" t="n">
        <x:v>285</x:v>
      </x:c>
      <x:c r="B286" s="15" t="str">
        <x:v>Lenny Home Buyer</x:v>
      </x:c>
      <x:c r="C286" s="15"/>
      <x:c r="D286" s="15" t="str">
        <x:v>Property investor / home-buying operator</x:v>
      </x:c>
      <x:c r="E286" s="15" t="str">
        <x:v>Property investor / operator inquiry</x:v>
      </x:c>
      <x:c r="F286" s="17" t="str">
        <x:v>New</x:v>
      </x:c>
      <x:c r="G286" s="24"/>
      <x:c r="H286" s="24" t="str">
        <x:v>+19192301422</x:v>
      </x:c>
      <x:c r="I286" s="24" t="str">
        <x:v>http://www.lennyhomebuyer.com/</x:v>
      </x:c>
      <x:c r="J286" s="16" t="str">
        <x:v>NC</x:v>
      </x:c>
      <x:c r="K286" s="16" t="str">
        <x:v>Raleigh</x:v>
      </x:c>
      <x:c r="L286" s="16" t="str">
        <x:v>Public property-business route; investor decision maker unconfirmed</x:v>
      </x:c>
      <x:c r="M286" s="16" t="str">
        <x:v>http://www.lennyhomebuyer.com/</x:v>
      </x:c>
      <x:c r="N286" s="16" t="str">
        <x:v>$100K-$500K ticket not published / unconfirmed</x:v>
      </x:c>
      <x:c r="O286" s="20"/>
      <x:c r="P286" s="20"/>
      <x:c r="Q286" s="25" t="str">
        <x:v>No $100K-$500K operating-company investment ticket verified</x:v>
      </x:c>
      <x:c r="R286" s="25" t="str">
        <x:v>Property acquisition or investor activity makes this an operator-capital prospect for the signed trial. Confirm operating-company debt/equity appetite.</x:v>
      </x:c>
      <x:c r="S286" s="25" t="str">
        <x:v>Public property-buying activity or a directory listing does not establish available cash, investing decision-maker, current $100K-$500K capacity, or willingness to fund 101XVC operating costs.</x:v>
      </x:c>
      <x:c r="T286" s="25" t="str">
        <x:v>Ask the owner/investor whether they can allocate $100K-$500K to trial marketing and acquisitions, and confirm structure, timing and decision authority.</x:v>
      </x:c>
      <x:c r="U286" s="25" t="str">
        <x:v>https://www.cashhomebuyersdirectory.com/cash-home-buyers/north-carolina/raleigh</x:v>
      </x:c>
      <x:c r="V286" s="26" t="d">
        <x:v>2026-10-02T00:00:00.000Z</x:v>
      </x:c>
      <x:c r="W286" s="26" t="d">
        <x:v>2026-10-02T00:00:00.000Z</x:v>
      </x:c>
      <x:c r="X286" s="25" t="str">
        <x:v>Public investor directory; business role and contact ownership require qualification</x:v>
      </x:c>
      <x:c r="Y286" s="25"/>
      <x:c r="Z286" s="25" t="str">
        <x:v>https://www.cashhomebuyersdirectory.com/cash-home-buyers/north-carolina/raleigh</x:v>
      </x:c>
      <x:c r="AA286" s="25" t="str">
        <x:v>Public cash-home-buyer directory lists business name, phone and market. Directory entry may include brokers or service providers.</x:v>
      </x:c>
      <x:c r="AB286" s="3" t="str">
        <x:v>New public-source collection</x:v>
      </x:c>
      <x:c r="AC286" s="3" t="str">
        <x:v>unverified</x:v>
      </x:c>
      <x:c r="AD286" s="3" t="str">
        <x:v>Not contacted / unconfirmed</x:v>
      </x:c>
      <x:c r="AE286" s="3" t="str">
        <x:v>No</x:v>
      </x:c>
      <x:c r="AF286" s="3" t="str">
        <x:v>No</x:v>
      </x:c>
      <x:c r="AG286" s="3"/>
      <x:c r="AH286" s="3"/>
      <x:c r="AI286" s="18"/>
      <x:c r="AJ286" s="3" t="str">
        <x:v>CF2500-51ACE911EB0B</x:v>
      </x:c>
      <x:c r="AK286" s="3" t="str">
        <x:v>Property investor / home-buying operator prospect</x:v>
      </x:c>
      <x:c r="AL286" s="19" t="n">
        <x:v>100000</x:v>
      </x:c>
      <x:c r="AM286" s="19" t="n">
        <x:v>500000</x:v>
      </x:c>
      <x:c r="AN286" s="3" t="str">
        <x:v>https://www.cashhomebuyersdirectory.com/cash-home-buyers/north-carolina/raleigh</x:v>
      </x:c>
      <x:c r="AO286" s="3" t="str">
        <x:v>nc_il_az_co_investors.jsonl</x:v>
      </x:c>
      <x:c r="AP286" s="19"/>
    </x:row>
    <x:row r="287" ht="36" customHeight="1">
      <x:c r="A287" s="23" t="n">
        <x:v>286</x:v>
      </x:c>
      <x:c r="B287" s="15" t="str">
        <x:v>Level Cash Home Offers - We Buy Houses In El Paso</x:v>
      </x:c>
      <x:c r="C287" s="15"/>
      <x:c r="D287" s="15" t="str">
        <x:v>Property investor / home-buying operator</x:v>
      </x:c>
      <x:c r="E287" s="15" t="str">
        <x:v>Property investor / operator inquiry</x:v>
      </x:c>
      <x:c r="F287" s="17" t="str">
        <x:v>New</x:v>
      </x:c>
      <x:c r="G287" s="24"/>
      <x:c r="H287" s="24" t="str">
        <x:v>+19152283314</x:v>
      </x:c>
      <x:c r="I287" s="24" t="str">
        <x:v>https://www.elpasowebuyhouses.com/</x:v>
      </x:c>
      <x:c r="J287" s="16" t="str">
        <x:v>TX</x:v>
      </x:c>
      <x:c r="K287" s="16" t="str">
        <x:v>El Paso</x:v>
      </x:c>
      <x:c r="L287" s="16" t="str">
        <x:v>Public property-business route; investor decision maker unconfirmed</x:v>
      </x:c>
      <x:c r="M287" s="16" t="str">
        <x:v>https://www.elpasowebuyhouses.com/</x:v>
      </x:c>
      <x:c r="N287" s="16" t="str">
        <x:v>$100K-$500K ticket not published / unconfirmed</x:v>
      </x:c>
      <x:c r="O287" s="20"/>
      <x:c r="P287" s="20"/>
      <x:c r="Q287" s="25" t="str">
        <x:v>No $100K-$500K corporate-investment ticket published in checked source</x:v>
      </x:c>
      <x:c r="R287" s="25" t="str">
        <x:v>Property acquisition or investor activity makes this an operator-capital prospect for the signed trial. Confirm operating-company debt/equity appetite.</x:v>
      </x:c>
      <x:c r="S287" s="25" t="str">
        <x:v>Home-buying activity does not verify ability or willingness to invest $100K-$500K into 101XVC operating company. Website and contact verification pending.</x:v>
      </x:c>
      <x:c r="T287" s="25" t="str">
        <x:v>Ask the owner/investor whether they can allocate $100K-$500K to trial marketing and acquisitions, and confirm structure, timing and decision authority.</x:v>
      </x:c>
      <x:c r="U287" s="25" t="str">
        <x:v>https://www.cashhomebuyersdirectory.com/cash-home-buyers/texas/el-paso</x:v>
      </x:c>
      <x:c r="V287" s="26" t="d">
        <x:v>2026-10-02T00:00:00.000Z</x:v>
      </x:c>
      <x:c r="W287" s="26" t="d">
        <x:v>2026-10-03T00:00:00.000Z</x:v>
      </x:c>
      <x:c r="X287" s="25" t="str">
        <x:v>Public investor directory; business role and contact ownership require qualification</x:v>
      </x:c>
      <x:c r="Y287" s="25"/>
      <x:c r="Z287" s="25" t="str">
        <x:v>https://www.cashhomebuyersdirectory.com/cash-home-buyers/texas/el-paso</x:v>
      </x:c>
      <x:c r="AA287" s="25" t="str">
        <x:v>Public cash-home-buyer directory lists business name, phone and market. Directory entry may include brokers or service providers.</x:v>
      </x:c>
      <x:c r="AB287" s="3" t="str">
        <x:v>New public-source collection</x:v>
      </x:c>
      <x:c r="AC287" s="3" t="str">
        <x:v>unverified</x:v>
      </x:c>
      <x:c r="AD287" s="3" t="str">
        <x:v>Not contacted / unconfirmed</x:v>
      </x:c>
      <x:c r="AE287" s="3" t="str">
        <x:v>No</x:v>
      </x:c>
      <x:c r="AF287" s="3" t="str">
        <x:v>No</x:v>
      </x:c>
      <x:c r="AG287" s="3"/>
      <x:c r="AH287" s="3"/>
      <x:c r="AI287" s="18"/>
      <x:c r="AJ287" s="3" t="str">
        <x:v>CF2500-BDB53790D570</x:v>
      </x:c>
      <x:c r="AK287" s="3" t="str">
        <x:v>Property investor / home-buying operator prospect</x:v>
      </x:c>
      <x:c r="AL287" s="19" t="n">
        <x:v>100000</x:v>
      </x:c>
      <x:c r="AM287" s="19" t="n">
        <x:v>500000</x:v>
      </x:c>
      <x:c r="AN287" s="3" t="str">
        <x:v>https://www.cashhomebuyersdirectory.com/cash-home-buyers/texas/el-paso</x:v>
      </x:c>
      <x:c r="AO287" s="3" t="str">
        <x:v>tx_fl_investors.jsonl</x:v>
      </x:c>
      <x:c r="AP287" s="19"/>
    </x:row>
    <x:row r="288" ht="36" customHeight="1">
      <x:c r="A288" s="23" t="n">
        <x:v>287</x:v>
      </x:c>
      <x:c r="B288" s="15" t="str">
        <x:v>Liberty Home Buyers</x:v>
      </x:c>
      <x:c r="C288" s="15"/>
      <x:c r="D288" s="15" t="str">
        <x:v>Property investor / home-buying operator</x:v>
      </x:c>
      <x:c r="E288" s="15" t="str">
        <x:v>Property investor / operator inquiry</x:v>
      </x:c>
      <x:c r="F288" s="17" t="str">
        <x:v>New</x:v>
      </x:c>
      <x:c r="G288" s="24"/>
      <x:c r="H288" s="24" t="str">
        <x:v>+15129619943</x:v>
      </x:c>
      <x:c r="I288" s="24" t="str">
        <x:v>https://libertyhomebuyerstx.com/</x:v>
      </x:c>
      <x:c r="J288" s="16" t="str">
        <x:v>TX</x:v>
      </x:c>
      <x:c r="K288" s="16" t="str">
        <x:v>Killeen</x:v>
      </x:c>
      <x:c r="L288" s="16" t="str">
        <x:v>Public property-business route; investor decision maker unconfirmed</x:v>
      </x:c>
      <x:c r="M288" s="16" t="str">
        <x:v>https://libertyhomebuyerstx.com/</x:v>
      </x:c>
      <x:c r="N288" s="16" t="str">
        <x:v>$100K-$500K ticket not published / unconfirmed</x:v>
      </x:c>
      <x:c r="O288" s="20"/>
      <x:c r="P288" s="20"/>
      <x:c r="Q288" s="25" t="str">
        <x:v>No $100K-$500K corporate-investment ticket published in checked source</x:v>
      </x:c>
      <x:c r="R288" s="25" t="str">
        <x:v>Property acquisition or investor activity makes this an operator-capital prospect for the signed trial. Confirm operating-company debt/equity appetite.</x:v>
      </x:c>
      <x:c r="S288" s="25" t="str">
        <x:v>Home-buying activity does not verify ability or willingness to invest $100K-$500K into 101XVC operating company. Website and contact verification pending.</x:v>
      </x:c>
      <x:c r="T288" s="25" t="str">
        <x:v>Ask the owner/investor whether they can allocate $100K-$500K to trial marketing and acquisitions, and confirm structure, timing and decision authority.</x:v>
      </x:c>
      <x:c r="U288" s="25" t="str">
        <x:v>https://www.cashhomebuyersdirectory.com/cash-home-buyers/texas/killeen</x:v>
      </x:c>
      <x:c r="V288" s="26" t="d">
        <x:v>2026-10-02T00:00:00.000Z</x:v>
      </x:c>
      <x:c r="W288" s="26" t="d">
        <x:v>2026-10-03T00:00:00.000Z</x:v>
      </x:c>
      <x:c r="X288" s="25" t="str">
        <x:v>Public investor directory; business role and contact ownership require qualification</x:v>
      </x:c>
      <x:c r="Y288" s="25"/>
      <x:c r="Z288" s="25" t="str">
        <x:v>https://www.cashhomebuyersdirectory.com/cash-home-buyers/texas/killeen</x:v>
      </x:c>
      <x:c r="AA288" s="25" t="str">
        <x:v>Public cash-home-buyer directory lists business name, phone and market. Directory entry may include brokers or service providers.</x:v>
      </x:c>
      <x:c r="AB288" s="3" t="str">
        <x:v>New public-source collection</x:v>
      </x:c>
      <x:c r="AC288" s="3" t="str">
        <x:v>unverified</x:v>
      </x:c>
      <x:c r="AD288" s="3" t="str">
        <x:v>Not contacted / unconfirmed</x:v>
      </x:c>
      <x:c r="AE288" s="3" t="str">
        <x:v>No</x:v>
      </x:c>
      <x:c r="AF288" s="3" t="str">
        <x:v>No</x:v>
      </x:c>
      <x:c r="AG288" s="3"/>
      <x:c r="AH288" s="3"/>
      <x:c r="AI288" s="18"/>
      <x:c r="AJ288" s="3" t="str">
        <x:v>CF2500-07E00EE2DE1A</x:v>
      </x:c>
      <x:c r="AK288" s="3" t="str">
        <x:v>Property investor / home-buying operator prospect</x:v>
      </x:c>
      <x:c r="AL288" s="19" t="n">
        <x:v>100000</x:v>
      </x:c>
      <x:c r="AM288" s="19" t="n">
        <x:v>500000</x:v>
      </x:c>
      <x:c r="AN288" s="3" t="str">
        <x:v>https://www.cashhomebuyersdirectory.com/cash-home-buyers/texas/killeen</x:v>
      </x:c>
      <x:c r="AO288" s="3" t="str">
        <x:v>tx_fl_investors.jsonl</x:v>
      </x:c>
      <x:c r="AP288" s="19"/>
    </x:row>
    <x:row r="289" ht="36" customHeight="1">
      <x:c r="A289" s="23" t="n">
        <x:v>288</x:v>
      </x:c>
      <x:c r="B289" s="15" t="str">
        <x:v>Lone Star Cash Homes</x:v>
      </x:c>
      <x:c r="C289" s="15"/>
      <x:c r="D289" s="15" t="str">
        <x:v>Property investor / home-buying operator</x:v>
      </x:c>
      <x:c r="E289" s="15" t="str">
        <x:v>Property investor / operator inquiry</x:v>
      </x:c>
      <x:c r="F289" s="17" t="str">
        <x:v>New</x:v>
      </x:c>
      <x:c r="G289" s="24"/>
      <x:c r="H289" s="24" t="str">
        <x:v>+14327772753</x:v>
      </x:c>
      <x:c r="I289" s="24" t="str">
        <x:v>https://www.lonestarcashhomes.com/</x:v>
      </x:c>
      <x:c r="J289" s="16" t="str">
        <x:v>TX</x:v>
      </x:c>
      <x:c r="K289" s="16" t="str">
        <x:v>Midland</x:v>
      </x:c>
      <x:c r="L289" s="16" t="str">
        <x:v>Public property-business route; investor decision maker unconfirmed</x:v>
      </x:c>
      <x:c r="M289" s="16" t="str">
        <x:v>https://www.lonestarcashhomes.com/</x:v>
      </x:c>
      <x:c r="N289" s="16" t="str">
        <x:v>$100K-$500K ticket not published / unconfirmed</x:v>
      </x:c>
      <x:c r="O289" s="20"/>
      <x:c r="P289" s="20"/>
      <x:c r="Q289" s="25" t="str">
        <x:v>No $100K-$500K corporate-investment ticket published in checked source</x:v>
      </x:c>
      <x:c r="R289" s="25" t="str">
        <x:v>Property acquisition or investor activity makes this an operator-capital prospect for the signed trial. Confirm operating-company debt/equity appetite.</x:v>
      </x:c>
      <x:c r="S289" s="25" t="str">
        <x:v>Home-buying activity does not verify ability or willingness to invest $100K-$500K into 101XVC operating company. Website and contact verification pending.</x:v>
      </x:c>
      <x:c r="T289" s="25" t="str">
        <x:v>Ask the owner/investor whether they can allocate $100K-$500K to trial marketing and acquisitions, and confirm structure, timing and decision authority.</x:v>
      </x:c>
      <x:c r="U289" s="25" t="str">
        <x:v>https://www.cashhomebuyersdirectory.com/cash-home-buyers/texas/midland</x:v>
      </x:c>
      <x:c r="V289" s="26" t="d">
        <x:v>2026-10-02T00:00:00.000Z</x:v>
      </x:c>
      <x:c r="W289" s="26" t="d">
        <x:v>2026-10-03T00:00:00.000Z</x:v>
      </x:c>
      <x:c r="X289" s="25" t="str">
        <x:v>Public investor directory; business role and contact ownership require qualification</x:v>
      </x:c>
      <x:c r="Y289" s="25"/>
      <x:c r="Z289" s="25" t="str">
        <x:v>https://www.cashhomebuyersdirectory.com/cash-home-buyers/texas/midland</x:v>
      </x:c>
      <x:c r="AA289" s="25" t="str">
        <x:v>Public cash-home-buyer directory lists business name, phone and market. Directory entry may include brokers or service providers.</x:v>
      </x:c>
      <x:c r="AB289" s="3" t="str">
        <x:v>New public-source collection</x:v>
      </x:c>
      <x:c r="AC289" s="3" t="str">
        <x:v>unverified</x:v>
      </x:c>
      <x:c r="AD289" s="3" t="str">
        <x:v>Not contacted / unconfirmed</x:v>
      </x:c>
      <x:c r="AE289" s="3" t="str">
        <x:v>No</x:v>
      </x:c>
      <x:c r="AF289" s="3" t="str">
        <x:v>No</x:v>
      </x:c>
      <x:c r="AG289" s="3"/>
      <x:c r="AH289" s="3"/>
      <x:c r="AI289" s="18"/>
      <x:c r="AJ289" s="3" t="str">
        <x:v>CF2500-1C2F87BB4A94</x:v>
      </x:c>
      <x:c r="AK289" s="3" t="str">
        <x:v>Property investor / home-buying operator prospect</x:v>
      </x:c>
      <x:c r="AL289" s="19" t="n">
        <x:v>100000</x:v>
      </x:c>
      <x:c r="AM289" s="19" t="n">
        <x:v>500000</x:v>
      </x:c>
      <x:c r="AN289" s="3" t="str">
        <x:v>https://www.cashhomebuyersdirectory.com/cash-home-buyers/texas/midland</x:v>
      </x:c>
      <x:c r="AO289" s="3" t="str">
        <x:v>tx_fl_investors.jsonl</x:v>
      </x:c>
      <x:c r="AP289" s="19"/>
    </x:row>
    <x:row r="290" ht="36" customHeight="1">
      <x:c r="A290" s="23" t="n">
        <x:v>289</x:v>
      </x:c>
      <x:c r="B290" s="15" t="str">
        <x:v>lubbock home buyers</x:v>
      </x:c>
      <x:c r="C290" s="15"/>
      <x:c r="D290" s="15" t="str">
        <x:v>Property investor / home-buying operator</x:v>
      </x:c>
      <x:c r="E290" s="15" t="str">
        <x:v>Property investor / operator inquiry</x:v>
      </x:c>
      <x:c r="F290" s="17" t="str">
        <x:v>New</x:v>
      </x:c>
      <x:c r="G290" s="24"/>
      <x:c r="H290" s="24" t="str">
        <x:v>+18065776722</x:v>
      </x:c>
      <x:c r="I290" s="24" t="str">
        <x:v>http://www.lubbockhomebuyers.com/contact-us</x:v>
      </x:c>
      <x:c r="J290" s="16" t="str">
        <x:v>TX</x:v>
      </x:c>
      <x:c r="K290" s="16" t="str">
        <x:v>Lubbock</x:v>
      </x:c>
      <x:c r="L290" s="16" t="str">
        <x:v>Public property-business route; investor decision maker unconfirmed</x:v>
      </x:c>
      <x:c r="M290" s="16" t="str">
        <x:v>http://www.lubbockhomebuyers.com/contact-us</x:v>
      </x:c>
      <x:c r="N290" s="16" t="str">
        <x:v>$100K-$500K ticket not published / unconfirmed</x:v>
      </x:c>
      <x:c r="O290" s="20"/>
      <x:c r="P290" s="20"/>
      <x:c r="Q290" s="25" t="str">
        <x:v>No $100K-$500K corporate-investment ticket published in checked source</x:v>
      </x:c>
      <x:c r="R290" s="25" t="str">
        <x:v>Property acquisition or investor activity makes this an operator-capital prospect for the signed trial. Confirm operating-company debt/equity appetite.</x:v>
      </x:c>
      <x:c r="S290" s="25" t="str">
        <x:v>Home-buying activity does not verify ability or willingness to invest $100K-$500K into 101XVC operating company. Website and contact verification pending.</x:v>
      </x:c>
      <x:c r="T290" s="25" t="str">
        <x:v>Ask the owner/investor whether they can allocate $100K-$500K to trial marketing and acquisitions, and confirm structure, timing and decision authority.</x:v>
      </x:c>
      <x:c r="U290" s="25" t="str">
        <x:v>https://www.cashhomebuyersdirectory.com/cash-home-buyers/texas/lubbock</x:v>
      </x:c>
      <x:c r="V290" s="26" t="d">
        <x:v>2026-10-02T00:00:00.000Z</x:v>
      </x:c>
      <x:c r="W290" s="26" t="d">
        <x:v>2026-10-03T00:00:00.000Z</x:v>
      </x:c>
      <x:c r="X290" s="25" t="str">
        <x:v>Public investor directory; business role and contact ownership require qualification</x:v>
      </x:c>
      <x:c r="Y290" s="25"/>
      <x:c r="Z290" s="25" t="str">
        <x:v>https://www.cashhomebuyersdirectory.com/cash-home-buyers/texas/lubbock</x:v>
      </x:c>
      <x:c r="AA290" s="25" t="str">
        <x:v>Public cash-home-buyer directory lists business name, phone and market. Directory entry may include brokers or service providers.</x:v>
      </x:c>
      <x:c r="AB290" s="3" t="str">
        <x:v>New public-source collection</x:v>
      </x:c>
      <x:c r="AC290" s="3" t="str">
        <x:v>unverified</x:v>
      </x:c>
      <x:c r="AD290" s="3" t="str">
        <x:v>Not contacted / unconfirmed</x:v>
      </x:c>
      <x:c r="AE290" s="3" t="str">
        <x:v>No</x:v>
      </x:c>
      <x:c r="AF290" s="3" t="str">
        <x:v>No</x:v>
      </x:c>
      <x:c r="AG290" s="3"/>
      <x:c r="AH290" s="3"/>
      <x:c r="AI290" s="18"/>
      <x:c r="AJ290" s="3" t="str">
        <x:v>CF2500-E6C5612B06B6</x:v>
      </x:c>
      <x:c r="AK290" s="3" t="str">
        <x:v>Property investor / home-buying operator prospect</x:v>
      </x:c>
      <x:c r="AL290" s="19" t="n">
        <x:v>100000</x:v>
      </x:c>
      <x:c r="AM290" s="19" t="n">
        <x:v>500000</x:v>
      </x:c>
      <x:c r="AN290" s="3" t="str">
        <x:v>https://www.cashhomebuyersdirectory.com/cash-home-buyers/texas/lubbock</x:v>
      </x:c>
      <x:c r="AO290" s="3" t="str">
        <x:v>tx_fl_investors.jsonl</x:v>
      </x:c>
      <x:c r="AP290" s="19"/>
    </x:row>
    <x:row r="291" ht="36" customHeight="1">
      <x:c r="A291" s="23" t="n">
        <x:v>290</x:v>
      </x:c>
      <x:c r="B291" s="15" t="str">
        <x:v>Lynk Home Buyers</x:v>
      </x:c>
      <x:c r="C291" s="15"/>
      <x:c r="D291" s="15" t="str">
        <x:v>Property investor / home-buying operator</x:v>
      </x:c>
      <x:c r="E291" s="15" t="str">
        <x:v>Property investor / operator inquiry</x:v>
      </x:c>
      <x:c r="F291" s="17" t="str">
        <x:v>New</x:v>
      </x:c>
      <x:c r="G291" s="24"/>
      <x:c r="H291" s="24" t="str">
        <x:v>+12815335555</x:v>
      </x:c>
      <x:c r="I291" s="24" t="str">
        <x:v>http://www.cashofferforhouse.org/</x:v>
      </x:c>
      <x:c r="J291" s="16" t="str">
        <x:v>TX</x:v>
      </x:c>
      <x:c r="K291" s="16" t="str">
        <x:v>Houston</x:v>
      </x:c>
      <x:c r="L291" s="16" t="str">
        <x:v>Public property-business route; investor decision maker unconfirmed</x:v>
      </x:c>
      <x:c r="M291" s="16" t="str">
        <x:v>http://www.cashofferforhouse.org/</x:v>
      </x:c>
      <x:c r="N291" s="16" t="str">
        <x:v>$100K-$500K ticket not published / unconfirmed</x:v>
      </x:c>
      <x:c r="O291" s="20"/>
      <x:c r="P291" s="20"/>
      <x:c r="Q291" s="25" t="str">
        <x:v>No $100K-$500K corporate-investment ticket published in checked source</x:v>
      </x:c>
      <x:c r="R291" s="25" t="str">
        <x:v>Property acquisition or investor activity makes this an operator-capital prospect for the signed trial. Confirm operating-company debt/equity appetite.</x:v>
      </x:c>
      <x:c r="S291" s="25" t="str">
        <x:v>Home-buying activity does not verify ability or willingness to invest $100K-$500K into 101XVC operating company. Website and contact verification pending.</x:v>
      </x:c>
      <x:c r="T291" s="25" t="str">
        <x:v>Ask the owner/investor whether they can allocate $100K-$500K to trial marketing and acquisitions, and confirm structure, timing and decision authority.</x:v>
      </x:c>
      <x:c r="U291" s="25" t="str">
        <x:v>https://www.cashhomebuyersdirectory.com/cash-home-buyers/texas/houston</x:v>
      </x:c>
      <x:c r="V291" s="26" t="d">
        <x:v>2026-10-02T00:00:00.000Z</x:v>
      </x:c>
      <x:c r="W291" s="26" t="d">
        <x:v>2026-10-03T00:00:00.000Z</x:v>
      </x:c>
      <x:c r="X291" s="25" t="str">
        <x:v>Public investor directory; business role and contact ownership require qualification</x:v>
      </x:c>
      <x:c r="Y291" s="25"/>
      <x:c r="Z291" s="25" t="str">
        <x:v>https://www.cashhomebuyersdirectory.com/cash-home-buyers/texas/houston</x:v>
      </x:c>
      <x:c r="AA291" s="25" t="str">
        <x:v>Public cash-home-buyer directory lists business name, phone and market. Directory entry may include brokers or service providers.</x:v>
      </x:c>
      <x:c r="AB291" s="3" t="str">
        <x:v>New public-source collection</x:v>
      </x:c>
      <x:c r="AC291" s="3" t="str">
        <x:v>unverified</x:v>
      </x:c>
      <x:c r="AD291" s="3" t="str">
        <x:v>Not contacted / unconfirmed</x:v>
      </x:c>
      <x:c r="AE291" s="3" t="str">
        <x:v>No</x:v>
      </x:c>
      <x:c r="AF291" s="3" t="str">
        <x:v>No</x:v>
      </x:c>
      <x:c r="AG291" s="3"/>
      <x:c r="AH291" s="3"/>
      <x:c r="AI291" s="18"/>
      <x:c r="AJ291" s="3" t="str">
        <x:v>CF2500-03561FD67E3A</x:v>
      </x:c>
      <x:c r="AK291" s="3" t="str">
        <x:v>Property investor / home-buying operator prospect</x:v>
      </x:c>
      <x:c r="AL291" s="19" t="n">
        <x:v>100000</x:v>
      </x:c>
      <x:c r="AM291" s="19" t="n">
        <x:v>500000</x:v>
      </x:c>
      <x:c r="AN291" s="3" t="str">
        <x:v>https://www.cashhomebuyersdirectory.com/cash-home-buyers/texas/houston</x:v>
      </x:c>
      <x:c r="AO291" s="3" t="str">
        <x:v>tx_fl_investors.jsonl</x:v>
      </x:c>
      <x:c r="AP291" s="19"/>
    </x:row>
    <x:row r="292" ht="36" customHeight="1">
      <x:c r="A292" s="23" t="n">
        <x:v>291</x:v>
      </x:c>
      <x:c r="B292" s="15" t="str">
        <x:v>Maestro Property Buyers - House Buyers</x:v>
      </x:c>
      <x:c r="C292" s="15"/>
      <x:c r="D292" s="15" t="str">
        <x:v>Property investor / home-buying operator</x:v>
      </x:c>
      <x:c r="E292" s="15" t="str">
        <x:v>Property investor / operator inquiry</x:v>
      </x:c>
      <x:c r="F292" s="17" t="str">
        <x:v>New</x:v>
      </x:c>
      <x:c r="G292" s="24"/>
      <x:c r="H292" s="24" t="str">
        <x:v>+17133602416</x:v>
      </x:c>
      <x:c r="I292" s="24" t="str">
        <x:v>https://www.maestropropertybuyers.com/</x:v>
      </x:c>
      <x:c r="J292" s="16" t="str">
        <x:v>TX</x:v>
      </x:c>
      <x:c r="K292" s="16" t="str">
        <x:v>Houston</x:v>
      </x:c>
      <x:c r="L292" s="16" t="str">
        <x:v>Public property-business route; investor decision maker unconfirmed</x:v>
      </x:c>
      <x:c r="M292" s="16" t="str">
        <x:v>https://www.maestropropertybuyers.com/</x:v>
      </x:c>
      <x:c r="N292" s="16" t="str">
        <x:v>$100K-$500K ticket not published / unconfirmed</x:v>
      </x:c>
      <x:c r="O292" s="20"/>
      <x:c r="P292" s="20"/>
      <x:c r="Q292" s="25" t="str">
        <x:v>No $100K-$500K corporate-investment ticket published in checked source</x:v>
      </x:c>
      <x:c r="R292" s="25" t="str">
        <x:v>Property acquisition or investor activity makes this an operator-capital prospect for the signed trial. Confirm operating-company debt/equity appetite.</x:v>
      </x:c>
      <x:c r="S292" s="25" t="str">
        <x:v>Home-buying activity does not verify ability or willingness to invest $100K-$500K into 101XVC operating company. Website and contact verification pending.</x:v>
      </x:c>
      <x:c r="T292" s="25" t="str">
        <x:v>Ask the owner/investor whether they can allocate $100K-$500K to trial marketing and acquisitions, and confirm structure, timing and decision authority.</x:v>
      </x:c>
      <x:c r="U292" s="25" t="str">
        <x:v>https://www.cashhomebuyersdirectory.com/cash-home-buyers/texas/houston</x:v>
      </x:c>
      <x:c r="V292" s="26" t="d">
        <x:v>2026-10-02T00:00:00.000Z</x:v>
      </x:c>
      <x:c r="W292" s="26" t="d">
        <x:v>2026-10-03T00:00:00.000Z</x:v>
      </x:c>
      <x:c r="X292" s="25" t="str">
        <x:v>Public investor directory; business role and contact ownership require qualification</x:v>
      </x:c>
      <x:c r="Y292" s="25"/>
      <x:c r="Z292" s="25" t="str">
        <x:v>https://www.cashhomebuyersdirectory.com/cash-home-buyers/texas/houston</x:v>
      </x:c>
      <x:c r="AA292" s="25" t="str">
        <x:v>Public cash-home-buyer directory lists business name, phone and market. Directory entry may include brokers or service providers.</x:v>
      </x:c>
      <x:c r="AB292" s="3" t="str">
        <x:v>New public-source collection</x:v>
      </x:c>
      <x:c r="AC292" s="3" t="str">
        <x:v>unverified</x:v>
      </x:c>
      <x:c r="AD292" s="3" t="str">
        <x:v>Not contacted / unconfirmed</x:v>
      </x:c>
      <x:c r="AE292" s="3" t="str">
        <x:v>No</x:v>
      </x:c>
      <x:c r="AF292" s="3" t="str">
        <x:v>No</x:v>
      </x:c>
      <x:c r="AG292" s="3"/>
      <x:c r="AH292" s="3"/>
      <x:c r="AI292" s="18"/>
      <x:c r="AJ292" s="3" t="str">
        <x:v>CF2500-0C8365860D72</x:v>
      </x:c>
      <x:c r="AK292" s="3" t="str">
        <x:v>Property investor / home-buying operator prospect</x:v>
      </x:c>
      <x:c r="AL292" s="19" t="n">
        <x:v>100000</x:v>
      </x:c>
      <x:c r="AM292" s="19" t="n">
        <x:v>500000</x:v>
      </x:c>
      <x:c r="AN292" s="3" t="str">
        <x:v>https://www.cashhomebuyersdirectory.com/cash-home-buyers/texas/houston</x:v>
      </x:c>
      <x:c r="AO292" s="3" t="str">
        <x:v>tx_fl_investors.jsonl</x:v>
      </x:c>
      <x:c r="AP292" s="19"/>
    </x:row>
    <x:row r="293" ht="36" customHeight="1">
      <x:c r="A293" s="23" t="n">
        <x:v>292</x:v>
      </x:c>
      <x:c r="B293" s="15" t="str">
        <x:v>Maple House Home Investors</x:v>
      </x:c>
      <x:c r="C293" s="15"/>
      <x:c r="D293" s="15" t="str">
        <x:v>Property investor / home-buying operator</x:v>
      </x:c>
      <x:c r="E293" s="15" t="str">
        <x:v>Property investor / operator inquiry</x:v>
      </x:c>
      <x:c r="F293" s="17" t="str">
        <x:v>New</x:v>
      </x:c>
      <x:c r="G293" s="24"/>
      <x:c r="H293" s="24" t="str">
        <x:v>+18504805763</x:v>
      </x:c>
      <x:c r="I293" s="24" t="str">
        <x:v>https://maplehousehomeinvestors.com/?utm_source=Google+Business&amp;utm_medium=Referral</x:v>
      </x:c>
      <x:c r="J293" s="16" t="str">
        <x:v>FL</x:v>
      </x:c>
      <x:c r="K293" s="16"/>
      <x:c r="L293" s="16" t="str">
        <x:v>Public property-business route; investor decision maker unconfirmed</x:v>
      </x:c>
      <x:c r="M293" s="16" t="str">
        <x:v>https://maplehousehomeinvestors.com/?utm_source=Google+Business&amp;utm_medium=Referral</x:v>
      </x:c>
      <x:c r="N293" s="16" t="str">
        <x:v>$100K-$500K ticket not published / unconfirmed</x:v>
      </x:c>
      <x:c r="O293" s="20"/>
      <x:c r="P293" s="20"/>
      <x:c r="Q293" s="25" t="str">
        <x:v>No $100K-$500K corporate-investment ticket published in checked source</x:v>
      </x:c>
      <x:c r="R293" s="25" t="str">
        <x:v>Property acquisition or investor activity makes this an operator-capital prospect for the signed trial. Confirm operating-company debt/equity appetite.</x:v>
      </x:c>
      <x:c r="S293" s="25" t="str">
        <x:v>Home-buying activity does not verify ability or willingness to invest $100K-$500K into 101XVC operating company. Website and contact verification pending.</x:v>
      </x:c>
      <x:c r="T293" s="25" t="str">
        <x:v>Ask the owner/investor whether they can allocate $100K-$500K to trial marketing and acquisitions, and confirm structure, timing and decision authority.</x:v>
      </x:c>
      <x:c r="U293" s="25" t="str">
        <x:v>https://www.cashhomebuyersdirectory.com/cash-home-buyers/florida/pensacola</x:v>
      </x:c>
      <x:c r="V293" s="26" t="d">
        <x:v>2026-10-02T00:00:00.000Z</x:v>
      </x:c>
      <x:c r="W293" s="26" t="d">
        <x:v>2026-10-03T00:00:00.000Z</x:v>
      </x:c>
      <x:c r="X293" s="25" t="str">
        <x:v>Public investor directory; business role and contact ownership require qualification</x:v>
      </x:c>
      <x:c r="Y293" s="25"/>
      <x:c r="Z293" s="25" t="str">
        <x:v>https://www.cashhomebuyersdirectory.com/cash-home-buyers/florida/pensacola</x:v>
      </x:c>
      <x:c r="AA293" s="25" t="str">
        <x:v>Public cash-home-buyer directory lists business name, phone and market. Directory entry may include brokers or service providers.</x:v>
      </x:c>
      <x:c r="AB293" s="3" t="str">
        <x:v>New public-source collection</x:v>
      </x:c>
      <x:c r="AC293" s="3" t="str">
        <x:v>unverified</x:v>
      </x:c>
      <x:c r="AD293" s="3" t="str">
        <x:v>Not contacted / unconfirmed</x:v>
      </x:c>
      <x:c r="AE293" s="3" t="str">
        <x:v>No</x:v>
      </x:c>
      <x:c r="AF293" s="3" t="str">
        <x:v>No</x:v>
      </x:c>
      <x:c r="AG293" s="3"/>
      <x:c r="AH293" s="3"/>
      <x:c r="AI293" s="18"/>
      <x:c r="AJ293" s="3" t="str">
        <x:v>CF2500-2C9CB1D6E199</x:v>
      </x:c>
      <x:c r="AK293" s="3" t="str">
        <x:v>Property investor / home-buying operator prospect</x:v>
      </x:c>
      <x:c r="AL293" s="19" t="n">
        <x:v>100000</x:v>
      </x:c>
      <x:c r="AM293" s="19" t="n">
        <x:v>500000</x:v>
      </x:c>
      <x:c r="AN293" s="3" t="str">
        <x:v>https://www.cashhomebuyersdirectory.com/cash-home-buyers/florida/pensacola</x:v>
      </x:c>
      <x:c r="AO293" s="3" t="str">
        <x:v>tx_fl_investors.jsonl</x:v>
      </x:c>
      <x:c r="AP293" s="19"/>
    </x:row>
    <x:row r="294" ht="36" customHeight="1">
      <x:c r="A294" s="23" t="n">
        <x:v>293</x:v>
      </x:c>
      <x:c r="B294" s="15" t="str">
        <x:v>Meli Home Buyer, Brokerage, and Consultant</x:v>
      </x:c>
      <x:c r="C294" s="15"/>
      <x:c r="D294" s="15" t="str">
        <x:v>Property investor / home-buying operator</x:v>
      </x:c>
      <x:c r="E294" s="15" t="str">
        <x:v>Property investor / operator inquiry</x:v>
      </x:c>
      <x:c r="F294" s="17" t="str">
        <x:v>New</x:v>
      </x:c>
      <x:c r="G294" s="24"/>
      <x:c r="H294" s="24" t="str">
        <x:v>+14073384183</x:v>
      </x:c>
      <x:c r="I294" s="24" t="str">
        <x:v>https://melihomes.com/</x:v>
      </x:c>
      <x:c r="J294" s="16" t="str">
        <x:v>FL</x:v>
      </x:c>
      <x:c r="K294" s="16" t="str">
        <x:v>Orlando</x:v>
      </x:c>
      <x:c r="L294" s="16" t="str">
        <x:v>Public property-business route; investor decision maker unconfirmed</x:v>
      </x:c>
      <x:c r="M294" s="16" t="str">
        <x:v>https://melihomes.com/</x:v>
      </x:c>
      <x:c r="N294" s="16" t="str">
        <x:v>$100K-$500K ticket not published / unconfirmed</x:v>
      </x:c>
      <x:c r="O294" s="20"/>
      <x:c r="P294" s="20"/>
      <x:c r="Q294" s="25" t="str">
        <x:v>No $100K-$500K corporate-investment ticket published in checked source</x:v>
      </x:c>
      <x:c r="R294" s="25" t="str">
        <x:v>Property acquisition or investor activity makes this an operator-capital prospect for the signed trial. Confirm operating-company debt/equity appetite.</x:v>
      </x:c>
      <x:c r="S294" s="25" t="str">
        <x:v>Home-buying activity does not verify ability or willingness to invest $100K-$500K into 101XVC operating company. Website and contact verification pending.</x:v>
      </x:c>
      <x:c r="T294" s="25" t="str">
        <x:v>Ask the owner/investor whether they can allocate $100K-$500K to trial marketing and acquisitions, and confirm structure, timing and decision authority.</x:v>
      </x:c>
      <x:c r="U294" s="25" t="str">
        <x:v>https://www.cashhomebuyersdirectory.com/cash-home-buyers/florida/orlando</x:v>
      </x:c>
      <x:c r="V294" s="26" t="d">
        <x:v>2026-10-02T00:00:00.000Z</x:v>
      </x:c>
      <x:c r="W294" s="26" t="d">
        <x:v>2026-10-03T00:00:00.000Z</x:v>
      </x:c>
      <x:c r="X294" s="25" t="str">
        <x:v>Public investor directory; business role and contact ownership require qualification</x:v>
      </x:c>
      <x:c r="Y294" s="25"/>
      <x:c r="Z294" s="25" t="str">
        <x:v>https://www.cashhomebuyersdirectory.com/cash-home-buyers/florida/orlando</x:v>
      </x:c>
      <x:c r="AA294" s="25" t="str">
        <x:v>Public cash-home-buyer directory lists business name, phone and market. Directory entry may include brokers or service providers.</x:v>
      </x:c>
      <x:c r="AB294" s="3" t="str">
        <x:v>New public-source collection</x:v>
      </x:c>
      <x:c r="AC294" s="3" t="str">
        <x:v>unverified</x:v>
      </x:c>
      <x:c r="AD294" s="3" t="str">
        <x:v>Not contacted / unconfirmed</x:v>
      </x:c>
      <x:c r="AE294" s="3" t="str">
        <x:v>No</x:v>
      </x:c>
      <x:c r="AF294" s="3" t="str">
        <x:v>No</x:v>
      </x:c>
      <x:c r="AG294" s="3"/>
      <x:c r="AH294" s="3"/>
      <x:c r="AI294" s="18"/>
      <x:c r="AJ294" s="3" t="str">
        <x:v>CF2500-A8D64303AEE9</x:v>
      </x:c>
      <x:c r="AK294" s="3" t="str">
        <x:v>Property investor / home-buying operator prospect</x:v>
      </x:c>
      <x:c r="AL294" s="19" t="n">
        <x:v>100000</x:v>
      </x:c>
      <x:c r="AM294" s="19" t="n">
        <x:v>500000</x:v>
      </x:c>
      <x:c r="AN294" s="3" t="str">
        <x:v>https://www.cashhomebuyersdirectory.com/cash-home-buyers/florida/orlando</x:v>
      </x:c>
      <x:c r="AO294" s="3" t="str">
        <x:v>tx_fl_investors.jsonl</x:v>
      </x:c>
      <x:c r="AP294" s="19"/>
    </x:row>
    <x:row r="295" ht="36" customHeight="1">
      <x:c r="A295" s="23" t="n">
        <x:v>294</x:v>
      </x:c>
      <x:c r="B295" s="15" t="str">
        <x:v>Mission Home Buyers</x:v>
      </x:c>
      <x:c r="C295" s="15"/>
      <x:c r="D295" s="15" t="str">
        <x:v>Property investor / home-buying operator</x:v>
      </x:c>
      <x:c r="E295" s="15" t="str">
        <x:v>Property investor / operator inquiry</x:v>
      </x:c>
      <x:c r="F295" s="17" t="str">
        <x:v>New</x:v>
      </x:c>
      <x:c r="G295" s="24"/>
      <x:c r="H295" s="24" t="str">
        <x:v>+19805334950</x:v>
      </x:c>
      <x:c r="I295" s="24" t="str">
        <x:v>https://www.missionhomebuyers.com/</x:v>
      </x:c>
      <x:c r="J295" s="16" t="str">
        <x:v>NC</x:v>
      </x:c>
      <x:c r="K295" s="16" t="str">
        <x:v>Charlotte</x:v>
      </x:c>
      <x:c r="L295" s="16" t="str">
        <x:v>Public property-business route; investor decision maker unconfirmed</x:v>
      </x:c>
      <x:c r="M295" s="16" t="str">
        <x:v>https://www.missionhomebuyers.com/</x:v>
      </x:c>
      <x:c r="N295" s="16" t="str">
        <x:v>$100K-$500K ticket not published / unconfirmed</x:v>
      </x:c>
      <x:c r="O295" s="20"/>
      <x:c r="P295" s="20"/>
      <x:c r="Q295" s="25" t="str">
        <x:v>No $100K-$500K operating-company investment ticket verified</x:v>
      </x:c>
      <x:c r="R295" s="25" t="str">
        <x:v>Property acquisition or investor activity makes this an operator-capital prospect for the signed trial. Confirm operating-company debt/equity appetite.</x:v>
      </x:c>
      <x:c r="S295" s="25" t="str">
        <x:v>Public property-buying activity or a directory listing does not establish available cash, investing decision-maker, current $100K-$500K capacity, or willingness to fund 101XVC operating costs.</x:v>
      </x:c>
      <x:c r="T295" s="25" t="str">
        <x:v>Ask the owner/investor whether they can allocate $100K-$500K to trial marketing and acquisitions, and confirm structure, timing and decision authority.</x:v>
      </x:c>
      <x:c r="U295" s="25" t="str">
        <x:v>https://www.cashhomebuyersdirectory.com/cash-home-buyers/north-carolina/charlotte</x:v>
      </x:c>
      <x:c r="V295" s="26" t="d">
        <x:v>2026-10-02T00:00:00.000Z</x:v>
      </x:c>
      <x:c r="W295" s="26" t="d">
        <x:v>2026-10-02T00:00:00.000Z</x:v>
      </x:c>
      <x:c r="X295" s="25" t="str">
        <x:v>Public investor directory; business role and contact ownership require qualification</x:v>
      </x:c>
      <x:c r="Y295" s="25"/>
      <x:c r="Z295" s="25" t="str">
        <x:v>https://www.cashhomebuyersdirectory.com/cash-home-buyers/north-carolina/charlotte</x:v>
      </x:c>
      <x:c r="AA295" s="25" t="str">
        <x:v>Public cash-home-buyer directory lists business name, phone and market. Directory entry may include brokers or service providers.</x:v>
      </x:c>
      <x:c r="AB295" s="3" t="str">
        <x:v>New public-source collection</x:v>
      </x:c>
      <x:c r="AC295" s="3" t="str">
        <x:v>unverified</x:v>
      </x:c>
      <x:c r="AD295" s="3" t="str">
        <x:v>Not contacted / unconfirmed</x:v>
      </x:c>
      <x:c r="AE295" s="3" t="str">
        <x:v>No</x:v>
      </x:c>
      <x:c r="AF295" s="3" t="str">
        <x:v>No</x:v>
      </x:c>
      <x:c r="AG295" s="3"/>
      <x:c r="AH295" s="3"/>
      <x:c r="AI295" s="18"/>
      <x:c r="AJ295" s="3" t="str">
        <x:v>CF2500-6FA88D4FD3BA</x:v>
      </x:c>
      <x:c r="AK295" s="3" t="str">
        <x:v>Property investor / home-buying operator prospect</x:v>
      </x:c>
      <x:c r="AL295" s="19" t="n">
        <x:v>100000</x:v>
      </x:c>
      <x:c r="AM295" s="19" t="n">
        <x:v>500000</x:v>
      </x:c>
      <x:c r="AN295" s="3" t="str">
        <x:v>https://www.cashhomebuyersdirectory.com/cash-home-buyers/north-carolina/charlotte</x:v>
      </x:c>
      <x:c r="AO295" s="3" t="str">
        <x:v>nc_il_az_co_investors.jsonl</x:v>
      </x:c>
      <x:c r="AP295" s="19"/>
    </x:row>
    <x:row r="296" ht="36" customHeight="1">
      <x:c r="A296" s="23" t="n">
        <x:v>295</x:v>
      </x:c>
      <x:c r="B296" s="15" t="str">
        <x:v>Mobile Home Buyer Fl</x:v>
      </x:c>
      <x:c r="C296" s="15"/>
      <x:c r="D296" s="15" t="str">
        <x:v>Property investor / home-buying operator</x:v>
      </x:c>
      <x:c r="E296" s="15" t="str">
        <x:v>Property investor / operator inquiry</x:v>
      </x:c>
      <x:c r="F296" s="17" t="str">
        <x:v>New</x:v>
      </x:c>
      <x:c r="G296" s="24"/>
      <x:c r="H296" s="24" t="str">
        <x:v>+19048423135</x:v>
      </x:c>
      <x:c r="I296" s="24" t="str">
        <x:v>https://www.mobilehomebuyerfl.com/</x:v>
      </x:c>
      <x:c r="J296" s="16" t="str">
        <x:v>FL</x:v>
      </x:c>
      <x:c r="K296" s="16" t="str">
        <x:v>Jacksonville</x:v>
      </x:c>
      <x:c r="L296" s="16" t="str">
        <x:v>Public property-business route; investor decision maker unconfirmed</x:v>
      </x:c>
      <x:c r="M296" s="16" t="str">
        <x:v>https://www.mobilehomebuyerfl.com/</x:v>
      </x:c>
      <x:c r="N296" s="16" t="str">
        <x:v>$100K-$500K ticket not published / unconfirmed</x:v>
      </x:c>
      <x:c r="O296" s="20"/>
      <x:c r="P296" s="20"/>
      <x:c r="Q296" s="25" t="str">
        <x:v>No $100K-$500K corporate-investment ticket published in checked source</x:v>
      </x:c>
      <x:c r="R296" s="25" t="str">
        <x:v>Property acquisition or investor activity makes this an operator-capital prospect for the signed trial. Confirm operating-company debt/equity appetite.</x:v>
      </x:c>
      <x:c r="S296" s="25" t="str">
        <x:v>Home-buying activity does not verify ability or willingness to invest $100K-$500K into 101XVC operating company. Website and contact verification pending.</x:v>
      </x:c>
      <x:c r="T296" s="25" t="str">
        <x:v>Ask the owner/investor whether they can allocate $100K-$500K to trial marketing and acquisitions, and confirm structure, timing and decision authority.</x:v>
      </x:c>
      <x:c r="U296" s="25" t="str">
        <x:v>https://www.cashhomebuyersdirectory.com/cash-home-buyers/florida/jacksonville</x:v>
      </x:c>
      <x:c r="V296" s="26" t="d">
        <x:v>2026-10-02T00:00:00.000Z</x:v>
      </x:c>
      <x:c r="W296" s="26" t="d">
        <x:v>2026-10-03T00:00:00.000Z</x:v>
      </x:c>
      <x:c r="X296" s="25" t="str">
        <x:v>Public investor directory; business role and contact ownership require qualification</x:v>
      </x:c>
      <x:c r="Y296" s="25"/>
      <x:c r="Z296" s="25" t="str">
        <x:v>https://www.cashhomebuyersdirectory.com/cash-home-buyers/florida/jacksonville</x:v>
      </x:c>
      <x:c r="AA296" s="25" t="str">
        <x:v>Public cash-home-buyer directory lists business name, phone and market. Directory entry may include brokers or service providers.</x:v>
      </x:c>
      <x:c r="AB296" s="3" t="str">
        <x:v>New public-source collection</x:v>
      </x:c>
      <x:c r="AC296" s="3" t="str">
        <x:v>unverified</x:v>
      </x:c>
      <x:c r="AD296" s="3" t="str">
        <x:v>Not contacted / unconfirmed</x:v>
      </x:c>
      <x:c r="AE296" s="3" t="str">
        <x:v>No</x:v>
      </x:c>
      <x:c r="AF296" s="3" t="str">
        <x:v>No</x:v>
      </x:c>
      <x:c r="AG296" s="3"/>
      <x:c r="AH296" s="3"/>
      <x:c r="AI296" s="18"/>
      <x:c r="AJ296" s="3" t="str">
        <x:v>CF2500-BED3397875DA</x:v>
      </x:c>
      <x:c r="AK296" s="3" t="str">
        <x:v>Property investor / home-buying operator prospect</x:v>
      </x:c>
      <x:c r="AL296" s="19" t="n">
        <x:v>100000</x:v>
      </x:c>
      <x:c r="AM296" s="19" t="n">
        <x:v>500000</x:v>
      </x:c>
      <x:c r="AN296" s="3" t="str">
        <x:v>https://www.cashhomebuyersdirectory.com/cash-home-buyers/florida/jacksonville</x:v>
      </x:c>
      <x:c r="AO296" s="3" t="str">
        <x:v>tx_fl_investors.jsonl</x:v>
      </x:c>
      <x:c r="AP296" s="19"/>
    </x:row>
    <x:row r="297" ht="36" customHeight="1">
      <x:c r="A297" s="23" t="n">
        <x:v>296</x:v>
      </x:c>
      <x:c r="B297" s="15" t="str">
        <x:v>Mom and I Buy Houses</x:v>
      </x:c>
      <x:c r="C297" s="15"/>
      <x:c r="D297" s="15" t="str">
        <x:v>Property investor / home-buying operator</x:v>
      </x:c>
      <x:c r="E297" s="15" t="str">
        <x:v>Property investor / operator inquiry</x:v>
      </x:c>
      <x:c r="F297" s="17" t="str">
        <x:v>New</x:v>
      </x:c>
      <x:c r="G297" s="24"/>
      <x:c r="H297" s="24" t="str">
        <x:v>+18063195383</x:v>
      </x:c>
      <x:c r="I297" s="24" t="str">
        <x:v>http://momandibuyhouses.com/</x:v>
      </x:c>
      <x:c r="J297" s="16" t="str">
        <x:v>TX</x:v>
      </x:c>
      <x:c r="K297" s="16" t="str">
        <x:v>Lubbock</x:v>
      </x:c>
      <x:c r="L297" s="16" t="str">
        <x:v>Public property-business route; investor decision maker unconfirmed</x:v>
      </x:c>
      <x:c r="M297" s="16" t="str">
        <x:v>http://momandibuyhouses.com/</x:v>
      </x:c>
      <x:c r="N297" s="16" t="str">
        <x:v>$100K-$500K ticket not published / unconfirmed</x:v>
      </x:c>
      <x:c r="O297" s="20"/>
      <x:c r="P297" s="20"/>
      <x:c r="Q297" s="25" t="str">
        <x:v>No $100K-$500K corporate-investment ticket published in checked source</x:v>
      </x:c>
      <x:c r="R297" s="25" t="str">
        <x:v>Property acquisition or investor activity makes this an operator-capital prospect for the signed trial. Confirm operating-company debt/equity appetite.</x:v>
      </x:c>
      <x:c r="S297" s="25" t="str">
        <x:v>Home-buying activity does not verify ability or willingness to invest $100K-$500K into 101XVC operating company. Website and contact verification pending.</x:v>
      </x:c>
      <x:c r="T297" s="25" t="str">
        <x:v>Ask the owner/investor whether they can allocate $100K-$500K to trial marketing and acquisitions, and confirm structure, timing and decision authority.</x:v>
      </x:c>
      <x:c r="U297" s="25" t="str">
        <x:v>https://www.cashhomebuyersdirectory.com/cash-home-buyers/texas/lubbock</x:v>
      </x:c>
      <x:c r="V297" s="26" t="d">
        <x:v>2026-10-02T00:00:00.000Z</x:v>
      </x:c>
      <x:c r="W297" s="26" t="d">
        <x:v>2026-10-03T00:00:00.000Z</x:v>
      </x:c>
      <x:c r="X297" s="25" t="str">
        <x:v>Public investor directory; business role and contact ownership require qualification</x:v>
      </x:c>
      <x:c r="Y297" s="25"/>
      <x:c r="Z297" s="25" t="str">
        <x:v>https://www.cashhomebuyersdirectory.com/cash-home-buyers/texas/lubbock</x:v>
      </x:c>
      <x:c r="AA297" s="25" t="str">
        <x:v>Public cash-home-buyer directory lists business name, phone and market. Directory entry may include brokers or service providers.</x:v>
      </x:c>
      <x:c r="AB297" s="3" t="str">
        <x:v>New public-source collection</x:v>
      </x:c>
      <x:c r="AC297" s="3" t="str">
        <x:v>unverified</x:v>
      </x:c>
      <x:c r="AD297" s="3" t="str">
        <x:v>Not contacted / unconfirmed</x:v>
      </x:c>
      <x:c r="AE297" s="3" t="str">
        <x:v>No</x:v>
      </x:c>
      <x:c r="AF297" s="3" t="str">
        <x:v>No</x:v>
      </x:c>
      <x:c r="AG297" s="3"/>
      <x:c r="AH297" s="3"/>
      <x:c r="AI297" s="18"/>
      <x:c r="AJ297" s="3" t="str">
        <x:v>CF2500-B7C0EA9D3A82</x:v>
      </x:c>
      <x:c r="AK297" s="3" t="str">
        <x:v>Property investor / home-buying operator prospect</x:v>
      </x:c>
      <x:c r="AL297" s="19" t="n">
        <x:v>100000</x:v>
      </x:c>
      <x:c r="AM297" s="19" t="n">
        <x:v>500000</x:v>
      </x:c>
      <x:c r="AN297" s="3" t="str">
        <x:v>https://www.cashhomebuyersdirectory.com/cash-home-buyers/texas/lubbock</x:v>
      </x:c>
      <x:c r="AO297" s="3" t="str">
        <x:v>tx_fl_investors.jsonl</x:v>
      </x:c>
      <x:c r="AP297" s="19"/>
    </x:row>
    <x:row r="298" ht="36" customHeight="1">
      <x:c r="A298" s="23" t="n">
        <x:v>297</x:v>
      </x:c>
      <x:c r="B298" s="15" t="str">
        <x:v>Move On House Buyers</x:v>
      </x:c>
      <x:c r="C298" s="15"/>
      <x:c r="D298" s="15" t="str">
        <x:v>Property investor / home-buying operator</x:v>
      </x:c>
      <x:c r="E298" s="15" t="str">
        <x:v>Property investor / operator inquiry</x:v>
      </x:c>
      <x:c r="F298" s="17" t="str">
        <x:v>New</x:v>
      </x:c>
      <x:c r="G298" s="24"/>
      <x:c r="H298" s="24" t="str">
        <x:v>+17135615162</x:v>
      </x:c>
      <x:c r="I298" s="24" t="str">
        <x:v>https://www.moveonhousebuyers.com/</x:v>
      </x:c>
      <x:c r="J298" s="16" t="str">
        <x:v>TX</x:v>
      </x:c>
      <x:c r="K298" s="16" t="str">
        <x:v>Houston</x:v>
      </x:c>
      <x:c r="L298" s="16" t="str">
        <x:v>Public property-business route; investor decision maker unconfirmed</x:v>
      </x:c>
      <x:c r="M298" s="16" t="str">
        <x:v>https://www.moveonhousebuyers.com/</x:v>
      </x:c>
      <x:c r="N298" s="16" t="str">
        <x:v>$100K-$500K ticket not published / unconfirmed</x:v>
      </x:c>
      <x:c r="O298" s="20"/>
      <x:c r="P298" s="20"/>
      <x:c r="Q298" s="25" t="str">
        <x:v>No $100K-$500K corporate-investment ticket published in checked source</x:v>
      </x:c>
      <x:c r="R298" s="25" t="str">
        <x:v>Property acquisition or investor activity makes this an operator-capital prospect for the signed trial. Confirm operating-company debt/equity appetite.</x:v>
      </x:c>
      <x:c r="S298" s="25" t="str">
        <x:v>Home-buying activity does not verify ability or willingness to invest $100K-$500K into 101XVC operating company. Website and contact verification pending.</x:v>
      </x:c>
      <x:c r="T298" s="25" t="str">
        <x:v>Ask the owner/investor whether they can allocate $100K-$500K to trial marketing and acquisitions, and confirm structure, timing and decision authority.</x:v>
      </x:c>
      <x:c r="U298" s="25" t="str">
        <x:v>https://www.cashhomebuyersdirectory.com/cash-home-buyers/texas/houston</x:v>
      </x:c>
      <x:c r="V298" s="26" t="d">
        <x:v>2026-10-02T00:00:00.000Z</x:v>
      </x:c>
      <x:c r="W298" s="26" t="d">
        <x:v>2026-10-03T00:00:00.000Z</x:v>
      </x:c>
      <x:c r="X298" s="25" t="str">
        <x:v>Public investor directory; business role and contact ownership require qualification</x:v>
      </x:c>
      <x:c r="Y298" s="25"/>
      <x:c r="Z298" s="25" t="str">
        <x:v>https://www.cashhomebuyersdirectory.com/cash-home-buyers/texas/houston</x:v>
      </x:c>
      <x:c r="AA298" s="25" t="str">
        <x:v>Public cash-home-buyer directory lists business name, phone and market. Directory entry may include brokers or service providers.</x:v>
      </x:c>
      <x:c r="AB298" s="3" t="str">
        <x:v>New public-source collection</x:v>
      </x:c>
      <x:c r="AC298" s="3" t="str">
        <x:v>unverified</x:v>
      </x:c>
      <x:c r="AD298" s="3" t="str">
        <x:v>Not contacted / unconfirmed</x:v>
      </x:c>
      <x:c r="AE298" s="3" t="str">
        <x:v>No</x:v>
      </x:c>
      <x:c r="AF298" s="3" t="str">
        <x:v>No</x:v>
      </x:c>
      <x:c r="AG298" s="3"/>
      <x:c r="AH298" s="3"/>
      <x:c r="AI298" s="18"/>
      <x:c r="AJ298" s="3" t="str">
        <x:v>CF2500-1D4453BD351A</x:v>
      </x:c>
      <x:c r="AK298" s="3" t="str">
        <x:v>Property investor / home-buying operator prospect</x:v>
      </x:c>
      <x:c r="AL298" s="19" t="n">
        <x:v>100000</x:v>
      </x:c>
      <x:c r="AM298" s="19" t="n">
        <x:v>500000</x:v>
      </x:c>
      <x:c r="AN298" s="3" t="str">
        <x:v>https://www.cashhomebuyersdirectory.com/cash-home-buyers/texas/houston</x:v>
      </x:c>
      <x:c r="AO298" s="3" t="str">
        <x:v>tx_fl_investors.jsonl</x:v>
      </x:c>
      <x:c r="AP298" s="19"/>
    </x:row>
    <x:row r="299" ht="36" customHeight="1">
      <x:c r="A299" s="23" t="n">
        <x:v>298</x:v>
      </x:c>
      <x:c r="B299" s="15" t="str">
        <x:v>MRE HOME BUYER</x:v>
      </x:c>
      <x:c r="C299" s="15"/>
      <x:c r="D299" s="15" t="str">
        <x:v>Property investor / home-buying operator</x:v>
      </x:c>
      <x:c r="E299" s="15" t="str">
        <x:v>Property investor / operator inquiry</x:v>
      </x:c>
      <x:c r="F299" s="17" t="str">
        <x:v>New</x:v>
      </x:c>
      <x:c r="G299" s="24"/>
      <x:c r="H299" s="24" t="str">
        <x:v>+14324005444</x:v>
      </x:c>
      <x:c r="I299" s="24" t="str">
        <x:v>http://mrehomebuyer.com/</x:v>
      </x:c>
      <x:c r="J299" s="16" t="str">
        <x:v>TX</x:v>
      </x:c>
      <x:c r="K299" s="16" t="str">
        <x:v>Midland</x:v>
      </x:c>
      <x:c r="L299" s="16" t="str">
        <x:v>Public property-business route; investor decision maker unconfirmed</x:v>
      </x:c>
      <x:c r="M299" s="16" t="str">
        <x:v>http://mrehomebuyer.com/</x:v>
      </x:c>
      <x:c r="N299" s="16" t="str">
        <x:v>$100K-$500K ticket not published / unconfirmed</x:v>
      </x:c>
      <x:c r="O299" s="20"/>
      <x:c r="P299" s="20"/>
      <x:c r="Q299" s="25" t="str">
        <x:v>No $100K-$500K corporate-investment ticket published in checked source</x:v>
      </x:c>
      <x:c r="R299" s="25" t="str">
        <x:v>Property acquisition or investor activity makes this an operator-capital prospect for the signed trial. Confirm operating-company debt/equity appetite.</x:v>
      </x:c>
      <x:c r="S299" s="25" t="str">
        <x:v>Home-buying activity does not verify ability or willingness to invest $100K-$500K into 101XVC operating company. Website and contact verification pending.</x:v>
      </x:c>
      <x:c r="T299" s="25" t="str">
        <x:v>Ask the owner/investor whether they can allocate $100K-$500K to trial marketing and acquisitions, and confirm structure, timing and decision authority.</x:v>
      </x:c>
      <x:c r="U299" s="25" t="str">
        <x:v>https://www.cashhomebuyersdirectory.com/cash-home-buyers/texas/midland</x:v>
      </x:c>
      <x:c r="V299" s="26" t="d">
        <x:v>2026-10-02T00:00:00.000Z</x:v>
      </x:c>
      <x:c r="W299" s="26" t="d">
        <x:v>2026-10-03T00:00:00.000Z</x:v>
      </x:c>
      <x:c r="X299" s="25" t="str">
        <x:v>Public investor directory; business role and contact ownership require qualification</x:v>
      </x:c>
      <x:c r="Y299" s="25"/>
      <x:c r="Z299" s="25" t="str">
        <x:v>https://www.cashhomebuyersdirectory.com/cash-home-buyers/texas/midland</x:v>
      </x:c>
      <x:c r="AA299" s="25" t="str">
        <x:v>Public cash-home-buyer directory lists business name, phone and market. Directory entry may include brokers or service providers.</x:v>
      </x:c>
      <x:c r="AB299" s="3" t="str">
        <x:v>New public-source collection</x:v>
      </x:c>
      <x:c r="AC299" s="3" t="str">
        <x:v>unverified</x:v>
      </x:c>
      <x:c r="AD299" s="3" t="str">
        <x:v>Not contacted / unconfirmed</x:v>
      </x:c>
      <x:c r="AE299" s="3" t="str">
        <x:v>No</x:v>
      </x:c>
      <x:c r="AF299" s="3" t="str">
        <x:v>No</x:v>
      </x:c>
      <x:c r="AG299" s="3"/>
      <x:c r="AH299" s="3"/>
      <x:c r="AI299" s="18"/>
      <x:c r="AJ299" s="3" t="str">
        <x:v>CF2500-8483A53CC649</x:v>
      </x:c>
      <x:c r="AK299" s="3" t="str">
        <x:v>Property investor / home-buying operator prospect</x:v>
      </x:c>
      <x:c r="AL299" s="19" t="n">
        <x:v>100000</x:v>
      </x:c>
      <x:c r="AM299" s="19" t="n">
        <x:v>500000</x:v>
      </x:c>
      <x:c r="AN299" s="3" t="str">
        <x:v>https://www.cashhomebuyersdirectory.com/cash-home-buyers/texas/midland</x:v>
      </x:c>
      <x:c r="AO299" s="3" t="str">
        <x:v>tx_fl_investors.jsonl</x:v>
      </x:c>
      <x:c r="AP299" s="19"/>
    </x:row>
    <x:row r="300" ht="36" customHeight="1">
      <x:c r="A300" s="23" t="n">
        <x:v>299</x:v>
      </x:c>
      <x:c r="B300" s="15" t="str">
        <x:v>Murphy Home Buyers</x:v>
      </x:c>
      <x:c r="C300" s="15"/>
      <x:c r="D300" s="15" t="str">
        <x:v>Property investor / home-buying operator</x:v>
      </x:c>
      <x:c r="E300" s="15" t="str">
        <x:v>Property investor / operator inquiry</x:v>
      </x:c>
      <x:c r="F300" s="17" t="str">
        <x:v>New</x:v>
      </x:c>
      <x:c r="G300" s="24"/>
      <x:c r="H300" s="24" t="str">
        <x:v>+12103610245</x:v>
      </x:c>
      <x:c r="I300" s="24" t="str">
        <x:v>http://murphyhomebuyers.com/</x:v>
      </x:c>
      <x:c r="J300" s="16" t="str">
        <x:v>TX</x:v>
      </x:c>
      <x:c r="K300" s="16" t="str">
        <x:v>San Antonio</x:v>
      </x:c>
      <x:c r="L300" s="16" t="str">
        <x:v>Public property-business route; investor decision maker unconfirmed</x:v>
      </x:c>
      <x:c r="M300" s="16" t="str">
        <x:v>http://murphyhomebuyers.com/</x:v>
      </x:c>
      <x:c r="N300" s="16" t="str">
        <x:v>$100K-$500K ticket not published / unconfirmed</x:v>
      </x:c>
      <x:c r="O300" s="20"/>
      <x:c r="P300" s="20"/>
      <x:c r="Q300" s="25" t="str">
        <x:v>No $100K-$500K corporate-investment ticket published in checked source</x:v>
      </x:c>
      <x:c r="R300" s="25" t="str">
        <x:v>Property acquisition or investor activity makes this an operator-capital prospect for the signed trial. Confirm operating-company debt/equity appetite.</x:v>
      </x:c>
      <x:c r="S300" s="25" t="str">
        <x:v>Home-buying activity does not verify ability or willingness to invest $100K-$500K into 101XVC operating company. Website and contact verification pending.</x:v>
      </x:c>
      <x:c r="T300" s="25" t="str">
        <x:v>Ask the owner/investor whether they can allocate $100K-$500K to trial marketing and acquisitions, and confirm structure, timing and decision authority.</x:v>
      </x:c>
      <x:c r="U300" s="25" t="str">
        <x:v>https://www.cashhomebuyersdirectory.com/cash-home-buyers/texas/san-antonio</x:v>
      </x:c>
      <x:c r="V300" s="26" t="d">
        <x:v>2026-10-02T00:00:00.000Z</x:v>
      </x:c>
      <x:c r="W300" s="26" t="d">
        <x:v>2026-10-03T00:00:00.000Z</x:v>
      </x:c>
      <x:c r="X300" s="25" t="str">
        <x:v>Public investor directory; business role and contact ownership require qualification</x:v>
      </x:c>
      <x:c r="Y300" s="25"/>
      <x:c r="Z300" s="25" t="str">
        <x:v>https://www.cashhomebuyersdirectory.com/cash-home-buyers/texas/san-antonio</x:v>
      </x:c>
      <x:c r="AA300" s="25" t="str">
        <x:v>Public cash-home-buyer directory lists business name, phone and market. Directory entry may include brokers or service providers.</x:v>
      </x:c>
      <x:c r="AB300" s="3" t="str">
        <x:v>New public-source collection</x:v>
      </x:c>
      <x:c r="AC300" s="3" t="str">
        <x:v>unverified</x:v>
      </x:c>
      <x:c r="AD300" s="3" t="str">
        <x:v>Not contacted / unconfirmed</x:v>
      </x:c>
      <x:c r="AE300" s="3" t="str">
        <x:v>No</x:v>
      </x:c>
      <x:c r="AF300" s="3" t="str">
        <x:v>No</x:v>
      </x:c>
      <x:c r="AG300" s="3"/>
      <x:c r="AH300" s="3"/>
      <x:c r="AI300" s="18"/>
      <x:c r="AJ300" s="3" t="str">
        <x:v>CF2500-161602ED3FFD</x:v>
      </x:c>
      <x:c r="AK300" s="3" t="str">
        <x:v>Property investor / home-buying operator prospect</x:v>
      </x:c>
      <x:c r="AL300" s="19" t="n">
        <x:v>100000</x:v>
      </x:c>
      <x:c r="AM300" s="19" t="n">
        <x:v>500000</x:v>
      </x:c>
      <x:c r="AN300" s="3" t="str">
        <x:v>https://www.cashhomebuyersdirectory.com/cash-home-buyers/texas/san-antonio</x:v>
      </x:c>
      <x:c r="AO300" s="3" t="str">
        <x:v>tx_fl_investors.jsonl</x:v>
      </x:c>
      <x:c r="AP300" s="19"/>
    </x:row>
    <x:row r="301" ht="36" customHeight="1">
      <x:c r="A301" s="23" t="n">
        <x:v>300</x:v>
      </x:c>
      <x:c r="B301" s="15" t="str">
        <x:v>My City Homes Realty &amp; Investments</x:v>
      </x:c>
      <x:c r="C301" s="15"/>
      <x:c r="D301" s="15" t="str">
        <x:v>Property investor / home-buying operator</x:v>
      </x:c>
      <x:c r="E301" s="15" t="str">
        <x:v>Property investor / operator inquiry</x:v>
      </x:c>
      <x:c r="F301" s="17" t="str">
        <x:v>New</x:v>
      </x:c>
      <x:c r="G301" s="24"/>
      <x:c r="H301" s="24" t="str">
        <x:v>+17139969755</x:v>
      </x:c>
      <x:c r="I301" s="24" t="str">
        <x:v>http://www.mycityhomesrealty.com/</x:v>
      </x:c>
      <x:c r="J301" s="16" t="str">
        <x:v>TX</x:v>
      </x:c>
      <x:c r="K301" s="16" t="str">
        <x:v>Houston</x:v>
      </x:c>
      <x:c r="L301" s="16" t="str">
        <x:v>Public property-business route; investor decision maker unconfirmed</x:v>
      </x:c>
      <x:c r="M301" s="16" t="str">
        <x:v>http://www.mycityhomesrealty.com/</x:v>
      </x:c>
      <x:c r="N301" s="16" t="str">
        <x:v>$100K-$500K ticket not published / unconfirmed</x:v>
      </x:c>
      <x:c r="O301" s="20"/>
      <x:c r="P301" s="20"/>
      <x:c r="Q301" s="25" t="str">
        <x:v>No $100K-$500K corporate-investment ticket published in checked source</x:v>
      </x:c>
      <x:c r="R301" s="25" t="str">
        <x:v>Property acquisition or investor activity makes this an operator-capital prospect for the signed trial. Confirm operating-company debt/equity appetite.</x:v>
      </x:c>
      <x:c r="S301" s="25" t="str">
        <x:v>Home-buying activity does not verify ability or willingness to invest $100K-$500K into 101XVC operating company. Website and contact verification pending.</x:v>
      </x:c>
      <x:c r="T301" s="25" t="str">
        <x:v>Ask the owner/investor whether they can allocate $100K-$500K to trial marketing and acquisitions, and confirm structure, timing and decision authority.</x:v>
      </x:c>
      <x:c r="U301" s="25" t="str">
        <x:v>https://www.cashhomebuyersdirectory.com/cash-home-buyers/texas/houston</x:v>
      </x:c>
      <x:c r="V301" s="26" t="d">
        <x:v>2026-10-02T00:00:00.000Z</x:v>
      </x:c>
      <x:c r="W301" s="26" t="d">
        <x:v>2026-10-03T00:00:00.000Z</x:v>
      </x:c>
      <x:c r="X301" s="25" t="str">
        <x:v>Public investor directory; business role and contact ownership require qualification</x:v>
      </x:c>
      <x:c r="Y301" s="25"/>
      <x:c r="Z301" s="25" t="str">
        <x:v>https://www.cashhomebuyersdirectory.com/cash-home-buyers/texas/houston</x:v>
      </x:c>
      <x:c r="AA301" s="25" t="str">
        <x:v>Public cash-home-buyer directory lists business name, phone and market. Directory entry may include brokers or service providers.</x:v>
      </x:c>
      <x:c r="AB301" s="3" t="str">
        <x:v>New public-source collection</x:v>
      </x:c>
      <x:c r="AC301" s="3" t="str">
        <x:v>unverified</x:v>
      </x:c>
      <x:c r="AD301" s="3" t="str">
        <x:v>Not contacted / unconfirmed</x:v>
      </x:c>
      <x:c r="AE301" s="3" t="str">
        <x:v>No</x:v>
      </x:c>
      <x:c r="AF301" s="3" t="str">
        <x:v>No</x:v>
      </x:c>
      <x:c r="AG301" s="3"/>
      <x:c r="AH301" s="3"/>
      <x:c r="AI301" s="18"/>
      <x:c r="AJ301" s="3" t="str">
        <x:v>CF2500-31A05AFB7572</x:v>
      </x:c>
      <x:c r="AK301" s="3" t="str">
        <x:v>Property investor / home-buying operator prospect</x:v>
      </x:c>
      <x:c r="AL301" s="19" t="n">
        <x:v>100000</x:v>
      </x:c>
      <x:c r="AM301" s="19" t="n">
        <x:v>500000</x:v>
      </x:c>
      <x:c r="AN301" s="3" t="str">
        <x:v>https://www.cashhomebuyersdirectory.com/cash-home-buyers/texas/houston</x:v>
      </x:c>
      <x:c r="AO301" s="3" t="str">
        <x:v>tx_fl_investors.jsonl</x:v>
      </x:c>
      <x:c r="AP301" s="19"/>
    </x:row>
    <x:row r="302" ht="36" customHeight="1">
      <x:c r="A302" s="23" t="n">
        <x:v>301</x:v>
      </x:c>
      <x:c r="B302" s="15" t="str">
        <x:v>Myers Home Buyers</x:v>
      </x:c>
      <x:c r="C302" s="15"/>
      <x:c r="D302" s="15" t="str">
        <x:v>Property investor / home-buying operator</x:v>
      </x:c>
      <x:c r="E302" s="15" t="str">
        <x:v>Property investor / operator inquiry</x:v>
      </x:c>
      <x:c r="F302" s="17" t="str">
        <x:v>New</x:v>
      </x:c>
      <x:c r="G302" s="24"/>
      <x:c r="H302" s="24" t="str">
        <x:v>+18447185832</x:v>
      </x:c>
      <x:c r="I302" s="24" t="str">
        <x:v>https://www.myershomebuyers.com/</x:v>
      </x:c>
      <x:c r="J302" s="16" t="str">
        <x:v>TX</x:v>
      </x:c>
      <x:c r="K302" s="16" t="str">
        <x:v>Addison</x:v>
      </x:c>
      <x:c r="L302" s="16" t="str">
        <x:v>Public property-business route; investor decision maker unconfirmed</x:v>
      </x:c>
      <x:c r="M302" s="16" t="str">
        <x:v>https://www.myershomebuyers.com/</x:v>
      </x:c>
      <x:c r="N302" s="16" t="str">
        <x:v>$100K-$500K ticket not published / unconfirmed</x:v>
      </x:c>
      <x:c r="O302" s="20"/>
      <x:c r="P302" s="20"/>
      <x:c r="Q302" s="25" t="str">
        <x:v>No $100K-$500K corporate-investment ticket published in checked source</x:v>
      </x:c>
      <x:c r="R302" s="25" t="str">
        <x:v>Property acquisition or investor activity makes this an operator-capital prospect for the signed trial. Confirm operating-company debt/equity appetite.</x:v>
      </x:c>
      <x:c r="S302" s="25" t="str">
        <x:v>Home-buying activity does not verify ability or willingness to invest $100K-$500K into 101XVC operating company. Website and contact verification pending.</x:v>
      </x:c>
      <x:c r="T302" s="25" t="str">
        <x:v>Ask the owner/investor whether they can allocate $100K-$500K to trial marketing and acquisitions, and confirm structure, timing and decision authority.</x:v>
      </x:c>
      <x:c r="U302" s="25" t="str">
        <x:v>https://www.cashhomebuyersdirectory.com/cash-home-buyers/texas/addison</x:v>
      </x:c>
      <x:c r="V302" s="26" t="d">
        <x:v>2026-10-02T00:00:00.000Z</x:v>
      </x:c>
      <x:c r="W302" s="26" t="d">
        <x:v>2026-10-03T00:00:00.000Z</x:v>
      </x:c>
      <x:c r="X302" s="25" t="str">
        <x:v>Public investor directory; business role and contact ownership require qualification</x:v>
      </x:c>
      <x:c r="Y302" s="25"/>
      <x:c r="Z302" s="25" t="str">
        <x:v>https://www.cashhomebuyersdirectory.com/cash-home-buyers/texas/addison</x:v>
      </x:c>
      <x:c r="AA302" s="25" t="str">
        <x:v>Public cash-home-buyer directory lists business name, phone and market. Directory entry may include brokers or service providers.</x:v>
      </x:c>
      <x:c r="AB302" s="3" t="str">
        <x:v>New public-source collection</x:v>
      </x:c>
      <x:c r="AC302" s="3" t="str">
        <x:v>unverified</x:v>
      </x:c>
      <x:c r="AD302" s="3" t="str">
        <x:v>Not contacted / unconfirmed</x:v>
      </x:c>
      <x:c r="AE302" s="3" t="str">
        <x:v>No</x:v>
      </x:c>
      <x:c r="AF302" s="3" t="str">
        <x:v>No</x:v>
      </x:c>
      <x:c r="AG302" s="3"/>
      <x:c r="AH302" s="3"/>
      <x:c r="AI302" s="18"/>
      <x:c r="AJ302" s="3" t="str">
        <x:v>CF2500-1ECF71C11F9C</x:v>
      </x:c>
      <x:c r="AK302" s="3" t="str">
        <x:v>Property investor / home-buying operator prospect</x:v>
      </x:c>
      <x:c r="AL302" s="19" t="n">
        <x:v>100000</x:v>
      </x:c>
      <x:c r="AM302" s="19" t="n">
        <x:v>500000</x:v>
      </x:c>
      <x:c r="AN302" s="3" t="str">
        <x:v>https://www.cashhomebuyersdirectory.com/cash-home-buyers/texas/addison</x:v>
      </x:c>
      <x:c r="AO302" s="3" t="str">
        <x:v>tx_fl_investors.jsonl</x:v>
      </x:c>
      <x:c r="AP302" s="19"/>
    </x:row>
    <x:row r="303" ht="36" customHeight="1">
      <x:c r="A303" s="23" t="n">
        <x:v>302</x:v>
      </x:c>
      <x:c r="B303" s="15" t="str">
        <x:v>Next Door Home Buyers</x:v>
      </x:c>
      <x:c r="C303" s="15"/>
      <x:c r="D303" s="15" t="str">
        <x:v>Property investor / home-buying operator</x:v>
      </x:c>
      <x:c r="E303" s="15" t="str">
        <x:v>Property investor / operator inquiry</x:v>
      </x:c>
      <x:c r="F303" s="17" t="str">
        <x:v>New</x:v>
      </x:c>
      <x:c r="G303" s="24"/>
      <x:c r="H303" s="24" t="str">
        <x:v>+14074606516</x:v>
      </x:c>
      <x:c r="I303" s="24" t="str">
        <x:v>https://nextdoorealestate.com/</x:v>
      </x:c>
      <x:c r="J303" s="16" t="str">
        <x:v>FL</x:v>
      </x:c>
      <x:c r="K303" s="16" t="str">
        <x:v>Orlando</x:v>
      </x:c>
      <x:c r="L303" s="16" t="str">
        <x:v>Public property-business route; investor decision maker unconfirmed</x:v>
      </x:c>
      <x:c r="M303" s="16" t="str">
        <x:v>https://nextdoorealestate.com/</x:v>
      </x:c>
      <x:c r="N303" s="16" t="str">
        <x:v>$100K-$500K ticket not published / unconfirmed</x:v>
      </x:c>
      <x:c r="O303" s="20"/>
      <x:c r="P303" s="20"/>
      <x:c r="Q303" s="25" t="str">
        <x:v>No $100K-$500K corporate-investment ticket published in checked source</x:v>
      </x:c>
      <x:c r="R303" s="25" t="str">
        <x:v>Property acquisition or investor activity makes this an operator-capital prospect for the signed trial. Confirm operating-company debt/equity appetite.</x:v>
      </x:c>
      <x:c r="S303" s="25" t="str">
        <x:v>Home-buying activity does not verify ability or willingness to invest $100K-$500K into 101XVC operating company. Website and contact verification pending.</x:v>
      </x:c>
      <x:c r="T303" s="25" t="str">
        <x:v>Ask the owner/investor whether they can allocate $100K-$500K to trial marketing and acquisitions, and confirm structure, timing and decision authority.</x:v>
      </x:c>
      <x:c r="U303" s="25" t="str">
        <x:v>https://www.cashhomebuyersdirectory.com/cash-home-buyers/florida/orlando</x:v>
      </x:c>
      <x:c r="V303" s="26" t="d">
        <x:v>2026-10-02T00:00:00.000Z</x:v>
      </x:c>
      <x:c r="W303" s="26" t="d">
        <x:v>2026-10-03T00:00:00.000Z</x:v>
      </x:c>
      <x:c r="X303" s="25" t="str">
        <x:v>Public investor directory; business role and contact ownership require qualification</x:v>
      </x:c>
      <x:c r="Y303" s="25"/>
      <x:c r="Z303" s="25" t="str">
        <x:v>https://www.cashhomebuyersdirectory.com/cash-home-buyers/florida/orlando</x:v>
      </x:c>
      <x:c r="AA303" s="25" t="str">
        <x:v>Public cash-home-buyer directory lists business name, phone and market. Directory entry may include brokers or service providers.</x:v>
      </x:c>
      <x:c r="AB303" s="3" t="str">
        <x:v>New public-source collection</x:v>
      </x:c>
      <x:c r="AC303" s="3" t="str">
        <x:v>unverified</x:v>
      </x:c>
      <x:c r="AD303" s="3" t="str">
        <x:v>Not contacted / unconfirmed</x:v>
      </x:c>
      <x:c r="AE303" s="3" t="str">
        <x:v>No</x:v>
      </x:c>
      <x:c r="AF303" s="3" t="str">
        <x:v>No</x:v>
      </x:c>
      <x:c r="AG303" s="3"/>
      <x:c r="AH303" s="3"/>
      <x:c r="AI303" s="18"/>
      <x:c r="AJ303" s="3" t="str">
        <x:v>CF2500-12C977ECB206</x:v>
      </x:c>
      <x:c r="AK303" s="3" t="str">
        <x:v>Property investor / home-buying operator prospect</x:v>
      </x:c>
      <x:c r="AL303" s="19" t="n">
        <x:v>100000</x:v>
      </x:c>
      <x:c r="AM303" s="19" t="n">
        <x:v>500000</x:v>
      </x:c>
      <x:c r="AN303" s="3" t="str">
        <x:v>https://www.cashhomebuyersdirectory.com/cash-home-buyers/florida/orlando</x:v>
      </x:c>
      <x:c r="AO303" s="3" t="str">
        <x:v>tx_fl_investors.jsonl</x:v>
      </x:c>
      <x:c r="AP303" s="19"/>
    </x:row>
    <x:row r="304" ht="36" customHeight="1">
      <x:c r="A304" s="23" t="n">
        <x:v>303</x:v>
      </x:c>
      <x:c r="B304" s="15" t="str">
        <x:v>Next Step House Buyers</x:v>
      </x:c>
      <x:c r="C304" s="15"/>
      <x:c r="D304" s="15" t="str">
        <x:v>Property investor / home-buying operator</x:v>
      </x:c>
      <x:c r="E304" s="15" t="str">
        <x:v>Property investor / operator inquiry</x:v>
      </x:c>
      <x:c r="F304" s="17" t="str">
        <x:v>New</x:v>
      </x:c>
      <x:c r="G304" s="24"/>
      <x:c r="H304" s="24" t="str">
        <x:v>+13464858465</x:v>
      </x:c>
      <x:c r="I304" s="24" t="str">
        <x:v>https://nextstephousebuyers.com/?utm_source=Google&amp;utm_medium=SEO&amp;utm_campaign=GBP</x:v>
      </x:c>
      <x:c r="J304" s="16" t="str">
        <x:v>TX</x:v>
      </x:c>
      <x:c r="K304" s="16" t="str">
        <x:v>Houston</x:v>
      </x:c>
      <x:c r="L304" s="16" t="str">
        <x:v>Public property-business route; investor decision maker unconfirmed</x:v>
      </x:c>
      <x:c r="M304" s="16" t="str">
        <x:v>https://nextstephousebuyers.com/?utm_source=Google&amp;utm_medium=SEO&amp;utm_campaign=GBP</x:v>
      </x:c>
      <x:c r="N304" s="16" t="str">
        <x:v>$100K-$500K ticket not published / unconfirmed</x:v>
      </x:c>
      <x:c r="O304" s="20"/>
      <x:c r="P304" s="20"/>
      <x:c r="Q304" s="25" t="str">
        <x:v>No $100K-$500K corporate-investment ticket published in checked source</x:v>
      </x:c>
      <x:c r="R304" s="25" t="str">
        <x:v>Property acquisition or investor activity makes this an operator-capital prospect for the signed trial. Confirm operating-company debt/equity appetite.</x:v>
      </x:c>
      <x:c r="S304" s="25" t="str">
        <x:v>Home-buying activity does not verify ability or willingness to invest $100K-$500K into 101XVC operating company. Website and contact verification pending.</x:v>
      </x:c>
      <x:c r="T304" s="25" t="str">
        <x:v>Ask the owner/investor whether they can allocate $100K-$500K to trial marketing and acquisitions, and confirm structure, timing and decision authority.</x:v>
      </x:c>
      <x:c r="U304" s="25" t="str">
        <x:v>https://www.cashhomebuyersdirectory.com/cash-home-buyers/texas/houston</x:v>
      </x:c>
      <x:c r="V304" s="26" t="d">
        <x:v>2026-10-02T00:00:00.000Z</x:v>
      </x:c>
      <x:c r="W304" s="26" t="d">
        <x:v>2026-10-03T00:00:00.000Z</x:v>
      </x:c>
      <x:c r="X304" s="25" t="str">
        <x:v>Public investor directory; business role and contact ownership require qualification</x:v>
      </x:c>
      <x:c r="Y304" s="25"/>
      <x:c r="Z304" s="25" t="str">
        <x:v>https://www.cashhomebuyersdirectory.com/cash-home-buyers/texas/houston</x:v>
      </x:c>
      <x:c r="AA304" s="25" t="str">
        <x:v>Public cash-home-buyer directory lists business name, phone and market. Directory entry may include brokers or service providers.</x:v>
      </x:c>
      <x:c r="AB304" s="3" t="str">
        <x:v>New public-source collection</x:v>
      </x:c>
      <x:c r="AC304" s="3" t="str">
        <x:v>unverified</x:v>
      </x:c>
      <x:c r="AD304" s="3" t="str">
        <x:v>Not contacted / unconfirmed</x:v>
      </x:c>
      <x:c r="AE304" s="3" t="str">
        <x:v>No</x:v>
      </x:c>
      <x:c r="AF304" s="3" t="str">
        <x:v>No</x:v>
      </x:c>
      <x:c r="AG304" s="3"/>
      <x:c r="AH304" s="3"/>
      <x:c r="AI304" s="18"/>
      <x:c r="AJ304" s="3" t="str">
        <x:v>CF2500-6C80EA1C4EA1</x:v>
      </x:c>
      <x:c r="AK304" s="3" t="str">
        <x:v>Property investor / home-buying operator prospect</x:v>
      </x:c>
      <x:c r="AL304" s="19" t="n">
        <x:v>100000</x:v>
      </x:c>
      <x:c r="AM304" s="19" t="n">
        <x:v>500000</x:v>
      </x:c>
      <x:c r="AN304" s="3" t="str">
        <x:v>https://www.cashhomebuyersdirectory.com/cash-home-buyers/texas/houston</x:v>
      </x:c>
      <x:c r="AO304" s="3" t="str">
        <x:v>tx_fl_investors.jsonl</x:v>
      </x:c>
      <x:c r="AP304" s="19"/>
    </x:row>
    <x:row r="305" ht="36" customHeight="1">
      <x:c r="A305" s="23" t="n">
        <x:v>304</x:v>
      </x:c>
      <x:c r="B305" s="15" t="str">
        <x:v>Noah The Cash Home Buyer</x:v>
      </x:c>
      <x:c r="C305" s="15"/>
      <x:c r="D305" s="15" t="str">
        <x:v>Property investor / home-buying operator</x:v>
      </x:c>
      <x:c r="E305" s="15" t="str">
        <x:v>Property investor / operator inquiry</x:v>
      </x:c>
      <x:c r="F305" s="17" t="str">
        <x:v>New</x:v>
      </x:c>
      <x:c r="G305" s="24"/>
      <x:c r="H305" s="24" t="str">
        <x:v>+16027825146</x:v>
      </x:c>
      <x:c r="I305" s="24" t="str">
        <x:v>https://noahthecashhomebuyer.com/</x:v>
      </x:c>
      <x:c r="J305" s="16" t="str">
        <x:v>AZ</x:v>
      </x:c>
      <x:c r="K305" s="16" t="str">
        <x:v>Mesa</x:v>
      </x:c>
      <x:c r="L305" s="16" t="str">
        <x:v>Public property-business route; investor decision maker unconfirmed</x:v>
      </x:c>
      <x:c r="M305" s="16" t="str">
        <x:v>https://noahthecashhomebuyer.com/</x:v>
      </x:c>
      <x:c r="N305" s="16" t="str">
        <x:v>$100K-$500K ticket not published / unconfirmed</x:v>
      </x:c>
      <x:c r="O305" s="20"/>
      <x:c r="P305" s="20"/>
      <x:c r="Q305" s="25" t="str">
        <x:v>No $100K-$500K operating-company investment ticket verified</x:v>
      </x:c>
      <x:c r="R305" s="25" t="str">
        <x:v>Property acquisition or investor activity makes this an operator-capital prospect for the signed trial. Confirm operating-company debt/equity appetite.</x:v>
      </x:c>
      <x:c r="S305" s="25" t="str">
        <x:v>Public property-buying activity or a directory listing does not establish available cash, investing decision-maker, current $100K-$500K capacity, or willingness to fund 101XVC operating costs.</x:v>
      </x:c>
      <x:c r="T305" s="25" t="str">
        <x:v>Ask the owner/investor whether they can allocate $100K-$500K to trial marketing and acquisitions, and confirm structure, timing and decision authority.</x:v>
      </x:c>
      <x:c r="U305" s="25" t="str">
        <x:v>https://www.cashhomebuyersdirectory.com/cash-home-buyers/arizona/mesa
https://www.cashhomebuyersdirectory.com/cash-home-buyers/nevada/henderson</x:v>
      </x:c>
      <x:c r="V305" s="26" t="d">
        <x:v>2026-10-02T00:00:00.000Z</x:v>
      </x:c>
      <x:c r="W305" s="26" t="d">
        <x:v>2026-10-02T00:00:00.000Z</x:v>
      </x:c>
      <x:c r="X305" s="25" t="str">
        <x:v>Public investor directory; business role and contact ownership require qualification</x:v>
      </x:c>
      <x:c r="Y305" s="25"/>
      <x:c r="Z305" s="25" t="str">
        <x:v>https://www.cashhomebuyersdirectory.com/cash-home-buyers/arizona/mesa</x:v>
      </x:c>
      <x:c r="AA305" s="25" t="str">
        <x:v>Public cash-home-buyer directory lists business name, phone and market. Directory entry may include brokers or service providers.</x:v>
      </x:c>
      <x:c r="AB305" s="3" t="str">
        <x:v>New public-source collection</x:v>
      </x:c>
      <x:c r="AC305" s="3" t="str">
        <x:v>unverified</x:v>
      </x:c>
      <x:c r="AD305" s="3" t="str">
        <x:v>Not contacted / unconfirmed</x:v>
      </x:c>
      <x:c r="AE305" s="3" t="str">
        <x:v>No</x:v>
      </x:c>
      <x:c r="AF305" s="3" t="str">
        <x:v>No</x:v>
      </x:c>
      <x:c r="AG305" s="3"/>
      <x:c r="AH305" s="3"/>
      <x:c r="AI305" s="18"/>
      <x:c r="AJ305" s="3" t="str">
        <x:v>CF2500-2E4D19EE84D0</x:v>
      </x:c>
      <x:c r="AK305" s="3" t="str">
        <x:v>Property investor / home-buying operator prospect</x:v>
      </x:c>
      <x:c r="AL305" s="19" t="n">
        <x:v>100000</x:v>
      </x:c>
      <x:c r="AM305" s="19" t="n">
        <x:v>500000</x:v>
      </x:c>
      <x:c r="AN305" s="3" t="str">
        <x:v>https://www.cashhomebuyersdirectory.com/cash-home-buyers/arizona/mesa</x:v>
      </x:c>
      <x:c r="AO305" s="3" t="str">
        <x:v>nc_il_az_co_investors.jsonl</x:v>
      </x:c>
      <x:c r="AP305" s="19"/>
    </x:row>
    <x:row r="306" ht="36" customHeight="1">
      <x:c r="A306" s="23" t="n">
        <x:v>305</x:v>
      </x:c>
      <x:c r="B306" s="15" t="str">
        <x:v>Noble Home Buyer</x:v>
      </x:c>
      <x:c r="C306" s="15"/>
      <x:c r="D306" s="15" t="str">
        <x:v>Property investor / home-buying operator</x:v>
      </x:c>
      <x:c r="E306" s="15" t="str">
        <x:v>Property investor / operator inquiry</x:v>
      </x:c>
      <x:c r="F306" s="17" t="str">
        <x:v>New</x:v>
      </x:c>
      <x:c r="G306" s="24"/>
      <x:c r="H306" s="24" t="str">
        <x:v>+19043358553</x:v>
      </x:c>
      <x:c r="I306" s="24" t="str">
        <x:v>https://www.noblehomebuyer.com/</x:v>
      </x:c>
      <x:c r="J306" s="16" t="str">
        <x:v>FL</x:v>
      </x:c>
      <x:c r="K306" s="16" t="str">
        <x:v>Jacksonville</x:v>
      </x:c>
      <x:c r="L306" s="16" t="str">
        <x:v>Public property-business route; investor decision maker unconfirmed</x:v>
      </x:c>
      <x:c r="M306" s="16" t="str">
        <x:v>https://www.noblehomebuyer.com/</x:v>
      </x:c>
      <x:c r="N306" s="16" t="str">
        <x:v>$100K-$500K ticket not published / unconfirmed</x:v>
      </x:c>
      <x:c r="O306" s="20"/>
      <x:c r="P306" s="20"/>
      <x:c r="Q306" s="25" t="str">
        <x:v>No $100K-$500K corporate-investment ticket published in checked source</x:v>
      </x:c>
      <x:c r="R306" s="25" t="str">
        <x:v>Property acquisition or investor activity makes this an operator-capital prospect for the signed trial. Confirm operating-company debt/equity appetite.</x:v>
      </x:c>
      <x:c r="S306" s="25" t="str">
        <x:v>Home-buying activity does not verify ability or willingness to invest $100K-$500K into 101XVC operating company. Website and contact verification pending.</x:v>
      </x:c>
      <x:c r="T306" s="25" t="str">
        <x:v>Ask the owner/investor whether they can allocate $100K-$500K to trial marketing and acquisitions, and confirm structure, timing and decision authority.</x:v>
      </x:c>
      <x:c r="U306" s="25" t="str">
        <x:v>https://www.cashhomebuyersdirectory.com/cash-home-buyers/florida/jacksonville</x:v>
      </x:c>
      <x:c r="V306" s="26" t="d">
        <x:v>2026-10-02T00:00:00.000Z</x:v>
      </x:c>
      <x:c r="W306" s="26" t="d">
        <x:v>2026-10-03T00:00:00.000Z</x:v>
      </x:c>
      <x:c r="X306" s="25" t="str">
        <x:v>Public investor directory; business role and contact ownership require qualification</x:v>
      </x:c>
      <x:c r="Y306" s="25"/>
      <x:c r="Z306" s="25" t="str">
        <x:v>https://www.cashhomebuyersdirectory.com/cash-home-buyers/florida/jacksonville</x:v>
      </x:c>
      <x:c r="AA306" s="25" t="str">
        <x:v>Public cash-home-buyer directory lists business name, phone and market. Directory entry may include brokers or service providers.</x:v>
      </x:c>
      <x:c r="AB306" s="3" t="str">
        <x:v>New public-source collection</x:v>
      </x:c>
      <x:c r="AC306" s="3" t="str">
        <x:v>unverified</x:v>
      </x:c>
      <x:c r="AD306" s="3" t="str">
        <x:v>Not contacted / unconfirmed</x:v>
      </x:c>
      <x:c r="AE306" s="3" t="str">
        <x:v>No</x:v>
      </x:c>
      <x:c r="AF306" s="3" t="str">
        <x:v>No</x:v>
      </x:c>
      <x:c r="AG306" s="3"/>
      <x:c r="AH306" s="3"/>
      <x:c r="AI306" s="18"/>
      <x:c r="AJ306" s="3" t="str">
        <x:v>CF2500-7B112638C47B</x:v>
      </x:c>
      <x:c r="AK306" s="3" t="str">
        <x:v>Property investor / home-buying operator prospect</x:v>
      </x:c>
      <x:c r="AL306" s="19" t="n">
        <x:v>100000</x:v>
      </x:c>
      <x:c r="AM306" s="19" t="n">
        <x:v>500000</x:v>
      </x:c>
      <x:c r="AN306" s="3" t="str">
        <x:v>https://www.cashhomebuyersdirectory.com/cash-home-buyers/florida/jacksonville</x:v>
      </x:c>
      <x:c r="AO306" s="3" t="str">
        <x:v>tx_fl_investors.jsonl</x:v>
      </x:c>
      <x:c r="AP306" s="19"/>
    </x:row>
    <x:row r="307" ht="36" customHeight="1">
      <x:c r="A307" s="23" t="n">
        <x:v>306</x:v>
      </x:c>
      <x:c r="B307" s="15" t="str">
        <x:v>North Carolina Cash Home Buyers</x:v>
      </x:c>
      <x:c r="C307" s="15"/>
      <x:c r="D307" s="15" t="str">
        <x:v>Property investor / home-buying operator</x:v>
      </x:c>
      <x:c r="E307" s="15" t="str">
        <x:v>Property investor / operator inquiry</x:v>
      </x:c>
      <x:c r="F307" s="17" t="str">
        <x:v>New</x:v>
      </x:c>
      <x:c r="G307" s="24"/>
      <x:c r="H307" s="24" t="str">
        <x:v>+19192750092</x:v>
      </x:c>
      <x:c r="I307" s="24" t="str">
        <x:v>http://www.northcarolinacashhomebuyers.com/</x:v>
      </x:c>
      <x:c r="J307" s="16" t="str">
        <x:v>NC</x:v>
      </x:c>
      <x:c r="K307" s="16"/>
      <x:c r="L307" s="16" t="str">
        <x:v>Public property-business route; investor decision maker unconfirmed</x:v>
      </x:c>
      <x:c r="M307" s="16" t="str">
        <x:v>http://www.northcarolinacashhomebuyers.com/</x:v>
      </x:c>
      <x:c r="N307" s="16" t="str">
        <x:v>$100K-$500K ticket not published / unconfirmed</x:v>
      </x:c>
      <x:c r="O307" s="20"/>
      <x:c r="P307" s="20"/>
      <x:c r="Q307" s="25" t="str">
        <x:v>No $100K-$500K operating-company investment ticket verified</x:v>
      </x:c>
      <x:c r="R307" s="25" t="str">
        <x:v>Property acquisition or investor activity makes this an operator-capital prospect for the signed trial. Confirm operating-company debt/equity appetite.</x:v>
      </x:c>
      <x:c r="S307" s="25" t="str">
        <x:v>Public property-buying activity or a directory listing does not establish available cash, investing decision-maker, current $100K-$500K capacity, or willingness to fund 101XVC operating costs.</x:v>
      </x:c>
      <x:c r="T307" s="25" t="str">
        <x:v>Ask the owner/investor whether they can allocate $100K-$500K to trial marketing and acquisitions, and confirm structure, timing and decision authority.</x:v>
      </x:c>
      <x:c r="U307" s="25" t="str">
        <x:v>https://www.cashhomebuyersdirectory.com/cash-home-buyers/north-carolina/durham</x:v>
      </x:c>
      <x:c r="V307" s="26" t="d">
        <x:v>2026-10-02T00:00:00.000Z</x:v>
      </x:c>
      <x:c r="W307" s="26" t="d">
        <x:v>2026-10-02T00:00:00.000Z</x:v>
      </x:c>
      <x:c r="X307" s="25" t="str">
        <x:v>Public investor directory; business role and contact ownership require qualification</x:v>
      </x:c>
      <x:c r="Y307" s="25"/>
      <x:c r="Z307" s="25" t="str">
        <x:v>https://www.cashhomebuyersdirectory.com/cash-home-buyers/north-carolina/durham</x:v>
      </x:c>
      <x:c r="AA307" s="25" t="str">
        <x:v>Public cash-home-buyer directory lists business name, phone and market. Directory entry may include brokers or service providers.</x:v>
      </x:c>
      <x:c r="AB307" s="3" t="str">
        <x:v>New public-source collection</x:v>
      </x:c>
      <x:c r="AC307" s="3" t="str">
        <x:v>unverified</x:v>
      </x:c>
      <x:c r="AD307" s="3" t="str">
        <x:v>Not contacted / unconfirmed</x:v>
      </x:c>
      <x:c r="AE307" s="3" t="str">
        <x:v>No</x:v>
      </x:c>
      <x:c r="AF307" s="3" t="str">
        <x:v>No</x:v>
      </x:c>
      <x:c r="AG307" s="3"/>
      <x:c r="AH307" s="3"/>
      <x:c r="AI307" s="18"/>
      <x:c r="AJ307" s="3" t="str">
        <x:v>CF2500-FF75B92313EC</x:v>
      </x:c>
      <x:c r="AK307" s="3" t="str">
        <x:v>Property investor / home-buying operator prospect</x:v>
      </x:c>
      <x:c r="AL307" s="19" t="n">
        <x:v>100000</x:v>
      </x:c>
      <x:c r="AM307" s="19" t="n">
        <x:v>500000</x:v>
      </x:c>
      <x:c r="AN307" s="3" t="str">
        <x:v>https://www.cashhomebuyersdirectory.com/cash-home-buyers/north-carolina/durham</x:v>
      </x:c>
      <x:c r="AO307" s="3" t="str">
        <x:v>nc_il_az_co_investors.jsonl</x:v>
      </x:c>
      <x:c r="AP307" s="19"/>
    </x:row>
    <x:row r="308" ht="36" customHeight="1">
      <x:c r="A308" s="23" t="n">
        <x:v>307</x:v>
      </x:c>
      <x:c r="B308" s="15" t="str">
        <x:v>Oakleaf Home Buyers</x:v>
      </x:c>
      <x:c r="C308" s="15"/>
      <x:c r="D308" s="15" t="str">
        <x:v>Property investor / home-buying operator</x:v>
      </x:c>
      <x:c r="E308" s="15" t="str">
        <x:v>Property investor / operator inquiry</x:v>
      </x:c>
      <x:c r="F308" s="17" t="str">
        <x:v>New</x:v>
      </x:c>
      <x:c r="G308" s="24"/>
      <x:c r="H308" s="24" t="str">
        <x:v>+19194361351</x:v>
      </x:c>
      <x:c r="I308" s="24" t="str">
        <x:v>https://www.oakleafhomebuyers.com/</x:v>
      </x:c>
      <x:c r="J308" s="16" t="str">
        <x:v>NC</x:v>
      </x:c>
      <x:c r="K308" s="16" t="str">
        <x:v>Raleigh</x:v>
      </x:c>
      <x:c r="L308" s="16" t="str">
        <x:v>Public property-business route; investor decision maker unconfirmed</x:v>
      </x:c>
      <x:c r="M308" s="16" t="str">
        <x:v>https://www.oakleafhomebuyers.com/</x:v>
      </x:c>
      <x:c r="N308" s="16" t="str">
        <x:v>$100K-$500K ticket not published / unconfirmed</x:v>
      </x:c>
      <x:c r="O308" s="20"/>
      <x:c r="P308" s="20"/>
      <x:c r="Q308" s="25" t="str">
        <x:v>No $100K-$500K operating-company investment ticket verified</x:v>
      </x:c>
      <x:c r="R308" s="25" t="str">
        <x:v>Property acquisition or investor activity makes this an operator-capital prospect for the signed trial. Confirm operating-company debt/equity appetite.</x:v>
      </x:c>
      <x:c r="S308" s="25" t="str">
        <x:v>Public property-buying activity or a directory listing does not establish available cash, investing decision-maker, current $100K-$500K capacity, or willingness to fund 101XVC operating costs.</x:v>
      </x:c>
      <x:c r="T308" s="25" t="str">
        <x:v>Ask the owner/investor whether they can allocate $100K-$500K to trial marketing and acquisitions, and confirm structure, timing and decision authority.</x:v>
      </x:c>
      <x:c r="U308" s="25" t="str">
        <x:v>https://www.cashhomebuyersdirectory.com/cash-home-buyers/north-carolina/raleigh</x:v>
      </x:c>
      <x:c r="V308" s="26" t="d">
        <x:v>2026-10-02T00:00:00.000Z</x:v>
      </x:c>
      <x:c r="W308" s="26" t="d">
        <x:v>2026-10-02T00:00:00.000Z</x:v>
      </x:c>
      <x:c r="X308" s="25" t="str">
        <x:v>Public investor directory; business role and contact ownership require qualification</x:v>
      </x:c>
      <x:c r="Y308" s="25"/>
      <x:c r="Z308" s="25" t="str">
        <x:v>https://www.cashhomebuyersdirectory.com/cash-home-buyers/north-carolina/raleigh</x:v>
      </x:c>
      <x:c r="AA308" s="25" t="str">
        <x:v>Public cash-home-buyer directory lists business name, phone and market. Directory entry may include brokers or service providers.</x:v>
      </x:c>
      <x:c r="AB308" s="3" t="str">
        <x:v>New public-source collection</x:v>
      </x:c>
      <x:c r="AC308" s="3" t="str">
        <x:v>unverified</x:v>
      </x:c>
      <x:c r="AD308" s="3" t="str">
        <x:v>Not contacted / unconfirmed</x:v>
      </x:c>
      <x:c r="AE308" s="3" t="str">
        <x:v>No</x:v>
      </x:c>
      <x:c r="AF308" s="3" t="str">
        <x:v>No</x:v>
      </x:c>
      <x:c r="AG308" s="3"/>
      <x:c r="AH308" s="3"/>
      <x:c r="AI308" s="18"/>
      <x:c r="AJ308" s="3" t="str">
        <x:v>CF2500-6CF01A357B17</x:v>
      </x:c>
      <x:c r="AK308" s="3" t="str">
        <x:v>Property investor / home-buying operator prospect</x:v>
      </x:c>
      <x:c r="AL308" s="19" t="n">
        <x:v>100000</x:v>
      </x:c>
      <x:c r="AM308" s="19" t="n">
        <x:v>500000</x:v>
      </x:c>
      <x:c r="AN308" s="3" t="str">
        <x:v>https://www.cashhomebuyersdirectory.com/cash-home-buyers/north-carolina/raleigh</x:v>
      </x:c>
      <x:c r="AO308" s="3" t="str">
        <x:v>nc_il_az_co_investors.jsonl</x:v>
      </x:c>
      <x:c r="AP308" s="19"/>
    </x:row>
    <x:row r="309" ht="36" customHeight="1">
      <x:c r="A309" s="23" t="n">
        <x:v>308</x:v>
      </x:c>
      <x:c r="B309" s="15" t="str">
        <x:v>Obi Buys - Freedom Home Buyers</x:v>
      </x:c>
      <x:c r="C309" s="15"/>
      <x:c r="D309" s="15" t="str">
        <x:v>Property investor / home-buying operator</x:v>
      </x:c>
      <x:c r="E309" s="15" t="str">
        <x:v>Property investor / operator inquiry</x:v>
      </x:c>
      <x:c r="F309" s="17" t="str">
        <x:v>New</x:v>
      </x:c>
      <x:c r="G309" s="24"/>
      <x:c r="H309" s="24" t="str">
        <x:v>+19045934699</x:v>
      </x:c>
      <x:c r="I309" s="24" t="str">
        <x:v>https://www.obibuys.com/</x:v>
      </x:c>
      <x:c r="J309" s="16" t="str">
        <x:v>FL</x:v>
      </x:c>
      <x:c r="K309" s="16" t="str">
        <x:v>Jacksonville</x:v>
      </x:c>
      <x:c r="L309" s="16" t="str">
        <x:v>Public property-business route; investor decision maker unconfirmed</x:v>
      </x:c>
      <x:c r="M309" s="16" t="str">
        <x:v>https://www.obibuys.com/</x:v>
      </x:c>
      <x:c r="N309" s="16" t="str">
        <x:v>$100K-$500K ticket not published / unconfirmed</x:v>
      </x:c>
      <x:c r="O309" s="20"/>
      <x:c r="P309" s="20"/>
      <x:c r="Q309" s="25" t="str">
        <x:v>No $100K-$500K corporate-investment ticket published in checked source</x:v>
      </x:c>
      <x:c r="R309" s="25" t="str">
        <x:v>Property acquisition or investor activity makes this an operator-capital prospect for the signed trial. Confirm operating-company debt/equity appetite.</x:v>
      </x:c>
      <x:c r="S309" s="25" t="str">
        <x:v>Home-buying activity does not verify ability or willingness to invest $100K-$500K into 101XVC operating company. Website and contact verification pending.</x:v>
      </x:c>
      <x:c r="T309" s="25" t="str">
        <x:v>Ask the owner/investor whether they can allocate $100K-$500K to trial marketing and acquisitions, and confirm structure, timing and decision authority.</x:v>
      </x:c>
      <x:c r="U309" s="25" t="str">
        <x:v>https://www.cashhomebuyersdirectory.com/cash-home-buyers/florida/jacksonville</x:v>
      </x:c>
      <x:c r="V309" s="26" t="d">
        <x:v>2026-10-02T00:00:00.000Z</x:v>
      </x:c>
      <x:c r="W309" s="26" t="d">
        <x:v>2026-10-03T00:00:00.000Z</x:v>
      </x:c>
      <x:c r="X309" s="25" t="str">
        <x:v>Public investor directory; business role and contact ownership require qualification</x:v>
      </x:c>
      <x:c r="Y309" s="25"/>
      <x:c r="Z309" s="25" t="str">
        <x:v>https://www.cashhomebuyersdirectory.com/cash-home-buyers/florida/jacksonville</x:v>
      </x:c>
      <x:c r="AA309" s="25" t="str">
        <x:v>Public cash-home-buyer directory lists business name, phone and market. Directory entry may include brokers or service providers.</x:v>
      </x:c>
      <x:c r="AB309" s="3" t="str">
        <x:v>New public-source collection</x:v>
      </x:c>
      <x:c r="AC309" s="3" t="str">
        <x:v>unverified</x:v>
      </x:c>
      <x:c r="AD309" s="3" t="str">
        <x:v>Not contacted / unconfirmed</x:v>
      </x:c>
      <x:c r="AE309" s="3" t="str">
        <x:v>No</x:v>
      </x:c>
      <x:c r="AF309" s="3" t="str">
        <x:v>No</x:v>
      </x:c>
      <x:c r="AG309" s="3"/>
      <x:c r="AH309" s="3"/>
      <x:c r="AI309" s="18"/>
      <x:c r="AJ309" s="3" t="str">
        <x:v>CF2500-1EECFF92D339</x:v>
      </x:c>
      <x:c r="AK309" s="3" t="str">
        <x:v>Property investor / home-buying operator prospect</x:v>
      </x:c>
      <x:c r="AL309" s="19" t="n">
        <x:v>100000</x:v>
      </x:c>
      <x:c r="AM309" s="19" t="n">
        <x:v>500000</x:v>
      </x:c>
      <x:c r="AN309" s="3" t="str">
        <x:v>https://www.cashhomebuyersdirectory.com/cash-home-buyers/florida/jacksonville</x:v>
      </x:c>
      <x:c r="AO309" s="3" t="str">
        <x:v>tx_fl_investors.jsonl</x:v>
      </x:c>
      <x:c r="AP309" s="19"/>
    </x:row>
    <x:row r="310" ht="36" customHeight="1">
      <x:c r="A310" s="23" t="n">
        <x:v>309</x:v>
      </x:c>
      <x:c r="B310" s="15" t="str">
        <x:v>Ocala Cash Homebuyers, LLC</x:v>
      </x:c>
      <x:c r="C310" s="15"/>
      <x:c r="D310" s="15" t="str">
        <x:v>Property investor / home-buying operator</x:v>
      </x:c>
      <x:c r="E310" s="15" t="str">
        <x:v>Property investor / operator inquiry</x:v>
      </x:c>
      <x:c r="F310" s="17" t="str">
        <x:v>New</x:v>
      </x:c>
      <x:c r="G310" s="24"/>
      <x:c r="H310" s="24" t="str">
        <x:v>+13526154468</x:v>
      </x:c>
      <x:c r="I310" s="24" t="str">
        <x:v>https://webuyocalahouses.com/?utm_campaign=gmb</x:v>
      </x:c>
      <x:c r="J310" s="16" t="str">
        <x:v>FL</x:v>
      </x:c>
      <x:c r="K310" s="16"/>
      <x:c r="L310" s="16" t="str">
        <x:v>Public property-business route; investor decision maker unconfirmed</x:v>
      </x:c>
      <x:c r="M310" s="16" t="str">
        <x:v>https://webuyocalahouses.com/?utm_campaign=gmb</x:v>
      </x:c>
      <x:c r="N310" s="16" t="str">
        <x:v>$100K-$500K ticket not published / unconfirmed</x:v>
      </x:c>
      <x:c r="O310" s="20"/>
      <x:c r="P310" s="20"/>
      <x:c r="Q310" s="25" t="str">
        <x:v>No $100K-$500K corporate-investment ticket published in checked source</x:v>
      </x:c>
      <x:c r="R310" s="25" t="str">
        <x:v>Property acquisition or investor activity makes this an operator-capital prospect for the signed trial. Confirm operating-company debt/equity appetite.</x:v>
      </x:c>
      <x:c r="S310" s="25" t="str">
        <x:v>Home-buying activity does not verify ability or willingness to invest $100K-$500K into 101XVC operating company. Website and contact verification pending.</x:v>
      </x:c>
      <x:c r="T310" s="25" t="str">
        <x:v>Ask the owner/investor whether they can allocate $100K-$500K to trial marketing and acquisitions, and confirm structure, timing and decision authority.</x:v>
      </x:c>
      <x:c r="U310" s="25" t="str">
        <x:v>https://www.cashhomebuyersdirectory.com/cash-home-buyers/florida/ocala</x:v>
      </x:c>
      <x:c r="V310" s="26" t="d">
        <x:v>2026-10-02T00:00:00.000Z</x:v>
      </x:c>
      <x:c r="W310" s="26" t="d">
        <x:v>2026-10-03T00:00:00.000Z</x:v>
      </x:c>
      <x:c r="X310" s="25" t="str">
        <x:v>Public investor directory; business role and contact ownership require qualification</x:v>
      </x:c>
      <x:c r="Y310" s="25"/>
      <x:c r="Z310" s="25" t="str">
        <x:v>https://www.cashhomebuyersdirectory.com/cash-home-buyers/florida/ocala</x:v>
      </x:c>
      <x:c r="AA310" s="25" t="str">
        <x:v>Public cash-home-buyer directory lists business name, phone and market. Directory entry may include brokers or service providers.</x:v>
      </x:c>
      <x:c r="AB310" s="3" t="str">
        <x:v>New public-source collection</x:v>
      </x:c>
      <x:c r="AC310" s="3" t="str">
        <x:v>unverified</x:v>
      </x:c>
      <x:c r="AD310" s="3" t="str">
        <x:v>Not contacted / unconfirmed</x:v>
      </x:c>
      <x:c r="AE310" s="3" t="str">
        <x:v>No</x:v>
      </x:c>
      <x:c r="AF310" s="3" t="str">
        <x:v>No</x:v>
      </x:c>
      <x:c r="AG310" s="3"/>
      <x:c r="AH310" s="3"/>
      <x:c r="AI310" s="18"/>
      <x:c r="AJ310" s="3" t="str">
        <x:v>CF2500-A561884CC3C1</x:v>
      </x:c>
      <x:c r="AK310" s="3" t="str">
        <x:v>Property investor / home-buying operator prospect</x:v>
      </x:c>
      <x:c r="AL310" s="19" t="n">
        <x:v>100000</x:v>
      </x:c>
      <x:c r="AM310" s="19" t="n">
        <x:v>500000</x:v>
      </x:c>
      <x:c r="AN310" s="3" t="str">
        <x:v>https://www.cashhomebuyersdirectory.com/cash-home-buyers/florida/ocala</x:v>
      </x:c>
      <x:c r="AO310" s="3" t="str">
        <x:v>tx_fl_investors.jsonl</x:v>
      </x:c>
      <x:c r="AP310" s="19"/>
    </x:row>
    <x:row r="311" ht="36" customHeight="1">
      <x:c r="A311" s="23" t="n">
        <x:v>310</x:v>
      </x:c>
      <x:c r="B311" s="15" t="str">
        <x:v>OfferQuick Home Buyers</x:v>
      </x:c>
      <x:c r="C311" s="15"/>
      <x:c r="D311" s="15" t="str">
        <x:v>Property investor / home-buying operator</x:v>
      </x:c>
      <x:c r="E311" s="15" t="str">
        <x:v>Property investor / operator inquiry</x:v>
      </x:c>
      <x:c r="F311" s="17" t="str">
        <x:v>New</x:v>
      </x:c>
      <x:c r="G311" s="24"/>
      <x:c r="H311" s="24" t="str">
        <x:v>+19315369328</x:v>
      </x:c>
      <x:c r="I311" s="24" t="str">
        <x:v>http://offerquick.com/</x:v>
      </x:c>
      <x:c r="J311" s="16" t="str">
        <x:v>NC</x:v>
      </x:c>
      <x:c r="K311" s="16" t="str">
        <x:v>Raleigh</x:v>
      </x:c>
      <x:c r="L311" s="16" t="str">
        <x:v>Public property-business route; investor decision maker unconfirmed</x:v>
      </x:c>
      <x:c r="M311" s="16" t="str">
        <x:v>http://offerquick.com/</x:v>
      </x:c>
      <x:c r="N311" s="16" t="str">
        <x:v>$100K-$500K ticket not published / unconfirmed</x:v>
      </x:c>
      <x:c r="O311" s="20"/>
      <x:c r="P311" s="20"/>
      <x:c r="Q311" s="25" t="str">
        <x:v>No $100K-$500K operating-company investment ticket verified</x:v>
      </x:c>
      <x:c r="R311" s="25" t="str">
        <x:v>Property acquisition or investor activity makes this an operator-capital prospect for the signed trial. Confirm operating-company debt/equity appetite.</x:v>
      </x:c>
      <x:c r="S311" s="25" t="str">
        <x:v>Public property-buying activity or a directory listing does not establish available cash, investing decision-maker, current $100K-$500K capacity, or willingness to fund 101XVC operating costs.</x:v>
      </x:c>
      <x:c r="T311" s="25" t="str">
        <x:v>Ask the owner/investor whether they can allocate $100K-$500K to trial marketing and acquisitions, and confirm structure, timing and decision authority.</x:v>
      </x:c>
      <x:c r="U311" s="25" t="str">
        <x:v>https://www.cashhomebuyersdirectory.com/cash-home-buyers/north-carolina/raleigh</x:v>
      </x:c>
      <x:c r="V311" s="26" t="d">
        <x:v>2026-10-02T00:00:00.000Z</x:v>
      </x:c>
      <x:c r="W311" s="26" t="d">
        <x:v>2026-10-02T00:00:00.000Z</x:v>
      </x:c>
      <x:c r="X311" s="25" t="str">
        <x:v>Public investor directory; business role and contact ownership require qualification</x:v>
      </x:c>
      <x:c r="Y311" s="25"/>
      <x:c r="Z311" s="25" t="str">
        <x:v>https://www.cashhomebuyersdirectory.com/cash-home-buyers/north-carolina/raleigh</x:v>
      </x:c>
      <x:c r="AA311" s="25" t="str">
        <x:v>Public cash-home-buyer directory lists business name, phone and market. Directory entry may include brokers or service providers.</x:v>
      </x:c>
      <x:c r="AB311" s="3" t="str">
        <x:v>New public-source collection</x:v>
      </x:c>
      <x:c r="AC311" s="3" t="str">
        <x:v>unverified</x:v>
      </x:c>
      <x:c r="AD311" s="3" t="str">
        <x:v>Not contacted / unconfirmed</x:v>
      </x:c>
      <x:c r="AE311" s="3" t="str">
        <x:v>No</x:v>
      </x:c>
      <x:c r="AF311" s="3" t="str">
        <x:v>No</x:v>
      </x:c>
      <x:c r="AG311" s="3"/>
      <x:c r="AH311" s="3"/>
      <x:c r="AI311" s="18"/>
      <x:c r="AJ311" s="3" t="str">
        <x:v>CF2500-366BF9E15C63</x:v>
      </x:c>
      <x:c r="AK311" s="3" t="str">
        <x:v>Property investor / home-buying operator prospect</x:v>
      </x:c>
      <x:c r="AL311" s="19" t="n">
        <x:v>100000</x:v>
      </x:c>
      <x:c r="AM311" s="19" t="n">
        <x:v>500000</x:v>
      </x:c>
      <x:c r="AN311" s="3" t="str">
        <x:v>https://www.cashhomebuyersdirectory.com/cash-home-buyers/north-carolina/raleigh</x:v>
      </x:c>
      <x:c r="AO311" s="3" t="str">
        <x:v>nc_il_az_co_investors.jsonl</x:v>
      </x:c>
      <x:c r="AP311" s="19"/>
    </x:row>
    <x:row r="312" ht="36" customHeight="1">
      <x:c r="A312" s="23" t="n">
        <x:v>311</x:v>
      </x:c>
      <x:c r="B312" s="15" t="str">
        <x:v>OT HOME BUYERS</x:v>
      </x:c>
      <x:c r="C312" s="15"/>
      <x:c r="D312" s="15" t="str">
        <x:v>Property investor / home-buying operator</x:v>
      </x:c>
      <x:c r="E312" s="15" t="str">
        <x:v>Property investor / operator inquiry</x:v>
      </x:c>
      <x:c r="F312" s="17" t="str">
        <x:v>New</x:v>
      </x:c>
      <x:c r="G312" s="24"/>
      <x:c r="H312" s="24" t="str">
        <x:v>+16822677741</x:v>
      </x:c>
      <x:c r="I312" s="24" t="str">
        <x:v>https://othomebuyers.com/</x:v>
      </x:c>
      <x:c r="J312" s="16" t="str">
        <x:v>TX</x:v>
      </x:c>
      <x:c r="K312" s="16" t="str">
        <x:v>Dallas</x:v>
      </x:c>
      <x:c r="L312" s="16" t="str">
        <x:v>Public property-business route; investor decision maker unconfirmed</x:v>
      </x:c>
      <x:c r="M312" s="16" t="str">
        <x:v>https://othomebuyers.com/</x:v>
      </x:c>
      <x:c r="N312" s="16" t="str">
        <x:v>$100K-$500K ticket not published / unconfirmed</x:v>
      </x:c>
      <x:c r="O312" s="20"/>
      <x:c r="P312" s="20"/>
      <x:c r="Q312" s="25" t="str">
        <x:v>No $100K-$500K corporate-investment ticket published in checked source</x:v>
      </x:c>
      <x:c r="R312" s="25" t="str">
        <x:v>Property acquisition or investor activity makes this an operator-capital prospect for the signed trial. Confirm operating-company debt/equity appetite.</x:v>
      </x:c>
      <x:c r="S312" s="25" t="str">
        <x:v>Home-buying activity does not verify ability or willingness to invest $100K-$500K into 101XVC operating company. Website and contact verification pending.</x:v>
      </x:c>
      <x:c r="T312" s="25" t="str">
        <x:v>Ask the owner/investor whether they can allocate $100K-$500K to trial marketing and acquisitions, and confirm structure, timing and decision authority.</x:v>
      </x:c>
      <x:c r="U312" s="25" t="str">
        <x:v>https://www.cashhomebuyersdirectory.com/cash-home-buyers/texas/dallas</x:v>
      </x:c>
      <x:c r="V312" s="26" t="d">
        <x:v>2026-10-02T00:00:00.000Z</x:v>
      </x:c>
      <x:c r="W312" s="26" t="d">
        <x:v>2026-10-03T00:00:00.000Z</x:v>
      </x:c>
      <x:c r="X312" s="25" t="str">
        <x:v>Public investor directory; business role and contact ownership require qualification</x:v>
      </x:c>
      <x:c r="Y312" s="25"/>
      <x:c r="Z312" s="25" t="str">
        <x:v>https://www.cashhomebuyersdirectory.com/cash-home-buyers/texas/dallas</x:v>
      </x:c>
      <x:c r="AA312" s="25" t="str">
        <x:v>Public cash-home-buyer directory lists business name, phone and market. Directory entry may include brokers or service providers.</x:v>
      </x:c>
      <x:c r="AB312" s="3" t="str">
        <x:v>New public-source collection</x:v>
      </x:c>
      <x:c r="AC312" s="3" t="str">
        <x:v>unverified</x:v>
      </x:c>
      <x:c r="AD312" s="3" t="str">
        <x:v>Not contacted / unconfirmed</x:v>
      </x:c>
      <x:c r="AE312" s="3" t="str">
        <x:v>No</x:v>
      </x:c>
      <x:c r="AF312" s="3" t="str">
        <x:v>No</x:v>
      </x:c>
      <x:c r="AG312" s="3"/>
      <x:c r="AH312" s="3"/>
      <x:c r="AI312" s="18"/>
      <x:c r="AJ312" s="3" t="str">
        <x:v>CF2500-3B72C8AF5485</x:v>
      </x:c>
      <x:c r="AK312" s="3" t="str">
        <x:v>Property investor / home-buying operator prospect</x:v>
      </x:c>
      <x:c r="AL312" s="19" t="n">
        <x:v>100000</x:v>
      </x:c>
      <x:c r="AM312" s="19" t="n">
        <x:v>500000</x:v>
      </x:c>
      <x:c r="AN312" s="3" t="str">
        <x:v>https://www.cashhomebuyersdirectory.com/cash-home-buyers/texas/dallas</x:v>
      </x:c>
      <x:c r="AO312" s="3" t="str">
        <x:v>tx_fl_investors.jsonl</x:v>
      </x:c>
      <x:c r="AP312" s="19"/>
    </x:row>
    <x:row r="313" ht="36" customHeight="1">
      <x:c r="A313" s="23" t="n">
        <x:v>312</x:v>
      </x:c>
      <x:c r="B313" s="15" t="str">
        <x:v>Palm City Home Buyers</x:v>
      </x:c>
      <x:c r="C313" s="15"/>
      <x:c r="D313" s="15" t="str">
        <x:v>Property investor / home-buying operator</x:v>
      </x:c>
      <x:c r="E313" s="15" t="str">
        <x:v>Property investor / operator inquiry</x:v>
      </x:c>
      <x:c r="F313" s="17" t="str">
        <x:v>New</x:v>
      </x:c>
      <x:c r="G313" s="24"/>
      <x:c r="H313" s="24" t="str">
        <x:v>+12398486563</x:v>
      </x:c>
      <x:c r="I313" s="24" t="str">
        <x:v>http://www.palmcityhomebuyers.com/</x:v>
      </x:c>
      <x:c r="J313" s="16" t="str">
        <x:v>FL</x:v>
      </x:c>
      <x:c r="K313" s="16" t="str">
        <x:v>Cape Coral</x:v>
      </x:c>
      <x:c r="L313" s="16" t="str">
        <x:v>Public property-business route; investor decision maker unconfirmed</x:v>
      </x:c>
      <x:c r="M313" s="16" t="str">
        <x:v>http://www.palmcityhomebuyers.com/</x:v>
      </x:c>
      <x:c r="N313" s="16" t="str">
        <x:v>$100K-$500K ticket not published / unconfirmed</x:v>
      </x:c>
      <x:c r="O313" s="20"/>
      <x:c r="P313" s="20"/>
      <x:c r="Q313" s="25" t="str">
        <x:v>No $100K-$500K corporate-investment ticket published in checked source</x:v>
      </x:c>
      <x:c r="R313" s="25" t="str">
        <x:v>Property acquisition or investor activity makes this an operator-capital prospect for the signed trial. Confirm operating-company debt/equity appetite.</x:v>
      </x:c>
      <x:c r="S313" s="25" t="str">
        <x:v>Home-buying activity does not verify ability or willingness to invest $100K-$500K into 101XVC operating company. Website and contact verification pending.</x:v>
      </x:c>
      <x:c r="T313" s="25" t="str">
        <x:v>Ask the owner/investor whether they can allocate $100K-$500K to trial marketing and acquisitions, and confirm structure, timing and decision authority.</x:v>
      </x:c>
      <x:c r="U313" s="25" t="str">
        <x:v>https://www.cashhomebuyersdirectory.com/cash-home-buyers/florida/cape-coral</x:v>
      </x:c>
      <x:c r="V313" s="26" t="d">
        <x:v>2026-10-02T00:00:00.000Z</x:v>
      </x:c>
      <x:c r="W313" s="26" t="d">
        <x:v>2026-10-03T00:00:00.000Z</x:v>
      </x:c>
      <x:c r="X313" s="25" t="str">
        <x:v>Public investor directory; business role and contact ownership require qualification</x:v>
      </x:c>
      <x:c r="Y313" s="25"/>
      <x:c r="Z313" s="25" t="str">
        <x:v>https://www.cashhomebuyersdirectory.com/cash-home-buyers/florida/cape-coral</x:v>
      </x:c>
      <x:c r="AA313" s="25" t="str">
        <x:v>Public cash-home-buyer directory lists business name, phone and market. Directory entry may include brokers or service providers.</x:v>
      </x:c>
      <x:c r="AB313" s="3" t="str">
        <x:v>New public-source collection</x:v>
      </x:c>
      <x:c r="AC313" s="3" t="str">
        <x:v>unverified</x:v>
      </x:c>
      <x:c r="AD313" s="3" t="str">
        <x:v>Not contacted / unconfirmed</x:v>
      </x:c>
      <x:c r="AE313" s="3" t="str">
        <x:v>No</x:v>
      </x:c>
      <x:c r="AF313" s="3" t="str">
        <x:v>No</x:v>
      </x:c>
      <x:c r="AG313" s="3"/>
      <x:c r="AH313" s="3"/>
      <x:c r="AI313" s="18"/>
      <x:c r="AJ313" s="3" t="str">
        <x:v>CF2500-295E77FCA7EB</x:v>
      </x:c>
      <x:c r="AK313" s="3" t="str">
        <x:v>Property investor / home-buying operator prospect</x:v>
      </x:c>
      <x:c r="AL313" s="19" t="n">
        <x:v>100000</x:v>
      </x:c>
      <x:c r="AM313" s="19" t="n">
        <x:v>500000</x:v>
      </x:c>
      <x:c r="AN313" s="3" t="str">
        <x:v>https://www.cashhomebuyersdirectory.com/cash-home-buyers/florida/cape-coral</x:v>
      </x:c>
      <x:c r="AO313" s="3" t="str">
        <x:v>tx_fl_investors.jsonl</x:v>
      </x:c>
      <x:c r="AP313" s="19"/>
    </x:row>
    <x:row r="314" ht="36" customHeight="1">
      <x:c r="A314" s="23" t="n">
        <x:v>313</x:v>
      </x:c>
      <x:c r="B314" s="15" t="str">
        <x:v>Paragon Home Buyers</x:v>
      </x:c>
      <x:c r="C314" s="15"/>
      <x:c r="D314" s="15" t="str">
        <x:v>Property investor / home-buying operator</x:v>
      </x:c>
      <x:c r="E314" s="15" t="str">
        <x:v>Property investor / operator inquiry</x:v>
      </x:c>
      <x:c r="F314" s="17" t="str">
        <x:v>New</x:v>
      </x:c>
      <x:c r="G314" s="24"/>
      <x:c r="H314" s="24" t="str">
        <x:v>+14697272663</x:v>
      </x:c>
      <x:c r="I314" s="24" t="str">
        <x:v>https://paragonhb.com/</x:v>
      </x:c>
      <x:c r="J314" s="16" t="str">
        <x:v>TX</x:v>
      </x:c>
      <x:c r="K314" s="16" t="str">
        <x:v>Houston</x:v>
      </x:c>
      <x:c r="L314" s="16" t="str">
        <x:v>Public property-business route; investor decision maker unconfirmed</x:v>
      </x:c>
      <x:c r="M314" s="16" t="str">
        <x:v>https://paragonhb.com/</x:v>
      </x:c>
      <x:c r="N314" s="16" t="str">
        <x:v>$100K-$500K ticket not published / unconfirmed</x:v>
      </x:c>
      <x:c r="O314" s="20"/>
      <x:c r="P314" s="20"/>
      <x:c r="Q314" s="25" t="str">
        <x:v>No $100K-$500K corporate-investment ticket published in checked source</x:v>
      </x:c>
      <x:c r="R314" s="25" t="str">
        <x:v>Property acquisition or investor activity makes this an operator-capital prospect for the signed trial. Confirm operating-company debt/equity appetite.</x:v>
      </x:c>
      <x:c r="S314" s="25" t="str">
        <x:v>Home-buying activity does not verify ability or willingness to invest $100K-$500K into 101XVC operating company. Website and contact verification pending.</x:v>
      </x:c>
      <x:c r="T314" s="25" t="str">
        <x:v>Ask the owner/investor whether they can allocate $100K-$500K to trial marketing and acquisitions, and confirm structure, timing and decision authority.</x:v>
      </x:c>
      <x:c r="U314" s="25" t="str">
        <x:v>https://www.cashhomebuyersdirectory.com/cash-home-buyers/texas/houston</x:v>
      </x:c>
      <x:c r="V314" s="26" t="d">
        <x:v>2026-10-02T00:00:00.000Z</x:v>
      </x:c>
      <x:c r="W314" s="26" t="d">
        <x:v>2026-10-03T00:00:00.000Z</x:v>
      </x:c>
      <x:c r="X314" s="25" t="str">
        <x:v>Public investor directory; business role and contact ownership require qualification</x:v>
      </x:c>
      <x:c r="Y314" s="25"/>
      <x:c r="Z314" s="25" t="str">
        <x:v>https://www.cashhomebuyersdirectory.com/cash-home-buyers/texas/houston</x:v>
      </x:c>
      <x:c r="AA314" s="25" t="str">
        <x:v>Public cash-home-buyer directory lists business name, phone and market. Directory entry may include brokers or service providers.</x:v>
      </x:c>
      <x:c r="AB314" s="3" t="str">
        <x:v>New public-source collection</x:v>
      </x:c>
      <x:c r="AC314" s="3" t="str">
        <x:v>unverified</x:v>
      </x:c>
      <x:c r="AD314" s="3" t="str">
        <x:v>Not contacted / unconfirmed</x:v>
      </x:c>
      <x:c r="AE314" s="3" t="str">
        <x:v>No</x:v>
      </x:c>
      <x:c r="AF314" s="3" t="str">
        <x:v>No</x:v>
      </x:c>
      <x:c r="AG314" s="3"/>
      <x:c r="AH314" s="3"/>
      <x:c r="AI314" s="18"/>
      <x:c r="AJ314" s="3" t="str">
        <x:v>CF2500-C051B8AF38B3</x:v>
      </x:c>
      <x:c r="AK314" s="3" t="str">
        <x:v>Property investor / home-buying operator prospect</x:v>
      </x:c>
      <x:c r="AL314" s="19" t="n">
        <x:v>100000</x:v>
      </x:c>
      <x:c r="AM314" s="19" t="n">
        <x:v>500000</x:v>
      </x:c>
      <x:c r="AN314" s="3" t="str">
        <x:v>https://www.cashhomebuyersdirectory.com/cash-home-buyers/texas/houston</x:v>
      </x:c>
      <x:c r="AO314" s="3" t="str">
        <x:v>tx_fl_investors.jsonl</x:v>
      </x:c>
      <x:c r="AP314" s="19"/>
    </x:row>
    <x:row r="315" ht="36" customHeight="1">
      <x:c r="A315" s="23" t="n">
        <x:v>314</x:v>
      </x:c>
      <x:c r="B315" s="15" t="str">
        <x:v>PCola Home Buyers</x:v>
      </x:c>
      <x:c r="C315" s="15"/>
      <x:c r="D315" s="15" t="str">
        <x:v>Property investor / home-buying operator</x:v>
      </x:c>
      <x:c r="E315" s="15" t="str">
        <x:v>Property investor / operator inquiry</x:v>
      </x:c>
      <x:c r="F315" s="17" t="str">
        <x:v>New</x:v>
      </x:c>
      <x:c r="G315" s="24"/>
      <x:c r="H315" s="24" t="str">
        <x:v>+18509900423</x:v>
      </x:c>
      <x:c r="I315" s="24" t="str">
        <x:v>http://www.pcolahomebuyers.com/</x:v>
      </x:c>
      <x:c r="J315" s="16" t="str">
        <x:v>FL</x:v>
      </x:c>
      <x:c r="K315" s="16" t="str">
        <x:v>Pensacola</x:v>
      </x:c>
      <x:c r="L315" s="16" t="str">
        <x:v>Public property-business route; investor decision maker unconfirmed</x:v>
      </x:c>
      <x:c r="M315" s="16" t="str">
        <x:v>http://www.pcolahomebuyers.com/</x:v>
      </x:c>
      <x:c r="N315" s="16" t="str">
        <x:v>$100K-$500K ticket not published / unconfirmed</x:v>
      </x:c>
      <x:c r="O315" s="20"/>
      <x:c r="P315" s="20"/>
      <x:c r="Q315" s="25" t="str">
        <x:v>No $100K-$500K corporate-investment ticket published in checked source</x:v>
      </x:c>
      <x:c r="R315" s="25" t="str">
        <x:v>Property acquisition or investor activity makes this an operator-capital prospect for the signed trial. Confirm operating-company debt/equity appetite.</x:v>
      </x:c>
      <x:c r="S315" s="25" t="str">
        <x:v>Home-buying activity does not verify ability or willingness to invest $100K-$500K into 101XVC operating company. Website and contact verification pending.</x:v>
      </x:c>
      <x:c r="T315" s="25" t="str">
        <x:v>Ask the owner/investor whether they can allocate $100K-$500K to trial marketing and acquisitions, and confirm structure, timing and decision authority.</x:v>
      </x:c>
      <x:c r="U315" s="25" t="str">
        <x:v>https://www.cashhomebuyersdirectory.com/cash-home-buyers/florida/pensacola</x:v>
      </x:c>
      <x:c r="V315" s="26" t="d">
        <x:v>2026-10-02T00:00:00.000Z</x:v>
      </x:c>
      <x:c r="W315" s="26" t="d">
        <x:v>2026-10-03T00:00:00.000Z</x:v>
      </x:c>
      <x:c r="X315" s="25" t="str">
        <x:v>Public investor directory; business role and contact ownership require qualification</x:v>
      </x:c>
      <x:c r="Y315" s="25"/>
      <x:c r="Z315" s="25" t="str">
        <x:v>https://www.cashhomebuyersdirectory.com/cash-home-buyers/florida/pensacola</x:v>
      </x:c>
      <x:c r="AA315" s="25" t="str">
        <x:v>Public cash-home-buyer directory lists business name, phone and market. Directory entry may include brokers or service providers.</x:v>
      </x:c>
      <x:c r="AB315" s="3" t="str">
        <x:v>New public-source collection</x:v>
      </x:c>
      <x:c r="AC315" s="3" t="str">
        <x:v>unverified</x:v>
      </x:c>
      <x:c r="AD315" s="3" t="str">
        <x:v>Not contacted / unconfirmed</x:v>
      </x:c>
      <x:c r="AE315" s="3" t="str">
        <x:v>No</x:v>
      </x:c>
      <x:c r="AF315" s="3" t="str">
        <x:v>No</x:v>
      </x:c>
      <x:c r="AG315" s="3"/>
      <x:c r="AH315" s="3"/>
      <x:c r="AI315" s="18"/>
      <x:c r="AJ315" s="3" t="str">
        <x:v>CF2500-EEDDBBFEDCEF</x:v>
      </x:c>
      <x:c r="AK315" s="3" t="str">
        <x:v>Property investor / home-buying operator prospect</x:v>
      </x:c>
      <x:c r="AL315" s="19" t="n">
        <x:v>100000</x:v>
      </x:c>
      <x:c r="AM315" s="19" t="n">
        <x:v>500000</x:v>
      </x:c>
      <x:c r="AN315" s="3" t="str">
        <x:v>https://www.cashhomebuyersdirectory.com/cash-home-buyers/florida/pensacola</x:v>
      </x:c>
      <x:c r="AO315" s="3" t="str">
        <x:v>tx_fl_investors.jsonl</x:v>
      </x:c>
      <x:c r="AP315" s="19"/>
    </x:row>
    <x:row r="316" ht="36" customHeight="1">
      <x:c r="A316" s="23" t="n">
        <x:v>315</x:v>
      </x:c>
      <x:c r="B316" s="15" t="str">
        <x:v>Pelican Home Buyers</x:v>
      </x:c>
      <x:c r="C316" s="15"/>
      <x:c r="D316" s="15" t="str">
        <x:v>Property investor / home-buying operator</x:v>
      </x:c>
      <x:c r="E316" s="15" t="str">
        <x:v>Property investor / operator inquiry</x:v>
      </x:c>
      <x:c r="F316" s="17" t="str">
        <x:v>New</x:v>
      </x:c>
      <x:c r="G316" s="24"/>
      <x:c r="H316" s="24" t="str">
        <x:v>+18507547677</x:v>
      </x:c>
      <x:c r="I316" s="24" t="str">
        <x:v>https://pelicanhomebuyer.com/</x:v>
      </x:c>
      <x:c r="J316" s="16" t="str">
        <x:v>FL</x:v>
      </x:c>
      <x:c r="K316" s="16" t="str">
        <x:v>Pensacola</x:v>
      </x:c>
      <x:c r="L316" s="16" t="str">
        <x:v>Public property-business route; investor decision maker unconfirmed</x:v>
      </x:c>
      <x:c r="M316" s="16" t="str">
        <x:v>https://pelicanhomebuyer.com/</x:v>
      </x:c>
      <x:c r="N316" s="16" t="str">
        <x:v>$100K-$500K ticket not published / unconfirmed</x:v>
      </x:c>
      <x:c r="O316" s="20"/>
      <x:c r="P316" s="20"/>
      <x:c r="Q316" s="25" t="str">
        <x:v>No $100K-$500K corporate-investment ticket published in checked source</x:v>
      </x:c>
      <x:c r="R316" s="25" t="str">
        <x:v>Property acquisition or investor activity makes this an operator-capital prospect for the signed trial. Confirm operating-company debt/equity appetite.</x:v>
      </x:c>
      <x:c r="S316" s="25" t="str">
        <x:v>Home-buying activity does not verify ability or willingness to invest $100K-$500K into 101XVC operating company. Website and contact verification pending.</x:v>
      </x:c>
      <x:c r="T316" s="25" t="str">
        <x:v>Ask the owner/investor whether they can allocate $100K-$500K to trial marketing and acquisitions, and confirm structure, timing and decision authority.</x:v>
      </x:c>
      <x:c r="U316" s="25" t="str">
        <x:v>https://www.cashhomebuyersdirectory.com/cash-home-buyers/florida/pensacola</x:v>
      </x:c>
      <x:c r="V316" s="26" t="d">
        <x:v>2026-10-02T00:00:00.000Z</x:v>
      </x:c>
      <x:c r="W316" s="26" t="d">
        <x:v>2026-10-03T00:00:00.000Z</x:v>
      </x:c>
      <x:c r="X316" s="25" t="str">
        <x:v>Public investor directory; business role and contact ownership require qualification</x:v>
      </x:c>
      <x:c r="Y316" s="25"/>
      <x:c r="Z316" s="25" t="str">
        <x:v>https://www.cashhomebuyersdirectory.com/cash-home-buyers/florida/pensacola</x:v>
      </x:c>
      <x:c r="AA316" s="25" t="str">
        <x:v>Public cash-home-buyer directory lists business name, phone and market. Directory entry may include brokers or service providers.</x:v>
      </x:c>
      <x:c r="AB316" s="3" t="str">
        <x:v>New public-source collection</x:v>
      </x:c>
      <x:c r="AC316" s="3" t="str">
        <x:v>unverified</x:v>
      </x:c>
      <x:c r="AD316" s="3" t="str">
        <x:v>Not contacted / unconfirmed</x:v>
      </x:c>
      <x:c r="AE316" s="3" t="str">
        <x:v>No</x:v>
      </x:c>
      <x:c r="AF316" s="3" t="str">
        <x:v>No</x:v>
      </x:c>
      <x:c r="AG316" s="3"/>
      <x:c r="AH316" s="3"/>
      <x:c r="AI316" s="18"/>
      <x:c r="AJ316" s="3" t="str">
        <x:v>CF2500-AB04EE5E63C8</x:v>
      </x:c>
      <x:c r="AK316" s="3" t="str">
        <x:v>Property investor / home-buying operator prospect</x:v>
      </x:c>
      <x:c r="AL316" s="19" t="n">
        <x:v>100000</x:v>
      </x:c>
      <x:c r="AM316" s="19" t="n">
        <x:v>500000</x:v>
      </x:c>
      <x:c r="AN316" s="3" t="str">
        <x:v>https://www.cashhomebuyersdirectory.com/cash-home-buyers/florida/pensacola</x:v>
      </x:c>
      <x:c r="AO316" s="3" t="str">
        <x:v>tx_fl_investors.jsonl</x:v>
      </x:c>
      <x:c r="AP316" s="19"/>
    </x:row>
    <x:row r="317" ht="36" customHeight="1">
      <x:c r="A317" s="23" t="n">
        <x:v>316</x:v>
      </x:c>
      <x:c r="B317" s="15" t="str">
        <x:v>PG Home Buyers USA®</x:v>
      </x:c>
      <x:c r="C317" s="15"/>
      <x:c r="D317" s="15" t="str">
        <x:v>Property investor / home-buying operator</x:v>
      </x:c>
      <x:c r="E317" s="15" t="str">
        <x:v>Property investor / operator inquiry</x:v>
      </x:c>
      <x:c r="F317" s="17" t="str">
        <x:v>New</x:v>
      </x:c>
      <x:c r="G317" s="24"/>
      <x:c r="H317" s="24" t="str">
        <x:v>+14063028026</x:v>
      </x:c>
      <x:c r="I317" s="24" t="str">
        <x:v>https://pghomebuyersusa.com/</x:v>
      </x:c>
      <x:c r="J317" s="16" t="str">
        <x:v>TX</x:v>
      </x:c>
      <x:c r="K317" s="16" t="str">
        <x:v>Houston</x:v>
      </x:c>
      <x:c r="L317" s="16" t="str">
        <x:v>Public property-business route; investor decision maker unconfirmed</x:v>
      </x:c>
      <x:c r="M317" s="16" t="str">
        <x:v>https://pghomebuyersusa.com/</x:v>
      </x:c>
      <x:c r="N317" s="16" t="str">
        <x:v>$100K-$500K ticket not published / unconfirmed</x:v>
      </x:c>
      <x:c r="O317" s="20"/>
      <x:c r="P317" s="20"/>
      <x:c r="Q317" s="25" t="str">
        <x:v>No $100K-$500K corporate-investment ticket published in checked source</x:v>
      </x:c>
      <x:c r="R317" s="25" t="str">
        <x:v>Property acquisition or investor activity makes this an operator-capital prospect for the signed trial. Confirm operating-company debt/equity appetite.</x:v>
      </x:c>
      <x:c r="S317" s="25" t="str">
        <x:v>Home-buying activity does not verify ability or willingness to invest $100K-$500K into 101XVC operating company. Website and contact verification pending.</x:v>
      </x:c>
      <x:c r="T317" s="25" t="str">
        <x:v>Ask the owner/investor whether they can allocate $100K-$500K to trial marketing and acquisitions, and confirm structure, timing and decision authority.</x:v>
      </x:c>
      <x:c r="U317" s="25" t="str">
        <x:v>https://www.cashhomebuyersdirectory.com/cash-home-buyers/texas/houston</x:v>
      </x:c>
      <x:c r="V317" s="26" t="d">
        <x:v>2026-10-02T00:00:00.000Z</x:v>
      </x:c>
      <x:c r="W317" s="26" t="d">
        <x:v>2026-10-03T00:00:00.000Z</x:v>
      </x:c>
      <x:c r="X317" s="25" t="str">
        <x:v>Public investor directory; business role and contact ownership require qualification</x:v>
      </x:c>
      <x:c r="Y317" s="25"/>
      <x:c r="Z317" s="25" t="str">
        <x:v>https://www.cashhomebuyersdirectory.com/cash-home-buyers/texas/houston</x:v>
      </x:c>
      <x:c r="AA317" s="25" t="str">
        <x:v>Public cash-home-buyer directory lists business name, phone and market. Directory entry may include brokers or service providers.</x:v>
      </x:c>
      <x:c r="AB317" s="3" t="str">
        <x:v>New public-source collection</x:v>
      </x:c>
      <x:c r="AC317" s="3" t="str">
        <x:v>unverified</x:v>
      </x:c>
      <x:c r="AD317" s="3" t="str">
        <x:v>Not contacted / unconfirmed</x:v>
      </x:c>
      <x:c r="AE317" s="3" t="str">
        <x:v>No</x:v>
      </x:c>
      <x:c r="AF317" s="3" t="str">
        <x:v>No</x:v>
      </x:c>
      <x:c r="AG317" s="3"/>
      <x:c r="AH317" s="3"/>
      <x:c r="AI317" s="18"/>
      <x:c r="AJ317" s="3" t="str">
        <x:v>CF2500-4F362B744598</x:v>
      </x:c>
      <x:c r="AK317" s="3" t="str">
        <x:v>Property investor / home-buying operator prospect</x:v>
      </x:c>
      <x:c r="AL317" s="19" t="n">
        <x:v>100000</x:v>
      </x:c>
      <x:c r="AM317" s="19" t="n">
        <x:v>500000</x:v>
      </x:c>
      <x:c r="AN317" s="3" t="str">
        <x:v>https://www.cashhomebuyersdirectory.com/cash-home-buyers/texas/houston</x:v>
      </x:c>
      <x:c r="AO317" s="3" t="str">
        <x:v>tx_fl_investors.jsonl</x:v>
      </x:c>
      <x:c r="AP317" s="19"/>
    </x:row>
    <x:row r="318" ht="36" customHeight="1">
      <x:c r="A318" s="23" t="n">
        <x:v>317</x:v>
      </x:c>
      <x:c r="B318" s="15" t="str">
        <x:v>Pima County Home Buyer | Tucson's Local Cash Home Buyer</x:v>
      </x:c>
      <x:c r="C318" s="15"/>
      <x:c r="D318" s="15" t="str">
        <x:v>Property investor / home-buying operator</x:v>
      </x:c>
      <x:c r="E318" s="15" t="str">
        <x:v>Property investor / operator inquiry</x:v>
      </x:c>
      <x:c r="F318" s="17" t="str">
        <x:v>New</x:v>
      </x:c>
      <x:c r="G318" s="24"/>
      <x:c r="H318" s="24" t="str">
        <x:v>+15209008875</x:v>
      </x:c>
      <x:c r="I318" s="24" t="str">
        <x:v>https://www.pimacountyhomebuyer.com/</x:v>
      </x:c>
      <x:c r="J318" s="16" t="str">
        <x:v>AZ</x:v>
      </x:c>
      <x:c r="K318" s="16"/>
      <x:c r="L318" s="16" t="str">
        <x:v>Public property-business route; investor decision maker unconfirmed</x:v>
      </x:c>
      <x:c r="M318" s="16" t="str">
        <x:v>https://www.pimacountyhomebuyer.com/</x:v>
      </x:c>
      <x:c r="N318" s="16" t="str">
        <x:v>$100K-$500K ticket not published / unconfirmed</x:v>
      </x:c>
      <x:c r="O318" s="20"/>
      <x:c r="P318" s="20"/>
      <x:c r="Q318" s="25" t="str">
        <x:v>No $100K-$500K operating-company investment ticket verified</x:v>
      </x:c>
      <x:c r="R318" s="25" t="str">
        <x:v>Property acquisition or investor activity makes this an operator-capital prospect for the signed trial. Confirm operating-company debt/equity appetite.</x:v>
      </x:c>
      <x:c r="S318" s="25" t="str">
        <x:v>Public property-buying activity or a directory listing does not establish available cash, investing decision-maker, current $100K-$500K capacity, or willingness to fund 101XVC operating costs.</x:v>
      </x:c>
      <x:c r="T318" s="25" t="str">
        <x:v>Ask the owner/investor whether they can allocate $100K-$500K to trial marketing and acquisitions, and confirm structure, timing and decision authority.</x:v>
      </x:c>
      <x:c r="U318" s="25" t="str">
        <x:v>https://www.cashhomebuyersdirectory.com/cash-home-buyers/arizona/tucson</x:v>
      </x:c>
      <x:c r="V318" s="26" t="d">
        <x:v>2026-10-02T00:00:00.000Z</x:v>
      </x:c>
      <x:c r="W318" s="26" t="d">
        <x:v>2026-10-02T00:00:00.000Z</x:v>
      </x:c>
      <x:c r="X318" s="25" t="str">
        <x:v>Public investor directory; business role and contact ownership require qualification</x:v>
      </x:c>
      <x:c r="Y318" s="25"/>
      <x:c r="Z318" s="25" t="str">
        <x:v>https://www.cashhomebuyersdirectory.com/cash-home-buyers/arizona/tucson</x:v>
      </x:c>
      <x:c r="AA318" s="25" t="str">
        <x:v>Public cash-home-buyer directory lists business name, phone and market. Directory entry may include brokers or service providers.</x:v>
      </x:c>
      <x:c r="AB318" s="3" t="str">
        <x:v>New public-source collection</x:v>
      </x:c>
      <x:c r="AC318" s="3" t="str">
        <x:v>unverified</x:v>
      </x:c>
      <x:c r="AD318" s="3" t="str">
        <x:v>Not contacted / unconfirmed</x:v>
      </x:c>
      <x:c r="AE318" s="3" t="str">
        <x:v>No</x:v>
      </x:c>
      <x:c r="AF318" s="3" t="str">
        <x:v>No</x:v>
      </x:c>
      <x:c r="AG318" s="3"/>
      <x:c r="AH318" s="3"/>
      <x:c r="AI318" s="18"/>
      <x:c r="AJ318" s="3" t="str">
        <x:v>CF2500-593D68B4BE99</x:v>
      </x:c>
      <x:c r="AK318" s="3" t="str">
        <x:v>Property investor / home-buying operator prospect</x:v>
      </x:c>
      <x:c r="AL318" s="19" t="n">
        <x:v>100000</x:v>
      </x:c>
      <x:c r="AM318" s="19" t="n">
        <x:v>500000</x:v>
      </x:c>
      <x:c r="AN318" s="3" t="str">
        <x:v>https://www.cashhomebuyersdirectory.com/cash-home-buyers/arizona/tucson</x:v>
      </x:c>
      <x:c r="AO318" s="3" t="str">
        <x:v>nc_il_az_co_investors.jsonl</x:v>
      </x:c>
      <x:c r="AP318" s="19"/>
    </x:row>
    <x:row r="319" ht="36" customHeight="1">
      <x:c r="A319" s="23" t="n">
        <x:v>318</x:v>
      </x:c>
      <x:c r="B319" s="15" t="str">
        <x:v>Pinnacle Home Buyers</x:v>
      </x:c>
      <x:c r="C319" s="15"/>
      <x:c r="D319" s="15" t="str">
        <x:v>Property investor / home-buying operator</x:v>
      </x:c>
      <x:c r="E319" s="15" t="str">
        <x:v>Property investor / operator inquiry</x:v>
      </x:c>
      <x:c r="F319" s="17" t="str">
        <x:v>New</x:v>
      </x:c>
      <x:c r="G319" s="24"/>
      <x:c r="H319" s="24" t="str">
        <x:v>+17043436528</x:v>
      </x:c>
      <x:c r="I319" s="24" t="str">
        <x:v>http://www.topcharlottehomebuyer.com/</x:v>
      </x:c>
      <x:c r="J319" s="16" t="str">
        <x:v>NC</x:v>
      </x:c>
      <x:c r="K319" s="16" t="str">
        <x:v>Charlotte</x:v>
      </x:c>
      <x:c r="L319" s="16" t="str">
        <x:v>Public property-business route; investor decision maker unconfirmed</x:v>
      </x:c>
      <x:c r="M319" s="16" t="str">
        <x:v>http://www.topcharlottehomebuyer.com/</x:v>
      </x:c>
      <x:c r="N319" s="16" t="str">
        <x:v>$100K-$500K ticket not published / unconfirmed</x:v>
      </x:c>
      <x:c r="O319" s="20"/>
      <x:c r="P319" s="20"/>
      <x:c r="Q319" s="25" t="str">
        <x:v>No $100K-$500K operating-company investment ticket verified</x:v>
      </x:c>
      <x:c r="R319" s="25" t="str">
        <x:v>Property acquisition or investor activity makes this an operator-capital prospect for the signed trial. Confirm operating-company debt/equity appetite.</x:v>
      </x:c>
      <x:c r="S319" s="25" t="str">
        <x:v>Public property-buying activity or a directory listing does not establish available cash, investing decision-maker, current $100K-$500K capacity, or willingness to fund 101XVC operating costs.</x:v>
      </x:c>
      <x:c r="T319" s="25" t="str">
        <x:v>Ask the owner/investor whether they can allocate $100K-$500K to trial marketing and acquisitions, and confirm structure, timing and decision authority.</x:v>
      </x:c>
      <x:c r="U319" s="25" t="str">
        <x:v>https://www.cashhomebuyersdirectory.com/cash-home-buyers/north-carolina/charlotte</x:v>
      </x:c>
      <x:c r="V319" s="26" t="d">
        <x:v>2026-10-02T00:00:00.000Z</x:v>
      </x:c>
      <x:c r="W319" s="26" t="d">
        <x:v>2026-10-02T00:00:00.000Z</x:v>
      </x:c>
      <x:c r="X319" s="25" t="str">
        <x:v>Public investor directory; business role and contact ownership require qualification</x:v>
      </x:c>
      <x:c r="Y319" s="25"/>
      <x:c r="Z319" s="25" t="str">
        <x:v>https://www.cashhomebuyersdirectory.com/cash-home-buyers/north-carolina/charlotte</x:v>
      </x:c>
      <x:c r="AA319" s="25" t="str">
        <x:v>Public cash-home-buyer directory lists business name, phone and market. Directory entry may include brokers or service providers.</x:v>
      </x:c>
      <x:c r="AB319" s="3" t="str">
        <x:v>New public-source collection</x:v>
      </x:c>
      <x:c r="AC319" s="3" t="str">
        <x:v>unverified</x:v>
      </x:c>
      <x:c r="AD319" s="3" t="str">
        <x:v>Not contacted / unconfirmed</x:v>
      </x:c>
      <x:c r="AE319" s="3" t="str">
        <x:v>No</x:v>
      </x:c>
      <x:c r="AF319" s="3" t="str">
        <x:v>No</x:v>
      </x:c>
      <x:c r="AG319" s="3"/>
      <x:c r="AH319" s="3"/>
      <x:c r="AI319" s="18"/>
      <x:c r="AJ319" s="3" t="str">
        <x:v>CF2500-06C56B713A09</x:v>
      </x:c>
      <x:c r="AK319" s="3" t="str">
        <x:v>Property investor / home-buying operator prospect</x:v>
      </x:c>
      <x:c r="AL319" s="19" t="n">
        <x:v>100000</x:v>
      </x:c>
      <x:c r="AM319" s="19" t="n">
        <x:v>500000</x:v>
      </x:c>
      <x:c r="AN319" s="3" t="str">
        <x:v>https://www.cashhomebuyersdirectory.com/cash-home-buyers/north-carolina/charlotte</x:v>
      </x:c>
      <x:c r="AO319" s="3" t="str">
        <x:v>nc_il_az_co_investors.jsonl</x:v>
      </x:c>
      <x:c r="AP319" s="19"/>
    </x:row>
    <x:row r="320" ht="36" customHeight="1">
      <x:c r="A320" s="23" t="n">
        <x:v>319</x:v>
      </x:c>
      <x:c r="B320" s="15" t="str">
        <x:v>Pioneer Home Buyers</x:v>
      </x:c>
      <x:c r="C320" s="15"/>
      <x:c r="D320" s="15" t="str">
        <x:v>Property investor / home-buying operator</x:v>
      </x:c>
      <x:c r="E320" s="15" t="str">
        <x:v>Property investor / operator inquiry</x:v>
      </x:c>
      <x:c r="F320" s="17" t="str">
        <x:v>New</x:v>
      </x:c>
      <x:c r="G320" s="24"/>
      <x:c r="H320" s="24" t="str">
        <x:v>+18173821155</x:v>
      </x:c>
      <x:c r="I320" s="24" t="str">
        <x:v>http://www.pioneerhb.com/</x:v>
      </x:c>
      <x:c r="J320" s="16" t="str">
        <x:v>TX</x:v>
      </x:c>
      <x:c r="K320" s="16" t="str">
        <x:v>Fort Worth</x:v>
      </x:c>
      <x:c r="L320" s="16" t="str">
        <x:v>Public property-business route; investor decision maker unconfirmed</x:v>
      </x:c>
      <x:c r="M320" s="16" t="str">
        <x:v>http://www.pioneerhb.com/</x:v>
      </x:c>
      <x:c r="N320" s="16" t="str">
        <x:v>$100K-$500K ticket not published / unconfirmed</x:v>
      </x:c>
      <x:c r="O320" s="20"/>
      <x:c r="P320" s="20"/>
      <x:c r="Q320" s="25" t="str">
        <x:v>No $100K-$500K corporate-investment ticket published in checked source</x:v>
      </x:c>
      <x:c r="R320" s="25" t="str">
        <x:v>Property acquisition or investor activity makes this an operator-capital prospect for the signed trial. Confirm operating-company debt/equity appetite.</x:v>
      </x:c>
      <x:c r="S320" s="25" t="str">
        <x:v>Home-buying activity does not verify ability or willingness to invest $100K-$500K into 101XVC operating company. Website and contact verification pending.</x:v>
      </x:c>
      <x:c r="T320" s="25" t="str">
        <x:v>Ask the owner/investor whether they can allocate $100K-$500K to trial marketing and acquisitions, and confirm structure, timing and decision authority.</x:v>
      </x:c>
      <x:c r="U320" s="25" t="str">
        <x:v>https://www.cashhomebuyersdirectory.com/cash-home-buyers/texas/fort-worth</x:v>
      </x:c>
      <x:c r="V320" s="26" t="d">
        <x:v>2026-10-02T00:00:00.000Z</x:v>
      </x:c>
      <x:c r="W320" s="26" t="d">
        <x:v>2026-10-03T00:00:00.000Z</x:v>
      </x:c>
      <x:c r="X320" s="25" t="str">
        <x:v>Public investor directory; business role and contact ownership require qualification</x:v>
      </x:c>
      <x:c r="Y320" s="25"/>
      <x:c r="Z320" s="25" t="str">
        <x:v>https://www.cashhomebuyersdirectory.com/cash-home-buyers/texas/fort-worth</x:v>
      </x:c>
      <x:c r="AA320" s="25" t="str">
        <x:v>Public cash-home-buyer directory lists business name, phone and market. Directory entry may include brokers or service providers.</x:v>
      </x:c>
      <x:c r="AB320" s="3" t="str">
        <x:v>New public-source collection</x:v>
      </x:c>
      <x:c r="AC320" s="3" t="str">
        <x:v>unverified</x:v>
      </x:c>
      <x:c r="AD320" s="3" t="str">
        <x:v>Not contacted / unconfirmed</x:v>
      </x:c>
      <x:c r="AE320" s="3" t="str">
        <x:v>No</x:v>
      </x:c>
      <x:c r="AF320" s="3" t="str">
        <x:v>No</x:v>
      </x:c>
      <x:c r="AG320" s="3"/>
      <x:c r="AH320" s="3"/>
      <x:c r="AI320" s="18"/>
      <x:c r="AJ320" s="3" t="str">
        <x:v>CF2500-64F719F12C0F</x:v>
      </x:c>
      <x:c r="AK320" s="3" t="str">
        <x:v>Property investor / home-buying operator prospect</x:v>
      </x:c>
      <x:c r="AL320" s="19" t="n">
        <x:v>100000</x:v>
      </x:c>
      <x:c r="AM320" s="19" t="n">
        <x:v>500000</x:v>
      </x:c>
      <x:c r="AN320" s="3" t="str">
        <x:v>https://www.cashhomebuyersdirectory.com/cash-home-buyers/texas/fort-worth</x:v>
      </x:c>
      <x:c r="AO320" s="3" t="str">
        <x:v>tx_fl_investors.jsonl</x:v>
      </x:c>
      <x:c r="AP320" s="19"/>
    </x:row>
    <x:row r="321" ht="36" customHeight="1">
      <x:c r="A321" s="23" t="n">
        <x:v>320</x:v>
      </x:c>
      <x:c r="B321" s="15" t="str">
        <x:v>Post Oak House Buyers</x:v>
      </x:c>
      <x:c r="C321" s="15"/>
      <x:c r="D321" s="15" t="str">
        <x:v>Property investor / home-buying operator</x:v>
      </x:c>
      <x:c r="E321" s="15" t="str">
        <x:v>Property investor / operator inquiry</x:v>
      </x:c>
      <x:c r="F321" s="17" t="str">
        <x:v>New</x:v>
      </x:c>
      <x:c r="G321" s="24"/>
      <x:c r="H321" s="24" t="str">
        <x:v>+17135103036</x:v>
      </x:c>
      <x:c r="I321" s="24" t="str">
        <x:v>http://www.postoakhousebuyers.com/</x:v>
      </x:c>
      <x:c r="J321" s="16" t="str">
        <x:v>TX</x:v>
      </x:c>
      <x:c r="K321" s="16" t="str">
        <x:v>Houston</x:v>
      </x:c>
      <x:c r="L321" s="16" t="str">
        <x:v>Public property-business route; investor decision maker unconfirmed</x:v>
      </x:c>
      <x:c r="M321" s="16" t="str">
        <x:v>http://www.postoakhousebuyers.com/</x:v>
      </x:c>
      <x:c r="N321" s="16" t="str">
        <x:v>$100K-$500K ticket not published / unconfirmed</x:v>
      </x:c>
      <x:c r="O321" s="20"/>
      <x:c r="P321" s="20"/>
      <x:c r="Q321" s="25" t="str">
        <x:v>No $100K-$500K corporate-investment ticket published in checked source</x:v>
      </x:c>
      <x:c r="R321" s="25" t="str">
        <x:v>Property acquisition or investor activity makes this an operator-capital prospect for the signed trial. Confirm operating-company debt/equity appetite.</x:v>
      </x:c>
      <x:c r="S321" s="25" t="str">
        <x:v>Home-buying activity does not verify ability or willingness to invest $100K-$500K into 101XVC operating company. Website and contact verification pending.</x:v>
      </x:c>
      <x:c r="T321" s="25" t="str">
        <x:v>Ask the owner/investor whether they can allocate $100K-$500K to trial marketing and acquisitions, and confirm structure, timing and decision authority.</x:v>
      </x:c>
      <x:c r="U321" s="25" t="str">
        <x:v>https://www.cashhomebuyersdirectory.com/cash-home-buyers/texas/houston</x:v>
      </x:c>
      <x:c r="V321" s="26" t="d">
        <x:v>2026-10-02T00:00:00.000Z</x:v>
      </x:c>
      <x:c r="W321" s="26" t="d">
        <x:v>2026-10-03T00:00:00.000Z</x:v>
      </x:c>
      <x:c r="X321" s="25" t="str">
        <x:v>Public investor directory; business role and contact ownership require qualification</x:v>
      </x:c>
      <x:c r="Y321" s="25"/>
      <x:c r="Z321" s="25" t="str">
        <x:v>https://www.cashhomebuyersdirectory.com/cash-home-buyers/texas/houston</x:v>
      </x:c>
      <x:c r="AA321" s="25" t="str">
        <x:v>Public cash-home-buyer directory lists business name, phone and market. Directory entry may include brokers or service providers.</x:v>
      </x:c>
      <x:c r="AB321" s="3" t="str">
        <x:v>New public-source collection</x:v>
      </x:c>
      <x:c r="AC321" s="3" t="str">
        <x:v>unverified</x:v>
      </x:c>
      <x:c r="AD321" s="3" t="str">
        <x:v>Not contacted / unconfirmed</x:v>
      </x:c>
      <x:c r="AE321" s="3" t="str">
        <x:v>No</x:v>
      </x:c>
      <x:c r="AF321" s="3" t="str">
        <x:v>No</x:v>
      </x:c>
      <x:c r="AG321" s="3"/>
      <x:c r="AH321" s="3"/>
      <x:c r="AI321" s="18"/>
      <x:c r="AJ321" s="3" t="str">
        <x:v>CF2500-4C0DBE2CBB4E</x:v>
      </x:c>
      <x:c r="AK321" s="3" t="str">
        <x:v>Property investor / home-buying operator prospect</x:v>
      </x:c>
      <x:c r="AL321" s="19" t="n">
        <x:v>100000</x:v>
      </x:c>
      <x:c r="AM321" s="19" t="n">
        <x:v>500000</x:v>
      </x:c>
      <x:c r="AN321" s="3" t="str">
        <x:v>https://www.cashhomebuyersdirectory.com/cash-home-buyers/texas/houston</x:v>
      </x:c>
      <x:c r="AO321" s="3" t="str">
        <x:v>tx_fl_investors.jsonl</x:v>
      </x:c>
      <x:c r="AP321" s="19"/>
    </x:row>
    <x:row r="322" ht="36" customHeight="1">
      <x:c r="A322" s="23" t="n">
        <x:v>321</x:v>
      </x:c>
      <x:c r="B322" s="15" t="str">
        <x:v>PPS House Buyers - We Buy Houses Houston | Sell House Fast</x:v>
      </x:c>
      <x:c r="C322" s="15"/>
      <x:c r="D322" s="15" t="str">
        <x:v>Property investor / home-buying operator</x:v>
      </x:c>
      <x:c r="E322" s="15" t="str">
        <x:v>Property investor / operator inquiry</x:v>
      </x:c>
      <x:c r="F322" s="17" t="str">
        <x:v>New</x:v>
      </x:c>
      <x:c r="G322" s="24"/>
      <x:c r="H322" s="24" t="str">
        <x:v>+12813065055</x:v>
      </x:c>
      <x:c r="I322" s="24" t="str">
        <x:v>https://ppshousebuyers.com/?utm_campaign=gmb</x:v>
      </x:c>
      <x:c r="J322" s="16" t="str">
        <x:v>TX</x:v>
      </x:c>
      <x:c r="K322" s="16" t="str">
        <x:v>Houston</x:v>
      </x:c>
      <x:c r="L322" s="16" t="str">
        <x:v>Public property-business route; investor decision maker unconfirmed</x:v>
      </x:c>
      <x:c r="M322" s="16" t="str">
        <x:v>https://ppshousebuyers.com/?utm_campaign=gmb</x:v>
      </x:c>
      <x:c r="N322" s="16" t="str">
        <x:v>$100K-$500K ticket not published / unconfirmed</x:v>
      </x:c>
      <x:c r="O322" s="20"/>
      <x:c r="P322" s="20"/>
      <x:c r="Q322" s="25" t="str">
        <x:v>No $100K-$500K corporate-investment ticket published in checked source</x:v>
      </x:c>
      <x:c r="R322" s="25" t="str">
        <x:v>Property acquisition or investor activity makes this an operator-capital prospect for the signed trial. Confirm operating-company debt/equity appetite.</x:v>
      </x:c>
      <x:c r="S322" s="25" t="str">
        <x:v>Home-buying activity does not verify ability or willingness to invest $100K-$500K into 101XVC operating company. Website and contact verification pending.</x:v>
      </x:c>
      <x:c r="T322" s="25" t="str">
        <x:v>Ask the owner/investor whether they can allocate $100K-$500K to trial marketing and acquisitions, and confirm structure, timing and decision authority.</x:v>
      </x:c>
      <x:c r="U322" s="25" t="str">
        <x:v>https://www.cashhomebuyersdirectory.com/cash-home-buyers/texas/houston</x:v>
      </x:c>
      <x:c r="V322" s="26" t="d">
        <x:v>2026-10-02T00:00:00.000Z</x:v>
      </x:c>
      <x:c r="W322" s="26" t="d">
        <x:v>2026-10-03T00:00:00.000Z</x:v>
      </x:c>
      <x:c r="X322" s="25" t="str">
        <x:v>Public investor directory; business role and contact ownership require qualification</x:v>
      </x:c>
      <x:c r="Y322" s="25"/>
      <x:c r="Z322" s="25" t="str">
        <x:v>https://www.cashhomebuyersdirectory.com/cash-home-buyers/texas/houston</x:v>
      </x:c>
      <x:c r="AA322" s="25" t="str">
        <x:v>Public cash-home-buyer directory lists business name, phone and market. Directory entry may include brokers or service providers.</x:v>
      </x:c>
      <x:c r="AB322" s="3" t="str">
        <x:v>New public-source collection</x:v>
      </x:c>
      <x:c r="AC322" s="3" t="str">
        <x:v>unverified</x:v>
      </x:c>
      <x:c r="AD322" s="3" t="str">
        <x:v>Not contacted / unconfirmed</x:v>
      </x:c>
      <x:c r="AE322" s="3" t="str">
        <x:v>No</x:v>
      </x:c>
      <x:c r="AF322" s="3" t="str">
        <x:v>No</x:v>
      </x:c>
      <x:c r="AG322" s="3"/>
      <x:c r="AH322" s="3"/>
      <x:c r="AI322" s="18"/>
      <x:c r="AJ322" s="3" t="str">
        <x:v>CF2500-ACB226C74F14</x:v>
      </x:c>
      <x:c r="AK322" s="3" t="str">
        <x:v>Property investor / home-buying operator prospect</x:v>
      </x:c>
      <x:c r="AL322" s="19" t="n">
        <x:v>100000</x:v>
      </x:c>
      <x:c r="AM322" s="19" t="n">
        <x:v>500000</x:v>
      </x:c>
      <x:c r="AN322" s="3" t="str">
        <x:v>https://www.cashhomebuyersdirectory.com/cash-home-buyers/texas/houston</x:v>
      </x:c>
      <x:c r="AO322" s="3" t="str">
        <x:v>tx_fl_investors.jsonl</x:v>
      </x:c>
      <x:c r="AP322" s="19"/>
    </x:row>
    <x:row r="323" ht="36" customHeight="1">
      <x:c r="A323" s="23" t="n">
        <x:v>322</x:v>
      </x:c>
      <x:c r="B323" s="15" t="str">
        <x:v>Priority House Buyers</x:v>
      </x:c>
      <x:c r="C323" s="15"/>
      <x:c r="D323" s="15" t="str">
        <x:v>Property investor / home-buying operator</x:v>
      </x:c>
      <x:c r="E323" s="15" t="str">
        <x:v>Property investor / operator inquiry</x:v>
      </x:c>
      <x:c r="F323" s="17" t="str">
        <x:v>New</x:v>
      </x:c>
      <x:c r="G323" s="24"/>
      <x:c r="H323" s="24" t="str">
        <x:v>+17137302274</x:v>
      </x:c>
      <x:c r="I323" s="24" t="str">
        <x:v>http://www.priorityhousebuyers.com/</x:v>
      </x:c>
      <x:c r="J323" s="16" t="str">
        <x:v>TX</x:v>
      </x:c>
      <x:c r="K323" s="16" t="str">
        <x:v>Houston</x:v>
      </x:c>
      <x:c r="L323" s="16" t="str">
        <x:v>Public property-business route; investor decision maker unconfirmed</x:v>
      </x:c>
      <x:c r="M323" s="16" t="str">
        <x:v>http://www.priorityhousebuyers.com/</x:v>
      </x:c>
      <x:c r="N323" s="16" t="str">
        <x:v>$100K-$500K ticket not published / unconfirmed</x:v>
      </x:c>
      <x:c r="O323" s="20"/>
      <x:c r="P323" s="20"/>
      <x:c r="Q323" s="25" t="str">
        <x:v>No $100K-$500K corporate-investment ticket published in checked source</x:v>
      </x:c>
      <x:c r="R323" s="25" t="str">
        <x:v>Property acquisition or investor activity makes this an operator-capital prospect for the signed trial. Confirm operating-company debt/equity appetite.</x:v>
      </x:c>
      <x:c r="S323" s="25" t="str">
        <x:v>Home-buying activity does not verify ability or willingness to invest $100K-$500K into 101XVC operating company. Website and contact verification pending.</x:v>
      </x:c>
      <x:c r="T323" s="25" t="str">
        <x:v>Ask the owner/investor whether they can allocate $100K-$500K to trial marketing and acquisitions, and confirm structure, timing and decision authority.</x:v>
      </x:c>
      <x:c r="U323" s="25" t="str">
        <x:v>https://www.cashhomebuyersdirectory.com/cash-home-buyers/texas/houston</x:v>
      </x:c>
      <x:c r="V323" s="26" t="d">
        <x:v>2026-10-02T00:00:00.000Z</x:v>
      </x:c>
      <x:c r="W323" s="26" t="d">
        <x:v>2026-10-03T00:00:00.000Z</x:v>
      </x:c>
      <x:c r="X323" s="25" t="str">
        <x:v>Public investor directory; business role and contact ownership require qualification</x:v>
      </x:c>
      <x:c r="Y323" s="25"/>
      <x:c r="Z323" s="25" t="str">
        <x:v>https://www.cashhomebuyersdirectory.com/cash-home-buyers/texas/houston</x:v>
      </x:c>
      <x:c r="AA323" s="25" t="str">
        <x:v>Public cash-home-buyer directory lists business name, phone and market. Directory entry may include brokers or service providers.</x:v>
      </x:c>
      <x:c r="AB323" s="3" t="str">
        <x:v>New public-source collection</x:v>
      </x:c>
      <x:c r="AC323" s="3" t="str">
        <x:v>unverified</x:v>
      </x:c>
      <x:c r="AD323" s="3" t="str">
        <x:v>Not contacted / unconfirmed</x:v>
      </x:c>
      <x:c r="AE323" s="3" t="str">
        <x:v>No</x:v>
      </x:c>
      <x:c r="AF323" s="3" t="str">
        <x:v>No</x:v>
      </x:c>
      <x:c r="AG323" s="3"/>
      <x:c r="AH323" s="3"/>
      <x:c r="AI323" s="18"/>
      <x:c r="AJ323" s="3" t="str">
        <x:v>CF2500-90146EE5C229</x:v>
      </x:c>
      <x:c r="AK323" s="3" t="str">
        <x:v>Property investor / home-buying operator prospect</x:v>
      </x:c>
      <x:c r="AL323" s="19" t="n">
        <x:v>100000</x:v>
      </x:c>
      <x:c r="AM323" s="19" t="n">
        <x:v>500000</x:v>
      </x:c>
      <x:c r="AN323" s="3" t="str">
        <x:v>https://www.cashhomebuyersdirectory.com/cash-home-buyers/texas/houston</x:v>
      </x:c>
      <x:c r="AO323" s="3" t="str">
        <x:v>tx_fl_investors.jsonl</x:v>
      </x:c>
      <x:c r="AP323" s="19"/>
    </x:row>
    <x:row r="324" ht="36" customHeight="1">
      <x:c r="A324" s="23" t="n">
        <x:v>323</x:v>
      </x:c>
      <x:c r="B324" s="15" t="str">
        <x:v>PRO House Buyers, LLC</x:v>
      </x:c>
      <x:c r="C324" s="15"/>
      <x:c r="D324" s="15" t="str">
        <x:v>Property investor / home-buying operator</x:v>
      </x:c>
      <x:c r="E324" s="15" t="str">
        <x:v>Property investor / operator inquiry</x:v>
      </x:c>
      <x:c r="F324" s="17" t="str">
        <x:v>New</x:v>
      </x:c>
      <x:c r="G324" s="24"/>
      <x:c r="H324" s="24" t="str">
        <x:v>+15202716175</x:v>
      </x:c>
      <x:c r="I324" s="24" t="str">
        <x:v>https://www.pro-housebuyers.com/</x:v>
      </x:c>
      <x:c r="J324" s="16" t="str">
        <x:v>AZ</x:v>
      </x:c>
      <x:c r="K324" s="16" t="str">
        <x:v>Tucson</x:v>
      </x:c>
      <x:c r="L324" s="16" t="str">
        <x:v>Public property-business route; investor decision maker unconfirmed</x:v>
      </x:c>
      <x:c r="M324" s="16" t="str">
        <x:v>https://www.pro-housebuyers.com/</x:v>
      </x:c>
      <x:c r="N324" s="16" t="str">
        <x:v>$100K-$500K ticket not published / unconfirmed</x:v>
      </x:c>
      <x:c r="O324" s="20"/>
      <x:c r="P324" s="20"/>
      <x:c r="Q324" s="25" t="str">
        <x:v>No $100K-$500K operating-company investment ticket verified</x:v>
      </x:c>
      <x:c r="R324" s="25" t="str">
        <x:v>Property acquisition or investor activity makes this an operator-capital prospect for the signed trial. Confirm operating-company debt/equity appetite.</x:v>
      </x:c>
      <x:c r="S324" s="25" t="str">
        <x:v>Public property-buying activity or a directory listing does not establish available cash, investing decision-maker, current $100K-$500K capacity, or willingness to fund 101XVC operating costs.</x:v>
      </x:c>
      <x:c r="T324" s="25" t="str">
        <x:v>Ask the owner/investor whether they can allocate $100K-$500K to trial marketing and acquisitions, and confirm structure, timing and decision authority.</x:v>
      </x:c>
      <x:c r="U324" s="25" t="str">
        <x:v>https://www.cashhomebuyersdirectory.com/cash-home-buyers/arizona/tucson</x:v>
      </x:c>
      <x:c r="V324" s="26" t="d">
        <x:v>2026-10-02T00:00:00.000Z</x:v>
      </x:c>
      <x:c r="W324" s="26" t="d">
        <x:v>2026-10-02T00:00:00.000Z</x:v>
      </x:c>
      <x:c r="X324" s="25" t="str">
        <x:v>Public investor directory; business role and contact ownership require qualification</x:v>
      </x:c>
      <x:c r="Y324" s="25"/>
      <x:c r="Z324" s="25" t="str">
        <x:v>https://www.cashhomebuyersdirectory.com/cash-home-buyers/arizona/tucson</x:v>
      </x:c>
      <x:c r="AA324" s="25" t="str">
        <x:v>Public cash-home-buyer directory lists business name, phone and market. Directory entry may include brokers or service providers.</x:v>
      </x:c>
      <x:c r="AB324" s="3" t="str">
        <x:v>New public-source collection</x:v>
      </x:c>
      <x:c r="AC324" s="3" t="str">
        <x:v>unverified</x:v>
      </x:c>
      <x:c r="AD324" s="3" t="str">
        <x:v>Not contacted / unconfirmed</x:v>
      </x:c>
      <x:c r="AE324" s="3" t="str">
        <x:v>No</x:v>
      </x:c>
      <x:c r="AF324" s="3" t="str">
        <x:v>No</x:v>
      </x:c>
      <x:c r="AG324" s="3"/>
      <x:c r="AH324" s="3"/>
      <x:c r="AI324" s="18"/>
      <x:c r="AJ324" s="3" t="str">
        <x:v>CF2500-425C353DD901</x:v>
      </x:c>
      <x:c r="AK324" s="3" t="str">
        <x:v>Property investor / home-buying operator prospect</x:v>
      </x:c>
      <x:c r="AL324" s="19" t="n">
        <x:v>100000</x:v>
      </x:c>
      <x:c r="AM324" s="19" t="n">
        <x:v>500000</x:v>
      </x:c>
      <x:c r="AN324" s="3" t="str">
        <x:v>https://www.cashhomebuyersdirectory.com/cash-home-buyers/arizona/tucson</x:v>
      </x:c>
      <x:c r="AO324" s="3" t="str">
        <x:v>nc_il_az_co_investors.jsonl</x:v>
      </x:c>
      <x:c r="AP324" s="19"/>
    </x:row>
    <x:row r="325" ht="36" customHeight="1">
      <x:c r="A325" s="23" t="n">
        <x:v>324</x:v>
      </x:c>
      <x:c r="B325" s="15" t="str">
        <x:v>QC Home Buyers</x:v>
      </x:c>
      <x:c r="C325" s="15"/>
      <x:c r="D325" s="15" t="str">
        <x:v>Property investor / home-buying operator</x:v>
      </x:c>
      <x:c r="E325" s="15" t="str">
        <x:v>Property investor / operator inquiry</x:v>
      </x:c>
      <x:c r="F325" s="17" t="str">
        <x:v>New</x:v>
      </x:c>
      <x:c r="G325" s="24"/>
      <x:c r="H325" s="24" t="str">
        <x:v>+17047274881</x:v>
      </x:c>
      <x:c r="I325" s="24" t="str">
        <x:v>http://www.qchomebuyers.com/</x:v>
      </x:c>
      <x:c r="J325" s="16" t="str">
        <x:v>NC</x:v>
      </x:c>
      <x:c r="K325" s="16" t="str">
        <x:v>Charlotte</x:v>
      </x:c>
      <x:c r="L325" s="16" t="str">
        <x:v>Public property-business route; investor decision maker unconfirmed</x:v>
      </x:c>
      <x:c r="M325" s="16" t="str">
        <x:v>http://www.qchomebuyers.com/</x:v>
      </x:c>
      <x:c r="N325" s="16" t="str">
        <x:v>$100K-$500K ticket not published / unconfirmed</x:v>
      </x:c>
      <x:c r="O325" s="20"/>
      <x:c r="P325" s="20"/>
      <x:c r="Q325" s="25" t="str">
        <x:v>No $100K-$500K operating-company investment ticket verified</x:v>
      </x:c>
      <x:c r="R325" s="25" t="str">
        <x:v>Property acquisition or investor activity makes this an operator-capital prospect for the signed trial. Confirm operating-company debt/equity appetite.</x:v>
      </x:c>
      <x:c r="S325" s="25" t="str">
        <x:v>Public property-buying activity or a directory listing does not establish available cash, investing decision-maker, current $100K-$500K capacity, or willingness to fund 101XVC operating costs.</x:v>
      </x:c>
      <x:c r="T325" s="25" t="str">
        <x:v>Ask the owner/investor whether they can allocate $100K-$500K to trial marketing and acquisitions, and confirm structure, timing and decision authority.</x:v>
      </x:c>
      <x:c r="U325" s="25" t="str">
        <x:v>https://www.cashhomebuyersdirectory.com/cash-home-buyers/north-carolina/charlotte</x:v>
      </x:c>
      <x:c r="V325" s="26" t="d">
        <x:v>2026-10-02T00:00:00.000Z</x:v>
      </x:c>
      <x:c r="W325" s="26" t="d">
        <x:v>2026-10-02T00:00:00.000Z</x:v>
      </x:c>
      <x:c r="X325" s="25" t="str">
        <x:v>Public investor directory; business role and contact ownership require qualification</x:v>
      </x:c>
      <x:c r="Y325" s="25"/>
      <x:c r="Z325" s="25" t="str">
        <x:v>https://www.cashhomebuyersdirectory.com/cash-home-buyers/north-carolina/charlotte</x:v>
      </x:c>
      <x:c r="AA325" s="25" t="str">
        <x:v>Public cash-home-buyer directory lists business name, phone and market. Directory entry may include brokers or service providers.</x:v>
      </x:c>
      <x:c r="AB325" s="3" t="str">
        <x:v>New public-source collection</x:v>
      </x:c>
      <x:c r="AC325" s="3" t="str">
        <x:v>unverified</x:v>
      </x:c>
      <x:c r="AD325" s="3" t="str">
        <x:v>Not contacted / unconfirmed</x:v>
      </x:c>
      <x:c r="AE325" s="3" t="str">
        <x:v>No</x:v>
      </x:c>
      <x:c r="AF325" s="3" t="str">
        <x:v>No</x:v>
      </x:c>
      <x:c r="AG325" s="3"/>
      <x:c r="AH325" s="3"/>
      <x:c r="AI325" s="18"/>
      <x:c r="AJ325" s="3" t="str">
        <x:v>CF2500-E82F5417412D</x:v>
      </x:c>
      <x:c r="AK325" s="3" t="str">
        <x:v>Property investor / home-buying operator prospect</x:v>
      </x:c>
      <x:c r="AL325" s="19" t="n">
        <x:v>100000</x:v>
      </x:c>
      <x:c r="AM325" s="19" t="n">
        <x:v>500000</x:v>
      </x:c>
      <x:c r="AN325" s="3" t="str">
        <x:v>https://www.cashhomebuyersdirectory.com/cash-home-buyers/north-carolina/charlotte</x:v>
      </x:c>
      <x:c r="AO325" s="3" t="str">
        <x:v>nc_il_az_co_investors.jsonl</x:v>
      </x:c>
      <x:c r="AP325" s="19"/>
    </x:row>
    <x:row r="326" ht="36" customHeight="1">
      <x:c r="A326" s="23" t="n">
        <x:v>325</x:v>
      </x:c>
      <x:c r="B326" s="15" t="str">
        <x:v>QHome Sell My House Fast</x:v>
      </x:c>
      <x:c r="C326" s="15"/>
      <x:c r="D326" s="15" t="str">
        <x:v>Property investor / home-buying operator</x:v>
      </x:c>
      <x:c r="E326" s="15" t="str">
        <x:v>Property investor / operator inquiry</x:v>
      </x:c>
      <x:c r="F326" s="17" t="str">
        <x:v>New</x:v>
      </x:c>
      <x:c r="G326" s="24"/>
      <x:c r="H326" s="24" t="str">
        <x:v>+16304233071</x:v>
      </x:c>
      <x:c r="I326" s="24" t="str">
        <x:v>http://qhomecashhomebuyers.com/</x:v>
      </x:c>
      <x:c r="J326" s="16" t="str">
        <x:v>IL</x:v>
      </x:c>
      <x:c r="K326" s="16" t="str">
        <x:v>Aurora</x:v>
      </x:c>
      <x:c r="L326" s="16" t="str">
        <x:v>Public property-business route; investor decision maker unconfirmed</x:v>
      </x:c>
      <x:c r="M326" s="16" t="str">
        <x:v>http://qhomecashhomebuyers.com/</x:v>
      </x:c>
      <x:c r="N326" s="16" t="str">
        <x:v>$100K-$500K ticket not published / unconfirmed</x:v>
      </x:c>
      <x:c r="O326" s="20"/>
      <x:c r="P326" s="20"/>
      <x:c r="Q326" s="25" t="str">
        <x:v>No $100K-$500K operating-company investment ticket verified</x:v>
      </x:c>
      <x:c r="R326" s="25" t="str">
        <x:v>Property acquisition or investor activity makes this an operator-capital prospect for the signed trial. Confirm operating-company debt/equity appetite.</x:v>
      </x:c>
      <x:c r="S326" s="25" t="str">
        <x:v>Public property-buying activity or a directory listing does not establish available cash, investing decision-maker, current $100K-$500K capacity, or willingness to fund 101XVC operating costs.</x:v>
      </x:c>
      <x:c r="T326" s="25" t="str">
        <x:v>Ask the owner/investor whether they can allocate $100K-$500K to trial marketing and acquisitions, and confirm structure, timing and decision authority.</x:v>
      </x:c>
      <x:c r="U326" s="25" t="str">
        <x:v>https://www.cashhomebuyersdirectory.com/cash-home-buyers/illinois/aurora</x:v>
      </x:c>
      <x:c r="V326" s="26" t="d">
        <x:v>2026-10-02T00:00:00.000Z</x:v>
      </x:c>
      <x:c r="W326" s="26" t="d">
        <x:v>2026-10-02T00:00:00.000Z</x:v>
      </x:c>
      <x:c r="X326" s="25" t="str">
        <x:v>Public investor directory; business role and contact ownership require qualification</x:v>
      </x:c>
      <x:c r="Y326" s="25"/>
      <x:c r="Z326" s="25" t="str">
        <x:v>https://www.cashhomebuyersdirectory.com/cash-home-buyers/illinois/aurora</x:v>
      </x:c>
      <x:c r="AA326" s="25" t="str">
        <x:v>Public cash-home-buyer directory lists business name, phone and market. Directory entry may include brokers or service providers.</x:v>
      </x:c>
      <x:c r="AB326" s="3" t="str">
        <x:v>New public-source collection</x:v>
      </x:c>
      <x:c r="AC326" s="3" t="str">
        <x:v>unverified</x:v>
      </x:c>
      <x:c r="AD326" s="3" t="str">
        <x:v>Not contacted / unconfirmed</x:v>
      </x:c>
      <x:c r="AE326" s="3" t="str">
        <x:v>No</x:v>
      </x:c>
      <x:c r="AF326" s="3" t="str">
        <x:v>No</x:v>
      </x:c>
      <x:c r="AG326" s="3"/>
      <x:c r="AH326" s="3"/>
      <x:c r="AI326" s="18"/>
      <x:c r="AJ326" s="3" t="str">
        <x:v>CF2500-85D817055B59</x:v>
      </x:c>
      <x:c r="AK326" s="3" t="str">
        <x:v>Property investor / home-buying operator prospect</x:v>
      </x:c>
      <x:c r="AL326" s="19" t="n">
        <x:v>100000</x:v>
      </x:c>
      <x:c r="AM326" s="19" t="n">
        <x:v>500000</x:v>
      </x:c>
      <x:c r="AN326" s="3" t="str">
        <x:v>https://www.cashhomebuyersdirectory.com/cash-home-buyers/illinois/aurora</x:v>
      </x:c>
      <x:c r="AO326" s="3" t="str">
        <x:v>nc_il_az_co_investors.jsonl</x:v>
      </x:c>
      <x:c r="AP326" s="19"/>
    </x:row>
    <x:row r="327" ht="36" customHeight="1">
      <x:c r="A327" s="23" t="n">
        <x:v>326</x:v>
      </x:c>
      <x:c r="B327" s="15" t="str">
        <x:v>QL Cash For Homes</x:v>
      </x:c>
      <x:c r="C327" s="15"/>
      <x:c r="D327" s="15" t="str">
        <x:v>Property investor / home-buying operator</x:v>
      </x:c>
      <x:c r="E327" s="15" t="str">
        <x:v>Property investor / operator inquiry</x:v>
      </x:c>
      <x:c r="F327" s="17" t="str">
        <x:v>New</x:v>
      </x:c>
      <x:c r="G327" s="24"/>
      <x:c r="H327" s="24" t="str">
        <x:v>+12242428196</x:v>
      </x:c>
      <x:c r="I327" s="24" t="str">
        <x:v>https://qlcashhomebuyers.com/</x:v>
      </x:c>
      <x:c r="J327" s="16" t="str">
        <x:v>IL</x:v>
      </x:c>
      <x:c r="K327" s="16" t="str">
        <x:v>Elgin</x:v>
      </x:c>
      <x:c r="L327" s="16" t="str">
        <x:v>Public property-business route; investor decision maker unconfirmed</x:v>
      </x:c>
      <x:c r="M327" s="16" t="str">
        <x:v>https://qlcashhomebuyers.com/</x:v>
      </x:c>
      <x:c r="N327" s="16" t="str">
        <x:v>$100K-$500K ticket not published / unconfirmed</x:v>
      </x:c>
      <x:c r="O327" s="20"/>
      <x:c r="P327" s="20"/>
      <x:c r="Q327" s="25" t="str">
        <x:v>No $100K-$500K operating-company investment ticket verified</x:v>
      </x:c>
      <x:c r="R327" s="25" t="str">
        <x:v>Property acquisition or investor activity makes this an operator-capital prospect for the signed trial. Confirm operating-company debt/equity appetite.</x:v>
      </x:c>
      <x:c r="S327" s="25" t="str">
        <x:v>Public property-buying activity or a directory listing does not establish available cash, investing decision-maker, current $100K-$500K capacity, or willingness to fund 101XVC operating costs.</x:v>
      </x:c>
      <x:c r="T327" s="25" t="str">
        <x:v>Ask the owner/investor whether they can allocate $100K-$500K to trial marketing and acquisitions, and confirm structure, timing and decision authority.</x:v>
      </x:c>
      <x:c r="U327" s="25" t="str">
        <x:v>https://www.cashhomebuyersdirectory.com/cash-home-buyers/illinois/elgin</x:v>
      </x:c>
      <x:c r="V327" s="26" t="d">
        <x:v>2026-10-02T00:00:00.000Z</x:v>
      </x:c>
      <x:c r="W327" s="26" t="d">
        <x:v>2026-10-02T00:00:00.000Z</x:v>
      </x:c>
      <x:c r="X327" s="25" t="str">
        <x:v>Public investor directory; business role and contact ownership require qualification</x:v>
      </x:c>
      <x:c r="Y327" s="25"/>
      <x:c r="Z327" s="25" t="str">
        <x:v>https://www.cashhomebuyersdirectory.com/cash-home-buyers/illinois/elgin</x:v>
      </x:c>
      <x:c r="AA327" s="25" t="str">
        <x:v>Public cash-home-buyer directory lists business name, phone and market. Directory entry may include brokers or service providers.</x:v>
      </x:c>
      <x:c r="AB327" s="3" t="str">
        <x:v>New public-source collection</x:v>
      </x:c>
      <x:c r="AC327" s="3" t="str">
        <x:v>unverified</x:v>
      </x:c>
      <x:c r="AD327" s="3" t="str">
        <x:v>Not contacted / unconfirmed</x:v>
      </x:c>
      <x:c r="AE327" s="3" t="str">
        <x:v>No</x:v>
      </x:c>
      <x:c r="AF327" s="3" t="str">
        <x:v>No</x:v>
      </x:c>
      <x:c r="AG327" s="3"/>
      <x:c r="AH327" s="3"/>
      <x:c r="AI327" s="18"/>
      <x:c r="AJ327" s="3" t="str">
        <x:v>CF2500-777DBB267D96</x:v>
      </x:c>
      <x:c r="AK327" s="3" t="str">
        <x:v>Property investor / home-buying operator prospect</x:v>
      </x:c>
      <x:c r="AL327" s="19" t="n">
        <x:v>100000</x:v>
      </x:c>
      <x:c r="AM327" s="19" t="n">
        <x:v>500000</x:v>
      </x:c>
      <x:c r="AN327" s="3" t="str">
        <x:v>https://www.cashhomebuyersdirectory.com/cash-home-buyers/illinois/elgin</x:v>
      </x:c>
      <x:c r="AO327" s="3" t="str">
        <x:v>nc_il_az_co_investors.jsonl</x:v>
      </x:c>
      <x:c r="AP327" s="19"/>
    </x:row>
    <x:row r="328" ht="36" customHeight="1">
      <x:c r="A328" s="23" t="n">
        <x:v>327</x:v>
      </x:c>
      <x:c r="B328" s="15" t="str">
        <x:v>Quick Cash Home Buyers</x:v>
      </x:c>
      <x:c r="C328" s="15"/>
      <x:c r="D328" s="15" t="str">
        <x:v>Property investor / home-buying operator</x:v>
      </x:c>
      <x:c r="E328" s="15" t="str">
        <x:v>Property investor / operator inquiry</x:v>
      </x:c>
      <x:c r="F328" s="17" t="str">
        <x:v>New</x:v>
      </x:c>
      <x:c r="G328" s="24"/>
      <x:c r="H328" s="24" t="str">
        <x:v>+19844644426</x:v>
      </x:c>
      <x:c r="I328" s="24" t="str">
        <x:v>https://quickcashhomebuyers.org/</x:v>
      </x:c>
      <x:c r="J328" s="16" t="str">
        <x:v>NC</x:v>
      </x:c>
      <x:c r="K328" s="16"/>
      <x:c r="L328" s="16" t="str">
        <x:v>Public property-business route; investor decision maker unconfirmed</x:v>
      </x:c>
      <x:c r="M328" s="16" t="str">
        <x:v>https://quickcashhomebuyers.org/</x:v>
      </x:c>
      <x:c r="N328" s="16" t="str">
        <x:v>$100K-$500K ticket not published / unconfirmed</x:v>
      </x:c>
      <x:c r="O328" s="20"/>
      <x:c r="P328" s="20"/>
      <x:c r="Q328" s="25" t="str">
        <x:v>No $100K-$500K operating-company investment ticket verified</x:v>
      </x:c>
      <x:c r="R328" s="25" t="str">
        <x:v>Property acquisition or investor activity makes this an operator-capital prospect for the signed trial. Confirm operating-company debt/equity appetite.</x:v>
      </x:c>
      <x:c r="S328" s="25" t="str">
        <x:v>Public property-buying activity or a directory listing does not establish available cash, investing decision-maker, current $100K-$500K capacity, or willingness to fund 101XVC operating costs.</x:v>
      </x:c>
      <x:c r="T328" s="25" t="str">
        <x:v>Ask the owner/investor whether they can allocate $100K-$500K to trial marketing and acquisitions, and confirm structure, timing and decision authority.</x:v>
      </x:c>
      <x:c r="U328" s="25" t="str">
        <x:v>https://www.cashhomebuyersdirectory.com/cash-home-buyers/north-carolina/durham</x:v>
      </x:c>
      <x:c r="V328" s="26" t="d">
        <x:v>2026-10-02T00:00:00.000Z</x:v>
      </x:c>
      <x:c r="W328" s="26" t="d">
        <x:v>2026-10-02T00:00:00.000Z</x:v>
      </x:c>
      <x:c r="X328" s="25" t="str">
        <x:v>Public investor directory; business role and contact ownership require qualification</x:v>
      </x:c>
      <x:c r="Y328" s="25"/>
      <x:c r="Z328" s="25" t="str">
        <x:v>https://www.cashhomebuyersdirectory.com/cash-home-buyers/north-carolina/durham</x:v>
      </x:c>
      <x:c r="AA328" s="25" t="str">
        <x:v>Public cash-home-buyer directory lists business name, phone and market. Directory entry may include brokers or service providers.</x:v>
      </x:c>
      <x:c r="AB328" s="3" t="str">
        <x:v>New public-source collection</x:v>
      </x:c>
      <x:c r="AC328" s="3" t="str">
        <x:v>unverified</x:v>
      </x:c>
      <x:c r="AD328" s="3" t="str">
        <x:v>Not contacted / unconfirmed</x:v>
      </x:c>
      <x:c r="AE328" s="3" t="str">
        <x:v>No</x:v>
      </x:c>
      <x:c r="AF328" s="3" t="str">
        <x:v>No</x:v>
      </x:c>
      <x:c r="AG328" s="3"/>
      <x:c r="AH328" s="3"/>
      <x:c r="AI328" s="18"/>
      <x:c r="AJ328" s="3" t="str">
        <x:v>CF2500-0DB87373048B</x:v>
      </x:c>
      <x:c r="AK328" s="3" t="str">
        <x:v>Property investor / home-buying operator prospect</x:v>
      </x:c>
      <x:c r="AL328" s="19" t="n">
        <x:v>100000</x:v>
      </x:c>
      <x:c r="AM328" s="19" t="n">
        <x:v>500000</x:v>
      </x:c>
      <x:c r="AN328" s="3" t="str">
        <x:v>https://www.cashhomebuyersdirectory.com/cash-home-buyers/north-carolina/durham</x:v>
      </x:c>
      <x:c r="AO328" s="3" t="str">
        <x:v>nc_il_az_co_investors.jsonl</x:v>
      </x:c>
      <x:c r="AP328" s="19"/>
    </x:row>
    <x:row r="329" ht="36" customHeight="1">
      <x:c r="A329" s="23" t="n">
        <x:v>328</x:v>
      </x:c>
      <x:c r="B329" s="15" t="str">
        <x:v>RB Cash Home Buyers</x:v>
      </x:c>
      <x:c r="C329" s="15"/>
      <x:c r="D329" s="15" t="str">
        <x:v>Property investor / home-buying operator</x:v>
      </x:c>
      <x:c r="E329" s="15" t="str">
        <x:v>Property investor / operator inquiry</x:v>
      </x:c>
      <x:c r="F329" s="17" t="str">
        <x:v>New</x:v>
      </x:c>
      <x:c r="G329" s="24"/>
      <x:c r="H329" s="24" t="str">
        <x:v>+12249854047</x:v>
      </x:c>
      <x:c r="I329" s="24" t="str">
        <x:v>https://rbcashhomebuyers.com/</x:v>
      </x:c>
      <x:c r="J329" s="16" t="str">
        <x:v>IL</x:v>
      </x:c>
      <x:c r="K329" s="16" t="str">
        <x:v>Schiller Park</x:v>
      </x:c>
      <x:c r="L329" s="16" t="str">
        <x:v>Public property-business route; investor decision maker unconfirmed</x:v>
      </x:c>
      <x:c r="M329" s="16" t="str">
        <x:v>https://rbcashhomebuyers.com/</x:v>
      </x:c>
      <x:c r="N329" s="16" t="str">
        <x:v>$100K-$500K ticket not published / unconfirmed</x:v>
      </x:c>
      <x:c r="O329" s="20"/>
      <x:c r="P329" s="20"/>
      <x:c r="Q329" s="25" t="str">
        <x:v>No $100K-$500K operating-company investment ticket verified</x:v>
      </x:c>
      <x:c r="R329" s="25" t="str">
        <x:v>Property acquisition or investor activity makes this an operator-capital prospect for the signed trial. Confirm operating-company debt/equity appetite.</x:v>
      </x:c>
      <x:c r="S329" s="25" t="str">
        <x:v>Public property-buying activity or a directory listing does not establish available cash, investing decision-maker, current $100K-$500K capacity, or willingness to fund 101XVC operating costs.</x:v>
      </x:c>
      <x:c r="T329" s="25" t="str">
        <x:v>Ask the owner/investor whether they can allocate $100K-$500K to trial marketing and acquisitions, and confirm structure, timing and decision authority.</x:v>
      </x:c>
      <x:c r="U329" s="25" t="str">
        <x:v>https://www.cashhomebuyersdirectory.com/cash-home-buyers/illinois/schiller-park</x:v>
      </x:c>
      <x:c r="V329" s="26" t="d">
        <x:v>2026-10-02T00:00:00.000Z</x:v>
      </x:c>
      <x:c r="W329" s="26" t="d">
        <x:v>2026-10-02T00:00:00.000Z</x:v>
      </x:c>
      <x:c r="X329" s="25" t="str">
        <x:v>Public investor directory; business role and contact ownership require qualification</x:v>
      </x:c>
      <x:c r="Y329" s="25"/>
      <x:c r="Z329" s="25" t="str">
        <x:v>https://www.cashhomebuyersdirectory.com/cash-home-buyers/illinois/schiller-park</x:v>
      </x:c>
      <x:c r="AA329" s="25" t="str">
        <x:v>Public cash-home-buyer directory lists business name, phone and market. Directory entry may include brokers or service providers.</x:v>
      </x:c>
      <x:c r="AB329" s="3" t="str">
        <x:v>New public-source collection</x:v>
      </x:c>
      <x:c r="AC329" s="3" t="str">
        <x:v>unverified</x:v>
      </x:c>
      <x:c r="AD329" s="3" t="str">
        <x:v>Not contacted / unconfirmed</x:v>
      </x:c>
      <x:c r="AE329" s="3" t="str">
        <x:v>No</x:v>
      </x:c>
      <x:c r="AF329" s="3" t="str">
        <x:v>No</x:v>
      </x:c>
      <x:c r="AG329" s="3"/>
      <x:c r="AH329" s="3"/>
      <x:c r="AI329" s="18"/>
      <x:c r="AJ329" s="3" t="str">
        <x:v>CF2500-685266A8824A</x:v>
      </x:c>
      <x:c r="AK329" s="3" t="str">
        <x:v>Property investor / home-buying operator prospect</x:v>
      </x:c>
      <x:c r="AL329" s="19" t="n">
        <x:v>100000</x:v>
      </x:c>
      <x:c r="AM329" s="19" t="n">
        <x:v>500000</x:v>
      </x:c>
      <x:c r="AN329" s="3" t="str">
        <x:v>https://www.cashhomebuyersdirectory.com/cash-home-buyers/illinois/schiller-park</x:v>
      </x:c>
      <x:c r="AO329" s="3" t="str">
        <x:v>nc_il_az_co_investors.jsonl</x:v>
      </x:c>
      <x:c r="AP329" s="19"/>
    </x:row>
    <x:row r="330" ht="36" customHeight="1">
      <x:c r="A330" s="23" t="n">
        <x:v>329</x:v>
      </x:c>
      <x:c r="B330" s="15" t="str">
        <x:v>Ready House Buyer</x:v>
      </x:c>
      <x:c r="C330" s="15"/>
      <x:c r="D330" s="15" t="str">
        <x:v>Property investor / home-buying operator</x:v>
      </x:c>
      <x:c r="E330" s="15" t="str">
        <x:v>Property investor / operator inquiry</x:v>
      </x:c>
      <x:c r="F330" s="17" t="str">
        <x:v>New</x:v>
      </x:c>
      <x:c r="G330" s="24"/>
      <x:c r="H330" s="24" t="str">
        <x:v>+12142253038</x:v>
      </x:c>
      <x:c r="I330" s="24" t="str">
        <x:v>https://www.readyhousebuyer.com/?utm_source=google&amp;utm_medium=organic&amp;utm_campaign=gbp-listing</x:v>
      </x:c>
      <x:c r="J330" s="16" t="str">
        <x:v>TX</x:v>
      </x:c>
      <x:c r="K330" s="16" t="str">
        <x:v>Dallas</x:v>
      </x:c>
      <x:c r="L330" s="16" t="str">
        <x:v>Public property-business route; investor decision maker unconfirmed</x:v>
      </x:c>
      <x:c r="M330" s="16" t="str">
        <x:v>https://www.readyhousebuyer.com/?utm_source=google&amp;utm_medium=organic&amp;utm_campaign=gbp-listing</x:v>
      </x:c>
      <x:c r="N330" s="16" t="str">
        <x:v>$100K-$500K ticket not published / unconfirmed</x:v>
      </x:c>
      <x:c r="O330" s="20"/>
      <x:c r="P330" s="20"/>
      <x:c r="Q330" s="25" t="str">
        <x:v>No $100K-$500K corporate-investment ticket published in checked source</x:v>
      </x:c>
      <x:c r="R330" s="25" t="str">
        <x:v>Property acquisition or investor activity makes this an operator-capital prospect for the signed trial. Confirm operating-company debt/equity appetite.</x:v>
      </x:c>
      <x:c r="S330" s="25" t="str">
        <x:v>Home-buying activity does not verify ability or willingness to invest $100K-$500K into 101XVC operating company. Website and contact verification pending.</x:v>
      </x:c>
      <x:c r="T330" s="25" t="str">
        <x:v>Ask the owner/investor whether they can allocate $100K-$500K to trial marketing and acquisitions, and confirm structure, timing and decision authority.</x:v>
      </x:c>
      <x:c r="U330" s="25" t="str">
        <x:v>https://www.cashhomebuyersdirectory.com/cash-home-buyers/texas/dallas</x:v>
      </x:c>
      <x:c r="V330" s="26" t="d">
        <x:v>2026-10-02T00:00:00.000Z</x:v>
      </x:c>
      <x:c r="W330" s="26" t="d">
        <x:v>2026-10-03T00:00:00.000Z</x:v>
      </x:c>
      <x:c r="X330" s="25" t="str">
        <x:v>Public investor directory; business role and contact ownership require qualification</x:v>
      </x:c>
      <x:c r="Y330" s="25"/>
      <x:c r="Z330" s="25" t="str">
        <x:v>https://www.cashhomebuyersdirectory.com/cash-home-buyers/texas/dallas</x:v>
      </x:c>
      <x:c r="AA330" s="25" t="str">
        <x:v>Public cash-home-buyer directory lists business name, phone and market. Directory entry may include brokers or service providers.</x:v>
      </x:c>
      <x:c r="AB330" s="3" t="str">
        <x:v>New public-source collection</x:v>
      </x:c>
      <x:c r="AC330" s="3" t="str">
        <x:v>unverified</x:v>
      </x:c>
      <x:c r="AD330" s="3" t="str">
        <x:v>Not contacted / unconfirmed</x:v>
      </x:c>
      <x:c r="AE330" s="3" t="str">
        <x:v>No</x:v>
      </x:c>
      <x:c r="AF330" s="3" t="str">
        <x:v>No</x:v>
      </x:c>
      <x:c r="AG330" s="3"/>
      <x:c r="AH330" s="3"/>
      <x:c r="AI330" s="18"/>
      <x:c r="AJ330" s="3" t="str">
        <x:v>CF2500-B825C8D9234B</x:v>
      </x:c>
      <x:c r="AK330" s="3" t="str">
        <x:v>Property investor / home-buying operator prospect</x:v>
      </x:c>
      <x:c r="AL330" s="19" t="n">
        <x:v>100000</x:v>
      </x:c>
      <x:c r="AM330" s="19" t="n">
        <x:v>500000</x:v>
      </x:c>
      <x:c r="AN330" s="3" t="str">
        <x:v>https://www.cashhomebuyersdirectory.com/cash-home-buyers/texas/dallas</x:v>
      </x:c>
      <x:c r="AO330" s="3" t="str">
        <x:v>tx_fl_investors.jsonl</x:v>
      </x:c>
      <x:c r="AP330" s="19"/>
    </x:row>
    <x:row r="331" ht="36" customHeight="1">
      <x:c r="A331" s="23" t="n">
        <x:v>330</x:v>
      </x:c>
      <x:c r="B331" s="15" t="str">
        <x:v>Real Time Home Buyers</x:v>
      </x:c>
      <x:c r="C331" s="15"/>
      <x:c r="D331" s="15" t="str">
        <x:v>Property investor / home-buying operator</x:v>
      </x:c>
      <x:c r="E331" s="15" t="str">
        <x:v>Property investor / operator inquiry</x:v>
      </x:c>
      <x:c r="F331" s="17" t="str">
        <x:v>New</x:v>
      </x:c>
      <x:c r="G331" s="24"/>
      <x:c r="H331" s="24" t="str">
        <x:v>+18473509333</x:v>
      </x:c>
      <x:c r="I331" s="24" t="str">
        <x:v>https://www.realtimehousebuyers.com/</x:v>
      </x:c>
      <x:c r="J331" s="16" t="str">
        <x:v>IL</x:v>
      </x:c>
      <x:c r="K331" s="16" t="str">
        <x:v>Wheaton</x:v>
      </x:c>
      <x:c r="L331" s="16" t="str">
        <x:v>Public property-business route; investor decision maker unconfirmed</x:v>
      </x:c>
      <x:c r="M331" s="16" t="str">
        <x:v>https://www.realtimehousebuyers.com/</x:v>
      </x:c>
      <x:c r="N331" s="16" t="str">
        <x:v>$100K-$500K ticket not published / unconfirmed</x:v>
      </x:c>
      <x:c r="O331" s="20"/>
      <x:c r="P331" s="20"/>
      <x:c r="Q331" s="25" t="str">
        <x:v>No $100K-$500K operating-company investment ticket verified</x:v>
      </x:c>
      <x:c r="R331" s="25" t="str">
        <x:v>Property acquisition or investor activity makes this an operator-capital prospect for the signed trial. Confirm operating-company debt/equity appetite.</x:v>
      </x:c>
      <x:c r="S331" s="25" t="str">
        <x:v>Public property-buying activity or a directory listing does not establish available cash, investing decision-maker, current $100K-$500K capacity, or willingness to fund 101XVC operating costs.</x:v>
      </x:c>
      <x:c r="T331" s="25" t="str">
        <x:v>Ask the owner/investor whether they can allocate $100K-$500K to trial marketing and acquisitions, and confirm structure, timing and decision authority.</x:v>
      </x:c>
      <x:c r="U331" s="25" t="str">
        <x:v>https://www.cashhomebuyersdirectory.com/cash-home-buyers/illinois/wheaton</x:v>
      </x:c>
      <x:c r="V331" s="26" t="d">
        <x:v>2026-10-02T00:00:00.000Z</x:v>
      </x:c>
      <x:c r="W331" s="26" t="d">
        <x:v>2026-10-02T00:00:00.000Z</x:v>
      </x:c>
      <x:c r="X331" s="25" t="str">
        <x:v>Public investor directory; business role and contact ownership require qualification</x:v>
      </x:c>
      <x:c r="Y331" s="25"/>
      <x:c r="Z331" s="25" t="str">
        <x:v>https://www.cashhomebuyersdirectory.com/cash-home-buyers/illinois/wheaton</x:v>
      </x:c>
      <x:c r="AA331" s="25" t="str">
        <x:v>Public cash-home-buyer directory lists business name, phone and market. Directory entry may include brokers or service providers.</x:v>
      </x:c>
      <x:c r="AB331" s="3" t="str">
        <x:v>New public-source collection</x:v>
      </x:c>
      <x:c r="AC331" s="3" t="str">
        <x:v>unverified</x:v>
      </x:c>
      <x:c r="AD331" s="3" t="str">
        <x:v>Not contacted / unconfirmed</x:v>
      </x:c>
      <x:c r="AE331" s="3" t="str">
        <x:v>No</x:v>
      </x:c>
      <x:c r="AF331" s="3" t="str">
        <x:v>No</x:v>
      </x:c>
      <x:c r="AG331" s="3"/>
      <x:c r="AH331" s="3"/>
      <x:c r="AI331" s="18"/>
      <x:c r="AJ331" s="3" t="str">
        <x:v>CF2500-8F8757C35F3B</x:v>
      </x:c>
      <x:c r="AK331" s="3" t="str">
        <x:v>Property investor / home-buying operator prospect</x:v>
      </x:c>
      <x:c r="AL331" s="19" t="n">
        <x:v>100000</x:v>
      </x:c>
      <x:c r="AM331" s="19" t="n">
        <x:v>500000</x:v>
      </x:c>
      <x:c r="AN331" s="3" t="str">
        <x:v>https://www.cashhomebuyersdirectory.com/cash-home-buyers/illinois/wheaton</x:v>
      </x:c>
      <x:c r="AO331" s="3" t="str">
        <x:v>nc_il_az_co_investors.jsonl</x:v>
      </x:c>
      <x:c r="AP331" s="19"/>
    </x:row>
    <x:row r="332" ht="36" customHeight="1">
      <x:c r="A332" s="23" t="n">
        <x:v>331</x:v>
      </x:c>
      <x:c r="B332" s="15" t="str">
        <x:v>REI House Buyers</x:v>
      </x:c>
      <x:c r="C332" s="15"/>
      <x:c r="D332" s="15" t="str">
        <x:v>Property investor / home-buying operator</x:v>
      </x:c>
      <x:c r="E332" s="15" t="str">
        <x:v>Property investor / operator inquiry</x:v>
      </x:c>
      <x:c r="F332" s="17" t="str">
        <x:v>New</x:v>
      </x:c>
      <x:c r="G332" s="24"/>
      <x:c r="H332" s="24" t="str">
        <x:v>+16028750611</x:v>
      </x:c>
      <x:c r="I332" s="24" t="str">
        <x:v>https://thereihousebuyers.com/</x:v>
      </x:c>
      <x:c r="J332" s="16" t="str">
        <x:v>AZ</x:v>
      </x:c>
      <x:c r="K332" s="16" t="str">
        <x:v>Phoenix</x:v>
      </x:c>
      <x:c r="L332" s="16" t="str">
        <x:v>Public property-business route; investor decision maker unconfirmed</x:v>
      </x:c>
      <x:c r="M332" s="16" t="str">
        <x:v>https://thereihousebuyers.com/</x:v>
      </x:c>
      <x:c r="N332" s="16" t="str">
        <x:v>$100K-$500K ticket not published / unconfirmed</x:v>
      </x:c>
      <x:c r="O332" s="20"/>
      <x:c r="P332" s="20"/>
      <x:c r="Q332" s="25" t="str">
        <x:v>No $100K-$500K operating-company investment ticket verified</x:v>
      </x:c>
      <x:c r="R332" s="25" t="str">
        <x:v>Property acquisition or investor activity makes this an operator-capital prospect for the signed trial. Confirm operating-company debt/equity appetite.</x:v>
      </x:c>
      <x:c r="S332" s="25" t="str">
        <x:v>Public property-buying activity or a directory listing does not establish available cash, investing decision-maker, current $100K-$500K capacity, or willingness to fund 101XVC operating costs.</x:v>
      </x:c>
      <x:c r="T332" s="25" t="str">
        <x:v>Ask the owner/investor whether they can allocate $100K-$500K to trial marketing and acquisitions, and confirm structure, timing and decision authority.</x:v>
      </x:c>
      <x:c r="U332" s="25" t="str">
        <x:v>https://www.cashhomebuyersdirectory.com/cash-home-buyers/arizona/phoenix</x:v>
      </x:c>
      <x:c r="V332" s="26" t="d">
        <x:v>2026-10-02T00:00:00.000Z</x:v>
      </x:c>
      <x:c r="W332" s="26" t="d">
        <x:v>2026-10-02T00:00:00.000Z</x:v>
      </x:c>
      <x:c r="X332" s="25" t="str">
        <x:v>Public investor directory; business role and contact ownership require qualification</x:v>
      </x:c>
      <x:c r="Y332" s="25"/>
      <x:c r="Z332" s="25" t="str">
        <x:v>https://www.cashhomebuyersdirectory.com/cash-home-buyers/arizona/phoenix</x:v>
      </x:c>
      <x:c r="AA332" s="25" t="str">
        <x:v>Public cash-home-buyer directory lists business name, phone and market. Directory entry may include brokers or service providers.</x:v>
      </x:c>
      <x:c r="AB332" s="3" t="str">
        <x:v>New public-source collection</x:v>
      </x:c>
      <x:c r="AC332" s="3" t="str">
        <x:v>unverified</x:v>
      </x:c>
      <x:c r="AD332" s="3" t="str">
        <x:v>Not contacted / unconfirmed</x:v>
      </x:c>
      <x:c r="AE332" s="3" t="str">
        <x:v>No</x:v>
      </x:c>
      <x:c r="AF332" s="3" t="str">
        <x:v>No</x:v>
      </x:c>
      <x:c r="AG332" s="3"/>
      <x:c r="AH332" s="3"/>
      <x:c r="AI332" s="18"/>
      <x:c r="AJ332" s="3" t="str">
        <x:v>CF2500-EA1DDF900D11</x:v>
      </x:c>
      <x:c r="AK332" s="3" t="str">
        <x:v>Property investor / home-buying operator prospect</x:v>
      </x:c>
      <x:c r="AL332" s="19" t="n">
        <x:v>100000</x:v>
      </x:c>
      <x:c r="AM332" s="19" t="n">
        <x:v>500000</x:v>
      </x:c>
      <x:c r="AN332" s="3" t="str">
        <x:v>https://www.cashhomebuyersdirectory.com/cash-home-buyers/arizona/phoenix</x:v>
      </x:c>
      <x:c r="AO332" s="3" t="str">
        <x:v>nc_il_az_co_investors.jsonl</x:v>
      </x:c>
      <x:c r="AP332" s="19"/>
    </x:row>
    <x:row r="333" ht="36" customHeight="1">
      <x:c r="A333" s="23" t="n">
        <x:v>332</x:v>
      </x:c>
      <x:c r="B333" s="15" t="str">
        <x:v>Reliable Cash Buyers - Sell Your House Fast For Cash - Sell My House As-Is</x:v>
      </x:c>
      <x:c r="C333" s="15"/>
      <x:c r="D333" s="15" t="str">
        <x:v>Property investor / home-buying operator</x:v>
      </x:c>
      <x:c r="E333" s="15" t="str">
        <x:v>Property investor / operator inquiry</x:v>
      </x:c>
      <x:c r="F333" s="17" t="str">
        <x:v>New</x:v>
      </x:c>
      <x:c r="G333" s="24"/>
      <x:c r="H333" s="24" t="str">
        <x:v>+13093222075</x:v>
      </x:c>
      <x:c r="I333" s="24" t="str">
        <x:v>https://reliablecashbuyers.com/</x:v>
      </x:c>
      <x:c r="J333" s="16" t="str">
        <x:v>IL</x:v>
      </x:c>
      <x:c r="K333" s="16" t="str">
        <x:v>Morton</x:v>
      </x:c>
      <x:c r="L333" s="16" t="str">
        <x:v>Public property-business route; investor decision maker unconfirmed</x:v>
      </x:c>
      <x:c r="M333" s="16" t="str">
        <x:v>https://reliablecashbuyers.com/</x:v>
      </x:c>
      <x:c r="N333" s="16" t="str">
        <x:v>$100K-$500K ticket not published / unconfirmed</x:v>
      </x:c>
      <x:c r="O333" s="20"/>
      <x:c r="P333" s="20"/>
      <x:c r="Q333" s="25" t="str">
        <x:v>No $100K-$500K operating-company investment ticket verified</x:v>
      </x:c>
      <x:c r="R333" s="25" t="str">
        <x:v>Property acquisition or investor activity makes this an operator-capital prospect for the signed trial. Confirm operating-company debt/equity appetite.</x:v>
      </x:c>
      <x:c r="S333" s="25" t="str">
        <x:v>Public property-buying activity or a directory listing does not establish available cash, investing decision-maker, current $100K-$500K capacity, or willingness to fund 101XVC operating costs.</x:v>
      </x:c>
      <x:c r="T333" s="25" t="str">
        <x:v>Ask the owner/investor whether they can allocate $100K-$500K to trial marketing and acquisitions, and confirm structure, timing and decision authority.</x:v>
      </x:c>
      <x:c r="U333" s="25" t="str">
        <x:v>https://www.cashhomebuyersdirectory.com/cash-home-buyers/illinois/morton
https://www.cashhomebuyersdirectory.com/cash-home-buyers/tennessee/chattanooga</x:v>
      </x:c>
      <x:c r="V333" s="26" t="d">
        <x:v>2026-10-02T00:00:00.000Z</x:v>
      </x:c>
      <x:c r="W333" s="26" t="d">
        <x:v>2026-10-02T00:00:00.000Z</x:v>
      </x:c>
      <x:c r="X333" s="25" t="str">
        <x:v>Public investor directory; business role and contact ownership require qualification</x:v>
      </x:c>
      <x:c r="Y333" s="25"/>
      <x:c r="Z333" s="25" t="str">
        <x:v>https://www.cashhomebuyersdirectory.com/cash-home-buyers/illinois/morton</x:v>
      </x:c>
      <x:c r="AA333" s="25" t="str">
        <x:v>Public cash-home-buyer directory lists business name, phone and market. Directory entry may include brokers or service providers.</x:v>
      </x:c>
      <x:c r="AB333" s="3" t="str">
        <x:v>New public-source collection</x:v>
      </x:c>
      <x:c r="AC333" s="3" t="str">
        <x:v>unverified</x:v>
      </x:c>
      <x:c r="AD333" s="3" t="str">
        <x:v>Not contacted / unconfirmed</x:v>
      </x:c>
      <x:c r="AE333" s="3" t="str">
        <x:v>No</x:v>
      </x:c>
      <x:c r="AF333" s="3" t="str">
        <x:v>No</x:v>
      </x:c>
      <x:c r="AG333" s="3"/>
      <x:c r="AH333" s="3"/>
      <x:c r="AI333" s="18"/>
      <x:c r="AJ333" s="3" t="str">
        <x:v>CF2500-B1F27BE79A97</x:v>
      </x:c>
      <x:c r="AK333" s="3" t="str">
        <x:v>Property investor / home-buying operator prospect</x:v>
      </x:c>
      <x:c r="AL333" s="19" t="n">
        <x:v>100000</x:v>
      </x:c>
      <x:c r="AM333" s="19" t="n">
        <x:v>500000</x:v>
      </x:c>
      <x:c r="AN333" s="3" t="str">
        <x:v>https://www.cashhomebuyersdirectory.com/cash-home-buyers/illinois/morton</x:v>
      </x:c>
      <x:c r="AO333" s="3" t="str">
        <x:v>nc_il_az_co_investors.jsonl</x:v>
      </x:c>
      <x:c r="AP333" s="19"/>
    </x:row>
    <x:row r="334" ht="36" customHeight="1">
      <x:c r="A334" s="23" t="n">
        <x:v>333</x:v>
      </x:c>
      <x:c r="B334" s="15" t="str">
        <x:v>Results Home Buyers LLC</x:v>
      </x:c>
      <x:c r="C334" s="15"/>
      <x:c r="D334" s="15" t="str">
        <x:v>Property investor / home-buying operator</x:v>
      </x:c>
      <x:c r="E334" s="15" t="str">
        <x:v>Property investor / operator inquiry</x:v>
      </x:c>
      <x:c r="F334" s="17" t="str">
        <x:v>New</x:v>
      </x:c>
      <x:c r="G334" s="24"/>
      <x:c r="H334" s="24" t="str">
        <x:v>+16189427500</x:v>
      </x:c>
      <x:c r="I334" s="24" t="str">
        <x:v>http://www.resultshb.com/</x:v>
      </x:c>
      <x:c r="J334" s="16" t="str">
        <x:v>IL</x:v>
      </x:c>
      <x:c r="K334" s="16" t="str">
        <x:v>Herrin</x:v>
      </x:c>
      <x:c r="L334" s="16" t="str">
        <x:v>Public property-business route; investor decision maker unconfirmed</x:v>
      </x:c>
      <x:c r="M334" s="16" t="str">
        <x:v>http://www.resultshb.com/</x:v>
      </x:c>
      <x:c r="N334" s="16" t="str">
        <x:v>$100K-$500K ticket not published / unconfirmed</x:v>
      </x:c>
      <x:c r="O334" s="20"/>
      <x:c r="P334" s="20"/>
      <x:c r="Q334" s="25" t="str">
        <x:v>No $100K-$500K operating-company investment ticket verified</x:v>
      </x:c>
      <x:c r="R334" s="25" t="str">
        <x:v>Property acquisition or investor activity makes this an operator-capital prospect for the signed trial. Confirm operating-company debt/equity appetite.</x:v>
      </x:c>
      <x:c r="S334" s="25" t="str">
        <x:v>Public property-buying activity or a directory listing does not establish available cash, investing decision-maker, current $100K-$500K capacity, or willingness to fund 101XVC operating costs.</x:v>
      </x:c>
      <x:c r="T334" s="25" t="str">
        <x:v>Ask the owner/investor whether they can allocate $100K-$500K to trial marketing and acquisitions, and confirm structure, timing and decision authority.</x:v>
      </x:c>
      <x:c r="U334" s="25" t="str">
        <x:v>https://www.cashhomebuyersdirectory.com/cash-home-buyers/illinois/herrin</x:v>
      </x:c>
      <x:c r="V334" s="26" t="d">
        <x:v>2026-10-02T00:00:00.000Z</x:v>
      </x:c>
      <x:c r="W334" s="26" t="d">
        <x:v>2026-10-02T00:00:00.000Z</x:v>
      </x:c>
      <x:c r="X334" s="25" t="str">
        <x:v>Public investor directory; business role and contact ownership require qualification</x:v>
      </x:c>
      <x:c r="Y334" s="25"/>
      <x:c r="Z334" s="25" t="str">
        <x:v>https://www.cashhomebuyersdirectory.com/cash-home-buyers/illinois/herrin</x:v>
      </x:c>
      <x:c r="AA334" s="25" t="str">
        <x:v>Public cash-home-buyer directory lists business name, phone and market. Directory entry may include brokers or service providers.</x:v>
      </x:c>
      <x:c r="AB334" s="3" t="str">
        <x:v>New public-source collection</x:v>
      </x:c>
      <x:c r="AC334" s="3" t="str">
        <x:v>unverified</x:v>
      </x:c>
      <x:c r="AD334" s="3" t="str">
        <x:v>Not contacted / unconfirmed</x:v>
      </x:c>
      <x:c r="AE334" s="3" t="str">
        <x:v>No</x:v>
      </x:c>
      <x:c r="AF334" s="3" t="str">
        <x:v>No</x:v>
      </x:c>
      <x:c r="AG334" s="3"/>
      <x:c r="AH334" s="3"/>
      <x:c r="AI334" s="18"/>
      <x:c r="AJ334" s="3" t="str">
        <x:v>CF2500-D6AD0D4D4828</x:v>
      </x:c>
      <x:c r="AK334" s="3" t="str">
        <x:v>Property investor / home-buying operator prospect</x:v>
      </x:c>
      <x:c r="AL334" s="19" t="n">
        <x:v>100000</x:v>
      </x:c>
      <x:c r="AM334" s="19" t="n">
        <x:v>500000</x:v>
      </x:c>
      <x:c r="AN334" s="3" t="str">
        <x:v>https://www.cashhomebuyersdirectory.com/cash-home-buyers/illinois/herrin</x:v>
      </x:c>
      <x:c r="AO334" s="3" t="str">
        <x:v>nc_il_az_co_investors.jsonl</x:v>
      </x:c>
      <x:c r="AP334" s="19"/>
    </x:row>
    <x:row r="335" ht="36" customHeight="1">
      <x:c r="A335" s="23" t="n">
        <x:v>334</x:v>
      </x:c>
      <x:c r="B335" s="15" t="str">
        <x:v>Revival Homebuyer</x:v>
      </x:c>
      <x:c r="C335" s="15"/>
      <x:c r="D335" s="15" t="str">
        <x:v>Property investor / home-buying operator</x:v>
      </x:c>
      <x:c r="E335" s="15" t="str">
        <x:v>Property investor / operator inquiry</x:v>
      </x:c>
      <x:c r="F335" s="17" t="str">
        <x:v>New</x:v>
      </x:c>
      <x:c r="G335" s="24"/>
      <x:c r="H335" s="24" t="str">
        <x:v>+18135483674</x:v>
      </x:c>
      <x:c r="I335" s="24" t="str">
        <x:v>http://www.revivalhomebuyer.com/</x:v>
      </x:c>
      <x:c r="J335" s="16" t="str">
        <x:v>FL</x:v>
      </x:c>
      <x:c r="K335" s="16" t="str">
        <x:v>Tampa</x:v>
      </x:c>
      <x:c r="L335" s="16" t="str">
        <x:v>Public property-business route; investor decision maker unconfirmed</x:v>
      </x:c>
      <x:c r="M335" s="16" t="str">
        <x:v>http://www.revivalhomebuyer.com/</x:v>
      </x:c>
      <x:c r="N335" s="16" t="str">
        <x:v>$100K-$500K ticket not published / unconfirmed</x:v>
      </x:c>
      <x:c r="O335" s="20"/>
      <x:c r="P335" s="20"/>
      <x:c r="Q335" s="25" t="str">
        <x:v>No $100K-$500K corporate-investment ticket published in checked source</x:v>
      </x:c>
      <x:c r="R335" s="25" t="str">
        <x:v>Property acquisition or investor activity makes this an operator-capital prospect for the signed trial. Confirm operating-company debt/equity appetite.</x:v>
      </x:c>
      <x:c r="S335" s="25" t="str">
        <x:v>Home-buying activity does not verify ability or willingness to invest $100K-$500K into 101XVC operating company. Website and contact verification pending.</x:v>
      </x:c>
      <x:c r="T335" s="25" t="str">
        <x:v>Ask the owner/investor whether they can allocate $100K-$500K to trial marketing and acquisitions, and confirm structure, timing and decision authority.</x:v>
      </x:c>
      <x:c r="U335" s="25" t="str">
        <x:v>https://www.cashhomebuyersdirectory.com/cash-home-buyers/florida/tampa</x:v>
      </x:c>
      <x:c r="V335" s="26" t="d">
        <x:v>2026-10-02T00:00:00.000Z</x:v>
      </x:c>
      <x:c r="W335" s="26" t="d">
        <x:v>2026-10-03T00:00:00.000Z</x:v>
      </x:c>
      <x:c r="X335" s="25" t="str">
        <x:v>Public investor directory; business role and contact ownership require qualification</x:v>
      </x:c>
      <x:c r="Y335" s="25"/>
      <x:c r="Z335" s="25" t="str">
        <x:v>https://www.cashhomebuyersdirectory.com/cash-home-buyers/florida/tampa</x:v>
      </x:c>
      <x:c r="AA335" s="25" t="str">
        <x:v>Public cash-home-buyer directory lists business name, phone and market. Directory entry may include brokers or service providers.</x:v>
      </x:c>
      <x:c r="AB335" s="3" t="str">
        <x:v>New public-source collection</x:v>
      </x:c>
      <x:c r="AC335" s="3" t="str">
        <x:v>unverified</x:v>
      </x:c>
      <x:c r="AD335" s="3" t="str">
        <x:v>Not contacted / unconfirmed</x:v>
      </x:c>
      <x:c r="AE335" s="3" t="str">
        <x:v>No</x:v>
      </x:c>
      <x:c r="AF335" s="3" t="str">
        <x:v>No</x:v>
      </x:c>
      <x:c r="AG335" s="3"/>
      <x:c r="AH335" s="3"/>
      <x:c r="AI335" s="18"/>
      <x:c r="AJ335" s="3" t="str">
        <x:v>CF2500-4E185C0EF1D4</x:v>
      </x:c>
      <x:c r="AK335" s="3" t="str">
        <x:v>Property investor / home-buying operator prospect</x:v>
      </x:c>
      <x:c r="AL335" s="19" t="n">
        <x:v>100000</x:v>
      </x:c>
      <x:c r="AM335" s="19" t="n">
        <x:v>500000</x:v>
      </x:c>
      <x:c r="AN335" s="3" t="str">
        <x:v>https://www.cashhomebuyersdirectory.com/cash-home-buyers/florida/tampa</x:v>
      </x:c>
      <x:c r="AO335" s="3" t="str">
        <x:v>tx_fl_investors.jsonl</x:v>
      </x:c>
      <x:c r="AP335" s="19"/>
    </x:row>
    <x:row r="336" ht="36" customHeight="1">
      <x:c r="A336" s="23" t="n">
        <x:v>335</x:v>
      </x:c>
      <x:c r="B336" s="15" t="str">
        <x:v>RGV Real Estate Solutions| We Buy Houses RGV | Sell My House Fast RGV</x:v>
      </x:c>
      <x:c r="C336" s="15"/>
      <x:c r="D336" s="15" t="str">
        <x:v>Property investor / home-buying operator</x:v>
      </x:c>
      <x:c r="E336" s="15" t="str">
        <x:v>Property investor / operator inquiry</x:v>
      </x:c>
      <x:c r="F336" s="17" t="str">
        <x:v>New</x:v>
      </x:c>
      <x:c r="G336" s="24"/>
      <x:c r="H336" s="24" t="str">
        <x:v>+19567976594</x:v>
      </x:c>
      <x:c r="I336" s="24" t="str">
        <x:v>http://www.sellmyrgvhouse.com/</x:v>
      </x:c>
      <x:c r="J336" s="16" t="str">
        <x:v>TX</x:v>
      </x:c>
      <x:c r="K336" s="16" t="str">
        <x:v>McAllen</x:v>
      </x:c>
      <x:c r="L336" s="16" t="str">
        <x:v>Public property-business route; investor decision maker unconfirmed</x:v>
      </x:c>
      <x:c r="M336" s="16" t="str">
        <x:v>http://www.sellmyrgvhouse.com/</x:v>
      </x:c>
      <x:c r="N336" s="16" t="str">
        <x:v>$100K-$500K ticket not published / unconfirmed</x:v>
      </x:c>
      <x:c r="O336" s="20"/>
      <x:c r="P336" s="20"/>
      <x:c r="Q336" s="25" t="str">
        <x:v>No $100K-$500K corporate-investment ticket published in checked source</x:v>
      </x:c>
      <x:c r="R336" s="25" t="str">
        <x:v>Property acquisition or investor activity makes this an operator-capital prospect for the signed trial. Confirm operating-company debt/equity appetite.</x:v>
      </x:c>
      <x:c r="S336" s="25" t="str">
        <x:v>Home-buying activity does not verify ability or willingness to invest $100K-$500K into 101XVC operating company. Website and contact verification pending.</x:v>
      </x:c>
      <x:c r="T336" s="25" t="str">
        <x:v>Ask the owner/investor whether they can allocate $100K-$500K to trial marketing and acquisitions, and confirm structure, timing and decision authority.</x:v>
      </x:c>
      <x:c r="U336" s="25" t="str">
        <x:v>https://www.cashhomebuyersdirectory.com/cash-home-buyers/texas/mcallen</x:v>
      </x:c>
      <x:c r="V336" s="26" t="d">
        <x:v>2026-10-02T00:00:00.000Z</x:v>
      </x:c>
      <x:c r="W336" s="26" t="d">
        <x:v>2026-10-03T00:00:00.000Z</x:v>
      </x:c>
      <x:c r="X336" s="25" t="str">
        <x:v>Public investor directory; business role and contact ownership require qualification</x:v>
      </x:c>
      <x:c r="Y336" s="25"/>
      <x:c r="Z336" s="25" t="str">
        <x:v>https://www.cashhomebuyersdirectory.com/cash-home-buyers/texas/mcallen</x:v>
      </x:c>
      <x:c r="AA336" s="25" t="str">
        <x:v>Public cash-home-buyer directory lists business name, phone and market. Directory entry may include brokers or service providers.</x:v>
      </x:c>
      <x:c r="AB336" s="3" t="str">
        <x:v>New public-source collection</x:v>
      </x:c>
      <x:c r="AC336" s="3" t="str">
        <x:v>unverified</x:v>
      </x:c>
      <x:c r="AD336" s="3" t="str">
        <x:v>Not contacted / unconfirmed</x:v>
      </x:c>
      <x:c r="AE336" s="3" t="str">
        <x:v>No</x:v>
      </x:c>
      <x:c r="AF336" s="3" t="str">
        <x:v>No</x:v>
      </x:c>
      <x:c r="AG336" s="3"/>
      <x:c r="AH336" s="3"/>
      <x:c r="AI336" s="18"/>
      <x:c r="AJ336" s="3" t="str">
        <x:v>CF2500-B2744F57DA8D</x:v>
      </x:c>
      <x:c r="AK336" s="3" t="str">
        <x:v>Property investor / home-buying operator prospect</x:v>
      </x:c>
      <x:c r="AL336" s="19" t="n">
        <x:v>100000</x:v>
      </x:c>
      <x:c r="AM336" s="19" t="n">
        <x:v>500000</x:v>
      </x:c>
      <x:c r="AN336" s="3" t="str">
        <x:v>https://www.cashhomebuyersdirectory.com/cash-home-buyers/texas/mcallen</x:v>
      </x:c>
      <x:c r="AO336" s="3" t="str">
        <x:v>tx_fl_investors.jsonl</x:v>
      </x:c>
      <x:c r="AP336" s="19"/>
    </x:row>
    <x:row r="337" ht="36" customHeight="1">
      <x:c r="A337" s="23" t="n">
        <x:v>336</x:v>
      </x:c>
      <x:c r="B337" s="15" t="str">
        <x:v>River Walk Home Buyers</x:v>
      </x:c>
      <x:c r="C337" s="15"/>
      <x:c r="D337" s="15" t="str">
        <x:v>Property investor / home-buying operator</x:v>
      </x:c>
      <x:c r="E337" s="15" t="str">
        <x:v>Property investor / operator inquiry</x:v>
      </x:c>
      <x:c r="F337" s="17" t="str">
        <x:v>New</x:v>
      </x:c>
      <x:c r="G337" s="24"/>
      <x:c r="H337" s="24" t="str">
        <x:v>+12107503335</x:v>
      </x:c>
      <x:c r="I337" s="24" t="str">
        <x:v>https://www.riverwalkhomebuyers.com/</x:v>
      </x:c>
      <x:c r="J337" s="16" t="str">
        <x:v>TX</x:v>
      </x:c>
      <x:c r="K337" s="16" t="str">
        <x:v>San Antonio</x:v>
      </x:c>
      <x:c r="L337" s="16" t="str">
        <x:v>Public property-business route; investor decision maker unconfirmed</x:v>
      </x:c>
      <x:c r="M337" s="16" t="str">
        <x:v>https://www.riverwalkhomebuyers.com/</x:v>
      </x:c>
      <x:c r="N337" s="16" t="str">
        <x:v>$100K-$500K ticket not published / unconfirmed</x:v>
      </x:c>
      <x:c r="O337" s="20"/>
      <x:c r="P337" s="20"/>
      <x:c r="Q337" s="25" t="str">
        <x:v>No $100K-$500K corporate-investment ticket published in checked source</x:v>
      </x:c>
      <x:c r="R337" s="25" t="str">
        <x:v>Property acquisition or investor activity makes this an operator-capital prospect for the signed trial. Confirm operating-company debt/equity appetite.</x:v>
      </x:c>
      <x:c r="S337" s="25" t="str">
        <x:v>Home-buying activity does not verify ability or willingness to invest $100K-$500K into 101XVC operating company. Website and contact verification pending.</x:v>
      </x:c>
      <x:c r="T337" s="25" t="str">
        <x:v>Ask the owner/investor whether they can allocate $100K-$500K to trial marketing and acquisitions, and confirm structure, timing and decision authority.</x:v>
      </x:c>
      <x:c r="U337" s="25" t="str">
        <x:v>https://www.cashhomebuyersdirectory.com/cash-home-buyers/texas/san-antonio</x:v>
      </x:c>
      <x:c r="V337" s="26" t="d">
        <x:v>2026-10-02T00:00:00.000Z</x:v>
      </x:c>
      <x:c r="W337" s="26" t="d">
        <x:v>2026-10-03T00:00:00.000Z</x:v>
      </x:c>
      <x:c r="X337" s="25" t="str">
        <x:v>Public investor directory; business role and contact ownership require qualification</x:v>
      </x:c>
      <x:c r="Y337" s="25"/>
      <x:c r="Z337" s="25" t="str">
        <x:v>https://www.cashhomebuyersdirectory.com/cash-home-buyers/texas/san-antonio</x:v>
      </x:c>
      <x:c r="AA337" s="25" t="str">
        <x:v>Public cash-home-buyer directory lists business name, phone and market. Directory entry may include brokers or service providers.</x:v>
      </x:c>
      <x:c r="AB337" s="3" t="str">
        <x:v>New public-source collection</x:v>
      </x:c>
      <x:c r="AC337" s="3" t="str">
        <x:v>unverified</x:v>
      </x:c>
      <x:c r="AD337" s="3" t="str">
        <x:v>Not contacted / unconfirmed</x:v>
      </x:c>
      <x:c r="AE337" s="3" t="str">
        <x:v>No</x:v>
      </x:c>
      <x:c r="AF337" s="3" t="str">
        <x:v>No</x:v>
      </x:c>
      <x:c r="AG337" s="3"/>
      <x:c r="AH337" s="3"/>
      <x:c r="AI337" s="18"/>
      <x:c r="AJ337" s="3" t="str">
        <x:v>CF2500-A26BA979C62E</x:v>
      </x:c>
      <x:c r="AK337" s="3" t="str">
        <x:v>Property investor / home-buying operator prospect</x:v>
      </x:c>
      <x:c r="AL337" s="19" t="n">
        <x:v>100000</x:v>
      </x:c>
      <x:c r="AM337" s="19" t="n">
        <x:v>500000</x:v>
      </x:c>
      <x:c r="AN337" s="3" t="str">
        <x:v>https://www.cashhomebuyersdirectory.com/cash-home-buyers/texas/san-antonio</x:v>
      </x:c>
      <x:c r="AO337" s="3" t="str">
        <x:v>tx_fl_investors.jsonl</x:v>
      </x:c>
      <x:c r="AP337" s="19"/>
    </x:row>
    <x:row r="338" ht="36" customHeight="1">
      <x:c r="A338" s="23" t="n">
        <x:v>337</x:v>
      </x:c>
      <x:c r="B338" s="15" t="str">
        <x:v>Ron Buys Florida Homes|Sell My House Fast|Cash Buyers In Florida</x:v>
      </x:c>
      <x:c r="C338" s="15"/>
      <x:c r="D338" s="15" t="str">
        <x:v>Property investor / home-buying operator</x:v>
      </x:c>
      <x:c r="E338" s="15" t="str">
        <x:v>Property investor / operator inquiry</x:v>
      </x:c>
      <x:c r="F338" s="17" t="str">
        <x:v>New</x:v>
      </x:c>
      <x:c r="G338" s="24"/>
      <x:c r="H338" s="24" t="str">
        <x:v>+15617582390</x:v>
      </x:c>
      <x:c r="I338" s="24" t="str">
        <x:v>https://www.ronbuysfloridahomes.com/</x:v>
      </x:c>
      <x:c r="J338" s="16" t="str">
        <x:v>FL</x:v>
      </x:c>
      <x:c r="K338" s="16" t="str">
        <x:v>Tallahassee</x:v>
      </x:c>
      <x:c r="L338" s="16" t="str">
        <x:v>Public property-business route; investor decision maker unconfirmed</x:v>
      </x:c>
      <x:c r="M338" s="16" t="str">
        <x:v>https://www.ronbuysfloridahomes.com/</x:v>
      </x:c>
      <x:c r="N338" s="16" t="str">
        <x:v>$100K-$500K ticket not published / unconfirmed</x:v>
      </x:c>
      <x:c r="O338" s="20"/>
      <x:c r="P338" s="20"/>
      <x:c r="Q338" s="25" t="str">
        <x:v>No $100K-$500K corporate-investment ticket published in checked source</x:v>
      </x:c>
      <x:c r="R338" s="25" t="str">
        <x:v>Property acquisition or investor activity makes this an operator-capital prospect for the signed trial. Confirm operating-company debt/equity appetite.</x:v>
      </x:c>
      <x:c r="S338" s="25" t="str">
        <x:v>Home-buying activity does not verify ability or willingness to invest $100K-$500K into 101XVC operating company. Website and contact verification pending.</x:v>
      </x:c>
      <x:c r="T338" s="25" t="str">
        <x:v>Ask the owner/investor whether they can allocate $100K-$500K to trial marketing and acquisitions, and confirm structure, timing and decision authority.</x:v>
      </x:c>
      <x:c r="U338" s="25" t="str">
        <x:v>https://www.cashhomebuyersdirectory.com/cash-home-buyers/florida/tallahassee</x:v>
      </x:c>
      <x:c r="V338" s="26" t="d">
        <x:v>2026-10-02T00:00:00.000Z</x:v>
      </x:c>
      <x:c r="W338" s="26" t="d">
        <x:v>2026-10-03T00:00:00.000Z</x:v>
      </x:c>
      <x:c r="X338" s="25" t="str">
        <x:v>Public investor directory; business role and contact ownership require qualification</x:v>
      </x:c>
      <x:c r="Y338" s="25"/>
      <x:c r="Z338" s="25" t="str">
        <x:v>https://www.cashhomebuyersdirectory.com/cash-home-buyers/florida/tallahassee</x:v>
      </x:c>
      <x:c r="AA338" s="25" t="str">
        <x:v>Public cash-home-buyer directory lists business name, phone and market. Directory entry may include brokers or service providers.</x:v>
      </x:c>
      <x:c r="AB338" s="3" t="str">
        <x:v>New public-source collection</x:v>
      </x:c>
      <x:c r="AC338" s="3" t="str">
        <x:v>unverified</x:v>
      </x:c>
      <x:c r="AD338" s="3" t="str">
        <x:v>Not contacted / unconfirmed</x:v>
      </x:c>
      <x:c r="AE338" s="3" t="str">
        <x:v>No</x:v>
      </x:c>
      <x:c r="AF338" s="3" t="str">
        <x:v>No</x:v>
      </x:c>
      <x:c r="AG338" s="3"/>
      <x:c r="AH338" s="3"/>
      <x:c r="AI338" s="18"/>
      <x:c r="AJ338" s="3" t="str">
        <x:v>CF2500-CAB8FFB4E159</x:v>
      </x:c>
      <x:c r="AK338" s="3" t="str">
        <x:v>Property investor / home-buying operator prospect</x:v>
      </x:c>
      <x:c r="AL338" s="19" t="n">
        <x:v>100000</x:v>
      </x:c>
      <x:c r="AM338" s="19" t="n">
        <x:v>500000</x:v>
      </x:c>
      <x:c r="AN338" s="3" t="str">
        <x:v>https://www.cashhomebuyersdirectory.com/cash-home-buyers/florida/tallahassee</x:v>
      </x:c>
      <x:c r="AO338" s="3" t="str">
        <x:v>tx_fl_investors.jsonl</x:v>
      </x:c>
      <x:c r="AP338" s="19"/>
    </x:row>
    <x:row r="339" ht="36" customHeight="1">
      <x:c r="A339" s="23" t="n">
        <x:v>338</x:v>
      </x:c>
      <x:c r="B339" s="15" t="str">
        <x:v>Sarasota Cash Home Buyers</x:v>
      </x:c>
      <x:c r="C339" s="15"/>
      <x:c r="D339" s="15" t="str">
        <x:v>Property investor / home-buying operator</x:v>
      </x:c>
      <x:c r="E339" s="15" t="str">
        <x:v>Property investor / operator inquiry</x:v>
      </x:c>
      <x:c r="F339" s="17" t="str">
        <x:v>New</x:v>
      </x:c>
      <x:c r="G339" s="24"/>
      <x:c r="H339" s="24" t="str">
        <x:v>+19412026957</x:v>
      </x:c>
      <x:c r="I339" s="24" t="str">
        <x:v>https://www.sarasotacashhomebuyers.com/</x:v>
      </x:c>
      <x:c r="J339" s="16" t="str">
        <x:v>FL</x:v>
      </x:c>
      <x:c r="K339" s="16"/>
      <x:c r="L339" s="16" t="str">
        <x:v>Public property-business route; investor decision maker unconfirmed</x:v>
      </x:c>
      <x:c r="M339" s="16" t="str">
        <x:v>https://www.sarasotacashhomebuyers.com/</x:v>
      </x:c>
      <x:c r="N339" s="16" t="str">
        <x:v>$100K-$500K ticket not published / unconfirmed</x:v>
      </x:c>
      <x:c r="O339" s="20"/>
      <x:c r="P339" s="20"/>
      <x:c r="Q339" s="25" t="str">
        <x:v>No $100K-$500K corporate-investment ticket published in checked source</x:v>
      </x:c>
      <x:c r="R339" s="25" t="str">
        <x:v>Property acquisition or investor activity makes this an operator-capital prospect for the signed trial. Confirm operating-company debt/equity appetite.</x:v>
      </x:c>
      <x:c r="S339" s="25" t="str">
        <x:v>Home-buying activity does not verify ability or willingness to invest $100K-$500K into 101XVC operating company. Website and contact verification pending.</x:v>
      </x:c>
      <x:c r="T339" s="25" t="str">
        <x:v>Ask the owner/investor whether they can allocate $100K-$500K to trial marketing and acquisitions, and confirm structure, timing and decision authority.</x:v>
      </x:c>
      <x:c r="U339" s="25" t="str">
        <x:v>https://www.cashhomebuyersdirectory.com/cash-home-buyers/florida/sarasota</x:v>
      </x:c>
      <x:c r="V339" s="26" t="d">
        <x:v>2026-10-02T00:00:00.000Z</x:v>
      </x:c>
      <x:c r="W339" s="26" t="d">
        <x:v>2026-10-03T00:00:00.000Z</x:v>
      </x:c>
      <x:c r="X339" s="25" t="str">
        <x:v>Public investor directory; business role and contact ownership require qualification</x:v>
      </x:c>
      <x:c r="Y339" s="25"/>
      <x:c r="Z339" s="25" t="str">
        <x:v>https://www.cashhomebuyersdirectory.com/cash-home-buyers/florida/sarasota</x:v>
      </x:c>
      <x:c r="AA339" s="25" t="str">
        <x:v>Public cash-home-buyer directory lists business name, phone and market. Directory entry may include brokers or service providers.</x:v>
      </x:c>
      <x:c r="AB339" s="3" t="str">
        <x:v>New public-source collection</x:v>
      </x:c>
      <x:c r="AC339" s="3" t="str">
        <x:v>unverified</x:v>
      </x:c>
      <x:c r="AD339" s="3" t="str">
        <x:v>Not contacted / unconfirmed</x:v>
      </x:c>
      <x:c r="AE339" s="3" t="str">
        <x:v>No</x:v>
      </x:c>
      <x:c r="AF339" s="3" t="str">
        <x:v>No</x:v>
      </x:c>
      <x:c r="AG339" s="3"/>
      <x:c r="AH339" s="3"/>
      <x:c r="AI339" s="18"/>
      <x:c r="AJ339" s="3" t="str">
        <x:v>CF2500-9EDF9FA08F7E</x:v>
      </x:c>
      <x:c r="AK339" s="3" t="str">
        <x:v>Property investor / home-buying operator prospect</x:v>
      </x:c>
      <x:c r="AL339" s="19" t="n">
        <x:v>100000</x:v>
      </x:c>
      <x:c r="AM339" s="19" t="n">
        <x:v>500000</x:v>
      </x:c>
      <x:c r="AN339" s="3" t="str">
        <x:v>https://www.cashhomebuyersdirectory.com/cash-home-buyers/florida/sarasota</x:v>
      </x:c>
      <x:c r="AO339" s="3" t="str">
        <x:v>tx_fl_investors.jsonl</x:v>
      </x:c>
      <x:c r="AP339" s="19"/>
    </x:row>
    <x:row r="340" ht="36" customHeight="1">
      <x:c r="A340" s="23" t="n">
        <x:v>339</x:v>
      </x:c>
      <x:c r="B340" s="15" t="str">
        <x:v>SB Home Buyers</x:v>
      </x:c>
      <x:c r="C340" s="15"/>
      <x:c r="D340" s="15" t="str">
        <x:v>Property investor / home-buying operator</x:v>
      </x:c>
      <x:c r="E340" s="15" t="str">
        <x:v>Property investor / operator inquiry</x:v>
      </x:c>
      <x:c r="F340" s="17" t="str">
        <x:v>New</x:v>
      </x:c>
      <x:c r="G340" s="24"/>
      <x:c r="H340" s="24" t="str">
        <x:v>+18667073216</x:v>
      </x:c>
      <x:c r="I340" s="24" t="str">
        <x:v>http://sbhomebuyers.com/</x:v>
      </x:c>
      <x:c r="J340" s="16" t="str">
        <x:v>FL</x:v>
      </x:c>
      <x:c r="K340" s="16" t="str">
        <x:v>Miami</x:v>
      </x:c>
      <x:c r="L340" s="16" t="str">
        <x:v>Public property-business route; investor decision maker unconfirmed</x:v>
      </x:c>
      <x:c r="M340" s="16" t="str">
        <x:v>http://sbhomebuyers.com/</x:v>
      </x:c>
      <x:c r="N340" s="16" t="str">
        <x:v>$100K-$500K ticket not published / unconfirmed</x:v>
      </x:c>
      <x:c r="O340" s="20"/>
      <x:c r="P340" s="20"/>
      <x:c r="Q340" s="25" t="str">
        <x:v>No $100K-$500K corporate-investment ticket published in checked source</x:v>
      </x:c>
      <x:c r="R340" s="25" t="str">
        <x:v>Property acquisition or investor activity makes this an operator-capital prospect for the signed trial. Confirm operating-company debt/equity appetite.</x:v>
      </x:c>
      <x:c r="S340" s="25" t="str">
        <x:v>Home-buying activity does not verify ability or willingness to invest $100K-$500K into 101XVC operating company. Website and contact verification pending.</x:v>
      </x:c>
      <x:c r="T340" s="25" t="str">
        <x:v>Ask the owner/investor whether they can allocate $100K-$500K to trial marketing and acquisitions, and confirm structure, timing and decision authority.</x:v>
      </x:c>
      <x:c r="U340" s="25" t="str">
        <x:v>https://www.cashhomebuyersdirectory.com/cash-home-buyers/florida/miami</x:v>
      </x:c>
      <x:c r="V340" s="26" t="d">
        <x:v>2026-10-02T00:00:00.000Z</x:v>
      </x:c>
      <x:c r="W340" s="26" t="d">
        <x:v>2026-10-03T00:00:00.000Z</x:v>
      </x:c>
      <x:c r="X340" s="25" t="str">
        <x:v>Public investor directory; business role and contact ownership require qualification</x:v>
      </x:c>
      <x:c r="Y340" s="25"/>
      <x:c r="Z340" s="25" t="str">
        <x:v>https://www.cashhomebuyersdirectory.com/cash-home-buyers/florida/miami</x:v>
      </x:c>
      <x:c r="AA340" s="25" t="str">
        <x:v>Public cash-home-buyer directory lists business name, phone and market. Directory entry may include brokers or service providers.</x:v>
      </x:c>
      <x:c r="AB340" s="3" t="str">
        <x:v>New public-source collection</x:v>
      </x:c>
      <x:c r="AC340" s="3" t="str">
        <x:v>unverified</x:v>
      </x:c>
      <x:c r="AD340" s="3" t="str">
        <x:v>Not contacted / unconfirmed</x:v>
      </x:c>
      <x:c r="AE340" s="3" t="str">
        <x:v>No</x:v>
      </x:c>
      <x:c r="AF340" s="3" t="str">
        <x:v>No</x:v>
      </x:c>
      <x:c r="AG340" s="3"/>
      <x:c r="AH340" s="3"/>
      <x:c r="AI340" s="18"/>
      <x:c r="AJ340" s="3" t="str">
        <x:v>CF2500-1189AA8BB72A</x:v>
      </x:c>
      <x:c r="AK340" s="3" t="str">
        <x:v>Property investor / home-buying operator prospect</x:v>
      </x:c>
      <x:c r="AL340" s="19" t="n">
        <x:v>100000</x:v>
      </x:c>
      <x:c r="AM340" s="19" t="n">
        <x:v>500000</x:v>
      </x:c>
      <x:c r="AN340" s="3" t="str">
        <x:v>https://www.cashhomebuyersdirectory.com/cash-home-buyers/florida/miami</x:v>
      </x:c>
      <x:c r="AO340" s="3" t="str">
        <x:v>tx_fl_investors.jsonl</x:v>
      </x:c>
      <x:c r="AP340" s="19"/>
    </x:row>
    <x:row r="341" ht="36" customHeight="1">
      <x:c r="A341" s="23" t="n">
        <x:v>340</x:v>
      </x:c>
      <x:c r="B341" s="15" t="str">
        <x:v>Sell Florida House Now - We Buy Houses Cash in Florida</x:v>
      </x:c>
      <x:c r="C341" s="15"/>
      <x:c r="D341" s="15" t="str">
        <x:v>Property investor / home-buying operator</x:v>
      </x:c>
      <x:c r="E341" s="15" t="str">
        <x:v>Property investor / operator inquiry</x:v>
      </x:c>
      <x:c r="F341" s="17" t="str">
        <x:v>New</x:v>
      </x:c>
      <x:c r="G341" s="24"/>
      <x:c r="H341" s="24" t="str">
        <x:v>+12395109479</x:v>
      </x:c>
      <x:c r="I341" s="24" t="str">
        <x:v>https://sellfloridahousenow.com/</x:v>
      </x:c>
      <x:c r="J341" s="16" t="str">
        <x:v>FL</x:v>
      </x:c>
      <x:c r="K341" s="16" t="str">
        <x:v>Cape Coral</x:v>
      </x:c>
      <x:c r="L341" s="16" t="str">
        <x:v>Public property-business route; investor decision maker unconfirmed</x:v>
      </x:c>
      <x:c r="M341" s="16" t="str">
        <x:v>https://sellfloridahousenow.com/</x:v>
      </x:c>
      <x:c r="N341" s="16" t="str">
        <x:v>$100K-$500K ticket not published / unconfirmed</x:v>
      </x:c>
      <x:c r="O341" s="20"/>
      <x:c r="P341" s="20"/>
      <x:c r="Q341" s="25" t="str">
        <x:v>No $100K-$500K corporate-investment ticket published in checked source</x:v>
      </x:c>
      <x:c r="R341" s="25" t="str">
        <x:v>Property acquisition or investor activity makes this an operator-capital prospect for the signed trial. Confirm operating-company debt/equity appetite.</x:v>
      </x:c>
      <x:c r="S341" s="25" t="str">
        <x:v>Home-buying activity does not verify ability or willingness to invest $100K-$500K into 101XVC operating company. Website and contact verification pending.</x:v>
      </x:c>
      <x:c r="T341" s="25" t="str">
        <x:v>Ask the owner/investor whether they can allocate $100K-$500K to trial marketing and acquisitions, and confirm structure, timing and decision authority.</x:v>
      </x:c>
      <x:c r="U341" s="25" t="str">
        <x:v>https://www.cashhomebuyersdirectory.com/cash-home-buyers/florida/cape-coral</x:v>
      </x:c>
      <x:c r="V341" s="26" t="d">
        <x:v>2026-10-02T00:00:00.000Z</x:v>
      </x:c>
      <x:c r="W341" s="26" t="d">
        <x:v>2026-10-03T00:00:00.000Z</x:v>
      </x:c>
      <x:c r="X341" s="25" t="str">
        <x:v>Public investor directory; business role and contact ownership require qualification</x:v>
      </x:c>
      <x:c r="Y341" s="25"/>
      <x:c r="Z341" s="25" t="str">
        <x:v>https://www.cashhomebuyersdirectory.com/cash-home-buyers/florida/cape-coral</x:v>
      </x:c>
      <x:c r="AA341" s="25" t="str">
        <x:v>Public cash-home-buyer directory lists business name, phone and market. Directory entry may include brokers or service providers.</x:v>
      </x:c>
      <x:c r="AB341" s="3" t="str">
        <x:v>New public-source collection</x:v>
      </x:c>
      <x:c r="AC341" s="3" t="str">
        <x:v>unverified</x:v>
      </x:c>
      <x:c r="AD341" s="3" t="str">
        <x:v>Not contacted / unconfirmed</x:v>
      </x:c>
      <x:c r="AE341" s="3" t="str">
        <x:v>No</x:v>
      </x:c>
      <x:c r="AF341" s="3" t="str">
        <x:v>No</x:v>
      </x:c>
      <x:c r="AG341" s="3"/>
      <x:c r="AH341" s="3"/>
      <x:c r="AI341" s="18"/>
      <x:c r="AJ341" s="3" t="str">
        <x:v>CF2500-A636D333D198</x:v>
      </x:c>
      <x:c r="AK341" s="3" t="str">
        <x:v>Property investor / home-buying operator prospect</x:v>
      </x:c>
      <x:c r="AL341" s="19" t="n">
        <x:v>100000</x:v>
      </x:c>
      <x:c r="AM341" s="19" t="n">
        <x:v>500000</x:v>
      </x:c>
      <x:c r="AN341" s="3" t="str">
        <x:v>https://www.cashhomebuyersdirectory.com/cash-home-buyers/florida/cape-coral</x:v>
      </x:c>
      <x:c r="AO341" s="3" t="str">
        <x:v>tx_fl_investors.jsonl</x:v>
      </x:c>
      <x:c r="AP341" s="19"/>
    </x:row>
    <x:row r="342" ht="36" customHeight="1">
      <x:c r="A342" s="23" t="n">
        <x:v>341</x:v>
      </x:c>
      <x:c r="B342" s="15" t="str">
        <x:v>Sell House Fast Florida | Sell My House Fast Tampa</x:v>
      </x:c>
      <x:c r="C342" s="15"/>
      <x:c r="D342" s="15" t="str">
        <x:v>Property investor / home-buying operator</x:v>
      </x:c>
      <x:c r="E342" s="15" t="str">
        <x:v>Property investor / operator inquiry</x:v>
      </x:c>
      <x:c r="F342" s="17" t="str">
        <x:v>New</x:v>
      </x:c>
      <x:c r="G342" s="24"/>
      <x:c r="H342" s="24" t="str">
        <x:v>+18134615999</x:v>
      </x:c>
      <x:c r="I342" s="24" t="str">
        <x:v>https://sellhousefastflorida.com/sell-my-house-fast-tampa/</x:v>
      </x:c>
      <x:c r="J342" s="16" t="str">
        <x:v>FL</x:v>
      </x:c>
      <x:c r="K342" s="16" t="str">
        <x:v>Tampa</x:v>
      </x:c>
      <x:c r="L342" s="16" t="str">
        <x:v>Public property-business route; investor decision maker unconfirmed</x:v>
      </x:c>
      <x:c r="M342" s="16" t="str">
        <x:v>https://sellhousefastflorida.com/sell-my-house-fast-tampa/</x:v>
      </x:c>
      <x:c r="N342" s="16" t="str">
        <x:v>$100K-$500K ticket not published / unconfirmed</x:v>
      </x:c>
      <x:c r="O342" s="20"/>
      <x:c r="P342" s="20"/>
      <x:c r="Q342" s="25" t="str">
        <x:v>No $100K-$500K corporate-investment ticket published in checked source</x:v>
      </x:c>
      <x:c r="R342" s="25" t="str">
        <x:v>Property acquisition or investor activity makes this an operator-capital prospect for the signed trial. Confirm operating-company debt/equity appetite.</x:v>
      </x:c>
      <x:c r="S342" s="25" t="str">
        <x:v>Home-buying activity does not verify ability or willingness to invest $100K-$500K into 101XVC operating company. Website and contact verification pending.</x:v>
      </x:c>
      <x:c r="T342" s="25" t="str">
        <x:v>Ask the owner/investor whether they can allocate $100K-$500K to trial marketing and acquisitions, and confirm structure, timing and decision authority.</x:v>
      </x:c>
      <x:c r="U342" s="25" t="str">
        <x:v>https://www.cashhomebuyersdirectory.com/cash-home-buyers/florida/tampa</x:v>
      </x:c>
      <x:c r="V342" s="26" t="d">
        <x:v>2026-10-02T00:00:00.000Z</x:v>
      </x:c>
      <x:c r="W342" s="26" t="d">
        <x:v>2026-10-03T00:00:00.000Z</x:v>
      </x:c>
      <x:c r="X342" s="25" t="str">
        <x:v>Public investor directory; business role and contact ownership require qualification</x:v>
      </x:c>
      <x:c r="Y342" s="25"/>
      <x:c r="Z342" s="25" t="str">
        <x:v>https://www.cashhomebuyersdirectory.com/cash-home-buyers/florida/tampa</x:v>
      </x:c>
      <x:c r="AA342" s="25" t="str">
        <x:v>Public cash-home-buyer directory lists business name, phone and market. Directory entry may include brokers or service providers.</x:v>
      </x:c>
      <x:c r="AB342" s="3" t="str">
        <x:v>New public-source collection</x:v>
      </x:c>
      <x:c r="AC342" s="3" t="str">
        <x:v>unverified</x:v>
      </x:c>
      <x:c r="AD342" s="3" t="str">
        <x:v>Not contacted / unconfirmed</x:v>
      </x:c>
      <x:c r="AE342" s="3" t="str">
        <x:v>No</x:v>
      </x:c>
      <x:c r="AF342" s="3" t="str">
        <x:v>No</x:v>
      </x:c>
      <x:c r="AG342" s="3"/>
      <x:c r="AH342" s="3"/>
      <x:c r="AI342" s="18"/>
      <x:c r="AJ342" s="3" t="str">
        <x:v>CF2500-A5628D7270A0</x:v>
      </x:c>
      <x:c r="AK342" s="3" t="str">
        <x:v>Property investor / home-buying operator prospect</x:v>
      </x:c>
      <x:c r="AL342" s="19" t="n">
        <x:v>100000</x:v>
      </x:c>
      <x:c r="AM342" s="19" t="n">
        <x:v>500000</x:v>
      </x:c>
      <x:c r="AN342" s="3" t="str">
        <x:v>https://www.cashhomebuyersdirectory.com/cash-home-buyers/florida/tampa</x:v>
      </x:c>
      <x:c r="AO342" s="3" t="str">
        <x:v>tx_fl_investors.jsonl</x:v>
      </x:c>
      <x:c r="AP342" s="19"/>
    </x:row>
    <x:row r="343" ht="36" customHeight="1">
      <x:c r="A343" s="23" t="n">
        <x:v>342</x:v>
      </x:c>
      <x:c r="B343" s="15" t="str">
        <x:v>Sell My Home Company</x:v>
      </x:c>
      <x:c r="C343" s="15"/>
      <x:c r="D343" s="15" t="str">
        <x:v>Property investor / home-buying operator</x:v>
      </x:c>
      <x:c r="E343" s="15" t="str">
        <x:v>Property investor / operator inquiry</x:v>
      </x:c>
      <x:c r="F343" s="17" t="str">
        <x:v>New</x:v>
      </x:c>
      <x:c r="G343" s="24"/>
      <x:c r="H343" s="24" t="str">
        <x:v>+16028585508</x:v>
      </x:c>
      <x:c r="I343" s="24" t="str">
        <x:v>https://www.sellmyhomecompany.com/</x:v>
      </x:c>
      <x:c r="J343" s="16" t="str">
        <x:v>AZ</x:v>
      </x:c>
      <x:c r="K343" s="16" t="str">
        <x:v>Phoenix</x:v>
      </x:c>
      <x:c r="L343" s="16" t="str">
        <x:v>Public property-business route; investor decision maker unconfirmed</x:v>
      </x:c>
      <x:c r="M343" s="16" t="str">
        <x:v>https://www.sellmyhomecompany.com/</x:v>
      </x:c>
      <x:c r="N343" s="16" t="str">
        <x:v>$100K-$500K ticket not published / unconfirmed</x:v>
      </x:c>
      <x:c r="O343" s="20"/>
      <x:c r="P343" s="20"/>
      <x:c r="Q343" s="25" t="str">
        <x:v>No $100K-$500K operating-company investment ticket verified</x:v>
      </x:c>
      <x:c r="R343" s="25" t="str">
        <x:v>Property acquisition or investor activity makes this an operator-capital prospect for the signed trial. Confirm operating-company debt/equity appetite.</x:v>
      </x:c>
      <x:c r="S343" s="25" t="str">
        <x:v>Public property-buying activity or a directory listing does not establish available cash, investing decision-maker, current $100K-$500K capacity, or willingness to fund 101XVC operating costs.</x:v>
      </x:c>
      <x:c r="T343" s="25" t="str">
        <x:v>Ask the owner/investor whether they can allocate $100K-$500K to trial marketing and acquisitions, and confirm structure, timing and decision authority.</x:v>
      </x:c>
      <x:c r="U343" s="25" t="str">
        <x:v>https://www.cashhomebuyersdirectory.com/cash-home-buyers/arizona/phoenix</x:v>
      </x:c>
      <x:c r="V343" s="26" t="d">
        <x:v>2026-10-02T00:00:00.000Z</x:v>
      </x:c>
      <x:c r="W343" s="26" t="d">
        <x:v>2026-10-02T00:00:00.000Z</x:v>
      </x:c>
      <x:c r="X343" s="25" t="str">
        <x:v>Public investor directory; business role and contact ownership require qualification</x:v>
      </x:c>
      <x:c r="Y343" s="25"/>
      <x:c r="Z343" s="25" t="str">
        <x:v>https://www.cashhomebuyersdirectory.com/cash-home-buyers/arizona/phoenix</x:v>
      </x:c>
      <x:c r="AA343" s="25" t="str">
        <x:v>Public cash-home-buyer directory lists business name, phone and market. Directory entry may include brokers or service providers.</x:v>
      </x:c>
      <x:c r="AB343" s="3" t="str">
        <x:v>New public-source collection</x:v>
      </x:c>
      <x:c r="AC343" s="3" t="str">
        <x:v>unverified</x:v>
      </x:c>
      <x:c r="AD343" s="3" t="str">
        <x:v>Not contacted / unconfirmed</x:v>
      </x:c>
      <x:c r="AE343" s="3" t="str">
        <x:v>No</x:v>
      </x:c>
      <x:c r="AF343" s="3" t="str">
        <x:v>No</x:v>
      </x:c>
      <x:c r="AG343" s="3"/>
      <x:c r="AH343" s="3"/>
      <x:c r="AI343" s="18"/>
      <x:c r="AJ343" s="3" t="str">
        <x:v>CF2500-5E9E68BCAB98</x:v>
      </x:c>
      <x:c r="AK343" s="3" t="str">
        <x:v>Property investor / home-buying operator prospect</x:v>
      </x:c>
      <x:c r="AL343" s="19" t="n">
        <x:v>100000</x:v>
      </x:c>
      <x:c r="AM343" s="19" t="n">
        <x:v>500000</x:v>
      </x:c>
      <x:c r="AN343" s="3" t="str">
        <x:v>https://www.cashhomebuyersdirectory.com/cash-home-buyers/arizona/phoenix</x:v>
      </x:c>
      <x:c r="AO343" s="3" t="str">
        <x:v>nc_il_az_co_investors.jsonl</x:v>
      </x:c>
      <x:c r="AP343" s="19"/>
    </x:row>
    <x:row r="344" ht="36" customHeight="1">
      <x:c r="A344" s="23" t="n">
        <x:v>343</x:v>
      </x:c>
      <x:c r="B344" s="15" t="str">
        <x:v>Sell My House 2 Tim</x:v>
      </x:c>
      <x:c r="C344" s="15"/>
      <x:c r="D344" s="15" t="str">
        <x:v>Property investor / home-buying operator</x:v>
      </x:c>
      <x:c r="E344" s="15" t="str">
        <x:v>Property investor / operator inquiry</x:v>
      </x:c>
      <x:c r="F344" s="17" t="str">
        <x:v>New</x:v>
      </x:c>
      <x:c r="G344" s="24"/>
      <x:c r="H344" s="24" t="str">
        <x:v>+13465345845</x:v>
      </x:c>
      <x:c r="I344" s="24" t="str">
        <x:v>https://sellmyhousefast2timhouston.com/</x:v>
      </x:c>
      <x:c r="J344" s="16" t="str">
        <x:v>TX</x:v>
      </x:c>
      <x:c r="K344" s="16" t="str">
        <x:v>Houston</x:v>
      </x:c>
      <x:c r="L344" s="16" t="str">
        <x:v>Public property-business route; investor decision maker unconfirmed</x:v>
      </x:c>
      <x:c r="M344" s="16" t="str">
        <x:v>https://sellmyhousefast2timhouston.com/</x:v>
      </x:c>
      <x:c r="N344" s="16" t="str">
        <x:v>$100K-$500K ticket not published / unconfirmed</x:v>
      </x:c>
      <x:c r="O344" s="20"/>
      <x:c r="P344" s="20"/>
      <x:c r="Q344" s="25" t="str">
        <x:v>No $100K-$500K corporate-investment ticket published in checked source</x:v>
      </x:c>
      <x:c r="R344" s="25" t="str">
        <x:v>Property acquisition or investor activity makes this an operator-capital prospect for the signed trial. Confirm operating-company debt/equity appetite.</x:v>
      </x:c>
      <x:c r="S344" s="25" t="str">
        <x:v>Home-buying activity does not verify ability or willingness to invest $100K-$500K into 101XVC operating company. Website and contact verification pending.</x:v>
      </x:c>
      <x:c r="T344" s="25" t="str">
        <x:v>Ask the owner/investor whether they can allocate $100K-$500K to trial marketing and acquisitions, and confirm structure, timing and decision authority.</x:v>
      </x:c>
      <x:c r="U344" s="25" t="str">
        <x:v>https://www.cashhomebuyersdirectory.com/cash-home-buyers/texas/houston</x:v>
      </x:c>
      <x:c r="V344" s="26" t="d">
        <x:v>2026-10-02T00:00:00.000Z</x:v>
      </x:c>
      <x:c r="W344" s="26" t="d">
        <x:v>2026-10-03T00:00:00.000Z</x:v>
      </x:c>
      <x:c r="X344" s="25" t="str">
        <x:v>Public investor directory; business role and contact ownership require qualification</x:v>
      </x:c>
      <x:c r="Y344" s="25"/>
      <x:c r="Z344" s="25" t="str">
        <x:v>https://www.cashhomebuyersdirectory.com/cash-home-buyers/texas/houston</x:v>
      </x:c>
      <x:c r="AA344" s="25" t="str">
        <x:v>Public cash-home-buyer directory lists business name, phone and market. Directory entry may include brokers or service providers.</x:v>
      </x:c>
      <x:c r="AB344" s="3" t="str">
        <x:v>New public-source collection</x:v>
      </x:c>
      <x:c r="AC344" s="3" t="str">
        <x:v>unverified</x:v>
      </x:c>
      <x:c r="AD344" s="3" t="str">
        <x:v>Not contacted / unconfirmed</x:v>
      </x:c>
      <x:c r="AE344" s="3" t="str">
        <x:v>No</x:v>
      </x:c>
      <x:c r="AF344" s="3" t="str">
        <x:v>No</x:v>
      </x:c>
      <x:c r="AG344" s="3"/>
      <x:c r="AH344" s="3"/>
      <x:c r="AI344" s="18"/>
      <x:c r="AJ344" s="3" t="str">
        <x:v>CF2500-D3ADBB517A77</x:v>
      </x:c>
      <x:c r="AK344" s="3" t="str">
        <x:v>Property investor / home-buying operator prospect</x:v>
      </x:c>
      <x:c r="AL344" s="19" t="n">
        <x:v>100000</x:v>
      </x:c>
      <x:c r="AM344" s="19" t="n">
        <x:v>500000</x:v>
      </x:c>
      <x:c r="AN344" s="3" t="str">
        <x:v>https://www.cashhomebuyersdirectory.com/cash-home-buyers/texas/houston</x:v>
      </x:c>
      <x:c r="AO344" s="3" t="str">
        <x:v>tx_fl_investors.jsonl</x:v>
      </x:c>
      <x:c r="AP344" s="19"/>
    </x:row>
    <x:row r="345" ht="36" customHeight="1">
      <x:c r="A345" s="23" t="n">
        <x:v>344</x:v>
      </x:c>
      <x:c r="B345" s="15" t="str">
        <x:v>Sell My House Cash Fort Myers - Cobia Holdings</x:v>
      </x:c>
      <x:c r="C345" s="15"/>
      <x:c r="D345" s="15" t="str">
        <x:v>Property investor / home-buying operator</x:v>
      </x:c>
      <x:c r="E345" s="15" t="str">
        <x:v>Property investor / operator inquiry</x:v>
      </x:c>
      <x:c r="F345" s="17" t="str">
        <x:v>New</x:v>
      </x:c>
      <x:c r="G345" s="24"/>
      <x:c r="H345" s="24" t="str">
        <x:v>+12397341443</x:v>
      </x:c>
      <x:c r="I345" s="24" t="str">
        <x:v>http://cobiaholdings.com/</x:v>
      </x:c>
      <x:c r="J345" s="16" t="str">
        <x:v>FL</x:v>
      </x:c>
      <x:c r="K345" s="16" t="str">
        <x:v>Cape Coral</x:v>
      </x:c>
      <x:c r="L345" s="16" t="str">
        <x:v>Public property-business route; investor decision maker unconfirmed</x:v>
      </x:c>
      <x:c r="M345" s="16" t="str">
        <x:v>http://cobiaholdings.com/</x:v>
      </x:c>
      <x:c r="N345" s="16" t="str">
        <x:v>$100K-$500K ticket not published / unconfirmed</x:v>
      </x:c>
      <x:c r="O345" s="20"/>
      <x:c r="P345" s="20"/>
      <x:c r="Q345" s="25" t="str">
        <x:v>No $100K-$500K corporate-investment ticket published in checked source</x:v>
      </x:c>
      <x:c r="R345" s="25" t="str">
        <x:v>Property acquisition or investor activity makes this an operator-capital prospect for the signed trial. Confirm operating-company debt/equity appetite.</x:v>
      </x:c>
      <x:c r="S345" s="25" t="str">
        <x:v>Home-buying activity does not verify ability or willingness to invest $100K-$500K into 101XVC operating company. Website and contact verification pending.</x:v>
      </x:c>
      <x:c r="T345" s="25" t="str">
        <x:v>Ask the owner/investor whether they can allocate $100K-$500K to trial marketing and acquisitions, and confirm structure, timing and decision authority.</x:v>
      </x:c>
      <x:c r="U345" s="25" t="str">
        <x:v>https://www.cashhomebuyersdirectory.com/cash-home-buyers/florida/cape-coral</x:v>
      </x:c>
      <x:c r="V345" s="26" t="d">
        <x:v>2026-10-02T00:00:00.000Z</x:v>
      </x:c>
      <x:c r="W345" s="26" t="d">
        <x:v>2026-10-03T00:00:00.000Z</x:v>
      </x:c>
      <x:c r="X345" s="25" t="str">
        <x:v>Public investor directory; business role and contact ownership require qualification</x:v>
      </x:c>
      <x:c r="Y345" s="25"/>
      <x:c r="Z345" s="25" t="str">
        <x:v>https://www.cashhomebuyersdirectory.com/cash-home-buyers/florida/cape-coral</x:v>
      </x:c>
      <x:c r="AA345" s="25" t="str">
        <x:v>Public cash-home-buyer directory lists business name, phone and market. Directory entry may include brokers or service providers.</x:v>
      </x:c>
      <x:c r="AB345" s="3" t="str">
        <x:v>New public-source collection</x:v>
      </x:c>
      <x:c r="AC345" s="3" t="str">
        <x:v>unverified</x:v>
      </x:c>
      <x:c r="AD345" s="3" t="str">
        <x:v>Not contacted / unconfirmed</x:v>
      </x:c>
      <x:c r="AE345" s="3" t="str">
        <x:v>No</x:v>
      </x:c>
      <x:c r="AF345" s="3" t="str">
        <x:v>No</x:v>
      </x:c>
      <x:c r="AG345" s="3"/>
      <x:c r="AH345" s="3"/>
      <x:c r="AI345" s="18"/>
      <x:c r="AJ345" s="3" t="str">
        <x:v>CF2500-28C9301B7F3C</x:v>
      </x:c>
      <x:c r="AK345" s="3" t="str">
        <x:v>Property investor / home-buying operator prospect</x:v>
      </x:c>
      <x:c r="AL345" s="19" t="n">
        <x:v>100000</x:v>
      </x:c>
      <x:c r="AM345" s="19" t="n">
        <x:v>500000</x:v>
      </x:c>
      <x:c r="AN345" s="3" t="str">
        <x:v>https://www.cashhomebuyersdirectory.com/cash-home-buyers/florida/cape-coral</x:v>
      </x:c>
      <x:c r="AO345" s="3" t="str">
        <x:v>tx_fl_investors.jsonl</x:v>
      </x:c>
      <x:c r="AP345" s="19"/>
    </x:row>
    <x:row r="346" ht="36" customHeight="1">
      <x:c r="A346" s="23" t="n">
        <x:v>345</x:v>
      </x:c>
      <x:c r="B346" s="15" t="str">
        <x:v>Sell My House Easy Fast Beaumont</x:v>
      </x:c>
      <x:c r="C346" s="15"/>
      <x:c r="D346" s="15" t="str">
        <x:v>Property investor / home-buying operator</x:v>
      </x:c>
      <x:c r="E346" s="15" t="str">
        <x:v>Property investor / operator inquiry</x:v>
      </x:c>
      <x:c r="F346" s="17" t="str">
        <x:v>New</x:v>
      </x:c>
      <x:c r="G346" s="24"/>
      <x:c r="H346" s="24" t="str">
        <x:v>+14099322093</x:v>
      </x:c>
      <x:c r="I346" s="24" t="str">
        <x:v>https://sellmyhouseeasyfast.com/we-buy-houses-beaumont-tx</x:v>
      </x:c>
      <x:c r="J346" s="16" t="str">
        <x:v>TX</x:v>
      </x:c>
      <x:c r="K346" s="16"/>
      <x:c r="L346" s="16" t="str">
        <x:v>Public property-business route; investor decision maker unconfirmed</x:v>
      </x:c>
      <x:c r="M346" s="16" t="str">
        <x:v>https://sellmyhouseeasyfast.com/we-buy-houses-beaumont-tx</x:v>
      </x:c>
      <x:c r="N346" s="16" t="str">
        <x:v>$100K-$500K ticket not published / unconfirmed</x:v>
      </x:c>
      <x:c r="O346" s="20"/>
      <x:c r="P346" s="20"/>
      <x:c r="Q346" s="25" t="str">
        <x:v>No $100K-$500K corporate-investment ticket published in checked source</x:v>
      </x:c>
      <x:c r="R346" s="25" t="str">
        <x:v>Property acquisition or investor activity makes this an operator-capital prospect for the signed trial. Confirm operating-company debt/equity appetite.</x:v>
      </x:c>
      <x:c r="S346" s="25" t="str">
        <x:v>Home-buying activity does not verify ability or willingness to invest $100K-$500K into 101XVC operating company. Website and contact verification pending.</x:v>
      </x:c>
      <x:c r="T346" s="25" t="str">
        <x:v>Ask the owner/investor whether they can allocate $100K-$500K to trial marketing and acquisitions, and confirm structure, timing and decision authority.</x:v>
      </x:c>
      <x:c r="U346" s="25" t="str">
        <x:v>https://www.cashhomebuyersdirectory.com/cash-home-buyers/texas/beaumont</x:v>
      </x:c>
      <x:c r="V346" s="26" t="d">
        <x:v>2026-10-02T00:00:00.000Z</x:v>
      </x:c>
      <x:c r="W346" s="26" t="d">
        <x:v>2026-10-03T00:00:00.000Z</x:v>
      </x:c>
      <x:c r="X346" s="25" t="str">
        <x:v>Public investor directory; business role and contact ownership require qualification</x:v>
      </x:c>
      <x:c r="Y346" s="25"/>
      <x:c r="Z346" s="25" t="str">
        <x:v>https://www.cashhomebuyersdirectory.com/cash-home-buyers/texas/beaumont</x:v>
      </x:c>
      <x:c r="AA346" s="25" t="str">
        <x:v>Public cash-home-buyer directory lists business name, phone and market. Directory entry may include brokers or service providers.</x:v>
      </x:c>
      <x:c r="AB346" s="3" t="str">
        <x:v>New public-source collection</x:v>
      </x:c>
      <x:c r="AC346" s="3" t="str">
        <x:v>unverified</x:v>
      </x:c>
      <x:c r="AD346" s="3" t="str">
        <x:v>Not contacted / unconfirmed</x:v>
      </x:c>
      <x:c r="AE346" s="3" t="str">
        <x:v>No</x:v>
      </x:c>
      <x:c r="AF346" s="3" t="str">
        <x:v>No</x:v>
      </x:c>
      <x:c r="AG346" s="3"/>
      <x:c r="AH346" s="3"/>
      <x:c r="AI346" s="18"/>
      <x:c r="AJ346" s="3" t="str">
        <x:v>CF2500-62C6B15DB207</x:v>
      </x:c>
      <x:c r="AK346" s="3" t="str">
        <x:v>Property investor / home-buying operator prospect</x:v>
      </x:c>
      <x:c r="AL346" s="19" t="n">
        <x:v>100000</x:v>
      </x:c>
      <x:c r="AM346" s="19" t="n">
        <x:v>500000</x:v>
      </x:c>
      <x:c r="AN346" s="3" t="str">
        <x:v>https://www.cashhomebuyersdirectory.com/cash-home-buyers/texas/beaumont</x:v>
      </x:c>
      <x:c r="AO346" s="3" t="str">
        <x:v>tx_fl_investors.jsonl</x:v>
      </x:c>
      <x:c r="AP346" s="19"/>
    </x:row>
    <x:row r="347" ht="36" customHeight="1">
      <x:c r="A347" s="23" t="n">
        <x:v>346</x:v>
      </x:c>
      <x:c r="B347" s="15" t="str">
        <x:v>Sell My House Fast 2 Tim Miami</x:v>
      </x:c>
      <x:c r="C347" s="15"/>
      <x:c r="D347" s="15" t="str">
        <x:v>Property investor / home-buying operator</x:v>
      </x:c>
      <x:c r="E347" s="15" t="str">
        <x:v>Property investor / operator inquiry</x:v>
      </x:c>
      <x:c r="F347" s="17" t="str">
        <x:v>New</x:v>
      </x:c>
      <x:c r="G347" s="24"/>
      <x:c r="H347" s="24" t="str">
        <x:v>+17869527784</x:v>
      </x:c>
      <x:c r="I347" s="24" t="str">
        <x:v>https://sellmyhousefast2timmiami.com/</x:v>
      </x:c>
      <x:c r="J347" s="16" t="str">
        <x:v>FL</x:v>
      </x:c>
      <x:c r="K347" s="16" t="str">
        <x:v>Miami</x:v>
      </x:c>
      <x:c r="L347" s="16" t="str">
        <x:v>Public property-business route; investor decision maker unconfirmed</x:v>
      </x:c>
      <x:c r="M347" s="16" t="str">
        <x:v>https://sellmyhousefast2timmiami.com/</x:v>
      </x:c>
      <x:c r="N347" s="16" t="str">
        <x:v>$100K-$500K ticket not published / unconfirmed</x:v>
      </x:c>
      <x:c r="O347" s="20"/>
      <x:c r="P347" s="20"/>
      <x:c r="Q347" s="25" t="str">
        <x:v>No $100K-$500K corporate-investment ticket published in checked source</x:v>
      </x:c>
      <x:c r="R347" s="25" t="str">
        <x:v>Property acquisition or investor activity makes this an operator-capital prospect for the signed trial. Confirm operating-company debt/equity appetite.</x:v>
      </x:c>
      <x:c r="S347" s="25" t="str">
        <x:v>Home-buying activity does not verify ability or willingness to invest $100K-$500K into 101XVC operating company. Website and contact verification pending.</x:v>
      </x:c>
      <x:c r="T347" s="25" t="str">
        <x:v>Ask the owner/investor whether they can allocate $100K-$500K to trial marketing and acquisitions, and confirm structure, timing and decision authority.</x:v>
      </x:c>
      <x:c r="U347" s="25" t="str">
        <x:v>https://www.cashhomebuyersdirectory.com/cash-home-buyers/florida/miami</x:v>
      </x:c>
      <x:c r="V347" s="26" t="d">
        <x:v>2026-10-02T00:00:00.000Z</x:v>
      </x:c>
      <x:c r="W347" s="26" t="d">
        <x:v>2026-10-03T00:00:00.000Z</x:v>
      </x:c>
      <x:c r="X347" s="25" t="str">
        <x:v>Public investor directory; business role and contact ownership require qualification</x:v>
      </x:c>
      <x:c r="Y347" s="25"/>
      <x:c r="Z347" s="25" t="str">
        <x:v>https://www.cashhomebuyersdirectory.com/cash-home-buyers/florida/miami</x:v>
      </x:c>
      <x:c r="AA347" s="25" t="str">
        <x:v>Public cash-home-buyer directory lists business name, phone and market. Directory entry may include brokers or service providers.</x:v>
      </x:c>
      <x:c r="AB347" s="3" t="str">
        <x:v>New public-source collection</x:v>
      </x:c>
      <x:c r="AC347" s="3" t="str">
        <x:v>unverified</x:v>
      </x:c>
      <x:c r="AD347" s="3" t="str">
        <x:v>Not contacted / unconfirmed</x:v>
      </x:c>
      <x:c r="AE347" s="3" t="str">
        <x:v>No</x:v>
      </x:c>
      <x:c r="AF347" s="3" t="str">
        <x:v>No</x:v>
      </x:c>
      <x:c r="AG347" s="3"/>
      <x:c r="AH347" s="3"/>
      <x:c r="AI347" s="18"/>
      <x:c r="AJ347" s="3" t="str">
        <x:v>CF2500-3483A2A8B067</x:v>
      </x:c>
      <x:c r="AK347" s="3" t="str">
        <x:v>Property investor / home-buying operator prospect</x:v>
      </x:c>
      <x:c r="AL347" s="19" t="n">
        <x:v>100000</x:v>
      </x:c>
      <x:c r="AM347" s="19" t="n">
        <x:v>500000</x:v>
      </x:c>
      <x:c r="AN347" s="3" t="str">
        <x:v>https://www.cashhomebuyersdirectory.com/cash-home-buyers/florida/miami</x:v>
      </x:c>
      <x:c r="AO347" s="3" t="str">
        <x:v>tx_fl_investors.jsonl</x:v>
      </x:c>
      <x:c r="AP347" s="19"/>
    </x:row>
    <x:row r="348" ht="36" customHeight="1">
      <x:c r="A348" s="23" t="n">
        <x:v>347</x:v>
      </x:c>
      <x:c r="B348" s="15" t="str">
        <x:v>Sell My House Fast 2 Tim Phoenix</x:v>
      </x:c>
      <x:c r="C348" s="15"/>
      <x:c r="D348" s="15" t="str">
        <x:v>Property investor / home-buying operator</x:v>
      </x:c>
      <x:c r="E348" s="15" t="str">
        <x:v>Property investor / operator inquiry</x:v>
      </x:c>
      <x:c r="F348" s="17" t="str">
        <x:v>New</x:v>
      </x:c>
      <x:c r="G348" s="24"/>
      <x:c r="H348" s="24" t="str">
        <x:v>+16029621585</x:v>
      </x:c>
      <x:c r="I348" s="24" t="str">
        <x:v>https://sellmyhousefast2timphoenix.com/</x:v>
      </x:c>
      <x:c r="J348" s="16" t="str">
        <x:v>AZ</x:v>
      </x:c>
      <x:c r="K348" s="16" t="str">
        <x:v>Phoenix</x:v>
      </x:c>
      <x:c r="L348" s="16" t="str">
        <x:v>Public property-business route; investor decision maker unconfirmed</x:v>
      </x:c>
      <x:c r="M348" s="16" t="str">
        <x:v>https://sellmyhousefast2timphoenix.com/</x:v>
      </x:c>
      <x:c r="N348" s="16" t="str">
        <x:v>$100K-$500K ticket not published / unconfirmed</x:v>
      </x:c>
      <x:c r="O348" s="20"/>
      <x:c r="P348" s="20"/>
      <x:c r="Q348" s="25" t="str">
        <x:v>No $100K-$500K operating-company investment ticket verified</x:v>
      </x:c>
      <x:c r="R348" s="25" t="str">
        <x:v>Property acquisition or investor activity makes this an operator-capital prospect for the signed trial. Confirm operating-company debt/equity appetite.</x:v>
      </x:c>
      <x:c r="S348" s="25" t="str">
        <x:v>Public property-buying activity or a directory listing does not establish available cash, investing decision-maker, current $100K-$500K capacity, or willingness to fund 101XVC operating costs.</x:v>
      </x:c>
      <x:c r="T348" s="25" t="str">
        <x:v>Ask the owner/investor whether they can allocate $100K-$500K to trial marketing and acquisitions, and confirm structure, timing and decision authority.</x:v>
      </x:c>
      <x:c r="U348" s="25" t="str">
        <x:v>https://www.cashhomebuyersdirectory.com/cash-home-buyers/arizona/phoenix</x:v>
      </x:c>
      <x:c r="V348" s="26" t="d">
        <x:v>2026-10-02T00:00:00.000Z</x:v>
      </x:c>
      <x:c r="W348" s="26" t="d">
        <x:v>2026-10-02T00:00:00.000Z</x:v>
      </x:c>
      <x:c r="X348" s="25" t="str">
        <x:v>Public investor directory; business role and contact ownership require qualification</x:v>
      </x:c>
      <x:c r="Y348" s="25"/>
      <x:c r="Z348" s="25" t="str">
        <x:v>https://www.cashhomebuyersdirectory.com/cash-home-buyers/arizona/phoenix</x:v>
      </x:c>
      <x:c r="AA348" s="25" t="str">
        <x:v>Public cash-home-buyer directory lists business name, phone and market. Directory entry may include brokers or service providers.</x:v>
      </x:c>
      <x:c r="AB348" s="3" t="str">
        <x:v>New public-source collection</x:v>
      </x:c>
      <x:c r="AC348" s="3" t="str">
        <x:v>unverified</x:v>
      </x:c>
      <x:c r="AD348" s="3" t="str">
        <x:v>Not contacted / unconfirmed</x:v>
      </x:c>
      <x:c r="AE348" s="3" t="str">
        <x:v>No</x:v>
      </x:c>
      <x:c r="AF348" s="3" t="str">
        <x:v>No</x:v>
      </x:c>
      <x:c r="AG348" s="3"/>
      <x:c r="AH348" s="3"/>
      <x:c r="AI348" s="18"/>
      <x:c r="AJ348" s="3" t="str">
        <x:v>CF2500-6172C3A3A718</x:v>
      </x:c>
      <x:c r="AK348" s="3" t="str">
        <x:v>Property investor / home-buying operator prospect</x:v>
      </x:c>
      <x:c r="AL348" s="19" t="n">
        <x:v>100000</x:v>
      </x:c>
      <x:c r="AM348" s="19" t="n">
        <x:v>500000</x:v>
      </x:c>
      <x:c r="AN348" s="3" t="str">
        <x:v>https://www.cashhomebuyersdirectory.com/cash-home-buyers/arizona/phoenix</x:v>
      </x:c>
      <x:c r="AO348" s="3" t="str">
        <x:v>nc_il_az_co_investors.jsonl</x:v>
      </x:c>
      <x:c r="AP348" s="19"/>
    </x:row>
    <x:row r="349" ht="36" customHeight="1">
      <x:c r="A349" s="23" t="n">
        <x:v>348</x:v>
      </x:c>
      <x:c r="B349" s="15" t="str">
        <x:v>Sell My House Fast 365 Phoenix</x:v>
      </x:c>
      <x:c r="C349" s="15"/>
      <x:c r="D349" s="15" t="str">
        <x:v>Property investor / home-buying operator</x:v>
      </x:c>
      <x:c r="E349" s="15" t="str">
        <x:v>Property investor / operator inquiry</x:v>
      </x:c>
      <x:c r="F349" s="17" t="str">
        <x:v>New</x:v>
      </x:c>
      <x:c r="G349" s="24"/>
      <x:c r="H349" s="24" t="str">
        <x:v>+16027103368</x:v>
      </x:c>
      <x:c r="I349" s="24" t="str">
        <x:v>https://www.sellmyhousefast365.com/</x:v>
      </x:c>
      <x:c r="J349" s="16" t="str">
        <x:v>AZ</x:v>
      </x:c>
      <x:c r="K349" s="16" t="str">
        <x:v>Phoenix</x:v>
      </x:c>
      <x:c r="L349" s="16" t="str">
        <x:v>Public property-business route; investor decision maker unconfirmed</x:v>
      </x:c>
      <x:c r="M349" s="16" t="str">
        <x:v>https://www.sellmyhousefast365.com/</x:v>
      </x:c>
      <x:c r="N349" s="16" t="str">
        <x:v>$100K-$500K ticket not published / unconfirmed</x:v>
      </x:c>
      <x:c r="O349" s="20"/>
      <x:c r="P349" s="20"/>
      <x:c r="Q349" s="25" t="str">
        <x:v>No $100K-$500K operating-company investment ticket verified</x:v>
      </x:c>
      <x:c r="R349" s="25" t="str">
        <x:v>Property acquisition or investor activity makes this an operator-capital prospect for the signed trial. Confirm operating-company debt/equity appetite.</x:v>
      </x:c>
      <x:c r="S349" s="25" t="str">
        <x:v>Public property-buying activity or a directory listing does not establish available cash, investing decision-maker, current $100K-$500K capacity, or willingness to fund 101XVC operating costs.</x:v>
      </x:c>
      <x:c r="T349" s="25" t="str">
        <x:v>Ask the owner/investor whether they can allocate $100K-$500K to trial marketing and acquisitions, and confirm structure, timing and decision authority.</x:v>
      </x:c>
      <x:c r="U349" s="25" t="str">
        <x:v>https://www.cashhomebuyersdirectory.com/cash-home-buyers/arizona/phoenix</x:v>
      </x:c>
      <x:c r="V349" s="26" t="d">
        <x:v>2026-10-02T00:00:00.000Z</x:v>
      </x:c>
      <x:c r="W349" s="26" t="d">
        <x:v>2026-10-02T00:00:00.000Z</x:v>
      </x:c>
      <x:c r="X349" s="25" t="str">
        <x:v>Public investor directory; business role and contact ownership require qualification</x:v>
      </x:c>
      <x:c r="Y349" s="25"/>
      <x:c r="Z349" s="25" t="str">
        <x:v>https://www.cashhomebuyersdirectory.com/cash-home-buyers/arizona/phoenix</x:v>
      </x:c>
      <x:c r="AA349" s="25" t="str">
        <x:v>Public cash-home-buyer directory lists business name, phone and market. Directory entry may include brokers or service providers.</x:v>
      </x:c>
      <x:c r="AB349" s="3" t="str">
        <x:v>New public-source collection</x:v>
      </x:c>
      <x:c r="AC349" s="3" t="str">
        <x:v>unverified</x:v>
      </x:c>
      <x:c r="AD349" s="3" t="str">
        <x:v>Not contacted / unconfirmed</x:v>
      </x:c>
      <x:c r="AE349" s="3" t="str">
        <x:v>No</x:v>
      </x:c>
      <x:c r="AF349" s="3" t="str">
        <x:v>No</x:v>
      </x:c>
      <x:c r="AG349" s="3"/>
      <x:c r="AH349" s="3"/>
      <x:c r="AI349" s="18"/>
      <x:c r="AJ349" s="3" t="str">
        <x:v>CF2500-A9F8298302D4</x:v>
      </x:c>
      <x:c r="AK349" s="3" t="str">
        <x:v>Property investor / home-buying operator prospect</x:v>
      </x:c>
      <x:c r="AL349" s="19" t="n">
        <x:v>100000</x:v>
      </x:c>
      <x:c r="AM349" s="19" t="n">
        <x:v>500000</x:v>
      </x:c>
      <x:c r="AN349" s="3" t="str">
        <x:v>https://www.cashhomebuyersdirectory.com/cash-home-buyers/arizona/phoenix</x:v>
      </x:c>
      <x:c r="AO349" s="3" t="str">
        <x:v>nc_il_az_co_investors.jsonl</x:v>
      </x:c>
      <x:c r="AP349" s="19"/>
    </x:row>
    <x:row r="350" ht="36" customHeight="1">
      <x:c r="A350" s="23" t="n">
        <x:v>349</x:v>
      </x:c>
      <x:c r="B350" s="15" t="str">
        <x:v>Sell My House Fast Carolina | Carolina Easy Home Sales</x:v>
      </x:c>
      <x:c r="C350" s="15"/>
      <x:c r="D350" s="15" t="str">
        <x:v>Property investor / home-buying operator</x:v>
      </x:c>
      <x:c r="E350" s="15" t="str">
        <x:v>Property investor / operator inquiry</x:v>
      </x:c>
      <x:c r="F350" s="17" t="str">
        <x:v>New</x:v>
      </x:c>
      <x:c r="G350" s="24"/>
      <x:c r="H350" s="24" t="str">
        <x:v>+17042353008</x:v>
      </x:c>
      <x:c r="I350" s="24" t="str">
        <x:v>https://carolinaeasyhomesales.com/</x:v>
      </x:c>
      <x:c r="J350" s="16" t="str">
        <x:v>NC</x:v>
      </x:c>
      <x:c r="K350" s="16" t="str">
        <x:v>Charlotte</x:v>
      </x:c>
      <x:c r="L350" s="16" t="str">
        <x:v>Public property-business route; investor decision maker unconfirmed</x:v>
      </x:c>
      <x:c r="M350" s="16" t="str">
        <x:v>https://carolinaeasyhomesales.com/</x:v>
      </x:c>
      <x:c r="N350" s="16" t="str">
        <x:v>$100K-$500K ticket not published / unconfirmed</x:v>
      </x:c>
      <x:c r="O350" s="20"/>
      <x:c r="P350" s="20"/>
      <x:c r="Q350" s="25" t="str">
        <x:v>No $100K-$500K operating-company investment ticket verified</x:v>
      </x:c>
      <x:c r="R350" s="25" t="str">
        <x:v>Property acquisition or investor activity makes this an operator-capital prospect for the signed trial. Confirm operating-company debt/equity appetite.</x:v>
      </x:c>
      <x:c r="S350" s="25" t="str">
        <x:v>Public property-buying activity or a directory listing does not establish available cash, investing decision-maker, current $100K-$500K capacity, or willingness to fund 101XVC operating costs.</x:v>
      </x:c>
      <x:c r="T350" s="25" t="str">
        <x:v>Ask the owner/investor whether they can allocate $100K-$500K to trial marketing and acquisitions, and confirm structure, timing and decision authority.</x:v>
      </x:c>
      <x:c r="U350" s="25" t="str">
        <x:v>https://www.cashhomebuyersdirectory.com/cash-home-buyers/north-carolina/charlotte</x:v>
      </x:c>
      <x:c r="V350" s="26" t="d">
        <x:v>2026-10-02T00:00:00.000Z</x:v>
      </x:c>
      <x:c r="W350" s="26" t="d">
        <x:v>2026-10-02T00:00:00.000Z</x:v>
      </x:c>
      <x:c r="X350" s="25" t="str">
        <x:v>Public investor directory; business role and contact ownership require qualification</x:v>
      </x:c>
      <x:c r="Y350" s="25"/>
      <x:c r="Z350" s="25" t="str">
        <x:v>https://www.cashhomebuyersdirectory.com/cash-home-buyers/north-carolina/charlotte</x:v>
      </x:c>
      <x:c r="AA350" s="25" t="str">
        <x:v>Public cash-home-buyer directory lists business name, phone and market. Directory entry may include brokers or service providers.</x:v>
      </x:c>
      <x:c r="AB350" s="3" t="str">
        <x:v>New public-source collection</x:v>
      </x:c>
      <x:c r="AC350" s="3" t="str">
        <x:v>unverified</x:v>
      </x:c>
      <x:c r="AD350" s="3" t="str">
        <x:v>Not contacted / unconfirmed</x:v>
      </x:c>
      <x:c r="AE350" s="3" t="str">
        <x:v>No</x:v>
      </x:c>
      <x:c r="AF350" s="3" t="str">
        <x:v>No</x:v>
      </x:c>
      <x:c r="AG350" s="3"/>
      <x:c r="AH350" s="3"/>
      <x:c r="AI350" s="18"/>
      <x:c r="AJ350" s="3" t="str">
        <x:v>CF2500-66A01D7D78A4</x:v>
      </x:c>
      <x:c r="AK350" s="3" t="str">
        <x:v>Property investor / home-buying operator prospect</x:v>
      </x:c>
      <x:c r="AL350" s="19" t="n">
        <x:v>100000</x:v>
      </x:c>
      <x:c r="AM350" s="19" t="n">
        <x:v>500000</x:v>
      </x:c>
      <x:c r="AN350" s="3" t="str">
        <x:v>https://www.cashhomebuyersdirectory.com/cash-home-buyers/north-carolina/charlotte</x:v>
      </x:c>
      <x:c r="AO350" s="3" t="str">
        <x:v>nc_il_az_co_investors.jsonl</x:v>
      </x:c>
      <x:c r="AP350" s="19"/>
    </x:row>
    <x:row r="351" ht="36" customHeight="1">
      <x:c r="A351" s="23" t="n">
        <x:v>350</x:v>
      </x:c>
      <x:c r="B351" s="15" t="str">
        <x:v>Sell My House Fast Cash</x:v>
      </x:c>
      <x:c r="C351" s="15"/>
      <x:c r="D351" s="15" t="str">
        <x:v>Property investor / home-buying operator</x:v>
      </x:c>
      <x:c r="E351" s="15" t="str">
        <x:v>Property investor / operator inquiry</x:v>
      </x:c>
      <x:c r="F351" s="17" t="str">
        <x:v>New</x:v>
      </x:c>
      <x:c r="G351" s="24"/>
      <x:c r="H351" s="24" t="str">
        <x:v>+12243863521</x:v>
      </x:c>
      <x:c r="I351" s="24" t="str">
        <x:v>http://housebuyerpalatine.com/</x:v>
      </x:c>
      <x:c r="J351" s="16" t="str">
        <x:v>IL</x:v>
      </x:c>
      <x:c r="K351" s="16" t="str">
        <x:v>Palatine</x:v>
      </x:c>
      <x:c r="L351" s="16" t="str">
        <x:v>Public property-business route; investor decision maker unconfirmed</x:v>
      </x:c>
      <x:c r="M351" s="16" t="str">
        <x:v>http://housebuyerpalatine.com/</x:v>
      </x:c>
      <x:c r="N351" s="16" t="str">
        <x:v>$100K-$500K ticket not published / unconfirmed</x:v>
      </x:c>
      <x:c r="O351" s="20"/>
      <x:c r="P351" s="20"/>
      <x:c r="Q351" s="25" t="str">
        <x:v>No $100K-$500K operating-company investment ticket verified</x:v>
      </x:c>
      <x:c r="R351" s="25" t="str">
        <x:v>Property acquisition or investor activity makes this an operator-capital prospect for the signed trial. Confirm operating-company debt/equity appetite.</x:v>
      </x:c>
      <x:c r="S351" s="25" t="str">
        <x:v>Public property-buying activity or a directory listing does not establish available cash, investing decision-maker, current $100K-$500K capacity, or willingness to fund 101XVC operating costs.</x:v>
      </x:c>
      <x:c r="T351" s="25" t="str">
        <x:v>Ask the owner/investor whether they can allocate $100K-$500K to trial marketing and acquisitions, and confirm structure, timing and decision authority.</x:v>
      </x:c>
      <x:c r="U351" s="25" t="str">
        <x:v>https://www.cashhomebuyersdirectory.com/cash-home-buyers/illinois/palatine</x:v>
      </x:c>
      <x:c r="V351" s="26" t="d">
        <x:v>2026-10-02T00:00:00.000Z</x:v>
      </x:c>
      <x:c r="W351" s="26" t="d">
        <x:v>2026-10-02T00:00:00.000Z</x:v>
      </x:c>
      <x:c r="X351" s="25" t="str">
        <x:v>Public investor directory; business role and contact ownership require qualification</x:v>
      </x:c>
      <x:c r="Y351" s="25"/>
      <x:c r="Z351" s="25" t="str">
        <x:v>https://www.cashhomebuyersdirectory.com/cash-home-buyers/illinois/palatine</x:v>
      </x:c>
      <x:c r="AA351" s="25" t="str">
        <x:v>Public cash-home-buyer directory lists business name, phone and market. Directory entry may include brokers or service providers.</x:v>
      </x:c>
      <x:c r="AB351" s="3" t="str">
        <x:v>New public-source collection</x:v>
      </x:c>
      <x:c r="AC351" s="3" t="str">
        <x:v>unverified</x:v>
      </x:c>
      <x:c r="AD351" s="3" t="str">
        <x:v>Not contacted / unconfirmed</x:v>
      </x:c>
      <x:c r="AE351" s="3" t="str">
        <x:v>No</x:v>
      </x:c>
      <x:c r="AF351" s="3" t="str">
        <x:v>No</x:v>
      </x:c>
      <x:c r="AG351" s="3"/>
      <x:c r="AH351" s="3"/>
      <x:c r="AI351" s="18"/>
      <x:c r="AJ351" s="3" t="str">
        <x:v>CF2500-BC9BCCE0A544</x:v>
      </x:c>
      <x:c r="AK351" s="3" t="str">
        <x:v>Property investor / home-buying operator prospect</x:v>
      </x:c>
      <x:c r="AL351" s="19" t="n">
        <x:v>100000</x:v>
      </x:c>
      <x:c r="AM351" s="19" t="n">
        <x:v>500000</x:v>
      </x:c>
      <x:c r="AN351" s="3" t="str">
        <x:v>https://www.cashhomebuyersdirectory.com/cash-home-buyers/illinois/palatine</x:v>
      </x:c>
      <x:c r="AO351" s="3" t="str">
        <x:v>nc_il_az_co_investors.jsonl</x:v>
      </x:c>
      <x:c r="AP351" s="19"/>
    </x:row>
    <x:row r="352" ht="36" customHeight="1">
      <x:c r="A352" s="23" t="n">
        <x:v>351</x:v>
      </x:c>
      <x:c r="B352" s="15" t="str">
        <x:v>Sell My House Fast Charlotte</x:v>
      </x:c>
      <x:c r="C352" s="15"/>
      <x:c r="D352" s="15" t="str">
        <x:v>Property investor / home-buying operator</x:v>
      </x:c>
      <x:c r="E352" s="15" t="str">
        <x:v>Property investor / operator inquiry</x:v>
      </x:c>
      <x:c r="F352" s="17" t="str">
        <x:v>New</x:v>
      </x:c>
      <x:c r="G352" s="24"/>
      <x:c r="H352" s="24" t="str">
        <x:v>+17046868267</x:v>
      </x:c>
      <x:c r="I352" s="24" t="str">
        <x:v>https://sellmyhousefastclt.com/</x:v>
      </x:c>
      <x:c r="J352" s="16" t="str">
        <x:v>NC</x:v>
      </x:c>
      <x:c r="K352" s="16" t="str">
        <x:v>Charlotte</x:v>
      </x:c>
      <x:c r="L352" s="16" t="str">
        <x:v>Public property-business route; investor decision maker unconfirmed</x:v>
      </x:c>
      <x:c r="M352" s="16" t="str">
        <x:v>https://sellmyhousefastclt.com/</x:v>
      </x:c>
      <x:c r="N352" s="16" t="str">
        <x:v>$100K-$500K ticket not published / unconfirmed</x:v>
      </x:c>
      <x:c r="O352" s="20"/>
      <x:c r="P352" s="20"/>
      <x:c r="Q352" s="25" t="str">
        <x:v>No $100K-$500K operating-company investment ticket verified</x:v>
      </x:c>
      <x:c r="R352" s="25" t="str">
        <x:v>Property acquisition or investor activity makes this an operator-capital prospect for the signed trial. Confirm operating-company debt/equity appetite.</x:v>
      </x:c>
      <x:c r="S352" s="25" t="str">
        <x:v>Public property-buying activity or a directory listing does not establish available cash, investing decision-maker, current $100K-$500K capacity, or willingness to fund 101XVC operating costs.</x:v>
      </x:c>
      <x:c r="T352" s="25" t="str">
        <x:v>Ask the owner/investor whether they can allocate $100K-$500K to trial marketing and acquisitions, and confirm structure, timing and decision authority.</x:v>
      </x:c>
      <x:c r="U352" s="25" t="str">
        <x:v>https://www.cashhomebuyersdirectory.com/cash-home-buyers/north-carolina/charlotte</x:v>
      </x:c>
      <x:c r="V352" s="26" t="d">
        <x:v>2026-10-02T00:00:00.000Z</x:v>
      </x:c>
      <x:c r="W352" s="26" t="d">
        <x:v>2026-10-02T00:00:00.000Z</x:v>
      </x:c>
      <x:c r="X352" s="25" t="str">
        <x:v>Public investor directory; business role and contact ownership require qualification</x:v>
      </x:c>
      <x:c r="Y352" s="25"/>
      <x:c r="Z352" s="25" t="str">
        <x:v>https://www.cashhomebuyersdirectory.com/cash-home-buyers/north-carolina/charlotte</x:v>
      </x:c>
      <x:c r="AA352" s="25" t="str">
        <x:v>Public cash-home-buyer directory lists business name, phone and market. Directory entry may include brokers or service providers.</x:v>
      </x:c>
      <x:c r="AB352" s="3" t="str">
        <x:v>New public-source collection</x:v>
      </x:c>
      <x:c r="AC352" s="3" t="str">
        <x:v>unverified</x:v>
      </x:c>
      <x:c r="AD352" s="3" t="str">
        <x:v>Not contacted / unconfirmed</x:v>
      </x:c>
      <x:c r="AE352" s="3" t="str">
        <x:v>No</x:v>
      </x:c>
      <x:c r="AF352" s="3" t="str">
        <x:v>No</x:v>
      </x:c>
      <x:c r="AG352" s="3"/>
      <x:c r="AH352" s="3"/>
      <x:c r="AI352" s="18"/>
      <x:c r="AJ352" s="3" t="str">
        <x:v>CF2500-BF0D8179AFC7</x:v>
      </x:c>
      <x:c r="AK352" s="3" t="str">
        <x:v>Property investor / home-buying operator prospect</x:v>
      </x:c>
      <x:c r="AL352" s="19" t="n">
        <x:v>100000</x:v>
      </x:c>
      <x:c r="AM352" s="19" t="n">
        <x:v>500000</x:v>
      </x:c>
      <x:c r="AN352" s="3" t="str">
        <x:v>https://www.cashhomebuyersdirectory.com/cash-home-buyers/north-carolina/charlotte</x:v>
      </x:c>
      <x:c r="AO352" s="3" t="str">
        <x:v>nc_il_az_co_investors.jsonl</x:v>
      </x:c>
      <x:c r="AP352" s="19"/>
    </x:row>
    <x:row r="353" ht="36" customHeight="1">
      <x:c r="A353" s="23" t="n">
        <x:v>352</x:v>
      </x:c>
      <x:c r="B353" s="15" t="str">
        <x:v>Sell My House Fast Charlotte | Cardinal House Buyers</x:v>
      </x:c>
      <x:c r="C353" s="15"/>
      <x:c r="D353" s="15" t="str">
        <x:v>Property investor / home-buying operator</x:v>
      </x:c>
      <x:c r="E353" s="15" t="str">
        <x:v>Property investor / operator inquiry</x:v>
      </x:c>
      <x:c r="F353" s="17" t="str">
        <x:v>New</x:v>
      </x:c>
      <x:c r="G353" s="24"/>
      <x:c r="H353" s="24" t="str">
        <x:v>+17048509879</x:v>
      </x:c>
      <x:c r="I353" s="24" t="str">
        <x:v>http://www.cardinalhousebuyers.com/i/ZBf8/</x:v>
      </x:c>
      <x:c r="J353" s="16" t="str">
        <x:v>NC</x:v>
      </x:c>
      <x:c r="K353" s="16" t="str">
        <x:v>Charlotte</x:v>
      </x:c>
      <x:c r="L353" s="16" t="str">
        <x:v>Public property-business route; investor decision maker unconfirmed</x:v>
      </x:c>
      <x:c r="M353" s="16" t="str">
        <x:v>http://www.cardinalhousebuyers.com/i/ZBf8/</x:v>
      </x:c>
      <x:c r="N353" s="16" t="str">
        <x:v>$100K-$500K ticket not published / unconfirmed</x:v>
      </x:c>
      <x:c r="O353" s="20"/>
      <x:c r="P353" s="20"/>
      <x:c r="Q353" s="25" t="str">
        <x:v>No $100K-$500K operating-company investment ticket verified</x:v>
      </x:c>
      <x:c r="R353" s="25" t="str">
        <x:v>Property acquisition or investor activity makes this an operator-capital prospect for the signed trial. Confirm operating-company debt/equity appetite.</x:v>
      </x:c>
      <x:c r="S353" s="25" t="str">
        <x:v>Public property-buying activity or a directory listing does not establish available cash, investing decision-maker, current $100K-$500K capacity, or willingness to fund 101XVC operating costs.</x:v>
      </x:c>
      <x:c r="T353" s="25" t="str">
        <x:v>Ask the owner/investor whether they can allocate $100K-$500K to trial marketing and acquisitions, and confirm structure, timing and decision authority.</x:v>
      </x:c>
      <x:c r="U353" s="25" t="str">
        <x:v>https://www.cashhomebuyersdirectory.com/cash-home-buyers/north-carolina/charlotte</x:v>
      </x:c>
      <x:c r="V353" s="26" t="d">
        <x:v>2026-10-02T00:00:00.000Z</x:v>
      </x:c>
      <x:c r="W353" s="26" t="d">
        <x:v>2026-10-02T00:00:00.000Z</x:v>
      </x:c>
      <x:c r="X353" s="25" t="str">
        <x:v>Public investor directory; business role and contact ownership require qualification</x:v>
      </x:c>
      <x:c r="Y353" s="25"/>
      <x:c r="Z353" s="25" t="str">
        <x:v>https://www.cashhomebuyersdirectory.com/cash-home-buyers/north-carolina/charlotte</x:v>
      </x:c>
      <x:c r="AA353" s="25" t="str">
        <x:v>Public cash-home-buyer directory lists business name, phone and market. Directory entry may include brokers or service providers.</x:v>
      </x:c>
      <x:c r="AB353" s="3" t="str">
        <x:v>New public-source collection</x:v>
      </x:c>
      <x:c r="AC353" s="3" t="str">
        <x:v>unverified</x:v>
      </x:c>
      <x:c r="AD353" s="3" t="str">
        <x:v>Not contacted / unconfirmed</x:v>
      </x:c>
      <x:c r="AE353" s="3" t="str">
        <x:v>No</x:v>
      </x:c>
      <x:c r="AF353" s="3" t="str">
        <x:v>No</x:v>
      </x:c>
      <x:c r="AG353" s="3"/>
      <x:c r="AH353" s="3"/>
      <x:c r="AI353" s="18"/>
      <x:c r="AJ353" s="3" t="str">
        <x:v>CF2500-A422C3F5D06C</x:v>
      </x:c>
      <x:c r="AK353" s="3" t="str">
        <x:v>Property investor / home-buying operator prospect</x:v>
      </x:c>
      <x:c r="AL353" s="19" t="n">
        <x:v>100000</x:v>
      </x:c>
      <x:c r="AM353" s="19" t="n">
        <x:v>500000</x:v>
      </x:c>
      <x:c r="AN353" s="3" t="str">
        <x:v>https://www.cashhomebuyersdirectory.com/cash-home-buyers/north-carolina/charlotte</x:v>
      </x:c>
      <x:c r="AO353" s="3" t="str">
        <x:v>nc_il_az_co_investors.jsonl</x:v>
      </x:c>
      <x:c r="AP353" s="19"/>
    </x:row>
    <x:row r="354" ht="36" customHeight="1">
      <x:c r="A354" s="23" t="n">
        <x:v>353</x:v>
      </x:c>
      <x:c r="B354" s="15" t="str">
        <x:v>Sell My House Fast Charlotte | Charlotte Easy Home Sales</x:v>
      </x:c>
      <x:c r="C354" s="15"/>
      <x:c r="D354" s="15" t="str">
        <x:v>Property investor / home-buying operator</x:v>
      </x:c>
      <x:c r="E354" s="15" t="str">
        <x:v>Property investor / operator inquiry</x:v>
      </x:c>
      <x:c r="F354" s="17" t="str">
        <x:v>New</x:v>
      </x:c>
      <x:c r="G354" s="24"/>
      <x:c r="H354" s="24" t="str">
        <x:v>+17043171864</x:v>
      </x:c>
      <x:c r="I354" s="24" t="str">
        <x:v>https://charlotteeasyhomesales.com/</x:v>
      </x:c>
      <x:c r="J354" s="16" t="str">
        <x:v>NC</x:v>
      </x:c>
      <x:c r="K354" s="16" t="str">
        <x:v>Charlotte</x:v>
      </x:c>
      <x:c r="L354" s="16" t="str">
        <x:v>Public property-business route; investor decision maker unconfirmed</x:v>
      </x:c>
      <x:c r="M354" s="16" t="str">
        <x:v>https://charlotteeasyhomesales.com/</x:v>
      </x:c>
      <x:c r="N354" s="16" t="str">
        <x:v>$100K-$500K ticket not published / unconfirmed</x:v>
      </x:c>
      <x:c r="O354" s="20"/>
      <x:c r="P354" s="20"/>
      <x:c r="Q354" s="25" t="str">
        <x:v>No $100K-$500K operating-company investment ticket verified</x:v>
      </x:c>
      <x:c r="R354" s="25" t="str">
        <x:v>Property acquisition or investor activity makes this an operator-capital prospect for the signed trial. Confirm operating-company debt/equity appetite.</x:v>
      </x:c>
      <x:c r="S354" s="25" t="str">
        <x:v>Public property-buying activity or a directory listing does not establish available cash, investing decision-maker, current $100K-$500K capacity, or willingness to fund 101XVC operating costs.</x:v>
      </x:c>
      <x:c r="T354" s="25" t="str">
        <x:v>Ask the owner/investor whether they can allocate $100K-$500K to trial marketing and acquisitions, and confirm structure, timing and decision authority.</x:v>
      </x:c>
      <x:c r="U354" s="25" t="str">
        <x:v>https://www.cashhomebuyersdirectory.com/cash-home-buyers/north-carolina/charlotte</x:v>
      </x:c>
      <x:c r="V354" s="26" t="d">
        <x:v>2026-10-02T00:00:00.000Z</x:v>
      </x:c>
      <x:c r="W354" s="26" t="d">
        <x:v>2026-10-02T00:00:00.000Z</x:v>
      </x:c>
      <x:c r="X354" s="25" t="str">
        <x:v>Public investor directory; business role and contact ownership require qualification</x:v>
      </x:c>
      <x:c r="Y354" s="25"/>
      <x:c r="Z354" s="25" t="str">
        <x:v>https://www.cashhomebuyersdirectory.com/cash-home-buyers/north-carolina/charlotte</x:v>
      </x:c>
      <x:c r="AA354" s="25" t="str">
        <x:v>Public cash-home-buyer directory lists business name, phone and market. Directory entry may include brokers or service providers.</x:v>
      </x:c>
      <x:c r="AB354" s="3" t="str">
        <x:v>New public-source collection</x:v>
      </x:c>
      <x:c r="AC354" s="3" t="str">
        <x:v>unverified</x:v>
      </x:c>
      <x:c r="AD354" s="3" t="str">
        <x:v>Not contacted / unconfirmed</x:v>
      </x:c>
      <x:c r="AE354" s="3" t="str">
        <x:v>No</x:v>
      </x:c>
      <x:c r="AF354" s="3" t="str">
        <x:v>No</x:v>
      </x:c>
      <x:c r="AG354" s="3"/>
      <x:c r="AH354" s="3"/>
      <x:c r="AI354" s="18"/>
      <x:c r="AJ354" s="3" t="str">
        <x:v>CF2500-C6A5EA8F25D6</x:v>
      </x:c>
      <x:c r="AK354" s="3" t="str">
        <x:v>Property investor / home-buying operator prospect</x:v>
      </x:c>
      <x:c r="AL354" s="19" t="n">
        <x:v>100000</x:v>
      </x:c>
      <x:c r="AM354" s="19" t="n">
        <x:v>500000</x:v>
      </x:c>
      <x:c r="AN354" s="3" t="str">
        <x:v>https://www.cashhomebuyersdirectory.com/cash-home-buyers/north-carolina/charlotte</x:v>
      </x:c>
      <x:c r="AO354" s="3" t="str">
        <x:v>nc_il_az_co_investors.jsonl</x:v>
      </x:c>
      <x:c r="AP354" s="19"/>
    </x:row>
    <x:row r="355" ht="36" customHeight="1">
      <x:c r="A355" s="23" t="n">
        <x:v>354</x:v>
      </x:c>
      <x:c r="B355" s="15" t="str">
        <x:v>Sell My House Fast Chicago</x:v>
      </x:c>
      <x:c r="C355" s="15"/>
      <x:c r="D355" s="15" t="str">
        <x:v>Property investor / home-buying operator</x:v>
      </x:c>
      <x:c r="E355" s="15" t="str">
        <x:v>Property investor / operator inquiry</x:v>
      </x:c>
      <x:c r="F355" s="17" t="str">
        <x:v>New</x:v>
      </x:c>
      <x:c r="G355" s="24"/>
      <x:c r="H355" s="24" t="str">
        <x:v>+16307302650</x:v>
      </x:c>
      <x:c r="I355" s="24" t="str">
        <x:v>https://www.sellmyhousefastchicago-il.com/</x:v>
      </x:c>
      <x:c r="J355" s="16" t="str">
        <x:v>IL</x:v>
      </x:c>
      <x:c r="K355" s="16" t="str">
        <x:v>Riverside</x:v>
      </x:c>
      <x:c r="L355" s="16" t="str">
        <x:v>Public property-business route; investor decision maker unconfirmed</x:v>
      </x:c>
      <x:c r="M355" s="16" t="str">
        <x:v>https://www.sellmyhousefastchicago-il.com/</x:v>
      </x:c>
      <x:c r="N355" s="16" t="str">
        <x:v>$100K-$500K ticket not published / unconfirmed</x:v>
      </x:c>
      <x:c r="O355" s="20"/>
      <x:c r="P355" s="20"/>
      <x:c r="Q355" s="25" t="str">
        <x:v>No $100K-$500K operating-company investment ticket verified</x:v>
      </x:c>
      <x:c r="R355" s="25" t="str">
        <x:v>Property acquisition or investor activity makes this an operator-capital prospect for the signed trial. Confirm operating-company debt/equity appetite.</x:v>
      </x:c>
      <x:c r="S355" s="25" t="str">
        <x:v>Public property-buying activity or a directory listing does not establish available cash, investing decision-maker, current $100K-$500K capacity, or willingness to fund 101XVC operating costs.</x:v>
      </x:c>
      <x:c r="T355" s="25" t="str">
        <x:v>Ask the owner/investor whether they can allocate $100K-$500K to trial marketing and acquisitions, and confirm structure, timing and decision authority.</x:v>
      </x:c>
      <x:c r="U355" s="25" t="str">
        <x:v>https://www.cashhomebuyersdirectory.com/cash-home-buyers/illinois/riverside</x:v>
      </x:c>
      <x:c r="V355" s="26" t="d">
        <x:v>2026-10-02T00:00:00.000Z</x:v>
      </x:c>
      <x:c r="W355" s="26" t="d">
        <x:v>2026-10-02T00:00:00.000Z</x:v>
      </x:c>
      <x:c r="X355" s="25" t="str">
        <x:v>Public investor directory; business role and contact ownership require qualification</x:v>
      </x:c>
      <x:c r="Y355" s="25"/>
      <x:c r="Z355" s="25" t="str">
        <x:v>https://www.cashhomebuyersdirectory.com/cash-home-buyers/illinois/riverside</x:v>
      </x:c>
      <x:c r="AA355" s="25" t="str">
        <x:v>Public cash-home-buyer directory lists business name, phone and market. Directory entry may include brokers or service providers.</x:v>
      </x:c>
      <x:c r="AB355" s="3" t="str">
        <x:v>New public-source collection</x:v>
      </x:c>
      <x:c r="AC355" s="3" t="str">
        <x:v>unverified</x:v>
      </x:c>
      <x:c r="AD355" s="3" t="str">
        <x:v>Not contacted / unconfirmed</x:v>
      </x:c>
      <x:c r="AE355" s="3" t="str">
        <x:v>No</x:v>
      </x:c>
      <x:c r="AF355" s="3" t="str">
        <x:v>No</x:v>
      </x:c>
      <x:c r="AG355" s="3"/>
      <x:c r="AH355" s="3"/>
      <x:c r="AI355" s="18"/>
      <x:c r="AJ355" s="3" t="str">
        <x:v>CF2500-990DDA8D41DE</x:v>
      </x:c>
      <x:c r="AK355" s="3" t="str">
        <x:v>Property investor / home-buying operator prospect</x:v>
      </x:c>
      <x:c r="AL355" s="19" t="n">
        <x:v>100000</x:v>
      </x:c>
      <x:c r="AM355" s="19" t="n">
        <x:v>500000</x:v>
      </x:c>
      <x:c r="AN355" s="3" t="str">
        <x:v>https://www.cashhomebuyersdirectory.com/cash-home-buyers/illinois/riverside</x:v>
      </x:c>
      <x:c r="AO355" s="3" t="str">
        <x:v>nc_il_az_co_investors.jsonl</x:v>
      </x:c>
      <x:c r="AP355" s="19"/>
    </x:row>
    <x:row r="356" ht="36" customHeight="1">
      <x:c r="A356" s="23" t="n">
        <x:v>355</x:v>
      </x:c>
      <x:c r="B356" s="15" t="str">
        <x:v>Sell My House Fast Chicagoland</x:v>
      </x:c>
      <x:c r="C356" s="15"/>
      <x:c r="D356" s="15" t="str">
        <x:v>Property investor / home-buying operator</x:v>
      </x:c>
      <x:c r="E356" s="15" t="str">
        <x:v>Property investor / operator inquiry</x:v>
      </x:c>
      <x:c r="F356" s="17" t="str">
        <x:v>New</x:v>
      </x:c>
      <x:c r="G356" s="24"/>
      <x:c r="H356" s="24" t="str">
        <x:v>+13125001905</x:v>
      </x:c>
      <x:c r="I356" s="24" t="str">
        <x:v>https://www.sellmyhousefastchicagoland.com/?utm_source=google&amp;utm_medium=organic&amp;utm_campaign=gmb&amp;utm_content=listing</x:v>
      </x:c>
      <x:c r="J356" s="16" t="str">
        <x:v>IL</x:v>
      </x:c>
      <x:c r="K356" s="16" t="str">
        <x:v>Chicago</x:v>
      </x:c>
      <x:c r="L356" s="16" t="str">
        <x:v>Public property-business route; investor decision maker unconfirmed</x:v>
      </x:c>
      <x:c r="M356" s="16" t="str">
        <x:v>https://www.sellmyhousefastchicagoland.com/?utm_source=google&amp;utm_medium=organic&amp;utm_campaign=gmb&amp;utm_content=listing</x:v>
      </x:c>
      <x:c r="N356" s="16" t="str">
        <x:v>$100K-$500K ticket not published / unconfirmed</x:v>
      </x:c>
      <x:c r="O356" s="20"/>
      <x:c r="P356" s="20"/>
      <x:c r="Q356" s="25" t="str">
        <x:v>No $100K-$500K operating-company investment ticket verified</x:v>
      </x:c>
      <x:c r="R356" s="25" t="str">
        <x:v>Property acquisition or investor activity makes this an operator-capital prospect for the signed trial. Confirm operating-company debt/equity appetite.</x:v>
      </x:c>
      <x:c r="S356" s="25" t="str">
        <x:v>Public property-buying activity or a directory listing does not establish available cash, investing decision-maker, current $100K-$500K capacity, or willingness to fund 101XVC operating costs.</x:v>
      </x:c>
      <x:c r="T356" s="25" t="str">
        <x:v>Ask the owner/investor whether they can allocate $100K-$500K to trial marketing and acquisitions, and confirm structure, timing and decision authority.</x:v>
      </x:c>
      <x:c r="U356" s="25" t="str">
        <x:v>https://www.cashhomebuyersdirectory.com/cash-home-buyers/illinois/chicago
https://www.bbb.org/us/il/category/home-buyers</x:v>
      </x:c>
      <x:c r="V356" s="26" t="d">
        <x:v>2026-10-02T00:00:00.000Z</x:v>
      </x:c>
      <x:c r="W356" s="26" t="d">
        <x:v>2026-10-02T00:00:00.000Z</x:v>
      </x:c>
      <x:c r="X356" s="25" t="str">
        <x:v>Public investor directory; business role and contact ownership require qualification</x:v>
      </x:c>
      <x:c r="Y356" s="25"/>
      <x:c r="Z356" s="25" t="str">
        <x:v>https://www.cashhomebuyersdirectory.com/cash-home-buyers/illinois/chicago</x:v>
      </x:c>
      <x:c r="AA356" s="25" t="str">
        <x:v>Public cash-home-buyer directory lists business name, phone and market. Directory entry may include brokers or service providers.</x:v>
      </x:c>
      <x:c r="AB356" s="3" t="str">
        <x:v>New public-source collection</x:v>
      </x:c>
      <x:c r="AC356" s="3" t="str">
        <x:v>unverified</x:v>
      </x:c>
      <x:c r="AD356" s="3" t="str">
        <x:v>Not contacted / unconfirmed</x:v>
      </x:c>
      <x:c r="AE356" s="3" t="str">
        <x:v>No</x:v>
      </x:c>
      <x:c r="AF356" s="3" t="str">
        <x:v>No</x:v>
      </x:c>
      <x:c r="AG356" s="3"/>
      <x:c r="AH356" s="3"/>
      <x:c r="AI356" s="18"/>
      <x:c r="AJ356" s="3" t="str">
        <x:v>CF2500-E49FFF49025D</x:v>
      </x:c>
      <x:c r="AK356" s="3" t="str">
        <x:v>Property investor / home-buying operator prospect</x:v>
      </x:c>
      <x:c r="AL356" s="19" t="n">
        <x:v>100000</x:v>
      </x:c>
      <x:c r="AM356" s="19" t="n">
        <x:v>500000</x:v>
      </x:c>
      <x:c r="AN356" s="3" t="str">
        <x:v>https://www.cashhomebuyersdirectory.com/cash-home-buyers/illinois/chicago</x:v>
      </x:c>
      <x:c r="AO356" s="3" t="str">
        <x:v>nc_il_az_co_investors.jsonl</x:v>
      </x:c>
      <x:c r="AP356" s="19"/>
    </x:row>
    <x:row r="357" ht="36" customHeight="1">
      <x:c r="A357" s="23" t="n">
        <x:v>356</x:v>
      </x:c>
      <x:c r="B357" s="15" t="str">
        <x:v>Sell My House Fast DFW | As Is Cash Home Buyers Dallas</x:v>
      </x:c>
      <x:c r="C357" s="15"/>
      <x:c r="D357" s="15" t="str">
        <x:v>Property investor / home-buying operator</x:v>
      </x:c>
      <x:c r="E357" s="15" t="str">
        <x:v>Property investor / operator inquiry</x:v>
      </x:c>
      <x:c r="F357" s="17" t="str">
        <x:v>New</x:v>
      </x:c>
      <x:c r="G357" s="24"/>
      <x:c r="H357" s="24" t="str">
        <x:v>+12145508119</x:v>
      </x:c>
      <x:c r="I357" s="24" t="str">
        <x:v>https://sellmyhousefastdfwtx.com/as-is-cash-home-buyers-dallas-texas/</x:v>
      </x:c>
      <x:c r="J357" s="16" t="str">
        <x:v>TX</x:v>
      </x:c>
      <x:c r="K357" s="16" t="str">
        <x:v>Dallas</x:v>
      </x:c>
      <x:c r="L357" s="16" t="str">
        <x:v>Public property-business route; investor decision maker unconfirmed</x:v>
      </x:c>
      <x:c r="M357" s="16" t="str">
        <x:v>https://sellmyhousefastdfwtx.com/as-is-cash-home-buyers-dallas-texas/</x:v>
      </x:c>
      <x:c r="N357" s="16" t="str">
        <x:v>$100K-$500K ticket not published / unconfirmed</x:v>
      </x:c>
      <x:c r="O357" s="20"/>
      <x:c r="P357" s="20"/>
      <x:c r="Q357" s="25" t="str">
        <x:v>No $100K-$500K corporate-investment ticket published in checked source</x:v>
      </x:c>
      <x:c r="R357" s="25" t="str">
        <x:v>Property acquisition or investor activity makes this an operator-capital prospect for the signed trial. Confirm operating-company debt/equity appetite.</x:v>
      </x:c>
      <x:c r="S357" s="25" t="str">
        <x:v>Home-buying activity does not verify ability or willingness to invest $100K-$500K into 101XVC operating company. Website and contact verification pending.</x:v>
      </x:c>
      <x:c r="T357" s="25" t="str">
        <x:v>Ask the owner/investor whether they can allocate $100K-$500K to trial marketing and acquisitions, and confirm structure, timing and decision authority.</x:v>
      </x:c>
      <x:c r="U357" s="25" t="str">
        <x:v>https://www.cashhomebuyersdirectory.com/cash-home-buyers/texas/dallas</x:v>
      </x:c>
      <x:c r="V357" s="26" t="d">
        <x:v>2026-10-02T00:00:00.000Z</x:v>
      </x:c>
      <x:c r="W357" s="26" t="d">
        <x:v>2026-10-03T00:00:00.000Z</x:v>
      </x:c>
      <x:c r="X357" s="25" t="str">
        <x:v>Public investor directory; business role and contact ownership require qualification</x:v>
      </x:c>
      <x:c r="Y357" s="25"/>
      <x:c r="Z357" s="25" t="str">
        <x:v>https://www.cashhomebuyersdirectory.com/cash-home-buyers/texas/dallas</x:v>
      </x:c>
      <x:c r="AA357" s="25" t="str">
        <x:v>Public cash-home-buyer directory lists business name, phone and market. Directory entry may include brokers or service providers.</x:v>
      </x:c>
      <x:c r="AB357" s="3" t="str">
        <x:v>New public-source collection</x:v>
      </x:c>
      <x:c r="AC357" s="3" t="str">
        <x:v>unverified</x:v>
      </x:c>
      <x:c r="AD357" s="3" t="str">
        <x:v>Not contacted / unconfirmed</x:v>
      </x:c>
      <x:c r="AE357" s="3" t="str">
        <x:v>No</x:v>
      </x:c>
      <x:c r="AF357" s="3" t="str">
        <x:v>No</x:v>
      </x:c>
      <x:c r="AG357" s="3"/>
      <x:c r="AH357" s="3"/>
      <x:c r="AI357" s="18"/>
      <x:c r="AJ357" s="3" t="str">
        <x:v>CF2500-941031A9B550</x:v>
      </x:c>
      <x:c r="AK357" s="3" t="str">
        <x:v>Property investor / home-buying operator prospect</x:v>
      </x:c>
      <x:c r="AL357" s="19" t="n">
        <x:v>100000</x:v>
      </x:c>
      <x:c r="AM357" s="19" t="n">
        <x:v>500000</x:v>
      </x:c>
      <x:c r="AN357" s="3" t="str">
        <x:v>https://www.cashhomebuyersdirectory.com/cash-home-buyers/texas/dallas</x:v>
      </x:c>
      <x:c r="AO357" s="3" t="str">
        <x:v>tx_fl_investors.jsonl</x:v>
      </x:c>
      <x:c r="AP357" s="19"/>
    </x:row>
    <x:row r="358" ht="36" customHeight="1">
      <x:c r="A358" s="23" t="n">
        <x:v>357</x:v>
      </x:c>
      <x:c r="B358" s="15" t="str">
        <x:v>Sell My House Fast East Texas (ETX)</x:v>
      </x:c>
      <x:c r="C358" s="15"/>
      <x:c r="D358" s="15" t="str">
        <x:v>Property investor / home-buying operator</x:v>
      </x:c>
      <x:c r="E358" s="15" t="str">
        <x:v>Property investor / operator inquiry</x:v>
      </x:c>
      <x:c r="F358" s="17" t="str">
        <x:v>New</x:v>
      </x:c>
      <x:c r="G358" s="24"/>
      <x:c r="H358" s="24" t="str">
        <x:v>+19037306422</x:v>
      </x:c>
      <x:c r="I358" s="24" t="str">
        <x:v>https://sellmyhousefastetx.com/</x:v>
      </x:c>
      <x:c r="J358" s="16" t="str">
        <x:v>TX</x:v>
      </x:c>
      <x:c r="K358" s="16" t="str">
        <x:v>Tyler</x:v>
      </x:c>
      <x:c r="L358" s="16" t="str">
        <x:v>Public property-business route; investor decision maker unconfirmed</x:v>
      </x:c>
      <x:c r="M358" s="16" t="str">
        <x:v>https://sellmyhousefastetx.com/</x:v>
      </x:c>
      <x:c r="N358" s="16" t="str">
        <x:v>$100K-$500K ticket not published / unconfirmed</x:v>
      </x:c>
      <x:c r="O358" s="20"/>
      <x:c r="P358" s="20"/>
      <x:c r="Q358" s="25" t="str">
        <x:v>No $100K-$500K corporate-investment ticket published in checked source</x:v>
      </x:c>
      <x:c r="R358" s="25" t="str">
        <x:v>Property acquisition or investor activity makes this an operator-capital prospect for the signed trial. Confirm operating-company debt/equity appetite.</x:v>
      </x:c>
      <x:c r="S358" s="25" t="str">
        <x:v>Home-buying activity does not verify ability or willingness to invest $100K-$500K into 101XVC operating company. Website and contact verification pending.</x:v>
      </x:c>
      <x:c r="T358" s="25" t="str">
        <x:v>Ask the owner/investor whether they can allocate $100K-$500K to trial marketing and acquisitions, and confirm structure, timing and decision authority.</x:v>
      </x:c>
      <x:c r="U358" s="25" t="str">
        <x:v>https://www.cashhomebuyersdirectory.com/cash-home-buyers/texas/tyler</x:v>
      </x:c>
      <x:c r="V358" s="26" t="d">
        <x:v>2026-10-02T00:00:00.000Z</x:v>
      </x:c>
      <x:c r="W358" s="26" t="d">
        <x:v>2026-10-03T00:00:00.000Z</x:v>
      </x:c>
      <x:c r="X358" s="25" t="str">
        <x:v>Public investor directory; business role and contact ownership require qualification</x:v>
      </x:c>
      <x:c r="Y358" s="25"/>
      <x:c r="Z358" s="25" t="str">
        <x:v>https://www.cashhomebuyersdirectory.com/cash-home-buyers/texas/tyler</x:v>
      </x:c>
      <x:c r="AA358" s="25" t="str">
        <x:v>Public cash-home-buyer directory lists business name, phone and market. Directory entry may include brokers or service providers.</x:v>
      </x:c>
      <x:c r="AB358" s="3" t="str">
        <x:v>New public-source collection</x:v>
      </x:c>
      <x:c r="AC358" s="3" t="str">
        <x:v>unverified</x:v>
      </x:c>
      <x:c r="AD358" s="3" t="str">
        <x:v>Not contacted / unconfirmed</x:v>
      </x:c>
      <x:c r="AE358" s="3" t="str">
        <x:v>No</x:v>
      </x:c>
      <x:c r="AF358" s="3" t="str">
        <x:v>No</x:v>
      </x:c>
      <x:c r="AG358" s="3"/>
      <x:c r="AH358" s="3"/>
      <x:c r="AI358" s="18"/>
      <x:c r="AJ358" s="3" t="str">
        <x:v>CF2500-F1FAF81E6425</x:v>
      </x:c>
      <x:c r="AK358" s="3" t="str">
        <x:v>Property investor / home-buying operator prospect</x:v>
      </x:c>
      <x:c r="AL358" s="19" t="n">
        <x:v>100000</x:v>
      </x:c>
      <x:c r="AM358" s="19" t="n">
        <x:v>500000</x:v>
      </x:c>
      <x:c r="AN358" s="3" t="str">
        <x:v>https://www.cashhomebuyersdirectory.com/cash-home-buyers/texas/tyler</x:v>
      </x:c>
      <x:c r="AO358" s="3" t="str">
        <x:v>tx_fl_investors.jsonl</x:v>
      </x:c>
      <x:c r="AP358" s="19"/>
    </x:row>
    <x:row r="359" ht="36" customHeight="1">
      <x:c r="A359" s="23" t="n">
        <x:v>358</x:v>
      </x:c>
      <x:c r="B359" s="15" t="str">
        <x:v>Sell My House Fast Guys</x:v>
      </x:c>
      <x:c r="C359" s="15"/>
      <x:c r="D359" s="15" t="str">
        <x:v>Property investor / home-buying operator</x:v>
      </x:c>
      <x:c r="E359" s="15" t="str">
        <x:v>Property investor / operator inquiry</x:v>
      </x:c>
      <x:c r="F359" s="17" t="str">
        <x:v>New</x:v>
      </x:c>
      <x:c r="G359" s="24"/>
      <x:c r="H359" s="24" t="str">
        <x:v>+15206543899</x:v>
      </x:c>
      <x:c r="I359" s="24" t="str">
        <x:v>https://sellmyhousefastguys.com/we-buy-houses-cash-tucson-arizona/</x:v>
      </x:c>
      <x:c r="J359" s="16" t="str">
        <x:v>AZ</x:v>
      </x:c>
      <x:c r="K359" s="16" t="str">
        <x:v>Tucson</x:v>
      </x:c>
      <x:c r="L359" s="16" t="str">
        <x:v>Public property-business route; investor decision maker unconfirmed</x:v>
      </x:c>
      <x:c r="M359" s="16" t="str">
        <x:v>https://sellmyhousefastguys.com/we-buy-houses-cash-tucson-arizona/</x:v>
      </x:c>
      <x:c r="N359" s="16" t="str">
        <x:v>$100K-$500K ticket not published / unconfirmed</x:v>
      </x:c>
      <x:c r="O359" s="20"/>
      <x:c r="P359" s="20"/>
      <x:c r="Q359" s="25" t="str">
        <x:v>No $100K-$500K operating-company investment ticket verified</x:v>
      </x:c>
      <x:c r="R359" s="25" t="str">
        <x:v>Property acquisition or investor activity makes this an operator-capital prospect for the signed trial. Confirm operating-company debt/equity appetite.</x:v>
      </x:c>
      <x:c r="S359" s="25" t="str">
        <x:v>Public property-buying activity or a directory listing does not establish available cash, investing decision-maker, current $100K-$500K capacity, or willingness to fund 101XVC operating costs.</x:v>
      </x:c>
      <x:c r="T359" s="25" t="str">
        <x:v>Ask the owner/investor whether they can allocate $100K-$500K to trial marketing and acquisitions, and confirm structure, timing and decision authority.</x:v>
      </x:c>
      <x:c r="U359" s="25" t="str">
        <x:v>https://www.cashhomebuyersdirectory.com/cash-home-buyers/arizona/tucson
https://www.cashhomebuyersdirectory.com/cash-home-buyers/georgia/athens
https://www.cashhomebuyersdirectory.com/cash-home-buyers/georgia/augusta
https://www.cashhomebuyersdirectory.com/cash-home-buyers/georgia/columbus
https://www.cashhomebuyersdirectory.com/cash-home-buyers/indiana/fort-wayne
https://www.cashhomebuyersdirectory.com/cash-home-buyers/south-carolina/greenville
https://www.cashhomebuyersdirectory.com/cash-home-buyers/tennessee/knoxville
https://www.cashhomebuyersdirectory.com/cash-home-buyers/georgia/savannah
https://www.cashhomebuyersdirectory.com/cash-home-buyers/oregon/portland
https://www.cashhomebuyersdirectory.com/cash-home-buyers/washington/tacoma
https://www.cashhomebuyersdirectory.com/cash-home-buyers/pennsylvania/allentown
https://www.cashhomebuyersdirectory.com/cash-home-buyers/idaho/boise
https://www.cashhomebuyersdirectory.com/cash-home-buyers/vermont/burlington
https://www.cashhomebuyersdirectory.com/cash-home-buyers/pennsylvania/erie
https://www.cashhomebuyersdirectory.com/cash-home-buyers/oregon/eugene
https://www.cashhomebuyersdirectory.com/cash-home-buyers/arkansas/fayetteville
https://www.cashhomebuyersdirectory.com/cash-home-buyers/michigan/grand-rapids
https://www.cashhomebuyersdirectory.com/cash-home-buyers/connecticut/hartford
https://www.cashhomebuyersdirectory.com/cash-home-buyers/louisiana/lafayette
https://www.cashhomebuyersdirectory.com/cash-home-buyers/michigan/lansing</x:v>
      </x:c>
      <x:c r="V359" s="26" t="d">
        <x:v>2026-10-02T00:00:00.000Z</x:v>
      </x:c>
      <x:c r="W359" s="26" t="d">
        <x:v>2026-10-02T00:00:00.000Z</x:v>
      </x:c>
      <x:c r="X359" s="25" t="str">
        <x:v>Public investor directory; business role and contact ownership require qualification</x:v>
      </x:c>
      <x:c r="Y359" s="25"/>
      <x:c r="Z359" s="25" t="str">
        <x:v>https://www.cashhomebuyersdirectory.com/cash-home-buyers/arizona/tucson</x:v>
      </x:c>
      <x:c r="AA359" s="25" t="str">
        <x:v>Public cash-home-buyer directory lists business name, phone and market. Directory entry may include brokers or service providers.</x:v>
      </x:c>
      <x:c r="AB359" s="3" t="str">
        <x:v>New public-source collection</x:v>
      </x:c>
      <x:c r="AC359" s="3" t="str">
        <x:v>unverified</x:v>
      </x:c>
      <x:c r="AD359" s="3" t="str">
        <x:v>Not contacted / unconfirmed</x:v>
      </x:c>
      <x:c r="AE359" s="3" t="str">
        <x:v>No</x:v>
      </x:c>
      <x:c r="AF359" s="3" t="str">
        <x:v>No</x:v>
      </x:c>
      <x:c r="AG359" s="3"/>
      <x:c r="AH359" s="3" t="str">
        <x:v>Sell My House Fast Guys | We Buy Houses for Cash Allentown; Sell My House Fast Guys | We Buy Houses for Cash Athens; Sell My House Fast Guys | We Buy Houses for Cash Augusta; Sell My House Fast Guys | We Buy Houses for Cash Boise; Sell My House Fast Guys | We Buy Houses for Cash Burlington; Sell My House Fast Guys | We Buy Houses for Cash Columbus; Sell My House Fast Guys | We Buy Houses for Cash Erie; Sell My House Fast Guys | We Buy Houses for Cash Eugene; Sell My House Fast Guys | We Buy Houses for Cash Fayetteville; Sell My House Fast Guys | We Buy Houses for Cash Fort Wayne; Sell My House Fast Guys | We Buy Houses for Cash Grand Rapids; Sell My House Fast Guys | We Buy Houses for Cash Greenville; Sell My House Fast Guys | We Buy Houses for Cash Hartford; Sell My House Fast Guys | We Buy Houses for Cash Knoxville; Sell My House Fast Guys | We Buy Houses for Cash Lafayette; Sell My House Fast Guys | We Buy Houses for Cash Lansing; Sell My House Fast Guys | We Buy Houses for Cash Lexington; Sell My House Fast Guys | We Buy Houses for Cash New Haven; Sell My House Fast Guys | We Buy Houses for Cash Saginaw; Sell My House Fast Guys | We Buy Houses for Cash Salem; Sell My House Fast Guys | We Buy Houses for Cash Savannah; Sell My House Fast Guys | We Buy Houses for Cash Scranton; Sell My House Fast Guys | We Buy Houses for Cash Syracuse</x:v>
      </x:c>
      <x:c r="AI359" s="18"/>
      <x:c r="AJ359" s="3" t="str">
        <x:v>CF2500-81C8DC2227B7</x:v>
      </x:c>
      <x:c r="AK359" s="3" t="str">
        <x:v>Property investor / home-buying operator prospect</x:v>
      </x:c>
      <x:c r="AL359" s="19" t="n">
        <x:v>100000</x:v>
      </x:c>
      <x:c r="AM359" s="19" t="n">
        <x:v>500000</x:v>
      </x:c>
      <x:c r="AN359" s="3" t="str">
        <x:v>https://www.cashhomebuyersdirectory.com/cash-home-buyers/arizona/tucson</x:v>
      </x:c>
      <x:c r="AO359" s="3" t="str">
        <x:v>nc_il_az_co_investors.jsonl</x:v>
      </x:c>
      <x:c r="AP359" s="19"/>
    </x:row>
    <x:row r="360" ht="36" customHeight="1">
      <x:c r="A360" s="23" t="n">
        <x:v>359</x:v>
      </x:c>
      <x:c r="B360" s="15" t="str">
        <x:v>Sell My House Fast Houston - We Buy Houses Cash</x:v>
      </x:c>
      <x:c r="C360" s="15"/>
      <x:c r="D360" s="15" t="str">
        <x:v>Property investor / home-buying operator</x:v>
      </x:c>
      <x:c r="E360" s="15" t="str">
        <x:v>Property investor / operator inquiry</x:v>
      </x:c>
      <x:c r="F360" s="17" t="str">
        <x:v>New</x:v>
      </x:c>
      <x:c r="G360" s="24"/>
      <x:c r="H360" s="24" t="str">
        <x:v>+12812476036</x:v>
      </x:c>
      <x:c r="I360" s="24" t="str">
        <x:v>https://sellmyhousefasthouston.net/</x:v>
      </x:c>
      <x:c r="J360" s="16" t="str">
        <x:v>TX</x:v>
      </x:c>
      <x:c r="K360" s="16" t="str">
        <x:v>Houston</x:v>
      </x:c>
      <x:c r="L360" s="16" t="str">
        <x:v>Public property-business route; investor decision maker unconfirmed</x:v>
      </x:c>
      <x:c r="M360" s="16" t="str">
        <x:v>https://sellmyhousefasthouston.net/</x:v>
      </x:c>
      <x:c r="N360" s="16" t="str">
        <x:v>$100K-$500K ticket not published / unconfirmed</x:v>
      </x:c>
      <x:c r="O360" s="20"/>
      <x:c r="P360" s="20"/>
      <x:c r="Q360" s="25" t="str">
        <x:v>No $100K-$500K corporate-investment ticket published in checked source</x:v>
      </x:c>
      <x:c r="R360" s="25" t="str">
        <x:v>Property acquisition or investor activity makes this an operator-capital prospect for the signed trial. Confirm operating-company debt/equity appetite.</x:v>
      </x:c>
      <x:c r="S360" s="25" t="str">
        <x:v>Home-buying activity does not verify ability or willingness to invest $100K-$500K into 101XVC operating company. Website and contact verification pending.</x:v>
      </x:c>
      <x:c r="T360" s="25" t="str">
        <x:v>Ask the owner/investor whether they can allocate $100K-$500K to trial marketing and acquisitions, and confirm structure, timing and decision authority.</x:v>
      </x:c>
      <x:c r="U360" s="25" t="str">
        <x:v>https://www.cashhomebuyersdirectory.com/cash-home-buyers/texas/houston</x:v>
      </x:c>
      <x:c r="V360" s="26" t="d">
        <x:v>2026-10-02T00:00:00.000Z</x:v>
      </x:c>
      <x:c r="W360" s="26" t="d">
        <x:v>2026-10-03T00:00:00.000Z</x:v>
      </x:c>
      <x:c r="X360" s="25" t="str">
        <x:v>Public investor directory; business role and contact ownership require qualification</x:v>
      </x:c>
      <x:c r="Y360" s="25"/>
      <x:c r="Z360" s="25" t="str">
        <x:v>https://www.cashhomebuyersdirectory.com/cash-home-buyers/texas/houston</x:v>
      </x:c>
      <x:c r="AA360" s="25" t="str">
        <x:v>Public cash-home-buyer directory lists business name, phone and market. Directory entry may include brokers or service providers.</x:v>
      </x:c>
      <x:c r="AB360" s="3" t="str">
        <x:v>New public-source collection</x:v>
      </x:c>
      <x:c r="AC360" s="3" t="str">
        <x:v>unverified</x:v>
      </x:c>
      <x:c r="AD360" s="3" t="str">
        <x:v>Not contacted / unconfirmed</x:v>
      </x:c>
      <x:c r="AE360" s="3" t="str">
        <x:v>No</x:v>
      </x:c>
      <x:c r="AF360" s="3" t="str">
        <x:v>No</x:v>
      </x:c>
      <x:c r="AG360" s="3"/>
      <x:c r="AH360" s="3"/>
      <x:c r="AI360" s="18"/>
      <x:c r="AJ360" s="3" t="str">
        <x:v>CF2500-BA29CCCA799B</x:v>
      </x:c>
      <x:c r="AK360" s="3" t="str">
        <x:v>Property investor / home-buying operator prospect</x:v>
      </x:c>
      <x:c r="AL360" s="19" t="n">
        <x:v>100000</x:v>
      </x:c>
      <x:c r="AM360" s="19" t="n">
        <x:v>500000</x:v>
      </x:c>
      <x:c r="AN360" s="3" t="str">
        <x:v>https://www.cashhomebuyersdirectory.com/cash-home-buyers/texas/houston</x:v>
      </x:c>
      <x:c r="AO360" s="3" t="str">
        <x:v>tx_fl_investors.jsonl</x:v>
      </x:c>
      <x:c r="AP360" s="19"/>
    </x:row>
    <x:row r="361" ht="36" customHeight="1">
      <x:c r="A361" s="23" t="n">
        <x:v>360</x:v>
      </x:c>
      <x:c r="B361" s="15" t="str">
        <x:v>Sell My House Fast in Dallas</x:v>
      </x:c>
      <x:c r="C361" s="15"/>
      <x:c r="D361" s="15" t="str">
        <x:v>Property investor / home-buying operator</x:v>
      </x:c>
      <x:c r="E361" s="15" t="str">
        <x:v>Property investor / operator inquiry</x:v>
      </x:c>
      <x:c r="F361" s="17" t="str">
        <x:v>New</x:v>
      </x:c>
      <x:c r="G361" s="24"/>
      <x:c r="H361" s="24" t="str">
        <x:v>+14694614209</x:v>
      </x:c>
      <x:c r="I361" s="24" t="str">
        <x:v>https://sellmyhousefastindallas.com/</x:v>
      </x:c>
      <x:c r="J361" s="16" t="str">
        <x:v>TX</x:v>
      </x:c>
      <x:c r="K361" s="16" t="str">
        <x:v>Dallas</x:v>
      </x:c>
      <x:c r="L361" s="16" t="str">
        <x:v>Public property-business route; investor decision maker unconfirmed</x:v>
      </x:c>
      <x:c r="M361" s="16" t="str">
        <x:v>https://sellmyhousefastindallas.com/</x:v>
      </x:c>
      <x:c r="N361" s="16" t="str">
        <x:v>$100K-$500K ticket not published / unconfirmed</x:v>
      </x:c>
      <x:c r="O361" s="20"/>
      <x:c r="P361" s="20"/>
      <x:c r="Q361" s="25" t="str">
        <x:v>No $100K-$500K corporate-investment ticket published in checked source</x:v>
      </x:c>
      <x:c r="R361" s="25" t="str">
        <x:v>Property acquisition or investor activity makes this an operator-capital prospect for the signed trial. Confirm operating-company debt/equity appetite.</x:v>
      </x:c>
      <x:c r="S361" s="25" t="str">
        <x:v>Home-buying activity does not verify ability or willingness to invest $100K-$500K into 101XVC operating company. Website and contact verification pending.</x:v>
      </x:c>
      <x:c r="T361" s="25" t="str">
        <x:v>Ask the owner/investor whether they can allocate $100K-$500K to trial marketing and acquisitions, and confirm structure, timing and decision authority.</x:v>
      </x:c>
      <x:c r="U361" s="25" t="str">
        <x:v>https://www.cashhomebuyersdirectory.com/cash-home-buyers/texas/dallas</x:v>
      </x:c>
      <x:c r="V361" s="26" t="d">
        <x:v>2026-10-02T00:00:00.000Z</x:v>
      </x:c>
      <x:c r="W361" s="26" t="d">
        <x:v>2026-10-03T00:00:00.000Z</x:v>
      </x:c>
      <x:c r="X361" s="25" t="str">
        <x:v>Public investor directory; business role and contact ownership require qualification</x:v>
      </x:c>
      <x:c r="Y361" s="25"/>
      <x:c r="Z361" s="25" t="str">
        <x:v>https://www.cashhomebuyersdirectory.com/cash-home-buyers/texas/dallas</x:v>
      </x:c>
      <x:c r="AA361" s="25" t="str">
        <x:v>Public cash-home-buyer directory lists business name, phone and market. Directory entry may include brokers or service providers.</x:v>
      </x:c>
      <x:c r="AB361" s="3" t="str">
        <x:v>New public-source collection</x:v>
      </x:c>
      <x:c r="AC361" s="3" t="str">
        <x:v>unverified</x:v>
      </x:c>
      <x:c r="AD361" s="3" t="str">
        <x:v>Not contacted / unconfirmed</x:v>
      </x:c>
      <x:c r="AE361" s="3" t="str">
        <x:v>No</x:v>
      </x:c>
      <x:c r="AF361" s="3" t="str">
        <x:v>No</x:v>
      </x:c>
      <x:c r="AG361" s="3"/>
      <x:c r="AH361" s="3"/>
      <x:c r="AI361" s="18"/>
      <x:c r="AJ361" s="3" t="str">
        <x:v>CF2500-498131CEB5D2</x:v>
      </x:c>
      <x:c r="AK361" s="3" t="str">
        <x:v>Property investor / home-buying operator prospect</x:v>
      </x:c>
      <x:c r="AL361" s="19" t="n">
        <x:v>100000</x:v>
      </x:c>
      <x:c r="AM361" s="19" t="n">
        <x:v>500000</x:v>
      </x:c>
      <x:c r="AN361" s="3" t="str">
        <x:v>https://www.cashhomebuyersdirectory.com/cash-home-buyers/texas/dallas</x:v>
      </x:c>
      <x:c r="AO361" s="3" t="str">
        <x:v>tx_fl_investors.jsonl</x:v>
      </x:c>
      <x:c r="AP361" s="19"/>
    </x:row>
    <x:row r="362" ht="36" customHeight="1">
      <x:c r="A362" s="23" t="n">
        <x:v>361</x:v>
      </x:c>
      <x:c r="B362" s="15" t="str">
        <x:v>Sell My House Fast Jacksonville</x:v>
      </x:c>
      <x:c r="C362" s="15"/>
      <x:c r="D362" s="15" t="str">
        <x:v>Property investor / home-buying operator</x:v>
      </x:c>
      <x:c r="E362" s="15" t="str">
        <x:v>Property investor / operator inquiry</x:v>
      </x:c>
      <x:c r="F362" s="17" t="str">
        <x:v>New</x:v>
      </x:c>
      <x:c r="G362" s="24"/>
      <x:c r="H362" s="24" t="str">
        <x:v>+19042573779</x:v>
      </x:c>
      <x:c r="I362" s="24" t="str">
        <x:v>https://www.libertyhousebuyinggroup.com/we-buy-houses-jacksonville-fl/</x:v>
      </x:c>
      <x:c r="J362" s="16" t="str">
        <x:v>FL</x:v>
      </x:c>
      <x:c r="K362" s="16" t="str">
        <x:v>Jacksonville</x:v>
      </x:c>
      <x:c r="L362" s="16" t="str">
        <x:v>Public property-business route; investor decision maker unconfirmed</x:v>
      </x:c>
      <x:c r="M362" s="16" t="str">
        <x:v>https://www.libertyhousebuyinggroup.com/we-buy-houses-jacksonville-fl/</x:v>
      </x:c>
      <x:c r="N362" s="16" t="str">
        <x:v>$100K-$500K ticket not published / unconfirmed</x:v>
      </x:c>
      <x:c r="O362" s="20"/>
      <x:c r="P362" s="20"/>
      <x:c r="Q362" s="25" t="str">
        <x:v>No $100K-$500K corporate-investment ticket published in checked source</x:v>
      </x:c>
      <x:c r="R362" s="25" t="str">
        <x:v>Property acquisition or investor activity makes this an operator-capital prospect for the signed trial. Confirm operating-company debt/equity appetite.</x:v>
      </x:c>
      <x:c r="S362" s="25" t="str">
        <x:v>Home-buying activity does not verify ability or willingness to invest $100K-$500K into 101XVC operating company. Website and contact verification pending.</x:v>
      </x:c>
      <x:c r="T362" s="25" t="str">
        <x:v>Ask the owner/investor whether they can allocate $100K-$500K to trial marketing and acquisitions, and confirm structure, timing and decision authority.</x:v>
      </x:c>
      <x:c r="U362" s="25" t="str">
        <x:v>https://www.cashhomebuyersdirectory.com/cash-home-buyers/florida/jacksonville</x:v>
      </x:c>
      <x:c r="V362" s="26" t="d">
        <x:v>2026-10-02T00:00:00.000Z</x:v>
      </x:c>
      <x:c r="W362" s="26" t="d">
        <x:v>2026-10-03T00:00:00.000Z</x:v>
      </x:c>
      <x:c r="X362" s="25" t="str">
        <x:v>Public investor directory; business role and contact ownership require qualification</x:v>
      </x:c>
      <x:c r="Y362" s="25"/>
      <x:c r="Z362" s="25" t="str">
        <x:v>https://www.cashhomebuyersdirectory.com/cash-home-buyers/florida/jacksonville</x:v>
      </x:c>
      <x:c r="AA362" s="25" t="str">
        <x:v>Public cash-home-buyer directory lists business name, phone and market. Directory entry may include brokers or service providers.</x:v>
      </x:c>
      <x:c r="AB362" s="3" t="str">
        <x:v>New public-source collection</x:v>
      </x:c>
      <x:c r="AC362" s="3" t="str">
        <x:v>unverified</x:v>
      </x:c>
      <x:c r="AD362" s="3" t="str">
        <x:v>Not contacted / unconfirmed</x:v>
      </x:c>
      <x:c r="AE362" s="3" t="str">
        <x:v>No</x:v>
      </x:c>
      <x:c r="AF362" s="3" t="str">
        <x:v>No</x:v>
      </x:c>
      <x:c r="AG362" s="3"/>
      <x:c r="AH362" s="3"/>
      <x:c r="AI362" s="18"/>
      <x:c r="AJ362" s="3" t="str">
        <x:v>CF2500-FFC1F9D4A810</x:v>
      </x:c>
      <x:c r="AK362" s="3" t="str">
        <x:v>Property investor / home-buying operator prospect</x:v>
      </x:c>
      <x:c r="AL362" s="19" t="n">
        <x:v>100000</x:v>
      </x:c>
      <x:c r="AM362" s="19" t="n">
        <x:v>500000</x:v>
      </x:c>
      <x:c r="AN362" s="3" t="str">
        <x:v>https://www.cashhomebuyersdirectory.com/cash-home-buyers/florida/jacksonville</x:v>
      </x:c>
      <x:c r="AO362" s="3" t="str">
        <x:v>tx_fl_investors.jsonl</x:v>
      </x:c>
      <x:c r="AP362" s="19"/>
    </x:row>
    <x:row r="363" ht="36" customHeight="1">
      <x:c r="A363" s="23" t="n">
        <x:v>362</x:v>
      </x:c>
      <x:c r="B363" s="15" t="str">
        <x:v>Sell My House Fast North Carolina | As Is Cash Home Buyers Asheville</x:v>
      </x:c>
      <x:c r="C363" s="15"/>
      <x:c r="D363" s="15" t="str">
        <x:v>Property investor / home-buying operator</x:v>
      </x:c>
      <x:c r="E363" s="15" t="str">
        <x:v>Property investor / operator inquiry</x:v>
      </x:c>
      <x:c r="F363" s="17" t="str">
        <x:v>New</x:v>
      </x:c>
      <x:c r="G363" s="24"/>
      <x:c r="H363" s="24" t="str">
        <x:v>+18285473299</x:v>
      </x:c>
      <x:c r="I363" s="24" t="str">
        <x:v>https://sellmyhousefastinnc.com/as-is-cash-home-buyers-asheville-north-carolina/</x:v>
      </x:c>
      <x:c r="J363" s="16" t="str">
        <x:v>NC</x:v>
      </x:c>
      <x:c r="K363" s="16" t="str">
        <x:v>Asheville</x:v>
      </x:c>
      <x:c r="L363" s="16" t="str">
        <x:v>Public property-business route; investor decision maker unconfirmed</x:v>
      </x:c>
      <x:c r="M363" s="16" t="str">
        <x:v>https://sellmyhousefastinnc.com/as-is-cash-home-buyers-asheville-north-carolina/</x:v>
      </x:c>
      <x:c r="N363" s="16" t="str">
        <x:v>$100K-$500K ticket not published / unconfirmed</x:v>
      </x:c>
      <x:c r="O363" s="20"/>
      <x:c r="P363" s="20"/>
      <x:c r="Q363" s="25" t="str">
        <x:v>No $100K-$500K operating-company investment ticket verified</x:v>
      </x:c>
      <x:c r="R363" s="25" t="str">
        <x:v>Property acquisition or investor activity makes this an operator-capital prospect for the signed trial. Confirm operating-company debt/equity appetite.</x:v>
      </x:c>
      <x:c r="S363" s="25" t="str">
        <x:v>Public property-buying activity or a directory listing does not establish available cash, investing decision-maker, current $100K-$500K capacity, or willingness to fund 101XVC operating costs.</x:v>
      </x:c>
      <x:c r="T363" s="25" t="str">
        <x:v>Ask the owner/investor whether they can allocate $100K-$500K to trial marketing and acquisitions, and confirm structure, timing and decision authority.</x:v>
      </x:c>
      <x:c r="U363" s="25" t="str">
        <x:v>https://www.cashhomebuyersdirectory.com/cash-home-buyers/north-carolina/asheville</x:v>
      </x:c>
      <x:c r="V363" s="26" t="d">
        <x:v>2026-10-02T00:00:00.000Z</x:v>
      </x:c>
      <x:c r="W363" s="26" t="d">
        <x:v>2026-10-02T00:00:00.000Z</x:v>
      </x:c>
      <x:c r="X363" s="25" t="str">
        <x:v>Public investor directory; business role and contact ownership require qualification</x:v>
      </x:c>
      <x:c r="Y363" s="25"/>
      <x:c r="Z363" s="25" t="str">
        <x:v>https://www.cashhomebuyersdirectory.com/cash-home-buyers/north-carolina/asheville</x:v>
      </x:c>
      <x:c r="AA363" s="25" t="str">
        <x:v>Public cash-home-buyer directory lists business name, phone and market. Directory entry may include brokers or service providers.</x:v>
      </x:c>
      <x:c r="AB363" s="3" t="str">
        <x:v>New public-source collection</x:v>
      </x:c>
      <x:c r="AC363" s="3" t="str">
        <x:v>unverified</x:v>
      </x:c>
      <x:c r="AD363" s="3" t="str">
        <x:v>Not contacted / unconfirmed</x:v>
      </x:c>
      <x:c r="AE363" s="3" t="str">
        <x:v>No</x:v>
      </x:c>
      <x:c r="AF363" s="3" t="str">
        <x:v>No</x:v>
      </x:c>
      <x:c r="AG363" s="3"/>
      <x:c r="AH363" s="3"/>
      <x:c r="AI363" s="18"/>
      <x:c r="AJ363" s="3" t="str">
        <x:v>CF2500-C1ED366FF42B</x:v>
      </x:c>
      <x:c r="AK363" s="3" t="str">
        <x:v>Property investor / home-buying operator prospect</x:v>
      </x:c>
      <x:c r="AL363" s="19" t="n">
        <x:v>100000</x:v>
      </x:c>
      <x:c r="AM363" s="19" t="n">
        <x:v>500000</x:v>
      </x:c>
      <x:c r="AN363" s="3" t="str">
        <x:v>https://www.cashhomebuyersdirectory.com/cash-home-buyers/north-carolina/asheville</x:v>
      </x:c>
      <x:c r="AO363" s="3" t="str">
        <x:v>nc_il_az_co_investors.jsonl</x:v>
      </x:c>
      <x:c r="AP363" s="19"/>
    </x:row>
    <x:row r="364" ht="36" customHeight="1">
      <x:c r="A364" s="23" t="n">
        <x:v>363</x:v>
      </x:c>
      <x:c r="B364" s="15" t="str">
        <x:v>Sell My House Fast SA TX</x:v>
      </x:c>
      <x:c r="C364" s="15"/>
      <x:c r="D364" s="15" t="str">
        <x:v>Property investor / home-buying operator</x:v>
      </x:c>
      <x:c r="E364" s="15" t="str">
        <x:v>Property investor / operator inquiry</x:v>
      </x:c>
      <x:c r="F364" s="17" t="str">
        <x:v>New</x:v>
      </x:c>
      <x:c r="G364" s="24"/>
      <x:c r="H364" s="24" t="str">
        <x:v>+12109510143</x:v>
      </x:c>
      <x:c r="I364" s="24" t="str">
        <x:v>https://www.sellmyhousefastsatx.com/</x:v>
      </x:c>
      <x:c r="J364" s="16" t="str">
        <x:v>TX</x:v>
      </x:c>
      <x:c r="K364" s="16" t="str">
        <x:v>San Antonio</x:v>
      </x:c>
      <x:c r="L364" s="16" t="str">
        <x:v>Public property-business route; investor decision maker unconfirmed</x:v>
      </x:c>
      <x:c r="M364" s="16" t="str">
        <x:v>https://www.sellmyhousefastsatx.com/</x:v>
      </x:c>
      <x:c r="N364" s="16" t="str">
        <x:v>$100K-$500K ticket not published / unconfirmed</x:v>
      </x:c>
      <x:c r="O364" s="20"/>
      <x:c r="P364" s="20"/>
      <x:c r="Q364" s="25" t="str">
        <x:v>No $100K-$500K corporate-investment ticket published in checked source</x:v>
      </x:c>
      <x:c r="R364" s="25" t="str">
        <x:v>Property acquisition or investor activity makes this an operator-capital prospect for the signed trial. Confirm operating-company debt/equity appetite.</x:v>
      </x:c>
      <x:c r="S364" s="25" t="str">
        <x:v>Home-buying activity does not verify ability or willingness to invest $100K-$500K into 101XVC operating company. Website and contact verification pending.</x:v>
      </x:c>
      <x:c r="T364" s="25" t="str">
        <x:v>Ask the owner/investor whether they can allocate $100K-$500K to trial marketing and acquisitions, and confirm structure, timing and decision authority.</x:v>
      </x:c>
      <x:c r="U364" s="25" t="str">
        <x:v>https://www.cashhomebuyersdirectory.com/cash-home-buyers/texas/san-antonio</x:v>
      </x:c>
      <x:c r="V364" s="26" t="d">
        <x:v>2026-10-02T00:00:00.000Z</x:v>
      </x:c>
      <x:c r="W364" s="26" t="d">
        <x:v>2026-10-03T00:00:00.000Z</x:v>
      </x:c>
      <x:c r="X364" s="25" t="str">
        <x:v>Public investor directory; business role and contact ownership require qualification</x:v>
      </x:c>
      <x:c r="Y364" s="25"/>
      <x:c r="Z364" s="25" t="str">
        <x:v>https://www.cashhomebuyersdirectory.com/cash-home-buyers/texas/san-antonio</x:v>
      </x:c>
      <x:c r="AA364" s="25" t="str">
        <x:v>Public cash-home-buyer directory lists business name, phone and market. Directory entry may include brokers or service providers.</x:v>
      </x:c>
      <x:c r="AB364" s="3" t="str">
        <x:v>New public-source collection</x:v>
      </x:c>
      <x:c r="AC364" s="3" t="str">
        <x:v>unverified</x:v>
      </x:c>
      <x:c r="AD364" s="3" t="str">
        <x:v>Not contacted / unconfirmed</x:v>
      </x:c>
      <x:c r="AE364" s="3" t="str">
        <x:v>No</x:v>
      </x:c>
      <x:c r="AF364" s="3" t="str">
        <x:v>No</x:v>
      </x:c>
      <x:c r="AG364" s="3"/>
      <x:c r="AH364" s="3"/>
      <x:c r="AI364" s="18"/>
      <x:c r="AJ364" s="3" t="str">
        <x:v>CF2500-A1E21F11B216</x:v>
      </x:c>
      <x:c r="AK364" s="3" t="str">
        <x:v>Property investor / home-buying operator prospect</x:v>
      </x:c>
      <x:c r="AL364" s="19" t="n">
        <x:v>100000</x:v>
      </x:c>
      <x:c r="AM364" s="19" t="n">
        <x:v>500000</x:v>
      </x:c>
      <x:c r="AN364" s="3" t="str">
        <x:v>https://www.cashhomebuyersdirectory.com/cash-home-buyers/texas/san-antonio</x:v>
      </x:c>
      <x:c r="AO364" s="3" t="str">
        <x:v>tx_fl_investors.jsonl</x:v>
      </x:c>
      <x:c r="AP364" s="19"/>
    </x:row>
    <x:row r="365" ht="36" customHeight="1">
      <x:c r="A365" s="23" t="n">
        <x:v>364</x:v>
      </x:c>
      <x:c r="B365" s="15" t="str">
        <x:v>Sell My House Fast - San Antonio Cash Home Buyers</x:v>
      </x:c>
      <x:c r="C365" s="15"/>
      <x:c r="D365" s="15" t="str">
        <x:v>Property investor / home-buying operator</x:v>
      </x:c>
      <x:c r="E365" s="15" t="str">
        <x:v>Property investor / operator inquiry</x:v>
      </x:c>
      <x:c r="F365" s="17" t="str">
        <x:v>New</x:v>
      </x:c>
      <x:c r="G365" s="24"/>
      <x:c r="H365" s="24" t="str">
        <x:v>+12109206683</x:v>
      </x:c>
      <x:c r="I365" s="24" t="str">
        <x:v>https://sellmyhousefast-sanantonio.com/</x:v>
      </x:c>
      <x:c r="J365" s="16" t="str">
        <x:v>TX</x:v>
      </x:c>
      <x:c r="K365" s="16" t="str">
        <x:v>San Antonio</x:v>
      </x:c>
      <x:c r="L365" s="16" t="str">
        <x:v>Public property-business route; investor decision maker unconfirmed</x:v>
      </x:c>
      <x:c r="M365" s="16" t="str">
        <x:v>https://sellmyhousefast-sanantonio.com/</x:v>
      </x:c>
      <x:c r="N365" s="16" t="str">
        <x:v>$100K-$500K ticket not published / unconfirmed</x:v>
      </x:c>
      <x:c r="O365" s="20"/>
      <x:c r="P365" s="20"/>
      <x:c r="Q365" s="25" t="str">
        <x:v>No $100K-$500K corporate-investment ticket published in checked source</x:v>
      </x:c>
      <x:c r="R365" s="25" t="str">
        <x:v>Property acquisition or investor activity makes this an operator-capital prospect for the signed trial. Confirm operating-company debt/equity appetite.</x:v>
      </x:c>
      <x:c r="S365" s="25" t="str">
        <x:v>Home-buying activity does not verify ability or willingness to invest $100K-$500K into 101XVC operating company. Website and contact verification pending.</x:v>
      </x:c>
      <x:c r="T365" s="25" t="str">
        <x:v>Ask the owner/investor whether they can allocate $100K-$500K to trial marketing and acquisitions, and confirm structure, timing and decision authority.</x:v>
      </x:c>
      <x:c r="U365" s="25" t="str">
        <x:v>https://www.cashhomebuyersdirectory.com/cash-home-buyers/texas/san-antonio</x:v>
      </x:c>
      <x:c r="V365" s="26" t="d">
        <x:v>2026-10-02T00:00:00.000Z</x:v>
      </x:c>
      <x:c r="W365" s="26" t="d">
        <x:v>2026-10-03T00:00:00.000Z</x:v>
      </x:c>
      <x:c r="X365" s="25" t="str">
        <x:v>Public investor directory; business role and contact ownership require qualification</x:v>
      </x:c>
      <x:c r="Y365" s="25"/>
      <x:c r="Z365" s="25" t="str">
        <x:v>https://www.cashhomebuyersdirectory.com/cash-home-buyers/texas/san-antonio</x:v>
      </x:c>
      <x:c r="AA365" s="25" t="str">
        <x:v>Public cash-home-buyer directory lists business name, phone and market. Directory entry may include brokers or service providers.</x:v>
      </x:c>
      <x:c r="AB365" s="3" t="str">
        <x:v>New public-source collection</x:v>
      </x:c>
      <x:c r="AC365" s="3" t="str">
        <x:v>unverified</x:v>
      </x:c>
      <x:c r="AD365" s="3" t="str">
        <x:v>Not contacted / unconfirmed</x:v>
      </x:c>
      <x:c r="AE365" s="3" t="str">
        <x:v>No</x:v>
      </x:c>
      <x:c r="AF365" s="3" t="str">
        <x:v>No</x:v>
      </x:c>
      <x:c r="AG365" s="3"/>
      <x:c r="AH365" s="3"/>
      <x:c r="AI365" s="18"/>
      <x:c r="AJ365" s="3" t="str">
        <x:v>CF2500-F15A23DD893D</x:v>
      </x:c>
      <x:c r="AK365" s="3" t="str">
        <x:v>Property investor / home-buying operator prospect</x:v>
      </x:c>
      <x:c r="AL365" s="19" t="n">
        <x:v>100000</x:v>
      </x:c>
      <x:c r="AM365" s="19" t="n">
        <x:v>500000</x:v>
      </x:c>
      <x:c r="AN365" s="3" t="str">
        <x:v>https://www.cashhomebuyersdirectory.com/cash-home-buyers/texas/san-antonio</x:v>
      </x:c>
      <x:c r="AO365" s="3" t="str">
        <x:v>tx_fl_investors.jsonl</x:v>
      </x:c>
      <x:c r="AP365" s="19"/>
    </x:row>
    <x:row r="366" ht="36" customHeight="1">
      <x:c r="A366" s="23" t="n">
        <x:v>365</x:v>
      </x:c>
      <x:c r="B366" s="15" t="str">
        <x:v>Sell My House Fast St Louis | As Is Cash Home Buyers Edwardsville</x:v>
      </x:c>
      <x:c r="C366" s="15"/>
      <x:c r="D366" s="15" t="str">
        <x:v>Property investor / home-buying operator</x:v>
      </x:c>
      <x:c r="E366" s="15" t="str">
        <x:v>Property investor / operator inquiry</x:v>
      </x:c>
      <x:c r="F366" s="17" t="str">
        <x:v>New</x:v>
      </x:c>
      <x:c r="G366" s="24"/>
      <x:c r="H366" s="24" t="str">
        <x:v>+16182484199</x:v>
      </x:c>
      <x:c r="I366" s="24" t="str">
        <x:v>https://sellmyhousefaststlmo.com/as-is-cash-home-buyers-edwardsville-illinois/</x:v>
      </x:c>
      <x:c r="J366" s="16" t="str">
        <x:v>IL</x:v>
      </x:c>
      <x:c r="K366" s="16" t="str">
        <x:v>Edwardsville</x:v>
      </x:c>
      <x:c r="L366" s="16" t="str">
        <x:v>Public property-business route; investor decision maker unconfirmed</x:v>
      </x:c>
      <x:c r="M366" s="16" t="str">
        <x:v>https://sellmyhousefaststlmo.com/as-is-cash-home-buyers-edwardsville-illinois/</x:v>
      </x:c>
      <x:c r="N366" s="16" t="str">
        <x:v>$100K-$500K ticket not published / unconfirmed</x:v>
      </x:c>
      <x:c r="O366" s="20"/>
      <x:c r="P366" s="20"/>
      <x:c r="Q366" s="25" t="str">
        <x:v>No $100K-$500K operating-company investment ticket verified</x:v>
      </x:c>
      <x:c r="R366" s="25" t="str">
        <x:v>Property acquisition or investor activity makes this an operator-capital prospect for the signed trial. Confirm operating-company debt/equity appetite.</x:v>
      </x:c>
      <x:c r="S366" s="25" t="str">
        <x:v>Public property-buying activity or a directory listing does not establish available cash, investing decision-maker, current $100K-$500K capacity, or willingness to fund 101XVC operating costs.</x:v>
      </x:c>
      <x:c r="T366" s="25" t="str">
        <x:v>Ask the owner/investor whether they can allocate $100K-$500K to trial marketing and acquisitions, and confirm structure, timing and decision authority.</x:v>
      </x:c>
      <x:c r="U366" s="25" t="str">
        <x:v>https://www.cashhomebuyersdirectory.com/cash-home-buyers/illinois/edwardsville</x:v>
      </x:c>
      <x:c r="V366" s="26" t="d">
        <x:v>2026-10-02T00:00:00.000Z</x:v>
      </x:c>
      <x:c r="W366" s="26" t="d">
        <x:v>2026-10-02T00:00:00.000Z</x:v>
      </x:c>
      <x:c r="X366" s="25" t="str">
        <x:v>Public investor directory; business role and contact ownership require qualification</x:v>
      </x:c>
      <x:c r="Y366" s="25"/>
      <x:c r="Z366" s="25" t="str">
        <x:v>https://www.cashhomebuyersdirectory.com/cash-home-buyers/illinois/edwardsville</x:v>
      </x:c>
      <x:c r="AA366" s="25" t="str">
        <x:v>Public cash-home-buyer directory lists business name, phone and market. Directory entry may include brokers or service providers.</x:v>
      </x:c>
      <x:c r="AB366" s="3" t="str">
        <x:v>New public-source collection</x:v>
      </x:c>
      <x:c r="AC366" s="3" t="str">
        <x:v>unverified</x:v>
      </x:c>
      <x:c r="AD366" s="3" t="str">
        <x:v>Not contacted / unconfirmed</x:v>
      </x:c>
      <x:c r="AE366" s="3" t="str">
        <x:v>No</x:v>
      </x:c>
      <x:c r="AF366" s="3" t="str">
        <x:v>No</x:v>
      </x:c>
      <x:c r="AG366" s="3"/>
      <x:c r="AH366" s="3"/>
      <x:c r="AI366" s="18"/>
      <x:c r="AJ366" s="3" t="str">
        <x:v>CF2500-15BE6FB464C3</x:v>
      </x:c>
      <x:c r="AK366" s="3" t="str">
        <x:v>Property investor / home-buying operator prospect</x:v>
      </x:c>
      <x:c r="AL366" s="19" t="n">
        <x:v>100000</x:v>
      </x:c>
      <x:c r="AM366" s="19" t="n">
        <x:v>500000</x:v>
      </x:c>
      <x:c r="AN366" s="3" t="str">
        <x:v>https://www.cashhomebuyersdirectory.com/cash-home-buyers/illinois/edwardsville</x:v>
      </x:c>
      <x:c r="AO366" s="3" t="str">
        <x:v>nc_il_az_co_investors.jsonl</x:v>
      </x:c>
      <x:c r="AP366" s="19"/>
    </x:row>
    <x:row r="367" ht="36" customHeight="1">
      <x:c r="A367" s="23" t="n">
        <x:v>366</x:v>
      </x:c>
      <x:c r="B367" s="15" t="str">
        <x:v>Sell My House Fast Tampa | As Is Cash Home Buyers</x:v>
      </x:c>
      <x:c r="C367" s="15"/>
      <x:c r="D367" s="15" t="str">
        <x:v>Property investor / home-buying operator</x:v>
      </x:c>
      <x:c r="E367" s="15" t="str">
        <x:v>Property investor / operator inquiry</x:v>
      </x:c>
      <x:c r="F367" s="17" t="str">
        <x:v>New</x:v>
      </x:c>
      <x:c r="G367" s="24"/>
      <x:c r="H367" s="24" t="str">
        <x:v>+18138963469</x:v>
      </x:c>
      <x:c r="I367" s="24" t="str">
        <x:v>https://sellmyhousefasttampafl.com/</x:v>
      </x:c>
      <x:c r="J367" s="16" t="str">
        <x:v>FL</x:v>
      </x:c>
      <x:c r="K367" s="16" t="str">
        <x:v>Tampa</x:v>
      </x:c>
      <x:c r="L367" s="16" t="str">
        <x:v>Public property-business route; investor decision maker unconfirmed</x:v>
      </x:c>
      <x:c r="M367" s="16" t="str">
        <x:v>https://sellmyhousefasttampafl.com/</x:v>
      </x:c>
      <x:c r="N367" s="16" t="str">
        <x:v>$100K-$500K ticket not published / unconfirmed</x:v>
      </x:c>
      <x:c r="O367" s="20"/>
      <x:c r="P367" s="20"/>
      <x:c r="Q367" s="25" t="str">
        <x:v>No $100K-$500K corporate-investment ticket published in checked source</x:v>
      </x:c>
      <x:c r="R367" s="25" t="str">
        <x:v>Property acquisition or investor activity makes this an operator-capital prospect for the signed trial. Confirm operating-company debt/equity appetite.</x:v>
      </x:c>
      <x:c r="S367" s="25" t="str">
        <x:v>Home-buying activity does not verify ability or willingness to invest $100K-$500K into 101XVC operating company. Website and contact verification pending.</x:v>
      </x:c>
      <x:c r="T367" s="25" t="str">
        <x:v>Ask the owner/investor whether they can allocate $100K-$500K to trial marketing and acquisitions, and confirm structure, timing and decision authority.</x:v>
      </x:c>
      <x:c r="U367" s="25" t="str">
        <x:v>https://www.cashhomebuyersdirectory.com/cash-home-buyers/florida/tampa</x:v>
      </x:c>
      <x:c r="V367" s="26" t="d">
        <x:v>2026-10-02T00:00:00.000Z</x:v>
      </x:c>
      <x:c r="W367" s="26" t="d">
        <x:v>2026-10-03T00:00:00.000Z</x:v>
      </x:c>
      <x:c r="X367" s="25" t="str">
        <x:v>Public investor directory; business role and contact ownership require qualification</x:v>
      </x:c>
      <x:c r="Y367" s="25"/>
      <x:c r="Z367" s="25" t="str">
        <x:v>https://www.cashhomebuyersdirectory.com/cash-home-buyers/florida/tampa</x:v>
      </x:c>
      <x:c r="AA367" s="25" t="str">
        <x:v>Public cash-home-buyer directory lists business name, phone and market. Directory entry may include brokers or service providers.</x:v>
      </x:c>
      <x:c r="AB367" s="3" t="str">
        <x:v>New public-source collection</x:v>
      </x:c>
      <x:c r="AC367" s="3" t="str">
        <x:v>unverified</x:v>
      </x:c>
      <x:c r="AD367" s="3" t="str">
        <x:v>Not contacted / unconfirmed</x:v>
      </x:c>
      <x:c r="AE367" s="3" t="str">
        <x:v>No</x:v>
      </x:c>
      <x:c r="AF367" s="3" t="str">
        <x:v>No</x:v>
      </x:c>
      <x:c r="AG367" s="3"/>
      <x:c r="AH367" s="3"/>
      <x:c r="AI367" s="18"/>
      <x:c r="AJ367" s="3" t="str">
        <x:v>CF2500-B07C6982234B</x:v>
      </x:c>
      <x:c r="AK367" s="3" t="str">
        <x:v>Property investor / home-buying operator prospect</x:v>
      </x:c>
      <x:c r="AL367" s="19" t="n">
        <x:v>100000</x:v>
      </x:c>
      <x:c r="AM367" s="19" t="n">
        <x:v>500000</x:v>
      </x:c>
      <x:c r="AN367" s="3" t="str">
        <x:v>https://www.cashhomebuyersdirectory.com/cash-home-buyers/florida/tampa</x:v>
      </x:c>
      <x:c r="AO367" s="3" t="str">
        <x:v>tx_fl_investors.jsonl</x:v>
      </x:c>
      <x:c r="AP367" s="19"/>
    </x:row>
    <x:row r="368" ht="36" customHeight="1">
      <x:c r="A368" s="23" t="n">
        <x:v>367</x:v>
      </x:c>
      <x:c r="B368" s="15" t="str">
        <x:v>Sell My House Fast Wilmington NC</x:v>
      </x:c>
      <x:c r="C368" s="15"/>
      <x:c r="D368" s="15" t="str">
        <x:v>Property investor / home-buying operator</x:v>
      </x:c>
      <x:c r="E368" s="15" t="str">
        <x:v>Property investor / operator inquiry</x:v>
      </x:c>
      <x:c r="F368" s="17" t="str">
        <x:v>New</x:v>
      </x:c>
      <x:c r="G368" s="24"/>
      <x:c r="H368" s="24" t="str">
        <x:v>+19103675722</x:v>
      </x:c>
      <x:c r="I368" s="24" t="str">
        <x:v>https://www.letssellitnow.com/</x:v>
      </x:c>
      <x:c r="J368" s="16" t="str">
        <x:v>NC</x:v>
      </x:c>
      <x:c r="K368" s="16"/>
      <x:c r="L368" s="16" t="str">
        <x:v>Public property-business route; investor decision maker unconfirmed</x:v>
      </x:c>
      <x:c r="M368" s="16" t="str">
        <x:v>https://www.letssellitnow.com/</x:v>
      </x:c>
      <x:c r="N368" s="16" t="str">
        <x:v>$100K-$500K ticket not published / unconfirmed</x:v>
      </x:c>
      <x:c r="O368" s="20"/>
      <x:c r="P368" s="20"/>
      <x:c r="Q368" s="25" t="str">
        <x:v>No $100K-$500K operating-company investment ticket verified</x:v>
      </x:c>
      <x:c r="R368" s="25" t="str">
        <x:v>Property acquisition or investor activity makes this an operator-capital prospect for the signed trial. Confirm operating-company debt/equity appetite.</x:v>
      </x:c>
      <x:c r="S368" s="25" t="str">
        <x:v>Public property-buying activity or a directory listing does not establish available cash, investing decision-maker, current $100K-$500K capacity, or willingness to fund 101XVC operating costs.</x:v>
      </x:c>
      <x:c r="T368" s="25" t="str">
        <x:v>Ask the owner/investor whether they can allocate $100K-$500K to trial marketing and acquisitions, and confirm structure, timing and decision authority.</x:v>
      </x:c>
      <x:c r="U368" s="25" t="str">
        <x:v>https://www.cashhomebuyersdirectory.com/cash-home-buyers/north-carolina/wilmington</x:v>
      </x:c>
      <x:c r="V368" s="26" t="d">
        <x:v>2026-10-02T00:00:00.000Z</x:v>
      </x:c>
      <x:c r="W368" s="26" t="d">
        <x:v>2026-10-02T00:00:00.000Z</x:v>
      </x:c>
      <x:c r="X368" s="25" t="str">
        <x:v>Public investor directory; business role and contact ownership require qualification</x:v>
      </x:c>
      <x:c r="Y368" s="25"/>
      <x:c r="Z368" s="25" t="str">
        <x:v>https://www.cashhomebuyersdirectory.com/cash-home-buyers/north-carolina/wilmington</x:v>
      </x:c>
      <x:c r="AA368" s="25" t="str">
        <x:v>Public cash-home-buyer directory lists business name, phone and market. Directory entry may include brokers or service providers.</x:v>
      </x:c>
      <x:c r="AB368" s="3" t="str">
        <x:v>New public-source collection</x:v>
      </x:c>
      <x:c r="AC368" s="3" t="str">
        <x:v>unverified</x:v>
      </x:c>
      <x:c r="AD368" s="3" t="str">
        <x:v>Not contacted / unconfirmed</x:v>
      </x:c>
      <x:c r="AE368" s="3" t="str">
        <x:v>No</x:v>
      </x:c>
      <x:c r="AF368" s="3" t="str">
        <x:v>No</x:v>
      </x:c>
      <x:c r="AG368" s="3"/>
      <x:c r="AH368" s="3"/>
      <x:c r="AI368" s="18"/>
      <x:c r="AJ368" s="3" t="str">
        <x:v>CF2500-98F4BCD16ADB</x:v>
      </x:c>
      <x:c r="AK368" s="3" t="str">
        <x:v>Property investor / home-buying operator prospect</x:v>
      </x:c>
      <x:c r="AL368" s="19" t="n">
        <x:v>100000</x:v>
      </x:c>
      <x:c r="AM368" s="19" t="n">
        <x:v>500000</x:v>
      </x:c>
      <x:c r="AN368" s="3" t="str">
        <x:v>https://www.cashhomebuyersdirectory.com/cash-home-buyers/north-carolina/wilmington</x:v>
      </x:c>
      <x:c r="AO368" s="3" t="str">
        <x:v>nc_il_az_co_investors.jsonl</x:v>
      </x:c>
      <x:c r="AP368" s="19"/>
    </x:row>
    <x:row r="369" ht="36" customHeight="1">
      <x:c r="A369" s="23" t="n">
        <x:v>368</x:v>
      </x:c>
      <x:c r="B369" s="15" t="str">
        <x:v>Sell My House For Cash - Fort Worth</x:v>
      </x:c>
      <x:c r="C369" s="15"/>
      <x:c r="D369" s="15" t="str">
        <x:v>Property investor / home-buying operator</x:v>
      </x:c>
      <x:c r="E369" s="15" t="str">
        <x:v>Property investor / operator inquiry</x:v>
      </x:c>
      <x:c r="F369" s="17" t="str">
        <x:v>New</x:v>
      </x:c>
      <x:c r="G369" s="24"/>
      <x:c r="H369" s="24" t="str">
        <x:v>+18178139056</x:v>
      </x:c>
      <x:c r="I369" s="24" t="str">
        <x:v>https://www.sellmyhouseforcashfortworth.com/i/9Tjt/</x:v>
      </x:c>
      <x:c r="J369" s="16" t="str">
        <x:v>TX</x:v>
      </x:c>
      <x:c r="K369" s="16" t="str">
        <x:v>Fort Worth</x:v>
      </x:c>
      <x:c r="L369" s="16" t="str">
        <x:v>Public property-business route; investor decision maker unconfirmed</x:v>
      </x:c>
      <x:c r="M369" s="16" t="str">
        <x:v>https://www.sellmyhouseforcashfortworth.com/i/9Tjt/</x:v>
      </x:c>
      <x:c r="N369" s="16" t="str">
        <x:v>$100K-$500K ticket not published / unconfirmed</x:v>
      </x:c>
      <x:c r="O369" s="20"/>
      <x:c r="P369" s="20"/>
      <x:c r="Q369" s="25" t="str">
        <x:v>No $100K-$500K corporate-investment ticket published in checked source</x:v>
      </x:c>
      <x:c r="R369" s="25" t="str">
        <x:v>Property acquisition or investor activity makes this an operator-capital prospect for the signed trial. Confirm operating-company debt/equity appetite.</x:v>
      </x:c>
      <x:c r="S369" s="25" t="str">
        <x:v>Home-buying activity does not verify ability or willingness to invest $100K-$500K into 101XVC operating company. Website and contact verification pending.</x:v>
      </x:c>
      <x:c r="T369" s="25" t="str">
        <x:v>Ask the owner/investor whether they can allocate $100K-$500K to trial marketing and acquisitions, and confirm structure, timing and decision authority.</x:v>
      </x:c>
      <x:c r="U369" s="25" t="str">
        <x:v>https://www.cashhomebuyersdirectory.com/cash-home-buyers/texas/fort-worth</x:v>
      </x:c>
      <x:c r="V369" s="26" t="d">
        <x:v>2026-10-02T00:00:00.000Z</x:v>
      </x:c>
      <x:c r="W369" s="26" t="d">
        <x:v>2026-10-03T00:00:00.000Z</x:v>
      </x:c>
      <x:c r="X369" s="25" t="str">
        <x:v>Public investor directory; business role and contact ownership require qualification</x:v>
      </x:c>
      <x:c r="Y369" s="25"/>
      <x:c r="Z369" s="25" t="str">
        <x:v>https://www.cashhomebuyersdirectory.com/cash-home-buyers/texas/fort-worth</x:v>
      </x:c>
      <x:c r="AA369" s="25" t="str">
        <x:v>Public cash-home-buyer directory lists business name, phone and market. Directory entry may include brokers or service providers.</x:v>
      </x:c>
      <x:c r="AB369" s="3" t="str">
        <x:v>New public-source collection</x:v>
      </x:c>
      <x:c r="AC369" s="3" t="str">
        <x:v>unverified</x:v>
      </x:c>
      <x:c r="AD369" s="3" t="str">
        <x:v>Not contacted / unconfirmed</x:v>
      </x:c>
      <x:c r="AE369" s="3" t="str">
        <x:v>No</x:v>
      </x:c>
      <x:c r="AF369" s="3" t="str">
        <x:v>No</x:v>
      </x:c>
      <x:c r="AG369" s="3"/>
      <x:c r="AH369" s="3"/>
      <x:c r="AI369" s="18"/>
      <x:c r="AJ369" s="3" t="str">
        <x:v>CF2500-54583339CADD</x:v>
      </x:c>
      <x:c r="AK369" s="3" t="str">
        <x:v>Property investor / home-buying operator prospect</x:v>
      </x:c>
      <x:c r="AL369" s="19" t="n">
        <x:v>100000</x:v>
      </x:c>
      <x:c r="AM369" s="19" t="n">
        <x:v>500000</x:v>
      </x:c>
      <x:c r="AN369" s="3" t="str">
        <x:v>https://www.cashhomebuyersdirectory.com/cash-home-buyers/texas/fort-worth</x:v>
      </x:c>
      <x:c r="AO369" s="3" t="str">
        <x:v>tx_fl_investors.jsonl</x:v>
      </x:c>
      <x:c r="AP369" s="19"/>
    </x:row>
    <x:row r="370" ht="36" customHeight="1">
      <x:c r="A370" s="23" t="n">
        <x:v>369</x:v>
      </x:c>
      <x:c r="B370" s="15" t="str">
        <x:v>Sell My House Jacksonville</x:v>
      </x:c>
      <x:c r="C370" s="15"/>
      <x:c r="D370" s="15" t="str">
        <x:v>Property investor / home-buying operator</x:v>
      </x:c>
      <x:c r="E370" s="15" t="str">
        <x:v>Property investor / operator inquiry</x:v>
      </x:c>
      <x:c r="F370" s="17" t="str">
        <x:v>New</x:v>
      </x:c>
      <x:c r="G370" s="24"/>
      <x:c r="H370" s="24" t="str">
        <x:v>+19047737355</x:v>
      </x:c>
      <x:c r="I370" s="24" t="str">
        <x:v>https://sellmyhousejacksonville.com/?utm_source=gbp</x:v>
      </x:c>
      <x:c r="J370" s="16" t="str">
        <x:v>FL</x:v>
      </x:c>
      <x:c r="K370" s="16" t="str">
        <x:v>Jacksonville</x:v>
      </x:c>
      <x:c r="L370" s="16" t="str">
        <x:v>Public property-business route; investor decision maker unconfirmed</x:v>
      </x:c>
      <x:c r="M370" s="16" t="str">
        <x:v>https://sellmyhousejacksonville.com/?utm_source=gbp</x:v>
      </x:c>
      <x:c r="N370" s="16" t="str">
        <x:v>$100K-$500K ticket not published / unconfirmed</x:v>
      </x:c>
      <x:c r="O370" s="20"/>
      <x:c r="P370" s="20"/>
      <x:c r="Q370" s="25" t="str">
        <x:v>No $100K-$500K corporate-investment ticket published in checked source</x:v>
      </x:c>
      <x:c r="R370" s="25" t="str">
        <x:v>Property acquisition or investor activity makes this an operator-capital prospect for the signed trial. Confirm operating-company debt/equity appetite.</x:v>
      </x:c>
      <x:c r="S370" s="25" t="str">
        <x:v>Home-buying activity does not verify ability or willingness to invest $100K-$500K into 101XVC operating company. Website and contact verification pending.</x:v>
      </x:c>
      <x:c r="T370" s="25" t="str">
        <x:v>Ask the owner/investor whether they can allocate $100K-$500K to trial marketing and acquisitions, and confirm structure, timing and decision authority.</x:v>
      </x:c>
      <x:c r="U370" s="25" t="str">
        <x:v>https://www.cashhomebuyersdirectory.com/cash-home-buyers/florida/jacksonville</x:v>
      </x:c>
      <x:c r="V370" s="26" t="d">
        <x:v>2026-10-02T00:00:00.000Z</x:v>
      </x:c>
      <x:c r="W370" s="26" t="d">
        <x:v>2026-10-03T00:00:00.000Z</x:v>
      </x:c>
      <x:c r="X370" s="25" t="str">
        <x:v>Public investor directory; business role and contact ownership require qualification</x:v>
      </x:c>
      <x:c r="Y370" s="25"/>
      <x:c r="Z370" s="25" t="str">
        <x:v>https://www.cashhomebuyersdirectory.com/cash-home-buyers/florida/jacksonville</x:v>
      </x:c>
      <x:c r="AA370" s="25" t="str">
        <x:v>Public cash-home-buyer directory lists business name, phone and market. Directory entry may include brokers or service providers.</x:v>
      </x:c>
      <x:c r="AB370" s="3" t="str">
        <x:v>New public-source collection</x:v>
      </x:c>
      <x:c r="AC370" s="3" t="str">
        <x:v>unverified</x:v>
      </x:c>
      <x:c r="AD370" s="3" t="str">
        <x:v>Not contacted / unconfirmed</x:v>
      </x:c>
      <x:c r="AE370" s="3" t="str">
        <x:v>No</x:v>
      </x:c>
      <x:c r="AF370" s="3" t="str">
        <x:v>No</x:v>
      </x:c>
      <x:c r="AG370" s="3"/>
      <x:c r="AH370" s="3"/>
      <x:c r="AI370" s="18"/>
      <x:c r="AJ370" s="3" t="str">
        <x:v>CF2500-A6B0BA93E446</x:v>
      </x:c>
      <x:c r="AK370" s="3" t="str">
        <x:v>Property investor / home-buying operator prospect</x:v>
      </x:c>
      <x:c r="AL370" s="19" t="n">
        <x:v>100000</x:v>
      </x:c>
      <x:c r="AM370" s="19" t="n">
        <x:v>500000</x:v>
      </x:c>
      <x:c r="AN370" s="3" t="str">
        <x:v>https://www.cashhomebuyersdirectory.com/cash-home-buyers/florida/jacksonville</x:v>
      </x:c>
      <x:c r="AO370" s="3" t="str">
        <x:v>tx_fl_investors.jsonl</x:v>
      </x:c>
      <x:c r="AP370" s="19"/>
    </x:row>
    <x:row r="371" ht="36" customHeight="1">
      <x:c r="A371" s="23" t="n">
        <x:v>370</x:v>
      </x:c>
      <x:c r="B371" s="15" t="str">
        <x:v>Sell My House Mesa</x:v>
      </x:c>
      <x:c r="C371" s="15"/>
      <x:c r="D371" s="15" t="str">
        <x:v>Property investor / home-buying operator</x:v>
      </x:c>
      <x:c r="E371" s="15" t="str">
        <x:v>Property investor / operator inquiry</x:v>
      </x:c>
      <x:c r="F371" s="17" t="str">
        <x:v>New</x:v>
      </x:c>
      <x:c r="G371" s="24"/>
      <x:c r="H371" s="24" t="str">
        <x:v>+14809062599</x:v>
      </x:c>
      <x:c r="I371" s="24" t="str">
        <x:v>https://www.sellmyhousemesa.com/?utm_source=google&amp;utm_medium=organic&amp;utm_campaign=gmb&amp;utm_content=listing</x:v>
      </x:c>
      <x:c r="J371" s="16" t="str">
        <x:v>AZ</x:v>
      </x:c>
      <x:c r="K371" s="16"/>
      <x:c r="L371" s="16" t="str">
        <x:v>Public property-business route; investor decision maker unconfirmed</x:v>
      </x:c>
      <x:c r="M371" s="16" t="str">
        <x:v>https://www.sellmyhousemesa.com/?utm_source=google&amp;utm_medium=organic&amp;utm_campaign=gmb&amp;utm_content=listing</x:v>
      </x:c>
      <x:c r="N371" s="16" t="str">
        <x:v>$100K-$500K ticket not published / unconfirmed</x:v>
      </x:c>
      <x:c r="O371" s="20"/>
      <x:c r="P371" s="20"/>
      <x:c r="Q371" s="25" t="str">
        <x:v>No $100K-$500K operating-company investment ticket verified</x:v>
      </x:c>
      <x:c r="R371" s="25" t="str">
        <x:v>Property acquisition or investor activity makes this an operator-capital prospect for the signed trial. Confirm operating-company debt/equity appetite.</x:v>
      </x:c>
      <x:c r="S371" s="25" t="str">
        <x:v>Public property-buying activity or a directory listing does not establish available cash, investing decision-maker, current $100K-$500K capacity, or willingness to fund 101XVC operating costs.</x:v>
      </x:c>
      <x:c r="T371" s="25" t="str">
        <x:v>Ask the owner/investor whether they can allocate $100K-$500K to trial marketing and acquisitions, and confirm structure, timing and decision authority.</x:v>
      </x:c>
      <x:c r="U371" s="25" t="str">
        <x:v>https://www.cashhomebuyersdirectory.com/cash-home-buyers/arizona/mesa</x:v>
      </x:c>
      <x:c r="V371" s="26" t="d">
        <x:v>2026-10-02T00:00:00.000Z</x:v>
      </x:c>
      <x:c r="W371" s="26" t="d">
        <x:v>2026-10-02T00:00:00.000Z</x:v>
      </x:c>
      <x:c r="X371" s="25" t="str">
        <x:v>Public investor directory; business role and contact ownership require qualification</x:v>
      </x:c>
      <x:c r="Y371" s="25"/>
      <x:c r="Z371" s="25" t="str">
        <x:v>https://www.cashhomebuyersdirectory.com/cash-home-buyers/arizona/mesa</x:v>
      </x:c>
      <x:c r="AA371" s="25" t="str">
        <x:v>Public cash-home-buyer directory lists business name, phone and market. Directory entry may include brokers or service providers.</x:v>
      </x:c>
      <x:c r="AB371" s="3" t="str">
        <x:v>New public-source collection</x:v>
      </x:c>
      <x:c r="AC371" s="3" t="str">
        <x:v>unverified</x:v>
      </x:c>
      <x:c r="AD371" s="3" t="str">
        <x:v>Not contacted / unconfirmed</x:v>
      </x:c>
      <x:c r="AE371" s="3" t="str">
        <x:v>No</x:v>
      </x:c>
      <x:c r="AF371" s="3" t="str">
        <x:v>No</x:v>
      </x:c>
      <x:c r="AG371" s="3"/>
      <x:c r="AH371" s="3"/>
      <x:c r="AI371" s="18"/>
      <x:c r="AJ371" s="3" t="str">
        <x:v>CF2500-860077A18668</x:v>
      </x:c>
      <x:c r="AK371" s="3" t="str">
        <x:v>Property investor / home-buying operator prospect</x:v>
      </x:c>
      <x:c r="AL371" s="19" t="n">
        <x:v>100000</x:v>
      </x:c>
      <x:c r="AM371" s="19" t="n">
        <x:v>500000</x:v>
      </x:c>
      <x:c r="AN371" s="3" t="str">
        <x:v>https://www.cashhomebuyersdirectory.com/cash-home-buyers/arizona/mesa</x:v>
      </x:c>
      <x:c r="AO371" s="3" t="str">
        <x:v>nc_il_az_co_investors.jsonl</x:v>
      </x:c>
      <x:c r="AP371" s="19"/>
    </x:row>
    <x:row r="372" ht="36" customHeight="1">
      <x:c r="A372" s="23" t="n">
        <x:v>371</x:v>
      </x:c>
      <x:c r="B372" s="15" t="str">
        <x:v>Sell My House Orlando / We Buy Houses Orlando / DC Capital Group USA Inc</x:v>
      </x:c>
      <x:c r="C372" s="15"/>
      <x:c r="D372" s="15" t="str">
        <x:v>Property investor / home-buying operator</x:v>
      </x:c>
      <x:c r="E372" s="15" t="str">
        <x:v>Property investor / operator inquiry</x:v>
      </x:c>
      <x:c r="F372" s="17" t="str">
        <x:v>New</x:v>
      </x:c>
      <x:c r="G372" s="24"/>
      <x:c r="H372" s="24" t="str">
        <x:v>+14075952811</x:v>
      </x:c>
      <x:c r="I372" s="24" t="str">
        <x:v>http://www.webuyhousesorlandoflorida.com/</x:v>
      </x:c>
      <x:c r="J372" s="16" t="str">
        <x:v>FL</x:v>
      </x:c>
      <x:c r="K372" s="16" t="str">
        <x:v>Orlando</x:v>
      </x:c>
      <x:c r="L372" s="16" t="str">
        <x:v>Public property-business route; investor decision maker unconfirmed</x:v>
      </x:c>
      <x:c r="M372" s="16" t="str">
        <x:v>http://www.webuyhousesorlandoflorida.com/</x:v>
      </x:c>
      <x:c r="N372" s="16" t="str">
        <x:v>$100K-$500K ticket not published / unconfirmed</x:v>
      </x:c>
      <x:c r="O372" s="20"/>
      <x:c r="P372" s="20"/>
      <x:c r="Q372" s="25" t="str">
        <x:v>No $100K-$500K corporate-investment ticket published in checked source</x:v>
      </x:c>
      <x:c r="R372" s="25" t="str">
        <x:v>Property acquisition or investor activity makes this an operator-capital prospect for the signed trial. Confirm operating-company debt/equity appetite.</x:v>
      </x:c>
      <x:c r="S372" s="25" t="str">
        <x:v>Home-buying activity does not verify ability or willingness to invest $100K-$500K into 101XVC operating company. Website and contact verification pending.</x:v>
      </x:c>
      <x:c r="T372" s="25" t="str">
        <x:v>Ask the owner/investor whether they can allocate $100K-$500K to trial marketing and acquisitions, and confirm structure, timing and decision authority.</x:v>
      </x:c>
      <x:c r="U372" s="25" t="str">
        <x:v>https://www.cashhomebuyersdirectory.com/cash-home-buyers/florida/orlando</x:v>
      </x:c>
      <x:c r="V372" s="26" t="d">
        <x:v>2026-10-02T00:00:00.000Z</x:v>
      </x:c>
      <x:c r="W372" s="26" t="d">
        <x:v>2026-10-03T00:00:00.000Z</x:v>
      </x:c>
      <x:c r="X372" s="25" t="str">
        <x:v>Public investor directory; business role and contact ownership require qualification</x:v>
      </x:c>
      <x:c r="Y372" s="25"/>
      <x:c r="Z372" s="25" t="str">
        <x:v>https://www.cashhomebuyersdirectory.com/cash-home-buyers/florida/orlando</x:v>
      </x:c>
      <x:c r="AA372" s="25" t="str">
        <x:v>Public cash-home-buyer directory lists business name, phone and market. Directory entry may include brokers or service providers.</x:v>
      </x:c>
      <x:c r="AB372" s="3" t="str">
        <x:v>New public-source collection</x:v>
      </x:c>
      <x:c r="AC372" s="3" t="str">
        <x:v>unverified</x:v>
      </x:c>
      <x:c r="AD372" s="3" t="str">
        <x:v>Not contacted / unconfirmed</x:v>
      </x:c>
      <x:c r="AE372" s="3" t="str">
        <x:v>No</x:v>
      </x:c>
      <x:c r="AF372" s="3" t="str">
        <x:v>No</x:v>
      </x:c>
      <x:c r="AG372" s="3"/>
      <x:c r="AH372" s="3"/>
      <x:c r="AI372" s="18"/>
      <x:c r="AJ372" s="3" t="str">
        <x:v>CF2500-09B5256CF9C7</x:v>
      </x:c>
      <x:c r="AK372" s="3" t="str">
        <x:v>Property investor / home-buying operator prospect</x:v>
      </x:c>
      <x:c r="AL372" s="19" t="n">
        <x:v>100000</x:v>
      </x:c>
      <x:c r="AM372" s="19" t="n">
        <x:v>500000</x:v>
      </x:c>
      <x:c r="AN372" s="3" t="str">
        <x:v>https://www.cashhomebuyersdirectory.com/cash-home-buyers/florida/orlando</x:v>
      </x:c>
      <x:c r="AO372" s="3" t="str">
        <x:v>tx_fl_investors.jsonl</x:v>
      </x:c>
      <x:c r="AP372" s="19"/>
    </x:row>
    <x:row r="373" ht="36" customHeight="1">
      <x:c r="A373" s="23" t="n">
        <x:v>372</x:v>
      </x:c>
      <x:c r="B373" s="15" t="str">
        <x:v>Sell My House Sarasota FL</x:v>
      </x:c>
      <x:c r="C373" s="15"/>
      <x:c r="D373" s="15" t="str">
        <x:v>Property investor / home-buying operator</x:v>
      </x:c>
      <x:c r="E373" s="15" t="str">
        <x:v>Property investor / operator inquiry</x:v>
      </x:c>
      <x:c r="F373" s="17" t="str">
        <x:v>New</x:v>
      </x:c>
      <x:c r="G373" s="24"/>
      <x:c r="H373" s="24" t="str">
        <x:v>+19412057765</x:v>
      </x:c>
      <x:c r="I373" s="24" t="str">
        <x:v>https://sellmyhousesarasotafl.com/</x:v>
      </x:c>
      <x:c r="J373" s="16" t="str">
        <x:v>FL</x:v>
      </x:c>
      <x:c r="K373" s="16" t="str">
        <x:v>Sarasota</x:v>
      </x:c>
      <x:c r="L373" s="16" t="str">
        <x:v>Public property-business route; investor decision maker unconfirmed</x:v>
      </x:c>
      <x:c r="M373" s="16" t="str">
        <x:v>https://sellmyhousesarasotafl.com/</x:v>
      </x:c>
      <x:c r="N373" s="16" t="str">
        <x:v>$100K-$500K ticket not published / unconfirmed</x:v>
      </x:c>
      <x:c r="O373" s="20"/>
      <x:c r="P373" s="20"/>
      <x:c r="Q373" s="25" t="str">
        <x:v>No $100K-$500K corporate-investment ticket published in checked source</x:v>
      </x:c>
      <x:c r="R373" s="25" t="str">
        <x:v>Property acquisition or investor activity makes this an operator-capital prospect for the signed trial. Confirm operating-company debt/equity appetite.</x:v>
      </x:c>
      <x:c r="S373" s="25" t="str">
        <x:v>Home-buying activity does not verify ability or willingness to invest $100K-$500K into 101XVC operating company. Website and contact verification pending.</x:v>
      </x:c>
      <x:c r="T373" s="25" t="str">
        <x:v>Ask the owner/investor whether they can allocate $100K-$500K to trial marketing and acquisitions, and confirm structure, timing and decision authority.</x:v>
      </x:c>
      <x:c r="U373" s="25" t="str">
        <x:v>https://www.cashhomebuyersdirectory.com/cash-home-buyers/florida/sarasota</x:v>
      </x:c>
      <x:c r="V373" s="26" t="d">
        <x:v>2026-10-02T00:00:00.000Z</x:v>
      </x:c>
      <x:c r="W373" s="26" t="d">
        <x:v>2026-10-03T00:00:00.000Z</x:v>
      </x:c>
      <x:c r="X373" s="25" t="str">
        <x:v>Public investor directory; business role and contact ownership require qualification</x:v>
      </x:c>
      <x:c r="Y373" s="25"/>
      <x:c r="Z373" s="25" t="str">
        <x:v>https://www.cashhomebuyersdirectory.com/cash-home-buyers/florida/sarasota</x:v>
      </x:c>
      <x:c r="AA373" s="25" t="str">
        <x:v>Public cash-home-buyer directory lists business name, phone and market. Directory entry may include brokers or service providers.</x:v>
      </x:c>
      <x:c r="AB373" s="3" t="str">
        <x:v>New public-source collection</x:v>
      </x:c>
      <x:c r="AC373" s="3" t="str">
        <x:v>unverified</x:v>
      </x:c>
      <x:c r="AD373" s="3" t="str">
        <x:v>Not contacted / unconfirmed</x:v>
      </x:c>
      <x:c r="AE373" s="3" t="str">
        <x:v>No</x:v>
      </x:c>
      <x:c r="AF373" s="3" t="str">
        <x:v>No</x:v>
      </x:c>
      <x:c r="AG373" s="3"/>
      <x:c r="AH373" s="3"/>
      <x:c r="AI373" s="18"/>
      <x:c r="AJ373" s="3" t="str">
        <x:v>CF2500-1A3479A0E2BE</x:v>
      </x:c>
      <x:c r="AK373" s="3" t="str">
        <x:v>Property investor / home-buying operator prospect</x:v>
      </x:c>
      <x:c r="AL373" s="19" t="n">
        <x:v>100000</x:v>
      </x:c>
      <x:c r="AM373" s="19" t="n">
        <x:v>500000</x:v>
      </x:c>
      <x:c r="AN373" s="3" t="str">
        <x:v>https://www.cashhomebuyersdirectory.com/cash-home-buyers/florida/sarasota</x:v>
      </x:c>
      <x:c r="AO373" s="3" t="str">
        <x:v>tx_fl_investors.jsonl</x:v>
      </x:c>
      <x:c r="AP373" s="19"/>
    </x:row>
    <x:row r="374" ht="36" customHeight="1">
      <x:c r="A374" s="23" t="n">
        <x:v>373</x:v>
      </x:c>
      <x:c r="B374" s="15" t="str">
        <x:v>Sell My San Antonio House - Fast Cash Home Buyers - We Buy Houses</x:v>
      </x:c>
      <x:c r="C374" s="15"/>
      <x:c r="D374" s="15" t="str">
        <x:v>Property investor / home-buying operator</x:v>
      </x:c>
      <x:c r="E374" s="15" t="str">
        <x:v>Property investor / operator inquiry</x:v>
      </x:c>
      <x:c r="F374" s="17" t="str">
        <x:v>New</x:v>
      </x:c>
      <x:c r="G374" s="24"/>
      <x:c r="H374" s="24" t="str">
        <x:v>+12102016644</x:v>
      </x:c>
      <x:c r="I374" s="24" t="str">
        <x:v>https://www.sellmysanantoniohouse.com/sell-your-house-fast/</x:v>
      </x:c>
      <x:c r="J374" s="16" t="str">
        <x:v>TX</x:v>
      </x:c>
      <x:c r="K374" s="16" t="str">
        <x:v>San Antonio</x:v>
      </x:c>
      <x:c r="L374" s="16" t="str">
        <x:v>Public property-business route; investor decision maker unconfirmed</x:v>
      </x:c>
      <x:c r="M374" s="16" t="str">
        <x:v>https://www.sellmysanantoniohouse.com/sell-your-house-fast/</x:v>
      </x:c>
      <x:c r="N374" s="16" t="str">
        <x:v>$100K-$500K ticket not published / unconfirmed</x:v>
      </x:c>
      <x:c r="O374" s="20"/>
      <x:c r="P374" s="20"/>
      <x:c r="Q374" s="25" t="str">
        <x:v>No $100K-$500K corporate-investment ticket published in checked source</x:v>
      </x:c>
      <x:c r="R374" s="25" t="str">
        <x:v>Property acquisition or investor activity makes this an operator-capital prospect for the signed trial. Confirm operating-company debt/equity appetite.</x:v>
      </x:c>
      <x:c r="S374" s="25" t="str">
        <x:v>Home-buying activity does not verify ability or willingness to invest $100K-$500K into 101XVC operating company. Website and contact verification pending.</x:v>
      </x:c>
      <x:c r="T374" s="25" t="str">
        <x:v>Ask the owner/investor whether they can allocate $100K-$500K to trial marketing and acquisitions, and confirm structure, timing and decision authority.</x:v>
      </x:c>
      <x:c r="U374" s="25" t="str">
        <x:v>https://www.cashhomebuyersdirectory.com/cash-home-buyers/texas/san-antonio</x:v>
      </x:c>
      <x:c r="V374" s="26" t="d">
        <x:v>2026-10-02T00:00:00.000Z</x:v>
      </x:c>
      <x:c r="W374" s="26" t="d">
        <x:v>2026-10-03T00:00:00.000Z</x:v>
      </x:c>
      <x:c r="X374" s="25" t="str">
        <x:v>Public investor directory; business role and contact ownership require qualification</x:v>
      </x:c>
      <x:c r="Y374" s="25"/>
      <x:c r="Z374" s="25" t="str">
        <x:v>https://www.cashhomebuyersdirectory.com/cash-home-buyers/texas/san-antonio</x:v>
      </x:c>
      <x:c r="AA374" s="25" t="str">
        <x:v>Public cash-home-buyer directory lists business name, phone and market. Directory entry may include brokers or service providers.</x:v>
      </x:c>
      <x:c r="AB374" s="3" t="str">
        <x:v>New public-source collection</x:v>
      </x:c>
      <x:c r="AC374" s="3" t="str">
        <x:v>unverified</x:v>
      </x:c>
      <x:c r="AD374" s="3" t="str">
        <x:v>Not contacted / unconfirmed</x:v>
      </x:c>
      <x:c r="AE374" s="3" t="str">
        <x:v>No</x:v>
      </x:c>
      <x:c r="AF374" s="3" t="str">
        <x:v>No</x:v>
      </x:c>
      <x:c r="AG374" s="3"/>
      <x:c r="AH374" s="3"/>
      <x:c r="AI374" s="18"/>
      <x:c r="AJ374" s="3" t="str">
        <x:v>CF2500-D0D325A7986A</x:v>
      </x:c>
      <x:c r="AK374" s="3" t="str">
        <x:v>Property investor / home-buying operator prospect</x:v>
      </x:c>
      <x:c r="AL374" s="19" t="n">
        <x:v>100000</x:v>
      </x:c>
      <x:c r="AM374" s="19" t="n">
        <x:v>500000</x:v>
      </x:c>
      <x:c r="AN374" s="3" t="str">
        <x:v>https://www.cashhomebuyersdirectory.com/cash-home-buyers/texas/san-antonio</x:v>
      </x:c>
      <x:c r="AO374" s="3" t="str">
        <x:v>tx_fl_investors.jsonl</x:v>
      </x:c>
      <x:c r="AP374" s="19"/>
    </x:row>
    <x:row r="375" ht="36" customHeight="1">
      <x:c r="A375" s="23" t="n">
        <x:v>374</x:v>
      </x:c>
      <x:c r="B375" s="15" t="str">
        <x:v>Sell To JR</x:v>
      </x:c>
      <x:c r="C375" s="15"/>
      <x:c r="D375" s="15" t="str">
        <x:v>Property investor / home-buying operator</x:v>
      </x:c>
      <x:c r="E375" s="15" t="str">
        <x:v>Property investor / operator inquiry</x:v>
      </x:c>
      <x:c r="F375" s="17" t="str">
        <x:v>New</x:v>
      </x:c>
      <x:c r="G375" s="24"/>
      <x:c r="H375" s="24" t="str">
        <x:v>+18322216648</x:v>
      </x:c>
      <x:c r="I375" s="24" t="str">
        <x:v>http://selltojr.com/</x:v>
      </x:c>
      <x:c r="J375" s="16" t="str">
        <x:v>TX</x:v>
      </x:c>
      <x:c r="K375" s="16" t="str">
        <x:v>Houston</x:v>
      </x:c>
      <x:c r="L375" s="16" t="str">
        <x:v>Public property-business route; investor decision maker unconfirmed</x:v>
      </x:c>
      <x:c r="M375" s="16" t="str">
        <x:v>http://selltojr.com/</x:v>
      </x:c>
      <x:c r="N375" s="16" t="str">
        <x:v>$100K-$500K ticket not published / unconfirmed</x:v>
      </x:c>
      <x:c r="O375" s="20"/>
      <x:c r="P375" s="20"/>
      <x:c r="Q375" s="25" t="str">
        <x:v>No $100K-$500K corporate-investment ticket published in checked source</x:v>
      </x:c>
      <x:c r="R375" s="25" t="str">
        <x:v>Property acquisition or investor activity makes this an operator-capital prospect for the signed trial. Confirm operating-company debt/equity appetite.</x:v>
      </x:c>
      <x:c r="S375" s="25" t="str">
        <x:v>Home-buying activity does not verify ability or willingness to invest $100K-$500K into 101XVC operating company. Website and contact verification pending.</x:v>
      </x:c>
      <x:c r="T375" s="25" t="str">
        <x:v>Ask the owner/investor whether they can allocate $100K-$500K to trial marketing and acquisitions, and confirm structure, timing and decision authority.</x:v>
      </x:c>
      <x:c r="U375" s="25" t="str">
        <x:v>https://www.cashhomebuyersdirectory.com/cash-home-buyers/texas/houston</x:v>
      </x:c>
      <x:c r="V375" s="26" t="d">
        <x:v>2026-10-02T00:00:00.000Z</x:v>
      </x:c>
      <x:c r="W375" s="26" t="d">
        <x:v>2026-10-03T00:00:00.000Z</x:v>
      </x:c>
      <x:c r="X375" s="25" t="str">
        <x:v>Public investor directory; business role and contact ownership require qualification</x:v>
      </x:c>
      <x:c r="Y375" s="25"/>
      <x:c r="Z375" s="25" t="str">
        <x:v>https://www.cashhomebuyersdirectory.com/cash-home-buyers/texas/houston</x:v>
      </x:c>
      <x:c r="AA375" s="25" t="str">
        <x:v>Public cash-home-buyer directory lists business name, phone and market. Directory entry may include brokers or service providers.</x:v>
      </x:c>
      <x:c r="AB375" s="3" t="str">
        <x:v>New public-source collection</x:v>
      </x:c>
      <x:c r="AC375" s="3" t="str">
        <x:v>unverified</x:v>
      </x:c>
      <x:c r="AD375" s="3" t="str">
        <x:v>Not contacted / unconfirmed</x:v>
      </x:c>
      <x:c r="AE375" s="3" t="str">
        <x:v>No</x:v>
      </x:c>
      <x:c r="AF375" s="3" t="str">
        <x:v>No</x:v>
      </x:c>
      <x:c r="AG375" s="3"/>
      <x:c r="AH375" s="3"/>
      <x:c r="AI375" s="18"/>
      <x:c r="AJ375" s="3" t="str">
        <x:v>CF2500-DD95CD6FB957</x:v>
      </x:c>
      <x:c r="AK375" s="3" t="str">
        <x:v>Property investor / home-buying operator prospect</x:v>
      </x:c>
      <x:c r="AL375" s="19" t="n">
        <x:v>100000</x:v>
      </x:c>
      <x:c r="AM375" s="19" t="n">
        <x:v>500000</x:v>
      </x:c>
      <x:c r="AN375" s="3" t="str">
        <x:v>https://www.cashhomebuyersdirectory.com/cash-home-buyers/texas/houston</x:v>
      </x:c>
      <x:c r="AO375" s="3" t="str">
        <x:v>tx_fl_investors.jsonl</x:v>
      </x:c>
      <x:c r="AP375" s="19"/>
    </x:row>
    <x:row r="376" ht="36" customHeight="1">
      <x:c r="A376" s="23" t="n">
        <x:v>375</x:v>
      </x:c>
      <x:c r="B376" s="15" t="str">
        <x:v>SELL TO MANATEE - WE BUY HOUSES BRADENTON SARASOTA</x:v>
      </x:c>
      <x:c r="C376" s="15"/>
      <x:c r="D376" s="15" t="str">
        <x:v>Property investor / home-buying operator</x:v>
      </x:c>
      <x:c r="E376" s="15" t="str">
        <x:v>Property investor / operator inquiry</x:v>
      </x:c>
      <x:c r="F376" s="17" t="str">
        <x:v>New</x:v>
      </x:c>
      <x:c r="G376" s="24"/>
      <x:c r="H376" s="24" t="str">
        <x:v>+19413006090</x:v>
      </x:c>
      <x:c r="I376" s="24" t="str">
        <x:v>http://www.selltomanatee.com/</x:v>
      </x:c>
      <x:c r="J376" s="16" t="str">
        <x:v>FL</x:v>
      </x:c>
      <x:c r="K376" s="16" t="str">
        <x:v>Sarasota</x:v>
      </x:c>
      <x:c r="L376" s="16" t="str">
        <x:v>Public property-business route; investor decision maker unconfirmed</x:v>
      </x:c>
      <x:c r="M376" s="16" t="str">
        <x:v>http://www.selltomanatee.com/</x:v>
      </x:c>
      <x:c r="N376" s="16" t="str">
        <x:v>$100K-$500K ticket not published / unconfirmed</x:v>
      </x:c>
      <x:c r="O376" s="20"/>
      <x:c r="P376" s="20"/>
      <x:c r="Q376" s="25" t="str">
        <x:v>No $100K-$500K corporate-investment ticket published in checked source</x:v>
      </x:c>
      <x:c r="R376" s="25" t="str">
        <x:v>Property acquisition or investor activity makes this an operator-capital prospect for the signed trial. Confirm operating-company debt/equity appetite.</x:v>
      </x:c>
      <x:c r="S376" s="25" t="str">
        <x:v>Home-buying activity does not verify ability or willingness to invest $100K-$500K into 101XVC operating company. Website and contact verification pending.</x:v>
      </x:c>
      <x:c r="T376" s="25" t="str">
        <x:v>Ask the owner/investor whether they can allocate $100K-$500K to trial marketing and acquisitions, and confirm structure, timing and decision authority.</x:v>
      </x:c>
      <x:c r="U376" s="25" t="str">
        <x:v>https://www.cashhomebuyersdirectory.com/cash-home-buyers/florida/sarasota</x:v>
      </x:c>
      <x:c r="V376" s="26" t="d">
        <x:v>2026-10-02T00:00:00.000Z</x:v>
      </x:c>
      <x:c r="W376" s="26" t="d">
        <x:v>2026-10-03T00:00:00.000Z</x:v>
      </x:c>
      <x:c r="X376" s="25" t="str">
        <x:v>Public investor directory; business role and contact ownership require qualification</x:v>
      </x:c>
      <x:c r="Y376" s="25"/>
      <x:c r="Z376" s="25" t="str">
        <x:v>https://www.cashhomebuyersdirectory.com/cash-home-buyers/florida/sarasota</x:v>
      </x:c>
      <x:c r="AA376" s="25" t="str">
        <x:v>Public cash-home-buyer directory lists business name, phone and market. Directory entry may include brokers or service providers.</x:v>
      </x:c>
      <x:c r="AB376" s="3" t="str">
        <x:v>New public-source collection</x:v>
      </x:c>
      <x:c r="AC376" s="3" t="str">
        <x:v>unverified</x:v>
      </x:c>
      <x:c r="AD376" s="3" t="str">
        <x:v>Not contacted / unconfirmed</x:v>
      </x:c>
      <x:c r="AE376" s="3" t="str">
        <x:v>No</x:v>
      </x:c>
      <x:c r="AF376" s="3" t="str">
        <x:v>No</x:v>
      </x:c>
      <x:c r="AG376" s="3"/>
      <x:c r="AH376" s="3"/>
      <x:c r="AI376" s="18"/>
      <x:c r="AJ376" s="3" t="str">
        <x:v>CF2500-10F1A5055458</x:v>
      </x:c>
      <x:c r="AK376" s="3" t="str">
        <x:v>Property investor / home-buying operator prospect</x:v>
      </x:c>
      <x:c r="AL376" s="19" t="n">
        <x:v>100000</x:v>
      </x:c>
      <x:c r="AM376" s="19" t="n">
        <x:v>500000</x:v>
      </x:c>
      <x:c r="AN376" s="3" t="str">
        <x:v>https://www.cashhomebuyersdirectory.com/cash-home-buyers/florida/sarasota</x:v>
      </x:c>
      <x:c r="AO376" s="3" t="str">
        <x:v>tx_fl_investors.jsonl</x:v>
      </x:c>
      <x:c r="AP376" s="19"/>
    </x:row>
    <x:row r="377" ht="36" customHeight="1">
      <x:c r="A377" s="23" t="n">
        <x:v>376</x:v>
      </x:c>
      <x:c r="B377" s="15" t="str">
        <x:v>Sell to Mika</x:v>
      </x:c>
      <x:c r="C377" s="15"/>
      <x:c r="D377" s="15" t="str">
        <x:v>Property investor / home-buying operator</x:v>
      </x:c>
      <x:c r="E377" s="15" t="str">
        <x:v>Property investor / operator inquiry</x:v>
      </x:c>
      <x:c r="F377" s="17" t="str">
        <x:v>New</x:v>
      </x:c>
      <x:c r="G377" s="24"/>
      <x:c r="H377" s="24" t="str">
        <x:v>+17135655000</x:v>
      </x:c>
      <x:c r="I377" s="24" t="str">
        <x:v>http://selltomika.com/</x:v>
      </x:c>
      <x:c r="J377" s="16" t="str">
        <x:v>TX</x:v>
      </x:c>
      <x:c r="K377" s="16" t="str">
        <x:v>Houston</x:v>
      </x:c>
      <x:c r="L377" s="16" t="str">
        <x:v>Public property-business route; investor decision maker unconfirmed</x:v>
      </x:c>
      <x:c r="M377" s="16" t="str">
        <x:v>http://selltomika.com/</x:v>
      </x:c>
      <x:c r="N377" s="16" t="str">
        <x:v>$100K-$500K ticket not published / unconfirmed</x:v>
      </x:c>
      <x:c r="O377" s="20"/>
      <x:c r="P377" s="20"/>
      <x:c r="Q377" s="25" t="str">
        <x:v>No $100K-$500K corporate-investment ticket published in checked source</x:v>
      </x:c>
      <x:c r="R377" s="25" t="str">
        <x:v>Property acquisition or investor activity makes this an operator-capital prospect for the signed trial. Confirm operating-company debt/equity appetite.</x:v>
      </x:c>
      <x:c r="S377" s="25" t="str">
        <x:v>Home-buying activity does not verify ability or willingness to invest $100K-$500K into 101XVC operating company. Website and contact verification pending.</x:v>
      </x:c>
      <x:c r="T377" s="25" t="str">
        <x:v>Ask the owner/investor whether they can allocate $100K-$500K to trial marketing and acquisitions, and confirm structure, timing and decision authority.</x:v>
      </x:c>
      <x:c r="U377" s="25" t="str">
        <x:v>https://www.cashhomebuyersdirectory.com/cash-home-buyers/texas/houston</x:v>
      </x:c>
      <x:c r="V377" s="26" t="d">
        <x:v>2026-10-02T00:00:00.000Z</x:v>
      </x:c>
      <x:c r="W377" s="26" t="d">
        <x:v>2026-10-03T00:00:00.000Z</x:v>
      </x:c>
      <x:c r="X377" s="25" t="str">
        <x:v>Public investor directory; business role and contact ownership require qualification</x:v>
      </x:c>
      <x:c r="Y377" s="25"/>
      <x:c r="Z377" s="25" t="str">
        <x:v>https://www.cashhomebuyersdirectory.com/cash-home-buyers/texas/houston</x:v>
      </x:c>
      <x:c r="AA377" s="25" t="str">
        <x:v>Public cash-home-buyer directory lists business name, phone and market. Directory entry may include brokers or service providers.</x:v>
      </x:c>
      <x:c r="AB377" s="3" t="str">
        <x:v>New public-source collection</x:v>
      </x:c>
      <x:c r="AC377" s="3" t="str">
        <x:v>unverified</x:v>
      </x:c>
      <x:c r="AD377" s="3" t="str">
        <x:v>Not contacted / unconfirmed</x:v>
      </x:c>
      <x:c r="AE377" s="3" t="str">
        <x:v>No</x:v>
      </x:c>
      <x:c r="AF377" s="3" t="str">
        <x:v>No</x:v>
      </x:c>
      <x:c r="AG377" s="3"/>
      <x:c r="AH377" s="3"/>
      <x:c r="AI377" s="18"/>
      <x:c r="AJ377" s="3" t="str">
        <x:v>CF2500-D62F1E7A9233</x:v>
      </x:c>
      <x:c r="AK377" s="3" t="str">
        <x:v>Property investor / home-buying operator prospect</x:v>
      </x:c>
      <x:c r="AL377" s="19" t="n">
        <x:v>100000</x:v>
      </x:c>
      <x:c r="AM377" s="19" t="n">
        <x:v>500000</x:v>
      </x:c>
      <x:c r="AN377" s="3" t="str">
        <x:v>https://www.cashhomebuyersdirectory.com/cash-home-buyers/texas/houston</x:v>
      </x:c>
      <x:c r="AO377" s="3" t="str">
        <x:v>tx_fl_investors.jsonl</x:v>
      </x:c>
      <x:c r="AP377" s="19"/>
    </x:row>
    <x:row r="378" ht="36" customHeight="1">
      <x:c r="A378" s="23" t="n">
        <x:v>377</x:v>
      </x:c>
      <x:c r="B378" s="15" t="str">
        <x:v>Sell Your Gainesville Home Today</x:v>
      </x:c>
      <x:c r="C378" s="15"/>
      <x:c r="D378" s="15" t="str">
        <x:v>Property investor / home-buying operator</x:v>
      </x:c>
      <x:c r="E378" s="15" t="str">
        <x:v>Property investor / operator inquiry</x:v>
      </x:c>
      <x:c r="F378" s="17" t="str">
        <x:v>New</x:v>
      </x:c>
      <x:c r="G378" s="24"/>
      <x:c r="H378" s="24" t="str">
        <x:v>+13525078562</x:v>
      </x:c>
      <x:c r="I378" s="24" t="str">
        <x:v>https://www.sellyourgainesvillehometoday.com/</x:v>
      </x:c>
      <x:c r="J378" s="16" t="str">
        <x:v>FL</x:v>
      </x:c>
      <x:c r="K378" s="16" t="str">
        <x:v>Gainesville</x:v>
      </x:c>
      <x:c r="L378" s="16" t="str">
        <x:v>Public property-business route; investor decision maker unconfirmed</x:v>
      </x:c>
      <x:c r="M378" s="16" t="str">
        <x:v>https://www.sellyourgainesvillehometoday.com/</x:v>
      </x:c>
      <x:c r="N378" s="16" t="str">
        <x:v>$100K-$500K ticket not published / unconfirmed</x:v>
      </x:c>
      <x:c r="O378" s="20"/>
      <x:c r="P378" s="20"/>
      <x:c r="Q378" s="25" t="str">
        <x:v>No $100K-$500K corporate-investment ticket published in checked source</x:v>
      </x:c>
      <x:c r="R378" s="25" t="str">
        <x:v>Property acquisition or investor activity makes this an operator-capital prospect for the signed trial. Confirm operating-company debt/equity appetite.</x:v>
      </x:c>
      <x:c r="S378" s="25" t="str">
        <x:v>Home-buying activity does not verify ability or willingness to invest $100K-$500K into 101XVC operating company. Website and contact verification pending.</x:v>
      </x:c>
      <x:c r="T378" s="25" t="str">
        <x:v>Ask the owner/investor whether they can allocate $100K-$500K to trial marketing and acquisitions, and confirm structure, timing and decision authority.</x:v>
      </x:c>
      <x:c r="U378" s="25" t="str">
        <x:v>https://www.cashhomebuyersdirectory.com/cash-home-buyers/florida/gainesville</x:v>
      </x:c>
      <x:c r="V378" s="26" t="d">
        <x:v>2026-10-02T00:00:00.000Z</x:v>
      </x:c>
      <x:c r="W378" s="26" t="d">
        <x:v>2026-10-03T00:00:00.000Z</x:v>
      </x:c>
      <x:c r="X378" s="25" t="str">
        <x:v>Public investor directory; business role and contact ownership require qualification</x:v>
      </x:c>
      <x:c r="Y378" s="25"/>
      <x:c r="Z378" s="25" t="str">
        <x:v>https://www.cashhomebuyersdirectory.com/cash-home-buyers/florida/gainesville</x:v>
      </x:c>
      <x:c r="AA378" s="25" t="str">
        <x:v>Public cash-home-buyer directory lists business name, phone and market. Directory entry may include brokers or service providers.</x:v>
      </x:c>
      <x:c r="AB378" s="3" t="str">
        <x:v>New public-source collection</x:v>
      </x:c>
      <x:c r="AC378" s="3" t="str">
        <x:v>unverified</x:v>
      </x:c>
      <x:c r="AD378" s="3" t="str">
        <x:v>Not contacted / unconfirmed</x:v>
      </x:c>
      <x:c r="AE378" s="3" t="str">
        <x:v>No</x:v>
      </x:c>
      <x:c r="AF378" s="3" t="str">
        <x:v>No</x:v>
      </x:c>
      <x:c r="AG378" s="3"/>
      <x:c r="AH378" s="3"/>
      <x:c r="AI378" s="18"/>
      <x:c r="AJ378" s="3" t="str">
        <x:v>CF2500-2D52F6FA48B4</x:v>
      </x:c>
      <x:c r="AK378" s="3" t="str">
        <x:v>Property investor / home-buying operator prospect</x:v>
      </x:c>
      <x:c r="AL378" s="19" t="n">
        <x:v>100000</x:v>
      </x:c>
      <x:c r="AM378" s="19" t="n">
        <x:v>500000</x:v>
      </x:c>
      <x:c r="AN378" s="3" t="str">
        <x:v>https://www.cashhomebuyersdirectory.com/cash-home-buyers/florida/gainesville</x:v>
      </x:c>
      <x:c r="AO378" s="3" t="str">
        <x:v>tx_fl_investors.jsonl</x:v>
      </x:c>
      <x:c r="AP378" s="19"/>
    </x:row>
    <x:row r="379" ht="36" customHeight="1">
      <x:c r="A379" s="23" t="n">
        <x:v>378</x:v>
      </x:c>
      <x:c r="B379" s="15" t="str">
        <x:v>Sell Your House Fast Asheville | Asheville Cash Buyers</x:v>
      </x:c>
      <x:c r="C379" s="15"/>
      <x:c r="D379" s="15" t="str">
        <x:v>Property investor / home-buying operator</x:v>
      </x:c>
      <x:c r="E379" s="15" t="str">
        <x:v>Property investor / operator inquiry</x:v>
      </x:c>
      <x:c r="F379" s="17" t="str">
        <x:v>New</x:v>
      </x:c>
      <x:c r="G379" s="24"/>
      <x:c r="H379" s="24" t="str">
        <x:v>+18285474544</x:v>
      </x:c>
      <x:c r="I379" s="24" t="str">
        <x:v>https://www.ashevillecashbuyers.com/</x:v>
      </x:c>
      <x:c r="J379" s="16" t="str">
        <x:v>NC</x:v>
      </x:c>
      <x:c r="K379" s="16" t="str">
        <x:v>Asheville</x:v>
      </x:c>
      <x:c r="L379" s="16" t="str">
        <x:v>Public property-business route; investor decision maker unconfirmed</x:v>
      </x:c>
      <x:c r="M379" s="16" t="str">
        <x:v>https://www.ashevillecashbuyers.com/</x:v>
      </x:c>
      <x:c r="N379" s="16" t="str">
        <x:v>$100K-$500K ticket not published / unconfirmed</x:v>
      </x:c>
      <x:c r="O379" s="20"/>
      <x:c r="P379" s="20"/>
      <x:c r="Q379" s="25" t="str">
        <x:v>No $100K-$500K operating-company investment ticket verified</x:v>
      </x:c>
      <x:c r="R379" s="25" t="str">
        <x:v>Property acquisition or investor activity makes this an operator-capital prospect for the signed trial. Confirm operating-company debt/equity appetite.</x:v>
      </x:c>
      <x:c r="S379" s="25" t="str">
        <x:v>Public property-buying activity or a directory listing does not establish available cash, investing decision-maker, current $100K-$500K capacity, or willingness to fund 101XVC operating costs.</x:v>
      </x:c>
      <x:c r="T379" s="25" t="str">
        <x:v>Ask the owner/investor whether they can allocate $100K-$500K to trial marketing and acquisitions, and confirm structure, timing and decision authority.</x:v>
      </x:c>
      <x:c r="U379" s="25" t="str">
        <x:v>https://www.cashhomebuyersdirectory.com/cash-home-buyers/north-carolina/asheville</x:v>
      </x:c>
      <x:c r="V379" s="26" t="d">
        <x:v>2026-10-02T00:00:00.000Z</x:v>
      </x:c>
      <x:c r="W379" s="26" t="d">
        <x:v>2026-10-02T00:00:00.000Z</x:v>
      </x:c>
      <x:c r="X379" s="25" t="str">
        <x:v>Public investor directory; business role and contact ownership require qualification</x:v>
      </x:c>
      <x:c r="Y379" s="25"/>
      <x:c r="Z379" s="25" t="str">
        <x:v>https://www.cashhomebuyersdirectory.com/cash-home-buyers/north-carolina/asheville</x:v>
      </x:c>
      <x:c r="AA379" s="25" t="str">
        <x:v>Public cash-home-buyer directory lists business name, phone and market. Directory entry may include brokers or service providers.</x:v>
      </x:c>
      <x:c r="AB379" s="3" t="str">
        <x:v>New public-source collection</x:v>
      </x:c>
      <x:c r="AC379" s="3" t="str">
        <x:v>unverified</x:v>
      </x:c>
      <x:c r="AD379" s="3" t="str">
        <x:v>Not contacted / unconfirmed</x:v>
      </x:c>
      <x:c r="AE379" s="3" t="str">
        <x:v>No</x:v>
      </x:c>
      <x:c r="AF379" s="3" t="str">
        <x:v>No</x:v>
      </x:c>
      <x:c r="AG379" s="3"/>
      <x:c r="AH379" s="3"/>
      <x:c r="AI379" s="18"/>
      <x:c r="AJ379" s="3" t="str">
        <x:v>CF2500-15AD7A8E96E0</x:v>
      </x:c>
      <x:c r="AK379" s="3" t="str">
        <x:v>Property investor / home-buying operator prospect</x:v>
      </x:c>
      <x:c r="AL379" s="19" t="n">
        <x:v>100000</x:v>
      </x:c>
      <x:c r="AM379" s="19" t="n">
        <x:v>500000</x:v>
      </x:c>
      <x:c r="AN379" s="3" t="str">
        <x:v>https://www.cashhomebuyersdirectory.com/cash-home-buyers/north-carolina/asheville</x:v>
      </x:c>
      <x:c r="AO379" s="3" t="str">
        <x:v>nc_il_az_co_investors.jsonl</x:v>
      </x:c>
      <x:c r="AP379" s="19"/>
    </x:row>
    <x:row r="380" ht="36" customHeight="1">
      <x:c r="A380" s="23" t="n">
        <x:v>379</x:v>
      </x:c>
      <x:c r="B380" s="15" t="str">
        <x:v>Sell Your House Fast Austin</x:v>
      </x:c>
      <x:c r="C380" s="15"/>
      <x:c r="D380" s="15" t="str">
        <x:v>Property investor / home-buying operator</x:v>
      </x:c>
      <x:c r="E380" s="15" t="str">
        <x:v>Property investor / operator inquiry</x:v>
      </x:c>
      <x:c r="F380" s="17" t="str">
        <x:v>New</x:v>
      </x:c>
      <x:c r="G380" s="24"/>
      <x:c r="H380" s="24" t="str">
        <x:v>+15127725578</x:v>
      </x:c>
      <x:c r="I380" s="24" t="str">
        <x:v>https://webuycashhouses.net/sell-your-house-fast-in-austin/</x:v>
      </x:c>
      <x:c r="J380" s="16" t="str">
        <x:v>TX</x:v>
      </x:c>
      <x:c r="K380" s="16" t="str">
        <x:v>Austin</x:v>
      </x:c>
      <x:c r="L380" s="16" t="str">
        <x:v>Public property-business route; investor decision maker unconfirmed</x:v>
      </x:c>
      <x:c r="M380" s="16" t="str">
        <x:v>https://webuycashhouses.net/sell-your-house-fast-in-austin/</x:v>
      </x:c>
      <x:c r="N380" s="16" t="str">
        <x:v>$100K-$500K ticket not published / unconfirmed</x:v>
      </x:c>
      <x:c r="O380" s="20"/>
      <x:c r="P380" s="20"/>
      <x:c r="Q380" s="25" t="str">
        <x:v>No $100K-$500K corporate-investment ticket published in checked source</x:v>
      </x:c>
      <x:c r="R380" s="25" t="str">
        <x:v>Property acquisition or investor activity makes this an operator-capital prospect for the signed trial. Confirm operating-company debt/equity appetite.</x:v>
      </x:c>
      <x:c r="S380" s="25" t="str">
        <x:v>Home-buying activity does not verify ability or willingness to invest $100K-$500K into 101XVC operating company. Website and contact verification pending.</x:v>
      </x:c>
      <x:c r="T380" s="25" t="str">
        <x:v>Ask the owner/investor whether they can allocate $100K-$500K to trial marketing and acquisitions, and confirm structure, timing and decision authority.</x:v>
      </x:c>
      <x:c r="U380" s="25" t="str">
        <x:v>https://www.cashhomebuyersdirectory.com/cash-home-buyers/texas/austin</x:v>
      </x:c>
      <x:c r="V380" s="26" t="d">
        <x:v>2026-10-02T00:00:00.000Z</x:v>
      </x:c>
      <x:c r="W380" s="26" t="d">
        <x:v>2026-10-03T00:00:00.000Z</x:v>
      </x:c>
      <x:c r="X380" s="25" t="str">
        <x:v>Public investor directory; business role and contact ownership require qualification</x:v>
      </x:c>
      <x:c r="Y380" s="25"/>
      <x:c r="Z380" s="25" t="str">
        <x:v>https://www.cashhomebuyersdirectory.com/cash-home-buyers/texas/austin</x:v>
      </x:c>
      <x:c r="AA380" s="25" t="str">
        <x:v>Public cash-home-buyer directory lists business name, phone and market. Directory entry may include brokers or service providers.</x:v>
      </x:c>
      <x:c r="AB380" s="3" t="str">
        <x:v>New public-source collection</x:v>
      </x:c>
      <x:c r="AC380" s="3" t="str">
        <x:v>unverified</x:v>
      </x:c>
      <x:c r="AD380" s="3" t="str">
        <x:v>Not contacted / unconfirmed</x:v>
      </x:c>
      <x:c r="AE380" s="3" t="str">
        <x:v>No</x:v>
      </x:c>
      <x:c r="AF380" s="3" t="str">
        <x:v>No</x:v>
      </x:c>
      <x:c r="AG380" s="3"/>
      <x:c r="AH380" s="3"/>
      <x:c r="AI380" s="18"/>
      <x:c r="AJ380" s="3" t="str">
        <x:v>CF2500-1AF2861611C3</x:v>
      </x:c>
      <x:c r="AK380" s="3" t="str">
        <x:v>Property investor / home-buying operator prospect</x:v>
      </x:c>
      <x:c r="AL380" s="19" t="n">
        <x:v>100000</x:v>
      </x:c>
      <x:c r="AM380" s="19" t="n">
        <x:v>500000</x:v>
      </x:c>
      <x:c r="AN380" s="3" t="str">
        <x:v>https://www.cashhomebuyersdirectory.com/cash-home-buyers/texas/austin</x:v>
      </x:c>
      <x:c r="AO380" s="3" t="str">
        <x:v>tx_fl_investors.jsonl</x:v>
      </x:c>
      <x:c r="AP380" s="19"/>
    </x:row>
    <x:row r="381" ht="36" customHeight="1">
      <x:c r="A381" s="23" t="n">
        <x:v>380</x:v>
      </x:c>
      <x:c r="B381" s="15" t="str">
        <x:v>Sell Your House Fast Houston</x:v>
      </x:c>
      <x:c r="C381" s="15"/>
      <x:c r="D381" s="15" t="str">
        <x:v>Property investor / home-buying operator</x:v>
      </x:c>
      <x:c r="E381" s="15" t="str">
        <x:v>Property investor / operator inquiry</x:v>
      </x:c>
      <x:c r="F381" s="17" t="str">
        <x:v>New</x:v>
      </x:c>
      <x:c r="G381" s="24"/>
      <x:c r="H381" s="24" t="str">
        <x:v>+12819188908</x:v>
      </x:c>
      <x:c r="I381" s="24" t="str">
        <x:v>https://sellyourhousefasthouston.com/?utm_source=GBP&amp;utm_medium=organic&amp;utm_campaign=sellyourhousefasthouston</x:v>
      </x:c>
      <x:c r="J381" s="16" t="str">
        <x:v>TX</x:v>
      </x:c>
      <x:c r="K381" s="16" t="str">
        <x:v>Houston</x:v>
      </x:c>
      <x:c r="L381" s="16" t="str">
        <x:v>Public property-business route; investor decision maker unconfirmed</x:v>
      </x:c>
      <x:c r="M381" s="16" t="str">
        <x:v>https://sellyourhousefasthouston.com/?utm_source=GBP&amp;utm_medium=organic&amp;utm_campaign=sellyourhousefasthouston</x:v>
      </x:c>
      <x:c r="N381" s="16" t="str">
        <x:v>$100K-$500K ticket not published / unconfirmed</x:v>
      </x:c>
      <x:c r="O381" s="20"/>
      <x:c r="P381" s="20"/>
      <x:c r="Q381" s="25" t="str">
        <x:v>No $100K-$500K corporate-investment ticket published in checked source</x:v>
      </x:c>
      <x:c r="R381" s="25" t="str">
        <x:v>Property acquisition or investor activity makes this an operator-capital prospect for the signed trial. Confirm operating-company debt/equity appetite.</x:v>
      </x:c>
      <x:c r="S381" s="25" t="str">
        <x:v>Home-buying activity does not verify ability or willingness to invest $100K-$500K into 101XVC operating company. Website and contact verification pending.</x:v>
      </x:c>
      <x:c r="T381" s="25" t="str">
        <x:v>Ask the owner/investor whether they can allocate $100K-$500K to trial marketing and acquisitions, and confirm structure, timing and decision authority.</x:v>
      </x:c>
      <x:c r="U381" s="25" t="str">
        <x:v>https://www.cashhomebuyersdirectory.com/cash-home-buyers/texas/houston</x:v>
      </x:c>
      <x:c r="V381" s="26" t="d">
        <x:v>2026-10-02T00:00:00.000Z</x:v>
      </x:c>
      <x:c r="W381" s="26" t="d">
        <x:v>2026-10-03T00:00:00.000Z</x:v>
      </x:c>
      <x:c r="X381" s="25" t="str">
        <x:v>Public investor directory; business role and contact ownership require qualification</x:v>
      </x:c>
      <x:c r="Y381" s="25"/>
      <x:c r="Z381" s="25" t="str">
        <x:v>https://www.cashhomebuyersdirectory.com/cash-home-buyers/texas/houston</x:v>
      </x:c>
      <x:c r="AA381" s="25" t="str">
        <x:v>Public cash-home-buyer directory lists business name, phone and market. Directory entry may include brokers or service providers.</x:v>
      </x:c>
      <x:c r="AB381" s="3" t="str">
        <x:v>New public-source collection</x:v>
      </x:c>
      <x:c r="AC381" s="3" t="str">
        <x:v>unverified</x:v>
      </x:c>
      <x:c r="AD381" s="3" t="str">
        <x:v>Not contacted / unconfirmed</x:v>
      </x:c>
      <x:c r="AE381" s="3" t="str">
        <x:v>No</x:v>
      </x:c>
      <x:c r="AF381" s="3" t="str">
        <x:v>No</x:v>
      </x:c>
      <x:c r="AG381" s="3"/>
      <x:c r="AH381" s="3"/>
      <x:c r="AI381" s="18"/>
      <x:c r="AJ381" s="3" t="str">
        <x:v>CF2500-D3F6B453BCB3</x:v>
      </x:c>
      <x:c r="AK381" s="3" t="str">
        <x:v>Property investor / home-buying operator prospect</x:v>
      </x:c>
      <x:c r="AL381" s="19" t="n">
        <x:v>100000</x:v>
      </x:c>
      <x:c r="AM381" s="19" t="n">
        <x:v>500000</x:v>
      </x:c>
      <x:c r="AN381" s="3" t="str">
        <x:v>https://www.cashhomebuyersdirectory.com/cash-home-buyers/texas/houston</x:v>
      </x:c>
      <x:c r="AO381" s="3" t="str">
        <x:v>tx_fl_investors.jsonl</x:v>
      </x:c>
      <x:c r="AP381" s="19"/>
    </x:row>
    <x:row r="382" ht="36" customHeight="1">
      <x:c r="A382" s="23" t="n">
        <x:v>381</x:v>
      </x:c>
      <x:c r="B382" s="15" t="str">
        <x:v>Sell Your House Fast Rush Offers PSL</x:v>
      </x:c>
      <x:c r="C382" s="15"/>
      <x:c r="D382" s="15" t="str">
        <x:v>Property investor / home-buying operator</x:v>
      </x:c>
      <x:c r="E382" s="15" t="str">
        <x:v>Property investor / operator inquiry</x:v>
      </x:c>
      <x:c r="F382" s="17" t="str">
        <x:v>New</x:v>
      </x:c>
      <x:c r="G382" s="24"/>
      <x:c r="H382" s="24" t="str">
        <x:v>+17722971292</x:v>
      </x:c>
      <x:c r="I382" s="24" t="str">
        <x:v>https://sellyourhousefastrushofferspsl.com/</x:v>
      </x:c>
      <x:c r="J382" s="16" t="str">
        <x:v>FL</x:v>
      </x:c>
      <x:c r="K382" s="16"/>
      <x:c r="L382" s="16" t="str">
        <x:v>Public property-business route; investor decision maker unconfirmed</x:v>
      </x:c>
      <x:c r="M382" s="16" t="str">
        <x:v>https://sellyourhousefastrushofferspsl.com/</x:v>
      </x:c>
      <x:c r="N382" s="16" t="str">
        <x:v>$100K-$500K ticket not published / unconfirmed</x:v>
      </x:c>
      <x:c r="O382" s="20"/>
      <x:c r="P382" s="20"/>
      <x:c r="Q382" s="25" t="str">
        <x:v>No $100K-$500K corporate-investment ticket published in checked source</x:v>
      </x:c>
      <x:c r="R382" s="25" t="str">
        <x:v>Property acquisition or investor activity makes this an operator-capital prospect for the signed trial. Confirm operating-company debt/equity appetite.</x:v>
      </x:c>
      <x:c r="S382" s="25" t="str">
        <x:v>Home-buying activity does not verify ability or willingness to invest $100K-$500K into 101XVC operating company. Website and contact verification pending.</x:v>
      </x:c>
      <x:c r="T382" s="25" t="str">
        <x:v>Ask the owner/investor whether they can allocate $100K-$500K to trial marketing and acquisitions, and confirm structure, timing and decision authority.</x:v>
      </x:c>
      <x:c r="U382" s="25" t="str">
        <x:v>https://www.cashhomebuyersdirectory.com/cash-home-buyers/florida/port-st-lucie</x:v>
      </x:c>
      <x:c r="V382" s="26" t="d">
        <x:v>2026-10-02T00:00:00.000Z</x:v>
      </x:c>
      <x:c r="W382" s="26" t="d">
        <x:v>2026-10-03T00:00:00.000Z</x:v>
      </x:c>
      <x:c r="X382" s="25" t="str">
        <x:v>Public investor directory; business role and contact ownership require qualification</x:v>
      </x:c>
      <x:c r="Y382" s="25"/>
      <x:c r="Z382" s="25" t="str">
        <x:v>https://www.cashhomebuyersdirectory.com/cash-home-buyers/florida/port-st-lucie</x:v>
      </x:c>
      <x:c r="AA382" s="25" t="str">
        <x:v>Public cash-home-buyer directory lists business name, phone and market. Directory entry may include brokers or service providers.</x:v>
      </x:c>
      <x:c r="AB382" s="3" t="str">
        <x:v>New public-source collection</x:v>
      </x:c>
      <x:c r="AC382" s="3" t="str">
        <x:v>unverified</x:v>
      </x:c>
      <x:c r="AD382" s="3" t="str">
        <x:v>Not contacted / unconfirmed</x:v>
      </x:c>
      <x:c r="AE382" s="3" t="str">
        <x:v>No</x:v>
      </x:c>
      <x:c r="AF382" s="3" t="str">
        <x:v>No</x:v>
      </x:c>
      <x:c r="AG382" s="3"/>
      <x:c r="AH382" s="3"/>
      <x:c r="AI382" s="18"/>
      <x:c r="AJ382" s="3" t="str">
        <x:v>CF2500-72E382EF7B26</x:v>
      </x:c>
      <x:c r="AK382" s="3" t="str">
        <x:v>Property investor / home-buying operator prospect</x:v>
      </x:c>
      <x:c r="AL382" s="19" t="n">
        <x:v>100000</x:v>
      </x:c>
      <x:c r="AM382" s="19" t="n">
        <x:v>500000</x:v>
      </x:c>
      <x:c r="AN382" s="3" t="str">
        <x:v>https://www.cashhomebuyersdirectory.com/cash-home-buyers/florida/port-st-lucie</x:v>
      </x:c>
      <x:c r="AO382" s="3" t="str">
        <x:v>tx_fl_investors.jsonl</x:v>
      </x:c>
      <x:c r="AP382" s="19"/>
    </x:row>
    <x:row r="383" ht="36" customHeight="1">
      <x:c r="A383" s="23" t="n">
        <x:v>382</x:v>
      </x:c>
      <x:c r="B383" s="15" t="str">
        <x:v>SellYourChicagoHomeFast</x:v>
      </x:c>
      <x:c r="C383" s="15"/>
      <x:c r="D383" s="15" t="str">
        <x:v>Property investor / home-buying operator</x:v>
      </x:c>
      <x:c r="E383" s="15" t="str">
        <x:v>Property investor / operator inquiry</x:v>
      </x:c>
      <x:c r="F383" s="17" t="str">
        <x:v>New</x:v>
      </x:c>
      <x:c r="G383" s="24"/>
      <x:c r="H383" s="24" t="str">
        <x:v>+18009319928</x:v>
      </x:c>
      <x:c r="I383" s="24" t="str">
        <x:v>http://www.sellyourchicagohomefast.com/</x:v>
      </x:c>
      <x:c r="J383" s="16" t="str">
        <x:v>IL</x:v>
      </x:c>
      <x:c r="K383" s="16" t="str">
        <x:v>Chicago</x:v>
      </x:c>
      <x:c r="L383" s="16" t="str">
        <x:v>Public property-business route; investor decision maker unconfirmed</x:v>
      </x:c>
      <x:c r="M383" s="16" t="str">
        <x:v>http://www.sellyourchicagohomefast.com/</x:v>
      </x:c>
      <x:c r="N383" s="16" t="str">
        <x:v>$100K-$500K ticket not published / unconfirmed</x:v>
      </x:c>
      <x:c r="O383" s="20"/>
      <x:c r="P383" s="20"/>
      <x:c r="Q383" s="25" t="str">
        <x:v>No $100K-$500K operating-company investment ticket verified</x:v>
      </x:c>
      <x:c r="R383" s="25" t="str">
        <x:v>Property acquisition or investor activity makes this an operator-capital prospect for the signed trial. Confirm operating-company debt/equity appetite.</x:v>
      </x:c>
      <x:c r="S383" s="25" t="str">
        <x:v>Public property-buying activity or a directory listing does not establish available cash, investing decision-maker, current $100K-$500K capacity, or willingness to fund 101XVC operating costs.</x:v>
      </x:c>
      <x:c r="T383" s="25" t="str">
        <x:v>Ask the owner/investor whether they can allocate $100K-$500K to trial marketing and acquisitions, and confirm structure, timing and decision authority.</x:v>
      </x:c>
      <x:c r="U383" s="25" t="str">
        <x:v>https://www.cashhomebuyersdirectory.com/cash-home-buyers/illinois/chicago</x:v>
      </x:c>
      <x:c r="V383" s="26" t="d">
        <x:v>2026-10-02T00:00:00.000Z</x:v>
      </x:c>
      <x:c r="W383" s="26" t="d">
        <x:v>2026-10-02T00:00:00.000Z</x:v>
      </x:c>
      <x:c r="X383" s="25" t="str">
        <x:v>Public investor directory; business role and contact ownership require qualification</x:v>
      </x:c>
      <x:c r="Y383" s="25"/>
      <x:c r="Z383" s="25" t="str">
        <x:v>https://www.cashhomebuyersdirectory.com/cash-home-buyers/illinois/chicago</x:v>
      </x:c>
      <x:c r="AA383" s="25" t="str">
        <x:v>Public cash-home-buyer directory lists business name, phone and market. Directory entry may include brokers or service providers.</x:v>
      </x:c>
      <x:c r="AB383" s="3" t="str">
        <x:v>New public-source collection</x:v>
      </x:c>
      <x:c r="AC383" s="3" t="str">
        <x:v>unverified</x:v>
      </x:c>
      <x:c r="AD383" s="3" t="str">
        <x:v>Not contacted / unconfirmed</x:v>
      </x:c>
      <x:c r="AE383" s="3" t="str">
        <x:v>No</x:v>
      </x:c>
      <x:c r="AF383" s="3" t="str">
        <x:v>No</x:v>
      </x:c>
      <x:c r="AG383" s="3"/>
      <x:c r="AH383" s="3"/>
      <x:c r="AI383" s="18"/>
      <x:c r="AJ383" s="3" t="str">
        <x:v>CF2500-A6D03C4DEB11</x:v>
      </x:c>
      <x:c r="AK383" s="3" t="str">
        <x:v>Property investor / home-buying operator prospect</x:v>
      </x:c>
      <x:c r="AL383" s="19" t="n">
        <x:v>100000</x:v>
      </x:c>
      <x:c r="AM383" s="19" t="n">
        <x:v>500000</x:v>
      </x:c>
      <x:c r="AN383" s="3" t="str">
        <x:v>https://www.cashhomebuyersdirectory.com/cash-home-buyers/illinois/chicago</x:v>
      </x:c>
      <x:c r="AO383" s="3" t="str">
        <x:v>nc_il_az_co_investors.jsonl</x:v>
      </x:c>
      <x:c r="AP383" s="19"/>
    </x:row>
    <x:row r="384" ht="36" customHeight="1">
      <x:c r="A384" s="23" t="n">
        <x:v>383</x:v>
      </x:c>
      <x:c r="B384" s="15" t="str">
        <x:v>Senna House Buyers</x:v>
      </x:c>
      <x:c r="C384" s="15"/>
      <x:c r="D384" s="15" t="str">
        <x:v>Property investor / home-buying operator</x:v>
      </x:c>
      <x:c r="E384" s="15" t="str">
        <x:v>Property investor / operator inquiry</x:v>
      </x:c>
      <x:c r="F384" s="17" t="str">
        <x:v>New</x:v>
      </x:c>
      <x:c r="G384" s="24"/>
      <x:c r="H384" s="24" t="str">
        <x:v>+17134898000</x:v>
      </x:c>
      <x:c r="I384" s="24" t="str">
        <x:v>https://sennahousebuyers.com/?UTM_source=GBP_Listing&amp;UTM_medium=Organic</x:v>
      </x:c>
      <x:c r="J384" s="16" t="str">
        <x:v>TX</x:v>
      </x:c>
      <x:c r="K384" s="16" t="str">
        <x:v>Houston</x:v>
      </x:c>
      <x:c r="L384" s="16" t="str">
        <x:v>Public property-business route; investor decision maker unconfirmed</x:v>
      </x:c>
      <x:c r="M384" s="16" t="str">
        <x:v>https://sennahousebuyers.com/?UTM_source=GBP_Listing&amp;UTM_medium=Organic</x:v>
      </x:c>
      <x:c r="N384" s="16" t="str">
        <x:v>$100K-$500K ticket not published / unconfirmed</x:v>
      </x:c>
      <x:c r="O384" s="20"/>
      <x:c r="P384" s="20"/>
      <x:c r="Q384" s="25" t="str">
        <x:v>No $100K-$500K corporate-investment ticket published in checked source</x:v>
      </x:c>
      <x:c r="R384" s="25" t="str">
        <x:v>Property acquisition or investor activity makes this an operator-capital prospect for the signed trial. Confirm operating-company debt/equity appetite.</x:v>
      </x:c>
      <x:c r="S384" s="25" t="str">
        <x:v>Home-buying activity does not verify ability or willingness to invest $100K-$500K into 101XVC operating company. Website and contact verification pending.</x:v>
      </x:c>
      <x:c r="T384" s="25" t="str">
        <x:v>Ask the owner/investor whether they can allocate $100K-$500K to trial marketing and acquisitions, and confirm structure, timing and decision authority.</x:v>
      </x:c>
      <x:c r="U384" s="25" t="str">
        <x:v>https://www.cashhomebuyersdirectory.com/cash-home-buyers/texas/houston</x:v>
      </x:c>
      <x:c r="V384" s="26" t="d">
        <x:v>2026-10-02T00:00:00.000Z</x:v>
      </x:c>
      <x:c r="W384" s="26" t="d">
        <x:v>2026-10-03T00:00:00.000Z</x:v>
      </x:c>
      <x:c r="X384" s="25" t="str">
        <x:v>Public investor directory; business role and contact ownership require qualification</x:v>
      </x:c>
      <x:c r="Y384" s="25"/>
      <x:c r="Z384" s="25" t="str">
        <x:v>https://www.cashhomebuyersdirectory.com/cash-home-buyers/texas/houston</x:v>
      </x:c>
      <x:c r="AA384" s="25" t="str">
        <x:v>Public cash-home-buyer directory lists business name, phone and market. Directory entry may include brokers or service providers.</x:v>
      </x:c>
      <x:c r="AB384" s="3" t="str">
        <x:v>New public-source collection</x:v>
      </x:c>
      <x:c r="AC384" s="3" t="str">
        <x:v>unverified</x:v>
      </x:c>
      <x:c r="AD384" s="3" t="str">
        <x:v>Not contacted / unconfirmed</x:v>
      </x:c>
      <x:c r="AE384" s="3" t="str">
        <x:v>No</x:v>
      </x:c>
      <x:c r="AF384" s="3" t="str">
        <x:v>No</x:v>
      </x:c>
      <x:c r="AG384" s="3"/>
      <x:c r="AH384" s="3"/>
      <x:c r="AI384" s="18"/>
      <x:c r="AJ384" s="3" t="str">
        <x:v>CF2500-E7FC9424D697</x:v>
      </x:c>
      <x:c r="AK384" s="3" t="str">
        <x:v>Property investor / home-buying operator prospect</x:v>
      </x:c>
      <x:c r="AL384" s="19" t="n">
        <x:v>100000</x:v>
      </x:c>
      <x:c r="AM384" s="19" t="n">
        <x:v>500000</x:v>
      </x:c>
      <x:c r="AN384" s="3" t="str">
        <x:v>https://www.cashhomebuyersdirectory.com/cash-home-buyers/texas/houston</x:v>
      </x:c>
      <x:c r="AO384" s="3" t="str">
        <x:v>tx_fl_investors.jsonl</x:v>
      </x:c>
      <x:c r="AP384" s="19"/>
    </x:row>
    <x:row r="385" ht="36" customHeight="1">
      <x:c r="A385" s="23" t="n">
        <x:v>384</x:v>
      </x:c>
      <x:c r="B385" s="15" t="str">
        <x:v>SI We Buy Houses</x:v>
      </x:c>
      <x:c r="C385" s="15"/>
      <x:c r="D385" s="15" t="str">
        <x:v>Property investor / home-buying operator</x:v>
      </x:c>
      <x:c r="E385" s="15" t="str">
        <x:v>Property investor / operator inquiry</x:v>
      </x:c>
      <x:c r="F385" s="17" t="str">
        <x:v>New</x:v>
      </x:c>
      <x:c r="G385" s="24"/>
      <x:c r="H385" s="24" t="str">
        <x:v>+16189238688</x:v>
      </x:c>
      <x:c r="I385" s="24" t="str">
        <x:v>https://www.siwebuyhouses.com/contact/</x:v>
      </x:c>
      <x:c r="J385" s="16" t="str">
        <x:v>IL</x:v>
      </x:c>
      <x:c r="K385" s="16" t="str">
        <x:v>West Frankfort</x:v>
      </x:c>
      <x:c r="L385" s="16" t="str">
        <x:v>Public property-business route; investor decision maker unconfirmed</x:v>
      </x:c>
      <x:c r="M385" s="16" t="str">
        <x:v>https://www.siwebuyhouses.com/contact/</x:v>
      </x:c>
      <x:c r="N385" s="16" t="str">
        <x:v>$100K-$500K ticket not published / unconfirmed</x:v>
      </x:c>
      <x:c r="O385" s="20"/>
      <x:c r="P385" s="20"/>
      <x:c r="Q385" s="25" t="str">
        <x:v>No $100K-$500K operating-company investment ticket verified</x:v>
      </x:c>
      <x:c r="R385" s="25" t="str">
        <x:v>Property acquisition or investor activity makes this an operator-capital prospect for the signed trial. Confirm operating-company debt/equity appetite.</x:v>
      </x:c>
      <x:c r="S385" s="25" t="str">
        <x:v>Public property-buying activity or a directory listing does not establish available cash, investing decision-maker, current $100K-$500K capacity, or willingness to fund 101XVC operating costs.</x:v>
      </x:c>
      <x:c r="T385" s="25" t="str">
        <x:v>Ask the owner/investor whether they can allocate $100K-$500K to trial marketing and acquisitions, and confirm structure, timing and decision authority.</x:v>
      </x:c>
      <x:c r="U385" s="25" t="str">
        <x:v>https://www.cashhomebuyersdirectory.com/cash-home-buyers/illinois/west-frankfort</x:v>
      </x:c>
      <x:c r="V385" s="26" t="d">
        <x:v>2026-10-02T00:00:00.000Z</x:v>
      </x:c>
      <x:c r="W385" s="26" t="d">
        <x:v>2026-10-02T00:00:00.000Z</x:v>
      </x:c>
      <x:c r="X385" s="25" t="str">
        <x:v>Public investor directory; business role and contact ownership require qualification</x:v>
      </x:c>
      <x:c r="Y385" s="25"/>
      <x:c r="Z385" s="25" t="str">
        <x:v>https://www.cashhomebuyersdirectory.com/cash-home-buyers/illinois/west-frankfort</x:v>
      </x:c>
      <x:c r="AA385" s="25" t="str">
        <x:v>Public cash-home-buyer directory lists business name, phone and market. Directory entry may include brokers or service providers.</x:v>
      </x:c>
      <x:c r="AB385" s="3" t="str">
        <x:v>New public-source collection</x:v>
      </x:c>
      <x:c r="AC385" s="3" t="str">
        <x:v>unverified</x:v>
      </x:c>
      <x:c r="AD385" s="3" t="str">
        <x:v>Not contacted / unconfirmed</x:v>
      </x:c>
      <x:c r="AE385" s="3" t="str">
        <x:v>No</x:v>
      </x:c>
      <x:c r="AF385" s="3" t="str">
        <x:v>No</x:v>
      </x:c>
      <x:c r="AG385" s="3"/>
      <x:c r="AH385" s="3"/>
      <x:c r="AI385" s="18"/>
      <x:c r="AJ385" s="3" t="str">
        <x:v>CF2500-98D5C01828A6</x:v>
      </x:c>
      <x:c r="AK385" s="3" t="str">
        <x:v>Property investor / home-buying operator prospect</x:v>
      </x:c>
      <x:c r="AL385" s="19" t="n">
        <x:v>100000</x:v>
      </x:c>
      <x:c r="AM385" s="19" t="n">
        <x:v>500000</x:v>
      </x:c>
      <x:c r="AN385" s="3" t="str">
        <x:v>https://www.cashhomebuyersdirectory.com/cash-home-buyers/illinois/west-frankfort</x:v>
      </x:c>
      <x:c r="AO385" s="3" t="str">
        <x:v>nc_il_az_co_investors.jsonl</x:v>
      </x:c>
      <x:c r="AP385" s="19"/>
    </x:row>
    <x:row r="386" ht="36" customHeight="1">
      <x:c r="A386" s="23" t="n">
        <x:v>385</x:v>
      </x:c>
      <x:c r="B386" s="15" t="str">
        <x:v>Simple Home Buyer of Florida</x:v>
      </x:c>
      <x:c r="C386" s="15"/>
      <x:c r="D386" s="15" t="str">
        <x:v>Property investor / home-buying operator</x:v>
      </x:c>
      <x:c r="E386" s="15" t="str">
        <x:v>Property investor / operator inquiry</x:v>
      </x:c>
      <x:c r="F386" s="17" t="str">
        <x:v>New</x:v>
      </x:c>
      <x:c r="G386" s="24"/>
      <x:c r="H386" s="24" t="str">
        <x:v>+13529952694</x:v>
      </x:c>
      <x:c r="I386" s="24" t="str">
        <x:v>https://simplehomefl.com/</x:v>
      </x:c>
      <x:c r="J386" s="16" t="str">
        <x:v>FL</x:v>
      </x:c>
      <x:c r="K386" s="16" t="str">
        <x:v>Orlando</x:v>
      </x:c>
      <x:c r="L386" s="16" t="str">
        <x:v>Public property-business route; investor decision maker unconfirmed</x:v>
      </x:c>
      <x:c r="M386" s="16" t="str">
        <x:v>https://simplehomefl.com/</x:v>
      </x:c>
      <x:c r="N386" s="16" t="str">
        <x:v>$100K-$500K ticket not published / unconfirmed</x:v>
      </x:c>
      <x:c r="O386" s="20"/>
      <x:c r="P386" s="20"/>
      <x:c r="Q386" s="25" t="str">
        <x:v>No $100K-$500K corporate-investment ticket published in checked source</x:v>
      </x:c>
      <x:c r="R386" s="25" t="str">
        <x:v>Property acquisition or investor activity makes this an operator-capital prospect for the signed trial. Confirm operating-company debt/equity appetite.</x:v>
      </x:c>
      <x:c r="S386" s="25" t="str">
        <x:v>Home-buying activity does not verify ability or willingness to invest $100K-$500K into 101XVC operating company. Website and contact verification pending.</x:v>
      </x:c>
      <x:c r="T386" s="25" t="str">
        <x:v>Ask the owner/investor whether they can allocate $100K-$500K to trial marketing and acquisitions, and confirm structure, timing and decision authority.</x:v>
      </x:c>
      <x:c r="U386" s="25" t="str">
        <x:v>https://www.cashhomebuyersdirectory.com/cash-home-buyers/florida/orlando</x:v>
      </x:c>
      <x:c r="V386" s="26" t="d">
        <x:v>2026-10-02T00:00:00.000Z</x:v>
      </x:c>
      <x:c r="W386" s="26" t="d">
        <x:v>2026-10-03T00:00:00.000Z</x:v>
      </x:c>
      <x:c r="X386" s="25" t="str">
        <x:v>Public investor directory; business role and contact ownership require qualification</x:v>
      </x:c>
      <x:c r="Y386" s="25"/>
      <x:c r="Z386" s="25" t="str">
        <x:v>https://www.cashhomebuyersdirectory.com/cash-home-buyers/florida/orlando</x:v>
      </x:c>
      <x:c r="AA386" s="25" t="str">
        <x:v>Public cash-home-buyer directory lists business name, phone and market. Directory entry may include brokers or service providers.</x:v>
      </x:c>
      <x:c r="AB386" s="3" t="str">
        <x:v>New public-source collection</x:v>
      </x:c>
      <x:c r="AC386" s="3" t="str">
        <x:v>unverified</x:v>
      </x:c>
      <x:c r="AD386" s="3" t="str">
        <x:v>Not contacted / unconfirmed</x:v>
      </x:c>
      <x:c r="AE386" s="3" t="str">
        <x:v>No</x:v>
      </x:c>
      <x:c r="AF386" s="3" t="str">
        <x:v>No</x:v>
      </x:c>
      <x:c r="AG386" s="3"/>
      <x:c r="AH386" s="3"/>
      <x:c r="AI386" s="18"/>
      <x:c r="AJ386" s="3" t="str">
        <x:v>CF2500-EF7064B22045</x:v>
      </x:c>
      <x:c r="AK386" s="3" t="str">
        <x:v>Property investor / home-buying operator prospect</x:v>
      </x:c>
      <x:c r="AL386" s="19" t="n">
        <x:v>100000</x:v>
      </x:c>
      <x:c r="AM386" s="19" t="n">
        <x:v>500000</x:v>
      </x:c>
      <x:c r="AN386" s="3" t="str">
        <x:v>https://www.cashhomebuyersdirectory.com/cash-home-buyers/florida/orlando</x:v>
      </x:c>
      <x:c r="AO386" s="3" t="str">
        <x:v>tx_fl_investors.jsonl</x:v>
      </x:c>
      <x:c r="AP386" s="19"/>
    </x:row>
    <x:row r="387" ht="36" customHeight="1">
      <x:c r="A387" s="23" t="n">
        <x:v>386</x:v>
      </x:c>
      <x:c r="B387" s="15" t="str">
        <x:v>Smartvest Home Buyers</x:v>
      </x:c>
      <x:c r="C387" s="15"/>
      <x:c r="D387" s="15" t="str">
        <x:v>Property investor / home-buying operator</x:v>
      </x:c>
      <x:c r="E387" s="15" t="str">
        <x:v>Property investor / operator inquiry</x:v>
      </x:c>
      <x:c r="F387" s="17" t="str">
        <x:v>New</x:v>
      </x:c>
      <x:c r="G387" s="24"/>
      <x:c r="H387" s="24" t="str">
        <x:v>+18305704086</x:v>
      </x:c>
      <x:c r="I387" s="24" t="str">
        <x:v>https://smartvest-texas.com/</x:v>
      </x:c>
      <x:c r="J387" s="16" t="str">
        <x:v>TX</x:v>
      </x:c>
      <x:c r="K387" s="16" t="str">
        <x:v>Houston</x:v>
      </x:c>
      <x:c r="L387" s="16" t="str">
        <x:v>Public property-business route; investor decision maker unconfirmed</x:v>
      </x:c>
      <x:c r="M387" s="16" t="str">
        <x:v>https://smartvest-texas.com/</x:v>
      </x:c>
      <x:c r="N387" s="16" t="str">
        <x:v>$100K-$500K ticket not published / unconfirmed</x:v>
      </x:c>
      <x:c r="O387" s="20"/>
      <x:c r="P387" s="20"/>
      <x:c r="Q387" s="25" t="str">
        <x:v>No $100K-$500K corporate-investment ticket published in checked source</x:v>
      </x:c>
      <x:c r="R387" s="25" t="str">
        <x:v>Property acquisition or investor activity makes this an operator-capital prospect for the signed trial. Confirm operating-company debt/equity appetite.</x:v>
      </x:c>
      <x:c r="S387" s="25" t="str">
        <x:v>Home-buying activity does not verify ability or willingness to invest $100K-$500K into 101XVC operating company. Website and contact verification pending.</x:v>
      </x:c>
      <x:c r="T387" s="25" t="str">
        <x:v>Ask the owner/investor whether they can allocate $100K-$500K to trial marketing and acquisitions, and confirm structure, timing and decision authority.</x:v>
      </x:c>
      <x:c r="U387" s="25" t="str">
        <x:v>https://www.cashhomebuyersdirectory.com/cash-home-buyers/texas/houston</x:v>
      </x:c>
      <x:c r="V387" s="26" t="d">
        <x:v>2026-10-02T00:00:00.000Z</x:v>
      </x:c>
      <x:c r="W387" s="26" t="d">
        <x:v>2026-10-03T00:00:00.000Z</x:v>
      </x:c>
      <x:c r="X387" s="25" t="str">
        <x:v>Public investor directory; business role and contact ownership require qualification</x:v>
      </x:c>
      <x:c r="Y387" s="25"/>
      <x:c r="Z387" s="25" t="str">
        <x:v>https://www.cashhomebuyersdirectory.com/cash-home-buyers/texas/houston</x:v>
      </x:c>
      <x:c r="AA387" s="25" t="str">
        <x:v>Public cash-home-buyer directory lists business name, phone and market. Directory entry may include brokers or service providers.</x:v>
      </x:c>
      <x:c r="AB387" s="3" t="str">
        <x:v>New public-source collection</x:v>
      </x:c>
      <x:c r="AC387" s="3" t="str">
        <x:v>unverified</x:v>
      </x:c>
      <x:c r="AD387" s="3" t="str">
        <x:v>Not contacted / unconfirmed</x:v>
      </x:c>
      <x:c r="AE387" s="3" t="str">
        <x:v>No</x:v>
      </x:c>
      <x:c r="AF387" s="3" t="str">
        <x:v>No</x:v>
      </x:c>
      <x:c r="AG387" s="3"/>
      <x:c r="AH387" s="3"/>
      <x:c r="AI387" s="18"/>
      <x:c r="AJ387" s="3" t="str">
        <x:v>CF2500-2EFA6C147E61</x:v>
      </x:c>
      <x:c r="AK387" s="3" t="str">
        <x:v>Property investor / home-buying operator prospect</x:v>
      </x:c>
      <x:c r="AL387" s="19" t="n">
        <x:v>100000</x:v>
      </x:c>
      <x:c r="AM387" s="19" t="n">
        <x:v>500000</x:v>
      </x:c>
      <x:c r="AN387" s="3" t="str">
        <x:v>https://www.cashhomebuyersdirectory.com/cash-home-buyers/texas/houston</x:v>
      </x:c>
      <x:c r="AO387" s="3" t="str">
        <x:v>tx_fl_investors.jsonl</x:v>
      </x:c>
      <x:c r="AP387" s="19"/>
    </x:row>
    <x:row r="388" ht="36" customHeight="1">
      <x:c r="A388" s="23" t="n">
        <x:v>387</x:v>
      </x:c>
      <x:c r="B388" s="15" t="str">
        <x:v>Smooth Closing - Sell My House Fast</x:v>
      </x:c>
      <x:c r="C388" s="15"/>
      <x:c r="D388" s="15" t="str">
        <x:v>Property investor / home-buying operator</x:v>
      </x:c>
      <x:c r="E388" s="15" t="str">
        <x:v>Property investor / operator inquiry</x:v>
      </x:c>
      <x:c r="F388" s="17" t="str">
        <x:v>New</x:v>
      </x:c>
      <x:c r="G388" s="24"/>
      <x:c r="H388" s="24" t="str">
        <x:v>+15123689989</x:v>
      </x:c>
      <x:c r="I388" s="24" t="str">
        <x:v>http://www.smoothclosing.com/</x:v>
      </x:c>
      <x:c r="J388" s="16" t="str">
        <x:v>TX</x:v>
      </x:c>
      <x:c r="K388" s="16" t="str">
        <x:v>Austin</x:v>
      </x:c>
      <x:c r="L388" s="16" t="str">
        <x:v>Public property-business route; investor decision maker unconfirmed</x:v>
      </x:c>
      <x:c r="M388" s="16" t="str">
        <x:v>http://www.smoothclosing.com/</x:v>
      </x:c>
      <x:c r="N388" s="16" t="str">
        <x:v>$100K-$500K ticket not published / unconfirmed</x:v>
      </x:c>
      <x:c r="O388" s="20"/>
      <x:c r="P388" s="20"/>
      <x:c r="Q388" s="25" t="str">
        <x:v>No $100K-$500K corporate-investment ticket published in checked source</x:v>
      </x:c>
      <x:c r="R388" s="25" t="str">
        <x:v>Property acquisition or investor activity makes this an operator-capital prospect for the signed trial. Confirm operating-company debt/equity appetite.</x:v>
      </x:c>
      <x:c r="S388" s="25" t="str">
        <x:v>Home-buying activity does not verify ability or willingness to invest $100K-$500K into 101XVC operating company. Website and contact verification pending.</x:v>
      </x:c>
      <x:c r="T388" s="25" t="str">
        <x:v>Ask the owner/investor whether they can allocate $100K-$500K to trial marketing and acquisitions, and confirm structure, timing and decision authority.</x:v>
      </x:c>
      <x:c r="U388" s="25" t="str">
        <x:v>https://www.cashhomebuyersdirectory.com/cash-home-buyers/texas/austin</x:v>
      </x:c>
      <x:c r="V388" s="26" t="d">
        <x:v>2026-10-02T00:00:00.000Z</x:v>
      </x:c>
      <x:c r="W388" s="26" t="d">
        <x:v>2026-10-03T00:00:00.000Z</x:v>
      </x:c>
      <x:c r="X388" s="25" t="str">
        <x:v>Public investor directory; business role and contact ownership require qualification</x:v>
      </x:c>
      <x:c r="Y388" s="25"/>
      <x:c r="Z388" s="25" t="str">
        <x:v>https://www.cashhomebuyersdirectory.com/cash-home-buyers/texas/austin</x:v>
      </x:c>
      <x:c r="AA388" s="25" t="str">
        <x:v>Public cash-home-buyer directory lists business name, phone and market. Directory entry may include brokers or service providers.</x:v>
      </x:c>
      <x:c r="AB388" s="3" t="str">
        <x:v>New public-source collection</x:v>
      </x:c>
      <x:c r="AC388" s="3" t="str">
        <x:v>unverified</x:v>
      </x:c>
      <x:c r="AD388" s="3" t="str">
        <x:v>Not contacted / unconfirmed</x:v>
      </x:c>
      <x:c r="AE388" s="3" t="str">
        <x:v>No</x:v>
      </x:c>
      <x:c r="AF388" s="3" t="str">
        <x:v>No</x:v>
      </x:c>
      <x:c r="AG388" s="3"/>
      <x:c r="AH388" s="3"/>
      <x:c r="AI388" s="18"/>
      <x:c r="AJ388" s="3" t="str">
        <x:v>CF2500-EA390B04E197</x:v>
      </x:c>
      <x:c r="AK388" s="3" t="str">
        <x:v>Property investor / home-buying operator prospect</x:v>
      </x:c>
      <x:c r="AL388" s="19" t="n">
        <x:v>100000</x:v>
      </x:c>
      <x:c r="AM388" s="19" t="n">
        <x:v>500000</x:v>
      </x:c>
      <x:c r="AN388" s="3" t="str">
        <x:v>https://www.cashhomebuyersdirectory.com/cash-home-buyers/texas/austin</x:v>
      </x:c>
      <x:c r="AO388" s="3" t="str">
        <x:v>tx_fl_investors.jsonl</x:v>
      </x:c>
      <x:c r="AP388" s="19"/>
    </x:row>
    <x:row r="389" ht="36" customHeight="1">
      <x:c r="A389" s="23" t="n">
        <x:v>388</x:v>
      </x:c>
      <x:c r="B389" s="15" t="str">
        <x:v>Sound Home Buying</x:v>
      </x:c>
      <x:c r="C389" s="15"/>
      <x:c r="D389" s="15" t="str">
        <x:v>Property investor / home-buying operator</x:v>
      </x:c>
      <x:c r="E389" s="15" t="str">
        <x:v>Property investor / operator inquiry</x:v>
      </x:c>
      <x:c r="F389" s="17" t="str">
        <x:v>New</x:v>
      </x:c>
      <x:c r="G389" s="24"/>
      <x:c r="H389" s="24" t="str">
        <x:v>+18062305419</x:v>
      </x:c>
      <x:c r="I389" s="24" t="str">
        <x:v>https://soundhomebuying.com/cities/lubbock</x:v>
      </x:c>
      <x:c r="J389" s="16" t="str">
        <x:v>TX</x:v>
      </x:c>
      <x:c r="K389" s="16" t="str">
        <x:v>Lubbock</x:v>
      </x:c>
      <x:c r="L389" s="16" t="str">
        <x:v>Public property-business route; investor decision maker unconfirmed</x:v>
      </x:c>
      <x:c r="M389" s="16" t="str">
        <x:v>https://soundhomebuying.com/cities/lubbock</x:v>
      </x:c>
      <x:c r="N389" s="16" t="str">
        <x:v>$100K-$500K ticket not published / unconfirmed</x:v>
      </x:c>
      <x:c r="O389" s="20"/>
      <x:c r="P389" s="20"/>
      <x:c r="Q389" s="25" t="str">
        <x:v>No $100K-$500K corporate-investment ticket published in checked source</x:v>
      </x:c>
      <x:c r="R389" s="25" t="str">
        <x:v>Property acquisition or investor activity makes this an operator-capital prospect for the signed trial. Confirm operating-company debt/equity appetite.</x:v>
      </x:c>
      <x:c r="S389" s="25" t="str">
        <x:v>Home-buying activity does not verify ability or willingness to invest $100K-$500K into 101XVC operating company. Website and contact verification pending.</x:v>
      </x:c>
      <x:c r="T389" s="25" t="str">
        <x:v>Ask the owner/investor whether they can allocate $100K-$500K to trial marketing and acquisitions, and confirm structure, timing and decision authority.</x:v>
      </x:c>
      <x:c r="U389" s="25" t="str">
        <x:v>https://www.cashhomebuyersdirectory.com/cash-home-buyers/texas/lubbock</x:v>
      </x:c>
      <x:c r="V389" s="26" t="d">
        <x:v>2026-10-02T00:00:00.000Z</x:v>
      </x:c>
      <x:c r="W389" s="26" t="d">
        <x:v>2026-10-03T00:00:00.000Z</x:v>
      </x:c>
      <x:c r="X389" s="25" t="str">
        <x:v>Public investor directory; business role and contact ownership require qualification</x:v>
      </x:c>
      <x:c r="Y389" s="25"/>
      <x:c r="Z389" s="25" t="str">
        <x:v>https://www.cashhomebuyersdirectory.com/cash-home-buyers/texas/lubbock</x:v>
      </x:c>
      <x:c r="AA389" s="25" t="str">
        <x:v>Public cash-home-buyer directory lists business name, phone and market. Directory entry may include brokers or service providers.</x:v>
      </x:c>
      <x:c r="AB389" s="3" t="str">
        <x:v>New public-source collection</x:v>
      </x:c>
      <x:c r="AC389" s="3" t="str">
        <x:v>unverified</x:v>
      </x:c>
      <x:c r="AD389" s="3" t="str">
        <x:v>Not contacted / unconfirmed</x:v>
      </x:c>
      <x:c r="AE389" s="3" t="str">
        <x:v>No</x:v>
      </x:c>
      <x:c r="AF389" s="3" t="str">
        <x:v>No</x:v>
      </x:c>
      <x:c r="AG389" s="3"/>
      <x:c r="AH389" s="3"/>
      <x:c r="AI389" s="18"/>
      <x:c r="AJ389" s="3" t="str">
        <x:v>CF2500-58254CB4683E</x:v>
      </x:c>
      <x:c r="AK389" s="3" t="str">
        <x:v>Property investor / home-buying operator prospect</x:v>
      </x:c>
      <x:c r="AL389" s="19" t="n">
        <x:v>100000</x:v>
      </x:c>
      <x:c r="AM389" s="19" t="n">
        <x:v>500000</x:v>
      </x:c>
      <x:c r="AN389" s="3" t="str">
        <x:v>https://www.cashhomebuyersdirectory.com/cash-home-buyers/texas/lubbock</x:v>
      </x:c>
      <x:c r="AO389" s="3" t="str">
        <x:v>tx_fl_investors.jsonl</x:v>
      </x:c>
      <x:c r="AP389" s="19"/>
    </x:row>
    <x:row r="390" ht="36" customHeight="1">
      <x:c r="A390" s="23" t="n">
        <x:v>389</x:v>
      </x:c>
      <x:c r="B390" s="15" t="str">
        <x:v>South Florida Cash Home Buyers</x:v>
      </x:c>
      <x:c r="C390" s="15"/>
      <x:c r="D390" s="15" t="str">
        <x:v>Property investor / home-buying operator</x:v>
      </x:c>
      <x:c r="E390" s="15" t="str">
        <x:v>Property investor / operator inquiry</x:v>
      </x:c>
      <x:c r="F390" s="17" t="str">
        <x:v>New</x:v>
      </x:c>
      <x:c r="G390" s="24"/>
      <x:c r="H390" s="24" t="str">
        <x:v>+13054588826</x:v>
      </x:c>
      <x:c r="I390" s="24" t="str">
        <x:v>https://www.sfchb.com/</x:v>
      </x:c>
      <x:c r="J390" s="16" t="str">
        <x:v>FL</x:v>
      </x:c>
      <x:c r="K390" s="16" t="str">
        <x:v>Miami</x:v>
      </x:c>
      <x:c r="L390" s="16" t="str">
        <x:v>Public property-business route; investor decision maker unconfirmed</x:v>
      </x:c>
      <x:c r="M390" s="16" t="str">
        <x:v>https://www.sfchb.com/</x:v>
      </x:c>
      <x:c r="N390" s="16" t="str">
        <x:v>$100K-$500K ticket not published / unconfirmed</x:v>
      </x:c>
      <x:c r="O390" s="20"/>
      <x:c r="P390" s="20"/>
      <x:c r="Q390" s="25" t="str">
        <x:v>No $100K-$500K corporate-investment ticket published in checked source</x:v>
      </x:c>
      <x:c r="R390" s="25" t="str">
        <x:v>Property acquisition or investor activity makes this an operator-capital prospect for the signed trial. Confirm operating-company debt/equity appetite.</x:v>
      </x:c>
      <x:c r="S390" s="25" t="str">
        <x:v>Home-buying activity does not verify ability or willingness to invest $100K-$500K into 101XVC operating company. Website and contact verification pending.</x:v>
      </x:c>
      <x:c r="T390" s="25" t="str">
        <x:v>Ask the owner/investor whether they can allocate $100K-$500K to trial marketing and acquisitions, and confirm structure, timing and decision authority.</x:v>
      </x:c>
      <x:c r="U390" s="25" t="str">
        <x:v>https://www.cashhomebuyersdirectory.com/cash-home-buyers/florida/miami</x:v>
      </x:c>
      <x:c r="V390" s="26" t="d">
        <x:v>2026-10-02T00:00:00.000Z</x:v>
      </x:c>
      <x:c r="W390" s="26" t="d">
        <x:v>2026-10-03T00:00:00.000Z</x:v>
      </x:c>
      <x:c r="X390" s="25" t="str">
        <x:v>Public investor directory; business role and contact ownership require qualification</x:v>
      </x:c>
      <x:c r="Y390" s="25"/>
      <x:c r="Z390" s="25" t="str">
        <x:v>https://www.cashhomebuyersdirectory.com/cash-home-buyers/florida/miami</x:v>
      </x:c>
      <x:c r="AA390" s="25" t="str">
        <x:v>Public cash-home-buyer directory lists business name, phone and market. Directory entry may include brokers or service providers.</x:v>
      </x:c>
      <x:c r="AB390" s="3" t="str">
        <x:v>New public-source collection</x:v>
      </x:c>
      <x:c r="AC390" s="3" t="str">
        <x:v>unverified</x:v>
      </x:c>
      <x:c r="AD390" s="3" t="str">
        <x:v>Not contacted / unconfirmed</x:v>
      </x:c>
      <x:c r="AE390" s="3" t="str">
        <x:v>No</x:v>
      </x:c>
      <x:c r="AF390" s="3" t="str">
        <x:v>No</x:v>
      </x:c>
      <x:c r="AG390" s="3"/>
      <x:c r="AH390" s="3"/>
      <x:c r="AI390" s="18"/>
      <x:c r="AJ390" s="3" t="str">
        <x:v>CF2500-7FAF11FA3131</x:v>
      </x:c>
      <x:c r="AK390" s="3" t="str">
        <x:v>Property investor / home-buying operator prospect</x:v>
      </x:c>
      <x:c r="AL390" s="19" t="n">
        <x:v>100000</x:v>
      </x:c>
      <x:c r="AM390" s="19" t="n">
        <x:v>500000</x:v>
      </x:c>
      <x:c r="AN390" s="3" t="str">
        <x:v>https://www.cashhomebuyersdirectory.com/cash-home-buyers/florida/miami</x:v>
      </x:c>
      <x:c r="AO390" s="3" t="str">
        <x:v>tx_fl_investors.jsonl</x:v>
      </x:c>
      <x:c r="AP390" s="19"/>
    </x:row>
    <x:row r="391" ht="36" customHeight="1">
      <x:c r="A391" s="23" t="n">
        <x:v>390</x:v>
      </x:c>
      <x:c r="B391" s="15" t="str">
        <x:v>South Florida Home Buyers</x:v>
      </x:c>
      <x:c r="C391" s="15"/>
      <x:c r="D391" s="15" t="str">
        <x:v>Property investor / home-buying operator</x:v>
      </x:c>
      <x:c r="E391" s="15" t="str">
        <x:v>Property investor / operator inquiry</x:v>
      </x:c>
      <x:c r="F391" s="17" t="str">
        <x:v>New</x:v>
      </x:c>
      <x:c r="G391" s="24"/>
      <x:c r="H391" s="24" t="str">
        <x:v>+19549980319</x:v>
      </x:c>
      <x:c r="I391" s="24" t="str">
        <x:v>https://www.southfloridahomebuyers.com/</x:v>
      </x:c>
      <x:c r="J391" s="16" t="str">
        <x:v>FL</x:v>
      </x:c>
      <x:c r="K391" s="16" t="str">
        <x:v>Miami</x:v>
      </x:c>
      <x:c r="L391" s="16" t="str">
        <x:v>Public property-business route; investor decision maker unconfirmed</x:v>
      </x:c>
      <x:c r="M391" s="16" t="str">
        <x:v>https://www.southfloridahomebuyers.com/</x:v>
      </x:c>
      <x:c r="N391" s="16" t="str">
        <x:v>$100K-$500K ticket not published / unconfirmed</x:v>
      </x:c>
      <x:c r="O391" s="20"/>
      <x:c r="P391" s="20"/>
      <x:c r="Q391" s="25" t="str">
        <x:v>No $100K-$500K corporate-investment ticket published in checked source</x:v>
      </x:c>
      <x:c r="R391" s="25" t="str">
        <x:v>Property acquisition or investor activity makes this an operator-capital prospect for the signed trial. Confirm operating-company debt/equity appetite.</x:v>
      </x:c>
      <x:c r="S391" s="25" t="str">
        <x:v>Home-buying activity does not verify ability or willingness to invest $100K-$500K into 101XVC operating company. Website and contact verification pending.</x:v>
      </x:c>
      <x:c r="T391" s="25" t="str">
        <x:v>Ask the owner/investor whether they can allocate $100K-$500K to trial marketing and acquisitions, and confirm structure, timing and decision authority.</x:v>
      </x:c>
      <x:c r="U391" s="25" t="str">
        <x:v>https://www.cashhomebuyersdirectory.com/cash-home-buyers/florida/miami</x:v>
      </x:c>
      <x:c r="V391" s="26" t="d">
        <x:v>2026-10-02T00:00:00.000Z</x:v>
      </x:c>
      <x:c r="W391" s="26" t="d">
        <x:v>2026-10-03T00:00:00.000Z</x:v>
      </x:c>
      <x:c r="X391" s="25" t="str">
        <x:v>Public investor directory; business role and contact ownership require qualification</x:v>
      </x:c>
      <x:c r="Y391" s="25"/>
      <x:c r="Z391" s="25" t="str">
        <x:v>https://www.cashhomebuyersdirectory.com/cash-home-buyers/florida/miami</x:v>
      </x:c>
      <x:c r="AA391" s="25" t="str">
        <x:v>Public cash-home-buyer directory lists business name, phone and market. Directory entry may include brokers or service providers.</x:v>
      </x:c>
      <x:c r="AB391" s="3" t="str">
        <x:v>New public-source collection</x:v>
      </x:c>
      <x:c r="AC391" s="3" t="str">
        <x:v>unverified</x:v>
      </x:c>
      <x:c r="AD391" s="3" t="str">
        <x:v>Not contacted / unconfirmed</x:v>
      </x:c>
      <x:c r="AE391" s="3" t="str">
        <x:v>No</x:v>
      </x:c>
      <x:c r="AF391" s="3" t="str">
        <x:v>No</x:v>
      </x:c>
      <x:c r="AG391" s="3"/>
      <x:c r="AH391" s="3"/>
      <x:c r="AI391" s="18"/>
      <x:c r="AJ391" s="3" t="str">
        <x:v>CF2500-5605C6090058</x:v>
      </x:c>
      <x:c r="AK391" s="3" t="str">
        <x:v>Property investor / home-buying operator prospect</x:v>
      </x:c>
      <x:c r="AL391" s="19" t="n">
        <x:v>100000</x:v>
      </x:c>
      <x:c r="AM391" s="19" t="n">
        <x:v>500000</x:v>
      </x:c>
      <x:c r="AN391" s="3" t="str">
        <x:v>https://www.cashhomebuyersdirectory.com/cash-home-buyers/florida/miami</x:v>
      </x:c>
      <x:c r="AO391" s="3" t="str">
        <x:v>tx_fl_investors.jsonl</x:v>
      </x:c>
      <x:c r="AP391" s="19"/>
    </x:row>
    <x:row r="392" ht="36" customHeight="1">
      <x:c r="A392" s="23" t="n">
        <x:v>391</x:v>
      </x:c>
      <x:c r="B392" s="15" t="str">
        <x:v>South Texas Home Investors</x:v>
      </x:c>
      <x:c r="C392" s="15"/>
      <x:c r="D392" s="15" t="str">
        <x:v>Property investor / home-buying operator</x:v>
      </x:c>
      <x:c r="E392" s="15" t="str">
        <x:v>Property investor / operator inquiry</x:v>
      </x:c>
      <x:c r="F392" s="17" t="str">
        <x:v>New</x:v>
      </x:c>
      <x:c r="G392" s="24"/>
      <x:c r="H392" s="24" t="str">
        <x:v>+12109723635</x:v>
      </x:c>
      <x:c r="I392" s="24" t="str">
        <x:v>https://www.southtexashomeinvestors.com/</x:v>
      </x:c>
      <x:c r="J392" s="16" t="str">
        <x:v>TX</x:v>
      </x:c>
      <x:c r="K392" s="16" t="str">
        <x:v>San Antonio</x:v>
      </x:c>
      <x:c r="L392" s="16" t="str">
        <x:v>Public property-business route; investor decision maker unconfirmed</x:v>
      </x:c>
      <x:c r="M392" s="16" t="str">
        <x:v>https://www.southtexashomeinvestors.com/</x:v>
      </x:c>
      <x:c r="N392" s="16" t="str">
        <x:v>$100K-$500K ticket not published / unconfirmed</x:v>
      </x:c>
      <x:c r="O392" s="20"/>
      <x:c r="P392" s="20"/>
      <x:c r="Q392" s="25" t="str">
        <x:v>No $100K-$500K corporate-investment ticket published in checked source</x:v>
      </x:c>
      <x:c r="R392" s="25" t="str">
        <x:v>Property acquisition or investor activity makes this an operator-capital prospect for the signed trial. Confirm operating-company debt/equity appetite.</x:v>
      </x:c>
      <x:c r="S392" s="25" t="str">
        <x:v>Home-buying activity does not verify ability or willingness to invest $100K-$500K into 101XVC operating company. Website and contact verification pending.</x:v>
      </x:c>
      <x:c r="T392" s="25" t="str">
        <x:v>Ask the owner/investor whether they can allocate $100K-$500K to trial marketing and acquisitions, and confirm structure, timing and decision authority.</x:v>
      </x:c>
      <x:c r="U392" s="25" t="str">
        <x:v>https://www.cashhomebuyersdirectory.com/cash-home-buyers/texas/san-antonio</x:v>
      </x:c>
      <x:c r="V392" s="26" t="d">
        <x:v>2026-10-02T00:00:00.000Z</x:v>
      </x:c>
      <x:c r="W392" s="26" t="d">
        <x:v>2026-10-03T00:00:00.000Z</x:v>
      </x:c>
      <x:c r="X392" s="25" t="str">
        <x:v>Public investor directory; business role and contact ownership require qualification</x:v>
      </x:c>
      <x:c r="Y392" s="25"/>
      <x:c r="Z392" s="25" t="str">
        <x:v>https://www.cashhomebuyersdirectory.com/cash-home-buyers/texas/san-antonio</x:v>
      </x:c>
      <x:c r="AA392" s="25" t="str">
        <x:v>Public cash-home-buyer directory lists business name, phone and market. Directory entry may include brokers or service providers.</x:v>
      </x:c>
      <x:c r="AB392" s="3" t="str">
        <x:v>New public-source collection</x:v>
      </x:c>
      <x:c r="AC392" s="3" t="str">
        <x:v>unverified</x:v>
      </x:c>
      <x:c r="AD392" s="3" t="str">
        <x:v>Not contacted / unconfirmed</x:v>
      </x:c>
      <x:c r="AE392" s="3" t="str">
        <x:v>No</x:v>
      </x:c>
      <x:c r="AF392" s="3" t="str">
        <x:v>No</x:v>
      </x:c>
      <x:c r="AG392" s="3"/>
      <x:c r="AH392" s="3"/>
      <x:c r="AI392" s="18"/>
      <x:c r="AJ392" s="3" t="str">
        <x:v>CF2500-91DD3859F5E1</x:v>
      </x:c>
      <x:c r="AK392" s="3" t="str">
        <x:v>Property investor / home-buying operator prospect</x:v>
      </x:c>
      <x:c r="AL392" s="19" t="n">
        <x:v>100000</x:v>
      </x:c>
      <x:c r="AM392" s="19" t="n">
        <x:v>500000</x:v>
      </x:c>
      <x:c r="AN392" s="3" t="str">
        <x:v>https://www.cashhomebuyersdirectory.com/cash-home-buyers/texas/san-antonio</x:v>
      </x:c>
      <x:c r="AO392" s="3" t="str">
        <x:v>tx_fl_investors.jsonl</x:v>
      </x:c>
      <x:c r="AP392" s="19"/>
    </x:row>
    <x:row r="393" ht="36" customHeight="1">
      <x:c r="A393" s="23" t="n">
        <x:v>392</x:v>
      </x:c>
      <x:c r="B393" s="15" t="str">
        <x:v>Southern AZ HomeBuyer</x:v>
      </x:c>
      <x:c r="C393" s="15"/>
      <x:c r="D393" s="15" t="str">
        <x:v>Property investor / home-buying operator</x:v>
      </x:c>
      <x:c r="E393" s="15" t="str">
        <x:v>Property investor / operator inquiry</x:v>
      </x:c>
      <x:c r="F393" s="17" t="str">
        <x:v>New</x:v>
      </x:c>
      <x:c r="G393" s="24"/>
      <x:c r="H393" s="24" t="str">
        <x:v>+15204063126</x:v>
      </x:c>
      <x:c r="I393" s="24" t="str">
        <x:v>http://southernazhb.com/</x:v>
      </x:c>
      <x:c r="J393" s="16" t="str">
        <x:v>AZ</x:v>
      </x:c>
      <x:c r="K393" s="16" t="str">
        <x:v>Tucson</x:v>
      </x:c>
      <x:c r="L393" s="16" t="str">
        <x:v>Public property-business route; investor decision maker unconfirmed</x:v>
      </x:c>
      <x:c r="M393" s="16" t="str">
        <x:v>http://southernazhb.com/</x:v>
      </x:c>
      <x:c r="N393" s="16" t="str">
        <x:v>$100K-$500K ticket not published / unconfirmed</x:v>
      </x:c>
      <x:c r="O393" s="20"/>
      <x:c r="P393" s="20"/>
      <x:c r="Q393" s="25" t="str">
        <x:v>No $100K-$500K operating-company investment ticket verified</x:v>
      </x:c>
      <x:c r="R393" s="25" t="str">
        <x:v>Property acquisition or investor activity makes this an operator-capital prospect for the signed trial. Confirm operating-company debt/equity appetite.</x:v>
      </x:c>
      <x:c r="S393" s="25" t="str">
        <x:v>Public property-buying activity or a directory listing does not establish available cash, investing decision-maker, current $100K-$500K capacity, or willingness to fund 101XVC operating costs.</x:v>
      </x:c>
      <x:c r="T393" s="25" t="str">
        <x:v>Ask the owner/investor whether they can allocate $100K-$500K to trial marketing and acquisitions, and confirm structure, timing and decision authority.</x:v>
      </x:c>
      <x:c r="U393" s="25" t="str">
        <x:v>https://www.cashhomebuyersdirectory.com/cash-home-buyers/arizona/tucson</x:v>
      </x:c>
      <x:c r="V393" s="26" t="d">
        <x:v>2026-10-02T00:00:00.000Z</x:v>
      </x:c>
      <x:c r="W393" s="26" t="d">
        <x:v>2026-10-02T00:00:00.000Z</x:v>
      </x:c>
      <x:c r="X393" s="25" t="str">
        <x:v>Public investor directory; business role and contact ownership require qualification</x:v>
      </x:c>
      <x:c r="Y393" s="25"/>
      <x:c r="Z393" s="25" t="str">
        <x:v>https://www.cashhomebuyersdirectory.com/cash-home-buyers/arizona/tucson</x:v>
      </x:c>
      <x:c r="AA393" s="25" t="str">
        <x:v>Public cash-home-buyer directory lists business name, phone and market. Directory entry may include brokers or service providers.</x:v>
      </x:c>
      <x:c r="AB393" s="3" t="str">
        <x:v>New public-source collection</x:v>
      </x:c>
      <x:c r="AC393" s="3" t="str">
        <x:v>unverified</x:v>
      </x:c>
      <x:c r="AD393" s="3" t="str">
        <x:v>Not contacted / unconfirmed</x:v>
      </x:c>
      <x:c r="AE393" s="3" t="str">
        <x:v>No</x:v>
      </x:c>
      <x:c r="AF393" s="3" t="str">
        <x:v>No</x:v>
      </x:c>
      <x:c r="AG393" s="3"/>
      <x:c r="AH393" s="3"/>
      <x:c r="AI393" s="18"/>
      <x:c r="AJ393" s="3" t="str">
        <x:v>CF2500-58A502110341</x:v>
      </x:c>
      <x:c r="AK393" s="3" t="str">
        <x:v>Property investor / home-buying operator prospect</x:v>
      </x:c>
      <x:c r="AL393" s="19" t="n">
        <x:v>100000</x:v>
      </x:c>
      <x:c r="AM393" s="19" t="n">
        <x:v>500000</x:v>
      </x:c>
      <x:c r="AN393" s="3" t="str">
        <x:v>https://www.cashhomebuyersdirectory.com/cash-home-buyers/arizona/tucson</x:v>
      </x:c>
      <x:c r="AO393" s="3" t="str">
        <x:v>nc_il_az_co_investors.jsonl</x:v>
      </x:c>
      <x:c r="AP393" s="19"/>
    </x:row>
    <x:row r="394" ht="36" customHeight="1">
      <x:c r="A394" s="23" t="n">
        <x:v>393</x:v>
      </x:c>
      <x:c r="B394" s="15" t="str">
        <x:v>Southern Hills Home Buyers</x:v>
      </x:c>
      <x:c r="C394" s="15"/>
      <x:c r="D394" s="15" t="str">
        <x:v>Property investor / home-buying operator</x:v>
      </x:c>
      <x:c r="E394" s="15" t="str">
        <x:v>Property investor / operator inquiry</x:v>
      </x:c>
      <x:c r="F394" s="17" t="str">
        <x:v>New</x:v>
      </x:c>
      <x:c r="G394" s="24"/>
      <x:c r="H394" s="24" t="str">
        <x:v>+12142253042</x:v>
      </x:c>
      <x:c r="I394" s="24" t="str">
        <x:v>https://www.southernhillshomebuyers.com/</x:v>
      </x:c>
      <x:c r="J394" s="16" t="str">
        <x:v>TX</x:v>
      </x:c>
      <x:c r="K394" s="16" t="str">
        <x:v>Dallas</x:v>
      </x:c>
      <x:c r="L394" s="16" t="str">
        <x:v>Public property-business route; investor decision maker unconfirmed</x:v>
      </x:c>
      <x:c r="M394" s="16" t="str">
        <x:v>https://www.southernhillshomebuyers.com/</x:v>
      </x:c>
      <x:c r="N394" s="16" t="str">
        <x:v>$100K-$500K ticket not published / unconfirmed</x:v>
      </x:c>
      <x:c r="O394" s="20"/>
      <x:c r="P394" s="20"/>
      <x:c r="Q394" s="25" t="str">
        <x:v>No $100K-$500K corporate-investment ticket published in checked source</x:v>
      </x:c>
      <x:c r="R394" s="25" t="str">
        <x:v>Property acquisition or investor activity makes this an operator-capital prospect for the signed trial. Confirm operating-company debt/equity appetite.</x:v>
      </x:c>
      <x:c r="S394" s="25" t="str">
        <x:v>Home-buying activity does not verify ability or willingness to invest $100K-$500K into 101XVC operating company. Website and contact verification pending.</x:v>
      </x:c>
      <x:c r="T394" s="25" t="str">
        <x:v>Ask the owner/investor whether they can allocate $100K-$500K to trial marketing and acquisitions, and confirm structure, timing and decision authority.</x:v>
      </x:c>
      <x:c r="U394" s="25" t="str">
        <x:v>https://www.cashhomebuyersdirectory.com/cash-home-buyers/texas/dallas</x:v>
      </x:c>
      <x:c r="V394" s="26" t="d">
        <x:v>2026-10-02T00:00:00.000Z</x:v>
      </x:c>
      <x:c r="W394" s="26" t="d">
        <x:v>2026-10-03T00:00:00.000Z</x:v>
      </x:c>
      <x:c r="X394" s="25" t="str">
        <x:v>Public investor directory; business role and contact ownership require qualification</x:v>
      </x:c>
      <x:c r="Y394" s="25"/>
      <x:c r="Z394" s="25" t="str">
        <x:v>https://www.cashhomebuyersdirectory.com/cash-home-buyers/texas/dallas</x:v>
      </x:c>
      <x:c r="AA394" s="25" t="str">
        <x:v>Public cash-home-buyer directory lists business name, phone and market. Directory entry may include brokers or service providers.</x:v>
      </x:c>
      <x:c r="AB394" s="3" t="str">
        <x:v>New public-source collection</x:v>
      </x:c>
      <x:c r="AC394" s="3" t="str">
        <x:v>unverified</x:v>
      </x:c>
      <x:c r="AD394" s="3" t="str">
        <x:v>Not contacted / unconfirmed</x:v>
      </x:c>
      <x:c r="AE394" s="3" t="str">
        <x:v>No</x:v>
      </x:c>
      <x:c r="AF394" s="3" t="str">
        <x:v>No</x:v>
      </x:c>
      <x:c r="AG394" s="3"/>
      <x:c r="AH394" s="3"/>
      <x:c r="AI394" s="18"/>
      <x:c r="AJ394" s="3" t="str">
        <x:v>CF2500-45D65339A5EB</x:v>
      </x:c>
      <x:c r="AK394" s="3" t="str">
        <x:v>Property investor / home-buying operator prospect</x:v>
      </x:c>
      <x:c r="AL394" s="19" t="n">
        <x:v>100000</x:v>
      </x:c>
      <x:c r="AM394" s="19" t="n">
        <x:v>500000</x:v>
      </x:c>
      <x:c r="AN394" s="3" t="str">
        <x:v>https://www.cashhomebuyersdirectory.com/cash-home-buyers/texas/dallas</x:v>
      </x:c>
      <x:c r="AO394" s="3" t="str">
        <x:v>tx_fl_investors.jsonl</x:v>
      </x:c>
      <x:c r="AP394" s="19"/>
    </x:row>
    <x:row r="395" ht="36" customHeight="1">
      <x:c r="A395" s="23" t="n">
        <x:v>394</x:v>
      </x:c>
      <x:c r="B395" s="15" t="str">
        <x:v>Space City House Buyers</x:v>
      </x:c>
      <x:c r="C395" s="15"/>
      <x:c r="D395" s="15" t="str">
        <x:v>Property investor / home-buying operator</x:v>
      </x:c>
      <x:c r="E395" s="15" t="str">
        <x:v>Property investor / operator inquiry</x:v>
      </x:c>
      <x:c r="F395" s="17" t="str">
        <x:v>New</x:v>
      </x:c>
      <x:c r="G395" s="24"/>
      <x:c r="H395" s="24" t="str">
        <x:v>+13465414413</x:v>
      </x:c>
      <x:c r="I395" s="24" t="str">
        <x:v>https://spacecitybuyshouses.com/</x:v>
      </x:c>
      <x:c r="J395" s="16" t="str">
        <x:v>TX</x:v>
      </x:c>
      <x:c r="K395" s="16" t="str">
        <x:v>Houston</x:v>
      </x:c>
      <x:c r="L395" s="16" t="str">
        <x:v>Public property-business route; investor decision maker unconfirmed</x:v>
      </x:c>
      <x:c r="M395" s="16" t="str">
        <x:v>https://spacecitybuyshouses.com/</x:v>
      </x:c>
      <x:c r="N395" s="16" t="str">
        <x:v>$100K-$500K ticket not published / unconfirmed</x:v>
      </x:c>
      <x:c r="O395" s="20"/>
      <x:c r="P395" s="20"/>
      <x:c r="Q395" s="25" t="str">
        <x:v>No $100K-$500K corporate-investment ticket published in checked source</x:v>
      </x:c>
      <x:c r="R395" s="25" t="str">
        <x:v>Property acquisition or investor activity makes this an operator-capital prospect for the signed trial. Confirm operating-company debt/equity appetite.</x:v>
      </x:c>
      <x:c r="S395" s="25" t="str">
        <x:v>Home-buying activity does not verify ability or willingness to invest $100K-$500K into 101XVC operating company. Website and contact verification pending.</x:v>
      </x:c>
      <x:c r="T395" s="25" t="str">
        <x:v>Ask the owner/investor whether they can allocate $100K-$500K to trial marketing and acquisitions, and confirm structure, timing and decision authority.</x:v>
      </x:c>
      <x:c r="U395" s="25" t="str">
        <x:v>https://www.cashhomebuyersdirectory.com/cash-home-buyers/texas/houston</x:v>
      </x:c>
      <x:c r="V395" s="26" t="d">
        <x:v>2026-10-02T00:00:00.000Z</x:v>
      </x:c>
      <x:c r="W395" s="26" t="d">
        <x:v>2026-10-03T00:00:00.000Z</x:v>
      </x:c>
      <x:c r="X395" s="25" t="str">
        <x:v>Public investor directory; business role and contact ownership require qualification</x:v>
      </x:c>
      <x:c r="Y395" s="25"/>
      <x:c r="Z395" s="25" t="str">
        <x:v>https://www.cashhomebuyersdirectory.com/cash-home-buyers/texas/houston</x:v>
      </x:c>
      <x:c r="AA395" s="25" t="str">
        <x:v>Public cash-home-buyer directory lists business name, phone and market. Directory entry may include brokers or service providers.</x:v>
      </x:c>
      <x:c r="AB395" s="3" t="str">
        <x:v>New public-source collection</x:v>
      </x:c>
      <x:c r="AC395" s="3" t="str">
        <x:v>unverified</x:v>
      </x:c>
      <x:c r="AD395" s="3" t="str">
        <x:v>Not contacted / unconfirmed</x:v>
      </x:c>
      <x:c r="AE395" s="3" t="str">
        <x:v>No</x:v>
      </x:c>
      <x:c r="AF395" s="3" t="str">
        <x:v>No</x:v>
      </x:c>
      <x:c r="AG395" s="3"/>
      <x:c r="AH395" s="3"/>
      <x:c r="AI395" s="18"/>
      <x:c r="AJ395" s="3" t="str">
        <x:v>CF2500-6ECFA74293D4</x:v>
      </x:c>
      <x:c r="AK395" s="3" t="str">
        <x:v>Property investor / home-buying operator prospect</x:v>
      </x:c>
      <x:c r="AL395" s="19" t="n">
        <x:v>100000</x:v>
      </x:c>
      <x:c r="AM395" s="19" t="n">
        <x:v>500000</x:v>
      </x:c>
      <x:c r="AN395" s="3" t="str">
        <x:v>https://www.cashhomebuyersdirectory.com/cash-home-buyers/texas/houston</x:v>
      </x:c>
      <x:c r="AO395" s="3" t="str">
        <x:v>tx_fl_investors.jsonl</x:v>
      </x:c>
      <x:c r="AP395" s="19"/>
    </x:row>
    <x:row r="396" ht="36" customHeight="1">
      <x:c r="A396" s="23" t="n">
        <x:v>395</x:v>
      </x:c>
      <x:c r="B396" s="15" t="str">
        <x:v>Sparkling City Home Buyers</x:v>
      </x:c>
      <x:c r="C396" s="15"/>
      <x:c r="D396" s="15" t="str">
        <x:v>Property investor / home-buying operator</x:v>
      </x:c>
      <x:c r="E396" s="15" t="str">
        <x:v>Property investor / operator inquiry</x:v>
      </x:c>
      <x:c r="F396" s="17" t="str">
        <x:v>New</x:v>
      </x:c>
      <x:c r="G396" s="24"/>
      <x:c r="H396" s="24" t="str">
        <x:v>+13612713625</x:v>
      </x:c>
      <x:c r="I396" s="24" t="str">
        <x:v>https://www.schbpropertyinvestmentsllc.com/</x:v>
      </x:c>
      <x:c r="J396" s="16" t="str">
        <x:v>TX</x:v>
      </x:c>
      <x:c r="K396" s="16"/>
      <x:c r="L396" s="16" t="str">
        <x:v>Public property-business route; investor decision maker unconfirmed</x:v>
      </x:c>
      <x:c r="M396" s="16" t="str">
        <x:v>https://www.schbpropertyinvestmentsllc.com/</x:v>
      </x:c>
      <x:c r="N396" s="16" t="str">
        <x:v>$100K-$500K ticket not published / unconfirmed</x:v>
      </x:c>
      <x:c r="O396" s="20"/>
      <x:c r="P396" s="20"/>
      <x:c r="Q396" s="25" t="str">
        <x:v>No $100K-$500K corporate-investment ticket published in checked source</x:v>
      </x:c>
      <x:c r="R396" s="25" t="str">
        <x:v>Property acquisition or investor activity makes this an operator-capital prospect for the signed trial. Confirm operating-company debt/equity appetite.</x:v>
      </x:c>
      <x:c r="S396" s="25" t="str">
        <x:v>Home-buying activity does not verify ability or willingness to invest $100K-$500K into 101XVC operating company. Website and contact verification pending.</x:v>
      </x:c>
      <x:c r="T396" s="25" t="str">
        <x:v>Ask the owner/investor whether they can allocate $100K-$500K to trial marketing and acquisitions, and confirm structure, timing and decision authority.</x:v>
      </x:c>
      <x:c r="U396" s="25" t="str">
        <x:v>https://www.cashhomebuyersdirectory.com/cash-home-buyers/texas/corpus-christi</x:v>
      </x:c>
      <x:c r="V396" s="26" t="d">
        <x:v>2026-10-02T00:00:00.000Z</x:v>
      </x:c>
      <x:c r="W396" s="26" t="d">
        <x:v>2026-10-03T00:00:00.000Z</x:v>
      </x:c>
      <x:c r="X396" s="25" t="str">
        <x:v>Public investor directory; business role and contact ownership require qualification</x:v>
      </x:c>
      <x:c r="Y396" s="25"/>
      <x:c r="Z396" s="25" t="str">
        <x:v>https://www.cashhomebuyersdirectory.com/cash-home-buyers/texas/corpus-christi</x:v>
      </x:c>
      <x:c r="AA396" s="25" t="str">
        <x:v>Public cash-home-buyer directory lists business name, phone and market. Directory entry may include brokers or service providers.</x:v>
      </x:c>
      <x:c r="AB396" s="3" t="str">
        <x:v>New public-source collection</x:v>
      </x:c>
      <x:c r="AC396" s="3" t="str">
        <x:v>unverified</x:v>
      </x:c>
      <x:c r="AD396" s="3" t="str">
        <x:v>Not contacted / unconfirmed</x:v>
      </x:c>
      <x:c r="AE396" s="3" t="str">
        <x:v>No</x:v>
      </x:c>
      <x:c r="AF396" s="3" t="str">
        <x:v>No</x:v>
      </x:c>
      <x:c r="AG396" s="3"/>
      <x:c r="AH396" s="3"/>
      <x:c r="AI396" s="18"/>
      <x:c r="AJ396" s="3" t="str">
        <x:v>CF2500-2E792A779E62</x:v>
      </x:c>
      <x:c r="AK396" s="3" t="str">
        <x:v>Property investor / home-buying operator prospect</x:v>
      </x:c>
      <x:c r="AL396" s="19" t="n">
        <x:v>100000</x:v>
      </x:c>
      <x:c r="AM396" s="19" t="n">
        <x:v>500000</x:v>
      </x:c>
      <x:c r="AN396" s="3" t="str">
        <x:v>https://www.cashhomebuyersdirectory.com/cash-home-buyers/texas/corpus-christi</x:v>
      </x:c>
      <x:c r="AO396" s="3" t="str">
        <x:v>tx_fl_investors.jsonl</x:v>
      </x:c>
      <x:c r="AP396" s="19"/>
    </x:row>
    <x:row r="397" ht="36" customHeight="1">
      <x:c r="A397" s="23" t="n">
        <x:v>396</x:v>
      </x:c>
      <x:c r="B397" s="15" t="str">
        <x:v>Steady Close - Real Estate Investments</x:v>
      </x:c>
      <x:c r="C397" s="15"/>
      <x:c r="D397" s="15" t="str">
        <x:v>Property investor / home-buying operator</x:v>
      </x:c>
      <x:c r="E397" s="15" t="str">
        <x:v>Property investor / operator inquiry</x:v>
      </x:c>
      <x:c r="F397" s="17" t="str">
        <x:v>New</x:v>
      </x:c>
      <x:c r="G397" s="24"/>
      <x:c r="H397" s="24" t="str">
        <x:v>+19046945679</x:v>
      </x:c>
      <x:c r="I397" s="24" t="str">
        <x:v>https://www.steadyclose.com/</x:v>
      </x:c>
      <x:c r="J397" s="16" t="str">
        <x:v>FL</x:v>
      </x:c>
      <x:c r="K397" s="16" t="str">
        <x:v>Jacksonville</x:v>
      </x:c>
      <x:c r="L397" s="16" t="str">
        <x:v>Public property-business route; investor decision maker unconfirmed</x:v>
      </x:c>
      <x:c r="M397" s="16" t="str">
        <x:v>https://www.steadyclose.com/</x:v>
      </x:c>
      <x:c r="N397" s="16" t="str">
        <x:v>$100K-$500K ticket not published / unconfirmed</x:v>
      </x:c>
      <x:c r="O397" s="20"/>
      <x:c r="P397" s="20"/>
      <x:c r="Q397" s="25" t="str">
        <x:v>No $100K-$500K corporate-investment ticket published in checked source</x:v>
      </x:c>
      <x:c r="R397" s="25" t="str">
        <x:v>Property acquisition or investor activity makes this an operator-capital prospect for the signed trial. Confirm operating-company debt/equity appetite.</x:v>
      </x:c>
      <x:c r="S397" s="25" t="str">
        <x:v>Home-buying activity does not verify ability or willingness to invest $100K-$500K into 101XVC operating company. Website and contact verification pending.</x:v>
      </x:c>
      <x:c r="T397" s="25" t="str">
        <x:v>Ask the owner/investor whether they can allocate $100K-$500K to trial marketing and acquisitions, and confirm structure, timing and decision authority.</x:v>
      </x:c>
      <x:c r="U397" s="25" t="str">
        <x:v>https://www.cashhomebuyersdirectory.com/cash-home-buyers/florida/jacksonville</x:v>
      </x:c>
      <x:c r="V397" s="26" t="d">
        <x:v>2026-10-02T00:00:00.000Z</x:v>
      </x:c>
      <x:c r="W397" s="26" t="d">
        <x:v>2026-10-03T00:00:00.000Z</x:v>
      </x:c>
      <x:c r="X397" s="25" t="str">
        <x:v>Public investor directory; business role and contact ownership require qualification</x:v>
      </x:c>
      <x:c r="Y397" s="25"/>
      <x:c r="Z397" s="25" t="str">
        <x:v>https://www.cashhomebuyersdirectory.com/cash-home-buyers/florida/jacksonville</x:v>
      </x:c>
      <x:c r="AA397" s="25" t="str">
        <x:v>Public cash-home-buyer directory lists business name, phone and market. Directory entry may include brokers or service providers.</x:v>
      </x:c>
      <x:c r="AB397" s="3" t="str">
        <x:v>New public-source collection</x:v>
      </x:c>
      <x:c r="AC397" s="3" t="str">
        <x:v>unverified</x:v>
      </x:c>
      <x:c r="AD397" s="3" t="str">
        <x:v>Not contacted / unconfirmed</x:v>
      </x:c>
      <x:c r="AE397" s="3" t="str">
        <x:v>No</x:v>
      </x:c>
      <x:c r="AF397" s="3" t="str">
        <x:v>No</x:v>
      </x:c>
      <x:c r="AG397" s="3"/>
      <x:c r="AH397" s="3"/>
      <x:c r="AI397" s="18"/>
      <x:c r="AJ397" s="3" t="str">
        <x:v>CF2500-8A54638BCB15</x:v>
      </x:c>
      <x:c r="AK397" s="3" t="str">
        <x:v>Property investor / home-buying operator prospect</x:v>
      </x:c>
      <x:c r="AL397" s="19" t="n">
        <x:v>100000</x:v>
      </x:c>
      <x:c r="AM397" s="19" t="n">
        <x:v>500000</x:v>
      </x:c>
      <x:c r="AN397" s="3" t="str">
        <x:v>https://www.cashhomebuyersdirectory.com/cash-home-buyers/florida/jacksonville</x:v>
      </x:c>
      <x:c r="AO397" s="3" t="str">
        <x:v>tx_fl_investors.jsonl</x:v>
      </x:c>
      <x:c r="AP397" s="19"/>
    </x:row>
    <x:row r="398" ht="36" customHeight="1">
      <x:c r="A398" s="23" t="n">
        <x:v>397</x:v>
      </x:c>
      <x:c r="B398" s="15" t="str">
        <x:v>Strata Home Buyers</x:v>
      </x:c>
      <x:c r="C398" s="15"/>
      <x:c r="D398" s="15" t="str">
        <x:v>Property investor / home-buying operator</x:v>
      </x:c>
      <x:c r="E398" s="15" t="str">
        <x:v>Property investor / operator inquiry</x:v>
      </x:c>
      <x:c r="F398" s="17" t="str">
        <x:v>New</x:v>
      </x:c>
      <x:c r="G398" s="24"/>
      <x:c r="H398" s="24" t="str">
        <x:v>+17088538064</x:v>
      </x:c>
      <x:c r="I398" s="24" t="str">
        <x:v>https://stratahomebuyers.com/</x:v>
      </x:c>
      <x:c r="J398" s="16" t="str">
        <x:v>IL</x:v>
      </x:c>
      <x:c r="K398" s="16" t="str">
        <x:v>Orland Park</x:v>
      </x:c>
      <x:c r="L398" s="16" t="str">
        <x:v>Public property-business route; investor decision maker unconfirmed</x:v>
      </x:c>
      <x:c r="M398" s="16" t="str">
        <x:v>https://stratahomebuyers.com/</x:v>
      </x:c>
      <x:c r="N398" s="16" t="str">
        <x:v>$100K-$500K ticket not published / unconfirmed</x:v>
      </x:c>
      <x:c r="O398" s="20"/>
      <x:c r="P398" s="20"/>
      <x:c r="Q398" s="25" t="str">
        <x:v>No $100K-$500K operating-company investment ticket verified</x:v>
      </x:c>
      <x:c r="R398" s="25" t="str">
        <x:v>Property acquisition or investor activity makes this an operator-capital prospect for the signed trial. Confirm operating-company debt/equity appetite.</x:v>
      </x:c>
      <x:c r="S398" s="25" t="str">
        <x:v>Public property-buying activity or a directory listing does not establish available cash, investing decision-maker, current $100K-$500K capacity, or willingness to fund 101XVC operating costs.</x:v>
      </x:c>
      <x:c r="T398" s="25" t="str">
        <x:v>Ask the owner/investor whether they can allocate $100K-$500K to trial marketing and acquisitions, and confirm structure, timing and decision authority.</x:v>
      </x:c>
      <x:c r="U398" s="25" t="str">
        <x:v>https://www.cashhomebuyersdirectory.com/cash-home-buyers/illinois/orland-park</x:v>
      </x:c>
      <x:c r="V398" s="26" t="d">
        <x:v>2026-10-02T00:00:00.000Z</x:v>
      </x:c>
      <x:c r="W398" s="26" t="d">
        <x:v>2026-10-02T00:00:00.000Z</x:v>
      </x:c>
      <x:c r="X398" s="25" t="str">
        <x:v>Public investor directory; business role and contact ownership require qualification</x:v>
      </x:c>
      <x:c r="Y398" s="25"/>
      <x:c r="Z398" s="25" t="str">
        <x:v>https://www.cashhomebuyersdirectory.com/cash-home-buyers/illinois/orland-park</x:v>
      </x:c>
      <x:c r="AA398" s="25" t="str">
        <x:v>Public cash-home-buyer directory lists business name, phone and market. Directory entry may include brokers or service providers.</x:v>
      </x:c>
      <x:c r="AB398" s="3" t="str">
        <x:v>New public-source collection</x:v>
      </x:c>
      <x:c r="AC398" s="3" t="str">
        <x:v>unverified</x:v>
      </x:c>
      <x:c r="AD398" s="3" t="str">
        <x:v>Not contacted / unconfirmed</x:v>
      </x:c>
      <x:c r="AE398" s="3" t="str">
        <x:v>No</x:v>
      </x:c>
      <x:c r="AF398" s="3" t="str">
        <x:v>No</x:v>
      </x:c>
      <x:c r="AG398" s="3"/>
      <x:c r="AH398" s="3"/>
      <x:c r="AI398" s="18"/>
      <x:c r="AJ398" s="3" t="str">
        <x:v>CF2500-E3BD74FEA70E</x:v>
      </x:c>
      <x:c r="AK398" s="3" t="str">
        <x:v>Property investor / home-buying operator prospect</x:v>
      </x:c>
      <x:c r="AL398" s="19" t="n">
        <x:v>100000</x:v>
      </x:c>
      <x:c r="AM398" s="19" t="n">
        <x:v>500000</x:v>
      </x:c>
      <x:c r="AN398" s="3" t="str">
        <x:v>https://www.cashhomebuyersdirectory.com/cash-home-buyers/illinois/orland-park</x:v>
      </x:c>
      <x:c r="AO398" s="3" t="str">
        <x:v>nc_il_az_co_investors.jsonl</x:v>
      </x:c>
      <x:c r="AP398" s="19"/>
    </x:row>
    <x:row r="399" ht="36" customHeight="1">
      <x:c r="A399" s="23" t="n">
        <x:v>398</x:v>
      </x:c>
      <x:c r="B399" s="15" t="str">
        <x:v>Strike Zone Investments, LLC | Cash Home Buyers</x:v>
      </x:c>
      <x:c r="C399" s="15"/>
      <x:c r="D399" s="15" t="str">
        <x:v>Property investor / home-buying operator</x:v>
      </x:c>
      <x:c r="E399" s="15" t="str">
        <x:v>Property investor / operator inquiry</x:v>
      </x:c>
      <x:c r="F399" s="17" t="str">
        <x:v>New</x:v>
      </x:c>
      <x:c r="G399" s="24"/>
      <x:c r="H399" s="24" t="str">
        <x:v>+14092237434</x:v>
      </x:c>
      <x:c r="I399" s="24" t="str">
        <x:v>https://www.texasdadbuyshouses.com/</x:v>
      </x:c>
      <x:c r="J399" s="16" t="str">
        <x:v>TX</x:v>
      </x:c>
      <x:c r="K399" s="16"/>
      <x:c r="L399" s="16" t="str">
        <x:v>Public property-business route; investor decision maker unconfirmed</x:v>
      </x:c>
      <x:c r="M399" s="16" t="str">
        <x:v>https://www.texasdadbuyshouses.com/</x:v>
      </x:c>
      <x:c r="N399" s="16" t="str">
        <x:v>$100K-$500K ticket not published / unconfirmed</x:v>
      </x:c>
      <x:c r="O399" s="20"/>
      <x:c r="P399" s="20"/>
      <x:c r="Q399" s="25" t="str">
        <x:v>No $100K-$500K corporate-investment ticket published in checked source</x:v>
      </x:c>
      <x:c r="R399" s="25" t="str">
        <x:v>Property acquisition or investor activity makes this an operator-capital prospect for the signed trial. Confirm operating-company debt/equity appetite.</x:v>
      </x:c>
      <x:c r="S399" s="25" t="str">
        <x:v>Home-buying activity does not verify ability or willingness to invest $100K-$500K into 101XVC operating company. Website and contact verification pending.</x:v>
      </x:c>
      <x:c r="T399" s="25" t="str">
        <x:v>Ask the owner/investor whether they can allocate $100K-$500K to trial marketing and acquisitions, and confirm structure, timing and decision authority.</x:v>
      </x:c>
      <x:c r="U399" s="25" t="str">
        <x:v>https://www.cashhomebuyersdirectory.com/cash-home-buyers/texas/beaumont</x:v>
      </x:c>
      <x:c r="V399" s="26" t="d">
        <x:v>2026-10-02T00:00:00.000Z</x:v>
      </x:c>
      <x:c r="W399" s="26" t="d">
        <x:v>2026-10-03T00:00:00.000Z</x:v>
      </x:c>
      <x:c r="X399" s="25" t="str">
        <x:v>Public investor directory; business role and contact ownership require qualification</x:v>
      </x:c>
      <x:c r="Y399" s="25"/>
      <x:c r="Z399" s="25" t="str">
        <x:v>https://www.cashhomebuyersdirectory.com/cash-home-buyers/texas/beaumont</x:v>
      </x:c>
      <x:c r="AA399" s="25" t="str">
        <x:v>Public cash-home-buyer directory lists business name, phone and market. Directory entry may include brokers or service providers.</x:v>
      </x:c>
      <x:c r="AB399" s="3" t="str">
        <x:v>New public-source collection</x:v>
      </x:c>
      <x:c r="AC399" s="3" t="str">
        <x:v>unverified</x:v>
      </x:c>
      <x:c r="AD399" s="3" t="str">
        <x:v>Not contacted / unconfirmed</x:v>
      </x:c>
      <x:c r="AE399" s="3" t="str">
        <x:v>No</x:v>
      </x:c>
      <x:c r="AF399" s="3" t="str">
        <x:v>No</x:v>
      </x:c>
      <x:c r="AG399" s="3"/>
      <x:c r="AH399" s="3"/>
      <x:c r="AI399" s="18"/>
      <x:c r="AJ399" s="3" t="str">
        <x:v>CF2500-1A5462FA9E1D</x:v>
      </x:c>
      <x:c r="AK399" s="3" t="str">
        <x:v>Property investor / home-buying operator prospect</x:v>
      </x:c>
      <x:c r="AL399" s="19" t="n">
        <x:v>100000</x:v>
      </x:c>
      <x:c r="AM399" s="19" t="n">
        <x:v>500000</x:v>
      </x:c>
      <x:c r="AN399" s="3" t="str">
        <x:v>https://www.cashhomebuyersdirectory.com/cash-home-buyers/texas/beaumont</x:v>
      </x:c>
      <x:c r="AO399" s="3" t="str">
        <x:v>tx_fl_investors.jsonl</x:v>
      </x:c>
      <x:c r="AP399" s="19"/>
    </x:row>
    <x:row r="400" ht="36" customHeight="1">
      <x:c r="A400" s="23" t="n">
        <x:v>399</x:v>
      </x:c>
      <x:c r="B400" s="15" t="str">
        <x:v>Sun Coast Home Buyers</x:v>
      </x:c>
      <x:c r="C400" s="15"/>
      <x:c r="D400" s="15" t="str">
        <x:v>Property investor / home-buying operator</x:v>
      </x:c>
      <x:c r="E400" s="15" t="str">
        <x:v>Property investor / operator inquiry</x:v>
      </x:c>
      <x:c r="F400" s="17" t="str">
        <x:v>New</x:v>
      </x:c>
      <x:c r="G400" s="24"/>
      <x:c r="H400" s="24" t="str">
        <x:v>+19412166616</x:v>
      </x:c>
      <x:c r="I400" s="24" t="str">
        <x:v>https://suncoasthomebuyers.com/sarasota/</x:v>
      </x:c>
      <x:c r="J400" s="16" t="str">
        <x:v>FL</x:v>
      </x:c>
      <x:c r="K400" s="16"/>
      <x:c r="L400" s="16" t="str">
        <x:v>Public property-business route; investor decision maker unconfirmed</x:v>
      </x:c>
      <x:c r="M400" s="16" t="str">
        <x:v>https://suncoasthomebuyers.com/sarasota/</x:v>
      </x:c>
      <x:c r="N400" s="16" t="str">
        <x:v>$100K-$500K ticket not published / unconfirmed</x:v>
      </x:c>
      <x:c r="O400" s="20"/>
      <x:c r="P400" s="20"/>
      <x:c r="Q400" s="25" t="str">
        <x:v>No $100K-$500K corporate-investment ticket published in checked source</x:v>
      </x:c>
      <x:c r="R400" s="25" t="str">
        <x:v>Property acquisition or investor activity makes this an operator-capital prospect for the signed trial. Confirm operating-company debt/equity appetite.</x:v>
      </x:c>
      <x:c r="S400" s="25" t="str">
        <x:v>Home-buying activity does not verify ability or willingness to invest $100K-$500K into 101XVC operating company. Website and contact verification pending.</x:v>
      </x:c>
      <x:c r="T400" s="25" t="str">
        <x:v>Ask the owner/investor whether they can allocate $100K-$500K to trial marketing and acquisitions, and confirm structure, timing and decision authority.</x:v>
      </x:c>
      <x:c r="U400" s="25" t="str">
        <x:v>https://www.cashhomebuyersdirectory.com/cash-home-buyers/florida/sarasota</x:v>
      </x:c>
      <x:c r="V400" s="26" t="d">
        <x:v>2026-10-02T00:00:00.000Z</x:v>
      </x:c>
      <x:c r="W400" s="26" t="d">
        <x:v>2026-10-03T00:00:00.000Z</x:v>
      </x:c>
      <x:c r="X400" s="25" t="str">
        <x:v>Public investor directory; business role and contact ownership require qualification</x:v>
      </x:c>
      <x:c r="Y400" s="25"/>
      <x:c r="Z400" s="25" t="str">
        <x:v>https://www.cashhomebuyersdirectory.com/cash-home-buyers/florida/sarasota</x:v>
      </x:c>
      <x:c r="AA400" s="25" t="str">
        <x:v>Public cash-home-buyer directory lists business name, phone and market. Directory entry may include brokers or service providers.</x:v>
      </x:c>
      <x:c r="AB400" s="3" t="str">
        <x:v>New public-source collection</x:v>
      </x:c>
      <x:c r="AC400" s="3" t="str">
        <x:v>unverified</x:v>
      </x:c>
      <x:c r="AD400" s="3" t="str">
        <x:v>Not contacted / unconfirmed</x:v>
      </x:c>
      <x:c r="AE400" s="3" t="str">
        <x:v>No</x:v>
      </x:c>
      <x:c r="AF400" s="3" t="str">
        <x:v>No</x:v>
      </x:c>
      <x:c r="AG400" s="3"/>
      <x:c r="AH400" s="3"/>
      <x:c r="AI400" s="18"/>
      <x:c r="AJ400" s="3" t="str">
        <x:v>CF2500-F75C6DCAACBF</x:v>
      </x:c>
      <x:c r="AK400" s="3" t="str">
        <x:v>Property investor / home-buying operator prospect</x:v>
      </x:c>
      <x:c r="AL400" s="19" t="n">
        <x:v>100000</x:v>
      </x:c>
      <x:c r="AM400" s="19" t="n">
        <x:v>500000</x:v>
      </x:c>
      <x:c r="AN400" s="3" t="str">
        <x:v>https://www.cashhomebuyersdirectory.com/cash-home-buyers/florida/sarasota</x:v>
      </x:c>
      <x:c r="AO400" s="3" t="str">
        <x:v>tx_fl_investors.jsonl</x:v>
      </x:c>
      <x:c r="AP400" s="19"/>
    </x:row>
    <x:row r="401" ht="36" customHeight="1">
      <x:c r="A401" s="23" t="n">
        <x:v>400</x:v>
      </x:c>
      <x:c r="B401" s="15" t="str">
        <x:v>Sunbelt Cash Offer</x:v>
      </x:c>
      <x:c r="C401" s="15"/>
      <x:c r="D401" s="15" t="str">
        <x:v>Property investor / home-buying operator</x:v>
      </x:c>
      <x:c r="E401" s="15" t="str">
        <x:v>Property investor / operator inquiry</x:v>
      </x:c>
      <x:c r="F401" s="17" t="str">
        <x:v>New</x:v>
      </x:c>
      <x:c r="G401" s="24"/>
      <x:c r="H401" s="24" t="str">
        <x:v>+19568844441</x:v>
      </x:c>
      <x:c r="I401" s="24" t="str">
        <x:v>https://www.sunbeltcashoffer.com/</x:v>
      </x:c>
      <x:c r="J401" s="16" t="str">
        <x:v>TX</x:v>
      </x:c>
      <x:c r="K401" s="16" t="str">
        <x:v>McAllen</x:v>
      </x:c>
      <x:c r="L401" s="16" t="str">
        <x:v>Public property-business route; investor decision maker unconfirmed</x:v>
      </x:c>
      <x:c r="M401" s="16" t="str">
        <x:v>https://www.sunbeltcashoffer.com/</x:v>
      </x:c>
      <x:c r="N401" s="16" t="str">
        <x:v>$100K-$500K ticket not published / unconfirmed</x:v>
      </x:c>
      <x:c r="O401" s="20"/>
      <x:c r="P401" s="20"/>
      <x:c r="Q401" s="25" t="str">
        <x:v>No $100K-$500K corporate-investment ticket published in checked source</x:v>
      </x:c>
      <x:c r="R401" s="25" t="str">
        <x:v>Property acquisition or investor activity makes this an operator-capital prospect for the signed trial. Confirm operating-company debt/equity appetite.</x:v>
      </x:c>
      <x:c r="S401" s="25" t="str">
        <x:v>Home-buying activity does not verify ability or willingness to invest $100K-$500K into 101XVC operating company. Website and contact verification pending.</x:v>
      </x:c>
      <x:c r="T401" s="25" t="str">
        <x:v>Ask the owner/investor whether they can allocate $100K-$500K to trial marketing and acquisitions, and confirm structure, timing and decision authority.</x:v>
      </x:c>
      <x:c r="U401" s="25" t="str">
        <x:v>https://www.cashhomebuyersdirectory.com/cash-home-buyers/texas/mcallen</x:v>
      </x:c>
      <x:c r="V401" s="26" t="d">
        <x:v>2026-10-02T00:00:00.000Z</x:v>
      </x:c>
      <x:c r="W401" s="26" t="d">
        <x:v>2026-10-03T00:00:00.000Z</x:v>
      </x:c>
      <x:c r="X401" s="25" t="str">
        <x:v>Public investor directory; business role and contact ownership require qualification</x:v>
      </x:c>
      <x:c r="Y401" s="25"/>
      <x:c r="Z401" s="25" t="str">
        <x:v>https://www.cashhomebuyersdirectory.com/cash-home-buyers/texas/mcallen</x:v>
      </x:c>
      <x:c r="AA401" s="25" t="str">
        <x:v>Public cash-home-buyer directory lists business name, phone and market. Directory entry may include brokers or service providers.</x:v>
      </x:c>
      <x:c r="AB401" s="3" t="str">
        <x:v>New public-source collection</x:v>
      </x:c>
      <x:c r="AC401" s="3" t="str">
        <x:v>unverified</x:v>
      </x:c>
      <x:c r="AD401" s="3" t="str">
        <x:v>Not contacted / unconfirmed</x:v>
      </x:c>
      <x:c r="AE401" s="3" t="str">
        <x:v>No</x:v>
      </x:c>
      <x:c r="AF401" s="3" t="str">
        <x:v>No</x:v>
      </x:c>
      <x:c r="AG401" s="3"/>
      <x:c r="AH401" s="3"/>
      <x:c r="AI401" s="18"/>
      <x:c r="AJ401" s="3" t="str">
        <x:v>CF2500-8CC370BC1D65</x:v>
      </x:c>
      <x:c r="AK401" s="3" t="str">
        <x:v>Property investor / home-buying operator prospect</x:v>
      </x:c>
      <x:c r="AL401" s="19" t="n">
        <x:v>100000</x:v>
      </x:c>
      <x:c r="AM401" s="19" t="n">
        <x:v>500000</x:v>
      </x:c>
      <x:c r="AN401" s="3" t="str">
        <x:v>https://www.cashhomebuyersdirectory.com/cash-home-buyers/texas/mcallen</x:v>
      </x:c>
      <x:c r="AO401" s="3" t="str">
        <x:v>tx_fl_investors.jsonl</x:v>
      </x:c>
      <x:c r="AP401" s="19"/>
    </x:row>
    <x:row r="402" ht="36" customHeight="1">
      <x:c r="A402" s="23" t="n">
        <x:v>401</x:v>
      </x:c>
      <x:c r="B402" s="15" t="str">
        <x:v>Sunshine State Home Buyers</x:v>
      </x:c>
      <x:c r="C402" s="15"/>
      <x:c r="D402" s="15" t="str">
        <x:v>Property investor / home-buying operator</x:v>
      </x:c>
      <x:c r="E402" s="15" t="str">
        <x:v>Property investor / operator inquiry</x:v>
      </x:c>
      <x:c r="F402" s="17" t="str">
        <x:v>New</x:v>
      </x:c>
      <x:c r="G402" s="24"/>
      <x:c r="H402" s="24" t="str">
        <x:v>+17723339840</x:v>
      </x:c>
      <x:c r="I402" s="24" t="str">
        <x:v>https://sunstatebuyers.com/</x:v>
      </x:c>
      <x:c r="J402" s="16" t="str">
        <x:v>FL</x:v>
      </x:c>
      <x:c r="K402" s="16"/>
      <x:c r="L402" s="16" t="str">
        <x:v>Public property-business route; investor decision maker unconfirmed</x:v>
      </x:c>
      <x:c r="M402" s="16" t="str">
        <x:v>https://sunstatebuyers.com/</x:v>
      </x:c>
      <x:c r="N402" s="16" t="str">
        <x:v>$100K-$500K ticket not published / unconfirmed</x:v>
      </x:c>
      <x:c r="O402" s="20"/>
      <x:c r="P402" s="20"/>
      <x:c r="Q402" s="25" t="str">
        <x:v>No $100K-$500K corporate-investment ticket published in checked source</x:v>
      </x:c>
      <x:c r="R402" s="25" t="str">
        <x:v>Property acquisition or investor activity makes this an operator-capital prospect for the signed trial. Confirm operating-company debt/equity appetite.</x:v>
      </x:c>
      <x:c r="S402" s="25" t="str">
        <x:v>Home-buying activity does not verify ability or willingness to invest $100K-$500K into 101XVC operating company. Website and contact verification pending.</x:v>
      </x:c>
      <x:c r="T402" s="25" t="str">
        <x:v>Ask the owner/investor whether they can allocate $100K-$500K to trial marketing and acquisitions, and confirm structure, timing and decision authority.</x:v>
      </x:c>
      <x:c r="U402" s="25" t="str">
        <x:v>https://www.cashhomebuyersdirectory.com/cash-home-buyers/florida/port-st-lucie</x:v>
      </x:c>
      <x:c r="V402" s="26" t="d">
        <x:v>2026-10-02T00:00:00.000Z</x:v>
      </x:c>
      <x:c r="W402" s="26" t="d">
        <x:v>2026-10-03T00:00:00.000Z</x:v>
      </x:c>
      <x:c r="X402" s="25" t="str">
        <x:v>Public investor directory; business role and contact ownership require qualification</x:v>
      </x:c>
      <x:c r="Y402" s="25"/>
      <x:c r="Z402" s="25" t="str">
        <x:v>https://www.cashhomebuyersdirectory.com/cash-home-buyers/florida/port-st-lucie</x:v>
      </x:c>
      <x:c r="AA402" s="25" t="str">
        <x:v>Public cash-home-buyer directory lists business name, phone and market. Directory entry may include brokers or service providers.</x:v>
      </x:c>
      <x:c r="AB402" s="3" t="str">
        <x:v>New public-source collection</x:v>
      </x:c>
      <x:c r="AC402" s="3" t="str">
        <x:v>unverified</x:v>
      </x:c>
      <x:c r="AD402" s="3" t="str">
        <x:v>Not contacted / unconfirmed</x:v>
      </x:c>
      <x:c r="AE402" s="3" t="str">
        <x:v>No</x:v>
      </x:c>
      <x:c r="AF402" s="3" t="str">
        <x:v>No</x:v>
      </x:c>
      <x:c r="AG402" s="3"/>
      <x:c r="AH402" s="3"/>
      <x:c r="AI402" s="18"/>
      <x:c r="AJ402" s="3" t="str">
        <x:v>CF2500-2A830CB248F5</x:v>
      </x:c>
      <x:c r="AK402" s="3" t="str">
        <x:v>Property investor / home-buying operator prospect</x:v>
      </x:c>
      <x:c r="AL402" s="19" t="n">
        <x:v>100000</x:v>
      </x:c>
      <x:c r="AM402" s="19" t="n">
        <x:v>500000</x:v>
      </x:c>
      <x:c r="AN402" s="3" t="str">
        <x:v>https://www.cashhomebuyersdirectory.com/cash-home-buyers/florida/port-st-lucie</x:v>
      </x:c>
      <x:c r="AO402" s="3" t="str">
        <x:v>tx_fl_investors.jsonl</x:v>
      </x:c>
      <x:c r="AP402" s="19"/>
    </x:row>
    <x:row r="403" ht="36" customHeight="1">
      <x:c r="A403" s="23" t="n">
        <x:v>402</x:v>
      </x:c>
      <x:c r="B403" s="15" t="str">
        <x:v>Swift Property Home Buyers</x:v>
      </x:c>
      <x:c r="C403" s="15"/>
      <x:c r="D403" s="15" t="str">
        <x:v>Property investor / home-buying operator</x:v>
      </x:c>
      <x:c r="E403" s="15" t="str">
        <x:v>Property investor / operator inquiry</x:v>
      </x:c>
      <x:c r="F403" s="17" t="str">
        <x:v>New</x:v>
      </x:c>
      <x:c r="G403" s="24"/>
      <x:c r="H403" s="24" t="str">
        <x:v>+12105700303</x:v>
      </x:c>
      <x:c r="I403" s="24" t="str">
        <x:v>https://swiftpropertyhomebuyers.com/</x:v>
      </x:c>
      <x:c r="J403" s="16" t="str">
        <x:v>TX</x:v>
      </x:c>
      <x:c r="K403" s="16" t="str">
        <x:v>San Antonio</x:v>
      </x:c>
      <x:c r="L403" s="16" t="str">
        <x:v>Public property-business route; investor decision maker unconfirmed</x:v>
      </x:c>
      <x:c r="M403" s="16" t="str">
        <x:v>https://swiftpropertyhomebuyers.com/</x:v>
      </x:c>
      <x:c r="N403" s="16" t="str">
        <x:v>$100K-$500K ticket not published / unconfirmed</x:v>
      </x:c>
      <x:c r="O403" s="20"/>
      <x:c r="P403" s="20"/>
      <x:c r="Q403" s="25" t="str">
        <x:v>No $100K-$500K corporate-investment ticket published in checked source</x:v>
      </x:c>
      <x:c r="R403" s="25" t="str">
        <x:v>Property acquisition or investor activity makes this an operator-capital prospect for the signed trial. Confirm operating-company debt/equity appetite.</x:v>
      </x:c>
      <x:c r="S403" s="25" t="str">
        <x:v>Home-buying activity does not verify ability or willingness to invest $100K-$500K into 101XVC operating company. Website and contact verification pending.</x:v>
      </x:c>
      <x:c r="T403" s="25" t="str">
        <x:v>Ask the owner/investor whether they can allocate $100K-$500K to trial marketing and acquisitions, and confirm structure, timing and decision authority.</x:v>
      </x:c>
      <x:c r="U403" s="25" t="str">
        <x:v>https://www.cashhomebuyersdirectory.com/cash-home-buyers/texas/san-antonio</x:v>
      </x:c>
      <x:c r="V403" s="26" t="d">
        <x:v>2026-10-02T00:00:00.000Z</x:v>
      </x:c>
      <x:c r="W403" s="26" t="d">
        <x:v>2026-10-03T00:00:00.000Z</x:v>
      </x:c>
      <x:c r="X403" s="25" t="str">
        <x:v>Public investor directory; business role and contact ownership require qualification</x:v>
      </x:c>
      <x:c r="Y403" s="25"/>
      <x:c r="Z403" s="25" t="str">
        <x:v>https://www.cashhomebuyersdirectory.com/cash-home-buyers/texas/san-antonio</x:v>
      </x:c>
      <x:c r="AA403" s="25" t="str">
        <x:v>Public cash-home-buyer directory lists business name, phone and market. Directory entry may include brokers or service providers.</x:v>
      </x:c>
      <x:c r="AB403" s="3" t="str">
        <x:v>New public-source collection</x:v>
      </x:c>
      <x:c r="AC403" s="3" t="str">
        <x:v>unverified</x:v>
      </x:c>
      <x:c r="AD403" s="3" t="str">
        <x:v>Not contacted / unconfirmed</x:v>
      </x:c>
      <x:c r="AE403" s="3" t="str">
        <x:v>No</x:v>
      </x:c>
      <x:c r="AF403" s="3" t="str">
        <x:v>No</x:v>
      </x:c>
      <x:c r="AG403" s="3"/>
      <x:c r="AH403" s="3"/>
      <x:c r="AI403" s="18"/>
      <x:c r="AJ403" s="3" t="str">
        <x:v>CF2500-A0E7BEFCE57E</x:v>
      </x:c>
      <x:c r="AK403" s="3" t="str">
        <x:v>Property investor / home-buying operator prospect</x:v>
      </x:c>
      <x:c r="AL403" s="19" t="n">
        <x:v>100000</x:v>
      </x:c>
      <x:c r="AM403" s="19" t="n">
        <x:v>500000</x:v>
      </x:c>
      <x:c r="AN403" s="3" t="str">
        <x:v>https://www.cashhomebuyersdirectory.com/cash-home-buyers/texas/san-antonio</x:v>
      </x:c>
      <x:c r="AO403" s="3" t="str">
        <x:v>tx_fl_investors.jsonl</x:v>
      </x:c>
      <x:c r="AP403" s="19"/>
    </x:row>
    <x:row r="404" ht="36" customHeight="1">
      <x:c r="A404" s="23" t="n">
        <x:v>403</x:v>
      </x:c>
      <x:c r="B404" s="15" t="str">
        <x:v>Take Flight Home Buyers</x:v>
      </x:c>
      <x:c r="C404" s="15"/>
      <x:c r="D404" s="15" t="str">
        <x:v>Property investor / home-buying operator</x:v>
      </x:c>
      <x:c r="E404" s="15" t="str">
        <x:v>Property investor / operator inquiry</x:v>
      </x:c>
      <x:c r="F404" s="17" t="str">
        <x:v>New</x:v>
      </x:c>
      <x:c r="G404" s="24"/>
      <x:c r="H404" s="24" t="str">
        <x:v>+18506650717</x:v>
      </x:c>
      <x:c r="I404" s="24" t="str">
        <x:v>https://www.takeflighthomebuyers.com/</x:v>
      </x:c>
      <x:c r="J404" s="16" t="str">
        <x:v>FL</x:v>
      </x:c>
      <x:c r="K404" s="16"/>
      <x:c r="L404" s="16" t="str">
        <x:v>Public property-business route; investor decision maker unconfirmed</x:v>
      </x:c>
      <x:c r="M404" s="16" t="str">
        <x:v>https://www.takeflighthomebuyers.com/</x:v>
      </x:c>
      <x:c r="N404" s="16" t="str">
        <x:v>$100K-$500K ticket not published / unconfirmed</x:v>
      </x:c>
      <x:c r="O404" s="20"/>
      <x:c r="P404" s="20"/>
      <x:c r="Q404" s="25" t="str">
        <x:v>No $100K-$500K corporate-investment ticket published in checked source</x:v>
      </x:c>
      <x:c r="R404" s="25" t="str">
        <x:v>Property acquisition or investor activity makes this an operator-capital prospect for the signed trial. Confirm operating-company debt/equity appetite.</x:v>
      </x:c>
      <x:c r="S404" s="25" t="str">
        <x:v>Home-buying activity does not verify ability or willingness to invest $100K-$500K into 101XVC operating company. Website and contact verification pending.</x:v>
      </x:c>
      <x:c r="T404" s="25" t="str">
        <x:v>Ask the owner/investor whether they can allocate $100K-$500K to trial marketing and acquisitions, and confirm structure, timing and decision authority.</x:v>
      </x:c>
      <x:c r="U404" s="25" t="str">
        <x:v>https://www.cashhomebuyersdirectory.com/cash-home-buyers/florida/pensacola</x:v>
      </x:c>
      <x:c r="V404" s="26" t="d">
        <x:v>2026-10-02T00:00:00.000Z</x:v>
      </x:c>
      <x:c r="W404" s="26" t="d">
        <x:v>2026-10-03T00:00:00.000Z</x:v>
      </x:c>
      <x:c r="X404" s="25" t="str">
        <x:v>Public investor directory; business role and contact ownership require qualification</x:v>
      </x:c>
      <x:c r="Y404" s="25"/>
      <x:c r="Z404" s="25" t="str">
        <x:v>https://www.cashhomebuyersdirectory.com/cash-home-buyers/florida/pensacola</x:v>
      </x:c>
      <x:c r="AA404" s="25" t="str">
        <x:v>Public cash-home-buyer directory lists business name, phone and market. Directory entry may include brokers or service providers.</x:v>
      </x:c>
      <x:c r="AB404" s="3" t="str">
        <x:v>New public-source collection</x:v>
      </x:c>
      <x:c r="AC404" s="3" t="str">
        <x:v>unverified</x:v>
      </x:c>
      <x:c r="AD404" s="3" t="str">
        <x:v>Not contacted / unconfirmed</x:v>
      </x:c>
      <x:c r="AE404" s="3" t="str">
        <x:v>No</x:v>
      </x:c>
      <x:c r="AF404" s="3" t="str">
        <x:v>No</x:v>
      </x:c>
      <x:c r="AG404" s="3"/>
      <x:c r="AH404" s="3"/>
      <x:c r="AI404" s="18"/>
      <x:c r="AJ404" s="3" t="str">
        <x:v>CF2500-9C2F1CA6E60C</x:v>
      </x:c>
      <x:c r="AK404" s="3" t="str">
        <x:v>Property investor / home-buying operator prospect</x:v>
      </x:c>
      <x:c r="AL404" s="19" t="n">
        <x:v>100000</x:v>
      </x:c>
      <x:c r="AM404" s="19" t="n">
        <x:v>500000</x:v>
      </x:c>
      <x:c r="AN404" s="3" t="str">
        <x:v>https://www.cashhomebuyersdirectory.com/cash-home-buyers/florida/pensacola</x:v>
      </x:c>
      <x:c r="AO404" s="3" t="str">
        <x:v>tx_fl_investors.jsonl</x:v>
      </x:c>
      <x:c r="AP404" s="19"/>
    </x:row>
    <x:row r="405" ht="36" customHeight="1">
      <x:c r="A405" s="23" t="n">
        <x:v>404</x:v>
      </x:c>
      <x:c r="B405" s="15" t="str">
        <x:v>Tampa Fast Home Buyer</x:v>
      </x:c>
      <x:c r="C405" s="15"/>
      <x:c r="D405" s="15" t="str">
        <x:v>Property investor / home-buying operator</x:v>
      </x:c>
      <x:c r="E405" s="15" t="str">
        <x:v>Property investor / operator inquiry</x:v>
      </x:c>
      <x:c r="F405" s="17" t="str">
        <x:v>New</x:v>
      </x:c>
      <x:c r="G405" s="24"/>
      <x:c r="H405" s="24" t="str">
        <x:v>+18139069011</x:v>
      </x:c>
      <x:c r="I405" s="24" t="str">
        <x:v>https://tampafasthomebuyer.com/?utm_source=google&amp;utm_medium=organic&amp;utm_campaign=gmb</x:v>
      </x:c>
      <x:c r="J405" s="16" t="str">
        <x:v>FL</x:v>
      </x:c>
      <x:c r="K405" s="16" t="str">
        <x:v>Tampa</x:v>
      </x:c>
      <x:c r="L405" s="16" t="str">
        <x:v>Public property-business route; investor decision maker unconfirmed</x:v>
      </x:c>
      <x:c r="M405" s="16" t="str">
        <x:v>https://tampafasthomebuyer.com/?utm_source=google&amp;utm_medium=organic&amp;utm_campaign=gmb</x:v>
      </x:c>
      <x:c r="N405" s="16" t="str">
        <x:v>$100K-$500K ticket not published / unconfirmed</x:v>
      </x:c>
      <x:c r="O405" s="20"/>
      <x:c r="P405" s="20"/>
      <x:c r="Q405" s="25" t="str">
        <x:v>No $100K-$500K corporate-investment ticket published in checked source</x:v>
      </x:c>
      <x:c r="R405" s="25" t="str">
        <x:v>Property acquisition or investor activity makes this an operator-capital prospect for the signed trial. Confirm operating-company debt/equity appetite.</x:v>
      </x:c>
      <x:c r="S405" s="25" t="str">
        <x:v>Home-buying activity does not verify ability or willingness to invest $100K-$500K into 101XVC operating company. Website and contact verification pending.</x:v>
      </x:c>
      <x:c r="T405" s="25" t="str">
        <x:v>Ask the owner/investor whether they can allocate $100K-$500K to trial marketing and acquisitions, and confirm structure, timing and decision authority.</x:v>
      </x:c>
      <x:c r="U405" s="25" t="str">
        <x:v>https://www.cashhomebuyersdirectory.com/cash-home-buyers/florida/tampa</x:v>
      </x:c>
      <x:c r="V405" s="26" t="d">
        <x:v>2026-10-02T00:00:00.000Z</x:v>
      </x:c>
      <x:c r="W405" s="26" t="d">
        <x:v>2026-10-03T00:00:00.000Z</x:v>
      </x:c>
      <x:c r="X405" s="25" t="str">
        <x:v>Public investor directory; business role and contact ownership require qualification</x:v>
      </x:c>
      <x:c r="Y405" s="25"/>
      <x:c r="Z405" s="25" t="str">
        <x:v>https://www.cashhomebuyersdirectory.com/cash-home-buyers/florida/tampa</x:v>
      </x:c>
      <x:c r="AA405" s="25" t="str">
        <x:v>Public cash-home-buyer directory lists business name, phone and market. Directory entry may include brokers or service providers.</x:v>
      </x:c>
      <x:c r="AB405" s="3" t="str">
        <x:v>New public-source collection</x:v>
      </x:c>
      <x:c r="AC405" s="3" t="str">
        <x:v>unverified</x:v>
      </x:c>
      <x:c r="AD405" s="3" t="str">
        <x:v>Not contacted / unconfirmed</x:v>
      </x:c>
      <x:c r="AE405" s="3" t="str">
        <x:v>No</x:v>
      </x:c>
      <x:c r="AF405" s="3" t="str">
        <x:v>No</x:v>
      </x:c>
      <x:c r="AG405" s="3"/>
      <x:c r="AH405" s="3"/>
      <x:c r="AI405" s="18"/>
      <x:c r="AJ405" s="3" t="str">
        <x:v>CF2500-586DEF8C2ED0</x:v>
      </x:c>
      <x:c r="AK405" s="3" t="str">
        <x:v>Property investor / home-buying operator prospect</x:v>
      </x:c>
      <x:c r="AL405" s="19" t="n">
        <x:v>100000</x:v>
      </x:c>
      <x:c r="AM405" s="19" t="n">
        <x:v>500000</x:v>
      </x:c>
      <x:c r="AN405" s="3" t="str">
        <x:v>https://www.cashhomebuyersdirectory.com/cash-home-buyers/florida/tampa</x:v>
      </x:c>
      <x:c r="AO405" s="3" t="str">
        <x:v>tx_fl_investors.jsonl</x:v>
      </x:c>
      <x:c r="AP405" s="19"/>
    </x:row>
    <x:row r="406" ht="36" customHeight="1">
      <x:c r="A406" s="23" t="n">
        <x:v>405</x:v>
      </x:c>
      <x:c r="B406" s="15" t="str">
        <x:v>Tarheel Home Buyers</x:v>
      </x:c>
      <x:c r="C406" s="15"/>
      <x:c r="D406" s="15" t="str">
        <x:v>Property investor / home-buying operator</x:v>
      </x:c>
      <x:c r="E406" s="15" t="str">
        <x:v>Property investor / operator inquiry</x:v>
      </x:c>
      <x:c r="F406" s="17" t="str">
        <x:v>New</x:v>
      </x:c>
      <x:c r="G406" s="24"/>
      <x:c r="H406" s="24" t="str">
        <x:v>+19198734202</x:v>
      </x:c>
      <x:c r="I406" s="24" t="str">
        <x:v>http://www.tarheelhomebuyers.com/</x:v>
      </x:c>
      <x:c r="J406" s="16" t="str">
        <x:v>NC</x:v>
      </x:c>
      <x:c r="K406" s="16" t="str">
        <x:v>Durham</x:v>
      </x:c>
      <x:c r="L406" s="16" t="str">
        <x:v>Public property-business route; investor decision maker unconfirmed</x:v>
      </x:c>
      <x:c r="M406" s="16" t="str">
        <x:v>http://www.tarheelhomebuyers.com/</x:v>
      </x:c>
      <x:c r="N406" s="16" t="str">
        <x:v>$100K-$500K ticket not published / unconfirmed</x:v>
      </x:c>
      <x:c r="O406" s="20"/>
      <x:c r="P406" s="20"/>
      <x:c r="Q406" s="25" t="str">
        <x:v>No $100K-$500K operating-company investment ticket verified</x:v>
      </x:c>
      <x:c r="R406" s="25" t="str">
        <x:v>Property acquisition or investor activity makes this an operator-capital prospect for the signed trial. Confirm operating-company debt/equity appetite.</x:v>
      </x:c>
      <x:c r="S406" s="25" t="str">
        <x:v>Public property-buying activity or a directory listing does not establish available cash, investing decision-maker, current $100K-$500K capacity, or willingness to fund 101XVC operating costs.</x:v>
      </x:c>
      <x:c r="T406" s="25" t="str">
        <x:v>Ask the owner/investor whether they can allocate $100K-$500K to trial marketing and acquisitions, and confirm structure, timing and decision authority.</x:v>
      </x:c>
      <x:c r="U406" s="25" t="str">
        <x:v>https://www.cashhomebuyersdirectory.com/cash-home-buyers/north-carolina/durham</x:v>
      </x:c>
      <x:c r="V406" s="26" t="d">
        <x:v>2026-10-02T00:00:00.000Z</x:v>
      </x:c>
      <x:c r="W406" s="26" t="d">
        <x:v>2026-10-02T00:00:00.000Z</x:v>
      </x:c>
      <x:c r="X406" s="25" t="str">
        <x:v>Public investor directory; business role and contact ownership require qualification</x:v>
      </x:c>
      <x:c r="Y406" s="25"/>
      <x:c r="Z406" s="25" t="str">
        <x:v>https://www.cashhomebuyersdirectory.com/cash-home-buyers/north-carolina/durham</x:v>
      </x:c>
      <x:c r="AA406" s="25" t="str">
        <x:v>Public cash-home-buyer directory lists business name, phone and market. Directory entry may include brokers or service providers.</x:v>
      </x:c>
      <x:c r="AB406" s="3" t="str">
        <x:v>New public-source collection</x:v>
      </x:c>
      <x:c r="AC406" s="3" t="str">
        <x:v>unverified</x:v>
      </x:c>
      <x:c r="AD406" s="3" t="str">
        <x:v>Not contacted / unconfirmed</x:v>
      </x:c>
      <x:c r="AE406" s="3" t="str">
        <x:v>No</x:v>
      </x:c>
      <x:c r="AF406" s="3" t="str">
        <x:v>No</x:v>
      </x:c>
      <x:c r="AG406" s="3"/>
      <x:c r="AH406" s="3"/>
      <x:c r="AI406" s="18"/>
      <x:c r="AJ406" s="3" t="str">
        <x:v>CF2500-CD83CA8BDE27</x:v>
      </x:c>
      <x:c r="AK406" s="3" t="str">
        <x:v>Property investor / home-buying operator prospect</x:v>
      </x:c>
      <x:c r="AL406" s="19" t="n">
        <x:v>100000</x:v>
      </x:c>
      <x:c r="AM406" s="19" t="n">
        <x:v>500000</x:v>
      </x:c>
      <x:c r="AN406" s="3" t="str">
        <x:v>https://www.cashhomebuyersdirectory.com/cash-home-buyers/north-carolina/durham</x:v>
      </x:c>
      <x:c r="AO406" s="3" t="str">
        <x:v>nc_il_az_co_investors.jsonl</x:v>
      </x:c>
      <x:c r="AP406" s="19"/>
    </x:row>
    <x:row r="407" ht="36" customHeight="1">
      <x:c r="A407" s="23" t="n">
        <x:v>406</x:v>
      </x:c>
      <x:c r="B407" s="15" t="str">
        <x:v>Texas All Cash Home Buyers</x:v>
      </x:c>
      <x:c r="C407" s="15"/>
      <x:c r="D407" s="15" t="str">
        <x:v>Property investor / home-buying operator</x:v>
      </x:c>
      <x:c r="E407" s="15" t="str">
        <x:v>Property investor / operator inquiry</x:v>
      </x:c>
      <x:c r="F407" s="17" t="str">
        <x:v>New</x:v>
      </x:c>
      <x:c r="G407" s="24"/>
      <x:c r="H407" s="24" t="str">
        <x:v>+12109440642</x:v>
      </x:c>
      <x:c r="I407" s="24" t="str">
        <x:v>https://www.texasallcash.com/</x:v>
      </x:c>
      <x:c r="J407" s="16" t="str">
        <x:v>TX</x:v>
      </x:c>
      <x:c r="K407" s="16" t="str">
        <x:v>San Antonio</x:v>
      </x:c>
      <x:c r="L407" s="16" t="str">
        <x:v>Public property-business route; investor decision maker unconfirmed</x:v>
      </x:c>
      <x:c r="M407" s="16" t="str">
        <x:v>https://www.texasallcash.com/</x:v>
      </x:c>
      <x:c r="N407" s="16" t="str">
        <x:v>$100K-$500K ticket not published / unconfirmed</x:v>
      </x:c>
      <x:c r="O407" s="20"/>
      <x:c r="P407" s="20"/>
      <x:c r="Q407" s="25" t="str">
        <x:v>No $100K-$500K corporate-investment ticket published in checked source</x:v>
      </x:c>
      <x:c r="R407" s="25" t="str">
        <x:v>Property acquisition or investor activity makes this an operator-capital prospect for the signed trial. Confirm operating-company debt/equity appetite.</x:v>
      </x:c>
      <x:c r="S407" s="25" t="str">
        <x:v>Home-buying activity does not verify ability or willingness to invest $100K-$500K into 101XVC operating company. Website and contact verification pending.</x:v>
      </x:c>
      <x:c r="T407" s="25" t="str">
        <x:v>Ask the owner/investor whether they can allocate $100K-$500K to trial marketing and acquisitions, and confirm structure, timing and decision authority.</x:v>
      </x:c>
      <x:c r="U407" s="25" t="str">
        <x:v>https://www.cashhomebuyersdirectory.com/cash-home-buyers/texas/san-antonio</x:v>
      </x:c>
      <x:c r="V407" s="26" t="d">
        <x:v>2026-10-02T00:00:00.000Z</x:v>
      </x:c>
      <x:c r="W407" s="26" t="d">
        <x:v>2026-10-03T00:00:00.000Z</x:v>
      </x:c>
      <x:c r="X407" s="25" t="str">
        <x:v>Public investor directory; business role and contact ownership require qualification</x:v>
      </x:c>
      <x:c r="Y407" s="25"/>
      <x:c r="Z407" s="25" t="str">
        <x:v>https://www.cashhomebuyersdirectory.com/cash-home-buyers/texas/san-antonio</x:v>
      </x:c>
      <x:c r="AA407" s="25" t="str">
        <x:v>Public cash-home-buyer directory lists business name, phone and market. Directory entry may include brokers or service providers.</x:v>
      </x:c>
      <x:c r="AB407" s="3" t="str">
        <x:v>New public-source collection</x:v>
      </x:c>
      <x:c r="AC407" s="3" t="str">
        <x:v>unverified</x:v>
      </x:c>
      <x:c r="AD407" s="3" t="str">
        <x:v>Not contacted / unconfirmed</x:v>
      </x:c>
      <x:c r="AE407" s="3" t="str">
        <x:v>No</x:v>
      </x:c>
      <x:c r="AF407" s="3" t="str">
        <x:v>No</x:v>
      </x:c>
      <x:c r="AG407" s="3"/>
      <x:c r="AH407" s="3"/>
      <x:c r="AI407" s="18"/>
      <x:c r="AJ407" s="3" t="str">
        <x:v>CF2500-4C7574B6122E</x:v>
      </x:c>
      <x:c r="AK407" s="3" t="str">
        <x:v>Property investor / home-buying operator prospect</x:v>
      </x:c>
      <x:c r="AL407" s="19" t="n">
        <x:v>100000</x:v>
      </x:c>
      <x:c r="AM407" s="19" t="n">
        <x:v>500000</x:v>
      </x:c>
      <x:c r="AN407" s="3" t="str">
        <x:v>https://www.cashhomebuyersdirectory.com/cash-home-buyers/texas/san-antonio</x:v>
      </x:c>
      <x:c r="AO407" s="3" t="str">
        <x:v>tx_fl_investors.jsonl</x:v>
      </x:c>
      <x:c r="AP407" s="19"/>
    </x:row>
    <x:row r="408" ht="36" customHeight="1">
      <x:c r="A408" s="23" t="n">
        <x:v>407</x:v>
      </x:c>
      <x:c r="B408" s="15" t="str">
        <x:v>Texas Cash Home Buyers - Sell Your House Fast Corpus Christi</x:v>
      </x:c>
      <x:c r="C408" s="15"/>
      <x:c r="D408" s="15" t="str">
        <x:v>Property investor / home-buying operator</x:v>
      </x:c>
      <x:c r="E408" s="15" t="str">
        <x:v>Property investor / operator inquiry</x:v>
      </x:c>
      <x:c r="F408" s="17" t="str">
        <x:v>New</x:v>
      </x:c>
      <x:c r="G408" s="24"/>
      <x:c r="H408" s="24" t="str">
        <x:v>+13613014432</x:v>
      </x:c>
      <x:c r="I408" s="24" t="str">
        <x:v>https://texascashhomebuyers.net/sell-your-house-fast-in-corpus-christi/</x:v>
      </x:c>
      <x:c r="J408" s="16" t="str">
        <x:v>TX</x:v>
      </x:c>
      <x:c r="K408" s="16" t="str">
        <x:v>Corpus Christi</x:v>
      </x:c>
      <x:c r="L408" s="16" t="str">
        <x:v>Public property-business route; investor decision maker unconfirmed</x:v>
      </x:c>
      <x:c r="M408" s="16" t="str">
        <x:v>https://texascashhomebuyers.net/sell-your-house-fast-in-corpus-christi/</x:v>
      </x:c>
      <x:c r="N408" s="16" t="str">
        <x:v>$100K-$500K ticket not published / unconfirmed</x:v>
      </x:c>
      <x:c r="O408" s="20"/>
      <x:c r="P408" s="20"/>
      <x:c r="Q408" s="25" t="str">
        <x:v>No $100K-$500K corporate-investment ticket published in checked source</x:v>
      </x:c>
      <x:c r="R408" s="25" t="str">
        <x:v>Property acquisition or investor activity makes this an operator-capital prospect for the signed trial. Confirm operating-company debt/equity appetite.</x:v>
      </x:c>
      <x:c r="S408" s="25" t="str">
        <x:v>Home-buying activity does not verify ability or willingness to invest $100K-$500K into 101XVC operating company. Website and contact verification pending.</x:v>
      </x:c>
      <x:c r="T408" s="25" t="str">
        <x:v>Ask the owner/investor whether they can allocate $100K-$500K to trial marketing and acquisitions, and confirm structure, timing and decision authority.</x:v>
      </x:c>
      <x:c r="U408" s="25" t="str">
        <x:v>https://www.cashhomebuyersdirectory.com/cash-home-buyers/texas/corpus-christi</x:v>
      </x:c>
      <x:c r="V408" s="26" t="d">
        <x:v>2026-10-02T00:00:00.000Z</x:v>
      </x:c>
      <x:c r="W408" s="26" t="d">
        <x:v>2026-10-03T00:00:00.000Z</x:v>
      </x:c>
      <x:c r="X408" s="25" t="str">
        <x:v>Public investor directory; business role and contact ownership require qualification</x:v>
      </x:c>
      <x:c r="Y408" s="25"/>
      <x:c r="Z408" s="25" t="str">
        <x:v>https://www.cashhomebuyersdirectory.com/cash-home-buyers/texas/corpus-christi</x:v>
      </x:c>
      <x:c r="AA408" s="25" t="str">
        <x:v>Public cash-home-buyer directory lists business name, phone and market. Directory entry may include brokers or service providers.</x:v>
      </x:c>
      <x:c r="AB408" s="3" t="str">
        <x:v>New public-source collection</x:v>
      </x:c>
      <x:c r="AC408" s="3" t="str">
        <x:v>unverified</x:v>
      </x:c>
      <x:c r="AD408" s="3" t="str">
        <x:v>Not contacted / unconfirmed</x:v>
      </x:c>
      <x:c r="AE408" s="3" t="str">
        <x:v>No</x:v>
      </x:c>
      <x:c r="AF408" s="3" t="str">
        <x:v>No</x:v>
      </x:c>
      <x:c r="AG408" s="3"/>
      <x:c r="AH408" s="3"/>
      <x:c r="AI408" s="18"/>
      <x:c r="AJ408" s="3" t="str">
        <x:v>CF2500-D055C578CBEB</x:v>
      </x:c>
      <x:c r="AK408" s="3" t="str">
        <x:v>Property investor / home-buying operator prospect</x:v>
      </x:c>
      <x:c r="AL408" s="19" t="n">
        <x:v>100000</x:v>
      </x:c>
      <x:c r="AM408" s="19" t="n">
        <x:v>500000</x:v>
      </x:c>
      <x:c r="AN408" s="3" t="str">
        <x:v>https://www.cashhomebuyersdirectory.com/cash-home-buyers/texas/corpus-christi</x:v>
      </x:c>
      <x:c r="AO408" s="3" t="str">
        <x:v>tx_fl_investors.jsonl</x:v>
      </x:c>
      <x:c r="AP408" s="19"/>
    </x:row>
    <x:row r="409" ht="36" customHeight="1">
      <x:c r="A409" s="23" t="n">
        <x:v>408</x:v>
      </x:c>
      <x:c r="B409" s="15" t="str">
        <x:v>Texas Cash House Buyer</x:v>
      </x:c>
      <x:c r="C409" s="15"/>
      <x:c r="D409" s="15" t="str">
        <x:v>Property investor / home-buying operator</x:v>
      </x:c>
      <x:c r="E409" s="15" t="str">
        <x:v>Property investor / operator inquiry</x:v>
      </x:c>
      <x:c r="F409" s="17" t="str">
        <x:v>New</x:v>
      </x:c>
      <x:c r="G409" s="24"/>
      <x:c r="H409" s="24" t="str">
        <x:v>+18175878108</x:v>
      </x:c>
      <x:c r="I409" s="24" t="str">
        <x:v>https://www.texascashhousebuyer.com/</x:v>
      </x:c>
      <x:c r="J409" s="16" t="str">
        <x:v>TX</x:v>
      </x:c>
      <x:c r="K409" s="16" t="str">
        <x:v>Fort Worth</x:v>
      </x:c>
      <x:c r="L409" s="16" t="str">
        <x:v>Public property-business route; investor decision maker unconfirmed</x:v>
      </x:c>
      <x:c r="M409" s="16" t="str">
        <x:v>https://www.texascashhousebuyer.com/</x:v>
      </x:c>
      <x:c r="N409" s="16" t="str">
        <x:v>$100K-$500K ticket not published / unconfirmed</x:v>
      </x:c>
      <x:c r="O409" s="20"/>
      <x:c r="P409" s="20"/>
      <x:c r="Q409" s="25" t="str">
        <x:v>No $100K-$500K corporate-investment ticket published in checked source</x:v>
      </x:c>
      <x:c r="R409" s="25" t="str">
        <x:v>Property acquisition or investor activity makes this an operator-capital prospect for the signed trial. Confirm operating-company debt/equity appetite.</x:v>
      </x:c>
      <x:c r="S409" s="25" t="str">
        <x:v>Home-buying activity does not verify ability or willingness to invest $100K-$500K into 101XVC operating company. Website and contact verification pending.</x:v>
      </x:c>
      <x:c r="T409" s="25" t="str">
        <x:v>Ask the owner/investor whether they can allocate $100K-$500K to trial marketing and acquisitions, and confirm structure, timing and decision authority.</x:v>
      </x:c>
      <x:c r="U409" s="25" t="str">
        <x:v>https://www.cashhomebuyersdirectory.com/cash-home-buyers/texas/fort-worth</x:v>
      </x:c>
      <x:c r="V409" s="26" t="d">
        <x:v>2026-10-02T00:00:00.000Z</x:v>
      </x:c>
      <x:c r="W409" s="26" t="d">
        <x:v>2026-10-03T00:00:00.000Z</x:v>
      </x:c>
      <x:c r="X409" s="25" t="str">
        <x:v>Public investor directory; business role and contact ownership require qualification</x:v>
      </x:c>
      <x:c r="Y409" s="25"/>
      <x:c r="Z409" s="25" t="str">
        <x:v>https://www.cashhomebuyersdirectory.com/cash-home-buyers/texas/fort-worth</x:v>
      </x:c>
      <x:c r="AA409" s="25" t="str">
        <x:v>Public cash-home-buyer directory lists business name, phone and market. Directory entry may include brokers or service providers.</x:v>
      </x:c>
      <x:c r="AB409" s="3" t="str">
        <x:v>New public-source collection</x:v>
      </x:c>
      <x:c r="AC409" s="3" t="str">
        <x:v>unverified</x:v>
      </x:c>
      <x:c r="AD409" s="3" t="str">
        <x:v>Not contacted / unconfirmed</x:v>
      </x:c>
      <x:c r="AE409" s="3" t="str">
        <x:v>No</x:v>
      </x:c>
      <x:c r="AF409" s="3" t="str">
        <x:v>No</x:v>
      </x:c>
      <x:c r="AG409" s="3"/>
      <x:c r="AH409" s="3"/>
      <x:c r="AI409" s="18"/>
      <x:c r="AJ409" s="3" t="str">
        <x:v>CF2500-7B20762BA6BB</x:v>
      </x:c>
      <x:c r="AK409" s="3" t="str">
        <x:v>Property investor / home-buying operator prospect</x:v>
      </x:c>
      <x:c r="AL409" s="19" t="n">
        <x:v>100000</x:v>
      </x:c>
      <x:c r="AM409" s="19" t="n">
        <x:v>500000</x:v>
      </x:c>
      <x:c r="AN409" s="3" t="str">
        <x:v>https://www.cashhomebuyersdirectory.com/cash-home-buyers/texas/fort-worth</x:v>
      </x:c>
      <x:c r="AO409" s="3" t="str">
        <x:v>tx_fl_investors.jsonl</x:v>
      </x:c>
      <x:c r="AP409" s="19"/>
    </x:row>
    <x:row r="410" ht="36" customHeight="1">
      <x:c r="A410" s="23" t="n">
        <x:v>409</x:v>
      </x:c>
      <x:c r="B410" s="15" t="str">
        <x:v>Texas Home Buyers</x:v>
      </x:c>
      <x:c r="C410" s="15"/>
      <x:c r="D410" s="15" t="str">
        <x:v>Property investor / home-buying operator</x:v>
      </x:c>
      <x:c r="E410" s="15" t="str">
        <x:v>Property investor / operator inquiry</x:v>
      </x:c>
      <x:c r="F410" s="17" t="str">
        <x:v>New</x:v>
      </x:c>
      <x:c r="G410" s="24"/>
      <x:c r="H410" s="24" t="str">
        <x:v>+17136497653</x:v>
      </x:c>
      <x:c r="I410" s="24" t="str">
        <x:v>https://texashb.com/</x:v>
      </x:c>
      <x:c r="J410" s="16" t="str">
        <x:v>TX</x:v>
      </x:c>
      <x:c r="K410" s="16" t="str">
        <x:v>Houston</x:v>
      </x:c>
      <x:c r="L410" s="16" t="str">
        <x:v>Public property-business route; investor decision maker unconfirmed</x:v>
      </x:c>
      <x:c r="M410" s="16" t="str">
        <x:v>https://texashb.com/</x:v>
      </x:c>
      <x:c r="N410" s="16" t="str">
        <x:v>$100K-$500K ticket not published / unconfirmed</x:v>
      </x:c>
      <x:c r="O410" s="20"/>
      <x:c r="P410" s="20"/>
      <x:c r="Q410" s="25" t="str">
        <x:v>No $100K-$500K corporate-investment ticket published in checked source</x:v>
      </x:c>
      <x:c r="R410" s="25" t="str">
        <x:v>Property acquisition or investor activity makes this an operator-capital prospect for the signed trial. Confirm operating-company debt/equity appetite.</x:v>
      </x:c>
      <x:c r="S410" s="25" t="str">
        <x:v>Home-buying activity does not verify ability or willingness to invest $100K-$500K into 101XVC operating company. Website and contact verification pending.</x:v>
      </x:c>
      <x:c r="T410" s="25" t="str">
        <x:v>Ask the owner/investor whether they can allocate $100K-$500K to trial marketing and acquisitions, and confirm structure, timing and decision authority.</x:v>
      </x:c>
      <x:c r="U410" s="25" t="str">
        <x:v>https://www.cashhomebuyersdirectory.com/cash-home-buyers/texas/houston</x:v>
      </x:c>
      <x:c r="V410" s="26" t="d">
        <x:v>2026-10-02T00:00:00.000Z</x:v>
      </x:c>
      <x:c r="W410" s="26" t="d">
        <x:v>2026-10-03T00:00:00.000Z</x:v>
      </x:c>
      <x:c r="X410" s="25" t="str">
        <x:v>Public investor directory; business role and contact ownership require qualification</x:v>
      </x:c>
      <x:c r="Y410" s="25"/>
      <x:c r="Z410" s="25" t="str">
        <x:v>https://www.cashhomebuyersdirectory.com/cash-home-buyers/texas/houston</x:v>
      </x:c>
      <x:c r="AA410" s="25" t="str">
        <x:v>Public cash-home-buyer directory lists business name, phone and market. Directory entry may include brokers or service providers.</x:v>
      </x:c>
      <x:c r="AB410" s="3" t="str">
        <x:v>New public-source collection</x:v>
      </x:c>
      <x:c r="AC410" s="3" t="str">
        <x:v>unverified</x:v>
      </x:c>
      <x:c r="AD410" s="3" t="str">
        <x:v>Not contacted / unconfirmed</x:v>
      </x:c>
      <x:c r="AE410" s="3" t="str">
        <x:v>No</x:v>
      </x:c>
      <x:c r="AF410" s="3" t="str">
        <x:v>No</x:v>
      </x:c>
      <x:c r="AG410" s="3"/>
      <x:c r="AH410" s="3"/>
      <x:c r="AI410" s="18"/>
      <x:c r="AJ410" s="3" t="str">
        <x:v>CF2500-68FAAB1BDB56</x:v>
      </x:c>
      <x:c r="AK410" s="3" t="str">
        <x:v>Property investor / home-buying operator prospect</x:v>
      </x:c>
      <x:c r="AL410" s="19" t="n">
        <x:v>100000</x:v>
      </x:c>
      <x:c r="AM410" s="19" t="n">
        <x:v>500000</x:v>
      </x:c>
      <x:c r="AN410" s="3" t="str">
        <x:v>https://www.cashhomebuyersdirectory.com/cash-home-buyers/texas/houston</x:v>
      </x:c>
      <x:c r="AO410" s="3" t="str">
        <x:v>tx_fl_investors.jsonl</x:v>
      </x:c>
      <x:c r="AP410" s="19"/>
    </x:row>
    <x:row r="411" ht="36" customHeight="1">
      <x:c r="A411" s="23" t="n">
        <x:v>410</x:v>
      </x:c>
      <x:c r="B411" s="15" t="str">
        <x:v>Texas Home Buyers Group</x:v>
      </x:c>
      <x:c r="C411" s="15"/>
      <x:c r="D411" s="15" t="str">
        <x:v>Property investor / home-buying operator</x:v>
      </x:c>
      <x:c r="E411" s="15" t="str">
        <x:v>Property investor / operator inquiry</x:v>
      </x:c>
      <x:c r="F411" s="17" t="str">
        <x:v>New</x:v>
      </x:c>
      <x:c r="G411" s="24"/>
      <x:c r="H411" s="24" t="str">
        <x:v>+12109104468</x:v>
      </x:c>
      <x:c r="I411" s="24" t="str">
        <x:v>http://www.texashomebuyersgroup.com/</x:v>
      </x:c>
      <x:c r="J411" s="16" t="str">
        <x:v>TX</x:v>
      </x:c>
      <x:c r="K411" s="16" t="str">
        <x:v>San Antonio</x:v>
      </x:c>
      <x:c r="L411" s="16" t="str">
        <x:v>Public property-business route; investor decision maker unconfirmed</x:v>
      </x:c>
      <x:c r="M411" s="16" t="str">
        <x:v>http://www.texashomebuyersgroup.com/</x:v>
      </x:c>
      <x:c r="N411" s="16" t="str">
        <x:v>$100K-$500K ticket not published / unconfirmed</x:v>
      </x:c>
      <x:c r="O411" s="20"/>
      <x:c r="P411" s="20"/>
      <x:c r="Q411" s="25" t="str">
        <x:v>No $100K-$500K corporate-investment ticket published in checked source</x:v>
      </x:c>
      <x:c r="R411" s="25" t="str">
        <x:v>Property acquisition or investor activity makes this an operator-capital prospect for the signed trial. Confirm operating-company debt/equity appetite.</x:v>
      </x:c>
      <x:c r="S411" s="25" t="str">
        <x:v>Home-buying activity does not verify ability or willingness to invest $100K-$500K into 101XVC operating company. Website and contact verification pending.</x:v>
      </x:c>
      <x:c r="T411" s="25" t="str">
        <x:v>Ask the owner/investor whether they can allocate $100K-$500K to trial marketing and acquisitions, and confirm structure, timing and decision authority.</x:v>
      </x:c>
      <x:c r="U411" s="25" t="str">
        <x:v>https://www.cashhomebuyersdirectory.com/cash-home-buyers/texas/san-antonio</x:v>
      </x:c>
      <x:c r="V411" s="26" t="d">
        <x:v>2026-10-02T00:00:00.000Z</x:v>
      </x:c>
      <x:c r="W411" s="26" t="d">
        <x:v>2026-10-03T00:00:00.000Z</x:v>
      </x:c>
      <x:c r="X411" s="25" t="str">
        <x:v>Public investor directory; business role and contact ownership require qualification</x:v>
      </x:c>
      <x:c r="Y411" s="25"/>
      <x:c r="Z411" s="25" t="str">
        <x:v>https://www.cashhomebuyersdirectory.com/cash-home-buyers/texas/san-antonio</x:v>
      </x:c>
      <x:c r="AA411" s="25" t="str">
        <x:v>Public cash-home-buyer directory lists business name, phone and market. Directory entry may include brokers or service providers.</x:v>
      </x:c>
      <x:c r="AB411" s="3" t="str">
        <x:v>New public-source collection</x:v>
      </x:c>
      <x:c r="AC411" s="3" t="str">
        <x:v>unverified</x:v>
      </x:c>
      <x:c r="AD411" s="3" t="str">
        <x:v>Not contacted / unconfirmed</x:v>
      </x:c>
      <x:c r="AE411" s="3" t="str">
        <x:v>No</x:v>
      </x:c>
      <x:c r="AF411" s="3" t="str">
        <x:v>No</x:v>
      </x:c>
      <x:c r="AG411" s="3"/>
      <x:c r="AH411" s="3"/>
      <x:c r="AI411" s="18"/>
      <x:c r="AJ411" s="3" t="str">
        <x:v>CF2500-84BEE5A329A8</x:v>
      </x:c>
      <x:c r="AK411" s="3" t="str">
        <x:v>Property investor / home-buying operator prospect</x:v>
      </x:c>
      <x:c r="AL411" s="19" t="n">
        <x:v>100000</x:v>
      </x:c>
      <x:c r="AM411" s="19" t="n">
        <x:v>500000</x:v>
      </x:c>
      <x:c r="AN411" s="3" t="str">
        <x:v>https://www.cashhomebuyersdirectory.com/cash-home-buyers/texas/san-antonio</x:v>
      </x:c>
      <x:c r="AO411" s="3" t="str">
        <x:v>tx_fl_investors.jsonl</x:v>
      </x:c>
      <x:c r="AP411" s="19"/>
    </x:row>
    <x:row r="412" ht="36" customHeight="1">
      <x:c r="A412" s="23" t="n">
        <x:v>411</x:v>
      </x:c>
      <x:c r="B412" s="15" t="str">
        <x:v>Texas Triangle Home Buyers</x:v>
      </x:c>
      <x:c r="C412" s="15"/>
      <x:c r="D412" s="15" t="str">
        <x:v>Property investor / home-buying operator</x:v>
      </x:c>
      <x:c r="E412" s="15" t="str">
        <x:v>Property investor / operator inquiry</x:v>
      </x:c>
      <x:c r="F412" s="17" t="str">
        <x:v>New</x:v>
      </x:c>
      <x:c r="G412" s="24"/>
      <x:c r="H412" s="24" t="str">
        <x:v>+12145417498</x:v>
      </x:c>
      <x:c r="I412" s="24" t="str">
        <x:v>https://txtrianglehomebuyers.com/?utm_source=gbp</x:v>
      </x:c>
      <x:c r="J412" s="16" t="str">
        <x:v>TX</x:v>
      </x:c>
      <x:c r="K412" s="16" t="str">
        <x:v>Dallas</x:v>
      </x:c>
      <x:c r="L412" s="16" t="str">
        <x:v>Public property-business route; investor decision maker unconfirmed</x:v>
      </x:c>
      <x:c r="M412" s="16" t="str">
        <x:v>https://txtrianglehomebuyers.com/?utm_source=gbp</x:v>
      </x:c>
      <x:c r="N412" s="16" t="str">
        <x:v>$100K-$500K ticket not published / unconfirmed</x:v>
      </x:c>
      <x:c r="O412" s="20"/>
      <x:c r="P412" s="20"/>
      <x:c r="Q412" s="25" t="str">
        <x:v>No $100K-$500K corporate-investment ticket published in checked source</x:v>
      </x:c>
      <x:c r="R412" s="25" t="str">
        <x:v>Property acquisition or investor activity makes this an operator-capital prospect for the signed trial. Confirm operating-company debt/equity appetite.</x:v>
      </x:c>
      <x:c r="S412" s="25" t="str">
        <x:v>Home-buying activity does not verify ability or willingness to invest $100K-$500K into 101XVC operating company. Website and contact verification pending.</x:v>
      </x:c>
      <x:c r="T412" s="25" t="str">
        <x:v>Ask the owner/investor whether they can allocate $100K-$500K to trial marketing and acquisitions, and confirm structure, timing and decision authority.</x:v>
      </x:c>
      <x:c r="U412" s="25" t="str">
        <x:v>https://www.cashhomebuyersdirectory.com/cash-home-buyers/texas/dallas</x:v>
      </x:c>
      <x:c r="V412" s="26" t="d">
        <x:v>2026-10-02T00:00:00.000Z</x:v>
      </x:c>
      <x:c r="W412" s="26" t="d">
        <x:v>2026-10-03T00:00:00.000Z</x:v>
      </x:c>
      <x:c r="X412" s="25" t="str">
        <x:v>Public investor directory; business role and contact ownership require qualification</x:v>
      </x:c>
      <x:c r="Y412" s="25"/>
      <x:c r="Z412" s="25" t="str">
        <x:v>https://www.cashhomebuyersdirectory.com/cash-home-buyers/texas/dallas</x:v>
      </x:c>
      <x:c r="AA412" s="25" t="str">
        <x:v>Public cash-home-buyer directory lists business name, phone and market. Directory entry may include brokers or service providers.</x:v>
      </x:c>
      <x:c r="AB412" s="3" t="str">
        <x:v>New public-source collection</x:v>
      </x:c>
      <x:c r="AC412" s="3" t="str">
        <x:v>unverified</x:v>
      </x:c>
      <x:c r="AD412" s="3" t="str">
        <x:v>Not contacted / unconfirmed</x:v>
      </x:c>
      <x:c r="AE412" s="3" t="str">
        <x:v>No</x:v>
      </x:c>
      <x:c r="AF412" s="3" t="str">
        <x:v>No</x:v>
      </x:c>
      <x:c r="AG412" s="3"/>
      <x:c r="AH412" s="3"/>
      <x:c r="AI412" s="18"/>
      <x:c r="AJ412" s="3" t="str">
        <x:v>CF2500-B7051292F0E8</x:v>
      </x:c>
      <x:c r="AK412" s="3" t="str">
        <x:v>Property investor / home-buying operator prospect</x:v>
      </x:c>
      <x:c r="AL412" s="19" t="n">
        <x:v>100000</x:v>
      </x:c>
      <x:c r="AM412" s="19" t="n">
        <x:v>500000</x:v>
      </x:c>
      <x:c r="AN412" s="3" t="str">
        <x:v>https://www.cashhomebuyersdirectory.com/cash-home-buyers/texas/dallas</x:v>
      </x:c>
      <x:c r="AO412" s="3" t="str">
        <x:v>tx_fl_investors.jsonl</x:v>
      </x:c>
      <x:c r="AP412" s="19"/>
    </x:row>
    <x:row r="413" ht="36" customHeight="1">
      <x:c r="A413" s="23" t="n">
        <x:v>412</x:v>
      </x:c>
      <x:c r="B413" s="15" t="str">
        <x:v>The Cash Offer Pros</x:v>
      </x:c>
      <x:c r="C413" s="15"/>
      <x:c r="D413" s="15" t="str">
        <x:v>Property investor / home-buying operator</x:v>
      </x:c>
      <x:c r="E413" s="15" t="str">
        <x:v>Property investor / operator inquiry</x:v>
      </x:c>
      <x:c r="F413" s="17" t="str">
        <x:v>New</x:v>
      </x:c>
      <x:c r="G413" s="24"/>
      <x:c r="H413" s="24" t="str">
        <x:v>+12104287327</x:v>
      </x:c>
      <x:c r="I413" s="24" t="str">
        <x:v>http://www.thecashofferpros.com/</x:v>
      </x:c>
      <x:c r="J413" s="16" t="str">
        <x:v>TX</x:v>
      </x:c>
      <x:c r="K413" s="16" t="str">
        <x:v>San Antonio</x:v>
      </x:c>
      <x:c r="L413" s="16" t="str">
        <x:v>Public property-business route; investor decision maker unconfirmed</x:v>
      </x:c>
      <x:c r="M413" s="16" t="str">
        <x:v>http://www.thecashofferpros.com/</x:v>
      </x:c>
      <x:c r="N413" s="16" t="str">
        <x:v>$100K-$500K ticket not published / unconfirmed</x:v>
      </x:c>
      <x:c r="O413" s="20"/>
      <x:c r="P413" s="20"/>
      <x:c r="Q413" s="25" t="str">
        <x:v>No $100K-$500K corporate-investment ticket published in checked source</x:v>
      </x:c>
      <x:c r="R413" s="25" t="str">
        <x:v>Property acquisition or investor activity makes this an operator-capital prospect for the signed trial. Confirm operating-company debt/equity appetite.</x:v>
      </x:c>
      <x:c r="S413" s="25" t="str">
        <x:v>Home-buying activity does not verify ability or willingness to invest $100K-$500K into 101XVC operating company. Website and contact verification pending.</x:v>
      </x:c>
      <x:c r="T413" s="25" t="str">
        <x:v>Ask the owner/investor whether they can allocate $100K-$500K to trial marketing and acquisitions, and confirm structure, timing and decision authority.</x:v>
      </x:c>
      <x:c r="U413" s="25" t="str">
        <x:v>https://www.cashhomebuyersdirectory.com/cash-home-buyers/texas/san-antonio</x:v>
      </x:c>
      <x:c r="V413" s="26" t="d">
        <x:v>2026-10-02T00:00:00.000Z</x:v>
      </x:c>
      <x:c r="W413" s="26" t="d">
        <x:v>2026-10-03T00:00:00.000Z</x:v>
      </x:c>
      <x:c r="X413" s="25" t="str">
        <x:v>Public investor directory; business role and contact ownership require qualification</x:v>
      </x:c>
      <x:c r="Y413" s="25"/>
      <x:c r="Z413" s="25" t="str">
        <x:v>https://www.cashhomebuyersdirectory.com/cash-home-buyers/texas/san-antonio</x:v>
      </x:c>
      <x:c r="AA413" s="25" t="str">
        <x:v>Public cash-home-buyer directory lists business name, phone and market. Directory entry may include brokers or service providers.</x:v>
      </x:c>
      <x:c r="AB413" s="3" t="str">
        <x:v>New public-source collection</x:v>
      </x:c>
      <x:c r="AC413" s="3" t="str">
        <x:v>unverified</x:v>
      </x:c>
      <x:c r="AD413" s="3" t="str">
        <x:v>Not contacted / unconfirmed</x:v>
      </x:c>
      <x:c r="AE413" s="3" t="str">
        <x:v>No</x:v>
      </x:c>
      <x:c r="AF413" s="3" t="str">
        <x:v>No</x:v>
      </x:c>
      <x:c r="AG413" s="3"/>
      <x:c r="AH413" s="3"/>
      <x:c r="AI413" s="18"/>
      <x:c r="AJ413" s="3" t="str">
        <x:v>CF2500-DD39907ADEB9</x:v>
      </x:c>
      <x:c r="AK413" s="3" t="str">
        <x:v>Property investor / home-buying operator prospect</x:v>
      </x:c>
      <x:c r="AL413" s="19" t="n">
        <x:v>100000</x:v>
      </x:c>
      <x:c r="AM413" s="19" t="n">
        <x:v>500000</x:v>
      </x:c>
      <x:c r="AN413" s="3" t="str">
        <x:v>https://www.cashhomebuyersdirectory.com/cash-home-buyers/texas/san-antonio</x:v>
      </x:c>
      <x:c r="AO413" s="3" t="str">
        <x:v>tx_fl_investors.jsonl</x:v>
      </x:c>
      <x:c r="AP413" s="19"/>
    </x:row>
    <x:row r="414" ht="36" customHeight="1">
      <x:c r="A414" s="23" t="n">
        <x:v>413</x:v>
      </x:c>
      <x:c r="B414" s="15" t="str">
        <x:v>The Investor Hub</x:v>
      </x:c>
      <x:c r="C414" s="15"/>
      <x:c r="D414" s="15" t="str">
        <x:v>Property investor / home-buying operator</x:v>
      </x:c>
      <x:c r="E414" s="15" t="str">
        <x:v>Property investor / operator inquiry</x:v>
      </x:c>
      <x:c r="F414" s="17" t="str">
        <x:v>New</x:v>
      </x:c>
      <x:c r="G414" s="24"/>
      <x:c r="H414" s="24" t="str">
        <x:v>+16028403073</x:v>
      </x:c>
      <x:c r="I414" s="24" t="str">
        <x:v>http://www.theinvestorhub.com/</x:v>
      </x:c>
      <x:c r="J414" s="16" t="str">
        <x:v>AZ</x:v>
      </x:c>
      <x:c r="K414" s="16" t="str">
        <x:v>Phoenix</x:v>
      </x:c>
      <x:c r="L414" s="16" t="str">
        <x:v>Public property-business route; investor decision maker unconfirmed</x:v>
      </x:c>
      <x:c r="M414" s="16" t="str">
        <x:v>http://www.theinvestorhub.com/</x:v>
      </x:c>
      <x:c r="N414" s="16" t="str">
        <x:v>$100K-$500K ticket not published / unconfirmed</x:v>
      </x:c>
      <x:c r="O414" s="20"/>
      <x:c r="P414" s="20"/>
      <x:c r="Q414" s="25" t="str">
        <x:v>No $100K-$500K operating-company investment ticket verified</x:v>
      </x:c>
      <x:c r="R414" s="25" t="str">
        <x:v>Property acquisition or investor activity makes this an operator-capital prospect for the signed trial. Confirm operating-company debt/equity appetite.</x:v>
      </x:c>
      <x:c r="S414" s="25" t="str">
        <x:v>Public property-buying activity or a directory listing does not establish available cash, investing decision-maker, current $100K-$500K capacity, or willingness to fund 101XVC operating costs.</x:v>
      </x:c>
      <x:c r="T414" s="25" t="str">
        <x:v>Ask the owner/investor whether they can allocate $100K-$500K to trial marketing and acquisitions, and confirm structure, timing and decision authority.</x:v>
      </x:c>
      <x:c r="U414" s="25" t="str">
        <x:v>https://www.cashhomebuyersdirectory.com/cash-home-buyers/arizona/phoenix</x:v>
      </x:c>
      <x:c r="V414" s="26" t="d">
        <x:v>2026-10-02T00:00:00.000Z</x:v>
      </x:c>
      <x:c r="W414" s="26" t="d">
        <x:v>2026-10-02T00:00:00.000Z</x:v>
      </x:c>
      <x:c r="X414" s="25" t="str">
        <x:v>Public investor directory; business role and contact ownership require qualification</x:v>
      </x:c>
      <x:c r="Y414" s="25"/>
      <x:c r="Z414" s="25" t="str">
        <x:v>https://www.cashhomebuyersdirectory.com/cash-home-buyers/arizona/phoenix</x:v>
      </x:c>
      <x:c r="AA414" s="25" t="str">
        <x:v>Public cash-home-buyer directory lists business name, phone and market. Directory entry may include brokers or service providers.</x:v>
      </x:c>
      <x:c r="AB414" s="3" t="str">
        <x:v>New public-source collection</x:v>
      </x:c>
      <x:c r="AC414" s="3" t="str">
        <x:v>unverified</x:v>
      </x:c>
      <x:c r="AD414" s="3" t="str">
        <x:v>Not contacted / unconfirmed</x:v>
      </x:c>
      <x:c r="AE414" s="3" t="str">
        <x:v>No</x:v>
      </x:c>
      <x:c r="AF414" s="3" t="str">
        <x:v>No</x:v>
      </x:c>
      <x:c r="AG414" s="3"/>
      <x:c r="AH414" s="3"/>
      <x:c r="AI414" s="18"/>
      <x:c r="AJ414" s="3" t="str">
        <x:v>CF2500-AE1823E2E691</x:v>
      </x:c>
      <x:c r="AK414" s="3" t="str">
        <x:v>Property investor / home-buying operator prospect</x:v>
      </x:c>
      <x:c r="AL414" s="19" t="n">
        <x:v>100000</x:v>
      </x:c>
      <x:c r="AM414" s="19" t="n">
        <x:v>500000</x:v>
      </x:c>
      <x:c r="AN414" s="3" t="str">
        <x:v>https://www.cashhomebuyersdirectory.com/cash-home-buyers/arizona/phoenix</x:v>
      </x:c>
      <x:c r="AO414" s="3" t="str">
        <x:v>nc_il_az_co_investors.jsonl</x:v>
      </x:c>
      <x:c r="AP414" s="19"/>
    </x:row>
    <x:row r="415" ht="36" customHeight="1">
      <x:c r="A415" s="23" t="n">
        <x:v>414</x:v>
      </x:c>
      <x:c r="B415" s="15" t="str">
        <x:v>Tidal Offers - Cash Home Buyers</x:v>
      </x:c>
      <x:c r="C415" s="15"/>
      <x:c r="D415" s="15" t="str">
        <x:v>Property investor / home-buying operator</x:v>
      </x:c>
      <x:c r="E415" s="15" t="str">
        <x:v>Property investor / operator inquiry</x:v>
      </x:c>
      <x:c r="F415" s="17" t="str">
        <x:v>New</x:v>
      </x:c>
      <x:c r="G415" s="24"/>
      <x:c r="H415" s="24" t="str">
        <x:v>+19103726720</x:v>
      </x:c>
      <x:c r="I415" s="24" t="str">
        <x:v>https://tidaloffers.com/</x:v>
      </x:c>
      <x:c r="J415" s="16" t="str">
        <x:v>NC</x:v>
      </x:c>
      <x:c r="K415" s="16" t="str">
        <x:v>Wilmington</x:v>
      </x:c>
      <x:c r="L415" s="16" t="str">
        <x:v>Public property-business route; investor decision maker unconfirmed</x:v>
      </x:c>
      <x:c r="M415" s="16" t="str">
        <x:v>https://tidaloffers.com/</x:v>
      </x:c>
      <x:c r="N415" s="16" t="str">
        <x:v>$100K-$500K ticket not published / unconfirmed</x:v>
      </x:c>
      <x:c r="O415" s="20"/>
      <x:c r="P415" s="20"/>
      <x:c r="Q415" s="25" t="str">
        <x:v>No $100K-$500K operating-company investment ticket verified</x:v>
      </x:c>
      <x:c r="R415" s="25" t="str">
        <x:v>Property acquisition or investor activity makes this an operator-capital prospect for the signed trial. Confirm operating-company debt/equity appetite.</x:v>
      </x:c>
      <x:c r="S415" s="25" t="str">
        <x:v>Public property-buying activity or a directory listing does not establish available cash, investing decision-maker, current $100K-$500K capacity, or willingness to fund 101XVC operating costs.</x:v>
      </x:c>
      <x:c r="T415" s="25" t="str">
        <x:v>Ask the owner/investor whether they can allocate $100K-$500K to trial marketing and acquisitions, and confirm structure, timing and decision authority.</x:v>
      </x:c>
      <x:c r="U415" s="25" t="str">
        <x:v>https://www.cashhomebuyersdirectory.com/cash-home-buyers/north-carolina/wilmington</x:v>
      </x:c>
      <x:c r="V415" s="26" t="d">
        <x:v>2026-10-02T00:00:00.000Z</x:v>
      </x:c>
      <x:c r="W415" s="26" t="d">
        <x:v>2026-10-02T00:00:00.000Z</x:v>
      </x:c>
      <x:c r="X415" s="25" t="str">
        <x:v>Public investor directory; business role and contact ownership require qualification</x:v>
      </x:c>
      <x:c r="Y415" s="25"/>
      <x:c r="Z415" s="25" t="str">
        <x:v>https://www.cashhomebuyersdirectory.com/cash-home-buyers/north-carolina/wilmington</x:v>
      </x:c>
      <x:c r="AA415" s="25" t="str">
        <x:v>Public cash-home-buyer directory lists business name, phone and market. Directory entry may include brokers or service providers.</x:v>
      </x:c>
      <x:c r="AB415" s="3" t="str">
        <x:v>New public-source collection</x:v>
      </x:c>
      <x:c r="AC415" s="3" t="str">
        <x:v>unverified</x:v>
      </x:c>
      <x:c r="AD415" s="3" t="str">
        <x:v>Not contacted / unconfirmed</x:v>
      </x:c>
      <x:c r="AE415" s="3" t="str">
        <x:v>No</x:v>
      </x:c>
      <x:c r="AF415" s="3" t="str">
        <x:v>No</x:v>
      </x:c>
      <x:c r="AG415" s="3"/>
      <x:c r="AH415" s="3"/>
      <x:c r="AI415" s="18"/>
      <x:c r="AJ415" s="3" t="str">
        <x:v>CF2500-132BBCC674B9</x:v>
      </x:c>
      <x:c r="AK415" s="3" t="str">
        <x:v>Property investor / home-buying operator prospect</x:v>
      </x:c>
      <x:c r="AL415" s="19" t="n">
        <x:v>100000</x:v>
      </x:c>
      <x:c r="AM415" s="19" t="n">
        <x:v>500000</x:v>
      </x:c>
      <x:c r="AN415" s="3" t="str">
        <x:v>https://www.cashhomebuyersdirectory.com/cash-home-buyers/north-carolina/wilmington</x:v>
      </x:c>
      <x:c r="AO415" s="3" t="str">
        <x:v>nc_il_az_co_investors.jsonl</x:v>
      </x:c>
      <x:c r="AP415" s="19"/>
    </x:row>
    <x:row r="416" ht="36" customHeight="1">
      <x:c r="A416" s="23" t="n">
        <x:v>415</x:v>
      </x:c>
      <x:c r="B416" s="15" t="str">
        <x:v>Top Cash Offer</x:v>
      </x:c>
      <x:c r="C416" s="15"/>
      <x:c r="D416" s="15" t="str">
        <x:v>Property investor / home-buying operator</x:v>
      </x:c>
      <x:c r="E416" s="15" t="str">
        <x:v>Property investor / operator inquiry</x:v>
      </x:c>
      <x:c r="F416" s="17" t="str">
        <x:v>New</x:v>
      </x:c>
      <x:c r="G416" s="24"/>
      <x:c r="H416" s="24" t="str">
        <x:v>+18329797115</x:v>
      </x:c>
      <x:c r="I416" s="24" t="str">
        <x:v>http://www.topcashoffer.com/</x:v>
      </x:c>
      <x:c r="J416" s="16" t="str">
        <x:v>TX</x:v>
      </x:c>
      <x:c r="K416" s="16" t="str">
        <x:v>Houston</x:v>
      </x:c>
      <x:c r="L416" s="16" t="str">
        <x:v>Public property-business route; investor decision maker unconfirmed</x:v>
      </x:c>
      <x:c r="M416" s="16" t="str">
        <x:v>http://www.topcashoffer.com/</x:v>
      </x:c>
      <x:c r="N416" s="16" t="str">
        <x:v>$100K-$500K ticket not published / unconfirmed</x:v>
      </x:c>
      <x:c r="O416" s="20"/>
      <x:c r="P416" s="20"/>
      <x:c r="Q416" s="25" t="str">
        <x:v>No $100K-$500K corporate-investment ticket published in checked source</x:v>
      </x:c>
      <x:c r="R416" s="25" t="str">
        <x:v>Property acquisition or investor activity makes this an operator-capital prospect for the signed trial. Confirm operating-company debt/equity appetite.</x:v>
      </x:c>
      <x:c r="S416" s="25" t="str">
        <x:v>Home-buying activity does not verify ability or willingness to invest $100K-$500K into 101XVC operating company. Website and contact verification pending.</x:v>
      </x:c>
      <x:c r="T416" s="25" t="str">
        <x:v>Ask the owner/investor whether they can allocate $100K-$500K to trial marketing and acquisitions, and confirm structure, timing and decision authority.</x:v>
      </x:c>
      <x:c r="U416" s="25" t="str">
        <x:v>https://www.cashhomebuyersdirectory.com/cash-home-buyers/texas/houston</x:v>
      </x:c>
      <x:c r="V416" s="26" t="d">
        <x:v>2026-10-02T00:00:00.000Z</x:v>
      </x:c>
      <x:c r="W416" s="26" t="d">
        <x:v>2026-10-03T00:00:00.000Z</x:v>
      </x:c>
      <x:c r="X416" s="25" t="str">
        <x:v>Public investor directory; business role and contact ownership require qualification</x:v>
      </x:c>
      <x:c r="Y416" s="25"/>
      <x:c r="Z416" s="25" t="str">
        <x:v>https://www.cashhomebuyersdirectory.com/cash-home-buyers/texas/houston</x:v>
      </x:c>
      <x:c r="AA416" s="25" t="str">
        <x:v>Public cash-home-buyer directory lists business name, phone and market. Directory entry may include brokers or service providers.</x:v>
      </x:c>
      <x:c r="AB416" s="3" t="str">
        <x:v>New public-source collection</x:v>
      </x:c>
      <x:c r="AC416" s="3" t="str">
        <x:v>unverified</x:v>
      </x:c>
      <x:c r="AD416" s="3" t="str">
        <x:v>Not contacted / unconfirmed</x:v>
      </x:c>
      <x:c r="AE416" s="3" t="str">
        <x:v>No</x:v>
      </x:c>
      <x:c r="AF416" s="3" t="str">
        <x:v>No</x:v>
      </x:c>
      <x:c r="AG416" s="3"/>
      <x:c r="AH416" s="3"/>
      <x:c r="AI416" s="18"/>
      <x:c r="AJ416" s="3" t="str">
        <x:v>CF2500-ADB0157059A3</x:v>
      </x:c>
      <x:c r="AK416" s="3" t="str">
        <x:v>Property investor / home-buying operator prospect</x:v>
      </x:c>
      <x:c r="AL416" s="19" t="n">
        <x:v>100000</x:v>
      </x:c>
      <x:c r="AM416" s="19" t="n">
        <x:v>500000</x:v>
      </x:c>
      <x:c r="AN416" s="3" t="str">
        <x:v>https://www.cashhomebuyersdirectory.com/cash-home-buyers/texas/houston</x:v>
      </x:c>
      <x:c r="AO416" s="3" t="str">
        <x:v>tx_fl_investors.jsonl</x:v>
      </x:c>
      <x:c r="AP416" s="19"/>
    </x:row>
    <x:row r="417" ht="36" customHeight="1">
      <x:c r="A417" s="23" t="n">
        <x:v>416</x:v>
      </x:c>
      <x:c r="B417" s="15" t="str">
        <x:v>Triad Casa - Sell My House in Winston Salem NC.</x:v>
      </x:c>
      <x:c r="C417" s="15"/>
      <x:c r="D417" s="15" t="str">
        <x:v>Property investor / home-buying operator</x:v>
      </x:c>
      <x:c r="E417" s="15" t="str">
        <x:v>Property investor / operator inquiry</x:v>
      </x:c>
      <x:c r="F417" s="17" t="str">
        <x:v>New</x:v>
      </x:c>
      <x:c r="G417" s="24"/>
      <x:c r="H417" s="24" t="str">
        <x:v>+13364299466</x:v>
      </x:c>
      <x:c r="I417" s="24" t="str">
        <x:v>http://www.triadcasa.com/</x:v>
      </x:c>
      <x:c r="J417" s="16" t="str">
        <x:v>NC</x:v>
      </x:c>
      <x:c r="K417" s="16"/>
      <x:c r="L417" s="16" t="str">
        <x:v>Public property-business route; investor decision maker unconfirmed</x:v>
      </x:c>
      <x:c r="M417" s="16" t="str">
        <x:v>http://www.triadcasa.com/</x:v>
      </x:c>
      <x:c r="N417" s="16" t="str">
        <x:v>$100K-$500K ticket not published / unconfirmed</x:v>
      </x:c>
      <x:c r="O417" s="20"/>
      <x:c r="P417" s="20"/>
      <x:c r="Q417" s="25" t="str">
        <x:v>No $100K-$500K operating-company investment ticket verified</x:v>
      </x:c>
      <x:c r="R417" s="25" t="str">
        <x:v>Property acquisition or investor activity makes this an operator-capital prospect for the signed trial. Confirm operating-company debt/equity appetite.</x:v>
      </x:c>
      <x:c r="S417" s="25" t="str">
        <x:v>Public property-buying activity or a directory listing does not establish available cash, investing decision-maker, current $100K-$500K capacity, or willingness to fund 101XVC operating costs.</x:v>
      </x:c>
      <x:c r="T417" s="25" t="str">
        <x:v>Ask the owner/investor whether they can allocate $100K-$500K to trial marketing and acquisitions, and confirm structure, timing and decision authority.</x:v>
      </x:c>
      <x:c r="U417" s="25" t="str">
        <x:v>https://www.cashhomebuyersdirectory.com/cash-home-buyers/north-carolina/winston-salem</x:v>
      </x:c>
      <x:c r="V417" s="26" t="d">
        <x:v>2026-10-02T00:00:00.000Z</x:v>
      </x:c>
      <x:c r="W417" s="26" t="d">
        <x:v>2026-10-02T00:00:00.000Z</x:v>
      </x:c>
      <x:c r="X417" s="25" t="str">
        <x:v>Public investor directory; business role and contact ownership require qualification</x:v>
      </x:c>
      <x:c r="Y417" s="25"/>
      <x:c r="Z417" s="25" t="str">
        <x:v>https://www.cashhomebuyersdirectory.com/cash-home-buyers/north-carolina/winston-salem</x:v>
      </x:c>
      <x:c r="AA417" s="25" t="str">
        <x:v>Public cash-home-buyer directory lists business name, phone and market. Directory entry may include brokers or service providers.</x:v>
      </x:c>
      <x:c r="AB417" s="3" t="str">
        <x:v>New public-source collection</x:v>
      </x:c>
      <x:c r="AC417" s="3" t="str">
        <x:v>unverified</x:v>
      </x:c>
      <x:c r="AD417" s="3" t="str">
        <x:v>Not contacted / unconfirmed</x:v>
      </x:c>
      <x:c r="AE417" s="3" t="str">
        <x:v>No</x:v>
      </x:c>
      <x:c r="AF417" s="3" t="str">
        <x:v>No</x:v>
      </x:c>
      <x:c r="AG417" s="3"/>
      <x:c r="AH417" s="3"/>
      <x:c r="AI417" s="18"/>
      <x:c r="AJ417" s="3" t="str">
        <x:v>CF2500-84AC00ACB4CD</x:v>
      </x:c>
      <x:c r="AK417" s="3" t="str">
        <x:v>Property investor / home-buying operator prospect</x:v>
      </x:c>
      <x:c r="AL417" s="19" t="n">
        <x:v>100000</x:v>
      </x:c>
      <x:c r="AM417" s="19" t="n">
        <x:v>500000</x:v>
      </x:c>
      <x:c r="AN417" s="3" t="str">
        <x:v>https://www.cashhomebuyersdirectory.com/cash-home-buyers/north-carolina/winston-salem</x:v>
      </x:c>
      <x:c r="AO417" s="3" t="str">
        <x:v>nc_il_az_co_investors.jsonl</x:v>
      </x:c>
      <x:c r="AP417" s="19"/>
    </x:row>
    <x:row r="418" ht="36" customHeight="1">
      <x:c r="A418" s="23" t="n">
        <x:v>417</x:v>
      </x:c>
      <x:c r="B418" s="15" t="str">
        <x:v>Triad Mobile Home Cash Buyer | Sell Your Mobile Home</x:v>
      </x:c>
      <x:c r="C418" s="15"/>
      <x:c r="D418" s="15" t="str">
        <x:v>Property investor / home-buying operator</x:v>
      </x:c>
      <x:c r="E418" s="15" t="str">
        <x:v>Property investor / operator inquiry</x:v>
      </x:c>
      <x:c r="F418" s="17" t="str">
        <x:v>New</x:v>
      </x:c>
      <x:c r="G418" s="24"/>
      <x:c r="H418" s="24" t="str">
        <x:v>+13367402144</x:v>
      </x:c>
      <x:c r="I418" s="24" t="str">
        <x:v>https://triadmobilehomes.com/</x:v>
      </x:c>
      <x:c r="J418" s="16" t="str">
        <x:v>NC</x:v>
      </x:c>
      <x:c r="K418" s="16" t="str">
        <x:v>Greensboro</x:v>
      </x:c>
      <x:c r="L418" s="16" t="str">
        <x:v>Public property-business route; investor decision maker unconfirmed</x:v>
      </x:c>
      <x:c r="M418" s="16" t="str">
        <x:v>https://triadmobilehomes.com/</x:v>
      </x:c>
      <x:c r="N418" s="16" t="str">
        <x:v>$100K-$500K ticket not published / unconfirmed</x:v>
      </x:c>
      <x:c r="O418" s="20"/>
      <x:c r="P418" s="20"/>
      <x:c r="Q418" s="25" t="str">
        <x:v>No $100K-$500K operating-company investment ticket verified</x:v>
      </x:c>
      <x:c r="R418" s="25" t="str">
        <x:v>Property acquisition or investor activity makes this an operator-capital prospect for the signed trial. Confirm operating-company debt/equity appetite.</x:v>
      </x:c>
      <x:c r="S418" s="25" t="str">
        <x:v>Public property-buying activity or a directory listing does not establish available cash, investing decision-maker, current $100K-$500K capacity, or willingness to fund 101XVC operating costs.</x:v>
      </x:c>
      <x:c r="T418" s="25" t="str">
        <x:v>Ask the owner/investor whether they can allocate $100K-$500K to trial marketing and acquisitions, and confirm structure, timing and decision authority.</x:v>
      </x:c>
      <x:c r="U418" s="25" t="str">
        <x:v>https://www.cashhomebuyersdirectory.com/cash-home-buyers/north-carolina/greensboro</x:v>
      </x:c>
      <x:c r="V418" s="26" t="d">
        <x:v>2026-10-02T00:00:00.000Z</x:v>
      </x:c>
      <x:c r="W418" s="26" t="d">
        <x:v>2026-10-02T00:00:00.000Z</x:v>
      </x:c>
      <x:c r="X418" s="25" t="str">
        <x:v>Public investor directory; business role and contact ownership require qualification</x:v>
      </x:c>
      <x:c r="Y418" s="25"/>
      <x:c r="Z418" s="25" t="str">
        <x:v>https://www.cashhomebuyersdirectory.com/cash-home-buyers/north-carolina/greensboro</x:v>
      </x:c>
      <x:c r="AA418" s="25" t="str">
        <x:v>Public cash-home-buyer directory lists business name, phone and market. Directory entry may include brokers or service providers.</x:v>
      </x:c>
      <x:c r="AB418" s="3" t="str">
        <x:v>New public-source collection</x:v>
      </x:c>
      <x:c r="AC418" s="3" t="str">
        <x:v>unverified</x:v>
      </x:c>
      <x:c r="AD418" s="3" t="str">
        <x:v>Not contacted / unconfirmed</x:v>
      </x:c>
      <x:c r="AE418" s="3" t="str">
        <x:v>No</x:v>
      </x:c>
      <x:c r="AF418" s="3" t="str">
        <x:v>No</x:v>
      </x:c>
      <x:c r="AG418" s="3"/>
      <x:c r="AH418" s="3"/>
      <x:c r="AI418" s="18"/>
      <x:c r="AJ418" s="3" t="str">
        <x:v>CF2500-0166F2EE352D</x:v>
      </x:c>
      <x:c r="AK418" s="3" t="str">
        <x:v>Property investor / home-buying operator prospect</x:v>
      </x:c>
      <x:c r="AL418" s="19" t="n">
        <x:v>100000</x:v>
      </x:c>
      <x:c r="AM418" s="19" t="n">
        <x:v>500000</x:v>
      </x:c>
      <x:c r="AN418" s="3" t="str">
        <x:v>https://www.cashhomebuyersdirectory.com/cash-home-buyers/north-carolina/greensboro</x:v>
      </x:c>
      <x:c r="AO418" s="3" t="str">
        <x:v>nc_il_az_co_investors.jsonl</x:v>
      </x:c>
      <x:c r="AP418" s="19"/>
    </x:row>
    <x:row r="419" ht="36" customHeight="1">
      <x:c r="A419" s="23" t="n">
        <x:v>418</x:v>
      </x:c>
      <x:c r="B419" s="15" t="str">
        <x:v>Triad NC Homebuyers</x:v>
      </x:c>
      <x:c r="C419" s="15"/>
      <x:c r="D419" s="15" t="str">
        <x:v>Property investor / home-buying operator</x:v>
      </x:c>
      <x:c r="E419" s="15" t="str">
        <x:v>Property investor / operator inquiry</x:v>
      </x:c>
      <x:c r="F419" s="17" t="str">
        <x:v>New</x:v>
      </x:c>
      <x:c r="G419" s="24"/>
      <x:c r="H419" s="24" t="str">
        <x:v>+13369054555</x:v>
      </x:c>
      <x:c r="I419" s="24" t="str">
        <x:v>http://www.triadnchomebuyers.com/</x:v>
      </x:c>
      <x:c r="J419" s="16" t="str">
        <x:v>NC</x:v>
      </x:c>
      <x:c r="K419" s="16"/>
      <x:c r="L419" s="16" t="str">
        <x:v>Public property-business route; investor decision maker unconfirmed</x:v>
      </x:c>
      <x:c r="M419" s="16" t="str">
        <x:v>http://www.triadnchomebuyers.com/</x:v>
      </x:c>
      <x:c r="N419" s="16" t="str">
        <x:v>$100K-$500K ticket not published / unconfirmed</x:v>
      </x:c>
      <x:c r="O419" s="20"/>
      <x:c r="P419" s="20"/>
      <x:c r="Q419" s="25" t="str">
        <x:v>No $100K-$500K operating-company investment ticket verified</x:v>
      </x:c>
      <x:c r="R419" s="25" t="str">
        <x:v>Property acquisition or investor activity makes this an operator-capital prospect for the signed trial. Confirm operating-company debt/equity appetite.</x:v>
      </x:c>
      <x:c r="S419" s="25" t="str">
        <x:v>Public property-buying activity or a directory listing does not establish available cash, investing decision-maker, current $100K-$500K capacity, or willingness to fund 101XVC operating costs.</x:v>
      </x:c>
      <x:c r="T419" s="25" t="str">
        <x:v>Ask the owner/investor whether they can allocate $100K-$500K to trial marketing and acquisitions, and confirm structure, timing and decision authority.</x:v>
      </x:c>
      <x:c r="U419" s="25" t="str">
        <x:v>https://www.cashhomebuyersdirectory.com/cash-home-buyers/north-carolina/greensboro</x:v>
      </x:c>
      <x:c r="V419" s="26" t="d">
        <x:v>2026-10-02T00:00:00.000Z</x:v>
      </x:c>
      <x:c r="W419" s="26" t="d">
        <x:v>2026-10-02T00:00:00.000Z</x:v>
      </x:c>
      <x:c r="X419" s="25" t="str">
        <x:v>Public investor directory; business role and contact ownership require qualification</x:v>
      </x:c>
      <x:c r="Y419" s="25"/>
      <x:c r="Z419" s="25" t="str">
        <x:v>https://www.cashhomebuyersdirectory.com/cash-home-buyers/north-carolina/greensboro</x:v>
      </x:c>
      <x:c r="AA419" s="25" t="str">
        <x:v>Public cash-home-buyer directory lists business name, phone and market. Directory entry may include brokers or service providers.</x:v>
      </x:c>
      <x:c r="AB419" s="3" t="str">
        <x:v>New public-source collection</x:v>
      </x:c>
      <x:c r="AC419" s="3" t="str">
        <x:v>unverified</x:v>
      </x:c>
      <x:c r="AD419" s="3" t="str">
        <x:v>Not contacted / unconfirmed</x:v>
      </x:c>
      <x:c r="AE419" s="3" t="str">
        <x:v>No</x:v>
      </x:c>
      <x:c r="AF419" s="3" t="str">
        <x:v>No</x:v>
      </x:c>
      <x:c r="AG419" s="3"/>
      <x:c r="AH419" s="3"/>
      <x:c r="AI419" s="18"/>
      <x:c r="AJ419" s="3" t="str">
        <x:v>CF2500-9A896174AD5C</x:v>
      </x:c>
      <x:c r="AK419" s="3" t="str">
        <x:v>Property investor / home-buying operator prospect</x:v>
      </x:c>
      <x:c r="AL419" s="19" t="n">
        <x:v>100000</x:v>
      </x:c>
      <x:c r="AM419" s="19" t="n">
        <x:v>500000</x:v>
      </x:c>
      <x:c r="AN419" s="3" t="str">
        <x:v>https://www.cashhomebuyersdirectory.com/cash-home-buyers/north-carolina/greensboro</x:v>
      </x:c>
      <x:c r="AO419" s="3" t="str">
        <x:v>nc_il_az_co_investors.jsonl</x:v>
      </x:c>
      <x:c r="AP419" s="19"/>
    </x:row>
    <x:row r="420" ht="36" customHeight="1">
      <x:c r="A420" s="23" t="n">
        <x:v>419</x:v>
      </x:c>
      <x:c r="B420" s="15" t="str">
        <x:v>Trusted Texas House Buyers</x:v>
      </x:c>
      <x:c r="C420" s="15"/>
      <x:c r="D420" s="15" t="str">
        <x:v>Property investor / home-buying operator</x:v>
      </x:c>
      <x:c r="E420" s="15" t="str">
        <x:v>Property investor / operator inquiry</x:v>
      </x:c>
      <x:c r="F420" s="17" t="str">
        <x:v>New</x:v>
      </x:c>
      <x:c r="G420" s="24"/>
      <x:c r="H420" s="24" t="str">
        <x:v>+14697695768</x:v>
      </x:c>
      <x:c r="I420" s="24" t="str">
        <x:v>https://www.trustedtexashousebuyers.com/</x:v>
      </x:c>
      <x:c r="J420" s="16" t="str">
        <x:v>TX</x:v>
      </x:c>
      <x:c r="K420" s="16" t="str">
        <x:v>Dallas</x:v>
      </x:c>
      <x:c r="L420" s="16" t="str">
        <x:v>Public property-business route; investor decision maker unconfirmed</x:v>
      </x:c>
      <x:c r="M420" s="16" t="str">
        <x:v>https://www.trustedtexashousebuyers.com/</x:v>
      </x:c>
      <x:c r="N420" s="16" t="str">
        <x:v>$100K-$500K ticket not published / unconfirmed</x:v>
      </x:c>
      <x:c r="O420" s="20"/>
      <x:c r="P420" s="20"/>
      <x:c r="Q420" s="25" t="str">
        <x:v>No $100K-$500K corporate-investment ticket published in checked source</x:v>
      </x:c>
      <x:c r="R420" s="25" t="str">
        <x:v>Property acquisition or investor activity makes this an operator-capital prospect for the signed trial. Confirm operating-company debt/equity appetite.</x:v>
      </x:c>
      <x:c r="S420" s="25" t="str">
        <x:v>Home-buying activity does not verify ability or willingness to invest $100K-$500K into 101XVC operating company. Website and contact verification pending.</x:v>
      </x:c>
      <x:c r="T420" s="25" t="str">
        <x:v>Ask the owner/investor whether they can allocate $100K-$500K to trial marketing and acquisitions, and confirm structure, timing and decision authority.</x:v>
      </x:c>
      <x:c r="U420" s="25" t="str">
        <x:v>https://www.cashhomebuyersdirectory.com/cash-home-buyers/texas/dallas</x:v>
      </x:c>
      <x:c r="V420" s="26" t="d">
        <x:v>2026-10-02T00:00:00.000Z</x:v>
      </x:c>
      <x:c r="W420" s="26" t="d">
        <x:v>2026-10-03T00:00:00.000Z</x:v>
      </x:c>
      <x:c r="X420" s="25" t="str">
        <x:v>Public investor directory; business role and contact ownership require qualification</x:v>
      </x:c>
      <x:c r="Y420" s="25"/>
      <x:c r="Z420" s="25" t="str">
        <x:v>https://www.cashhomebuyersdirectory.com/cash-home-buyers/texas/dallas</x:v>
      </x:c>
      <x:c r="AA420" s="25" t="str">
        <x:v>Public cash-home-buyer directory lists business name, phone and market. Directory entry may include brokers or service providers.</x:v>
      </x:c>
      <x:c r="AB420" s="3" t="str">
        <x:v>New public-source collection</x:v>
      </x:c>
      <x:c r="AC420" s="3" t="str">
        <x:v>unverified</x:v>
      </x:c>
      <x:c r="AD420" s="3" t="str">
        <x:v>Not contacted / unconfirmed</x:v>
      </x:c>
      <x:c r="AE420" s="3" t="str">
        <x:v>No</x:v>
      </x:c>
      <x:c r="AF420" s="3" t="str">
        <x:v>No</x:v>
      </x:c>
      <x:c r="AG420" s="3"/>
      <x:c r="AH420" s="3"/>
      <x:c r="AI420" s="18"/>
      <x:c r="AJ420" s="3" t="str">
        <x:v>CF2500-FA335DBA759C</x:v>
      </x:c>
      <x:c r="AK420" s="3" t="str">
        <x:v>Property investor / home-buying operator prospect</x:v>
      </x:c>
      <x:c r="AL420" s="19" t="n">
        <x:v>100000</x:v>
      </x:c>
      <x:c r="AM420" s="19" t="n">
        <x:v>500000</x:v>
      </x:c>
      <x:c r="AN420" s="3" t="str">
        <x:v>https://www.cashhomebuyersdirectory.com/cash-home-buyers/texas/dallas</x:v>
      </x:c>
      <x:c r="AO420" s="3" t="str">
        <x:v>tx_fl_investors.jsonl</x:v>
      </x:c>
      <x:c r="AP420" s="19"/>
    </x:row>
    <x:row r="421" ht="36" customHeight="1">
      <x:c r="A421" s="23" t="n">
        <x:v>420</x:v>
      </x:c>
      <x:c r="B421" s="15" t="str">
        <x:v>Tucson Cash Home Buyers</x:v>
      </x:c>
      <x:c r="C421" s="15"/>
      <x:c r="D421" s="15" t="str">
        <x:v>Property investor / home-buying operator</x:v>
      </x:c>
      <x:c r="E421" s="15" t="str">
        <x:v>Property investor / operator inquiry</x:v>
      </x:c>
      <x:c r="F421" s="17" t="str">
        <x:v>New</x:v>
      </x:c>
      <x:c r="G421" s="24"/>
      <x:c r="H421" s="24" t="str">
        <x:v>+15206006706</x:v>
      </x:c>
      <x:c r="I421" s="24" t="str">
        <x:v>https://www.tucsoncashhomebuyers.com/</x:v>
      </x:c>
      <x:c r="J421" s="16" t="str">
        <x:v>AZ</x:v>
      </x:c>
      <x:c r="K421" s="16" t="str">
        <x:v>Tucson</x:v>
      </x:c>
      <x:c r="L421" s="16" t="str">
        <x:v>Public property-business route; investor decision maker unconfirmed</x:v>
      </x:c>
      <x:c r="M421" s="16" t="str">
        <x:v>https://www.tucsoncashhomebuyers.com/</x:v>
      </x:c>
      <x:c r="N421" s="16" t="str">
        <x:v>$100K-$500K ticket not published / unconfirmed</x:v>
      </x:c>
      <x:c r="O421" s="20"/>
      <x:c r="P421" s="20"/>
      <x:c r="Q421" s="25" t="str">
        <x:v>No $100K-$500K operating-company investment ticket verified</x:v>
      </x:c>
      <x:c r="R421" s="25" t="str">
        <x:v>Property acquisition or investor activity makes this an operator-capital prospect for the signed trial. Confirm operating-company debt/equity appetite.</x:v>
      </x:c>
      <x:c r="S421" s="25" t="str">
        <x:v>Public property-buying activity or a directory listing does not establish available cash, investing decision-maker, current $100K-$500K capacity, or willingness to fund 101XVC operating costs.</x:v>
      </x:c>
      <x:c r="T421" s="25" t="str">
        <x:v>Ask the owner/investor whether they can allocate $100K-$500K to trial marketing and acquisitions, and confirm structure, timing and decision authority.</x:v>
      </x:c>
      <x:c r="U421" s="25" t="str">
        <x:v>https://www.cashhomebuyersdirectory.com/cash-home-buyers/arizona/tucson</x:v>
      </x:c>
      <x:c r="V421" s="26" t="d">
        <x:v>2026-10-02T00:00:00.000Z</x:v>
      </x:c>
      <x:c r="W421" s="26" t="d">
        <x:v>2026-10-02T00:00:00.000Z</x:v>
      </x:c>
      <x:c r="X421" s="25" t="str">
        <x:v>Public investor directory; business role and contact ownership require qualification</x:v>
      </x:c>
      <x:c r="Y421" s="25"/>
      <x:c r="Z421" s="25" t="str">
        <x:v>https://www.cashhomebuyersdirectory.com/cash-home-buyers/arizona/tucson</x:v>
      </x:c>
      <x:c r="AA421" s="25" t="str">
        <x:v>Public cash-home-buyer directory lists business name, phone and market. Directory entry may include brokers or service providers.</x:v>
      </x:c>
      <x:c r="AB421" s="3" t="str">
        <x:v>New public-source collection</x:v>
      </x:c>
      <x:c r="AC421" s="3" t="str">
        <x:v>unverified</x:v>
      </x:c>
      <x:c r="AD421" s="3" t="str">
        <x:v>Not contacted / unconfirmed</x:v>
      </x:c>
      <x:c r="AE421" s="3" t="str">
        <x:v>No</x:v>
      </x:c>
      <x:c r="AF421" s="3" t="str">
        <x:v>No</x:v>
      </x:c>
      <x:c r="AG421" s="3"/>
      <x:c r="AH421" s="3"/>
      <x:c r="AI421" s="18"/>
      <x:c r="AJ421" s="3" t="str">
        <x:v>CF2500-92046C51E031</x:v>
      </x:c>
      <x:c r="AK421" s="3" t="str">
        <x:v>Property investor / home-buying operator prospect</x:v>
      </x:c>
      <x:c r="AL421" s="19" t="n">
        <x:v>100000</x:v>
      </x:c>
      <x:c r="AM421" s="19" t="n">
        <x:v>500000</x:v>
      </x:c>
      <x:c r="AN421" s="3" t="str">
        <x:v>https://www.cashhomebuyersdirectory.com/cash-home-buyers/arizona/tucson</x:v>
      </x:c>
      <x:c r="AO421" s="3" t="str">
        <x:v>nc_il_az_co_investors.jsonl</x:v>
      </x:c>
      <x:c r="AP421" s="19"/>
    </x:row>
    <x:row r="422" ht="36" customHeight="1">
      <x:c r="A422" s="23" t="n">
        <x:v>421</x:v>
      </x:c>
      <x:c r="B422" s="15" t="str">
        <x:v>Turbo Cash Offer</x:v>
      </x:c>
      <x:c r="C422" s="15"/>
      <x:c r="D422" s="15" t="str">
        <x:v>Property investor / home-buying operator</x:v>
      </x:c>
      <x:c r="E422" s="15" t="str">
        <x:v>Property investor / operator inquiry</x:v>
      </x:c>
      <x:c r="F422" s="17" t="str">
        <x:v>New</x:v>
      </x:c>
      <x:c r="G422" s="24"/>
      <x:c r="H422" s="24" t="str">
        <x:v>+19844009980</x:v>
      </x:c>
      <x:c r="I422" s="24" t="str">
        <x:v>https://turbocashoffer.com/</x:v>
      </x:c>
      <x:c r="J422" s="16" t="str">
        <x:v>NC</x:v>
      </x:c>
      <x:c r="K422" s="16" t="str">
        <x:v>Durham</x:v>
      </x:c>
      <x:c r="L422" s="16" t="str">
        <x:v>Public property-business route; investor decision maker unconfirmed</x:v>
      </x:c>
      <x:c r="M422" s="16" t="str">
        <x:v>https://turbocashoffer.com/</x:v>
      </x:c>
      <x:c r="N422" s="16" t="str">
        <x:v>$100K-$500K ticket not published / unconfirmed</x:v>
      </x:c>
      <x:c r="O422" s="20"/>
      <x:c r="P422" s="20"/>
      <x:c r="Q422" s="25" t="str">
        <x:v>No $100K-$500K operating-company investment ticket verified</x:v>
      </x:c>
      <x:c r="R422" s="25" t="str">
        <x:v>Property acquisition or investor activity makes this an operator-capital prospect for the signed trial. Confirm operating-company debt/equity appetite.</x:v>
      </x:c>
      <x:c r="S422" s="25" t="str">
        <x:v>Public property-buying activity or a directory listing does not establish available cash, investing decision-maker, current $100K-$500K capacity, or willingness to fund 101XVC operating costs.</x:v>
      </x:c>
      <x:c r="T422" s="25" t="str">
        <x:v>Ask the owner/investor whether they can allocate $100K-$500K to trial marketing and acquisitions, and confirm structure, timing and decision authority.</x:v>
      </x:c>
      <x:c r="U422" s="25" t="str">
        <x:v>https://www.cashhomebuyersdirectory.com/cash-home-buyers/north-carolina/durham</x:v>
      </x:c>
      <x:c r="V422" s="26" t="d">
        <x:v>2026-10-02T00:00:00.000Z</x:v>
      </x:c>
      <x:c r="W422" s="26" t="d">
        <x:v>2026-10-02T00:00:00.000Z</x:v>
      </x:c>
      <x:c r="X422" s="25" t="str">
        <x:v>Public investor directory; business role and contact ownership require qualification</x:v>
      </x:c>
      <x:c r="Y422" s="25"/>
      <x:c r="Z422" s="25" t="str">
        <x:v>https://www.cashhomebuyersdirectory.com/cash-home-buyers/north-carolina/durham</x:v>
      </x:c>
      <x:c r="AA422" s="25" t="str">
        <x:v>Public cash-home-buyer directory lists business name, phone and market. Directory entry may include brokers or service providers.</x:v>
      </x:c>
      <x:c r="AB422" s="3" t="str">
        <x:v>New public-source collection</x:v>
      </x:c>
      <x:c r="AC422" s="3" t="str">
        <x:v>unverified</x:v>
      </x:c>
      <x:c r="AD422" s="3" t="str">
        <x:v>Not contacted / unconfirmed</x:v>
      </x:c>
      <x:c r="AE422" s="3" t="str">
        <x:v>No</x:v>
      </x:c>
      <x:c r="AF422" s="3" t="str">
        <x:v>No</x:v>
      </x:c>
      <x:c r="AG422" s="3"/>
      <x:c r="AH422" s="3"/>
      <x:c r="AI422" s="18"/>
      <x:c r="AJ422" s="3" t="str">
        <x:v>CF2500-A4F31092EB21</x:v>
      </x:c>
      <x:c r="AK422" s="3" t="str">
        <x:v>Property investor / home-buying operator prospect</x:v>
      </x:c>
      <x:c r="AL422" s="19" t="n">
        <x:v>100000</x:v>
      </x:c>
      <x:c r="AM422" s="19" t="n">
        <x:v>500000</x:v>
      </x:c>
      <x:c r="AN422" s="3" t="str">
        <x:v>https://www.cashhomebuyersdirectory.com/cash-home-buyers/north-carolina/durham</x:v>
      </x:c>
      <x:c r="AO422" s="3" t="str">
        <x:v>nc_il_az_co_investors.jsonl</x:v>
      </x:c>
      <x:c r="AP422" s="19"/>
    </x:row>
    <x:row r="423" ht="36" customHeight="1">
      <x:c r="A423" s="23" t="n">
        <x:v>422</x:v>
      </x:c>
      <x:c r="B423" s="15" t="str">
        <x:v>Tx Home Buying Pros | Sell My House Fast | Cash Home Buyers Texas</x:v>
      </x:c>
      <x:c r="C423" s="15"/>
      <x:c r="D423" s="15" t="str">
        <x:v>Property investor / home-buying operator</x:v>
      </x:c>
      <x:c r="E423" s="15" t="str">
        <x:v>Property investor / operator inquiry</x:v>
      </x:c>
      <x:c r="F423" s="17" t="str">
        <x:v>New</x:v>
      </x:c>
      <x:c r="G423" s="24"/>
      <x:c r="H423" s="24" t="str">
        <x:v>+12142962343</x:v>
      </x:c>
      <x:c r="I423" s="24" t="str">
        <x:v>http://www.txhomebuyingpros.com/</x:v>
      </x:c>
      <x:c r="J423" s="16" t="str">
        <x:v>TX</x:v>
      </x:c>
      <x:c r="K423" s="16" t="str">
        <x:v>Dallas</x:v>
      </x:c>
      <x:c r="L423" s="16" t="str">
        <x:v>Public property-business route; investor decision maker unconfirmed</x:v>
      </x:c>
      <x:c r="M423" s="16" t="str">
        <x:v>http://www.txhomebuyingpros.com/</x:v>
      </x:c>
      <x:c r="N423" s="16" t="str">
        <x:v>$100K-$500K ticket not published / unconfirmed</x:v>
      </x:c>
      <x:c r="O423" s="20"/>
      <x:c r="P423" s="20"/>
      <x:c r="Q423" s="25" t="str">
        <x:v>No $100K-$500K corporate-investment ticket published in checked source</x:v>
      </x:c>
      <x:c r="R423" s="25" t="str">
        <x:v>Property acquisition or investor activity makes this an operator-capital prospect for the signed trial. Confirm operating-company debt/equity appetite.</x:v>
      </x:c>
      <x:c r="S423" s="25" t="str">
        <x:v>Home-buying activity does not verify ability or willingness to invest $100K-$500K into 101XVC operating company. Website and contact verification pending.</x:v>
      </x:c>
      <x:c r="T423" s="25" t="str">
        <x:v>Ask the owner/investor whether they can allocate $100K-$500K to trial marketing and acquisitions, and confirm structure, timing and decision authority.</x:v>
      </x:c>
      <x:c r="U423" s="25" t="str">
        <x:v>https://www.cashhomebuyersdirectory.com/cash-home-buyers/texas/dallas</x:v>
      </x:c>
      <x:c r="V423" s="26" t="d">
        <x:v>2026-10-02T00:00:00.000Z</x:v>
      </x:c>
      <x:c r="W423" s="26" t="d">
        <x:v>2026-10-03T00:00:00.000Z</x:v>
      </x:c>
      <x:c r="X423" s="25" t="str">
        <x:v>Public investor directory; business role and contact ownership require qualification</x:v>
      </x:c>
      <x:c r="Y423" s="25"/>
      <x:c r="Z423" s="25" t="str">
        <x:v>https://www.cashhomebuyersdirectory.com/cash-home-buyers/texas/dallas</x:v>
      </x:c>
      <x:c r="AA423" s="25" t="str">
        <x:v>Public cash-home-buyer directory lists business name, phone and market. Directory entry may include brokers or service providers.</x:v>
      </x:c>
      <x:c r="AB423" s="3" t="str">
        <x:v>New public-source collection</x:v>
      </x:c>
      <x:c r="AC423" s="3" t="str">
        <x:v>unverified</x:v>
      </x:c>
      <x:c r="AD423" s="3" t="str">
        <x:v>Not contacted / unconfirmed</x:v>
      </x:c>
      <x:c r="AE423" s="3" t="str">
        <x:v>No</x:v>
      </x:c>
      <x:c r="AF423" s="3" t="str">
        <x:v>No</x:v>
      </x:c>
      <x:c r="AG423" s="3"/>
      <x:c r="AH423" s="3"/>
      <x:c r="AI423" s="18"/>
      <x:c r="AJ423" s="3" t="str">
        <x:v>CF2500-9A06B8BC09B0</x:v>
      </x:c>
      <x:c r="AK423" s="3" t="str">
        <x:v>Property investor / home-buying operator prospect</x:v>
      </x:c>
      <x:c r="AL423" s="19" t="n">
        <x:v>100000</x:v>
      </x:c>
      <x:c r="AM423" s="19" t="n">
        <x:v>500000</x:v>
      </x:c>
      <x:c r="AN423" s="3" t="str">
        <x:v>https://www.cashhomebuyersdirectory.com/cash-home-buyers/texas/dallas</x:v>
      </x:c>
      <x:c r="AO423" s="3" t="str">
        <x:v>tx_fl_investors.jsonl</x:v>
      </x:c>
      <x:c r="AP423" s="19"/>
    </x:row>
    <x:row r="424" ht="36" customHeight="1">
      <x:c r="A424" s="23" t="n">
        <x:v>423</x:v>
      </x:c>
      <x:c r="B424" s="15" t="str">
        <x:v>Tyler House Buyers</x:v>
      </x:c>
      <x:c r="C424" s="15"/>
      <x:c r="D424" s="15" t="str">
        <x:v>Property investor / home-buying operator</x:v>
      </x:c>
      <x:c r="E424" s="15" t="str">
        <x:v>Property investor / operator inquiry</x:v>
      </x:c>
      <x:c r="F424" s="17" t="str">
        <x:v>New</x:v>
      </x:c>
      <x:c r="G424" s="24"/>
      <x:c r="H424" s="24" t="str">
        <x:v>+19037305063</x:v>
      </x:c>
      <x:c r="I424" s="24" t="str">
        <x:v>https://tylerhousebuyers.com/about-us/</x:v>
      </x:c>
      <x:c r="J424" s="16" t="str">
        <x:v>TX</x:v>
      </x:c>
      <x:c r="K424" s="16" t="str">
        <x:v>Tyler</x:v>
      </x:c>
      <x:c r="L424" s="16" t="str">
        <x:v>Public property-business route; investor decision maker unconfirmed</x:v>
      </x:c>
      <x:c r="M424" s="16" t="str">
        <x:v>https://tylerhousebuyers.com/about-us/</x:v>
      </x:c>
      <x:c r="N424" s="16" t="str">
        <x:v>$100K-$500K ticket not published / unconfirmed</x:v>
      </x:c>
      <x:c r="O424" s="20"/>
      <x:c r="P424" s="20"/>
      <x:c r="Q424" s="25" t="str">
        <x:v>No $100K-$500K corporate-investment ticket published in checked source</x:v>
      </x:c>
      <x:c r="R424" s="25" t="str">
        <x:v>Property acquisition or investor activity makes this an operator-capital prospect for the signed trial. Confirm operating-company debt/equity appetite.</x:v>
      </x:c>
      <x:c r="S424" s="25" t="str">
        <x:v>Home-buying activity does not verify ability or willingness to invest $100K-$500K into 101XVC operating company. Website and contact verification pending.</x:v>
      </x:c>
      <x:c r="T424" s="25" t="str">
        <x:v>Ask the owner/investor whether they can allocate $100K-$500K to trial marketing and acquisitions, and confirm structure, timing and decision authority.</x:v>
      </x:c>
      <x:c r="U424" s="25" t="str">
        <x:v>https://www.cashhomebuyersdirectory.com/cash-home-buyers/texas/tyler</x:v>
      </x:c>
      <x:c r="V424" s="26" t="d">
        <x:v>2026-10-02T00:00:00.000Z</x:v>
      </x:c>
      <x:c r="W424" s="26" t="d">
        <x:v>2026-10-03T00:00:00.000Z</x:v>
      </x:c>
      <x:c r="X424" s="25" t="str">
        <x:v>Public investor directory; business role and contact ownership require qualification</x:v>
      </x:c>
      <x:c r="Y424" s="25"/>
      <x:c r="Z424" s="25" t="str">
        <x:v>https://www.cashhomebuyersdirectory.com/cash-home-buyers/texas/tyler</x:v>
      </x:c>
      <x:c r="AA424" s="25" t="str">
        <x:v>Public cash-home-buyer directory lists business name, phone and market. Directory entry may include brokers or service providers.</x:v>
      </x:c>
      <x:c r="AB424" s="3" t="str">
        <x:v>New public-source collection</x:v>
      </x:c>
      <x:c r="AC424" s="3" t="str">
        <x:v>unverified</x:v>
      </x:c>
      <x:c r="AD424" s="3" t="str">
        <x:v>Not contacted / unconfirmed</x:v>
      </x:c>
      <x:c r="AE424" s="3" t="str">
        <x:v>No</x:v>
      </x:c>
      <x:c r="AF424" s="3" t="str">
        <x:v>No</x:v>
      </x:c>
      <x:c r="AG424" s="3"/>
      <x:c r="AH424" s="3"/>
      <x:c r="AI424" s="18"/>
      <x:c r="AJ424" s="3" t="str">
        <x:v>CF2500-36052A7F803A</x:v>
      </x:c>
      <x:c r="AK424" s="3" t="str">
        <x:v>Property investor / home-buying operator prospect</x:v>
      </x:c>
      <x:c r="AL424" s="19" t="n">
        <x:v>100000</x:v>
      </x:c>
      <x:c r="AM424" s="19" t="n">
        <x:v>500000</x:v>
      </x:c>
      <x:c r="AN424" s="3" t="str">
        <x:v>https://www.cashhomebuyersdirectory.com/cash-home-buyers/texas/tyler</x:v>
      </x:c>
      <x:c r="AO424" s="3" t="str">
        <x:v>tx_fl_investors.jsonl</x:v>
      </x:c>
      <x:c r="AP424" s="19"/>
    </x:row>
    <x:row r="425" ht="36" customHeight="1">
      <x:c r="A425" s="23" t="n">
        <x:v>424</x:v>
      </x:c>
      <x:c r="B425" s="15" t="str">
        <x:v>USA Home Buyers</x:v>
      </x:c>
      <x:c r="C425" s="15"/>
      <x:c r="D425" s="15" t="str">
        <x:v>Property investor / home-buying operator</x:v>
      </x:c>
      <x:c r="E425" s="15" t="str">
        <x:v>Property investor / operator inquiry</x:v>
      </x:c>
      <x:c r="F425" s="17" t="str">
        <x:v>New</x:v>
      </x:c>
      <x:c r="G425" s="24"/>
      <x:c r="H425" s="24" t="str">
        <x:v>+13365597114</x:v>
      </x:c>
      <x:c r="I425" s="24" t="str">
        <x:v>https://www.usahomebuyersteam.com/</x:v>
      </x:c>
      <x:c r="J425" s="16" t="str">
        <x:v>NC</x:v>
      </x:c>
      <x:c r="K425" s="16" t="str">
        <x:v>Greensboro</x:v>
      </x:c>
      <x:c r="L425" s="16" t="str">
        <x:v>Public property-business route; investor decision maker unconfirmed</x:v>
      </x:c>
      <x:c r="M425" s="16" t="str">
        <x:v>https://www.usahomebuyersteam.com/</x:v>
      </x:c>
      <x:c r="N425" s="16" t="str">
        <x:v>$100K-$500K ticket not published / unconfirmed</x:v>
      </x:c>
      <x:c r="O425" s="20"/>
      <x:c r="P425" s="20"/>
      <x:c r="Q425" s="25" t="str">
        <x:v>No $100K-$500K operating-company investment ticket verified</x:v>
      </x:c>
      <x:c r="R425" s="25" t="str">
        <x:v>Property acquisition or investor activity makes this an operator-capital prospect for the signed trial. Confirm operating-company debt/equity appetite.</x:v>
      </x:c>
      <x:c r="S425" s="25" t="str">
        <x:v>Public property-buying activity or a directory listing does not establish available cash, investing decision-maker, current $100K-$500K capacity, or willingness to fund 101XVC operating costs.</x:v>
      </x:c>
      <x:c r="T425" s="25" t="str">
        <x:v>Ask the owner/investor whether they can allocate $100K-$500K to trial marketing and acquisitions, and confirm structure, timing and decision authority.</x:v>
      </x:c>
      <x:c r="U425" s="25" t="str">
        <x:v>https://www.cashhomebuyersdirectory.com/cash-home-buyers/north-carolina/greensboro</x:v>
      </x:c>
      <x:c r="V425" s="26" t="d">
        <x:v>2026-10-02T00:00:00.000Z</x:v>
      </x:c>
      <x:c r="W425" s="26" t="d">
        <x:v>2026-10-02T00:00:00.000Z</x:v>
      </x:c>
      <x:c r="X425" s="25" t="str">
        <x:v>Public investor directory; business role and contact ownership require qualification</x:v>
      </x:c>
      <x:c r="Y425" s="25"/>
      <x:c r="Z425" s="25" t="str">
        <x:v>https://www.cashhomebuyersdirectory.com/cash-home-buyers/north-carolina/greensboro</x:v>
      </x:c>
      <x:c r="AA425" s="25" t="str">
        <x:v>Public cash-home-buyer directory lists business name, phone and market. Directory entry may include brokers or service providers.</x:v>
      </x:c>
      <x:c r="AB425" s="3" t="str">
        <x:v>New public-source collection</x:v>
      </x:c>
      <x:c r="AC425" s="3" t="str">
        <x:v>unverified</x:v>
      </x:c>
      <x:c r="AD425" s="3" t="str">
        <x:v>Not contacted / unconfirmed</x:v>
      </x:c>
      <x:c r="AE425" s="3" t="str">
        <x:v>No</x:v>
      </x:c>
      <x:c r="AF425" s="3" t="str">
        <x:v>No</x:v>
      </x:c>
      <x:c r="AG425" s="3"/>
      <x:c r="AH425" s="3"/>
      <x:c r="AI425" s="18"/>
      <x:c r="AJ425" s="3" t="str">
        <x:v>CF2500-0535BC2C6B7B</x:v>
      </x:c>
      <x:c r="AK425" s="3" t="str">
        <x:v>Property investor / home-buying operator prospect</x:v>
      </x:c>
      <x:c r="AL425" s="19" t="n">
        <x:v>100000</x:v>
      </x:c>
      <x:c r="AM425" s="19" t="n">
        <x:v>500000</x:v>
      </x:c>
      <x:c r="AN425" s="3" t="str">
        <x:v>https://www.cashhomebuyersdirectory.com/cash-home-buyers/north-carolina/greensboro</x:v>
      </x:c>
      <x:c r="AO425" s="3" t="str">
        <x:v>nc_il_az_co_investors.jsonl</x:v>
      </x:c>
      <x:c r="AP425" s="19"/>
    </x:row>
    <x:row r="426" ht="36" customHeight="1">
      <x:c r="A426" s="23" t="n">
        <x:v>425</x:v>
      </x:c>
      <x:c r="B426" s="15" t="str">
        <x:v>USHomeBuyers.com, Inc</x:v>
      </x:c>
      <x:c r="C426" s="15"/>
      <x:c r="D426" s="15" t="str">
        <x:v>Property investor / home-buying operator</x:v>
      </x:c>
      <x:c r="E426" s="15" t="str">
        <x:v>Property investor / operator inquiry</x:v>
      </x:c>
      <x:c r="F426" s="17" t="str">
        <x:v>New</x:v>
      </x:c>
      <x:c r="G426" s="24"/>
      <x:c r="H426" s="24" t="str">
        <x:v>+16239200414</x:v>
      </x:c>
      <x:c r="I426" s="24" t="str">
        <x:v>https://www.ushomebuyers.com/</x:v>
      </x:c>
      <x:c r="J426" s="16" t="str">
        <x:v>AZ</x:v>
      </x:c>
      <x:c r="K426" s="16" t="str">
        <x:v>Mesa</x:v>
      </x:c>
      <x:c r="L426" s="16" t="str">
        <x:v>Public property-business route; investor decision maker unconfirmed</x:v>
      </x:c>
      <x:c r="M426" s="16" t="str">
        <x:v>https://www.ushomebuyers.com/</x:v>
      </x:c>
      <x:c r="N426" s="16" t="str">
        <x:v>$100K-$500K ticket not published / unconfirmed</x:v>
      </x:c>
      <x:c r="O426" s="20"/>
      <x:c r="P426" s="20"/>
      <x:c r="Q426" s="25" t="str">
        <x:v>No $100K-$500K operating-company investment ticket verified</x:v>
      </x:c>
      <x:c r="R426" s="25" t="str">
        <x:v>Property acquisition or investor activity makes this an operator-capital prospect for the signed trial. Confirm operating-company debt/equity appetite.</x:v>
      </x:c>
      <x:c r="S426" s="25" t="str">
        <x:v>Public property-buying activity or a directory listing does not establish available cash, investing decision-maker, current $100K-$500K capacity, or willingness to fund 101XVC operating costs.</x:v>
      </x:c>
      <x:c r="T426" s="25" t="str">
        <x:v>Ask the owner/investor whether they can allocate $100K-$500K to trial marketing and acquisitions, and confirm structure, timing and decision authority.</x:v>
      </x:c>
      <x:c r="U426" s="25" t="str">
        <x:v>https://www.cashhomebuyersdirectory.com/cash-home-buyers/arizona/mesa
https://www.bbb.org/us/az/category/home-buyers</x:v>
      </x:c>
      <x:c r="V426" s="26" t="d">
        <x:v>2026-10-02T00:00:00.000Z</x:v>
      </x:c>
      <x:c r="W426" s="26" t="d">
        <x:v>2026-10-02T00:00:00.000Z</x:v>
      </x:c>
      <x:c r="X426" s="25" t="str">
        <x:v>Public investor directory; business role and contact ownership require qualification</x:v>
      </x:c>
      <x:c r="Y426" s="25"/>
      <x:c r="Z426" s="25" t="str">
        <x:v>https://www.cashhomebuyersdirectory.com/cash-home-buyers/arizona/mesa</x:v>
      </x:c>
      <x:c r="AA426" s="25" t="str">
        <x:v>Public cash-home-buyer directory lists business name, phone and market. Directory entry may include brokers or service providers.</x:v>
      </x:c>
      <x:c r="AB426" s="3" t="str">
        <x:v>New public-source collection</x:v>
      </x:c>
      <x:c r="AC426" s="3" t="str">
        <x:v>unverified</x:v>
      </x:c>
      <x:c r="AD426" s="3" t="str">
        <x:v>Not contacted / unconfirmed</x:v>
      </x:c>
      <x:c r="AE426" s="3" t="str">
        <x:v>No</x:v>
      </x:c>
      <x:c r="AF426" s="3" t="str">
        <x:v>No</x:v>
      </x:c>
      <x:c r="AG426" s="3"/>
      <x:c r="AH426" s="3"/>
      <x:c r="AI426" s="18"/>
      <x:c r="AJ426" s="3" t="str">
        <x:v>CF2500-4ED048431B64</x:v>
      </x:c>
      <x:c r="AK426" s="3" t="str">
        <x:v>Property investor / home-buying operator prospect</x:v>
      </x:c>
      <x:c r="AL426" s="19" t="n">
        <x:v>100000</x:v>
      </x:c>
      <x:c r="AM426" s="19" t="n">
        <x:v>500000</x:v>
      </x:c>
      <x:c r="AN426" s="3" t="str">
        <x:v>https://www.cashhomebuyersdirectory.com/cash-home-buyers/arizona/mesa</x:v>
      </x:c>
      <x:c r="AO426" s="3" t="str">
        <x:v>nc_il_az_co_investors.jsonl</x:v>
      </x:c>
      <x:c r="AP426" s="19"/>
    </x:row>
    <x:row r="427" ht="36" customHeight="1">
      <x:c r="A427" s="23" t="n">
        <x:v>426</x:v>
      </x:c>
      <x:c r="B427" s="15" t="str">
        <x:v>Valley Home Buyer</x:v>
      </x:c>
      <x:c r="C427" s="15"/>
      <x:c r="D427" s="15" t="str">
        <x:v>Property investor / home-buying operator</x:v>
      </x:c>
      <x:c r="E427" s="15" t="str">
        <x:v>Property investor / operator inquiry</x:v>
      </x:c>
      <x:c r="F427" s="17" t="str">
        <x:v>New</x:v>
      </x:c>
      <x:c r="G427" s="24"/>
      <x:c r="H427" s="24" t="str">
        <x:v>+16027343662</x:v>
      </x:c>
      <x:c r="I427" s="24" t="str">
        <x:v>https://www.valleyhomebuyer.com/?utm_source=GMBListing&amp;utm_medium=organic</x:v>
      </x:c>
      <x:c r="J427" s="16" t="str">
        <x:v>AZ</x:v>
      </x:c>
      <x:c r="K427" s="16" t="str">
        <x:v>Phoenix</x:v>
      </x:c>
      <x:c r="L427" s="16" t="str">
        <x:v>Public property-business route; investor decision maker unconfirmed</x:v>
      </x:c>
      <x:c r="M427" s="16" t="str">
        <x:v>https://www.valleyhomebuyer.com/?utm_source=GMBListing&amp;utm_medium=organic</x:v>
      </x:c>
      <x:c r="N427" s="16" t="str">
        <x:v>$100K-$500K ticket not published / unconfirmed</x:v>
      </x:c>
      <x:c r="O427" s="20"/>
      <x:c r="P427" s="20"/>
      <x:c r="Q427" s="25" t="str">
        <x:v>No $100K-$500K operating-company investment ticket verified</x:v>
      </x:c>
      <x:c r="R427" s="25" t="str">
        <x:v>Property acquisition or investor activity makes this an operator-capital prospect for the signed trial. Confirm operating-company debt/equity appetite.</x:v>
      </x:c>
      <x:c r="S427" s="25" t="str">
        <x:v>Public property-buying activity or a directory listing does not establish available cash, investing decision-maker, current $100K-$500K capacity, or willingness to fund 101XVC operating costs.</x:v>
      </x:c>
      <x:c r="T427" s="25" t="str">
        <x:v>Ask the owner/investor whether they can allocate $100K-$500K to trial marketing and acquisitions, and confirm structure, timing and decision authority.</x:v>
      </x:c>
      <x:c r="U427" s="25" t="str">
        <x:v>https://www.cashhomebuyersdirectory.com/cash-home-buyers/arizona/phoenix</x:v>
      </x:c>
      <x:c r="V427" s="26" t="d">
        <x:v>2026-10-02T00:00:00.000Z</x:v>
      </x:c>
      <x:c r="W427" s="26" t="d">
        <x:v>2026-10-02T00:00:00.000Z</x:v>
      </x:c>
      <x:c r="X427" s="25" t="str">
        <x:v>Public investor directory; business role and contact ownership require qualification</x:v>
      </x:c>
      <x:c r="Y427" s="25"/>
      <x:c r="Z427" s="25" t="str">
        <x:v>https://www.cashhomebuyersdirectory.com/cash-home-buyers/arizona/phoenix</x:v>
      </x:c>
      <x:c r="AA427" s="25" t="str">
        <x:v>Public cash-home-buyer directory lists business name, phone and market. Directory entry may include brokers or service providers.</x:v>
      </x:c>
      <x:c r="AB427" s="3" t="str">
        <x:v>New public-source collection</x:v>
      </x:c>
      <x:c r="AC427" s="3" t="str">
        <x:v>unverified</x:v>
      </x:c>
      <x:c r="AD427" s="3" t="str">
        <x:v>Not contacted / unconfirmed</x:v>
      </x:c>
      <x:c r="AE427" s="3" t="str">
        <x:v>No</x:v>
      </x:c>
      <x:c r="AF427" s="3" t="str">
        <x:v>No</x:v>
      </x:c>
      <x:c r="AG427" s="3"/>
      <x:c r="AH427" s="3"/>
      <x:c r="AI427" s="18"/>
      <x:c r="AJ427" s="3" t="str">
        <x:v>CF2500-8B0D4B6C2684</x:v>
      </x:c>
      <x:c r="AK427" s="3" t="str">
        <x:v>Property investor / home-buying operator prospect</x:v>
      </x:c>
      <x:c r="AL427" s="19" t="n">
        <x:v>100000</x:v>
      </x:c>
      <x:c r="AM427" s="19" t="n">
        <x:v>500000</x:v>
      </x:c>
      <x:c r="AN427" s="3" t="str">
        <x:v>https://www.cashhomebuyersdirectory.com/cash-home-buyers/arizona/phoenix</x:v>
      </x:c>
      <x:c r="AO427" s="3" t="str">
        <x:v>nc_il_az_co_investors.jsonl</x:v>
      </x:c>
      <x:c r="AP427" s="19"/>
    </x:row>
    <x:row r="428" ht="36" customHeight="1">
      <x:c r="A428" s="23" t="n">
        <x:v>427</x:v>
      </x:c>
      <x:c r="B428" s="15" t="str">
        <x:v>Verified Home Buyers</x:v>
      </x:c>
      <x:c r="C428" s="15"/>
      <x:c r="D428" s="15" t="str">
        <x:v>Property investor / home-buying operator</x:v>
      </x:c>
      <x:c r="E428" s="15" t="str">
        <x:v>Property investor / operator inquiry</x:v>
      </x:c>
      <x:c r="F428" s="17" t="str">
        <x:v>New</x:v>
      </x:c>
      <x:c r="G428" s="24"/>
      <x:c r="H428" s="24" t="str">
        <x:v>+19416613083</x:v>
      </x:c>
      <x:c r="I428" s="24" t="str">
        <x:v>http://www.verifiedhomebuyers.com/</x:v>
      </x:c>
      <x:c r="J428" s="16" t="str">
        <x:v>FL</x:v>
      </x:c>
      <x:c r="K428" s="16" t="str">
        <x:v>Tampa</x:v>
      </x:c>
      <x:c r="L428" s="16" t="str">
        <x:v>Public property-business route; investor decision maker unconfirmed</x:v>
      </x:c>
      <x:c r="M428" s="16" t="str">
        <x:v>http://www.verifiedhomebuyers.com/</x:v>
      </x:c>
      <x:c r="N428" s="16" t="str">
        <x:v>$100K-$500K ticket not published / unconfirmed</x:v>
      </x:c>
      <x:c r="O428" s="20"/>
      <x:c r="P428" s="20"/>
      <x:c r="Q428" s="25" t="str">
        <x:v>No $100K-$500K corporate-investment ticket published in checked source</x:v>
      </x:c>
      <x:c r="R428" s="25" t="str">
        <x:v>Property acquisition or investor activity makes this an operator-capital prospect for the signed trial. Confirm operating-company debt/equity appetite.</x:v>
      </x:c>
      <x:c r="S428" s="25" t="str">
        <x:v>Home-buying activity does not verify ability or willingness to invest $100K-$500K into 101XVC operating company. Website and contact verification pending.</x:v>
      </x:c>
      <x:c r="T428" s="25" t="str">
        <x:v>Ask the owner/investor whether they can allocate $100K-$500K to trial marketing and acquisitions, and confirm structure, timing and decision authority.</x:v>
      </x:c>
      <x:c r="U428" s="25" t="str">
        <x:v>https://www.cashhomebuyersdirectory.com/cash-home-buyers/florida/tampa</x:v>
      </x:c>
      <x:c r="V428" s="26" t="d">
        <x:v>2026-10-02T00:00:00.000Z</x:v>
      </x:c>
      <x:c r="W428" s="26" t="d">
        <x:v>2026-10-03T00:00:00.000Z</x:v>
      </x:c>
      <x:c r="X428" s="25" t="str">
        <x:v>Public investor directory; business role and contact ownership require qualification</x:v>
      </x:c>
      <x:c r="Y428" s="25"/>
      <x:c r="Z428" s="25" t="str">
        <x:v>https://www.cashhomebuyersdirectory.com/cash-home-buyers/florida/tampa</x:v>
      </x:c>
      <x:c r="AA428" s="25" t="str">
        <x:v>Public cash-home-buyer directory lists business name, phone and market. Directory entry may include brokers or service providers.</x:v>
      </x:c>
      <x:c r="AB428" s="3" t="str">
        <x:v>New public-source collection</x:v>
      </x:c>
      <x:c r="AC428" s="3" t="str">
        <x:v>unverified</x:v>
      </x:c>
      <x:c r="AD428" s="3" t="str">
        <x:v>Not contacted / unconfirmed</x:v>
      </x:c>
      <x:c r="AE428" s="3" t="str">
        <x:v>No</x:v>
      </x:c>
      <x:c r="AF428" s="3" t="str">
        <x:v>No</x:v>
      </x:c>
      <x:c r="AG428" s="3"/>
      <x:c r="AH428" s="3"/>
      <x:c r="AI428" s="18"/>
      <x:c r="AJ428" s="3" t="str">
        <x:v>CF2500-E89B45488C6F</x:v>
      </x:c>
      <x:c r="AK428" s="3" t="str">
        <x:v>Property investor / home-buying operator prospect</x:v>
      </x:c>
      <x:c r="AL428" s="19" t="n">
        <x:v>100000</x:v>
      </x:c>
      <x:c r="AM428" s="19" t="n">
        <x:v>500000</x:v>
      </x:c>
      <x:c r="AN428" s="3" t="str">
        <x:v>https://www.cashhomebuyersdirectory.com/cash-home-buyers/florida/tampa</x:v>
      </x:c>
      <x:c r="AO428" s="3" t="str">
        <x:v>tx_fl_investors.jsonl</x:v>
      </x:c>
      <x:c r="AP428" s="19"/>
    </x:row>
    <x:row r="429" ht="36" customHeight="1">
      <x:c r="A429" s="23" t="n">
        <x:v>428</x:v>
      </x:c>
      <x:c r="B429" s="15" t="str">
        <x:v>Volcan Property Buyers</x:v>
      </x:c>
      <x:c r="C429" s="15"/>
      <x:c r="D429" s="15" t="str">
        <x:v>Property investor / home-buying operator</x:v>
      </x:c>
      <x:c r="E429" s="15" t="str">
        <x:v>Property investor / operator inquiry</x:v>
      </x:c>
      <x:c r="F429" s="17" t="str">
        <x:v>New</x:v>
      </x:c>
      <x:c r="G429" s="24"/>
      <x:c r="H429" s="24" t="str">
        <x:v>+13463604444</x:v>
      </x:c>
      <x:c r="I429" s="24" t="str">
        <x:v>https://volcanpropertybuyers.com/</x:v>
      </x:c>
      <x:c r="J429" s="16" t="str">
        <x:v>TX</x:v>
      </x:c>
      <x:c r="K429" s="16" t="str">
        <x:v>Houston</x:v>
      </x:c>
      <x:c r="L429" s="16" t="str">
        <x:v>Public property-business route; investor decision maker unconfirmed</x:v>
      </x:c>
      <x:c r="M429" s="16" t="str">
        <x:v>https://volcanpropertybuyers.com/</x:v>
      </x:c>
      <x:c r="N429" s="16" t="str">
        <x:v>$100K-$500K ticket not published / unconfirmed</x:v>
      </x:c>
      <x:c r="O429" s="20"/>
      <x:c r="P429" s="20"/>
      <x:c r="Q429" s="25" t="str">
        <x:v>No $100K-$500K corporate-investment ticket published in checked source</x:v>
      </x:c>
      <x:c r="R429" s="25" t="str">
        <x:v>Property acquisition or investor activity makes this an operator-capital prospect for the signed trial. Confirm operating-company debt/equity appetite.</x:v>
      </x:c>
      <x:c r="S429" s="25" t="str">
        <x:v>Home-buying activity does not verify ability or willingness to invest $100K-$500K into 101XVC operating company. Website and contact verification pending.</x:v>
      </x:c>
      <x:c r="T429" s="25" t="str">
        <x:v>Ask the owner/investor whether they can allocate $100K-$500K to trial marketing and acquisitions, and confirm structure, timing and decision authority.</x:v>
      </x:c>
      <x:c r="U429" s="25" t="str">
        <x:v>https://www.cashhomebuyersdirectory.com/cash-home-buyers/texas/houston</x:v>
      </x:c>
      <x:c r="V429" s="26" t="d">
        <x:v>2026-10-02T00:00:00.000Z</x:v>
      </x:c>
      <x:c r="W429" s="26" t="d">
        <x:v>2026-10-03T00:00:00.000Z</x:v>
      </x:c>
      <x:c r="X429" s="25" t="str">
        <x:v>Public investor directory; business role and contact ownership require qualification</x:v>
      </x:c>
      <x:c r="Y429" s="25"/>
      <x:c r="Z429" s="25" t="str">
        <x:v>https://www.cashhomebuyersdirectory.com/cash-home-buyers/texas/houston</x:v>
      </x:c>
      <x:c r="AA429" s="25" t="str">
        <x:v>Public cash-home-buyer directory lists business name, phone and market. Directory entry may include brokers or service providers.</x:v>
      </x:c>
      <x:c r="AB429" s="3" t="str">
        <x:v>New public-source collection</x:v>
      </x:c>
      <x:c r="AC429" s="3" t="str">
        <x:v>unverified</x:v>
      </x:c>
      <x:c r="AD429" s="3" t="str">
        <x:v>Not contacted / unconfirmed</x:v>
      </x:c>
      <x:c r="AE429" s="3" t="str">
        <x:v>No</x:v>
      </x:c>
      <x:c r="AF429" s="3" t="str">
        <x:v>No</x:v>
      </x:c>
      <x:c r="AG429" s="3"/>
      <x:c r="AH429" s="3"/>
      <x:c r="AI429" s="18"/>
      <x:c r="AJ429" s="3" t="str">
        <x:v>CF2500-B812087F37AF</x:v>
      </x:c>
      <x:c r="AK429" s="3" t="str">
        <x:v>Property investor / home-buying operator prospect</x:v>
      </x:c>
      <x:c r="AL429" s="19" t="n">
        <x:v>100000</x:v>
      </x:c>
      <x:c r="AM429" s="19" t="n">
        <x:v>500000</x:v>
      </x:c>
      <x:c r="AN429" s="3" t="str">
        <x:v>https://www.cashhomebuyersdirectory.com/cash-home-buyers/texas/houston</x:v>
      </x:c>
      <x:c r="AO429" s="3" t="str">
        <x:v>tx_fl_investors.jsonl</x:v>
      </x:c>
      <x:c r="AP429" s="19"/>
    </x:row>
    <x:row r="430" ht="36" customHeight="1">
      <x:c r="A430" s="23" t="n">
        <x:v>429</x:v>
      </x:c>
      <x:c r="B430" s="15" t="str">
        <x:v>Waco First Home Buyers</x:v>
      </x:c>
      <x:c r="C430" s="15"/>
      <x:c r="D430" s="15" t="str">
        <x:v>Property investor / home-buying operator</x:v>
      </x:c>
      <x:c r="E430" s="15" t="str">
        <x:v>Property investor / operator inquiry</x:v>
      </x:c>
      <x:c r="F430" s="17" t="str">
        <x:v>New</x:v>
      </x:c>
      <x:c r="G430" s="24"/>
      <x:c r="H430" s="24" t="str">
        <x:v>+12542720685</x:v>
      </x:c>
      <x:c r="I430" s="24" t="str">
        <x:v>https://www.wacofirsthomebuyers.com/</x:v>
      </x:c>
      <x:c r="J430" s="16" t="str">
        <x:v>TX</x:v>
      </x:c>
      <x:c r="K430" s="16" t="str">
        <x:v>Waco</x:v>
      </x:c>
      <x:c r="L430" s="16" t="str">
        <x:v>Public property-business route; investor decision maker unconfirmed</x:v>
      </x:c>
      <x:c r="M430" s="16" t="str">
        <x:v>https://www.wacofirsthomebuyers.com/</x:v>
      </x:c>
      <x:c r="N430" s="16" t="str">
        <x:v>$100K-$500K ticket not published / unconfirmed</x:v>
      </x:c>
      <x:c r="O430" s="20"/>
      <x:c r="P430" s="20"/>
      <x:c r="Q430" s="25" t="str">
        <x:v>No $100K-$500K corporate-investment ticket published in checked source</x:v>
      </x:c>
      <x:c r="R430" s="25" t="str">
        <x:v>Property acquisition or investor activity makes this an operator-capital prospect for the signed trial. Confirm operating-company debt/equity appetite.</x:v>
      </x:c>
      <x:c r="S430" s="25" t="str">
        <x:v>Home-buying activity does not verify ability or willingness to invest $100K-$500K into 101XVC operating company. Website and contact verification pending.</x:v>
      </x:c>
      <x:c r="T430" s="25" t="str">
        <x:v>Ask the owner/investor whether they can allocate $100K-$500K to trial marketing and acquisitions, and confirm structure, timing and decision authority.</x:v>
      </x:c>
      <x:c r="U430" s="25" t="str">
        <x:v>https://www.cashhomebuyersdirectory.com/cash-home-buyers/texas/waco</x:v>
      </x:c>
      <x:c r="V430" s="26" t="d">
        <x:v>2026-10-02T00:00:00.000Z</x:v>
      </x:c>
      <x:c r="W430" s="26" t="d">
        <x:v>2026-10-03T00:00:00.000Z</x:v>
      </x:c>
      <x:c r="X430" s="25" t="str">
        <x:v>Public investor directory; business role and contact ownership require qualification</x:v>
      </x:c>
      <x:c r="Y430" s="25"/>
      <x:c r="Z430" s="25" t="str">
        <x:v>https://www.cashhomebuyersdirectory.com/cash-home-buyers/texas/waco</x:v>
      </x:c>
      <x:c r="AA430" s="25" t="str">
        <x:v>Public cash-home-buyer directory lists business name, phone and market. Directory entry may include brokers or service providers.</x:v>
      </x:c>
      <x:c r="AB430" s="3" t="str">
        <x:v>New public-source collection</x:v>
      </x:c>
      <x:c r="AC430" s="3" t="str">
        <x:v>unverified</x:v>
      </x:c>
      <x:c r="AD430" s="3" t="str">
        <x:v>Not contacted / unconfirmed</x:v>
      </x:c>
      <x:c r="AE430" s="3" t="str">
        <x:v>No</x:v>
      </x:c>
      <x:c r="AF430" s="3" t="str">
        <x:v>No</x:v>
      </x:c>
      <x:c r="AG430" s="3"/>
      <x:c r="AH430" s="3"/>
      <x:c r="AI430" s="18"/>
      <x:c r="AJ430" s="3" t="str">
        <x:v>CF2500-235912C02D6B</x:v>
      </x:c>
      <x:c r="AK430" s="3" t="str">
        <x:v>Property investor / home-buying operator prospect</x:v>
      </x:c>
      <x:c r="AL430" s="19" t="n">
        <x:v>100000</x:v>
      </x:c>
      <x:c r="AM430" s="19" t="n">
        <x:v>500000</x:v>
      </x:c>
      <x:c r="AN430" s="3" t="str">
        <x:v>https://www.cashhomebuyersdirectory.com/cash-home-buyers/texas/waco</x:v>
      </x:c>
      <x:c r="AO430" s="3" t="str">
        <x:v>tx_fl_investors.jsonl</x:v>
      </x:c>
      <x:c r="AP430" s="19"/>
    </x:row>
    <x:row r="431" ht="36" customHeight="1">
      <x:c r="A431" s="23" t="n">
        <x:v>430</x:v>
      </x:c>
      <x:c r="B431" s="15" t="str">
        <x:v>Watermelon Home Buyers</x:v>
      </x:c>
      <x:c r="C431" s="15"/>
      <x:c r="D431" s="15" t="str">
        <x:v>Property investor / home-buying operator</x:v>
      </x:c>
      <x:c r="E431" s="15" t="str">
        <x:v>Property investor / operator inquiry</x:v>
      </x:c>
      <x:c r="F431" s="17" t="str">
        <x:v>New</x:v>
      </x:c>
      <x:c r="G431" s="24"/>
      <x:c r="H431" s="24" t="str">
        <x:v>+17049303669</x:v>
      </x:c>
      <x:c r="I431" s="24" t="str">
        <x:v>https://watermelonhomebuyers.com/</x:v>
      </x:c>
      <x:c r="J431" s="16" t="str">
        <x:v>NC</x:v>
      </x:c>
      <x:c r="K431" s="16" t="str">
        <x:v>Raleigh</x:v>
      </x:c>
      <x:c r="L431" s="16" t="str">
        <x:v>Public property-business route; investor decision maker unconfirmed</x:v>
      </x:c>
      <x:c r="M431" s="16" t="str">
        <x:v>https://watermelonhomebuyers.com/</x:v>
      </x:c>
      <x:c r="N431" s="16" t="str">
        <x:v>$100K-$500K ticket not published / unconfirmed</x:v>
      </x:c>
      <x:c r="O431" s="20"/>
      <x:c r="P431" s="20"/>
      <x:c r="Q431" s="25" t="str">
        <x:v>No $100K-$500K operating-company investment ticket verified</x:v>
      </x:c>
      <x:c r="R431" s="25" t="str">
        <x:v>Property acquisition or investor activity makes this an operator-capital prospect for the signed trial. Confirm operating-company debt/equity appetite.</x:v>
      </x:c>
      <x:c r="S431" s="25" t="str">
        <x:v>Public property-buying activity or a directory listing does not establish available cash, investing decision-maker, current $100K-$500K capacity, or willingness to fund 101XVC operating costs.</x:v>
      </x:c>
      <x:c r="T431" s="25" t="str">
        <x:v>Ask the owner/investor whether they can allocate $100K-$500K to trial marketing and acquisitions, and confirm structure, timing and decision authority.</x:v>
      </x:c>
      <x:c r="U431" s="25" t="str">
        <x:v>https://www.cashhomebuyersdirectory.com/cash-home-buyers/north-carolina/raleigh</x:v>
      </x:c>
      <x:c r="V431" s="26" t="d">
        <x:v>2026-10-02T00:00:00.000Z</x:v>
      </x:c>
      <x:c r="W431" s="26" t="d">
        <x:v>2026-10-02T00:00:00.000Z</x:v>
      </x:c>
      <x:c r="X431" s="25" t="str">
        <x:v>Public investor directory; business role and contact ownership require qualification</x:v>
      </x:c>
      <x:c r="Y431" s="25"/>
      <x:c r="Z431" s="25" t="str">
        <x:v>https://www.cashhomebuyersdirectory.com/cash-home-buyers/north-carolina/raleigh</x:v>
      </x:c>
      <x:c r="AA431" s="25" t="str">
        <x:v>Public cash-home-buyer directory lists business name, phone and market. Directory entry may include brokers or service providers.</x:v>
      </x:c>
      <x:c r="AB431" s="3" t="str">
        <x:v>New public-source collection</x:v>
      </x:c>
      <x:c r="AC431" s="3" t="str">
        <x:v>unverified</x:v>
      </x:c>
      <x:c r="AD431" s="3" t="str">
        <x:v>Not contacted / unconfirmed</x:v>
      </x:c>
      <x:c r="AE431" s="3" t="str">
        <x:v>No</x:v>
      </x:c>
      <x:c r="AF431" s="3" t="str">
        <x:v>No</x:v>
      </x:c>
      <x:c r="AG431" s="3"/>
      <x:c r="AH431" s="3"/>
      <x:c r="AI431" s="18"/>
      <x:c r="AJ431" s="3" t="str">
        <x:v>CF2500-543744D77A68</x:v>
      </x:c>
      <x:c r="AK431" s="3" t="str">
        <x:v>Property investor / home-buying operator prospect</x:v>
      </x:c>
      <x:c r="AL431" s="19" t="n">
        <x:v>100000</x:v>
      </x:c>
      <x:c r="AM431" s="19" t="n">
        <x:v>500000</x:v>
      </x:c>
      <x:c r="AN431" s="3" t="str">
        <x:v>https://www.cashhomebuyersdirectory.com/cash-home-buyers/north-carolina/raleigh</x:v>
      </x:c>
      <x:c r="AO431" s="3" t="str">
        <x:v>nc_il_az_co_investors.jsonl</x:v>
      </x:c>
      <x:c r="AP431" s="19"/>
    </x:row>
    <x:row r="432" ht="36" customHeight="1">
      <x:c r="A432" s="23" t="n">
        <x:v>431</x:v>
      </x:c>
      <x:c r="B432" s="15" t="str">
        <x:v>WB House Buyer</x:v>
      </x:c>
      <x:c r="C432" s="15"/>
      <x:c r="D432" s="15" t="str">
        <x:v>Property investor / home-buying operator</x:v>
      </x:c>
      <x:c r="E432" s="15" t="str">
        <x:v>Property investor / operator inquiry</x:v>
      </x:c>
      <x:c r="F432" s="17" t="str">
        <x:v>New</x:v>
      </x:c>
      <x:c r="G432" s="24"/>
      <x:c r="H432" s="24" t="str">
        <x:v>+12244802705</x:v>
      </x:c>
      <x:c r="I432" s="24" t="str">
        <x:v>https://webuyhouseswaukegan.com/</x:v>
      </x:c>
      <x:c r="J432" s="16" t="str">
        <x:v>IL</x:v>
      </x:c>
      <x:c r="K432" s="16" t="str">
        <x:v>Waukegan</x:v>
      </x:c>
      <x:c r="L432" s="16" t="str">
        <x:v>Public property-business route; investor decision maker unconfirmed</x:v>
      </x:c>
      <x:c r="M432" s="16" t="str">
        <x:v>https://webuyhouseswaukegan.com/</x:v>
      </x:c>
      <x:c r="N432" s="16" t="str">
        <x:v>$100K-$500K ticket not published / unconfirmed</x:v>
      </x:c>
      <x:c r="O432" s="20"/>
      <x:c r="P432" s="20"/>
      <x:c r="Q432" s="25" t="str">
        <x:v>No $100K-$500K operating-company investment ticket verified</x:v>
      </x:c>
      <x:c r="R432" s="25" t="str">
        <x:v>Property acquisition or investor activity makes this an operator-capital prospect for the signed trial. Confirm operating-company debt/equity appetite.</x:v>
      </x:c>
      <x:c r="S432" s="25" t="str">
        <x:v>Public property-buying activity or a directory listing does not establish available cash, investing decision-maker, current $100K-$500K capacity, or willingness to fund 101XVC operating costs.</x:v>
      </x:c>
      <x:c r="T432" s="25" t="str">
        <x:v>Ask the owner/investor whether they can allocate $100K-$500K to trial marketing and acquisitions, and confirm structure, timing and decision authority.</x:v>
      </x:c>
      <x:c r="U432" s="25" t="str">
        <x:v>https://www.cashhomebuyersdirectory.com/cash-home-buyers/illinois/waukegan</x:v>
      </x:c>
      <x:c r="V432" s="26" t="d">
        <x:v>2026-10-02T00:00:00.000Z</x:v>
      </x:c>
      <x:c r="W432" s="26" t="d">
        <x:v>2026-10-02T00:00:00.000Z</x:v>
      </x:c>
      <x:c r="X432" s="25" t="str">
        <x:v>Public investor directory; business role and contact ownership require qualification</x:v>
      </x:c>
      <x:c r="Y432" s="25"/>
      <x:c r="Z432" s="25" t="str">
        <x:v>https://www.cashhomebuyersdirectory.com/cash-home-buyers/illinois/waukegan</x:v>
      </x:c>
      <x:c r="AA432" s="25" t="str">
        <x:v>Public cash-home-buyer directory lists business name, phone and market. Directory entry may include brokers or service providers.</x:v>
      </x:c>
      <x:c r="AB432" s="3" t="str">
        <x:v>New public-source collection</x:v>
      </x:c>
      <x:c r="AC432" s="3" t="str">
        <x:v>unverified</x:v>
      </x:c>
      <x:c r="AD432" s="3" t="str">
        <x:v>Not contacted / unconfirmed</x:v>
      </x:c>
      <x:c r="AE432" s="3" t="str">
        <x:v>No</x:v>
      </x:c>
      <x:c r="AF432" s="3" t="str">
        <x:v>No</x:v>
      </x:c>
      <x:c r="AG432" s="3"/>
      <x:c r="AH432" s="3"/>
      <x:c r="AI432" s="18"/>
      <x:c r="AJ432" s="3" t="str">
        <x:v>CF2500-D1B784700485</x:v>
      </x:c>
      <x:c r="AK432" s="3" t="str">
        <x:v>Property investor / home-buying operator prospect</x:v>
      </x:c>
      <x:c r="AL432" s="19" t="n">
        <x:v>100000</x:v>
      </x:c>
      <x:c r="AM432" s="19" t="n">
        <x:v>500000</x:v>
      </x:c>
      <x:c r="AN432" s="3" t="str">
        <x:v>https://www.cashhomebuyersdirectory.com/cash-home-buyers/illinois/waukegan</x:v>
      </x:c>
      <x:c r="AO432" s="3" t="str">
        <x:v>nc_il_az_co_investors.jsonl</x:v>
      </x:c>
      <x:c r="AP432" s="19"/>
    </x:row>
    <x:row r="433" ht="36" customHeight="1">
      <x:c r="A433" s="23" t="n">
        <x:v>432</x:v>
      </x:c>
      <x:c r="B433" s="15" t="str">
        <x:v>We Are Home Buyers</x:v>
      </x:c>
      <x:c r="C433" s="15"/>
      <x:c r="D433" s="15" t="str">
        <x:v>Property investor / home-buying operator</x:v>
      </x:c>
      <x:c r="E433" s="15" t="str">
        <x:v>Property investor / operator inquiry</x:v>
      </x:c>
      <x:c r="F433" s="17" t="str">
        <x:v>New</x:v>
      </x:c>
      <x:c r="G433" s="24"/>
      <x:c r="H433" s="24" t="str">
        <x:v>+19044907816</x:v>
      </x:c>
      <x:c r="I433" s="24" t="str">
        <x:v>https://wearehomebuyers.com/florida/jacksonville</x:v>
      </x:c>
      <x:c r="J433" s="16" t="str">
        <x:v>FL</x:v>
      </x:c>
      <x:c r="K433" s="16" t="str">
        <x:v>Jacksonville</x:v>
      </x:c>
      <x:c r="L433" s="16" t="str">
        <x:v>Public property-business route; investor decision maker unconfirmed</x:v>
      </x:c>
      <x:c r="M433" s="16" t="str">
        <x:v>https://wearehomebuyers.com/florida/jacksonville</x:v>
      </x:c>
      <x:c r="N433" s="16" t="str">
        <x:v>$100K-$500K ticket not published / unconfirmed</x:v>
      </x:c>
      <x:c r="O433" s="20"/>
      <x:c r="P433" s="20"/>
      <x:c r="Q433" s="25" t="str">
        <x:v>No $100K-$500K corporate-investment ticket published in checked source</x:v>
      </x:c>
      <x:c r="R433" s="25" t="str">
        <x:v>Property acquisition or investor activity makes this an operator-capital prospect for the signed trial. Confirm operating-company debt/equity appetite.</x:v>
      </x:c>
      <x:c r="S433" s="25" t="str">
        <x:v>Home-buying activity does not verify ability or willingness to invest $100K-$500K into 101XVC operating company. Website and contact verification pending.</x:v>
      </x:c>
      <x:c r="T433" s="25" t="str">
        <x:v>Ask the owner/investor whether they can allocate $100K-$500K to trial marketing and acquisitions, and confirm structure, timing and decision authority.</x:v>
      </x:c>
      <x:c r="U433" s="25" t="str">
        <x:v>https://www.cashhomebuyersdirectory.com/cash-home-buyers/florida/jacksonville
https://www.cashhomebuyersdirectory.com/cash-home-buyers/georgia/augusta</x:v>
      </x:c>
      <x:c r="V433" s="26" t="d">
        <x:v>2026-10-02T00:00:00.000Z</x:v>
      </x:c>
      <x:c r="W433" s="26" t="d">
        <x:v>2026-10-03T00:00:00.000Z</x:v>
      </x:c>
      <x:c r="X433" s="25" t="str">
        <x:v>Public investor directory; business role and contact ownership require qualification</x:v>
      </x:c>
      <x:c r="Y433" s="25"/>
      <x:c r="Z433" s="25" t="str">
        <x:v>https://www.cashhomebuyersdirectory.com/cash-home-buyers/florida/jacksonville</x:v>
      </x:c>
      <x:c r="AA433" s="25" t="str">
        <x:v>Public cash-home-buyer directory lists business name, phone and market. Directory entry may include brokers or service providers.</x:v>
      </x:c>
      <x:c r="AB433" s="3" t="str">
        <x:v>New public-source collection</x:v>
      </x:c>
      <x:c r="AC433" s="3" t="str">
        <x:v>unverified</x:v>
      </x:c>
      <x:c r="AD433" s="3" t="str">
        <x:v>Not contacted / unconfirmed</x:v>
      </x:c>
      <x:c r="AE433" s="3" t="str">
        <x:v>No</x:v>
      </x:c>
      <x:c r="AF433" s="3" t="str">
        <x:v>No</x:v>
      </x:c>
      <x:c r="AG433" s="3"/>
      <x:c r="AH433" s="3"/>
      <x:c r="AI433" s="18"/>
      <x:c r="AJ433" s="3" t="str">
        <x:v>CF2500-12B6C7DDC0A3</x:v>
      </x:c>
      <x:c r="AK433" s="3" t="str">
        <x:v>Property investor / home-buying operator prospect</x:v>
      </x:c>
      <x:c r="AL433" s="19" t="n">
        <x:v>100000</x:v>
      </x:c>
      <x:c r="AM433" s="19" t="n">
        <x:v>500000</x:v>
      </x:c>
      <x:c r="AN433" s="3" t="str">
        <x:v>https://www.cashhomebuyersdirectory.com/cash-home-buyers/florida/jacksonville</x:v>
      </x:c>
      <x:c r="AO433" s="3" t="str">
        <x:v>tx_fl_investors.jsonl</x:v>
      </x:c>
      <x:c r="AP433" s="19"/>
    </x:row>
    <x:row r="434" ht="36" customHeight="1">
      <x:c r="A434" s="23" t="n">
        <x:v>433</x:v>
      </x:c>
      <x:c r="B434" s="15" t="str">
        <x:v>We Buy Anything Austin | Sell My House Fast for Cash Austin</x:v>
      </x:c>
      <x:c r="C434" s="15"/>
      <x:c r="D434" s="15" t="str">
        <x:v>Property investor / home-buying operator</x:v>
      </x:c>
      <x:c r="E434" s="15" t="str">
        <x:v>Property investor / operator inquiry</x:v>
      </x:c>
      <x:c r="F434" s="17" t="str">
        <x:v>New</x:v>
      </x:c>
      <x:c r="G434" s="24"/>
      <x:c r="H434" s="24" t="str">
        <x:v>+15123689222</x:v>
      </x:c>
      <x:c r="I434" s="24" t="str">
        <x:v>http://www.webuyanythingaustin.com/</x:v>
      </x:c>
      <x:c r="J434" s="16" t="str">
        <x:v>TX</x:v>
      </x:c>
      <x:c r="K434" s="16" t="str">
        <x:v>Austin</x:v>
      </x:c>
      <x:c r="L434" s="16" t="str">
        <x:v>Public property-business route; investor decision maker unconfirmed</x:v>
      </x:c>
      <x:c r="M434" s="16" t="str">
        <x:v>http://www.webuyanythingaustin.com/</x:v>
      </x:c>
      <x:c r="N434" s="16" t="str">
        <x:v>$100K-$500K ticket not published / unconfirmed</x:v>
      </x:c>
      <x:c r="O434" s="20"/>
      <x:c r="P434" s="20"/>
      <x:c r="Q434" s="25" t="str">
        <x:v>No $100K-$500K corporate-investment ticket published in checked source</x:v>
      </x:c>
      <x:c r="R434" s="25" t="str">
        <x:v>Property acquisition or investor activity makes this an operator-capital prospect for the signed trial. Confirm operating-company debt/equity appetite.</x:v>
      </x:c>
      <x:c r="S434" s="25" t="str">
        <x:v>Home-buying activity does not verify ability or willingness to invest $100K-$500K into 101XVC operating company. Website and contact verification pending.</x:v>
      </x:c>
      <x:c r="T434" s="25" t="str">
        <x:v>Ask the owner/investor whether they can allocate $100K-$500K to trial marketing and acquisitions, and confirm structure, timing and decision authority.</x:v>
      </x:c>
      <x:c r="U434" s="25" t="str">
        <x:v>https://www.cashhomebuyersdirectory.com/cash-home-buyers/texas/austin</x:v>
      </x:c>
      <x:c r="V434" s="26" t="d">
        <x:v>2026-10-02T00:00:00.000Z</x:v>
      </x:c>
      <x:c r="W434" s="26" t="d">
        <x:v>2026-10-03T00:00:00.000Z</x:v>
      </x:c>
      <x:c r="X434" s="25" t="str">
        <x:v>Public investor directory; business role and contact ownership require qualification</x:v>
      </x:c>
      <x:c r="Y434" s="25"/>
      <x:c r="Z434" s="25" t="str">
        <x:v>https://www.cashhomebuyersdirectory.com/cash-home-buyers/texas/austin</x:v>
      </x:c>
      <x:c r="AA434" s="25" t="str">
        <x:v>Public cash-home-buyer directory lists business name, phone and market. Directory entry may include brokers or service providers.</x:v>
      </x:c>
      <x:c r="AB434" s="3" t="str">
        <x:v>New public-source collection</x:v>
      </x:c>
      <x:c r="AC434" s="3" t="str">
        <x:v>unverified</x:v>
      </x:c>
      <x:c r="AD434" s="3" t="str">
        <x:v>Not contacted / unconfirmed</x:v>
      </x:c>
      <x:c r="AE434" s="3" t="str">
        <x:v>No</x:v>
      </x:c>
      <x:c r="AF434" s="3" t="str">
        <x:v>No</x:v>
      </x:c>
      <x:c r="AG434" s="3"/>
      <x:c r="AH434" s="3"/>
      <x:c r="AI434" s="18"/>
      <x:c r="AJ434" s="3" t="str">
        <x:v>CF2500-091C81BF489A</x:v>
      </x:c>
      <x:c r="AK434" s="3" t="str">
        <x:v>Property investor / home-buying operator prospect</x:v>
      </x:c>
      <x:c r="AL434" s="19" t="n">
        <x:v>100000</x:v>
      </x:c>
      <x:c r="AM434" s="19" t="n">
        <x:v>500000</x:v>
      </x:c>
      <x:c r="AN434" s="3" t="str">
        <x:v>https://www.cashhomebuyersdirectory.com/cash-home-buyers/texas/austin</x:v>
      </x:c>
      <x:c r="AO434" s="3" t="str">
        <x:v>tx_fl_investors.jsonl</x:v>
      </x:c>
      <x:c r="AP434" s="19"/>
    </x:row>
    <x:row r="435" ht="36" customHeight="1">
      <x:c r="A435" s="23" t="n">
        <x:v>434</x:v>
      </x:c>
      <x:c r="B435" s="15" t="str">
        <x:v>We Buy Houses</x:v>
      </x:c>
      <x:c r="C435" s="15"/>
      <x:c r="D435" s="15" t="str">
        <x:v>Property investor / home-buying operator</x:v>
      </x:c>
      <x:c r="E435" s="15" t="str">
        <x:v>Property investor / operator inquiry</x:v>
      </x:c>
      <x:c r="F435" s="17" t="str">
        <x:v>New</x:v>
      </x:c>
      <x:c r="G435" s="24"/>
      <x:c r="H435" s="24" t="str">
        <x:v>+17088157282</x:v>
      </x:c>
      <x:c r="I435" s="24" t="str">
        <x:v>https://www.selltolighthouse.com/contact-us/</x:v>
      </x:c>
      <x:c r="J435" s="16" t="str">
        <x:v>IL</x:v>
      </x:c>
      <x:c r="K435" s="16" t="str">
        <x:v>Frankfort</x:v>
      </x:c>
      <x:c r="L435" s="16" t="str">
        <x:v>Public property-business route; investor decision maker unconfirmed</x:v>
      </x:c>
      <x:c r="M435" s="16" t="str">
        <x:v>https://www.selltolighthouse.com/contact-us/</x:v>
      </x:c>
      <x:c r="N435" s="16" t="str">
        <x:v>$100K-$500K ticket not published / unconfirmed</x:v>
      </x:c>
      <x:c r="O435" s="20"/>
      <x:c r="P435" s="20"/>
      <x:c r="Q435" s="25" t="str">
        <x:v>No $100K-$500K operating-company investment ticket verified</x:v>
      </x:c>
      <x:c r="R435" s="25" t="str">
        <x:v>Property acquisition or investor activity makes this an operator-capital prospect for the signed trial. Confirm operating-company debt/equity appetite.</x:v>
      </x:c>
      <x:c r="S435" s="25" t="str">
        <x:v>Public property-buying activity or a directory listing does not establish available cash, investing decision-maker, current $100K-$500K capacity, or willingness to fund 101XVC operating costs.</x:v>
      </x:c>
      <x:c r="T435" s="25" t="str">
        <x:v>Ask the owner/investor whether they can allocate $100K-$500K to trial marketing and acquisitions, and confirm structure, timing and decision authority.</x:v>
      </x:c>
      <x:c r="U435" s="25" t="str">
        <x:v>https://www.cashhomebuyersdirectory.com/cash-home-buyers/illinois/frankfort
https://www.cashhomebuyersdirectory.com/cash-home-buyers/indiana/merrillville
https://www.cashhomebuyersdirectory.com/cash-home-buyers/tennessee/murfreesboro
https://www.cashhomebuyersdirectory.com/cash-home-buyers/missouri/lake-st-louis
https://www.cashhomebuyersdirectory.com/cash-home-buyers/missouri/ozark
https://www.cashhomebuyersdirectory.com/cash-home-buyers/idaho/boise
https://www.cashhomebuyersdirectory.com/cash-home-buyers/nevada/reno
https://www.cashhomebuyersdirectory.com/cash-home-buyers/washington/spokane
https://www.cashhomebuyersdirectory.com/cash-home-buyers/pennsylvania/levittown
https://www.cashhomebuyersdirectory.com/cash-home-buyers/iowa/cedar-rapids
https://www.cashhomebuyersdirectory.com/cash-home-buyers/ohio/dayton
https://www.hardmoneyhome.com/lenders/view/dayton-capital-partners
https://daytoncapitalpartners.com/
https://www.privatelendersdirectory.com/united-states/dayton/top-level-category/dayton-capital-partners</x:v>
      </x:c>
      <x:c r="V435" s="26" t="d">
        <x:v>2026-10-02T00:00:00.000Z</x:v>
      </x:c>
      <x:c r="W435" s="26" t="d">
        <x:v>2026-10-02T00:00:00.000Z</x:v>
      </x:c>
      <x:c r="X435" s="25" t="str">
        <x:v>Public investor directory; business role and contact ownership require qualification</x:v>
      </x:c>
      <x:c r="Y435" s="25"/>
      <x:c r="Z435" s="25" t="str">
        <x:v>https://www.cashhomebuyersdirectory.com/cash-home-buyers/illinois/frankfort</x:v>
      </x:c>
      <x:c r="AA435" s="25" t="str">
        <x:v>Public cash-home-buyer directory lists business name, phone and market. Directory entry may include brokers or service providers.</x:v>
      </x:c>
      <x:c r="AB435" s="3" t="str">
        <x:v>New public-source collection</x:v>
      </x:c>
      <x:c r="AC435" s="3" t="str">
        <x:v>unverified</x:v>
      </x:c>
      <x:c r="AD435" s="3" t="str">
        <x:v>Not contacted / unconfirmed</x:v>
      </x:c>
      <x:c r="AE435" s="3" t="str">
        <x:v>No</x:v>
      </x:c>
      <x:c r="AF435" s="3" t="str">
        <x:v>No</x:v>
      </x:c>
      <x:c r="AG435" s="3"/>
      <x:c r="AH435" s="3" t="str">
        <x:v>Dayton Capital Partners; Preferred Home Buyer; We Buy Houses LLC; We Buy Houses Murfreesboro; We Buy Houses Spokane; We Buy Houses® Boise; We Buy Houses® Reno; We buy houses; WeBuyHouses.com</x:v>
      </x:c>
      <x:c r="AI435" s="18"/>
      <x:c r="AJ435" s="3" t="str">
        <x:v>CF2500-CDA7CC1CA25F</x:v>
      </x:c>
      <x:c r="AK435" s="3" t="str">
        <x:v>Property investor / home-buying operator prospect</x:v>
      </x:c>
      <x:c r="AL435" s="19" t="n">
        <x:v>100000</x:v>
      </x:c>
      <x:c r="AM435" s="19" t="n">
        <x:v>500000</x:v>
      </x:c>
      <x:c r="AN435" s="3" t="str">
        <x:v>https://www.cashhomebuyersdirectory.com/cash-home-buyers/illinois/frankfort</x:v>
      </x:c>
      <x:c r="AO435" s="3" t="str">
        <x:v>nc_il_az_co_investors.jsonl</x:v>
      </x:c>
      <x:c r="AP435" s="19"/>
    </x:row>
    <x:row r="436" ht="36" customHeight="1">
      <x:c r="A436" s="23" t="n">
        <x:v>435</x:v>
      </x:c>
      <x:c r="B436" s="15" t="str">
        <x:v>We Buy Houses Arizona</x:v>
      </x:c>
      <x:c r="C436" s="15"/>
      <x:c r="D436" s="15" t="str">
        <x:v>Property investor / home-buying operator</x:v>
      </x:c>
      <x:c r="E436" s="15" t="str">
        <x:v>Property investor / operator inquiry</x:v>
      </x:c>
      <x:c r="F436" s="17" t="str">
        <x:v>New</x:v>
      </x:c>
      <x:c r="G436" s="24"/>
      <x:c r="H436" s="24" t="str">
        <x:v>+14804442274</x:v>
      </x:c>
      <x:c r="I436" s="24" t="str">
        <x:v>https://www.webuyhousesarizona.com/</x:v>
      </x:c>
      <x:c r="J436" s="16" t="str">
        <x:v>AZ</x:v>
      </x:c>
      <x:c r="K436" s="16"/>
      <x:c r="L436" s="16" t="str">
        <x:v>Public property-business route; investor decision maker unconfirmed</x:v>
      </x:c>
      <x:c r="M436" s="16" t="str">
        <x:v>https://www.webuyhousesarizona.com/</x:v>
      </x:c>
      <x:c r="N436" s="16" t="str">
        <x:v>$100K-$500K ticket not published / unconfirmed</x:v>
      </x:c>
      <x:c r="O436" s="20"/>
      <x:c r="P436" s="20"/>
      <x:c r="Q436" s="25" t="str">
        <x:v>No $100K-$500K operating-company investment ticket verified</x:v>
      </x:c>
      <x:c r="R436" s="25" t="str">
        <x:v>Property acquisition or investor activity makes this an operator-capital prospect for the signed trial. Confirm operating-company debt/equity appetite.</x:v>
      </x:c>
      <x:c r="S436" s="25" t="str">
        <x:v>Public property-buying activity or a directory listing does not establish available cash, investing decision-maker, current $100K-$500K capacity, or willingness to fund 101XVC operating costs.</x:v>
      </x:c>
      <x:c r="T436" s="25" t="str">
        <x:v>Ask the owner/investor whether they can allocate $100K-$500K to trial marketing and acquisitions, and confirm structure, timing and decision authority.</x:v>
      </x:c>
      <x:c r="U436" s="25" t="str">
        <x:v>https://www.cashhomebuyersdirectory.com/cash-home-buyers/arizona/tucson</x:v>
      </x:c>
      <x:c r="V436" s="26" t="d">
        <x:v>2026-10-02T00:00:00.000Z</x:v>
      </x:c>
      <x:c r="W436" s="26" t="d">
        <x:v>2026-10-02T00:00:00.000Z</x:v>
      </x:c>
      <x:c r="X436" s="25" t="str">
        <x:v>Public investor directory; business role and contact ownership require qualification</x:v>
      </x:c>
      <x:c r="Y436" s="25"/>
      <x:c r="Z436" s="25" t="str">
        <x:v>https://www.cashhomebuyersdirectory.com/cash-home-buyers/arizona/tucson</x:v>
      </x:c>
      <x:c r="AA436" s="25" t="str">
        <x:v>Public cash-home-buyer directory lists business name, phone and market. Directory entry may include brokers or service providers.</x:v>
      </x:c>
      <x:c r="AB436" s="3" t="str">
        <x:v>New public-source collection</x:v>
      </x:c>
      <x:c r="AC436" s="3" t="str">
        <x:v>unverified</x:v>
      </x:c>
      <x:c r="AD436" s="3" t="str">
        <x:v>Not contacted / unconfirmed</x:v>
      </x:c>
      <x:c r="AE436" s="3" t="str">
        <x:v>No</x:v>
      </x:c>
      <x:c r="AF436" s="3" t="str">
        <x:v>No</x:v>
      </x:c>
      <x:c r="AG436" s="3"/>
      <x:c r="AH436" s="3"/>
      <x:c r="AI436" s="18"/>
      <x:c r="AJ436" s="3" t="str">
        <x:v>CF2500-D51DF43519A7</x:v>
      </x:c>
      <x:c r="AK436" s="3" t="str">
        <x:v>Property investor / home-buying operator prospect</x:v>
      </x:c>
      <x:c r="AL436" s="19" t="n">
        <x:v>100000</x:v>
      </x:c>
      <x:c r="AM436" s="19" t="n">
        <x:v>500000</x:v>
      </x:c>
      <x:c r="AN436" s="3" t="str">
        <x:v>https://www.cashhomebuyersdirectory.com/cash-home-buyers/arizona/tucson</x:v>
      </x:c>
      <x:c r="AO436" s="3" t="str">
        <x:v>nc_il_az_co_investors.jsonl</x:v>
      </x:c>
      <x:c r="AP436" s="19"/>
    </x:row>
    <x:row r="437" ht="36" customHeight="1">
      <x:c r="A437" s="23" t="n">
        <x:v>436</x:v>
      </x:c>
      <x:c r="B437" s="15" t="str">
        <x:v>We Buy Houses Cash Florida | Florida Home Buyers | Cash Home Buyers</x:v>
      </x:c>
      <x:c r="C437" s="15"/>
      <x:c r="D437" s="15" t="str">
        <x:v>Property investor / home-buying operator</x:v>
      </x:c>
      <x:c r="E437" s="15" t="str">
        <x:v>Property investor / operator inquiry</x:v>
      </x:c>
      <x:c r="F437" s="17" t="str">
        <x:v>New</x:v>
      </x:c>
      <x:c r="G437" s="24"/>
      <x:c r="H437" s="24" t="str">
        <x:v>+17863865223</x:v>
      </x:c>
      <x:c r="I437" s="24" t="str">
        <x:v>https://webuyhousescashflorida.io/</x:v>
      </x:c>
      <x:c r="J437" s="16" t="str">
        <x:v>FL</x:v>
      </x:c>
      <x:c r="K437" s="16" t="str">
        <x:v>Miami</x:v>
      </x:c>
      <x:c r="L437" s="16" t="str">
        <x:v>Public property-business route; investor decision maker unconfirmed</x:v>
      </x:c>
      <x:c r="M437" s="16" t="str">
        <x:v>https://webuyhousescashflorida.io/</x:v>
      </x:c>
      <x:c r="N437" s="16" t="str">
        <x:v>$100K-$500K ticket not published / unconfirmed</x:v>
      </x:c>
      <x:c r="O437" s="20"/>
      <x:c r="P437" s="20"/>
      <x:c r="Q437" s="25" t="str">
        <x:v>No $100K-$500K corporate-investment ticket published in checked source</x:v>
      </x:c>
      <x:c r="R437" s="25" t="str">
        <x:v>Property acquisition or investor activity makes this an operator-capital prospect for the signed trial. Confirm operating-company debt/equity appetite.</x:v>
      </x:c>
      <x:c r="S437" s="25" t="str">
        <x:v>Home-buying activity does not verify ability or willingness to invest $100K-$500K into 101XVC operating company. Website and contact verification pending.</x:v>
      </x:c>
      <x:c r="T437" s="25" t="str">
        <x:v>Ask the owner/investor whether they can allocate $100K-$500K to trial marketing and acquisitions, and confirm structure, timing and decision authority.</x:v>
      </x:c>
      <x:c r="U437" s="25" t="str">
        <x:v>https://www.cashhomebuyersdirectory.com/cash-home-buyers/florida/miami</x:v>
      </x:c>
      <x:c r="V437" s="26" t="d">
        <x:v>2026-10-02T00:00:00.000Z</x:v>
      </x:c>
      <x:c r="W437" s="26" t="d">
        <x:v>2026-10-03T00:00:00.000Z</x:v>
      </x:c>
      <x:c r="X437" s="25" t="str">
        <x:v>Public investor directory; business role and contact ownership require qualification</x:v>
      </x:c>
      <x:c r="Y437" s="25"/>
      <x:c r="Z437" s="25" t="str">
        <x:v>https://www.cashhomebuyersdirectory.com/cash-home-buyers/florida/miami</x:v>
      </x:c>
      <x:c r="AA437" s="25" t="str">
        <x:v>Public cash-home-buyer directory lists business name, phone and market. Directory entry may include brokers or service providers.</x:v>
      </x:c>
      <x:c r="AB437" s="3" t="str">
        <x:v>New public-source collection</x:v>
      </x:c>
      <x:c r="AC437" s="3" t="str">
        <x:v>unverified</x:v>
      </x:c>
      <x:c r="AD437" s="3" t="str">
        <x:v>Not contacted / unconfirmed</x:v>
      </x:c>
      <x:c r="AE437" s="3" t="str">
        <x:v>No</x:v>
      </x:c>
      <x:c r="AF437" s="3" t="str">
        <x:v>No</x:v>
      </x:c>
      <x:c r="AG437" s="3"/>
      <x:c r="AH437" s="3"/>
      <x:c r="AI437" s="18"/>
      <x:c r="AJ437" s="3" t="str">
        <x:v>CF2500-1100A6481548</x:v>
      </x:c>
      <x:c r="AK437" s="3" t="str">
        <x:v>Property investor / home-buying operator prospect</x:v>
      </x:c>
      <x:c r="AL437" s="19" t="n">
        <x:v>100000</x:v>
      </x:c>
      <x:c r="AM437" s="19" t="n">
        <x:v>500000</x:v>
      </x:c>
      <x:c r="AN437" s="3" t="str">
        <x:v>https://www.cashhomebuyersdirectory.com/cash-home-buyers/florida/miami</x:v>
      </x:c>
      <x:c r="AO437" s="3" t="str">
        <x:v>tx_fl_investors.jsonl</x:v>
      </x:c>
      <x:c r="AP437" s="19"/>
    </x:row>
    <x:row r="438" ht="36" customHeight="1">
      <x:c r="A438" s="23" t="n">
        <x:v>437</x:v>
      </x:c>
      <x:c r="B438" s="15" t="str">
        <x:v>We Buy Houses Chicago</x:v>
      </x:c>
      <x:c r="C438" s="15"/>
      <x:c r="D438" s="15" t="str">
        <x:v>Property investor / home-buying operator</x:v>
      </x:c>
      <x:c r="E438" s="15" t="str">
        <x:v>Property investor / operator inquiry</x:v>
      </x:c>
      <x:c r="F438" s="17" t="str">
        <x:v>New</x:v>
      </x:c>
      <x:c r="G438" s="24"/>
      <x:c r="H438" s="24" t="str">
        <x:v>+13123805995</x:v>
      </x:c>
      <x:c r="I438" s="24" t="str">
        <x:v>http://www.we-buy-houses-in-chicago.com/</x:v>
      </x:c>
      <x:c r="J438" s="16" t="str">
        <x:v>IL</x:v>
      </x:c>
      <x:c r="K438" s="16" t="str">
        <x:v>Chicago</x:v>
      </x:c>
      <x:c r="L438" s="16" t="str">
        <x:v>Public property-business route; investor decision maker unconfirmed</x:v>
      </x:c>
      <x:c r="M438" s="16" t="str">
        <x:v>http://www.we-buy-houses-in-chicago.com/</x:v>
      </x:c>
      <x:c r="N438" s="16" t="str">
        <x:v>$100K-$500K ticket not published / unconfirmed</x:v>
      </x:c>
      <x:c r="O438" s="20"/>
      <x:c r="P438" s="20"/>
      <x:c r="Q438" s="25" t="str">
        <x:v>No $100K-$500K operating-company investment ticket verified</x:v>
      </x:c>
      <x:c r="R438" s="25" t="str">
        <x:v>Property acquisition or investor activity makes this an operator-capital prospect for the signed trial. Confirm operating-company debt/equity appetite.</x:v>
      </x:c>
      <x:c r="S438" s="25" t="str">
        <x:v>Public property-buying activity or a directory listing does not establish available cash, investing decision-maker, current $100K-$500K capacity, or willingness to fund 101XVC operating costs.</x:v>
      </x:c>
      <x:c r="T438" s="25" t="str">
        <x:v>Ask the owner/investor whether they can allocate $100K-$500K to trial marketing and acquisitions, and confirm structure, timing and decision authority.</x:v>
      </x:c>
      <x:c r="U438" s="25" t="str">
        <x:v>https://www.cashhomebuyersdirectory.com/cash-home-buyers/illinois/chicago</x:v>
      </x:c>
      <x:c r="V438" s="26" t="d">
        <x:v>2026-10-02T00:00:00.000Z</x:v>
      </x:c>
      <x:c r="W438" s="26" t="d">
        <x:v>2026-10-02T00:00:00.000Z</x:v>
      </x:c>
      <x:c r="X438" s="25" t="str">
        <x:v>Public investor directory; business role and contact ownership require qualification</x:v>
      </x:c>
      <x:c r="Y438" s="25"/>
      <x:c r="Z438" s="25" t="str">
        <x:v>https://www.cashhomebuyersdirectory.com/cash-home-buyers/illinois/chicago</x:v>
      </x:c>
      <x:c r="AA438" s="25" t="str">
        <x:v>Public cash-home-buyer directory lists business name, phone and market. Directory entry may include brokers or service providers.</x:v>
      </x:c>
      <x:c r="AB438" s="3" t="str">
        <x:v>New public-source collection</x:v>
      </x:c>
      <x:c r="AC438" s="3" t="str">
        <x:v>unverified</x:v>
      </x:c>
      <x:c r="AD438" s="3" t="str">
        <x:v>Not contacted / unconfirmed</x:v>
      </x:c>
      <x:c r="AE438" s="3" t="str">
        <x:v>No</x:v>
      </x:c>
      <x:c r="AF438" s="3" t="str">
        <x:v>No</x:v>
      </x:c>
      <x:c r="AG438" s="3"/>
      <x:c r="AH438" s="3"/>
      <x:c r="AI438" s="18"/>
      <x:c r="AJ438" s="3" t="str">
        <x:v>CF2500-1FAAB45B43E4</x:v>
      </x:c>
      <x:c r="AK438" s="3" t="str">
        <x:v>Property investor / home-buying operator prospect</x:v>
      </x:c>
      <x:c r="AL438" s="19" t="n">
        <x:v>100000</x:v>
      </x:c>
      <x:c r="AM438" s="19" t="n">
        <x:v>500000</x:v>
      </x:c>
      <x:c r="AN438" s="3" t="str">
        <x:v>https://www.cashhomebuyersdirectory.com/cash-home-buyers/illinois/chicago</x:v>
      </x:c>
      <x:c r="AO438" s="3" t="str">
        <x:v>nc_il_az_co_investors.jsonl</x:v>
      </x:c>
      <x:c r="AP438" s="19"/>
    </x:row>
    <x:row r="439" ht="36" customHeight="1">
      <x:c r="A439" s="23" t="n">
        <x:v>438</x:v>
      </x:c>
      <x:c r="B439" s="15" t="str">
        <x:v>We Buy Houses For Cash</x:v>
      </x:c>
      <x:c r="C439" s="15"/>
      <x:c r="D439" s="15" t="str">
        <x:v>Property investor / home-buying operator</x:v>
      </x:c>
      <x:c r="E439" s="15" t="str">
        <x:v>Property investor / operator inquiry</x:v>
      </x:c>
      <x:c r="F439" s="17" t="str">
        <x:v>New</x:v>
      </x:c>
      <x:c r="G439" s="24"/>
      <x:c r="H439" s="24" t="str">
        <x:v>+12249081439</x:v>
      </x:c>
      <x:c r="I439" s="24" t="str">
        <x:v>http://webuyhousesfoxlake.com/</x:v>
      </x:c>
      <x:c r="J439" s="16" t="str">
        <x:v>IL</x:v>
      </x:c>
      <x:c r="K439" s="16" t="str">
        <x:v>Fox Lake</x:v>
      </x:c>
      <x:c r="L439" s="16" t="str">
        <x:v>Public property-business route; investor decision maker unconfirmed</x:v>
      </x:c>
      <x:c r="M439" s="16" t="str">
        <x:v>http://webuyhousesfoxlake.com/</x:v>
      </x:c>
      <x:c r="N439" s="16" t="str">
        <x:v>$100K-$500K ticket not published / unconfirmed</x:v>
      </x:c>
      <x:c r="O439" s="20"/>
      <x:c r="P439" s="20"/>
      <x:c r="Q439" s="25" t="str">
        <x:v>No $100K-$500K operating-company investment ticket verified</x:v>
      </x:c>
      <x:c r="R439" s="25" t="str">
        <x:v>Property acquisition or investor activity makes this an operator-capital prospect for the signed trial. Confirm operating-company debt/equity appetite.</x:v>
      </x:c>
      <x:c r="S439" s="25" t="str">
        <x:v>Public property-buying activity or a directory listing does not establish available cash, investing decision-maker, current $100K-$500K capacity, or willingness to fund 101XVC operating costs.</x:v>
      </x:c>
      <x:c r="T439" s="25" t="str">
        <x:v>Ask the owner/investor whether they can allocate $100K-$500K to trial marketing and acquisitions, and confirm structure, timing and decision authority.</x:v>
      </x:c>
      <x:c r="U439" s="25" t="str">
        <x:v>https://www.cashhomebuyersdirectory.com/cash-home-buyers/illinois/fox-lake</x:v>
      </x:c>
      <x:c r="V439" s="26" t="d">
        <x:v>2026-10-02T00:00:00.000Z</x:v>
      </x:c>
      <x:c r="W439" s="26" t="d">
        <x:v>2026-10-02T00:00:00.000Z</x:v>
      </x:c>
      <x:c r="X439" s="25" t="str">
        <x:v>Public investor directory; business role and contact ownership require qualification</x:v>
      </x:c>
      <x:c r="Y439" s="25"/>
      <x:c r="Z439" s="25" t="str">
        <x:v>https://www.cashhomebuyersdirectory.com/cash-home-buyers/illinois/fox-lake</x:v>
      </x:c>
      <x:c r="AA439" s="25" t="str">
        <x:v>Public cash-home-buyer directory lists business name, phone and market. Directory entry may include brokers or service providers.</x:v>
      </x:c>
      <x:c r="AB439" s="3" t="str">
        <x:v>New public-source collection</x:v>
      </x:c>
      <x:c r="AC439" s="3" t="str">
        <x:v>unverified</x:v>
      </x:c>
      <x:c r="AD439" s="3" t="str">
        <x:v>Not contacted / unconfirmed</x:v>
      </x:c>
      <x:c r="AE439" s="3" t="str">
        <x:v>No</x:v>
      </x:c>
      <x:c r="AF439" s="3" t="str">
        <x:v>No</x:v>
      </x:c>
      <x:c r="AG439" s="3"/>
      <x:c r="AH439" s="3"/>
      <x:c r="AI439" s="18"/>
      <x:c r="AJ439" s="3" t="str">
        <x:v>CF2500-60528C75C1A4</x:v>
      </x:c>
      <x:c r="AK439" s="3" t="str">
        <x:v>Property investor / home-buying operator prospect</x:v>
      </x:c>
      <x:c r="AL439" s="19" t="n">
        <x:v>100000</x:v>
      </x:c>
      <x:c r="AM439" s="19" t="n">
        <x:v>500000</x:v>
      </x:c>
      <x:c r="AN439" s="3" t="str">
        <x:v>https://www.cashhomebuyersdirectory.com/cash-home-buyers/illinois/fox-lake</x:v>
      </x:c>
      <x:c r="AO439" s="3" t="str">
        <x:v>nc_il_az_co_investors.jsonl</x:v>
      </x:c>
      <x:c r="AP439" s="19"/>
    </x:row>
    <x:row r="440" ht="36" customHeight="1">
      <x:c r="A440" s="23" t="n">
        <x:v>439</x:v>
      </x:c>
      <x:c r="B440" s="15" t="str">
        <x:v>We Buy Houses® Greensboro</x:v>
      </x:c>
      <x:c r="C440" s="15"/>
      <x:c r="D440" s="15" t="str">
        <x:v>Property investor / home-buying operator</x:v>
      </x:c>
      <x:c r="E440" s="15" t="str">
        <x:v>Property investor / operator inquiry</x:v>
      </x:c>
      <x:c r="F440" s="17" t="str">
        <x:v>New</x:v>
      </x:c>
      <x:c r="G440" s="24"/>
      <x:c r="H440" s="24" t="str">
        <x:v>+13364446220</x:v>
      </x:c>
      <x:c r="I440" s="24" t="str">
        <x:v>https://greensboro.webuyhouses.com/</x:v>
      </x:c>
      <x:c r="J440" s="16" t="str">
        <x:v>NC</x:v>
      </x:c>
      <x:c r="K440" s="16" t="str">
        <x:v>Greensboro</x:v>
      </x:c>
      <x:c r="L440" s="16" t="str">
        <x:v>Public property-business route; investor decision maker unconfirmed</x:v>
      </x:c>
      <x:c r="M440" s="16" t="str">
        <x:v>https://greensboro.webuyhouses.com/</x:v>
      </x:c>
      <x:c r="N440" s="16" t="str">
        <x:v>$100K-$500K ticket not published / unconfirmed</x:v>
      </x:c>
      <x:c r="O440" s="20"/>
      <x:c r="P440" s="20"/>
      <x:c r="Q440" s="25" t="str">
        <x:v>No $100K-$500K operating-company investment ticket verified</x:v>
      </x:c>
      <x:c r="R440" s="25" t="str">
        <x:v>Property acquisition or investor activity makes this an operator-capital prospect for the signed trial. Confirm operating-company debt/equity appetite.</x:v>
      </x:c>
      <x:c r="S440" s="25" t="str">
        <x:v>Public property-buying activity or a directory listing does not establish available cash, investing decision-maker, current $100K-$500K capacity, or willingness to fund 101XVC operating costs.</x:v>
      </x:c>
      <x:c r="T440" s="25" t="str">
        <x:v>Ask the owner/investor whether they can allocate $100K-$500K to trial marketing and acquisitions, and confirm structure, timing and decision authority.</x:v>
      </x:c>
      <x:c r="U440" s="25" t="str">
        <x:v>https://www.cashhomebuyersdirectory.com/cash-home-buyers/north-carolina/greensboro</x:v>
      </x:c>
      <x:c r="V440" s="26" t="d">
        <x:v>2026-10-02T00:00:00.000Z</x:v>
      </x:c>
      <x:c r="W440" s="26" t="d">
        <x:v>2026-10-02T00:00:00.000Z</x:v>
      </x:c>
      <x:c r="X440" s="25" t="str">
        <x:v>Public investor directory; business role and contact ownership require qualification</x:v>
      </x:c>
      <x:c r="Y440" s="25"/>
      <x:c r="Z440" s="25" t="str">
        <x:v>https://www.cashhomebuyersdirectory.com/cash-home-buyers/north-carolina/greensboro</x:v>
      </x:c>
      <x:c r="AA440" s="25" t="str">
        <x:v>Public cash-home-buyer directory lists business name, phone and market. Directory entry may include brokers or service providers.</x:v>
      </x:c>
      <x:c r="AB440" s="3" t="str">
        <x:v>New public-source collection</x:v>
      </x:c>
      <x:c r="AC440" s="3" t="str">
        <x:v>unverified</x:v>
      </x:c>
      <x:c r="AD440" s="3" t="str">
        <x:v>Not contacted / unconfirmed</x:v>
      </x:c>
      <x:c r="AE440" s="3" t="str">
        <x:v>No</x:v>
      </x:c>
      <x:c r="AF440" s="3" t="str">
        <x:v>No</x:v>
      </x:c>
      <x:c r="AG440" s="3"/>
      <x:c r="AH440" s="3"/>
      <x:c r="AI440" s="18"/>
      <x:c r="AJ440" s="3" t="str">
        <x:v>CF2500-DE710073E603</x:v>
      </x:c>
      <x:c r="AK440" s="3" t="str">
        <x:v>Property investor / home-buying operator prospect</x:v>
      </x:c>
      <x:c r="AL440" s="19" t="n">
        <x:v>100000</x:v>
      </x:c>
      <x:c r="AM440" s="19" t="n">
        <x:v>500000</x:v>
      </x:c>
      <x:c r="AN440" s="3" t="str">
        <x:v>https://www.cashhomebuyersdirectory.com/cash-home-buyers/north-carolina/greensboro</x:v>
      </x:c>
      <x:c r="AO440" s="3" t="str">
        <x:v>nc_il_az_co_investors.jsonl</x:v>
      </x:c>
      <x:c r="AP440" s="19"/>
    </x:row>
    <x:row r="441" ht="36" customHeight="1">
      <x:c r="A441" s="23" t="n">
        <x:v>440</x:v>
      </x:c>
      <x:c r="B441" s="15" t="str">
        <x:v>We Buy houses in El Paso Quick!</x:v>
      </x:c>
      <x:c r="C441" s="15"/>
      <x:c r="D441" s="15" t="str">
        <x:v>Property investor / home-buying operator</x:v>
      </x:c>
      <x:c r="E441" s="15" t="str">
        <x:v>Property investor / operator inquiry</x:v>
      </x:c>
      <x:c r="F441" s="17" t="str">
        <x:v>New</x:v>
      </x:c>
      <x:c r="G441" s="24"/>
      <x:c r="H441" s="24" t="str">
        <x:v>+19153024004</x:v>
      </x:c>
      <x:c r="I441" s="24" t="str">
        <x:v>http://webuyhouseselpaso.com/</x:v>
      </x:c>
      <x:c r="J441" s="16" t="str">
        <x:v>TX</x:v>
      </x:c>
      <x:c r="K441" s="16" t="str">
        <x:v>El Paso</x:v>
      </x:c>
      <x:c r="L441" s="16" t="str">
        <x:v>Public property-business route; investor decision maker unconfirmed</x:v>
      </x:c>
      <x:c r="M441" s="16" t="str">
        <x:v>http://webuyhouseselpaso.com/</x:v>
      </x:c>
      <x:c r="N441" s="16" t="str">
        <x:v>$100K-$500K ticket not published / unconfirmed</x:v>
      </x:c>
      <x:c r="O441" s="20"/>
      <x:c r="P441" s="20"/>
      <x:c r="Q441" s="25" t="str">
        <x:v>No $100K-$500K corporate-investment ticket published in checked source</x:v>
      </x:c>
      <x:c r="R441" s="25" t="str">
        <x:v>Property acquisition or investor activity makes this an operator-capital prospect for the signed trial. Confirm operating-company debt/equity appetite.</x:v>
      </x:c>
      <x:c r="S441" s="25" t="str">
        <x:v>Home-buying activity does not verify ability or willingness to invest $100K-$500K into 101XVC operating company. Website and contact verification pending.</x:v>
      </x:c>
      <x:c r="T441" s="25" t="str">
        <x:v>Ask the owner/investor whether they can allocate $100K-$500K to trial marketing and acquisitions, and confirm structure, timing and decision authority.</x:v>
      </x:c>
      <x:c r="U441" s="25" t="str">
        <x:v>https://www.cashhomebuyersdirectory.com/cash-home-buyers/texas/el-paso</x:v>
      </x:c>
      <x:c r="V441" s="26" t="d">
        <x:v>2026-10-02T00:00:00.000Z</x:v>
      </x:c>
      <x:c r="W441" s="26" t="d">
        <x:v>2026-10-03T00:00:00.000Z</x:v>
      </x:c>
      <x:c r="X441" s="25" t="str">
        <x:v>Public investor directory; business role and contact ownership require qualification</x:v>
      </x:c>
      <x:c r="Y441" s="25"/>
      <x:c r="Z441" s="25" t="str">
        <x:v>https://www.cashhomebuyersdirectory.com/cash-home-buyers/texas/el-paso</x:v>
      </x:c>
      <x:c r="AA441" s="25" t="str">
        <x:v>Public cash-home-buyer directory lists business name, phone and market. Directory entry may include brokers or service providers.</x:v>
      </x:c>
      <x:c r="AB441" s="3" t="str">
        <x:v>New public-source collection</x:v>
      </x:c>
      <x:c r="AC441" s="3" t="str">
        <x:v>unverified</x:v>
      </x:c>
      <x:c r="AD441" s="3" t="str">
        <x:v>Not contacted / unconfirmed</x:v>
      </x:c>
      <x:c r="AE441" s="3" t="str">
        <x:v>No</x:v>
      </x:c>
      <x:c r="AF441" s="3" t="str">
        <x:v>No</x:v>
      </x:c>
      <x:c r="AG441" s="3"/>
      <x:c r="AH441" s="3"/>
      <x:c r="AI441" s="18"/>
      <x:c r="AJ441" s="3" t="str">
        <x:v>CF2500-CA34AE7C26F7</x:v>
      </x:c>
      <x:c r="AK441" s="3" t="str">
        <x:v>Property investor / home-buying operator prospect</x:v>
      </x:c>
      <x:c r="AL441" s="19" t="n">
        <x:v>100000</x:v>
      </x:c>
      <x:c r="AM441" s="19" t="n">
        <x:v>500000</x:v>
      </x:c>
      <x:c r="AN441" s="3" t="str">
        <x:v>https://www.cashhomebuyersdirectory.com/cash-home-buyers/texas/el-paso</x:v>
      </x:c>
      <x:c r="AO441" s="3" t="str">
        <x:v>tx_fl_investors.jsonl</x:v>
      </x:c>
      <x:c r="AP441" s="19"/>
    </x:row>
    <x:row r="442" ht="36" customHeight="1">
      <x:c r="A442" s="23" t="n">
        <x:v>441</x:v>
      </x:c>
      <x:c r="B442" s="15" t="str">
        <x:v>We Buy Houses Lubbock</x:v>
      </x:c>
      <x:c r="C442" s="15"/>
      <x:c r="D442" s="15" t="str">
        <x:v>Property investor / home-buying operator</x:v>
      </x:c>
      <x:c r="E442" s="15" t="str">
        <x:v>Property investor / operator inquiry</x:v>
      </x:c>
      <x:c r="F442" s="17" t="str">
        <x:v>New</x:v>
      </x:c>
      <x:c r="G442" s="24"/>
      <x:c r="H442" s="24" t="str">
        <x:v>+18067015077</x:v>
      </x:c>
      <x:c r="I442" s="24" t="str">
        <x:v>https://webuyhouseslubbock.com/</x:v>
      </x:c>
      <x:c r="J442" s="16" t="str">
        <x:v>TX</x:v>
      </x:c>
      <x:c r="K442" s="16" t="str">
        <x:v>Lubbock</x:v>
      </x:c>
      <x:c r="L442" s="16" t="str">
        <x:v>Public property-business route; investor decision maker unconfirmed</x:v>
      </x:c>
      <x:c r="M442" s="16" t="str">
        <x:v>https://webuyhouseslubbock.com/</x:v>
      </x:c>
      <x:c r="N442" s="16" t="str">
        <x:v>$100K-$500K ticket not published / unconfirmed</x:v>
      </x:c>
      <x:c r="O442" s="20"/>
      <x:c r="P442" s="20"/>
      <x:c r="Q442" s="25" t="str">
        <x:v>No $100K-$500K corporate-investment ticket published in checked source</x:v>
      </x:c>
      <x:c r="R442" s="25" t="str">
        <x:v>Property acquisition or investor activity makes this an operator-capital prospect for the signed trial. Confirm operating-company debt/equity appetite.</x:v>
      </x:c>
      <x:c r="S442" s="25" t="str">
        <x:v>Home-buying activity does not verify ability or willingness to invest $100K-$500K into 101XVC operating company. Website and contact verification pending.</x:v>
      </x:c>
      <x:c r="T442" s="25" t="str">
        <x:v>Ask the owner/investor whether they can allocate $100K-$500K to trial marketing and acquisitions, and confirm structure, timing and decision authority.</x:v>
      </x:c>
      <x:c r="U442" s="25" t="str">
        <x:v>https://www.cashhomebuyersdirectory.com/cash-home-buyers/texas/lubbock</x:v>
      </x:c>
      <x:c r="V442" s="26" t="d">
        <x:v>2026-10-02T00:00:00.000Z</x:v>
      </x:c>
      <x:c r="W442" s="26" t="d">
        <x:v>2026-10-03T00:00:00.000Z</x:v>
      </x:c>
      <x:c r="X442" s="25" t="str">
        <x:v>Public investor directory; business role and contact ownership require qualification</x:v>
      </x:c>
      <x:c r="Y442" s="25"/>
      <x:c r="Z442" s="25" t="str">
        <x:v>https://www.cashhomebuyersdirectory.com/cash-home-buyers/texas/lubbock</x:v>
      </x:c>
      <x:c r="AA442" s="25" t="str">
        <x:v>Public cash-home-buyer directory lists business name, phone and market. Directory entry may include brokers or service providers.</x:v>
      </x:c>
      <x:c r="AB442" s="3" t="str">
        <x:v>New public-source collection</x:v>
      </x:c>
      <x:c r="AC442" s="3" t="str">
        <x:v>unverified</x:v>
      </x:c>
      <x:c r="AD442" s="3" t="str">
        <x:v>Not contacted / unconfirmed</x:v>
      </x:c>
      <x:c r="AE442" s="3" t="str">
        <x:v>No</x:v>
      </x:c>
      <x:c r="AF442" s="3" t="str">
        <x:v>No</x:v>
      </x:c>
      <x:c r="AG442" s="3"/>
      <x:c r="AH442" s="3" t="str">
        <x:v>We Buy Houses® Lubbock</x:v>
      </x:c>
      <x:c r="AI442" s="18"/>
      <x:c r="AJ442" s="3" t="str">
        <x:v>CF2500-F6EE6D4D8823</x:v>
      </x:c>
      <x:c r="AK442" s="3" t="str">
        <x:v>Property investor / home-buying operator prospect</x:v>
      </x:c>
      <x:c r="AL442" s="19" t="n">
        <x:v>100000</x:v>
      </x:c>
      <x:c r="AM442" s="19" t="n">
        <x:v>500000</x:v>
      </x:c>
      <x:c r="AN442" s="3" t="str">
        <x:v>https://www.cashhomebuyersdirectory.com/cash-home-buyers/texas/lubbock</x:v>
      </x:c>
      <x:c r="AO442" s="3" t="str">
        <x:v>tx_fl_investors.jsonl</x:v>
      </x:c>
      <x:c r="AP442" s="19"/>
    </x:row>
    <x:row r="443" ht="36" customHeight="1">
      <x:c r="A443" s="23" t="n">
        <x:v>442</x:v>
      </x:c>
      <x:c r="B443" s="15" t="str">
        <x:v>We Buy Houses North Carolina</x:v>
      </x:c>
      <x:c r="C443" s="15"/>
      <x:c r="D443" s="15" t="str">
        <x:v>Property investor / home-buying operator</x:v>
      </x:c>
      <x:c r="E443" s="15" t="str">
        <x:v>Property investor / operator inquiry</x:v>
      </x:c>
      <x:c r="F443" s="17" t="str">
        <x:v>New</x:v>
      </x:c>
      <x:c r="G443" s="24"/>
      <x:c r="H443" s="24" t="str">
        <x:v>+19106006775</x:v>
      </x:c>
      <x:c r="I443" s="24" t="str">
        <x:v>https://sellmynchousefast.com/</x:v>
      </x:c>
      <x:c r="J443" s="16" t="str">
        <x:v>NC</x:v>
      </x:c>
      <x:c r="K443" s="16" t="str">
        <x:v>Wilmington</x:v>
      </x:c>
      <x:c r="L443" s="16" t="str">
        <x:v>Public property-business route; investor decision maker unconfirmed</x:v>
      </x:c>
      <x:c r="M443" s="16" t="str">
        <x:v>https://sellmynchousefast.com/</x:v>
      </x:c>
      <x:c r="N443" s="16" t="str">
        <x:v>$100K-$500K ticket not published / unconfirmed</x:v>
      </x:c>
      <x:c r="O443" s="20"/>
      <x:c r="P443" s="20"/>
      <x:c r="Q443" s="25" t="str">
        <x:v>No $100K-$500K operating-company investment ticket verified</x:v>
      </x:c>
      <x:c r="R443" s="25" t="str">
        <x:v>Property acquisition or investor activity makes this an operator-capital prospect for the signed trial. Confirm operating-company debt/equity appetite.</x:v>
      </x:c>
      <x:c r="S443" s="25" t="str">
        <x:v>Public property-buying activity or a directory listing does not establish available cash, investing decision-maker, current $100K-$500K capacity, or willingness to fund 101XVC operating costs.</x:v>
      </x:c>
      <x:c r="T443" s="25" t="str">
        <x:v>Ask the owner/investor whether they can allocate $100K-$500K to trial marketing and acquisitions, and confirm structure, timing and decision authority.</x:v>
      </x:c>
      <x:c r="U443" s="25" t="str">
        <x:v>https://www.cashhomebuyersdirectory.com/cash-home-buyers/north-carolina/wilmington</x:v>
      </x:c>
      <x:c r="V443" s="26" t="d">
        <x:v>2026-10-02T00:00:00.000Z</x:v>
      </x:c>
      <x:c r="W443" s="26" t="d">
        <x:v>2026-10-02T00:00:00.000Z</x:v>
      </x:c>
      <x:c r="X443" s="25" t="str">
        <x:v>Public investor directory; business role and contact ownership require qualification</x:v>
      </x:c>
      <x:c r="Y443" s="25"/>
      <x:c r="Z443" s="25" t="str">
        <x:v>https://www.cashhomebuyersdirectory.com/cash-home-buyers/north-carolina/wilmington</x:v>
      </x:c>
      <x:c r="AA443" s="25" t="str">
        <x:v>Public cash-home-buyer directory lists business name, phone and market. Directory entry may include brokers or service providers.</x:v>
      </x:c>
      <x:c r="AB443" s="3" t="str">
        <x:v>New public-source collection</x:v>
      </x:c>
      <x:c r="AC443" s="3" t="str">
        <x:v>unverified</x:v>
      </x:c>
      <x:c r="AD443" s="3" t="str">
        <x:v>Not contacted / unconfirmed</x:v>
      </x:c>
      <x:c r="AE443" s="3" t="str">
        <x:v>No</x:v>
      </x:c>
      <x:c r="AF443" s="3" t="str">
        <x:v>No</x:v>
      </x:c>
      <x:c r="AG443" s="3"/>
      <x:c r="AH443" s="3"/>
      <x:c r="AI443" s="18"/>
      <x:c r="AJ443" s="3" t="str">
        <x:v>CF2500-DA26CFA71936</x:v>
      </x:c>
      <x:c r="AK443" s="3" t="str">
        <x:v>Property investor / home-buying operator prospect</x:v>
      </x:c>
      <x:c r="AL443" s="19" t="n">
        <x:v>100000</x:v>
      </x:c>
      <x:c r="AM443" s="19" t="n">
        <x:v>500000</x:v>
      </x:c>
      <x:c r="AN443" s="3" t="str">
        <x:v>https://www.cashhomebuyersdirectory.com/cash-home-buyers/north-carolina/wilmington</x:v>
      </x:c>
      <x:c r="AO443" s="3" t="str">
        <x:v>nc_il_az_co_investors.jsonl</x:v>
      </x:c>
      <x:c r="AP443" s="19"/>
    </x:row>
    <x:row r="444" ht="36" customHeight="1">
      <x:c r="A444" s="23" t="n">
        <x:v>443</x:v>
      </x:c>
      <x:c r="B444" s="15" t="str">
        <x:v>We Buy Houses Waco TX</x:v>
      </x:c>
      <x:c r="C444" s="15"/>
      <x:c r="D444" s="15" t="str">
        <x:v>Property investor / home-buying operator</x:v>
      </x:c>
      <x:c r="E444" s="15" t="str">
        <x:v>Property investor / operator inquiry</x:v>
      </x:c>
      <x:c r="F444" s="17" t="str">
        <x:v>New</x:v>
      </x:c>
      <x:c r="G444" s="24"/>
      <x:c r="H444" s="24" t="str">
        <x:v>+12543271721</x:v>
      </x:c>
      <x:c r="I444" s="24" t="str">
        <x:v>https://www.webuyhouseswacotx.com/?utm_source=gbp</x:v>
      </x:c>
      <x:c r="J444" s="16" t="str">
        <x:v>TX</x:v>
      </x:c>
      <x:c r="K444" s="16" t="str">
        <x:v>Waco</x:v>
      </x:c>
      <x:c r="L444" s="16" t="str">
        <x:v>Public property-business route; investor decision maker unconfirmed</x:v>
      </x:c>
      <x:c r="M444" s="16" t="str">
        <x:v>https://www.webuyhouseswacotx.com/?utm_source=gbp</x:v>
      </x:c>
      <x:c r="N444" s="16" t="str">
        <x:v>$100K-$500K ticket not published / unconfirmed</x:v>
      </x:c>
      <x:c r="O444" s="20"/>
      <x:c r="P444" s="20"/>
      <x:c r="Q444" s="25" t="str">
        <x:v>No $100K-$500K corporate-investment ticket published in checked source</x:v>
      </x:c>
      <x:c r="R444" s="25" t="str">
        <x:v>Property acquisition or investor activity makes this an operator-capital prospect for the signed trial. Confirm operating-company debt/equity appetite.</x:v>
      </x:c>
      <x:c r="S444" s="25" t="str">
        <x:v>Home-buying activity does not verify ability or willingness to invest $100K-$500K into 101XVC operating company. Website and contact verification pending.</x:v>
      </x:c>
      <x:c r="T444" s="25" t="str">
        <x:v>Ask the owner/investor whether they can allocate $100K-$500K to trial marketing and acquisitions, and confirm structure, timing and decision authority.</x:v>
      </x:c>
      <x:c r="U444" s="25" t="str">
        <x:v>https://www.cashhomebuyersdirectory.com/cash-home-buyers/texas/waco</x:v>
      </x:c>
      <x:c r="V444" s="26" t="d">
        <x:v>2026-10-02T00:00:00.000Z</x:v>
      </x:c>
      <x:c r="W444" s="26" t="d">
        <x:v>2026-10-03T00:00:00.000Z</x:v>
      </x:c>
      <x:c r="X444" s="25" t="str">
        <x:v>Public investor directory; business role and contact ownership require qualification</x:v>
      </x:c>
      <x:c r="Y444" s="25"/>
      <x:c r="Z444" s="25" t="str">
        <x:v>https://www.cashhomebuyersdirectory.com/cash-home-buyers/texas/waco</x:v>
      </x:c>
      <x:c r="AA444" s="25" t="str">
        <x:v>Public cash-home-buyer directory lists business name, phone and market. Directory entry may include brokers or service providers.</x:v>
      </x:c>
      <x:c r="AB444" s="3" t="str">
        <x:v>New public-source collection</x:v>
      </x:c>
      <x:c r="AC444" s="3" t="str">
        <x:v>unverified</x:v>
      </x:c>
      <x:c r="AD444" s="3" t="str">
        <x:v>Not contacted / unconfirmed</x:v>
      </x:c>
      <x:c r="AE444" s="3" t="str">
        <x:v>No</x:v>
      </x:c>
      <x:c r="AF444" s="3" t="str">
        <x:v>No</x:v>
      </x:c>
      <x:c r="AG444" s="3"/>
      <x:c r="AH444" s="3"/>
      <x:c r="AI444" s="18"/>
      <x:c r="AJ444" s="3" t="str">
        <x:v>CF2500-28CD59C81593</x:v>
      </x:c>
      <x:c r="AK444" s="3" t="str">
        <x:v>Property investor / home-buying operator prospect</x:v>
      </x:c>
      <x:c r="AL444" s="19" t="n">
        <x:v>100000</x:v>
      </x:c>
      <x:c r="AM444" s="19" t="n">
        <x:v>500000</x:v>
      </x:c>
      <x:c r="AN444" s="3" t="str">
        <x:v>https://www.cashhomebuyersdirectory.com/cash-home-buyers/texas/waco</x:v>
      </x:c>
      <x:c r="AO444" s="3" t="str">
        <x:v>tx_fl_investors.jsonl</x:v>
      </x:c>
      <x:c r="AP444" s="19"/>
    </x:row>
    <x:row r="445" ht="36" customHeight="1">
      <x:c r="A445" s="23" t="n">
        <x:v>444</x:v>
      </x:c>
      <x:c r="B445" s="15" t="str">
        <x:v>We Buy Houses® Winston-Salem</x:v>
      </x:c>
      <x:c r="C445" s="15"/>
      <x:c r="D445" s="15" t="str">
        <x:v>Property investor / home-buying operator</x:v>
      </x:c>
      <x:c r="E445" s="15" t="str">
        <x:v>Property investor / operator inquiry</x:v>
      </x:c>
      <x:c r="F445" s="17" t="str">
        <x:v>New</x:v>
      </x:c>
      <x:c r="G445" s="24"/>
      <x:c r="H445" s="24" t="str">
        <x:v>+13362838388</x:v>
      </x:c>
      <x:c r="I445" s="24" t="str">
        <x:v>https://winston-salem.webuyhouses.com/</x:v>
      </x:c>
      <x:c r="J445" s="16" t="str">
        <x:v>NC</x:v>
      </x:c>
      <x:c r="K445" s="16" t="str">
        <x:v>Winston-Salem</x:v>
      </x:c>
      <x:c r="L445" s="16" t="str">
        <x:v>Public property-business route; investor decision maker unconfirmed</x:v>
      </x:c>
      <x:c r="M445" s="16" t="str">
        <x:v>https://winston-salem.webuyhouses.com/</x:v>
      </x:c>
      <x:c r="N445" s="16" t="str">
        <x:v>$100K-$500K ticket not published / unconfirmed</x:v>
      </x:c>
      <x:c r="O445" s="20"/>
      <x:c r="P445" s="20"/>
      <x:c r="Q445" s="25" t="str">
        <x:v>No $100K-$500K operating-company investment ticket verified</x:v>
      </x:c>
      <x:c r="R445" s="25" t="str">
        <x:v>Property acquisition or investor activity makes this an operator-capital prospect for the signed trial. Confirm operating-company debt/equity appetite.</x:v>
      </x:c>
      <x:c r="S445" s="25" t="str">
        <x:v>Public property-buying activity or a directory listing does not establish available cash, investing decision-maker, current $100K-$500K capacity, or willingness to fund 101XVC operating costs.</x:v>
      </x:c>
      <x:c r="T445" s="25" t="str">
        <x:v>Ask the owner/investor whether they can allocate $100K-$500K to trial marketing and acquisitions, and confirm structure, timing and decision authority.</x:v>
      </x:c>
      <x:c r="U445" s="25" t="str">
        <x:v>https://www.cashhomebuyersdirectory.com/cash-home-buyers/north-carolina/winston-salem</x:v>
      </x:c>
      <x:c r="V445" s="26" t="d">
        <x:v>2026-10-02T00:00:00.000Z</x:v>
      </x:c>
      <x:c r="W445" s="26" t="d">
        <x:v>2026-10-02T00:00:00.000Z</x:v>
      </x:c>
      <x:c r="X445" s="25" t="str">
        <x:v>Public investor directory; business role and contact ownership require qualification</x:v>
      </x:c>
      <x:c r="Y445" s="25"/>
      <x:c r="Z445" s="25" t="str">
        <x:v>https://www.cashhomebuyersdirectory.com/cash-home-buyers/north-carolina/winston-salem</x:v>
      </x:c>
      <x:c r="AA445" s="25" t="str">
        <x:v>Public cash-home-buyer directory lists business name, phone and market. Directory entry may include brokers or service providers.</x:v>
      </x:c>
      <x:c r="AB445" s="3" t="str">
        <x:v>New public-source collection</x:v>
      </x:c>
      <x:c r="AC445" s="3" t="str">
        <x:v>unverified</x:v>
      </x:c>
      <x:c r="AD445" s="3" t="str">
        <x:v>Not contacted / unconfirmed</x:v>
      </x:c>
      <x:c r="AE445" s="3" t="str">
        <x:v>No</x:v>
      </x:c>
      <x:c r="AF445" s="3" t="str">
        <x:v>No</x:v>
      </x:c>
      <x:c r="AG445" s="3"/>
      <x:c r="AH445" s="3"/>
      <x:c r="AI445" s="18"/>
      <x:c r="AJ445" s="3" t="str">
        <x:v>CF2500-E6AC4275ECB9</x:v>
      </x:c>
      <x:c r="AK445" s="3" t="str">
        <x:v>Property investor / home-buying operator prospect</x:v>
      </x:c>
      <x:c r="AL445" s="19" t="n">
        <x:v>100000</x:v>
      </x:c>
      <x:c r="AM445" s="19" t="n">
        <x:v>500000</x:v>
      </x:c>
      <x:c r="AN445" s="3" t="str">
        <x:v>https://www.cashhomebuyersdirectory.com/cash-home-buyers/north-carolina/winston-salem</x:v>
      </x:c>
      <x:c r="AO445" s="3" t="str">
        <x:v>nc_il_az_co_investors.jsonl</x:v>
      </x:c>
      <x:c r="AP445" s="19"/>
    </x:row>
    <x:row r="446" ht="36" customHeight="1">
      <x:c r="A446" s="23" t="n">
        <x:v>445</x:v>
      </x:c>
      <x:c r="B446" s="15" t="str">
        <x:v>We Cash Close - Sell My House Fast</x:v>
      </x:c>
      <x:c r="C446" s="15"/>
      <x:c r="D446" s="15" t="str">
        <x:v>Property investor / home-buying operator</x:v>
      </x:c>
      <x:c r="E446" s="15" t="str">
        <x:v>Property investor / operator inquiry</x:v>
      </x:c>
      <x:c r="F446" s="17" t="str">
        <x:v>New</x:v>
      </x:c>
      <x:c r="G446" s="24"/>
      <x:c r="H446" s="24" t="str">
        <x:v>+19102394185</x:v>
      </x:c>
      <x:c r="I446" s="24" t="str">
        <x:v>https://wecashclose.com/</x:v>
      </x:c>
      <x:c r="J446" s="16" t="str">
        <x:v>NC</x:v>
      </x:c>
      <x:c r="K446" s="16"/>
      <x:c r="L446" s="16" t="str">
        <x:v>Public property-business route; investor decision maker unconfirmed</x:v>
      </x:c>
      <x:c r="M446" s="16" t="str">
        <x:v>https://wecashclose.com/</x:v>
      </x:c>
      <x:c r="N446" s="16" t="str">
        <x:v>$100K-$500K ticket not published / unconfirmed</x:v>
      </x:c>
      <x:c r="O446" s="20"/>
      <x:c r="P446" s="20"/>
      <x:c r="Q446" s="25" t="str">
        <x:v>No $100K-$500K operating-company investment ticket verified</x:v>
      </x:c>
      <x:c r="R446" s="25" t="str">
        <x:v>Property acquisition or investor activity makes this an operator-capital prospect for the signed trial. Confirm operating-company debt/equity appetite.</x:v>
      </x:c>
      <x:c r="S446" s="25" t="str">
        <x:v>Public property-buying activity or a directory listing does not establish available cash, investing decision-maker, current $100K-$500K capacity, or willingness to fund 101XVC operating costs.</x:v>
      </x:c>
      <x:c r="T446" s="25" t="str">
        <x:v>Ask the owner/investor whether they can allocate $100K-$500K to trial marketing and acquisitions, and confirm structure, timing and decision authority.</x:v>
      </x:c>
      <x:c r="U446" s="25" t="str">
        <x:v>https://www.cashhomebuyersdirectory.com/cash-home-buyers/north-carolina/wilmington</x:v>
      </x:c>
      <x:c r="V446" s="26" t="d">
        <x:v>2026-10-02T00:00:00.000Z</x:v>
      </x:c>
      <x:c r="W446" s="26" t="d">
        <x:v>2026-10-02T00:00:00.000Z</x:v>
      </x:c>
      <x:c r="X446" s="25" t="str">
        <x:v>Public investor directory; business role and contact ownership require qualification</x:v>
      </x:c>
      <x:c r="Y446" s="25"/>
      <x:c r="Z446" s="25" t="str">
        <x:v>https://www.cashhomebuyersdirectory.com/cash-home-buyers/north-carolina/wilmington</x:v>
      </x:c>
      <x:c r="AA446" s="25" t="str">
        <x:v>Public cash-home-buyer directory lists business name, phone and market. Directory entry may include brokers or service providers.</x:v>
      </x:c>
      <x:c r="AB446" s="3" t="str">
        <x:v>New public-source collection</x:v>
      </x:c>
      <x:c r="AC446" s="3" t="str">
        <x:v>unverified</x:v>
      </x:c>
      <x:c r="AD446" s="3" t="str">
        <x:v>Not contacted / unconfirmed</x:v>
      </x:c>
      <x:c r="AE446" s="3" t="str">
        <x:v>No</x:v>
      </x:c>
      <x:c r="AF446" s="3" t="str">
        <x:v>No</x:v>
      </x:c>
      <x:c r="AG446" s="3"/>
      <x:c r="AH446" s="3"/>
      <x:c r="AI446" s="18"/>
      <x:c r="AJ446" s="3" t="str">
        <x:v>CF2500-28C8738BD320</x:v>
      </x:c>
      <x:c r="AK446" s="3" t="str">
        <x:v>Property investor / home-buying operator prospect</x:v>
      </x:c>
      <x:c r="AL446" s="19" t="n">
        <x:v>100000</x:v>
      </x:c>
      <x:c r="AM446" s="19" t="n">
        <x:v>500000</x:v>
      </x:c>
      <x:c r="AN446" s="3" t="str">
        <x:v>https://www.cashhomebuyersdirectory.com/cash-home-buyers/north-carolina/wilmington</x:v>
      </x:c>
      <x:c r="AO446" s="3" t="str">
        <x:v>nc_il_az_co_investors.jsonl</x:v>
      </x:c>
      <x:c r="AP446" s="19"/>
    </x:row>
    <x:row r="447" ht="36" customHeight="1">
      <x:c r="A447" s="23" t="n">
        <x:v>446</x:v>
      </x:c>
      <x:c r="B447" s="15" t="str">
        <x:v>Wilmington Cash Home Buyers</x:v>
      </x:c>
      <x:c r="C447" s="15"/>
      <x:c r="D447" s="15" t="str">
        <x:v>Property investor / home-buying operator</x:v>
      </x:c>
      <x:c r="E447" s="15" t="str">
        <x:v>Property investor / operator inquiry</x:v>
      </x:c>
      <x:c r="F447" s="17" t="str">
        <x:v>New</x:v>
      </x:c>
      <x:c r="G447" s="24"/>
      <x:c r="H447" s="24" t="str">
        <x:v>+19105382887</x:v>
      </x:c>
      <x:c r="I447" s="24" t="str">
        <x:v>https://wilmingtoncashhomebuyers.com/</x:v>
      </x:c>
      <x:c r="J447" s="16" t="str">
        <x:v>NC</x:v>
      </x:c>
      <x:c r="K447" s="16" t="str">
        <x:v>Wilmington</x:v>
      </x:c>
      <x:c r="L447" s="16" t="str">
        <x:v>Public property-business route; investor decision maker unconfirmed</x:v>
      </x:c>
      <x:c r="M447" s="16" t="str">
        <x:v>https://wilmingtoncashhomebuyers.com/</x:v>
      </x:c>
      <x:c r="N447" s="16" t="str">
        <x:v>$100K-$500K ticket not published / unconfirmed</x:v>
      </x:c>
      <x:c r="O447" s="20"/>
      <x:c r="P447" s="20"/>
      <x:c r="Q447" s="25" t="str">
        <x:v>No $100K-$500K operating-company investment ticket verified</x:v>
      </x:c>
      <x:c r="R447" s="25" t="str">
        <x:v>Property acquisition or investor activity makes this an operator-capital prospect for the signed trial. Confirm operating-company debt/equity appetite.</x:v>
      </x:c>
      <x:c r="S447" s="25" t="str">
        <x:v>Public property-buying activity or a directory listing does not establish available cash, investing decision-maker, current $100K-$500K capacity, or willingness to fund 101XVC operating costs.</x:v>
      </x:c>
      <x:c r="T447" s="25" t="str">
        <x:v>Ask the owner/investor whether they can allocate $100K-$500K to trial marketing and acquisitions, and confirm structure, timing and decision authority.</x:v>
      </x:c>
      <x:c r="U447" s="25" t="str">
        <x:v>https://www.cashhomebuyersdirectory.com/cash-home-buyers/north-carolina/wilmington</x:v>
      </x:c>
      <x:c r="V447" s="26" t="d">
        <x:v>2026-10-02T00:00:00.000Z</x:v>
      </x:c>
      <x:c r="W447" s="26" t="d">
        <x:v>2026-10-02T00:00:00.000Z</x:v>
      </x:c>
      <x:c r="X447" s="25" t="str">
        <x:v>Public investor directory; business role and contact ownership require qualification</x:v>
      </x:c>
      <x:c r="Y447" s="25"/>
      <x:c r="Z447" s="25" t="str">
        <x:v>https://www.cashhomebuyersdirectory.com/cash-home-buyers/north-carolina/wilmington</x:v>
      </x:c>
      <x:c r="AA447" s="25" t="str">
        <x:v>Public cash-home-buyer directory lists business name, phone and market. Directory entry may include brokers or service providers.</x:v>
      </x:c>
      <x:c r="AB447" s="3" t="str">
        <x:v>New public-source collection</x:v>
      </x:c>
      <x:c r="AC447" s="3" t="str">
        <x:v>unverified</x:v>
      </x:c>
      <x:c r="AD447" s="3" t="str">
        <x:v>Not contacted / unconfirmed</x:v>
      </x:c>
      <x:c r="AE447" s="3" t="str">
        <x:v>No</x:v>
      </x:c>
      <x:c r="AF447" s="3" t="str">
        <x:v>No</x:v>
      </x:c>
      <x:c r="AG447" s="3"/>
      <x:c r="AH447" s="3"/>
      <x:c r="AI447" s="18"/>
      <x:c r="AJ447" s="3" t="str">
        <x:v>CF2500-CD2ACD7E1F8B</x:v>
      </x:c>
      <x:c r="AK447" s="3" t="str">
        <x:v>Property investor / home-buying operator prospect</x:v>
      </x:c>
      <x:c r="AL447" s="19" t="n">
        <x:v>100000</x:v>
      </x:c>
      <x:c r="AM447" s="19" t="n">
        <x:v>500000</x:v>
      </x:c>
      <x:c r="AN447" s="3" t="str">
        <x:v>https://www.cashhomebuyersdirectory.com/cash-home-buyers/north-carolina/wilmington</x:v>
      </x:c>
      <x:c r="AO447" s="3" t="str">
        <x:v>nc_il_az_co_investors.jsonl</x:v>
      </x:c>
      <x:c r="AP447" s="19"/>
    </x:row>
    <x:row r="448" ht="36" customHeight="1">
      <x:c r="A448" s="23" t="n">
        <x:v>447</x:v>
      </x:c>
      <x:c r="B448" s="15" t="str">
        <x:v>You Sell We Buy Houses For Cash</x:v>
      </x:c>
      <x:c r="C448" s="15"/>
      <x:c r="D448" s="15" t="str">
        <x:v>Property investor / home-buying operator</x:v>
      </x:c>
      <x:c r="E448" s="15" t="str">
        <x:v>Property investor / operator inquiry</x:v>
      </x:c>
      <x:c r="F448" s="17" t="str">
        <x:v>New</x:v>
      </x:c>
      <x:c r="G448" s="24"/>
      <x:c r="H448" s="24" t="str">
        <x:v>+12245040723</x:v>
      </x:c>
      <x:c r="I448" s="24" t="str">
        <x:v>http://webuyhouseslibertyville.com/</x:v>
      </x:c>
      <x:c r="J448" s="16" t="str">
        <x:v>IL</x:v>
      </x:c>
      <x:c r="K448" s="16" t="str">
        <x:v>Libertyville</x:v>
      </x:c>
      <x:c r="L448" s="16" t="str">
        <x:v>Public property-business route; investor decision maker unconfirmed</x:v>
      </x:c>
      <x:c r="M448" s="16" t="str">
        <x:v>http://webuyhouseslibertyville.com/</x:v>
      </x:c>
      <x:c r="N448" s="16" t="str">
        <x:v>$100K-$500K ticket not published / unconfirmed</x:v>
      </x:c>
      <x:c r="O448" s="20"/>
      <x:c r="P448" s="20"/>
      <x:c r="Q448" s="25" t="str">
        <x:v>No $100K-$500K operating-company investment ticket verified</x:v>
      </x:c>
      <x:c r="R448" s="25" t="str">
        <x:v>Property acquisition or investor activity makes this an operator-capital prospect for the signed trial. Confirm operating-company debt/equity appetite.</x:v>
      </x:c>
      <x:c r="S448" s="25" t="str">
        <x:v>Public property-buying activity or a directory listing does not establish available cash, investing decision-maker, current $100K-$500K capacity, or willingness to fund 101XVC operating costs.</x:v>
      </x:c>
      <x:c r="T448" s="25" t="str">
        <x:v>Ask the owner/investor whether they can allocate $100K-$500K to trial marketing and acquisitions, and confirm structure, timing and decision authority.</x:v>
      </x:c>
      <x:c r="U448" s="25" t="str">
        <x:v>https://www.cashhomebuyersdirectory.com/cash-home-buyers/illinois/libertyville</x:v>
      </x:c>
      <x:c r="V448" s="26" t="d">
        <x:v>2026-10-02T00:00:00.000Z</x:v>
      </x:c>
      <x:c r="W448" s="26" t="d">
        <x:v>2026-10-02T00:00:00.000Z</x:v>
      </x:c>
      <x:c r="X448" s="25" t="str">
        <x:v>Public investor directory; business role and contact ownership require qualification</x:v>
      </x:c>
      <x:c r="Y448" s="25"/>
      <x:c r="Z448" s="25" t="str">
        <x:v>https://www.cashhomebuyersdirectory.com/cash-home-buyers/illinois/libertyville</x:v>
      </x:c>
      <x:c r="AA448" s="25" t="str">
        <x:v>Public cash-home-buyer directory lists business name, phone and market. Directory entry may include brokers or service providers.</x:v>
      </x:c>
      <x:c r="AB448" s="3" t="str">
        <x:v>New public-source collection</x:v>
      </x:c>
      <x:c r="AC448" s="3" t="str">
        <x:v>unverified</x:v>
      </x:c>
      <x:c r="AD448" s="3" t="str">
        <x:v>Not contacted / unconfirmed</x:v>
      </x:c>
      <x:c r="AE448" s="3" t="str">
        <x:v>No</x:v>
      </x:c>
      <x:c r="AF448" s="3" t="str">
        <x:v>No</x:v>
      </x:c>
      <x:c r="AG448" s="3"/>
      <x:c r="AH448" s="3"/>
      <x:c r="AI448" s="18"/>
      <x:c r="AJ448" s="3" t="str">
        <x:v>CF2500-89A6FF9E71FC</x:v>
      </x:c>
      <x:c r="AK448" s="3" t="str">
        <x:v>Property investor / home-buying operator prospect</x:v>
      </x:c>
      <x:c r="AL448" s="19" t="n">
        <x:v>100000</x:v>
      </x:c>
      <x:c r="AM448" s="19" t="n">
        <x:v>500000</x:v>
      </x:c>
      <x:c r="AN448" s="3" t="str">
        <x:v>https://www.cashhomebuyersdirectory.com/cash-home-buyers/illinois/libertyville</x:v>
      </x:c>
      <x:c r="AO448" s="3" t="str">
        <x:v>nc_il_az_co_investors.jsonl</x:v>
      </x:c>
      <x:c r="AP448" s="19"/>
    </x:row>
    <x:row r="449" ht="36" customHeight="1">
      <x:c r="A449" s="23" t="n">
        <x:v>448</x:v>
      </x:c>
      <x:c r="B449" s="15" t="str">
        <x:v>Your Central Florida Home Buyer</x:v>
      </x:c>
      <x:c r="C449" s="15"/>
      <x:c r="D449" s="15" t="str">
        <x:v>Property investor / home-buying operator</x:v>
      </x:c>
      <x:c r="E449" s="15" t="str">
        <x:v>Property investor / operator inquiry</x:v>
      </x:c>
      <x:c r="F449" s="17" t="str">
        <x:v>New</x:v>
      </x:c>
      <x:c r="G449" s="24"/>
      <x:c r="H449" s="24" t="str">
        <x:v>+14075889792</x:v>
      </x:c>
      <x:c r="I449" s="24" t="str">
        <x:v>https://yourcentralfloridahomebuyer.com/</x:v>
      </x:c>
      <x:c r="J449" s="16" t="str">
        <x:v>FL</x:v>
      </x:c>
      <x:c r="K449" s="16"/>
      <x:c r="L449" s="16" t="str">
        <x:v>Public property-business route; investor decision maker unconfirmed</x:v>
      </x:c>
      <x:c r="M449" s="16" t="str">
        <x:v>https://yourcentralfloridahomebuyer.com/</x:v>
      </x:c>
      <x:c r="N449" s="16" t="str">
        <x:v>$100K-$500K ticket not published / unconfirmed</x:v>
      </x:c>
      <x:c r="O449" s="20"/>
      <x:c r="P449" s="20"/>
      <x:c r="Q449" s="25" t="str">
        <x:v>No $100K-$500K corporate-investment ticket published in checked source</x:v>
      </x:c>
      <x:c r="R449" s="25" t="str">
        <x:v>Property acquisition or investor activity makes this an operator-capital prospect for the signed trial. Confirm operating-company debt/equity appetite.</x:v>
      </x:c>
      <x:c r="S449" s="25" t="str">
        <x:v>Home-buying activity does not verify ability or willingness to invest $100K-$500K into 101XVC operating company. Website and contact verification pending.</x:v>
      </x:c>
      <x:c r="T449" s="25" t="str">
        <x:v>Ask the owner/investor whether they can allocate $100K-$500K to trial marketing and acquisitions, and confirm structure, timing and decision authority.</x:v>
      </x:c>
      <x:c r="U449" s="25" t="str">
        <x:v>https://www.cashhomebuyersdirectory.com/cash-home-buyers/florida/daytona-beach</x:v>
      </x:c>
      <x:c r="V449" s="26" t="d">
        <x:v>2026-10-02T00:00:00.000Z</x:v>
      </x:c>
      <x:c r="W449" s="26" t="d">
        <x:v>2026-10-03T00:00:00.000Z</x:v>
      </x:c>
      <x:c r="X449" s="25" t="str">
        <x:v>Public investor directory; business role and contact ownership require qualification</x:v>
      </x:c>
      <x:c r="Y449" s="25"/>
      <x:c r="Z449" s="25" t="str">
        <x:v>https://www.cashhomebuyersdirectory.com/cash-home-buyers/florida/daytona-beach</x:v>
      </x:c>
      <x:c r="AA449" s="25" t="str">
        <x:v>Public cash-home-buyer directory lists business name, phone and market. Directory entry may include brokers or service providers.</x:v>
      </x:c>
      <x:c r="AB449" s="3" t="str">
        <x:v>New public-source collection</x:v>
      </x:c>
      <x:c r="AC449" s="3" t="str">
        <x:v>unverified</x:v>
      </x:c>
      <x:c r="AD449" s="3" t="str">
        <x:v>Not contacted / unconfirmed</x:v>
      </x:c>
      <x:c r="AE449" s="3" t="str">
        <x:v>No</x:v>
      </x:c>
      <x:c r="AF449" s="3" t="str">
        <x:v>No</x:v>
      </x:c>
      <x:c r="AG449" s="3"/>
      <x:c r="AH449" s="3"/>
      <x:c r="AI449" s="18"/>
      <x:c r="AJ449" s="3" t="str">
        <x:v>CF2500-F2C1F83E6FEE</x:v>
      </x:c>
      <x:c r="AK449" s="3" t="str">
        <x:v>Property investor / home-buying operator prospect</x:v>
      </x:c>
      <x:c r="AL449" s="19" t="n">
        <x:v>100000</x:v>
      </x:c>
      <x:c r="AM449" s="19" t="n">
        <x:v>500000</x:v>
      </x:c>
      <x:c r="AN449" s="3" t="str">
        <x:v>https://www.cashhomebuyersdirectory.com/cash-home-buyers/florida/daytona-beach</x:v>
      </x:c>
      <x:c r="AO449" s="3" t="str">
        <x:v>tx_fl_investors.jsonl</x:v>
      </x:c>
      <x:c r="AP449" s="19"/>
    </x:row>
    <x:row r="450" ht="36" customHeight="1">
      <x:c r="A450" s="23" t="n">
        <x:v>449</x:v>
      </x:c>
      <x:c r="B450" s="15" t="str">
        <x:v>Zoom Property Buyers LLC</x:v>
      </x:c>
      <x:c r="C450" s="15"/>
      <x:c r="D450" s="15" t="str">
        <x:v>Property investor / home-buying operator</x:v>
      </x:c>
      <x:c r="E450" s="15" t="str">
        <x:v>Property investor / operator inquiry</x:v>
      </x:c>
      <x:c r="F450" s="17" t="str">
        <x:v>New</x:v>
      </x:c>
      <x:c r="G450" s="24"/>
      <x:c r="H450" s="24" t="str">
        <x:v>+18032721212</x:v>
      </x:c>
      <x:c r="I450" s="24" t="str">
        <x:v>http://www.zoompropertybuyers.com/</x:v>
      </x:c>
      <x:c r="J450" s="16" t="str">
        <x:v>NC</x:v>
      </x:c>
      <x:c r="K450" s="16" t="str">
        <x:v>Charlotte</x:v>
      </x:c>
      <x:c r="L450" s="16" t="str">
        <x:v>Public property-business route; investor decision maker unconfirmed</x:v>
      </x:c>
      <x:c r="M450" s="16" t="str">
        <x:v>http://www.zoompropertybuyers.com/</x:v>
      </x:c>
      <x:c r="N450" s="16" t="str">
        <x:v>$100K-$500K ticket not published / unconfirmed</x:v>
      </x:c>
      <x:c r="O450" s="20"/>
      <x:c r="P450" s="20"/>
      <x:c r="Q450" s="25" t="str">
        <x:v>No $100K-$500K operating-company investment ticket verified</x:v>
      </x:c>
      <x:c r="R450" s="25" t="str">
        <x:v>Property acquisition or investor activity makes this an operator-capital prospect for the signed trial. Confirm operating-company debt/equity appetite.</x:v>
      </x:c>
      <x:c r="S450" s="25" t="str">
        <x:v>Public property-buying activity or a directory listing does not establish available cash, investing decision-maker, current $100K-$500K capacity, or willingness to fund 101XVC operating costs.</x:v>
      </x:c>
      <x:c r="T450" s="25" t="str">
        <x:v>Ask the owner/investor whether they can allocate $100K-$500K to trial marketing and acquisitions, and confirm structure, timing and decision authority.</x:v>
      </x:c>
      <x:c r="U450" s="25" t="str">
        <x:v>https://www.cashhomebuyersdirectory.com/cash-home-buyers/north-carolina/charlotte
https://www.bbb.org/us/nc/category/home-buyers</x:v>
      </x:c>
      <x:c r="V450" s="26" t="d">
        <x:v>2026-10-02T00:00:00.000Z</x:v>
      </x:c>
      <x:c r="W450" s="26" t="d">
        <x:v>2026-10-02T00:00:00.000Z</x:v>
      </x:c>
      <x:c r="X450" s="25" t="str">
        <x:v>Public investor directory; business role and contact ownership require qualification</x:v>
      </x:c>
      <x:c r="Y450" s="25"/>
      <x:c r="Z450" s="25" t="str">
        <x:v>https://www.cashhomebuyersdirectory.com/cash-home-buyers/north-carolina/charlotte</x:v>
      </x:c>
      <x:c r="AA450" s="25" t="str">
        <x:v>Public cash-home-buyer directory lists business name, phone and market. Directory entry may include brokers or service providers.</x:v>
      </x:c>
      <x:c r="AB450" s="3" t="str">
        <x:v>New public-source collection</x:v>
      </x:c>
      <x:c r="AC450" s="3" t="str">
        <x:v>unverified</x:v>
      </x:c>
      <x:c r="AD450" s="3" t="str">
        <x:v>Not contacted / unconfirmed</x:v>
      </x:c>
      <x:c r="AE450" s="3" t="str">
        <x:v>No</x:v>
      </x:c>
      <x:c r="AF450" s="3" t="str">
        <x:v>No</x:v>
      </x:c>
      <x:c r="AG450" s="3"/>
      <x:c r="AH450" s="3"/>
      <x:c r="AI450" s="18"/>
      <x:c r="AJ450" s="3" t="str">
        <x:v>CF2500-7C5B08BBC859</x:v>
      </x:c>
      <x:c r="AK450" s="3" t="str">
        <x:v>Property investor / home-buying operator prospect</x:v>
      </x:c>
      <x:c r="AL450" s="19" t="n">
        <x:v>100000</x:v>
      </x:c>
      <x:c r="AM450" s="19" t="n">
        <x:v>500000</x:v>
      </x:c>
      <x:c r="AN450" s="3" t="str">
        <x:v>https://www.cashhomebuyersdirectory.com/cash-home-buyers/north-carolina/charlotte</x:v>
      </x:c>
      <x:c r="AO450" s="3" t="str">
        <x:v>nc_il_az_co_investors.jsonl</x:v>
      </x:c>
      <x:c r="AP450" s="19"/>
    </x:row>
    <x:row r="451" ht="36" customHeight="1">
      <x:c r="A451" s="23" t="n">
        <x:v>450</x:v>
      </x:c>
      <x:c r="B451" s="15" t="str">
        <x:v>409 Cash Home Buyers</x:v>
      </x:c>
      <x:c r="C451" s="15"/>
      <x:c r="D451" s="15" t="str">
        <x:v>Property investor / home-buying operator</x:v>
      </x:c>
      <x:c r="E451" s="15" t="str">
        <x:v>Property investor / operator inquiry</x:v>
      </x:c>
      <x:c r="F451" s="17" t="str">
        <x:v>New</x:v>
      </x:c>
      <x:c r="G451" s="24"/>
      <x:c r="H451" s="24" t="str">
        <x:v>+14092077355</x:v>
      </x:c>
      <x:c r="I451" s="24"/>
      <x:c r="J451" s="16" t="str">
        <x:v>TX</x:v>
      </x:c>
      <x:c r="K451" s="16"/>
      <x:c r="L451" s="16" t="str">
        <x:v>Public property-business route; investor decision maker unconfirmed</x:v>
      </x:c>
      <x:c r="M451" s="16"/>
      <x:c r="N451" s="16" t="str">
        <x:v>$100K-$500K ticket not published / unconfirmed</x:v>
      </x:c>
      <x:c r="O451" s="20"/>
      <x:c r="P451" s="20"/>
      <x:c r="Q451" s="25" t="str">
        <x:v>No $100K-$500K corporate-investment ticket published in checked source</x:v>
      </x:c>
      <x:c r="R451" s="25" t="str">
        <x:v>Property acquisition or investor activity makes this an operator-capital prospect for the signed trial. Confirm operating-company debt/equity appetite.</x:v>
      </x:c>
      <x:c r="S451" s="25" t="str">
        <x:v>Home-buying activity does not verify ability or willingness to invest $100K-$500K into 101XVC operating company. Website and contact verification pending.</x:v>
      </x:c>
      <x:c r="T451" s="25" t="str">
        <x:v>Ask the owner/investor whether they can allocate $100K-$500K to trial marketing and acquisitions, and confirm structure, timing and decision authority.</x:v>
      </x:c>
      <x:c r="U451" s="25" t="str">
        <x:v>https://www.cashhomebuyersdirectory.com/cash-home-buyers/texas/beaumont</x:v>
      </x:c>
      <x:c r="V451" s="26" t="d">
        <x:v>2026-10-02T00:00:00.000Z</x:v>
      </x:c>
      <x:c r="W451" s="26" t="d">
        <x:v>2026-10-03T00:00:00.000Z</x:v>
      </x:c>
      <x:c r="X451" s="25" t="str">
        <x:v>Public investor directory; business role and contact ownership require qualification</x:v>
      </x:c>
      <x:c r="Y451" s="25"/>
      <x:c r="Z451" s="25" t="str">
        <x:v>https://www.cashhomebuyersdirectory.com/cash-home-buyers/texas/beaumont</x:v>
      </x:c>
      <x:c r="AA451" s="25" t="str">
        <x:v>Public cash-home-buyer directory lists business name, phone and market. Directory entry may include brokers or service providers.</x:v>
      </x:c>
      <x:c r="AB451" s="3" t="str">
        <x:v>New public-source collection</x:v>
      </x:c>
      <x:c r="AC451" s="3" t="str">
        <x:v>unverified</x:v>
      </x:c>
      <x:c r="AD451" s="3" t="str">
        <x:v>Not contacted / unconfirmed</x:v>
      </x:c>
      <x:c r="AE451" s="3" t="str">
        <x:v>No</x:v>
      </x:c>
      <x:c r="AF451" s="3" t="str">
        <x:v>No</x:v>
      </x:c>
      <x:c r="AG451" s="3"/>
      <x:c r="AH451" s="3"/>
      <x:c r="AI451" s="18"/>
      <x:c r="AJ451" s="3" t="str">
        <x:v>CF2500-41F8F70B3EDD</x:v>
      </x:c>
      <x:c r="AK451" s="3" t="str">
        <x:v>Property investor / home-buying operator prospect</x:v>
      </x:c>
      <x:c r="AL451" s="19" t="n">
        <x:v>100000</x:v>
      </x:c>
      <x:c r="AM451" s="19" t="n">
        <x:v>500000</x:v>
      </x:c>
      <x:c r="AN451" s="3" t="str">
        <x:v>https://www.cashhomebuyersdirectory.com/cash-home-buyers/texas/beaumont</x:v>
      </x:c>
      <x:c r="AO451" s="3" t="str">
        <x:v>tx_fl_investors.jsonl</x:v>
      </x:c>
      <x:c r="AP451" s="19"/>
    </x:row>
    <x:row r="452" ht="36" customHeight="1">
      <x:c r="A452" s="23" t="n">
        <x:v>451</x:v>
      </x:c>
      <x:c r="B452" s="15" t="str">
        <x:v>ALC Home Buyers</x:v>
      </x:c>
      <x:c r="C452" s="15"/>
      <x:c r="D452" s="15" t="str">
        <x:v>Property investor / home-buying operator</x:v>
      </x:c>
      <x:c r="E452" s="15" t="str">
        <x:v>Property investor / operator inquiry</x:v>
      </x:c>
      <x:c r="F452" s="17" t="str">
        <x:v>New</x:v>
      </x:c>
      <x:c r="G452" s="24"/>
      <x:c r="H452" s="24" t="str">
        <x:v>+17083363199</x:v>
      </x:c>
      <x:c r="I452" s="24"/>
      <x:c r="J452" s="16" t="str">
        <x:v>IL</x:v>
      </x:c>
      <x:c r="K452" s="16" t="str">
        <x:v>Tinley Park</x:v>
      </x:c>
      <x:c r="L452" s="16" t="str">
        <x:v>Public property-business route; investor decision maker unconfirmed</x:v>
      </x:c>
      <x:c r="M452" s="16"/>
      <x:c r="N452" s="16" t="str">
        <x:v>$100K-$500K ticket not published / unconfirmed</x:v>
      </x:c>
      <x:c r="O452" s="20"/>
      <x:c r="P452" s="20"/>
      <x:c r="Q452" s="25" t="str">
        <x:v>No $100K-$500K operating-company investment ticket verified</x:v>
      </x:c>
      <x:c r="R452" s="25" t="str">
        <x:v>Property acquisition or investor activity makes this an operator-capital prospect for the signed trial. Confirm operating-company debt/equity appetite.</x:v>
      </x:c>
      <x:c r="S452" s="25" t="str">
        <x:v>Public property-buying activity or a directory listing does not establish available cash, investing decision-maker, current $100K-$500K capacity, or willingness to fund 101XVC operating costs.</x:v>
      </x:c>
      <x:c r="T452" s="25" t="str">
        <x:v>Ask the owner/investor whether they can allocate $100K-$500K to trial marketing and acquisitions, and confirm structure, timing and decision authority.</x:v>
      </x:c>
      <x:c r="U452" s="25" t="str">
        <x:v>https://www.cashhomebuyersdirectory.com/cash-home-buyers/illinois/tinley-park</x:v>
      </x:c>
      <x:c r="V452" s="26" t="d">
        <x:v>2026-10-02T00:00:00.000Z</x:v>
      </x:c>
      <x:c r="W452" s="26" t="d">
        <x:v>2026-10-02T00:00:00.000Z</x:v>
      </x:c>
      <x:c r="X452" s="25" t="str">
        <x:v>Public investor directory; business role and contact ownership require qualification</x:v>
      </x:c>
      <x:c r="Y452" s="25"/>
      <x:c r="Z452" s="25" t="str">
        <x:v>https://www.cashhomebuyersdirectory.com/cash-home-buyers/illinois/tinley-park</x:v>
      </x:c>
      <x:c r="AA452" s="25" t="str">
        <x:v>Public cash-home-buyer directory lists business name, phone and market. Directory entry may include brokers or service providers.</x:v>
      </x:c>
      <x:c r="AB452" s="3" t="str">
        <x:v>New public-source collection</x:v>
      </x:c>
      <x:c r="AC452" s="3" t="str">
        <x:v>unverified</x:v>
      </x:c>
      <x:c r="AD452" s="3" t="str">
        <x:v>Not contacted / unconfirmed</x:v>
      </x:c>
      <x:c r="AE452" s="3" t="str">
        <x:v>No</x:v>
      </x:c>
      <x:c r="AF452" s="3" t="str">
        <x:v>No</x:v>
      </x:c>
      <x:c r="AG452" s="3"/>
      <x:c r="AH452" s="3"/>
      <x:c r="AI452" s="18"/>
      <x:c r="AJ452" s="3" t="str">
        <x:v>CF2500-5334A024B6B7</x:v>
      </x:c>
      <x:c r="AK452" s="3" t="str">
        <x:v>Property investor / home-buying operator prospect</x:v>
      </x:c>
      <x:c r="AL452" s="19" t="n">
        <x:v>100000</x:v>
      </x:c>
      <x:c r="AM452" s="19" t="n">
        <x:v>500000</x:v>
      </x:c>
      <x:c r="AN452" s="3" t="str">
        <x:v>https://www.cashhomebuyersdirectory.com/cash-home-buyers/illinois/tinley-park</x:v>
      </x:c>
      <x:c r="AO452" s="3" t="str">
        <x:v>nc_il_az_co_investors.jsonl</x:v>
      </x:c>
      <x:c r="AP452" s="19"/>
    </x:row>
    <x:row r="453" ht="36" customHeight="1">
      <x:c r="A453" s="23" t="n">
        <x:v>452</x:v>
      </x:c>
      <x:c r="B453" s="15" t="str">
        <x:v>ATL Property Investment Group LLC</x:v>
      </x:c>
      <x:c r="C453" s="15"/>
      <x:c r="D453" s="15" t="str">
        <x:v>Property investor / home-buying operator</x:v>
      </x:c>
      <x:c r="E453" s="15" t="str">
        <x:v>Property investor / operator inquiry</x:v>
      </x:c>
      <x:c r="F453" s="17" t="str">
        <x:v>New</x:v>
      </x:c>
      <x:c r="G453" s="24"/>
      <x:c r="H453" s="24" t="str">
        <x:v>+17086327188</x:v>
      </x:c>
      <x:c r="I453" s="24"/>
      <x:c r="J453" s="16" t="str">
        <x:v>IL</x:v>
      </x:c>
      <x:c r="K453" s="16"/>
      <x:c r="L453" s="16" t="str">
        <x:v>Public property-business route; investor decision maker unconfirmed</x:v>
      </x:c>
      <x:c r="M453" s="16" t="str">
        <x:v>https://www.bbb.org/us/il/category/home-buyers</x:v>
      </x:c>
      <x:c r="N453" s="16" t="str">
        <x:v>$100K-$500K ticket not published / unconfirmed</x:v>
      </x:c>
      <x:c r="O453" s="20"/>
      <x:c r="P453" s="20"/>
      <x:c r="Q453" s="25" t="str">
        <x:v>No $100K-$500K operating-company investment ticket verified</x:v>
      </x:c>
      <x:c r="R453" s="25" t="str">
        <x:v>Property acquisition or investor activity makes this an operator-capital prospect for the signed trial. Confirm operating-company debt/equity appetite.</x:v>
      </x:c>
      <x:c r="S453" s="25" t="str">
        <x:v>Public property-buying activity or a directory listing does not establish available cash, investing decision-maker, current $100K-$500K capacity, or willingness to fund 101XVC operating costs.</x:v>
      </x:c>
      <x:c r="T453" s="25" t="str">
        <x:v>Ask the owner/investor whether they can allocate $100K-$500K to trial marketing and acquisitions, and confirm structure, timing and decision authority.</x:v>
      </x:c>
      <x:c r="U453" s="25" t="str">
        <x:v>https://www.bbb.org/us/il/category/home-buyers</x:v>
      </x:c>
      <x:c r="V453" s="26" t="d">
        <x:v>2026-10-02T00:00:00.000Z</x:v>
      </x:c>
      <x:c r="W453" s="26" t="d">
        <x:v>2026-10-02T00:00:00.000Z</x:v>
      </x:c>
      <x:c r="X453" s="25" t="str">
        <x:v>Public investor directory; business role and contact ownership require qualification</x:v>
      </x:c>
      <x:c r="Y453" s="25"/>
      <x:c r="Z453" s="25" t="str">
        <x:v>https://www.bbb.org/us/il/category/home-buyers</x:v>
      </x:c>
      <x:c r="AA453" s="25" t="str">
        <x:v>BBB publicly lists this business as a home buyer, with the recorded business phone. Its investing role and company-capital appetite require qualification.</x:v>
      </x:c>
      <x:c r="AB453" s="3" t="str">
        <x:v>New public-source collection</x:v>
      </x:c>
      <x:c r="AC453" s="3" t="str">
        <x:v>unverified</x:v>
      </x:c>
      <x:c r="AD453" s="3" t="str">
        <x:v>Not contacted / unconfirmed</x:v>
      </x:c>
      <x:c r="AE453" s="3" t="str">
        <x:v>No</x:v>
      </x:c>
      <x:c r="AF453" s="3" t="str">
        <x:v>No</x:v>
      </x:c>
      <x:c r="AG453" s="3"/>
      <x:c r="AH453" s="3"/>
      <x:c r="AI453" s="18"/>
      <x:c r="AJ453" s="3" t="str">
        <x:v>CF2500-BF1A49C88978</x:v>
      </x:c>
      <x:c r="AK453" s="3" t="str">
        <x:v>Property buyer / investor operator prospect</x:v>
      </x:c>
      <x:c r="AL453" s="19" t="n">
        <x:v>100000</x:v>
      </x:c>
      <x:c r="AM453" s="19" t="n">
        <x:v>500000</x:v>
      </x:c>
      <x:c r="AN453" s="3" t="str">
        <x:v>https://www.bbb.org/us/il/category/home-buyers</x:v>
      </x:c>
      <x:c r="AO453" s="3" t="str">
        <x:v>nc_il_az_co_investors.jsonl</x:v>
      </x:c>
      <x:c r="AP453" s="19"/>
    </x:row>
    <x:row r="454" ht="36" customHeight="1">
      <x:c r="A454" s="23" t="n">
        <x:v>453</x:v>
      </x:c>
      <x:c r="B454" s="15" t="str">
        <x:v>BAMS Offer Trust #1 Cash Home Buyer | Simple &amp; Stress Free Process | As Is | Sell My House Fast | SWFL</x:v>
      </x:c>
      <x:c r="C454" s="15"/>
      <x:c r="D454" s="15" t="str">
        <x:v>Property investor / home-buying operator</x:v>
      </x:c>
      <x:c r="E454" s="15" t="str">
        <x:v>Property investor / operator inquiry</x:v>
      </x:c>
      <x:c r="F454" s="17" t="str">
        <x:v>New</x:v>
      </x:c>
      <x:c r="G454" s="24"/>
      <x:c r="H454" s="24" t="str">
        <x:v>+19417598330</x:v>
      </x:c>
      <x:c r="I454" s="24"/>
      <x:c r="J454" s="16" t="str">
        <x:v>FL</x:v>
      </x:c>
      <x:c r="K454" s="16"/>
      <x:c r="L454" s="16" t="str">
        <x:v>Public property-business route; investor decision maker unconfirmed</x:v>
      </x:c>
      <x:c r="M454" s="16"/>
      <x:c r="N454" s="16" t="str">
        <x:v>$100K-$500K ticket not published / unconfirmed</x:v>
      </x:c>
      <x:c r="O454" s="20"/>
      <x:c r="P454" s="20"/>
      <x:c r="Q454" s="25" t="str">
        <x:v>No $100K-$500K corporate-investment ticket published in checked source</x:v>
      </x:c>
      <x:c r="R454" s="25" t="str">
        <x:v>Property acquisition or investor activity makes this an operator-capital prospect for the signed trial. Confirm operating-company debt/equity appetite.</x:v>
      </x:c>
      <x:c r="S454" s="25" t="str">
        <x:v>Home-buying activity does not verify ability or willingness to invest $100K-$500K into 101XVC operating company. Website and contact verification pending.</x:v>
      </x:c>
      <x:c r="T454" s="25" t="str">
        <x:v>Ask the owner/investor whether they can allocate $100K-$500K to trial marketing and acquisitions, and confirm structure, timing and decision authority.</x:v>
      </x:c>
      <x:c r="U454" s="25" t="str">
        <x:v>https://www.cashhomebuyersdirectory.com/cash-home-buyers/florida/cape-coral</x:v>
      </x:c>
      <x:c r="V454" s="26" t="d">
        <x:v>2026-10-02T00:00:00.000Z</x:v>
      </x:c>
      <x:c r="W454" s="26" t="d">
        <x:v>2026-10-03T00:00:00.000Z</x:v>
      </x:c>
      <x:c r="X454" s="25" t="str">
        <x:v>Public investor directory; business role and contact ownership require qualification</x:v>
      </x:c>
      <x:c r="Y454" s="25"/>
      <x:c r="Z454" s="25" t="str">
        <x:v>https://www.cashhomebuyersdirectory.com/cash-home-buyers/florida/cape-coral</x:v>
      </x:c>
      <x:c r="AA454" s="25" t="str">
        <x:v>Public cash-home-buyer directory lists business name, phone and market. Directory entry may include brokers or service providers.</x:v>
      </x:c>
      <x:c r="AB454" s="3" t="str">
        <x:v>New public-source collection</x:v>
      </x:c>
      <x:c r="AC454" s="3" t="str">
        <x:v>unverified</x:v>
      </x:c>
      <x:c r="AD454" s="3" t="str">
        <x:v>Not contacted / unconfirmed</x:v>
      </x:c>
      <x:c r="AE454" s="3" t="str">
        <x:v>No</x:v>
      </x:c>
      <x:c r="AF454" s="3" t="str">
        <x:v>No</x:v>
      </x:c>
      <x:c r="AG454" s="3"/>
      <x:c r="AH454" s="3"/>
      <x:c r="AI454" s="18"/>
      <x:c r="AJ454" s="3" t="str">
        <x:v>CF2500-F672EE1D1794</x:v>
      </x:c>
      <x:c r="AK454" s="3" t="str">
        <x:v>Property investor / home-buying operator prospect</x:v>
      </x:c>
      <x:c r="AL454" s="19" t="n">
        <x:v>100000</x:v>
      </x:c>
      <x:c r="AM454" s="19" t="n">
        <x:v>500000</x:v>
      </x:c>
      <x:c r="AN454" s="3" t="str">
        <x:v>https://www.cashhomebuyersdirectory.com/cash-home-buyers/florida/cape-coral</x:v>
      </x:c>
      <x:c r="AO454" s="3" t="str">
        <x:v>tx_fl_investors.jsonl</x:v>
      </x:c>
      <x:c r="AP454" s="19"/>
    </x:row>
    <x:row r="455" ht="36" customHeight="1">
      <x:c r="A455" s="23" t="n">
        <x:v>454</x:v>
      </x:c>
      <x:c r="B455" s="15" t="str">
        <x:v>Better Together Properties - We Buy Houses Pensacola</x:v>
      </x:c>
      <x:c r="C455" s="15"/>
      <x:c r="D455" s="15" t="str">
        <x:v>Property investor / home-buying operator</x:v>
      </x:c>
      <x:c r="E455" s="15" t="str">
        <x:v>Property investor / operator inquiry</x:v>
      </x:c>
      <x:c r="F455" s="17" t="str">
        <x:v>New</x:v>
      </x:c>
      <x:c r="G455" s="24"/>
      <x:c r="H455" s="24" t="str">
        <x:v>+18507244544</x:v>
      </x:c>
      <x:c r="I455" s="24"/>
      <x:c r="J455" s="16" t="str">
        <x:v>FL</x:v>
      </x:c>
      <x:c r="K455" s="16" t="str">
        <x:v>Pensacola</x:v>
      </x:c>
      <x:c r="L455" s="16" t="str">
        <x:v>Public property-business route; investor decision maker unconfirmed</x:v>
      </x:c>
      <x:c r="M455" s="16"/>
      <x:c r="N455" s="16" t="str">
        <x:v>$100K-$500K ticket not published / unconfirmed</x:v>
      </x:c>
      <x:c r="O455" s="20"/>
      <x:c r="P455" s="20"/>
      <x:c r="Q455" s="25" t="str">
        <x:v>No $100K-$500K corporate-investment ticket published in checked source</x:v>
      </x:c>
      <x:c r="R455" s="25" t="str">
        <x:v>Property acquisition or investor activity makes this an operator-capital prospect for the signed trial. Confirm operating-company debt/equity appetite.</x:v>
      </x:c>
      <x:c r="S455" s="25" t="str">
        <x:v>Home-buying activity does not verify ability or willingness to invest $100K-$500K into 101XVC operating company. Website and contact verification pending.</x:v>
      </x:c>
      <x:c r="T455" s="25" t="str">
        <x:v>Ask the owner/investor whether they can allocate $100K-$500K to trial marketing and acquisitions, and confirm structure, timing and decision authority.</x:v>
      </x:c>
      <x:c r="U455" s="25" t="str">
        <x:v>https://www.cashhomebuyersdirectory.com/cash-home-buyers/florida/pensacola</x:v>
      </x:c>
      <x:c r="V455" s="26" t="d">
        <x:v>2026-10-02T00:00:00.000Z</x:v>
      </x:c>
      <x:c r="W455" s="26" t="d">
        <x:v>2026-10-03T00:00:00.000Z</x:v>
      </x:c>
      <x:c r="X455" s="25" t="str">
        <x:v>Public investor directory; business role and contact ownership require qualification</x:v>
      </x:c>
      <x:c r="Y455" s="25"/>
      <x:c r="Z455" s="25" t="str">
        <x:v>https://www.cashhomebuyersdirectory.com/cash-home-buyers/florida/pensacola</x:v>
      </x:c>
      <x:c r="AA455" s="25" t="str">
        <x:v>Public cash-home-buyer directory lists business name, phone and market. Directory entry may include brokers or service providers.</x:v>
      </x:c>
      <x:c r="AB455" s="3" t="str">
        <x:v>New public-source collection</x:v>
      </x:c>
      <x:c r="AC455" s="3" t="str">
        <x:v>unverified</x:v>
      </x:c>
      <x:c r="AD455" s="3" t="str">
        <x:v>Not contacted / unconfirmed</x:v>
      </x:c>
      <x:c r="AE455" s="3" t="str">
        <x:v>No</x:v>
      </x:c>
      <x:c r="AF455" s="3" t="str">
        <x:v>No</x:v>
      </x:c>
      <x:c r="AG455" s="3"/>
      <x:c r="AH455" s="3"/>
      <x:c r="AI455" s="18"/>
      <x:c r="AJ455" s="3" t="str">
        <x:v>CF2500-45E37FB81194</x:v>
      </x:c>
      <x:c r="AK455" s="3" t="str">
        <x:v>Property investor / home-buying operator prospect</x:v>
      </x:c>
      <x:c r="AL455" s="19" t="n">
        <x:v>100000</x:v>
      </x:c>
      <x:c r="AM455" s="19" t="n">
        <x:v>500000</x:v>
      </x:c>
      <x:c r="AN455" s="3" t="str">
        <x:v>https://www.cashhomebuyersdirectory.com/cash-home-buyers/florida/pensacola</x:v>
      </x:c>
      <x:c r="AO455" s="3" t="str">
        <x:v>tx_fl_investors.jsonl</x:v>
      </x:c>
      <x:c r="AP455" s="19"/>
    </x:row>
    <x:row r="456" ht="36" customHeight="1">
      <x:c r="A456" s="23" t="n">
        <x:v>455</x:v>
      </x:c>
      <x:c r="B456" s="15" t="str">
        <x:v>Carolina Home Buyers Realty</x:v>
      </x:c>
      <x:c r="C456" s="15"/>
      <x:c r="D456" s="15" t="str">
        <x:v>Property investor / home-buying operator</x:v>
      </x:c>
      <x:c r="E456" s="15" t="str">
        <x:v>Property investor / operator inquiry</x:v>
      </x:c>
      <x:c r="F456" s="17" t="str">
        <x:v>New</x:v>
      </x:c>
      <x:c r="G456" s="24"/>
      <x:c r="H456" s="24" t="str">
        <x:v>+17047144188</x:v>
      </x:c>
      <x:c r="I456" s="24"/>
      <x:c r="J456" s="16" t="str">
        <x:v>NC</x:v>
      </x:c>
      <x:c r="K456" s="16" t="str">
        <x:v>Charlotte</x:v>
      </x:c>
      <x:c r="L456" s="16" t="str">
        <x:v>Public property-business route; investor decision maker unconfirmed</x:v>
      </x:c>
      <x:c r="M456" s="16"/>
      <x:c r="N456" s="16" t="str">
        <x:v>$100K-$500K ticket not published / unconfirmed</x:v>
      </x:c>
      <x:c r="O456" s="20"/>
      <x:c r="P456" s="20"/>
      <x:c r="Q456" s="25" t="str">
        <x:v>No $100K-$500K operating-company investment ticket verified</x:v>
      </x:c>
      <x:c r="R456" s="25" t="str">
        <x:v>Property acquisition or investor activity makes this an operator-capital prospect for the signed trial. Confirm operating-company debt/equity appetite.</x:v>
      </x:c>
      <x:c r="S456" s="25" t="str">
        <x:v>Public property-buying activity or a directory listing does not establish available cash, investing decision-maker, current $100K-$500K capacity, or willingness to fund 101XVC operating costs.</x:v>
      </x:c>
      <x:c r="T456" s="25" t="str">
        <x:v>Ask the owner/investor whether they can allocate $100K-$500K to trial marketing and acquisitions, and confirm structure, timing and decision authority.</x:v>
      </x:c>
      <x:c r="U456" s="25" t="str">
        <x:v>https://www.cashhomebuyersdirectory.com/cash-home-buyers/north-carolina/charlotte</x:v>
      </x:c>
      <x:c r="V456" s="26" t="d">
        <x:v>2026-10-02T00:00:00.000Z</x:v>
      </x:c>
      <x:c r="W456" s="26" t="d">
        <x:v>2026-10-02T00:00:00.000Z</x:v>
      </x:c>
      <x:c r="X456" s="25" t="str">
        <x:v>Public investor directory; business role and contact ownership require qualification</x:v>
      </x:c>
      <x:c r="Y456" s="25"/>
      <x:c r="Z456" s="25" t="str">
        <x:v>https://www.cashhomebuyersdirectory.com/cash-home-buyers/north-carolina/charlotte</x:v>
      </x:c>
      <x:c r="AA456" s="25" t="str">
        <x:v>Public cash-home-buyer directory lists business name, phone and market. Directory entry may include brokers or service providers.</x:v>
      </x:c>
      <x:c r="AB456" s="3" t="str">
        <x:v>New public-source collection</x:v>
      </x:c>
      <x:c r="AC456" s="3" t="str">
        <x:v>unverified</x:v>
      </x:c>
      <x:c r="AD456" s="3" t="str">
        <x:v>Not contacted / unconfirmed</x:v>
      </x:c>
      <x:c r="AE456" s="3" t="str">
        <x:v>No</x:v>
      </x:c>
      <x:c r="AF456" s="3" t="str">
        <x:v>No</x:v>
      </x:c>
      <x:c r="AG456" s="3"/>
      <x:c r="AH456" s="3"/>
      <x:c r="AI456" s="18"/>
      <x:c r="AJ456" s="3" t="str">
        <x:v>CF2500-56E3CE1980AE</x:v>
      </x:c>
      <x:c r="AK456" s="3" t="str">
        <x:v>Property investor / home-buying operator prospect</x:v>
      </x:c>
      <x:c r="AL456" s="19" t="n">
        <x:v>100000</x:v>
      </x:c>
      <x:c r="AM456" s="19" t="n">
        <x:v>500000</x:v>
      </x:c>
      <x:c r="AN456" s="3" t="str">
        <x:v>https://www.cashhomebuyersdirectory.com/cash-home-buyers/north-carolina/charlotte</x:v>
      </x:c>
      <x:c r="AO456" s="3" t="str">
        <x:v>nc_il_az_co_investors.jsonl</x:v>
      </x:c>
      <x:c r="AP456" s="19"/>
    </x:row>
    <x:row r="457" ht="36" customHeight="1">
      <x:c r="A457" s="23" t="n">
        <x:v>456</x:v>
      </x:c>
      <x:c r="B457" s="15" t="str">
        <x:v>Cash Home Buying Dallas</x:v>
      </x:c>
      <x:c r="C457" s="15"/>
      <x:c r="D457" s="15" t="str">
        <x:v>Property investor / home-buying operator</x:v>
      </x:c>
      <x:c r="E457" s="15" t="str">
        <x:v>Property investor / operator inquiry</x:v>
      </x:c>
      <x:c r="F457" s="17" t="str">
        <x:v>New</x:v>
      </x:c>
      <x:c r="G457" s="24"/>
      <x:c r="H457" s="24" t="str">
        <x:v>+19724305132</x:v>
      </x:c>
      <x:c r="I457" s="24"/>
      <x:c r="J457" s="16" t="str">
        <x:v>TX</x:v>
      </x:c>
      <x:c r="K457" s="16" t="str">
        <x:v>Dallas</x:v>
      </x:c>
      <x:c r="L457" s="16" t="str">
        <x:v>Public property-business route; investor decision maker unconfirmed</x:v>
      </x:c>
      <x:c r="M457" s="16"/>
      <x:c r="N457" s="16" t="str">
        <x:v>$100K-$500K ticket not published / unconfirmed</x:v>
      </x:c>
      <x:c r="O457" s="20"/>
      <x:c r="P457" s="20"/>
      <x:c r="Q457" s="25" t="str">
        <x:v>No $100K-$500K corporate-investment ticket published in checked source</x:v>
      </x:c>
      <x:c r="R457" s="25" t="str">
        <x:v>Property acquisition or investor activity makes this an operator-capital prospect for the signed trial. Confirm operating-company debt/equity appetite.</x:v>
      </x:c>
      <x:c r="S457" s="25" t="str">
        <x:v>Home-buying activity does not verify ability or willingness to invest $100K-$500K into 101XVC operating company. Website and contact verification pending.</x:v>
      </x:c>
      <x:c r="T457" s="25" t="str">
        <x:v>Ask the owner/investor whether they can allocate $100K-$500K to trial marketing and acquisitions, and confirm structure, timing and decision authority.</x:v>
      </x:c>
      <x:c r="U457" s="25" t="str">
        <x:v>https://www.cashhomebuyersdirectory.com/cash-home-buyers/texas/dallas</x:v>
      </x:c>
      <x:c r="V457" s="26" t="d">
        <x:v>2026-10-02T00:00:00.000Z</x:v>
      </x:c>
      <x:c r="W457" s="26" t="d">
        <x:v>2026-10-03T00:00:00.000Z</x:v>
      </x:c>
      <x:c r="X457" s="25" t="str">
        <x:v>Public investor directory; business role and contact ownership require qualification</x:v>
      </x:c>
      <x:c r="Y457" s="25"/>
      <x:c r="Z457" s="25" t="str">
        <x:v>https://www.cashhomebuyersdirectory.com/cash-home-buyers/texas/dallas</x:v>
      </x:c>
      <x:c r="AA457" s="25" t="str">
        <x:v>Public cash-home-buyer directory lists business name, phone and market. Directory entry may include brokers or service providers.</x:v>
      </x:c>
      <x:c r="AB457" s="3" t="str">
        <x:v>New public-source collection</x:v>
      </x:c>
      <x:c r="AC457" s="3" t="str">
        <x:v>unverified</x:v>
      </x:c>
      <x:c r="AD457" s="3" t="str">
        <x:v>Not contacted / unconfirmed</x:v>
      </x:c>
      <x:c r="AE457" s="3" t="str">
        <x:v>No</x:v>
      </x:c>
      <x:c r="AF457" s="3" t="str">
        <x:v>No</x:v>
      </x:c>
      <x:c r="AG457" s="3"/>
      <x:c r="AH457" s="3"/>
      <x:c r="AI457" s="18"/>
      <x:c r="AJ457" s="3" t="str">
        <x:v>CF2500-FB249546D078</x:v>
      </x:c>
      <x:c r="AK457" s="3" t="str">
        <x:v>Property investor / home-buying operator prospect</x:v>
      </x:c>
      <x:c r="AL457" s="19" t="n">
        <x:v>100000</x:v>
      </x:c>
      <x:c r="AM457" s="19" t="n">
        <x:v>500000</x:v>
      </x:c>
      <x:c r="AN457" s="3" t="str">
        <x:v>https://www.cashhomebuyersdirectory.com/cash-home-buyers/texas/dallas</x:v>
      </x:c>
      <x:c r="AO457" s="3" t="str">
        <x:v>tx_fl_investors.jsonl</x:v>
      </x:c>
      <x:c r="AP457" s="19"/>
    </x:row>
    <x:row r="458" ht="36" customHeight="1">
      <x:c r="A458" s="23" t="n">
        <x:v>457</x:v>
      </x:c>
      <x:c r="B458" s="15" t="str">
        <x:v>Cash Offer Home Buyers - Sell House Fast Raleigh Durham</x:v>
      </x:c>
      <x:c r="C458" s="15"/>
      <x:c r="D458" s="15" t="str">
        <x:v>Property investor / home-buying operator</x:v>
      </x:c>
      <x:c r="E458" s="15" t="str">
        <x:v>Property investor / operator inquiry</x:v>
      </x:c>
      <x:c r="F458" s="17" t="str">
        <x:v>New</x:v>
      </x:c>
      <x:c r="G458" s="24"/>
      <x:c r="H458" s="24" t="str">
        <x:v>+19196705068</x:v>
      </x:c>
      <x:c r="I458" s="24"/>
      <x:c r="J458" s="16" t="str">
        <x:v>NC</x:v>
      </x:c>
      <x:c r="K458" s="16"/>
      <x:c r="L458" s="16" t="str">
        <x:v>Public property-business route; investor decision maker unconfirmed</x:v>
      </x:c>
      <x:c r="M458" s="16"/>
      <x:c r="N458" s="16" t="str">
        <x:v>$100K-$500K ticket not published / unconfirmed</x:v>
      </x:c>
      <x:c r="O458" s="20"/>
      <x:c r="P458" s="20"/>
      <x:c r="Q458" s="25" t="str">
        <x:v>No $100K-$500K operating-company investment ticket verified</x:v>
      </x:c>
      <x:c r="R458" s="25" t="str">
        <x:v>Property acquisition or investor activity makes this an operator-capital prospect for the signed trial. Confirm operating-company debt/equity appetite.</x:v>
      </x:c>
      <x:c r="S458" s="25" t="str">
        <x:v>Public property-buying activity or a directory listing does not establish available cash, investing decision-maker, current $100K-$500K capacity, or willingness to fund 101XVC operating costs.</x:v>
      </x:c>
      <x:c r="T458" s="25" t="str">
        <x:v>Ask the owner/investor whether they can allocate $100K-$500K to trial marketing and acquisitions, and confirm structure, timing and decision authority.</x:v>
      </x:c>
      <x:c r="U458" s="25" t="str">
        <x:v>https://www.cashhomebuyersdirectory.com/cash-home-buyers/north-carolina/durham</x:v>
      </x:c>
      <x:c r="V458" s="26" t="d">
        <x:v>2026-10-02T00:00:00.000Z</x:v>
      </x:c>
      <x:c r="W458" s="26" t="d">
        <x:v>2026-10-02T00:00:00.000Z</x:v>
      </x:c>
      <x:c r="X458" s="25" t="str">
        <x:v>Public investor directory; business role and contact ownership require qualification</x:v>
      </x:c>
      <x:c r="Y458" s="25"/>
      <x:c r="Z458" s="25" t="str">
        <x:v>https://www.cashhomebuyersdirectory.com/cash-home-buyers/north-carolina/durham</x:v>
      </x:c>
      <x:c r="AA458" s="25" t="str">
        <x:v>Public cash-home-buyer directory lists business name, phone and market. Directory entry may include brokers or service providers.</x:v>
      </x:c>
      <x:c r="AB458" s="3" t="str">
        <x:v>New public-source collection</x:v>
      </x:c>
      <x:c r="AC458" s="3" t="str">
        <x:v>unverified</x:v>
      </x:c>
      <x:c r="AD458" s="3" t="str">
        <x:v>Not contacted / unconfirmed</x:v>
      </x:c>
      <x:c r="AE458" s="3" t="str">
        <x:v>No</x:v>
      </x:c>
      <x:c r="AF458" s="3" t="str">
        <x:v>No</x:v>
      </x:c>
      <x:c r="AG458" s="3"/>
      <x:c r="AH458" s="3"/>
      <x:c r="AI458" s="18"/>
      <x:c r="AJ458" s="3" t="str">
        <x:v>CF2500-62C824F652E2</x:v>
      </x:c>
      <x:c r="AK458" s="3" t="str">
        <x:v>Property investor / home-buying operator prospect</x:v>
      </x:c>
      <x:c r="AL458" s="19" t="n">
        <x:v>100000</x:v>
      </x:c>
      <x:c r="AM458" s="19" t="n">
        <x:v>500000</x:v>
      </x:c>
      <x:c r="AN458" s="3" t="str">
        <x:v>https://www.cashhomebuyersdirectory.com/cash-home-buyers/north-carolina/durham</x:v>
      </x:c>
      <x:c r="AO458" s="3" t="str">
        <x:v>nc_il_az_co_investors.jsonl</x:v>
      </x:c>
      <x:c r="AP458" s="19"/>
    </x:row>
    <x:row r="459" ht="36" customHeight="1">
      <x:c r="A459" s="23" t="n">
        <x:v>458</x:v>
      </x:c>
      <x:c r="B459" s="15" t="str">
        <x:v>Castbuyshouses</x:v>
      </x:c>
      <x:c r="C459" s="15"/>
      <x:c r="D459" s="15" t="str">
        <x:v>Property investor / home-buying operator</x:v>
      </x:c>
      <x:c r="E459" s="15" t="str">
        <x:v>Property investor / operator inquiry</x:v>
      </x:c>
      <x:c r="F459" s="17" t="str">
        <x:v>New</x:v>
      </x:c>
      <x:c r="G459" s="24"/>
      <x:c r="H459" s="24" t="str">
        <x:v>+19047018738</x:v>
      </x:c>
      <x:c r="I459" s="24"/>
      <x:c r="J459" s="16" t="str">
        <x:v>FL</x:v>
      </x:c>
      <x:c r="K459" s="16" t="str">
        <x:v>Jacksonville</x:v>
      </x:c>
      <x:c r="L459" s="16" t="str">
        <x:v>Public property-business route; investor decision maker unconfirmed</x:v>
      </x:c>
      <x:c r="M459" s="16"/>
      <x:c r="N459" s="16" t="str">
        <x:v>$100K-$500K ticket not published / unconfirmed</x:v>
      </x:c>
      <x:c r="O459" s="20"/>
      <x:c r="P459" s="20"/>
      <x:c r="Q459" s="25" t="str">
        <x:v>No $100K-$500K corporate-investment ticket published in checked source</x:v>
      </x:c>
      <x:c r="R459" s="25" t="str">
        <x:v>Property acquisition or investor activity makes this an operator-capital prospect for the signed trial. Confirm operating-company debt/equity appetite.</x:v>
      </x:c>
      <x:c r="S459" s="25" t="str">
        <x:v>Home-buying activity does not verify ability or willingness to invest $100K-$500K into 101XVC operating company. Website and contact verification pending.</x:v>
      </x:c>
      <x:c r="T459" s="25" t="str">
        <x:v>Ask the owner/investor whether they can allocate $100K-$500K to trial marketing and acquisitions, and confirm structure, timing and decision authority.</x:v>
      </x:c>
      <x:c r="U459" s="25" t="str">
        <x:v>https://www.cashhomebuyersdirectory.com/cash-home-buyers/florida/jacksonville</x:v>
      </x:c>
      <x:c r="V459" s="26" t="d">
        <x:v>2026-10-02T00:00:00.000Z</x:v>
      </x:c>
      <x:c r="W459" s="26" t="d">
        <x:v>2026-10-03T00:00:00.000Z</x:v>
      </x:c>
      <x:c r="X459" s="25" t="str">
        <x:v>Public investor directory; business role and contact ownership require qualification</x:v>
      </x:c>
      <x:c r="Y459" s="25"/>
      <x:c r="Z459" s="25" t="str">
        <x:v>https://www.cashhomebuyersdirectory.com/cash-home-buyers/florida/jacksonville</x:v>
      </x:c>
      <x:c r="AA459" s="25" t="str">
        <x:v>Public cash-home-buyer directory lists business name, phone and market. Directory entry may include brokers or service providers.</x:v>
      </x:c>
      <x:c r="AB459" s="3" t="str">
        <x:v>New public-source collection</x:v>
      </x:c>
      <x:c r="AC459" s="3" t="str">
        <x:v>unverified</x:v>
      </x:c>
      <x:c r="AD459" s="3" t="str">
        <x:v>Not contacted / unconfirmed</x:v>
      </x:c>
      <x:c r="AE459" s="3" t="str">
        <x:v>No</x:v>
      </x:c>
      <x:c r="AF459" s="3" t="str">
        <x:v>No</x:v>
      </x:c>
      <x:c r="AG459" s="3"/>
      <x:c r="AH459" s="3"/>
      <x:c r="AI459" s="18"/>
      <x:c r="AJ459" s="3" t="str">
        <x:v>CF2500-125ECDF8ECC9</x:v>
      </x:c>
      <x:c r="AK459" s="3" t="str">
        <x:v>Property investor / home-buying operator prospect</x:v>
      </x:c>
      <x:c r="AL459" s="19" t="n">
        <x:v>100000</x:v>
      </x:c>
      <x:c r="AM459" s="19" t="n">
        <x:v>500000</x:v>
      </x:c>
      <x:c r="AN459" s="3" t="str">
        <x:v>https://www.cashhomebuyersdirectory.com/cash-home-buyers/florida/jacksonville</x:v>
      </x:c>
      <x:c r="AO459" s="3" t="str">
        <x:v>tx_fl_investors.jsonl</x:v>
      </x:c>
      <x:c r="AP459" s="19"/>
    </x:row>
    <x:row r="460" ht="36" customHeight="1">
      <x:c r="A460" s="23" t="n">
        <x:v>459</x:v>
      </x:c>
      <x:c r="B460" s="15" t="str">
        <x:v>Corpus Home Buyer's</x:v>
      </x:c>
      <x:c r="C460" s="15"/>
      <x:c r="D460" s="15" t="str">
        <x:v>Property investor / home-buying operator</x:v>
      </x:c>
      <x:c r="E460" s="15" t="str">
        <x:v>Property investor / operator inquiry</x:v>
      </x:c>
      <x:c r="F460" s="17" t="str">
        <x:v>New</x:v>
      </x:c>
      <x:c r="G460" s="24"/>
      <x:c r="H460" s="24" t="str">
        <x:v>+13612713279</x:v>
      </x:c>
      <x:c r="I460" s="24"/>
      <x:c r="J460" s="16" t="str">
        <x:v>TX</x:v>
      </x:c>
      <x:c r="K460" s="16"/>
      <x:c r="L460" s="16" t="str">
        <x:v>Public property-business route; investor decision maker unconfirmed</x:v>
      </x:c>
      <x:c r="M460" s="16"/>
      <x:c r="N460" s="16" t="str">
        <x:v>$100K-$500K ticket not published / unconfirmed</x:v>
      </x:c>
      <x:c r="O460" s="20"/>
      <x:c r="P460" s="20"/>
      <x:c r="Q460" s="25" t="str">
        <x:v>No $100K-$500K corporate-investment ticket published in checked source</x:v>
      </x:c>
      <x:c r="R460" s="25" t="str">
        <x:v>Property acquisition or investor activity makes this an operator-capital prospect for the signed trial. Confirm operating-company debt/equity appetite.</x:v>
      </x:c>
      <x:c r="S460" s="25" t="str">
        <x:v>Home-buying activity does not verify ability or willingness to invest $100K-$500K into 101XVC operating company. Website and contact verification pending.</x:v>
      </x:c>
      <x:c r="T460" s="25" t="str">
        <x:v>Ask the owner/investor whether they can allocate $100K-$500K to trial marketing and acquisitions, and confirm structure, timing and decision authority.</x:v>
      </x:c>
      <x:c r="U460" s="25" t="str">
        <x:v>https://www.cashhomebuyersdirectory.com/cash-home-buyers/texas/corpus-christi</x:v>
      </x:c>
      <x:c r="V460" s="26" t="d">
        <x:v>2026-10-02T00:00:00.000Z</x:v>
      </x:c>
      <x:c r="W460" s="26" t="d">
        <x:v>2026-10-03T00:00:00.000Z</x:v>
      </x:c>
      <x:c r="X460" s="25" t="str">
        <x:v>Public investor directory; business role and contact ownership require qualification</x:v>
      </x:c>
      <x:c r="Y460" s="25"/>
      <x:c r="Z460" s="25" t="str">
        <x:v>https://www.cashhomebuyersdirectory.com/cash-home-buyers/texas/corpus-christi</x:v>
      </x:c>
      <x:c r="AA460" s="25" t="str">
        <x:v>Public cash-home-buyer directory lists business name, phone and market. Directory entry may include brokers or service providers.</x:v>
      </x:c>
      <x:c r="AB460" s="3" t="str">
        <x:v>New public-source collection</x:v>
      </x:c>
      <x:c r="AC460" s="3" t="str">
        <x:v>unverified</x:v>
      </x:c>
      <x:c r="AD460" s="3" t="str">
        <x:v>Not contacted / unconfirmed</x:v>
      </x:c>
      <x:c r="AE460" s="3" t="str">
        <x:v>No</x:v>
      </x:c>
      <x:c r="AF460" s="3" t="str">
        <x:v>No</x:v>
      </x:c>
      <x:c r="AG460" s="3"/>
      <x:c r="AH460" s="3"/>
      <x:c r="AI460" s="18"/>
      <x:c r="AJ460" s="3" t="str">
        <x:v>CF2500-77F4BD402CAF</x:v>
      </x:c>
      <x:c r="AK460" s="3" t="str">
        <x:v>Property investor / home-buying operator prospect</x:v>
      </x:c>
      <x:c r="AL460" s="19" t="n">
        <x:v>100000</x:v>
      </x:c>
      <x:c r="AM460" s="19" t="n">
        <x:v>500000</x:v>
      </x:c>
      <x:c r="AN460" s="3" t="str">
        <x:v>https://www.cashhomebuyersdirectory.com/cash-home-buyers/texas/corpus-christi</x:v>
      </x:c>
      <x:c r="AO460" s="3" t="str">
        <x:v>tx_fl_investors.jsonl</x:v>
      </x:c>
      <x:c r="AP460" s="19"/>
    </x:row>
    <x:row r="461" ht="36" customHeight="1">
      <x:c r="A461" s="23" t="n">
        <x:v>460</x:v>
      </x:c>
      <x:c r="B461" s="15" t="str">
        <x:v>Cowley Home Buyers</x:v>
      </x:c>
      <x:c r="C461" s="15"/>
      <x:c r="D461" s="15" t="str">
        <x:v>Property investor / home-buying operator</x:v>
      </x:c>
      <x:c r="E461" s="15" t="str">
        <x:v>Property investor / operator inquiry</x:v>
      </x:c>
      <x:c r="F461" s="17" t="str">
        <x:v>New</x:v>
      </x:c>
      <x:c r="G461" s="24"/>
      <x:c r="H461" s="24" t="str">
        <x:v>+14807445941</x:v>
      </x:c>
      <x:c r="I461" s="24"/>
      <x:c r="J461" s="16" t="str">
        <x:v>AZ</x:v>
      </x:c>
      <x:c r="K461" s="16" t="str">
        <x:v>Phoenix</x:v>
      </x:c>
      <x:c r="L461" s="16" t="str">
        <x:v>Public property-business route; investor decision maker unconfirmed</x:v>
      </x:c>
      <x:c r="M461" s="16"/>
      <x:c r="N461" s="16" t="str">
        <x:v>$100K-$500K ticket not published / unconfirmed</x:v>
      </x:c>
      <x:c r="O461" s="20"/>
      <x:c r="P461" s="20"/>
      <x:c r="Q461" s="25" t="str">
        <x:v>No $100K-$500K operating-company investment ticket verified</x:v>
      </x:c>
      <x:c r="R461" s="25" t="str">
        <x:v>Property acquisition or investor activity makes this an operator-capital prospect for the signed trial. Confirm operating-company debt/equity appetite.</x:v>
      </x:c>
      <x:c r="S461" s="25" t="str">
        <x:v>Public property-buying activity or a directory listing does not establish available cash, investing decision-maker, current $100K-$500K capacity, or willingness to fund 101XVC operating costs.</x:v>
      </x:c>
      <x:c r="T461" s="25" t="str">
        <x:v>Ask the owner/investor whether they can allocate $100K-$500K to trial marketing and acquisitions, and confirm structure, timing and decision authority.</x:v>
      </x:c>
      <x:c r="U461" s="25" t="str">
        <x:v>https://www.cashhomebuyersdirectory.com/cash-home-buyers/arizona/phoenix</x:v>
      </x:c>
      <x:c r="V461" s="26" t="d">
        <x:v>2026-10-02T00:00:00.000Z</x:v>
      </x:c>
      <x:c r="W461" s="26" t="d">
        <x:v>2026-10-02T00:00:00.000Z</x:v>
      </x:c>
      <x:c r="X461" s="25" t="str">
        <x:v>Public investor directory; business role and contact ownership require qualification</x:v>
      </x:c>
      <x:c r="Y461" s="25"/>
      <x:c r="Z461" s="25" t="str">
        <x:v>https://www.cashhomebuyersdirectory.com/cash-home-buyers/arizona/phoenix</x:v>
      </x:c>
      <x:c r="AA461" s="25" t="str">
        <x:v>Public cash-home-buyer directory lists business name, phone and market. Directory entry may include brokers or service providers.</x:v>
      </x:c>
      <x:c r="AB461" s="3" t="str">
        <x:v>New public-source collection</x:v>
      </x:c>
      <x:c r="AC461" s="3" t="str">
        <x:v>unverified</x:v>
      </x:c>
      <x:c r="AD461" s="3" t="str">
        <x:v>Not contacted / unconfirmed</x:v>
      </x:c>
      <x:c r="AE461" s="3" t="str">
        <x:v>No</x:v>
      </x:c>
      <x:c r="AF461" s="3" t="str">
        <x:v>No</x:v>
      </x:c>
      <x:c r="AG461" s="3"/>
      <x:c r="AH461" s="3"/>
      <x:c r="AI461" s="18"/>
      <x:c r="AJ461" s="3" t="str">
        <x:v>CF2500-B6499AF95236</x:v>
      </x:c>
      <x:c r="AK461" s="3" t="str">
        <x:v>Property investor / home-buying operator prospect</x:v>
      </x:c>
      <x:c r="AL461" s="19" t="n">
        <x:v>100000</x:v>
      </x:c>
      <x:c r="AM461" s="19" t="n">
        <x:v>500000</x:v>
      </x:c>
      <x:c r="AN461" s="3" t="str">
        <x:v>https://www.cashhomebuyersdirectory.com/cash-home-buyers/arizona/phoenix</x:v>
      </x:c>
      <x:c r="AO461" s="3" t="str">
        <x:v>nc_il_az_co_investors.jsonl</x:v>
      </x:c>
      <x:c r="AP461" s="19"/>
    </x:row>
    <x:row r="462" ht="36" customHeight="1">
      <x:c r="A462" s="23" t="n">
        <x:v>461</x:v>
      </x:c>
      <x:c r="B462" s="15" t="str">
        <x:v>Daily Jax Home Buyers</x:v>
      </x:c>
      <x:c r="C462" s="15"/>
      <x:c r="D462" s="15" t="str">
        <x:v>Property investor / home-buying operator</x:v>
      </x:c>
      <x:c r="E462" s="15" t="str">
        <x:v>Property investor / operator inquiry</x:v>
      </x:c>
      <x:c r="F462" s="17" t="str">
        <x:v>New</x:v>
      </x:c>
      <x:c r="G462" s="24"/>
      <x:c r="H462" s="24" t="str">
        <x:v>+19049826409</x:v>
      </x:c>
      <x:c r="I462" s="24"/>
      <x:c r="J462" s="16" t="str">
        <x:v>FL</x:v>
      </x:c>
      <x:c r="K462" s="16" t="str">
        <x:v>Jacksonville</x:v>
      </x:c>
      <x:c r="L462" s="16" t="str">
        <x:v>Public property-business route; investor decision maker unconfirmed</x:v>
      </x:c>
      <x:c r="M462" s="16"/>
      <x:c r="N462" s="16" t="str">
        <x:v>$100K-$500K ticket not published / unconfirmed</x:v>
      </x:c>
      <x:c r="O462" s="20"/>
      <x:c r="P462" s="20"/>
      <x:c r="Q462" s="25" t="str">
        <x:v>No $100K-$500K corporate-investment ticket published in checked source</x:v>
      </x:c>
      <x:c r="R462" s="25" t="str">
        <x:v>Property acquisition or investor activity makes this an operator-capital prospect for the signed trial. Confirm operating-company debt/equity appetite.</x:v>
      </x:c>
      <x:c r="S462" s="25" t="str">
        <x:v>Home-buying activity does not verify ability or willingness to invest $100K-$500K into 101XVC operating company. Website and contact verification pending.</x:v>
      </x:c>
      <x:c r="T462" s="25" t="str">
        <x:v>Ask the owner/investor whether they can allocate $100K-$500K to trial marketing and acquisitions, and confirm structure, timing and decision authority.</x:v>
      </x:c>
      <x:c r="U462" s="25" t="str">
        <x:v>https://www.cashhomebuyersdirectory.com/cash-home-buyers/florida/jacksonville</x:v>
      </x:c>
      <x:c r="V462" s="26" t="d">
        <x:v>2026-10-02T00:00:00.000Z</x:v>
      </x:c>
      <x:c r="W462" s="26" t="d">
        <x:v>2026-10-03T00:00:00.000Z</x:v>
      </x:c>
      <x:c r="X462" s="25" t="str">
        <x:v>Public investor directory; business role and contact ownership require qualification</x:v>
      </x:c>
      <x:c r="Y462" s="25"/>
      <x:c r="Z462" s="25" t="str">
        <x:v>https://www.cashhomebuyersdirectory.com/cash-home-buyers/florida/jacksonville</x:v>
      </x:c>
      <x:c r="AA462" s="25" t="str">
        <x:v>Public cash-home-buyer directory lists business name, phone and market. Directory entry may include brokers or service providers.</x:v>
      </x:c>
      <x:c r="AB462" s="3" t="str">
        <x:v>New public-source collection</x:v>
      </x:c>
      <x:c r="AC462" s="3" t="str">
        <x:v>unverified</x:v>
      </x:c>
      <x:c r="AD462" s="3" t="str">
        <x:v>Not contacted / unconfirmed</x:v>
      </x:c>
      <x:c r="AE462" s="3" t="str">
        <x:v>No</x:v>
      </x:c>
      <x:c r="AF462" s="3" t="str">
        <x:v>No</x:v>
      </x:c>
      <x:c r="AG462" s="3"/>
      <x:c r="AH462" s="3"/>
      <x:c r="AI462" s="18"/>
      <x:c r="AJ462" s="3" t="str">
        <x:v>CF2500-1F7EB037484C</x:v>
      </x:c>
      <x:c r="AK462" s="3" t="str">
        <x:v>Property investor / home-buying operator prospect</x:v>
      </x:c>
      <x:c r="AL462" s="19" t="n">
        <x:v>100000</x:v>
      </x:c>
      <x:c r="AM462" s="19" t="n">
        <x:v>500000</x:v>
      </x:c>
      <x:c r="AN462" s="3" t="str">
        <x:v>https://www.cashhomebuyersdirectory.com/cash-home-buyers/florida/jacksonville</x:v>
      </x:c>
      <x:c r="AO462" s="3" t="str">
        <x:v>tx_fl_investors.jsonl</x:v>
      </x:c>
      <x:c r="AP462" s="19"/>
    </x:row>
    <x:row r="463" ht="36" customHeight="1">
      <x:c r="A463" s="23" t="n">
        <x:v>462</x:v>
      </x:c>
      <x:c r="B463" s="15" t="str">
        <x:v>Dependable Home Buyers, LLC</x:v>
      </x:c>
      <x:c r="C463" s="15"/>
      <x:c r="D463" s="15" t="str">
        <x:v>Property investor / home-buying operator</x:v>
      </x:c>
      <x:c r="E463" s="15" t="str">
        <x:v>Property investor / operator inquiry</x:v>
      </x:c>
      <x:c r="F463" s="17" t="str">
        <x:v>New</x:v>
      </x:c>
      <x:c r="G463" s="24"/>
      <x:c r="H463" s="24" t="str">
        <x:v>+19042500090</x:v>
      </x:c>
      <x:c r="I463" s="24"/>
      <x:c r="J463" s="16" t="str">
        <x:v>FL</x:v>
      </x:c>
      <x:c r="K463" s="16" t="str">
        <x:v>Jacksonville</x:v>
      </x:c>
      <x:c r="L463" s="16" t="str">
        <x:v>Public property-business route; investor decision maker unconfirmed</x:v>
      </x:c>
      <x:c r="M463" s="16"/>
      <x:c r="N463" s="16" t="str">
        <x:v>$100K-$500K ticket not published / unconfirmed</x:v>
      </x:c>
      <x:c r="O463" s="20"/>
      <x:c r="P463" s="20"/>
      <x:c r="Q463" s="25" t="str">
        <x:v>No $100K-$500K corporate-investment ticket published in checked source</x:v>
      </x:c>
      <x:c r="R463" s="25" t="str">
        <x:v>Property acquisition or investor activity makes this an operator-capital prospect for the signed trial. Confirm operating-company debt/equity appetite.</x:v>
      </x:c>
      <x:c r="S463" s="25" t="str">
        <x:v>Home-buying activity does not verify ability or willingness to invest $100K-$500K into 101XVC operating company. Website and contact verification pending.</x:v>
      </x:c>
      <x:c r="T463" s="25" t="str">
        <x:v>Ask the owner/investor whether they can allocate $100K-$500K to trial marketing and acquisitions, and confirm structure, timing and decision authority.</x:v>
      </x:c>
      <x:c r="U463" s="25" t="str">
        <x:v>https://www.cashhomebuyersdirectory.com/cash-home-buyers/florida/jacksonville</x:v>
      </x:c>
      <x:c r="V463" s="26" t="d">
        <x:v>2026-10-02T00:00:00.000Z</x:v>
      </x:c>
      <x:c r="W463" s="26" t="d">
        <x:v>2026-10-03T00:00:00.000Z</x:v>
      </x:c>
      <x:c r="X463" s="25" t="str">
        <x:v>Public investor directory; business role and contact ownership require qualification</x:v>
      </x:c>
      <x:c r="Y463" s="25"/>
      <x:c r="Z463" s="25" t="str">
        <x:v>https://www.cashhomebuyersdirectory.com/cash-home-buyers/florida/jacksonville</x:v>
      </x:c>
      <x:c r="AA463" s="25" t="str">
        <x:v>Public cash-home-buyer directory lists business name, phone and market. Directory entry may include brokers or service providers.</x:v>
      </x:c>
      <x:c r="AB463" s="3" t="str">
        <x:v>New public-source collection</x:v>
      </x:c>
      <x:c r="AC463" s="3" t="str">
        <x:v>unverified</x:v>
      </x:c>
      <x:c r="AD463" s="3" t="str">
        <x:v>Not contacted / unconfirmed</x:v>
      </x:c>
      <x:c r="AE463" s="3" t="str">
        <x:v>No</x:v>
      </x:c>
      <x:c r="AF463" s="3" t="str">
        <x:v>No</x:v>
      </x:c>
      <x:c r="AG463" s="3"/>
      <x:c r="AH463" s="3"/>
      <x:c r="AI463" s="18"/>
      <x:c r="AJ463" s="3" t="str">
        <x:v>CF2500-131897BF7251</x:v>
      </x:c>
      <x:c r="AK463" s="3" t="str">
        <x:v>Property investor / home-buying operator prospect</x:v>
      </x:c>
      <x:c r="AL463" s="19" t="n">
        <x:v>100000</x:v>
      </x:c>
      <x:c r="AM463" s="19" t="n">
        <x:v>500000</x:v>
      </x:c>
      <x:c r="AN463" s="3" t="str">
        <x:v>https://www.cashhomebuyersdirectory.com/cash-home-buyers/florida/jacksonville</x:v>
      </x:c>
      <x:c r="AO463" s="3" t="str">
        <x:v>tx_fl_investors.jsonl</x:v>
      </x:c>
      <x:c r="AP463" s="19"/>
    </x:row>
    <x:row r="464" ht="36" customHeight="1">
      <x:c r="A464" s="23" t="n">
        <x:v>463</x:v>
      </x:c>
      <x:c r="B464" s="15" t="str">
        <x:v>Equity Home Buyers LLC</x:v>
      </x:c>
      <x:c r="C464" s="15"/>
      <x:c r="D464" s="15" t="str">
        <x:v>Property investor / home-buying operator</x:v>
      </x:c>
      <x:c r="E464" s="15" t="str">
        <x:v>Property investor / operator inquiry</x:v>
      </x:c>
      <x:c r="F464" s="17" t="str">
        <x:v>New</x:v>
      </x:c>
      <x:c r="G464" s="24"/>
      <x:c r="H464" s="24" t="str">
        <x:v>+14142047047</x:v>
      </x:c>
      <x:c r="I464" s="24"/>
      <x:c r="J464" s="16" t="str">
        <x:v>IL</x:v>
      </x:c>
      <x:c r="K464" s="16" t="str">
        <x:v>Waukegan</x:v>
      </x:c>
      <x:c r="L464" s="16" t="str">
        <x:v>Public property-business route; investor decision maker unconfirmed</x:v>
      </x:c>
      <x:c r="M464" s="16"/>
      <x:c r="N464" s="16" t="str">
        <x:v>$100K-$500K ticket not published / unconfirmed</x:v>
      </x:c>
      <x:c r="O464" s="20"/>
      <x:c r="P464" s="20"/>
      <x:c r="Q464" s="25" t="str">
        <x:v>No $100K-$500K operating-company investment ticket verified</x:v>
      </x:c>
      <x:c r="R464" s="25" t="str">
        <x:v>Property acquisition or investor activity makes this an operator-capital prospect for the signed trial. Confirm operating-company debt/equity appetite.</x:v>
      </x:c>
      <x:c r="S464" s="25" t="str">
        <x:v>Public property-buying activity or a directory listing does not establish available cash, investing decision-maker, current $100K-$500K capacity, or willingness to fund 101XVC operating costs.</x:v>
      </x:c>
      <x:c r="T464" s="25" t="str">
        <x:v>Ask the owner/investor whether they can allocate $100K-$500K to trial marketing and acquisitions, and confirm structure, timing and decision authority.</x:v>
      </x:c>
      <x:c r="U464" s="25" t="str">
        <x:v>https://www.cashhomebuyersdirectory.com/cash-home-buyers/illinois/waukegan</x:v>
      </x:c>
      <x:c r="V464" s="26" t="d">
        <x:v>2026-10-02T00:00:00.000Z</x:v>
      </x:c>
      <x:c r="W464" s="26" t="d">
        <x:v>2026-10-02T00:00:00.000Z</x:v>
      </x:c>
      <x:c r="X464" s="25" t="str">
        <x:v>Public investor directory; business role and contact ownership require qualification</x:v>
      </x:c>
      <x:c r="Y464" s="25"/>
      <x:c r="Z464" s="25" t="str">
        <x:v>https://www.cashhomebuyersdirectory.com/cash-home-buyers/illinois/waukegan</x:v>
      </x:c>
      <x:c r="AA464" s="25" t="str">
        <x:v>Public cash-home-buyer directory lists business name, phone and market. Directory entry may include brokers or service providers.</x:v>
      </x:c>
      <x:c r="AB464" s="3" t="str">
        <x:v>New public-source collection</x:v>
      </x:c>
      <x:c r="AC464" s="3" t="str">
        <x:v>unverified</x:v>
      </x:c>
      <x:c r="AD464" s="3" t="str">
        <x:v>Not contacted / unconfirmed</x:v>
      </x:c>
      <x:c r="AE464" s="3" t="str">
        <x:v>No</x:v>
      </x:c>
      <x:c r="AF464" s="3" t="str">
        <x:v>No</x:v>
      </x:c>
      <x:c r="AG464" s="3"/>
      <x:c r="AH464" s="3"/>
      <x:c r="AI464" s="18"/>
      <x:c r="AJ464" s="3" t="str">
        <x:v>CF2500-5B6A1712D81E</x:v>
      </x:c>
      <x:c r="AK464" s="3" t="str">
        <x:v>Property investor / home-buying operator prospect</x:v>
      </x:c>
      <x:c r="AL464" s="19" t="n">
        <x:v>100000</x:v>
      </x:c>
      <x:c r="AM464" s="19" t="n">
        <x:v>500000</x:v>
      </x:c>
      <x:c r="AN464" s="3" t="str">
        <x:v>https://www.cashhomebuyersdirectory.com/cash-home-buyers/illinois/waukegan</x:v>
      </x:c>
      <x:c r="AO464" s="3" t="str">
        <x:v>nc_il_az_co_investors.jsonl</x:v>
      </x:c>
      <x:c r="AP464" s="19"/>
    </x:row>
    <x:row r="465" ht="36" customHeight="1">
      <x:c r="A465" s="23" t="n">
        <x:v>464</x:v>
      </x:c>
      <x:c r="B465" s="15" t="str">
        <x:v>Expo Home Buyers</x:v>
      </x:c>
      <x:c r="C465" s="15"/>
      <x:c r="D465" s="15" t="str">
        <x:v>Property investor / home-buying operator</x:v>
      </x:c>
      <x:c r="E465" s="15" t="str">
        <x:v>Property investor / operator inquiry</x:v>
      </x:c>
      <x:c r="F465" s="17" t="str">
        <x:v>New</x:v>
      </x:c>
      <x:c r="G465" s="24"/>
      <x:c r="H465" s="24" t="str">
        <x:v>+19044908787</x:v>
      </x:c>
      <x:c r="I465" s="24"/>
      <x:c r="J465" s="16" t="str">
        <x:v>FL</x:v>
      </x:c>
      <x:c r="K465" s="16" t="str">
        <x:v>Jacksonville</x:v>
      </x:c>
      <x:c r="L465" s="16" t="str">
        <x:v>Public property-business route; investor decision maker unconfirmed</x:v>
      </x:c>
      <x:c r="M465" s="16"/>
      <x:c r="N465" s="16" t="str">
        <x:v>$100K-$500K ticket not published / unconfirmed</x:v>
      </x:c>
      <x:c r="O465" s="20"/>
      <x:c r="P465" s="20"/>
      <x:c r="Q465" s="25" t="str">
        <x:v>No $100K-$500K corporate-investment ticket published in checked source</x:v>
      </x:c>
      <x:c r="R465" s="25" t="str">
        <x:v>Property acquisition or investor activity makes this an operator-capital prospect for the signed trial. Confirm operating-company debt/equity appetite.</x:v>
      </x:c>
      <x:c r="S465" s="25" t="str">
        <x:v>Home-buying activity does not verify ability or willingness to invest $100K-$500K into 101XVC operating company. Website and contact verification pending.</x:v>
      </x:c>
      <x:c r="T465" s="25" t="str">
        <x:v>Ask the owner/investor whether they can allocate $100K-$500K to trial marketing and acquisitions, and confirm structure, timing and decision authority.</x:v>
      </x:c>
      <x:c r="U465" s="25" t="str">
        <x:v>https://www.cashhomebuyersdirectory.com/cash-home-buyers/florida/jacksonville</x:v>
      </x:c>
      <x:c r="V465" s="26" t="d">
        <x:v>2026-10-02T00:00:00.000Z</x:v>
      </x:c>
      <x:c r="W465" s="26" t="d">
        <x:v>2026-10-03T00:00:00.000Z</x:v>
      </x:c>
      <x:c r="X465" s="25" t="str">
        <x:v>Public investor directory; business role and contact ownership require qualification</x:v>
      </x:c>
      <x:c r="Y465" s="25"/>
      <x:c r="Z465" s="25" t="str">
        <x:v>https://www.cashhomebuyersdirectory.com/cash-home-buyers/florida/jacksonville</x:v>
      </x:c>
      <x:c r="AA465" s="25" t="str">
        <x:v>Public cash-home-buyer directory lists business name, phone and market. Directory entry may include brokers or service providers.</x:v>
      </x:c>
      <x:c r="AB465" s="3" t="str">
        <x:v>New public-source collection</x:v>
      </x:c>
      <x:c r="AC465" s="3" t="str">
        <x:v>unverified</x:v>
      </x:c>
      <x:c r="AD465" s="3" t="str">
        <x:v>Not contacted / unconfirmed</x:v>
      </x:c>
      <x:c r="AE465" s="3" t="str">
        <x:v>No</x:v>
      </x:c>
      <x:c r="AF465" s="3" t="str">
        <x:v>No</x:v>
      </x:c>
      <x:c r="AG465" s="3"/>
      <x:c r="AH465" s="3"/>
      <x:c r="AI465" s="18"/>
      <x:c r="AJ465" s="3" t="str">
        <x:v>CF2500-7D6A06FF8351</x:v>
      </x:c>
      <x:c r="AK465" s="3" t="str">
        <x:v>Property investor / home-buying operator prospect</x:v>
      </x:c>
      <x:c r="AL465" s="19" t="n">
        <x:v>100000</x:v>
      </x:c>
      <x:c r="AM465" s="19" t="n">
        <x:v>500000</x:v>
      </x:c>
      <x:c r="AN465" s="3" t="str">
        <x:v>https://www.cashhomebuyersdirectory.com/cash-home-buyers/florida/jacksonville</x:v>
      </x:c>
      <x:c r="AO465" s="3" t="str">
        <x:v>tx_fl_investors.jsonl</x:v>
      </x:c>
      <x:c r="AP465" s="19"/>
    </x:row>
    <x:row r="466" ht="36" customHeight="1">
      <x:c r="A466" s="23" t="n">
        <x:v>465</x:v>
      </x:c>
      <x:c r="B466" s="15" t="str">
        <x:v>Fair Cash Offer</x:v>
      </x:c>
      <x:c r="C466" s="15"/>
      <x:c r="D466" s="15" t="str">
        <x:v>Property investor / home-buying operator</x:v>
      </x:c>
      <x:c r="E466" s="15" t="str">
        <x:v>Property investor / operator inquiry</x:v>
      </x:c>
      <x:c r="F466" s="17" t="str">
        <x:v>New</x:v>
      </x:c>
      <x:c r="G466" s="24"/>
      <x:c r="H466" s="24" t="str">
        <x:v>+16026180103</x:v>
      </x:c>
      <x:c r="I466" s="24"/>
      <x:c r="J466" s="16" t="str">
        <x:v>AZ</x:v>
      </x:c>
      <x:c r="K466" s="16" t="str">
        <x:v>Phoenix</x:v>
      </x:c>
      <x:c r="L466" s="16" t="str">
        <x:v>Public property-business route; investor decision maker unconfirmed</x:v>
      </x:c>
      <x:c r="M466" s="16"/>
      <x:c r="N466" s="16" t="str">
        <x:v>$100K-$500K ticket not published / unconfirmed</x:v>
      </x:c>
      <x:c r="O466" s="20"/>
      <x:c r="P466" s="20"/>
      <x:c r="Q466" s="25" t="str">
        <x:v>No $100K-$500K operating-company investment ticket verified</x:v>
      </x:c>
      <x:c r="R466" s="25" t="str">
        <x:v>Property acquisition or investor activity makes this an operator-capital prospect for the signed trial. Confirm operating-company debt/equity appetite.</x:v>
      </x:c>
      <x:c r="S466" s="25" t="str">
        <x:v>Public property-buying activity or a directory listing does not establish available cash, investing decision-maker, current $100K-$500K capacity, or willingness to fund 101XVC operating costs.</x:v>
      </x:c>
      <x:c r="T466" s="25" t="str">
        <x:v>Ask the owner/investor whether they can allocate $100K-$500K to trial marketing and acquisitions, and confirm structure, timing and decision authority.</x:v>
      </x:c>
      <x:c r="U466" s="25" t="str">
        <x:v>https://www.cashhomebuyersdirectory.com/cash-home-buyers/arizona/phoenix</x:v>
      </x:c>
      <x:c r="V466" s="26" t="d">
        <x:v>2026-10-02T00:00:00.000Z</x:v>
      </x:c>
      <x:c r="W466" s="26" t="d">
        <x:v>2026-10-02T00:00:00.000Z</x:v>
      </x:c>
      <x:c r="X466" s="25" t="str">
        <x:v>Public investor directory; business role and contact ownership require qualification</x:v>
      </x:c>
      <x:c r="Y466" s="25"/>
      <x:c r="Z466" s="25" t="str">
        <x:v>https://www.cashhomebuyersdirectory.com/cash-home-buyers/arizona/phoenix</x:v>
      </x:c>
      <x:c r="AA466" s="25" t="str">
        <x:v>Public cash-home-buyer directory lists business name, phone and market. Directory entry may include brokers or service providers.</x:v>
      </x:c>
      <x:c r="AB466" s="3" t="str">
        <x:v>New public-source collection</x:v>
      </x:c>
      <x:c r="AC466" s="3" t="str">
        <x:v>unverified</x:v>
      </x:c>
      <x:c r="AD466" s="3" t="str">
        <x:v>Not contacted / unconfirmed</x:v>
      </x:c>
      <x:c r="AE466" s="3" t="str">
        <x:v>No</x:v>
      </x:c>
      <x:c r="AF466" s="3" t="str">
        <x:v>No</x:v>
      </x:c>
      <x:c r="AG466" s="3"/>
      <x:c r="AH466" s="3"/>
      <x:c r="AI466" s="18"/>
      <x:c r="AJ466" s="3" t="str">
        <x:v>CF2500-B4EC16D8260D</x:v>
      </x:c>
      <x:c r="AK466" s="3" t="str">
        <x:v>Property investor / home-buying operator prospect</x:v>
      </x:c>
      <x:c r="AL466" s="19" t="n">
        <x:v>100000</x:v>
      </x:c>
      <x:c r="AM466" s="19" t="n">
        <x:v>500000</x:v>
      </x:c>
      <x:c r="AN466" s="3" t="str">
        <x:v>https://www.cashhomebuyersdirectory.com/cash-home-buyers/arizona/phoenix</x:v>
      </x:c>
      <x:c r="AO466" s="3" t="str">
        <x:v>nc_il_az_co_investors.jsonl</x:v>
      </x:c>
      <x:c r="AP466" s="19"/>
    </x:row>
    <x:row r="467" ht="36" customHeight="1">
      <x:c r="A467" s="23" t="n">
        <x:v>466</x:v>
      </x:c>
      <x:c r="B467" s="15" t="str">
        <x:v>Fast Fwd House Buyers, LLC</x:v>
      </x:c>
      <x:c r="C467" s="15"/>
      <x:c r="D467" s="15" t="str">
        <x:v>Property investor / home-buying operator</x:v>
      </x:c>
      <x:c r="E467" s="15" t="str">
        <x:v>Property investor / operator inquiry</x:v>
      </x:c>
      <x:c r="F467" s="17" t="str">
        <x:v>New</x:v>
      </x:c>
      <x:c r="G467" s="24"/>
      <x:c r="H467" s="24" t="str">
        <x:v>+17046106987</x:v>
      </x:c>
      <x:c r="I467" s="24"/>
      <x:c r="J467" s="16" t="str">
        <x:v>NC</x:v>
      </x:c>
      <x:c r="K467" s="16"/>
      <x:c r="L467" s="16" t="str">
        <x:v>Public property-business route; investor decision maker unconfirmed</x:v>
      </x:c>
      <x:c r="M467" s="16" t="str">
        <x:v>https://www.bbb.org/us/nc/category/home-buyers</x:v>
      </x:c>
      <x:c r="N467" s="16" t="str">
        <x:v>$100K-$500K ticket not published / unconfirmed</x:v>
      </x:c>
      <x:c r="O467" s="20"/>
      <x:c r="P467" s="20"/>
      <x:c r="Q467" s="25" t="str">
        <x:v>No $100K-$500K operating-company investment ticket verified</x:v>
      </x:c>
      <x:c r="R467" s="25" t="str">
        <x:v>Property acquisition or investor activity makes this an operator-capital prospect for the signed trial. Confirm operating-company debt/equity appetite.</x:v>
      </x:c>
      <x:c r="S467" s="25" t="str">
        <x:v>Public property-buying activity or a directory listing does not establish available cash, investing decision-maker, current $100K-$500K capacity, or willingness to fund 101XVC operating costs.</x:v>
      </x:c>
      <x:c r="T467" s="25" t="str">
        <x:v>Ask the owner/investor whether they can allocate $100K-$500K to trial marketing and acquisitions, and confirm structure, timing and decision authority.</x:v>
      </x:c>
      <x:c r="U467" s="25" t="str">
        <x:v>https://www.bbb.org/us/nc/category/home-buyers</x:v>
      </x:c>
      <x:c r="V467" s="26" t="d">
        <x:v>2026-10-02T00:00:00.000Z</x:v>
      </x:c>
      <x:c r="W467" s="26" t="d">
        <x:v>2026-10-02T00:00:00.000Z</x:v>
      </x:c>
      <x:c r="X467" s="25" t="str">
        <x:v>Public investor directory; business role and contact ownership require qualification</x:v>
      </x:c>
      <x:c r="Y467" s="25"/>
      <x:c r="Z467" s="25" t="str">
        <x:v>https://www.bbb.org/us/nc/category/home-buyers</x:v>
      </x:c>
      <x:c r="AA467" s="25" t="str">
        <x:v>BBB publicly lists this business as a home buyer, with the recorded business phone. Its investing role and company-capital appetite require qualification.</x:v>
      </x:c>
      <x:c r="AB467" s="3" t="str">
        <x:v>New public-source collection</x:v>
      </x:c>
      <x:c r="AC467" s="3" t="str">
        <x:v>unverified</x:v>
      </x:c>
      <x:c r="AD467" s="3" t="str">
        <x:v>Not contacted / unconfirmed</x:v>
      </x:c>
      <x:c r="AE467" s="3" t="str">
        <x:v>No</x:v>
      </x:c>
      <x:c r="AF467" s="3" t="str">
        <x:v>No</x:v>
      </x:c>
      <x:c r="AG467" s="3"/>
      <x:c r="AH467" s="3"/>
      <x:c r="AI467" s="18"/>
      <x:c r="AJ467" s="3" t="str">
        <x:v>CF2500-1AF7BEBFC98A</x:v>
      </x:c>
      <x:c r="AK467" s="3" t="str">
        <x:v>Property buyer / investor operator prospect</x:v>
      </x:c>
      <x:c r="AL467" s="19" t="n">
        <x:v>100000</x:v>
      </x:c>
      <x:c r="AM467" s="19" t="n">
        <x:v>500000</x:v>
      </x:c>
      <x:c r="AN467" s="3" t="str">
        <x:v>https://www.bbb.org/us/nc/category/home-buyers</x:v>
      </x:c>
      <x:c r="AO467" s="3" t="str">
        <x:v>nc_il_az_co_investors.jsonl</x:v>
      </x:c>
      <x:c r="AP467" s="19"/>
    </x:row>
    <x:row r="468" ht="36" customHeight="1">
      <x:c r="A468" s="23" t="n">
        <x:v>467</x:v>
      </x:c>
      <x:c r="B468" s="15" t="str">
        <x:v>Fenix Home Buyer</x:v>
      </x:c>
      <x:c r="C468" s="15"/>
      <x:c r="D468" s="15" t="str">
        <x:v>Property investor / home-buying operator</x:v>
      </x:c>
      <x:c r="E468" s="15" t="str">
        <x:v>Property investor / operator inquiry</x:v>
      </x:c>
      <x:c r="F468" s="17" t="str">
        <x:v>New</x:v>
      </x:c>
      <x:c r="G468" s="24"/>
      <x:c r="H468" s="24" t="str">
        <x:v>+16028057247</x:v>
      </x:c>
      <x:c r="I468" s="24"/>
      <x:c r="J468" s="16" t="str">
        <x:v>AZ</x:v>
      </x:c>
      <x:c r="K468" s="16" t="str">
        <x:v>Phoenix</x:v>
      </x:c>
      <x:c r="L468" s="16" t="str">
        <x:v>Public property-business route; investor decision maker unconfirmed</x:v>
      </x:c>
      <x:c r="M468" s="16"/>
      <x:c r="N468" s="16" t="str">
        <x:v>$100K-$500K ticket not published / unconfirmed</x:v>
      </x:c>
      <x:c r="O468" s="20"/>
      <x:c r="P468" s="20"/>
      <x:c r="Q468" s="25" t="str">
        <x:v>No $100K-$500K operating-company investment ticket verified</x:v>
      </x:c>
      <x:c r="R468" s="25" t="str">
        <x:v>Property acquisition or investor activity makes this an operator-capital prospect for the signed trial. Confirm operating-company debt/equity appetite.</x:v>
      </x:c>
      <x:c r="S468" s="25" t="str">
        <x:v>Public property-buying activity or a directory listing does not establish available cash, investing decision-maker, current $100K-$500K capacity, or willingness to fund 101XVC operating costs.</x:v>
      </x:c>
      <x:c r="T468" s="25" t="str">
        <x:v>Ask the owner/investor whether they can allocate $100K-$500K to trial marketing and acquisitions, and confirm structure, timing and decision authority.</x:v>
      </x:c>
      <x:c r="U468" s="25" t="str">
        <x:v>https://www.cashhomebuyersdirectory.com/cash-home-buyers/arizona/phoenix</x:v>
      </x:c>
      <x:c r="V468" s="26" t="d">
        <x:v>2026-10-02T00:00:00.000Z</x:v>
      </x:c>
      <x:c r="W468" s="26" t="d">
        <x:v>2026-10-02T00:00:00.000Z</x:v>
      </x:c>
      <x:c r="X468" s="25" t="str">
        <x:v>Public investor directory; business role and contact ownership require qualification</x:v>
      </x:c>
      <x:c r="Y468" s="25"/>
      <x:c r="Z468" s="25" t="str">
        <x:v>https://www.cashhomebuyersdirectory.com/cash-home-buyers/arizona/phoenix</x:v>
      </x:c>
      <x:c r="AA468" s="25" t="str">
        <x:v>Public cash-home-buyer directory lists business name, phone and market. Directory entry may include brokers or service providers.</x:v>
      </x:c>
      <x:c r="AB468" s="3" t="str">
        <x:v>New public-source collection</x:v>
      </x:c>
      <x:c r="AC468" s="3" t="str">
        <x:v>unverified</x:v>
      </x:c>
      <x:c r="AD468" s="3" t="str">
        <x:v>Not contacted / unconfirmed</x:v>
      </x:c>
      <x:c r="AE468" s="3" t="str">
        <x:v>No</x:v>
      </x:c>
      <x:c r="AF468" s="3" t="str">
        <x:v>No</x:v>
      </x:c>
      <x:c r="AG468" s="3"/>
      <x:c r="AH468" s="3"/>
      <x:c r="AI468" s="18"/>
      <x:c r="AJ468" s="3" t="str">
        <x:v>CF2500-3E6ACFC69310</x:v>
      </x:c>
      <x:c r="AK468" s="3" t="str">
        <x:v>Property investor / home-buying operator prospect</x:v>
      </x:c>
      <x:c r="AL468" s="19" t="n">
        <x:v>100000</x:v>
      </x:c>
      <x:c r="AM468" s="19" t="n">
        <x:v>500000</x:v>
      </x:c>
      <x:c r="AN468" s="3" t="str">
        <x:v>https://www.cashhomebuyersdirectory.com/cash-home-buyers/arizona/phoenix</x:v>
      </x:c>
      <x:c r="AO468" s="3" t="str">
        <x:v>nc_il_az_co_investors.jsonl</x:v>
      </x:c>
      <x:c r="AP468" s="19"/>
    </x:row>
    <x:row r="469" ht="36" customHeight="1">
      <x:c r="A469" s="23" t="n">
        <x:v>468</x:v>
      </x:c>
      <x:c r="B469" s="15" t="str">
        <x:v>Florida Based Home Buyers</x:v>
      </x:c>
      <x:c r="C469" s="15"/>
      <x:c r="D469" s="15" t="str">
        <x:v>Property investor / home-buying operator</x:v>
      </x:c>
      <x:c r="E469" s="15" t="str">
        <x:v>Property investor / operator inquiry</x:v>
      </x:c>
      <x:c r="F469" s="17" t="str">
        <x:v>New</x:v>
      </x:c>
      <x:c r="G469" s="24"/>
      <x:c r="H469" s="24" t="str">
        <x:v>+12393125331</x:v>
      </x:c>
      <x:c r="I469" s="24"/>
      <x:c r="J469" s="16" t="str">
        <x:v>FL</x:v>
      </x:c>
      <x:c r="K469" s="16" t="str">
        <x:v>Cape Coral</x:v>
      </x:c>
      <x:c r="L469" s="16" t="str">
        <x:v>Public property-business route; investor decision maker unconfirmed</x:v>
      </x:c>
      <x:c r="M469" s="16"/>
      <x:c r="N469" s="16" t="str">
        <x:v>$100K-$500K ticket not published / unconfirmed</x:v>
      </x:c>
      <x:c r="O469" s="20"/>
      <x:c r="P469" s="20"/>
      <x:c r="Q469" s="25" t="str">
        <x:v>No $100K-$500K corporate-investment ticket published in checked source</x:v>
      </x:c>
      <x:c r="R469" s="25" t="str">
        <x:v>Property acquisition or investor activity makes this an operator-capital prospect for the signed trial. Confirm operating-company debt/equity appetite.</x:v>
      </x:c>
      <x:c r="S469" s="25" t="str">
        <x:v>Home-buying activity does not verify ability or willingness to invest $100K-$500K into 101XVC operating company. Website and contact verification pending.</x:v>
      </x:c>
      <x:c r="T469" s="25" t="str">
        <x:v>Ask the owner/investor whether they can allocate $100K-$500K to trial marketing and acquisitions, and confirm structure, timing and decision authority.</x:v>
      </x:c>
      <x:c r="U469" s="25" t="str">
        <x:v>https://www.cashhomebuyersdirectory.com/cash-home-buyers/florida/cape-coral</x:v>
      </x:c>
      <x:c r="V469" s="26" t="d">
        <x:v>2026-10-02T00:00:00.000Z</x:v>
      </x:c>
      <x:c r="W469" s="26" t="d">
        <x:v>2026-10-03T00:00:00.000Z</x:v>
      </x:c>
      <x:c r="X469" s="25" t="str">
        <x:v>Public investor directory; business role and contact ownership require qualification</x:v>
      </x:c>
      <x:c r="Y469" s="25"/>
      <x:c r="Z469" s="25" t="str">
        <x:v>https://www.cashhomebuyersdirectory.com/cash-home-buyers/florida/cape-coral</x:v>
      </x:c>
      <x:c r="AA469" s="25" t="str">
        <x:v>Public cash-home-buyer directory lists business name, phone and market. Directory entry may include brokers or service providers.</x:v>
      </x:c>
      <x:c r="AB469" s="3" t="str">
        <x:v>New public-source collection</x:v>
      </x:c>
      <x:c r="AC469" s="3" t="str">
        <x:v>unverified</x:v>
      </x:c>
      <x:c r="AD469" s="3" t="str">
        <x:v>Not contacted / unconfirmed</x:v>
      </x:c>
      <x:c r="AE469" s="3" t="str">
        <x:v>No</x:v>
      </x:c>
      <x:c r="AF469" s="3" t="str">
        <x:v>No</x:v>
      </x:c>
      <x:c r="AG469" s="3"/>
      <x:c r="AH469" s="3"/>
      <x:c r="AI469" s="18"/>
      <x:c r="AJ469" s="3" t="str">
        <x:v>CF2500-F3E39E9BA1AF</x:v>
      </x:c>
      <x:c r="AK469" s="3" t="str">
        <x:v>Property investor / home-buying operator prospect</x:v>
      </x:c>
      <x:c r="AL469" s="19" t="n">
        <x:v>100000</x:v>
      </x:c>
      <x:c r="AM469" s="19" t="n">
        <x:v>500000</x:v>
      </x:c>
      <x:c r="AN469" s="3" t="str">
        <x:v>https://www.cashhomebuyersdirectory.com/cash-home-buyers/florida/cape-coral</x:v>
      </x:c>
      <x:c r="AO469" s="3" t="str">
        <x:v>tx_fl_investors.jsonl</x:v>
      </x:c>
      <x:c r="AP469" s="19"/>
    </x:row>
    <x:row r="470" ht="36" customHeight="1">
      <x:c r="A470" s="23" t="n">
        <x:v>469</x:v>
      </x:c>
      <x:c r="B470" s="15" t="str">
        <x:v>GemSteel Home Buyers | Sell My Storm &amp; Flood Damage House Fast For Cash Sarasota</x:v>
      </x:c>
      <x:c r="C470" s="15"/>
      <x:c r="D470" s="15" t="str">
        <x:v>Property investor / home-buying operator</x:v>
      </x:c>
      <x:c r="E470" s="15" t="str">
        <x:v>Property investor / operator inquiry</x:v>
      </x:c>
      <x:c r="F470" s="17" t="str">
        <x:v>New</x:v>
      </x:c>
      <x:c r="G470" s="24"/>
      <x:c r="H470" s="24" t="str">
        <x:v>+19414870299</x:v>
      </x:c>
      <x:c r="I470" s="24"/>
      <x:c r="J470" s="16" t="str">
        <x:v>FL</x:v>
      </x:c>
      <x:c r="K470" s="16"/>
      <x:c r="L470" s="16" t="str">
        <x:v>Public property-business route; investor decision maker unconfirmed</x:v>
      </x:c>
      <x:c r="M470" s="16"/>
      <x:c r="N470" s="16" t="str">
        <x:v>$100K-$500K ticket not published / unconfirmed</x:v>
      </x:c>
      <x:c r="O470" s="20"/>
      <x:c r="P470" s="20"/>
      <x:c r="Q470" s="25" t="str">
        <x:v>No $100K-$500K corporate-investment ticket published in checked source</x:v>
      </x:c>
      <x:c r="R470" s="25" t="str">
        <x:v>Property acquisition or investor activity makes this an operator-capital prospect for the signed trial. Confirm operating-company debt/equity appetite.</x:v>
      </x:c>
      <x:c r="S470" s="25" t="str">
        <x:v>Home-buying activity does not verify ability or willingness to invest $100K-$500K into 101XVC operating company. Website and contact verification pending.</x:v>
      </x:c>
      <x:c r="T470" s="25" t="str">
        <x:v>Ask the owner/investor whether they can allocate $100K-$500K to trial marketing and acquisitions, and confirm structure, timing and decision authority.</x:v>
      </x:c>
      <x:c r="U470" s="25" t="str">
        <x:v>https://www.cashhomebuyersdirectory.com/cash-home-buyers/florida/sarasota</x:v>
      </x:c>
      <x:c r="V470" s="26" t="d">
        <x:v>2026-10-02T00:00:00.000Z</x:v>
      </x:c>
      <x:c r="W470" s="26" t="d">
        <x:v>2026-10-03T00:00:00.000Z</x:v>
      </x:c>
      <x:c r="X470" s="25" t="str">
        <x:v>Public investor directory; business role and contact ownership require qualification</x:v>
      </x:c>
      <x:c r="Y470" s="25"/>
      <x:c r="Z470" s="25" t="str">
        <x:v>https://www.cashhomebuyersdirectory.com/cash-home-buyers/florida/sarasota</x:v>
      </x:c>
      <x:c r="AA470" s="25" t="str">
        <x:v>Public cash-home-buyer directory lists business name, phone and market. Directory entry may include brokers or service providers.</x:v>
      </x:c>
      <x:c r="AB470" s="3" t="str">
        <x:v>New public-source collection</x:v>
      </x:c>
      <x:c r="AC470" s="3" t="str">
        <x:v>unverified</x:v>
      </x:c>
      <x:c r="AD470" s="3" t="str">
        <x:v>Not contacted / unconfirmed</x:v>
      </x:c>
      <x:c r="AE470" s="3" t="str">
        <x:v>No</x:v>
      </x:c>
      <x:c r="AF470" s="3" t="str">
        <x:v>No</x:v>
      </x:c>
      <x:c r="AG470" s="3"/>
      <x:c r="AH470" s="3"/>
      <x:c r="AI470" s="18"/>
      <x:c r="AJ470" s="3" t="str">
        <x:v>CF2500-5BB3369554F6</x:v>
      </x:c>
      <x:c r="AK470" s="3" t="str">
        <x:v>Property investor / home-buying operator prospect</x:v>
      </x:c>
      <x:c r="AL470" s="19" t="n">
        <x:v>100000</x:v>
      </x:c>
      <x:c r="AM470" s="19" t="n">
        <x:v>500000</x:v>
      </x:c>
      <x:c r="AN470" s="3" t="str">
        <x:v>https://www.cashhomebuyersdirectory.com/cash-home-buyers/florida/sarasota</x:v>
      </x:c>
      <x:c r="AO470" s="3" t="str">
        <x:v>tx_fl_investors.jsonl</x:v>
      </x:c>
      <x:c r="AP470" s="19"/>
    </x:row>
    <x:row r="471" ht="36" customHeight="1">
      <x:c r="A471" s="23" t="n">
        <x:v>470</x:v>
      </x:c>
      <x:c r="B471" s="15" t="str">
        <x:v>Good Guys Homebuyers</x:v>
      </x:c>
      <x:c r="C471" s="15"/>
      <x:c r="D471" s="15" t="str">
        <x:v>Property investor / home-buying operator</x:v>
      </x:c>
      <x:c r="E471" s="15" t="str">
        <x:v>Property investor / operator inquiry</x:v>
      </x:c>
      <x:c r="F471" s="17" t="str">
        <x:v>New</x:v>
      </x:c>
      <x:c r="G471" s="24"/>
      <x:c r="H471" s="24" t="str">
        <x:v>+18327798761</x:v>
      </x:c>
      <x:c r="I471" s="24"/>
      <x:c r="J471" s="16" t="str">
        <x:v>TX</x:v>
      </x:c>
      <x:c r="K471" s="16" t="str">
        <x:v>Houston</x:v>
      </x:c>
      <x:c r="L471" s="16" t="str">
        <x:v>Public property-business route; investor decision maker unconfirmed</x:v>
      </x:c>
      <x:c r="M471" s="16"/>
      <x:c r="N471" s="16" t="str">
        <x:v>$100K-$500K ticket not published / unconfirmed</x:v>
      </x:c>
      <x:c r="O471" s="20"/>
      <x:c r="P471" s="20"/>
      <x:c r="Q471" s="25" t="str">
        <x:v>No $100K-$500K corporate-investment ticket published in checked source</x:v>
      </x:c>
      <x:c r="R471" s="25" t="str">
        <x:v>Property acquisition or investor activity makes this an operator-capital prospect for the signed trial. Confirm operating-company debt/equity appetite.</x:v>
      </x:c>
      <x:c r="S471" s="25" t="str">
        <x:v>Home-buying activity does not verify ability or willingness to invest $100K-$500K into 101XVC operating company. Website and contact verification pending.</x:v>
      </x:c>
      <x:c r="T471" s="25" t="str">
        <x:v>Ask the owner/investor whether they can allocate $100K-$500K to trial marketing and acquisitions, and confirm structure, timing and decision authority.</x:v>
      </x:c>
      <x:c r="U471" s="25" t="str">
        <x:v>https://www.cashhomebuyersdirectory.com/cash-home-buyers/texas/houston
https://www.cashhomebuyersdirectory.com/cash-home-buyers/nebraska/lincoln</x:v>
      </x:c>
      <x:c r="V471" s="26" t="d">
        <x:v>2026-10-02T00:00:00.000Z</x:v>
      </x:c>
      <x:c r="W471" s="26" t="d">
        <x:v>2026-10-03T00:00:00.000Z</x:v>
      </x:c>
      <x:c r="X471" s="25" t="str">
        <x:v>Public investor directory; business role and contact ownership require qualification</x:v>
      </x:c>
      <x:c r="Y471" s="25"/>
      <x:c r="Z471" s="25" t="str">
        <x:v>https://www.cashhomebuyersdirectory.com/cash-home-buyers/texas/houston</x:v>
      </x:c>
      <x:c r="AA471" s="25" t="str">
        <x:v>Public cash-home-buyer directory lists business name, phone and market. Directory entry may include brokers or service providers.</x:v>
      </x:c>
      <x:c r="AB471" s="3" t="str">
        <x:v>New public-source collection</x:v>
      </x:c>
      <x:c r="AC471" s="3" t="str">
        <x:v>unverified</x:v>
      </x:c>
      <x:c r="AD471" s="3" t="str">
        <x:v>Not contacted / unconfirmed</x:v>
      </x:c>
      <x:c r="AE471" s="3" t="str">
        <x:v>No</x:v>
      </x:c>
      <x:c r="AF471" s="3" t="str">
        <x:v>No</x:v>
      </x:c>
      <x:c r="AG471" s="3"/>
      <x:c r="AH471" s="3"/>
      <x:c r="AI471" s="18"/>
      <x:c r="AJ471" s="3" t="str">
        <x:v>CF2500-C8B8638E24A9</x:v>
      </x:c>
      <x:c r="AK471" s="3" t="str">
        <x:v>Property investor / home-buying operator prospect</x:v>
      </x:c>
      <x:c r="AL471" s="19" t="n">
        <x:v>100000</x:v>
      </x:c>
      <x:c r="AM471" s="19" t="n">
        <x:v>500000</x:v>
      </x:c>
      <x:c r="AN471" s="3" t="str">
        <x:v>https://www.cashhomebuyersdirectory.com/cash-home-buyers/texas/houston</x:v>
      </x:c>
      <x:c r="AO471" s="3" t="str">
        <x:v>tx_fl_investors.jsonl</x:v>
      </x:c>
      <x:c r="AP471" s="19"/>
    </x:row>
    <x:row r="472" ht="36" customHeight="1">
      <x:c r="A472" s="23" t="n">
        <x:v>471</x:v>
      </x:c>
      <x:c r="B472" s="15" t="str">
        <x:v>Good House Buyers</x:v>
      </x:c>
      <x:c r="C472" s="15"/>
      <x:c r="D472" s="15" t="str">
        <x:v>Property investor / home-buying operator</x:v>
      </x:c>
      <x:c r="E472" s="15" t="str">
        <x:v>Property investor / operator inquiry</x:v>
      </x:c>
      <x:c r="F472" s="17" t="str">
        <x:v>New</x:v>
      </x:c>
      <x:c r="G472" s="24"/>
      <x:c r="H472" s="24" t="str">
        <x:v>+12483452710</x:v>
      </x:c>
      <x:c r="I472" s="24"/>
      <x:c r="J472" s="16" t="str">
        <x:v>TX</x:v>
      </x:c>
      <x:c r="K472" s="16" t="str">
        <x:v>Houston</x:v>
      </x:c>
      <x:c r="L472" s="16" t="str">
        <x:v>Public property-business route; investor decision maker unconfirmed</x:v>
      </x:c>
      <x:c r="M472" s="16"/>
      <x:c r="N472" s="16" t="str">
        <x:v>$100K-$500K ticket not published / unconfirmed</x:v>
      </x:c>
      <x:c r="O472" s="20"/>
      <x:c r="P472" s="20"/>
      <x:c r="Q472" s="25" t="str">
        <x:v>No $100K-$500K corporate-investment ticket published in checked source</x:v>
      </x:c>
      <x:c r="R472" s="25" t="str">
        <x:v>Property acquisition or investor activity makes this an operator-capital prospect for the signed trial. Confirm operating-company debt/equity appetite.</x:v>
      </x:c>
      <x:c r="S472" s="25" t="str">
        <x:v>Home-buying activity does not verify ability or willingness to invest $100K-$500K into 101XVC operating company. Website and contact verification pending.</x:v>
      </x:c>
      <x:c r="T472" s="25" t="str">
        <x:v>Ask the owner/investor whether they can allocate $100K-$500K to trial marketing and acquisitions, and confirm structure, timing and decision authority.</x:v>
      </x:c>
      <x:c r="U472" s="25" t="str">
        <x:v>https://www.cashhomebuyersdirectory.com/cash-home-buyers/texas/houston</x:v>
      </x:c>
      <x:c r="V472" s="26" t="d">
        <x:v>2026-10-02T00:00:00.000Z</x:v>
      </x:c>
      <x:c r="W472" s="26" t="d">
        <x:v>2026-10-03T00:00:00.000Z</x:v>
      </x:c>
      <x:c r="X472" s="25" t="str">
        <x:v>Public investor directory; business role and contact ownership require qualification</x:v>
      </x:c>
      <x:c r="Y472" s="25"/>
      <x:c r="Z472" s="25" t="str">
        <x:v>https://www.cashhomebuyersdirectory.com/cash-home-buyers/texas/houston</x:v>
      </x:c>
      <x:c r="AA472" s="25" t="str">
        <x:v>Public cash-home-buyer directory lists business name, phone and market. Directory entry may include brokers or service providers.</x:v>
      </x:c>
      <x:c r="AB472" s="3" t="str">
        <x:v>New public-source collection</x:v>
      </x:c>
      <x:c r="AC472" s="3" t="str">
        <x:v>unverified</x:v>
      </x:c>
      <x:c r="AD472" s="3" t="str">
        <x:v>Not contacted / unconfirmed</x:v>
      </x:c>
      <x:c r="AE472" s="3" t="str">
        <x:v>No</x:v>
      </x:c>
      <x:c r="AF472" s="3" t="str">
        <x:v>No</x:v>
      </x:c>
      <x:c r="AG472" s="3"/>
      <x:c r="AH472" s="3"/>
      <x:c r="AI472" s="18"/>
      <x:c r="AJ472" s="3" t="str">
        <x:v>CF2500-F2B5409865AF</x:v>
      </x:c>
      <x:c r="AK472" s="3" t="str">
        <x:v>Property investor / home-buying operator prospect</x:v>
      </x:c>
      <x:c r="AL472" s="19" t="n">
        <x:v>100000</x:v>
      </x:c>
      <x:c r="AM472" s="19" t="n">
        <x:v>500000</x:v>
      </x:c>
      <x:c r="AN472" s="3" t="str">
        <x:v>https://www.cashhomebuyersdirectory.com/cash-home-buyers/texas/houston</x:v>
      </x:c>
      <x:c r="AO472" s="3" t="str">
        <x:v>tx_fl_investors.jsonl</x:v>
      </x:c>
      <x:c r="AP472" s="19"/>
    </x:row>
    <x:row r="473" ht="36" customHeight="1">
      <x:c r="A473" s="23" t="n">
        <x:v>472</x:v>
      </x:c>
      <x:c r="B473" s="15" t="str">
        <x:v>Gulf Coast Cash Home Buyers</x:v>
      </x:c>
      <x:c r="C473" s="15"/>
      <x:c r="D473" s="15" t="str">
        <x:v>Property investor / home-buying operator</x:v>
      </x:c>
      <x:c r="E473" s="15" t="str">
        <x:v>Property investor / operator inquiry</x:v>
      </x:c>
      <x:c r="F473" s="17" t="str">
        <x:v>New</x:v>
      </x:c>
      <x:c r="G473" s="24"/>
      <x:c r="H473" s="24" t="str">
        <x:v>+15822892949</x:v>
      </x:c>
      <x:c r="I473" s="24"/>
      <x:c r="J473" s="16" t="str">
        <x:v>TX</x:v>
      </x:c>
      <x:c r="K473" s="16" t="str">
        <x:v>Corpus Christi</x:v>
      </x:c>
      <x:c r="L473" s="16" t="str">
        <x:v>Public property-business route; investor decision maker unconfirmed</x:v>
      </x:c>
      <x:c r="M473" s="16"/>
      <x:c r="N473" s="16" t="str">
        <x:v>$100K-$500K ticket not published / unconfirmed</x:v>
      </x:c>
      <x:c r="O473" s="20"/>
      <x:c r="P473" s="20"/>
      <x:c r="Q473" s="25" t="str">
        <x:v>No $100K-$500K corporate-investment ticket published in checked source</x:v>
      </x:c>
      <x:c r="R473" s="25" t="str">
        <x:v>Property acquisition or investor activity makes this an operator-capital prospect for the signed trial. Confirm operating-company debt/equity appetite.</x:v>
      </x:c>
      <x:c r="S473" s="25" t="str">
        <x:v>Home-buying activity does not verify ability or willingness to invest $100K-$500K into 101XVC operating company. Website and contact verification pending.</x:v>
      </x:c>
      <x:c r="T473" s="25" t="str">
        <x:v>Ask the owner/investor whether they can allocate $100K-$500K to trial marketing and acquisitions, and confirm structure, timing and decision authority.</x:v>
      </x:c>
      <x:c r="U473" s="25" t="str">
        <x:v>https://www.cashhomebuyersdirectory.com/cash-home-buyers/texas/corpus-christi</x:v>
      </x:c>
      <x:c r="V473" s="26" t="d">
        <x:v>2026-10-02T00:00:00.000Z</x:v>
      </x:c>
      <x:c r="W473" s="26" t="d">
        <x:v>2026-10-03T00:00:00.000Z</x:v>
      </x:c>
      <x:c r="X473" s="25" t="str">
        <x:v>Public investor directory; business role and contact ownership require qualification</x:v>
      </x:c>
      <x:c r="Y473" s="25"/>
      <x:c r="Z473" s="25" t="str">
        <x:v>https://www.cashhomebuyersdirectory.com/cash-home-buyers/texas/corpus-christi</x:v>
      </x:c>
      <x:c r="AA473" s="25" t="str">
        <x:v>Public cash-home-buyer directory lists business name, phone and market. Directory entry may include brokers or service providers.</x:v>
      </x:c>
      <x:c r="AB473" s="3" t="str">
        <x:v>New public-source collection</x:v>
      </x:c>
      <x:c r="AC473" s="3" t="str">
        <x:v>unverified</x:v>
      </x:c>
      <x:c r="AD473" s="3" t="str">
        <x:v>Not contacted / unconfirmed</x:v>
      </x:c>
      <x:c r="AE473" s="3" t="str">
        <x:v>No</x:v>
      </x:c>
      <x:c r="AF473" s="3" t="str">
        <x:v>No</x:v>
      </x:c>
      <x:c r="AG473" s="3"/>
      <x:c r="AH473" s="3"/>
      <x:c r="AI473" s="18"/>
      <x:c r="AJ473" s="3" t="str">
        <x:v>CF2500-0EAF83606FFF</x:v>
      </x:c>
      <x:c r="AK473" s="3" t="str">
        <x:v>Property investor / home-buying operator prospect</x:v>
      </x:c>
      <x:c r="AL473" s="19" t="n">
        <x:v>100000</x:v>
      </x:c>
      <x:c r="AM473" s="19" t="n">
        <x:v>500000</x:v>
      </x:c>
      <x:c r="AN473" s="3" t="str">
        <x:v>https://www.cashhomebuyersdirectory.com/cash-home-buyers/texas/corpus-christi</x:v>
      </x:c>
      <x:c r="AO473" s="3" t="str">
        <x:v>tx_fl_investors.jsonl</x:v>
      </x:c>
      <x:c r="AP473" s="19"/>
    </x:row>
    <x:row r="474" ht="36" customHeight="1">
      <x:c r="A474" s="23" t="n">
        <x:v>473</x:v>
      </x:c>
      <x:c r="B474" s="15" t="str">
        <x:v>Haps Home Buyers</x:v>
      </x:c>
      <x:c r="C474" s="15"/>
      <x:c r="D474" s="15" t="str">
        <x:v>Property investor / home-buying operator</x:v>
      </x:c>
      <x:c r="E474" s="15" t="str">
        <x:v>Property investor / operator inquiry</x:v>
      </x:c>
      <x:c r="F474" s="17" t="str">
        <x:v>New</x:v>
      </x:c>
      <x:c r="G474" s="24"/>
      <x:c r="H474" s="24" t="str">
        <x:v>+19045240563</x:v>
      </x:c>
      <x:c r="I474" s="24"/>
      <x:c r="J474" s="16" t="str">
        <x:v>FL</x:v>
      </x:c>
      <x:c r="K474" s="16" t="str">
        <x:v>Jacksonville</x:v>
      </x:c>
      <x:c r="L474" s="16" t="str">
        <x:v>Public property-business route; investor decision maker unconfirmed</x:v>
      </x:c>
      <x:c r="M474" s="16"/>
      <x:c r="N474" s="16" t="str">
        <x:v>$100K-$500K ticket not published / unconfirmed</x:v>
      </x:c>
      <x:c r="O474" s="20"/>
      <x:c r="P474" s="20"/>
      <x:c r="Q474" s="25" t="str">
        <x:v>No $100K-$500K corporate-investment ticket published in checked source</x:v>
      </x:c>
      <x:c r="R474" s="25" t="str">
        <x:v>Property acquisition or investor activity makes this an operator-capital prospect for the signed trial. Confirm operating-company debt/equity appetite.</x:v>
      </x:c>
      <x:c r="S474" s="25" t="str">
        <x:v>Home-buying activity does not verify ability or willingness to invest $100K-$500K into 101XVC operating company. Website and contact verification pending.</x:v>
      </x:c>
      <x:c r="T474" s="25" t="str">
        <x:v>Ask the owner/investor whether they can allocate $100K-$500K to trial marketing and acquisitions, and confirm structure, timing and decision authority.</x:v>
      </x:c>
      <x:c r="U474" s="25" t="str">
        <x:v>https://www.cashhomebuyersdirectory.com/cash-home-buyers/florida/jacksonville</x:v>
      </x:c>
      <x:c r="V474" s="26" t="d">
        <x:v>2026-10-02T00:00:00.000Z</x:v>
      </x:c>
      <x:c r="W474" s="26" t="d">
        <x:v>2026-10-03T00:00:00.000Z</x:v>
      </x:c>
      <x:c r="X474" s="25" t="str">
        <x:v>Public investor directory; business role and contact ownership require qualification</x:v>
      </x:c>
      <x:c r="Y474" s="25"/>
      <x:c r="Z474" s="25" t="str">
        <x:v>https://www.cashhomebuyersdirectory.com/cash-home-buyers/florida/jacksonville</x:v>
      </x:c>
      <x:c r="AA474" s="25" t="str">
        <x:v>Public cash-home-buyer directory lists business name, phone and market. Directory entry may include brokers or service providers.</x:v>
      </x:c>
      <x:c r="AB474" s="3" t="str">
        <x:v>New public-source collection</x:v>
      </x:c>
      <x:c r="AC474" s="3" t="str">
        <x:v>unverified</x:v>
      </x:c>
      <x:c r="AD474" s="3" t="str">
        <x:v>Not contacted / unconfirmed</x:v>
      </x:c>
      <x:c r="AE474" s="3" t="str">
        <x:v>No</x:v>
      </x:c>
      <x:c r="AF474" s="3" t="str">
        <x:v>No</x:v>
      </x:c>
      <x:c r="AG474" s="3"/>
      <x:c r="AH474" s="3"/>
      <x:c r="AI474" s="18"/>
      <x:c r="AJ474" s="3" t="str">
        <x:v>CF2500-6649C834175F</x:v>
      </x:c>
      <x:c r="AK474" s="3" t="str">
        <x:v>Property investor / home-buying operator prospect</x:v>
      </x:c>
      <x:c r="AL474" s="19" t="n">
        <x:v>100000</x:v>
      </x:c>
      <x:c r="AM474" s="19" t="n">
        <x:v>500000</x:v>
      </x:c>
      <x:c r="AN474" s="3" t="str">
        <x:v>https://www.cashhomebuyersdirectory.com/cash-home-buyers/florida/jacksonville</x:v>
      </x:c>
      <x:c r="AO474" s="3" t="str">
        <x:v>tx_fl_investors.jsonl</x:v>
      </x:c>
      <x:c r="AP474" s="19"/>
    </x:row>
    <x:row r="475" ht="36" customHeight="1">
      <x:c r="A475" s="23" t="n">
        <x:v>474</x:v>
      </x:c>
      <x:c r="B475" s="15" t="str">
        <x:v>Heritage Home Buyers LLC</x:v>
      </x:c>
      <x:c r="C475" s="15"/>
      <x:c r="D475" s="15" t="str">
        <x:v>Property investor / home-buying operator</x:v>
      </x:c>
      <x:c r="E475" s="15" t="str">
        <x:v>Property investor / operator inquiry</x:v>
      </x:c>
      <x:c r="F475" s="17" t="str">
        <x:v>New</x:v>
      </x:c>
      <x:c r="G475" s="24"/>
      <x:c r="H475" s="24" t="str">
        <x:v>+19194439530</x:v>
      </x:c>
      <x:c r="I475" s="24"/>
      <x:c r="J475" s="16" t="str">
        <x:v>NC</x:v>
      </x:c>
      <x:c r="K475" s="16" t="str">
        <x:v>Raleigh</x:v>
      </x:c>
      <x:c r="L475" s="16" t="str">
        <x:v>Public property-business route; investor decision maker unconfirmed</x:v>
      </x:c>
      <x:c r="M475" s="16"/>
      <x:c r="N475" s="16" t="str">
        <x:v>$100K-$500K ticket not published / unconfirmed</x:v>
      </x:c>
      <x:c r="O475" s="20"/>
      <x:c r="P475" s="20"/>
      <x:c r="Q475" s="25" t="str">
        <x:v>No $100K-$500K operating-company investment ticket verified</x:v>
      </x:c>
      <x:c r="R475" s="25" t="str">
        <x:v>Property acquisition or investor activity makes this an operator-capital prospect for the signed trial. Confirm operating-company debt/equity appetite.</x:v>
      </x:c>
      <x:c r="S475" s="25" t="str">
        <x:v>Public property-buying activity or a directory listing does not establish available cash, investing decision-maker, current $100K-$500K capacity, or willingness to fund 101XVC operating costs.</x:v>
      </x:c>
      <x:c r="T475" s="25" t="str">
        <x:v>Ask the owner/investor whether they can allocate $100K-$500K to trial marketing and acquisitions, and confirm structure, timing and decision authority.</x:v>
      </x:c>
      <x:c r="U475" s="25" t="str">
        <x:v>https://www.cashhomebuyersdirectory.com/cash-home-buyers/north-carolina/raleigh</x:v>
      </x:c>
      <x:c r="V475" s="26" t="d">
        <x:v>2026-10-02T00:00:00.000Z</x:v>
      </x:c>
      <x:c r="W475" s="26" t="d">
        <x:v>2026-10-02T00:00:00.000Z</x:v>
      </x:c>
      <x:c r="X475" s="25" t="str">
        <x:v>Public investor directory; business role and contact ownership require qualification</x:v>
      </x:c>
      <x:c r="Y475" s="25"/>
      <x:c r="Z475" s="25" t="str">
        <x:v>https://www.cashhomebuyersdirectory.com/cash-home-buyers/north-carolina/raleigh</x:v>
      </x:c>
      <x:c r="AA475" s="25" t="str">
        <x:v>Public cash-home-buyer directory lists business name, phone and market. Directory entry may include brokers or service providers.</x:v>
      </x:c>
      <x:c r="AB475" s="3" t="str">
        <x:v>New public-source collection</x:v>
      </x:c>
      <x:c r="AC475" s="3" t="str">
        <x:v>unverified</x:v>
      </x:c>
      <x:c r="AD475" s="3" t="str">
        <x:v>Not contacted / unconfirmed</x:v>
      </x:c>
      <x:c r="AE475" s="3" t="str">
        <x:v>No</x:v>
      </x:c>
      <x:c r="AF475" s="3" t="str">
        <x:v>No</x:v>
      </x:c>
      <x:c r="AG475" s="3"/>
      <x:c r="AH475" s="3"/>
      <x:c r="AI475" s="18"/>
      <x:c r="AJ475" s="3" t="str">
        <x:v>CF2500-BF7279784AAA</x:v>
      </x:c>
      <x:c r="AK475" s="3" t="str">
        <x:v>Property investor / home-buying operator prospect</x:v>
      </x:c>
      <x:c r="AL475" s="19" t="n">
        <x:v>100000</x:v>
      </x:c>
      <x:c r="AM475" s="19" t="n">
        <x:v>500000</x:v>
      </x:c>
      <x:c r="AN475" s="3" t="str">
        <x:v>https://www.cashhomebuyersdirectory.com/cash-home-buyers/north-carolina/raleigh</x:v>
      </x:c>
      <x:c r="AO475" s="3" t="str">
        <x:v>nc_il_az_co_investors.jsonl</x:v>
      </x:c>
      <x:c r="AP475" s="19"/>
    </x:row>
    <x:row r="476" ht="36" customHeight="1">
      <x:c r="A476" s="23" t="n">
        <x:v>475</x:v>
      </x:c>
      <x:c r="B476" s="15" t="str">
        <x:v>Highest Cash Offer</x:v>
      </x:c>
      <x:c r="C476" s="15"/>
      <x:c r="D476" s="15" t="str">
        <x:v>Property investor / home-buying operator</x:v>
      </x:c>
      <x:c r="E476" s="15" t="str">
        <x:v>Property investor / operator inquiry</x:v>
      </x:c>
      <x:c r="F476" s="17" t="str">
        <x:v>New</x:v>
      </x:c>
      <x:c r="G476" s="24"/>
      <x:c r="H476" s="24" t="str">
        <x:v>+16026000103</x:v>
      </x:c>
      <x:c r="I476" s="24"/>
      <x:c r="J476" s="16" t="str">
        <x:v>AZ</x:v>
      </x:c>
      <x:c r="K476" s="16"/>
      <x:c r="L476" s="16" t="str">
        <x:v>Public property-business route; investor decision maker unconfirmed</x:v>
      </x:c>
      <x:c r="M476" s="16" t="str">
        <x:v>https://www.bbb.org/us/az/category/home-buyers</x:v>
      </x:c>
      <x:c r="N476" s="16" t="str">
        <x:v>$100K-$500K ticket not published / unconfirmed</x:v>
      </x:c>
      <x:c r="O476" s="20"/>
      <x:c r="P476" s="20"/>
      <x:c r="Q476" s="25" t="str">
        <x:v>No $100K-$500K operating-company investment ticket verified</x:v>
      </x:c>
      <x:c r="R476" s="25" t="str">
        <x:v>Property acquisition or investor activity makes this an operator-capital prospect for the signed trial. Confirm operating-company debt/equity appetite.</x:v>
      </x:c>
      <x:c r="S476" s="25" t="str">
        <x:v>Public property-buying activity or a directory listing does not establish available cash, investing decision-maker, current $100K-$500K capacity, or willingness to fund 101XVC operating costs.</x:v>
      </x:c>
      <x:c r="T476" s="25" t="str">
        <x:v>Ask the owner/investor whether they can allocate $100K-$500K to trial marketing and acquisitions, and confirm structure, timing and decision authority.</x:v>
      </x:c>
      <x:c r="U476" s="25" t="str">
        <x:v>https://www.bbb.org/us/az/category/home-buyers</x:v>
      </x:c>
      <x:c r="V476" s="26" t="d">
        <x:v>2026-10-02T00:00:00.000Z</x:v>
      </x:c>
      <x:c r="W476" s="26" t="d">
        <x:v>2026-10-02T00:00:00.000Z</x:v>
      </x:c>
      <x:c r="X476" s="25" t="str">
        <x:v>Public investor directory; business role and contact ownership require qualification</x:v>
      </x:c>
      <x:c r="Y476" s="25"/>
      <x:c r="Z476" s="25" t="str">
        <x:v>https://www.bbb.org/us/az/category/home-buyers</x:v>
      </x:c>
      <x:c r="AA476" s="25" t="str">
        <x:v>BBB publicly lists this business as a home buyer, with the recorded business phone. Its investing role and company-capital appetite require qualification.</x:v>
      </x:c>
      <x:c r="AB476" s="3" t="str">
        <x:v>New public-source collection</x:v>
      </x:c>
      <x:c r="AC476" s="3" t="str">
        <x:v>unverified</x:v>
      </x:c>
      <x:c r="AD476" s="3" t="str">
        <x:v>Not contacted / unconfirmed</x:v>
      </x:c>
      <x:c r="AE476" s="3" t="str">
        <x:v>No</x:v>
      </x:c>
      <x:c r="AF476" s="3" t="str">
        <x:v>No</x:v>
      </x:c>
      <x:c r="AG476" s="3"/>
      <x:c r="AH476" s="3"/>
      <x:c r="AI476" s="18"/>
      <x:c r="AJ476" s="3" t="str">
        <x:v>CF2500-5C783FAAD965</x:v>
      </x:c>
      <x:c r="AK476" s="3" t="str">
        <x:v>Property buyer / investor operator prospect</x:v>
      </x:c>
      <x:c r="AL476" s="19" t="n">
        <x:v>100000</x:v>
      </x:c>
      <x:c r="AM476" s="19" t="n">
        <x:v>500000</x:v>
      </x:c>
      <x:c r="AN476" s="3" t="str">
        <x:v>https://www.bbb.org/us/az/category/home-buyers</x:v>
      </x:c>
      <x:c r="AO476" s="3" t="str">
        <x:v>nc_il_az_co_investors.jsonl</x:v>
      </x:c>
      <x:c r="AP476" s="19"/>
    </x:row>
    <x:row r="477" ht="36" customHeight="1">
      <x:c r="A477" s="23" t="n">
        <x:v>476</x:v>
      </x:c>
      <x:c r="B477" s="15" t="str">
        <x:v>Home Buyer Houston</x:v>
      </x:c>
      <x:c r="C477" s="15"/>
      <x:c r="D477" s="15" t="str">
        <x:v>Property investor / home-buying operator</x:v>
      </x:c>
      <x:c r="E477" s="15" t="str">
        <x:v>Property investor / operator inquiry</x:v>
      </x:c>
      <x:c r="F477" s="17" t="str">
        <x:v>New</x:v>
      </x:c>
      <x:c r="G477" s="24"/>
      <x:c r="H477" s="24" t="str">
        <x:v>+18324813324</x:v>
      </x:c>
      <x:c r="I477" s="24"/>
      <x:c r="J477" s="16" t="str">
        <x:v>TX</x:v>
      </x:c>
      <x:c r="K477" s="16" t="str">
        <x:v>Houston</x:v>
      </x:c>
      <x:c r="L477" s="16" t="str">
        <x:v>Public property-business route; investor decision maker unconfirmed</x:v>
      </x:c>
      <x:c r="M477" s="16"/>
      <x:c r="N477" s="16" t="str">
        <x:v>$100K-$500K ticket not published / unconfirmed</x:v>
      </x:c>
      <x:c r="O477" s="20"/>
      <x:c r="P477" s="20"/>
      <x:c r="Q477" s="25" t="str">
        <x:v>No $100K-$500K corporate-investment ticket published in checked source</x:v>
      </x:c>
      <x:c r="R477" s="25" t="str">
        <x:v>Property acquisition or investor activity makes this an operator-capital prospect for the signed trial. Confirm operating-company debt/equity appetite.</x:v>
      </x:c>
      <x:c r="S477" s="25" t="str">
        <x:v>Home-buying activity does not verify ability or willingness to invest $100K-$500K into 101XVC operating company. Website and contact verification pending.</x:v>
      </x:c>
      <x:c r="T477" s="25" t="str">
        <x:v>Ask the owner/investor whether they can allocate $100K-$500K to trial marketing and acquisitions, and confirm structure, timing and decision authority.</x:v>
      </x:c>
      <x:c r="U477" s="25" t="str">
        <x:v>https://www.cashhomebuyersdirectory.com/cash-home-buyers/texas/houston</x:v>
      </x:c>
      <x:c r="V477" s="26" t="d">
        <x:v>2026-10-02T00:00:00.000Z</x:v>
      </x:c>
      <x:c r="W477" s="26" t="d">
        <x:v>2026-10-03T00:00:00.000Z</x:v>
      </x:c>
      <x:c r="X477" s="25" t="str">
        <x:v>Public investor directory; business role and contact ownership require qualification</x:v>
      </x:c>
      <x:c r="Y477" s="25"/>
      <x:c r="Z477" s="25" t="str">
        <x:v>https://www.cashhomebuyersdirectory.com/cash-home-buyers/texas/houston</x:v>
      </x:c>
      <x:c r="AA477" s="25" t="str">
        <x:v>Public cash-home-buyer directory lists business name, phone and market. Directory entry may include brokers or service providers.</x:v>
      </x:c>
      <x:c r="AB477" s="3" t="str">
        <x:v>New public-source collection</x:v>
      </x:c>
      <x:c r="AC477" s="3" t="str">
        <x:v>unverified</x:v>
      </x:c>
      <x:c r="AD477" s="3" t="str">
        <x:v>Not contacted / unconfirmed</x:v>
      </x:c>
      <x:c r="AE477" s="3" t="str">
        <x:v>No</x:v>
      </x:c>
      <x:c r="AF477" s="3" t="str">
        <x:v>No</x:v>
      </x:c>
      <x:c r="AG477" s="3"/>
      <x:c r="AH477" s="3"/>
      <x:c r="AI477" s="18"/>
      <x:c r="AJ477" s="3" t="str">
        <x:v>CF2500-DE6ABC0C9A98</x:v>
      </x:c>
      <x:c r="AK477" s="3" t="str">
        <x:v>Property investor / home-buying operator prospect</x:v>
      </x:c>
      <x:c r="AL477" s="19" t="n">
        <x:v>100000</x:v>
      </x:c>
      <x:c r="AM477" s="19" t="n">
        <x:v>500000</x:v>
      </x:c>
      <x:c r="AN477" s="3" t="str">
        <x:v>https://www.cashhomebuyersdirectory.com/cash-home-buyers/texas/houston</x:v>
      </x:c>
      <x:c r="AO477" s="3" t="str">
        <x:v>tx_fl_investors.jsonl</x:v>
      </x:c>
      <x:c r="AP477" s="19"/>
    </x:row>
    <x:row r="478" ht="36" customHeight="1">
      <x:c r="A478" s="23" t="n">
        <x:v>477</x:v>
      </x:c>
      <x:c r="B478" s="15" t="str">
        <x:v>Hot Cash Offer Now</x:v>
      </x:c>
      <x:c r="C478" s="15"/>
      <x:c r="D478" s="15" t="str">
        <x:v>Property investor / home-buying operator</x:v>
      </x:c>
      <x:c r="E478" s="15" t="str">
        <x:v>Property investor / operator inquiry</x:v>
      </x:c>
      <x:c r="F478" s="17" t="str">
        <x:v>New</x:v>
      </x:c>
      <x:c r="G478" s="24"/>
      <x:c r="H478" s="24" t="str">
        <x:v>+18444420007</x:v>
      </x:c>
      <x:c r="I478" s="24"/>
      <x:c r="J478" s="16" t="str">
        <x:v>AZ</x:v>
      </x:c>
      <x:c r="K478" s="16" t="str">
        <x:v>Phoenix</x:v>
      </x:c>
      <x:c r="L478" s="16" t="str">
        <x:v>Public property-business route; investor decision maker unconfirmed</x:v>
      </x:c>
      <x:c r="M478" s="16"/>
      <x:c r="N478" s="16" t="str">
        <x:v>$100K-$500K ticket not published / unconfirmed</x:v>
      </x:c>
      <x:c r="O478" s="20"/>
      <x:c r="P478" s="20"/>
      <x:c r="Q478" s="25" t="str">
        <x:v>No $100K-$500K operating-company investment ticket verified</x:v>
      </x:c>
      <x:c r="R478" s="25" t="str">
        <x:v>Property acquisition or investor activity makes this an operator-capital prospect for the signed trial. Confirm operating-company debt/equity appetite.</x:v>
      </x:c>
      <x:c r="S478" s="25" t="str">
        <x:v>Public property-buying activity or a directory listing does not establish available cash, investing decision-maker, current $100K-$500K capacity, or willingness to fund 101XVC operating costs.</x:v>
      </x:c>
      <x:c r="T478" s="25" t="str">
        <x:v>Ask the owner/investor whether they can allocate $100K-$500K to trial marketing and acquisitions, and confirm structure, timing and decision authority.</x:v>
      </x:c>
      <x:c r="U478" s="25" t="str">
        <x:v>https://www.cashhomebuyersdirectory.com/cash-home-buyers/arizona/phoenix</x:v>
      </x:c>
      <x:c r="V478" s="26" t="d">
        <x:v>2026-10-02T00:00:00.000Z</x:v>
      </x:c>
      <x:c r="W478" s="26" t="d">
        <x:v>2026-10-02T00:00:00.000Z</x:v>
      </x:c>
      <x:c r="X478" s="25" t="str">
        <x:v>Public investor directory; business role and contact ownership require qualification</x:v>
      </x:c>
      <x:c r="Y478" s="25"/>
      <x:c r="Z478" s="25" t="str">
        <x:v>https://www.cashhomebuyersdirectory.com/cash-home-buyers/arizona/phoenix</x:v>
      </x:c>
      <x:c r="AA478" s="25" t="str">
        <x:v>Public cash-home-buyer directory lists business name, phone and market. Directory entry may include brokers or service providers.</x:v>
      </x:c>
      <x:c r="AB478" s="3" t="str">
        <x:v>New public-source collection</x:v>
      </x:c>
      <x:c r="AC478" s="3" t="str">
        <x:v>unverified</x:v>
      </x:c>
      <x:c r="AD478" s="3" t="str">
        <x:v>Not contacted / unconfirmed</x:v>
      </x:c>
      <x:c r="AE478" s="3" t="str">
        <x:v>No</x:v>
      </x:c>
      <x:c r="AF478" s="3" t="str">
        <x:v>No</x:v>
      </x:c>
      <x:c r="AG478" s="3"/>
      <x:c r="AH478" s="3"/>
      <x:c r="AI478" s="18"/>
      <x:c r="AJ478" s="3" t="str">
        <x:v>CF2500-354D632D4CA4</x:v>
      </x:c>
      <x:c r="AK478" s="3" t="str">
        <x:v>Property investor / home-buying operator prospect</x:v>
      </x:c>
      <x:c r="AL478" s="19" t="n">
        <x:v>100000</x:v>
      </x:c>
      <x:c r="AM478" s="19" t="n">
        <x:v>500000</x:v>
      </x:c>
      <x:c r="AN478" s="3" t="str">
        <x:v>https://www.cashhomebuyersdirectory.com/cash-home-buyers/arizona/phoenix</x:v>
      </x:c>
      <x:c r="AO478" s="3" t="str">
        <x:v>nc_il_az_co_investors.jsonl</x:v>
      </x:c>
      <x:c r="AP478" s="19"/>
    </x:row>
    <x:row r="479" ht="36" customHeight="1">
      <x:c r="A479" s="23" t="n">
        <x:v>478</x:v>
      </x:c>
      <x:c r="B479" s="15" t="str">
        <x:v>House 2 Home Buyers LLC</x:v>
      </x:c>
      <x:c r="C479" s="15"/>
      <x:c r="D479" s="15" t="str">
        <x:v>Property investor / home-buying operator</x:v>
      </x:c>
      <x:c r="E479" s="15" t="str">
        <x:v>Property investor / operator inquiry</x:v>
      </x:c>
      <x:c r="F479" s="17" t="str">
        <x:v>New</x:v>
      </x:c>
      <x:c r="G479" s="24"/>
      <x:c r="H479" s="24" t="str">
        <x:v>+19043343153</x:v>
      </x:c>
      <x:c r="I479" s="24"/>
      <x:c r="J479" s="16" t="str">
        <x:v>FL</x:v>
      </x:c>
      <x:c r="K479" s="16" t="str">
        <x:v>Jacksonville</x:v>
      </x:c>
      <x:c r="L479" s="16" t="str">
        <x:v>Public property-business route; investor decision maker unconfirmed</x:v>
      </x:c>
      <x:c r="M479" s="16"/>
      <x:c r="N479" s="16" t="str">
        <x:v>$100K-$500K ticket not published / unconfirmed</x:v>
      </x:c>
      <x:c r="O479" s="20"/>
      <x:c r="P479" s="20"/>
      <x:c r="Q479" s="25" t="str">
        <x:v>No $100K-$500K corporate-investment ticket published in checked source</x:v>
      </x:c>
      <x:c r="R479" s="25" t="str">
        <x:v>Property acquisition or investor activity makes this an operator-capital prospect for the signed trial. Confirm operating-company debt/equity appetite.</x:v>
      </x:c>
      <x:c r="S479" s="25" t="str">
        <x:v>Home-buying activity does not verify ability or willingness to invest $100K-$500K into 101XVC operating company. Website and contact verification pending.</x:v>
      </x:c>
      <x:c r="T479" s="25" t="str">
        <x:v>Ask the owner/investor whether they can allocate $100K-$500K to trial marketing and acquisitions, and confirm structure, timing and decision authority.</x:v>
      </x:c>
      <x:c r="U479" s="25" t="str">
        <x:v>https://www.cashhomebuyersdirectory.com/cash-home-buyers/florida/jacksonville</x:v>
      </x:c>
      <x:c r="V479" s="26" t="d">
        <x:v>2026-10-02T00:00:00.000Z</x:v>
      </x:c>
      <x:c r="W479" s="26" t="d">
        <x:v>2026-10-03T00:00:00.000Z</x:v>
      </x:c>
      <x:c r="X479" s="25" t="str">
        <x:v>Public investor directory; business role and contact ownership require qualification</x:v>
      </x:c>
      <x:c r="Y479" s="25"/>
      <x:c r="Z479" s="25" t="str">
        <x:v>https://www.cashhomebuyersdirectory.com/cash-home-buyers/florida/jacksonville</x:v>
      </x:c>
      <x:c r="AA479" s="25" t="str">
        <x:v>Public cash-home-buyer directory lists business name, phone and market. Directory entry may include brokers or service providers.</x:v>
      </x:c>
      <x:c r="AB479" s="3" t="str">
        <x:v>New public-source collection</x:v>
      </x:c>
      <x:c r="AC479" s="3" t="str">
        <x:v>unverified</x:v>
      </x:c>
      <x:c r="AD479" s="3" t="str">
        <x:v>Not contacted / unconfirmed</x:v>
      </x:c>
      <x:c r="AE479" s="3" t="str">
        <x:v>No</x:v>
      </x:c>
      <x:c r="AF479" s="3" t="str">
        <x:v>No</x:v>
      </x:c>
      <x:c r="AG479" s="3"/>
      <x:c r="AH479" s="3"/>
      <x:c r="AI479" s="18"/>
      <x:c r="AJ479" s="3" t="str">
        <x:v>CF2500-CBB3304016DC</x:v>
      </x:c>
      <x:c r="AK479" s="3" t="str">
        <x:v>Property investor / home-buying operator prospect</x:v>
      </x:c>
      <x:c r="AL479" s="19" t="n">
        <x:v>100000</x:v>
      </x:c>
      <x:c r="AM479" s="19" t="n">
        <x:v>500000</x:v>
      </x:c>
      <x:c r="AN479" s="3" t="str">
        <x:v>https://www.cashhomebuyersdirectory.com/cash-home-buyers/florida/jacksonville</x:v>
      </x:c>
      <x:c r="AO479" s="3" t="str">
        <x:v>tx_fl_investors.jsonl</x:v>
      </x:c>
      <x:c r="AP479" s="19"/>
    </x:row>
    <x:row r="480" ht="36" customHeight="1">
      <x:c r="A480" s="23" t="n">
        <x:v>479</x:v>
      </x:c>
      <x:c r="B480" s="15" t="str">
        <x:v>Hudson Investment Group, LLC</x:v>
      </x:c>
      <x:c r="C480" s="15"/>
      <x:c r="D480" s="15" t="str">
        <x:v>Property investor / home-buying operator</x:v>
      </x:c>
      <x:c r="E480" s="15" t="str">
        <x:v>Property investor / operator inquiry</x:v>
      </x:c>
      <x:c r="F480" s="17" t="str">
        <x:v>New</x:v>
      </x:c>
      <x:c r="G480" s="24"/>
      <x:c r="H480" s="24" t="str">
        <x:v>+19805531009</x:v>
      </x:c>
      <x:c r="I480" s="24"/>
      <x:c r="J480" s="16" t="str">
        <x:v>NC</x:v>
      </x:c>
      <x:c r="K480" s="16"/>
      <x:c r="L480" s="16" t="str">
        <x:v>Public property-business route; investor decision maker unconfirmed</x:v>
      </x:c>
      <x:c r="M480" s="16" t="str">
        <x:v>https://www.bbb.org/us/nc/category/home-buyers</x:v>
      </x:c>
      <x:c r="N480" s="16" t="str">
        <x:v>$100K-$500K ticket not published / unconfirmed</x:v>
      </x:c>
      <x:c r="O480" s="20"/>
      <x:c r="P480" s="20"/>
      <x:c r="Q480" s="25" t="str">
        <x:v>No $100K-$500K operating-company investment ticket verified</x:v>
      </x:c>
      <x:c r="R480" s="25" t="str">
        <x:v>Property acquisition or investor activity makes this an operator-capital prospect for the signed trial. Confirm operating-company debt/equity appetite.</x:v>
      </x:c>
      <x:c r="S480" s="25" t="str">
        <x:v>Public property-buying activity or a directory listing does not establish available cash, investing decision-maker, current $100K-$500K capacity, or willingness to fund 101XVC operating costs.</x:v>
      </x:c>
      <x:c r="T480" s="25" t="str">
        <x:v>Ask the owner/investor whether they can allocate $100K-$500K to trial marketing and acquisitions, and confirm structure, timing and decision authority.</x:v>
      </x:c>
      <x:c r="U480" s="25" t="str">
        <x:v>https://www.bbb.org/us/nc/category/home-buyers</x:v>
      </x:c>
      <x:c r="V480" s="26" t="d">
        <x:v>2026-10-02T00:00:00.000Z</x:v>
      </x:c>
      <x:c r="W480" s="26" t="d">
        <x:v>2026-10-02T00:00:00.000Z</x:v>
      </x:c>
      <x:c r="X480" s="25" t="str">
        <x:v>Public investor directory; business role and contact ownership require qualification</x:v>
      </x:c>
      <x:c r="Y480" s="25"/>
      <x:c r="Z480" s="25" t="str">
        <x:v>https://www.bbb.org/us/nc/category/home-buyers</x:v>
      </x:c>
      <x:c r="AA480" s="25" t="str">
        <x:v>BBB publicly lists this business as a home buyer, with the recorded business phone. Its investing role and company-capital appetite require qualification.</x:v>
      </x:c>
      <x:c r="AB480" s="3" t="str">
        <x:v>New public-source collection</x:v>
      </x:c>
      <x:c r="AC480" s="3" t="str">
        <x:v>unverified</x:v>
      </x:c>
      <x:c r="AD480" s="3" t="str">
        <x:v>Not contacted / unconfirmed</x:v>
      </x:c>
      <x:c r="AE480" s="3" t="str">
        <x:v>No</x:v>
      </x:c>
      <x:c r="AF480" s="3" t="str">
        <x:v>No</x:v>
      </x:c>
      <x:c r="AG480" s="3"/>
      <x:c r="AH480" s="3"/>
      <x:c r="AI480" s="18"/>
      <x:c r="AJ480" s="3" t="str">
        <x:v>CF2500-9A7B28B95B80</x:v>
      </x:c>
      <x:c r="AK480" s="3" t="str">
        <x:v>Property buyer / investor operator prospect</x:v>
      </x:c>
      <x:c r="AL480" s="19" t="n">
        <x:v>100000</x:v>
      </x:c>
      <x:c r="AM480" s="19" t="n">
        <x:v>500000</x:v>
      </x:c>
      <x:c r="AN480" s="3" t="str">
        <x:v>https://www.bbb.org/us/nc/category/home-buyers</x:v>
      </x:c>
      <x:c r="AO480" s="3" t="str">
        <x:v>nc_il_az_co_investors.jsonl</x:v>
      </x:c>
      <x:c r="AP480" s="19"/>
    </x:row>
    <x:row r="481" ht="36" customHeight="1">
      <x:c r="A481" s="23" t="n">
        <x:v>480</x:v>
      </x:c>
      <x:c r="B481" s="15" t="str">
        <x:v>HWP Home Buyers</x:v>
      </x:c>
      <x:c r="C481" s="15"/>
      <x:c r="D481" s="15" t="str">
        <x:v>Property investor / home-buying operator</x:v>
      </x:c>
      <x:c r="E481" s="15" t="str">
        <x:v>Property investor / operator inquiry</x:v>
      </x:c>
      <x:c r="F481" s="17" t="str">
        <x:v>New</x:v>
      </x:c>
      <x:c r="G481" s="24"/>
      <x:c r="H481" s="24" t="str">
        <x:v>+19049004760</x:v>
      </x:c>
      <x:c r="I481" s="24"/>
      <x:c r="J481" s="16" t="str">
        <x:v>FL</x:v>
      </x:c>
      <x:c r="K481" s="16" t="str">
        <x:v>Jacksonville</x:v>
      </x:c>
      <x:c r="L481" s="16" t="str">
        <x:v>Public property-business route; investor decision maker unconfirmed</x:v>
      </x:c>
      <x:c r="M481" s="16"/>
      <x:c r="N481" s="16" t="str">
        <x:v>$100K-$500K ticket not published / unconfirmed</x:v>
      </x:c>
      <x:c r="O481" s="20"/>
      <x:c r="P481" s="20"/>
      <x:c r="Q481" s="25" t="str">
        <x:v>No $100K-$500K corporate-investment ticket published in checked source</x:v>
      </x:c>
      <x:c r="R481" s="25" t="str">
        <x:v>Property acquisition or investor activity makes this an operator-capital prospect for the signed trial. Confirm operating-company debt/equity appetite.</x:v>
      </x:c>
      <x:c r="S481" s="25" t="str">
        <x:v>Home-buying activity does not verify ability or willingness to invest $100K-$500K into 101XVC operating company. Website and contact verification pending.</x:v>
      </x:c>
      <x:c r="T481" s="25" t="str">
        <x:v>Ask the owner/investor whether they can allocate $100K-$500K to trial marketing and acquisitions, and confirm structure, timing and decision authority.</x:v>
      </x:c>
      <x:c r="U481" s="25" t="str">
        <x:v>https://www.cashhomebuyersdirectory.com/cash-home-buyers/florida/jacksonville</x:v>
      </x:c>
      <x:c r="V481" s="26" t="d">
        <x:v>2026-10-02T00:00:00.000Z</x:v>
      </x:c>
      <x:c r="W481" s="26" t="d">
        <x:v>2026-10-03T00:00:00.000Z</x:v>
      </x:c>
      <x:c r="X481" s="25" t="str">
        <x:v>Public investor directory; business role and contact ownership require qualification</x:v>
      </x:c>
      <x:c r="Y481" s="25"/>
      <x:c r="Z481" s="25" t="str">
        <x:v>https://www.cashhomebuyersdirectory.com/cash-home-buyers/florida/jacksonville</x:v>
      </x:c>
      <x:c r="AA481" s="25" t="str">
        <x:v>Public cash-home-buyer directory lists business name, phone and market. Directory entry may include brokers or service providers.</x:v>
      </x:c>
      <x:c r="AB481" s="3" t="str">
        <x:v>New public-source collection</x:v>
      </x:c>
      <x:c r="AC481" s="3" t="str">
        <x:v>unverified</x:v>
      </x:c>
      <x:c r="AD481" s="3" t="str">
        <x:v>Not contacted / unconfirmed</x:v>
      </x:c>
      <x:c r="AE481" s="3" t="str">
        <x:v>No</x:v>
      </x:c>
      <x:c r="AF481" s="3" t="str">
        <x:v>No</x:v>
      </x:c>
      <x:c r="AG481" s="3"/>
      <x:c r="AH481" s="3"/>
      <x:c r="AI481" s="18"/>
      <x:c r="AJ481" s="3" t="str">
        <x:v>CF2500-063E30C6D599</x:v>
      </x:c>
      <x:c r="AK481" s="3" t="str">
        <x:v>Property investor / home-buying operator prospect</x:v>
      </x:c>
      <x:c r="AL481" s="19" t="n">
        <x:v>100000</x:v>
      </x:c>
      <x:c r="AM481" s="19" t="n">
        <x:v>500000</x:v>
      </x:c>
      <x:c r="AN481" s="3" t="str">
        <x:v>https://www.cashhomebuyersdirectory.com/cash-home-buyers/florida/jacksonville</x:v>
      </x:c>
      <x:c r="AO481" s="3" t="str">
        <x:v>tx_fl_investors.jsonl</x:v>
      </x:c>
      <x:c r="AP481" s="19"/>
    </x:row>
    <x:row r="482" ht="36" customHeight="1">
      <x:c r="A482" s="23" t="n">
        <x:v>481</x:v>
      </x:c>
      <x:c r="B482" s="15" t="str">
        <x:v>I Buy Houses Cash</x:v>
      </x:c>
      <x:c r="C482" s="15"/>
      <x:c r="D482" s="15" t="str">
        <x:v>Property investor / home-buying operator</x:v>
      </x:c>
      <x:c r="E482" s="15" t="str">
        <x:v>Property investor / operator inquiry</x:v>
      </x:c>
      <x:c r="F482" s="17" t="str">
        <x:v>New</x:v>
      </x:c>
      <x:c r="G482" s="24"/>
      <x:c r="H482" s="24" t="str">
        <x:v>+12107741154</x:v>
      </x:c>
      <x:c r="I482" s="24"/>
      <x:c r="J482" s="16" t="str">
        <x:v>TX</x:v>
      </x:c>
      <x:c r="K482" s="16" t="str">
        <x:v>San Antonio</x:v>
      </x:c>
      <x:c r="L482" s="16" t="str">
        <x:v>Public property-business route; investor decision maker unconfirmed</x:v>
      </x:c>
      <x:c r="M482" s="16"/>
      <x:c r="N482" s="16" t="str">
        <x:v>$100K-$500K ticket not published / unconfirmed</x:v>
      </x:c>
      <x:c r="O482" s="20"/>
      <x:c r="P482" s="20"/>
      <x:c r="Q482" s="25" t="str">
        <x:v>No $100K-$500K corporate-investment ticket published in checked source</x:v>
      </x:c>
      <x:c r="R482" s="25" t="str">
        <x:v>Property acquisition or investor activity makes this an operator-capital prospect for the signed trial. Confirm operating-company debt/equity appetite.</x:v>
      </x:c>
      <x:c r="S482" s="25" t="str">
        <x:v>Home-buying activity does not verify ability or willingness to invest $100K-$500K into 101XVC operating company. Website and contact verification pending.</x:v>
      </x:c>
      <x:c r="T482" s="25" t="str">
        <x:v>Ask the owner/investor whether they can allocate $100K-$500K to trial marketing and acquisitions, and confirm structure, timing and decision authority.</x:v>
      </x:c>
      <x:c r="U482" s="25" t="str">
        <x:v>https://www.cashhomebuyersdirectory.com/cash-home-buyers/texas/san-antonio</x:v>
      </x:c>
      <x:c r="V482" s="26" t="d">
        <x:v>2026-10-02T00:00:00.000Z</x:v>
      </x:c>
      <x:c r="W482" s="26" t="d">
        <x:v>2026-10-03T00:00:00.000Z</x:v>
      </x:c>
      <x:c r="X482" s="25" t="str">
        <x:v>Public investor directory; business role and contact ownership require qualification</x:v>
      </x:c>
      <x:c r="Y482" s="25"/>
      <x:c r="Z482" s="25" t="str">
        <x:v>https://www.cashhomebuyersdirectory.com/cash-home-buyers/texas/san-antonio</x:v>
      </x:c>
      <x:c r="AA482" s="25" t="str">
        <x:v>Public cash-home-buyer directory lists business name, phone and market. Directory entry may include brokers or service providers.</x:v>
      </x:c>
      <x:c r="AB482" s="3" t="str">
        <x:v>New public-source collection</x:v>
      </x:c>
      <x:c r="AC482" s="3" t="str">
        <x:v>unverified</x:v>
      </x:c>
      <x:c r="AD482" s="3" t="str">
        <x:v>Not contacted / unconfirmed</x:v>
      </x:c>
      <x:c r="AE482" s="3" t="str">
        <x:v>No</x:v>
      </x:c>
      <x:c r="AF482" s="3" t="str">
        <x:v>No</x:v>
      </x:c>
      <x:c r="AG482" s="3"/>
      <x:c r="AH482" s="3"/>
      <x:c r="AI482" s="18"/>
      <x:c r="AJ482" s="3" t="str">
        <x:v>CF2500-437F21344196</x:v>
      </x:c>
      <x:c r="AK482" s="3" t="str">
        <x:v>Property investor / home-buying operator prospect</x:v>
      </x:c>
      <x:c r="AL482" s="19" t="n">
        <x:v>100000</x:v>
      </x:c>
      <x:c r="AM482" s="19" t="n">
        <x:v>500000</x:v>
      </x:c>
      <x:c r="AN482" s="3" t="str">
        <x:v>https://www.cashhomebuyersdirectory.com/cash-home-buyers/texas/san-antonio</x:v>
      </x:c>
      <x:c r="AO482" s="3" t="str">
        <x:v>tx_fl_investors.jsonl</x:v>
      </x:c>
      <x:c r="AP482" s="19"/>
    </x:row>
    <x:row r="483" ht="36" customHeight="1">
      <x:c r="A483" s="23" t="n">
        <x:v>482</x:v>
      </x:c>
      <x:c r="B483" s="15" t="str">
        <x:v>Kingwood Home Buyers, Firm Offers Kingwood Houses</x:v>
      </x:c>
      <x:c r="C483" s="15"/>
      <x:c r="D483" s="15" t="str">
        <x:v>Property investor / home-buying operator</x:v>
      </x:c>
      <x:c r="E483" s="15" t="str">
        <x:v>Property investor / operator inquiry</x:v>
      </x:c>
      <x:c r="F483" s="17" t="str">
        <x:v>New</x:v>
      </x:c>
      <x:c r="G483" s="24"/>
      <x:c r="H483" s="24" t="str">
        <x:v>+17135154155</x:v>
      </x:c>
      <x:c r="I483" s="24"/>
      <x:c r="J483" s="16" t="str">
        <x:v>TX</x:v>
      </x:c>
      <x:c r="K483" s="16"/>
      <x:c r="L483" s="16" t="str">
        <x:v>Public property-business route; investor decision maker unconfirmed</x:v>
      </x:c>
      <x:c r="M483" s="16"/>
      <x:c r="N483" s="16" t="str">
        <x:v>$100K-$500K ticket not published / unconfirmed</x:v>
      </x:c>
      <x:c r="O483" s="20"/>
      <x:c r="P483" s="20"/>
      <x:c r="Q483" s="25" t="str">
        <x:v>No $100K-$500K corporate-investment ticket published in checked source</x:v>
      </x:c>
      <x:c r="R483" s="25" t="str">
        <x:v>Property acquisition or investor activity makes this an operator-capital prospect for the signed trial. Confirm operating-company debt/equity appetite.</x:v>
      </x:c>
      <x:c r="S483" s="25" t="str">
        <x:v>Home-buying activity does not verify ability or willingness to invest $100K-$500K into 101XVC operating company. Website and contact verification pending.</x:v>
      </x:c>
      <x:c r="T483" s="25" t="str">
        <x:v>Ask the owner/investor whether they can allocate $100K-$500K to trial marketing and acquisitions, and confirm structure, timing and decision authority.</x:v>
      </x:c>
      <x:c r="U483" s="25" t="str">
        <x:v>https://www.cashhomebuyersdirectory.com/cash-home-buyers/texas/kingwood</x:v>
      </x:c>
      <x:c r="V483" s="26" t="d">
        <x:v>2026-10-02T00:00:00.000Z</x:v>
      </x:c>
      <x:c r="W483" s="26" t="d">
        <x:v>2026-10-03T00:00:00.000Z</x:v>
      </x:c>
      <x:c r="X483" s="25" t="str">
        <x:v>Public investor directory; business role and contact ownership require qualification</x:v>
      </x:c>
      <x:c r="Y483" s="25"/>
      <x:c r="Z483" s="25" t="str">
        <x:v>https://www.cashhomebuyersdirectory.com/cash-home-buyers/texas/kingwood</x:v>
      </x:c>
      <x:c r="AA483" s="25" t="str">
        <x:v>Public cash-home-buyer directory lists business name, phone and market. Directory entry may include brokers or service providers.</x:v>
      </x:c>
      <x:c r="AB483" s="3" t="str">
        <x:v>New public-source collection</x:v>
      </x:c>
      <x:c r="AC483" s="3" t="str">
        <x:v>unverified</x:v>
      </x:c>
      <x:c r="AD483" s="3" t="str">
        <x:v>Not contacted / unconfirmed</x:v>
      </x:c>
      <x:c r="AE483" s="3" t="str">
        <x:v>No</x:v>
      </x:c>
      <x:c r="AF483" s="3" t="str">
        <x:v>No</x:v>
      </x:c>
      <x:c r="AG483" s="3"/>
      <x:c r="AH483" s="3"/>
      <x:c r="AI483" s="18"/>
      <x:c r="AJ483" s="3" t="str">
        <x:v>CF2500-5EFBF0482E12</x:v>
      </x:c>
      <x:c r="AK483" s="3" t="str">
        <x:v>Property investor / home-buying operator prospect</x:v>
      </x:c>
      <x:c r="AL483" s="19" t="n">
        <x:v>100000</x:v>
      </x:c>
      <x:c r="AM483" s="19" t="n">
        <x:v>500000</x:v>
      </x:c>
      <x:c r="AN483" s="3" t="str">
        <x:v>https://www.cashhomebuyersdirectory.com/cash-home-buyers/texas/kingwood</x:v>
      </x:c>
      <x:c r="AO483" s="3" t="str">
        <x:v>tx_fl_investors.jsonl</x:v>
      </x:c>
      <x:c r="AP483" s="19"/>
    </x:row>
    <x:row r="484" ht="36" customHeight="1">
      <x:c r="A484" s="23" t="n">
        <x:v>483</x:v>
      </x:c>
      <x:c r="B484" s="15" t="str">
        <x:v>Lime 4D Cash Homes</x:v>
      </x:c>
      <x:c r="C484" s="15"/>
      <x:c r="D484" s="15" t="str">
        <x:v>Property investor / home-buying operator</x:v>
      </x:c>
      <x:c r="E484" s="15" t="str">
        <x:v>Property investor / operator inquiry</x:v>
      </x:c>
      <x:c r="F484" s="17" t="str">
        <x:v>New</x:v>
      </x:c>
      <x:c r="G484" s="24"/>
      <x:c r="H484" s="24" t="str">
        <x:v>+18154727815</x:v>
      </x:c>
      <x:c r="I484" s="24"/>
      <x:c r="J484" s="16" t="str">
        <x:v>IL</x:v>
      </x:c>
      <x:c r="K484" s="16" t="str">
        <x:v>East Moline</x:v>
      </x:c>
      <x:c r="L484" s="16" t="str">
        <x:v>Public property-business route; investor decision maker unconfirmed</x:v>
      </x:c>
      <x:c r="M484" s="16"/>
      <x:c r="N484" s="16" t="str">
        <x:v>$100K-$500K ticket not published / unconfirmed</x:v>
      </x:c>
      <x:c r="O484" s="20"/>
      <x:c r="P484" s="20"/>
      <x:c r="Q484" s="25" t="str">
        <x:v>No $100K-$500K operating-company investment ticket verified</x:v>
      </x:c>
      <x:c r="R484" s="25" t="str">
        <x:v>Property acquisition or investor activity makes this an operator-capital prospect for the signed trial. Confirm operating-company debt/equity appetite.</x:v>
      </x:c>
      <x:c r="S484" s="25" t="str">
        <x:v>Public property-buying activity or a directory listing does not establish available cash, investing decision-maker, current $100K-$500K capacity, or willingness to fund 101XVC operating costs.</x:v>
      </x:c>
      <x:c r="T484" s="25" t="str">
        <x:v>Ask the owner/investor whether they can allocate $100K-$500K to trial marketing and acquisitions, and confirm structure, timing and decision authority.</x:v>
      </x:c>
      <x:c r="U484" s="25" t="str">
        <x:v>https://www.cashhomebuyersdirectory.com/cash-home-buyers/illinois/east-moline</x:v>
      </x:c>
      <x:c r="V484" s="26" t="d">
        <x:v>2026-10-02T00:00:00.000Z</x:v>
      </x:c>
      <x:c r="W484" s="26" t="d">
        <x:v>2026-10-02T00:00:00.000Z</x:v>
      </x:c>
      <x:c r="X484" s="25" t="str">
        <x:v>Public investor directory; business role and contact ownership require qualification</x:v>
      </x:c>
      <x:c r="Y484" s="25"/>
      <x:c r="Z484" s="25" t="str">
        <x:v>https://www.cashhomebuyersdirectory.com/cash-home-buyers/illinois/east-moline</x:v>
      </x:c>
      <x:c r="AA484" s="25" t="str">
        <x:v>Public cash-home-buyer directory lists business name, phone and market. Directory entry may include brokers or service providers.</x:v>
      </x:c>
      <x:c r="AB484" s="3" t="str">
        <x:v>New public-source collection</x:v>
      </x:c>
      <x:c r="AC484" s="3" t="str">
        <x:v>unverified</x:v>
      </x:c>
      <x:c r="AD484" s="3" t="str">
        <x:v>Not contacted / unconfirmed</x:v>
      </x:c>
      <x:c r="AE484" s="3" t="str">
        <x:v>No</x:v>
      </x:c>
      <x:c r="AF484" s="3" t="str">
        <x:v>No</x:v>
      </x:c>
      <x:c r="AG484" s="3"/>
      <x:c r="AH484" s="3"/>
      <x:c r="AI484" s="18"/>
      <x:c r="AJ484" s="3" t="str">
        <x:v>CF2500-E2F3F4A1582F</x:v>
      </x:c>
      <x:c r="AK484" s="3" t="str">
        <x:v>Property investor / home-buying operator prospect</x:v>
      </x:c>
      <x:c r="AL484" s="19" t="n">
        <x:v>100000</x:v>
      </x:c>
      <x:c r="AM484" s="19" t="n">
        <x:v>500000</x:v>
      </x:c>
      <x:c r="AN484" s="3" t="str">
        <x:v>https://www.cashhomebuyersdirectory.com/cash-home-buyers/illinois/east-moline</x:v>
      </x:c>
      <x:c r="AO484" s="3" t="str">
        <x:v>nc_il_az_co_investors.jsonl</x:v>
      </x:c>
      <x:c r="AP484" s="19"/>
    </x:row>
    <x:row r="485" ht="36" customHeight="1">
      <x:c r="A485" s="23" t="n">
        <x:v>484</x:v>
      </x:c>
      <x:c r="B485" s="15" t="str">
        <x:v>Make It Happen Home Buyers</x:v>
      </x:c>
      <x:c r="C485" s="15"/>
      <x:c r="D485" s="15" t="str">
        <x:v>Property investor / home-buying operator</x:v>
      </x:c>
      <x:c r="E485" s="15" t="str">
        <x:v>Property investor / operator inquiry</x:v>
      </x:c>
      <x:c r="F485" s="17" t="str">
        <x:v>New</x:v>
      </x:c>
      <x:c r="G485" s="24"/>
      <x:c r="H485" s="24" t="str">
        <x:v>+19044002247</x:v>
      </x:c>
      <x:c r="I485" s="24"/>
      <x:c r="J485" s="16" t="str">
        <x:v>FL</x:v>
      </x:c>
      <x:c r="K485" s="16" t="str">
        <x:v>Jacksonville</x:v>
      </x:c>
      <x:c r="L485" s="16" t="str">
        <x:v>Public property-business route; investor decision maker unconfirmed</x:v>
      </x:c>
      <x:c r="M485" s="16"/>
      <x:c r="N485" s="16" t="str">
        <x:v>$100K-$500K ticket not published / unconfirmed</x:v>
      </x:c>
      <x:c r="O485" s="20"/>
      <x:c r="P485" s="20"/>
      <x:c r="Q485" s="25" t="str">
        <x:v>No $100K-$500K corporate-investment ticket published in checked source</x:v>
      </x:c>
      <x:c r="R485" s="25" t="str">
        <x:v>Property acquisition or investor activity makes this an operator-capital prospect for the signed trial. Confirm operating-company debt/equity appetite.</x:v>
      </x:c>
      <x:c r="S485" s="25" t="str">
        <x:v>Home-buying activity does not verify ability or willingness to invest $100K-$500K into 101XVC operating company. Website and contact verification pending.</x:v>
      </x:c>
      <x:c r="T485" s="25" t="str">
        <x:v>Ask the owner/investor whether they can allocate $100K-$500K to trial marketing and acquisitions, and confirm structure, timing and decision authority.</x:v>
      </x:c>
      <x:c r="U485" s="25" t="str">
        <x:v>https://www.cashhomebuyersdirectory.com/cash-home-buyers/florida/jacksonville</x:v>
      </x:c>
      <x:c r="V485" s="26" t="d">
        <x:v>2026-10-02T00:00:00.000Z</x:v>
      </x:c>
      <x:c r="W485" s="26" t="d">
        <x:v>2026-10-03T00:00:00.000Z</x:v>
      </x:c>
      <x:c r="X485" s="25" t="str">
        <x:v>Public investor directory; business role and contact ownership require qualification</x:v>
      </x:c>
      <x:c r="Y485" s="25"/>
      <x:c r="Z485" s="25" t="str">
        <x:v>https://www.cashhomebuyersdirectory.com/cash-home-buyers/florida/jacksonville</x:v>
      </x:c>
      <x:c r="AA485" s="25" t="str">
        <x:v>Public cash-home-buyer directory lists business name, phone and market. Directory entry may include brokers or service providers.</x:v>
      </x:c>
      <x:c r="AB485" s="3" t="str">
        <x:v>New public-source collection</x:v>
      </x:c>
      <x:c r="AC485" s="3" t="str">
        <x:v>unverified</x:v>
      </x:c>
      <x:c r="AD485" s="3" t="str">
        <x:v>Not contacted / unconfirmed</x:v>
      </x:c>
      <x:c r="AE485" s="3" t="str">
        <x:v>No</x:v>
      </x:c>
      <x:c r="AF485" s="3" t="str">
        <x:v>No</x:v>
      </x:c>
      <x:c r="AG485" s="3"/>
      <x:c r="AH485" s="3"/>
      <x:c r="AI485" s="18"/>
      <x:c r="AJ485" s="3" t="str">
        <x:v>CF2500-A5FD8F1D4E8B</x:v>
      </x:c>
      <x:c r="AK485" s="3" t="str">
        <x:v>Property investor / home-buying operator prospect</x:v>
      </x:c>
      <x:c r="AL485" s="19" t="n">
        <x:v>100000</x:v>
      </x:c>
      <x:c r="AM485" s="19" t="n">
        <x:v>500000</x:v>
      </x:c>
      <x:c r="AN485" s="3" t="str">
        <x:v>https://www.cashhomebuyersdirectory.com/cash-home-buyers/florida/jacksonville</x:v>
      </x:c>
      <x:c r="AO485" s="3" t="str">
        <x:v>tx_fl_investors.jsonl</x:v>
      </x:c>
      <x:c r="AP485" s="19"/>
    </x:row>
    <x:row r="486" ht="36" customHeight="1">
      <x:c r="A486" s="23" t="n">
        <x:v>485</x:v>
      </x:c>
      <x:c r="B486" s="15" t="str">
        <x:v>Next Door Investments Houston - We Buy &amp; Sell Houses Fast</x:v>
      </x:c>
      <x:c r="C486" s="15"/>
      <x:c r="D486" s="15" t="str">
        <x:v>Property investor / home-buying operator</x:v>
      </x:c>
      <x:c r="E486" s="15" t="str">
        <x:v>Property investor / operator inquiry</x:v>
      </x:c>
      <x:c r="F486" s="17" t="str">
        <x:v>New</x:v>
      </x:c>
      <x:c r="G486" s="24"/>
      <x:c r="H486" s="24" t="str">
        <x:v>+12812411805</x:v>
      </x:c>
      <x:c r="I486" s="24"/>
      <x:c r="J486" s="16" t="str">
        <x:v>TX</x:v>
      </x:c>
      <x:c r="K486" s="16" t="str">
        <x:v>Houston</x:v>
      </x:c>
      <x:c r="L486" s="16" t="str">
        <x:v>Public property-business route; investor decision maker unconfirmed</x:v>
      </x:c>
      <x:c r="M486" s="16"/>
      <x:c r="N486" s="16" t="str">
        <x:v>$100K-$500K ticket not published / unconfirmed</x:v>
      </x:c>
      <x:c r="O486" s="20"/>
      <x:c r="P486" s="20"/>
      <x:c r="Q486" s="25" t="str">
        <x:v>No $100K-$500K corporate-investment ticket published in checked source</x:v>
      </x:c>
      <x:c r="R486" s="25" t="str">
        <x:v>Property acquisition or investor activity makes this an operator-capital prospect for the signed trial. Confirm operating-company debt/equity appetite.</x:v>
      </x:c>
      <x:c r="S486" s="25" t="str">
        <x:v>Home-buying activity does not verify ability or willingness to invest $100K-$500K into 101XVC operating company. Website and contact verification pending.</x:v>
      </x:c>
      <x:c r="T486" s="25" t="str">
        <x:v>Ask the owner/investor whether they can allocate $100K-$500K to trial marketing and acquisitions, and confirm structure, timing and decision authority.</x:v>
      </x:c>
      <x:c r="U486" s="25" t="str">
        <x:v>https://www.cashhomebuyersdirectory.com/cash-home-buyers/texas/houston</x:v>
      </x:c>
      <x:c r="V486" s="26" t="d">
        <x:v>2026-10-02T00:00:00.000Z</x:v>
      </x:c>
      <x:c r="W486" s="26" t="d">
        <x:v>2026-10-03T00:00:00.000Z</x:v>
      </x:c>
      <x:c r="X486" s="25" t="str">
        <x:v>Public investor directory; business role and contact ownership require qualification</x:v>
      </x:c>
      <x:c r="Y486" s="25"/>
      <x:c r="Z486" s="25" t="str">
        <x:v>https://www.cashhomebuyersdirectory.com/cash-home-buyers/texas/houston</x:v>
      </x:c>
      <x:c r="AA486" s="25" t="str">
        <x:v>Public cash-home-buyer directory lists business name, phone and market. Directory entry may include brokers or service providers.</x:v>
      </x:c>
      <x:c r="AB486" s="3" t="str">
        <x:v>New public-source collection</x:v>
      </x:c>
      <x:c r="AC486" s="3" t="str">
        <x:v>unverified</x:v>
      </x:c>
      <x:c r="AD486" s="3" t="str">
        <x:v>Not contacted / unconfirmed</x:v>
      </x:c>
      <x:c r="AE486" s="3" t="str">
        <x:v>No</x:v>
      </x:c>
      <x:c r="AF486" s="3" t="str">
        <x:v>No</x:v>
      </x:c>
      <x:c r="AG486" s="3"/>
      <x:c r="AH486" s="3"/>
      <x:c r="AI486" s="18"/>
      <x:c r="AJ486" s="3" t="str">
        <x:v>CF2500-526898677018</x:v>
      </x:c>
      <x:c r="AK486" s="3" t="str">
        <x:v>Property investor / home-buying operator prospect</x:v>
      </x:c>
      <x:c r="AL486" s="19" t="n">
        <x:v>100000</x:v>
      </x:c>
      <x:c r="AM486" s="19" t="n">
        <x:v>500000</x:v>
      </x:c>
      <x:c r="AN486" s="3" t="str">
        <x:v>https://www.cashhomebuyersdirectory.com/cash-home-buyers/texas/houston</x:v>
      </x:c>
      <x:c r="AO486" s="3" t="str">
        <x:v>tx_fl_investors.jsonl</x:v>
      </x:c>
      <x:c r="AP486" s="19"/>
    </x:row>
    <x:row r="487" ht="36" customHeight="1">
      <x:c r="A487" s="23" t="n">
        <x:v>486</x:v>
      </x:c>
      <x:c r="B487" s="15" t="str">
        <x:v>Next Level Home Buyers LLC</x:v>
      </x:c>
      <x:c r="C487" s="15"/>
      <x:c r="D487" s="15" t="str">
        <x:v>Property investor / home-buying operator</x:v>
      </x:c>
      <x:c r="E487" s="15" t="str">
        <x:v>Property investor / operator inquiry</x:v>
      </x:c>
      <x:c r="F487" s="17" t="str">
        <x:v>New</x:v>
      </x:c>
      <x:c r="G487" s="24"/>
      <x:c r="H487" s="24" t="str">
        <x:v>+19282879615</x:v>
      </x:c>
      <x:c r="I487" s="24"/>
      <x:c r="J487" s="16" t="str">
        <x:v>AZ</x:v>
      </x:c>
      <x:c r="K487" s="16"/>
      <x:c r="L487" s="16" t="str">
        <x:v>Public property-business route; investor decision maker unconfirmed</x:v>
      </x:c>
      <x:c r="M487" s="16" t="str">
        <x:v>https://www.bbb.org/us/az/category/home-buyers</x:v>
      </x:c>
      <x:c r="N487" s="16" t="str">
        <x:v>$100K-$500K ticket not published / unconfirmed</x:v>
      </x:c>
      <x:c r="O487" s="20"/>
      <x:c r="P487" s="20"/>
      <x:c r="Q487" s="25" t="str">
        <x:v>No $100K-$500K operating-company investment ticket verified</x:v>
      </x:c>
      <x:c r="R487" s="25" t="str">
        <x:v>Property acquisition or investor activity makes this an operator-capital prospect for the signed trial. Confirm operating-company debt/equity appetite.</x:v>
      </x:c>
      <x:c r="S487" s="25" t="str">
        <x:v>Public property-buying activity or a directory listing does not establish available cash, investing decision-maker, current $100K-$500K capacity, or willingness to fund 101XVC operating costs.</x:v>
      </x:c>
      <x:c r="T487" s="25" t="str">
        <x:v>Ask the owner/investor whether they can allocate $100K-$500K to trial marketing and acquisitions, and confirm structure, timing and decision authority.</x:v>
      </x:c>
      <x:c r="U487" s="25" t="str">
        <x:v>https://www.bbb.org/us/az/category/home-buyers</x:v>
      </x:c>
      <x:c r="V487" s="26" t="d">
        <x:v>2026-10-02T00:00:00.000Z</x:v>
      </x:c>
      <x:c r="W487" s="26" t="d">
        <x:v>2026-10-02T00:00:00.000Z</x:v>
      </x:c>
      <x:c r="X487" s="25" t="str">
        <x:v>Public investor directory; business role and contact ownership require qualification</x:v>
      </x:c>
      <x:c r="Y487" s="25"/>
      <x:c r="Z487" s="25" t="str">
        <x:v>https://www.bbb.org/us/az/category/home-buyers</x:v>
      </x:c>
      <x:c r="AA487" s="25" t="str">
        <x:v>BBB publicly lists this business as a home buyer, with the recorded business phone. Its investing role and company-capital appetite require qualification.</x:v>
      </x:c>
      <x:c r="AB487" s="3" t="str">
        <x:v>New public-source collection</x:v>
      </x:c>
      <x:c r="AC487" s="3" t="str">
        <x:v>unverified</x:v>
      </x:c>
      <x:c r="AD487" s="3" t="str">
        <x:v>Not contacted / unconfirmed</x:v>
      </x:c>
      <x:c r="AE487" s="3" t="str">
        <x:v>No</x:v>
      </x:c>
      <x:c r="AF487" s="3" t="str">
        <x:v>No</x:v>
      </x:c>
      <x:c r="AG487" s="3"/>
      <x:c r="AH487" s="3"/>
      <x:c r="AI487" s="18"/>
      <x:c r="AJ487" s="3" t="str">
        <x:v>CF2500-124AD4E61FC0</x:v>
      </x:c>
      <x:c r="AK487" s="3" t="str">
        <x:v>Property buyer / investor operator prospect</x:v>
      </x:c>
      <x:c r="AL487" s="19" t="n">
        <x:v>100000</x:v>
      </x:c>
      <x:c r="AM487" s="19" t="n">
        <x:v>500000</x:v>
      </x:c>
      <x:c r="AN487" s="3" t="str">
        <x:v>https://www.bbb.org/us/az/category/home-buyers</x:v>
      </x:c>
      <x:c r="AO487" s="3" t="str">
        <x:v>nc_il_az_co_investors.jsonl</x:v>
      </x:c>
      <x:c r="AP487" s="19"/>
    </x:row>
    <x:row r="488" ht="36" customHeight="1">
      <x:c r="A488" s="23" t="n">
        <x:v>487</x:v>
      </x:c>
      <x:c r="B488" s="15" t="str">
        <x:v>Non MLS House Buyers</x:v>
      </x:c>
      <x:c r="C488" s="15"/>
      <x:c r="D488" s="15" t="str">
        <x:v>Property investor / home-buying operator</x:v>
      </x:c>
      <x:c r="E488" s="15" t="str">
        <x:v>Property investor / operator inquiry</x:v>
      </x:c>
      <x:c r="F488" s="17" t="str">
        <x:v>New</x:v>
      </x:c>
      <x:c r="G488" s="24"/>
      <x:c r="H488" s="24" t="str">
        <x:v>+17135103067</x:v>
      </x:c>
      <x:c r="I488" s="24"/>
      <x:c r="J488" s="16" t="str">
        <x:v>TX</x:v>
      </x:c>
      <x:c r="K488" s="16" t="str">
        <x:v>Houston</x:v>
      </x:c>
      <x:c r="L488" s="16" t="str">
        <x:v>Public property-business route; investor decision maker unconfirmed</x:v>
      </x:c>
      <x:c r="M488" s="16"/>
      <x:c r="N488" s="16" t="str">
        <x:v>$100K-$500K ticket not published / unconfirmed</x:v>
      </x:c>
      <x:c r="O488" s="20"/>
      <x:c r="P488" s="20"/>
      <x:c r="Q488" s="25" t="str">
        <x:v>No $100K-$500K corporate-investment ticket published in checked source</x:v>
      </x:c>
      <x:c r="R488" s="25" t="str">
        <x:v>Property acquisition or investor activity makes this an operator-capital prospect for the signed trial. Confirm operating-company debt/equity appetite.</x:v>
      </x:c>
      <x:c r="S488" s="25" t="str">
        <x:v>Home-buying activity does not verify ability or willingness to invest $100K-$500K into 101XVC operating company. Website and contact verification pending.</x:v>
      </x:c>
      <x:c r="T488" s="25" t="str">
        <x:v>Ask the owner/investor whether they can allocate $100K-$500K to trial marketing and acquisitions, and confirm structure, timing and decision authority.</x:v>
      </x:c>
      <x:c r="U488" s="25" t="str">
        <x:v>https://www.cashhomebuyersdirectory.com/cash-home-buyers/texas/houston</x:v>
      </x:c>
      <x:c r="V488" s="26" t="d">
        <x:v>2026-10-02T00:00:00.000Z</x:v>
      </x:c>
      <x:c r="W488" s="26" t="d">
        <x:v>2026-10-03T00:00:00.000Z</x:v>
      </x:c>
      <x:c r="X488" s="25" t="str">
        <x:v>Public investor directory; business role and contact ownership require qualification</x:v>
      </x:c>
      <x:c r="Y488" s="25"/>
      <x:c r="Z488" s="25" t="str">
        <x:v>https://www.cashhomebuyersdirectory.com/cash-home-buyers/texas/houston</x:v>
      </x:c>
      <x:c r="AA488" s="25" t="str">
        <x:v>Public cash-home-buyer directory lists business name, phone and market. Directory entry may include brokers or service providers.</x:v>
      </x:c>
      <x:c r="AB488" s="3" t="str">
        <x:v>New public-source collection</x:v>
      </x:c>
      <x:c r="AC488" s="3" t="str">
        <x:v>unverified</x:v>
      </x:c>
      <x:c r="AD488" s="3" t="str">
        <x:v>Not contacted / unconfirmed</x:v>
      </x:c>
      <x:c r="AE488" s="3" t="str">
        <x:v>No</x:v>
      </x:c>
      <x:c r="AF488" s="3" t="str">
        <x:v>No</x:v>
      </x:c>
      <x:c r="AG488" s="3"/>
      <x:c r="AH488" s="3"/>
      <x:c r="AI488" s="18"/>
      <x:c r="AJ488" s="3" t="str">
        <x:v>CF2500-4298AF76AD65</x:v>
      </x:c>
      <x:c r="AK488" s="3" t="str">
        <x:v>Property investor / home-buying operator prospect</x:v>
      </x:c>
      <x:c r="AL488" s="19" t="n">
        <x:v>100000</x:v>
      </x:c>
      <x:c r="AM488" s="19" t="n">
        <x:v>500000</x:v>
      </x:c>
      <x:c r="AN488" s="3" t="str">
        <x:v>https://www.cashhomebuyersdirectory.com/cash-home-buyers/texas/houston</x:v>
      </x:c>
      <x:c r="AO488" s="3" t="str">
        <x:v>tx_fl_investors.jsonl</x:v>
      </x:c>
      <x:c r="AP488" s="19"/>
    </x:row>
    <x:row r="489" ht="36" customHeight="1">
      <x:c r="A489" s="23" t="n">
        <x:v>488</x:v>
      </x:c>
      <x:c r="B489" s="15" t="str">
        <x:v>Offero Home Buyers</x:v>
      </x:c>
      <x:c r="C489" s="15"/>
      <x:c r="D489" s="15" t="str">
        <x:v>Property investor / home-buying operator</x:v>
      </x:c>
      <x:c r="E489" s="15" t="str">
        <x:v>Property investor / operator inquiry</x:v>
      </x:c>
      <x:c r="F489" s="17" t="str">
        <x:v>New</x:v>
      </x:c>
      <x:c r="G489" s="24"/>
      <x:c r="H489" s="24" t="str">
        <x:v>+14806089818</x:v>
      </x:c>
      <x:c r="I489" s="24"/>
      <x:c r="J489" s="16" t="str">
        <x:v>AZ</x:v>
      </x:c>
      <x:c r="K489" s="16" t="str">
        <x:v>Phoenix</x:v>
      </x:c>
      <x:c r="L489" s="16" t="str">
        <x:v>Public property-business route; investor decision maker unconfirmed</x:v>
      </x:c>
      <x:c r="M489" s="16"/>
      <x:c r="N489" s="16" t="str">
        <x:v>$100K-$500K ticket not published / unconfirmed</x:v>
      </x:c>
      <x:c r="O489" s="20"/>
      <x:c r="P489" s="20"/>
      <x:c r="Q489" s="25" t="str">
        <x:v>No $100K-$500K operating-company investment ticket verified</x:v>
      </x:c>
      <x:c r="R489" s="25" t="str">
        <x:v>Property acquisition or investor activity makes this an operator-capital prospect for the signed trial. Confirm operating-company debt/equity appetite.</x:v>
      </x:c>
      <x:c r="S489" s="25" t="str">
        <x:v>Public property-buying activity or a directory listing does not establish available cash, investing decision-maker, current $100K-$500K capacity, or willingness to fund 101XVC operating costs.</x:v>
      </x:c>
      <x:c r="T489" s="25" t="str">
        <x:v>Ask the owner/investor whether they can allocate $100K-$500K to trial marketing and acquisitions, and confirm structure, timing and decision authority.</x:v>
      </x:c>
      <x:c r="U489" s="25" t="str">
        <x:v>https://www.cashhomebuyersdirectory.com/cash-home-buyers/arizona/phoenix</x:v>
      </x:c>
      <x:c r="V489" s="26" t="d">
        <x:v>2026-10-02T00:00:00.000Z</x:v>
      </x:c>
      <x:c r="W489" s="26" t="d">
        <x:v>2026-10-02T00:00:00.000Z</x:v>
      </x:c>
      <x:c r="X489" s="25" t="str">
        <x:v>Public investor directory; business role and contact ownership require qualification</x:v>
      </x:c>
      <x:c r="Y489" s="25"/>
      <x:c r="Z489" s="25" t="str">
        <x:v>https://www.cashhomebuyersdirectory.com/cash-home-buyers/arizona/phoenix</x:v>
      </x:c>
      <x:c r="AA489" s="25" t="str">
        <x:v>Public cash-home-buyer directory lists business name, phone and market. Directory entry may include brokers or service providers.</x:v>
      </x:c>
      <x:c r="AB489" s="3" t="str">
        <x:v>New public-source collection</x:v>
      </x:c>
      <x:c r="AC489" s="3" t="str">
        <x:v>unverified</x:v>
      </x:c>
      <x:c r="AD489" s="3" t="str">
        <x:v>Not contacted / unconfirmed</x:v>
      </x:c>
      <x:c r="AE489" s="3" t="str">
        <x:v>No</x:v>
      </x:c>
      <x:c r="AF489" s="3" t="str">
        <x:v>No</x:v>
      </x:c>
      <x:c r="AG489" s="3"/>
      <x:c r="AH489" s="3"/>
      <x:c r="AI489" s="18"/>
      <x:c r="AJ489" s="3" t="str">
        <x:v>CF2500-41D4F00996A9</x:v>
      </x:c>
      <x:c r="AK489" s="3" t="str">
        <x:v>Property investor / home-buying operator prospect</x:v>
      </x:c>
      <x:c r="AL489" s="19" t="n">
        <x:v>100000</x:v>
      </x:c>
      <x:c r="AM489" s="19" t="n">
        <x:v>500000</x:v>
      </x:c>
      <x:c r="AN489" s="3" t="str">
        <x:v>https://www.cashhomebuyersdirectory.com/cash-home-buyers/arizona/phoenix</x:v>
      </x:c>
      <x:c r="AO489" s="3" t="str">
        <x:v>nc_il_az_co_investors.jsonl</x:v>
      </x:c>
      <x:c r="AP489" s="19"/>
    </x:row>
    <x:row r="490" ht="36" customHeight="1">
      <x:c r="A490" s="23" t="n">
        <x:v>489</x:v>
      </x:c>
      <x:c r="B490" s="15" t="str">
        <x:v>Olson Home Buyers</x:v>
      </x:c>
      <x:c r="C490" s="15"/>
      <x:c r="D490" s="15" t="str">
        <x:v>Property investor / home-buying operator</x:v>
      </x:c>
      <x:c r="E490" s="15" t="str">
        <x:v>Property investor / operator inquiry</x:v>
      </x:c>
      <x:c r="F490" s="17" t="str">
        <x:v>New</x:v>
      </x:c>
      <x:c r="G490" s="24"/>
      <x:c r="H490" s="24" t="str">
        <x:v>+13122100115</x:v>
      </x:c>
      <x:c r="I490" s="24"/>
      <x:c r="J490" s="16" t="str">
        <x:v>IL</x:v>
      </x:c>
      <x:c r="K490" s="16"/>
      <x:c r="L490" s="16" t="str">
        <x:v>Public property-business route; investor decision maker unconfirmed</x:v>
      </x:c>
      <x:c r="M490" s="16" t="str">
        <x:v>https://www.bbb.org/us/il/category/home-buyers</x:v>
      </x:c>
      <x:c r="N490" s="16" t="str">
        <x:v>$100K-$500K ticket not published / unconfirmed</x:v>
      </x:c>
      <x:c r="O490" s="20"/>
      <x:c r="P490" s="20"/>
      <x:c r="Q490" s="25" t="str">
        <x:v>No $100K-$500K operating-company investment ticket verified</x:v>
      </x:c>
      <x:c r="R490" s="25" t="str">
        <x:v>Property acquisition or investor activity makes this an operator-capital prospect for the signed trial. Confirm operating-company debt/equity appetite.</x:v>
      </x:c>
      <x:c r="S490" s="25" t="str">
        <x:v>Public property-buying activity or a directory listing does not establish available cash, investing decision-maker, current $100K-$500K capacity, or willingness to fund 101XVC operating costs.</x:v>
      </x:c>
      <x:c r="T490" s="25" t="str">
        <x:v>Ask the owner/investor whether they can allocate $100K-$500K to trial marketing and acquisitions, and confirm structure, timing and decision authority.</x:v>
      </x:c>
      <x:c r="U490" s="25" t="str">
        <x:v>https://www.bbb.org/us/il/category/home-buyers</x:v>
      </x:c>
      <x:c r="V490" s="26" t="d">
        <x:v>2026-10-02T00:00:00.000Z</x:v>
      </x:c>
      <x:c r="W490" s="26" t="d">
        <x:v>2026-10-02T00:00:00.000Z</x:v>
      </x:c>
      <x:c r="X490" s="25" t="str">
        <x:v>Public investor directory; business role and contact ownership require qualification</x:v>
      </x:c>
      <x:c r="Y490" s="25"/>
      <x:c r="Z490" s="25" t="str">
        <x:v>https://www.bbb.org/us/il/category/home-buyers</x:v>
      </x:c>
      <x:c r="AA490" s="25" t="str">
        <x:v>BBB publicly lists this business as a home buyer, with the recorded business phone. Its investing role and company-capital appetite require qualification.</x:v>
      </x:c>
      <x:c r="AB490" s="3" t="str">
        <x:v>New public-source collection</x:v>
      </x:c>
      <x:c r="AC490" s="3" t="str">
        <x:v>unverified</x:v>
      </x:c>
      <x:c r="AD490" s="3" t="str">
        <x:v>Not contacted / unconfirmed</x:v>
      </x:c>
      <x:c r="AE490" s="3" t="str">
        <x:v>No</x:v>
      </x:c>
      <x:c r="AF490" s="3" t="str">
        <x:v>No</x:v>
      </x:c>
      <x:c r="AG490" s="3"/>
      <x:c r="AH490" s="3"/>
      <x:c r="AI490" s="18"/>
      <x:c r="AJ490" s="3" t="str">
        <x:v>CF2500-686194AD08F2</x:v>
      </x:c>
      <x:c r="AK490" s="3" t="str">
        <x:v>Property buyer / investor operator prospect</x:v>
      </x:c>
      <x:c r="AL490" s="19" t="n">
        <x:v>100000</x:v>
      </x:c>
      <x:c r="AM490" s="19" t="n">
        <x:v>500000</x:v>
      </x:c>
      <x:c r="AN490" s="3" t="str">
        <x:v>https://www.bbb.org/us/il/category/home-buyers</x:v>
      </x:c>
      <x:c r="AO490" s="3" t="str">
        <x:v>nc_il_az_co_investors.jsonl</x:v>
      </x:c>
      <x:c r="AP490" s="19"/>
    </x:row>
    <x:row r="491" ht="36" customHeight="1">
      <x:c r="A491" s="23" t="n">
        <x:v>490</x:v>
      </x:c>
      <x:c r="B491" s="15" t="str">
        <x:v>Prime Sell My House Phoenix</x:v>
      </x:c>
      <x:c r="C491" s="15"/>
      <x:c r="D491" s="15" t="str">
        <x:v>Property investor / home-buying operator</x:v>
      </x:c>
      <x:c r="E491" s="15" t="str">
        <x:v>Property investor / operator inquiry</x:v>
      </x:c>
      <x:c r="F491" s="17" t="str">
        <x:v>New</x:v>
      </x:c>
      <x:c r="G491" s="24"/>
      <x:c r="H491" s="24" t="str">
        <x:v>+16027339814</x:v>
      </x:c>
      <x:c r="I491" s="24"/>
      <x:c r="J491" s="16" t="str">
        <x:v>AZ</x:v>
      </x:c>
      <x:c r="K491" s="16" t="str">
        <x:v>Phoenix</x:v>
      </x:c>
      <x:c r="L491" s="16" t="str">
        <x:v>Public property-business route; investor decision maker unconfirmed</x:v>
      </x:c>
      <x:c r="M491" s="16"/>
      <x:c r="N491" s="16" t="str">
        <x:v>$100K-$500K ticket not published / unconfirmed</x:v>
      </x:c>
      <x:c r="O491" s="20"/>
      <x:c r="P491" s="20"/>
      <x:c r="Q491" s="25" t="str">
        <x:v>No $100K-$500K operating-company investment ticket verified</x:v>
      </x:c>
      <x:c r="R491" s="25" t="str">
        <x:v>Property acquisition or investor activity makes this an operator-capital prospect for the signed trial. Confirm operating-company debt/equity appetite.</x:v>
      </x:c>
      <x:c r="S491" s="25" t="str">
        <x:v>Public property-buying activity or a directory listing does not establish available cash, investing decision-maker, current $100K-$500K capacity, or willingness to fund 101XVC operating costs.</x:v>
      </x:c>
      <x:c r="T491" s="25" t="str">
        <x:v>Ask the owner/investor whether they can allocate $100K-$500K to trial marketing and acquisitions, and confirm structure, timing and decision authority.</x:v>
      </x:c>
      <x:c r="U491" s="25" t="str">
        <x:v>https://www.cashhomebuyersdirectory.com/cash-home-buyers/arizona/phoenix</x:v>
      </x:c>
      <x:c r="V491" s="26" t="d">
        <x:v>2026-10-02T00:00:00.000Z</x:v>
      </x:c>
      <x:c r="W491" s="26" t="d">
        <x:v>2026-10-02T00:00:00.000Z</x:v>
      </x:c>
      <x:c r="X491" s="25" t="str">
        <x:v>Public investor directory; business role and contact ownership require qualification</x:v>
      </x:c>
      <x:c r="Y491" s="25"/>
      <x:c r="Z491" s="25" t="str">
        <x:v>https://www.cashhomebuyersdirectory.com/cash-home-buyers/arizona/phoenix</x:v>
      </x:c>
      <x:c r="AA491" s="25" t="str">
        <x:v>Public cash-home-buyer directory lists business name, phone and market. Directory entry may include brokers or service providers.</x:v>
      </x:c>
      <x:c r="AB491" s="3" t="str">
        <x:v>New public-source collection</x:v>
      </x:c>
      <x:c r="AC491" s="3" t="str">
        <x:v>unverified</x:v>
      </x:c>
      <x:c r="AD491" s="3" t="str">
        <x:v>Not contacted / unconfirmed</x:v>
      </x:c>
      <x:c r="AE491" s="3" t="str">
        <x:v>No</x:v>
      </x:c>
      <x:c r="AF491" s="3" t="str">
        <x:v>No</x:v>
      </x:c>
      <x:c r="AG491" s="3"/>
      <x:c r="AH491" s="3"/>
      <x:c r="AI491" s="18"/>
      <x:c r="AJ491" s="3" t="str">
        <x:v>CF2500-CD9FD0D4C628</x:v>
      </x:c>
      <x:c r="AK491" s="3" t="str">
        <x:v>Property investor / home-buying operator prospect</x:v>
      </x:c>
      <x:c r="AL491" s="19" t="n">
        <x:v>100000</x:v>
      </x:c>
      <x:c r="AM491" s="19" t="n">
        <x:v>500000</x:v>
      </x:c>
      <x:c r="AN491" s="3" t="str">
        <x:v>https://www.cashhomebuyersdirectory.com/cash-home-buyers/arizona/phoenix</x:v>
      </x:c>
      <x:c r="AO491" s="3" t="str">
        <x:v>nc_il_az_co_investors.jsonl</x:v>
      </x:c>
      <x:c r="AP491" s="19"/>
    </x:row>
    <x:row r="492" ht="36" customHeight="1">
      <x:c r="A492" s="23" t="n">
        <x:v>491</x:v>
      </x:c>
      <x:c r="B492" s="15" t="str">
        <x:v>Prime Sell My House Quick</x:v>
      </x:c>
      <x:c r="C492" s="15"/>
      <x:c r="D492" s="15" t="str">
        <x:v>Property investor / home-buying operator</x:v>
      </x:c>
      <x:c r="E492" s="15" t="str">
        <x:v>Property investor / operator inquiry</x:v>
      </x:c>
      <x:c r="F492" s="17" t="str">
        <x:v>New</x:v>
      </x:c>
      <x:c r="G492" s="24"/>
      <x:c r="H492" s="24" t="str">
        <x:v>+13246759365</x:v>
      </x:c>
      <x:c r="I492" s="24"/>
      <x:c r="J492" s="16" t="str">
        <x:v>FL</x:v>
      </x:c>
      <x:c r="K492" s="16" t="str">
        <x:v>Jacksonville</x:v>
      </x:c>
      <x:c r="L492" s="16" t="str">
        <x:v>Public property-business route; investor decision maker unconfirmed</x:v>
      </x:c>
      <x:c r="M492" s="16"/>
      <x:c r="N492" s="16" t="str">
        <x:v>$100K-$500K ticket not published / unconfirmed</x:v>
      </x:c>
      <x:c r="O492" s="20"/>
      <x:c r="P492" s="20"/>
      <x:c r="Q492" s="25" t="str">
        <x:v>No $100K-$500K corporate-investment ticket published in checked source</x:v>
      </x:c>
      <x:c r="R492" s="25" t="str">
        <x:v>Property acquisition or investor activity makes this an operator-capital prospect for the signed trial. Confirm operating-company debt/equity appetite.</x:v>
      </x:c>
      <x:c r="S492" s="25" t="str">
        <x:v>Home-buying activity does not verify ability or willingness to invest $100K-$500K into 101XVC operating company. Website and contact verification pending.</x:v>
      </x:c>
      <x:c r="T492" s="25" t="str">
        <x:v>Ask the owner/investor whether they can allocate $100K-$500K to trial marketing and acquisitions, and confirm structure, timing and decision authority.</x:v>
      </x:c>
      <x:c r="U492" s="25" t="str">
        <x:v>https://www.cashhomebuyersdirectory.com/cash-home-buyers/florida/jacksonville</x:v>
      </x:c>
      <x:c r="V492" s="26" t="d">
        <x:v>2026-10-02T00:00:00.000Z</x:v>
      </x:c>
      <x:c r="W492" s="26" t="d">
        <x:v>2026-10-03T00:00:00.000Z</x:v>
      </x:c>
      <x:c r="X492" s="25" t="str">
        <x:v>Public investor directory; business role and contact ownership require qualification</x:v>
      </x:c>
      <x:c r="Y492" s="25"/>
      <x:c r="Z492" s="25" t="str">
        <x:v>https://www.cashhomebuyersdirectory.com/cash-home-buyers/florida/jacksonville</x:v>
      </x:c>
      <x:c r="AA492" s="25" t="str">
        <x:v>Public cash-home-buyer directory lists business name, phone and market. Directory entry may include brokers or service providers.</x:v>
      </x:c>
      <x:c r="AB492" s="3" t="str">
        <x:v>New public-source collection</x:v>
      </x:c>
      <x:c r="AC492" s="3" t="str">
        <x:v>unverified</x:v>
      </x:c>
      <x:c r="AD492" s="3" t="str">
        <x:v>Not contacted / unconfirmed</x:v>
      </x:c>
      <x:c r="AE492" s="3" t="str">
        <x:v>No</x:v>
      </x:c>
      <x:c r="AF492" s="3" t="str">
        <x:v>No</x:v>
      </x:c>
      <x:c r="AG492" s="3"/>
      <x:c r="AH492" s="3"/>
      <x:c r="AI492" s="18"/>
      <x:c r="AJ492" s="3" t="str">
        <x:v>CF2500-B691973F877D</x:v>
      </x:c>
      <x:c r="AK492" s="3" t="str">
        <x:v>Property investor / home-buying operator prospect</x:v>
      </x:c>
      <x:c r="AL492" s="19" t="n">
        <x:v>100000</x:v>
      </x:c>
      <x:c r="AM492" s="19" t="n">
        <x:v>500000</x:v>
      </x:c>
      <x:c r="AN492" s="3" t="str">
        <x:v>https://www.cashhomebuyersdirectory.com/cash-home-buyers/florida/jacksonville</x:v>
      </x:c>
      <x:c r="AO492" s="3" t="str">
        <x:v>tx_fl_investors.jsonl</x:v>
      </x:c>
      <x:c r="AP492" s="19"/>
    </x:row>
    <x:row r="493" ht="36" customHeight="1">
      <x:c r="A493" s="23" t="n">
        <x:v>492</x:v>
      </x:c>
      <x:c r="B493" s="15" t="str">
        <x:v>Professional Property Buyers LLC</x:v>
      </x:c>
      <x:c r="C493" s="15"/>
      <x:c r="D493" s="15" t="str">
        <x:v>Property investor / home-buying operator</x:v>
      </x:c>
      <x:c r="E493" s="15" t="str">
        <x:v>Property investor / operator inquiry</x:v>
      </x:c>
      <x:c r="F493" s="17" t="str">
        <x:v>New</x:v>
      </x:c>
      <x:c r="G493" s="24"/>
      <x:c r="H493" s="24" t="str">
        <x:v>+18479997524</x:v>
      </x:c>
      <x:c r="I493" s="24"/>
      <x:c r="J493" s="16" t="str">
        <x:v>IL</x:v>
      </x:c>
      <x:c r="K493" s="16"/>
      <x:c r="L493" s="16" t="str">
        <x:v>Public property-business route; investor decision maker unconfirmed</x:v>
      </x:c>
      <x:c r="M493" s="16" t="str">
        <x:v>https://www.bbb.org/us/il/category/home-buyers</x:v>
      </x:c>
      <x:c r="N493" s="16" t="str">
        <x:v>$100K-$500K ticket not published / unconfirmed</x:v>
      </x:c>
      <x:c r="O493" s="20"/>
      <x:c r="P493" s="20"/>
      <x:c r="Q493" s="25" t="str">
        <x:v>No $100K-$500K operating-company investment ticket verified</x:v>
      </x:c>
      <x:c r="R493" s="25" t="str">
        <x:v>Property acquisition or investor activity makes this an operator-capital prospect for the signed trial. Confirm operating-company debt/equity appetite.</x:v>
      </x:c>
      <x:c r="S493" s="25" t="str">
        <x:v>Public property-buying activity or a directory listing does not establish available cash, investing decision-maker, current $100K-$500K capacity, or willingness to fund 101XVC operating costs.</x:v>
      </x:c>
      <x:c r="T493" s="25" t="str">
        <x:v>Ask the owner/investor whether they can allocate $100K-$500K to trial marketing and acquisitions, and confirm structure, timing and decision authority.</x:v>
      </x:c>
      <x:c r="U493" s="25" t="str">
        <x:v>https://www.bbb.org/us/il/category/home-buyers</x:v>
      </x:c>
      <x:c r="V493" s="26" t="d">
        <x:v>2026-10-02T00:00:00.000Z</x:v>
      </x:c>
      <x:c r="W493" s="26" t="d">
        <x:v>2026-10-02T00:00:00.000Z</x:v>
      </x:c>
      <x:c r="X493" s="25" t="str">
        <x:v>Public investor directory; business role and contact ownership require qualification</x:v>
      </x:c>
      <x:c r="Y493" s="25"/>
      <x:c r="Z493" s="25" t="str">
        <x:v>https://www.bbb.org/us/il/category/home-buyers</x:v>
      </x:c>
      <x:c r="AA493" s="25" t="str">
        <x:v>BBB publicly lists this business as a home buyer, with the recorded business phone. Its investing role and company-capital appetite require qualification.</x:v>
      </x:c>
      <x:c r="AB493" s="3" t="str">
        <x:v>New public-source collection</x:v>
      </x:c>
      <x:c r="AC493" s="3" t="str">
        <x:v>unverified</x:v>
      </x:c>
      <x:c r="AD493" s="3" t="str">
        <x:v>Not contacted / unconfirmed</x:v>
      </x:c>
      <x:c r="AE493" s="3" t="str">
        <x:v>No</x:v>
      </x:c>
      <x:c r="AF493" s="3" t="str">
        <x:v>No</x:v>
      </x:c>
      <x:c r="AG493" s="3"/>
      <x:c r="AH493" s="3"/>
      <x:c r="AI493" s="18"/>
      <x:c r="AJ493" s="3" t="str">
        <x:v>CF2500-943DCC75E2D1</x:v>
      </x:c>
      <x:c r="AK493" s="3" t="str">
        <x:v>Property buyer / investor operator prospect</x:v>
      </x:c>
      <x:c r="AL493" s="19" t="n">
        <x:v>100000</x:v>
      </x:c>
      <x:c r="AM493" s="19" t="n">
        <x:v>500000</x:v>
      </x:c>
      <x:c r="AN493" s="3" t="str">
        <x:v>https://www.bbb.org/us/il/category/home-buyers</x:v>
      </x:c>
      <x:c r="AO493" s="3" t="str">
        <x:v>nc_il_az_co_investors.jsonl</x:v>
      </x:c>
      <x:c r="AP493" s="19"/>
    </x:row>
    <x:row r="494" ht="36" customHeight="1">
      <x:c r="A494" s="23" t="n">
        <x:v>493</x:v>
      </x:c>
      <x:c r="B494" s="15" t="str">
        <x:v>Proper Cash Offer LLC</x:v>
      </x:c>
      <x:c r="C494" s="15"/>
      <x:c r="D494" s="15" t="str">
        <x:v>Property investor / home-buying operator</x:v>
      </x:c>
      <x:c r="E494" s="15" t="str">
        <x:v>Property investor / operator inquiry</x:v>
      </x:c>
      <x:c r="F494" s="17" t="str">
        <x:v>New</x:v>
      </x:c>
      <x:c r="G494" s="24"/>
      <x:c r="H494" s="24" t="str">
        <x:v>+14803828803</x:v>
      </x:c>
      <x:c r="I494" s="24"/>
      <x:c r="J494" s="16" t="str">
        <x:v>AZ</x:v>
      </x:c>
      <x:c r="K494" s="16" t="str">
        <x:v>Glendale</x:v>
      </x:c>
      <x:c r="L494" s="16" t="str">
        <x:v>Public property-business route; investor decision maker unconfirmed</x:v>
      </x:c>
      <x:c r="M494" s="16"/>
      <x:c r="N494" s="16" t="str">
        <x:v>$100K-$500K ticket not published / unconfirmed</x:v>
      </x:c>
      <x:c r="O494" s="20"/>
      <x:c r="P494" s="20"/>
      <x:c r="Q494" s="25" t="str">
        <x:v>No $100K-$500K operating-company investment ticket verified</x:v>
      </x:c>
      <x:c r="R494" s="25" t="str">
        <x:v>Property acquisition or investor activity makes this an operator-capital prospect for the signed trial. Confirm operating-company debt/equity appetite.</x:v>
      </x:c>
      <x:c r="S494" s="25" t="str">
        <x:v>Public property-buying activity or a directory listing does not establish available cash, investing decision-maker, current $100K-$500K capacity, or willingness to fund 101XVC operating costs.</x:v>
      </x:c>
      <x:c r="T494" s="25" t="str">
        <x:v>Ask the owner/investor whether they can allocate $100K-$500K to trial marketing and acquisitions, and confirm structure, timing and decision authority.</x:v>
      </x:c>
      <x:c r="U494" s="25" t="str">
        <x:v>https://www.cashhomebuyersdirectory.com/cash-home-buyers/arizona/glendale</x:v>
      </x:c>
      <x:c r="V494" s="26" t="d">
        <x:v>2026-10-02T00:00:00.000Z</x:v>
      </x:c>
      <x:c r="W494" s="26" t="d">
        <x:v>2026-10-02T00:00:00.000Z</x:v>
      </x:c>
      <x:c r="X494" s="25" t="str">
        <x:v>Public investor directory; business role and contact ownership require qualification</x:v>
      </x:c>
      <x:c r="Y494" s="25"/>
      <x:c r="Z494" s="25" t="str">
        <x:v>https://www.cashhomebuyersdirectory.com/cash-home-buyers/arizona/glendale</x:v>
      </x:c>
      <x:c r="AA494" s="25" t="str">
        <x:v>Public cash-home-buyer directory lists business name, phone and market. Directory entry may include brokers or service providers.</x:v>
      </x:c>
      <x:c r="AB494" s="3" t="str">
        <x:v>New public-source collection</x:v>
      </x:c>
      <x:c r="AC494" s="3" t="str">
        <x:v>unverified</x:v>
      </x:c>
      <x:c r="AD494" s="3" t="str">
        <x:v>Not contacted / unconfirmed</x:v>
      </x:c>
      <x:c r="AE494" s="3" t="str">
        <x:v>No</x:v>
      </x:c>
      <x:c r="AF494" s="3" t="str">
        <x:v>No</x:v>
      </x:c>
      <x:c r="AG494" s="3"/>
      <x:c r="AH494" s="3"/>
      <x:c r="AI494" s="18"/>
      <x:c r="AJ494" s="3" t="str">
        <x:v>CF2500-0CBFB5E6F9B3</x:v>
      </x:c>
      <x:c r="AK494" s="3" t="str">
        <x:v>Property investor / home-buying operator prospect</x:v>
      </x:c>
      <x:c r="AL494" s="19" t="n">
        <x:v>100000</x:v>
      </x:c>
      <x:c r="AM494" s="19" t="n">
        <x:v>500000</x:v>
      </x:c>
      <x:c r="AN494" s="3" t="str">
        <x:v>https://www.cashhomebuyersdirectory.com/cash-home-buyers/arizona/glendale</x:v>
      </x:c>
      <x:c r="AO494" s="3" t="str">
        <x:v>nc_il_az_co_investors.jsonl</x:v>
      </x:c>
      <x:c r="AP494" s="19"/>
    </x:row>
    <x:row r="495" ht="36" customHeight="1">
      <x:c r="A495" s="23" t="n">
        <x:v>494</x:v>
      </x:c>
      <x:c r="B495" s="15" t="str">
        <x:v>Property House Buyer</x:v>
      </x:c>
      <x:c r="C495" s="15"/>
      <x:c r="D495" s="15" t="str">
        <x:v>Property investor / home-buying operator</x:v>
      </x:c>
      <x:c r="E495" s="15" t="str">
        <x:v>Property investor / operator inquiry</x:v>
      </x:c>
      <x:c r="F495" s="17" t="str">
        <x:v>New</x:v>
      </x:c>
      <x:c r="G495" s="24"/>
      <x:c r="H495" s="24" t="str">
        <x:v>+13125354412</x:v>
      </x:c>
      <x:c r="I495" s="24"/>
      <x:c r="J495" s="16" t="str">
        <x:v>IL</x:v>
      </x:c>
      <x:c r="K495" s="16" t="str">
        <x:v>Lemont</x:v>
      </x:c>
      <x:c r="L495" s="16" t="str">
        <x:v>Public property-business route; investor decision maker unconfirmed</x:v>
      </x:c>
      <x:c r="M495" s="16"/>
      <x:c r="N495" s="16" t="str">
        <x:v>$100K-$500K ticket not published / unconfirmed</x:v>
      </x:c>
      <x:c r="O495" s="20"/>
      <x:c r="P495" s="20"/>
      <x:c r="Q495" s="25" t="str">
        <x:v>No $100K-$500K operating-company investment ticket verified</x:v>
      </x:c>
      <x:c r="R495" s="25" t="str">
        <x:v>Property acquisition or investor activity makes this an operator-capital prospect for the signed trial. Confirm operating-company debt/equity appetite.</x:v>
      </x:c>
      <x:c r="S495" s="25" t="str">
        <x:v>Public property-buying activity or a directory listing does not establish available cash, investing decision-maker, current $100K-$500K capacity, or willingness to fund 101XVC operating costs.</x:v>
      </x:c>
      <x:c r="T495" s="25" t="str">
        <x:v>Ask the owner/investor whether they can allocate $100K-$500K to trial marketing and acquisitions, and confirm structure, timing and decision authority.</x:v>
      </x:c>
      <x:c r="U495" s="25" t="str">
        <x:v>https://www.cashhomebuyersdirectory.com/cash-home-buyers/illinois/lemont
https://www.bbb.org/us/il/category/home-buyers</x:v>
      </x:c>
      <x:c r="V495" s="26" t="d">
        <x:v>2026-10-02T00:00:00.000Z</x:v>
      </x:c>
      <x:c r="W495" s="26" t="d">
        <x:v>2026-10-02T00:00:00.000Z</x:v>
      </x:c>
      <x:c r="X495" s="25" t="str">
        <x:v>Public investor directory; business role and contact ownership require qualification</x:v>
      </x:c>
      <x:c r="Y495" s="25"/>
      <x:c r="Z495" s="25" t="str">
        <x:v>https://www.cashhomebuyersdirectory.com/cash-home-buyers/illinois/lemont</x:v>
      </x:c>
      <x:c r="AA495" s="25" t="str">
        <x:v>Public cash-home-buyer directory lists business name, phone and market. Directory entry may include brokers or service providers.</x:v>
      </x:c>
      <x:c r="AB495" s="3" t="str">
        <x:v>New public-source collection</x:v>
      </x:c>
      <x:c r="AC495" s="3" t="str">
        <x:v>unverified</x:v>
      </x:c>
      <x:c r="AD495" s="3" t="str">
        <x:v>Not contacted / unconfirmed</x:v>
      </x:c>
      <x:c r="AE495" s="3" t="str">
        <x:v>No</x:v>
      </x:c>
      <x:c r="AF495" s="3" t="str">
        <x:v>No</x:v>
      </x:c>
      <x:c r="AG495" s="3"/>
      <x:c r="AH495" s="3"/>
      <x:c r="AI495" s="18"/>
      <x:c r="AJ495" s="3" t="str">
        <x:v>CF2500-45F553B18D8B</x:v>
      </x:c>
      <x:c r="AK495" s="3" t="str">
        <x:v>Property investor / home-buying operator prospect</x:v>
      </x:c>
      <x:c r="AL495" s="19" t="n">
        <x:v>100000</x:v>
      </x:c>
      <x:c r="AM495" s="19" t="n">
        <x:v>500000</x:v>
      </x:c>
      <x:c r="AN495" s="3" t="str">
        <x:v>https://www.cashhomebuyersdirectory.com/cash-home-buyers/illinois/lemont</x:v>
      </x:c>
      <x:c r="AO495" s="3" t="str">
        <x:v>nc_il_az_co_investors.jsonl</x:v>
      </x:c>
      <x:c r="AP495" s="19"/>
    </x:row>
    <x:row r="496" ht="36" customHeight="1">
      <x:c r="A496" s="23" t="n">
        <x:v>495</x:v>
      </x:c>
      <x:c r="B496" s="15" t="str">
        <x:v>Quick N Easy Home Buyers - (QNEHB)</x:v>
      </x:c>
      <x:c r="C496" s="15"/>
      <x:c r="D496" s="15" t="str">
        <x:v>Property investor / home-buying operator</x:v>
      </x:c>
      <x:c r="E496" s="15" t="str">
        <x:v>Property investor / operator inquiry</x:v>
      </x:c>
      <x:c r="F496" s="17" t="str">
        <x:v>New</x:v>
      </x:c>
      <x:c r="G496" s="24"/>
      <x:c r="H496" s="24" t="str">
        <x:v>+12107750641</x:v>
      </x:c>
      <x:c r="I496" s="24"/>
      <x:c r="J496" s="16" t="str">
        <x:v>TX</x:v>
      </x:c>
      <x:c r="K496" s="16" t="str">
        <x:v>San Antonio</x:v>
      </x:c>
      <x:c r="L496" s="16" t="str">
        <x:v>Public property-business route; investor decision maker unconfirmed</x:v>
      </x:c>
      <x:c r="M496" s="16"/>
      <x:c r="N496" s="16" t="str">
        <x:v>$100K-$500K ticket not published / unconfirmed</x:v>
      </x:c>
      <x:c r="O496" s="20"/>
      <x:c r="P496" s="20"/>
      <x:c r="Q496" s="25" t="str">
        <x:v>No $100K-$500K corporate-investment ticket published in checked source</x:v>
      </x:c>
      <x:c r="R496" s="25" t="str">
        <x:v>Property acquisition or investor activity makes this an operator-capital prospect for the signed trial. Confirm operating-company debt/equity appetite.</x:v>
      </x:c>
      <x:c r="S496" s="25" t="str">
        <x:v>Home-buying activity does not verify ability or willingness to invest $100K-$500K into 101XVC operating company. Website and contact verification pending.</x:v>
      </x:c>
      <x:c r="T496" s="25" t="str">
        <x:v>Ask the owner/investor whether they can allocate $100K-$500K to trial marketing and acquisitions, and confirm structure, timing and decision authority.</x:v>
      </x:c>
      <x:c r="U496" s="25" t="str">
        <x:v>https://www.cashhomebuyersdirectory.com/cash-home-buyers/texas/san-antonio</x:v>
      </x:c>
      <x:c r="V496" s="26" t="d">
        <x:v>2026-10-02T00:00:00.000Z</x:v>
      </x:c>
      <x:c r="W496" s="26" t="d">
        <x:v>2026-10-03T00:00:00.000Z</x:v>
      </x:c>
      <x:c r="X496" s="25" t="str">
        <x:v>Public investor directory; business role and contact ownership require qualification</x:v>
      </x:c>
      <x:c r="Y496" s="25"/>
      <x:c r="Z496" s="25" t="str">
        <x:v>https://www.cashhomebuyersdirectory.com/cash-home-buyers/texas/san-antonio</x:v>
      </x:c>
      <x:c r="AA496" s="25" t="str">
        <x:v>Public cash-home-buyer directory lists business name, phone and market. Directory entry may include brokers or service providers.</x:v>
      </x:c>
      <x:c r="AB496" s="3" t="str">
        <x:v>New public-source collection</x:v>
      </x:c>
      <x:c r="AC496" s="3" t="str">
        <x:v>unverified</x:v>
      </x:c>
      <x:c r="AD496" s="3" t="str">
        <x:v>Not contacted / unconfirmed</x:v>
      </x:c>
      <x:c r="AE496" s="3" t="str">
        <x:v>No</x:v>
      </x:c>
      <x:c r="AF496" s="3" t="str">
        <x:v>No</x:v>
      </x:c>
      <x:c r="AG496" s="3"/>
      <x:c r="AH496" s="3"/>
      <x:c r="AI496" s="18"/>
      <x:c r="AJ496" s="3" t="str">
        <x:v>CF2500-12913ED5F4CD</x:v>
      </x:c>
      <x:c r="AK496" s="3" t="str">
        <x:v>Property investor / home-buying operator prospect</x:v>
      </x:c>
      <x:c r="AL496" s="19" t="n">
        <x:v>100000</x:v>
      </x:c>
      <x:c r="AM496" s="19" t="n">
        <x:v>500000</x:v>
      </x:c>
      <x:c r="AN496" s="3" t="str">
        <x:v>https://www.cashhomebuyersdirectory.com/cash-home-buyers/texas/san-antonio</x:v>
      </x:c>
      <x:c r="AO496" s="3" t="str">
        <x:v>tx_fl_investors.jsonl</x:v>
      </x:c>
      <x:c r="AP496" s="19"/>
    </x:row>
    <x:row r="497" ht="36" customHeight="1">
      <x:c r="A497" s="23" t="n">
        <x:v>496</x:v>
      </x:c>
      <x:c r="B497" s="15" t="str">
        <x:v>S.A. House Buyers</x:v>
      </x:c>
      <x:c r="C497" s="15"/>
      <x:c r="D497" s="15" t="str">
        <x:v>Property investor / home-buying operator</x:v>
      </x:c>
      <x:c r="E497" s="15" t="str">
        <x:v>Property investor / operator inquiry</x:v>
      </x:c>
      <x:c r="F497" s="17" t="str">
        <x:v>New</x:v>
      </x:c>
      <x:c r="G497" s="24"/>
      <x:c r="H497" s="24" t="str">
        <x:v>+12105937377</x:v>
      </x:c>
      <x:c r="I497" s="24"/>
      <x:c r="J497" s="16" t="str">
        <x:v>TX</x:v>
      </x:c>
      <x:c r="K497" s="16" t="str">
        <x:v>San Antonio</x:v>
      </x:c>
      <x:c r="L497" s="16" t="str">
        <x:v>Public property-business route; investor decision maker unconfirmed</x:v>
      </x:c>
      <x:c r="M497" s="16"/>
      <x:c r="N497" s="16" t="str">
        <x:v>$100K-$500K ticket not published / unconfirmed</x:v>
      </x:c>
      <x:c r="O497" s="20"/>
      <x:c r="P497" s="20"/>
      <x:c r="Q497" s="25" t="str">
        <x:v>No $100K-$500K corporate-investment ticket published in checked source</x:v>
      </x:c>
      <x:c r="R497" s="25" t="str">
        <x:v>Property acquisition or investor activity makes this an operator-capital prospect for the signed trial. Confirm operating-company debt/equity appetite.</x:v>
      </x:c>
      <x:c r="S497" s="25" t="str">
        <x:v>Home-buying activity does not verify ability or willingness to invest $100K-$500K into 101XVC operating company. Website and contact verification pending.</x:v>
      </x:c>
      <x:c r="T497" s="25" t="str">
        <x:v>Ask the owner/investor whether they can allocate $100K-$500K to trial marketing and acquisitions, and confirm structure, timing and decision authority.</x:v>
      </x:c>
      <x:c r="U497" s="25" t="str">
        <x:v>https://www.cashhomebuyersdirectory.com/cash-home-buyers/texas/san-antonio</x:v>
      </x:c>
      <x:c r="V497" s="26" t="d">
        <x:v>2026-10-02T00:00:00.000Z</x:v>
      </x:c>
      <x:c r="W497" s="26" t="d">
        <x:v>2026-10-03T00:00:00.000Z</x:v>
      </x:c>
      <x:c r="X497" s="25" t="str">
        <x:v>Public investor directory; business role and contact ownership require qualification</x:v>
      </x:c>
      <x:c r="Y497" s="25"/>
      <x:c r="Z497" s="25" t="str">
        <x:v>https://www.cashhomebuyersdirectory.com/cash-home-buyers/texas/san-antonio</x:v>
      </x:c>
      <x:c r="AA497" s="25" t="str">
        <x:v>Public cash-home-buyer directory lists business name, phone and market. Directory entry may include brokers or service providers.</x:v>
      </x:c>
      <x:c r="AB497" s="3" t="str">
        <x:v>New public-source collection</x:v>
      </x:c>
      <x:c r="AC497" s="3" t="str">
        <x:v>unverified</x:v>
      </x:c>
      <x:c r="AD497" s="3" t="str">
        <x:v>Not contacted / unconfirmed</x:v>
      </x:c>
      <x:c r="AE497" s="3" t="str">
        <x:v>No</x:v>
      </x:c>
      <x:c r="AF497" s="3" t="str">
        <x:v>No</x:v>
      </x:c>
      <x:c r="AG497" s="3"/>
      <x:c r="AH497" s="3"/>
      <x:c r="AI497" s="18"/>
      <x:c r="AJ497" s="3" t="str">
        <x:v>CF2500-B447D209AD58</x:v>
      </x:c>
      <x:c r="AK497" s="3" t="str">
        <x:v>Property investor / home-buying operator prospect</x:v>
      </x:c>
      <x:c r="AL497" s="19" t="n">
        <x:v>100000</x:v>
      </x:c>
      <x:c r="AM497" s="19" t="n">
        <x:v>500000</x:v>
      </x:c>
      <x:c r="AN497" s="3" t="str">
        <x:v>https://www.cashhomebuyersdirectory.com/cash-home-buyers/texas/san-antonio</x:v>
      </x:c>
      <x:c r="AO497" s="3" t="str">
        <x:v>tx_fl_investors.jsonl</x:v>
      </x:c>
      <x:c r="AP497" s="19"/>
    </x:row>
    <x:row r="498" ht="36" customHeight="1">
      <x:c r="A498" s="23" t="n">
        <x:v>497</x:v>
      </x:c>
      <x:c r="B498" s="15" t="str">
        <x:v>SA Texas Home Buyer</x:v>
      </x:c>
      <x:c r="C498" s="15"/>
      <x:c r="D498" s="15" t="str">
        <x:v>Property investor / home-buying operator</x:v>
      </x:c>
      <x:c r="E498" s="15" t="str">
        <x:v>Property investor / operator inquiry</x:v>
      </x:c>
      <x:c r="F498" s="17" t="str">
        <x:v>New</x:v>
      </x:c>
      <x:c r="G498" s="24"/>
      <x:c r="H498" s="24" t="str">
        <x:v>+12107227743</x:v>
      </x:c>
      <x:c r="I498" s="24"/>
      <x:c r="J498" s="16" t="str">
        <x:v>TX</x:v>
      </x:c>
      <x:c r="K498" s="16" t="str">
        <x:v>San Antonio</x:v>
      </x:c>
      <x:c r="L498" s="16" t="str">
        <x:v>Public property-business route; investor decision maker unconfirmed</x:v>
      </x:c>
      <x:c r="M498" s="16"/>
      <x:c r="N498" s="16" t="str">
        <x:v>$100K-$500K ticket not published / unconfirmed</x:v>
      </x:c>
      <x:c r="O498" s="20"/>
      <x:c r="P498" s="20"/>
      <x:c r="Q498" s="25" t="str">
        <x:v>No $100K-$500K corporate-investment ticket published in checked source</x:v>
      </x:c>
      <x:c r="R498" s="25" t="str">
        <x:v>Property acquisition or investor activity makes this an operator-capital prospect for the signed trial. Confirm operating-company debt/equity appetite.</x:v>
      </x:c>
      <x:c r="S498" s="25" t="str">
        <x:v>Home-buying activity does not verify ability or willingness to invest $100K-$500K into 101XVC operating company. Website and contact verification pending.</x:v>
      </x:c>
      <x:c r="T498" s="25" t="str">
        <x:v>Ask the owner/investor whether they can allocate $100K-$500K to trial marketing and acquisitions, and confirm structure, timing and decision authority.</x:v>
      </x:c>
      <x:c r="U498" s="25" t="str">
        <x:v>https://www.cashhomebuyersdirectory.com/cash-home-buyers/texas/san-antonio</x:v>
      </x:c>
      <x:c r="V498" s="26" t="d">
        <x:v>2026-10-02T00:00:00.000Z</x:v>
      </x:c>
      <x:c r="W498" s="26" t="d">
        <x:v>2026-10-03T00:00:00.000Z</x:v>
      </x:c>
      <x:c r="X498" s="25" t="str">
        <x:v>Public investor directory; business role and contact ownership require qualification</x:v>
      </x:c>
      <x:c r="Y498" s="25"/>
      <x:c r="Z498" s="25" t="str">
        <x:v>https://www.cashhomebuyersdirectory.com/cash-home-buyers/texas/san-antonio</x:v>
      </x:c>
      <x:c r="AA498" s="25" t="str">
        <x:v>Public cash-home-buyer directory lists business name, phone and market. Directory entry may include brokers or service providers.</x:v>
      </x:c>
      <x:c r="AB498" s="3" t="str">
        <x:v>New public-source collection</x:v>
      </x:c>
      <x:c r="AC498" s="3" t="str">
        <x:v>unverified</x:v>
      </x:c>
      <x:c r="AD498" s="3" t="str">
        <x:v>Not contacted / unconfirmed</x:v>
      </x:c>
      <x:c r="AE498" s="3" t="str">
        <x:v>No</x:v>
      </x:c>
      <x:c r="AF498" s="3" t="str">
        <x:v>No</x:v>
      </x:c>
      <x:c r="AG498" s="3"/>
      <x:c r="AH498" s="3"/>
      <x:c r="AI498" s="18"/>
      <x:c r="AJ498" s="3" t="str">
        <x:v>CF2500-CCCE6BF36381</x:v>
      </x:c>
      <x:c r="AK498" s="3" t="str">
        <x:v>Property investor / home-buying operator prospect</x:v>
      </x:c>
      <x:c r="AL498" s="19" t="n">
        <x:v>100000</x:v>
      </x:c>
      <x:c r="AM498" s="19" t="n">
        <x:v>500000</x:v>
      </x:c>
      <x:c r="AN498" s="3" t="str">
        <x:v>https://www.cashhomebuyersdirectory.com/cash-home-buyers/texas/san-antonio</x:v>
      </x:c>
      <x:c r="AO498" s="3" t="str">
        <x:v>tx_fl_investors.jsonl</x:v>
      </x:c>
      <x:c r="AP498" s="19"/>
    </x:row>
    <x:row r="499" ht="36" customHeight="1">
      <x:c r="A499" s="23" t="n">
        <x:v>498</x:v>
      </x:c>
      <x:c r="B499" s="15" t="str">
        <x:v>Sake Home Buyers</x:v>
      </x:c>
      <x:c r="C499" s="15"/>
      <x:c r="D499" s="15" t="str">
        <x:v>Property investor / home-buying operator</x:v>
      </x:c>
      <x:c r="E499" s="15" t="str">
        <x:v>Property investor / operator inquiry</x:v>
      </x:c>
      <x:c r="F499" s="17" t="str">
        <x:v>New</x:v>
      </x:c>
      <x:c r="G499" s="24"/>
      <x:c r="H499" s="24" t="str">
        <x:v>+12815947124</x:v>
      </x:c>
      <x:c r="I499" s="24"/>
      <x:c r="J499" s="16" t="str">
        <x:v>TX</x:v>
      </x:c>
      <x:c r="K499" s="16" t="str">
        <x:v>Houston</x:v>
      </x:c>
      <x:c r="L499" s="16" t="str">
        <x:v>Public property-business route; investor decision maker unconfirmed</x:v>
      </x:c>
      <x:c r="M499" s="16"/>
      <x:c r="N499" s="16" t="str">
        <x:v>$100K-$500K ticket not published / unconfirmed</x:v>
      </x:c>
      <x:c r="O499" s="20"/>
      <x:c r="P499" s="20"/>
      <x:c r="Q499" s="25" t="str">
        <x:v>No $100K-$500K corporate-investment ticket published in checked source</x:v>
      </x:c>
      <x:c r="R499" s="25" t="str">
        <x:v>Property acquisition or investor activity makes this an operator-capital prospect for the signed trial. Confirm operating-company debt/equity appetite.</x:v>
      </x:c>
      <x:c r="S499" s="25" t="str">
        <x:v>Home-buying activity does not verify ability or willingness to invest $100K-$500K into 101XVC operating company. Website and contact verification pending.</x:v>
      </x:c>
      <x:c r="T499" s="25" t="str">
        <x:v>Ask the owner/investor whether they can allocate $100K-$500K to trial marketing and acquisitions, and confirm structure, timing and decision authority.</x:v>
      </x:c>
      <x:c r="U499" s="25" t="str">
        <x:v>https://www.cashhomebuyersdirectory.com/cash-home-buyers/texas/houston</x:v>
      </x:c>
      <x:c r="V499" s="26" t="d">
        <x:v>2026-10-02T00:00:00.000Z</x:v>
      </x:c>
      <x:c r="W499" s="26" t="d">
        <x:v>2026-10-03T00:00:00.000Z</x:v>
      </x:c>
      <x:c r="X499" s="25" t="str">
        <x:v>Public investor directory; business role and contact ownership require qualification</x:v>
      </x:c>
      <x:c r="Y499" s="25"/>
      <x:c r="Z499" s="25" t="str">
        <x:v>https://www.cashhomebuyersdirectory.com/cash-home-buyers/texas/houston</x:v>
      </x:c>
      <x:c r="AA499" s="25" t="str">
        <x:v>Public cash-home-buyer directory lists business name, phone and market. Directory entry may include brokers or service providers.</x:v>
      </x:c>
      <x:c r="AB499" s="3" t="str">
        <x:v>New public-source collection</x:v>
      </x:c>
      <x:c r="AC499" s="3" t="str">
        <x:v>unverified</x:v>
      </x:c>
      <x:c r="AD499" s="3" t="str">
        <x:v>Not contacted / unconfirmed</x:v>
      </x:c>
      <x:c r="AE499" s="3" t="str">
        <x:v>No</x:v>
      </x:c>
      <x:c r="AF499" s="3" t="str">
        <x:v>No</x:v>
      </x:c>
      <x:c r="AG499" s="3"/>
      <x:c r="AH499" s="3"/>
      <x:c r="AI499" s="18"/>
      <x:c r="AJ499" s="3" t="str">
        <x:v>CF2500-59EA13DCC746</x:v>
      </x:c>
      <x:c r="AK499" s="3" t="str">
        <x:v>Property investor / home-buying operator prospect</x:v>
      </x:c>
      <x:c r="AL499" s="19" t="n">
        <x:v>100000</x:v>
      </x:c>
      <x:c r="AM499" s="19" t="n">
        <x:v>500000</x:v>
      </x:c>
      <x:c r="AN499" s="3" t="str">
        <x:v>https://www.cashhomebuyersdirectory.com/cash-home-buyers/texas/houston</x:v>
      </x:c>
      <x:c r="AO499" s="3" t="str">
        <x:v>tx_fl_investors.jsonl</x:v>
      </x:c>
      <x:c r="AP499" s="19"/>
    </x:row>
    <x:row r="500" ht="36" customHeight="1">
      <x:c r="A500" s="23" t="n">
        <x:v>499</x:v>
      </x:c>
      <x:c r="B500" s="15" t="str">
        <x:v>SD House Buyer</x:v>
      </x:c>
      <x:c r="C500" s="15"/>
      <x:c r="D500" s="15" t="str">
        <x:v>Property investor / home-buying operator</x:v>
      </x:c>
      <x:c r="E500" s="15" t="str">
        <x:v>Property investor / operator inquiry</x:v>
      </x:c>
      <x:c r="F500" s="17" t="str">
        <x:v>New</x:v>
      </x:c>
      <x:c r="G500" s="24"/>
      <x:c r="H500" s="24" t="str">
        <x:v>+12244010394</x:v>
      </x:c>
      <x:c r="I500" s="24"/>
      <x:c r="J500" s="16" t="str">
        <x:v>IL</x:v>
      </x:c>
      <x:c r="K500" s="16" t="str">
        <x:v>Ingleside</x:v>
      </x:c>
      <x:c r="L500" s="16" t="str">
        <x:v>Public property-business route; investor decision maker unconfirmed</x:v>
      </x:c>
      <x:c r="M500" s="16"/>
      <x:c r="N500" s="16" t="str">
        <x:v>$100K-$500K ticket not published / unconfirmed</x:v>
      </x:c>
      <x:c r="O500" s="20"/>
      <x:c r="P500" s="20"/>
      <x:c r="Q500" s="25" t="str">
        <x:v>No $100K-$500K operating-company investment ticket verified</x:v>
      </x:c>
      <x:c r="R500" s="25" t="str">
        <x:v>Property acquisition or investor activity makes this an operator-capital prospect for the signed trial. Confirm operating-company debt/equity appetite.</x:v>
      </x:c>
      <x:c r="S500" s="25" t="str">
        <x:v>Public property-buying activity or a directory listing does not establish available cash, investing decision-maker, current $100K-$500K capacity, or willingness to fund 101XVC operating costs.</x:v>
      </x:c>
      <x:c r="T500" s="25" t="str">
        <x:v>Ask the owner/investor whether they can allocate $100K-$500K to trial marketing and acquisitions, and confirm structure, timing and decision authority.</x:v>
      </x:c>
      <x:c r="U500" s="25" t="str">
        <x:v>https://www.cashhomebuyersdirectory.com/cash-home-buyers/illinois/ingleside</x:v>
      </x:c>
      <x:c r="V500" s="26" t="d">
        <x:v>2026-10-02T00:00:00.000Z</x:v>
      </x:c>
      <x:c r="W500" s="26" t="d">
        <x:v>2026-10-02T00:00:00.000Z</x:v>
      </x:c>
      <x:c r="X500" s="25" t="str">
        <x:v>Public investor directory; business role and contact ownership require qualification</x:v>
      </x:c>
      <x:c r="Y500" s="25"/>
      <x:c r="Z500" s="25" t="str">
        <x:v>https://www.cashhomebuyersdirectory.com/cash-home-buyers/illinois/ingleside</x:v>
      </x:c>
      <x:c r="AA500" s="25" t="str">
        <x:v>Public cash-home-buyer directory lists business name, phone and market. Directory entry may include brokers or service providers.</x:v>
      </x:c>
      <x:c r="AB500" s="3" t="str">
        <x:v>New public-source collection</x:v>
      </x:c>
      <x:c r="AC500" s="3" t="str">
        <x:v>unverified</x:v>
      </x:c>
      <x:c r="AD500" s="3" t="str">
        <x:v>Not contacted / unconfirmed</x:v>
      </x:c>
      <x:c r="AE500" s="3" t="str">
        <x:v>No</x:v>
      </x:c>
      <x:c r="AF500" s="3" t="str">
        <x:v>No</x:v>
      </x:c>
      <x:c r="AG500" s="3"/>
      <x:c r="AH500" s="3"/>
      <x:c r="AI500" s="18"/>
      <x:c r="AJ500" s="3" t="str">
        <x:v>CF2500-5254BC80E1CB</x:v>
      </x:c>
      <x:c r="AK500" s="3" t="str">
        <x:v>Property investor / home-buying operator prospect</x:v>
      </x:c>
      <x:c r="AL500" s="19" t="n">
        <x:v>100000</x:v>
      </x:c>
      <x:c r="AM500" s="19" t="n">
        <x:v>500000</x:v>
      </x:c>
      <x:c r="AN500" s="3" t="str">
        <x:v>https://www.cashhomebuyersdirectory.com/cash-home-buyers/illinois/ingleside</x:v>
      </x:c>
      <x:c r="AO500" s="3" t="str">
        <x:v>nc_il_az_co_investors.jsonl</x:v>
      </x:c>
      <x:c r="AP500" s="19"/>
    </x:row>
    <x:row r="501" ht="36" customHeight="1">
      <x:c r="A501" s="23" t="n">
        <x:v>500</x:v>
      </x:c>
      <x:c r="B501" s="15" t="str">
        <x:v>Standard Home Buyer</x:v>
      </x:c>
      <x:c r="C501" s="15"/>
      <x:c r="D501" s="15" t="str">
        <x:v>Property investor / home-buying operator</x:v>
      </x:c>
      <x:c r="E501" s="15" t="str">
        <x:v>Property investor / operator inquiry</x:v>
      </x:c>
      <x:c r="F501" s="17" t="str">
        <x:v>New</x:v>
      </x:c>
      <x:c r="G501" s="24"/>
      <x:c r="H501" s="24" t="str">
        <x:v>+12818431351</x:v>
      </x:c>
      <x:c r="I501" s="24"/>
      <x:c r="J501" s="16" t="str">
        <x:v>TX</x:v>
      </x:c>
      <x:c r="K501" s="16" t="str">
        <x:v>Houston</x:v>
      </x:c>
      <x:c r="L501" s="16" t="str">
        <x:v>Public property-business route; investor decision maker unconfirmed</x:v>
      </x:c>
      <x:c r="M501" s="16"/>
      <x:c r="N501" s="16" t="str">
        <x:v>$100K-$500K ticket not published / unconfirmed</x:v>
      </x:c>
      <x:c r="O501" s="20"/>
      <x:c r="P501" s="20"/>
      <x:c r="Q501" s="25" t="str">
        <x:v>No $100K-$500K corporate-investment ticket published in checked source</x:v>
      </x:c>
      <x:c r="R501" s="25" t="str">
        <x:v>Property acquisition or investor activity makes this an operator-capital prospect for the signed trial. Confirm operating-company debt/equity appetite.</x:v>
      </x:c>
      <x:c r="S501" s="25" t="str">
        <x:v>Home-buying activity does not verify ability or willingness to invest $100K-$500K into 101XVC operating company. Website and contact verification pending.</x:v>
      </x:c>
      <x:c r="T501" s="25" t="str">
        <x:v>Ask the owner/investor whether they can allocate $100K-$500K to trial marketing and acquisitions, and confirm structure, timing and decision authority.</x:v>
      </x:c>
      <x:c r="U501" s="25" t="str">
        <x:v>https://www.cashhomebuyersdirectory.com/cash-home-buyers/texas/houston</x:v>
      </x:c>
      <x:c r="V501" s="26" t="d">
        <x:v>2026-10-02T00:00:00.000Z</x:v>
      </x:c>
      <x:c r="W501" s="26" t="d">
        <x:v>2026-10-03T00:00:00.000Z</x:v>
      </x:c>
      <x:c r="X501" s="25" t="str">
        <x:v>Public investor directory; business role and contact ownership require qualification</x:v>
      </x:c>
      <x:c r="Y501" s="25"/>
      <x:c r="Z501" s="25" t="str">
        <x:v>https://www.cashhomebuyersdirectory.com/cash-home-buyers/texas/houston</x:v>
      </x:c>
      <x:c r="AA501" s="25" t="str">
        <x:v>Public cash-home-buyer directory lists business name, phone and market. Directory entry may include brokers or service providers.</x:v>
      </x:c>
      <x:c r="AB501" s="3" t="str">
        <x:v>New public-source collection</x:v>
      </x:c>
      <x:c r="AC501" s="3" t="str">
        <x:v>unverified</x:v>
      </x:c>
      <x:c r="AD501" s="3" t="str">
        <x:v>Not contacted / unconfirmed</x:v>
      </x:c>
      <x:c r="AE501" s="3" t="str">
        <x:v>No</x:v>
      </x:c>
      <x:c r="AF501" s="3" t="str">
        <x:v>No</x:v>
      </x:c>
      <x:c r="AG501" s="3"/>
      <x:c r="AH501" s="3"/>
      <x:c r="AI501" s="18"/>
      <x:c r="AJ501" s="3" t="str">
        <x:v>CF2500-5E7B84AC3B62</x:v>
      </x:c>
      <x:c r="AK501" s="3" t="str">
        <x:v>Property investor / home-buying operator prospect</x:v>
      </x:c>
      <x:c r="AL501" s="19" t="n">
        <x:v>100000</x:v>
      </x:c>
      <x:c r="AM501" s="19" t="n">
        <x:v>500000</x:v>
      </x:c>
      <x:c r="AN501" s="3" t="str">
        <x:v>https://www.cashhomebuyersdirectory.com/cash-home-buyers/texas/houston</x:v>
      </x:c>
      <x:c r="AO501" s="3" t="str">
        <x:v>tx_fl_investors.jsonl</x:v>
      </x:c>
      <x:c r="AP501" s="19"/>
    </x:row>
    <x:row r="502" ht="36" customHeight="1">
      <x:c r="A502" s="23" t="n">
        <x:v>501</x:v>
      </x:c>
      <x:c r="B502" s="15" t="str">
        <x:v>State House Buyers</x:v>
      </x:c>
      <x:c r="C502" s="15"/>
      <x:c r="D502" s="15" t="str">
        <x:v>Property investor / home-buying operator</x:v>
      </x:c>
      <x:c r="E502" s="15" t="str">
        <x:v>Property investor / operator inquiry</x:v>
      </x:c>
      <x:c r="F502" s="17" t="str">
        <x:v>New</x:v>
      </x:c>
      <x:c r="G502" s="24"/>
      <x:c r="H502" s="24" t="str">
        <x:v>+17134565666</x:v>
      </x:c>
      <x:c r="I502" s="24"/>
      <x:c r="J502" s="16" t="str">
        <x:v>TX</x:v>
      </x:c>
      <x:c r="K502" s="16" t="str">
        <x:v>Houston</x:v>
      </x:c>
      <x:c r="L502" s="16" t="str">
        <x:v>Public property-business route; investor decision maker unconfirmed</x:v>
      </x:c>
      <x:c r="M502" s="16"/>
      <x:c r="N502" s="16" t="str">
        <x:v>$100K-$500K ticket not published / unconfirmed</x:v>
      </x:c>
      <x:c r="O502" s="20"/>
      <x:c r="P502" s="20"/>
      <x:c r="Q502" s="25" t="str">
        <x:v>No $100K-$500K corporate-investment ticket published in checked source</x:v>
      </x:c>
      <x:c r="R502" s="25" t="str">
        <x:v>Property acquisition or investor activity makes this an operator-capital prospect for the signed trial. Confirm operating-company debt/equity appetite.</x:v>
      </x:c>
      <x:c r="S502" s="25" t="str">
        <x:v>Home-buying activity does not verify ability or willingness to invest $100K-$500K into 101XVC operating company. Website and contact verification pending.</x:v>
      </x:c>
      <x:c r="T502" s="25" t="str">
        <x:v>Ask the owner/investor whether they can allocate $100K-$500K to trial marketing and acquisitions, and confirm structure, timing and decision authority.</x:v>
      </x:c>
      <x:c r="U502" s="25" t="str">
        <x:v>https://www.cashhomebuyersdirectory.com/cash-home-buyers/texas/houston</x:v>
      </x:c>
      <x:c r="V502" s="26" t="d">
        <x:v>2026-10-02T00:00:00.000Z</x:v>
      </x:c>
      <x:c r="W502" s="26" t="d">
        <x:v>2026-10-03T00:00:00.000Z</x:v>
      </x:c>
      <x:c r="X502" s="25" t="str">
        <x:v>Public investor directory; business role and contact ownership require qualification</x:v>
      </x:c>
      <x:c r="Y502" s="25"/>
      <x:c r="Z502" s="25" t="str">
        <x:v>https://www.cashhomebuyersdirectory.com/cash-home-buyers/texas/houston</x:v>
      </x:c>
      <x:c r="AA502" s="25" t="str">
        <x:v>Public cash-home-buyer directory lists business name, phone and market. Directory entry may include brokers or service providers.</x:v>
      </x:c>
      <x:c r="AB502" s="3" t="str">
        <x:v>New public-source collection</x:v>
      </x:c>
      <x:c r="AC502" s="3" t="str">
        <x:v>unverified</x:v>
      </x:c>
      <x:c r="AD502" s="3" t="str">
        <x:v>Not contacted / unconfirmed</x:v>
      </x:c>
      <x:c r="AE502" s="3" t="str">
        <x:v>No</x:v>
      </x:c>
      <x:c r="AF502" s="3" t="str">
        <x:v>No</x:v>
      </x:c>
      <x:c r="AG502" s="3"/>
      <x:c r="AH502" s="3"/>
      <x:c r="AI502" s="18"/>
      <x:c r="AJ502" s="3" t="str">
        <x:v>CF2500-E9F8C20EAF30</x:v>
      </x:c>
      <x:c r="AK502" s="3" t="str">
        <x:v>Property investor / home-buying operator prospect</x:v>
      </x:c>
      <x:c r="AL502" s="19" t="n">
        <x:v>100000</x:v>
      </x:c>
      <x:c r="AM502" s="19" t="n">
        <x:v>500000</x:v>
      </x:c>
      <x:c r="AN502" s="3" t="str">
        <x:v>https://www.cashhomebuyersdirectory.com/cash-home-buyers/texas/houston</x:v>
      </x:c>
      <x:c r="AO502" s="3" t="str">
        <x:v>tx_fl_investors.jsonl</x:v>
      </x:c>
      <x:c r="AP502" s="19"/>
    </x:row>
    <x:row r="503" ht="36" customHeight="1">
      <x:c r="A503" s="23" t="n">
        <x:v>502</x:v>
      </x:c>
      <x:c r="B503" s="15" t="str">
        <x:v>Superior Home Investors</x:v>
      </x:c>
      <x:c r="C503" s="15"/>
      <x:c r="D503" s="15" t="str">
        <x:v>Property investor / home-buying operator</x:v>
      </x:c>
      <x:c r="E503" s="15" t="str">
        <x:v>Property investor / operator inquiry</x:v>
      </x:c>
      <x:c r="F503" s="17" t="str">
        <x:v>New</x:v>
      </x:c>
      <x:c r="G503" s="24"/>
      <x:c r="H503" s="24" t="str">
        <x:v>+18326637099</x:v>
      </x:c>
      <x:c r="I503" s="24"/>
      <x:c r="J503" s="16" t="str">
        <x:v>TX</x:v>
      </x:c>
      <x:c r="K503" s="16" t="str">
        <x:v>Houston</x:v>
      </x:c>
      <x:c r="L503" s="16" t="str">
        <x:v>Public property-business route; investor decision maker unconfirmed</x:v>
      </x:c>
      <x:c r="M503" s="16"/>
      <x:c r="N503" s="16" t="str">
        <x:v>$100K-$500K ticket not published / unconfirmed</x:v>
      </x:c>
      <x:c r="O503" s="20"/>
      <x:c r="P503" s="20"/>
      <x:c r="Q503" s="25" t="str">
        <x:v>No $100K-$500K corporate-investment ticket published in checked source</x:v>
      </x:c>
      <x:c r="R503" s="25" t="str">
        <x:v>Property acquisition or investor activity makes this an operator-capital prospect for the signed trial. Confirm operating-company debt/equity appetite.</x:v>
      </x:c>
      <x:c r="S503" s="25" t="str">
        <x:v>Home-buying activity does not verify ability or willingness to invest $100K-$500K into 101XVC operating company. Website and contact verification pending.</x:v>
      </x:c>
      <x:c r="T503" s="25" t="str">
        <x:v>Ask the owner/investor whether they can allocate $100K-$500K to trial marketing and acquisitions, and confirm structure, timing and decision authority.</x:v>
      </x:c>
      <x:c r="U503" s="25" t="str">
        <x:v>https://www.cashhomebuyersdirectory.com/cash-home-buyers/texas/houston</x:v>
      </x:c>
      <x:c r="V503" s="26" t="d">
        <x:v>2026-10-02T00:00:00.000Z</x:v>
      </x:c>
      <x:c r="W503" s="26" t="d">
        <x:v>2026-10-03T00:00:00.000Z</x:v>
      </x:c>
      <x:c r="X503" s="25" t="str">
        <x:v>Public investor directory; business role and contact ownership require qualification</x:v>
      </x:c>
      <x:c r="Y503" s="25"/>
      <x:c r="Z503" s="25" t="str">
        <x:v>https://www.cashhomebuyersdirectory.com/cash-home-buyers/texas/houston</x:v>
      </x:c>
      <x:c r="AA503" s="25" t="str">
        <x:v>Public cash-home-buyer directory lists business name, phone and market. Directory entry may include brokers or service providers.</x:v>
      </x:c>
      <x:c r="AB503" s="3" t="str">
        <x:v>New public-source collection</x:v>
      </x:c>
      <x:c r="AC503" s="3" t="str">
        <x:v>unverified</x:v>
      </x:c>
      <x:c r="AD503" s="3" t="str">
        <x:v>Not contacted / unconfirmed</x:v>
      </x:c>
      <x:c r="AE503" s="3" t="str">
        <x:v>No</x:v>
      </x:c>
      <x:c r="AF503" s="3" t="str">
        <x:v>No</x:v>
      </x:c>
      <x:c r="AG503" s="3"/>
      <x:c r="AH503" s="3"/>
      <x:c r="AI503" s="18"/>
      <x:c r="AJ503" s="3" t="str">
        <x:v>CF2500-D03658209EA8</x:v>
      </x:c>
      <x:c r="AK503" s="3" t="str">
        <x:v>Property investor / home-buying operator prospect</x:v>
      </x:c>
      <x:c r="AL503" s="19" t="n">
        <x:v>100000</x:v>
      </x:c>
      <x:c r="AM503" s="19" t="n">
        <x:v>500000</x:v>
      </x:c>
      <x:c r="AN503" s="3" t="str">
        <x:v>https://www.cashhomebuyersdirectory.com/cash-home-buyers/texas/houston</x:v>
      </x:c>
      <x:c r="AO503" s="3" t="str">
        <x:v>tx_fl_investors.jsonl</x:v>
      </x:c>
      <x:c r="AP503" s="19"/>
    </x:row>
    <x:row r="504" ht="36" customHeight="1">
      <x:c r="A504" s="23" t="n">
        <x:v>503</x:v>
      </x:c>
      <x:c r="B504" s="15" t="str">
        <x:v>Tallahassee House Buyers</x:v>
      </x:c>
      <x:c r="C504" s="15"/>
      <x:c r="D504" s="15" t="str">
        <x:v>Property investor / home-buying operator</x:v>
      </x:c>
      <x:c r="E504" s="15" t="str">
        <x:v>Property investor / operator inquiry</x:v>
      </x:c>
      <x:c r="F504" s="17" t="str">
        <x:v>New</x:v>
      </x:c>
      <x:c r="G504" s="24"/>
      <x:c r="H504" s="24" t="str">
        <x:v>+18504087512</x:v>
      </x:c>
      <x:c r="I504" s="24"/>
      <x:c r="J504" s="16" t="str">
        <x:v>FL</x:v>
      </x:c>
      <x:c r="K504" s="16"/>
      <x:c r="L504" s="16" t="str">
        <x:v>Public property-business route; investor decision maker unconfirmed</x:v>
      </x:c>
      <x:c r="M504" s="16"/>
      <x:c r="N504" s="16" t="str">
        <x:v>$100K-$500K ticket not published / unconfirmed</x:v>
      </x:c>
      <x:c r="O504" s="20"/>
      <x:c r="P504" s="20"/>
      <x:c r="Q504" s="25" t="str">
        <x:v>No $100K-$500K corporate-investment ticket published in checked source</x:v>
      </x:c>
      <x:c r="R504" s="25" t="str">
        <x:v>Property acquisition or investor activity makes this an operator-capital prospect for the signed trial. Confirm operating-company debt/equity appetite.</x:v>
      </x:c>
      <x:c r="S504" s="25" t="str">
        <x:v>Home-buying activity does not verify ability or willingness to invest $100K-$500K into 101XVC operating company. Website and contact verification pending.</x:v>
      </x:c>
      <x:c r="T504" s="25" t="str">
        <x:v>Ask the owner/investor whether they can allocate $100K-$500K to trial marketing and acquisitions, and confirm structure, timing and decision authority.</x:v>
      </x:c>
      <x:c r="U504" s="25" t="str">
        <x:v>https://www.cashhomebuyersdirectory.com/cash-home-buyers/florida/tallahassee</x:v>
      </x:c>
      <x:c r="V504" s="26" t="d">
        <x:v>2026-10-02T00:00:00.000Z</x:v>
      </x:c>
      <x:c r="W504" s="26" t="d">
        <x:v>2026-10-03T00:00:00.000Z</x:v>
      </x:c>
      <x:c r="X504" s="25" t="str">
        <x:v>Public investor directory; business role and contact ownership require qualification</x:v>
      </x:c>
      <x:c r="Y504" s="25"/>
      <x:c r="Z504" s="25" t="str">
        <x:v>https://www.cashhomebuyersdirectory.com/cash-home-buyers/florida/tallahassee</x:v>
      </x:c>
      <x:c r="AA504" s="25" t="str">
        <x:v>Public cash-home-buyer directory lists business name, phone and market. Directory entry may include brokers or service providers.</x:v>
      </x:c>
      <x:c r="AB504" s="3" t="str">
        <x:v>New public-source collection</x:v>
      </x:c>
      <x:c r="AC504" s="3" t="str">
        <x:v>unverified</x:v>
      </x:c>
      <x:c r="AD504" s="3" t="str">
        <x:v>Not contacted / unconfirmed</x:v>
      </x:c>
      <x:c r="AE504" s="3" t="str">
        <x:v>No</x:v>
      </x:c>
      <x:c r="AF504" s="3" t="str">
        <x:v>No</x:v>
      </x:c>
      <x:c r="AG504" s="3"/>
      <x:c r="AH504" s="3"/>
      <x:c r="AI504" s="18"/>
      <x:c r="AJ504" s="3" t="str">
        <x:v>CF2500-465BA93372DE</x:v>
      </x:c>
      <x:c r="AK504" s="3" t="str">
        <x:v>Property investor / home-buying operator prospect</x:v>
      </x:c>
      <x:c r="AL504" s="19" t="n">
        <x:v>100000</x:v>
      </x:c>
      <x:c r="AM504" s="19" t="n">
        <x:v>500000</x:v>
      </x:c>
      <x:c r="AN504" s="3" t="str">
        <x:v>https://www.cashhomebuyersdirectory.com/cash-home-buyers/florida/tallahassee</x:v>
      </x:c>
      <x:c r="AO504" s="3" t="str">
        <x:v>tx_fl_investors.jsonl</x:v>
      </x:c>
      <x:c r="AP504" s="19"/>
    </x:row>
    <x:row r="505" ht="36" customHeight="1">
      <x:c r="A505" s="23" t="n">
        <x:v>504</x:v>
      </x:c>
      <x:c r="B505" s="15" t="str">
        <x:v>Tallahasseehomebuyers</x:v>
      </x:c>
      <x:c r="C505" s="15"/>
      <x:c r="D505" s="15" t="str">
        <x:v>Property investor / home-buying operator</x:v>
      </x:c>
      <x:c r="E505" s="15" t="str">
        <x:v>Property investor / operator inquiry</x:v>
      </x:c>
      <x:c r="F505" s="17" t="str">
        <x:v>New</x:v>
      </x:c>
      <x:c r="G505" s="24"/>
      <x:c r="H505" s="24" t="str">
        <x:v>+18506610128</x:v>
      </x:c>
      <x:c r="I505" s="24"/>
      <x:c r="J505" s="16" t="str">
        <x:v>FL</x:v>
      </x:c>
      <x:c r="K505" s="16" t="str">
        <x:v>Tallahassee</x:v>
      </x:c>
      <x:c r="L505" s="16" t="str">
        <x:v>Public property-business route; investor decision maker unconfirmed</x:v>
      </x:c>
      <x:c r="M505" s="16"/>
      <x:c r="N505" s="16" t="str">
        <x:v>$100K-$500K ticket not published / unconfirmed</x:v>
      </x:c>
      <x:c r="O505" s="20"/>
      <x:c r="P505" s="20"/>
      <x:c r="Q505" s="25" t="str">
        <x:v>No $100K-$500K corporate-investment ticket published in checked source</x:v>
      </x:c>
      <x:c r="R505" s="25" t="str">
        <x:v>Property acquisition or investor activity makes this an operator-capital prospect for the signed trial. Confirm operating-company debt/equity appetite.</x:v>
      </x:c>
      <x:c r="S505" s="25" t="str">
        <x:v>Home-buying activity does not verify ability or willingness to invest $100K-$500K into 101XVC operating company. Website and contact verification pending.</x:v>
      </x:c>
      <x:c r="T505" s="25" t="str">
        <x:v>Ask the owner/investor whether they can allocate $100K-$500K to trial marketing and acquisitions, and confirm structure, timing and decision authority.</x:v>
      </x:c>
      <x:c r="U505" s="25" t="str">
        <x:v>https://www.cashhomebuyersdirectory.com/cash-home-buyers/florida/tallahassee</x:v>
      </x:c>
      <x:c r="V505" s="26" t="d">
        <x:v>2026-10-02T00:00:00.000Z</x:v>
      </x:c>
      <x:c r="W505" s="26" t="d">
        <x:v>2026-10-03T00:00:00.000Z</x:v>
      </x:c>
      <x:c r="X505" s="25" t="str">
        <x:v>Public investor directory; business role and contact ownership require qualification</x:v>
      </x:c>
      <x:c r="Y505" s="25"/>
      <x:c r="Z505" s="25" t="str">
        <x:v>https://www.cashhomebuyersdirectory.com/cash-home-buyers/florida/tallahassee</x:v>
      </x:c>
      <x:c r="AA505" s="25" t="str">
        <x:v>Public cash-home-buyer directory lists business name, phone and market. Directory entry may include brokers or service providers.</x:v>
      </x:c>
      <x:c r="AB505" s="3" t="str">
        <x:v>New public-source collection</x:v>
      </x:c>
      <x:c r="AC505" s="3" t="str">
        <x:v>unverified</x:v>
      </x:c>
      <x:c r="AD505" s="3" t="str">
        <x:v>Not contacted / unconfirmed</x:v>
      </x:c>
      <x:c r="AE505" s="3" t="str">
        <x:v>No</x:v>
      </x:c>
      <x:c r="AF505" s="3" t="str">
        <x:v>No</x:v>
      </x:c>
      <x:c r="AG505" s="3"/>
      <x:c r="AH505" s="3"/>
      <x:c r="AI505" s="18"/>
      <x:c r="AJ505" s="3" t="str">
        <x:v>CF2500-E496A97E413E</x:v>
      </x:c>
      <x:c r="AK505" s="3" t="str">
        <x:v>Property investor / home-buying operator prospect</x:v>
      </x:c>
      <x:c r="AL505" s="19" t="n">
        <x:v>100000</x:v>
      </x:c>
      <x:c r="AM505" s="19" t="n">
        <x:v>500000</x:v>
      </x:c>
      <x:c r="AN505" s="3" t="str">
        <x:v>https://www.cashhomebuyersdirectory.com/cash-home-buyers/florida/tallahassee</x:v>
      </x:c>
      <x:c r="AO505" s="3" t="str">
        <x:v>tx_fl_investors.jsonl</x:v>
      </x:c>
      <x:c r="AP505" s="19"/>
    </x:row>
    <x:row r="506" ht="36" customHeight="1">
      <x:c r="A506" s="23" t="n">
        <x:v>505</x:v>
      </x:c>
      <x:c r="B506" s="15" t="str">
        <x:v>True Cash Homes</x:v>
      </x:c>
      <x:c r="C506" s="15"/>
      <x:c r="D506" s="15" t="str">
        <x:v>Property investor / home-buying operator</x:v>
      </x:c>
      <x:c r="E506" s="15" t="str">
        <x:v>Property investor / operator inquiry</x:v>
      </x:c>
      <x:c r="F506" s="17" t="str">
        <x:v>New</x:v>
      </x:c>
      <x:c r="G506" s="24"/>
      <x:c r="H506" s="24" t="str">
        <x:v>+18326484481</x:v>
      </x:c>
      <x:c r="I506" s="24"/>
      <x:c r="J506" s="16" t="str">
        <x:v>TX</x:v>
      </x:c>
      <x:c r="K506" s="16" t="str">
        <x:v>Houston</x:v>
      </x:c>
      <x:c r="L506" s="16" t="str">
        <x:v>Public property-business route; investor decision maker unconfirmed</x:v>
      </x:c>
      <x:c r="M506" s="16"/>
      <x:c r="N506" s="16" t="str">
        <x:v>$100K-$500K ticket not published / unconfirmed</x:v>
      </x:c>
      <x:c r="O506" s="20"/>
      <x:c r="P506" s="20"/>
      <x:c r="Q506" s="25" t="str">
        <x:v>No $100K-$500K corporate-investment ticket published in checked source</x:v>
      </x:c>
      <x:c r="R506" s="25" t="str">
        <x:v>Property acquisition or investor activity makes this an operator-capital prospect for the signed trial. Confirm operating-company debt/equity appetite.</x:v>
      </x:c>
      <x:c r="S506" s="25" t="str">
        <x:v>Home-buying activity does not verify ability or willingness to invest $100K-$500K into 101XVC operating company. Website and contact verification pending.</x:v>
      </x:c>
      <x:c r="T506" s="25" t="str">
        <x:v>Ask the owner/investor whether they can allocate $100K-$500K to trial marketing and acquisitions, and confirm structure, timing and decision authority.</x:v>
      </x:c>
      <x:c r="U506" s="25" t="str">
        <x:v>https://www.cashhomebuyersdirectory.com/cash-home-buyers/texas/houston</x:v>
      </x:c>
      <x:c r="V506" s="26" t="d">
        <x:v>2026-10-02T00:00:00.000Z</x:v>
      </x:c>
      <x:c r="W506" s="26" t="d">
        <x:v>2026-10-03T00:00:00.000Z</x:v>
      </x:c>
      <x:c r="X506" s="25" t="str">
        <x:v>Public investor directory; business role and contact ownership require qualification</x:v>
      </x:c>
      <x:c r="Y506" s="25"/>
      <x:c r="Z506" s="25" t="str">
        <x:v>https://www.cashhomebuyersdirectory.com/cash-home-buyers/texas/houston</x:v>
      </x:c>
      <x:c r="AA506" s="25" t="str">
        <x:v>Public cash-home-buyer directory lists business name, phone and market. Directory entry may include brokers or service providers.</x:v>
      </x:c>
      <x:c r="AB506" s="3" t="str">
        <x:v>New public-source collection</x:v>
      </x:c>
      <x:c r="AC506" s="3" t="str">
        <x:v>unverified</x:v>
      </x:c>
      <x:c r="AD506" s="3" t="str">
        <x:v>Not contacted / unconfirmed</x:v>
      </x:c>
      <x:c r="AE506" s="3" t="str">
        <x:v>No</x:v>
      </x:c>
      <x:c r="AF506" s="3" t="str">
        <x:v>No</x:v>
      </x:c>
      <x:c r="AG506" s="3"/>
      <x:c r="AH506" s="3"/>
      <x:c r="AI506" s="18"/>
      <x:c r="AJ506" s="3" t="str">
        <x:v>CF2500-3708DA46A0F8</x:v>
      </x:c>
      <x:c r="AK506" s="3" t="str">
        <x:v>Property investor / home-buying operator prospect</x:v>
      </x:c>
      <x:c r="AL506" s="19" t="n">
        <x:v>100000</x:v>
      </x:c>
      <x:c r="AM506" s="19" t="n">
        <x:v>500000</x:v>
      </x:c>
      <x:c r="AN506" s="3" t="str">
        <x:v>https://www.cashhomebuyersdirectory.com/cash-home-buyers/texas/houston</x:v>
      </x:c>
      <x:c r="AO506" s="3" t="str">
        <x:v>tx_fl_investors.jsonl</x:v>
      </x:c>
      <x:c r="AP506" s="19"/>
    </x:row>
    <x:row r="507" ht="36" customHeight="1">
      <x:c r="A507" s="23" t="n">
        <x:v>506</x:v>
      </x:c>
      <x:c r="B507" s="15" t="str">
        <x:v>USA House Buyers NC- Sell My House Fast Durham</x:v>
      </x:c>
      <x:c r="C507" s="15"/>
      <x:c r="D507" s="15" t="str">
        <x:v>Property investor / home-buying operator</x:v>
      </x:c>
      <x:c r="E507" s="15" t="str">
        <x:v>Property investor / operator inquiry</x:v>
      </x:c>
      <x:c r="F507" s="17" t="str">
        <x:v>New</x:v>
      </x:c>
      <x:c r="G507" s="24"/>
      <x:c r="H507" s="24" t="str">
        <x:v>+19192300050</x:v>
      </x:c>
      <x:c r="I507" s="24"/>
      <x:c r="J507" s="16" t="str">
        <x:v>NC</x:v>
      </x:c>
      <x:c r="K507" s="16" t="str">
        <x:v>Durham</x:v>
      </x:c>
      <x:c r="L507" s="16" t="str">
        <x:v>Public property-business route; investor decision maker unconfirmed</x:v>
      </x:c>
      <x:c r="M507" s="16"/>
      <x:c r="N507" s="16" t="str">
        <x:v>$100K-$500K ticket not published / unconfirmed</x:v>
      </x:c>
      <x:c r="O507" s="20"/>
      <x:c r="P507" s="20"/>
      <x:c r="Q507" s="25" t="str">
        <x:v>No $100K-$500K operating-company investment ticket verified</x:v>
      </x:c>
      <x:c r="R507" s="25" t="str">
        <x:v>Property acquisition or investor activity makes this an operator-capital prospect for the signed trial. Confirm operating-company debt/equity appetite.</x:v>
      </x:c>
      <x:c r="S507" s="25" t="str">
        <x:v>Public property-buying activity or a directory listing does not establish available cash, investing decision-maker, current $100K-$500K capacity, or willingness to fund 101XVC operating costs.</x:v>
      </x:c>
      <x:c r="T507" s="25" t="str">
        <x:v>Ask the owner/investor whether they can allocate $100K-$500K to trial marketing and acquisitions, and confirm structure, timing and decision authority.</x:v>
      </x:c>
      <x:c r="U507" s="25" t="str">
        <x:v>https://www.cashhomebuyersdirectory.com/cash-home-buyers/north-carolina/durham</x:v>
      </x:c>
      <x:c r="V507" s="26" t="d">
        <x:v>2026-10-02T00:00:00.000Z</x:v>
      </x:c>
      <x:c r="W507" s="26" t="d">
        <x:v>2026-10-02T00:00:00.000Z</x:v>
      </x:c>
      <x:c r="X507" s="25" t="str">
        <x:v>Public investor directory; business role and contact ownership require qualification</x:v>
      </x:c>
      <x:c r="Y507" s="25"/>
      <x:c r="Z507" s="25" t="str">
        <x:v>https://www.cashhomebuyersdirectory.com/cash-home-buyers/north-carolina/durham</x:v>
      </x:c>
      <x:c r="AA507" s="25" t="str">
        <x:v>Public cash-home-buyer directory lists business name, phone and market. Directory entry may include brokers or service providers.</x:v>
      </x:c>
      <x:c r="AB507" s="3" t="str">
        <x:v>New public-source collection</x:v>
      </x:c>
      <x:c r="AC507" s="3" t="str">
        <x:v>unverified</x:v>
      </x:c>
      <x:c r="AD507" s="3" t="str">
        <x:v>Not contacted / unconfirmed</x:v>
      </x:c>
      <x:c r="AE507" s="3" t="str">
        <x:v>No</x:v>
      </x:c>
      <x:c r="AF507" s="3" t="str">
        <x:v>No</x:v>
      </x:c>
      <x:c r="AG507" s="3"/>
      <x:c r="AH507" s="3"/>
      <x:c r="AI507" s="18"/>
      <x:c r="AJ507" s="3" t="str">
        <x:v>CF2500-8202C620068F</x:v>
      </x:c>
      <x:c r="AK507" s="3" t="str">
        <x:v>Property investor / home-buying operator prospect</x:v>
      </x:c>
      <x:c r="AL507" s="19" t="n">
        <x:v>100000</x:v>
      </x:c>
      <x:c r="AM507" s="19" t="n">
        <x:v>500000</x:v>
      </x:c>
      <x:c r="AN507" s="3" t="str">
        <x:v>https://www.cashhomebuyersdirectory.com/cash-home-buyers/north-carolina/durham</x:v>
      </x:c>
      <x:c r="AO507" s="3" t="str">
        <x:v>nc_il_az_co_investors.jsonl</x:v>
      </x:c>
      <x:c r="AP507" s="19"/>
    </x:row>
    <x:row r="508" ht="36" customHeight="1">
      <x:c r="A508" s="23" t="n">
        <x:v>507</x:v>
      </x:c>
      <x:c r="B508" s="15" t="str">
        <x:v>Value Cash Offers LLC</x:v>
      </x:c>
      <x:c r="C508" s="15"/>
      <x:c r="D508" s="15" t="str">
        <x:v>Property investor / home-buying operator</x:v>
      </x:c>
      <x:c r="E508" s="15" t="str">
        <x:v>Property investor / operator inquiry</x:v>
      </x:c>
      <x:c r="F508" s="17" t="str">
        <x:v>New</x:v>
      </x:c>
      <x:c r="G508" s="24"/>
      <x:c r="H508" s="24" t="str">
        <x:v>+12242879852</x:v>
      </x:c>
      <x:c r="I508" s="24"/>
      <x:c r="J508" s="16" t="str">
        <x:v>IL</x:v>
      </x:c>
      <x:c r="K508" s="16" t="str">
        <x:v>Mundelein</x:v>
      </x:c>
      <x:c r="L508" s="16" t="str">
        <x:v>Public property-business route; investor decision maker unconfirmed</x:v>
      </x:c>
      <x:c r="M508" s="16"/>
      <x:c r="N508" s="16" t="str">
        <x:v>$100K-$500K ticket not published / unconfirmed</x:v>
      </x:c>
      <x:c r="O508" s="20"/>
      <x:c r="P508" s="20"/>
      <x:c r="Q508" s="25" t="str">
        <x:v>No $100K-$500K operating-company investment ticket verified</x:v>
      </x:c>
      <x:c r="R508" s="25" t="str">
        <x:v>Property acquisition or investor activity makes this an operator-capital prospect for the signed trial. Confirm operating-company debt/equity appetite.</x:v>
      </x:c>
      <x:c r="S508" s="25" t="str">
        <x:v>Public property-buying activity or a directory listing does not establish available cash, investing decision-maker, current $100K-$500K capacity, or willingness to fund 101XVC operating costs.</x:v>
      </x:c>
      <x:c r="T508" s="25" t="str">
        <x:v>Ask the owner/investor whether they can allocate $100K-$500K to trial marketing and acquisitions, and confirm structure, timing and decision authority.</x:v>
      </x:c>
      <x:c r="U508" s="25" t="str">
        <x:v>https://www.cashhomebuyersdirectory.com/cash-home-buyers/illinois/mundelein</x:v>
      </x:c>
      <x:c r="V508" s="26" t="d">
        <x:v>2026-10-02T00:00:00.000Z</x:v>
      </x:c>
      <x:c r="W508" s="26" t="d">
        <x:v>2026-10-02T00:00:00.000Z</x:v>
      </x:c>
      <x:c r="X508" s="25" t="str">
        <x:v>Public investor directory; business role and contact ownership require qualification</x:v>
      </x:c>
      <x:c r="Y508" s="25"/>
      <x:c r="Z508" s="25" t="str">
        <x:v>https://www.cashhomebuyersdirectory.com/cash-home-buyers/illinois/mundelein</x:v>
      </x:c>
      <x:c r="AA508" s="25" t="str">
        <x:v>Public cash-home-buyer directory lists business name, phone and market. Directory entry may include brokers or service providers.</x:v>
      </x:c>
      <x:c r="AB508" s="3" t="str">
        <x:v>New public-source collection</x:v>
      </x:c>
      <x:c r="AC508" s="3" t="str">
        <x:v>unverified</x:v>
      </x:c>
      <x:c r="AD508" s="3" t="str">
        <x:v>Not contacted / unconfirmed</x:v>
      </x:c>
      <x:c r="AE508" s="3" t="str">
        <x:v>No</x:v>
      </x:c>
      <x:c r="AF508" s="3" t="str">
        <x:v>No</x:v>
      </x:c>
      <x:c r="AG508" s="3"/>
      <x:c r="AH508" s="3"/>
      <x:c r="AI508" s="18"/>
      <x:c r="AJ508" s="3" t="str">
        <x:v>CF2500-9014FCF0CD58</x:v>
      </x:c>
      <x:c r="AK508" s="3" t="str">
        <x:v>Property investor / home-buying operator prospect</x:v>
      </x:c>
      <x:c r="AL508" s="19" t="n">
        <x:v>100000</x:v>
      </x:c>
      <x:c r="AM508" s="19" t="n">
        <x:v>500000</x:v>
      </x:c>
      <x:c r="AN508" s="3" t="str">
        <x:v>https://www.cashhomebuyersdirectory.com/cash-home-buyers/illinois/mundelein</x:v>
      </x:c>
      <x:c r="AO508" s="3" t="str">
        <x:v>nc_il_az_co_investors.jsonl</x:v>
      </x:c>
      <x:c r="AP508" s="19"/>
    </x:row>
    <x:row r="509" ht="36" customHeight="1">
      <x:c r="A509" s="23" t="n">
        <x:v>508</x:v>
      </x:c>
      <x:c r="B509" s="15" t="str">
        <x:v>Verified Property Buyers</x:v>
      </x:c>
      <x:c r="C509" s="15"/>
      <x:c r="D509" s="15" t="str">
        <x:v>Property investor / home-buying operator</x:v>
      </x:c>
      <x:c r="E509" s="15" t="str">
        <x:v>Property investor / operator inquiry</x:v>
      </x:c>
      <x:c r="F509" s="17" t="str">
        <x:v>New</x:v>
      </x:c>
      <x:c r="G509" s="24"/>
      <x:c r="H509" s="24" t="str">
        <x:v>+18324600461</x:v>
      </x:c>
      <x:c r="I509" s="24"/>
      <x:c r="J509" s="16" t="str">
        <x:v>TX</x:v>
      </x:c>
      <x:c r="K509" s="16" t="str">
        <x:v>Houston</x:v>
      </x:c>
      <x:c r="L509" s="16" t="str">
        <x:v>Public property-business route; investor decision maker unconfirmed</x:v>
      </x:c>
      <x:c r="M509" s="16"/>
      <x:c r="N509" s="16" t="str">
        <x:v>$100K-$500K ticket not published / unconfirmed</x:v>
      </x:c>
      <x:c r="O509" s="20"/>
      <x:c r="P509" s="20"/>
      <x:c r="Q509" s="25" t="str">
        <x:v>No $100K-$500K corporate-investment ticket published in checked source</x:v>
      </x:c>
      <x:c r="R509" s="25" t="str">
        <x:v>Property acquisition or investor activity makes this an operator-capital prospect for the signed trial. Confirm operating-company debt/equity appetite.</x:v>
      </x:c>
      <x:c r="S509" s="25" t="str">
        <x:v>Home-buying activity does not verify ability or willingness to invest $100K-$500K into 101XVC operating company. Website and contact verification pending.</x:v>
      </x:c>
      <x:c r="T509" s="25" t="str">
        <x:v>Ask the owner/investor whether they can allocate $100K-$500K to trial marketing and acquisitions, and confirm structure, timing and decision authority.</x:v>
      </x:c>
      <x:c r="U509" s="25" t="str">
        <x:v>https://www.cashhomebuyersdirectory.com/cash-home-buyers/texas/houston</x:v>
      </x:c>
      <x:c r="V509" s="26" t="d">
        <x:v>2026-10-02T00:00:00.000Z</x:v>
      </x:c>
      <x:c r="W509" s="26" t="d">
        <x:v>2026-10-03T00:00:00.000Z</x:v>
      </x:c>
      <x:c r="X509" s="25" t="str">
        <x:v>Public investor directory; business role and contact ownership require qualification</x:v>
      </x:c>
      <x:c r="Y509" s="25"/>
      <x:c r="Z509" s="25" t="str">
        <x:v>https://www.cashhomebuyersdirectory.com/cash-home-buyers/texas/houston</x:v>
      </x:c>
      <x:c r="AA509" s="25" t="str">
        <x:v>Public cash-home-buyer directory lists business name, phone and market. Directory entry may include brokers or service providers.</x:v>
      </x:c>
      <x:c r="AB509" s="3" t="str">
        <x:v>New public-source collection</x:v>
      </x:c>
      <x:c r="AC509" s="3" t="str">
        <x:v>unverified</x:v>
      </x:c>
      <x:c r="AD509" s="3" t="str">
        <x:v>Not contacted / unconfirmed</x:v>
      </x:c>
      <x:c r="AE509" s="3" t="str">
        <x:v>No</x:v>
      </x:c>
      <x:c r="AF509" s="3" t="str">
        <x:v>No</x:v>
      </x:c>
      <x:c r="AG509" s="3"/>
      <x:c r="AH509" s="3"/>
      <x:c r="AI509" s="18"/>
      <x:c r="AJ509" s="3" t="str">
        <x:v>CF2500-48D9EAE34EAE</x:v>
      </x:c>
      <x:c r="AK509" s="3" t="str">
        <x:v>Property investor / home-buying operator prospect</x:v>
      </x:c>
      <x:c r="AL509" s="19" t="n">
        <x:v>100000</x:v>
      </x:c>
      <x:c r="AM509" s="19" t="n">
        <x:v>500000</x:v>
      </x:c>
      <x:c r="AN509" s="3" t="str">
        <x:v>https://www.cashhomebuyersdirectory.com/cash-home-buyers/texas/houston</x:v>
      </x:c>
      <x:c r="AO509" s="3" t="str">
        <x:v>tx_fl_investors.jsonl</x:v>
      </x:c>
      <x:c r="AP509" s="19"/>
    </x:row>
    <x:row r="510" ht="36" customHeight="1">
      <x:c r="A510" s="23" t="n">
        <x:v>509</x:v>
      </x:c>
      <x:c r="B510" s="15" t="str">
        <x:v>Wake County Home Buyers</x:v>
      </x:c>
      <x:c r="C510" s="15"/>
      <x:c r="D510" s="15" t="str">
        <x:v>Property investor / home-buying operator</x:v>
      </x:c>
      <x:c r="E510" s="15" t="str">
        <x:v>Property investor / operator inquiry</x:v>
      </x:c>
      <x:c r="F510" s="17" t="str">
        <x:v>New</x:v>
      </x:c>
      <x:c r="G510" s="24"/>
      <x:c r="H510" s="24" t="str">
        <x:v>+19194736885</x:v>
      </x:c>
      <x:c r="I510" s="24"/>
      <x:c r="J510" s="16" t="str">
        <x:v>NC</x:v>
      </x:c>
      <x:c r="K510" s="16"/>
      <x:c r="L510" s="16" t="str">
        <x:v>Public property-business route; investor decision maker unconfirmed</x:v>
      </x:c>
      <x:c r="M510" s="16" t="str">
        <x:v>https://www.bbb.org/us/nc/category/home-buyers</x:v>
      </x:c>
      <x:c r="N510" s="16" t="str">
        <x:v>$100K-$500K ticket not published / unconfirmed</x:v>
      </x:c>
      <x:c r="O510" s="20"/>
      <x:c r="P510" s="20"/>
      <x:c r="Q510" s="25" t="str">
        <x:v>No $100K-$500K operating-company investment ticket verified</x:v>
      </x:c>
      <x:c r="R510" s="25" t="str">
        <x:v>Property acquisition or investor activity makes this an operator-capital prospect for the signed trial. Confirm operating-company debt/equity appetite.</x:v>
      </x:c>
      <x:c r="S510" s="25" t="str">
        <x:v>Public property-buying activity or a directory listing does not establish available cash, investing decision-maker, current $100K-$500K capacity, or willingness to fund 101XVC operating costs.</x:v>
      </x:c>
      <x:c r="T510" s="25" t="str">
        <x:v>Ask the owner/investor whether they can allocate $100K-$500K to trial marketing and acquisitions, and confirm structure, timing and decision authority.</x:v>
      </x:c>
      <x:c r="U510" s="25" t="str">
        <x:v>https://www.bbb.org/us/nc/category/home-buyers</x:v>
      </x:c>
      <x:c r="V510" s="26" t="d">
        <x:v>2026-10-02T00:00:00.000Z</x:v>
      </x:c>
      <x:c r="W510" s="26" t="d">
        <x:v>2026-10-02T00:00:00.000Z</x:v>
      </x:c>
      <x:c r="X510" s="25" t="str">
        <x:v>Public investor directory; business role and contact ownership require qualification</x:v>
      </x:c>
      <x:c r="Y510" s="25"/>
      <x:c r="Z510" s="25" t="str">
        <x:v>https://www.bbb.org/us/nc/category/home-buyers</x:v>
      </x:c>
      <x:c r="AA510" s="25" t="str">
        <x:v>BBB publicly lists this business as a home buyer, with the recorded business phone. Its investing role and company-capital appetite require qualification.</x:v>
      </x:c>
      <x:c r="AB510" s="3" t="str">
        <x:v>New public-source collection</x:v>
      </x:c>
      <x:c r="AC510" s="3" t="str">
        <x:v>unverified</x:v>
      </x:c>
      <x:c r="AD510" s="3" t="str">
        <x:v>Not contacted / unconfirmed</x:v>
      </x:c>
      <x:c r="AE510" s="3" t="str">
        <x:v>No</x:v>
      </x:c>
      <x:c r="AF510" s="3" t="str">
        <x:v>No</x:v>
      </x:c>
      <x:c r="AG510" s="3"/>
      <x:c r="AH510" s="3"/>
      <x:c r="AI510" s="18"/>
      <x:c r="AJ510" s="3" t="str">
        <x:v>CF2500-14316EA1E936</x:v>
      </x:c>
      <x:c r="AK510" s="3" t="str">
        <x:v>Property buyer / investor operator prospect</x:v>
      </x:c>
      <x:c r="AL510" s="19" t="n">
        <x:v>100000</x:v>
      </x:c>
      <x:c r="AM510" s="19" t="n">
        <x:v>500000</x:v>
      </x:c>
      <x:c r="AN510" s="3" t="str">
        <x:v>https://www.bbb.org/us/nc/category/home-buyers</x:v>
      </x:c>
      <x:c r="AO510" s="3" t="str">
        <x:v>nc_il_az_co_investors.jsonl</x:v>
      </x:c>
      <x:c r="AP510" s="19"/>
    </x:row>
    <x:row r="511" ht="36" customHeight="1">
      <x:c r="A511" s="23" t="n">
        <x:v>510</x:v>
      </x:c>
      <x:c r="B511" s="15" t="str">
        <x:v>We Buy Houses CASH</x:v>
      </x:c>
      <x:c r="C511" s="15"/>
      <x:c r="D511" s="15" t="str">
        <x:v>Property investor / home-buying operator</x:v>
      </x:c>
      <x:c r="E511" s="15" t="str">
        <x:v>Property investor / operator inquiry</x:v>
      </x:c>
      <x:c r="F511" s="17" t="str">
        <x:v>New</x:v>
      </x:c>
      <x:c r="G511" s="24"/>
      <x:c r="H511" s="24" t="str">
        <x:v>+12108791684</x:v>
      </x:c>
      <x:c r="I511" s="24"/>
      <x:c r="J511" s="16" t="str">
        <x:v>TX</x:v>
      </x:c>
      <x:c r="K511" s="16" t="str">
        <x:v>San Antonio</x:v>
      </x:c>
      <x:c r="L511" s="16" t="str">
        <x:v>Public property-business route; investor decision maker unconfirmed</x:v>
      </x:c>
      <x:c r="M511" s="16"/>
      <x:c r="N511" s="16" t="str">
        <x:v>$100K-$500K ticket not published / unconfirmed</x:v>
      </x:c>
      <x:c r="O511" s="20"/>
      <x:c r="P511" s="20"/>
      <x:c r="Q511" s="25" t="str">
        <x:v>No $100K-$500K corporate-investment ticket published in checked source</x:v>
      </x:c>
      <x:c r="R511" s="25" t="str">
        <x:v>Property acquisition or investor activity makes this an operator-capital prospect for the signed trial. Confirm operating-company debt/equity appetite.</x:v>
      </x:c>
      <x:c r="S511" s="25" t="str">
        <x:v>Home-buying activity does not verify ability or willingness to invest $100K-$500K into 101XVC operating company. Website and contact verification pending.</x:v>
      </x:c>
      <x:c r="T511" s="25" t="str">
        <x:v>Ask the owner/investor whether they can allocate $100K-$500K to trial marketing and acquisitions, and confirm structure, timing and decision authority.</x:v>
      </x:c>
      <x:c r="U511" s="25" t="str">
        <x:v>https://www.cashhomebuyersdirectory.com/cash-home-buyers/texas/san-antonio
https://www.cashhomebuyersdirectory.com/cash-home-buyers/pennsylvania/york</x:v>
      </x:c>
      <x:c r="V511" s="26" t="d">
        <x:v>2026-10-02T00:00:00.000Z</x:v>
      </x:c>
      <x:c r="W511" s="26" t="d">
        <x:v>2026-10-03T00:00:00.000Z</x:v>
      </x:c>
      <x:c r="X511" s="25" t="str">
        <x:v>Public investor directory; business role and contact ownership require qualification</x:v>
      </x:c>
      <x:c r="Y511" s="25"/>
      <x:c r="Z511" s="25" t="str">
        <x:v>https://www.cashhomebuyersdirectory.com/cash-home-buyers/texas/san-antonio</x:v>
      </x:c>
      <x:c r="AA511" s="25" t="str">
        <x:v>Public cash-home-buyer directory lists business name, phone and market. Directory entry may include brokers or service providers.</x:v>
      </x:c>
      <x:c r="AB511" s="3" t="str">
        <x:v>New public-source collection</x:v>
      </x:c>
      <x:c r="AC511" s="3" t="str">
        <x:v>unverified</x:v>
      </x:c>
      <x:c r="AD511" s="3" t="str">
        <x:v>Not contacted / unconfirmed</x:v>
      </x:c>
      <x:c r="AE511" s="3" t="str">
        <x:v>No</x:v>
      </x:c>
      <x:c r="AF511" s="3" t="str">
        <x:v>No</x:v>
      </x:c>
      <x:c r="AG511" s="3"/>
      <x:c r="AH511" s="3" t="str">
        <x:v>We Buy Houses Cash</x:v>
      </x:c>
      <x:c r="AI511" s="18"/>
      <x:c r="AJ511" s="3" t="str">
        <x:v>CF2500-744B4A73B14C</x:v>
      </x:c>
      <x:c r="AK511" s="3" t="str">
        <x:v>Property investor / home-buying operator prospect</x:v>
      </x:c>
      <x:c r="AL511" s="19" t="n">
        <x:v>100000</x:v>
      </x:c>
      <x:c r="AM511" s="19" t="n">
        <x:v>500000</x:v>
      </x:c>
      <x:c r="AN511" s="3" t="str">
        <x:v>https://www.cashhomebuyersdirectory.com/cash-home-buyers/texas/san-antonio</x:v>
      </x:c>
      <x:c r="AO511" s="3" t="str">
        <x:v>tx_fl_investors.jsonl</x:v>
      </x:c>
      <x:c r="AP511" s="19"/>
    </x:row>
    <x:row r="512" ht="36" customHeight="1">
      <x:c r="A512" s="23" t="n">
        <x:v>511</x:v>
      </x:c>
      <x:c r="B512" s="15" t="str">
        <x:v>We Buy Houses Cash Tampa</x:v>
      </x:c>
      <x:c r="C512" s="15"/>
      <x:c r="D512" s="15" t="str">
        <x:v>Property investor / home-buying operator</x:v>
      </x:c>
      <x:c r="E512" s="15" t="str">
        <x:v>Property investor / operator inquiry</x:v>
      </x:c>
      <x:c r="F512" s="17" t="str">
        <x:v>New</x:v>
      </x:c>
      <x:c r="G512" s="24"/>
      <x:c r="H512" s="24" t="str">
        <x:v>+18134880025</x:v>
      </x:c>
      <x:c r="I512" s="24"/>
      <x:c r="J512" s="16" t="str">
        <x:v>FL</x:v>
      </x:c>
      <x:c r="K512" s="16" t="str">
        <x:v>Tampa</x:v>
      </x:c>
      <x:c r="L512" s="16" t="str">
        <x:v>Public property-business route; investor decision maker unconfirmed</x:v>
      </x:c>
      <x:c r="M512" s="16"/>
      <x:c r="N512" s="16" t="str">
        <x:v>$100K-$500K ticket not published / unconfirmed</x:v>
      </x:c>
      <x:c r="O512" s="20"/>
      <x:c r="P512" s="20"/>
      <x:c r="Q512" s="25" t="str">
        <x:v>No $100K-$500K corporate-investment ticket published in checked source</x:v>
      </x:c>
      <x:c r="R512" s="25" t="str">
        <x:v>Property acquisition or investor activity makes this an operator-capital prospect for the signed trial. Confirm operating-company debt/equity appetite.</x:v>
      </x:c>
      <x:c r="S512" s="25" t="str">
        <x:v>Home-buying activity does not verify ability or willingness to invest $100K-$500K into 101XVC operating company. Website and contact verification pending.</x:v>
      </x:c>
      <x:c r="T512" s="25" t="str">
        <x:v>Ask the owner/investor whether they can allocate $100K-$500K to trial marketing and acquisitions, and confirm structure, timing and decision authority.</x:v>
      </x:c>
      <x:c r="U512" s="25" t="str">
        <x:v>https://www.cashhomebuyersdirectory.com/cash-home-buyers/florida/tampa</x:v>
      </x:c>
      <x:c r="V512" s="26" t="d">
        <x:v>2026-10-02T00:00:00.000Z</x:v>
      </x:c>
      <x:c r="W512" s="26" t="d">
        <x:v>2026-10-03T00:00:00.000Z</x:v>
      </x:c>
      <x:c r="X512" s="25" t="str">
        <x:v>Public investor directory; business role and contact ownership require qualification</x:v>
      </x:c>
      <x:c r="Y512" s="25"/>
      <x:c r="Z512" s="25" t="str">
        <x:v>https://www.cashhomebuyersdirectory.com/cash-home-buyers/florida/tampa</x:v>
      </x:c>
      <x:c r="AA512" s="25" t="str">
        <x:v>Public cash-home-buyer directory lists business name, phone and market. Directory entry may include brokers or service providers.</x:v>
      </x:c>
      <x:c r="AB512" s="3" t="str">
        <x:v>New public-source collection</x:v>
      </x:c>
      <x:c r="AC512" s="3" t="str">
        <x:v>unverified</x:v>
      </x:c>
      <x:c r="AD512" s="3" t="str">
        <x:v>Not contacted / unconfirmed</x:v>
      </x:c>
      <x:c r="AE512" s="3" t="str">
        <x:v>No</x:v>
      </x:c>
      <x:c r="AF512" s="3" t="str">
        <x:v>No</x:v>
      </x:c>
      <x:c r="AG512" s="3"/>
      <x:c r="AH512" s="3"/>
      <x:c r="AI512" s="18"/>
      <x:c r="AJ512" s="3" t="str">
        <x:v>CF2500-EBA3F90735C4</x:v>
      </x:c>
      <x:c r="AK512" s="3" t="str">
        <x:v>Property investor / home-buying operator prospect</x:v>
      </x:c>
      <x:c r="AL512" s="19" t="n">
        <x:v>100000</x:v>
      </x:c>
      <x:c r="AM512" s="19" t="n">
        <x:v>500000</x:v>
      </x:c>
      <x:c r="AN512" s="3" t="str">
        <x:v>https://www.cashhomebuyersdirectory.com/cash-home-buyers/florida/tampa</x:v>
      </x:c>
      <x:c r="AO512" s="3" t="str">
        <x:v>tx_fl_investors.jsonl</x:v>
      </x:c>
      <x:c r="AP512" s="19"/>
    </x:row>
    <x:row r="513" ht="36" customHeight="1">
      <x:c r="A513" s="23" t="n">
        <x:v>512</x:v>
      </x:c>
      <x:c r="B513" s="15" t="str">
        <x:v>We Buy Houses In The Triangle, LLC</x:v>
      </x:c>
      <x:c r="C513" s="15"/>
      <x:c r="D513" s="15" t="str">
        <x:v>Property investor / home-buying operator</x:v>
      </x:c>
      <x:c r="E513" s="15" t="str">
        <x:v>Property investor / operator inquiry</x:v>
      </x:c>
      <x:c r="F513" s="17" t="str">
        <x:v>New</x:v>
      </x:c>
      <x:c r="G513" s="24"/>
      <x:c r="H513" s="24" t="str">
        <x:v>+19192299410</x:v>
      </x:c>
      <x:c r="I513" s="24"/>
      <x:c r="J513" s="16" t="str">
        <x:v>NC</x:v>
      </x:c>
      <x:c r="K513" s="16"/>
      <x:c r="L513" s="16" t="str">
        <x:v>Public property-business route; investor decision maker unconfirmed</x:v>
      </x:c>
      <x:c r="M513" s="16" t="str">
        <x:v>https://www.bbb.org/us/nc/category/home-buyers</x:v>
      </x:c>
      <x:c r="N513" s="16" t="str">
        <x:v>$100K-$500K ticket not published / unconfirmed</x:v>
      </x:c>
      <x:c r="O513" s="20"/>
      <x:c r="P513" s="20"/>
      <x:c r="Q513" s="25" t="str">
        <x:v>No $100K-$500K operating-company investment ticket verified</x:v>
      </x:c>
      <x:c r="R513" s="25" t="str">
        <x:v>Property acquisition or investor activity makes this an operator-capital prospect for the signed trial. Confirm operating-company debt/equity appetite.</x:v>
      </x:c>
      <x:c r="S513" s="25" t="str">
        <x:v>Public property-buying activity or a directory listing does not establish available cash, investing decision-maker, current $100K-$500K capacity, or willingness to fund 101XVC operating costs.</x:v>
      </x:c>
      <x:c r="T513" s="25" t="str">
        <x:v>Ask the owner/investor whether they can allocate $100K-$500K to trial marketing and acquisitions, and confirm structure, timing and decision authority.</x:v>
      </x:c>
      <x:c r="U513" s="25" t="str">
        <x:v>https://www.bbb.org/us/nc/category/home-buyers</x:v>
      </x:c>
      <x:c r="V513" s="26" t="d">
        <x:v>2026-10-02T00:00:00.000Z</x:v>
      </x:c>
      <x:c r="W513" s="26" t="d">
        <x:v>2026-10-02T00:00:00.000Z</x:v>
      </x:c>
      <x:c r="X513" s="25" t="str">
        <x:v>Public investor directory; business role and contact ownership require qualification</x:v>
      </x:c>
      <x:c r="Y513" s="25"/>
      <x:c r="Z513" s="25" t="str">
        <x:v>https://www.bbb.org/us/nc/category/home-buyers</x:v>
      </x:c>
      <x:c r="AA513" s="25" t="str">
        <x:v>BBB publicly lists this business as a home buyer, with the recorded business phone. Its investing role and company-capital appetite require qualification.</x:v>
      </x:c>
      <x:c r="AB513" s="3" t="str">
        <x:v>New public-source collection</x:v>
      </x:c>
      <x:c r="AC513" s="3" t="str">
        <x:v>unverified</x:v>
      </x:c>
      <x:c r="AD513" s="3" t="str">
        <x:v>Not contacted / unconfirmed</x:v>
      </x:c>
      <x:c r="AE513" s="3" t="str">
        <x:v>No</x:v>
      </x:c>
      <x:c r="AF513" s="3" t="str">
        <x:v>No</x:v>
      </x:c>
      <x:c r="AG513" s="3"/>
      <x:c r="AH513" s="3"/>
      <x:c r="AI513" s="18"/>
      <x:c r="AJ513" s="3" t="str">
        <x:v>CF2500-3834EA4E7A87</x:v>
      </x:c>
      <x:c r="AK513" s="3" t="str">
        <x:v>Property buyer / investor operator prospect</x:v>
      </x:c>
      <x:c r="AL513" s="19" t="n">
        <x:v>100000</x:v>
      </x:c>
      <x:c r="AM513" s="19" t="n">
        <x:v>500000</x:v>
      </x:c>
      <x:c r="AN513" s="3" t="str">
        <x:v>https://www.bbb.org/us/nc/category/home-buyers</x:v>
      </x:c>
      <x:c r="AO513" s="3" t="str">
        <x:v>nc_il_az_co_investors.jsonl</x:v>
      </x:c>
      <x:c r="AP513" s="19"/>
    </x:row>
    <x:row r="514" ht="36" customHeight="1">
      <x:c r="A514" s="23" t="n">
        <x:v>513</x:v>
      </x:c>
      <x:c r="B514" s="15" t="str">
        <x:v>We Buy Houses Tallahassee</x:v>
      </x:c>
      <x:c r="C514" s="15"/>
      <x:c r="D514" s="15" t="str">
        <x:v>Property investor / home-buying operator</x:v>
      </x:c>
      <x:c r="E514" s="15" t="str">
        <x:v>Property investor / operator inquiry</x:v>
      </x:c>
      <x:c r="F514" s="17" t="str">
        <x:v>New</x:v>
      </x:c>
      <x:c r="G514" s="24"/>
      <x:c r="H514" s="24" t="str">
        <x:v>+18502000988</x:v>
      </x:c>
      <x:c r="I514" s="24"/>
      <x:c r="J514" s="16" t="str">
        <x:v>FL</x:v>
      </x:c>
      <x:c r="K514" s="16"/>
      <x:c r="L514" s="16" t="str">
        <x:v>Public property-business route; investor decision maker unconfirmed</x:v>
      </x:c>
      <x:c r="M514" s="16"/>
      <x:c r="N514" s="16" t="str">
        <x:v>$100K-$500K ticket not published / unconfirmed</x:v>
      </x:c>
      <x:c r="O514" s="20"/>
      <x:c r="P514" s="20"/>
      <x:c r="Q514" s="25" t="str">
        <x:v>No $100K-$500K corporate-investment ticket published in checked source</x:v>
      </x:c>
      <x:c r="R514" s="25" t="str">
        <x:v>Property acquisition or investor activity makes this an operator-capital prospect for the signed trial. Confirm operating-company debt/equity appetite.</x:v>
      </x:c>
      <x:c r="S514" s="25" t="str">
        <x:v>Home-buying activity does not verify ability or willingness to invest $100K-$500K into 101XVC operating company. Website and contact verification pending.</x:v>
      </x:c>
      <x:c r="T514" s="25" t="str">
        <x:v>Ask the owner/investor whether they can allocate $100K-$500K to trial marketing and acquisitions, and confirm structure, timing and decision authority.</x:v>
      </x:c>
      <x:c r="U514" s="25" t="str">
        <x:v>https://www.cashhomebuyersdirectory.com/cash-home-buyers/florida/tallahassee</x:v>
      </x:c>
      <x:c r="V514" s="26" t="d">
        <x:v>2026-10-02T00:00:00.000Z</x:v>
      </x:c>
      <x:c r="W514" s="26" t="d">
        <x:v>2026-10-03T00:00:00.000Z</x:v>
      </x:c>
      <x:c r="X514" s="25" t="str">
        <x:v>Public investor directory; business role and contact ownership require qualification</x:v>
      </x:c>
      <x:c r="Y514" s="25"/>
      <x:c r="Z514" s="25" t="str">
        <x:v>https://www.cashhomebuyersdirectory.com/cash-home-buyers/florida/tallahassee</x:v>
      </x:c>
      <x:c r="AA514" s="25" t="str">
        <x:v>Public cash-home-buyer directory lists business name, phone and market. Directory entry may include brokers or service providers.</x:v>
      </x:c>
      <x:c r="AB514" s="3" t="str">
        <x:v>New public-source collection</x:v>
      </x:c>
      <x:c r="AC514" s="3" t="str">
        <x:v>unverified</x:v>
      </x:c>
      <x:c r="AD514" s="3" t="str">
        <x:v>Not contacted / unconfirmed</x:v>
      </x:c>
      <x:c r="AE514" s="3" t="str">
        <x:v>No</x:v>
      </x:c>
      <x:c r="AF514" s="3" t="str">
        <x:v>No</x:v>
      </x:c>
      <x:c r="AG514" s="3"/>
      <x:c r="AH514" s="3"/>
      <x:c r="AI514" s="18"/>
      <x:c r="AJ514" s="3" t="str">
        <x:v>CF2500-9E3AAAA9FA70</x:v>
      </x:c>
      <x:c r="AK514" s="3" t="str">
        <x:v>Property investor / home-buying operator prospect</x:v>
      </x:c>
      <x:c r="AL514" s="19" t="n">
        <x:v>100000</x:v>
      </x:c>
      <x:c r="AM514" s="19" t="n">
        <x:v>500000</x:v>
      </x:c>
      <x:c r="AN514" s="3" t="str">
        <x:v>https://www.cashhomebuyersdirectory.com/cash-home-buyers/florida/tallahassee</x:v>
      </x:c>
      <x:c r="AO514" s="3" t="str">
        <x:v>tx_fl_investors.jsonl</x:v>
      </x:c>
      <x:c r="AP514" s="19"/>
    </x:row>
    <x:row r="515" ht="36" customHeight="1">
      <x:c r="A515" s="23" t="n">
        <x:v>514</x:v>
      </x:c>
      <x:c r="B515" s="15" t="str">
        <x:v>We buy houses the Quad Cities</x:v>
      </x:c>
      <x:c r="C515" s="15"/>
      <x:c r="D515" s="15" t="str">
        <x:v>Property investor / home-buying operator</x:v>
      </x:c>
      <x:c r="E515" s="15" t="str">
        <x:v>Property investor / operator inquiry</x:v>
      </x:c>
      <x:c r="F515" s="17" t="str">
        <x:v>New</x:v>
      </x:c>
      <x:c r="G515" s="24"/>
      <x:c r="H515" s="24" t="str">
        <x:v>+15632395292</x:v>
      </x:c>
      <x:c r="I515" s="24"/>
      <x:c r="J515" s="16" t="str">
        <x:v>IL</x:v>
      </x:c>
      <x:c r="K515" s="16" t="str">
        <x:v>Moline</x:v>
      </x:c>
      <x:c r="L515" s="16" t="str">
        <x:v>Public property-business route; investor decision maker unconfirmed</x:v>
      </x:c>
      <x:c r="M515" s="16"/>
      <x:c r="N515" s="16" t="str">
        <x:v>$100K-$500K ticket not published / unconfirmed</x:v>
      </x:c>
      <x:c r="O515" s="20"/>
      <x:c r="P515" s="20"/>
      <x:c r="Q515" s="25" t="str">
        <x:v>No $100K-$500K operating-company investment ticket verified</x:v>
      </x:c>
      <x:c r="R515" s="25" t="str">
        <x:v>Property acquisition or investor activity makes this an operator-capital prospect for the signed trial. Confirm operating-company debt/equity appetite.</x:v>
      </x:c>
      <x:c r="S515" s="25" t="str">
        <x:v>Public property-buying activity or a directory listing does not establish available cash, investing decision-maker, current $100K-$500K capacity, or willingness to fund 101XVC operating costs.</x:v>
      </x:c>
      <x:c r="T515" s="25" t="str">
        <x:v>Ask the owner/investor whether they can allocate $100K-$500K to trial marketing and acquisitions, and confirm structure, timing and decision authority.</x:v>
      </x:c>
      <x:c r="U515" s="25" t="str">
        <x:v>https://www.cashhomebuyersdirectory.com/cash-home-buyers/illinois/moline</x:v>
      </x:c>
      <x:c r="V515" s="26" t="d">
        <x:v>2026-10-02T00:00:00.000Z</x:v>
      </x:c>
      <x:c r="W515" s="26" t="d">
        <x:v>2026-10-02T00:00:00.000Z</x:v>
      </x:c>
      <x:c r="X515" s="25" t="str">
        <x:v>Public investor directory; business role and contact ownership require qualification</x:v>
      </x:c>
      <x:c r="Y515" s="25"/>
      <x:c r="Z515" s="25" t="str">
        <x:v>https://www.cashhomebuyersdirectory.com/cash-home-buyers/illinois/moline</x:v>
      </x:c>
      <x:c r="AA515" s="25" t="str">
        <x:v>Public cash-home-buyer directory lists business name, phone and market. Directory entry may include brokers or service providers.</x:v>
      </x:c>
      <x:c r="AB515" s="3" t="str">
        <x:v>New public-source collection</x:v>
      </x:c>
      <x:c r="AC515" s="3" t="str">
        <x:v>unverified</x:v>
      </x:c>
      <x:c r="AD515" s="3" t="str">
        <x:v>Not contacted / unconfirmed</x:v>
      </x:c>
      <x:c r="AE515" s="3" t="str">
        <x:v>No</x:v>
      </x:c>
      <x:c r="AF515" s="3" t="str">
        <x:v>No</x:v>
      </x:c>
      <x:c r="AG515" s="3"/>
      <x:c r="AH515" s="3"/>
      <x:c r="AI515" s="18"/>
      <x:c r="AJ515" s="3" t="str">
        <x:v>CF2500-EAB70B7CF88D</x:v>
      </x:c>
      <x:c r="AK515" s="3" t="str">
        <x:v>Property investor / home-buying operator prospect</x:v>
      </x:c>
      <x:c r="AL515" s="19" t="n">
        <x:v>100000</x:v>
      </x:c>
      <x:c r="AM515" s="19" t="n">
        <x:v>500000</x:v>
      </x:c>
      <x:c r="AN515" s="3" t="str">
        <x:v>https://www.cashhomebuyersdirectory.com/cash-home-buyers/illinois/moline</x:v>
      </x:c>
      <x:c r="AO515" s="3" t="str">
        <x:v>nc_il_az_co_investors.jsonl</x:v>
      </x:c>
      <x:c r="AP515" s="19"/>
    </x:row>
    <x:row r="516" ht="36" customHeight="1">
      <x:c r="A516" s="23" t="n">
        <x:v>515</x:v>
      </x:c>
      <x:c r="B516" s="15" t="str">
        <x:v>WE JUST BUY HOUSES LLC</x:v>
      </x:c>
      <x:c r="C516" s="15"/>
      <x:c r="D516" s="15" t="str">
        <x:v>Property investor / home-buying operator</x:v>
      </x:c>
      <x:c r="E516" s="15" t="str">
        <x:v>Property investor / operator inquiry</x:v>
      </x:c>
      <x:c r="F516" s="17" t="str">
        <x:v>New</x:v>
      </x:c>
      <x:c r="G516" s="24"/>
      <x:c r="H516" s="24" t="str">
        <x:v>+18559979927</x:v>
      </x:c>
      <x:c r="I516" s="24"/>
      <x:c r="J516" s="16" t="str">
        <x:v>FL</x:v>
      </x:c>
      <x:c r="K516" s="16" t="str">
        <x:v>Orlando</x:v>
      </x:c>
      <x:c r="L516" s="16" t="str">
        <x:v>Public property-business route; investor decision maker unconfirmed</x:v>
      </x:c>
      <x:c r="M516" s="16"/>
      <x:c r="N516" s="16" t="str">
        <x:v>$100K-$500K ticket not published / unconfirmed</x:v>
      </x:c>
      <x:c r="O516" s="20"/>
      <x:c r="P516" s="20"/>
      <x:c r="Q516" s="25" t="str">
        <x:v>No $100K-$500K corporate-investment ticket published in checked source</x:v>
      </x:c>
      <x:c r="R516" s="25" t="str">
        <x:v>Property acquisition or investor activity makes this an operator-capital prospect for the signed trial. Confirm operating-company debt/equity appetite.</x:v>
      </x:c>
      <x:c r="S516" s="25" t="str">
        <x:v>Home-buying activity does not verify ability or willingness to invest $100K-$500K into 101XVC operating company. Website and contact verification pending.</x:v>
      </x:c>
      <x:c r="T516" s="25" t="str">
        <x:v>Ask the owner/investor whether they can allocate $100K-$500K to trial marketing and acquisitions, and confirm structure, timing and decision authority.</x:v>
      </x:c>
      <x:c r="U516" s="25" t="str">
        <x:v>https://www.cashhomebuyersdirectory.com/cash-home-buyers/florida/orlando</x:v>
      </x:c>
      <x:c r="V516" s="26" t="d">
        <x:v>2026-10-02T00:00:00.000Z</x:v>
      </x:c>
      <x:c r="W516" s="26" t="d">
        <x:v>2026-10-03T00:00:00.000Z</x:v>
      </x:c>
      <x:c r="X516" s="25" t="str">
        <x:v>Public investor directory; business role and contact ownership require qualification</x:v>
      </x:c>
      <x:c r="Y516" s="25"/>
      <x:c r="Z516" s="25" t="str">
        <x:v>https://www.cashhomebuyersdirectory.com/cash-home-buyers/florida/orlando</x:v>
      </x:c>
      <x:c r="AA516" s="25" t="str">
        <x:v>Public cash-home-buyer directory lists business name, phone and market. Directory entry may include brokers or service providers.</x:v>
      </x:c>
      <x:c r="AB516" s="3" t="str">
        <x:v>New public-source collection</x:v>
      </x:c>
      <x:c r="AC516" s="3" t="str">
        <x:v>unverified</x:v>
      </x:c>
      <x:c r="AD516" s="3" t="str">
        <x:v>Not contacted / unconfirmed</x:v>
      </x:c>
      <x:c r="AE516" s="3" t="str">
        <x:v>No</x:v>
      </x:c>
      <x:c r="AF516" s="3" t="str">
        <x:v>No</x:v>
      </x:c>
      <x:c r="AG516" s="3"/>
      <x:c r="AH516" s="3"/>
      <x:c r="AI516" s="18"/>
      <x:c r="AJ516" s="3" t="str">
        <x:v>CF2500-4F22D91D5996</x:v>
      </x:c>
      <x:c r="AK516" s="3" t="str">
        <x:v>Property investor / home-buying operator prospect</x:v>
      </x:c>
      <x:c r="AL516" s="19" t="n">
        <x:v>100000</x:v>
      </x:c>
      <x:c r="AM516" s="19" t="n">
        <x:v>500000</x:v>
      </x:c>
      <x:c r="AN516" s="3" t="str">
        <x:v>https://www.cashhomebuyersdirectory.com/cash-home-buyers/florida/orlando</x:v>
      </x:c>
      <x:c r="AO516" s="3" t="str">
        <x:v>tx_fl_investors.jsonl</x:v>
      </x:c>
      <x:c r="AP516" s="19"/>
    </x:row>
    <x:row r="517" ht="36" customHeight="1">
      <x:c r="A517" s="23" t="n">
        <x:v>516</x:v>
      </x:c>
      <x:c r="B517" s="15" t="str">
        <x:v>Windy City HomeBuyer</x:v>
      </x:c>
      <x:c r="C517" s="15"/>
      <x:c r="D517" s="15" t="str">
        <x:v>Property investor / home-buying operator</x:v>
      </x:c>
      <x:c r="E517" s="15" t="str">
        <x:v>Property investor / operator inquiry</x:v>
      </x:c>
      <x:c r="F517" s="17" t="str">
        <x:v>New</x:v>
      </x:c>
      <x:c r="G517" s="24"/>
      <x:c r="H517" s="24" t="str">
        <x:v>+17737962233</x:v>
      </x:c>
      <x:c r="I517" s="24"/>
      <x:c r="J517" s="16" t="str">
        <x:v>IL</x:v>
      </x:c>
      <x:c r="K517" s="16"/>
      <x:c r="L517" s="16" t="str">
        <x:v>Public property-business route; investor decision maker unconfirmed</x:v>
      </x:c>
      <x:c r="M517" s="16" t="str">
        <x:v>https://www.bbb.org/us/il/category/home-buyers</x:v>
      </x:c>
      <x:c r="N517" s="16" t="str">
        <x:v>$100K-$500K ticket not published / unconfirmed</x:v>
      </x:c>
      <x:c r="O517" s="20"/>
      <x:c r="P517" s="20"/>
      <x:c r="Q517" s="25" t="str">
        <x:v>No $100K-$500K operating-company investment ticket verified</x:v>
      </x:c>
      <x:c r="R517" s="25" t="str">
        <x:v>Property acquisition or investor activity makes this an operator-capital prospect for the signed trial. Confirm operating-company debt/equity appetite.</x:v>
      </x:c>
      <x:c r="S517" s="25" t="str">
        <x:v>Public property-buying activity or a directory listing does not establish available cash, investing decision-maker, current $100K-$500K capacity, or willingness to fund 101XVC operating costs.</x:v>
      </x:c>
      <x:c r="T517" s="25" t="str">
        <x:v>Ask the owner/investor whether they can allocate $100K-$500K to trial marketing and acquisitions, and confirm structure, timing and decision authority.</x:v>
      </x:c>
      <x:c r="U517" s="25" t="str">
        <x:v>https://www.bbb.org/us/il/category/home-buyers</x:v>
      </x:c>
      <x:c r="V517" s="26" t="d">
        <x:v>2026-10-02T00:00:00.000Z</x:v>
      </x:c>
      <x:c r="W517" s="26" t="d">
        <x:v>2026-10-02T00:00:00.000Z</x:v>
      </x:c>
      <x:c r="X517" s="25" t="str">
        <x:v>Public investor directory; business role and contact ownership require qualification</x:v>
      </x:c>
      <x:c r="Y517" s="25"/>
      <x:c r="Z517" s="25" t="str">
        <x:v>https://www.bbb.org/us/il/category/home-buyers</x:v>
      </x:c>
      <x:c r="AA517" s="25" t="str">
        <x:v>BBB publicly lists this business as a home buyer, with the recorded business phone. Its investing role and company-capital appetite require qualification.</x:v>
      </x:c>
      <x:c r="AB517" s="3" t="str">
        <x:v>New public-source collection</x:v>
      </x:c>
      <x:c r="AC517" s="3" t="str">
        <x:v>unverified</x:v>
      </x:c>
      <x:c r="AD517" s="3" t="str">
        <x:v>Not contacted / unconfirmed</x:v>
      </x:c>
      <x:c r="AE517" s="3" t="str">
        <x:v>No</x:v>
      </x:c>
      <x:c r="AF517" s="3" t="str">
        <x:v>No</x:v>
      </x:c>
      <x:c r="AG517" s="3"/>
      <x:c r="AH517" s="3"/>
      <x:c r="AI517" s="18"/>
      <x:c r="AJ517" s="3" t="str">
        <x:v>CF2500-A043626F7574</x:v>
      </x:c>
      <x:c r="AK517" s="3" t="str">
        <x:v>Property buyer / investor operator prospect</x:v>
      </x:c>
      <x:c r="AL517" s="19" t="n">
        <x:v>100000</x:v>
      </x:c>
      <x:c r="AM517" s="19" t="n">
        <x:v>500000</x:v>
      </x:c>
      <x:c r="AN517" s="3" t="str">
        <x:v>https://www.bbb.org/us/il/category/home-buyers</x:v>
      </x:c>
      <x:c r="AO517" s="3" t="str">
        <x:v>nc_il_az_co_investors.jsonl</x:v>
      </x:c>
      <x:c r="AP517" s="19"/>
    </x:row>
    <x:row r="518" ht="36" customHeight="1">
      <x:c r="A518" s="23" t="n">
        <x:v>517</x:v>
      </x:c>
      <x:c r="B518" s="15" t="str">
        <x:v>Your Home Buyer</x:v>
      </x:c>
      <x:c r="C518" s="15"/>
      <x:c r="D518" s="15" t="str">
        <x:v>Property investor / home-buying operator</x:v>
      </x:c>
      <x:c r="E518" s="15" t="str">
        <x:v>Property investor / operator inquiry</x:v>
      </x:c>
      <x:c r="F518" s="17" t="str">
        <x:v>New</x:v>
      </x:c>
      <x:c r="G518" s="24"/>
      <x:c r="H518" s="24" t="str">
        <x:v>+14803833007</x:v>
      </x:c>
      <x:c r="I518" s="24"/>
      <x:c r="J518" s="16" t="str">
        <x:v>AZ</x:v>
      </x:c>
      <x:c r="K518" s="16" t="str">
        <x:v>Phoenix</x:v>
      </x:c>
      <x:c r="L518" s="16" t="str">
        <x:v>Public property-business route; investor decision maker unconfirmed</x:v>
      </x:c>
      <x:c r="M518" s="16"/>
      <x:c r="N518" s="16" t="str">
        <x:v>$100K-$500K ticket not published / unconfirmed</x:v>
      </x:c>
      <x:c r="O518" s="20"/>
      <x:c r="P518" s="20"/>
      <x:c r="Q518" s="25" t="str">
        <x:v>No $100K-$500K operating-company investment ticket verified</x:v>
      </x:c>
      <x:c r="R518" s="25" t="str">
        <x:v>Property acquisition or investor activity makes this an operator-capital prospect for the signed trial. Confirm operating-company debt/equity appetite.</x:v>
      </x:c>
      <x:c r="S518" s="25" t="str">
        <x:v>Public property-buying activity or a directory listing does not establish available cash, investing decision-maker, current $100K-$500K capacity, or willingness to fund 101XVC operating costs.</x:v>
      </x:c>
      <x:c r="T518" s="25" t="str">
        <x:v>Ask the owner/investor whether they can allocate $100K-$500K to trial marketing and acquisitions, and confirm structure, timing and decision authority.</x:v>
      </x:c>
      <x:c r="U518" s="25" t="str">
        <x:v>https://www.cashhomebuyersdirectory.com/cash-home-buyers/arizona/phoenix
https://www.cashhomebuyersdirectory.com/cash-home-buyers/indiana/muncie</x:v>
      </x:c>
      <x:c r="V518" s="26" t="d">
        <x:v>2026-10-02T00:00:00.000Z</x:v>
      </x:c>
      <x:c r="W518" s="26" t="d">
        <x:v>2026-10-02T00:00:00.000Z</x:v>
      </x:c>
      <x:c r="X518" s="25" t="str">
        <x:v>Public investor directory; business role and contact ownership require qualification</x:v>
      </x:c>
      <x:c r="Y518" s="25"/>
      <x:c r="Z518" s="25" t="str">
        <x:v>https://www.cashhomebuyersdirectory.com/cash-home-buyers/arizona/phoenix</x:v>
      </x:c>
      <x:c r="AA518" s="25" t="str">
        <x:v>Public cash-home-buyer directory lists business name, phone and market. Directory entry may include brokers or service providers.</x:v>
      </x:c>
      <x:c r="AB518" s="3" t="str">
        <x:v>New public-source collection</x:v>
      </x:c>
      <x:c r="AC518" s="3" t="str">
        <x:v>unverified</x:v>
      </x:c>
      <x:c r="AD518" s="3" t="str">
        <x:v>Not contacted / unconfirmed</x:v>
      </x:c>
      <x:c r="AE518" s="3" t="str">
        <x:v>No</x:v>
      </x:c>
      <x:c r="AF518" s="3" t="str">
        <x:v>No</x:v>
      </x:c>
      <x:c r="AG518" s="3"/>
      <x:c r="AH518" s="3" t="str">
        <x:v>Your Home Buyer, LLC</x:v>
      </x:c>
      <x:c r="AI518" s="18"/>
      <x:c r="AJ518" s="3" t="str">
        <x:v>CF2500-49AB89581229</x:v>
      </x:c>
      <x:c r="AK518" s="3" t="str">
        <x:v>Property investor / home-buying operator prospect</x:v>
      </x:c>
      <x:c r="AL518" s="19" t="n">
        <x:v>100000</x:v>
      </x:c>
      <x:c r="AM518" s="19" t="n">
        <x:v>500000</x:v>
      </x:c>
      <x:c r="AN518" s="3" t="str">
        <x:v>https://www.cashhomebuyersdirectory.com/cash-home-buyers/arizona/phoenix</x:v>
      </x:c>
      <x:c r="AO518" s="3" t="str">
        <x:v>nc_il_az_co_investors.jsonl</x:v>
      </x:c>
      <x:c r="AP518" s="19"/>
    </x:row>
    <x:row r="519" ht="36" customHeight="1">
      <x:c r="A519" s="23" t="n">
        <x:v>518</x:v>
      </x:c>
      <x:c r="B519" s="15" t="str">
        <x:v>Flash Cash Properties / Home Buyers</x:v>
      </x:c>
      <x:c r="C519" s="15"/>
      <x:c r="D519" s="15" t="str">
        <x:v>Property investor / home-buying operator</x:v>
      </x:c>
      <x:c r="E519" s="15" t="str">
        <x:v>Property investor / operator inquiry</x:v>
      </x:c>
      <x:c r="F519" s="17" t="str">
        <x:v>New</x:v>
      </x:c>
      <x:c r="G519" s="24"/>
      <x:c r="H519" s="24"/>
      <x:c r="I519" s="24" t="str">
        <x:v>https://flashcashproperties.com/</x:v>
      </x:c>
      <x:c r="J519" s="16" t="str">
        <x:v>FL</x:v>
      </x:c>
      <x:c r="K519" s="16" t="str">
        <x:v>Ocala</x:v>
      </x:c>
      <x:c r="L519" s="16" t="str">
        <x:v>Public property-business route; investor decision maker unconfirmed</x:v>
      </x:c>
      <x:c r="M519" s="16" t="str">
        <x:v>https://flashcashproperties.com/</x:v>
      </x:c>
      <x:c r="N519" s="16" t="str">
        <x:v>$100K-$500K ticket not published / unconfirmed</x:v>
      </x:c>
      <x:c r="O519" s="20"/>
      <x:c r="P519" s="20"/>
      <x:c r="Q519" s="25" t="str">
        <x:v>No $100K-$500K corporate-investment ticket published in checked source</x:v>
      </x:c>
      <x:c r="R519" s="25" t="str">
        <x:v>Property acquisition or investor activity makes this an operator-capital prospect for the signed trial. Confirm operating-company debt/equity appetite.</x:v>
      </x:c>
      <x:c r="S519" s="25" t="str">
        <x:v>Home-buying activity does not verify ability or willingness to invest $100K-$500K into 101XVC operating company. Website and contact verification pending.</x:v>
      </x:c>
      <x:c r="T519" s="25" t="str">
        <x:v>Ask the owner/investor whether they can allocate $100K-$500K to trial marketing and acquisitions, and confirm structure, timing and decision authority.</x:v>
      </x:c>
      <x:c r="U519" s="25" t="str">
        <x:v>https://www.cashhomebuyersdirectory.com/cash-home-buyers/florida/ocala</x:v>
      </x:c>
      <x:c r="V519" s="26" t="d">
        <x:v>2026-10-02T00:00:00.000Z</x:v>
      </x:c>
      <x:c r="W519" s="26" t="d">
        <x:v>2026-10-03T00:00:00.000Z</x:v>
      </x:c>
      <x:c r="X519" s="25" t="str">
        <x:v>Public investor directory; business role and contact ownership require qualification</x:v>
      </x:c>
      <x:c r="Y519" s="25"/>
      <x:c r="Z519" s="25" t="str">
        <x:v>https://www.cashhomebuyersdirectory.com/cash-home-buyers/florida/ocala</x:v>
      </x:c>
      <x:c r="AA519" s="25" t="str">
        <x:v>Public cash-home-buyer directory lists business name, phone and market. Directory entry may include brokers or service providers.</x:v>
      </x:c>
      <x:c r="AB519" s="3" t="str">
        <x:v>New public-source collection</x:v>
      </x:c>
      <x:c r="AC519" s="3" t="str">
        <x:v>unverified</x:v>
      </x:c>
      <x:c r="AD519" s="3" t="str">
        <x:v>Not contacted / unconfirmed</x:v>
      </x:c>
      <x:c r="AE519" s="3" t="str">
        <x:v>No</x:v>
      </x:c>
      <x:c r="AF519" s="3" t="str">
        <x:v>No</x:v>
      </x:c>
      <x:c r="AG519" s="3"/>
      <x:c r="AH519" s="3"/>
      <x:c r="AI519" s="18"/>
      <x:c r="AJ519" s="3" t="str">
        <x:v>CF2500-1A12174C4170</x:v>
      </x:c>
      <x:c r="AK519" s="3" t="str">
        <x:v>Property investor / home-buying operator prospect</x:v>
      </x:c>
      <x:c r="AL519" s="19" t="n">
        <x:v>100000</x:v>
      </x:c>
      <x:c r="AM519" s="19" t="n">
        <x:v>500000</x:v>
      </x:c>
      <x:c r="AN519" s="3" t="str">
        <x:v>https://www.cashhomebuyersdirectory.com/cash-home-buyers/florida/ocala</x:v>
      </x:c>
      <x:c r="AO519" s="3" t="str">
        <x:v>tx_fl_investors.jsonl</x:v>
      </x:c>
      <x:c r="AP519" s="19"/>
    </x:row>
    <x:row r="520" ht="36" customHeight="1">
      <x:c r="A520" s="23" t="n">
        <x:v>519</x:v>
      </x:c>
      <x:c r="B520" s="15" t="str">
        <x:v>Shrubby Home Buyers</x:v>
      </x:c>
      <x:c r="C520" s="15"/>
      <x:c r="D520" s="15" t="str">
        <x:v>Property investor / home-buying operator</x:v>
      </x:c>
      <x:c r="E520" s="15" t="str">
        <x:v>Property investor / operator inquiry</x:v>
      </x:c>
      <x:c r="F520" s="17" t="str">
        <x:v>New</x:v>
      </x:c>
      <x:c r="G520" s="24"/>
      <x:c r="H520" s="24"/>
      <x:c r="I520" s="24" t="str">
        <x:v>https://shrubby.com/?UTM_source=GBP_Listing&amp;UTM_medium=Organic</x:v>
      </x:c>
      <x:c r="J520" s="16" t="str">
        <x:v>AZ</x:v>
      </x:c>
      <x:c r="K520" s="16" t="str">
        <x:v>Phoenix</x:v>
      </x:c>
      <x:c r="L520" s="16" t="str">
        <x:v>Public property-business route; investor decision maker unconfirmed</x:v>
      </x:c>
      <x:c r="M520" s="16" t="str">
        <x:v>https://shrubby.com/?UTM_source=GBP_Listing&amp;UTM_medium=Organic</x:v>
      </x:c>
      <x:c r="N520" s="16" t="str">
        <x:v>$100K-$500K ticket not published / unconfirmed</x:v>
      </x:c>
      <x:c r="O520" s="20"/>
      <x:c r="P520" s="20"/>
      <x:c r="Q520" s="25" t="str">
        <x:v>No $100K-$500K operating-company investment ticket verified</x:v>
      </x:c>
      <x:c r="R520" s="25" t="str">
        <x:v>Property acquisition or investor activity makes this an operator-capital prospect for the signed trial. Confirm operating-company debt/equity appetite.</x:v>
      </x:c>
      <x:c r="S520" s="25" t="str">
        <x:v>Public property-buying activity or a directory listing does not establish available cash, investing decision-maker, current $100K-$500K capacity, or willingness to fund 101XVC operating costs.</x:v>
      </x:c>
      <x:c r="T520" s="25" t="str">
        <x:v>Ask the owner/investor whether they can allocate $100K-$500K to trial marketing and acquisitions, and confirm structure, timing and decision authority.</x:v>
      </x:c>
      <x:c r="U520" s="25" t="str">
        <x:v>https://www.cashhomebuyersdirectory.com/cash-home-buyers/arizona/phoenix</x:v>
      </x:c>
      <x:c r="V520" s="26" t="d">
        <x:v>2026-10-02T00:00:00.000Z</x:v>
      </x:c>
      <x:c r="W520" s="26" t="d">
        <x:v>2026-10-02T00:00:00.000Z</x:v>
      </x:c>
      <x:c r="X520" s="25" t="str">
        <x:v>Public investor directory; business role and contact ownership require qualification</x:v>
      </x:c>
      <x:c r="Y520" s="25"/>
      <x:c r="Z520" s="25" t="str">
        <x:v>https://www.cashhomebuyersdirectory.com/cash-home-buyers/arizona/phoenix</x:v>
      </x:c>
      <x:c r="AA520" s="25" t="str">
        <x:v>Public cash-home-buyer directory lists business name, phone and market. Directory entry may include brokers or service providers.</x:v>
      </x:c>
      <x:c r="AB520" s="3" t="str">
        <x:v>New public-source collection</x:v>
      </x:c>
      <x:c r="AC520" s="3" t="str">
        <x:v>unverified</x:v>
      </x:c>
      <x:c r="AD520" s="3" t="str">
        <x:v>Not contacted / unconfirmed</x:v>
      </x:c>
      <x:c r="AE520" s="3" t="str">
        <x:v>No</x:v>
      </x:c>
      <x:c r="AF520" s="3" t="str">
        <x:v>No</x:v>
      </x:c>
      <x:c r="AG520" s="3"/>
      <x:c r="AH520" s="3"/>
      <x:c r="AI520" s="18"/>
      <x:c r="AJ520" s="3" t="str">
        <x:v>CF2500-AC756B9EBB74</x:v>
      </x:c>
      <x:c r="AK520" s="3" t="str">
        <x:v>Property investor / home-buying operator prospect</x:v>
      </x:c>
      <x:c r="AL520" s="19" t="n">
        <x:v>100000</x:v>
      </x:c>
      <x:c r="AM520" s="19" t="n">
        <x:v>500000</x:v>
      </x:c>
      <x:c r="AN520" s="3" t="str">
        <x:v>https://www.cashhomebuyersdirectory.com/cash-home-buyers/arizona/phoenix</x:v>
      </x:c>
      <x:c r="AO520" s="3" t="str">
        <x:v>nc_il_az_co_investors.jsonl</x:v>
      </x:c>
      <x:c r="AP520" s="19"/>
    </x:row>
    <x:row r="521" ht="36" customHeight="1">
      <x:c r="A521" s="23" t="n">
        <x:v>520</x:v>
      </x:c>
      <x:c r="B521" s="15" t="str">
        <x:v>Texas Mobile Home Buyers</x:v>
      </x:c>
      <x:c r="C521" s="15"/>
      <x:c r="D521" s="15" t="str">
        <x:v>Property investor / home-buying operator</x:v>
      </x:c>
      <x:c r="E521" s="15" t="str">
        <x:v>Property investor / operator inquiry</x:v>
      </x:c>
      <x:c r="F521" s="17" t="str">
        <x:v>New</x:v>
      </x:c>
      <x:c r="G521" s="24"/>
      <x:c r="H521" s="24"/>
      <x:c r="I521" s="24" t="str">
        <x:v>https://txmhbuyersseller2.carrot.com/</x:v>
      </x:c>
      <x:c r="J521" s="16" t="str">
        <x:v>TX</x:v>
      </x:c>
      <x:c r="K521" s="16" t="str">
        <x:v>Austin</x:v>
      </x:c>
      <x:c r="L521" s="16" t="str">
        <x:v>Public property-business route; investor decision maker unconfirmed</x:v>
      </x:c>
      <x:c r="M521" s="16" t="str">
        <x:v>https://txmhbuyersseller2.carrot.com/</x:v>
      </x:c>
      <x:c r="N521" s="16" t="str">
        <x:v>$100K-$500K ticket not published / unconfirmed</x:v>
      </x:c>
      <x:c r="O521" s="20"/>
      <x:c r="P521" s="20"/>
      <x:c r="Q521" s="25" t="str">
        <x:v>No $100K-$500K corporate-investment ticket published in checked source</x:v>
      </x:c>
      <x:c r="R521" s="25" t="str">
        <x:v>Property acquisition or investor activity makes this an operator-capital prospect for the signed trial. Confirm operating-company debt/equity appetite.</x:v>
      </x:c>
      <x:c r="S521" s="25" t="str">
        <x:v>Home-buying activity does not verify ability or willingness to invest $100K-$500K into 101XVC operating company. Website and contact verification pending.</x:v>
      </x:c>
      <x:c r="T521" s="25" t="str">
        <x:v>Ask the owner/investor whether they can allocate $100K-$500K to trial marketing and acquisitions, and confirm structure, timing and decision authority.</x:v>
      </x:c>
      <x:c r="U521" s="25" t="str">
        <x:v>https://www.cashhomebuyersdirectory.com/cash-home-buyers/texas/austin</x:v>
      </x:c>
      <x:c r="V521" s="26" t="d">
        <x:v>2026-10-02T00:00:00.000Z</x:v>
      </x:c>
      <x:c r="W521" s="26" t="d">
        <x:v>2026-10-03T00:00:00.000Z</x:v>
      </x:c>
      <x:c r="X521" s="25" t="str">
        <x:v>Public investor directory; business role and contact ownership require qualification</x:v>
      </x:c>
      <x:c r="Y521" s="25"/>
      <x:c r="Z521" s="25" t="str">
        <x:v>https://www.cashhomebuyersdirectory.com/cash-home-buyers/texas/austin</x:v>
      </x:c>
      <x:c r="AA521" s="25" t="str">
        <x:v>Public cash-home-buyer directory lists business name, phone and market. Directory entry may include brokers or service providers.</x:v>
      </x:c>
      <x:c r="AB521" s="3" t="str">
        <x:v>New public-source collection</x:v>
      </x:c>
      <x:c r="AC521" s="3" t="str">
        <x:v>unverified</x:v>
      </x:c>
      <x:c r="AD521" s="3" t="str">
        <x:v>Not contacted / unconfirmed</x:v>
      </x:c>
      <x:c r="AE521" s="3" t="str">
        <x:v>No</x:v>
      </x:c>
      <x:c r="AF521" s="3" t="str">
        <x:v>No</x:v>
      </x:c>
      <x:c r="AG521" s="3"/>
      <x:c r="AH521" s="3"/>
      <x:c r="AI521" s="18"/>
      <x:c r="AJ521" s="3" t="str">
        <x:v>CF2500-5080D60CD8F6</x:v>
      </x:c>
      <x:c r="AK521" s="3" t="str">
        <x:v>Property investor / home-buying operator prospect</x:v>
      </x:c>
      <x:c r="AL521" s="19" t="n">
        <x:v>100000</x:v>
      </x:c>
      <x:c r="AM521" s="19" t="n">
        <x:v>500000</x:v>
      </x:c>
      <x:c r="AN521" s="3" t="str">
        <x:v>https://www.cashhomebuyersdirectory.com/cash-home-buyers/texas/austin</x:v>
      </x:c>
      <x:c r="AO521" s="3" t="str">
        <x:v>tx_fl_investors.jsonl</x:v>
      </x:c>
      <x:c r="AP521" s="19"/>
    </x:row>
    <x:row r="522" ht="36" customHeight="1">
      <x:c r="A522" s="23" t="n">
        <x:v>521</x:v>
      </x:c>
      <x:c r="B522" s="15" t="str">
        <x:v>AVS HOME BUYERS LLC</x:v>
      </x:c>
      <x:c r="C522" s="15"/>
      <x:c r="D522" s="15" t="str">
        <x:v>Property investor / home-buying operator</x:v>
      </x:c>
      <x:c r="E522" s="15" t="str">
        <x:v>Property investor / operator inquiry</x:v>
      </x:c>
      <x:c r="F522" s="17" t="str">
        <x:v>New</x:v>
      </x:c>
      <x:c r="G522" s="24" t="str">
        <x:v>info@avshomebuyersllc.com</x:v>
      </x:c>
      <x:c r="H522" s="24" t="str">
        <x:v>+18033036440</x:v>
      </x:c>
      <x:c r="I522" s="24" t="str">
        <x:v>https://avshomebuyersllc.com/</x:v>
      </x:c>
      <x:c r="J522" s="16" t="str">
        <x:v>SC</x:v>
      </x:c>
      <x:c r="K522" s="16" t="str">
        <x:v>Columbia</x:v>
      </x:c>
      <x:c r="L522" s="16" t="str">
        <x:v>Public property-business route; investor decision maker unconfirmed</x:v>
      </x:c>
      <x:c r="M522" s="16" t="str">
        <x:v>https://avshomebuyersllc.com/</x:v>
      </x:c>
      <x:c r="N522" s="16" t="str">
        <x:v>$100K-$500K ticket not published / unconfirmed</x:v>
      </x:c>
      <x:c r="O522" s="20"/>
      <x:c r="P522" s="20"/>
      <x:c r="Q522" s="25" t="str">
        <x:v>No direct corporate-capital range established in checked source</x:v>
      </x:c>
      <x:c r="R522" s="25" t="str">
        <x:v>Property acquisition or investor activity makes this an operator-capital prospect for the signed trial. Confirm operating-company debt/equity appetite.</x:v>
      </x:c>
      <x:c r="S522" s="25" t="str">
        <x:v>Confirm the contact controls funding decisions; confirm willingness to invest in an operating company, current liquidity, $100K to $500K ticket size, required security and diligence.</x:v>
      </x:c>
      <x:c r="T522" s="25" t="str">
        <x:v>Ask the owner/investor whether they can allocate $100K-$500K to trial marketing and acquisitions, and confirm structure, timing and decision authority.</x:v>
      </x:c>
      <x:c r="U522" s="25" t="str">
        <x:v>https://avshomebuyersllc.com/
https://sfranalytics.com/investors/sc
https://sfranalytics.com/investors/sc/columbia-sc/avs-home-buyers-llc-sc</x:v>
      </x:c>
      <x:c r="V522" s="26" t="d">
        <x:v>2026-10-02T00:00:00.000Z</x:v>
      </x:c>
      <x:c r="W522" s="26" t="d">
        <x:v>2026-10-03T00:00:00.000Z</x:v>
      </x:c>
      <x:c r="X522" s="25" t="str">
        <x:v>SFR Analytics public investor discovery plus official-company activity, geography and published business contact checks</x:v>
      </x:c>
      <x:c r="Y522" s="25" t="str">
        <x:v>https://avshomebuyersllc.com/</x:v>
      </x:c>
      <x:c r="Z522" s="25" t="str">
        <x:v>https://avshomebuyersllc.com/</x:v>
      </x:c>
      <x:c r="AA522" s="25" t="str">
        <x:v>Company describes direct home buying in Columbia and throughout South Carolina. Published general business contact observed: (803) 303-6440. SFR Analytics public directory lists AVS HOME BUYERS LLC as an organization with a flipper strategy, 93 observed transactions and $12.1M tracked transaction volume. Observed listing market: South Carolina. This is third-party public-record research, not evidence of available cash, a $100K to $500K check, an operating-company investment mandate, or acceptance of this transaction.</x:v>
      </x:c>
      <x:c r="AB522" s="3" t="str">
        <x:v>New public-source collection</x:v>
      </x:c>
      <x:c r="AC522" s="3" t="str">
        <x:v>unverified</x:v>
      </x:c>
      <x:c r="AD522" s="3" t="str">
        <x:v>Not contacted / unconfirmed</x:v>
      </x:c>
      <x:c r="AE522" s="3" t="str">
        <x:v>Yes</x:v>
      </x:c>
      <x:c r="AF522" s="3" t="str">
        <x:v>Yes</x:v>
      </x:c>
      <x:c r="AG522" s="3"/>
      <x:c r="AH522" s="3"/>
      <x:c r="AI522" s="18"/>
      <x:c r="AJ522" s="3" t="str">
        <x:v>CF2500-14B1E66EE200</x:v>
      </x:c>
      <x:c r="AK522" s="3" t="str">
        <x:v>real_estate_operator</x:v>
      </x:c>
      <x:c r="AL522" s="19" t="n">
        <x:v>100000</x:v>
      </x:c>
      <x:c r="AM522" s="19" t="n">
        <x:v>500000</x:v>
      </x:c>
      <x:c r="AN522" s="3" t="str">
        <x:v>https://avshomebuyersllc.com/</x:v>
      </x:c>
      <x:c r="AO522" s="3" t="str">
        <x:v>sfr_contact_enriched.jsonl</x:v>
      </x:c>
      <x:c r="AP522" s="19"/>
    </x:row>
    <x:row r="523" ht="36" customHeight="1">
      <x:c r="A523" s="23" t="n">
        <x:v>522</x:v>
      </x:c>
      <x:c r="B523" s="15" t="str">
        <x:v>Cashforhomesnow.com</x:v>
      </x:c>
      <x:c r="C523" s="15"/>
      <x:c r="D523" s="15" t="str">
        <x:v>Property investor / home-buying operator</x:v>
      </x:c>
      <x:c r="E523" s="15" t="str">
        <x:v>Property investor / operator inquiry</x:v>
      </x:c>
      <x:c r="F523" s="17" t="str">
        <x:v>New</x:v>
      </x:c>
      <x:c r="G523" s="24" t="str">
        <x:v>info@cashforhomesnow.com</x:v>
      </x:c>
      <x:c r="H523" s="24" t="str">
        <x:v>+17205994475</x:v>
      </x:c>
      <x:c r="I523" s="24" t="str">
        <x:v>https://cashforhomesnow.com/</x:v>
      </x:c>
      <x:c r="J523" s="16" t="str">
        <x:v>CO</x:v>
      </x:c>
      <x:c r="K523" s="16" t="str">
        <x:v>Denver</x:v>
      </x:c>
      <x:c r="L523" s="16" t="str">
        <x:v>Public property-business route; investor decision maker unconfirmed</x:v>
      </x:c>
      <x:c r="M523" s="16" t="str">
        <x:v>https://cashforhomesnow.com/contact-us/</x:v>
      </x:c>
      <x:c r="N523" s="16" t="str">
        <x:v>$100K-$500K ticket not published / unconfirmed</x:v>
      </x:c>
      <x:c r="O523" s="20"/>
      <x:c r="P523" s="20"/>
      <x:c r="Q523" s="25" t="str">
        <x:v>No $100K-$500K operating-company investment ticket verified</x:v>
      </x:c>
      <x:c r="R523" s="25" t="str">
        <x:v>Property acquisition or investor activity makes this an operator-capital prospect for the signed trial. Confirm operating-company debt/equity appetite.</x:v>
      </x:c>
      <x:c r="S523" s="25" t="str">
        <x:v>Public property-buying activity or a directory listing does not establish available cash, investing decision-maker, current $100K-$500K capacity, or willingness to fund 101XVC operating costs.</x:v>
      </x:c>
      <x:c r="T523" s="25" t="str">
        <x:v>Ask the owner/investor whether they can allocate $100K-$500K to trial marketing and acquisitions, and confirm structure, timing and decision authority.</x:v>
      </x:c>
      <x:c r="U523" s="25" t="str">
        <x:v>https://www.cashhomebuyersdirectory.com/cash-home-buyers/colorado/denver
https://cashforhomesnow.com/
https://cashforhomesnow.com/contact-us/</x:v>
      </x:c>
      <x:c r="V523" s="26" t="d">
        <x:v>2026-10-02T00:00:00.000Z</x:v>
      </x:c>
      <x:c r="W523" s="26" t="d">
        <x:v>2026-10-02T00:00:00.000Z</x:v>
      </x:c>
      <x:c r="X523" s="25" t="str">
        <x:v>Public investor directory; business role and contact ownership require qualification</x:v>
      </x:c>
      <x:c r="Y523" s="25" t="str">
        <x:v>https://cashforhomesnow.com/</x:v>
      </x:c>
      <x:c r="Z523" s="25" t="str">
        <x:v>https://www.cashhomebuyersdirectory.com/cash-home-buyers/colorado/denver</x:v>
      </x:c>
      <x:c r="AA523" s="25" t="str">
        <x:v>Public cash-home-buyer directory lists business name, phone and market. Directory entry may include brokers or service providers. Official website fetched; home-buying or investing activity stated.</x:v>
      </x:c>
      <x:c r="AB523" s="3" t="str">
        <x:v>New public-source collection</x:v>
      </x:c>
      <x:c r="AC523" s="3" t="str">
        <x:v>unverified</x:v>
      </x:c>
      <x:c r="AD523" s="3" t="str">
        <x:v>Not contacted / unconfirmed</x:v>
      </x:c>
      <x:c r="AE523" s="3" t="str">
        <x:v>Yes</x:v>
      </x:c>
      <x:c r="AF523" s="3" t="str">
        <x:v>No</x:v>
      </x:c>
      <x:c r="AG523" s="3"/>
      <x:c r="AH523" s="3"/>
      <x:c r="AI523" s="18"/>
      <x:c r="AJ523" s="3" t="str">
        <x:v>CF2500-617C937FF08E</x:v>
      </x:c>
      <x:c r="AK523" s="3" t="str">
        <x:v>Property investor / home-buying operator prospect</x:v>
      </x:c>
      <x:c r="AL523" s="19" t="n">
        <x:v>100000</x:v>
      </x:c>
      <x:c r="AM523" s="19" t="n">
        <x:v>500000</x:v>
      </x:c>
      <x:c r="AN523" s="3" t="str">
        <x:v>https://www.cashhomebuyersdirectory.com/cash-home-buyers/colorado/denver</x:v>
      </x:c>
      <x:c r="AO523" s="3" t="str">
        <x:v>nc_il_az_co_investors.jsonl</x:v>
      </x:c>
      <x:c r="AP523" s="19"/>
    </x:row>
    <x:row r="524" ht="36" customHeight="1">
      <x:c r="A524" s="23" t="n">
        <x:v>523</x:v>
      </x:c>
      <x:c r="B524" s="15" t="str">
        <x:v>Colorado Property Partners</x:v>
      </x:c>
      <x:c r="C524" s="15"/>
      <x:c r="D524" s="15" t="str">
        <x:v>Property investor / home-buying operator</x:v>
      </x:c>
      <x:c r="E524" s="15" t="str">
        <x:v>Property investor / operator inquiry</x:v>
      </x:c>
      <x:c r="F524" s="17" t="str">
        <x:v>New</x:v>
      </x:c>
      <x:c r="G524" s="24" t="str">
        <x:v>zack@coloradopropertypartners.com</x:v>
      </x:c>
      <x:c r="H524" s="24" t="str">
        <x:v>+19704001510</x:v>
      </x:c>
      <x:c r="I524" s="24" t="str">
        <x:v>https://coloradopropertypartners.com/</x:v>
      </x:c>
      <x:c r="J524" s="16" t="str">
        <x:v>CO</x:v>
      </x:c>
      <x:c r="K524" s="16" t="str">
        <x:v>Windsor</x:v>
      </x:c>
      <x:c r="L524" s="16" t="str">
        <x:v>Public property-business route; investor decision maker unconfirmed</x:v>
      </x:c>
      <x:c r="M524" s="16" t="str">
        <x:v>https://coloradopropertypartners.com/</x:v>
      </x:c>
      <x:c r="N524" s="16" t="str">
        <x:v>$100K-$500K ticket not published / unconfirmed</x:v>
      </x:c>
      <x:c r="O524" s="20"/>
      <x:c r="P524" s="20"/>
      <x:c r="Q524" s="25" t="str">
        <x:v>No $100K-$500K operating-company investment ticket verified</x:v>
      </x:c>
      <x:c r="R524" s="25" t="str">
        <x:v>Property acquisition or investor activity makes this an operator-capital prospect for the signed trial. Confirm operating-company debt/equity appetite.</x:v>
      </x:c>
      <x:c r="S524" s="25" t="str">
        <x:v>Public property-buying activity or a directory listing does not establish available cash, investing decision-maker, current $100K-$500K capacity, or willingness to fund 101XVC operating costs.</x:v>
      </x:c>
      <x:c r="T524" s="25" t="str">
        <x:v>Ask the owner/investor whether they can allocate $100K-$500K to trial marketing and acquisitions, and confirm structure, timing and decision authority.</x:v>
      </x:c>
      <x:c r="U524" s="25" t="str">
        <x:v>https://www.cashhomebuyersdirectory.com/cash-home-buyers/colorado/windsor
https://coloradopropertypartners.com/
https://www.bbb.org/us/co/category/home-buyers</x:v>
      </x:c>
      <x:c r="V524" s="26" t="d">
        <x:v>2026-10-02T00:00:00.000Z</x:v>
      </x:c>
      <x:c r="W524" s="26" t="d">
        <x:v>2026-10-02T00:00:00.000Z</x:v>
      </x:c>
      <x:c r="X524" s="25" t="str">
        <x:v>Public investor directory; business role and contact ownership require qualification</x:v>
      </x:c>
      <x:c r="Y524" s="25" t="str">
        <x:v>https://coloradopropertypartners.com/</x:v>
      </x:c>
      <x:c r="Z524" s="25" t="str">
        <x:v>https://www.cashhomebuyersdirectory.com/cash-home-buyers/colorado/windsor</x:v>
      </x:c>
      <x:c r="AA524" s="25" t="str">
        <x:v>Public cash-home-buyer directory lists business name, phone and market. Directory entry may include brokers or service providers. Official website fetched; home-buying or investing activity stated.</x:v>
      </x:c>
      <x:c r="AB524" s="3" t="str">
        <x:v>New public-source collection</x:v>
      </x:c>
      <x:c r="AC524" s="3" t="str">
        <x:v>unverified</x:v>
      </x:c>
      <x:c r="AD524" s="3" t="str">
        <x:v>Not contacted / unconfirmed</x:v>
      </x:c>
      <x:c r="AE524" s="3" t="str">
        <x:v>Yes</x:v>
      </x:c>
      <x:c r="AF524" s="3" t="str">
        <x:v>Yes</x:v>
      </x:c>
      <x:c r="AG524" s="3"/>
      <x:c r="AH524" s="3"/>
      <x:c r="AI524" s="18"/>
      <x:c r="AJ524" s="3" t="str">
        <x:v>CF2500-3E4AADA23550</x:v>
      </x:c>
      <x:c r="AK524" s="3" t="str">
        <x:v>Property investor / home-buying operator prospect</x:v>
      </x:c>
      <x:c r="AL524" s="19" t="n">
        <x:v>100000</x:v>
      </x:c>
      <x:c r="AM524" s="19" t="n">
        <x:v>500000</x:v>
      </x:c>
      <x:c r="AN524" s="3" t="str">
        <x:v>https://www.cashhomebuyersdirectory.com/cash-home-buyers/colorado/windsor</x:v>
      </x:c>
      <x:c r="AO524" s="3" t="str">
        <x:v>nc_il_az_co_investors.jsonl</x:v>
      </x:c>
      <x:c r="AP524" s="19"/>
    </x:row>
    <x:row r="525" ht="36" customHeight="1">
      <x:c r="A525" s="23" t="n">
        <x:v>524</x:v>
      </x:c>
      <x:c r="B525" s="15" t="str">
        <x:v>First Integrity Home Buyers</x:v>
      </x:c>
      <x:c r="C525" s="15"/>
      <x:c r="D525" s="15" t="str">
        <x:v>Property investor / home-buying operator</x:v>
      </x:c>
      <x:c r="E525" s="15" t="str">
        <x:v>Property investor / operator inquiry</x:v>
      </x:c>
      <x:c r="F525" s="17" t="str">
        <x:v>New</x:v>
      </x:c>
      <x:c r="G525" s="24" t="str">
        <x:v>ed@firstintegrityhomebuyers.com</x:v>
      </x:c>
      <x:c r="H525" s="24" t="str">
        <x:v>+13035237653</x:v>
      </x:c>
      <x:c r="I525" s="24" t="str">
        <x:v>https://firstintegrityhomebuyers.com/</x:v>
      </x:c>
      <x:c r="J525" s="16" t="str">
        <x:v>CO</x:v>
      </x:c>
      <x:c r="K525" s="16" t="str">
        <x:v>Greenwood Village</x:v>
      </x:c>
      <x:c r="L525" s="16" t="str">
        <x:v>Public property-business route; investor decision maker unconfirmed</x:v>
      </x:c>
      <x:c r="M525" s="16" t="str">
        <x:v>https://firstintegrityhomebuyers.com/</x:v>
      </x:c>
      <x:c r="N525" s="16" t="str">
        <x:v>$100K-$500K ticket not published / unconfirmed</x:v>
      </x:c>
      <x:c r="O525" s="20"/>
      <x:c r="P525" s="20"/>
      <x:c r="Q525" s="25" t="str">
        <x:v>No $100K-$500K operating-company investment ticket verified</x:v>
      </x:c>
      <x:c r="R525" s="25" t="str">
        <x:v>Property acquisition or investor activity makes this an operator-capital prospect for the signed trial. Confirm operating-company debt/equity appetite.</x:v>
      </x:c>
      <x:c r="S525" s="25" t="str">
        <x:v>Public property-buying activity or a directory listing does not establish available cash, investing decision-maker, current $100K-$500K capacity, or willingness to fund 101XVC operating costs.</x:v>
      </x:c>
      <x:c r="T525" s="25" t="str">
        <x:v>Ask the owner/investor whether they can allocate $100K-$500K to trial marketing and acquisitions, and confirm structure, timing and decision authority.</x:v>
      </x:c>
      <x:c r="U525" s="25" t="str">
        <x:v>https://www.cashhomebuyersdirectory.com/cash-home-buyers/colorado/greenwood-village
https://firstintegrityhomebuyers.com/</x:v>
      </x:c>
      <x:c r="V525" s="26" t="d">
        <x:v>2026-10-02T00:00:00.000Z</x:v>
      </x:c>
      <x:c r="W525" s="26" t="d">
        <x:v>2026-10-02T00:00:00.000Z</x:v>
      </x:c>
      <x:c r="X525" s="25" t="str">
        <x:v>Public investor directory; business role and contact ownership require qualification</x:v>
      </x:c>
      <x:c r="Y525" s="25" t="str">
        <x:v>https://firstintegrityhomebuyers.com/</x:v>
      </x:c>
      <x:c r="Z525" s="25" t="str">
        <x:v>https://www.cashhomebuyersdirectory.com/cash-home-buyers/colorado/greenwood-village</x:v>
      </x:c>
      <x:c r="AA525" s="25" t="str">
        <x:v>Public cash-home-buyer directory lists business name, phone and market. Directory entry may include brokers or service providers. Official website fetched; home-buying or investing activity stated.</x:v>
      </x:c>
      <x:c r="AB525" s="3" t="str">
        <x:v>New public-source collection</x:v>
      </x:c>
      <x:c r="AC525" s="3" t="str">
        <x:v>unverified</x:v>
      </x:c>
      <x:c r="AD525" s="3" t="str">
        <x:v>Not contacted / unconfirmed</x:v>
      </x:c>
      <x:c r="AE525" s="3" t="str">
        <x:v>Yes</x:v>
      </x:c>
      <x:c r="AF525" s="3" t="str">
        <x:v>No</x:v>
      </x:c>
      <x:c r="AG525" s="3"/>
      <x:c r="AH525" s="3"/>
      <x:c r="AI525" s="18"/>
      <x:c r="AJ525" s="3" t="str">
        <x:v>CF2500-4CECACAB785E</x:v>
      </x:c>
      <x:c r="AK525" s="3" t="str">
        <x:v>Property investor / home-buying operator prospect</x:v>
      </x:c>
      <x:c r="AL525" s="19" t="n">
        <x:v>100000</x:v>
      </x:c>
      <x:c r="AM525" s="19" t="n">
        <x:v>500000</x:v>
      </x:c>
      <x:c r="AN525" s="3" t="str">
        <x:v>https://www.cashhomebuyersdirectory.com/cash-home-buyers/colorado/greenwood-village</x:v>
      </x:c>
      <x:c r="AO525" s="3" t="str">
        <x:v>nc_il_az_co_investors.jsonl</x:v>
      </x:c>
      <x:c r="AP525" s="19"/>
    </x:row>
    <x:row r="526" ht="36" customHeight="1">
      <x:c r="A526" s="23" t="n">
        <x:v>525</x:v>
      </x:c>
      <x:c r="B526" s="15" t="str">
        <x:v>INDY HOME OFFER LLC</x:v>
      </x:c>
      <x:c r="C526" s="15"/>
      <x:c r="D526" s="15" t="str">
        <x:v>Property investor / home-buying operator</x:v>
      </x:c>
      <x:c r="E526" s="15" t="str">
        <x:v>Property investor / operator inquiry</x:v>
      </x:c>
      <x:c r="F526" s="17" t="str">
        <x:v>New</x:v>
      </x:c>
      <x:c r="G526" s="24" t="str">
        <x:v>zach@indyhomeoffer.com</x:v>
      </x:c>
      <x:c r="H526" s="24" t="str">
        <x:v>+17205007249</x:v>
      </x:c>
      <x:c r="I526" s="24" t="str">
        <x:v>https://indyhomeoffer.com/</x:v>
      </x:c>
      <x:c r="J526" s="16" t="str">
        <x:v>CO</x:v>
      </x:c>
      <x:c r="K526" s="16" t="str">
        <x:v>Denver</x:v>
      </x:c>
      <x:c r="L526" s="16" t="str">
        <x:v>Public property-business route; investor decision maker unconfirmed</x:v>
      </x:c>
      <x:c r="M526" s="16" t="str">
        <x:v>https://indyhomeoffer.com/properties</x:v>
      </x:c>
      <x:c r="N526" s="16" t="str">
        <x:v>$100K-$500K ticket not published / unconfirmed</x:v>
      </x:c>
      <x:c r="O526" s="20"/>
      <x:c r="P526" s="20"/>
      <x:c r="Q526" s="25" t="str">
        <x:v>No direct corporate-capital range established in checked source</x:v>
      </x:c>
      <x:c r="R526" s="25" t="str">
        <x:v>Property acquisition or investor activity makes this an operator-capital prospect for the signed trial. Confirm operating-company debt/equity appetite.</x:v>
      </x:c>
      <x:c r="S526" s="25" t="str">
        <x:v>Confirm the contact controls funding decisions; confirm willingness to invest in an operating company, current liquidity, $100K to $500K ticket size, required security and diligence.</x:v>
      </x:c>
      <x:c r="T526" s="25" t="str">
        <x:v>Ask the owner/investor whether they can allocate $100K-$500K to trial marketing and acquisitions, and confirm structure, timing and decision authority.</x:v>
      </x:c>
      <x:c r="U526" s="25" t="str">
        <x:v>https://indyhomeoffer.com/properties
https://sfranalytics.com/investors/co/denver-aurora-centennial-co
https://sfranalytics.com/investors/co/denver-aurora-centennial-co/indy-home-offer-llc-co</x:v>
      </x:c>
      <x:c r="V526" s="26" t="d">
        <x:v>2026-10-02T00:00:00.000Z</x:v>
      </x:c>
      <x:c r="W526" s="26" t="d">
        <x:v>2026-10-03T00:00:00.000Z</x:v>
      </x:c>
      <x:c r="X526" s="25" t="str">
        <x:v>SFR Analytics public investor discovery plus official-company activity, geography and published business contact checks</x:v>
      </x:c>
      <x:c r="Y526" s="25" t="str">
        <x:v>https://indyhomeoffer.com/properties</x:v>
      </x:c>
      <x:c r="Z526" s="25" t="str">
        <x:v>https://indyhomeoffer.com/properties</x:v>
      </x:c>
      <x:c r="AA526" s="25" t="str">
        <x:v>Company portfolio page identifies Indy Home Offer and Denver property activity, with cash offer services. Published general business contact observed: (720) 500-7249. SFR Analytics public directory lists INDY HOME OFFER LLC as an organization with a flipper strategy, 24 observed transactions and $14.7M tracked transaction volume. Observed listing market: Denver-Aurora-Centennial, CO. This is third-party public-record research, not evidence of available cash, a $100K to $500K check, an operating-company investment mandate, or acceptance of this transaction.</x:v>
      </x:c>
      <x:c r="AB526" s="3" t="str">
        <x:v>New public-source collection</x:v>
      </x:c>
      <x:c r="AC526" s="3" t="str">
        <x:v>unverified</x:v>
      </x:c>
      <x:c r="AD526" s="3" t="str">
        <x:v>Not contacted / unconfirmed</x:v>
      </x:c>
      <x:c r="AE526" s="3" t="str">
        <x:v>Yes</x:v>
      </x:c>
      <x:c r="AF526" s="3" t="str">
        <x:v>Yes</x:v>
      </x:c>
      <x:c r="AG526" s="3"/>
      <x:c r="AH526" s="3"/>
      <x:c r="AI526" s="18"/>
      <x:c r="AJ526" s="3" t="str">
        <x:v>CF2500-84FCD060F8B3</x:v>
      </x:c>
      <x:c r="AK526" s="3" t="str">
        <x:v>real_estate_operator</x:v>
      </x:c>
      <x:c r="AL526" s="19" t="n">
        <x:v>100000</x:v>
      </x:c>
      <x:c r="AM526" s="19" t="n">
        <x:v>500000</x:v>
      </x:c>
      <x:c r="AN526" s="3" t="str">
        <x:v>https://indyhomeoffer.com/properties</x:v>
      </x:c>
      <x:c r="AO526" s="3" t="str">
        <x:v>sfr_contact_enriched.jsonl</x:v>
      </x:c>
      <x:c r="AP526" s="19"/>
    </x:row>
    <x:row r="527" ht="36" customHeight="1">
      <x:c r="A527" s="23" t="n">
        <x:v>526</x:v>
      </x:c>
      <x:c r="B527" s="15" t="str">
        <x:v>NORTH ALABAMA HOUSE BUYER LLC</x:v>
      </x:c>
      <x:c r="C527" s="15"/>
      <x:c r="D527" s="15" t="str">
        <x:v>Property investor / home-buying operator</x:v>
      </x:c>
      <x:c r="E527" s="15" t="str">
        <x:v>Property investor / operator inquiry</x:v>
      </x:c>
      <x:c r="F527" s="17" t="str">
        <x:v>New</x:v>
      </x:c>
      <x:c r="G527" s="24" t="str">
        <x:v>contact@northalabamahousebuyer.com</x:v>
      </x:c>
      <x:c r="H527" s="24" t="str">
        <x:v>+12568249181</x:v>
      </x:c>
      <x:c r="I527" s="24" t="str">
        <x:v>https://www.northalabamahousebuyer.com/</x:v>
      </x:c>
      <x:c r="J527" s="16" t="str">
        <x:v>AL</x:v>
      </x:c>
      <x:c r="K527" s="16" t="str">
        <x:v>Huntsville</x:v>
      </x:c>
      <x:c r="L527" s="16" t="str">
        <x:v>Public property-business route; investor decision maker unconfirmed</x:v>
      </x:c>
      <x:c r="M527" s="16" t="str">
        <x:v>https://www.northalabamahousebuyer.com/contact-us/</x:v>
      </x:c>
      <x:c r="N527" s="16" t="str">
        <x:v>$100K-$500K ticket not published / unconfirmed</x:v>
      </x:c>
      <x:c r="O527" s="20"/>
      <x:c r="P527" s="20"/>
      <x:c r="Q527" s="25" t="str">
        <x:v>No direct corporate-capital range established in checked source</x:v>
      </x:c>
      <x:c r="R527" s="25" t="str">
        <x:v>Property acquisition or investor activity makes this an operator-capital prospect for the signed trial. Confirm operating-company debt/equity appetite.</x:v>
      </x:c>
      <x:c r="S527" s="25" t="str">
        <x:v>Confirm the contact controls funding decisions; confirm willingness to invest in an operating company, current liquidity, $100K to $500K ticket size, required security and diligence.</x:v>
      </x:c>
      <x:c r="T527" s="25" t="str">
        <x:v>Ask the owner/investor whether they can allocate $100K-$500K to trial marketing and acquisitions, and confirm structure, timing and decision authority.</x:v>
      </x:c>
      <x:c r="U527" s="25" t="str">
        <x:v>https://www.northalabamahousebuyer.com/contact-us/
https://sfranalytics.com/investors/al
https://sfranalytics.com/investors/al/huntsville-al/north-alabama-house-buyer-llc-al
https://www.cashhomebuyersdirectory.com/cash-home-buyers/alabama/birmingham
https://www.cashhomebuyersdirectory.com/cash-home-buyers/alabama/huntsville</x:v>
      </x:c>
      <x:c r="V527" s="26" t="d">
        <x:v>2026-10-02T00:00:00.000Z</x:v>
      </x:c>
      <x:c r="W527" s="26" t="d">
        <x:v>2026-10-03T00:00:00.000Z</x:v>
      </x:c>
      <x:c r="X527" s="25" t="str">
        <x:v>SFR Analytics public investor discovery plus official-company activity, geography and published business contact checks</x:v>
      </x:c>
      <x:c r="Y527" s="25" t="str">
        <x:v>https://www.northalabamahousebuyer.com/contact-us/</x:v>
      </x:c>
      <x:c r="Z527" s="25" t="str">
        <x:v>https://www.northalabamahousebuyer.com/contact-us/</x:v>
      </x:c>
      <x:c r="AA527" s="25" t="str">
        <x:v>Company describes buying houses across North Alabama, including Huntsville, Athens and Decatur. Published general business contact observed: (256) 824-9181. SFR Analytics public directory lists NORTH ALABAMA HOUSE BUYER LLC as an organization with a flipper strategy, 421 observed transactions and $53.1M tracked transaction volume. Observed listing market: Alabama. This is third-party public-record research, not evidence of available cash, a $100K to $500K check, an operating-company investment mandate, or acceptance of this transaction.</x:v>
      </x:c>
      <x:c r="AB527" s="3" t="str">
        <x:v>New public-source collection</x:v>
      </x:c>
      <x:c r="AC527" s="3" t="str">
        <x:v>unverified</x:v>
      </x:c>
      <x:c r="AD527" s="3" t="str">
        <x:v>Not contacted / unconfirmed</x:v>
      </x:c>
      <x:c r="AE527" s="3" t="str">
        <x:v>Yes</x:v>
      </x:c>
      <x:c r="AF527" s="3" t="str">
        <x:v>Yes</x:v>
      </x:c>
      <x:c r="AG527" s="3"/>
      <x:c r="AH527" s="3" t="str">
        <x:v>North Alabama House Buyer</x:v>
      </x:c>
      <x:c r="AI527" s="18"/>
      <x:c r="AJ527" s="3" t="str">
        <x:v>CF2500-6D0B37F81F1C</x:v>
      </x:c>
      <x:c r="AK527" s="3" t="str">
        <x:v>real_estate_operator</x:v>
      </x:c>
      <x:c r="AL527" s="19" t="n">
        <x:v>100000</x:v>
      </x:c>
      <x:c r="AM527" s="19" t="n">
        <x:v>500000</x:v>
      </x:c>
      <x:c r="AN527" s="3" t="str">
        <x:v>https://www.northalabamahousebuyer.com/contact-us/</x:v>
      </x:c>
      <x:c r="AO527" s="3" t="str">
        <x:v>sfr_contact_enriched.jsonl</x:v>
      </x:c>
      <x:c r="AP527" s="19"/>
    </x:row>
    <x:row r="528" ht="36" customHeight="1">
      <x:c r="A528" s="23" t="n">
        <x:v>527</x:v>
      </x:c>
      <x:c r="B528" s="15" t="str">
        <x:v>Boulder Home Buyers</x:v>
      </x:c>
      <x:c r="C528" s="15"/>
      <x:c r="D528" s="15" t="str">
        <x:v>Property investor / home-buying operator</x:v>
      </x:c>
      <x:c r="E528" s="15" t="str">
        <x:v>Property investor / operator inquiry</x:v>
      </x:c>
      <x:c r="F528" s="17" t="str">
        <x:v>New</x:v>
      </x:c>
      <x:c r="G528" s="24"/>
      <x:c r="H528" s="24" t="str">
        <x:v>+13034420505</x:v>
      </x:c>
      <x:c r="I528" s="24" t="str">
        <x:v>https://www.boulderhomebuyers.com/</x:v>
      </x:c>
      <x:c r="J528" s="16" t="str">
        <x:v>CO</x:v>
      </x:c>
      <x:c r="K528" s="16" t="str">
        <x:v>Boulder</x:v>
      </x:c>
      <x:c r="L528" s="16" t="str">
        <x:v>Public property-business route; investor decision maker unconfirmed</x:v>
      </x:c>
      <x:c r="M528" s="16" t="str">
        <x:v>https://www.boulderhomebuyers.com/</x:v>
      </x:c>
      <x:c r="N528" s="16" t="str">
        <x:v>$100K-$500K ticket not published / unconfirmed</x:v>
      </x:c>
      <x:c r="O528" s="20"/>
      <x:c r="P528" s="20"/>
      <x:c r="Q528" s="25" t="str">
        <x:v>No $100K-$500K operating-company investment ticket verified</x:v>
      </x:c>
      <x:c r="R528" s="25" t="str">
        <x:v>Property acquisition or investor activity makes this an operator-capital prospect for the signed trial. Confirm operating-company debt/equity appetite.</x:v>
      </x:c>
      <x:c r="S528" s="25" t="str">
        <x:v>Public property-buying activity or a directory listing does not establish available cash, investing decision-maker, current $100K-$500K capacity, or willingness to fund 101XVC operating costs.</x:v>
      </x:c>
      <x:c r="T528" s="25" t="str">
        <x:v>Ask the owner/investor whether they can allocate $100K-$500K to trial marketing and acquisitions, and confirm structure, timing and decision authority.</x:v>
      </x:c>
      <x:c r="U528" s="25" t="str">
        <x:v>https://www.cashhomebuyersdirectory.com/cash-home-buyers/colorado/boulder
https://www.boulderhomebuyers.com/</x:v>
      </x:c>
      <x:c r="V528" s="26" t="d">
        <x:v>2026-10-02T00:00:00.000Z</x:v>
      </x:c>
      <x:c r="W528" s="26" t="d">
        <x:v>2026-10-02T00:00:00.000Z</x:v>
      </x:c>
      <x:c r="X528" s="25" t="str">
        <x:v>Public investor directory; business role and contact ownership require qualification</x:v>
      </x:c>
      <x:c r="Y528" s="25"/>
      <x:c r="Z528" s="25" t="str">
        <x:v>https://www.cashhomebuyersdirectory.com/cash-home-buyers/colorado/boulder</x:v>
      </x:c>
      <x:c r="AA528" s="25" t="str">
        <x:v>Public cash-home-buyer directory lists business name, phone and market. Directory entry may include brokers or service providers. Official website fetched; home-buying or investing activity stated.</x:v>
      </x:c>
      <x:c r="AB528" s="3" t="str">
        <x:v>New public-source collection</x:v>
      </x:c>
      <x:c r="AC528" s="3" t="str">
        <x:v>unverified</x:v>
      </x:c>
      <x:c r="AD528" s="3" t="str">
        <x:v>Not contacted / unconfirmed</x:v>
      </x:c>
      <x:c r="AE528" s="3" t="str">
        <x:v>Yes</x:v>
      </x:c>
      <x:c r="AF528" s="3" t="str">
        <x:v>Yes</x:v>
      </x:c>
      <x:c r="AG528" s="3"/>
      <x:c r="AH528" s="3"/>
      <x:c r="AI528" s="18"/>
      <x:c r="AJ528" s="3" t="str">
        <x:v>CF2500-FCE8CFB57B0A</x:v>
      </x:c>
      <x:c r="AK528" s="3" t="str">
        <x:v>Property investor / home-buying operator prospect</x:v>
      </x:c>
      <x:c r="AL528" s="19" t="n">
        <x:v>100000</x:v>
      </x:c>
      <x:c r="AM528" s="19" t="n">
        <x:v>500000</x:v>
      </x:c>
      <x:c r="AN528" s="3" t="str">
        <x:v>https://www.cashhomebuyersdirectory.com/cash-home-buyers/colorado/boulder</x:v>
      </x:c>
      <x:c r="AO528" s="3" t="str">
        <x:v>nc_il_az_co_investors.jsonl</x:v>
      </x:c>
      <x:c r="AP528" s="19"/>
    </x:row>
    <x:row r="529" ht="36" customHeight="1">
      <x:c r="A529" s="23" t="n">
        <x:v>528</x:v>
      </x:c>
      <x:c r="B529" s="15" t="str">
        <x:v>BRADFORD HOME BUYERS LLC</x:v>
      </x:c>
      <x:c r="C529" s="15"/>
      <x:c r="D529" s="15" t="str">
        <x:v>Property investor / home-buying operator</x:v>
      </x:c>
      <x:c r="E529" s="15" t="str">
        <x:v>Property investor / operator inquiry</x:v>
      </x:c>
      <x:c r="F529" s="17" t="str">
        <x:v>New</x:v>
      </x:c>
      <x:c r="G529" s="24"/>
      <x:c r="H529" s="24" t="str">
        <x:v>+18434184442</x:v>
      </x:c>
      <x:c r="I529" s="24" t="str">
        <x:v>https://www.bradfordhomebuyers.com/</x:v>
      </x:c>
      <x:c r="J529" s="16" t="str">
        <x:v>SC</x:v>
      </x:c>
      <x:c r="K529" s="16" t="str">
        <x:v>Charleston</x:v>
      </x:c>
      <x:c r="L529" s="16" t="str">
        <x:v>Public property-business route; investor decision maker unconfirmed</x:v>
      </x:c>
      <x:c r="M529" s="16" t="str">
        <x:v>https://www.bradfordhomebuyers.com/contact/</x:v>
      </x:c>
      <x:c r="N529" s="16" t="str">
        <x:v>$100K-$500K ticket not published / unconfirmed</x:v>
      </x:c>
      <x:c r="O529" s="20"/>
      <x:c r="P529" s="20"/>
      <x:c r="Q529" s="25" t="str">
        <x:v>No direct corporate-capital range established in checked source</x:v>
      </x:c>
      <x:c r="R529" s="25" t="str">
        <x:v>Property acquisition or investor activity makes this an operator-capital prospect for the signed trial. Confirm operating-company debt/equity appetite.</x:v>
      </x:c>
      <x:c r="S529" s="25" t="str">
        <x:v>Confirm the contact controls funding decisions; confirm willingness to invest in an operating company, current liquidity, $100K to $500K ticket size, required security and diligence.</x:v>
      </x:c>
      <x:c r="T529" s="25" t="str">
        <x:v>Ask the owner/investor whether they can allocate $100K-$500K to trial marketing and acquisitions, and confirm structure, timing and decision authority.</x:v>
      </x:c>
      <x:c r="U529" s="25" t="str">
        <x:v>https://www.bradfordhomebuyers.com/contact/
https://sfranalytics.com/investors/sc
https://sfranalytics.com/investors/sc/charleston-north-charleston-sc/bradford-home-buyers-llc-sc
https://www.cashhomebuyersdirectory.com/cash-home-buyers/south-carolina/charleston</x:v>
      </x:c>
      <x:c r="V529" s="26" t="d">
        <x:v>2026-10-02T00:00:00.000Z</x:v>
      </x:c>
      <x:c r="W529" s="26" t="d">
        <x:v>2026-10-03T00:00:00.000Z</x:v>
      </x:c>
      <x:c r="X529" s="25" t="str">
        <x:v>SFR Analytics public investor discovery plus official-company activity, geography and published business contact checks</x:v>
      </x:c>
      <x:c r="Y529" s="25"/>
      <x:c r="Z529" s="25" t="str">
        <x:v>https://www.bradfordhomebuyers.com/contact/</x:v>
      </x:c>
      <x:c r="AA529" s="25" t="str">
        <x:v>Official company contact page publishes separate Charleston and Upstate South Carolina home buying business numbers. Published general business contact observed: (843) 418-4442. SFR Analytics public directory lists BRADFORD HOME BUYERS LLC as an organization with a flipper strategy, 134 observed transactions and $23.0M tracked transaction volume. Observed listing market: South Carolina. This is third-party public-record research, not evidence of available cash, a $100K to $500K check, an operating-company investment mandate, or acceptance of this transaction.</x:v>
      </x:c>
      <x:c r="AB529" s="3" t="str">
        <x:v>New public-source collection</x:v>
      </x:c>
      <x:c r="AC529" s="3" t="str">
        <x:v>unverified</x:v>
      </x:c>
      <x:c r="AD529" s="3" t="str">
        <x:v>Not contacted / unconfirmed</x:v>
      </x:c>
      <x:c r="AE529" s="3" t="str">
        <x:v>Yes</x:v>
      </x:c>
      <x:c r="AF529" s="3" t="str">
        <x:v>Yes</x:v>
      </x:c>
      <x:c r="AG529" s="3"/>
      <x:c r="AH529" s="3" t="str">
        <x:v>Bradford Home Buyers, LLC</x:v>
      </x:c>
      <x:c r="AI529" s="18"/>
      <x:c r="AJ529" s="3" t="str">
        <x:v>CF2500-8015A30DAF4F</x:v>
      </x:c>
      <x:c r="AK529" s="3" t="str">
        <x:v>real_estate_operator</x:v>
      </x:c>
      <x:c r="AL529" s="19" t="n">
        <x:v>100000</x:v>
      </x:c>
      <x:c r="AM529" s="19" t="n">
        <x:v>500000</x:v>
      </x:c>
      <x:c r="AN529" s="3" t="str">
        <x:v>https://www.bradfordhomebuyers.com/contact/</x:v>
      </x:c>
      <x:c r="AO529" s="3" t="str">
        <x:v>sfr_contact_enriched.jsonl</x:v>
      </x:c>
      <x:c r="AP529" s="19"/>
    </x:row>
    <x:row r="530" ht="36" customHeight="1">
      <x:c r="A530" s="23" t="n">
        <x:v>529</x:v>
      </x:c>
      <x:c r="B530" s="15" t="str">
        <x:v>Cash For Houses</x:v>
      </x:c>
      <x:c r="C530" s="15"/>
      <x:c r="D530" s="15" t="str">
        <x:v>Property investor / home-buying operator</x:v>
      </x:c>
      <x:c r="E530" s="15" t="str">
        <x:v>Property investor / operator inquiry</x:v>
      </x:c>
      <x:c r="F530" s="17" t="str">
        <x:v>New</x:v>
      </x:c>
      <x:c r="G530" s="24"/>
      <x:c r="H530" s="24" t="str">
        <x:v>+18449082918</x:v>
      </x:c>
      <x:c r="I530" s="24" t="str">
        <x:v>https://cashforhouses.org/</x:v>
      </x:c>
      <x:c r="J530" s="16" t="str">
        <x:v>CO</x:v>
      </x:c>
      <x:c r="K530" s="16" t="str">
        <x:v>Denver</x:v>
      </x:c>
      <x:c r="L530" s="16" t="str">
        <x:v>Public property-business route; investor decision maker unconfirmed</x:v>
      </x:c>
      <x:c r="M530" s="16" t="str">
        <x:v>https://cashforhouses.org/</x:v>
      </x:c>
      <x:c r="N530" s="16" t="str">
        <x:v>$100K-$500K ticket not published / unconfirmed</x:v>
      </x:c>
      <x:c r="O530" s="20"/>
      <x:c r="P530" s="20"/>
      <x:c r="Q530" s="25" t="str">
        <x:v>No $100K-$500K operating-company investment ticket verified</x:v>
      </x:c>
      <x:c r="R530" s="25" t="str">
        <x:v>Property acquisition or investor activity makes this an operator-capital prospect for the signed trial. Confirm operating-company debt/equity appetite.</x:v>
      </x:c>
      <x:c r="S530" s="25" t="str">
        <x:v>Public property-buying activity or a directory listing does not establish available cash, investing decision-maker, current $100K-$500K capacity, or willingness to fund 101XVC operating costs.</x:v>
      </x:c>
      <x:c r="T530" s="25" t="str">
        <x:v>Ask the owner/investor whether they can allocate $100K-$500K to trial marketing and acquisitions, and confirm structure, timing and decision authority.</x:v>
      </x:c>
      <x:c r="U530" s="25" t="str">
        <x:v>https://www.cashhomebuyersdirectory.com/cash-home-buyers/colorado/denver
https://cashforhouses.org/</x:v>
      </x:c>
      <x:c r="V530" s="26" t="d">
        <x:v>2026-10-02T00:00:00.000Z</x:v>
      </x:c>
      <x:c r="W530" s="26" t="d">
        <x:v>2026-10-02T00:00:00.000Z</x:v>
      </x:c>
      <x:c r="X530" s="25" t="str">
        <x:v>Public investor directory; business role and contact ownership require qualification</x:v>
      </x:c>
      <x:c r="Y530" s="25"/>
      <x:c r="Z530" s="25" t="str">
        <x:v>https://www.cashhomebuyersdirectory.com/cash-home-buyers/colorado/denver</x:v>
      </x:c>
      <x:c r="AA530" s="25" t="str">
        <x:v>Public cash-home-buyer directory lists business name, phone and market. Directory entry may include brokers or service providers. Official website fetched; home-buying or investing activity stated.</x:v>
      </x:c>
      <x:c r="AB530" s="3" t="str">
        <x:v>New public-source collection</x:v>
      </x:c>
      <x:c r="AC530" s="3" t="str">
        <x:v>unverified</x:v>
      </x:c>
      <x:c r="AD530" s="3" t="str">
        <x:v>Not contacted / unconfirmed</x:v>
      </x:c>
      <x:c r="AE530" s="3" t="str">
        <x:v>Yes</x:v>
      </x:c>
      <x:c r="AF530" s="3" t="str">
        <x:v>Yes</x:v>
      </x:c>
      <x:c r="AG530" s="3"/>
      <x:c r="AH530" s="3"/>
      <x:c r="AI530" s="18"/>
      <x:c r="AJ530" s="3" t="str">
        <x:v>CF2500-D229BDC6B713</x:v>
      </x:c>
      <x:c r="AK530" s="3" t="str">
        <x:v>Property investor / home-buying operator prospect</x:v>
      </x:c>
      <x:c r="AL530" s="19" t="n">
        <x:v>100000</x:v>
      </x:c>
      <x:c r="AM530" s="19" t="n">
        <x:v>500000</x:v>
      </x:c>
      <x:c r="AN530" s="3" t="str">
        <x:v>https://www.cashhomebuyersdirectory.com/cash-home-buyers/colorado/denver</x:v>
      </x:c>
      <x:c r="AO530" s="3" t="str">
        <x:v>nc_il_az_co_investors.jsonl</x:v>
      </x:c>
      <x:c r="AP530" s="19"/>
    </x:row>
    <x:row r="531" ht="36" customHeight="1">
      <x:c r="A531" s="23" t="n">
        <x:v>530</x:v>
      </x:c>
      <x:c r="B531" s="15" t="str">
        <x:v>Colorado Cash For Keys</x:v>
      </x:c>
      <x:c r="C531" s="15"/>
      <x:c r="D531" s="15" t="str">
        <x:v>Property investor / home-buying operator</x:v>
      </x:c>
      <x:c r="E531" s="15" t="str">
        <x:v>Property investor / operator inquiry</x:v>
      </x:c>
      <x:c r="F531" s="17" t="str">
        <x:v>New</x:v>
      </x:c>
      <x:c r="G531" s="24"/>
      <x:c r="H531" s="24" t="str">
        <x:v>+19706929446</x:v>
      </x:c>
      <x:c r="I531" s="24" t="str">
        <x:v>https://www.coloradocashforkeys.com/</x:v>
      </x:c>
      <x:c r="J531" s="16" t="str">
        <x:v>CO</x:v>
      </x:c>
      <x:c r="K531" s="16" t="str">
        <x:v>Fort Collins</x:v>
      </x:c>
      <x:c r="L531" s="16" t="str">
        <x:v>Public property-business route; investor decision maker unconfirmed</x:v>
      </x:c>
      <x:c r="M531" s="16" t="str">
        <x:v>https://www.coloradocashforkeys.com/contact-us/</x:v>
      </x:c>
      <x:c r="N531" s="16" t="str">
        <x:v>$100K-$500K ticket not published / unconfirmed</x:v>
      </x:c>
      <x:c r="O531" s="20"/>
      <x:c r="P531" s="20"/>
      <x:c r="Q531" s="25" t="str">
        <x:v>No $100K-$500K operating-company investment ticket verified</x:v>
      </x:c>
      <x:c r="R531" s="25" t="str">
        <x:v>Property acquisition or investor activity makes this an operator-capital prospect for the signed trial. Confirm operating-company debt/equity appetite.</x:v>
      </x:c>
      <x:c r="S531" s="25" t="str">
        <x:v>Public property-buying activity or a directory listing does not establish available cash, investing decision-maker, current $100K-$500K capacity, or willingness to fund 101XVC operating costs.</x:v>
      </x:c>
      <x:c r="T531" s="25" t="str">
        <x:v>Ask the owner/investor whether they can allocate $100K-$500K to trial marketing and acquisitions, and confirm structure, timing and decision authority.</x:v>
      </x:c>
      <x:c r="U531" s="25" t="str">
        <x:v>https://www.cashhomebuyersdirectory.com/cash-home-buyers/colorado/fort-collins
https://www.coloradocashforkeys.com/
https://www.coloradocashforkeys.com/contact-us/</x:v>
      </x:c>
      <x:c r="V531" s="26" t="d">
        <x:v>2026-10-02T00:00:00.000Z</x:v>
      </x:c>
      <x:c r="W531" s="26" t="d">
        <x:v>2026-10-02T00:00:00.000Z</x:v>
      </x:c>
      <x:c r="X531" s="25" t="str">
        <x:v>Public investor directory; business role and contact ownership require qualification</x:v>
      </x:c>
      <x:c r="Y531" s="25"/>
      <x:c r="Z531" s="25" t="str">
        <x:v>https://www.cashhomebuyersdirectory.com/cash-home-buyers/colorado/fort-collins</x:v>
      </x:c>
      <x:c r="AA531" s="25" t="str">
        <x:v>Public cash-home-buyer directory lists business name, phone and market. Directory entry may include brokers or service providers. Official website fetched; home-buying or investing activity stated.</x:v>
      </x:c>
      <x:c r="AB531" s="3" t="str">
        <x:v>New public-source collection</x:v>
      </x:c>
      <x:c r="AC531" s="3" t="str">
        <x:v>unverified</x:v>
      </x:c>
      <x:c r="AD531" s="3" t="str">
        <x:v>Not contacted / unconfirmed</x:v>
      </x:c>
      <x:c r="AE531" s="3" t="str">
        <x:v>Yes</x:v>
      </x:c>
      <x:c r="AF531" s="3" t="str">
        <x:v>Yes</x:v>
      </x:c>
      <x:c r="AG531" s="3"/>
      <x:c r="AH531" s="3"/>
      <x:c r="AI531" s="18"/>
      <x:c r="AJ531" s="3" t="str">
        <x:v>CF2500-D19AB1356D40</x:v>
      </x:c>
      <x:c r="AK531" s="3" t="str">
        <x:v>Property investor / home-buying operator prospect</x:v>
      </x:c>
      <x:c r="AL531" s="19" t="n">
        <x:v>100000</x:v>
      </x:c>
      <x:c r="AM531" s="19" t="n">
        <x:v>500000</x:v>
      </x:c>
      <x:c r="AN531" s="3" t="str">
        <x:v>https://www.cashhomebuyersdirectory.com/cash-home-buyers/colorado/fort-collins</x:v>
      </x:c>
      <x:c r="AO531" s="3" t="str">
        <x:v>nc_il_az_co_investors.jsonl</x:v>
      </x:c>
      <x:c r="AP531" s="19"/>
    </x:row>
    <x:row r="532" ht="36" customHeight="1">
      <x:c r="A532" s="23" t="n">
        <x:v>531</x:v>
      </x:c>
      <x:c r="B532" s="15" t="str">
        <x:v>Colorado House Buyers</x:v>
      </x:c>
      <x:c r="C532" s="15"/>
      <x:c r="D532" s="15" t="str">
        <x:v>Property investor / home-buying operator</x:v>
      </x:c>
      <x:c r="E532" s="15" t="str">
        <x:v>Property investor / operator inquiry</x:v>
      </x:c>
      <x:c r="F532" s="17" t="str">
        <x:v>New</x:v>
      </x:c>
      <x:c r="G532" s="24"/>
      <x:c r="H532" s="24" t="str">
        <x:v>+17205988999</x:v>
      </x:c>
      <x:c r="I532" s="24" t="str">
        <x:v>https://www.cohousebuyersllc.com/</x:v>
      </x:c>
      <x:c r="J532" s="16" t="str">
        <x:v>CO</x:v>
      </x:c>
      <x:c r="K532" s="16" t="str">
        <x:v>Golden</x:v>
      </x:c>
      <x:c r="L532" s="16" t="str">
        <x:v>Public property-business route; investor decision maker unconfirmed</x:v>
      </x:c>
      <x:c r="M532" s="16" t="str">
        <x:v>https://www.cohousebuyersllc.com/</x:v>
      </x:c>
      <x:c r="N532" s="16" t="str">
        <x:v>$100K-$500K ticket not published / unconfirmed</x:v>
      </x:c>
      <x:c r="O532" s="20"/>
      <x:c r="P532" s="20"/>
      <x:c r="Q532" s="25" t="str">
        <x:v>No $100K-$500K operating-company investment ticket verified</x:v>
      </x:c>
      <x:c r="R532" s="25" t="str">
        <x:v>Property acquisition or investor activity makes this an operator-capital prospect for the signed trial. Confirm operating-company debt/equity appetite.</x:v>
      </x:c>
      <x:c r="S532" s="25" t="str">
        <x:v>Public property-buying activity or a directory listing does not establish available cash, investing decision-maker, current $100K-$500K capacity, or willingness to fund 101XVC operating costs.</x:v>
      </x:c>
      <x:c r="T532" s="25" t="str">
        <x:v>Ask the owner/investor whether they can allocate $100K-$500K to trial marketing and acquisitions, and confirm structure, timing and decision authority.</x:v>
      </x:c>
      <x:c r="U532" s="25" t="str">
        <x:v>https://www.cashhomebuyersdirectory.com/cash-home-buyers/colorado/golden
https://www.cohousebuyersllc.com/</x:v>
      </x:c>
      <x:c r="V532" s="26" t="d">
        <x:v>2026-10-02T00:00:00.000Z</x:v>
      </x:c>
      <x:c r="W532" s="26" t="d">
        <x:v>2026-10-02T00:00:00.000Z</x:v>
      </x:c>
      <x:c r="X532" s="25" t="str">
        <x:v>Public investor directory; business role and contact ownership require qualification</x:v>
      </x:c>
      <x:c r="Y532" s="25"/>
      <x:c r="Z532" s="25" t="str">
        <x:v>https://www.cashhomebuyersdirectory.com/cash-home-buyers/colorado/golden</x:v>
      </x:c>
      <x:c r="AA532" s="25" t="str">
        <x:v>Public cash-home-buyer directory lists business name, phone and market. Directory entry may include brokers or service providers. Official website fetched; home-buying or investing activity stated.</x:v>
      </x:c>
      <x:c r="AB532" s="3" t="str">
        <x:v>New public-source collection</x:v>
      </x:c>
      <x:c r="AC532" s="3" t="str">
        <x:v>unverified</x:v>
      </x:c>
      <x:c r="AD532" s="3" t="str">
        <x:v>Not contacted / unconfirmed</x:v>
      </x:c>
      <x:c r="AE532" s="3" t="str">
        <x:v>Yes</x:v>
      </x:c>
      <x:c r="AF532" s="3" t="str">
        <x:v>Yes</x:v>
      </x:c>
      <x:c r="AG532" s="3"/>
      <x:c r="AH532" s="3"/>
      <x:c r="AI532" s="18"/>
      <x:c r="AJ532" s="3" t="str">
        <x:v>CF2500-408F70535B63</x:v>
      </x:c>
      <x:c r="AK532" s="3" t="str">
        <x:v>Property investor / home-buying operator prospect</x:v>
      </x:c>
      <x:c r="AL532" s="19" t="n">
        <x:v>100000</x:v>
      </x:c>
      <x:c r="AM532" s="19" t="n">
        <x:v>500000</x:v>
      </x:c>
      <x:c r="AN532" s="3" t="str">
        <x:v>https://www.cashhomebuyersdirectory.com/cash-home-buyers/colorado/golden</x:v>
      </x:c>
      <x:c r="AO532" s="3" t="str">
        <x:v>nc_il_az_co_investors.jsonl</x:v>
      </x:c>
      <x:c r="AP532" s="19"/>
    </x:row>
    <x:row r="533" ht="36" customHeight="1">
      <x:c r="A533" s="23" t="n">
        <x:v>532</x:v>
      </x:c>
      <x:c r="B533" s="15" t="str">
        <x:v>DYNAMIC HOME BUYERS LLC</x:v>
      </x:c>
      <x:c r="C533" s="15"/>
      <x:c r="D533" s="15" t="str">
        <x:v>Property investor / home-buying operator</x:v>
      </x:c>
      <x:c r="E533" s="15" t="str">
        <x:v>Property investor / operator inquiry</x:v>
      </x:c>
      <x:c r="F533" s="17" t="str">
        <x:v>New</x:v>
      </x:c>
      <x:c r="G533" s="24"/>
      <x:c r="H533" s="24" t="str">
        <x:v>+18432568393</x:v>
      </x:c>
      <x:c r="I533" s="24" t="str">
        <x:v>https://www.dhbmb.com/</x:v>
      </x:c>
      <x:c r="J533" s="16" t="str">
        <x:v>SC</x:v>
      </x:c>
      <x:c r="K533" s="16" t="str">
        <x:v>Myrtle Beach</x:v>
      </x:c>
      <x:c r="L533" s="16" t="str">
        <x:v>Public property-business route; investor decision maker unconfirmed</x:v>
      </x:c>
      <x:c r="M533" s="16" t="str">
        <x:v>https://www.dhbmb.com/contact-us/</x:v>
      </x:c>
      <x:c r="N533" s="16" t="str">
        <x:v>$100K-$500K ticket not published / unconfirmed</x:v>
      </x:c>
      <x:c r="O533" s="20"/>
      <x:c r="P533" s="20"/>
      <x:c r="Q533" s="25" t="str">
        <x:v>No direct corporate-capital range established in checked source</x:v>
      </x:c>
      <x:c r="R533" s="25" t="str">
        <x:v>Property acquisition or investor activity makes this an operator-capital prospect for the signed trial. Confirm operating-company debt/equity appetite.</x:v>
      </x:c>
      <x:c r="S533" s="25" t="str">
        <x:v>Confirm the contact controls funding decisions; confirm willingness to invest in an operating company, current liquidity, $100K to $500K ticket size, required security and diligence.</x:v>
      </x:c>
      <x:c r="T533" s="25" t="str">
        <x:v>Ask the owner/investor whether they can allocate $100K-$500K to trial marketing and acquisitions, and confirm structure, timing and decision authority.</x:v>
      </x:c>
      <x:c r="U533" s="25" t="str">
        <x:v>https://www.dhbmb.com/contact-us/
https://sfranalytics.com/investors/sc
https://sfranalytics.com/investors/sc/myrtle-beach-conway-north-myrtle-beach-sc/dynamic-home-buyers-llc-sc
https://www.cashhomebuyersdirectory.com/cash-home-buyers/south-carolina/myrtle-beach</x:v>
      </x:c>
      <x:c r="V533" s="26" t="d">
        <x:v>2026-10-02T00:00:00.000Z</x:v>
      </x:c>
      <x:c r="W533" s="26" t="d">
        <x:v>2026-10-03T00:00:00.000Z</x:v>
      </x:c>
      <x:c r="X533" s="25" t="str">
        <x:v>SFR Analytics public investor discovery plus official-company activity, geography and published business contact checks</x:v>
      </x:c>
      <x:c r="Y533" s="25"/>
      <x:c r="Z533" s="25" t="str">
        <x:v>https://www.dhbmb.com/contact-us/</x:v>
      </x:c>
      <x:c r="AA533" s="25" t="str">
        <x:v>Official company page describes real estate solutions, investment properties and Myrtle Beach activity. Published general business contact observed: (843) 256-8393. SFR Analytics public directory lists DYNAMIC HOME BUYERS LLC as an organization with a flipper strategy, 95 observed transactions and $12.8M tracked transaction volume. Observed listing market: South Carolina. This is third-party public-record research, not evidence of available cash, a $100K to $500K check, an operating-company investment mandate, or acceptance of this transaction.</x:v>
      </x:c>
      <x:c r="AB533" s="3" t="str">
        <x:v>New public-source collection</x:v>
      </x:c>
      <x:c r="AC533" s="3" t="str">
        <x:v>unverified</x:v>
      </x:c>
      <x:c r="AD533" s="3" t="str">
        <x:v>Not contacted / unconfirmed</x:v>
      </x:c>
      <x:c r="AE533" s="3" t="str">
        <x:v>Yes</x:v>
      </x:c>
      <x:c r="AF533" s="3" t="str">
        <x:v>Yes</x:v>
      </x:c>
      <x:c r="AG533" s="3"/>
      <x:c r="AH533" s="3" t="str">
        <x:v>Dynamic Home Buyers</x:v>
      </x:c>
      <x:c r="AI533" s="18"/>
      <x:c r="AJ533" s="3" t="str">
        <x:v>CF2500-B241A0BA3184</x:v>
      </x:c>
      <x:c r="AK533" s="3" t="str">
        <x:v>real_estate_operator</x:v>
      </x:c>
      <x:c r="AL533" s="19" t="n">
        <x:v>100000</x:v>
      </x:c>
      <x:c r="AM533" s="19" t="n">
        <x:v>500000</x:v>
      </x:c>
      <x:c r="AN533" s="3" t="str">
        <x:v>https://www.dhbmb.com/contact-us/</x:v>
      </x:c>
      <x:c r="AO533" s="3" t="str">
        <x:v>sfr_contact_enriched.jsonl</x:v>
      </x:c>
      <x:c r="AP533" s="19"/>
    </x:row>
    <x:row r="534" ht="36" customHeight="1">
      <x:c r="A534" s="23" t="n">
        <x:v>533</x:v>
      </x:c>
      <x:c r="B534" s="15" t="str">
        <x:v>Fair Cash Home Buyers</x:v>
      </x:c>
      <x:c r="C534" s="15"/>
      <x:c r="D534" s="15" t="str">
        <x:v>Property investor / home-buying operator</x:v>
      </x:c>
      <x:c r="E534" s="15" t="str">
        <x:v>Property investor / operator inquiry</x:v>
      </x:c>
      <x:c r="F534" s="17" t="str">
        <x:v>New</x:v>
      </x:c>
      <x:c r="G534" s="24"/>
      <x:c r="H534" s="24" t="str">
        <x:v>+17207821555</x:v>
      </x:c>
      <x:c r="I534" s="24" t="str">
        <x:v>https://www.faircashhomebuyers.net/</x:v>
      </x:c>
      <x:c r="J534" s="16" t="str">
        <x:v>CO</x:v>
      </x:c>
      <x:c r="K534" s="16" t="str">
        <x:v>Littleton</x:v>
      </x:c>
      <x:c r="L534" s="16" t="str">
        <x:v>Public property-business route; investor decision maker unconfirmed</x:v>
      </x:c>
      <x:c r="M534" s="16" t="str">
        <x:v>https://www.faircashhomebuyers.net/contact-us</x:v>
      </x:c>
      <x:c r="N534" s="16" t="str">
        <x:v>$100K-$500K ticket not published / unconfirmed</x:v>
      </x:c>
      <x:c r="O534" s="20"/>
      <x:c r="P534" s="20"/>
      <x:c r="Q534" s="25" t="str">
        <x:v>No $100K-$500K operating-company investment ticket verified</x:v>
      </x:c>
      <x:c r="R534" s="25" t="str">
        <x:v>Property acquisition or investor activity makes this an operator-capital prospect for the signed trial. Confirm operating-company debt/equity appetite.</x:v>
      </x:c>
      <x:c r="S534" s="25" t="str">
        <x:v>Public property-buying activity or a directory listing does not establish available cash, investing decision-maker, current $100K-$500K capacity, or willingness to fund 101XVC operating costs.</x:v>
      </x:c>
      <x:c r="T534" s="25" t="str">
        <x:v>Ask the owner/investor whether they can allocate $100K-$500K to trial marketing and acquisitions, and confirm structure, timing and decision authority.</x:v>
      </x:c>
      <x:c r="U534" s="25" t="str">
        <x:v>https://www.cashhomebuyersdirectory.com/cash-home-buyers/colorado/littleton
https://www.faircashhomebuyers.net/
https://www.faircashhomebuyers.net/contact-us</x:v>
      </x:c>
      <x:c r="V534" s="26" t="d">
        <x:v>2026-10-02T00:00:00.000Z</x:v>
      </x:c>
      <x:c r="W534" s="26" t="d">
        <x:v>2026-10-02T00:00:00.000Z</x:v>
      </x:c>
      <x:c r="X534" s="25" t="str">
        <x:v>Public investor directory; business role and contact ownership require qualification</x:v>
      </x:c>
      <x:c r="Y534" s="25"/>
      <x:c r="Z534" s="25" t="str">
        <x:v>https://www.cashhomebuyersdirectory.com/cash-home-buyers/colorado/littleton</x:v>
      </x:c>
      <x:c r="AA534" s="25" t="str">
        <x:v>Public cash-home-buyer directory lists business name, phone and market. Directory entry may include brokers or service providers. Official website fetched; home-buying or investing activity stated.</x:v>
      </x:c>
      <x:c r="AB534" s="3" t="str">
        <x:v>New public-source collection</x:v>
      </x:c>
      <x:c r="AC534" s="3" t="str">
        <x:v>unverified</x:v>
      </x:c>
      <x:c r="AD534" s="3" t="str">
        <x:v>Not contacted / unconfirmed</x:v>
      </x:c>
      <x:c r="AE534" s="3" t="str">
        <x:v>Yes</x:v>
      </x:c>
      <x:c r="AF534" s="3" t="str">
        <x:v>Yes</x:v>
      </x:c>
      <x:c r="AG534" s="3"/>
      <x:c r="AH534" s="3"/>
      <x:c r="AI534" s="18"/>
      <x:c r="AJ534" s="3" t="str">
        <x:v>CF2500-A3131FB0DBE8</x:v>
      </x:c>
      <x:c r="AK534" s="3" t="str">
        <x:v>Property investor / home-buying operator prospect</x:v>
      </x:c>
      <x:c r="AL534" s="19" t="n">
        <x:v>100000</x:v>
      </x:c>
      <x:c r="AM534" s="19" t="n">
        <x:v>500000</x:v>
      </x:c>
      <x:c r="AN534" s="3" t="str">
        <x:v>https://www.cashhomebuyersdirectory.com/cash-home-buyers/colorado/littleton</x:v>
      </x:c>
      <x:c r="AO534" s="3" t="str">
        <x:v>nc_il_az_co_investors.jsonl</x:v>
      </x:c>
      <x:c r="AP534" s="19"/>
    </x:row>
    <x:row r="535" ht="36" customHeight="1">
      <x:c r="A535" s="23" t="n">
        <x:v>534</x:v>
      </x:c>
      <x:c r="B535" s="15" t="str">
        <x:v>Fresh Start Home Buyers</x:v>
      </x:c>
      <x:c r="C535" s="15"/>
      <x:c r="D535" s="15" t="str">
        <x:v>Property investor / home-buying operator</x:v>
      </x:c>
      <x:c r="E535" s="15" t="str">
        <x:v>Property investor / operator inquiry</x:v>
      </x:c>
      <x:c r="F535" s="17" t="str">
        <x:v>New</x:v>
      </x:c>
      <x:c r="G535" s="24"/>
      <x:c r="H535" s="24" t="str">
        <x:v>+17193471669</x:v>
      </x:c>
      <x:c r="I535" s="24" t="str">
        <x:v>https://cashoffercolorado.com/</x:v>
      </x:c>
      <x:c r="J535" s="16" t="str">
        <x:v>CO</x:v>
      </x:c>
      <x:c r="K535" s="16" t="str">
        <x:v>Colorado Springs</x:v>
      </x:c>
      <x:c r="L535" s="16" t="str">
        <x:v>Public property-business route; investor decision maker unconfirmed</x:v>
      </x:c>
      <x:c r="M535" s="16" t="str">
        <x:v>https://cashoffercolorado.com/contact/</x:v>
      </x:c>
      <x:c r="N535" s="16" t="str">
        <x:v>$100K-$500K ticket not published / unconfirmed</x:v>
      </x:c>
      <x:c r="O535" s="20"/>
      <x:c r="P535" s="20"/>
      <x:c r="Q535" s="25" t="str">
        <x:v>No $100K-$500K operating-company investment ticket verified</x:v>
      </x:c>
      <x:c r="R535" s="25" t="str">
        <x:v>Property acquisition or investor activity makes this an operator-capital prospect for the signed trial. Confirm operating-company debt/equity appetite.</x:v>
      </x:c>
      <x:c r="S535" s="25" t="str">
        <x:v>Public property-buying activity or a directory listing does not establish available cash, investing decision-maker, current $100K-$500K capacity, or willingness to fund 101XVC operating costs.</x:v>
      </x:c>
      <x:c r="T535" s="25" t="str">
        <x:v>Ask the owner/investor whether they can allocate $100K-$500K to trial marketing and acquisitions, and confirm structure, timing and decision authority.</x:v>
      </x:c>
      <x:c r="U535" s="25" t="str">
        <x:v>https://www.cashhomebuyersdirectory.com/cash-home-buyers/colorado/colorado-springs
https://cashoffercolorado.com/
https://cashoffercolorado.com/contact/</x:v>
      </x:c>
      <x:c r="V535" s="26" t="d">
        <x:v>2026-10-02T00:00:00.000Z</x:v>
      </x:c>
      <x:c r="W535" s="26" t="d">
        <x:v>2026-10-02T00:00:00.000Z</x:v>
      </x:c>
      <x:c r="X535" s="25" t="str">
        <x:v>Public investor directory; business role and contact ownership require qualification</x:v>
      </x:c>
      <x:c r="Y535" s="25"/>
      <x:c r="Z535" s="25" t="str">
        <x:v>https://www.cashhomebuyersdirectory.com/cash-home-buyers/colorado/colorado-springs</x:v>
      </x:c>
      <x:c r="AA535" s="25" t="str">
        <x:v>Public cash-home-buyer directory lists business name, phone and market. Directory entry may include brokers or service providers. Official website fetched; home-buying or investing activity stated.</x:v>
      </x:c>
      <x:c r="AB535" s="3" t="str">
        <x:v>New public-source collection</x:v>
      </x:c>
      <x:c r="AC535" s="3" t="str">
        <x:v>unverified</x:v>
      </x:c>
      <x:c r="AD535" s="3" t="str">
        <x:v>Not contacted / unconfirmed</x:v>
      </x:c>
      <x:c r="AE535" s="3" t="str">
        <x:v>Yes</x:v>
      </x:c>
      <x:c r="AF535" s="3" t="str">
        <x:v>No</x:v>
      </x:c>
      <x:c r="AG535" s="3"/>
      <x:c r="AH535" s="3"/>
      <x:c r="AI535" s="18"/>
      <x:c r="AJ535" s="3" t="str">
        <x:v>CF2500-4B5757993591</x:v>
      </x:c>
      <x:c r="AK535" s="3" t="str">
        <x:v>Property investor / home-buying operator prospect</x:v>
      </x:c>
      <x:c r="AL535" s="19" t="n">
        <x:v>100000</x:v>
      </x:c>
      <x:c r="AM535" s="19" t="n">
        <x:v>500000</x:v>
      </x:c>
      <x:c r="AN535" s="3" t="str">
        <x:v>https://www.cashhomebuyersdirectory.com/cash-home-buyers/colorado/colorado-springs</x:v>
      </x:c>
      <x:c r="AO535" s="3" t="str">
        <x:v>nc_il_az_co_investors.jsonl</x:v>
      </x:c>
      <x:c r="AP535" s="19"/>
    </x:row>
    <x:row r="536" ht="36" customHeight="1">
      <x:c r="A536" s="23" t="n">
        <x:v>535</x:v>
      </x:c>
      <x:c r="B536" s="15" t="str">
        <x:v>HOMEBUYERS SC LLC</x:v>
      </x:c>
      <x:c r="C536" s="15"/>
      <x:c r="D536" s="15" t="str">
        <x:v>Property investor / home-buying operator</x:v>
      </x:c>
      <x:c r="E536" s="15" t="str">
        <x:v>Property investor / operator inquiry</x:v>
      </x:c>
      <x:c r="F536" s="17" t="str">
        <x:v>New</x:v>
      </x:c>
      <x:c r="G536" s="24"/>
      <x:c r="H536" s="24" t="str">
        <x:v>+18439381978</x:v>
      </x:c>
      <x:c r="I536" s="24" t="str">
        <x:v>https://homebuyerssc.com/</x:v>
      </x:c>
      <x:c r="J536" s="16" t="str">
        <x:v>SC</x:v>
      </x:c>
      <x:c r="K536" s="16" t="str">
        <x:v>Mount Pleasant</x:v>
      </x:c>
      <x:c r="L536" s="16" t="str">
        <x:v>Public property-business route; investor decision maker unconfirmed</x:v>
      </x:c>
      <x:c r="M536" s="16" t="str">
        <x:v>https://homebuyerssc.com/contact/</x:v>
      </x:c>
      <x:c r="N536" s="16" t="str">
        <x:v>$100K-$500K ticket not published / unconfirmed</x:v>
      </x:c>
      <x:c r="O536" s="20"/>
      <x:c r="P536" s="20"/>
      <x:c r="Q536" s="25" t="str">
        <x:v>No direct corporate-capital range established in checked source</x:v>
      </x:c>
      <x:c r="R536" s="25" t="str">
        <x:v>Property acquisition or investor activity makes this an operator-capital prospect for the signed trial. Confirm operating-company debt/equity appetite.</x:v>
      </x:c>
      <x:c r="S536" s="25" t="str">
        <x:v>Confirm the contact controls funding decisions; confirm willingness to invest in an operating company, current liquidity, $100K to $500K ticket size, required security and diligence.</x:v>
      </x:c>
      <x:c r="T536" s="25" t="str">
        <x:v>Ask the owner/investor whether they can allocate $100K-$500K to trial marketing and acquisitions, and confirm structure, timing and decision authority.</x:v>
      </x:c>
      <x:c r="U536" s="25" t="str">
        <x:v>https://homebuyerssc.com/contact/
https://sfranalytics.com/investors/sc
https://sfranalytics.com/investors/sc/charleston-north-charleston-sc/homebuyers-sc-llc-sc
https://www.cashhomebuyersdirectory.com/cash-home-buyers/south-carolina/charleston</x:v>
      </x:c>
      <x:c r="V536" s="26" t="d">
        <x:v>2026-10-02T00:00:00.000Z</x:v>
      </x:c>
      <x:c r="W536" s="26" t="d">
        <x:v>2026-10-03T00:00:00.000Z</x:v>
      </x:c>
      <x:c r="X536" s="25" t="str">
        <x:v>SFR Analytics public investor discovery plus official-company activity, geography and published business contact checks</x:v>
      </x:c>
      <x:c r="Y536" s="25"/>
      <x:c r="Z536" s="25" t="str">
        <x:v>https://homebuyerssc.com/contact/</x:v>
      </x:c>
      <x:c r="AA536" s="25" t="str">
        <x:v>Company contact page describes buying houses across the South Carolina Lowcountry since 2017. Published general business contact observed: (843) 938-1978. SFR Analytics public directory lists HOMEBUYERS SC LLC as an organization with a flipper strategy, 149 observed transactions and $34.7M tracked transaction volume. Observed listing market: South Carolina. This is third-party public-record research, not evidence of available cash, a $100K to $500K check, an operating-company investment mandate, or acceptance of this transaction.</x:v>
      </x:c>
      <x:c r="AB536" s="3" t="str">
        <x:v>New public-source collection</x:v>
      </x:c>
      <x:c r="AC536" s="3" t="str">
        <x:v>unverified</x:v>
      </x:c>
      <x:c r="AD536" s="3" t="str">
        <x:v>Not contacted / unconfirmed</x:v>
      </x:c>
      <x:c r="AE536" s="3" t="str">
        <x:v>Yes</x:v>
      </x:c>
      <x:c r="AF536" s="3" t="str">
        <x:v>Yes</x:v>
      </x:c>
      <x:c r="AG536" s="3"/>
      <x:c r="AH536" s="3" t="str">
        <x:v>Homebuyers SC, LLC</x:v>
      </x:c>
      <x:c r="AI536" s="18"/>
      <x:c r="AJ536" s="3" t="str">
        <x:v>CF2500-36A22AA31849</x:v>
      </x:c>
      <x:c r="AK536" s="3" t="str">
        <x:v>real_estate_operator</x:v>
      </x:c>
      <x:c r="AL536" s="19" t="n">
        <x:v>100000</x:v>
      </x:c>
      <x:c r="AM536" s="19" t="n">
        <x:v>500000</x:v>
      </x:c>
      <x:c r="AN536" s="3" t="str">
        <x:v>https://homebuyerssc.com/contact/</x:v>
      </x:c>
      <x:c r="AO536" s="3" t="str">
        <x:v>sfr_contact_enriched.jsonl</x:v>
      </x:c>
      <x:c r="AP536" s="19"/>
    </x:row>
    <x:row r="537" ht="36" customHeight="1">
      <x:c r="A537" s="23" t="n">
        <x:v>536</x:v>
      </x:c>
      <x:c r="B537" s="15" t="str">
        <x:v>JET HOME OFFER LLC</x:v>
      </x:c>
      <x:c r="C537" s="15"/>
      <x:c r="D537" s="15" t="str">
        <x:v>Property investor / home-buying operator</x:v>
      </x:c>
      <x:c r="E537" s="15" t="str">
        <x:v>Property investor / operator inquiry</x:v>
      </x:c>
      <x:c r="F537" s="17" t="str">
        <x:v>New</x:v>
      </x:c>
      <x:c r="G537" s="24"/>
      <x:c r="H537" s="24" t="str">
        <x:v>+12602692603</x:v>
      </x:c>
      <x:c r="I537" s="24" t="str">
        <x:v>https://jethomeoffer.com/</x:v>
      </x:c>
      <x:c r="J537" s="16" t="str">
        <x:v>IN</x:v>
      </x:c>
      <x:c r="K537" s="16" t="str">
        <x:v>Fort Wayne</x:v>
      </x:c>
      <x:c r="L537" s="16" t="str">
        <x:v>Public property-business route; investor decision maker unconfirmed</x:v>
      </x:c>
      <x:c r="M537" s="16" t="str">
        <x:v>https://jethomeoffer.com/contact-us/</x:v>
      </x:c>
      <x:c r="N537" s="16" t="str">
        <x:v>$100K-$500K ticket not published / unconfirmed</x:v>
      </x:c>
      <x:c r="O537" s="20"/>
      <x:c r="P537" s="20"/>
      <x:c r="Q537" s="25" t="str">
        <x:v>No direct corporate-capital range established in checked source</x:v>
      </x:c>
      <x:c r="R537" s="25" t="str">
        <x:v>Property acquisition or investor activity makes this an operator-capital prospect for the signed trial. Confirm operating-company debt/equity appetite.</x:v>
      </x:c>
      <x:c r="S537" s="25" t="str">
        <x:v>Confirm the contact controls funding decisions; confirm willingness to invest in an operating company, current liquidity, $100K to $500K ticket size, required security and diligence.</x:v>
      </x:c>
      <x:c r="T537" s="25" t="str">
        <x:v>Ask the owner/investor whether they can allocate $100K-$500K to trial marketing and acquisitions, and confirm structure, timing and decision authority.</x:v>
      </x:c>
      <x:c r="U537" s="25" t="str">
        <x:v>https://jethomeoffer.com/contact-us/
https://sfranalytics.com/investors/in
https://sfranalytics.com/investors/in/fort-wayne-in/jet-home-offer-llc-in
https://www.cashhomebuyersdirectory.com/cash-home-buyers/indiana/fort-wayne</x:v>
      </x:c>
      <x:c r="V537" s="26" t="d">
        <x:v>2026-10-02T00:00:00.000Z</x:v>
      </x:c>
      <x:c r="W537" s="26" t="d">
        <x:v>2026-10-03T00:00:00.000Z</x:v>
      </x:c>
      <x:c r="X537" s="25" t="str">
        <x:v>SFR Analytics public investor discovery plus official-company activity, geography and published business contact checks</x:v>
      </x:c>
      <x:c r="Y537" s="25"/>
      <x:c r="Z537" s="25" t="str">
        <x:v>https://jethomeoffer.com/contact-us/</x:v>
      </x:c>
      <x:c r="AA537" s="25" t="str">
        <x:v>Official company page describes buying houses in Allen, Elkhart and St. Joseph counties, Indiana. Published general business contact observed: (260) 269-2603. SFR Analytics public directory lists JET HOME OFFER LLC as an organization with a flipper strategy, 104 observed transactions and $74.5M tracked transaction volume. Observed listing market: Indiana. This is third-party public-record research, not evidence of available cash, a $100K to $500K check, an operating-company investment mandate, or acceptance of this transaction.</x:v>
      </x:c>
      <x:c r="AB537" s="3" t="str">
        <x:v>New public-source collection</x:v>
      </x:c>
      <x:c r="AC537" s="3" t="str">
        <x:v>unverified</x:v>
      </x:c>
      <x:c r="AD537" s="3" t="str">
        <x:v>Not contacted / unconfirmed</x:v>
      </x:c>
      <x:c r="AE537" s="3" t="str">
        <x:v>Yes</x:v>
      </x:c>
      <x:c r="AF537" s="3" t="str">
        <x:v>Yes</x:v>
      </x:c>
      <x:c r="AG537" s="3"/>
      <x:c r="AH537" s="3" t="str">
        <x:v>Jet Home Offer- Local Home Buyer- Sell My House Fort Wayne Indiana</x:v>
      </x:c>
      <x:c r="AI537" s="18"/>
      <x:c r="AJ537" s="3" t="str">
        <x:v>CF2500-907AB2875E17</x:v>
      </x:c>
      <x:c r="AK537" s="3" t="str">
        <x:v>real_estate_operator</x:v>
      </x:c>
      <x:c r="AL537" s="19" t="n">
        <x:v>100000</x:v>
      </x:c>
      <x:c r="AM537" s="19" t="n">
        <x:v>500000</x:v>
      </x:c>
      <x:c r="AN537" s="3" t="str">
        <x:v>https://jethomeoffer.com/contact-us/</x:v>
      </x:c>
      <x:c r="AO537" s="3" t="str">
        <x:v>sfr_contact_enriched.jsonl</x:v>
      </x:c>
      <x:c r="AP537" s="19"/>
    </x:row>
    <x:row r="538" ht="36" customHeight="1">
      <x:c r="A538" s="23" t="n">
        <x:v>537</x:v>
      </x:c>
      <x:c r="B538" s="15" t="str">
        <x:v>LVN Real Estate I Sell My House Fast for Cash</x:v>
      </x:c>
      <x:c r="C538" s="15"/>
      <x:c r="D538" s="15" t="str">
        <x:v>Property investor / home-buying operator</x:v>
      </x:c>
      <x:c r="E538" s="15" t="str">
        <x:v>Property investor / operator inquiry</x:v>
      </x:c>
      <x:c r="F538" s="17" t="str">
        <x:v>New</x:v>
      </x:c>
      <x:c r="G538" s="24"/>
      <x:c r="H538" s="24" t="str">
        <x:v>+17202599274</x:v>
      </x:c>
      <x:c r="I538" s="24" t="str">
        <x:v>https://www.lvnrealestate.com/</x:v>
      </x:c>
      <x:c r="J538" s="16" t="str">
        <x:v>CO</x:v>
      </x:c>
      <x:c r="K538" s="16" t="str">
        <x:v>Denver</x:v>
      </x:c>
      <x:c r="L538" s="16" t="str">
        <x:v>Public property-business route; investor decision maker unconfirmed</x:v>
      </x:c>
      <x:c r="M538" s="16" t="str">
        <x:v>https://www.lvnrealestate.com/</x:v>
      </x:c>
      <x:c r="N538" s="16" t="str">
        <x:v>$100K-$500K ticket not published / unconfirmed</x:v>
      </x:c>
      <x:c r="O538" s="20"/>
      <x:c r="P538" s="20"/>
      <x:c r="Q538" s="25" t="str">
        <x:v>No $100K-$500K operating-company investment ticket verified</x:v>
      </x:c>
      <x:c r="R538" s="25" t="str">
        <x:v>Property acquisition or investor activity makes this an operator-capital prospect for the signed trial. Confirm operating-company debt/equity appetite.</x:v>
      </x:c>
      <x:c r="S538" s="25" t="str">
        <x:v>Public property-buying activity or a directory listing does not establish available cash, investing decision-maker, current $100K-$500K capacity, or willingness to fund 101XVC operating costs.</x:v>
      </x:c>
      <x:c r="T538" s="25" t="str">
        <x:v>Ask the owner/investor whether they can allocate $100K-$500K to trial marketing and acquisitions, and confirm structure, timing and decision authority.</x:v>
      </x:c>
      <x:c r="U538" s="25" t="str">
        <x:v>https://www.cashhomebuyersdirectory.com/cash-home-buyers/colorado/denver
https://www.lvnrealestate.com/</x:v>
      </x:c>
      <x:c r="V538" s="26" t="d">
        <x:v>2026-10-02T00:00:00.000Z</x:v>
      </x:c>
      <x:c r="W538" s="26" t="d">
        <x:v>2026-10-02T00:00:00.000Z</x:v>
      </x:c>
      <x:c r="X538" s="25" t="str">
        <x:v>Public investor directory; business role and contact ownership require qualification</x:v>
      </x:c>
      <x:c r="Y538" s="25"/>
      <x:c r="Z538" s="25" t="str">
        <x:v>https://www.cashhomebuyersdirectory.com/cash-home-buyers/colorado/denver</x:v>
      </x:c>
      <x:c r="AA538" s="25" t="str">
        <x:v>Public cash-home-buyer directory lists business name, phone and market. Directory entry may include brokers or service providers. Official website fetched; home-buying or investing activity stated.</x:v>
      </x:c>
      <x:c r="AB538" s="3" t="str">
        <x:v>New public-source collection</x:v>
      </x:c>
      <x:c r="AC538" s="3" t="str">
        <x:v>unverified</x:v>
      </x:c>
      <x:c r="AD538" s="3" t="str">
        <x:v>Not contacted / unconfirmed</x:v>
      </x:c>
      <x:c r="AE538" s="3" t="str">
        <x:v>Yes</x:v>
      </x:c>
      <x:c r="AF538" s="3" t="str">
        <x:v>Yes</x:v>
      </x:c>
      <x:c r="AG538" s="3"/>
      <x:c r="AH538" s="3"/>
      <x:c r="AI538" s="18"/>
      <x:c r="AJ538" s="3" t="str">
        <x:v>CF2500-D4DA85E51117</x:v>
      </x:c>
      <x:c r="AK538" s="3" t="str">
        <x:v>Property investor / home-buying operator prospect</x:v>
      </x:c>
      <x:c r="AL538" s="19" t="n">
        <x:v>100000</x:v>
      </x:c>
      <x:c r="AM538" s="19" t="n">
        <x:v>500000</x:v>
      </x:c>
      <x:c r="AN538" s="3" t="str">
        <x:v>https://www.cashhomebuyersdirectory.com/cash-home-buyers/colorado/denver</x:v>
      </x:c>
      <x:c r="AO538" s="3" t="str">
        <x:v>nc_il_az_co_investors.jsonl</x:v>
      </x:c>
      <x:c r="AP538" s="19"/>
    </x:row>
    <x:row r="539" ht="36" customHeight="1">
      <x:c r="A539" s="23" t="n">
        <x:v>538</x:v>
      </x:c>
      <x:c r="B539" s="15" t="str">
        <x:v>NoCo House Buyers</x:v>
      </x:c>
      <x:c r="C539" s="15"/>
      <x:c r="D539" s="15" t="str">
        <x:v>Property investor / home-buying operator</x:v>
      </x:c>
      <x:c r="E539" s="15" t="str">
        <x:v>Property investor / operator inquiry</x:v>
      </x:c>
      <x:c r="F539" s="17" t="str">
        <x:v>New</x:v>
      </x:c>
      <x:c r="G539" s="24"/>
      <x:c r="H539" s="24" t="str">
        <x:v>+19707444944</x:v>
      </x:c>
      <x:c r="I539" s="24" t="str">
        <x:v>https://www.nocohousebuyers.com/</x:v>
      </x:c>
      <x:c r="J539" s="16" t="str">
        <x:v>CO</x:v>
      </x:c>
      <x:c r="K539" s="16" t="str">
        <x:v>Fort Collins</x:v>
      </x:c>
      <x:c r="L539" s="16" t="str">
        <x:v>Public property-business route; investor decision maker unconfirmed</x:v>
      </x:c>
      <x:c r="M539" s="16" t="str">
        <x:v>https://www.nocohousebuyers.com/</x:v>
      </x:c>
      <x:c r="N539" s="16" t="str">
        <x:v>$100K-$500K ticket not published / unconfirmed</x:v>
      </x:c>
      <x:c r="O539" s="20"/>
      <x:c r="P539" s="20"/>
      <x:c r="Q539" s="25" t="str">
        <x:v>No $100K-$500K operating-company investment ticket verified</x:v>
      </x:c>
      <x:c r="R539" s="25" t="str">
        <x:v>Property acquisition or investor activity makes this an operator-capital prospect for the signed trial. Confirm operating-company debt/equity appetite.</x:v>
      </x:c>
      <x:c r="S539" s="25" t="str">
        <x:v>Public property-buying activity or a directory listing does not establish available cash, investing decision-maker, current $100K-$500K capacity, or willingness to fund 101XVC operating costs.</x:v>
      </x:c>
      <x:c r="T539" s="25" t="str">
        <x:v>Ask the owner/investor whether they can allocate $100K-$500K to trial marketing and acquisitions, and confirm structure, timing and decision authority.</x:v>
      </x:c>
      <x:c r="U539" s="25" t="str">
        <x:v>https://www.cashhomebuyersdirectory.com/cash-home-buyers/colorado/fort-collins
https://www.nocohousebuyers.com/</x:v>
      </x:c>
      <x:c r="V539" s="26" t="d">
        <x:v>2026-10-02T00:00:00.000Z</x:v>
      </x:c>
      <x:c r="W539" s="26" t="d">
        <x:v>2026-10-02T00:00:00.000Z</x:v>
      </x:c>
      <x:c r="X539" s="25" t="str">
        <x:v>Public investor directory; business role and contact ownership require qualification</x:v>
      </x:c>
      <x:c r="Y539" s="25"/>
      <x:c r="Z539" s="25" t="str">
        <x:v>https://www.cashhomebuyersdirectory.com/cash-home-buyers/colorado/fort-collins</x:v>
      </x:c>
      <x:c r="AA539" s="25" t="str">
        <x:v>Public cash-home-buyer directory lists business name, phone and market. Directory entry may include brokers or service providers. Official website fetched; home-buying or investing activity stated.</x:v>
      </x:c>
      <x:c r="AB539" s="3" t="str">
        <x:v>New public-source collection</x:v>
      </x:c>
      <x:c r="AC539" s="3" t="str">
        <x:v>unverified</x:v>
      </x:c>
      <x:c r="AD539" s="3" t="str">
        <x:v>Not contacted / unconfirmed</x:v>
      </x:c>
      <x:c r="AE539" s="3" t="str">
        <x:v>Yes</x:v>
      </x:c>
      <x:c r="AF539" s="3" t="str">
        <x:v>No</x:v>
      </x:c>
      <x:c r="AG539" s="3"/>
      <x:c r="AH539" s="3"/>
      <x:c r="AI539" s="18"/>
      <x:c r="AJ539" s="3" t="str">
        <x:v>CF2500-E939B739F993</x:v>
      </x:c>
      <x:c r="AK539" s="3" t="str">
        <x:v>Property investor / home-buying operator prospect</x:v>
      </x:c>
      <x:c r="AL539" s="19" t="n">
        <x:v>100000</x:v>
      </x:c>
      <x:c r="AM539" s="19" t="n">
        <x:v>500000</x:v>
      </x:c>
      <x:c r="AN539" s="3" t="str">
        <x:v>https://www.cashhomebuyersdirectory.com/cash-home-buyers/colorado/fort-collins</x:v>
      </x:c>
      <x:c r="AO539" s="3" t="str">
        <x:v>nc_il_az_co_investors.jsonl</x:v>
      </x:c>
      <x:c r="AP539" s="19"/>
    </x:row>
    <x:row r="540" ht="36" customHeight="1">
      <x:c r="A540" s="23" t="n">
        <x:v>539</x:v>
      </x:c>
      <x:c r="B540" s="15" t="str">
        <x:v>OZARKS HOUSE BUYERS LLC</x:v>
      </x:c>
      <x:c r="C540" s="15"/>
      <x:c r="D540" s="15" t="str">
        <x:v>Property investor / home-buying operator</x:v>
      </x:c>
      <x:c r="E540" s="15" t="str">
        <x:v>Property investor / operator inquiry</x:v>
      </x:c>
      <x:c r="F540" s="17" t="str">
        <x:v>New</x:v>
      </x:c>
      <x:c r="G540" s="24"/>
      <x:c r="H540" s="24" t="str">
        <x:v>+14173232611</x:v>
      </x:c>
      <x:c r="I540" s="24" t="str">
        <x:v>https://www.ozarkshousebuyers.com/</x:v>
      </x:c>
      <x:c r="J540" s="16" t="str">
        <x:v>MO</x:v>
      </x:c>
      <x:c r="K540" s="16" t="str">
        <x:v>Springfield</x:v>
      </x:c>
      <x:c r="L540" s="16" t="str">
        <x:v>Public property-business route; investor decision maker unconfirmed</x:v>
      </x:c>
      <x:c r="M540" s="16" t="str">
        <x:v>https://www.ozarkshousebuyers.com/contact-us</x:v>
      </x:c>
      <x:c r="N540" s="16" t="str">
        <x:v>$100K-$500K ticket not published / unconfirmed</x:v>
      </x:c>
      <x:c r="O540" s="20"/>
      <x:c r="P540" s="20"/>
      <x:c r="Q540" s="25" t="str">
        <x:v>No direct corporate-capital range established in checked source</x:v>
      </x:c>
      <x:c r="R540" s="25" t="str">
        <x:v>Property acquisition or investor activity makes this an operator-capital prospect for the signed trial. Confirm operating-company debt/equity appetite.</x:v>
      </x:c>
      <x:c r="S540" s="25" t="str">
        <x:v>Confirm the contact controls funding decisions; confirm willingness to invest in an operating company, current liquidity, $100K to $500K ticket size, required security and diligence.</x:v>
      </x:c>
      <x:c r="T540" s="25" t="str">
        <x:v>Ask the owner/investor whether they can allocate $100K-$500K to trial marketing and acquisitions, and confirm structure, timing and decision authority.</x:v>
      </x:c>
      <x:c r="U540" s="25" t="str">
        <x:v>https://www.ozarkshousebuyers.com/contact-us
https://sfranalytics.com/investors/mo
https://sfranalytics.com/investors/mo/springfield-mo/ozarks-house-buyers-llc-mo
https://www.cashhomebuyersdirectory.com/cash-home-buyers/missouri/springfield</x:v>
      </x:c>
      <x:c r="V540" s="26" t="d">
        <x:v>2026-10-02T00:00:00.000Z</x:v>
      </x:c>
      <x:c r="W540" s="26" t="d">
        <x:v>2026-10-03T00:00:00.000Z</x:v>
      </x:c>
      <x:c r="X540" s="25" t="str">
        <x:v>SFR Analytics public investor discovery plus official-company activity, geography and published business contact checks</x:v>
      </x:c>
      <x:c r="Y540" s="25"/>
      <x:c r="Z540" s="25" t="str">
        <x:v>https://www.ozarkshousebuyers.com/contact-us</x:v>
      </x:c>
      <x:c r="AA540" s="25" t="str">
        <x:v>Company contact page identifies a Springfield, Missouri house buying operation. Published general business contact observed: (417) 323-2611. SFR Analytics public directory lists OZARKS HOUSE BUYERS LLC as an organization with a flipper strategy, 130 observed transactions and $45.4M tracked transaction volume. Observed listing market: Missouri. This is third-party public-record research, not evidence of available cash, a $100K to $500K check, an operating-company investment mandate, or acceptance of this transaction.</x:v>
      </x:c>
      <x:c r="AB540" s="3" t="str">
        <x:v>New public-source collection</x:v>
      </x:c>
      <x:c r="AC540" s="3" t="str">
        <x:v>unverified</x:v>
      </x:c>
      <x:c r="AD540" s="3" t="str">
        <x:v>Not contacted / unconfirmed</x:v>
      </x:c>
      <x:c r="AE540" s="3" t="str">
        <x:v>Yes</x:v>
      </x:c>
      <x:c r="AF540" s="3" t="str">
        <x:v>Yes</x:v>
      </x:c>
      <x:c r="AG540" s="3"/>
      <x:c r="AH540" s="3" t="str">
        <x:v>Ozarks House Buyers</x:v>
      </x:c>
      <x:c r="AI540" s="18"/>
      <x:c r="AJ540" s="3" t="str">
        <x:v>CF2500-9EE3585B5D5C</x:v>
      </x:c>
      <x:c r="AK540" s="3" t="str">
        <x:v>real_estate_operator</x:v>
      </x:c>
      <x:c r="AL540" s="19" t="n">
        <x:v>100000</x:v>
      </x:c>
      <x:c r="AM540" s="19" t="n">
        <x:v>500000</x:v>
      </x:c>
      <x:c r="AN540" s="3" t="str">
        <x:v>https://www.ozarkshousebuyers.com/contact-us</x:v>
      </x:c>
      <x:c r="AO540" s="3" t="str">
        <x:v>sfr_contact_enriched.jsonl</x:v>
      </x:c>
      <x:c r="AP540" s="19"/>
    </x:row>
    <x:row r="541" ht="36" customHeight="1">
      <x:c r="A541" s="23" t="n">
        <x:v>540</x:v>
      </x:c>
      <x:c r="B541" s="15" t="str">
        <x:v>SOUTHERN HOUSE BUYERS LLC</x:v>
      </x:c>
      <x:c r="C541" s="15"/>
      <x:c r="D541" s="15" t="str">
        <x:v>Property investor / home-buying operator</x:v>
      </x:c>
      <x:c r="E541" s="15" t="str">
        <x:v>Property investor / operator inquiry</x:v>
      </x:c>
      <x:c r="F541" s="17" t="str">
        <x:v>New</x:v>
      </x:c>
      <x:c r="G541" s="24"/>
      <x:c r="H541" s="24" t="str">
        <x:v>+12513337556</x:v>
      </x:c>
      <x:c r="I541" s="24" t="str">
        <x:v>https://webuysouthernhouses.com/</x:v>
      </x:c>
      <x:c r="J541" s="16" t="str">
        <x:v>AL</x:v>
      </x:c>
      <x:c r="K541" s="16" t="str">
        <x:v>Mobile</x:v>
      </x:c>
      <x:c r="L541" s="16" t="str">
        <x:v>Public property-business route; investor decision maker unconfirmed</x:v>
      </x:c>
      <x:c r="M541" s="16" t="str">
        <x:v>https://webuysouthernhouses.com/</x:v>
      </x:c>
      <x:c r="N541" s="16" t="str">
        <x:v>$100K-$500K ticket not published / unconfirmed</x:v>
      </x:c>
      <x:c r="O541" s="20"/>
      <x:c r="P541" s="20"/>
      <x:c r="Q541" s="25" t="str">
        <x:v>No direct corporate-capital range established in checked source</x:v>
      </x:c>
      <x:c r="R541" s="25" t="str">
        <x:v>Property acquisition or investor activity makes this an operator-capital prospect for the signed trial. Confirm operating-company debt/equity appetite.</x:v>
      </x:c>
      <x:c r="S541" s="25" t="str">
        <x:v>Confirm the contact controls funding decisions; confirm willingness to invest in an operating company, current liquidity, $100K to $500K ticket size, required security and diligence.</x:v>
      </x:c>
      <x:c r="T541" s="25" t="str">
        <x:v>Ask the owner/investor whether they can allocate $100K-$500K to trial marketing and acquisitions, and confirm structure, timing and decision authority.</x:v>
      </x:c>
      <x:c r="U541" s="25" t="str">
        <x:v>https://webuysouthernhouses.com/
https://sfranalytics.com/investors/al
https://sfranalytics.com/investors/al/mobile-al/southern-house-buyers-llc-al
https://sfranalytics.com/investors/al/mobile-al</x:v>
      </x:c>
      <x:c r="V541" s="26" t="d">
        <x:v>2026-10-02T00:00:00.000Z</x:v>
      </x:c>
      <x:c r="W541" s="26" t="d">
        <x:v>2026-10-03T00:00:00.000Z</x:v>
      </x:c>
      <x:c r="X541" s="25" t="str">
        <x:v>SFR Analytics public investor discovery plus official-company activity, geography and published business contact checks</x:v>
      </x:c>
      <x:c r="Y541" s="25"/>
      <x:c r="Z541" s="25" t="str">
        <x:v>https://webuysouthernhouses.com/</x:v>
      </x:c>
      <x:c r="AA541" s="25" t="str">
        <x:v>Company describes buying houses in Mobile and neighboring Alabama communities. Published general business contact observed: (251) 333-7556. SFR Analytics public directory lists SOUTHERN HOUSE BUYERS LLC as an organization with a flipper strategy, 93 observed transactions and $9.21M tracked transaction volume. Observed listing market: Alabama. This is third-party public-record research, not evidence of available cash, a $100K to $500K check, an operating-company investment mandate, or acceptance of this transaction.</x:v>
      </x:c>
      <x:c r="AB541" s="3" t="str">
        <x:v>New public-source collection</x:v>
      </x:c>
      <x:c r="AC541" s="3" t="str">
        <x:v>unverified</x:v>
      </x:c>
      <x:c r="AD541" s="3" t="str">
        <x:v>Not contacted / unconfirmed</x:v>
      </x:c>
      <x:c r="AE541" s="3" t="str">
        <x:v>Yes</x:v>
      </x:c>
      <x:c r="AF541" s="3" t="str">
        <x:v>Yes</x:v>
      </x:c>
      <x:c r="AG541" s="3"/>
      <x:c r="AH541" s="3"/>
      <x:c r="AI541" s="18"/>
      <x:c r="AJ541" s="3" t="str">
        <x:v>CF2500-B6E34D40A2B8</x:v>
      </x:c>
      <x:c r="AK541" s="3" t="str">
        <x:v>real_estate_operator</x:v>
      </x:c>
      <x:c r="AL541" s="19" t="n">
        <x:v>100000</x:v>
      </x:c>
      <x:c r="AM541" s="19" t="n">
        <x:v>500000</x:v>
      </x:c>
      <x:c r="AN541" s="3" t="str">
        <x:v>https://webuysouthernhouses.com/</x:v>
      </x:c>
      <x:c r="AO541" s="3" t="str">
        <x:v>sfr_contact_enriched.jsonl</x:v>
      </x:c>
      <x:c r="AP541" s="19"/>
    </x:row>
    <x:row r="542" ht="36" customHeight="1">
      <x:c r="A542" s="23" t="n">
        <x:v>541</x:v>
      </x:c>
      <x:c r="B542" s="15" t="str">
        <x:v>WeBuyColorado</x:v>
      </x:c>
      <x:c r="C542" s="15"/>
      <x:c r="D542" s="15" t="str">
        <x:v>Property investor / home-buying operator</x:v>
      </x:c>
      <x:c r="E542" s="15" t="str">
        <x:v>Property investor / operator inquiry</x:v>
      </x:c>
      <x:c r="F542" s="17" t="str">
        <x:v>New</x:v>
      </x:c>
      <x:c r="G542" s="24"/>
      <x:c r="H542" s="24" t="str">
        <x:v>+13035651548</x:v>
      </x:c>
      <x:c r="I542" s="24" t="str">
        <x:v>https://webuycolorado.com/</x:v>
      </x:c>
      <x:c r="J542" s="16" t="str">
        <x:v>CO</x:v>
      </x:c>
      <x:c r="K542" s="16" t="str">
        <x:v>Arvada</x:v>
      </x:c>
      <x:c r="L542" s="16" t="str">
        <x:v>Public property-business route; investor decision maker unconfirmed</x:v>
      </x:c>
      <x:c r="M542" s="16" t="str">
        <x:v>https://webuycolorado.com/</x:v>
      </x:c>
      <x:c r="N542" s="16" t="str">
        <x:v>$100K-$500K ticket not published / unconfirmed</x:v>
      </x:c>
      <x:c r="O542" s="20"/>
      <x:c r="P542" s="20"/>
      <x:c r="Q542" s="25" t="str">
        <x:v>No $100K-$500K operating-company investment ticket verified</x:v>
      </x:c>
      <x:c r="R542" s="25" t="str">
        <x:v>Property acquisition or investor activity makes this an operator-capital prospect for the signed trial. Confirm operating-company debt/equity appetite.</x:v>
      </x:c>
      <x:c r="S542" s="25" t="str">
        <x:v>Public property-buying activity or a directory listing does not establish available cash, investing decision-maker, current $100K-$500K capacity, or willingness to fund 101XVC operating costs.</x:v>
      </x:c>
      <x:c r="T542" s="25" t="str">
        <x:v>Ask the owner/investor whether they can allocate $100K-$500K to trial marketing and acquisitions, and confirm structure, timing and decision authority.</x:v>
      </x:c>
      <x:c r="U542" s="25" t="str">
        <x:v>https://www.cashhomebuyersdirectory.com/cash-home-buyers/colorado/arvada
https://webuycolorado.com/</x:v>
      </x:c>
      <x:c r="V542" s="26" t="d">
        <x:v>2026-10-02T00:00:00.000Z</x:v>
      </x:c>
      <x:c r="W542" s="26" t="d">
        <x:v>2026-10-02T00:00:00.000Z</x:v>
      </x:c>
      <x:c r="X542" s="25" t="str">
        <x:v>Public investor directory; business role and contact ownership require qualification</x:v>
      </x:c>
      <x:c r="Y542" s="25"/>
      <x:c r="Z542" s="25" t="str">
        <x:v>https://www.cashhomebuyersdirectory.com/cash-home-buyers/colorado/arvada</x:v>
      </x:c>
      <x:c r="AA542" s="25" t="str">
        <x:v>Public cash-home-buyer directory lists business name, phone and market. Directory entry may include brokers or service providers. Official website fetched; home-buying or investing activity stated.</x:v>
      </x:c>
      <x:c r="AB542" s="3" t="str">
        <x:v>New public-source collection</x:v>
      </x:c>
      <x:c r="AC542" s="3" t="str">
        <x:v>unverified</x:v>
      </x:c>
      <x:c r="AD542" s="3" t="str">
        <x:v>Not contacted / unconfirmed</x:v>
      </x:c>
      <x:c r="AE542" s="3" t="str">
        <x:v>Yes</x:v>
      </x:c>
      <x:c r="AF542" s="3" t="str">
        <x:v>Yes</x:v>
      </x:c>
      <x:c r="AG542" s="3"/>
      <x:c r="AH542" s="3"/>
      <x:c r="AI542" s="18"/>
      <x:c r="AJ542" s="3" t="str">
        <x:v>CF2500-6A5DFF75D75F</x:v>
      </x:c>
      <x:c r="AK542" s="3" t="str">
        <x:v>Property investor / home-buying operator prospect</x:v>
      </x:c>
      <x:c r="AL542" s="19" t="n">
        <x:v>100000</x:v>
      </x:c>
      <x:c r="AM542" s="19" t="n">
        <x:v>500000</x:v>
      </x:c>
      <x:c r="AN542" s="3" t="str">
        <x:v>https://www.cashhomebuyersdirectory.com/cash-home-buyers/colorado/arvada</x:v>
      </x:c>
      <x:c r="AO542" s="3" t="str">
        <x:v>nc_il_az_co_investors.jsonl</x:v>
      </x:c>
      <x:c r="AP542" s="19"/>
    </x:row>
    <x:row r="543" ht="36" customHeight="1">
      <x:c r="A543" s="23" t="n">
        <x:v>542</x:v>
      </x:c>
      <x:c r="B543" s="15" t="str">
        <x:v>Good Guy House Buyer</x:v>
      </x:c>
      <x:c r="C543" s="15"/>
      <x:c r="D543" s="15" t="str">
        <x:v>Property investor / home-buying operator</x:v>
      </x:c>
      <x:c r="E543" s="15" t="str">
        <x:v>Property investor / operator inquiry</x:v>
      </x:c>
      <x:c r="F543" s="17" t="str">
        <x:v>New</x:v>
      </x:c>
      <x:c r="G543" s="24" t="str">
        <x:v>barry@goodguyhousebuyer.com</x:v>
      </x:c>
      <x:c r="H543" s="24" t="str">
        <x:v>+13032296322</x:v>
      </x:c>
      <x:c r="I543" s="24" t="str">
        <x:v>https://www.goodguyhousebuyer.com/contact/</x:v>
      </x:c>
      <x:c r="J543" s="16" t="str">
        <x:v>CO</x:v>
      </x:c>
      <x:c r="K543" s="16" t="str">
        <x:v>Boulder</x:v>
      </x:c>
      <x:c r="L543" s="16" t="str">
        <x:v>Public property-business route; investor decision maker unconfirmed</x:v>
      </x:c>
      <x:c r="M543" s="16" t="str">
        <x:v>https://www.goodguyhousebuyer.com/contact</x:v>
      </x:c>
      <x:c r="N543" s="16" t="str">
        <x:v>$100K-$500K ticket not published / unconfirmed</x:v>
      </x:c>
      <x:c r="O543" s="20"/>
      <x:c r="P543" s="20"/>
      <x:c r="Q543" s="25" t="str">
        <x:v>No $100K-$500K operating-company investment ticket verified</x:v>
      </x:c>
      <x:c r="R543" s="25" t="str">
        <x:v>Property acquisition or investor activity makes this an operator-capital prospect for the signed trial. Confirm operating-company debt/equity appetite.</x:v>
      </x:c>
      <x:c r="S543" s="25" t="str">
        <x:v>Public property-buying activity or a directory listing does not establish available cash, investing decision-maker, current $100K-$500K capacity, or willingness to fund 101XVC operating costs.</x:v>
      </x:c>
      <x:c r="T543" s="25" t="str">
        <x:v>Ask the owner/investor whether they can allocate $100K-$500K to trial marketing and acquisitions, and confirm structure, timing and decision authority.</x:v>
      </x:c>
      <x:c r="U543" s="25" t="str">
        <x:v>https://www.cashhomebuyersdirectory.com/cash-home-buyers/colorado/boulder
https://www.goodguyhousebuyer.com/contact/
https://www.goodguyhousebuyer.com/contact</x:v>
      </x:c>
      <x:c r="V543" s="26" t="d">
        <x:v>2026-10-02T00:00:00.000Z</x:v>
      </x:c>
      <x:c r="W543" s="26" t="d">
        <x:v>2026-10-02T00:00:00.000Z</x:v>
      </x:c>
      <x:c r="X543" s="25" t="str">
        <x:v>Public investor directory; business role and contact ownership require qualification</x:v>
      </x:c>
      <x:c r="Y543" s="25" t="str">
        <x:v>https://www.goodguyhousebuyer.com/contact/</x:v>
      </x:c>
      <x:c r="Z543" s="25" t="str">
        <x:v>https://www.cashhomebuyersdirectory.com/cash-home-buyers/colorado/boulder</x:v>
      </x:c>
      <x:c r="AA543" s="25" t="str">
        <x:v>Public cash-home-buyer directory lists business name, phone and market. Directory entry may include brokers or service providers. Official website fetched; investing role requires manual review.</x:v>
      </x:c>
      <x:c r="AB543" s="3" t="str">
        <x:v>New public-source collection</x:v>
      </x:c>
      <x:c r="AC543" s="3" t="str">
        <x:v>unverified</x:v>
      </x:c>
      <x:c r="AD543" s="3" t="str">
        <x:v>Not contacted / unconfirmed</x:v>
      </x:c>
      <x:c r="AE543" s="3" t="str">
        <x:v>No</x:v>
      </x:c>
      <x:c r="AF543" s="3" t="str">
        <x:v>No</x:v>
      </x:c>
      <x:c r="AG543" s="3"/>
      <x:c r="AH543" s="3"/>
      <x:c r="AI543" s="18"/>
      <x:c r="AJ543" s="3" t="str">
        <x:v>CF2500-355A6E8B5333</x:v>
      </x:c>
      <x:c r="AK543" s="3" t="str">
        <x:v>Property investor / home-buying operator prospect</x:v>
      </x:c>
      <x:c r="AL543" s="19" t="n">
        <x:v>100000</x:v>
      </x:c>
      <x:c r="AM543" s="19" t="n">
        <x:v>500000</x:v>
      </x:c>
      <x:c r="AN543" s="3" t="str">
        <x:v>https://www.cashhomebuyersdirectory.com/cash-home-buyers/colorado/boulder</x:v>
      </x:c>
      <x:c r="AO543" s="3" t="str">
        <x:v>nc_il_az_co_investors.jsonl</x:v>
      </x:c>
      <x:c r="AP543" s="19"/>
    </x:row>
    <x:row r="544" ht="36" customHeight="1">
      <x:c r="A544" s="23" t="n">
        <x:v>543</x:v>
      </x:c>
      <x:c r="B544" s="15" t="str">
        <x:v>ALTA BAY CAPITAL</x:v>
      </x:c>
      <x:c r="C544" s="15"/>
      <x:c r="D544" s="15" t="str">
        <x:v>Property operator or real-estate investment company; finance willingness unconfirmed</x:v>
      </x:c>
      <x:c r="E544" s="15" t="str">
        <x:v>Property investor / operator inquiry</x:v>
      </x:c>
      <x:c r="F544" s="17" t="str">
        <x:v>New</x:v>
      </x:c>
      <x:c r="G544" s="24" t="str">
        <x:v>info@altabaycapital.com</x:v>
      </x:c>
      <x:c r="H544" s="24"/>
      <x:c r="I544" s="24" t="str">
        <x:v>https://altabaycapital.com/</x:v>
      </x:c>
      <x:c r="J544" s="16" t="str">
        <x:v>UT</x:v>
      </x:c>
      <x:c r="K544" s="16" t="str">
        <x:v>Salt Lake City</x:v>
      </x:c>
      <x:c r="L544" s="16" t="str">
        <x:v>firm_business_routing</x:v>
      </x:c>
      <x:c r="M544" s="16" t="str">
        <x:v>https://altabaycapital.com/</x:v>
      </x:c>
      <x:c r="N544" s="16" t="str">
        <x:v>$100K-$500K ticket not published / unconfirmed</x:v>
      </x:c>
      <x:c r="O544" s="20"/>
      <x:c r="P544" s="20"/>
      <x:c r="Q544" s="25" t="str">
        <x:v>No direct corporate-capital range established in checked source</x:v>
      </x:c>
      <x:c r="R544" s="25" t="str">
        <x:v>Public directory listing; current phone ownership, email deliverability, private cash availability, $500K cash threshold, fulfillment financing eligibility and equity willingness have not been verified. Our vision is to be the leading private equity real estate investment company specializing in the responsible development and redevelopment of design forward assets.</x:v>
      </x:c>
      <x:c r="S544" s="25"/>
      <x:c r="T544" s="25" t="str">
        <x:v>Confirm $100K-$500K ticket, company-stage and sector eligibility, investment authority, available allocation and proposed terms.</x:v>
      </x:c>
      <x:c r="U544" s="25" t="str">
        <x:v>https://www.privatelendersdirectory.com/united-states/salt-lake-city/business-lending/alta-bay-capital
https://altabaycapital.com/</x:v>
      </x:c>
      <x:c r="V544" s="26" t="d">
        <x:v>2026-10-02T00:00:00.000Z</x:v>
      </x:c>
      <x:c r="W544" s="26" t="d">
        <x:v>2026-09-30T00:00:00.000Z</x:v>
      </x:c>
      <x:c r="X544" s="25" t="str">
        <x:v>Saved public company, industry-directory or regulatory source; source date retained</x:v>
      </x:c>
      <x:c r="Y544" s="25" t="str">
        <x:v>https://altabaycapital.com/</x:v>
      </x:c>
      <x:c r="Z544" s="25"/>
      <x:c r="AA544" s="25" t="str">
        <x:v>[]</x:v>
      </x:c>
      <x:c r="AB544" s="3" t="str">
        <x:v>Existing CapitalForge research, newly screened for this campaign</x:v>
      </x:c>
      <x:c r="AC544" s="3" t="str">
        <x:v>unverified</x:v>
      </x:c>
      <x:c r="AD544" s="3" t="str">
        <x:v>Not contacted / unconfirmed</x:v>
      </x:c>
      <x:c r="AE544" s="3" t="str">
        <x:v>No</x:v>
      </x:c>
      <x:c r="AF544" s="3" t="str">
        <x:v>No</x:v>
      </x:c>
      <x:c r="AG544" s="3"/>
      <x:c r="AH544" s="3"/>
      <x:c r="AI544" s="18"/>
      <x:c r="AJ544" s="3" t="str">
        <x:v>CF2500-3005EA9EED4A</x:v>
      </x:c>
      <x:c r="AK544" s="3" t="str">
        <x:v>business_finance_provider</x:v>
      </x:c>
      <x:c r="AL544" s="19" t="n">
        <x:v>100000</x:v>
      </x:c>
      <x:c r="AM544" s="19" t="n">
        <x:v>500000</x:v>
      </x:c>
      <x:c r="AN544" s="3" t="str">
        <x:v>https://www.privatelendersdirectory.com/united-states/salt-lake-city/business-lending/alta-bay-capital</x:v>
      </x:c>
      <x:c r="AO544" s="3" t="str">
        <x:v>public_directory.jsonl</x:v>
      </x:c>
      <x:c r="AP544" s="19"/>
    </x:row>
    <x:row r="545" ht="36" customHeight="1">
      <x:c r="A545" s="23" t="n">
        <x:v>544</x:v>
      </x:c>
      <x:c r="B545" s="15" t="str">
        <x:v>24hr Home Buyers</x:v>
      </x:c>
      <x:c r="C545" s="15"/>
      <x:c r="D545" s="15" t="str">
        <x:v>Property investor / home-buying operator</x:v>
      </x:c>
      <x:c r="E545" s="15" t="str">
        <x:v>Property investor / operator inquiry</x:v>
      </x:c>
      <x:c r="F545" s="17" t="str">
        <x:v>New</x:v>
      </x:c>
      <x:c r="G545" s="24"/>
      <x:c r="H545" s="24" t="str">
        <x:v>+18889147325</x:v>
      </x:c>
      <x:c r="I545" s="24" t="str">
        <x:v>http://24hrhomebuyers.com/</x:v>
      </x:c>
      <x:c r="J545" s="16" t="str">
        <x:v>TN</x:v>
      </x:c>
      <x:c r="K545" s="16" t="str">
        <x:v>Knoxville</x:v>
      </x:c>
      <x:c r="L545" s="16" t="str">
        <x:v>Public property-business route; investor decision maker unconfirmed</x:v>
      </x:c>
      <x:c r="M545" s="16" t="str">
        <x:v>http://24hrhomebuyers.com/</x:v>
      </x:c>
      <x:c r="N545" s="16" t="str">
        <x:v>$100K-$500K ticket not published / unconfirmed</x:v>
      </x:c>
      <x:c r="O545" s="20"/>
      <x:c r="P545" s="20"/>
      <x:c r="Q545" s="25" t="str">
        <x:v>No direct corporate-capital range established in checked source</x:v>
      </x:c>
      <x:c r="R545" s="25" t="str">
        <x:v>Property acquisition or investor activity makes this an operator-capital prospect for the signed trial. Confirm operating-company debt/equity appetite.</x:v>
      </x:c>
      <x:c r="S545" s="25"/>
      <x:c r="T545" s="25" t="str">
        <x:v>Ask the owner/investor whether they can allocate $100K-$500K to trial marketing and acquisitions, and confirm structure, timing and decision authority.</x:v>
      </x:c>
      <x:c r="U545" s="25" t="str">
        <x:v>https://www.cashhomebuyersdirectory.com/cash-home-buyers/tennessee/knoxville</x:v>
      </x:c>
      <x:c r="V545" s="26" t="d">
        <x:v>2026-10-02T00:00:00.000Z</x:v>
      </x:c>
      <x:c r="W545" s="26" t="d">
        <x:v>2026-10-02T00:00:00.000Z</x:v>
      </x:c>
      <x:c r="X545" s="25" t="str">
        <x:v>CashHomeBuyersDirectory third-party business listing; first-party business activity not checked in this batch</x:v>
      </x:c>
      <x:c r="Y545" s="25"/>
      <x:c r="Z545" s="25" t="str">
        <x:v>https://www.cashhomebuyersdirectory.com/cash-home-buyers/tennessee/knoxville</x:v>
      </x:c>
      <x:c r="AA545" s="25" t="str">
        <x:v>Public cash-home-buyer directory lists the business name, business phone/website where available and market. Operator role and corporate funding willingness require confirmation.</x:v>
      </x:c>
      <x:c r="AB545" s="3" t="str">
        <x:v>New public-source collection</x:v>
      </x:c>
      <x:c r="AC545" s="3" t="str">
        <x:v>unverified</x:v>
      </x:c>
      <x:c r="AD545" s="3" t="str">
        <x:v>Not contacted / unconfirmed</x:v>
      </x:c>
      <x:c r="AE545" s="3" t="str">
        <x:v>No</x:v>
      </x:c>
      <x:c r="AF545" s="3" t="str">
        <x:v>No</x:v>
      </x:c>
      <x:c r="AG545" s="3"/>
      <x:c r="AH545" s="3"/>
      <x:c r="AI545" s="18"/>
      <x:c r="AJ545" s="3" t="str">
        <x:v>CF2500-3B04066B0C07</x:v>
      </x:c>
      <x:c r="AK545" s="3" t="str">
        <x:v>real_estate_operator</x:v>
      </x:c>
      <x:c r="AL545" s="19" t="n">
        <x:v>100000</x:v>
      </x:c>
      <x:c r="AM545" s="19" t="n">
        <x:v>500000</x:v>
      </x:c>
      <x:c r="AN545" s="3" t="str">
        <x:v>https://www.cashhomebuyersdirectory.com/cash-home-buyers/tennessee/knoxville</x:v>
      </x:c>
      <x:c r="AO545" s="3" t="str">
        <x:v>national_rest_directory_complete.jsonl</x:v>
      </x:c>
      <x:c r="AP545" s="19"/>
    </x:row>
    <x:row r="546" ht="36" customHeight="1">
      <x:c r="A546" s="23" t="n">
        <x:v>545</x:v>
      </x:c>
      <x:c r="B546" s="15" t="str">
        <x:v>316 Home Buyers</x:v>
      </x:c>
      <x:c r="C546" s="15"/>
      <x:c r="D546" s="15" t="str">
        <x:v>Property investor / home-buying operator</x:v>
      </x:c>
      <x:c r="E546" s="15" t="str">
        <x:v>Property investor / operator inquiry</x:v>
      </x:c>
      <x:c r="F546" s="17" t="str">
        <x:v>New</x:v>
      </x:c>
      <x:c r="G546" s="24"/>
      <x:c r="H546" s="24" t="str">
        <x:v>+13167124173</x:v>
      </x:c>
      <x:c r="I546" s="24" t="str">
        <x:v>https://316homebuyers.com/</x:v>
      </x:c>
      <x:c r="J546" s="16" t="str">
        <x:v>KS</x:v>
      </x:c>
      <x:c r="K546" s="16" t="str">
        <x:v>Wichita</x:v>
      </x:c>
      <x:c r="L546" s="16" t="str">
        <x:v>Public property-business route; investor decision maker unconfirmed</x:v>
      </x:c>
      <x:c r="M546" s="16" t="str">
        <x:v>https://316homebuyers.com/</x:v>
      </x:c>
      <x:c r="N546" s="16" t="str">
        <x:v>$100K-$500K ticket not published / unconfirmed</x:v>
      </x:c>
      <x:c r="O546" s="20"/>
      <x:c r="P546" s="20"/>
      <x:c r="Q546" s="25" t="str">
        <x:v>No direct corporate-capital range established in checked source</x:v>
      </x:c>
      <x:c r="R546" s="25" t="str">
        <x:v>Property acquisition or investor activity makes this an operator-capital prospect for the signed trial. Confirm operating-company debt/equity appetite.</x:v>
      </x:c>
      <x:c r="S546" s="25"/>
      <x:c r="T546" s="25" t="str">
        <x:v>Ask the owner/investor whether they can allocate $100K-$500K to trial marketing and acquisitions, and confirm structure, timing and decision authority.</x:v>
      </x:c>
      <x:c r="U546" s="25" t="str">
        <x:v>https://www.cashhomebuyersdirectory.com/cash-home-buyers/kansas/wichita</x:v>
      </x:c>
      <x:c r="V546" s="26" t="d">
        <x:v>2026-10-02T00:00:00.000Z</x:v>
      </x:c>
      <x:c r="W546" s="26" t="d">
        <x:v>2026-10-02T00:00:00.000Z</x:v>
      </x:c>
      <x:c r="X546" s="25" t="str">
        <x:v>CashHomeBuyersDirectory third-party business listing; first-party business activity not checked in this batch</x:v>
      </x:c>
      <x:c r="Y546" s="25"/>
      <x:c r="Z546" s="25" t="str">
        <x:v>https://www.cashhomebuyersdirectory.com/cash-home-buyers/kansas/wichita</x:v>
      </x:c>
      <x:c r="AA546" s="25" t="str">
        <x:v>Public cash-home-buyer directory lists the business name, business phone/website where available and market. Operator role and corporate funding willingness require confirmation.</x:v>
      </x:c>
      <x:c r="AB546" s="3" t="str">
        <x:v>New public-source collection</x:v>
      </x:c>
      <x:c r="AC546" s="3" t="str">
        <x:v>unverified</x:v>
      </x:c>
      <x:c r="AD546" s="3" t="str">
        <x:v>Not contacted / unconfirmed</x:v>
      </x:c>
      <x:c r="AE546" s="3" t="str">
        <x:v>No</x:v>
      </x:c>
      <x:c r="AF546" s="3" t="str">
        <x:v>No</x:v>
      </x:c>
      <x:c r="AG546" s="3"/>
      <x:c r="AH546" s="3"/>
      <x:c r="AI546" s="18"/>
      <x:c r="AJ546" s="3" t="str">
        <x:v>CF2500-0C64692316BD</x:v>
      </x:c>
      <x:c r="AK546" s="3" t="str">
        <x:v>real_estate_operator</x:v>
      </x:c>
      <x:c r="AL546" s="19" t="n">
        <x:v>100000</x:v>
      </x:c>
      <x:c r="AM546" s="19" t="n">
        <x:v>500000</x:v>
      </x:c>
      <x:c r="AN546" s="3" t="str">
        <x:v>https://www.cashhomebuyersdirectory.com/cash-home-buyers/kansas/wichita</x:v>
      </x:c>
      <x:c r="AO546" s="3" t="str">
        <x:v>national_rest_directory_complete.jsonl</x:v>
      </x:c>
      <x:c r="AP546" s="19"/>
    </x:row>
    <x:row r="547" ht="36" customHeight="1">
      <x:c r="A547" s="23" t="n">
        <x:v>546</x:v>
      </x:c>
      <x:c r="B547" s="15" t="str">
        <x:v>423 Cash Offer</x:v>
      </x:c>
      <x:c r="C547" s="15"/>
      <x:c r="D547" s="15" t="str">
        <x:v>Property investor / home-buying operator</x:v>
      </x:c>
      <x:c r="E547" s="15" t="str">
        <x:v>Property investor / operator inquiry</x:v>
      </x:c>
      <x:c r="F547" s="17" t="str">
        <x:v>New</x:v>
      </x:c>
      <x:c r="G547" s="24"/>
      <x:c r="H547" s="24" t="str">
        <x:v>+14238302775</x:v>
      </x:c>
      <x:c r="I547" s="24" t="str">
        <x:v>https://423cashoffer.com/</x:v>
      </x:c>
      <x:c r="J547" s="16" t="str">
        <x:v>TN</x:v>
      </x:c>
      <x:c r="K547" s="16"/>
      <x:c r="L547" s="16" t="str">
        <x:v>Public property-business route; investor decision maker unconfirmed</x:v>
      </x:c>
      <x:c r="M547" s="16" t="str">
        <x:v>https://423cashoffer.com/</x:v>
      </x:c>
      <x:c r="N547" s="16" t="str">
        <x:v>$100K-$500K ticket not published / unconfirmed</x:v>
      </x:c>
      <x:c r="O547" s="20"/>
      <x:c r="P547" s="20"/>
      <x:c r="Q547" s="25" t="str">
        <x:v>No direct corporate-capital range established in checked source</x:v>
      </x:c>
      <x:c r="R547" s="25" t="str">
        <x:v>Property acquisition or investor activity makes this an operator-capital prospect for the signed trial. Confirm operating-company debt/equity appetite.</x:v>
      </x:c>
      <x:c r="S547" s="25"/>
      <x:c r="T547" s="25" t="str">
        <x:v>Ask the owner/investor whether they can allocate $100K-$500K to trial marketing and acquisitions, and confirm structure, timing and decision authority.</x:v>
      </x:c>
      <x:c r="U547" s="25" t="str">
        <x:v>https://www.cashhomebuyersdirectory.com/cash-home-buyers/tennessee/johnson-city</x:v>
      </x:c>
      <x:c r="V547" s="26" t="d">
        <x:v>2026-10-02T00:00:00.000Z</x:v>
      </x:c>
      <x:c r="W547" s="26" t="d">
        <x:v>2026-10-02T00:00:00.000Z</x:v>
      </x:c>
      <x:c r="X547" s="25" t="str">
        <x:v>CashHomeBuyersDirectory third-party business listing; first-party business activity not checked in this batch</x:v>
      </x:c>
      <x:c r="Y547" s="25"/>
      <x:c r="Z547" s="25" t="str">
        <x:v>https://www.cashhomebuyersdirectory.com/cash-home-buyers/tennessee/johnson-city</x:v>
      </x:c>
      <x:c r="AA547" s="25" t="str">
        <x:v>Public cash-home-buyer directory lists the business name, business phone/website where available and market. Operator role and corporate funding willingness require confirmation.</x:v>
      </x:c>
      <x:c r="AB547" s="3" t="str">
        <x:v>New public-source collection</x:v>
      </x:c>
      <x:c r="AC547" s="3" t="str">
        <x:v>unverified</x:v>
      </x:c>
      <x:c r="AD547" s="3" t="str">
        <x:v>Not contacted / unconfirmed</x:v>
      </x:c>
      <x:c r="AE547" s="3" t="str">
        <x:v>No</x:v>
      </x:c>
      <x:c r="AF547" s="3" t="str">
        <x:v>No</x:v>
      </x:c>
      <x:c r="AG547" s="3"/>
      <x:c r="AH547" s="3"/>
      <x:c r="AI547" s="18"/>
      <x:c r="AJ547" s="3" t="str">
        <x:v>CF2500-E400EEE4A5E2</x:v>
      </x:c>
      <x:c r="AK547" s="3" t="str">
        <x:v>real_estate_operator</x:v>
      </x:c>
      <x:c r="AL547" s="19" t="n">
        <x:v>100000</x:v>
      </x:c>
      <x:c r="AM547" s="19" t="n">
        <x:v>500000</x:v>
      </x:c>
      <x:c r="AN547" s="3" t="str">
        <x:v>https://www.cashhomebuyersdirectory.com/cash-home-buyers/tennessee/johnson-city</x:v>
      </x:c>
      <x:c r="AO547" s="3" t="str">
        <x:v>national_rest_directory_complete.jsonl</x:v>
      </x:c>
      <x:c r="AP547" s="19"/>
    </x:row>
    <x:row r="548" ht="36" customHeight="1">
      <x:c r="A548" s="23" t="n">
        <x:v>547</x:v>
      </x:c>
      <x:c r="B548" s="15" t="str">
        <x:v>901 Home Buyers</x:v>
      </x:c>
      <x:c r="C548" s="15"/>
      <x:c r="D548" s="15" t="str">
        <x:v>Property investor / home-buying operator</x:v>
      </x:c>
      <x:c r="E548" s="15" t="str">
        <x:v>Property investor / operator inquiry</x:v>
      </x:c>
      <x:c r="F548" s="17" t="str">
        <x:v>New</x:v>
      </x:c>
      <x:c r="G548" s="24"/>
      <x:c r="H548" s="24" t="str">
        <x:v>+19012054338</x:v>
      </x:c>
      <x:c r="I548" s="24" t="str">
        <x:v>https://www.901homebuyers.com/</x:v>
      </x:c>
      <x:c r="J548" s="16" t="str">
        <x:v>TN</x:v>
      </x:c>
      <x:c r="K548" s="16" t="str">
        <x:v>Memphis</x:v>
      </x:c>
      <x:c r="L548" s="16" t="str">
        <x:v>Public property-business route; investor decision maker unconfirmed</x:v>
      </x:c>
      <x:c r="M548" s="16" t="str">
        <x:v>https://www.901homebuyers.com/</x:v>
      </x:c>
      <x:c r="N548" s="16" t="str">
        <x:v>$100K-$500K ticket not published / unconfirmed</x:v>
      </x:c>
      <x:c r="O548" s="20"/>
      <x:c r="P548" s="20"/>
      <x:c r="Q548" s="25" t="str">
        <x:v>No direct corporate-capital range established in checked source</x:v>
      </x:c>
      <x:c r="R548" s="25" t="str">
        <x:v>Property acquisition or investor activity makes this an operator-capital prospect for the signed trial. Confirm operating-company debt/equity appetite.</x:v>
      </x:c>
      <x:c r="S548" s="25"/>
      <x:c r="T548" s="25" t="str">
        <x:v>Ask the owner/investor whether they can allocate $100K-$500K to trial marketing and acquisitions, and confirm structure, timing and decision authority.</x:v>
      </x:c>
      <x:c r="U548" s="25" t="str">
        <x:v>https://www.cashhomebuyersdirectory.com/cash-home-buyers/tennessee/memphis</x:v>
      </x:c>
      <x:c r="V548" s="26" t="d">
        <x:v>2026-10-02T00:00:00.000Z</x:v>
      </x:c>
      <x:c r="W548" s="26" t="d">
        <x:v>2026-10-02T00:00:00.000Z</x:v>
      </x:c>
      <x:c r="X548" s="25" t="str">
        <x:v>CashHomeBuyersDirectory third-party business listing; first-party business activity not checked in this batch</x:v>
      </x:c>
      <x:c r="Y548" s="25"/>
      <x:c r="Z548" s="25" t="str">
        <x:v>https://www.cashhomebuyersdirectory.com/cash-home-buyers/tennessee/memphis</x:v>
      </x:c>
      <x:c r="AA548" s="25" t="str">
        <x:v>Public cash-home-buyer directory lists the business name, business phone/website where available and market. Operator role and corporate funding willingness require confirmation.</x:v>
      </x:c>
      <x:c r="AB548" s="3" t="str">
        <x:v>New public-source collection</x:v>
      </x:c>
      <x:c r="AC548" s="3" t="str">
        <x:v>unverified</x:v>
      </x:c>
      <x:c r="AD548" s="3" t="str">
        <x:v>Not contacted / unconfirmed</x:v>
      </x:c>
      <x:c r="AE548" s="3" t="str">
        <x:v>No</x:v>
      </x:c>
      <x:c r="AF548" s="3" t="str">
        <x:v>No</x:v>
      </x:c>
      <x:c r="AG548" s="3"/>
      <x:c r="AH548" s="3"/>
      <x:c r="AI548" s="18"/>
      <x:c r="AJ548" s="3" t="str">
        <x:v>CF2500-0CCCE96201A2</x:v>
      </x:c>
      <x:c r="AK548" s="3" t="str">
        <x:v>real_estate_operator</x:v>
      </x:c>
      <x:c r="AL548" s="19" t="n">
        <x:v>100000</x:v>
      </x:c>
      <x:c r="AM548" s="19" t="n">
        <x:v>500000</x:v>
      </x:c>
      <x:c r="AN548" s="3" t="str">
        <x:v>https://www.cashhomebuyersdirectory.com/cash-home-buyers/tennessee/memphis</x:v>
      </x:c>
      <x:c r="AO548" s="3" t="str">
        <x:v>national_rest_directory_complete.jsonl</x:v>
      </x:c>
      <x:c r="AP548" s="19"/>
    </x:row>
    <x:row r="549" ht="36" customHeight="1">
      <x:c r="A549" s="23" t="n">
        <x:v>548</x:v>
      </x:c>
      <x:c r="B549" s="15" t="str">
        <x:v>901 Investments</x:v>
      </x:c>
      <x:c r="C549" s="15"/>
      <x:c r="D549" s="15" t="str">
        <x:v>Property investor / home-buying operator</x:v>
      </x:c>
      <x:c r="E549" s="15" t="str">
        <x:v>Property investor / operator inquiry</x:v>
      </x:c>
      <x:c r="F549" s="17" t="str">
        <x:v>New</x:v>
      </x:c>
      <x:c r="G549" s="24"/>
      <x:c r="H549" s="24" t="str">
        <x:v>+19016686954</x:v>
      </x:c>
      <x:c r="I549" s="24" t="str">
        <x:v>https://www.901investments.com/</x:v>
      </x:c>
      <x:c r="J549" s="16" t="str">
        <x:v>TN</x:v>
      </x:c>
      <x:c r="K549" s="16" t="str">
        <x:v>Memphis</x:v>
      </x:c>
      <x:c r="L549" s="16" t="str">
        <x:v>Public property-business route; investor decision maker unconfirmed</x:v>
      </x:c>
      <x:c r="M549" s="16" t="str">
        <x:v>https://www.901investments.com/</x:v>
      </x:c>
      <x:c r="N549" s="16" t="str">
        <x:v>$100K-$500K ticket not published / unconfirmed</x:v>
      </x:c>
      <x:c r="O549" s="20"/>
      <x:c r="P549" s="20"/>
      <x:c r="Q549" s="25" t="str">
        <x:v>No direct corporate-capital range established in checked source</x:v>
      </x:c>
      <x:c r="R549" s="25" t="str">
        <x:v>Property acquisition or investor activity makes this an operator-capital prospect for the signed trial. Confirm operating-company debt/equity appetite.</x:v>
      </x:c>
      <x:c r="S549" s="25"/>
      <x:c r="T549" s="25" t="str">
        <x:v>Ask the owner/investor whether they can allocate $100K-$500K to trial marketing and acquisitions, and confirm structure, timing and decision authority.</x:v>
      </x:c>
      <x:c r="U549" s="25" t="str">
        <x:v>https://www.cashhomebuyersdirectory.com/cash-home-buyers/tennessee/memphis</x:v>
      </x:c>
      <x:c r="V549" s="26" t="d">
        <x:v>2026-10-02T00:00:00.000Z</x:v>
      </x:c>
      <x:c r="W549" s="26" t="d">
        <x:v>2026-10-02T00:00:00.000Z</x:v>
      </x:c>
      <x:c r="X549" s="25" t="str">
        <x:v>CashHomeBuyersDirectory third-party business listing; first-party business activity not checked in this batch</x:v>
      </x:c>
      <x:c r="Y549" s="25"/>
      <x:c r="Z549" s="25" t="str">
        <x:v>https://www.cashhomebuyersdirectory.com/cash-home-buyers/tennessee/memphis</x:v>
      </x:c>
      <x:c r="AA549" s="25" t="str">
        <x:v>Public cash-home-buyer directory lists the business name, business phone/website where available and market. Operator role and corporate funding willingness require confirmation.</x:v>
      </x:c>
      <x:c r="AB549" s="3" t="str">
        <x:v>New public-source collection</x:v>
      </x:c>
      <x:c r="AC549" s="3" t="str">
        <x:v>unverified</x:v>
      </x:c>
      <x:c r="AD549" s="3" t="str">
        <x:v>Not contacted / unconfirmed</x:v>
      </x:c>
      <x:c r="AE549" s="3" t="str">
        <x:v>No</x:v>
      </x:c>
      <x:c r="AF549" s="3" t="str">
        <x:v>No</x:v>
      </x:c>
      <x:c r="AG549" s="3"/>
      <x:c r="AH549" s="3"/>
      <x:c r="AI549" s="18"/>
      <x:c r="AJ549" s="3" t="str">
        <x:v>CF2500-427F1F97215C</x:v>
      </x:c>
      <x:c r="AK549" s="3" t="str">
        <x:v>real_estate_operator</x:v>
      </x:c>
      <x:c r="AL549" s="19" t="n">
        <x:v>100000</x:v>
      </x:c>
      <x:c r="AM549" s="19" t="n">
        <x:v>500000</x:v>
      </x:c>
      <x:c r="AN549" s="3" t="str">
        <x:v>https://www.cashhomebuyersdirectory.com/cash-home-buyers/tennessee/memphis</x:v>
      </x:c>
      <x:c r="AO549" s="3" t="str">
        <x:v>national_rest_directory_complete.jsonl</x:v>
      </x:c>
      <x:c r="AP549" s="19"/>
    </x:row>
    <x:row r="550" ht="36" customHeight="1">
      <x:c r="A550" s="23" t="n">
        <x:v>549</x:v>
      </x:c>
      <x:c r="B550" s="15" t="str">
        <x:v>A.G Ventures - We Buy Houses Fast w/ Cash</x:v>
      </x:c>
      <x:c r="C550" s="15"/>
      <x:c r="D550" s="15" t="str">
        <x:v>Property investor / home-buying operator</x:v>
      </x:c>
      <x:c r="E550" s="15" t="str">
        <x:v>Property investor / operator inquiry</x:v>
      </x:c>
      <x:c r="F550" s="17" t="str">
        <x:v>New</x:v>
      </x:c>
      <x:c r="G550" s="24"/>
      <x:c r="H550" s="24" t="str">
        <x:v>+18166055480</x:v>
      </x:c>
      <x:c r="I550" s="24" t="str">
        <x:v>https://www.agventures.biz/</x:v>
      </x:c>
      <x:c r="J550" s="16" t="str">
        <x:v>MO</x:v>
      </x:c>
      <x:c r="K550" s="16" t="str">
        <x:v>Kansas City</x:v>
      </x:c>
      <x:c r="L550" s="16" t="str">
        <x:v>Public property-business route; investor decision maker unconfirmed</x:v>
      </x:c>
      <x:c r="M550" s="16" t="str">
        <x:v>https://www.agventures.biz/</x:v>
      </x:c>
      <x:c r="N550" s="16" t="str">
        <x:v>$100K-$500K ticket not published / unconfirmed</x:v>
      </x:c>
      <x:c r="O550" s="20"/>
      <x:c r="P550" s="20"/>
      <x:c r="Q550" s="25" t="str">
        <x:v>No direct corporate-capital range established in checked source</x:v>
      </x:c>
      <x:c r="R550" s="25" t="str">
        <x:v>Property acquisition or investor activity makes this an operator-capital prospect for the signed trial. Confirm operating-company debt/equity appetite.</x:v>
      </x:c>
      <x:c r="S550" s="25"/>
      <x:c r="T550" s="25" t="str">
        <x:v>Ask the owner/investor whether they can allocate $100K-$500K to trial marketing and acquisitions, and confirm structure, timing and decision authority.</x:v>
      </x:c>
      <x:c r="U550" s="25" t="str">
        <x:v>https://www.cashhomebuyersdirectory.com/cash-home-buyers/missouri/kansas-city</x:v>
      </x:c>
      <x:c r="V550" s="26" t="d">
        <x:v>2026-10-02T00:00:00.000Z</x:v>
      </x:c>
      <x:c r="W550" s="26" t="d">
        <x:v>2026-10-02T00:00:00.000Z</x:v>
      </x:c>
      <x:c r="X550" s="25" t="str">
        <x:v>CashHomeBuyersDirectory third-party business listing; first-party business activity not checked in this batch</x:v>
      </x:c>
      <x:c r="Y550" s="25"/>
      <x:c r="Z550" s="25" t="str">
        <x:v>https://www.cashhomebuyersdirectory.com/cash-home-buyers/missouri/kansas-city</x:v>
      </x:c>
      <x:c r="AA550" s="25" t="str">
        <x:v>Public cash-home-buyer directory lists the business name, business phone/website where available and market. Operator role and corporate funding willingness require confirmation.</x:v>
      </x:c>
      <x:c r="AB550" s="3" t="str">
        <x:v>New public-source collection</x:v>
      </x:c>
      <x:c r="AC550" s="3" t="str">
        <x:v>unverified</x:v>
      </x:c>
      <x:c r="AD550" s="3" t="str">
        <x:v>Not contacted / unconfirmed</x:v>
      </x:c>
      <x:c r="AE550" s="3" t="str">
        <x:v>No</x:v>
      </x:c>
      <x:c r="AF550" s="3" t="str">
        <x:v>No</x:v>
      </x:c>
      <x:c r="AG550" s="3"/>
      <x:c r="AH550" s="3"/>
      <x:c r="AI550" s="18"/>
      <x:c r="AJ550" s="3" t="str">
        <x:v>CF2500-1C4383DFEE17</x:v>
      </x:c>
      <x:c r="AK550" s="3" t="str">
        <x:v>real_estate_operator</x:v>
      </x:c>
      <x:c r="AL550" s="19" t="n">
        <x:v>100000</x:v>
      </x:c>
      <x:c r="AM550" s="19" t="n">
        <x:v>500000</x:v>
      </x:c>
      <x:c r="AN550" s="3" t="str">
        <x:v>https://www.cashhomebuyersdirectory.com/cash-home-buyers/missouri/kansas-city</x:v>
      </x:c>
      <x:c r="AO550" s="3" t="str">
        <x:v>national_rest_directory_complete.jsonl</x:v>
      </x:c>
      <x:c r="AP550" s="19"/>
    </x:row>
    <x:row r="551" ht="36" customHeight="1">
      <x:c r="A551" s="23" t="n">
        <x:v>550</x:v>
      </x:c>
      <x:c r="B551" s="15" t="str">
        <x:v>All Florida Ga Home Buyers</x:v>
      </x:c>
      <x:c r="C551" s="15"/>
      <x:c r="D551" s="15" t="str">
        <x:v>Property investor / home-buying operator</x:v>
      </x:c>
      <x:c r="E551" s="15" t="str">
        <x:v>Property investor / operator inquiry</x:v>
      </x:c>
      <x:c r="F551" s="17" t="str">
        <x:v>New</x:v>
      </x:c>
      <x:c r="G551" s="24"/>
      <x:c r="H551" s="24" t="str">
        <x:v>+19122247247</x:v>
      </x:c>
      <x:c r="I551" s="24" t="str">
        <x:v>https://webuyrealestate3.systeme.io/</x:v>
      </x:c>
      <x:c r="J551" s="16" t="str">
        <x:v>GA</x:v>
      </x:c>
      <x:c r="K551" s="16" t="str">
        <x:v>Savannah</x:v>
      </x:c>
      <x:c r="L551" s="16" t="str">
        <x:v>Public property-business route; investor decision maker unconfirmed</x:v>
      </x:c>
      <x:c r="M551" s="16" t="str">
        <x:v>https://webuyrealestate3.systeme.io/</x:v>
      </x:c>
      <x:c r="N551" s="16" t="str">
        <x:v>$100K-$500K ticket not published / unconfirmed</x:v>
      </x:c>
      <x:c r="O551" s="20"/>
      <x:c r="P551" s="20"/>
      <x:c r="Q551" s="25" t="str">
        <x:v>No direct corporate-capital range established in checked source</x:v>
      </x:c>
      <x:c r="R551" s="25" t="str">
        <x:v>Property acquisition or investor activity makes this an operator-capital prospect for the signed trial. Confirm operating-company debt/equity appetite.</x:v>
      </x:c>
      <x:c r="S551" s="25"/>
      <x:c r="T551" s="25" t="str">
        <x:v>Ask the owner/investor whether they can allocate $100K-$500K to trial marketing and acquisitions, and confirm structure, timing and decision authority.</x:v>
      </x:c>
      <x:c r="U551" s="25" t="str">
        <x:v>https://www.cashhomebuyersdirectory.com/cash-home-buyers/georgia/savannah</x:v>
      </x:c>
      <x:c r="V551" s="26" t="d">
        <x:v>2026-10-02T00:00:00.000Z</x:v>
      </x:c>
      <x:c r="W551" s="26" t="d">
        <x:v>2026-10-02T00:00:00.000Z</x:v>
      </x:c>
      <x:c r="X551" s="25" t="str">
        <x:v>CashHomeBuyersDirectory third-party business listing; first-party business activity not checked in this batch</x:v>
      </x:c>
      <x:c r="Y551" s="25"/>
      <x:c r="Z551" s="25" t="str">
        <x:v>https://www.cashhomebuyersdirectory.com/cash-home-buyers/georgia/savannah</x:v>
      </x:c>
      <x:c r="AA551" s="25" t="str">
        <x:v>Public cash-home-buyer directory lists the business name, business phone/website where available and market. Operator role and corporate funding willingness require confirmation.</x:v>
      </x:c>
      <x:c r="AB551" s="3" t="str">
        <x:v>New public-source collection</x:v>
      </x:c>
      <x:c r="AC551" s="3" t="str">
        <x:v>unverified</x:v>
      </x:c>
      <x:c r="AD551" s="3" t="str">
        <x:v>Not contacted / unconfirmed</x:v>
      </x:c>
      <x:c r="AE551" s="3" t="str">
        <x:v>No</x:v>
      </x:c>
      <x:c r="AF551" s="3" t="str">
        <x:v>No</x:v>
      </x:c>
      <x:c r="AG551" s="3"/>
      <x:c r="AH551" s="3"/>
      <x:c r="AI551" s="18"/>
      <x:c r="AJ551" s="3" t="str">
        <x:v>CF2500-5EA93F7CD4C8</x:v>
      </x:c>
      <x:c r="AK551" s="3" t="str">
        <x:v>real_estate_operator</x:v>
      </x:c>
      <x:c r="AL551" s="19" t="n">
        <x:v>100000</x:v>
      </x:c>
      <x:c r="AM551" s="19" t="n">
        <x:v>500000</x:v>
      </x:c>
      <x:c r="AN551" s="3" t="str">
        <x:v>https://www.cashhomebuyersdirectory.com/cash-home-buyers/georgia/savannah</x:v>
      </x:c>
      <x:c r="AO551" s="3" t="str">
        <x:v>national_rest_directory_complete.jsonl</x:v>
      </x:c>
      <x:c r="AP551" s="19"/>
    </x:row>
    <x:row r="552" ht="36" customHeight="1">
      <x:c r="A552" s="23" t="n">
        <x:v>551</x:v>
      </x:c>
      <x:c r="B552" s="15" t="str">
        <x:v>Athens GA Homebuyers</x:v>
      </x:c>
      <x:c r="C552" s="15"/>
      <x:c r="D552" s="15" t="str">
        <x:v>Property investor / home-buying operator</x:v>
      </x:c>
      <x:c r="E552" s="15" t="str">
        <x:v>Property investor / operator inquiry</x:v>
      </x:c>
      <x:c r="F552" s="17" t="str">
        <x:v>New</x:v>
      </x:c>
      <x:c r="G552" s="24"/>
      <x:c r="H552" s="24" t="str">
        <x:v>+17067176634</x:v>
      </x:c>
      <x:c r="I552" s="24" t="str">
        <x:v>https://athensgahomebuyers.com/</x:v>
      </x:c>
      <x:c r="J552" s="16" t="str">
        <x:v>GA</x:v>
      </x:c>
      <x:c r="K552" s="16" t="str">
        <x:v>Athens</x:v>
      </x:c>
      <x:c r="L552" s="16" t="str">
        <x:v>Public property-business route; investor decision maker unconfirmed</x:v>
      </x:c>
      <x:c r="M552" s="16" t="str">
        <x:v>https://athensgahomebuyers.com/</x:v>
      </x:c>
      <x:c r="N552" s="16" t="str">
        <x:v>$100K-$500K ticket not published / unconfirmed</x:v>
      </x:c>
      <x:c r="O552" s="20"/>
      <x:c r="P552" s="20"/>
      <x:c r="Q552" s="25" t="str">
        <x:v>No direct corporate-capital range established in checked source</x:v>
      </x:c>
      <x:c r="R552" s="25" t="str">
        <x:v>Property acquisition or investor activity makes this an operator-capital prospect for the signed trial. Confirm operating-company debt/equity appetite.</x:v>
      </x:c>
      <x:c r="S552" s="25"/>
      <x:c r="T552" s="25" t="str">
        <x:v>Ask the owner/investor whether they can allocate $100K-$500K to trial marketing and acquisitions, and confirm structure, timing and decision authority.</x:v>
      </x:c>
      <x:c r="U552" s="25" t="str">
        <x:v>https://www.cashhomebuyersdirectory.com/cash-home-buyers/georgia/athens</x:v>
      </x:c>
      <x:c r="V552" s="26" t="d">
        <x:v>2026-10-02T00:00:00.000Z</x:v>
      </x:c>
      <x:c r="W552" s="26" t="d">
        <x:v>2026-10-02T00:00:00.000Z</x:v>
      </x:c>
      <x:c r="X552" s="25" t="str">
        <x:v>CashHomeBuyersDirectory third-party business listing; first-party business activity not checked in this batch</x:v>
      </x:c>
      <x:c r="Y552" s="25"/>
      <x:c r="Z552" s="25" t="str">
        <x:v>https://www.cashhomebuyersdirectory.com/cash-home-buyers/georgia/athens</x:v>
      </x:c>
      <x:c r="AA552" s="25" t="str">
        <x:v>Public cash-home-buyer directory lists the business name, business phone/website where available and market. Operator role and corporate funding willingness require confirmation.</x:v>
      </x:c>
      <x:c r="AB552" s="3" t="str">
        <x:v>New public-source collection</x:v>
      </x:c>
      <x:c r="AC552" s="3" t="str">
        <x:v>unverified</x:v>
      </x:c>
      <x:c r="AD552" s="3" t="str">
        <x:v>Not contacted / unconfirmed</x:v>
      </x:c>
      <x:c r="AE552" s="3" t="str">
        <x:v>No</x:v>
      </x:c>
      <x:c r="AF552" s="3" t="str">
        <x:v>No</x:v>
      </x:c>
      <x:c r="AG552" s="3"/>
      <x:c r="AH552" s="3"/>
      <x:c r="AI552" s="18"/>
      <x:c r="AJ552" s="3" t="str">
        <x:v>CF2500-0C2A198D546C</x:v>
      </x:c>
      <x:c r="AK552" s="3" t="str">
        <x:v>real_estate_operator</x:v>
      </x:c>
      <x:c r="AL552" s="19" t="n">
        <x:v>100000</x:v>
      </x:c>
      <x:c r="AM552" s="19" t="n">
        <x:v>500000</x:v>
      </x:c>
      <x:c r="AN552" s="3" t="str">
        <x:v>https://www.cashhomebuyersdirectory.com/cash-home-buyers/georgia/athens</x:v>
      </x:c>
      <x:c r="AO552" s="3" t="str">
        <x:v>national_rest_directory_complete.jsonl</x:v>
      </x:c>
      <x:c r="AP552" s="19"/>
    </x:row>
    <x:row r="553" ht="36" customHeight="1">
      <x:c r="A553" s="23" t="n">
        <x:v>552</x:v>
      </x:c>
      <x:c r="B553" s="15" t="str">
        <x:v>ATL Cash Home Buyers</x:v>
      </x:c>
      <x:c r="C553" s="15"/>
      <x:c r="D553" s="15" t="str">
        <x:v>Property investor / home-buying operator</x:v>
      </x:c>
      <x:c r="E553" s="15" t="str">
        <x:v>Property investor / operator inquiry</x:v>
      </x:c>
      <x:c r="F553" s="17" t="str">
        <x:v>New</x:v>
      </x:c>
      <x:c r="G553" s="24"/>
      <x:c r="H553" s="24" t="str">
        <x:v>+14044399984</x:v>
      </x:c>
      <x:c r="I553" s="24" t="str">
        <x:v>https://www.atlcashhomebuyers.com/</x:v>
      </x:c>
      <x:c r="J553" s="16" t="str">
        <x:v>GA</x:v>
      </x:c>
      <x:c r="K553" s="16" t="str">
        <x:v>Atlanta</x:v>
      </x:c>
      <x:c r="L553" s="16" t="str">
        <x:v>Public property-business route; investor decision maker unconfirmed</x:v>
      </x:c>
      <x:c r="M553" s="16" t="str">
        <x:v>https://www.atlcashhomebuyers.com/</x:v>
      </x:c>
      <x:c r="N553" s="16" t="str">
        <x:v>$100K-$500K ticket not published / unconfirmed</x:v>
      </x:c>
      <x:c r="O553" s="20"/>
      <x:c r="P553" s="20"/>
      <x:c r="Q553" s="25" t="str">
        <x:v>No direct corporate-capital range established in checked source</x:v>
      </x:c>
      <x:c r="R553" s="25" t="str">
        <x:v>Property acquisition or investor activity makes this an operator-capital prospect for the signed trial. Confirm operating-company debt/equity appetite.</x:v>
      </x:c>
      <x:c r="S553" s="25"/>
      <x:c r="T553" s="25" t="str">
        <x:v>Ask the owner/investor whether they can allocate $100K-$500K to trial marketing and acquisitions, and confirm structure, timing and decision authority.</x:v>
      </x:c>
      <x:c r="U553" s="25" t="str">
        <x:v>https://www.cashhomebuyersdirectory.com/cash-home-buyers/georgia/atlanta</x:v>
      </x:c>
      <x:c r="V553" s="26" t="d">
        <x:v>2026-10-02T00:00:00.000Z</x:v>
      </x:c>
      <x:c r="W553" s="26" t="d">
        <x:v>2026-10-02T00:00:00.000Z</x:v>
      </x:c>
      <x:c r="X553" s="25" t="str">
        <x:v>CashHomeBuyersDirectory third-party business listing; first-party business activity not checked in this batch</x:v>
      </x:c>
      <x:c r="Y553" s="25"/>
      <x:c r="Z553" s="25" t="str">
        <x:v>https://www.cashhomebuyersdirectory.com/cash-home-buyers/georgia/atlanta</x:v>
      </x:c>
      <x:c r="AA553" s="25" t="str">
        <x:v>Public cash-home-buyer directory lists the business name, business phone/website where available and market. Operator role and corporate funding willingness require confirmation.</x:v>
      </x:c>
      <x:c r="AB553" s="3" t="str">
        <x:v>New public-source collection</x:v>
      </x:c>
      <x:c r="AC553" s="3" t="str">
        <x:v>unverified</x:v>
      </x:c>
      <x:c r="AD553" s="3" t="str">
        <x:v>Not contacted / unconfirmed</x:v>
      </x:c>
      <x:c r="AE553" s="3" t="str">
        <x:v>No</x:v>
      </x:c>
      <x:c r="AF553" s="3" t="str">
        <x:v>No</x:v>
      </x:c>
      <x:c r="AG553" s="3"/>
      <x:c r="AH553" s="3"/>
      <x:c r="AI553" s="18"/>
      <x:c r="AJ553" s="3" t="str">
        <x:v>CF2500-1173E9A97827</x:v>
      </x:c>
      <x:c r="AK553" s="3" t="str">
        <x:v>real_estate_operator</x:v>
      </x:c>
      <x:c r="AL553" s="19" t="n">
        <x:v>100000</x:v>
      </x:c>
      <x:c r="AM553" s="19" t="n">
        <x:v>500000</x:v>
      </x:c>
      <x:c r="AN553" s="3" t="str">
        <x:v>https://www.cashhomebuyersdirectory.com/cash-home-buyers/georgia/atlanta</x:v>
      </x:c>
      <x:c r="AO553" s="3" t="str">
        <x:v>national_rest_directory_complete.jsonl</x:v>
      </x:c>
      <x:c r="AP553" s="19"/>
    </x:row>
    <x:row r="554" ht="36" customHeight="1">
      <x:c r="A554" s="23" t="n">
        <x:v>553</x:v>
      </x:c>
      <x:c r="B554" s="15" t="str">
        <x:v>Atlas Home Buyers- We Buy Nashville Homes</x:v>
      </x:c>
      <x:c r="C554" s="15"/>
      <x:c r="D554" s="15" t="str">
        <x:v>Property investor / home-buying operator</x:v>
      </x:c>
      <x:c r="E554" s="15" t="str">
        <x:v>Property investor / operator inquiry</x:v>
      </x:c>
      <x:c r="F554" s="17" t="str">
        <x:v>New</x:v>
      </x:c>
      <x:c r="G554" s="24"/>
      <x:c r="H554" s="24" t="str">
        <x:v>+16154883577</x:v>
      </x:c>
      <x:c r="I554" s="24" t="str">
        <x:v>http://atlasandco.com/</x:v>
      </x:c>
      <x:c r="J554" s="16" t="str">
        <x:v>TN</x:v>
      </x:c>
      <x:c r="K554" s="16" t="str">
        <x:v>Murfreesboro</x:v>
      </x:c>
      <x:c r="L554" s="16" t="str">
        <x:v>Public property-business route; investor decision maker unconfirmed</x:v>
      </x:c>
      <x:c r="M554" s="16" t="str">
        <x:v>http://atlasandco.com/</x:v>
      </x:c>
      <x:c r="N554" s="16" t="str">
        <x:v>$100K-$500K ticket not published / unconfirmed</x:v>
      </x:c>
      <x:c r="O554" s="20"/>
      <x:c r="P554" s="20"/>
      <x:c r="Q554" s="25" t="str">
        <x:v>No direct corporate-capital range established in checked source</x:v>
      </x:c>
      <x:c r="R554" s="25" t="str">
        <x:v>Property acquisition or investor activity makes this an operator-capital prospect for the signed trial. Confirm operating-company debt/equity appetite.</x:v>
      </x:c>
      <x:c r="S554" s="25"/>
      <x:c r="T554" s="25" t="str">
        <x:v>Ask the owner/investor whether they can allocate $100K-$500K to trial marketing and acquisitions, and confirm structure, timing and decision authority.</x:v>
      </x:c>
      <x:c r="U554" s="25" t="str">
        <x:v>https://www.cashhomebuyersdirectory.com/cash-home-buyers/tennessee/murfreesboro</x:v>
      </x:c>
      <x:c r="V554" s="26" t="d">
        <x:v>2026-10-02T00:00:00.000Z</x:v>
      </x:c>
      <x:c r="W554" s="26" t="d">
        <x:v>2026-10-02T00:00:00.000Z</x:v>
      </x:c>
      <x:c r="X554" s="25" t="str">
        <x:v>CashHomeBuyersDirectory third-party business listing; first-party business activity not checked in this batch</x:v>
      </x:c>
      <x:c r="Y554" s="25"/>
      <x:c r="Z554" s="25" t="str">
        <x:v>https://www.cashhomebuyersdirectory.com/cash-home-buyers/tennessee/murfreesboro</x:v>
      </x:c>
      <x:c r="AA554" s="25" t="str">
        <x:v>Public cash-home-buyer directory lists the business name, business phone/website where available and market. Operator role and corporate funding willingness require confirmation.</x:v>
      </x:c>
      <x:c r="AB554" s="3" t="str">
        <x:v>New public-source collection</x:v>
      </x:c>
      <x:c r="AC554" s="3" t="str">
        <x:v>unverified</x:v>
      </x:c>
      <x:c r="AD554" s="3" t="str">
        <x:v>Not contacted / unconfirmed</x:v>
      </x:c>
      <x:c r="AE554" s="3" t="str">
        <x:v>No</x:v>
      </x:c>
      <x:c r="AF554" s="3" t="str">
        <x:v>No</x:v>
      </x:c>
      <x:c r="AG554" s="3"/>
      <x:c r="AH554" s="3"/>
      <x:c r="AI554" s="18"/>
      <x:c r="AJ554" s="3" t="str">
        <x:v>CF2500-3EE24AD4C5F8</x:v>
      </x:c>
      <x:c r="AK554" s="3" t="str">
        <x:v>real_estate_operator</x:v>
      </x:c>
      <x:c r="AL554" s="19" t="n">
        <x:v>100000</x:v>
      </x:c>
      <x:c r="AM554" s="19" t="n">
        <x:v>500000</x:v>
      </x:c>
      <x:c r="AN554" s="3" t="str">
        <x:v>https://www.cashhomebuyersdirectory.com/cash-home-buyers/tennessee/murfreesboro</x:v>
      </x:c>
      <x:c r="AO554" s="3" t="str">
        <x:v>national_rest_directory_complete.jsonl</x:v>
      </x:c>
      <x:c r="AP554" s="19"/>
    </x:row>
    <x:row r="555" ht="36" customHeight="1">
      <x:c r="A555" s="23" t="n">
        <x:v>554</x:v>
      </x:c>
      <x:c r="B555" s="15" t="str">
        <x:v>Augusta Home Buyers</x:v>
      </x:c>
      <x:c r="C555" s="15"/>
      <x:c r="D555" s="15" t="str">
        <x:v>Property investor / home-buying operator</x:v>
      </x:c>
      <x:c r="E555" s="15" t="str">
        <x:v>Property investor / operator inquiry</x:v>
      </x:c>
      <x:c r="F555" s="17" t="str">
        <x:v>New</x:v>
      </x:c>
      <x:c r="G555" s="24"/>
      <x:c r="H555" s="24" t="str">
        <x:v>+17069702570</x:v>
      </x:c>
      <x:c r="I555" s="24" t="str">
        <x:v>https://www.augustahomebuyers.com/</x:v>
      </x:c>
      <x:c r="J555" s="16" t="str">
        <x:v>GA</x:v>
      </x:c>
      <x:c r="K555" s="16" t="str">
        <x:v>Augusta</x:v>
      </x:c>
      <x:c r="L555" s="16" t="str">
        <x:v>Public property-business route; investor decision maker unconfirmed</x:v>
      </x:c>
      <x:c r="M555" s="16" t="str">
        <x:v>https://www.augustahomebuyers.com/</x:v>
      </x:c>
      <x:c r="N555" s="16" t="str">
        <x:v>$100K-$500K ticket not published / unconfirmed</x:v>
      </x:c>
      <x:c r="O555" s="20"/>
      <x:c r="P555" s="20"/>
      <x:c r="Q555" s="25" t="str">
        <x:v>No direct corporate-capital range established in checked source</x:v>
      </x:c>
      <x:c r="R555" s="25" t="str">
        <x:v>Property acquisition or investor activity makes this an operator-capital prospect for the signed trial. Confirm operating-company debt/equity appetite.</x:v>
      </x:c>
      <x:c r="S555" s="25"/>
      <x:c r="T555" s="25" t="str">
        <x:v>Ask the owner/investor whether they can allocate $100K-$500K to trial marketing and acquisitions, and confirm structure, timing and decision authority.</x:v>
      </x:c>
      <x:c r="U555" s="25" t="str">
        <x:v>https://www.cashhomebuyersdirectory.com/cash-home-buyers/georgia/augusta</x:v>
      </x:c>
      <x:c r="V555" s="26" t="d">
        <x:v>2026-10-02T00:00:00.000Z</x:v>
      </x:c>
      <x:c r="W555" s="26" t="d">
        <x:v>2026-10-02T00:00:00.000Z</x:v>
      </x:c>
      <x:c r="X555" s="25" t="str">
        <x:v>CashHomeBuyersDirectory third-party business listing; first-party business activity not checked in this batch</x:v>
      </x:c>
      <x:c r="Y555" s="25"/>
      <x:c r="Z555" s="25" t="str">
        <x:v>https://www.cashhomebuyersdirectory.com/cash-home-buyers/georgia/augusta</x:v>
      </x:c>
      <x:c r="AA555" s="25" t="str">
        <x:v>Public cash-home-buyer directory lists the business name, business phone/website where available and market. Operator role and corporate funding willingness require confirmation.</x:v>
      </x:c>
      <x:c r="AB555" s="3" t="str">
        <x:v>New public-source collection</x:v>
      </x:c>
      <x:c r="AC555" s="3" t="str">
        <x:v>unverified</x:v>
      </x:c>
      <x:c r="AD555" s="3" t="str">
        <x:v>Not contacted / unconfirmed</x:v>
      </x:c>
      <x:c r="AE555" s="3" t="str">
        <x:v>No</x:v>
      </x:c>
      <x:c r="AF555" s="3" t="str">
        <x:v>No</x:v>
      </x:c>
      <x:c r="AG555" s="3"/>
      <x:c r="AH555" s="3"/>
      <x:c r="AI555" s="18"/>
      <x:c r="AJ555" s="3" t="str">
        <x:v>CF2500-0D142BC3AFC6</x:v>
      </x:c>
      <x:c r="AK555" s="3" t="str">
        <x:v>real_estate_operator</x:v>
      </x:c>
      <x:c r="AL555" s="19" t="n">
        <x:v>100000</x:v>
      </x:c>
      <x:c r="AM555" s="19" t="n">
        <x:v>500000</x:v>
      </x:c>
      <x:c r="AN555" s="3" t="str">
        <x:v>https://www.cashhomebuyersdirectory.com/cash-home-buyers/georgia/augusta</x:v>
      </x:c>
      <x:c r="AO555" s="3" t="str">
        <x:v>national_rest_directory_complete.jsonl</x:v>
      </x:c>
      <x:c r="AP555" s="19"/>
    </x:row>
    <x:row r="556" ht="36" customHeight="1">
      <x:c r="A556" s="23" t="n">
        <x:v>555</x:v>
      </x:c>
      <x:c r="B556" s="15" t="str">
        <x:v>Authentic Home Buyers</x:v>
      </x:c>
      <x:c r="C556" s="15"/>
      <x:c r="D556" s="15" t="str">
        <x:v>Property investor / home-buying operator</x:v>
      </x:c>
      <x:c r="E556" s="15" t="str">
        <x:v>Property investor / operator inquiry</x:v>
      </x:c>
      <x:c r="F556" s="17" t="str">
        <x:v>New</x:v>
      </x:c>
      <x:c r="G556" s="24"/>
      <x:c r="H556" s="24" t="str">
        <x:v>+18642561690</x:v>
      </x:c>
      <x:c r="I556" s="24" t="str">
        <x:v>http://www.authentichomebuyers.com/</x:v>
      </x:c>
      <x:c r="J556" s="16" t="str">
        <x:v>SC</x:v>
      </x:c>
      <x:c r="K556" s="16" t="str">
        <x:v>Spartanburg</x:v>
      </x:c>
      <x:c r="L556" s="16" t="str">
        <x:v>Public property-business route; investor decision maker unconfirmed</x:v>
      </x:c>
      <x:c r="M556" s="16" t="str">
        <x:v>http://www.authentichomebuyers.com/</x:v>
      </x:c>
      <x:c r="N556" s="16" t="str">
        <x:v>$100K-$500K ticket not published / unconfirmed</x:v>
      </x:c>
      <x:c r="O556" s="20"/>
      <x:c r="P556" s="20"/>
      <x:c r="Q556" s="25" t="str">
        <x:v>No direct corporate-capital range established in checked source</x:v>
      </x:c>
      <x:c r="R556" s="25" t="str">
        <x:v>Property acquisition or investor activity makes this an operator-capital prospect for the signed trial. Confirm operating-company debt/equity appetite.</x:v>
      </x:c>
      <x:c r="S556" s="25"/>
      <x:c r="T556" s="25" t="str">
        <x:v>Ask the owner/investor whether they can allocate $100K-$500K to trial marketing and acquisitions, and confirm structure, timing and decision authority.</x:v>
      </x:c>
      <x:c r="U556" s="25" t="str">
        <x:v>https://www.cashhomebuyersdirectory.com/cash-home-buyers/south-carolina/spartanburg</x:v>
      </x:c>
      <x:c r="V556" s="26" t="d">
        <x:v>2026-10-02T00:00:00.000Z</x:v>
      </x:c>
      <x:c r="W556" s="26" t="d">
        <x:v>2026-10-02T00:00:00.000Z</x:v>
      </x:c>
      <x:c r="X556" s="25" t="str">
        <x:v>CashHomeBuyersDirectory third-party business listing; first-party business activity not checked in this batch</x:v>
      </x:c>
      <x:c r="Y556" s="25"/>
      <x:c r="Z556" s="25" t="str">
        <x:v>https://www.cashhomebuyersdirectory.com/cash-home-buyers/south-carolina/spartanburg</x:v>
      </x:c>
      <x:c r="AA556" s="25" t="str">
        <x:v>Public cash-home-buyer directory lists the business name, business phone/website where available and market. Operator role and corporate funding willingness require confirmation.</x:v>
      </x:c>
      <x:c r="AB556" s="3" t="str">
        <x:v>New public-source collection</x:v>
      </x:c>
      <x:c r="AC556" s="3" t="str">
        <x:v>unverified</x:v>
      </x:c>
      <x:c r="AD556" s="3" t="str">
        <x:v>Not contacted / unconfirmed</x:v>
      </x:c>
      <x:c r="AE556" s="3" t="str">
        <x:v>No</x:v>
      </x:c>
      <x:c r="AF556" s="3" t="str">
        <x:v>No</x:v>
      </x:c>
      <x:c r="AG556" s="3"/>
      <x:c r="AH556" s="3"/>
      <x:c r="AI556" s="18"/>
      <x:c r="AJ556" s="3" t="str">
        <x:v>CF2500-1136CC86DBD6</x:v>
      </x:c>
      <x:c r="AK556" s="3" t="str">
        <x:v>real_estate_operator</x:v>
      </x:c>
      <x:c r="AL556" s="19" t="n">
        <x:v>100000</x:v>
      </x:c>
      <x:c r="AM556" s="19" t="n">
        <x:v>500000</x:v>
      </x:c>
      <x:c r="AN556" s="3" t="str">
        <x:v>https://www.cashhomebuyersdirectory.com/cash-home-buyers/south-carolina/spartanburg</x:v>
      </x:c>
      <x:c r="AO556" s="3" t="str">
        <x:v>national_rest_directory_complete.jsonl</x:v>
      </x:c>
      <x:c r="AP556" s="19"/>
    </x:row>
    <x:row r="557" ht="36" customHeight="1">
      <x:c r="A557" s="23" t="n">
        <x:v>556</x:v>
      </x:c>
      <x:c r="B557" s="15" t="str">
        <x:v>Axess Home Buyers</x:v>
      </x:c>
      <x:c r="C557" s="15"/>
      <x:c r="D557" s="15" t="str">
        <x:v>Property investor / home-buying operator</x:v>
      </x:c>
      <x:c r="E557" s="15" t="str">
        <x:v>Property investor / operator inquiry</x:v>
      </x:c>
      <x:c r="F557" s="17" t="str">
        <x:v>New</x:v>
      </x:c>
      <x:c r="G557" s="24"/>
      <x:c r="H557" s="24" t="str">
        <x:v>+13854215554</x:v>
      </x:c>
      <x:c r="I557" s="24" t="str">
        <x:v>https://www.axesshomebuyers.com/</x:v>
      </x:c>
      <x:c r="J557" s="16" t="str">
        <x:v>UT</x:v>
      </x:c>
      <x:c r="K557" s="16" t="str">
        <x:v>Salt Lake City</x:v>
      </x:c>
      <x:c r="L557" s="16" t="str">
        <x:v>Public property-business route; investor decision maker unconfirmed</x:v>
      </x:c>
      <x:c r="M557" s="16" t="str">
        <x:v>https://www.axesshomebuyers.com/</x:v>
      </x:c>
      <x:c r="N557" s="16" t="str">
        <x:v>$100K-$500K ticket not published / unconfirmed</x:v>
      </x:c>
      <x:c r="O557" s="20"/>
      <x:c r="P557" s="20"/>
      <x:c r="Q557" s="25" t="str">
        <x:v>No direct corporate-capital range established in checked source</x:v>
      </x:c>
      <x:c r="R557" s="25" t="str">
        <x:v>Property acquisition or investor activity makes this an operator-capital prospect for the signed trial. Confirm operating-company debt/equity appetite.</x:v>
      </x:c>
      <x:c r="S557" s="25"/>
      <x:c r="T557" s="25" t="str">
        <x:v>Ask the owner/investor whether they can allocate $100K-$500K to trial marketing and acquisitions, and confirm structure, timing and decision authority.</x:v>
      </x:c>
      <x:c r="U557" s="25" t="str">
        <x:v>https://www.cashhomebuyersdirectory.com/cash-home-buyers/utah/salt-lake-city</x:v>
      </x:c>
      <x:c r="V557" s="26" t="d">
        <x:v>2026-10-02T00:00:00.000Z</x:v>
      </x:c>
      <x:c r="W557" s="26" t="d">
        <x:v>2026-10-02T00:00:00.000Z</x:v>
      </x:c>
      <x:c r="X557" s="25" t="str">
        <x:v>CashHomeBuyersDirectory third-party business listing; first-party business activity not checked in this batch</x:v>
      </x:c>
      <x:c r="Y557" s="25"/>
      <x:c r="Z557" s="25" t="str">
        <x:v>https://www.cashhomebuyersdirectory.com/cash-home-buyers/utah/salt-lake-city</x:v>
      </x:c>
      <x:c r="AA557" s="25" t="str">
        <x:v>Public cash-home-buyer directory lists the business name, business phone/website where available and market. Operator role and corporate funding willingness require confirmation.</x:v>
      </x:c>
      <x:c r="AB557" s="3" t="str">
        <x:v>New public-source collection</x:v>
      </x:c>
      <x:c r="AC557" s="3" t="str">
        <x:v>unverified</x:v>
      </x:c>
      <x:c r="AD557" s="3" t="str">
        <x:v>Not contacted / unconfirmed</x:v>
      </x:c>
      <x:c r="AE557" s="3" t="str">
        <x:v>No</x:v>
      </x:c>
      <x:c r="AF557" s="3" t="str">
        <x:v>No</x:v>
      </x:c>
      <x:c r="AG557" s="3"/>
      <x:c r="AH557" s="3"/>
      <x:c r="AI557" s="18"/>
      <x:c r="AJ557" s="3" t="str">
        <x:v>CF2500-38B80378ECBF</x:v>
      </x:c>
      <x:c r="AK557" s="3" t="str">
        <x:v>real_estate_operator</x:v>
      </x:c>
      <x:c r="AL557" s="19" t="n">
        <x:v>100000</x:v>
      </x:c>
      <x:c r="AM557" s="19" t="n">
        <x:v>500000</x:v>
      </x:c>
      <x:c r="AN557" s="3" t="str">
        <x:v>https://www.cashhomebuyersdirectory.com/cash-home-buyers/utah/salt-lake-city</x:v>
      </x:c>
      <x:c r="AO557" s="3" t="str">
        <x:v>national_rest_directory_complete.jsonl</x:v>
      </x:c>
      <x:c r="AP557" s="19"/>
    </x:row>
    <x:row r="558" ht="36" customHeight="1">
      <x:c r="A558" s="23" t="n">
        <x:v>557</x:v>
      </x:c>
      <x:c r="B558" s="15" t="str">
        <x:v>Bama Home Buyer</x:v>
      </x:c>
      <x:c r="C558" s="15"/>
      <x:c r="D558" s="15" t="str">
        <x:v>Property investor / home-buying operator</x:v>
      </x:c>
      <x:c r="E558" s="15" t="str">
        <x:v>Property investor / operator inquiry</x:v>
      </x:c>
      <x:c r="F558" s="17" t="str">
        <x:v>New</x:v>
      </x:c>
      <x:c r="G558" s="24"/>
      <x:c r="H558" s="24" t="str">
        <x:v>+12057054805</x:v>
      </x:c>
      <x:c r="I558" s="24" t="str">
        <x:v>https://bamahomebuyer.com/</x:v>
      </x:c>
      <x:c r="J558" s="16" t="str">
        <x:v>AL</x:v>
      </x:c>
      <x:c r="K558" s="16" t="str">
        <x:v>Birmingham</x:v>
      </x:c>
      <x:c r="L558" s="16" t="str">
        <x:v>Public property-business route; investor decision maker unconfirmed</x:v>
      </x:c>
      <x:c r="M558" s="16" t="str">
        <x:v>https://bamahomebuyer.com/</x:v>
      </x:c>
      <x:c r="N558" s="16" t="str">
        <x:v>$100K-$500K ticket not published / unconfirmed</x:v>
      </x:c>
      <x:c r="O558" s="20"/>
      <x:c r="P558" s="20"/>
      <x:c r="Q558" s="25" t="str">
        <x:v>No direct corporate-capital range established in checked source</x:v>
      </x:c>
      <x:c r="R558" s="25" t="str">
        <x:v>Property acquisition or investor activity makes this an operator-capital prospect for the signed trial. Confirm operating-company debt/equity appetite.</x:v>
      </x:c>
      <x:c r="S558" s="25"/>
      <x:c r="T558" s="25" t="str">
        <x:v>Ask the owner/investor whether they can allocate $100K-$500K to trial marketing and acquisitions, and confirm structure, timing and decision authority.</x:v>
      </x:c>
      <x:c r="U558" s="25" t="str">
        <x:v>https://www.cashhomebuyersdirectory.com/cash-home-buyers/alabama/birmingham</x:v>
      </x:c>
      <x:c r="V558" s="26" t="d">
        <x:v>2026-10-02T00:00:00.000Z</x:v>
      </x:c>
      <x:c r="W558" s="26" t="d">
        <x:v>2026-10-02T00:00:00.000Z</x:v>
      </x:c>
      <x:c r="X558" s="25" t="str">
        <x:v>CashHomeBuyersDirectory third-party business listing; first-party business activity not checked in this batch</x:v>
      </x:c>
      <x:c r="Y558" s="25"/>
      <x:c r="Z558" s="25" t="str">
        <x:v>https://www.cashhomebuyersdirectory.com/cash-home-buyers/alabama/birmingham</x:v>
      </x:c>
      <x:c r="AA558" s="25" t="str">
        <x:v>Public cash-home-buyer directory lists the business name, business phone/website where available and market. Operator role and corporate funding willingness require confirmation.</x:v>
      </x:c>
      <x:c r="AB558" s="3" t="str">
        <x:v>New public-source collection</x:v>
      </x:c>
      <x:c r="AC558" s="3" t="str">
        <x:v>unverified</x:v>
      </x:c>
      <x:c r="AD558" s="3" t="str">
        <x:v>Not contacted / unconfirmed</x:v>
      </x:c>
      <x:c r="AE558" s="3" t="str">
        <x:v>No</x:v>
      </x:c>
      <x:c r="AF558" s="3" t="str">
        <x:v>No</x:v>
      </x:c>
      <x:c r="AG558" s="3"/>
      <x:c r="AH558" s="3"/>
      <x:c r="AI558" s="18"/>
      <x:c r="AJ558" s="3" t="str">
        <x:v>CF2500-99E7E7873AA4</x:v>
      </x:c>
      <x:c r="AK558" s="3" t="str">
        <x:v>real_estate_operator</x:v>
      </x:c>
      <x:c r="AL558" s="19" t="n">
        <x:v>100000</x:v>
      </x:c>
      <x:c r="AM558" s="19" t="n">
        <x:v>500000</x:v>
      </x:c>
      <x:c r="AN558" s="3" t="str">
        <x:v>https://www.cashhomebuyersdirectory.com/cash-home-buyers/alabama/birmingham</x:v>
      </x:c>
      <x:c r="AO558" s="3" t="str">
        <x:v>national_rest_directory_complete.jsonl</x:v>
      </x:c>
      <x:c r="AP558" s="19"/>
    </x:row>
    <x:row r="559" ht="36" customHeight="1">
      <x:c r="A559" s="23" t="n">
        <x:v>558</x:v>
      </x:c>
      <x:c r="B559" s="15" t="str">
        <x:v>Barrington Home Buyers</x:v>
      </x:c>
      <x:c r="C559" s="15"/>
      <x:c r="D559" s="15" t="str">
        <x:v>Property investor / home-buying operator</x:v>
      </x:c>
      <x:c r="E559" s="15" t="str">
        <x:v>Property investor / operator inquiry</x:v>
      </x:c>
      <x:c r="F559" s="17" t="str">
        <x:v>New</x:v>
      </x:c>
      <x:c r="G559" s="24"/>
      <x:c r="H559" s="24" t="str">
        <x:v>+17067057703</x:v>
      </x:c>
      <x:c r="I559" s="24" t="str">
        <x:v>http://www.barringtonhomebuyers.com/</x:v>
      </x:c>
      <x:c r="J559" s="16" t="str">
        <x:v>GA</x:v>
      </x:c>
      <x:c r="K559" s="16" t="str">
        <x:v>Athens</x:v>
      </x:c>
      <x:c r="L559" s="16" t="str">
        <x:v>Public property-business route; investor decision maker unconfirmed</x:v>
      </x:c>
      <x:c r="M559" s="16" t="str">
        <x:v>http://www.barringtonhomebuyers.com/</x:v>
      </x:c>
      <x:c r="N559" s="16" t="str">
        <x:v>$100K-$500K ticket not published / unconfirmed</x:v>
      </x:c>
      <x:c r="O559" s="20"/>
      <x:c r="P559" s="20"/>
      <x:c r="Q559" s="25" t="str">
        <x:v>No direct corporate-capital range established in checked source</x:v>
      </x:c>
      <x:c r="R559" s="25" t="str">
        <x:v>Property acquisition or investor activity makes this an operator-capital prospect for the signed trial. Confirm operating-company debt/equity appetite.</x:v>
      </x:c>
      <x:c r="S559" s="25"/>
      <x:c r="T559" s="25" t="str">
        <x:v>Ask the owner/investor whether they can allocate $100K-$500K to trial marketing and acquisitions, and confirm structure, timing and decision authority.</x:v>
      </x:c>
      <x:c r="U559" s="25" t="str">
        <x:v>https://www.cashhomebuyersdirectory.com/cash-home-buyers/georgia/athens
https://www.cashhomebuyersdirectory.com/cash-home-buyers/south-carolina/charleston</x:v>
      </x:c>
      <x:c r="V559" s="26" t="d">
        <x:v>2026-10-02T00:00:00.000Z</x:v>
      </x:c>
      <x:c r="W559" s="26" t="d">
        <x:v>2026-10-02T00:00:00.000Z</x:v>
      </x:c>
      <x:c r="X559" s="25" t="str">
        <x:v>CashHomeBuyersDirectory third-party business listing; first-party business activity not checked in this batch</x:v>
      </x:c>
      <x:c r="Y559" s="25"/>
      <x:c r="Z559" s="25" t="str">
        <x:v>https://www.cashhomebuyersdirectory.com/cash-home-buyers/georgia/athens</x:v>
      </x:c>
      <x:c r="AA559" s="25" t="str">
        <x:v>Public cash-home-buyer directory lists the business name, business phone/website where available and market. Operator role and corporate funding willingness require confirmation.</x:v>
      </x:c>
      <x:c r="AB559" s="3" t="str">
        <x:v>New public-source collection</x:v>
      </x:c>
      <x:c r="AC559" s="3" t="str">
        <x:v>unverified</x:v>
      </x:c>
      <x:c r="AD559" s="3" t="str">
        <x:v>Not contacted / unconfirmed</x:v>
      </x:c>
      <x:c r="AE559" s="3" t="str">
        <x:v>No</x:v>
      </x:c>
      <x:c r="AF559" s="3" t="str">
        <x:v>No</x:v>
      </x:c>
      <x:c r="AG559" s="3"/>
      <x:c r="AH559" s="3"/>
      <x:c r="AI559" s="18"/>
      <x:c r="AJ559" s="3" t="str">
        <x:v>CF2500-6B5B39572FF9</x:v>
      </x:c>
      <x:c r="AK559" s="3" t="str">
        <x:v>real_estate_operator</x:v>
      </x:c>
      <x:c r="AL559" s="19" t="n">
        <x:v>100000</x:v>
      </x:c>
      <x:c r="AM559" s="19" t="n">
        <x:v>500000</x:v>
      </x:c>
      <x:c r="AN559" s="3" t="str">
        <x:v>https://www.cashhomebuyersdirectory.com/cash-home-buyers/georgia/athens</x:v>
      </x:c>
      <x:c r="AO559" s="3" t="str">
        <x:v>national_rest_directory_complete.jsonl</x:v>
      </x:c>
      <x:c r="AP559" s="19"/>
    </x:row>
    <x:row r="560" ht="36" customHeight="1">
      <x:c r="A560" s="23" t="n">
        <x:v>559</x:v>
      </x:c>
      <x:c r="B560" s="15" t="str">
        <x:v>Benchmark Homebuyers</x:v>
      </x:c>
      <x:c r="C560" s="15"/>
      <x:c r="D560" s="15" t="str">
        <x:v>Property investor / home-buying operator</x:v>
      </x:c>
      <x:c r="E560" s="15" t="str">
        <x:v>Property investor / operator inquiry</x:v>
      </x:c>
      <x:c r="F560" s="17" t="str">
        <x:v>New</x:v>
      </x:c>
      <x:c r="G560" s="24"/>
      <x:c r="H560" s="24" t="str">
        <x:v>+12052346826</x:v>
      </x:c>
      <x:c r="I560" s="24" t="str">
        <x:v>https://www.benchmarkhomebuyer.com/</x:v>
      </x:c>
      <x:c r="J560" s="16" t="str">
        <x:v>AL</x:v>
      </x:c>
      <x:c r="K560" s="16"/>
      <x:c r="L560" s="16" t="str">
        <x:v>Public property-business route; investor decision maker unconfirmed</x:v>
      </x:c>
      <x:c r="M560" s="16" t="str">
        <x:v>https://www.benchmarkhomebuyer.com/</x:v>
      </x:c>
      <x:c r="N560" s="16" t="str">
        <x:v>$100K-$500K ticket not published / unconfirmed</x:v>
      </x:c>
      <x:c r="O560" s="20"/>
      <x:c r="P560" s="20"/>
      <x:c r="Q560" s="25" t="str">
        <x:v>No direct corporate-capital range established in checked source</x:v>
      </x:c>
      <x:c r="R560" s="25" t="str">
        <x:v>Property acquisition or investor activity makes this an operator-capital prospect for the signed trial. Confirm operating-company debt/equity appetite.</x:v>
      </x:c>
      <x:c r="S560" s="25"/>
      <x:c r="T560" s="25" t="str">
        <x:v>Ask the owner/investor whether they can allocate $100K-$500K to trial marketing and acquisitions, and confirm structure, timing and decision authority.</x:v>
      </x:c>
      <x:c r="U560" s="25" t="str">
        <x:v>https://www.cashhomebuyersdirectory.com/cash-home-buyers/alabama/birmingham</x:v>
      </x:c>
      <x:c r="V560" s="26" t="d">
        <x:v>2026-10-02T00:00:00.000Z</x:v>
      </x:c>
      <x:c r="W560" s="26" t="d">
        <x:v>2026-10-02T00:00:00.000Z</x:v>
      </x:c>
      <x:c r="X560" s="25" t="str">
        <x:v>CashHomeBuyersDirectory third-party business listing; first-party business activity not checked in this batch</x:v>
      </x:c>
      <x:c r="Y560" s="25"/>
      <x:c r="Z560" s="25" t="str">
        <x:v>https://www.cashhomebuyersdirectory.com/cash-home-buyers/alabama/birmingham</x:v>
      </x:c>
      <x:c r="AA560" s="25" t="str">
        <x:v>Public cash-home-buyer directory lists the business name, business phone/website where available and market. Operator role and corporate funding willingness require confirmation.</x:v>
      </x:c>
      <x:c r="AB560" s="3" t="str">
        <x:v>New public-source collection</x:v>
      </x:c>
      <x:c r="AC560" s="3" t="str">
        <x:v>unverified</x:v>
      </x:c>
      <x:c r="AD560" s="3" t="str">
        <x:v>Not contacted / unconfirmed</x:v>
      </x:c>
      <x:c r="AE560" s="3" t="str">
        <x:v>No</x:v>
      </x:c>
      <x:c r="AF560" s="3" t="str">
        <x:v>No</x:v>
      </x:c>
      <x:c r="AG560" s="3"/>
      <x:c r="AH560" s="3"/>
      <x:c r="AI560" s="18"/>
      <x:c r="AJ560" s="3" t="str">
        <x:v>CF2500-6CA05EC2CC14</x:v>
      </x:c>
      <x:c r="AK560" s="3" t="str">
        <x:v>real_estate_operator</x:v>
      </x:c>
      <x:c r="AL560" s="19" t="n">
        <x:v>100000</x:v>
      </x:c>
      <x:c r="AM560" s="19" t="n">
        <x:v>500000</x:v>
      </x:c>
      <x:c r="AN560" s="3" t="str">
        <x:v>https://www.cashhomebuyersdirectory.com/cash-home-buyers/alabama/birmingham</x:v>
      </x:c>
      <x:c r="AO560" s="3" t="str">
        <x:v>national_rest_directory_complete.jsonl</x:v>
      </x:c>
      <x:c r="AP560" s="19"/>
    </x:row>
    <x:row r="561" ht="36" customHeight="1">
      <x:c r="A561" s="23" t="n">
        <x:v>560</x:v>
      </x:c>
      <x:c r="B561" s="15" t="str">
        <x:v>Best Way Home Buyers</x:v>
      </x:c>
      <x:c r="C561" s="15"/>
      <x:c r="D561" s="15" t="str">
        <x:v>Property investor / home-buying operator</x:v>
      </x:c>
      <x:c r="E561" s="15" t="str">
        <x:v>Property investor / operator inquiry</x:v>
      </x:c>
      <x:c r="F561" s="17" t="str">
        <x:v>New</x:v>
      </x:c>
      <x:c r="G561" s="24"/>
      <x:c r="H561" s="24" t="str">
        <x:v>+16362715545</x:v>
      </x:c>
      <x:c r="I561" s="24" t="str">
        <x:v>https://bestwayhomebuyers.com/</x:v>
      </x:c>
      <x:c r="J561" s="16" t="str">
        <x:v>MO</x:v>
      </x:c>
      <x:c r="K561" s="16" t="str">
        <x:v>Cottleville</x:v>
      </x:c>
      <x:c r="L561" s="16" t="str">
        <x:v>Public property-business route; investor decision maker unconfirmed</x:v>
      </x:c>
      <x:c r="M561" s="16" t="str">
        <x:v>https://bestwayhomebuyers.com/</x:v>
      </x:c>
      <x:c r="N561" s="16" t="str">
        <x:v>$100K-$500K ticket not published / unconfirmed</x:v>
      </x:c>
      <x:c r="O561" s="20"/>
      <x:c r="P561" s="20"/>
      <x:c r="Q561" s="25" t="str">
        <x:v>No direct corporate-capital range established in checked source</x:v>
      </x:c>
      <x:c r="R561" s="25" t="str">
        <x:v>Property acquisition or investor activity makes this an operator-capital prospect for the signed trial. Confirm operating-company debt/equity appetite.</x:v>
      </x:c>
      <x:c r="S561" s="25"/>
      <x:c r="T561" s="25" t="str">
        <x:v>Ask the owner/investor whether they can allocate $100K-$500K to trial marketing and acquisitions, and confirm structure, timing and decision authority.</x:v>
      </x:c>
      <x:c r="U561" s="25" t="str">
        <x:v>https://www.cashhomebuyersdirectory.com/cash-home-buyers/missouri/cottleville</x:v>
      </x:c>
      <x:c r="V561" s="26" t="d">
        <x:v>2026-10-02T00:00:00.000Z</x:v>
      </x:c>
      <x:c r="W561" s="26" t="d">
        <x:v>2026-10-02T00:00:00.000Z</x:v>
      </x:c>
      <x:c r="X561" s="25" t="str">
        <x:v>CashHomeBuyersDirectory third-party business listing; first-party business activity not checked in this batch</x:v>
      </x:c>
      <x:c r="Y561" s="25"/>
      <x:c r="Z561" s="25" t="str">
        <x:v>https://www.cashhomebuyersdirectory.com/cash-home-buyers/missouri/cottleville</x:v>
      </x:c>
      <x:c r="AA561" s="25" t="str">
        <x:v>Public cash-home-buyer directory lists the business name, business phone/website where available and market. Operator role and corporate funding willingness require confirmation.</x:v>
      </x:c>
      <x:c r="AB561" s="3" t="str">
        <x:v>New public-source collection</x:v>
      </x:c>
      <x:c r="AC561" s="3" t="str">
        <x:v>unverified</x:v>
      </x:c>
      <x:c r="AD561" s="3" t="str">
        <x:v>Not contacted / unconfirmed</x:v>
      </x:c>
      <x:c r="AE561" s="3" t="str">
        <x:v>No</x:v>
      </x:c>
      <x:c r="AF561" s="3" t="str">
        <x:v>No</x:v>
      </x:c>
      <x:c r="AG561" s="3"/>
      <x:c r="AH561" s="3"/>
      <x:c r="AI561" s="18"/>
      <x:c r="AJ561" s="3" t="str">
        <x:v>CF2500-3080AA7A1B5B</x:v>
      </x:c>
      <x:c r="AK561" s="3" t="str">
        <x:v>real_estate_operator</x:v>
      </x:c>
      <x:c r="AL561" s="19" t="n">
        <x:v>100000</x:v>
      </x:c>
      <x:c r="AM561" s="19" t="n">
        <x:v>500000</x:v>
      </x:c>
      <x:c r="AN561" s="3" t="str">
        <x:v>https://www.cashhomebuyersdirectory.com/cash-home-buyers/missouri/cottleville</x:v>
      </x:c>
      <x:c r="AO561" s="3" t="str">
        <x:v>national_rest_directory_complete.jsonl</x:v>
      </x:c>
      <x:c r="AP561" s="19"/>
    </x:row>
    <x:row r="562" ht="36" customHeight="1">
      <x:c r="A562" s="23" t="n">
        <x:v>561</x:v>
      </x:c>
      <x:c r="B562" s="15" t="str">
        <x:v>Birddog Home Buyers</x:v>
      </x:c>
      <x:c r="C562" s="15"/>
      <x:c r="D562" s="15" t="str">
        <x:v>Property investor / home-buying operator</x:v>
      </x:c>
      <x:c r="E562" s="15" t="str">
        <x:v>Property investor / operator inquiry</x:v>
      </x:c>
      <x:c r="F562" s="17" t="str">
        <x:v>New</x:v>
      </x:c>
      <x:c r="G562" s="24"/>
      <x:c r="H562" s="24" t="str">
        <x:v>+18645232004</x:v>
      </x:c>
      <x:c r="I562" s="24" t="str">
        <x:v>https://www.birddogbuyshomes.com/</x:v>
      </x:c>
      <x:c r="J562" s="16" t="str">
        <x:v>GA</x:v>
      </x:c>
      <x:c r="K562" s="16"/>
      <x:c r="L562" s="16" t="str">
        <x:v>Public property-business route; investor decision maker unconfirmed</x:v>
      </x:c>
      <x:c r="M562" s="16" t="str">
        <x:v>https://www.birddogbuyshomes.com/</x:v>
      </x:c>
      <x:c r="N562" s="16" t="str">
        <x:v>$100K-$500K ticket not published / unconfirmed</x:v>
      </x:c>
      <x:c r="O562" s="20"/>
      <x:c r="P562" s="20"/>
      <x:c r="Q562" s="25" t="str">
        <x:v>No direct corporate-capital range established in checked source</x:v>
      </x:c>
      <x:c r="R562" s="25" t="str">
        <x:v>Property acquisition or investor activity makes this an operator-capital prospect for the signed trial. Confirm operating-company debt/equity appetite.</x:v>
      </x:c>
      <x:c r="S562" s="25"/>
      <x:c r="T562" s="25" t="str">
        <x:v>Ask the owner/investor whether they can allocate $100K-$500K to trial marketing and acquisitions, and confirm structure, timing and decision authority.</x:v>
      </x:c>
      <x:c r="U562" s="25" t="str">
        <x:v>https://www.cashhomebuyersdirectory.com/cash-home-buyers/georgia/savannah</x:v>
      </x:c>
      <x:c r="V562" s="26" t="d">
        <x:v>2026-10-02T00:00:00.000Z</x:v>
      </x:c>
      <x:c r="W562" s="26" t="d">
        <x:v>2026-10-02T00:00:00.000Z</x:v>
      </x:c>
      <x:c r="X562" s="25" t="str">
        <x:v>CashHomeBuyersDirectory third-party business listing; first-party business activity not checked in this batch</x:v>
      </x:c>
      <x:c r="Y562" s="25"/>
      <x:c r="Z562" s="25" t="str">
        <x:v>https://www.cashhomebuyersdirectory.com/cash-home-buyers/georgia/savannah</x:v>
      </x:c>
      <x:c r="AA562" s="25" t="str">
        <x:v>Public cash-home-buyer directory lists the business name, business phone/website where available and market. Operator role and corporate funding willingness require confirmation.</x:v>
      </x:c>
      <x:c r="AB562" s="3" t="str">
        <x:v>New public-source collection</x:v>
      </x:c>
      <x:c r="AC562" s="3" t="str">
        <x:v>unverified</x:v>
      </x:c>
      <x:c r="AD562" s="3" t="str">
        <x:v>Not contacted / unconfirmed</x:v>
      </x:c>
      <x:c r="AE562" s="3" t="str">
        <x:v>No</x:v>
      </x:c>
      <x:c r="AF562" s="3" t="str">
        <x:v>No</x:v>
      </x:c>
      <x:c r="AG562" s="3"/>
      <x:c r="AH562" s="3"/>
      <x:c r="AI562" s="18"/>
      <x:c r="AJ562" s="3" t="str">
        <x:v>CF2500-8F37814D3771</x:v>
      </x:c>
      <x:c r="AK562" s="3" t="str">
        <x:v>real_estate_operator</x:v>
      </x:c>
      <x:c r="AL562" s="19" t="n">
        <x:v>100000</x:v>
      </x:c>
      <x:c r="AM562" s="19" t="n">
        <x:v>500000</x:v>
      </x:c>
      <x:c r="AN562" s="3" t="str">
        <x:v>https://www.cashhomebuyersdirectory.com/cash-home-buyers/georgia/savannah</x:v>
      </x:c>
      <x:c r="AO562" s="3" t="str">
        <x:v>national_rest_directory_complete.jsonl</x:v>
      </x:c>
      <x:c r="AP562" s="19"/>
    </x:row>
    <x:row r="563" ht="36" customHeight="1">
      <x:c r="A563" s="23" t="n">
        <x:v>562</x:v>
      </x:c>
      <x:c r="B563" s="15" t="str">
        <x:v>Birmingham Homebuyers, LLC</x:v>
      </x:c>
      <x:c r="C563" s="15"/>
      <x:c r="D563" s="15" t="str">
        <x:v>Property investor / home-buying operator</x:v>
      </x:c>
      <x:c r="E563" s="15" t="str">
        <x:v>Property investor / operator inquiry</x:v>
      </x:c>
      <x:c r="F563" s="17" t="str">
        <x:v>New</x:v>
      </x:c>
      <x:c r="G563" s="24"/>
      <x:c r="H563" s="24" t="str">
        <x:v>+12055022161</x:v>
      </x:c>
      <x:c r="I563" s="24" t="str">
        <x:v>http://cashforhousesbham.com/</x:v>
      </x:c>
      <x:c r="J563" s="16" t="str">
        <x:v>AL</x:v>
      </x:c>
      <x:c r="K563" s="16" t="str">
        <x:v>Birmingham</x:v>
      </x:c>
      <x:c r="L563" s="16" t="str">
        <x:v>Public property-business route; investor decision maker unconfirmed</x:v>
      </x:c>
      <x:c r="M563" s="16" t="str">
        <x:v>http://cashforhousesbham.com/</x:v>
      </x:c>
      <x:c r="N563" s="16" t="str">
        <x:v>$100K-$500K ticket not published / unconfirmed</x:v>
      </x:c>
      <x:c r="O563" s="20"/>
      <x:c r="P563" s="20"/>
      <x:c r="Q563" s="25" t="str">
        <x:v>No direct corporate-capital range established in checked source</x:v>
      </x:c>
      <x:c r="R563" s="25" t="str">
        <x:v>Property acquisition or investor activity makes this an operator-capital prospect for the signed trial. Confirm operating-company debt/equity appetite.</x:v>
      </x:c>
      <x:c r="S563" s="25"/>
      <x:c r="T563" s="25" t="str">
        <x:v>Ask the owner/investor whether they can allocate $100K-$500K to trial marketing and acquisitions, and confirm structure, timing and decision authority.</x:v>
      </x:c>
      <x:c r="U563" s="25" t="str">
        <x:v>https://www.cashhomebuyersdirectory.com/cash-home-buyers/alabama/birmingham</x:v>
      </x:c>
      <x:c r="V563" s="26" t="d">
        <x:v>2026-10-02T00:00:00.000Z</x:v>
      </x:c>
      <x:c r="W563" s="26" t="d">
        <x:v>2026-10-02T00:00:00.000Z</x:v>
      </x:c>
      <x:c r="X563" s="25" t="str">
        <x:v>CashHomeBuyersDirectory third-party business listing; first-party business activity not checked in this batch</x:v>
      </x:c>
      <x:c r="Y563" s="25"/>
      <x:c r="Z563" s="25" t="str">
        <x:v>https://www.cashhomebuyersdirectory.com/cash-home-buyers/alabama/birmingham</x:v>
      </x:c>
      <x:c r="AA563" s="25" t="str">
        <x:v>Public cash-home-buyer directory lists the business name, business phone/website where available and market. Operator role and corporate funding willingness require confirmation.</x:v>
      </x:c>
      <x:c r="AB563" s="3" t="str">
        <x:v>New public-source collection</x:v>
      </x:c>
      <x:c r="AC563" s="3" t="str">
        <x:v>unverified</x:v>
      </x:c>
      <x:c r="AD563" s="3" t="str">
        <x:v>Not contacted / unconfirmed</x:v>
      </x:c>
      <x:c r="AE563" s="3" t="str">
        <x:v>No</x:v>
      </x:c>
      <x:c r="AF563" s="3" t="str">
        <x:v>No</x:v>
      </x:c>
      <x:c r="AG563" s="3"/>
      <x:c r="AH563" s="3"/>
      <x:c r="AI563" s="18"/>
      <x:c r="AJ563" s="3" t="str">
        <x:v>CF2500-787BAD9416BF</x:v>
      </x:c>
      <x:c r="AK563" s="3" t="str">
        <x:v>real_estate_operator</x:v>
      </x:c>
      <x:c r="AL563" s="19" t="n">
        <x:v>100000</x:v>
      </x:c>
      <x:c r="AM563" s="19" t="n">
        <x:v>500000</x:v>
      </x:c>
      <x:c r="AN563" s="3" t="str">
        <x:v>https://www.cashhomebuyersdirectory.com/cash-home-buyers/alabama/birmingham</x:v>
      </x:c>
      <x:c r="AO563" s="3" t="str">
        <x:v>national_rest_directory_complete.jsonl</x:v>
      </x:c>
      <x:c r="AP563" s="19"/>
    </x:row>
    <x:row r="564" ht="36" customHeight="1">
      <x:c r="A564" s="23" t="n">
        <x:v>563</x:v>
      </x:c>
      <x:c r="B564" s="15" t="str">
        <x:v>Bob the House Buyer</x:v>
      </x:c>
      <x:c r="C564" s="15"/>
      <x:c r="D564" s="15" t="str">
        <x:v>Property investor / home-buying operator</x:v>
      </x:c>
      <x:c r="E564" s="15" t="str">
        <x:v>Property investor / operator inquiry</x:v>
      </x:c>
      <x:c r="F564" s="17" t="str">
        <x:v>New</x:v>
      </x:c>
      <x:c r="G564" s="24"/>
      <x:c r="H564" s="24" t="str">
        <x:v>+13142667760</x:v>
      </x:c>
      <x:c r="I564" s="24" t="str">
        <x:v>https://bobthehousebuyer.com/about-us/</x:v>
      </x:c>
      <x:c r="J564" s="16" t="str">
        <x:v>MO</x:v>
      </x:c>
      <x:c r="K564" s="16" t="str">
        <x:v>St. Louis</x:v>
      </x:c>
      <x:c r="L564" s="16" t="str">
        <x:v>Public property-business route; investor decision maker unconfirmed</x:v>
      </x:c>
      <x:c r="M564" s="16" t="str">
        <x:v>https://bobthehousebuyer.com/about-us/</x:v>
      </x:c>
      <x:c r="N564" s="16" t="str">
        <x:v>$100K-$500K ticket not published / unconfirmed</x:v>
      </x:c>
      <x:c r="O564" s="20"/>
      <x:c r="P564" s="20"/>
      <x:c r="Q564" s="25" t="str">
        <x:v>No direct corporate-capital range established in checked source</x:v>
      </x:c>
      <x:c r="R564" s="25" t="str">
        <x:v>Property acquisition or investor activity makes this an operator-capital prospect for the signed trial. Confirm operating-company debt/equity appetite.</x:v>
      </x:c>
      <x:c r="S564" s="25"/>
      <x:c r="T564" s="25" t="str">
        <x:v>Ask the owner/investor whether they can allocate $100K-$500K to trial marketing and acquisitions, and confirm structure, timing and decision authority.</x:v>
      </x:c>
      <x:c r="U564" s="25" t="str">
        <x:v>https://www.cashhomebuyersdirectory.com/cash-home-buyers/missouri/st-louis</x:v>
      </x:c>
      <x:c r="V564" s="26" t="d">
        <x:v>2026-10-02T00:00:00.000Z</x:v>
      </x:c>
      <x:c r="W564" s="26" t="d">
        <x:v>2026-10-02T00:00:00.000Z</x:v>
      </x:c>
      <x:c r="X564" s="25" t="str">
        <x:v>CashHomeBuyersDirectory third-party business listing; first-party business activity not checked in this batch</x:v>
      </x:c>
      <x:c r="Y564" s="25"/>
      <x:c r="Z564" s="25" t="str">
        <x:v>https://www.cashhomebuyersdirectory.com/cash-home-buyers/missouri/st-louis</x:v>
      </x:c>
      <x:c r="AA564" s="25" t="str">
        <x:v>Public cash-home-buyer directory lists the business name, business phone/website where available and market. Operator role and corporate funding willingness require confirmation.</x:v>
      </x:c>
      <x:c r="AB564" s="3" t="str">
        <x:v>New public-source collection</x:v>
      </x:c>
      <x:c r="AC564" s="3" t="str">
        <x:v>unverified</x:v>
      </x:c>
      <x:c r="AD564" s="3" t="str">
        <x:v>Not contacted / unconfirmed</x:v>
      </x:c>
      <x:c r="AE564" s="3" t="str">
        <x:v>No</x:v>
      </x:c>
      <x:c r="AF564" s="3" t="str">
        <x:v>No</x:v>
      </x:c>
      <x:c r="AG564" s="3"/>
      <x:c r="AH564" s="3"/>
      <x:c r="AI564" s="18"/>
      <x:c r="AJ564" s="3" t="str">
        <x:v>CF2500-84570F51E543</x:v>
      </x:c>
      <x:c r="AK564" s="3" t="str">
        <x:v>real_estate_operator</x:v>
      </x:c>
      <x:c r="AL564" s="19" t="n">
        <x:v>100000</x:v>
      </x:c>
      <x:c r="AM564" s="19" t="n">
        <x:v>500000</x:v>
      </x:c>
      <x:c r="AN564" s="3" t="str">
        <x:v>https://www.cashhomebuyersdirectory.com/cash-home-buyers/missouri/st-louis</x:v>
      </x:c>
      <x:c r="AO564" s="3" t="str">
        <x:v>national_rest_directory_complete.jsonl</x:v>
      </x:c>
      <x:c r="AP564" s="19"/>
    </x:row>
    <x:row r="565" ht="36" customHeight="1">
      <x:c r="A565" s="23" t="n">
        <x:v>564</x:v>
      </x:c>
      <x:c r="B565" s="15" t="str">
        <x:v>Bricktown Home Buyers</x:v>
      </x:c>
      <x:c r="C565" s="15"/>
      <x:c r="D565" s="15" t="str">
        <x:v>Property investor / home-buying operator</x:v>
      </x:c>
      <x:c r="E565" s="15" t="str">
        <x:v>Property investor / operator inquiry</x:v>
      </x:c>
      <x:c r="F565" s="17" t="str">
        <x:v>New</x:v>
      </x:c>
      <x:c r="G565" s="24"/>
      <x:c r="H565" s="24" t="str">
        <x:v>+14052944001</x:v>
      </x:c>
      <x:c r="I565" s="24" t="str">
        <x:v>https://www.bricktownhomebuyers.com/</x:v>
      </x:c>
      <x:c r="J565" s="16" t="str">
        <x:v>OK</x:v>
      </x:c>
      <x:c r="K565" s="16" t="str">
        <x:v>Oklahoma City</x:v>
      </x:c>
      <x:c r="L565" s="16" t="str">
        <x:v>Public property-business route; investor decision maker unconfirmed</x:v>
      </x:c>
      <x:c r="M565" s="16" t="str">
        <x:v>https://www.bricktownhomebuyers.com/</x:v>
      </x:c>
      <x:c r="N565" s="16" t="str">
        <x:v>$100K-$500K ticket not published / unconfirmed</x:v>
      </x:c>
      <x:c r="O565" s="20"/>
      <x:c r="P565" s="20"/>
      <x:c r="Q565" s="25" t="str">
        <x:v>No direct corporate-capital range established in checked source</x:v>
      </x:c>
      <x:c r="R565" s="25" t="str">
        <x:v>Property acquisition or investor activity makes this an operator-capital prospect for the signed trial. Confirm operating-company debt/equity appetite.</x:v>
      </x:c>
      <x:c r="S565" s="25"/>
      <x:c r="T565" s="25" t="str">
        <x:v>Ask the owner/investor whether they can allocate $100K-$500K to trial marketing and acquisitions, and confirm structure, timing and decision authority.</x:v>
      </x:c>
      <x:c r="U565" s="25" t="str">
        <x:v>https://www.cashhomebuyersdirectory.com/cash-home-buyers/oklahoma/oklahoma-city</x:v>
      </x:c>
      <x:c r="V565" s="26" t="d">
        <x:v>2026-10-02T00:00:00.000Z</x:v>
      </x:c>
      <x:c r="W565" s="26" t="d">
        <x:v>2026-10-02T00:00:00.000Z</x:v>
      </x:c>
      <x:c r="X565" s="25" t="str">
        <x:v>CashHomeBuyersDirectory third-party business listing; first-party business activity not checked in this batch</x:v>
      </x:c>
      <x:c r="Y565" s="25"/>
      <x:c r="Z565" s="25" t="str">
        <x:v>https://www.cashhomebuyersdirectory.com/cash-home-buyers/oklahoma/oklahoma-city</x:v>
      </x:c>
      <x:c r="AA565" s="25" t="str">
        <x:v>Public cash-home-buyer directory lists the business name, business phone/website where available and market. Operator role and corporate funding willingness require confirmation.</x:v>
      </x:c>
      <x:c r="AB565" s="3" t="str">
        <x:v>New public-source collection</x:v>
      </x:c>
      <x:c r="AC565" s="3" t="str">
        <x:v>unverified</x:v>
      </x:c>
      <x:c r="AD565" s="3" t="str">
        <x:v>Not contacted / unconfirmed</x:v>
      </x:c>
      <x:c r="AE565" s="3" t="str">
        <x:v>No</x:v>
      </x:c>
      <x:c r="AF565" s="3" t="str">
        <x:v>No</x:v>
      </x:c>
      <x:c r="AG565" s="3"/>
      <x:c r="AH565" s="3"/>
      <x:c r="AI565" s="18"/>
      <x:c r="AJ565" s="3" t="str">
        <x:v>CF2500-513A7F8949DC</x:v>
      </x:c>
      <x:c r="AK565" s="3" t="str">
        <x:v>real_estate_operator</x:v>
      </x:c>
      <x:c r="AL565" s="19" t="n">
        <x:v>100000</x:v>
      </x:c>
      <x:c r="AM565" s="19" t="n">
        <x:v>500000</x:v>
      </x:c>
      <x:c r="AN565" s="3" t="str">
        <x:v>https://www.cashhomebuyersdirectory.com/cash-home-buyers/oklahoma/oklahoma-city</x:v>
      </x:c>
      <x:c r="AO565" s="3" t="str">
        <x:v>national_rest_directory_complete.jsonl</x:v>
      </x:c>
      <x:c r="AP565" s="19"/>
    </x:row>
    <x:row r="566" ht="36" customHeight="1">
      <x:c r="A566" s="23" t="n">
        <x:v>565</x:v>
      </x:c>
      <x:c r="B566" s="15" t="str">
        <x:v>BRIG Properties | Sell My Home Fast Nashville</x:v>
      </x:c>
      <x:c r="C566" s="15"/>
      <x:c r="D566" s="15" t="str">
        <x:v>Property investor / home-buying operator</x:v>
      </x:c>
      <x:c r="E566" s="15" t="str">
        <x:v>Property investor / operator inquiry</x:v>
      </x:c>
      <x:c r="F566" s="17" t="str">
        <x:v>New</x:v>
      </x:c>
      <x:c r="G566" s="24"/>
      <x:c r="H566" s="24" t="str">
        <x:v>+16154033085</x:v>
      </x:c>
      <x:c r="I566" s="24" t="str">
        <x:v>https://brigproperties.com/?utm_source=GMB&amp;utm_medium=organic</x:v>
      </x:c>
      <x:c r="J566" s="16" t="str">
        <x:v>TN</x:v>
      </x:c>
      <x:c r="K566" s="16" t="str">
        <x:v>Nashville</x:v>
      </x:c>
      <x:c r="L566" s="16" t="str">
        <x:v>Public property-business route; investor decision maker unconfirmed</x:v>
      </x:c>
      <x:c r="M566" s="16" t="str">
        <x:v>https://brigproperties.com/?utm_source=GMB&amp;utm_medium=organic</x:v>
      </x:c>
      <x:c r="N566" s="16" t="str">
        <x:v>$100K-$500K ticket not published / unconfirmed</x:v>
      </x:c>
      <x:c r="O566" s="20"/>
      <x:c r="P566" s="20"/>
      <x:c r="Q566" s="25" t="str">
        <x:v>No direct corporate-capital range established in checked source</x:v>
      </x:c>
      <x:c r="R566" s="25" t="str">
        <x:v>Property acquisition or investor activity makes this an operator-capital prospect for the signed trial. Confirm operating-company debt/equity appetite.</x:v>
      </x:c>
      <x:c r="S566" s="25"/>
      <x:c r="T566" s="25" t="str">
        <x:v>Ask the owner/investor whether they can allocate $100K-$500K to trial marketing and acquisitions, and confirm structure, timing and decision authority.</x:v>
      </x:c>
      <x:c r="U566" s="25" t="str">
        <x:v>https://www.cashhomebuyersdirectory.com/cash-home-buyers/tennessee/nashville</x:v>
      </x:c>
      <x:c r="V566" s="26" t="d">
        <x:v>2026-10-02T00:00:00.000Z</x:v>
      </x:c>
      <x:c r="W566" s="26" t="d">
        <x:v>2026-10-02T00:00:00.000Z</x:v>
      </x:c>
      <x:c r="X566" s="25" t="str">
        <x:v>CashHomeBuyersDirectory third-party business listing; first-party business activity not checked in this batch</x:v>
      </x:c>
      <x:c r="Y566" s="25"/>
      <x:c r="Z566" s="25" t="str">
        <x:v>https://www.cashhomebuyersdirectory.com/cash-home-buyers/tennessee/nashville</x:v>
      </x:c>
      <x:c r="AA566" s="25" t="str">
        <x:v>Public cash-home-buyer directory lists the business name, business phone/website where available and market. Operator role and corporate funding willingness require confirmation.</x:v>
      </x:c>
      <x:c r="AB566" s="3" t="str">
        <x:v>New public-source collection</x:v>
      </x:c>
      <x:c r="AC566" s="3" t="str">
        <x:v>unverified</x:v>
      </x:c>
      <x:c r="AD566" s="3" t="str">
        <x:v>Not contacted / unconfirmed</x:v>
      </x:c>
      <x:c r="AE566" s="3" t="str">
        <x:v>No</x:v>
      </x:c>
      <x:c r="AF566" s="3" t="str">
        <x:v>No</x:v>
      </x:c>
      <x:c r="AG566" s="3"/>
      <x:c r="AH566" s="3"/>
      <x:c r="AI566" s="18"/>
      <x:c r="AJ566" s="3" t="str">
        <x:v>CF2500-8C08A305C2CB</x:v>
      </x:c>
      <x:c r="AK566" s="3" t="str">
        <x:v>real_estate_operator</x:v>
      </x:c>
      <x:c r="AL566" s="19" t="n">
        <x:v>100000</x:v>
      </x:c>
      <x:c r="AM566" s="19" t="n">
        <x:v>500000</x:v>
      </x:c>
      <x:c r="AN566" s="3" t="str">
        <x:v>https://www.cashhomebuyersdirectory.com/cash-home-buyers/tennessee/nashville</x:v>
      </x:c>
      <x:c r="AO566" s="3" t="str">
        <x:v>national_rest_directory_complete.jsonl</x:v>
      </x:c>
      <x:c r="AP566" s="19"/>
    </x:row>
    <x:row r="567" ht="36" customHeight="1">
      <x:c r="A567" s="23" t="n">
        <x:v>566</x:v>
      </x:c>
      <x:c r="B567" s="15" t="str">
        <x:v>Bright Future Home Buyers</x:v>
      </x:c>
      <x:c r="C567" s="15"/>
      <x:c r="D567" s="15" t="str">
        <x:v>Property investor / home-buying operator</x:v>
      </x:c>
      <x:c r="E567" s="15" t="str">
        <x:v>Property investor / operator inquiry</x:v>
      </x:c>
      <x:c r="F567" s="17" t="str">
        <x:v>New</x:v>
      </x:c>
      <x:c r="G567" s="24"/>
      <x:c r="H567" s="24" t="str">
        <x:v>+15743836362</x:v>
      </x:c>
      <x:c r="I567" s="24" t="str">
        <x:v>https://www.brightfuturehomebuyers.com/?utm_source=google-gmb-maps&amp;utm_medium=gmb-website-button&amp;utm_campaign=locl.io&amp;utm_content=22085524-1bab-40ad-bedf-d9549f99b642</x:v>
      </x:c>
      <x:c r="J567" s="16" t="str">
        <x:v>IN</x:v>
      </x:c>
      <x:c r="K567" s="16" t="str">
        <x:v>South Bend</x:v>
      </x:c>
      <x:c r="L567" s="16" t="str">
        <x:v>Public property-business route; investor decision maker unconfirmed</x:v>
      </x:c>
      <x:c r="M567" s="16" t="str">
        <x:v>https://www.brightfuturehomebuyers.com/?utm_source=google-gmb-maps&amp;utm_medium=gmb-website-button&amp;utm_campaign=locl.io&amp;utm_content=22085524-1bab-40ad-bedf-d9549f99b642</x:v>
      </x:c>
      <x:c r="N567" s="16" t="str">
        <x:v>$100K-$500K ticket not published / unconfirmed</x:v>
      </x:c>
      <x:c r="O567" s="20"/>
      <x:c r="P567" s="20"/>
      <x:c r="Q567" s="25" t="str">
        <x:v>No direct corporate-capital range established in checked source</x:v>
      </x:c>
      <x:c r="R567" s="25" t="str">
        <x:v>Property acquisition or investor activity makes this an operator-capital prospect for the signed trial. Confirm operating-company debt/equity appetite.</x:v>
      </x:c>
      <x:c r="S567" s="25"/>
      <x:c r="T567" s="25" t="str">
        <x:v>Ask the owner/investor whether they can allocate $100K-$500K to trial marketing and acquisitions, and confirm structure, timing and decision authority.</x:v>
      </x:c>
      <x:c r="U567" s="25" t="str">
        <x:v>https://www.cashhomebuyersdirectory.com/cash-home-buyers/indiana/south-bend
https://www.cashhomebuyersdirectory.com/cash-home-buyers/indiana/osceola
https://www.cashhomebuyersdirectory.com/cash-home-buyers/indiana/mishawaka</x:v>
      </x:c>
      <x:c r="V567" s="26" t="d">
        <x:v>2026-10-02T00:00:00.000Z</x:v>
      </x:c>
      <x:c r="W567" s="26" t="d">
        <x:v>2026-10-02T00:00:00.000Z</x:v>
      </x:c>
      <x:c r="X567" s="25" t="str">
        <x:v>CashHomeBuyersDirectory third-party business listing; first-party business activity not checked in this batch</x:v>
      </x:c>
      <x:c r="Y567" s="25"/>
      <x:c r="Z567" s="25" t="str">
        <x:v>https://www.cashhomebuyersdirectory.com/cash-home-buyers/indiana/south-bend</x:v>
      </x:c>
      <x:c r="AA567" s="25" t="str">
        <x:v>Public cash-home-buyer directory lists the business name, business phone/website where available and market. Operator role and corporate funding willingness require confirmation.</x:v>
      </x:c>
      <x:c r="AB567" s="3" t="str">
        <x:v>New public-source collection</x:v>
      </x:c>
      <x:c r="AC567" s="3" t="str">
        <x:v>unverified</x:v>
      </x:c>
      <x:c r="AD567" s="3" t="str">
        <x:v>Not contacted / unconfirmed</x:v>
      </x:c>
      <x:c r="AE567" s="3" t="str">
        <x:v>No</x:v>
      </x:c>
      <x:c r="AF567" s="3" t="str">
        <x:v>No</x:v>
      </x:c>
      <x:c r="AG567" s="3"/>
      <x:c r="AH567" s="3" t="str">
        <x:v>Bright Future Home Buyers Elkhart; Bright Future Home Buyers Mishawaka</x:v>
      </x:c>
      <x:c r="AI567" s="18"/>
      <x:c r="AJ567" s="3" t="str">
        <x:v>CF2500-B283A94BBB4C</x:v>
      </x:c>
      <x:c r="AK567" s="3" t="str">
        <x:v>real_estate_operator</x:v>
      </x:c>
      <x:c r="AL567" s="19" t="n">
        <x:v>100000</x:v>
      </x:c>
      <x:c r="AM567" s="19" t="n">
        <x:v>500000</x:v>
      </x:c>
      <x:c r="AN567" s="3" t="str">
        <x:v>https://www.cashhomebuyersdirectory.com/cash-home-buyers/indiana/south-bend</x:v>
      </x:c>
      <x:c r="AO567" s="3" t="str">
        <x:v>national_rest_directory_complete.jsonl</x:v>
      </x:c>
      <x:c r="AP567" s="19"/>
    </x:row>
    <x:row r="568" ht="36" customHeight="1">
      <x:c r="A568" s="23" t="n">
        <x:v>567</x:v>
      </x:c>
      <x:c r="B568" s="15" t="str">
        <x:v>Brown Dog Home Buyers</x:v>
      </x:c>
      <x:c r="C568" s="15"/>
      <x:c r="D568" s="15" t="str">
        <x:v>Property investor / home-buying operator</x:v>
      </x:c>
      <x:c r="E568" s="15" t="str">
        <x:v>Property investor / operator inquiry</x:v>
      </x:c>
      <x:c r="F568" s="17" t="str">
        <x:v>New</x:v>
      </x:c>
      <x:c r="G568" s="24"/>
      <x:c r="H568" s="24" t="str">
        <x:v>+19186405176</x:v>
      </x:c>
      <x:c r="I568" s="24" t="str">
        <x:v>https://browndoghomebuyers.com/</x:v>
      </x:c>
      <x:c r="J568" s="16" t="str">
        <x:v>OK</x:v>
      </x:c>
      <x:c r="K568" s="16" t="str">
        <x:v>Tulsa</x:v>
      </x:c>
      <x:c r="L568" s="16" t="str">
        <x:v>Public property-business route; investor decision maker unconfirmed</x:v>
      </x:c>
      <x:c r="M568" s="16" t="str">
        <x:v>https://browndoghomebuyers.com/</x:v>
      </x:c>
      <x:c r="N568" s="16" t="str">
        <x:v>$100K-$500K ticket not published / unconfirmed</x:v>
      </x:c>
      <x:c r="O568" s="20"/>
      <x:c r="P568" s="20"/>
      <x:c r="Q568" s="25" t="str">
        <x:v>No direct corporate-capital range established in checked source</x:v>
      </x:c>
      <x:c r="R568" s="25" t="str">
        <x:v>Property acquisition or investor activity makes this an operator-capital prospect for the signed trial. Confirm operating-company debt/equity appetite.</x:v>
      </x:c>
      <x:c r="S568" s="25"/>
      <x:c r="T568" s="25" t="str">
        <x:v>Ask the owner/investor whether they can allocate $100K-$500K to trial marketing and acquisitions, and confirm structure, timing and decision authority.</x:v>
      </x:c>
      <x:c r="U568" s="25" t="str">
        <x:v>https://www.cashhomebuyersdirectory.com/cash-home-buyers/oklahoma/tulsa</x:v>
      </x:c>
      <x:c r="V568" s="26" t="d">
        <x:v>2026-10-02T00:00:00.000Z</x:v>
      </x:c>
      <x:c r="W568" s="26" t="d">
        <x:v>2026-10-02T00:00:00.000Z</x:v>
      </x:c>
      <x:c r="X568" s="25" t="str">
        <x:v>CashHomeBuyersDirectory third-party business listing; first-party business activity not checked in this batch</x:v>
      </x:c>
      <x:c r="Y568" s="25"/>
      <x:c r="Z568" s="25" t="str">
        <x:v>https://www.cashhomebuyersdirectory.com/cash-home-buyers/oklahoma/tulsa</x:v>
      </x:c>
      <x:c r="AA568" s="25" t="str">
        <x:v>Public cash-home-buyer directory lists the business name, business phone/website where available and market. Operator role and corporate funding willingness require confirmation.</x:v>
      </x:c>
      <x:c r="AB568" s="3" t="str">
        <x:v>New public-source collection</x:v>
      </x:c>
      <x:c r="AC568" s="3" t="str">
        <x:v>unverified</x:v>
      </x:c>
      <x:c r="AD568" s="3" t="str">
        <x:v>Not contacted / unconfirmed</x:v>
      </x:c>
      <x:c r="AE568" s="3" t="str">
        <x:v>No</x:v>
      </x:c>
      <x:c r="AF568" s="3" t="str">
        <x:v>No</x:v>
      </x:c>
      <x:c r="AG568" s="3"/>
      <x:c r="AH568" s="3"/>
      <x:c r="AI568" s="18"/>
      <x:c r="AJ568" s="3" t="str">
        <x:v>CF2500-12570BDC5CF2</x:v>
      </x:c>
      <x:c r="AK568" s="3" t="str">
        <x:v>real_estate_operator</x:v>
      </x:c>
      <x:c r="AL568" s="19" t="n">
        <x:v>100000</x:v>
      </x:c>
      <x:c r="AM568" s="19" t="n">
        <x:v>500000</x:v>
      </x:c>
      <x:c r="AN568" s="3" t="str">
        <x:v>https://www.cashhomebuyersdirectory.com/cash-home-buyers/oklahoma/tulsa</x:v>
      </x:c>
      <x:c r="AO568" s="3" t="str">
        <x:v>national_rest_directory_complete.jsonl</x:v>
      </x:c>
      <x:c r="AP568" s="19"/>
    </x:row>
    <x:row r="569" ht="36" customHeight="1">
      <x:c r="A569" s="23" t="n">
        <x:v>568</x:v>
      </x:c>
      <x:c r="B569" s="15" t="str">
        <x:v>Buy Houses Fort Wayne Rent To Own</x:v>
      </x:c>
      <x:c r="C569" s="15"/>
      <x:c r="D569" s="15" t="str">
        <x:v>Property investor / home-buying operator</x:v>
      </x:c>
      <x:c r="E569" s="15" t="str">
        <x:v>Property investor / operator inquiry</x:v>
      </x:c>
      <x:c r="F569" s="17" t="str">
        <x:v>New</x:v>
      </x:c>
      <x:c r="G569" s="24"/>
      <x:c r="H569" s="24" t="str">
        <x:v>+12604365000</x:v>
      </x:c>
      <x:c r="I569" s="24" t="str">
        <x:v>http://www.mombuyshouses.com/</x:v>
      </x:c>
      <x:c r="J569" s="16" t="str">
        <x:v>IN</x:v>
      </x:c>
      <x:c r="K569" s="16" t="str">
        <x:v>Fort Wayne</x:v>
      </x:c>
      <x:c r="L569" s="16" t="str">
        <x:v>Public property-business route; investor decision maker unconfirmed</x:v>
      </x:c>
      <x:c r="M569" s="16" t="str">
        <x:v>http://www.mombuyshouses.com/</x:v>
      </x:c>
      <x:c r="N569" s="16" t="str">
        <x:v>$100K-$500K ticket not published / unconfirmed</x:v>
      </x:c>
      <x:c r="O569" s="20"/>
      <x:c r="P569" s="20"/>
      <x:c r="Q569" s="25" t="str">
        <x:v>No direct corporate-capital range established in checked source</x:v>
      </x:c>
      <x:c r="R569" s="25" t="str">
        <x:v>Property acquisition or investor activity makes this an operator-capital prospect for the signed trial. Confirm operating-company debt/equity appetite.</x:v>
      </x:c>
      <x:c r="S569" s="25"/>
      <x:c r="T569" s="25" t="str">
        <x:v>Ask the owner/investor whether they can allocate $100K-$500K to trial marketing and acquisitions, and confirm structure, timing and decision authority.</x:v>
      </x:c>
      <x:c r="U569" s="25" t="str">
        <x:v>https://www.cashhomebuyersdirectory.com/cash-home-buyers/indiana/fort-wayne</x:v>
      </x:c>
      <x:c r="V569" s="26" t="d">
        <x:v>2026-10-02T00:00:00.000Z</x:v>
      </x:c>
      <x:c r="W569" s="26" t="d">
        <x:v>2026-10-02T00:00:00.000Z</x:v>
      </x:c>
      <x:c r="X569" s="25" t="str">
        <x:v>CashHomeBuyersDirectory third-party business listing; first-party business activity not checked in this batch</x:v>
      </x:c>
      <x:c r="Y569" s="25"/>
      <x:c r="Z569" s="25" t="str">
        <x:v>https://www.cashhomebuyersdirectory.com/cash-home-buyers/indiana/fort-wayne</x:v>
      </x:c>
      <x:c r="AA569" s="25" t="str">
        <x:v>Public cash-home-buyer directory lists the business name, business phone/website where available and market. Operator role and corporate funding willingness require confirmation.</x:v>
      </x:c>
      <x:c r="AB569" s="3" t="str">
        <x:v>New public-source collection</x:v>
      </x:c>
      <x:c r="AC569" s="3" t="str">
        <x:v>unverified</x:v>
      </x:c>
      <x:c r="AD569" s="3" t="str">
        <x:v>Not contacted / unconfirmed</x:v>
      </x:c>
      <x:c r="AE569" s="3" t="str">
        <x:v>No</x:v>
      </x:c>
      <x:c r="AF569" s="3" t="str">
        <x:v>No</x:v>
      </x:c>
      <x:c r="AG569" s="3"/>
      <x:c r="AH569" s="3"/>
      <x:c r="AI569" s="18"/>
      <x:c r="AJ569" s="3" t="str">
        <x:v>CF2500-5049BEF15006</x:v>
      </x:c>
      <x:c r="AK569" s="3" t="str">
        <x:v>real_estate_operator</x:v>
      </x:c>
      <x:c r="AL569" s="19" t="n">
        <x:v>100000</x:v>
      </x:c>
      <x:c r="AM569" s="19" t="n">
        <x:v>500000</x:v>
      </x:c>
      <x:c r="AN569" s="3" t="str">
        <x:v>https://www.cashhomebuyersdirectory.com/cash-home-buyers/indiana/fort-wayne</x:v>
      </x:c>
      <x:c r="AO569" s="3" t="str">
        <x:v>national_rest_directory_complete.jsonl</x:v>
      </x:c>
      <x:c r="AP569" s="19"/>
    </x:row>
    <x:row r="570" ht="36" customHeight="1">
      <x:c r="A570" s="23" t="n">
        <x:v>569</x:v>
      </x:c>
      <x:c r="B570" s="15" t="str">
        <x:v>Buy My Home Chattanooga - Sell Your House For Cash</x:v>
      </x:c>
      <x:c r="C570" s="15"/>
      <x:c r="D570" s="15" t="str">
        <x:v>Property investor / home-buying operator</x:v>
      </x:c>
      <x:c r="E570" s="15" t="str">
        <x:v>Property investor / operator inquiry</x:v>
      </x:c>
      <x:c r="F570" s="17" t="str">
        <x:v>New</x:v>
      </x:c>
      <x:c r="G570" s="24"/>
      <x:c r="H570" s="24" t="str">
        <x:v>+14235580558</x:v>
      </x:c>
      <x:c r="I570" s="24" t="str">
        <x:v>https://www.buymyhomechattanooga.com/cash-for-houses-in-chattanooga-tn/</x:v>
      </x:c>
      <x:c r="J570" s="16" t="str">
        <x:v>TN</x:v>
      </x:c>
      <x:c r="K570" s="16" t="str">
        <x:v>Chattanooga</x:v>
      </x:c>
      <x:c r="L570" s="16" t="str">
        <x:v>Public property-business route; investor decision maker unconfirmed</x:v>
      </x:c>
      <x:c r="M570" s="16" t="str">
        <x:v>https://www.buymyhomechattanooga.com/cash-for-houses-in-chattanooga-tn/</x:v>
      </x:c>
      <x:c r="N570" s="16" t="str">
        <x:v>$100K-$500K ticket not published / unconfirmed</x:v>
      </x:c>
      <x:c r="O570" s="20"/>
      <x:c r="P570" s="20"/>
      <x:c r="Q570" s="25" t="str">
        <x:v>No direct corporate-capital range established in checked source</x:v>
      </x:c>
      <x:c r="R570" s="25" t="str">
        <x:v>Property acquisition or investor activity makes this an operator-capital prospect for the signed trial. Confirm operating-company debt/equity appetite.</x:v>
      </x:c>
      <x:c r="S570" s="25"/>
      <x:c r="T570" s="25" t="str">
        <x:v>Ask the owner/investor whether they can allocate $100K-$500K to trial marketing and acquisitions, and confirm structure, timing and decision authority.</x:v>
      </x:c>
      <x:c r="U570" s="25" t="str">
        <x:v>https://www.cashhomebuyersdirectory.com/cash-home-buyers/tennessee/chattanooga</x:v>
      </x:c>
      <x:c r="V570" s="26" t="d">
        <x:v>2026-10-02T00:00:00.000Z</x:v>
      </x:c>
      <x:c r="W570" s="26" t="d">
        <x:v>2026-10-02T00:00:00.000Z</x:v>
      </x:c>
      <x:c r="X570" s="25" t="str">
        <x:v>CashHomeBuyersDirectory third-party business listing; first-party business activity not checked in this batch</x:v>
      </x:c>
      <x:c r="Y570" s="25"/>
      <x:c r="Z570" s="25" t="str">
        <x:v>https://www.cashhomebuyersdirectory.com/cash-home-buyers/tennessee/chattanooga</x:v>
      </x:c>
      <x:c r="AA570" s="25" t="str">
        <x:v>Public cash-home-buyer directory lists the business name, business phone/website where available and market. Operator role and corporate funding willingness require confirmation.</x:v>
      </x:c>
      <x:c r="AB570" s="3" t="str">
        <x:v>New public-source collection</x:v>
      </x:c>
      <x:c r="AC570" s="3" t="str">
        <x:v>unverified</x:v>
      </x:c>
      <x:c r="AD570" s="3" t="str">
        <x:v>Not contacted / unconfirmed</x:v>
      </x:c>
      <x:c r="AE570" s="3" t="str">
        <x:v>No</x:v>
      </x:c>
      <x:c r="AF570" s="3" t="str">
        <x:v>No</x:v>
      </x:c>
      <x:c r="AG570" s="3"/>
      <x:c r="AH570" s="3"/>
      <x:c r="AI570" s="18"/>
      <x:c r="AJ570" s="3" t="str">
        <x:v>CF2500-EEDB2ECCA0A8</x:v>
      </x:c>
      <x:c r="AK570" s="3" t="str">
        <x:v>real_estate_operator</x:v>
      </x:c>
      <x:c r="AL570" s="19" t="n">
        <x:v>100000</x:v>
      </x:c>
      <x:c r="AM570" s="19" t="n">
        <x:v>500000</x:v>
      </x:c>
      <x:c r="AN570" s="3" t="str">
        <x:v>https://www.cashhomebuyersdirectory.com/cash-home-buyers/tennessee/chattanooga</x:v>
      </x:c>
      <x:c r="AO570" s="3" t="str">
        <x:v>national_rest_directory_complete.jsonl</x:v>
      </x:c>
      <x:c r="AP570" s="19"/>
    </x:row>
    <x:row r="571" ht="36" customHeight="1">
      <x:c r="A571" s="23" t="n">
        <x:v>570</x:v>
      </x:c>
      <x:c r="B571" s="15" t="str">
        <x:v>Buy My Home Nashville – Sell My House Fast For Cash</x:v>
      </x:c>
      <x:c r="C571" s="15"/>
      <x:c r="D571" s="15" t="str">
        <x:v>Property investor / home-buying operator</x:v>
      </x:c>
      <x:c r="E571" s="15" t="str">
        <x:v>Property investor / operator inquiry</x:v>
      </x:c>
      <x:c r="F571" s="17" t="str">
        <x:v>New</x:v>
      </x:c>
      <x:c r="G571" s="24"/>
      <x:c r="H571" s="24" t="str">
        <x:v>+16156207171</x:v>
      </x:c>
      <x:c r="I571" s="24" t="str">
        <x:v>https://www.buymyhomenashville.com/</x:v>
      </x:c>
      <x:c r="J571" s="16" t="str">
        <x:v>TN</x:v>
      </x:c>
      <x:c r="K571" s="16" t="str">
        <x:v>Clarksville</x:v>
      </x:c>
      <x:c r="L571" s="16" t="str">
        <x:v>Public property-business route; investor decision maker unconfirmed</x:v>
      </x:c>
      <x:c r="M571" s="16" t="str">
        <x:v>https://www.buymyhomenashville.com/</x:v>
      </x:c>
      <x:c r="N571" s="16" t="str">
        <x:v>$100K-$500K ticket not published / unconfirmed</x:v>
      </x:c>
      <x:c r="O571" s="20"/>
      <x:c r="P571" s="20"/>
      <x:c r="Q571" s="25" t="str">
        <x:v>No direct corporate-capital range established in checked source</x:v>
      </x:c>
      <x:c r="R571" s="25" t="str">
        <x:v>Property acquisition or investor activity makes this an operator-capital prospect for the signed trial. Confirm operating-company debt/equity appetite.</x:v>
      </x:c>
      <x:c r="S571" s="25"/>
      <x:c r="T571" s="25" t="str">
        <x:v>Ask the owner/investor whether they can allocate $100K-$500K to trial marketing and acquisitions, and confirm structure, timing and decision authority.</x:v>
      </x:c>
      <x:c r="U571" s="25" t="str">
        <x:v>https://www.cashhomebuyersdirectory.com/cash-home-buyers/tennessee/clarksville</x:v>
      </x:c>
      <x:c r="V571" s="26" t="d">
        <x:v>2026-10-02T00:00:00.000Z</x:v>
      </x:c>
      <x:c r="W571" s="26" t="d">
        <x:v>2026-10-02T00:00:00.000Z</x:v>
      </x:c>
      <x:c r="X571" s="25" t="str">
        <x:v>CashHomeBuyersDirectory third-party business listing; first-party business activity not checked in this batch</x:v>
      </x:c>
      <x:c r="Y571" s="25"/>
      <x:c r="Z571" s="25" t="str">
        <x:v>https://www.cashhomebuyersdirectory.com/cash-home-buyers/tennessee/clarksville</x:v>
      </x:c>
      <x:c r="AA571" s="25" t="str">
        <x:v>Public cash-home-buyer directory lists the business name, business phone/website where available and market. Operator role and corporate funding willingness require confirmation.</x:v>
      </x:c>
      <x:c r="AB571" s="3" t="str">
        <x:v>New public-source collection</x:v>
      </x:c>
      <x:c r="AC571" s="3" t="str">
        <x:v>unverified</x:v>
      </x:c>
      <x:c r="AD571" s="3" t="str">
        <x:v>Not contacted / unconfirmed</x:v>
      </x:c>
      <x:c r="AE571" s="3" t="str">
        <x:v>No</x:v>
      </x:c>
      <x:c r="AF571" s="3" t="str">
        <x:v>No</x:v>
      </x:c>
      <x:c r="AG571" s="3"/>
      <x:c r="AH571" s="3"/>
      <x:c r="AI571" s="18"/>
      <x:c r="AJ571" s="3" t="str">
        <x:v>CF2500-7B71FC10B544</x:v>
      </x:c>
      <x:c r="AK571" s="3" t="str">
        <x:v>real_estate_operator</x:v>
      </x:c>
      <x:c r="AL571" s="19" t="n">
        <x:v>100000</x:v>
      </x:c>
      <x:c r="AM571" s="19" t="n">
        <x:v>500000</x:v>
      </x:c>
      <x:c r="AN571" s="3" t="str">
        <x:v>https://www.cashhomebuyersdirectory.com/cash-home-buyers/tennessee/clarksville</x:v>
      </x:c>
      <x:c r="AO571" s="3" t="str">
        <x:v>national_rest_directory_complete.jsonl</x:v>
      </x:c>
      <x:c r="AP571" s="19"/>
    </x:row>
    <x:row r="572" ht="36" customHeight="1">
      <x:c r="A572" s="23" t="n">
        <x:v>571</x:v>
      </x:c>
      <x:c r="B572" s="15" t="str">
        <x:v>Cahaba Home Buyers</x:v>
      </x:c>
      <x:c r="C572" s="15"/>
      <x:c r="D572" s="15" t="str">
        <x:v>Property investor / home-buying operator</x:v>
      </x:c>
      <x:c r="E572" s="15" t="str">
        <x:v>Property investor / operator inquiry</x:v>
      </x:c>
      <x:c r="F572" s="17" t="str">
        <x:v>New</x:v>
      </x:c>
      <x:c r="G572" s="24"/>
      <x:c r="H572" s="24" t="str">
        <x:v>+12053901050</x:v>
      </x:c>
      <x:c r="I572" s="24" t="str">
        <x:v>http://www.cahabahomebuyers.com/</x:v>
      </x:c>
      <x:c r="J572" s="16" t="str">
        <x:v>AL</x:v>
      </x:c>
      <x:c r="K572" s="16" t="str">
        <x:v>Birmingham</x:v>
      </x:c>
      <x:c r="L572" s="16" t="str">
        <x:v>Public property-business route; investor decision maker unconfirmed</x:v>
      </x:c>
      <x:c r="M572" s="16" t="str">
        <x:v>http://www.cahabahomebuyers.com/</x:v>
      </x:c>
      <x:c r="N572" s="16" t="str">
        <x:v>$100K-$500K ticket not published / unconfirmed</x:v>
      </x:c>
      <x:c r="O572" s="20"/>
      <x:c r="P572" s="20"/>
      <x:c r="Q572" s="25" t="str">
        <x:v>No direct corporate-capital range established in checked source</x:v>
      </x:c>
      <x:c r="R572" s="25" t="str">
        <x:v>Property acquisition or investor activity makes this an operator-capital prospect for the signed trial. Confirm operating-company debt/equity appetite.</x:v>
      </x:c>
      <x:c r="S572" s="25"/>
      <x:c r="T572" s="25" t="str">
        <x:v>Ask the owner/investor whether they can allocate $100K-$500K to trial marketing and acquisitions, and confirm structure, timing and decision authority.</x:v>
      </x:c>
      <x:c r="U572" s="25" t="str">
        <x:v>https://www.cashhomebuyersdirectory.com/cash-home-buyers/alabama/birmingham</x:v>
      </x:c>
      <x:c r="V572" s="26" t="d">
        <x:v>2026-10-02T00:00:00.000Z</x:v>
      </x:c>
      <x:c r="W572" s="26" t="d">
        <x:v>2026-10-02T00:00:00.000Z</x:v>
      </x:c>
      <x:c r="X572" s="25" t="str">
        <x:v>CashHomeBuyersDirectory third-party business listing; first-party business activity not checked in this batch</x:v>
      </x:c>
      <x:c r="Y572" s="25"/>
      <x:c r="Z572" s="25" t="str">
        <x:v>https://www.cashhomebuyersdirectory.com/cash-home-buyers/alabama/birmingham</x:v>
      </x:c>
      <x:c r="AA572" s="25" t="str">
        <x:v>Public cash-home-buyer directory lists the business name, business phone/website where available and market. Operator role and corporate funding willingness require confirmation.</x:v>
      </x:c>
      <x:c r="AB572" s="3" t="str">
        <x:v>New public-source collection</x:v>
      </x:c>
      <x:c r="AC572" s="3" t="str">
        <x:v>unverified</x:v>
      </x:c>
      <x:c r="AD572" s="3" t="str">
        <x:v>Not contacted / unconfirmed</x:v>
      </x:c>
      <x:c r="AE572" s="3" t="str">
        <x:v>No</x:v>
      </x:c>
      <x:c r="AF572" s="3" t="str">
        <x:v>No</x:v>
      </x:c>
      <x:c r="AG572" s="3"/>
      <x:c r="AH572" s="3"/>
      <x:c r="AI572" s="18"/>
      <x:c r="AJ572" s="3" t="str">
        <x:v>CF2500-15CEE7D4C8EA</x:v>
      </x:c>
      <x:c r="AK572" s="3" t="str">
        <x:v>real_estate_operator</x:v>
      </x:c>
      <x:c r="AL572" s="19" t="n">
        <x:v>100000</x:v>
      </x:c>
      <x:c r="AM572" s="19" t="n">
        <x:v>500000</x:v>
      </x:c>
      <x:c r="AN572" s="3" t="str">
        <x:v>https://www.cashhomebuyersdirectory.com/cash-home-buyers/alabama/birmingham</x:v>
      </x:c>
      <x:c r="AO572" s="3" t="str">
        <x:v>national_rest_directory_complete.jsonl</x:v>
      </x:c>
      <x:c r="AP572" s="19"/>
    </x:row>
    <x:row r="573" ht="36" customHeight="1">
      <x:c r="A573" s="23" t="n">
        <x:v>572</x:v>
      </x:c>
      <x:c r="B573" s="15" t="str">
        <x:v>Carolina Family House Buyers</x:v>
      </x:c>
      <x:c r="C573" s="15"/>
      <x:c r="D573" s="15" t="str">
        <x:v>Property investor / home-buying operator</x:v>
      </x:c>
      <x:c r="E573" s="15" t="str">
        <x:v>Property investor / operator inquiry</x:v>
      </x:c>
      <x:c r="F573" s="17" t="str">
        <x:v>New</x:v>
      </x:c>
      <x:c r="G573" s="24"/>
      <x:c r="H573" s="24" t="str">
        <x:v>+14195098231</x:v>
      </x:c>
      <x:c r="I573" s="24" t="str">
        <x:v>https://carolinafamilyhomebuyer.com/</x:v>
      </x:c>
      <x:c r="J573" s="16" t="str">
        <x:v>SC</x:v>
      </x:c>
      <x:c r="K573" s="16"/>
      <x:c r="L573" s="16" t="str">
        <x:v>Public property-business route; investor decision maker unconfirmed</x:v>
      </x:c>
      <x:c r="M573" s="16" t="str">
        <x:v>https://carolinafamilyhomebuyer.com/</x:v>
      </x:c>
      <x:c r="N573" s="16" t="str">
        <x:v>$100K-$500K ticket not published / unconfirmed</x:v>
      </x:c>
      <x:c r="O573" s="20"/>
      <x:c r="P573" s="20"/>
      <x:c r="Q573" s="25" t="str">
        <x:v>No direct corporate-capital range established in checked source</x:v>
      </x:c>
      <x:c r="R573" s="25" t="str">
        <x:v>Property acquisition or investor activity makes this an operator-capital prospect for the signed trial. Confirm operating-company debt/equity appetite.</x:v>
      </x:c>
      <x:c r="S573" s="25"/>
      <x:c r="T573" s="25" t="str">
        <x:v>Ask the owner/investor whether they can allocate $100K-$500K to trial marketing and acquisitions, and confirm structure, timing and decision authority.</x:v>
      </x:c>
      <x:c r="U573" s="25" t="str">
        <x:v>https://www.cashhomebuyersdirectory.com/cash-home-buyers/south-carolina/myrtle-beach</x:v>
      </x:c>
      <x:c r="V573" s="26" t="d">
        <x:v>2026-10-02T00:00:00.000Z</x:v>
      </x:c>
      <x:c r="W573" s="26" t="d">
        <x:v>2026-10-02T00:00:00.000Z</x:v>
      </x:c>
      <x:c r="X573" s="25" t="str">
        <x:v>CashHomeBuyersDirectory third-party business listing; first-party business activity not checked in this batch</x:v>
      </x:c>
      <x:c r="Y573" s="25"/>
      <x:c r="Z573" s="25" t="str">
        <x:v>https://www.cashhomebuyersdirectory.com/cash-home-buyers/south-carolina/myrtle-beach</x:v>
      </x:c>
      <x:c r="AA573" s="25" t="str">
        <x:v>Public cash-home-buyer directory lists the business name, business phone/website where available and market. Operator role and corporate funding willingness require confirmation.</x:v>
      </x:c>
      <x:c r="AB573" s="3" t="str">
        <x:v>New public-source collection</x:v>
      </x:c>
      <x:c r="AC573" s="3" t="str">
        <x:v>unverified</x:v>
      </x:c>
      <x:c r="AD573" s="3" t="str">
        <x:v>Not contacted / unconfirmed</x:v>
      </x:c>
      <x:c r="AE573" s="3" t="str">
        <x:v>No</x:v>
      </x:c>
      <x:c r="AF573" s="3" t="str">
        <x:v>No</x:v>
      </x:c>
      <x:c r="AG573" s="3"/>
      <x:c r="AH573" s="3"/>
      <x:c r="AI573" s="18"/>
      <x:c r="AJ573" s="3" t="str">
        <x:v>CF2500-D9C1F13AF69C</x:v>
      </x:c>
      <x:c r="AK573" s="3" t="str">
        <x:v>real_estate_operator</x:v>
      </x:c>
      <x:c r="AL573" s="19" t="n">
        <x:v>100000</x:v>
      </x:c>
      <x:c r="AM573" s="19" t="n">
        <x:v>500000</x:v>
      </x:c>
      <x:c r="AN573" s="3" t="str">
        <x:v>https://www.cashhomebuyersdirectory.com/cash-home-buyers/south-carolina/myrtle-beach</x:v>
      </x:c>
      <x:c r="AO573" s="3" t="str">
        <x:v>national_rest_directory_complete.jsonl</x:v>
      </x:c>
      <x:c r="AP573" s="19"/>
    </x:row>
    <x:row r="574" ht="36" customHeight="1">
      <x:c r="A574" s="23" t="n">
        <x:v>573</x:v>
      </x:c>
      <x:c r="B574" s="15" t="str">
        <x:v>Cash For Homes Utah</x:v>
      </x:c>
      <x:c r="C574" s="15"/>
      <x:c r="D574" s="15" t="str">
        <x:v>Property investor / home-buying operator</x:v>
      </x:c>
      <x:c r="E574" s="15" t="str">
        <x:v>Property investor / operator inquiry</x:v>
      </x:c>
      <x:c r="F574" s="17" t="str">
        <x:v>New</x:v>
      </x:c>
      <x:c r="G574" s="24"/>
      <x:c r="H574" s="24" t="str">
        <x:v>+18015569411</x:v>
      </x:c>
      <x:c r="I574" s="24" t="str">
        <x:v>https://www.cashforhomesutah.com/</x:v>
      </x:c>
      <x:c r="J574" s="16" t="str">
        <x:v>UT</x:v>
      </x:c>
      <x:c r="K574" s="16"/>
      <x:c r="L574" s="16" t="str">
        <x:v>Public property-business route; investor decision maker unconfirmed</x:v>
      </x:c>
      <x:c r="M574" s="16" t="str">
        <x:v>https://www.cashforhomesutah.com/</x:v>
      </x:c>
      <x:c r="N574" s="16" t="str">
        <x:v>$100K-$500K ticket not published / unconfirmed</x:v>
      </x:c>
      <x:c r="O574" s="20"/>
      <x:c r="P574" s="20"/>
      <x:c r="Q574" s="25" t="str">
        <x:v>No direct corporate-capital range established in checked source</x:v>
      </x:c>
      <x:c r="R574" s="25" t="str">
        <x:v>Property acquisition or investor activity makes this an operator-capital prospect for the signed trial. Confirm operating-company debt/equity appetite.</x:v>
      </x:c>
      <x:c r="S574" s="25"/>
      <x:c r="T574" s="25" t="str">
        <x:v>Ask the owner/investor whether they can allocate $100K-$500K to trial marketing and acquisitions, and confirm structure, timing and decision authority.</x:v>
      </x:c>
      <x:c r="U574" s="25" t="str">
        <x:v>https://www.cashhomebuyersdirectory.com/cash-home-buyers/utah/salt-lake-city</x:v>
      </x:c>
      <x:c r="V574" s="26" t="d">
        <x:v>2026-10-02T00:00:00.000Z</x:v>
      </x:c>
      <x:c r="W574" s="26" t="d">
        <x:v>2026-10-02T00:00:00.000Z</x:v>
      </x:c>
      <x:c r="X574" s="25" t="str">
        <x:v>CashHomeBuyersDirectory third-party business listing; first-party business activity not checked in this batch</x:v>
      </x:c>
      <x:c r="Y574" s="25"/>
      <x:c r="Z574" s="25" t="str">
        <x:v>https://www.cashhomebuyersdirectory.com/cash-home-buyers/utah/salt-lake-city</x:v>
      </x:c>
      <x:c r="AA574" s="25" t="str">
        <x:v>Public cash-home-buyer directory lists the business name, business phone/website where available and market. Operator role and corporate funding willingness require confirmation.</x:v>
      </x:c>
      <x:c r="AB574" s="3" t="str">
        <x:v>New public-source collection</x:v>
      </x:c>
      <x:c r="AC574" s="3" t="str">
        <x:v>unverified</x:v>
      </x:c>
      <x:c r="AD574" s="3" t="str">
        <x:v>Not contacted / unconfirmed</x:v>
      </x:c>
      <x:c r="AE574" s="3" t="str">
        <x:v>No</x:v>
      </x:c>
      <x:c r="AF574" s="3" t="str">
        <x:v>No</x:v>
      </x:c>
      <x:c r="AG574" s="3"/>
      <x:c r="AH574" s="3"/>
      <x:c r="AI574" s="18"/>
      <x:c r="AJ574" s="3" t="str">
        <x:v>CF2500-EF1A09BE7CF7</x:v>
      </x:c>
      <x:c r="AK574" s="3" t="str">
        <x:v>real_estate_operator</x:v>
      </x:c>
      <x:c r="AL574" s="19" t="n">
        <x:v>100000</x:v>
      </x:c>
      <x:c r="AM574" s="19" t="n">
        <x:v>500000</x:v>
      </x:c>
      <x:c r="AN574" s="3" t="str">
        <x:v>https://www.cashhomebuyersdirectory.com/cash-home-buyers/utah/salt-lake-city</x:v>
      </x:c>
      <x:c r="AO574" s="3" t="str">
        <x:v>national_rest_directory_complete.jsonl</x:v>
      </x:c>
      <x:c r="AP574" s="19"/>
    </x:row>
    <x:row r="575" ht="36" customHeight="1">
      <x:c r="A575" s="23" t="n">
        <x:v>574</x:v>
      </x:c>
      <x:c r="B575" s="15" t="str">
        <x:v>Cash Home Buyers</x:v>
      </x:c>
      <x:c r="C575" s="15"/>
      <x:c r="D575" s="15" t="str">
        <x:v>Property investor / home-buying operator</x:v>
      </x:c>
      <x:c r="E575" s="15" t="str">
        <x:v>Property investor / operator inquiry</x:v>
      </x:c>
      <x:c r="F575" s="17" t="str">
        <x:v>New</x:v>
      </x:c>
      <x:c r="G575" s="24"/>
      <x:c r="H575" s="24" t="str">
        <x:v>+18038890840</x:v>
      </x:c>
      <x:c r="I575" s="24" t="str">
        <x:v>https://www.en-visionhomes.com/</x:v>
      </x:c>
      <x:c r="J575" s="16" t="str">
        <x:v>SC</x:v>
      </x:c>
      <x:c r="K575" s="16" t="str">
        <x:v>Greenville</x:v>
      </x:c>
      <x:c r="L575" s="16" t="str">
        <x:v>Public property-business route; investor decision maker unconfirmed</x:v>
      </x:c>
      <x:c r="M575" s="16" t="str">
        <x:v>https://www.en-visionhomes.com/</x:v>
      </x:c>
      <x:c r="N575" s="16" t="str">
        <x:v>$100K-$500K ticket not published / unconfirmed</x:v>
      </x:c>
      <x:c r="O575" s="20"/>
      <x:c r="P575" s="20"/>
      <x:c r="Q575" s="25" t="str">
        <x:v>No direct corporate-capital range established in checked source</x:v>
      </x:c>
      <x:c r="R575" s="25" t="str">
        <x:v>Property acquisition or investor activity makes this an operator-capital prospect for the signed trial. Confirm operating-company debt/equity appetite.</x:v>
      </x:c>
      <x:c r="S575" s="25"/>
      <x:c r="T575" s="25" t="str">
        <x:v>Ask the owner/investor whether they can allocate $100K-$500K to trial marketing and acquisitions, and confirm structure, timing and decision authority.</x:v>
      </x:c>
      <x:c r="U575" s="25" t="str">
        <x:v>https://www.cashhomebuyersdirectory.com/cash-home-buyers/south-carolina/greenville</x:v>
      </x:c>
      <x:c r="V575" s="26" t="d">
        <x:v>2026-10-02T00:00:00.000Z</x:v>
      </x:c>
      <x:c r="W575" s="26" t="d">
        <x:v>2026-10-02T00:00:00.000Z</x:v>
      </x:c>
      <x:c r="X575" s="25" t="str">
        <x:v>CashHomeBuyersDirectory third-party business listing; first-party business activity not checked in this batch</x:v>
      </x:c>
      <x:c r="Y575" s="25"/>
      <x:c r="Z575" s="25" t="str">
        <x:v>https://www.cashhomebuyersdirectory.com/cash-home-buyers/south-carolina/greenville</x:v>
      </x:c>
      <x:c r="AA575" s="25" t="str">
        <x:v>Public cash-home-buyer directory lists the business name, business phone/website where available and market. Operator role and corporate funding willingness require confirmation.</x:v>
      </x:c>
      <x:c r="AB575" s="3" t="str">
        <x:v>New public-source collection</x:v>
      </x:c>
      <x:c r="AC575" s="3" t="str">
        <x:v>unverified</x:v>
      </x:c>
      <x:c r="AD575" s="3" t="str">
        <x:v>Not contacted / unconfirmed</x:v>
      </x:c>
      <x:c r="AE575" s="3" t="str">
        <x:v>No</x:v>
      </x:c>
      <x:c r="AF575" s="3" t="str">
        <x:v>No</x:v>
      </x:c>
      <x:c r="AG575" s="3"/>
      <x:c r="AH575" s="3"/>
      <x:c r="AI575" s="18"/>
      <x:c r="AJ575" s="3" t="str">
        <x:v>CF2500-4F1B25D18170</x:v>
      </x:c>
      <x:c r="AK575" s="3" t="str">
        <x:v>real_estate_operator</x:v>
      </x:c>
      <x:c r="AL575" s="19" t="n">
        <x:v>100000</x:v>
      </x:c>
      <x:c r="AM575" s="19" t="n">
        <x:v>500000</x:v>
      </x:c>
      <x:c r="AN575" s="3" t="str">
        <x:v>https://www.cashhomebuyersdirectory.com/cash-home-buyers/south-carolina/greenville</x:v>
      </x:c>
      <x:c r="AO575" s="3" t="str">
        <x:v>national_rest_directory_complete.jsonl</x:v>
      </x:c>
      <x:c r="AP575" s="19"/>
    </x:row>
    <x:row r="576" ht="36" customHeight="1">
      <x:c r="A576" s="23" t="n">
        <x:v>575</x:v>
      </x:c>
      <x:c r="B576" s="15" t="str">
        <x:v>Cash Home Buyers Oklahoma</x:v>
      </x:c>
      <x:c r="C576" s="15"/>
      <x:c r="D576" s="15" t="str">
        <x:v>Property investor / home-buying operator</x:v>
      </x:c>
      <x:c r="E576" s="15" t="str">
        <x:v>Property investor / operator inquiry</x:v>
      </x:c>
      <x:c r="F576" s="17" t="str">
        <x:v>New</x:v>
      </x:c>
      <x:c r="G576" s="24"/>
      <x:c r="H576" s="24" t="str">
        <x:v>+14058353375</x:v>
      </x:c>
      <x:c r="I576" s="24" t="str">
        <x:v>https://www.cashhomebuyersok.com/</x:v>
      </x:c>
      <x:c r="J576" s="16" t="str">
        <x:v>OK</x:v>
      </x:c>
      <x:c r="K576" s="16"/>
      <x:c r="L576" s="16" t="str">
        <x:v>Public property-business route; investor decision maker unconfirmed</x:v>
      </x:c>
      <x:c r="M576" s="16" t="str">
        <x:v>https://www.cashhomebuyersok.com/</x:v>
      </x:c>
      <x:c r="N576" s="16" t="str">
        <x:v>$100K-$500K ticket not published / unconfirmed</x:v>
      </x:c>
      <x:c r="O576" s="20"/>
      <x:c r="P576" s="20"/>
      <x:c r="Q576" s="25" t="str">
        <x:v>No direct corporate-capital range established in checked source</x:v>
      </x:c>
      <x:c r="R576" s="25" t="str">
        <x:v>Property acquisition or investor activity makes this an operator-capital prospect for the signed trial. Confirm operating-company debt/equity appetite.</x:v>
      </x:c>
      <x:c r="S576" s="25"/>
      <x:c r="T576" s="25" t="str">
        <x:v>Ask the owner/investor whether they can allocate $100K-$500K to trial marketing and acquisitions, and confirm structure, timing and decision authority.</x:v>
      </x:c>
      <x:c r="U576" s="25" t="str">
        <x:v>https://www.cashhomebuyersdirectory.com/cash-home-buyers/oklahoma/norman</x:v>
      </x:c>
      <x:c r="V576" s="26" t="d">
        <x:v>2026-10-02T00:00:00.000Z</x:v>
      </x:c>
      <x:c r="W576" s="26" t="d">
        <x:v>2026-10-02T00:00:00.000Z</x:v>
      </x:c>
      <x:c r="X576" s="25" t="str">
        <x:v>CashHomeBuyersDirectory third-party business listing; first-party business activity not checked in this batch</x:v>
      </x:c>
      <x:c r="Y576" s="25"/>
      <x:c r="Z576" s="25" t="str">
        <x:v>https://www.cashhomebuyersdirectory.com/cash-home-buyers/oklahoma/norman</x:v>
      </x:c>
      <x:c r="AA576" s="25" t="str">
        <x:v>Public cash-home-buyer directory lists the business name, business phone/website where available and market. Operator role and corporate funding willingness require confirmation.</x:v>
      </x:c>
      <x:c r="AB576" s="3" t="str">
        <x:v>New public-source collection</x:v>
      </x:c>
      <x:c r="AC576" s="3" t="str">
        <x:v>unverified</x:v>
      </x:c>
      <x:c r="AD576" s="3" t="str">
        <x:v>Not contacted / unconfirmed</x:v>
      </x:c>
      <x:c r="AE576" s="3" t="str">
        <x:v>No</x:v>
      </x:c>
      <x:c r="AF576" s="3" t="str">
        <x:v>No</x:v>
      </x:c>
      <x:c r="AG576" s="3"/>
      <x:c r="AH576" s="3"/>
      <x:c r="AI576" s="18"/>
      <x:c r="AJ576" s="3" t="str">
        <x:v>CF2500-55F5108D8D58</x:v>
      </x:c>
      <x:c r="AK576" s="3" t="str">
        <x:v>real_estate_operator</x:v>
      </x:c>
      <x:c r="AL576" s="19" t="n">
        <x:v>100000</x:v>
      </x:c>
      <x:c r="AM576" s="19" t="n">
        <x:v>500000</x:v>
      </x:c>
      <x:c r="AN576" s="3" t="str">
        <x:v>https://www.cashhomebuyersdirectory.com/cash-home-buyers/oklahoma/norman</x:v>
      </x:c>
      <x:c r="AO576" s="3" t="str">
        <x:v>national_rest_directory_complete.jsonl</x:v>
      </x:c>
      <x:c r="AP576" s="19"/>
    </x:row>
    <x:row r="577" ht="36" customHeight="1">
      <x:c r="A577" s="23" t="n">
        <x:v>576</x:v>
      </x:c>
      <x:c r="B577" s="15" t="str">
        <x:v>Cash Home Buyers Salt Lake llc</x:v>
      </x:c>
      <x:c r="C577" s="15"/>
      <x:c r="D577" s="15" t="str">
        <x:v>Property investor / home-buying operator</x:v>
      </x:c>
      <x:c r="E577" s="15" t="str">
        <x:v>Property investor / operator inquiry</x:v>
      </x:c>
      <x:c r="F577" s="17" t="str">
        <x:v>New</x:v>
      </x:c>
      <x:c r="G577" s="24"/>
      <x:c r="H577" s="24" t="str">
        <x:v>+18018249262</x:v>
      </x:c>
      <x:c r="I577" s="24" t="str">
        <x:v>https://www.cashhomebuyersaltlake.com/</x:v>
      </x:c>
      <x:c r="J577" s="16" t="str">
        <x:v>UT</x:v>
      </x:c>
      <x:c r="K577" s="16" t="str">
        <x:v>Salt Lake City</x:v>
      </x:c>
      <x:c r="L577" s="16" t="str">
        <x:v>Public property-business route; investor decision maker unconfirmed</x:v>
      </x:c>
      <x:c r="M577" s="16" t="str">
        <x:v>https://www.cashhomebuyersaltlake.com/</x:v>
      </x:c>
      <x:c r="N577" s="16" t="str">
        <x:v>$100K-$500K ticket not published / unconfirmed</x:v>
      </x:c>
      <x:c r="O577" s="20"/>
      <x:c r="P577" s="20"/>
      <x:c r="Q577" s="25" t="str">
        <x:v>No direct corporate-capital range established in checked source</x:v>
      </x:c>
      <x:c r="R577" s="25" t="str">
        <x:v>Property acquisition or investor activity makes this an operator-capital prospect for the signed trial. Confirm operating-company debt/equity appetite.</x:v>
      </x:c>
      <x:c r="S577" s="25"/>
      <x:c r="T577" s="25" t="str">
        <x:v>Ask the owner/investor whether they can allocate $100K-$500K to trial marketing and acquisitions, and confirm structure, timing and decision authority.</x:v>
      </x:c>
      <x:c r="U577" s="25" t="str">
        <x:v>https://www.cashhomebuyersdirectory.com/cash-home-buyers/utah/salt-lake-city</x:v>
      </x:c>
      <x:c r="V577" s="26" t="d">
        <x:v>2026-10-02T00:00:00.000Z</x:v>
      </x:c>
      <x:c r="W577" s="26" t="d">
        <x:v>2026-10-02T00:00:00.000Z</x:v>
      </x:c>
      <x:c r="X577" s="25" t="str">
        <x:v>CashHomeBuyersDirectory third-party business listing; first-party business activity not checked in this batch</x:v>
      </x:c>
      <x:c r="Y577" s="25"/>
      <x:c r="Z577" s="25" t="str">
        <x:v>https://www.cashhomebuyersdirectory.com/cash-home-buyers/utah/salt-lake-city</x:v>
      </x:c>
      <x:c r="AA577" s="25" t="str">
        <x:v>Public cash-home-buyer directory lists the business name, business phone/website where available and market. Operator role and corporate funding willingness require confirmation.</x:v>
      </x:c>
      <x:c r="AB577" s="3" t="str">
        <x:v>New public-source collection</x:v>
      </x:c>
      <x:c r="AC577" s="3" t="str">
        <x:v>unverified</x:v>
      </x:c>
      <x:c r="AD577" s="3" t="str">
        <x:v>Not contacted / unconfirmed</x:v>
      </x:c>
      <x:c r="AE577" s="3" t="str">
        <x:v>No</x:v>
      </x:c>
      <x:c r="AF577" s="3" t="str">
        <x:v>No</x:v>
      </x:c>
      <x:c r="AG577" s="3"/>
      <x:c r="AH577" s="3"/>
      <x:c r="AI577" s="18"/>
      <x:c r="AJ577" s="3" t="str">
        <x:v>CF2500-EA09E873813C</x:v>
      </x:c>
      <x:c r="AK577" s="3" t="str">
        <x:v>real_estate_operator</x:v>
      </x:c>
      <x:c r="AL577" s="19" t="n">
        <x:v>100000</x:v>
      </x:c>
      <x:c r="AM577" s="19" t="n">
        <x:v>500000</x:v>
      </x:c>
      <x:c r="AN577" s="3" t="str">
        <x:v>https://www.cashhomebuyersdirectory.com/cash-home-buyers/utah/salt-lake-city</x:v>
      </x:c>
      <x:c r="AO577" s="3" t="str">
        <x:v>national_rest_directory_complete.jsonl</x:v>
      </x:c>
      <x:c r="AP577" s="19"/>
    </x:row>
    <x:row r="578" ht="36" customHeight="1">
      <x:c r="A578" s="23" t="n">
        <x:v>577</x:v>
      </x:c>
      <x:c r="B578" s="15" t="str">
        <x:v>Cash Out On My Home - Sell Your House Fast</x:v>
      </x:c>
      <x:c r="C578" s="15"/>
      <x:c r="D578" s="15" t="str">
        <x:v>Property investor / home-buying operator</x:v>
      </x:c>
      <x:c r="E578" s="15" t="str">
        <x:v>Property investor / operator inquiry</x:v>
      </x:c>
      <x:c r="F578" s="17" t="str">
        <x:v>New</x:v>
      </x:c>
      <x:c r="G578" s="24"/>
      <x:c r="H578" s="24" t="str">
        <x:v>+17627285951</x:v>
      </x:c>
      <x:c r="I578" s="24" t="str">
        <x:v>https://cashoutonmyhome.com/we-buy-houses-georgia/</x:v>
      </x:c>
      <x:c r="J578" s="16" t="str">
        <x:v>GA</x:v>
      </x:c>
      <x:c r="K578" s="16" t="str">
        <x:v>Athens</x:v>
      </x:c>
      <x:c r="L578" s="16" t="str">
        <x:v>Public property-business route; investor decision maker unconfirmed</x:v>
      </x:c>
      <x:c r="M578" s="16" t="str">
        <x:v>https://cashoutonmyhome.com/we-buy-houses-georgia/</x:v>
      </x:c>
      <x:c r="N578" s="16" t="str">
        <x:v>$100K-$500K ticket not published / unconfirmed</x:v>
      </x:c>
      <x:c r="O578" s="20"/>
      <x:c r="P578" s="20"/>
      <x:c r="Q578" s="25" t="str">
        <x:v>No direct corporate-capital range established in checked source</x:v>
      </x:c>
      <x:c r="R578" s="25" t="str">
        <x:v>Property acquisition or investor activity makes this an operator-capital prospect for the signed trial. Confirm operating-company debt/equity appetite.</x:v>
      </x:c>
      <x:c r="S578" s="25"/>
      <x:c r="T578" s="25" t="str">
        <x:v>Ask the owner/investor whether they can allocate $100K-$500K to trial marketing and acquisitions, and confirm structure, timing and decision authority.</x:v>
      </x:c>
      <x:c r="U578" s="25" t="str">
        <x:v>https://www.cashhomebuyersdirectory.com/cash-home-buyers/georgia/athens
https://www.cashhomebuyersdirectory.com/cash-home-buyers/tennessee/chattanooga</x:v>
      </x:c>
      <x:c r="V578" s="26" t="d">
        <x:v>2026-10-02T00:00:00.000Z</x:v>
      </x:c>
      <x:c r="W578" s="26" t="d">
        <x:v>2026-10-02T00:00:00.000Z</x:v>
      </x:c>
      <x:c r="X578" s="25" t="str">
        <x:v>CashHomeBuyersDirectory third-party business listing; first-party business activity not checked in this batch</x:v>
      </x:c>
      <x:c r="Y578" s="25"/>
      <x:c r="Z578" s="25" t="str">
        <x:v>https://www.cashhomebuyersdirectory.com/cash-home-buyers/georgia/athens</x:v>
      </x:c>
      <x:c r="AA578" s="25" t="str">
        <x:v>Public cash-home-buyer directory lists the business name, business phone/website where available and market. Operator role and corporate funding willingness require confirmation.</x:v>
      </x:c>
      <x:c r="AB578" s="3" t="str">
        <x:v>New public-source collection</x:v>
      </x:c>
      <x:c r="AC578" s="3" t="str">
        <x:v>unverified</x:v>
      </x:c>
      <x:c r="AD578" s="3" t="str">
        <x:v>Not contacted / unconfirmed</x:v>
      </x:c>
      <x:c r="AE578" s="3" t="str">
        <x:v>No</x:v>
      </x:c>
      <x:c r="AF578" s="3" t="str">
        <x:v>No</x:v>
      </x:c>
      <x:c r="AG578" s="3"/>
      <x:c r="AH578" s="3"/>
      <x:c r="AI578" s="18"/>
      <x:c r="AJ578" s="3" t="str">
        <x:v>CF2500-DAD343DF20B0</x:v>
      </x:c>
      <x:c r="AK578" s="3" t="str">
        <x:v>real_estate_operator</x:v>
      </x:c>
      <x:c r="AL578" s="19" t="n">
        <x:v>100000</x:v>
      </x:c>
      <x:c r="AM578" s="19" t="n">
        <x:v>500000</x:v>
      </x:c>
      <x:c r="AN578" s="3" t="str">
        <x:v>https://www.cashhomebuyersdirectory.com/cash-home-buyers/georgia/athens</x:v>
      </x:c>
      <x:c r="AO578" s="3" t="str">
        <x:v>national_rest_directory_complete.jsonl</x:v>
      </x:c>
      <x:c r="AP578" s="19"/>
    </x:row>
    <x:row r="579" ht="36" customHeight="1">
      <x:c r="A579" s="23" t="n">
        <x:v>578</x:v>
      </x:c>
      <x:c r="B579" s="15" t="str">
        <x:v>Cash4Homes</x:v>
      </x:c>
      <x:c r="C579" s="15"/>
      <x:c r="D579" s="15" t="str">
        <x:v>Property investor / home-buying operator</x:v>
      </x:c>
      <x:c r="E579" s="15" t="str">
        <x:v>Property investor / operator inquiry</x:v>
      </x:c>
      <x:c r="F579" s="17" t="str">
        <x:v>New</x:v>
      </x:c>
      <x:c r="G579" s="24"/>
      <x:c r="H579" s="24" t="str">
        <x:v>+13348011739</x:v>
      </x:c>
      <x:c r="I579" s="24" t="str">
        <x:v>https://cash4homes.us/</x:v>
      </x:c>
      <x:c r="J579" s="16" t="str">
        <x:v>AL</x:v>
      </x:c>
      <x:c r="K579" s="16" t="str">
        <x:v>Montgomery</x:v>
      </x:c>
      <x:c r="L579" s="16" t="str">
        <x:v>Public property-business route; investor decision maker unconfirmed</x:v>
      </x:c>
      <x:c r="M579" s="16" t="str">
        <x:v>https://cash4homes.us/</x:v>
      </x:c>
      <x:c r="N579" s="16" t="str">
        <x:v>$100K-$500K ticket not published / unconfirmed</x:v>
      </x:c>
      <x:c r="O579" s="20"/>
      <x:c r="P579" s="20"/>
      <x:c r="Q579" s="25" t="str">
        <x:v>No direct corporate-capital range established in checked source</x:v>
      </x:c>
      <x:c r="R579" s="25" t="str">
        <x:v>Property acquisition or investor activity makes this an operator-capital prospect for the signed trial. Confirm operating-company debt/equity appetite.</x:v>
      </x:c>
      <x:c r="S579" s="25"/>
      <x:c r="T579" s="25" t="str">
        <x:v>Ask the owner/investor whether they can allocate $100K-$500K to trial marketing and acquisitions, and confirm structure, timing and decision authority.</x:v>
      </x:c>
      <x:c r="U579" s="25" t="str">
        <x:v>https://www.cashhomebuyersdirectory.com/cash-home-buyers/alabama/montgomery</x:v>
      </x:c>
      <x:c r="V579" s="26" t="d">
        <x:v>2026-10-02T00:00:00.000Z</x:v>
      </x:c>
      <x:c r="W579" s="26" t="d">
        <x:v>2026-10-02T00:00:00.000Z</x:v>
      </x:c>
      <x:c r="X579" s="25" t="str">
        <x:v>CashHomeBuyersDirectory third-party business listing; first-party business activity not checked in this batch</x:v>
      </x:c>
      <x:c r="Y579" s="25"/>
      <x:c r="Z579" s="25" t="str">
        <x:v>https://www.cashhomebuyersdirectory.com/cash-home-buyers/alabama/montgomery</x:v>
      </x:c>
      <x:c r="AA579" s="25" t="str">
        <x:v>Public cash-home-buyer directory lists the business name, business phone/website where available and market. Operator role and corporate funding willingness require confirmation.</x:v>
      </x:c>
      <x:c r="AB579" s="3" t="str">
        <x:v>New public-source collection</x:v>
      </x:c>
      <x:c r="AC579" s="3" t="str">
        <x:v>unverified</x:v>
      </x:c>
      <x:c r="AD579" s="3" t="str">
        <x:v>Not contacted / unconfirmed</x:v>
      </x:c>
      <x:c r="AE579" s="3" t="str">
        <x:v>No</x:v>
      </x:c>
      <x:c r="AF579" s="3" t="str">
        <x:v>No</x:v>
      </x:c>
      <x:c r="AG579" s="3"/>
      <x:c r="AH579" s="3"/>
      <x:c r="AI579" s="18"/>
      <x:c r="AJ579" s="3" t="str">
        <x:v>CF2500-8AD22488C6F0</x:v>
      </x:c>
      <x:c r="AK579" s="3" t="str">
        <x:v>real_estate_operator</x:v>
      </x:c>
      <x:c r="AL579" s="19" t="n">
        <x:v>100000</x:v>
      </x:c>
      <x:c r="AM579" s="19" t="n">
        <x:v>500000</x:v>
      </x:c>
      <x:c r="AN579" s="3" t="str">
        <x:v>https://www.cashhomebuyersdirectory.com/cash-home-buyers/alabama/montgomery</x:v>
      </x:c>
      <x:c r="AO579" s="3" t="str">
        <x:v>national_rest_directory_complete.jsonl</x:v>
      </x:c>
      <x:c r="AP579" s="19"/>
    </x:row>
    <x:row r="580" ht="36" customHeight="1">
      <x:c r="A580" s="23" t="n">
        <x:v>579</x:v>
      </x:c>
      <x:c r="B580" s="15" t="str">
        <x:v>Charleston Home Buyers™, LLC</x:v>
      </x:c>
      <x:c r="C580" s="15"/>
      <x:c r="D580" s="15" t="str">
        <x:v>Property investor / home-buying operator</x:v>
      </x:c>
      <x:c r="E580" s="15" t="str">
        <x:v>Property investor / operator inquiry</x:v>
      </x:c>
      <x:c r="F580" s="17" t="str">
        <x:v>New</x:v>
      </x:c>
      <x:c r="G580" s="24"/>
      <x:c r="H580" s="24" t="str">
        <x:v>+18437228937</x:v>
      </x:c>
      <x:c r="I580" s="24" t="str">
        <x:v>http://www.charlestonhomebuyers.net/</x:v>
      </x:c>
      <x:c r="J580" s="16" t="str">
        <x:v>SC</x:v>
      </x:c>
      <x:c r="K580" s="16" t="str">
        <x:v>Charleston</x:v>
      </x:c>
      <x:c r="L580" s="16" t="str">
        <x:v>Public property-business route; investor decision maker unconfirmed</x:v>
      </x:c>
      <x:c r="M580" s="16" t="str">
        <x:v>http://www.charlestonhomebuyers.net/</x:v>
      </x:c>
      <x:c r="N580" s="16" t="str">
        <x:v>$100K-$500K ticket not published / unconfirmed</x:v>
      </x:c>
      <x:c r="O580" s="20"/>
      <x:c r="P580" s="20"/>
      <x:c r="Q580" s="25" t="str">
        <x:v>No direct corporate-capital range established in checked source</x:v>
      </x:c>
      <x:c r="R580" s="25" t="str">
        <x:v>Property acquisition or investor activity makes this an operator-capital prospect for the signed trial. Confirm operating-company debt/equity appetite.</x:v>
      </x:c>
      <x:c r="S580" s="25"/>
      <x:c r="T580" s="25" t="str">
        <x:v>Ask the owner/investor whether they can allocate $100K-$500K to trial marketing and acquisitions, and confirm structure, timing and decision authority.</x:v>
      </x:c>
      <x:c r="U580" s="25" t="str">
        <x:v>https://www.cashhomebuyersdirectory.com/cash-home-buyers/south-carolina/charleston</x:v>
      </x:c>
      <x:c r="V580" s="26" t="d">
        <x:v>2026-10-02T00:00:00.000Z</x:v>
      </x:c>
      <x:c r="W580" s="26" t="d">
        <x:v>2026-10-02T00:00:00.000Z</x:v>
      </x:c>
      <x:c r="X580" s="25" t="str">
        <x:v>CashHomeBuyersDirectory third-party business listing; first-party business activity not checked in this batch</x:v>
      </x:c>
      <x:c r="Y580" s="25"/>
      <x:c r="Z580" s="25" t="str">
        <x:v>https://www.cashhomebuyersdirectory.com/cash-home-buyers/south-carolina/charleston</x:v>
      </x:c>
      <x:c r="AA580" s="25" t="str">
        <x:v>Public cash-home-buyer directory lists the business name, business phone/website where available and market. Operator role and corporate funding willingness require confirmation.</x:v>
      </x:c>
      <x:c r="AB580" s="3" t="str">
        <x:v>New public-source collection</x:v>
      </x:c>
      <x:c r="AC580" s="3" t="str">
        <x:v>unverified</x:v>
      </x:c>
      <x:c r="AD580" s="3" t="str">
        <x:v>Not contacted / unconfirmed</x:v>
      </x:c>
      <x:c r="AE580" s="3" t="str">
        <x:v>No</x:v>
      </x:c>
      <x:c r="AF580" s="3" t="str">
        <x:v>No</x:v>
      </x:c>
      <x:c r="AG580" s="3"/>
      <x:c r="AH580" s="3"/>
      <x:c r="AI580" s="18"/>
      <x:c r="AJ580" s="3" t="str">
        <x:v>CF2500-75A32EDB9ECA</x:v>
      </x:c>
      <x:c r="AK580" s="3" t="str">
        <x:v>real_estate_operator</x:v>
      </x:c>
      <x:c r="AL580" s="19" t="n">
        <x:v>100000</x:v>
      </x:c>
      <x:c r="AM580" s="19" t="n">
        <x:v>500000</x:v>
      </x:c>
      <x:c r="AN580" s="3" t="str">
        <x:v>https://www.cashhomebuyersdirectory.com/cash-home-buyers/south-carolina/charleston</x:v>
      </x:c>
      <x:c r="AO580" s="3" t="str">
        <x:v>national_rest_directory_complete.jsonl</x:v>
      </x:c>
      <x:c r="AP580" s="19"/>
    </x:row>
    <x:row r="581" ht="36" customHeight="1">
      <x:c r="A581" s="23" t="n">
        <x:v>580</x:v>
      </x:c>
      <x:c r="B581" s="15" t="str">
        <x:v>Charleston House Buyers</x:v>
      </x:c>
      <x:c r="C581" s="15"/>
      <x:c r="D581" s="15" t="str">
        <x:v>Property investor / home-buying operator</x:v>
      </x:c>
      <x:c r="E581" s="15" t="str">
        <x:v>Property investor / operator inquiry</x:v>
      </x:c>
      <x:c r="F581" s="17" t="str">
        <x:v>New</x:v>
      </x:c>
      <x:c r="G581" s="24"/>
      <x:c r="H581" s="24" t="str">
        <x:v>+18438002039</x:v>
      </x:c>
      <x:c r="I581" s="24" t="str">
        <x:v>http://www.chshousebuyers.com/</x:v>
      </x:c>
      <x:c r="J581" s="16" t="str">
        <x:v>SC</x:v>
      </x:c>
      <x:c r="K581" s="16"/>
      <x:c r="L581" s="16" t="str">
        <x:v>Public property-business route; investor decision maker unconfirmed</x:v>
      </x:c>
      <x:c r="M581" s="16" t="str">
        <x:v>http://www.chshousebuyers.com/</x:v>
      </x:c>
      <x:c r="N581" s="16" t="str">
        <x:v>$100K-$500K ticket not published / unconfirmed</x:v>
      </x:c>
      <x:c r="O581" s="20"/>
      <x:c r="P581" s="20"/>
      <x:c r="Q581" s="25" t="str">
        <x:v>No direct corporate-capital range established in checked source</x:v>
      </x:c>
      <x:c r="R581" s="25" t="str">
        <x:v>Property acquisition or investor activity makes this an operator-capital prospect for the signed trial. Confirm operating-company debt/equity appetite.</x:v>
      </x:c>
      <x:c r="S581" s="25"/>
      <x:c r="T581" s="25" t="str">
        <x:v>Ask the owner/investor whether they can allocate $100K-$500K to trial marketing and acquisitions, and confirm structure, timing and decision authority.</x:v>
      </x:c>
      <x:c r="U581" s="25" t="str">
        <x:v>https://www.cashhomebuyersdirectory.com/cash-home-buyers/south-carolina/charleston</x:v>
      </x:c>
      <x:c r="V581" s="26" t="d">
        <x:v>2026-10-02T00:00:00.000Z</x:v>
      </x:c>
      <x:c r="W581" s="26" t="d">
        <x:v>2026-10-02T00:00:00.000Z</x:v>
      </x:c>
      <x:c r="X581" s="25" t="str">
        <x:v>CashHomeBuyersDirectory third-party business listing; first-party business activity not checked in this batch</x:v>
      </x:c>
      <x:c r="Y581" s="25"/>
      <x:c r="Z581" s="25" t="str">
        <x:v>https://www.cashhomebuyersdirectory.com/cash-home-buyers/south-carolina/charleston</x:v>
      </x:c>
      <x:c r="AA581" s="25" t="str">
        <x:v>Public cash-home-buyer directory lists the business name, business phone/website where available and market. Operator role and corporate funding willingness require confirmation.</x:v>
      </x:c>
      <x:c r="AB581" s="3" t="str">
        <x:v>New public-source collection</x:v>
      </x:c>
      <x:c r="AC581" s="3" t="str">
        <x:v>unverified</x:v>
      </x:c>
      <x:c r="AD581" s="3" t="str">
        <x:v>Not contacted / unconfirmed</x:v>
      </x:c>
      <x:c r="AE581" s="3" t="str">
        <x:v>No</x:v>
      </x:c>
      <x:c r="AF581" s="3" t="str">
        <x:v>No</x:v>
      </x:c>
      <x:c r="AG581" s="3"/>
      <x:c r="AH581" s="3"/>
      <x:c r="AI581" s="18"/>
      <x:c r="AJ581" s="3" t="str">
        <x:v>CF2500-1309EA8D8376</x:v>
      </x:c>
      <x:c r="AK581" s="3" t="str">
        <x:v>real_estate_operator</x:v>
      </x:c>
      <x:c r="AL581" s="19" t="n">
        <x:v>100000</x:v>
      </x:c>
      <x:c r="AM581" s="19" t="n">
        <x:v>500000</x:v>
      </x:c>
      <x:c r="AN581" s="3" t="str">
        <x:v>https://www.cashhomebuyersdirectory.com/cash-home-buyers/south-carolina/charleston</x:v>
      </x:c>
      <x:c r="AO581" s="3" t="str">
        <x:v>national_rest_directory_complete.jsonl</x:v>
      </x:c>
      <x:c r="AP581" s="19"/>
    </x:row>
    <x:row r="582" ht="36" customHeight="1">
      <x:c r="A582" s="23" t="n">
        <x:v>581</x:v>
      </x:c>
      <x:c r="B582" s="15" t="str">
        <x:v>Charleston SC House Buyers</x:v>
      </x:c>
      <x:c r="C582" s="15"/>
      <x:c r="D582" s="15" t="str">
        <x:v>Property investor / home-buying operator</x:v>
      </x:c>
      <x:c r="E582" s="15" t="str">
        <x:v>Property investor / operator inquiry</x:v>
      </x:c>
      <x:c r="F582" s="17" t="str">
        <x:v>New</x:v>
      </x:c>
      <x:c r="G582" s="24"/>
      <x:c r="H582" s="24" t="str">
        <x:v>+18435535005</x:v>
      </x:c>
      <x:c r="I582" s="24" t="str">
        <x:v>http://www.webuycharlestonschouses.com/</x:v>
      </x:c>
      <x:c r="J582" s="16" t="str">
        <x:v>SC</x:v>
      </x:c>
      <x:c r="K582" s="16" t="str">
        <x:v>Charleston</x:v>
      </x:c>
      <x:c r="L582" s="16" t="str">
        <x:v>Public property-business route; investor decision maker unconfirmed</x:v>
      </x:c>
      <x:c r="M582" s="16" t="str">
        <x:v>http://www.webuycharlestonschouses.com/</x:v>
      </x:c>
      <x:c r="N582" s="16" t="str">
        <x:v>$100K-$500K ticket not published / unconfirmed</x:v>
      </x:c>
      <x:c r="O582" s="20"/>
      <x:c r="P582" s="20"/>
      <x:c r="Q582" s="25" t="str">
        <x:v>No direct corporate-capital range established in checked source</x:v>
      </x:c>
      <x:c r="R582" s="25" t="str">
        <x:v>Property acquisition or investor activity makes this an operator-capital prospect for the signed trial. Confirm operating-company debt/equity appetite.</x:v>
      </x:c>
      <x:c r="S582" s="25"/>
      <x:c r="T582" s="25" t="str">
        <x:v>Ask the owner/investor whether they can allocate $100K-$500K to trial marketing and acquisitions, and confirm structure, timing and decision authority.</x:v>
      </x:c>
      <x:c r="U582" s="25" t="str">
        <x:v>https://www.cashhomebuyersdirectory.com/cash-home-buyers/south-carolina/charleston</x:v>
      </x:c>
      <x:c r="V582" s="26" t="d">
        <x:v>2026-10-02T00:00:00.000Z</x:v>
      </x:c>
      <x:c r="W582" s="26" t="d">
        <x:v>2026-10-02T00:00:00.000Z</x:v>
      </x:c>
      <x:c r="X582" s="25" t="str">
        <x:v>CashHomeBuyersDirectory third-party business listing; first-party business activity not checked in this batch</x:v>
      </x:c>
      <x:c r="Y582" s="25"/>
      <x:c r="Z582" s="25" t="str">
        <x:v>https://www.cashhomebuyersdirectory.com/cash-home-buyers/south-carolina/charleston</x:v>
      </x:c>
      <x:c r="AA582" s="25" t="str">
        <x:v>Public cash-home-buyer directory lists the business name, business phone/website where available and market. Operator role and corporate funding willingness require confirmation.</x:v>
      </x:c>
      <x:c r="AB582" s="3" t="str">
        <x:v>New public-source collection</x:v>
      </x:c>
      <x:c r="AC582" s="3" t="str">
        <x:v>unverified</x:v>
      </x:c>
      <x:c r="AD582" s="3" t="str">
        <x:v>Not contacted / unconfirmed</x:v>
      </x:c>
      <x:c r="AE582" s="3" t="str">
        <x:v>No</x:v>
      </x:c>
      <x:c r="AF582" s="3" t="str">
        <x:v>No</x:v>
      </x:c>
      <x:c r="AG582" s="3"/>
      <x:c r="AH582" s="3"/>
      <x:c r="AI582" s="18"/>
      <x:c r="AJ582" s="3" t="str">
        <x:v>CF2500-46FEB639FB00</x:v>
      </x:c>
      <x:c r="AK582" s="3" t="str">
        <x:v>real_estate_operator</x:v>
      </x:c>
      <x:c r="AL582" s="19" t="n">
        <x:v>100000</x:v>
      </x:c>
      <x:c r="AM582" s="19" t="n">
        <x:v>500000</x:v>
      </x:c>
      <x:c r="AN582" s="3" t="str">
        <x:v>https://www.cashhomebuyersdirectory.com/cash-home-buyers/south-carolina/charleston</x:v>
      </x:c>
      <x:c r="AO582" s="3" t="str">
        <x:v>national_rest_directory_complete.jsonl</x:v>
      </x:c>
      <x:c r="AP582" s="19"/>
    </x:row>
    <x:row r="583" ht="36" customHeight="1">
      <x:c r="A583" s="23" t="n">
        <x:v>582</x:v>
      </x:c>
      <x:c r="B583" s="15" t="str">
        <x:v>Chase Pays Cash, Real Estate Investment Firm</x:v>
      </x:c>
      <x:c r="C583" s="15"/>
      <x:c r="D583" s="15" t="str">
        <x:v>Property investor / home-buying operator</x:v>
      </x:c>
      <x:c r="E583" s="15" t="str">
        <x:v>Property investor / operator inquiry</x:v>
      </x:c>
      <x:c r="F583" s="17" t="str">
        <x:v>New</x:v>
      </x:c>
      <x:c r="G583" s="24"/>
      <x:c r="H583" s="24" t="str">
        <x:v>+12055983547</x:v>
      </x:c>
      <x:c r="I583" s="24" t="str">
        <x:v>http://chasepayscashforhouses.com/</x:v>
      </x:c>
      <x:c r="J583" s="16" t="str">
        <x:v>AL</x:v>
      </x:c>
      <x:c r="K583" s="16" t="str">
        <x:v>Birmingham</x:v>
      </x:c>
      <x:c r="L583" s="16" t="str">
        <x:v>Public property-business route; investor decision maker unconfirmed</x:v>
      </x:c>
      <x:c r="M583" s="16" t="str">
        <x:v>http://chasepayscashforhouses.com/</x:v>
      </x:c>
      <x:c r="N583" s="16" t="str">
        <x:v>$100K-$500K ticket not published / unconfirmed</x:v>
      </x:c>
      <x:c r="O583" s="20"/>
      <x:c r="P583" s="20"/>
      <x:c r="Q583" s="25" t="str">
        <x:v>No direct corporate-capital range established in checked source</x:v>
      </x:c>
      <x:c r="R583" s="25" t="str">
        <x:v>Property acquisition or investor activity makes this an operator-capital prospect for the signed trial. Confirm operating-company debt/equity appetite.</x:v>
      </x:c>
      <x:c r="S583" s="25"/>
      <x:c r="T583" s="25" t="str">
        <x:v>Ask the owner/investor whether they can allocate $100K-$500K to trial marketing and acquisitions, and confirm structure, timing and decision authority.</x:v>
      </x:c>
      <x:c r="U583" s="25" t="str">
        <x:v>https://www.cashhomebuyersdirectory.com/cash-home-buyers/alabama/birmingham</x:v>
      </x:c>
      <x:c r="V583" s="26" t="d">
        <x:v>2026-10-02T00:00:00.000Z</x:v>
      </x:c>
      <x:c r="W583" s="26" t="d">
        <x:v>2026-10-02T00:00:00.000Z</x:v>
      </x:c>
      <x:c r="X583" s="25" t="str">
        <x:v>CashHomeBuyersDirectory third-party business listing; first-party business activity not checked in this batch</x:v>
      </x:c>
      <x:c r="Y583" s="25"/>
      <x:c r="Z583" s="25" t="str">
        <x:v>https://www.cashhomebuyersdirectory.com/cash-home-buyers/alabama/birmingham</x:v>
      </x:c>
      <x:c r="AA583" s="25" t="str">
        <x:v>Public cash-home-buyer directory lists the business name, business phone/website where available and market. Operator role and corporate funding willingness require confirmation.</x:v>
      </x:c>
      <x:c r="AB583" s="3" t="str">
        <x:v>New public-source collection</x:v>
      </x:c>
      <x:c r="AC583" s="3" t="str">
        <x:v>unverified</x:v>
      </x:c>
      <x:c r="AD583" s="3" t="str">
        <x:v>Not contacted / unconfirmed</x:v>
      </x:c>
      <x:c r="AE583" s="3" t="str">
        <x:v>No</x:v>
      </x:c>
      <x:c r="AF583" s="3" t="str">
        <x:v>No</x:v>
      </x:c>
      <x:c r="AG583" s="3"/>
      <x:c r="AH583" s="3"/>
      <x:c r="AI583" s="18"/>
      <x:c r="AJ583" s="3" t="str">
        <x:v>CF2500-3C29E4901180</x:v>
      </x:c>
      <x:c r="AK583" s="3" t="str">
        <x:v>real_estate_operator</x:v>
      </x:c>
      <x:c r="AL583" s="19" t="n">
        <x:v>100000</x:v>
      </x:c>
      <x:c r="AM583" s="19" t="n">
        <x:v>500000</x:v>
      </x:c>
      <x:c r="AN583" s="3" t="str">
        <x:v>https://www.cashhomebuyersdirectory.com/cash-home-buyers/alabama/birmingham</x:v>
      </x:c>
      <x:c r="AO583" s="3" t="str">
        <x:v>national_rest_directory_complete.jsonl</x:v>
      </x:c>
      <x:c r="AP583" s="19"/>
    </x:row>
    <x:row r="584" ht="36" customHeight="1">
      <x:c r="A584" s="23" t="n">
        <x:v>583</x:v>
      </x:c>
      <x:c r="B584" s="15" t="str">
        <x:v>Co Home Buyers LLC</x:v>
      </x:c>
      <x:c r="C584" s="15"/>
      <x:c r="D584" s="15" t="str">
        <x:v>Property investor / home-buying operator</x:v>
      </x:c>
      <x:c r="E584" s="15" t="str">
        <x:v>Property investor / operator inquiry</x:v>
      </x:c>
      <x:c r="F584" s="17" t="str">
        <x:v>New</x:v>
      </x:c>
      <x:c r="G584" s="24"/>
      <x:c r="H584" s="24" t="str">
        <x:v>+13039029777</x:v>
      </x:c>
      <x:c r="I584" s="24" t="str">
        <x:v>https://www.cohomebuyersllc.com/contact-us/</x:v>
      </x:c>
      <x:c r="J584" s="16" t="str">
        <x:v>CO</x:v>
      </x:c>
      <x:c r="K584" s="16" t="str">
        <x:v>Brighton</x:v>
      </x:c>
      <x:c r="L584" s="16" t="str">
        <x:v>Public property-business route; investor decision maker unconfirmed</x:v>
      </x:c>
      <x:c r="M584" s="16" t="str">
        <x:v>https://www.cohomebuyersllc.com/contact-us/</x:v>
      </x:c>
      <x:c r="N584" s="16" t="str">
        <x:v>$100K-$500K ticket not published / unconfirmed</x:v>
      </x:c>
      <x:c r="O584" s="20"/>
      <x:c r="P584" s="20"/>
      <x:c r="Q584" s="25" t="str">
        <x:v>No $100K-$500K operating-company investment ticket verified</x:v>
      </x:c>
      <x:c r="R584" s="25" t="str">
        <x:v>Property acquisition or investor activity makes this an operator-capital prospect for the signed trial. Confirm operating-company debt/equity appetite.</x:v>
      </x:c>
      <x:c r="S584" s="25" t="str">
        <x:v>Public property-buying activity or a directory listing does not establish available cash, investing decision-maker, current $100K-$500K capacity, or willingness to fund 101XVC operating costs.</x:v>
      </x:c>
      <x:c r="T584" s="25" t="str">
        <x:v>Ask the owner/investor whether they can allocate $100K-$500K to trial marketing and acquisitions, and confirm structure, timing and decision authority.</x:v>
      </x:c>
      <x:c r="U584" s="25" t="str">
        <x:v>https://www.cashhomebuyersdirectory.com/cash-home-buyers/colorado/brighton</x:v>
      </x:c>
      <x:c r="V584" s="26" t="d">
        <x:v>2026-10-02T00:00:00.000Z</x:v>
      </x:c>
      <x:c r="W584" s="26" t="d">
        <x:v>2026-10-02T00:00:00.000Z</x:v>
      </x:c>
      <x:c r="X584" s="25" t="str">
        <x:v>Public investor directory; business role and contact ownership require qualification</x:v>
      </x:c>
      <x:c r="Y584" s="25"/>
      <x:c r="Z584" s="25" t="str">
        <x:v>https://www.cashhomebuyersdirectory.com/cash-home-buyers/colorado/brighton</x:v>
      </x:c>
      <x:c r="AA584" s="25" t="str">
        <x:v>Public cash-home-buyer directory lists business name, phone and market. Directory entry may include brokers or service providers.</x:v>
      </x:c>
      <x:c r="AB584" s="3" t="str">
        <x:v>New public-source collection</x:v>
      </x:c>
      <x:c r="AC584" s="3" t="str">
        <x:v>unverified</x:v>
      </x:c>
      <x:c r="AD584" s="3" t="str">
        <x:v>Not contacted / unconfirmed</x:v>
      </x:c>
      <x:c r="AE584" s="3" t="str">
        <x:v>No</x:v>
      </x:c>
      <x:c r="AF584" s="3" t="str">
        <x:v>No</x:v>
      </x:c>
      <x:c r="AG584" s="3"/>
      <x:c r="AH584" s="3"/>
      <x:c r="AI584" s="18"/>
      <x:c r="AJ584" s="3" t="str">
        <x:v>CF2500-18ADA5F26017</x:v>
      </x:c>
      <x:c r="AK584" s="3" t="str">
        <x:v>Property investor / home-buying operator prospect</x:v>
      </x:c>
      <x:c r="AL584" s="19" t="n">
        <x:v>100000</x:v>
      </x:c>
      <x:c r="AM584" s="19" t="n">
        <x:v>500000</x:v>
      </x:c>
      <x:c r="AN584" s="3" t="str">
        <x:v>https://www.cashhomebuyersdirectory.com/cash-home-buyers/colorado/brighton</x:v>
      </x:c>
      <x:c r="AO584" s="3" t="str">
        <x:v>nc_il_az_co_investors.jsonl</x:v>
      </x:c>
      <x:c r="AP584" s="19"/>
    </x:row>
    <x:row r="585" ht="36" customHeight="1">
      <x:c r="A585" s="23" t="n">
        <x:v>584</x:v>
      </x:c>
      <x:c r="B585" s="15" t="str">
        <x:v>Colorful Colorado House Buyers</x:v>
      </x:c>
      <x:c r="C585" s="15"/>
      <x:c r="D585" s="15" t="str">
        <x:v>Property investor / home-buying operator</x:v>
      </x:c>
      <x:c r="E585" s="15" t="str">
        <x:v>Property investor / operator inquiry</x:v>
      </x:c>
      <x:c r="F585" s="17" t="str">
        <x:v>New</x:v>
      </x:c>
      <x:c r="G585" s="24"/>
      <x:c r="H585" s="24" t="str">
        <x:v>+19709190989</x:v>
      </x:c>
      <x:c r="I585" s="24" t="str">
        <x:v>https://expireddomains.com/domain/colorfulcoloradohousebuyers.com?utm_source=redi</x:v>
      </x:c>
      <x:c r="J585" s="16" t="str">
        <x:v>CO</x:v>
      </x:c>
      <x:c r="K585" s="16" t="str">
        <x:v>Greeley</x:v>
      </x:c>
      <x:c r="L585" s="16" t="str">
        <x:v>Public property-business route; investor decision maker unconfirmed</x:v>
      </x:c>
      <x:c r="M585" s="16" t="str">
        <x:v>https://expireddomains.com/domain/colorfulcoloradohousebuyers.com?utm_source=redi</x:v>
      </x:c>
      <x:c r="N585" s="16" t="str">
        <x:v>$100K-$500K ticket not published / unconfirmed</x:v>
      </x:c>
      <x:c r="O585" s="20"/>
      <x:c r="P585" s="20"/>
      <x:c r="Q585" s="25" t="str">
        <x:v>No $100K-$500K operating-company investment ticket verified</x:v>
      </x:c>
      <x:c r="R585" s="25" t="str">
        <x:v>Property acquisition or investor activity makes this an operator-capital prospect for the signed trial. Confirm operating-company debt/equity appetite.</x:v>
      </x:c>
      <x:c r="S585" s="25" t="str">
        <x:v>Public property-buying activity or a directory listing does not establish available cash, investing decision-maker, current $100K-$500K capacity, or willingness to fund 101XVC operating costs.</x:v>
      </x:c>
      <x:c r="T585" s="25" t="str">
        <x:v>Ask the owner/investor whether they can allocate $100K-$500K to trial marketing and acquisitions, and confirm structure, timing and decision authority.</x:v>
      </x:c>
      <x:c r="U585" s="25" t="str">
        <x:v>https://www.cashhomebuyersdirectory.com/cash-home-buyers/colorado/greeley
https://expireddomains.com/domain/colorfulcoloradohousebuyers.com?utm_source=redi</x:v>
      </x:c>
      <x:c r="V585" s="26" t="d">
        <x:v>2026-10-02T00:00:00.000Z</x:v>
      </x:c>
      <x:c r="W585" s="26" t="d">
        <x:v>2026-10-02T00:00:00.000Z</x:v>
      </x:c>
      <x:c r="X585" s="25" t="str">
        <x:v>Public investor directory; business role and contact ownership require qualification</x:v>
      </x:c>
      <x:c r="Y585" s="25"/>
      <x:c r="Z585" s="25" t="str">
        <x:v>https://www.cashhomebuyersdirectory.com/cash-home-buyers/colorado/greeley</x:v>
      </x:c>
      <x:c r="AA585" s="25" t="str">
        <x:v>Public cash-home-buyer directory lists business name, phone and market. Directory entry may include brokers or service providers. Official website fetched; investing role requires manual review.</x:v>
      </x:c>
      <x:c r="AB585" s="3" t="str">
        <x:v>New public-source collection</x:v>
      </x:c>
      <x:c r="AC585" s="3" t="str">
        <x:v>unverified</x:v>
      </x:c>
      <x:c r="AD585" s="3" t="str">
        <x:v>Not contacted / unconfirmed</x:v>
      </x:c>
      <x:c r="AE585" s="3" t="str">
        <x:v>No</x:v>
      </x:c>
      <x:c r="AF585" s="3" t="str">
        <x:v>No</x:v>
      </x:c>
      <x:c r="AG585" s="3"/>
      <x:c r="AH585" s="3"/>
      <x:c r="AI585" s="18"/>
      <x:c r="AJ585" s="3" t="str">
        <x:v>CF2500-1D742A261021</x:v>
      </x:c>
      <x:c r="AK585" s="3" t="str">
        <x:v>Property investor / home-buying operator prospect</x:v>
      </x:c>
      <x:c r="AL585" s="19" t="n">
        <x:v>100000</x:v>
      </x:c>
      <x:c r="AM585" s="19" t="n">
        <x:v>500000</x:v>
      </x:c>
      <x:c r="AN585" s="3" t="str">
        <x:v>https://www.cashhomebuyersdirectory.com/cash-home-buyers/colorado/greeley</x:v>
      </x:c>
      <x:c r="AO585" s="3" t="str">
        <x:v>nc_il_az_co_investors.jsonl</x:v>
      </x:c>
      <x:c r="AP585" s="19"/>
    </x:row>
    <x:row r="586" ht="36" customHeight="1">
      <x:c r="A586" s="23" t="n">
        <x:v>585</x:v>
      </x:c>
      <x:c r="B586" s="15" t="str">
        <x:v>Columbia Cash Home Buyers, LLC</x:v>
      </x:c>
      <x:c r="C586" s="15"/>
      <x:c r="D586" s="15" t="str">
        <x:v>Property investor / home-buying operator</x:v>
      </x:c>
      <x:c r="E586" s="15" t="str">
        <x:v>Property investor / operator inquiry</x:v>
      </x:c>
      <x:c r="F586" s="17" t="str">
        <x:v>New</x:v>
      </x:c>
      <x:c r="G586" s="24"/>
      <x:c r="H586" s="24" t="str">
        <x:v>+18035922353</x:v>
      </x:c>
      <x:c r="I586" s="24" t="str">
        <x:v>https://www.columbiacashhomebuyers.com/</x:v>
      </x:c>
      <x:c r="J586" s="16" t="str">
        <x:v>SC</x:v>
      </x:c>
      <x:c r="K586" s="16" t="str">
        <x:v>Columbia</x:v>
      </x:c>
      <x:c r="L586" s="16" t="str">
        <x:v>Public property-business route; investor decision maker unconfirmed</x:v>
      </x:c>
      <x:c r="M586" s="16" t="str">
        <x:v>https://www.columbiacashhomebuyers.com/</x:v>
      </x:c>
      <x:c r="N586" s="16" t="str">
        <x:v>$100K-$500K ticket not published / unconfirmed</x:v>
      </x:c>
      <x:c r="O586" s="20"/>
      <x:c r="P586" s="20"/>
      <x:c r="Q586" s="25" t="str">
        <x:v>No direct corporate-capital range established in checked source</x:v>
      </x:c>
      <x:c r="R586" s="25" t="str">
        <x:v>Property acquisition or investor activity makes this an operator-capital prospect for the signed trial. Confirm operating-company debt/equity appetite.</x:v>
      </x:c>
      <x:c r="S586" s="25"/>
      <x:c r="T586" s="25" t="str">
        <x:v>Ask the owner/investor whether they can allocate $100K-$500K to trial marketing and acquisitions, and confirm structure, timing and decision authority.</x:v>
      </x:c>
      <x:c r="U586" s="25" t="str">
        <x:v>https://www.cashhomebuyersdirectory.com/cash-home-buyers/south-carolina/columbia</x:v>
      </x:c>
      <x:c r="V586" s="26" t="d">
        <x:v>2026-10-02T00:00:00.000Z</x:v>
      </x:c>
      <x:c r="W586" s="26" t="d">
        <x:v>2026-10-02T00:00:00.000Z</x:v>
      </x:c>
      <x:c r="X586" s="25" t="str">
        <x:v>CashHomeBuyersDirectory third-party business listing; first-party business activity not checked in this batch</x:v>
      </x:c>
      <x:c r="Y586" s="25"/>
      <x:c r="Z586" s="25" t="str">
        <x:v>https://www.cashhomebuyersdirectory.com/cash-home-buyers/south-carolina/columbia</x:v>
      </x:c>
      <x:c r="AA586" s="25" t="str">
        <x:v>Public cash-home-buyer directory lists the business name, business phone/website where available and market. Operator role and corporate funding willingness require confirmation.</x:v>
      </x:c>
      <x:c r="AB586" s="3" t="str">
        <x:v>New public-source collection</x:v>
      </x:c>
      <x:c r="AC586" s="3" t="str">
        <x:v>unverified</x:v>
      </x:c>
      <x:c r="AD586" s="3" t="str">
        <x:v>Not contacted / unconfirmed</x:v>
      </x:c>
      <x:c r="AE586" s="3" t="str">
        <x:v>No</x:v>
      </x:c>
      <x:c r="AF586" s="3" t="str">
        <x:v>No</x:v>
      </x:c>
      <x:c r="AG586" s="3"/>
      <x:c r="AH586" s="3"/>
      <x:c r="AI586" s="18"/>
      <x:c r="AJ586" s="3" t="str">
        <x:v>CF2500-4EB046076CD4</x:v>
      </x:c>
      <x:c r="AK586" s="3" t="str">
        <x:v>real_estate_operator</x:v>
      </x:c>
      <x:c r="AL586" s="19" t="n">
        <x:v>100000</x:v>
      </x:c>
      <x:c r="AM586" s="19" t="n">
        <x:v>500000</x:v>
      </x:c>
      <x:c r="AN586" s="3" t="str">
        <x:v>https://www.cashhomebuyersdirectory.com/cash-home-buyers/south-carolina/columbia</x:v>
      </x:c>
      <x:c r="AO586" s="3" t="str">
        <x:v>national_rest_directory_complete.jsonl</x:v>
      </x:c>
      <x:c r="AP586" s="19"/>
    </x:row>
    <x:row r="587" ht="36" customHeight="1">
      <x:c r="A587" s="23" t="n">
        <x:v>586</x:v>
      </x:c>
      <x:c r="B587" s="15" t="str">
        <x:v>Community Home Buyers Corporation</x:v>
      </x:c>
      <x:c r="C587" s="15"/>
      <x:c r="D587" s="15" t="str">
        <x:v>Property investor / home-buying operator</x:v>
      </x:c>
      <x:c r="E587" s="15" t="str">
        <x:v>Property investor / operator inquiry</x:v>
      </x:c>
      <x:c r="F587" s="17" t="str">
        <x:v>New</x:v>
      </x:c>
      <x:c r="G587" s="24"/>
      <x:c r="H587" s="24" t="str">
        <x:v>+15742355880</x:v>
      </x:c>
      <x:c r="I587" s="24" t="str">
        <x:v>https://www.ahomeallmyown.org/</x:v>
      </x:c>
      <x:c r="J587" s="16" t="str">
        <x:v>IN</x:v>
      </x:c>
      <x:c r="K587" s="16" t="str">
        <x:v>South Bend</x:v>
      </x:c>
      <x:c r="L587" s="16" t="str">
        <x:v>Public property-business route; investor decision maker unconfirmed</x:v>
      </x:c>
      <x:c r="M587" s="16" t="str">
        <x:v>https://www.ahomeallmyown.org/</x:v>
      </x:c>
      <x:c r="N587" s="16" t="str">
        <x:v>$100K-$500K ticket not published / unconfirmed</x:v>
      </x:c>
      <x:c r="O587" s="20"/>
      <x:c r="P587" s="20"/>
      <x:c r="Q587" s="25" t="str">
        <x:v>No direct corporate-capital range established in checked source</x:v>
      </x:c>
      <x:c r="R587" s="25" t="str">
        <x:v>Property acquisition or investor activity makes this an operator-capital prospect for the signed trial. Confirm operating-company debt/equity appetite.</x:v>
      </x:c>
      <x:c r="S587" s="25"/>
      <x:c r="T587" s="25" t="str">
        <x:v>Ask the owner/investor whether they can allocate $100K-$500K to trial marketing and acquisitions, and confirm structure, timing and decision authority.</x:v>
      </x:c>
      <x:c r="U587" s="25" t="str">
        <x:v>https://www.cashhomebuyersdirectory.com/cash-home-buyers/indiana/south-bend
https://www.cashhomebuyersdirectory.com/cash-home-buyers/ohio/dublin</x:v>
      </x:c>
      <x:c r="V587" s="26" t="d">
        <x:v>2026-10-02T00:00:00.000Z</x:v>
      </x:c>
      <x:c r="W587" s="26" t="d">
        <x:v>2026-10-02T00:00:00.000Z</x:v>
      </x:c>
      <x:c r="X587" s="25" t="str">
        <x:v>CashHomeBuyersDirectory third-party business listing; first-party business activity not checked in this batch</x:v>
      </x:c>
      <x:c r="Y587" s="25"/>
      <x:c r="Z587" s="25" t="str">
        <x:v>https://www.cashhomebuyersdirectory.com/cash-home-buyers/indiana/south-bend</x:v>
      </x:c>
      <x:c r="AA587" s="25" t="str">
        <x:v>Public cash-home-buyer directory lists the business name, business phone/website where available and market. Operator role and corporate funding willingness require confirmation.</x:v>
      </x:c>
      <x:c r="AB587" s="3" t="str">
        <x:v>New public-source collection</x:v>
      </x:c>
      <x:c r="AC587" s="3" t="str">
        <x:v>unverified</x:v>
      </x:c>
      <x:c r="AD587" s="3" t="str">
        <x:v>Not contacted / unconfirmed</x:v>
      </x:c>
      <x:c r="AE587" s="3" t="str">
        <x:v>No</x:v>
      </x:c>
      <x:c r="AF587" s="3" t="str">
        <x:v>No</x:v>
      </x:c>
      <x:c r="AG587" s="3"/>
      <x:c r="AH587" s="3" t="str">
        <x:v>Community Home Buyers</x:v>
      </x:c>
      <x:c r="AI587" s="18"/>
      <x:c r="AJ587" s="3" t="str">
        <x:v>CF2500-C18BB51593E0</x:v>
      </x:c>
      <x:c r="AK587" s="3" t="str">
        <x:v>real_estate_operator</x:v>
      </x:c>
      <x:c r="AL587" s="19" t="n">
        <x:v>100000</x:v>
      </x:c>
      <x:c r="AM587" s="19" t="n">
        <x:v>500000</x:v>
      </x:c>
      <x:c r="AN587" s="3" t="str">
        <x:v>https://www.cashhomebuyersdirectory.com/cash-home-buyers/indiana/south-bend</x:v>
      </x:c>
      <x:c r="AO587" s="3" t="str">
        <x:v>national_rest_directory_complete.jsonl</x:v>
      </x:c>
      <x:c r="AP587" s="19"/>
    </x:row>
    <x:row r="588" ht="36" customHeight="1">
      <x:c r="A588" s="23" t="n">
        <x:v>587</x:v>
      </x:c>
      <x:c r="B588" s="15" t="str">
        <x:v>CoMo Home Buyers – We Buy Houses for Cash in Columbia, MO</x:v>
      </x:c>
      <x:c r="C588" s="15"/>
      <x:c r="D588" s="15" t="str">
        <x:v>Property investor / home-buying operator</x:v>
      </x:c>
      <x:c r="E588" s="15" t="str">
        <x:v>Property investor / operator inquiry</x:v>
      </x:c>
      <x:c r="F588" s="17" t="str">
        <x:v>New</x:v>
      </x:c>
      <x:c r="G588" s="24"/>
      <x:c r="H588" s="24" t="str">
        <x:v>+15732964901</x:v>
      </x:c>
      <x:c r="I588" s="24" t="str">
        <x:v>https://www.comohomebuyers.com/</x:v>
      </x:c>
      <x:c r="J588" s="16" t="str">
        <x:v>MO</x:v>
      </x:c>
      <x:c r="K588" s="16"/>
      <x:c r="L588" s="16" t="str">
        <x:v>Public property-business route; investor decision maker unconfirmed</x:v>
      </x:c>
      <x:c r="M588" s="16" t="str">
        <x:v>https://www.comohomebuyers.com/</x:v>
      </x:c>
      <x:c r="N588" s="16" t="str">
        <x:v>$100K-$500K ticket not published / unconfirmed</x:v>
      </x:c>
      <x:c r="O588" s="20"/>
      <x:c r="P588" s="20"/>
      <x:c r="Q588" s="25" t="str">
        <x:v>No direct corporate-capital range established in checked source</x:v>
      </x:c>
      <x:c r="R588" s="25" t="str">
        <x:v>Property acquisition or investor activity makes this an operator-capital prospect for the signed trial. Confirm operating-company debt/equity appetite.</x:v>
      </x:c>
      <x:c r="S588" s="25"/>
      <x:c r="T588" s="25" t="str">
        <x:v>Ask the owner/investor whether they can allocate $100K-$500K to trial marketing and acquisitions, and confirm structure, timing and decision authority.</x:v>
      </x:c>
      <x:c r="U588" s="25" t="str">
        <x:v>https://www.cashhomebuyersdirectory.com/cash-home-buyers/missouri/columbia</x:v>
      </x:c>
      <x:c r="V588" s="26" t="d">
        <x:v>2026-10-02T00:00:00.000Z</x:v>
      </x:c>
      <x:c r="W588" s="26" t="d">
        <x:v>2026-10-02T00:00:00.000Z</x:v>
      </x:c>
      <x:c r="X588" s="25" t="str">
        <x:v>CashHomeBuyersDirectory third-party business listing; first-party business activity not checked in this batch</x:v>
      </x:c>
      <x:c r="Y588" s="25"/>
      <x:c r="Z588" s="25" t="str">
        <x:v>https://www.cashhomebuyersdirectory.com/cash-home-buyers/missouri/columbia</x:v>
      </x:c>
      <x:c r="AA588" s="25" t="str">
        <x:v>Public cash-home-buyer directory lists the business name, business phone/website where available and market. Operator role and corporate funding willingness require confirmation.</x:v>
      </x:c>
      <x:c r="AB588" s="3" t="str">
        <x:v>New public-source collection</x:v>
      </x:c>
      <x:c r="AC588" s="3" t="str">
        <x:v>unverified</x:v>
      </x:c>
      <x:c r="AD588" s="3" t="str">
        <x:v>Not contacted / unconfirmed</x:v>
      </x:c>
      <x:c r="AE588" s="3" t="str">
        <x:v>No</x:v>
      </x:c>
      <x:c r="AF588" s="3" t="str">
        <x:v>No</x:v>
      </x:c>
      <x:c r="AG588" s="3"/>
      <x:c r="AH588" s="3"/>
      <x:c r="AI588" s="18"/>
      <x:c r="AJ588" s="3" t="str">
        <x:v>CF2500-C5D333106541</x:v>
      </x:c>
      <x:c r="AK588" s="3" t="str">
        <x:v>real_estate_operator</x:v>
      </x:c>
      <x:c r="AL588" s="19" t="n">
        <x:v>100000</x:v>
      </x:c>
      <x:c r="AM588" s="19" t="n">
        <x:v>500000</x:v>
      </x:c>
      <x:c r="AN588" s="3" t="str">
        <x:v>https://www.cashhomebuyersdirectory.com/cash-home-buyers/missouri/columbia</x:v>
      </x:c>
      <x:c r="AO588" s="3" t="str">
        <x:v>national_rest_directory_complete.jsonl</x:v>
      </x:c>
      <x:c r="AP588" s="19"/>
    </x:row>
    <x:row r="589" ht="36" customHeight="1">
      <x:c r="A589" s="23" t="n">
        <x:v>588</x:v>
      </x:c>
      <x:c r="B589" s="15" t="str">
        <x:v>Cooley Homebuyer</x:v>
      </x:c>
      <x:c r="C589" s="15"/>
      <x:c r="D589" s="15" t="str">
        <x:v>Property investor / home-buying operator</x:v>
      </x:c>
      <x:c r="E589" s="15" t="str">
        <x:v>Property investor / operator inquiry</x:v>
      </x:c>
      <x:c r="F589" s="17" t="str">
        <x:v>New</x:v>
      </x:c>
      <x:c r="G589" s="24"/>
      <x:c r="H589" s="24" t="str">
        <x:v>+13167495807</x:v>
      </x:c>
      <x:c r="I589" s="24" t="str">
        <x:v>http://www.cooleyhomebuyer.com/</x:v>
      </x:c>
      <x:c r="J589" s="16" t="str">
        <x:v>KS</x:v>
      </x:c>
      <x:c r="K589" s="16" t="str">
        <x:v>Wichita</x:v>
      </x:c>
      <x:c r="L589" s="16" t="str">
        <x:v>Public property-business route; investor decision maker unconfirmed</x:v>
      </x:c>
      <x:c r="M589" s="16" t="str">
        <x:v>http://www.cooleyhomebuyer.com/</x:v>
      </x:c>
      <x:c r="N589" s="16" t="str">
        <x:v>$100K-$500K ticket not published / unconfirmed</x:v>
      </x:c>
      <x:c r="O589" s="20"/>
      <x:c r="P589" s="20"/>
      <x:c r="Q589" s="25" t="str">
        <x:v>No direct corporate-capital range established in checked source</x:v>
      </x:c>
      <x:c r="R589" s="25" t="str">
        <x:v>Property acquisition or investor activity makes this an operator-capital prospect for the signed trial. Confirm operating-company debt/equity appetite.</x:v>
      </x:c>
      <x:c r="S589" s="25"/>
      <x:c r="T589" s="25" t="str">
        <x:v>Ask the owner/investor whether they can allocate $100K-$500K to trial marketing and acquisitions, and confirm structure, timing and decision authority.</x:v>
      </x:c>
      <x:c r="U589" s="25" t="str">
        <x:v>https://www.cashhomebuyersdirectory.com/cash-home-buyers/kansas/wichita</x:v>
      </x:c>
      <x:c r="V589" s="26" t="d">
        <x:v>2026-10-02T00:00:00.000Z</x:v>
      </x:c>
      <x:c r="W589" s="26" t="d">
        <x:v>2026-10-02T00:00:00.000Z</x:v>
      </x:c>
      <x:c r="X589" s="25" t="str">
        <x:v>CashHomeBuyersDirectory third-party business listing; first-party business activity not checked in this batch</x:v>
      </x:c>
      <x:c r="Y589" s="25"/>
      <x:c r="Z589" s="25" t="str">
        <x:v>https://www.cashhomebuyersdirectory.com/cash-home-buyers/kansas/wichita</x:v>
      </x:c>
      <x:c r="AA589" s="25" t="str">
        <x:v>Public cash-home-buyer directory lists the business name, business phone/website where available and market. Operator role and corporate funding willingness require confirmation.</x:v>
      </x:c>
      <x:c r="AB589" s="3" t="str">
        <x:v>New public-source collection</x:v>
      </x:c>
      <x:c r="AC589" s="3" t="str">
        <x:v>unverified</x:v>
      </x:c>
      <x:c r="AD589" s="3" t="str">
        <x:v>Not contacted / unconfirmed</x:v>
      </x:c>
      <x:c r="AE589" s="3" t="str">
        <x:v>No</x:v>
      </x:c>
      <x:c r="AF589" s="3" t="str">
        <x:v>No</x:v>
      </x:c>
      <x:c r="AG589" s="3"/>
      <x:c r="AH589" s="3"/>
      <x:c r="AI589" s="18"/>
      <x:c r="AJ589" s="3" t="str">
        <x:v>CF2500-9C3892A8ECE5</x:v>
      </x:c>
      <x:c r="AK589" s="3" t="str">
        <x:v>real_estate_operator</x:v>
      </x:c>
      <x:c r="AL589" s="19" t="n">
        <x:v>100000</x:v>
      </x:c>
      <x:c r="AM589" s="19" t="n">
        <x:v>500000</x:v>
      </x:c>
      <x:c r="AN589" s="3" t="str">
        <x:v>https://www.cashhomebuyersdirectory.com/cash-home-buyers/kansas/wichita</x:v>
      </x:c>
      <x:c r="AO589" s="3" t="str">
        <x:v>national_rest_directory_complete.jsonl</x:v>
      </x:c>
      <x:c r="AP589" s="19"/>
    </x:row>
    <x:row r="590" ht="36" customHeight="1">
      <x:c r="A590" s="23" t="n">
        <x:v>589</x:v>
      </x:c>
      <x:c r="B590" s="15" t="str">
        <x:v>Cozy Homebuyers</x:v>
      </x:c>
      <x:c r="C590" s="15"/>
      <x:c r="D590" s="15" t="str">
        <x:v>Property investor / home-buying operator</x:v>
      </x:c>
      <x:c r="E590" s="15" t="str">
        <x:v>Property investor / operator inquiry</x:v>
      </x:c>
      <x:c r="F590" s="17" t="str">
        <x:v>New</x:v>
      </x:c>
      <x:c r="G590" s="24"/>
      <x:c r="H590" s="24" t="str">
        <x:v>+12568012400</x:v>
      </x:c>
      <x:c r="I590" s="24" t="str">
        <x:v>https://www.cozyhomebuyers.com/</x:v>
      </x:c>
      <x:c r="J590" s="16" t="str">
        <x:v>AL</x:v>
      </x:c>
      <x:c r="K590" s="16"/>
      <x:c r="L590" s="16" t="str">
        <x:v>Public property-business route; investor decision maker unconfirmed</x:v>
      </x:c>
      <x:c r="M590" s="16" t="str">
        <x:v>https://www.cozyhomebuyers.com/</x:v>
      </x:c>
      <x:c r="N590" s="16" t="str">
        <x:v>$100K-$500K ticket not published / unconfirmed</x:v>
      </x:c>
      <x:c r="O590" s="20"/>
      <x:c r="P590" s="20"/>
      <x:c r="Q590" s="25" t="str">
        <x:v>No direct corporate-capital range established in checked source</x:v>
      </x:c>
      <x:c r="R590" s="25" t="str">
        <x:v>Property acquisition or investor activity makes this an operator-capital prospect for the signed trial. Confirm operating-company debt/equity appetite.</x:v>
      </x:c>
      <x:c r="S590" s="25"/>
      <x:c r="T590" s="25" t="str">
        <x:v>Ask the owner/investor whether they can allocate $100K-$500K to trial marketing and acquisitions, and confirm structure, timing and decision authority.</x:v>
      </x:c>
      <x:c r="U590" s="25" t="str">
        <x:v>https://www.cashhomebuyersdirectory.com/cash-home-buyers/alabama/huntsville</x:v>
      </x:c>
      <x:c r="V590" s="26" t="d">
        <x:v>2026-10-02T00:00:00.000Z</x:v>
      </x:c>
      <x:c r="W590" s="26" t="d">
        <x:v>2026-10-02T00:00:00.000Z</x:v>
      </x:c>
      <x:c r="X590" s="25" t="str">
        <x:v>CashHomeBuyersDirectory third-party business listing; first-party business activity not checked in this batch</x:v>
      </x:c>
      <x:c r="Y590" s="25"/>
      <x:c r="Z590" s="25" t="str">
        <x:v>https://www.cashhomebuyersdirectory.com/cash-home-buyers/alabama/huntsville</x:v>
      </x:c>
      <x:c r="AA590" s="25" t="str">
        <x:v>Public cash-home-buyer directory lists the business name, business phone/website where available and market. Operator role and corporate funding willingness require confirmation.</x:v>
      </x:c>
      <x:c r="AB590" s="3" t="str">
        <x:v>New public-source collection</x:v>
      </x:c>
      <x:c r="AC590" s="3" t="str">
        <x:v>unverified</x:v>
      </x:c>
      <x:c r="AD590" s="3" t="str">
        <x:v>Not contacted / unconfirmed</x:v>
      </x:c>
      <x:c r="AE590" s="3" t="str">
        <x:v>No</x:v>
      </x:c>
      <x:c r="AF590" s="3" t="str">
        <x:v>No</x:v>
      </x:c>
      <x:c r="AG590" s="3"/>
      <x:c r="AH590" s="3"/>
      <x:c r="AI590" s="18"/>
      <x:c r="AJ590" s="3" t="str">
        <x:v>CF2500-1C945049D186</x:v>
      </x:c>
      <x:c r="AK590" s="3" t="str">
        <x:v>real_estate_operator</x:v>
      </x:c>
      <x:c r="AL590" s="19" t="n">
        <x:v>100000</x:v>
      </x:c>
      <x:c r="AM590" s="19" t="n">
        <x:v>500000</x:v>
      </x:c>
      <x:c r="AN590" s="3" t="str">
        <x:v>https://www.cashhomebuyersdirectory.com/cash-home-buyers/alabama/huntsville</x:v>
      </x:c>
      <x:c r="AO590" s="3" t="str">
        <x:v>national_rest_directory_complete.jsonl</x:v>
      </x:c>
      <x:c r="AP590" s="19"/>
    </x:row>
    <x:row r="591" ht="36" customHeight="1">
      <x:c r="A591" s="23" t="n">
        <x:v>590</x:v>
      </x:c>
      <x:c r="B591" s="15" t="str">
        <x:v>CURRENT HOME BUYERS</x:v>
      </x:c>
      <x:c r="C591" s="15"/>
      <x:c r="D591" s="15" t="str">
        <x:v>Property investor / home-buying operator</x:v>
      </x:c>
      <x:c r="E591" s="15" t="str">
        <x:v>Property investor / operator inquiry</x:v>
      </x:c>
      <x:c r="F591" s="17" t="str">
        <x:v>New</x:v>
      </x:c>
      <x:c r="G591" s="24"/>
      <x:c r="H591" s="24" t="str">
        <x:v>+13175935983</x:v>
      </x:c>
      <x:c r="I591" s="24" t="str">
        <x:v>http://currenthomebuyers.com/</x:v>
      </x:c>
      <x:c r="J591" s="16" t="str">
        <x:v>IN</x:v>
      </x:c>
      <x:c r="K591" s="16" t="str">
        <x:v>Indianapolis</x:v>
      </x:c>
      <x:c r="L591" s="16" t="str">
        <x:v>Public property-business route; investor decision maker unconfirmed</x:v>
      </x:c>
      <x:c r="M591" s="16" t="str">
        <x:v>http://currenthomebuyers.com/</x:v>
      </x:c>
      <x:c r="N591" s="16" t="str">
        <x:v>$100K-$500K ticket not published / unconfirmed</x:v>
      </x:c>
      <x:c r="O591" s="20"/>
      <x:c r="P591" s="20"/>
      <x:c r="Q591" s="25" t="str">
        <x:v>No direct corporate-capital range established in checked source</x:v>
      </x:c>
      <x:c r="R591" s="25" t="str">
        <x:v>Property acquisition or investor activity makes this an operator-capital prospect for the signed trial. Confirm operating-company debt/equity appetite.</x:v>
      </x:c>
      <x:c r="S591" s="25"/>
      <x:c r="T591" s="25" t="str">
        <x:v>Ask the owner/investor whether they can allocate $100K-$500K to trial marketing and acquisitions, and confirm structure, timing and decision authority.</x:v>
      </x:c>
      <x:c r="U591" s="25" t="str">
        <x:v>https://www.cashhomebuyersdirectory.com/cash-home-buyers/indiana/indianapolis</x:v>
      </x:c>
      <x:c r="V591" s="26" t="d">
        <x:v>2026-10-02T00:00:00.000Z</x:v>
      </x:c>
      <x:c r="W591" s="26" t="d">
        <x:v>2026-10-02T00:00:00.000Z</x:v>
      </x:c>
      <x:c r="X591" s="25" t="str">
        <x:v>CashHomeBuyersDirectory third-party business listing; first-party business activity not checked in this batch</x:v>
      </x:c>
      <x:c r="Y591" s="25"/>
      <x:c r="Z591" s="25" t="str">
        <x:v>https://www.cashhomebuyersdirectory.com/cash-home-buyers/indiana/indianapolis</x:v>
      </x:c>
      <x:c r="AA591" s="25" t="str">
        <x:v>Public cash-home-buyer directory lists the business name, business phone/website where available and market. Operator role and corporate funding willingness require confirmation.</x:v>
      </x:c>
      <x:c r="AB591" s="3" t="str">
        <x:v>New public-source collection</x:v>
      </x:c>
      <x:c r="AC591" s="3" t="str">
        <x:v>unverified</x:v>
      </x:c>
      <x:c r="AD591" s="3" t="str">
        <x:v>Not contacted / unconfirmed</x:v>
      </x:c>
      <x:c r="AE591" s="3" t="str">
        <x:v>No</x:v>
      </x:c>
      <x:c r="AF591" s="3" t="str">
        <x:v>No</x:v>
      </x:c>
      <x:c r="AG591" s="3"/>
      <x:c r="AH591" s="3"/>
      <x:c r="AI591" s="18"/>
      <x:c r="AJ591" s="3" t="str">
        <x:v>CF2500-E0017D1359F8</x:v>
      </x:c>
      <x:c r="AK591" s="3" t="str">
        <x:v>real_estate_operator</x:v>
      </x:c>
      <x:c r="AL591" s="19" t="n">
        <x:v>100000</x:v>
      </x:c>
      <x:c r="AM591" s="19" t="n">
        <x:v>500000</x:v>
      </x:c>
      <x:c r="AN591" s="3" t="str">
        <x:v>https://www.cashhomebuyersdirectory.com/cash-home-buyers/indiana/indianapolis</x:v>
      </x:c>
      <x:c r="AO591" s="3" t="str">
        <x:v>national_rest_directory_complete.jsonl</x:v>
      </x:c>
      <x:c r="AP591" s="19"/>
    </x:row>
    <x:row r="592" ht="36" customHeight="1">
      <x:c r="A592" s="23" t="n">
        <x:v>591</x:v>
      </x:c>
      <x:c r="B592" s="15" t="str">
        <x:v>Dynasty Home Buyers</x:v>
      </x:c>
      <x:c r="C592" s="15"/>
      <x:c r="D592" s="15" t="str">
        <x:v>Property investor / home-buying operator</x:v>
      </x:c>
      <x:c r="E592" s="15" t="str">
        <x:v>Property investor / operator inquiry</x:v>
      </x:c>
      <x:c r="F592" s="17" t="str">
        <x:v>New</x:v>
      </x:c>
      <x:c r="G592" s="24"/>
      <x:c r="H592" s="24" t="str">
        <x:v>+12195292196</x:v>
      </x:c>
      <x:c r="I592" s="24" t="str">
        <x:v>https://dynastybuyshomes.com/</x:v>
      </x:c>
      <x:c r="J592" s="16" t="str">
        <x:v>IN</x:v>
      </x:c>
      <x:c r="K592" s="16" t="str">
        <x:v>Griffith</x:v>
      </x:c>
      <x:c r="L592" s="16" t="str">
        <x:v>Public property-business route; investor decision maker unconfirmed</x:v>
      </x:c>
      <x:c r="M592" s="16" t="str">
        <x:v>https://dynastybuyshomes.com/</x:v>
      </x:c>
      <x:c r="N592" s="16" t="str">
        <x:v>$100K-$500K ticket not published / unconfirmed</x:v>
      </x:c>
      <x:c r="O592" s="20"/>
      <x:c r="P592" s="20"/>
      <x:c r="Q592" s="25" t="str">
        <x:v>No direct corporate-capital range established in checked source</x:v>
      </x:c>
      <x:c r="R592" s="25" t="str">
        <x:v>Property acquisition or investor activity makes this an operator-capital prospect for the signed trial. Confirm operating-company debt/equity appetite.</x:v>
      </x:c>
      <x:c r="S592" s="25"/>
      <x:c r="T592" s="25" t="str">
        <x:v>Ask the owner/investor whether they can allocate $100K-$500K to trial marketing and acquisitions, and confirm structure, timing and decision authority.</x:v>
      </x:c>
      <x:c r="U592" s="25" t="str">
        <x:v>https://www.cashhomebuyersdirectory.com/cash-home-buyers/indiana/griffith</x:v>
      </x:c>
      <x:c r="V592" s="26" t="d">
        <x:v>2026-10-02T00:00:00.000Z</x:v>
      </x:c>
      <x:c r="W592" s="26" t="d">
        <x:v>2026-10-02T00:00:00.000Z</x:v>
      </x:c>
      <x:c r="X592" s="25" t="str">
        <x:v>CashHomeBuyersDirectory third-party business listing; first-party business activity not checked in this batch</x:v>
      </x:c>
      <x:c r="Y592" s="25"/>
      <x:c r="Z592" s="25" t="str">
        <x:v>https://www.cashhomebuyersdirectory.com/cash-home-buyers/indiana/griffith</x:v>
      </x:c>
      <x:c r="AA592" s="25" t="str">
        <x:v>Public cash-home-buyer directory lists the business name, business phone/website where available and market. Operator role and corporate funding willingness require confirmation.</x:v>
      </x:c>
      <x:c r="AB592" s="3" t="str">
        <x:v>New public-source collection</x:v>
      </x:c>
      <x:c r="AC592" s="3" t="str">
        <x:v>unverified</x:v>
      </x:c>
      <x:c r="AD592" s="3" t="str">
        <x:v>Not contacted / unconfirmed</x:v>
      </x:c>
      <x:c r="AE592" s="3" t="str">
        <x:v>No</x:v>
      </x:c>
      <x:c r="AF592" s="3" t="str">
        <x:v>No</x:v>
      </x:c>
      <x:c r="AG592" s="3"/>
      <x:c r="AH592" s="3"/>
      <x:c r="AI592" s="18"/>
      <x:c r="AJ592" s="3" t="str">
        <x:v>CF2500-EE0D4FA859E1</x:v>
      </x:c>
      <x:c r="AK592" s="3" t="str">
        <x:v>real_estate_operator</x:v>
      </x:c>
      <x:c r="AL592" s="19" t="n">
        <x:v>100000</x:v>
      </x:c>
      <x:c r="AM592" s="19" t="n">
        <x:v>500000</x:v>
      </x:c>
      <x:c r="AN592" s="3" t="str">
        <x:v>https://www.cashhomebuyersdirectory.com/cash-home-buyers/indiana/griffith</x:v>
      </x:c>
      <x:c r="AO592" s="3" t="str">
        <x:v>national_rest_directory_complete.jsonl</x:v>
      </x:c>
      <x:c r="AP592" s="19"/>
    </x:row>
    <x:row r="593" ht="36" customHeight="1">
      <x:c r="A593" s="23" t="n">
        <x:v>592</x:v>
      </x:c>
      <x:c r="B593" s="15" t="str">
        <x:v>Eagle Home Investors LLC</x:v>
      </x:c>
      <x:c r="C593" s="15"/>
      <x:c r="D593" s="15" t="str">
        <x:v>Property investor / home-buying operator</x:v>
      </x:c>
      <x:c r="E593" s="15" t="str">
        <x:v>Property investor / operator inquiry</x:v>
      </x:c>
      <x:c r="F593" s="17" t="str">
        <x:v>New</x:v>
      </x:c>
      <x:c r="G593" s="24"/>
      <x:c r="H593" s="24" t="str">
        <x:v>+13176327663</x:v>
      </x:c>
      <x:c r="I593" s="24" t="str">
        <x:v>http://eaglehomeinvestors.com/</x:v>
      </x:c>
      <x:c r="J593" s="16" t="str">
        <x:v>IN</x:v>
      </x:c>
      <x:c r="K593" s="16" t="str">
        <x:v>Indianapolis</x:v>
      </x:c>
      <x:c r="L593" s="16" t="str">
        <x:v>Public property-business route; investor decision maker unconfirmed</x:v>
      </x:c>
      <x:c r="M593" s="16" t="str">
        <x:v>http://eaglehomeinvestors.com/</x:v>
      </x:c>
      <x:c r="N593" s="16" t="str">
        <x:v>$100K-$500K ticket not published / unconfirmed</x:v>
      </x:c>
      <x:c r="O593" s="20"/>
      <x:c r="P593" s="20"/>
      <x:c r="Q593" s="25" t="str">
        <x:v>No direct corporate-capital range established in checked source</x:v>
      </x:c>
      <x:c r="R593" s="25" t="str">
        <x:v>Property acquisition or investor activity makes this an operator-capital prospect for the signed trial. Confirm operating-company debt/equity appetite.</x:v>
      </x:c>
      <x:c r="S593" s="25"/>
      <x:c r="T593" s="25" t="str">
        <x:v>Ask the owner/investor whether they can allocate $100K-$500K to trial marketing and acquisitions, and confirm structure, timing and decision authority.</x:v>
      </x:c>
      <x:c r="U593" s="25" t="str">
        <x:v>https://www.cashhomebuyersdirectory.com/cash-home-buyers/indiana/indianapolis</x:v>
      </x:c>
      <x:c r="V593" s="26" t="d">
        <x:v>2026-10-02T00:00:00.000Z</x:v>
      </x:c>
      <x:c r="W593" s="26" t="d">
        <x:v>2026-10-02T00:00:00.000Z</x:v>
      </x:c>
      <x:c r="X593" s="25" t="str">
        <x:v>CashHomeBuyersDirectory third-party business listing; first-party business activity not checked in this batch</x:v>
      </x:c>
      <x:c r="Y593" s="25"/>
      <x:c r="Z593" s="25" t="str">
        <x:v>https://www.cashhomebuyersdirectory.com/cash-home-buyers/indiana/indianapolis</x:v>
      </x:c>
      <x:c r="AA593" s="25" t="str">
        <x:v>Public cash-home-buyer directory lists the business name, business phone/website where available and market. Operator role and corporate funding willingness require confirmation.</x:v>
      </x:c>
      <x:c r="AB593" s="3" t="str">
        <x:v>New public-source collection</x:v>
      </x:c>
      <x:c r="AC593" s="3" t="str">
        <x:v>unverified</x:v>
      </x:c>
      <x:c r="AD593" s="3" t="str">
        <x:v>Not contacted / unconfirmed</x:v>
      </x:c>
      <x:c r="AE593" s="3" t="str">
        <x:v>No</x:v>
      </x:c>
      <x:c r="AF593" s="3" t="str">
        <x:v>No</x:v>
      </x:c>
      <x:c r="AG593" s="3"/>
      <x:c r="AH593" s="3"/>
      <x:c r="AI593" s="18"/>
      <x:c r="AJ593" s="3" t="str">
        <x:v>CF2500-9660B82665AA</x:v>
      </x:c>
      <x:c r="AK593" s="3" t="str">
        <x:v>real_estate_operator</x:v>
      </x:c>
      <x:c r="AL593" s="19" t="n">
        <x:v>100000</x:v>
      </x:c>
      <x:c r="AM593" s="19" t="n">
        <x:v>500000</x:v>
      </x:c>
      <x:c r="AN593" s="3" t="str">
        <x:v>https://www.cashhomebuyersdirectory.com/cash-home-buyers/indiana/indianapolis</x:v>
      </x:c>
      <x:c r="AO593" s="3" t="str">
        <x:v>national_rest_directory_complete.jsonl</x:v>
      </x:c>
      <x:c r="AP593" s="19"/>
    </x:row>
    <x:row r="594" ht="36" customHeight="1">
      <x:c r="A594" s="23" t="n">
        <x:v>593</x:v>
      </x:c>
      <x:c r="B594" s="15" t="str">
        <x:v>East Tennessee Home Buyers LLC</x:v>
      </x:c>
      <x:c r="C594" s="15"/>
      <x:c r="D594" s="15" t="str">
        <x:v>Property investor / home-buying operator</x:v>
      </x:c>
      <x:c r="E594" s="15" t="str">
        <x:v>Property investor / operator inquiry</x:v>
      </x:c>
      <x:c r="F594" s="17" t="str">
        <x:v>New</x:v>
      </x:c>
      <x:c r="G594" s="24"/>
      <x:c r="H594" s="24" t="str">
        <x:v>+18659358680</x:v>
      </x:c>
      <x:c r="I594" s="24" t="str">
        <x:v>http://www.easttnhomebuyers.com/</x:v>
      </x:c>
      <x:c r="J594" s="16" t="str">
        <x:v>TN</x:v>
      </x:c>
      <x:c r="K594" s="16" t="str">
        <x:v>Knoxville</x:v>
      </x:c>
      <x:c r="L594" s="16" t="str">
        <x:v>Public property-business route; investor decision maker unconfirmed</x:v>
      </x:c>
      <x:c r="M594" s="16" t="str">
        <x:v>http://www.easttnhomebuyers.com/</x:v>
      </x:c>
      <x:c r="N594" s="16" t="str">
        <x:v>$100K-$500K ticket not published / unconfirmed</x:v>
      </x:c>
      <x:c r="O594" s="20"/>
      <x:c r="P594" s="20"/>
      <x:c r="Q594" s="25" t="str">
        <x:v>No direct corporate-capital range established in checked source</x:v>
      </x:c>
      <x:c r="R594" s="25" t="str">
        <x:v>Property acquisition or investor activity makes this an operator-capital prospect for the signed trial. Confirm operating-company debt/equity appetite.</x:v>
      </x:c>
      <x:c r="S594" s="25"/>
      <x:c r="T594" s="25" t="str">
        <x:v>Ask the owner/investor whether they can allocate $100K-$500K to trial marketing and acquisitions, and confirm structure, timing and decision authority.</x:v>
      </x:c>
      <x:c r="U594" s="25" t="str">
        <x:v>https://www.cashhomebuyersdirectory.com/cash-home-buyers/tennessee/knoxville</x:v>
      </x:c>
      <x:c r="V594" s="26" t="d">
        <x:v>2026-10-02T00:00:00.000Z</x:v>
      </x:c>
      <x:c r="W594" s="26" t="d">
        <x:v>2026-10-02T00:00:00.000Z</x:v>
      </x:c>
      <x:c r="X594" s="25" t="str">
        <x:v>CashHomeBuyersDirectory third-party business listing; first-party business activity not checked in this batch</x:v>
      </x:c>
      <x:c r="Y594" s="25"/>
      <x:c r="Z594" s="25" t="str">
        <x:v>https://www.cashhomebuyersdirectory.com/cash-home-buyers/tennessee/knoxville</x:v>
      </x:c>
      <x:c r="AA594" s="25" t="str">
        <x:v>Public cash-home-buyer directory lists the business name, business phone/website where available and market. Operator role and corporate funding willingness require confirmation.</x:v>
      </x:c>
      <x:c r="AB594" s="3" t="str">
        <x:v>New public-source collection</x:v>
      </x:c>
      <x:c r="AC594" s="3" t="str">
        <x:v>unverified</x:v>
      </x:c>
      <x:c r="AD594" s="3" t="str">
        <x:v>Not contacted / unconfirmed</x:v>
      </x:c>
      <x:c r="AE594" s="3" t="str">
        <x:v>No</x:v>
      </x:c>
      <x:c r="AF594" s="3" t="str">
        <x:v>No</x:v>
      </x:c>
      <x:c r="AG594" s="3"/>
      <x:c r="AH594" s="3"/>
      <x:c r="AI594" s="18"/>
      <x:c r="AJ594" s="3" t="str">
        <x:v>CF2500-36614DB72CD4</x:v>
      </x:c>
      <x:c r="AK594" s="3" t="str">
        <x:v>real_estate_operator</x:v>
      </x:c>
      <x:c r="AL594" s="19" t="n">
        <x:v>100000</x:v>
      </x:c>
      <x:c r="AM594" s="19" t="n">
        <x:v>500000</x:v>
      </x:c>
      <x:c r="AN594" s="3" t="str">
        <x:v>https://www.cashhomebuyersdirectory.com/cash-home-buyers/tennessee/knoxville</x:v>
      </x:c>
      <x:c r="AO594" s="3" t="str">
        <x:v>national_rest_directory_complete.jsonl</x:v>
      </x:c>
      <x:c r="AP594" s="19"/>
    </x:row>
    <x:row r="595" ht="36" customHeight="1">
      <x:c r="A595" s="23" t="n">
        <x:v>594</x:v>
      </x:c>
      <x:c r="B595" s="15" t="str">
        <x:v>Elevation Home Buyers</x:v>
      </x:c>
      <x:c r="C595" s="15"/>
      <x:c r="D595" s="15" t="str">
        <x:v>Property investor / home-buying operator</x:v>
      </x:c>
      <x:c r="E595" s="15" t="str">
        <x:v>Property investor / operator inquiry</x:v>
      </x:c>
      <x:c r="F595" s="17" t="str">
        <x:v>New</x:v>
      </x:c>
      <x:c r="G595" s="24"/>
      <x:c r="H595" s="24" t="str">
        <x:v>+17204665526</x:v>
      </x:c>
      <x:c r="I595" s="24" t="str">
        <x:v>http://elevationhomebuyers.com/</x:v>
      </x:c>
      <x:c r="J595" s="16" t="str">
        <x:v>CO</x:v>
      </x:c>
      <x:c r="K595" s="16" t="str">
        <x:v>Lakewood</x:v>
      </x:c>
      <x:c r="L595" s="16" t="str">
        <x:v>Public property-business route; investor decision maker unconfirmed</x:v>
      </x:c>
      <x:c r="M595" s="16" t="str">
        <x:v>http://elevationhomebuyers.com/</x:v>
      </x:c>
      <x:c r="N595" s="16" t="str">
        <x:v>$100K-$500K ticket not published / unconfirmed</x:v>
      </x:c>
      <x:c r="O595" s="20"/>
      <x:c r="P595" s="20"/>
      <x:c r="Q595" s="25" t="str">
        <x:v>No $100K-$500K operating-company investment ticket verified</x:v>
      </x:c>
      <x:c r="R595" s="25" t="str">
        <x:v>Property acquisition or investor activity makes this an operator-capital prospect for the signed trial. Confirm operating-company debt/equity appetite.</x:v>
      </x:c>
      <x:c r="S595" s="25" t="str">
        <x:v>Public property-buying activity or a directory listing does not establish available cash, investing decision-maker, current $100K-$500K capacity, or willingness to fund 101XVC operating costs.</x:v>
      </x:c>
      <x:c r="T595" s="25" t="str">
        <x:v>Ask the owner/investor whether they can allocate $100K-$500K to trial marketing and acquisitions, and confirm structure, timing and decision authority.</x:v>
      </x:c>
      <x:c r="U595" s="25" t="str">
        <x:v>https://www.cashhomebuyersdirectory.com/cash-home-buyers/colorado/lakewood</x:v>
      </x:c>
      <x:c r="V595" s="26" t="d">
        <x:v>2026-10-02T00:00:00.000Z</x:v>
      </x:c>
      <x:c r="W595" s="26" t="d">
        <x:v>2026-10-02T00:00:00.000Z</x:v>
      </x:c>
      <x:c r="X595" s="25" t="str">
        <x:v>Public investor directory; business role and contact ownership require qualification</x:v>
      </x:c>
      <x:c r="Y595" s="25"/>
      <x:c r="Z595" s="25" t="str">
        <x:v>https://www.cashhomebuyersdirectory.com/cash-home-buyers/colorado/lakewood</x:v>
      </x:c>
      <x:c r="AA595" s="25" t="str">
        <x:v>Public cash-home-buyer directory lists business name, phone and market. Directory entry may include brokers or service providers.</x:v>
      </x:c>
      <x:c r="AB595" s="3" t="str">
        <x:v>New public-source collection</x:v>
      </x:c>
      <x:c r="AC595" s="3" t="str">
        <x:v>unverified</x:v>
      </x:c>
      <x:c r="AD595" s="3" t="str">
        <x:v>Not contacted / unconfirmed</x:v>
      </x:c>
      <x:c r="AE595" s="3" t="str">
        <x:v>No</x:v>
      </x:c>
      <x:c r="AF595" s="3" t="str">
        <x:v>No</x:v>
      </x:c>
      <x:c r="AG595" s="3"/>
      <x:c r="AH595" s="3"/>
      <x:c r="AI595" s="18"/>
      <x:c r="AJ595" s="3" t="str">
        <x:v>CF2500-5365443592A8</x:v>
      </x:c>
      <x:c r="AK595" s="3" t="str">
        <x:v>Property investor / home-buying operator prospect</x:v>
      </x:c>
      <x:c r="AL595" s="19" t="n">
        <x:v>100000</x:v>
      </x:c>
      <x:c r="AM595" s="19" t="n">
        <x:v>500000</x:v>
      </x:c>
      <x:c r="AN595" s="3" t="str">
        <x:v>https://www.cashhomebuyersdirectory.com/cash-home-buyers/colorado/lakewood</x:v>
      </x:c>
      <x:c r="AO595" s="3" t="str">
        <x:v>nc_il_az_co_investors.jsonl</x:v>
      </x:c>
      <x:c r="AP595" s="19"/>
    </x:row>
    <x:row r="596" ht="36" customHeight="1">
      <x:c r="A596" s="23" t="n">
        <x:v>595</x:v>
      </x:c>
      <x:c r="B596" s="15" t="str">
        <x:v>Elite Cash Offers</x:v>
      </x:c>
      <x:c r="C596" s="15"/>
      <x:c r="D596" s="15" t="str">
        <x:v>Property investor / home-buying operator</x:v>
      </x:c>
      <x:c r="E596" s="15" t="str">
        <x:v>Property investor / operator inquiry</x:v>
      </x:c>
      <x:c r="F596" s="17" t="str">
        <x:v>New</x:v>
      </x:c>
      <x:c r="G596" s="24"/>
      <x:c r="H596" s="24" t="str">
        <x:v>+13165535146</x:v>
      </x:c>
      <x:c r="I596" s="24" t="str">
        <x:v>https://elitecashoffers.com/about/</x:v>
      </x:c>
      <x:c r="J596" s="16" t="str">
        <x:v>KS</x:v>
      </x:c>
      <x:c r="K596" s="16" t="str">
        <x:v>Wichita</x:v>
      </x:c>
      <x:c r="L596" s="16" t="str">
        <x:v>Public property-business route; investor decision maker unconfirmed</x:v>
      </x:c>
      <x:c r="M596" s="16" t="str">
        <x:v>https://elitecashoffers.com/about/</x:v>
      </x:c>
      <x:c r="N596" s="16" t="str">
        <x:v>$100K-$500K ticket not published / unconfirmed</x:v>
      </x:c>
      <x:c r="O596" s="20"/>
      <x:c r="P596" s="20"/>
      <x:c r="Q596" s="25" t="str">
        <x:v>No direct corporate-capital range established in checked source</x:v>
      </x:c>
      <x:c r="R596" s="25" t="str">
        <x:v>Property acquisition or investor activity makes this an operator-capital prospect for the signed trial. Confirm operating-company debt/equity appetite.</x:v>
      </x:c>
      <x:c r="S596" s="25"/>
      <x:c r="T596" s="25" t="str">
        <x:v>Ask the owner/investor whether they can allocate $100K-$500K to trial marketing and acquisitions, and confirm structure, timing and decision authority.</x:v>
      </x:c>
      <x:c r="U596" s="25" t="str">
        <x:v>https://www.cashhomebuyersdirectory.com/cash-home-buyers/kansas/wichita</x:v>
      </x:c>
      <x:c r="V596" s="26" t="d">
        <x:v>2026-10-02T00:00:00.000Z</x:v>
      </x:c>
      <x:c r="W596" s="26" t="d">
        <x:v>2026-10-02T00:00:00.000Z</x:v>
      </x:c>
      <x:c r="X596" s="25" t="str">
        <x:v>CashHomeBuyersDirectory third-party business listing; first-party business activity not checked in this batch</x:v>
      </x:c>
      <x:c r="Y596" s="25"/>
      <x:c r="Z596" s="25" t="str">
        <x:v>https://www.cashhomebuyersdirectory.com/cash-home-buyers/kansas/wichita</x:v>
      </x:c>
      <x:c r="AA596" s="25" t="str">
        <x:v>Public cash-home-buyer directory lists the business name, business phone/website where available and market. Operator role and corporate funding willingness require confirmation.</x:v>
      </x:c>
      <x:c r="AB596" s="3" t="str">
        <x:v>New public-source collection</x:v>
      </x:c>
      <x:c r="AC596" s="3" t="str">
        <x:v>unverified</x:v>
      </x:c>
      <x:c r="AD596" s="3" t="str">
        <x:v>Not contacted / unconfirmed</x:v>
      </x:c>
      <x:c r="AE596" s="3" t="str">
        <x:v>No</x:v>
      </x:c>
      <x:c r="AF596" s="3" t="str">
        <x:v>No</x:v>
      </x:c>
      <x:c r="AG596" s="3"/>
      <x:c r="AH596" s="3"/>
      <x:c r="AI596" s="18"/>
      <x:c r="AJ596" s="3" t="str">
        <x:v>CF2500-7C352F46C03C</x:v>
      </x:c>
      <x:c r="AK596" s="3" t="str">
        <x:v>real_estate_operator</x:v>
      </x:c>
      <x:c r="AL596" s="19" t="n">
        <x:v>100000</x:v>
      </x:c>
      <x:c r="AM596" s="19" t="n">
        <x:v>500000</x:v>
      </x:c>
      <x:c r="AN596" s="3" t="str">
        <x:v>https://www.cashhomebuyersdirectory.com/cash-home-buyers/kansas/wichita</x:v>
      </x:c>
      <x:c r="AO596" s="3" t="str">
        <x:v>national_rest_directory_complete.jsonl</x:v>
      </x:c>
      <x:c r="AP596" s="19"/>
    </x:row>
    <x:row r="597" ht="36" customHeight="1">
      <x:c r="A597" s="23" t="n">
        <x:v>596</x:v>
      </x:c>
      <x:c r="B597" s="15" t="str">
        <x:v>Engauge Home Buyers</x:v>
      </x:c>
      <x:c r="C597" s="15"/>
      <x:c r="D597" s="15" t="str">
        <x:v>Property investor / home-buying operator</x:v>
      </x:c>
      <x:c r="E597" s="15" t="str">
        <x:v>Property investor / operator inquiry</x:v>
      </x:c>
      <x:c r="F597" s="17" t="str">
        <x:v>New</x:v>
      </x:c>
      <x:c r="G597" s="24"/>
      <x:c r="H597" s="24" t="str">
        <x:v>+16159621128</x:v>
      </x:c>
      <x:c r="I597" s="24" t="str">
        <x:v>http://www.engaugehomebuyers.com/</x:v>
      </x:c>
      <x:c r="J597" s="16" t="str">
        <x:v>TN</x:v>
      </x:c>
      <x:c r="K597" s="16"/>
      <x:c r="L597" s="16" t="str">
        <x:v>Public property-business route; investor decision maker unconfirmed</x:v>
      </x:c>
      <x:c r="M597" s="16" t="str">
        <x:v>http://www.engaugehomebuyers.com/</x:v>
      </x:c>
      <x:c r="N597" s="16" t="str">
        <x:v>$100K-$500K ticket not published / unconfirmed</x:v>
      </x:c>
      <x:c r="O597" s="20"/>
      <x:c r="P597" s="20"/>
      <x:c r="Q597" s="25" t="str">
        <x:v>No direct corporate-capital range established in checked source</x:v>
      </x:c>
      <x:c r="R597" s="25" t="str">
        <x:v>Property acquisition or investor activity makes this an operator-capital prospect for the signed trial. Confirm operating-company debt/equity appetite.</x:v>
      </x:c>
      <x:c r="S597" s="25"/>
      <x:c r="T597" s="25" t="str">
        <x:v>Ask the owner/investor whether they can allocate $100K-$500K to trial marketing and acquisitions, and confirm structure, timing and decision authority.</x:v>
      </x:c>
      <x:c r="U597" s="25" t="str">
        <x:v>https://www.cashhomebuyersdirectory.com/cash-home-buyers/tennessee/murfreesboro</x:v>
      </x:c>
      <x:c r="V597" s="26" t="d">
        <x:v>2026-10-02T00:00:00.000Z</x:v>
      </x:c>
      <x:c r="W597" s="26" t="d">
        <x:v>2026-10-02T00:00:00.000Z</x:v>
      </x:c>
      <x:c r="X597" s="25" t="str">
        <x:v>CashHomeBuyersDirectory third-party business listing; first-party business activity not checked in this batch</x:v>
      </x:c>
      <x:c r="Y597" s="25"/>
      <x:c r="Z597" s="25" t="str">
        <x:v>https://www.cashhomebuyersdirectory.com/cash-home-buyers/tennessee/murfreesboro</x:v>
      </x:c>
      <x:c r="AA597" s="25" t="str">
        <x:v>Public cash-home-buyer directory lists the business name, business phone/website where available and market. Operator role and corporate funding willingness require confirmation.</x:v>
      </x:c>
      <x:c r="AB597" s="3" t="str">
        <x:v>New public-source collection</x:v>
      </x:c>
      <x:c r="AC597" s="3" t="str">
        <x:v>unverified</x:v>
      </x:c>
      <x:c r="AD597" s="3" t="str">
        <x:v>Not contacted / unconfirmed</x:v>
      </x:c>
      <x:c r="AE597" s="3" t="str">
        <x:v>No</x:v>
      </x:c>
      <x:c r="AF597" s="3" t="str">
        <x:v>No</x:v>
      </x:c>
      <x:c r="AG597" s="3"/>
      <x:c r="AH597" s="3"/>
      <x:c r="AI597" s="18"/>
      <x:c r="AJ597" s="3" t="str">
        <x:v>CF2500-54C82212BFAA</x:v>
      </x:c>
      <x:c r="AK597" s="3" t="str">
        <x:v>real_estate_operator</x:v>
      </x:c>
      <x:c r="AL597" s="19" t="n">
        <x:v>100000</x:v>
      </x:c>
      <x:c r="AM597" s="19" t="n">
        <x:v>500000</x:v>
      </x:c>
      <x:c r="AN597" s="3" t="str">
        <x:v>https://www.cashhomebuyersdirectory.com/cash-home-buyers/tennessee/murfreesboro</x:v>
      </x:c>
      <x:c r="AO597" s="3" t="str">
        <x:v>national_rest_directory_complete.jsonl</x:v>
      </x:c>
      <x:c r="AP597" s="19"/>
    </x:row>
    <x:row r="598" ht="36" customHeight="1">
      <x:c r="A598" s="23" t="n">
        <x:v>597</x:v>
      </x:c>
      <x:c r="B598" s="15" t="str">
        <x:v>Evervest Home Buyers</x:v>
      </x:c>
      <x:c r="C598" s="15"/>
      <x:c r="D598" s="15" t="str">
        <x:v>Property investor / home-buying operator</x:v>
      </x:c>
      <x:c r="E598" s="15" t="str">
        <x:v>Property investor / operator inquiry</x:v>
      </x:c>
      <x:c r="F598" s="17" t="str">
        <x:v>New</x:v>
      </x:c>
      <x:c r="G598" s="24"/>
      <x:c r="H598" s="24" t="str">
        <x:v>+13147300366</x:v>
      </x:c>
      <x:c r="I598" s="24" t="str">
        <x:v>https://evervesthomebuyers.com/?wdac-callrail=gmb&amp;wdac-referrer=GoogleMyBusiness</x:v>
      </x:c>
      <x:c r="J598" s="16" t="str">
        <x:v>MO</x:v>
      </x:c>
      <x:c r="K598" s="16" t="str">
        <x:v>St. Louis</x:v>
      </x:c>
      <x:c r="L598" s="16" t="str">
        <x:v>Public property-business route; investor decision maker unconfirmed</x:v>
      </x:c>
      <x:c r="M598" s="16" t="str">
        <x:v>https://evervesthomebuyers.com/?wdac-callrail=gmb&amp;wdac-referrer=GoogleMyBusiness</x:v>
      </x:c>
      <x:c r="N598" s="16" t="str">
        <x:v>$100K-$500K ticket not published / unconfirmed</x:v>
      </x:c>
      <x:c r="O598" s="20"/>
      <x:c r="P598" s="20"/>
      <x:c r="Q598" s="25" t="str">
        <x:v>No direct corporate-capital range established in checked source</x:v>
      </x:c>
      <x:c r="R598" s="25" t="str">
        <x:v>Property acquisition or investor activity makes this an operator-capital prospect for the signed trial. Confirm operating-company debt/equity appetite.</x:v>
      </x:c>
      <x:c r="S598" s="25"/>
      <x:c r="T598" s="25" t="str">
        <x:v>Ask the owner/investor whether they can allocate $100K-$500K to trial marketing and acquisitions, and confirm structure, timing and decision authority.</x:v>
      </x:c>
      <x:c r="U598" s="25" t="str">
        <x:v>https://www.cashhomebuyersdirectory.com/cash-home-buyers/missouri/st-louis</x:v>
      </x:c>
      <x:c r="V598" s="26" t="d">
        <x:v>2026-10-02T00:00:00.000Z</x:v>
      </x:c>
      <x:c r="W598" s="26" t="d">
        <x:v>2026-10-02T00:00:00.000Z</x:v>
      </x:c>
      <x:c r="X598" s="25" t="str">
        <x:v>CashHomeBuyersDirectory third-party business listing; first-party business activity not checked in this batch</x:v>
      </x:c>
      <x:c r="Y598" s="25"/>
      <x:c r="Z598" s="25" t="str">
        <x:v>https://www.cashhomebuyersdirectory.com/cash-home-buyers/missouri/st-louis</x:v>
      </x:c>
      <x:c r="AA598" s="25" t="str">
        <x:v>Public cash-home-buyer directory lists the business name, business phone/website where available and market. Operator role and corporate funding willingness require confirmation.</x:v>
      </x:c>
      <x:c r="AB598" s="3" t="str">
        <x:v>New public-source collection</x:v>
      </x:c>
      <x:c r="AC598" s="3" t="str">
        <x:v>unverified</x:v>
      </x:c>
      <x:c r="AD598" s="3" t="str">
        <x:v>Not contacted / unconfirmed</x:v>
      </x:c>
      <x:c r="AE598" s="3" t="str">
        <x:v>No</x:v>
      </x:c>
      <x:c r="AF598" s="3" t="str">
        <x:v>No</x:v>
      </x:c>
      <x:c r="AG598" s="3"/>
      <x:c r="AH598" s="3"/>
      <x:c r="AI598" s="18"/>
      <x:c r="AJ598" s="3" t="str">
        <x:v>CF2500-5C204B03D695</x:v>
      </x:c>
      <x:c r="AK598" s="3" t="str">
        <x:v>real_estate_operator</x:v>
      </x:c>
      <x:c r="AL598" s="19" t="n">
        <x:v>100000</x:v>
      </x:c>
      <x:c r="AM598" s="19" t="n">
        <x:v>500000</x:v>
      </x:c>
      <x:c r="AN598" s="3" t="str">
        <x:v>https://www.cashhomebuyersdirectory.com/cash-home-buyers/missouri/st-louis</x:v>
      </x:c>
      <x:c r="AO598" s="3" t="str">
        <x:v>national_rest_directory_complete.jsonl</x:v>
      </x:c>
      <x:c r="AP598" s="19"/>
    </x:row>
    <x:row r="599" ht="36" customHeight="1">
      <x:c r="A599" s="23" t="n">
        <x:v>598</x:v>
      </x:c>
      <x:c r="B599" s="15" t="str">
        <x:v>Executive Cash Home Buyers</x:v>
      </x:c>
      <x:c r="C599" s="15"/>
      <x:c r="D599" s="15" t="str">
        <x:v>Property investor / home-buying operator</x:v>
      </x:c>
      <x:c r="E599" s="15" t="str">
        <x:v>Property investor / operator inquiry</x:v>
      </x:c>
      <x:c r="F599" s="17" t="str">
        <x:v>New</x:v>
      </x:c>
      <x:c r="G599" s="24"/>
      <x:c r="H599" s="24" t="str">
        <x:v>+13173585396</x:v>
      </x:c>
      <x:c r="I599" s="24" t="str">
        <x:v>https://executivebuyshomes.com/</x:v>
      </x:c>
      <x:c r="J599" s="16" t="str">
        <x:v>IN</x:v>
      </x:c>
      <x:c r="K599" s="16" t="str">
        <x:v>Indianapolis</x:v>
      </x:c>
      <x:c r="L599" s="16" t="str">
        <x:v>Public property-business route; investor decision maker unconfirmed</x:v>
      </x:c>
      <x:c r="M599" s="16" t="str">
        <x:v>https://executivebuyshomes.com/</x:v>
      </x:c>
      <x:c r="N599" s="16" t="str">
        <x:v>$100K-$500K ticket not published / unconfirmed</x:v>
      </x:c>
      <x:c r="O599" s="20"/>
      <x:c r="P599" s="20"/>
      <x:c r="Q599" s="25" t="str">
        <x:v>No direct corporate-capital range established in checked source</x:v>
      </x:c>
      <x:c r="R599" s="25" t="str">
        <x:v>Property acquisition or investor activity makes this an operator-capital prospect for the signed trial. Confirm operating-company debt/equity appetite.</x:v>
      </x:c>
      <x:c r="S599" s="25"/>
      <x:c r="T599" s="25" t="str">
        <x:v>Ask the owner/investor whether they can allocate $100K-$500K to trial marketing and acquisitions, and confirm structure, timing and decision authority.</x:v>
      </x:c>
      <x:c r="U599" s="25" t="str">
        <x:v>https://www.cashhomebuyersdirectory.com/cash-home-buyers/indiana/indianapolis</x:v>
      </x:c>
      <x:c r="V599" s="26" t="d">
        <x:v>2026-10-02T00:00:00.000Z</x:v>
      </x:c>
      <x:c r="W599" s="26" t="d">
        <x:v>2026-10-02T00:00:00.000Z</x:v>
      </x:c>
      <x:c r="X599" s="25" t="str">
        <x:v>CashHomeBuyersDirectory third-party business listing; first-party business activity not checked in this batch</x:v>
      </x:c>
      <x:c r="Y599" s="25"/>
      <x:c r="Z599" s="25" t="str">
        <x:v>https://www.cashhomebuyersdirectory.com/cash-home-buyers/indiana/indianapolis</x:v>
      </x:c>
      <x:c r="AA599" s="25" t="str">
        <x:v>Public cash-home-buyer directory lists the business name, business phone/website where available and market. Operator role and corporate funding willingness require confirmation.</x:v>
      </x:c>
      <x:c r="AB599" s="3" t="str">
        <x:v>New public-source collection</x:v>
      </x:c>
      <x:c r="AC599" s="3" t="str">
        <x:v>unverified</x:v>
      </x:c>
      <x:c r="AD599" s="3" t="str">
        <x:v>Not contacted / unconfirmed</x:v>
      </x:c>
      <x:c r="AE599" s="3" t="str">
        <x:v>No</x:v>
      </x:c>
      <x:c r="AF599" s="3" t="str">
        <x:v>No</x:v>
      </x:c>
      <x:c r="AG599" s="3"/>
      <x:c r="AH599" s="3"/>
      <x:c r="AI599" s="18"/>
      <x:c r="AJ599" s="3" t="str">
        <x:v>CF2500-22C653EF5F47</x:v>
      </x:c>
      <x:c r="AK599" s="3" t="str">
        <x:v>real_estate_operator</x:v>
      </x:c>
      <x:c r="AL599" s="19" t="n">
        <x:v>100000</x:v>
      </x:c>
      <x:c r="AM599" s="19" t="n">
        <x:v>500000</x:v>
      </x:c>
      <x:c r="AN599" s="3" t="str">
        <x:v>https://www.cashhomebuyersdirectory.com/cash-home-buyers/indiana/indianapolis</x:v>
      </x:c>
      <x:c r="AO599" s="3" t="str">
        <x:v>national_rest_directory_complete.jsonl</x:v>
      </x:c>
      <x:c r="AP599" s="19"/>
    </x:row>
    <x:row r="600" ht="36" customHeight="1">
      <x:c r="A600" s="23" t="n">
        <x:v>599</x:v>
      </x:c>
      <x:c r="B600" s="15" t="str">
        <x:v>Express Home Buyers</x:v>
      </x:c>
      <x:c r="C600" s="15"/>
      <x:c r="D600" s="15" t="str">
        <x:v>Property investor / home-buying operator</x:v>
      </x:c>
      <x:c r="E600" s="15" t="str">
        <x:v>Property investor / operator inquiry</x:v>
      </x:c>
      <x:c r="F600" s="17" t="str">
        <x:v>New</x:v>
      </x:c>
      <x:c r="G600" s="24"/>
      <x:c r="H600" s="24" t="str">
        <x:v>+18653200829</x:v>
      </x:c>
      <x:c r="I600" s="24" t="str">
        <x:v>https://www.expresshomebuyerstn.com/</x:v>
      </x:c>
      <x:c r="J600" s="16" t="str">
        <x:v>TN</x:v>
      </x:c>
      <x:c r="K600" s="16"/>
      <x:c r="L600" s="16" t="str">
        <x:v>Public property-business route; investor decision maker unconfirmed</x:v>
      </x:c>
      <x:c r="M600" s="16" t="str">
        <x:v>https://www.expresshomebuyerstn.com/</x:v>
      </x:c>
      <x:c r="N600" s="16" t="str">
        <x:v>$100K-$500K ticket not published / unconfirmed</x:v>
      </x:c>
      <x:c r="O600" s="20"/>
      <x:c r="P600" s="20"/>
      <x:c r="Q600" s="25" t="str">
        <x:v>No direct corporate-capital range established in checked source</x:v>
      </x:c>
      <x:c r="R600" s="25" t="str">
        <x:v>Property acquisition or investor activity makes this an operator-capital prospect for the signed trial. Confirm operating-company debt/equity appetite.</x:v>
      </x:c>
      <x:c r="S600" s="25"/>
      <x:c r="T600" s="25" t="str">
        <x:v>Ask the owner/investor whether they can allocate $100K-$500K to trial marketing and acquisitions, and confirm structure, timing and decision authority.</x:v>
      </x:c>
      <x:c r="U600" s="25" t="str">
        <x:v>https://www.cashhomebuyersdirectory.com/cash-home-buyers/tennessee/knoxville</x:v>
      </x:c>
      <x:c r="V600" s="26" t="d">
        <x:v>2026-10-02T00:00:00.000Z</x:v>
      </x:c>
      <x:c r="W600" s="26" t="d">
        <x:v>2026-10-02T00:00:00.000Z</x:v>
      </x:c>
      <x:c r="X600" s="25" t="str">
        <x:v>CashHomeBuyersDirectory third-party business listing; first-party business activity not checked in this batch</x:v>
      </x:c>
      <x:c r="Y600" s="25"/>
      <x:c r="Z600" s="25" t="str">
        <x:v>https://www.cashhomebuyersdirectory.com/cash-home-buyers/tennessee/knoxville</x:v>
      </x:c>
      <x:c r="AA600" s="25" t="str">
        <x:v>Public cash-home-buyer directory lists the business name, business phone/website where available and market. Operator role and corporate funding willingness require confirmation.</x:v>
      </x:c>
      <x:c r="AB600" s="3" t="str">
        <x:v>New public-source collection</x:v>
      </x:c>
      <x:c r="AC600" s="3" t="str">
        <x:v>unverified</x:v>
      </x:c>
      <x:c r="AD600" s="3" t="str">
        <x:v>Not contacted / unconfirmed</x:v>
      </x:c>
      <x:c r="AE600" s="3" t="str">
        <x:v>No</x:v>
      </x:c>
      <x:c r="AF600" s="3" t="str">
        <x:v>No</x:v>
      </x:c>
      <x:c r="AG600" s="3"/>
      <x:c r="AH600" s="3"/>
      <x:c r="AI600" s="18"/>
      <x:c r="AJ600" s="3" t="str">
        <x:v>CF2500-4E4FAC368829</x:v>
      </x:c>
      <x:c r="AK600" s="3" t="str">
        <x:v>real_estate_operator</x:v>
      </x:c>
      <x:c r="AL600" s="19" t="n">
        <x:v>100000</x:v>
      </x:c>
      <x:c r="AM600" s="19" t="n">
        <x:v>500000</x:v>
      </x:c>
      <x:c r="AN600" s="3" t="str">
        <x:v>https://www.cashhomebuyersdirectory.com/cash-home-buyers/tennessee/knoxville</x:v>
      </x:c>
      <x:c r="AO600" s="3" t="str">
        <x:v>national_rest_directory_complete.jsonl</x:v>
      </x:c>
      <x:c r="AP600" s="19"/>
    </x:row>
    <x:row r="601" ht="36" customHeight="1">
      <x:c r="A601" s="23" t="n">
        <x:v>600</x:v>
      </x:c>
      <x:c r="B601" s="15" t="str">
        <x:v>Faithful Home Buyers</x:v>
      </x:c>
      <x:c r="C601" s="15"/>
      <x:c r="D601" s="15" t="str">
        <x:v>Property investor / home-buying operator</x:v>
      </x:c>
      <x:c r="E601" s="15" t="str">
        <x:v>Property investor / operator inquiry</x:v>
      </x:c>
      <x:c r="F601" s="17" t="str">
        <x:v>New</x:v>
      </x:c>
      <x:c r="G601" s="24"/>
      <x:c r="H601" s="24" t="str">
        <x:v>+18162370869</x:v>
      </x:c>
      <x:c r="I601" s="24" t="str">
        <x:v>http://www.faithfulhomebuyerskc.com/?utm_campaign=gmb</x:v>
      </x:c>
      <x:c r="J601" s="16" t="str">
        <x:v>MO</x:v>
      </x:c>
      <x:c r="K601" s="16" t="str">
        <x:v>Kansas City</x:v>
      </x:c>
      <x:c r="L601" s="16" t="str">
        <x:v>Public property-business route; investor decision maker unconfirmed</x:v>
      </x:c>
      <x:c r="M601" s="16" t="str">
        <x:v>http://www.faithfulhomebuyerskc.com/?utm_campaign=gmb</x:v>
      </x:c>
      <x:c r="N601" s="16" t="str">
        <x:v>$100K-$500K ticket not published / unconfirmed</x:v>
      </x:c>
      <x:c r="O601" s="20"/>
      <x:c r="P601" s="20"/>
      <x:c r="Q601" s="25" t="str">
        <x:v>No direct corporate-capital range established in checked source</x:v>
      </x:c>
      <x:c r="R601" s="25" t="str">
        <x:v>Property acquisition or investor activity makes this an operator-capital prospect for the signed trial. Confirm operating-company debt/equity appetite.</x:v>
      </x:c>
      <x:c r="S601" s="25"/>
      <x:c r="T601" s="25" t="str">
        <x:v>Ask the owner/investor whether they can allocate $100K-$500K to trial marketing and acquisitions, and confirm structure, timing and decision authority.</x:v>
      </x:c>
      <x:c r="U601" s="25" t="str">
        <x:v>https://www.cashhomebuyersdirectory.com/cash-home-buyers/missouri/kansas-city</x:v>
      </x:c>
      <x:c r="V601" s="26" t="d">
        <x:v>2026-10-02T00:00:00.000Z</x:v>
      </x:c>
      <x:c r="W601" s="26" t="d">
        <x:v>2026-10-02T00:00:00.000Z</x:v>
      </x:c>
      <x:c r="X601" s="25" t="str">
        <x:v>CashHomeBuyersDirectory third-party business listing; first-party business activity not checked in this batch</x:v>
      </x:c>
      <x:c r="Y601" s="25"/>
      <x:c r="Z601" s="25" t="str">
        <x:v>https://www.cashhomebuyersdirectory.com/cash-home-buyers/missouri/kansas-city</x:v>
      </x:c>
      <x:c r="AA601" s="25" t="str">
        <x:v>Public cash-home-buyer directory lists the business name, business phone/website where available and market. Operator role and corporate funding willingness require confirmation.</x:v>
      </x:c>
      <x:c r="AB601" s="3" t="str">
        <x:v>New public-source collection</x:v>
      </x:c>
      <x:c r="AC601" s="3" t="str">
        <x:v>unverified</x:v>
      </x:c>
      <x:c r="AD601" s="3" t="str">
        <x:v>Not contacted / unconfirmed</x:v>
      </x:c>
      <x:c r="AE601" s="3" t="str">
        <x:v>No</x:v>
      </x:c>
      <x:c r="AF601" s="3" t="str">
        <x:v>No</x:v>
      </x:c>
      <x:c r="AG601" s="3"/>
      <x:c r="AH601" s="3"/>
      <x:c r="AI601" s="18"/>
      <x:c r="AJ601" s="3" t="str">
        <x:v>CF2500-8F2D65F7A6DF</x:v>
      </x:c>
      <x:c r="AK601" s="3" t="str">
        <x:v>real_estate_operator</x:v>
      </x:c>
      <x:c r="AL601" s="19" t="n">
        <x:v>100000</x:v>
      </x:c>
      <x:c r="AM601" s="19" t="n">
        <x:v>500000</x:v>
      </x:c>
      <x:c r="AN601" s="3" t="str">
        <x:v>https://www.cashhomebuyersdirectory.com/cash-home-buyers/missouri/kansas-city</x:v>
      </x:c>
      <x:c r="AO601" s="3" t="str">
        <x:v>national_rest_directory_complete.jsonl</x:v>
      </x:c>
      <x:c r="AP601" s="19"/>
    </x:row>
    <x:row r="602" ht="36" customHeight="1">
      <x:c r="A602" s="23" t="n">
        <x:v>601</x:v>
      </x:c>
      <x:c r="B602" s="15" t="str">
        <x:v>Falcon Home Buyers</x:v>
      </x:c>
      <x:c r="C602" s="15"/>
      <x:c r="D602" s="15" t="str">
        <x:v>Property investor / home-buying operator</x:v>
      </x:c>
      <x:c r="E602" s="15" t="str">
        <x:v>Property investor / operator inquiry</x:v>
      </x:c>
      <x:c r="F602" s="17" t="str">
        <x:v>New</x:v>
      </x:c>
      <x:c r="G602" s="24"/>
      <x:c r="H602" s="24" t="str">
        <x:v>+16783432327</x:v>
      </x:c>
      <x:c r="I602" s="24" t="str">
        <x:v>https://falcon-homebuyers.com/</x:v>
      </x:c>
      <x:c r="J602" s="16" t="str">
        <x:v>GA</x:v>
      </x:c>
      <x:c r="K602" s="16" t="str">
        <x:v>Atlanta</x:v>
      </x:c>
      <x:c r="L602" s="16" t="str">
        <x:v>Public property-business route; investor decision maker unconfirmed</x:v>
      </x:c>
      <x:c r="M602" s="16" t="str">
        <x:v>https://falcon-homebuyers.com/</x:v>
      </x:c>
      <x:c r="N602" s="16" t="str">
        <x:v>$100K-$500K ticket not published / unconfirmed</x:v>
      </x:c>
      <x:c r="O602" s="20"/>
      <x:c r="P602" s="20"/>
      <x:c r="Q602" s="25" t="str">
        <x:v>No direct corporate-capital range established in checked source</x:v>
      </x:c>
      <x:c r="R602" s="25" t="str">
        <x:v>Property acquisition or investor activity makes this an operator-capital prospect for the signed trial. Confirm operating-company debt/equity appetite.</x:v>
      </x:c>
      <x:c r="S602" s="25"/>
      <x:c r="T602" s="25" t="str">
        <x:v>Ask the owner/investor whether they can allocate $100K-$500K to trial marketing and acquisitions, and confirm structure, timing and decision authority.</x:v>
      </x:c>
      <x:c r="U602" s="25" t="str">
        <x:v>https://www.cashhomebuyersdirectory.com/cash-home-buyers/georgia/atlanta</x:v>
      </x:c>
      <x:c r="V602" s="26" t="d">
        <x:v>2026-10-02T00:00:00.000Z</x:v>
      </x:c>
      <x:c r="W602" s="26" t="d">
        <x:v>2026-10-02T00:00:00.000Z</x:v>
      </x:c>
      <x:c r="X602" s="25" t="str">
        <x:v>CashHomeBuyersDirectory third-party business listing; first-party business activity not checked in this batch</x:v>
      </x:c>
      <x:c r="Y602" s="25"/>
      <x:c r="Z602" s="25" t="str">
        <x:v>https://www.cashhomebuyersdirectory.com/cash-home-buyers/georgia/atlanta</x:v>
      </x:c>
      <x:c r="AA602" s="25" t="str">
        <x:v>Public cash-home-buyer directory lists the business name, business phone/website where available and market. Operator role and corporate funding willingness require confirmation.</x:v>
      </x:c>
      <x:c r="AB602" s="3" t="str">
        <x:v>New public-source collection</x:v>
      </x:c>
      <x:c r="AC602" s="3" t="str">
        <x:v>unverified</x:v>
      </x:c>
      <x:c r="AD602" s="3" t="str">
        <x:v>Not contacted / unconfirmed</x:v>
      </x:c>
      <x:c r="AE602" s="3" t="str">
        <x:v>No</x:v>
      </x:c>
      <x:c r="AF602" s="3" t="str">
        <x:v>No</x:v>
      </x:c>
      <x:c r="AG602" s="3"/>
      <x:c r="AH602" s="3"/>
      <x:c r="AI602" s="18"/>
      <x:c r="AJ602" s="3" t="str">
        <x:v>CF2500-2AB3EF0F389B</x:v>
      </x:c>
      <x:c r="AK602" s="3" t="str">
        <x:v>real_estate_operator</x:v>
      </x:c>
      <x:c r="AL602" s="19" t="n">
        <x:v>100000</x:v>
      </x:c>
      <x:c r="AM602" s="19" t="n">
        <x:v>500000</x:v>
      </x:c>
      <x:c r="AN602" s="3" t="str">
        <x:v>https://www.cashhomebuyersdirectory.com/cash-home-buyers/georgia/atlanta</x:v>
      </x:c>
      <x:c r="AO602" s="3" t="str">
        <x:v>national_rest_directory_complete.jsonl</x:v>
      </x:c>
      <x:c r="AP602" s="19"/>
    </x:row>
    <x:row r="603" ht="36" customHeight="1">
      <x:c r="A603" s="23" t="n">
        <x:v>602</x:v>
      </x:c>
      <x:c r="B603" s="15" t="str">
        <x:v>Family First Homebuyers</x:v>
      </x:c>
      <x:c r="C603" s="15"/>
      <x:c r="D603" s="15" t="str">
        <x:v>Property investor / home-buying operator</x:v>
      </x:c>
      <x:c r="E603" s="15" t="str">
        <x:v>Property investor / operator inquiry</x:v>
      </x:c>
      <x:c r="F603" s="17" t="str">
        <x:v>New</x:v>
      </x:c>
      <x:c r="G603" s="24"/>
      <x:c r="H603" s="24" t="str">
        <x:v>+16365577770</x:v>
      </x:c>
      <x:c r="I603" s="24" t="str">
        <x:v>https://familyfirststl.com/</x:v>
      </x:c>
      <x:c r="J603" s="16" t="str">
        <x:v>MO</x:v>
      </x:c>
      <x:c r="K603" s="16" t="str">
        <x:v>St Charles</x:v>
      </x:c>
      <x:c r="L603" s="16" t="str">
        <x:v>Public property-business route; investor decision maker unconfirmed</x:v>
      </x:c>
      <x:c r="M603" s="16" t="str">
        <x:v>https://familyfirststl.com/</x:v>
      </x:c>
      <x:c r="N603" s="16" t="str">
        <x:v>$100K-$500K ticket not published / unconfirmed</x:v>
      </x:c>
      <x:c r="O603" s="20"/>
      <x:c r="P603" s="20"/>
      <x:c r="Q603" s="25" t="str">
        <x:v>No direct corporate-capital range established in checked source</x:v>
      </x:c>
      <x:c r="R603" s="25" t="str">
        <x:v>Property acquisition or investor activity makes this an operator-capital prospect for the signed trial. Confirm operating-company debt/equity appetite.</x:v>
      </x:c>
      <x:c r="S603" s="25"/>
      <x:c r="T603" s="25" t="str">
        <x:v>Ask the owner/investor whether they can allocate $100K-$500K to trial marketing and acquisitions, and confirm structure, timing and decision authority.</x:v>
      </x:c>
      <x:c r="U603" s="25" t="str">
        <x:v>https://www.cashhomebuyersdirectory.com/cash-home-buyers/missouri/st-charles</x:v>
      </x:c>
      <x:c r="V603" s="26" t="d">
        <x:v>2026-10-02T00:00:00.000Z</x:v>
      </x:c>
      <x:c r="W603" s="26" t="d">
        <x:v>2026-10-02T00:00:00.000Z</x:v>
      </x:c>
      <x:c r="X603" s="25" t="str">
        <x:v>CashHomeBuyersDirectory third-party business listing; first-party business activity not checked in this batch</x:v>
      </x:c>
      <x:c r="Y603" s="25"/>
      <x:c r="Z603" s="25" t="str">
        <x:v>https://www.cashhomebuyersdirectory.com/cash-home-buyers/missouri/st-charles</x:v>
      </x:c>
      <x:c r="AA603" s="25" t="str">
        <x:v>Public cash-home-buyer directory lists the business name, business phone/website where available and market. Operator role and corporate funding willingness require confirmation.</x:v>
      </x:c>
      <x:c r="AB603" s="3" t="str">
        <x:v>New public-source collection</x:v>
      </x:c>
      <x:c r="AC603" s="3" t="str">
        <x:v>unverified</x:v>
      </x:c>
      <x:c r="AD603" s="3" t="str">
        <x:v>Not contacted / unconfirmed</x:v>
      </x:c>
      <x:c r="AE603" s="3" t="str">
        <x:v>No</x:v>
      </x:c>
      <x:c r="AF603" s="3" t="str">
        <x:v>No</x:v>
      </x:c>
      <x:c r="AG603" s="3"/>
      <x:c r="AH603" s="3"/>
      <x:c r="AI603" s="18"/>
      <x:c r="AJ603" s="3" t="str">
        <x:v>CF2500-EABDA50BBC8A</x:v>
      </x:c>
      <x:c r="AK603" s="3" t="str">
        <x:v>real_estate_operator</x:v>
      </x:c>
      <x:c r="AL603" s="19" t="n">
        <x:v>100000</x:v>
      </x:c>
      <x:c r="AM603" s="19" t="n">
        <x:v>500000</x:v>
      </x:c>
      <x:c r="AN603" s="3" t="str">
        <x:v>https://www.cashhomebuyersdirectory.com/cash-home-buyers/missouri/st-charles</x:v>
      </x:c>
      <x:c r="AO603" s="3" t="str">
        <x:v>national_rest_directory_complete.jsonl</x:v>
      </x:c>
      <x:c r="AP603" s="19"/>
    </x:row>
    <x:row r="604" ht="36" customHeight="1">
      <x:c r="A604" s="23" t="n">
        <x:v>603</x:v>
      </x:c>
      <x:c r="B604" s="15" t="str">
        <x:v>Fort Wayne Cash For Homes</x:v>
      </x:c>
      <x:c r="C604" s="15"/>
      <x:c r="D604" s="15" t="str">
        <x:v>Property investor / home-buying operator</x:v>
      </x:c>
      <x:c r="E604" s="15" t="str">
        <x:v>Property investor / operator inquiry</x:v>
      </x:c>
      <x:c r="F604" s="17" t="str">
        <x:v>New</x:v>
      </x:c>
      <x:c r="G604" s="24"/>
      <x:c r="H604" s="24" t="str">
        <x:v>+12607866652</x:v>
      </x:c>
      <x:c r="I604" s="24" t="str">
        <x:v>http://www.fortwaynecashforhomes.com/#!contact-us/edg77</x:v>
      </x:c>
      <x:c r="J604" s="16" t="str">
        <x:v>IN</x:v>
      </x:c>
      <x:c r="K604" s="16" t="str">
        <x:v>Fort Wayne</x:v>
      </x:c>
      <x:c r="L604" s="16" t="str">
        <x:v>Public property-business route; investor decision maker unconfirmed</x:v>
      </x:c>
      <x:c r="M604" s="16" t="str">
        <x:v>http://www.fortwaynecashforhomes.com/#!contact-us/edg77</x:v>
      </x:c>
      <x:c r="N604" s="16" t="str">
        <x:v>$100K-$500K ticket not published / unconfirmed</x:v>
      </x:c>
      <x:c r="O604" s="20"/>
      <x:c r="P604" s="20"/>
      <x:c r="Q604" s="25" t="str">
        <x:v>No direct corporate-capital range established in checked source</x:v>
      </x:c>
      <x:c r="R604" s="25" t="str">
        <x:v>Property acquisition or investor activity makes this an operator-capital prospect for the signed trial. Confirm operating-company debt/equity appetite.</x:v>
      </x:c>
      <x:c r="S604" s="25"/>
      <x:c r="T604" s="25" t="str">
        <x:v>Ask the owner/investor whether they can allocate $100K-$500K to trial marketing and acquisitions, and confirm structure, timing and decision authority.</x:v>
      </x:c>
      <x:c r="U604" s="25" t="str">
        <x:v>https://www.cashhomebuyersdirectory.com/cash-home-buyers/indiana/fort-wayne</x:v>
      </x:c>
      <x:c r="V604" s="26" t="d">
        <x:v>2026-10-02T00:00:00.000Z</x:v>
      </x:c>
      <x:c r="W604" s="26" t="d">
        <x:v>2026-10-02T00:00:00.000Z</x:v>
      </x:c>
      <x:c r="X604" s="25" t="str">
        <x:v>CashHomeBuyersDirectory third-party business listing; first-party business activity not checked in this batch</x:v>
      </x:c>
      <x:c r="Y604" s="25"/>
      <x:c r="Z604" s="25" t="str">
        <x:v>https://www.cashhomebuyersdirectory.com/cash-home-buyers/indiana/fort-wayne</x:v>
      </x:c>
      <x:c r="AA604" s="25" t="str">
        <x:v>Public cash-home-buyer directory lists the business name, business phone/website where available and market. Operator role and corporate funding willingness require confirmation.</x:v>
      </x:c>
      <x:c r="AB604" s="3" t="str">
        <x:v>New public-source collection</x:v>
      </x:c>
      <x:c r="AC604" s="3" t="str">
        <x:v>unverified</x:v>
      </x:c>
      <x:c r="AD604" s="3" t="str">
        <x:v>Not contacted / unconfirmed</x:v>
      </x:c>
      <x:c r="AE604" s="3" t="str">
        <x:v>No</x:v>
      </x:c>
      <x:c r="AF604" s="3" t="str">
        <x:v>No</x:v>
      </x:c>
      <x:c r="AG604" s="3"/>
      <x:c r="AH604" s="3"/>
      <x:c r="AI604" s="18"/>
      <x:c r="AJ604" s="3" t="str">
        <x:v>CF2500-26567EEA81EA</x:v>
      </x:c>
      <x:c r="AK604" s="3" t="str">
        <x:v>real_estate_operator</x:v>
      </x:c>
      <x:c r="AL604" s="19" t="n">
        <x:v>100000</x:v>
      </x:c>
      <x:c r="AM604" s="19" t="n">
        <x:v>500000</x:v>
      </x:c>
      <x:c r="AN604" s="3" t="str">
        <x:v>https://www.cashhomebuyersdirectory.com/cash-home-buyers/indiana/fort-wayne</x:v>
      </x:c>
      <x:c r="AO604" s="3" t="str">
        <x:v>national_rest_directory_complete.jsonl</x:v>
      </x:c>
      <x:c r="AP604" s="19"/>
    </x:row>
    <x:row r="605" ht="36" customHeight="1">
      <x:c r="A605" s="23" t="n">
        <x:v>604</x:v>
      </x:c>
      <x:c r="B605" s="15" t="str">
        <x:v>Freedom Home Buyers</x:v>
      </x:c>
      <x:c r="C605" s="15"/>
      <x:c r="D605" s="15" t="str">
        <x:v>Property investor / home-buying operator</x:v>
      </x:c>
      <x:c r="E605" s="15" t="str">
        <x:v>Property investor / operator inquiry</x:v>
      </x:c>
      <x:c r="F605" s="17" t="str">
        <x:v>New</x:v>
      </x:c>
      <x:c r="G605" s="24"/>
      <x:c r="H605" s="24" t="str">
        <x:v>+17067987901</x:v>
      </x:c>
      <x:c r="I605" s="24" t="str">
        <x:v>https://www.cashforthishousenow.com/</x:v>
      </x:c>
      <x:c r="J605" s="16" t="str">
        <x:v>GA</x:v>
      </x:c>
      <x:c r="K605" s="16" t="str">
        <x:v>Augusta</x:v>
      </x:c>
      <x:c r="L605" s="16" t="str">
        <x:v>Public property-business route; investor decision maker unconfirmed</x:v>
      </x:c>
      <x:c r="M605" s="16" t="str">
        <x:v>https://www.cashforthishousenow.com/</x:v>
      </x:c>
      <x:c r="N605" s="16" t="str">
        <x:v>$100K-$500K ticket not published / unconfirmed</x:v>
      </x:c>
      <x:c r="O605" s="20"/>
      <x:c r="P605" s="20"/>
      <x:c r="Q605" s="25" t="str">
        <x:v>No direct corporate-capital range established in checked source</x:v>
      </x:c>
      <x:c r="R605" s="25" t="str">
        <x:v>Property acquisition or investor activity makes this an operator-capital prospect for the signed trial. Confirm operating-company debt/equity appetite.</x:v>
      </x:c>
      <x:c r="S605" s="25"/>
      <x:c r="T605" s="25" t="str">
        <x:v>Ask the owner/investor whether they can allocate $100K-$500K to trial marketing and acquisitions, and confirm structure, timing and decision authority.</x:v>
      </x:c>
      <x:c r="U605" s="25" t="str">
        <x:v>https://www.cashhomebuyersdirectory.com/cash-home-buyers/georgia/augusta</x:v>
      </x:c>
      <x:c r="V605" s="26" t="d">
        <x:v>2026-10-02T00:00:00.000Z</x:v>
      </x:c>
      <x:c r="W605" s="26" t="d">
        <x:v>2026-10-02T00:00:00.000Z</x:v>
      </x:c>
      <x:c r="X605" s="25" t="str">
        <x:v>CashHomeBuyersDirectory third-party business listing; first-party business activity not checked in this batch</x:v>
      </x:c>
      <x:c r="Y605" s="25"/>
      <x:c r="Z605" s="25" t="str">
        <x:v>https://www.cashhomebuyersdirectory.com/cash-home-buyers/georgia/augusta</x:v>
      </x:c>
      <x:c r="AA605" s="25" t="str">
        <x:v>Public cash-home-buyer directory lists the business name, business phone/website where available and market. Operator role and corporate funding willingness require confirmation.</x:v>
      </x:c>
      <x:c r="AB605" s="3" t="str">
        <x:v>New public-source collection</x:v>
      </x:c>
      <x:c r="AC605" s="3" t="str">
        <x:v>unverified</x:v>
      </x:c>
      <x:c r="AD605" s="3" t="str">
        <x:v>Not contacted / unconfirmed</x:v>
      </x:c>
      <x:c r="AE605" s="3" t="str">
        <x:v>No</x:v>
      </x:c>
      <x:c r="AF605" s="3" t="str">
        <x:v>No</x:v>
      </x:c>
      <x:c r="AG605" s="3"/>
      <x:c r="AH605" s="3"/>
      <x:c r="AI605" s="18"/>
      <x:c r="AJ605" s="3" t="str">
        <x:v>CF2500-9CFEDA80CEDB</x:v>
      </x:c>
      <x:c r="AK605" s="3" t="str">
        <x:v>real_estate_operator</x:v>
      </x:c>
      <x:c r="AL605" s="19" t="n">
        <x:v>100000</x:v>
      </x:c>
      <x:c r="AM605" s="19" t="n">
        <x:v>500000</x:v>
      </x:c>
      <x:c r="AN605" s="3" t="str">
        <x:v>https://www.cashhomebuyersdirectory.com/cash-home-buyers/georgia/augusta</x:v>
      </x:c>
      <x:c r="AO605" s="3" t="str">
        <x:v>national_rest_directory_complete.jsonl</x:v>
      </x:c>
      <x:c r="AP605" s="19"/>
    </x:row>
    <x:row r="606" ht="36" customHeight="1">
      <x:c r="A606" s="23" t="n">
        <x:v>605</x:v>
      </x:c>
      <x:c r="B606" s="15" t="str">
        <x:v>Freedom Home Buyers TN</x:v>
      </x:c>
      <x:c r="C606" s="15"/>
      <x:c r="D606" s="15" t="str">
        <x:v>Property investor / home-buying operator</x:v>
      </x:c>
      <x:c r="E606" s="15" t="str">
        <x:v>Property investor / operator inquiry</x:v>
      </x:c>
      <x:c r="F606" s="17" t="str">
        <x:v>New</x:v>
      </x:c>
      <x:c r="G606" s="24"/>
      <x:c r="H606" s="24" t="str">
        <x:v>+16158234006</x:v>
      </x:c>
      <x:c r="I606" s="24" t="str">
        <x:v>http://www.justinbuyshouses.com/</x:v>
      </x:c>
      <x:c r="J606" s="16" t="str">
        <x:v>TN</x:v>
      </x:c>
      <x:c r="K606" s="16" t="str">
        <x:v>Nashville</x:v>
      </x:c>
      <x:c r="L606" s="16" t="str">
        <x:v>Public property-business route; investor decision maker unconfirmed</x:v>
      </x:c>
      <x:c r="M606" s="16" t="str">
        <x:v>http://www.justinbuyshouses.com/</x:v>
      </x:c>
      <x:c r="N606" s="16" t="str">
        <x:v>$100K-$500K ticket not published / unconfirmed</x:v>
      </x:c>
      <x:c r="O606" s="20"/>
      <x:c r="P606" s="20"/>
      <x:c r="Q606" s="25" t="str">
        <x:v>No direct corporate-capital range established in checked source</x:v>
      </x:c>
      <x:c r="R606" s="25" t="str">
        <x:v>Property acquisition or investor activity makes this an operator-capital prospect for the signed trial. Confirm operating-company debt/equity appetite.</x:v>
      </x:c>
      <x:c r="S606" s="25"/>
      <x:c r="T606" s="25" t="str">
        <x:v>Ask the owner/investor whether they can allocate $100K-$500K to trial marketing and acquisitions, and confirm structure, timing and decision authority.</x:v>
      </x:c>
      <x:c r="U606" s="25" t="str">
        <x:v>https://www.cashhomebuyersdirectory.com/cash-home-buyers/tennessee/nashville</x:v>
      </x:c>
      <x:c r="V606" s="26" t="d">
        <x:v>2026-10-02T00:00:00.000Z</x:v>
      </x:c>
      <x:c r="W606" s="26" t="d">
        <x:v>2026-10-02T00:00:00.000Z</x:v>
      </x:c>
      <x:c r="X606" s="25" t="str">
        <x:v>CashHomeBuyersDirectory third-party business listing; first-party business activity not checked in this batch</x:v>
      </x:c>
      <x:c r="Y606" s="25"/>
      <x:c r="Z606" s="25" t="str">
        <x:v>https://www.cashhomebuyersdirectory.com/cash-home-buyers/tennessee/nashville</x:v>
      </x:c>
      <x:c r="AA606" s="25" t="str">
        <x:v>Public cash-home-buyer directory lists the business name, business phone/website where available and market. Operator role and corporate funding willingness require confirmation.</x:v>
      </x:c>
      <x:c r="AB606" s="3" t="str">
        <x:v>New public-source collection</x:v>
      </x:c>
      <x:c r="AC606" s="3" t="str">
        <x:v>unverified</x:v>
      </x:c>
      <x:c r="AD606" s="3" t="str">
        <x:v>Not contacted / unconfirmed</x:v>
      </x:c>
      <x:c r="AE606" s="3" t="str">
        <x:v>No</x:v>
      </x:c>
      <x:c r="AF606" s="3" t="str">
        <x:v>No</x:v>
      </x:c>
      <x:c r="AG606" s="3"/>
      <x:c r="AH606" s="3"/>
      <x:c r="AI606" s="18"/>
      <x:c r="AJ606" s="3" t="str">
        <x:v>CF2500-CCDB74419D8B</x:v>
      </x:c>
      <x:c r="AK606" s="3" t="str">
        <x:v>real_estate_operator</x:v>
      </x:c>
      <x:c r="AL606" s="19" t="n">
        <x:v>100000</x:v>
      </x:c>
      <x:c r="AM606" s="19" t="n">
        <x:v>500000</x:v>
      </x:c>
      <x:c r="AN606" s="3" t="str">
        <x:v>https://www.cashhomebuyersdirectory.com/cash-home-buyers/tennessee/nashville</x:v>
      </x:c>
      <x:c r="AO606" s="3" t="str">
        <x:v>national_rest_directory_complete.jsonl</x:v>
      </x:c>
      <x:c r="AP606" s="19"/>
    </x:row>
    <x:row r="607" ht="36" customHeight="1">
      <x:c r="A607" s="23" t="n">
        <x:v>606</x:v>
      </x:c>
      <x:c r="B607" s="15" t="str">
        <x:v>Freedom Path Investors</x:v>
      </x:c>
      <x:c r="C607" s="15"/>
      <x:c r="D607" s="15" t="str">
        <x:v>Property investor / home-buying operator</x:v>
      </x:c>
      <x:c r="E607" s="15" t="str">
        <x:v>Property investor / operator inquiry</x:v>
      </x:c>
      <x:c r="F607" s="17" t="str">
        <x:v>New</x:v>
      </x:c>
      <x:c r="G607" s="24"/>
      <x:c r="H607" s="24" t="str">
        <x:v>+13147102550</x:v>
      </x:c>
      <x:c r="I607" s="24" t="str">
        <x:v>https://beststlouishousebuyers.com/sell-your-house-fast-in-ofallon-mo/</x:v>
      </x:c>
      <x:c r="J607" s="16" t="str">
        <x:v>MO</x:v>
      </x:c>
      <x:c r="K607" s="16" t="str">
        <x:v>O'Fallon</x:v>
      </x:c>
      <x:c r="L607" s="16" t="str">
        <x:v>Public property-business route; investor decision maker unconfirmed</x:v>
      </x:c>
      <x:c r="M607" s="16" t="str">
        <x:v>https://beststlouishousebuyers.com/sell-your-house-fast-in-ofallon-mo/</x:v>
      </x:c>
      <x:c r="N607" s="16" t="str">
        <x:v>$100K-$500K ticket not published / unconfirmed</x:v>
      </x:c>
      <x:c r="O607" s="20"/>
      <x:c r="P607" s="20"/>
      <x:c r="Q607" s="25" t="str">
        <x:v>No direct corporate-capital range established in checked source</x:v>
      </x:c>
      <x:c r="R607" s="25" t="str">
        <x:v>Property acquisition or investor activity makes this an operator-capital prospect for the signed trial. Confirm operating-company debt/equity appetite.</x:v>
      </x:c>
      <x:c r="S607" s="25"/>
      <x:c r="T607" s="25" t="str">
        <x:v>Ask the owner/investor whether they can allocate $100K-$500K to trial marketing and acquisitions, and confirm structure, timing and decision authority.</x:v>
      </x:c>
      <x:c r="U607" s="25" t="str">
        <x:v>https://www.cashhomebuyersdirectory.com/cash-home-buyers/missouri/ofallon</x:v>
      </x:c>
      <x:c r="V607" s="26" t="d">
        <x:v>2026-10-02T00:00:00.000Z</x:v>
      </x:c>
      <x:c r="W607" s="26" t="d">
        <x:v>2026-10-02T00:00:00.000Z</x:v>
      </x:c>
      <x:c r="X607" s="25" t="str">
        <x:v>CashHomeBuyersDirectory third-party business listing; first-party business activity not checked in this batch</x:v>
      </x:c>
      <x:c r="Y607" s="25"/>
      <x:c r="Z607" s="25" t="str">
        <x:v>https://www.cashhomebuyersdirectory.com/cash-home-buyers/missouri/ofallon</x:v>
      </x:c>
      <x:c r="AA607" s="25" t="str">
        <x:v>Public cash-home-buyer directory lists the business name, business phone/website where available and market. Operator role and corporate funding willingness require confirmation.</x:v>
      </x:c>
      <x:c r="AB607" s="3" t="str">
        <x:v>New public-source collection</x:v>
      </x:c>
      <x:c r="AC607" s="3" t="str">
        <x:v>unverified</x:v>
      </x:c>
      <x:c r="AD607" s="3" t="str">
        <x:v>Not contacted / unconfirmed</x:v>
      </x:c>
      <x:c r="AE607" s="3" t="str">
        <x:v>No</x:v>
      </x:c>
      <x:c r="AF607" s="3" t="str">
        <x:v>No</x:v>
      </x:c>
      <x:c r="AG607" s="3"/>
      <x:c r="AH607" s="3"/>
      <x:c r="AI607" s="18"/>
      <x:c r="AJ607" s="3" t="str">
        <x:v>CF2500-5F8410DE1460</x:v>
      </x:c>
      <x:c r="AK607" s="3" t="str">
        <x:v>real_estate_operator</x:v>
      </x:c>
      <x:c r="AL607" s="19" t="n">
        <x:v>100000</x:v>
      </x:c>
      <x:c r="AM607" s="19" t="n">
        <x:v>500000</x:v>
      </x:c>
      <x:c r="AN607" s="3" t="str">
        <x:v>https://www.cashhomebuyersdirectory.com/cash-home-buyers/missouri/ofallon</x:v>
      </x:c>
      <x:c r="AO607" s="3" t="str">
        <x:v>national_rest_directory_complete.jsonl</x:v>
      </x:c>
      <x:c r="AP607" s="19"/>
    </x:row>
    <x:row r="608" ht="36" customHeight="1">
      <x:c r="A608" s="23" t="n">
        <x:v>607</x:v>
      </x:c>
      <x:c r="B608" s="15" t="str">
        <x:v>Friendly Home Buyers</x:v>
      </x:c>
      <x:c r="C608" s="15"/>
      <x:c r="D608" s="15" t="str">
        <x:v>Property investor / home-buying operator</x:v>
      </x:c>
      <x:c r="E608" s="15" t="str">
        <x:v>Property investor / operator inquiry</x:v>
      </x:c>
      <x:c r="F608" s="17" t="str">
        <x:v>New</x:v>
      </x:c>
      <x:c r="G608" s="24"/>
      <x:c r="H608" s="24" t="str">
        <x:v>+14054000402</x:v>
      </x:c>
      <x:c r="I608" s="24" t="str">
        <x:v>https://www.okcfriendlyhomebuyers.com/</x:v>
      </x:c>
      <x:c r="J608" s="16" t="str">
        <x:v>OK</x:v>
      </x:c>
      <x:c r="K608" s="16" t="str">
        <x:v>Oklahoma City</x:v>
      </x:c>
      <x:c r="L608" s="16" t="str">
        <x:v>Public property-business route; investor decision maker unconfirmed</x:v>
      </x:c>
      <x:c r="M608" s="16" t="str">
        <x:v>https://www.okcfriendlyhomebuyers.com/</x:v>
      </x:c>
      <x:c r="N608" s="16" t="str">
        <x:v>$100K-$500K ticket not published / unconfirmed</x:v>
      </x:c>
      <x:c r="O608" s="20"/>
      <x:c r="P608" s="20"/>
      <x:c r="Q608" s="25" t="str">
        <x:v>No direct corporate-capital range established in checked source</x:v>
      </x:c>
      <x:c r="R608" s="25" t="str">
        <x:v>Property acquisition or investor activity makes this an operator-capital prospect for the signed trial. Confirm operating-company debt/equity appetite.</x:v>
      </x:c>
      <x:c r="S608" s="25"/>
      <x:c r="T608" s="25" t="str">
        <x:v>Ask the owner/investor whether they can allocate $100K-$500K to trial marketing and acquisitions, and confirm structure, timing and decision authority.</x:v>
      </x:c>
      <x:c r="U608" s="25" t="str">
        <x:v>https://www.cashhomebuyersdirectory.com/cash-home-buyers/oklahoma/oklahoma-city</x:v>
      </x:c>
      <x:c r="V608" s="26" t="d">
        <x:v>2026-10-02T00:00:00.000Z</x:v>
      </x:c>
      <x:c r="W608" s="26" t="d">
        <x:v>2026-10-02T00:00:00.000Z</x:v>
      </x:c>
      <x:c r="X608" s="25" t="str">
        <x:v>CashHomeBuyersDirectory third-party business listing; first-party business activity not checked in this batch</x:v>
      </x:c>
      <x:c r="Y608" s="25"/>
      <x:c r="Z608" s="25" t="str">
        <x:v>https://www.cashhomebuyersdirectory.com/cash-home-buyers/oklahoma/oklahoma-city</x:v>
      </x:c>
      <x:c r="AA608" s="25" t="str">
        <x:v>Public cash-home-buyer directory lists the business name, business phone/website where available and market. Operator role and corporate funding willingness require confirmation.</x:v>
      </x:c>
      <x:c r="AB608" s="3" t="str">
        <x:v>New public-source collection</x:v>
      </x:c>
      <x:c r="AC608" s="3" t="str">
        <x:v>unverified</x:v>
      </x:c>
      <x:c r="AD608" s="3" t="str">
        <x:v>Not contacted / unconfirmed</x:v>
      </x:c>
      <x:c r="AE608" s="3" t="str">
        <x:v>No</x:v>
      </x:c>
      <x:c r="AF608" s="3" t="str">
        <x:v>No</x:v>
      </x:c>
      <x:c r="AG608" s="3"/>
      <x:c r="AH608" s="3"/>
      <x:c r="AI608" s="18"/>
      <x:c r="AJ608" s="3" t="str">
        <x:v>CF2500-D39705429CAC</x:v>
      </x:c>
      <x:c r="AK608" s="3" t="str">
        <x:v>real_estate_operator</x:v>
      </x:c>
      <x:c r="AL608" s="19" t="n">
        <x:v>100000</x:v>
      </x:c>
      <x:c r="AM608" s="19" t="n">
        <x:v>500000</x:v>
      </x:c>
      <x:c r="AN608" s="3" t="str">
        <x:v>https://www.cashhomebuyersdirectory.com/cash-home-buyers/oklahoma/oklahoma-city</x:v>
      </x:c>
      <x:c r="AO608" s="3" t="str">
        <x:v>national_rest_directory_complete.jsonl</x:v>
      </x:c>
      <x:c r="AP608" s="19"/>
    </x:row>
    <x:row r="609" ht="36" customHeight="1">
      <x:c r="A609" s="23" t="n">
        <x:v>608</x:v>
      </x:c>
      <x:c r="B609" s="15" t="str">
        <x:v>Gateway House Buyers</x:v>
      </x:c>
      <x:c r="C609" s="15"/>
      <x:c r="D609" s="15" t="str">
        <x:v>Property investor / home-buying operator</x:v>
      </x:c>
      <x:c r="E609" s="15" t="str">
        <x:v>Property investor / operator inquiry</x:v>
      </x:c>
      <x:c r="F609" s="17" t="str">
        <x:v>New</x:v>
      </x:c>
      <x:c r="G609" s="24"/>
      <x:c r="H609" s="24" t="str">
        <x:v>+19319807845</x:v>
      </x:c>
      <x:c r="I609" s="24" t="str">
        <x:v>http://gatewayhousebuyers.com/</x:v>
      </x:c>
      <x:c r="J609" s="16" t="str">
        <x:v>TN</x:v>
      </x:c>
      <x:c r="K609" s="16" t="str">
        <x:v>Clarksville</x:v>
      </x:c>
      <x:c r="L609" s="16" t="str">
        <x:v>Public property-business route; investor decision maker unconfirmed</x:v>
      </x:c>
      <x:c r="M609" s="16" t="str">
        <x:v>http://gatewayhousebuyers.com/</x:v>
      </x:c>
      <x:c r="N609" s="16" t="str">
        <x:v>$100K-$500K ticket not published / unconfirmed</x:v>
      </x:c>
      <x:c r="O609" s="20"/>
      <x:c r="P609" s="20"/>
      <x:c r="Q609" s="25" t="str">
        <x:v>No direct corporate-capital range established in checked source</x:v>
      </x:c>
      <x:c r="R609" s="25" t="str">
        <x:v>Property acquisition or investor activity makes this an operator-capital prospect for the signed trial. Confirm operating-company debt/equity appetite.</x:v>
      </x:c>
      <x:c r="S609" s="25"/>
      <x:c r="T609" s="25" t="str">
        <x:v>Ask the owner/investor whether they can allocate $100K-$500K to trial marketing and acquisitions, and confirm structure, timing and decision authority.</x:v>
      </x:c>
      <x:c r="U609" s="25" t="str">
        <x:v>https://www.cashhomebuyersdirectory.com/cash-home-buyers/tennessee/clarksville</x:v>
      </x:c>
      <x:c r="V609" s="26" t="d">
        <x:v>2026-10-02T00:00:00.000Z</x:v>
      </x:c>
      <x:c r="W609" s="26" t="d">
        <x:v>2026-10-02T00:00:00.000Z</x:v>
      </x:c>
      <x:c r="X609" s="25" t="str">
        <x:v>CashHomeBuyersDirectory third-party business listing; first-party business activity not checked in this batch</x:v>
      </x:c>
      <x:c r="Y609" s="25"/>
      <x:c r="Z609" s="25" t="str">
        <x:v>https://www.cashhomebuyersdirectory.com/cash-home-buyers/tennessee/clarksville</x:v>
      </x:c>
      <x:c r="AA609" s="25" t="str">
        <x:v>Public cash-home-buyer directory lists the business name, business phone/website where available and market. Operator role and corporate funding willingness require confirmation.</x:v>
      </x:c>
      <x:c r="AB609" s="3" t="str">
        <x:v>New public-source collection</x:v>
      </x:c>
      <x:c r="AC609" s="3" t="str">
        <x:v>unverified</x:v>
      </x:c>
      <x:c r="AD609" s="3" t="str">
        <x:v>Not contacted / unconfirmed</x:v>
      </x:c>
      <x:c r="AE609" s="3" t="str">
        <x:v>No</x:v>
      </x:c>
      <x:c r="AF609" s="3" t="str">
        <x:v>No</x:v>
      </x:c>
      <x:c r="AG609" s="3"/>
      <x:c r="AH609" s="3"/>
      <x:c r="AI609" s="18"/>
      <x:c r="AJ609" s="3" t="str">
        <x:v>CF2500-C45B7EB837EA</x:v>
      </x:c>
      <x:c r="AK609" s="3" t="str">
        <x:v>real_estate_operator</x:v>
      </x:c>
      <x:c r="AL609" s="19" t="n">
        <x:v>100000</x:v>
      </x:c>
      <x:c r="AM609" s="19" t="n">
        <x:v>500000</x:v>
      </x:c>
      <x:c r="AN609" s="3" t="str">
        <x:v>https://www.cashhomebuyersdirectory.com/cash-home-buyers/tennessee/clarksville</x:v>
      </x:c>
      <x:c r="AO609" s="3" t="str">
        <x:v>national_rest_directory_complete.jsonl</x:v>
      </x:c>
      <x:c r="AP609" s="19"/>
    </x:row>
    <x:row r="610" ht="36" customHeight="1">
      <x:c r="A610" s="23" t="n">
        <x:v>609</x:v>
      </x:c>
      <x:c r="B610" s="15" t="str">
        <x:v>Georgia House Buyers, LLC</x:v>
      </x:c>
      <x:c r="C610" s="15"/>
      <x:c r="D610" s="15" t="str">
        <x:v>Property investor / home-buying operator</x:v>
      </x:c>
      <x:c r="E610" s="15" t="str">
        <x:v>Property investor / operator inquiry</x:v>
      </x:c>
      <x:c r="F610" s="17" t="str">
        <x:v>New</x:v>
      </x:c>
      <x:c r="G610" s="24"/>
      <x:c r="H610" s="24" t="str">
        <x:v>+14787393968</x:v>
      </x:c>
      <x:c r="I610" s="24" t="str">
        <x:v>https://www.georgiahousebuyers.com/</x:v>
      </x:c>
      <x:c r="J610" s="16" t="str">
        <x:v>GA</x:v>
      </x:c>
      <x:c r="K610" s="16" t="str">
        <x:v>Macon</x:v>
      </x:c>
      <x:c r="L610" s="16" t="str">
        <x:v>Public property-business route; investor decision maker unconfirmed</x:v>
      </x:c>
      <x:c r="M610" s="16" t="str">
        <x:v>https://www.georgiahousebuyers.com/</x:v>
      </x:c>
      <x:c r="N610" s="16" t="str">
        <x:v>$100K-$500K ticket not published / unconfirmed</x:v>
      </x:c>
      <x:c r="O610" s="20"/>
      <x:c r="P610" s="20"/>
      <x:c r="Q610" s="25" t="str">
        <x:v>No direct corporate-capital range established in checked source</x:v>
      </x:c>
      <x:c r="R610" s="25" t="str">
        <x:v>Property acquisition or investor activity makes this an operator-capital prospect for the signed trial. Confirm operating-company debt/equity appetite.</x:v>
      </x:c>
      <x:c r="S610" s="25"/>
      <x:c r="T610" s="25" t="str">
        <x:v>Ask the owner/investor whether they can allocate $100K-$500K to trial marketing and acquisitions, and confirm structure, timing and decision authority.</x:v>
      </x:c>
      <x:c r="U610" s="25" t="str">
        <x:v>https://www.cashhomebuyersdirectory.com/cash-home-buyers/georgia/macon</x:v>
      </x:c>
      <x:c r="V610" s="26" t="d">
        <x:v>2026-10-02T00:00:00.000Z</x:v>
      </x:c>
      <x:c r="W610" s="26" t="d">
        <x:v>2026-10-02T00:00:00.000Z</x:v>
      </x:c>
      <x:c r="X610" s="25" t="str">
        <x:v>CashHomeBuyersDirectory third-party business listing; first-party business activity not checked in this batch</x:v>
      </x:c>
      <x:c r="Y610" s="25"/>
      <x:c r="Z610" s="25" t="str">
        <x:v>https://www.cashhomebuyersdirectory.com/cash-home-buyers/georgia/macon</x:v>
      </x:c>
      <x:c r="AA610" s="25" t="str">
        <x:v>Public cash-home-buyer directory lists the business name, business phone/website where available and market. Operator role and corporate funding willingness require confirmation.</x:v>
      </x:c>
      <x:c r="AB610" s="3" t="str">
        <x:v>New public-source collection</x:v>
      </x:c>
      <x:c r="AC610" s="3" t="str">
        <x:v>unverified</x:v>
      </x:c>
      <x:c r="AD610" s="3" t="str">
        <x:v>Not contacted / unconfirmed</x:v>
      </x:c>
      <x:c r="AE610" s="3" t="str">
        <x:v>No</x:v>
      </x:c>
      <x:c r="AF610" s="3" t="str">
        <x:v>No</x:v>
      </x:c>
      <x:c r="AG610" s="3"/>
      <x:c r="AH610" s="3"/>
      <x:c r="AI610" s="18"/>
      <x:c r="AJ610" s="3" t="str">
        <x:v>CF2500-1A964E8B8DB1</x:v>
      </x:c>
      <x:c r="AK610" s="3" t="str">
        <x:v>real_estate_operator</x:v>
      </x:c>
      <x:c r="AL610" s="19" t="n">
        <x:v>100000</x:v>
      </x:c>
      <x:c r="AM610" s="19" t="n">
        <x:v>500000</x:v>
      </x:c>
      <x:c r="AN610" s="3" t="str">
        <x:v>https://www.cashhomebuyersdirectory.com/cash-home-buyers/georgia/macon</x:v>
      </x:c>
      <x:c r="AO610" s="3" t="str">
        <x:v>national_rest_directory_complete.jsonl</x:v>
      </x:c>
      <x:c r="AP610" s="19"/>
    </x:row>
    <x:row r="611" ht="36" customHeight="1">
      <x:c r="A611" s="23" t="n">
        <x:v>610</x:v>
      </x:c>
      <x:c r="B611" s="15" t="str">
        <x:v>GGI Home Buyers Deals</x:v>
      </x:c>
      <x:c r="C611" s="15"/>
      <x:c r="D611" s="15" t="str">
        <x:v>Property investor / home-buying operator</x:v>
      </x:c>
      <x:c r="E611" s="15" t="str">
        <x:v>Property investor / operator inquiry</x:v>
      </x:c>
      <x:c r="F611" s="17" t="str">
        <x:v>New</x:v>
      </x:c>
      <x:c r="G611" s="24"/>
      <x:c r="H611" s="24" t="str">
        <x:v>+16158799028</x:v>
      </x:c>
      <x:c r="I611" s="24" t="str">
        <x:v>https://www.ggihomebuyersdeals.com/contact-us/</x:v>
      </x:c>
      <x:c r="J611" s="16" t="str">
        <x:v>TN</x:v>
      </x:c>
      <x:c r="K611" s="16" t="str">
        <x:v>Murfreesboro</x:v>
      </x:c>
      <x:c r="L611" s="16" t="str">
        <x:v>Public property-business route; investor decision maker unconfirmed</x:v>
      </x:c>
      <x:c r="M611" s="16" t="str">
        <x:v>https://www.ggihomebuyersdeals.com/contact-us/</x:v>
      </x:c>
      <x:c r="N611" s="16" t="str">
        <x:v>$100K-$500K ticket not published / unconfirmed</x:v>
      </x:c>
      <x:c r="O611" s="20"/>
      <x:c r="P611" s="20"/>
      <x:c r="Q611" s="25" t="str">
        <x:v>No direct corporate-capital range established in checked source</x:v>
      </x:c>
      <x:c r="R611" s="25" t="str">
        <x:v>Property acquisition or investor activity makes this an operator-capital prospect for the signed trial. Confirm operating-company debt/equity appetite.</x:v>
      </x:c>
      <x:c r="S611" s="25"/>
      <x:c r="T611" s="25" t="str">
        <x:v>Ask the owner/investor whether they can allocate $100K-$500K to trial marketing and acquisitions, and confirm structure, timing and decision authority.</x:v>
      </x:c>
      <x:c r="U611" s="25" t="str">
        <x:v>https://www.cashhomebuyersdirectory.com/cash-home-buyers/tennessee/murfreesboro</x:v>
      </x:c>
      <x:c r="V611" s="26" t="d">
        <x:v>2026-10-02T00:00:00.000Z</x:v>
      </x:c>
      <x:c r="W611" s="26" t="d">
        <x:v>2026-10-02T00:00:00.000Z</x:v>
      </x:c>
      <x:c r="X611" s="25" t="str">
        <x:v>CashHomeBuyersDirectory third-party business listing; first-party business activity not checked in this batch</x:v>
      </x:c>
      <x:c r="Y611" s="25"/>
      <x:c r="Z611" s="25" t="str">
        <x:v>https://www.cashhomebuyersdirectory.com/cash-home-buyers/tennessee/murfreesboro</x:v>
      </x:c>
      <x:c r="AA611" s="25" t="str">
        <x:v>Public cash-home-buyer directory lists the business name, business phone/website where available and market. Operator role and corporate funding willingness require confirmation.</x:v>
      </x:c>
      <x:c r="AB611" s="3" t="str">
        <x:v>New public-source collection</x:v>
      </x:c>
      <x:c r="AC611" s="3" t="str">
        <x:v>unverified</x:v>
      </x:c>
      <x:c r="AD611" s="3" t="str">
        <x:v>Not contacted / unconfirmed</x:v>
      </x:c>
      <x:c r="AE611" s="3" t="str">
        <x:v>No</x:v>
      </x:c>
      <x:c r="AF611" s="3" t="str">
        <x:v>No</x:v>
      </x:c>
      <x:c r="AG611" s="3"/>
      <x:c r="AH611" s="3"/>
      <x:c r="AI611" s="18"/>
      <x:c r="AJ611" s="3" t="str">
        <x:v>CF2500-1DE3F122BD04</x:v>
      </x:c>
      <x:c r="AK611" s="3" t="str">
        <x:v>real_estate_operator</x:v>
      </x:c>
      <x:c r="AL611" s="19" t="n">
        <x:v>100000</x:v>
      </x:c>
      <x:c r="AM611" s="19" t="n">
        <x:v>500000</x:v>
      </x:c>
      <x:c r="AN611" s="3" t="str">
        <x:v>https://www.cashhomebuyersdirectory.com/cash-home-buyers/tennessee/murfreesboro</x:v>
      </x:c>
      <x:c r="AO611" s="3" t="str">
        <x:v>national_rest_directory_complete.jsonl</x:v>
      </x:c>
      <x:c r="AP611" s="19"/>
    </x:row>
    <x:row r="612" ht="36" customHeight="1">
      <x:c r="A612" s="23" t="n">
        <x:v>611</x:v>
      </x:c>
      <x:c r="B612" s="15" t="str">
        <x:v>Goings Places Home Buyers</x:v>
      </x:c>
      <x:c r="C612" s="15"/>
      <x:c r="D612" s="15" t="str">
        <x:v>Property investor / home-buying operator</x:v>
      </x:c>
      <x:c r="E612" s="15" t="str">
        <x:v>Property investor / operator inquiry</x:v>
      </x:c>
      <x:c r="F612" s="17" t="str">
        <x:v>New</x:v>
      </x:c>
      <x:c r="G612" s="24"/>
      <x:c r="H612" s="24" t="str">
        <x:v>+17063650015</x:v>
      </x:c>
      <x:c r="I612" s="24" t="str">
        <x:v>https://goingsplaceshomebuyers.com/</x:v>
      </x:c>
      <x:c r="J612" s="16" t="str">
        <x:v>GA</x:v>
      </x:c>
      <x:c r="K612" s="16"/>
      <x:c r="L612" s="16" t="str">
        <x:v>Public property-business route; investor decision maker unconfirmed</x:v>
      </x:c>
      <x:c r="M612" s="16" t="str">
        <x:v>https://goingsplaceshomebuyers.com/</x:v>
      </x:c>
      <x:c r="N612" s="16" t="str">
        <x:v>$100K-$500K ticket not published / unconfirmed</x:v>
      </x:c>
      <x:c r="O612" s="20"/>
      <x:c r="P612" s="20"/>
      <x:c r="Q612" s="25" t="str">
        <x:v>No direct corporate-capital range established in checked source</x:v>
      </x:c>
      <x:c r="R612" s="25" t="str">
        <x:v>Property acquisition or investor activity makes this an operator-capital prospect for the signed trial. Confirm operating-company debt/equity appetite.</x:v>
      </x:c>
      <x:c r="S612" s="25"/>
      <x:c r="T612" s="25" t="str">
        <x:v>Ask the owner/investor whether they can allocate $100K-$500K to trial marketing and acquisitions, and confirm structure, timing and decision authority.</x:v>
      </x:c>
      <x:c r="U612" s="25" t="str">
        <x:v>https://www.cashhomebuyersdirectory.com/cash-home-buyers/georgia/columbus</x:v>
      </x:c>
      <x:c r="V612" s="26" t="d">
        <x:v>2026-10-02T00:00:00.000Z</x:v>
      </x:c>
      <x:c r="W612" s="26" t="d">
        <x:v>2026-10-02T00:00:00.000Z</x:v>
      </x:c>
      <x:c r="X612" s="25" t="str">
        <x:v>CashHomeBuyersDirectory third-party business listing; first-party business activity not checked in this batch</x:v>
      </x:c>
      <x:c r="Y612" s="25"/>
      <x:c r="Z612" s="25" t="str">
        <x:v>https://www.cashhomebuyersdirectory.com/cash-home-buyers/georgia/columbus</x:v>
      </x:c>
      <x:c r="AA612" s="25" t="str">
        <x:v>Public cash-home-buyer directory lists the business name, business phone/website where available and market. Operator role and corporate funding willingness require confirmation.</x:v>
      </x:c>
      <x:c r="AB612" s="3" t="str">
        <x:v>New public-source collection</x:v>
      </x:c>
      <x:c r="AC612" s="3" t="str">
        <x:v>unverified</x:v>
      </x:c>
      <x:c r="AD612" s="3" t="str">
        <x:v>Not contacted / unconfirmed</x:v>
      </x:c>
      <x:c r="AE612" s="3" t="str">
        <x:v>No</x:v>
      </x:c>
      <x:c r="AF612" s="3" t="str">
        <x:v>No</x:v>
      </x:c>
      <x:c r="AG612" s="3"/>
      <x:c r="AH612" s="3"/>
      <x:c r="AI612" s="18"/>
      <x:c r="AJ612" s="3" t="str">
        <x:v>CF2500-FD3140583C9A</x:v>
      </x:c>
      <x:c r="AK612" s="3" t="str">
        <x:v>real_estate_operator</x:v>
      </x:c>
      <x:c r="AL612" s="19" t="n">
        <x:v>100000</x:v>
      </x:c>
      <x:c r="AM612" s="19" t="n">
        <x:v>500000</x:v>
      </x:c>
      <x:c r="AN612" s="3" t="str">
        <x:v>https://www.cashhomebuyersdirectory.com/cash-home-buyers/georgia/columbus</x:v>
      </x:c>
      <x:c r="AO612" s="3" t="str">
        <x:v>national_rest_directory_complete.jsonl</x:v>
      </x:c>
      <x:c r="AP612" s="19"/>
    </x:row>
    <x:row r="613" ht="36" customHeight="1">
      <x:c r="A613" s="23" t="n">
        <x:v>612</x:v>
      </x:c>
      <x:c r="B613" s="15" t="str">
        <x:v>Green Country Home Buyers</x:v>
      </x:c>
      <x:c r="C613" s="15"/>
      <x:c r="D613" s="15" t="str">
        <x:v>Property investor / home-buying operator</x:v>
      </x:c>
      <x:c r="E613" s="15" t="str">
        <x:v>Property investor / operator inquiry</x:v>
      </x:c>
      <x:c r="F613" s="17" t="str">
        <x:v>New</x:v>
      </x:c>
      <x:c r="G613" s="24"/>
      <x:c r="H613" s="24" t="str">
        <x:v>+19189219892</x:v>
      </x:c>
      <x:c r="I613" s="24" t="str">
        <x:v>https://www.greencountryhomebuyers.com/</x:v>
      </x:c>
      <x:c r="J613" s="16" t="str">
        <x:v>OK</x:v>
      </x:c>
      <x:c r="K613" s="16" t="str">
        <x:v>Tulsa</x:v>
      </x:c>
      <x:c r="L613" s="16" t="str">
        <x:v>Public property-business route; investor decision maker unconfirmed</x:v>
      </x:c>
      <x:c r="M613" s="16" t="str">
        <x:v>https://www.greencountryhomebuyers.com/</x:v>
      </x:c>
      <x:c r="N613" s="16" t="str">
        <x:v>$100K-$500K ticket not published / unconfirmed</x:v>
      </x:c>
      <x:c r="O613" s="20"/>
      <x:c r="P613" s="20"/>
      <x:c r="Q613" s="25" t="str">
        <x:v>No direct corporate-capital range established in checked source</x:v>
      </x:c>
      <x:c r="R613" s="25" t="str">
        <x:v>Property acquisition or investor activity makes this an operator-capital prospect for the signed trial. Confirm operating-company debt/equity appetite.</x:v>
      </x:c>
      <x:c r="S613" s="25"/>
      <x:c r="T613" s="25" t="str">
        <x:v>Ask the owner/investor whether they can allocate $100K-$500K to trial marketing and acquisitions, and confirm structure, timing and decision authority.</x:v>
      </x:c>
      <x:c r="U613" s="25" t="str">
        <x:v>https://www.cashhomebuyersdirectory.com/cash-home-buyers/oklahoma/tulsa</x:v>
      </x:c>
      <x:c r="V613" s="26" t="d">
        <x:v>2026-10-02T00:00:00.000Z</x:v>
      </x:c>
      <x:c r="W613" s="26" t="d">
        <x:v>2026-10-02T00:00:00.000Z</x:v>
      </x:c>
      <x:c r="X613" s="25" t="str">
        <x:v>CashHomeBuyersDirectory third-party business listing; first-party business activity not checked in this batch</x:v>
      </x:c>
      <x:c r="Y613" s="25"/>
      <x:c r="Z613" s="25" t="str">
        <x:v>https://www.cashhomebuyersdirectory.com/cash-home-buyers/oklahoma/tulsa</x:v>
      </x:c>
      <x:c r="AA613" s="25" t="str">
        <x:v>Public cash-home-buyer directory lists the business name, business phone/website where available and market. Operator role and corporate funding willingness require confirmation.</x:v>
      </x:c>
      <x:c r="AB613" s="3" t="str">
        <x:v>New public-source collection</x:v>
      </x:c>
      <x:c r="AC613" s="3" t="str">
        <x:v>unverified</x:v>
      </x:c>
      <x:c r="AD613" s="3" t="str">
        <x:v>Not contacted / unconfirmed</x:v>
      </x:c>
      <x:c r="AE613" s="3" t="str">
        <x:v>No</x:v>
      </x:c>
      <x:c r="AF613" s="3" t="str">
        <x:v>No</x:v>
      </x:c>
      <x:c r="AG613" s="3"/>
      <x:c r="AH613" s="3"/>
      <x:c r="AI613" s="18"/>
      <x:c r="AJ613" s="3" t="str">
        <x:v>CF2500-2EB258FA8D0A</x:v>
      </x:c>
      <x:c r="AK613" s="3" t="str">
        <x:v>real_estate_operator</x:v>
      </x:c>
      <x:c r="AL613" s="19" t="n">
        <x:v>100000</x:v>
      </x:c>
      <x:c r="AM613" s="19" t="n">
        <x:v>500000</x:v>
      </x:c>
      <x:c r="AN613" s="3" t="str">
        <x:v>https://www.cashhomebuyersdirectory.com/cash-home-buyers/oklahoma/tulsa</x:v>
      </x:c>
      <x:c r="AO613" s="3" t="str">
        <x:v>national_rest_directory_complete.jsonl</x:v>
      </x:c>
      <x:c r="AP613" s="19"/>
    </x:row>
    <x:row r="614" ht="36" customHeight="1">
      <x:c r="A614" s="23" t="n">
        <x:v>613</x:v>
      </x:c>
      <x:c r="B614" s="15" t="str">
        <x:v>GreenBar Home Buyers</x:v>
      </x:c>
      <x:c r="C614" s="15"/>
      <x:c r="D614" s="15" t="str">
        <x:v>Property investor / home-buying operator</x:v>
      </x:c>
      <x:c r="E614" s="15" t="str">
        <x:v>Property investor / operator inquiry</x:v>
      </x:c>
      <x:c r="F614" s="17" t="str">
        <x:v>New</x:v>
      </x:c>
      <x:c r="G614" s="24"/>
      <x:c r="H614" s="24" t="str">
        <x:v>+13144979631</x:v>
      </x:c>
      <x:c r="I614" s="24" t="str">
        <x:v>https://greenbarhomebuyersstl.com/</x:v>
      </x:c>
      <x:c r="J614" s="16" t="str">
        <x:v>MO</x:v>
      </x:c>
      <x:c r="K614" s="16" t="str">
        <x:v>St. Louis</x:v>
      </x:c>
      <x:c r="L614" s="16" t="str">
        <x:v>Public property-business route; investor decision maker unconfirmed</x:v>
      </x:c>
      <x:c r="M614" s="16" t="str">
        <x:v>https://greenbarhomebuyersstl.com/</x:v>
      </x:c>
      <x:c r="N614" s="16" t="str">
        <x:v>$100K-$500K ticket not published / unconfirmed</x:v>
      </x:c>
      <x:c r="O614" s="20"/>
      <x:c r="P614" s="20"/>
      <x:c r="Q614" s="25" t="str">
        <x:v>No direct corporate-capital range established in checked source</x:v>
      </x:c>
      <x:c r="R614" s="25" t="str">
        <x:v>Property acquisition or investor activity makes this an operator-capital prospect for the signed trial. Confirm operating-company debt/equity appetite.</x:v>
      </x:c>
      <x:c r="S614" s="25"/>
      <x:c r="T614" s="25" t="str">
        <x:v>Ask the owner/investor whether they can allocate $100K-$500K to trial marketing and acquisitions, and confirm structure, timing and decision authority.</x:v>
      </x:c>
      <x:c r="U614" s="25" t="str">
        <x:v>https://www.cashhomebuyersdirectory.com/cash-home-buyers/missouri/st-louis</x:v>
      </x:c>
      <x:c r="V614" s="26" t="d">
        <x:v>2026-10-02T00:00:00.000Z</x:v>
      </x:c>
      <x:c r="W614" s="26" t="d">
        <x:v>2026-10-02T00:00:00.000Z</x:v>
      </x:c>
      <x:c r="X614" s="25" t="str">
        <x:v>CashHomeBuyersDirectory third-party business listing; first-party business activity not checked in this batch</x:v>
      </x:c>
      <x:c r="Y614" s="25"/>
      <x:c r="Z614" s="25" t="str">
        <x:v>https://www.cashhomebuyersdirectory.com/cash-home-buyers/missouri/st-louis</x:v>
      </x:c>
      <x:c r="AA614" s="25" t="str">
        <x:v>Public cash-home-buyer directory lists the business name, business phone/website where available and market. Operator role and corporate funding willingness require confirmation.</x:v>
      </x:c>
      <x:c r="AB614" s="3" t="str">
        <x:v>New public-source collection</x:v>
      </x:c>
      <x:c r="AC614" s="3" t="str">
        <x:v>unverified</x:v>
      </x:c>
      <x:c r="AD614" s="3" t="str">
        <x:v>Not contacted / unconfirmed</x:v>
      </x:c>
      <x:c r="AE614" s="3" t="str">
        <x:v>No</x:v>
      </x:c>
      <x:c r="AF614" s="3" t="str">
        <x:v>No</x:v>
      </x:c>
      <x:c r="AG614" s="3"/>
      <x:c r="AH614" s="3"/>
      <x:c r="AI614" s="18"/>
      <x:c r="AJ614" s="3" t="str">
        <x:v>CF2500-7E904EFB641C</x:v>
      </x:c>
      <x:c r="AK614" s="3" t="str">
        <x:v>real_estate_operator</x:v>
      </x:c>
      <x:c r="AL614" s="19" t="n">
        <x:v>100000</x:v>
      </x:c>
      <x:c r="AM614" s="19" t="n">
        <x:v>500000</x:v>
      </x:c>
      <x:c r="AN614" s="3" t="str">
        <x:v>https://www.cashhomebuyersdirectory.com/cash-home-buyers/missouri/st-louis</x:v>
      </x:c>
      <x:c r="AO614" s="3" t="str">
        <x:v>national_rest_directory_complete.jsonl</x:v>
      </x:c>
      <x:c r="AP614" s="19"/>
    </x:row>
    <x:row r="615" ht="36" customHeight="1">
      <x:c r="A615" s="23" t="n">
        <x:v>614</x:v>
      </x:c>
      <x:c r="B615" s="15" t="str">
        <x:v>Greenville Home Buyers</x:v>
      </x:c>
      <x:c r="C615" s="15"/>
      <x:c r="D615" s="15" t="str">
        <x:v>Property investor / home-buying operator</x:v>
      </x:c>
      <x:c r="E615" s="15" t="str">
        <x:v>Property investor / operator inquiry</x:v>
      </x:c>
      <x:c r="F615" s="17" t="str">
        <x:v>New</x:v>
      </x:c>
      <x:c r="G615" s="24"/>
      <x:c r="H615" s="24" t="str">
        <x:v>+18649913275</x:v>
      </x:c>
      <x:c r="I615" s="24" t="str">
        <x:v>http://www.greenvillehomebuyers.com/</x:v>
      </x:c>
      <x:c r="J615" s="16" t="str">
        <x:v>SC</x:v>
      </x:c>
      <x:c r="K615" s="16" t="str">
        <x:v>Greenville</x:v>
      </x:c>
      <x:c r="L615" s="16" t="str">
        <x:v>Public property-business route; investor decision maker unconfirmed</x:v>
      </x:c>
      <x:c r="M615" s="16" t="str">
        <x:v>http://www.greenvillehomebuyers.com/</x:v>
      </x:c>
      <x:c r="N615" s="16" t="str">
        <x:v>$100K-$500K ticket not published / unconfirmed</x:v>
      </x:c>
      <x:c r="O615" s="20"/>
      <x:c r="P615" s="20"/>
      <x:c r="Q615" s="25" t="str">
        <x:v>No direct corporate-capital range established in checked source</x:v>
      </x:c>
      <x:c r="R615" s="25" t="str">
        <x:v>Property acquisition or investor activity makes this an operator-capital prospect for the signed trial. Confirm operating-company debt/equity appetite.</x:v>
      </x:c>
      <x:c r="S615" s="25"/>
      <x:c r="T615" s="25" t="str">
        <x:v>Ask the owner/investor whether they can allocate $100K-$500K to trial marketing and acquisitions, and confirm structure, timing and decision authority.</x:v>
      </x:c>
      <x:c r="U615" s="25" t="str">
        <x:v>https://www.cashhomebuyersdirectory.com/cash-home-buyers/south-carolina/greenville</x:v>
      </x:c>
      <x:c r="V615" s="26" t="d">
        <x:v>2026-10-02T00:00:00.000Z</x:v>
      </x:c>
      <x:c r="W615" s="26" t="d">
        <x:v>2026-10-02T00:00:00.000Z</x:v>
      </x:c>
      <x:c r="X615" s="25" t="str">
        <x:v>CashHomeBuyersDirectory third-party business listing; first-party business activity not checked in this batch</x:v>
      </x:c>
      <x:c r="Y615" s="25"/>
      <x:c r="Z615" s="25" t="str">
        <x:v>https://www.cashhomebuyersdirectory.com/cash-home-buyers/south-carolina/greenville</x:v>
      </x:c>
      <x:c r="AA615" s="25" t="str">
        <x:v>Public cash-home-buyer directory lists the business name, business phone/website where available and market. Operator role and corporate funding willingness require confirmation.</x:v>
      </x:c>
      <x:c r="AB615" s="3" t="str">
        <x:v>New public-source collection</x:v>
      </x:c>
      <x:c r="AC615" s="3" t="str">
        <x:v>unverified</x:v>
      </x:c>
      <x:c r="AD615" s="3" t="str">
        <x:v>Not contacted / unconfirmed</x:v>
      </x:c>
      <x:c r="AE615" s="3" t="str">
        <x:v>No</x:v>
      </x:c>
      <x:c r="AF615" s="3" t="str">
        <x:v>No</x:v>
      </x:c>
      <x:c r="AG615" s="3"/>
      <x:c r="AH615" s="3"/>
      <x:c r="AI615" s="18"/>
      <x:c r="AJ615" s="3" t="str">
        <x:v>CF2500-A5597BE1B102</x:v>
      </x:c>
      <x:c r="AK615" s="3" t="str">
        <x:v>real_estate_operator</x:v>
      </x:c>
      <x:c r="AL615" s="19" t="n">
        <x:v>100000</x:v>
      </x:c>
      <x:c r="AM615" s="19" t="n">
        <x:v>500000</x:v>
      </x:c>
      <x:c r="AN615" s="3" t="str">
        <x:v>https://www.cashhomebuyersdirectory.com/cash-home-buyers/south-carolina/greenville</x:v>
      </x:c>
      <x:c r="AO615" s="3" t="str">
        <x:v>national_rest_directory_complete.jsonl</x:v>
      </x:c>
      <x:c r="AP615" s="19"/>
    </x:row>
    <x:row r="616" ht="36" customHeight="1">
      <x:c r="A616" s="23" t="n">
        <x:v>615</x:v>
      </x:c>
      <x:c r="B616" s="15" t="str">
        <x:v>Happy House Buyers</x:v>
      </x:c>
      <x:c r="C616" s="15"/>
      <x:c r="D616" s="15" t="str">
        <x:v>Property investor / home-buying operator</x:v>
      </x:c>
      <x:c r="E616" s="15" t="str">
        <x:v>Property investor / operator inquiry</x:v>
      </x:c>
      <x:c r="F616" s="17" t="str">
        <x:v>New</x:v>
      </x:c>
      <x:c r="G616" s="24"/>
      <x:c r="H616" s="24" t="str">
        <x:v>+14057766222</x:v>
      </x:c>
      <x:c r="I616" s="24" t="str">
        <x:v>https://www.happyhouses.com/</x:v>
      </x:c>
      <x:c r="J616" s="16" t="str">
        <x:v>OK</x:v>
      </x:c>
      <x:c r="K616" s="16"/>
      <x:c r="L616" s="16" t="str">
        <x:v>Public property-business route; investor decision maker unconfirmed</x:v>
      </x:c>
      <x:c r="M616" s="16" t="str">
        <x:v>https://www.happyhouses.com/</x:v>
      </x:c>
      <x:c r="N616" s="16" t="str">
        <x:v>$100K-$500K ticket not published / unconfirmed</x:v>
      </x:c>
      <x:c r="O616" s="20"/>
      <x:c r="P616" s="20"/>
      <x:c r="Q616" s="25" t="str">
        <x:v>No direct corporate-capital range established in checked source</x:v>
      </x:c>
      <x:c r="R616" s="25" t="str">
        <x:v>Property acquisition or investor activity makes this an operator-capital prospect for the signed trial. Confirm operating-company debt/equity appetite.</x:v>
      </x:c>
      <x:c r="S616" s="25"/>
      <x:c r="T616" s="25" t="str">
        <x:v>Ask the owner/investor whether they can allocate $100K-$500K to trial marketing and acquisitions, and confirm structure, timing and decision authority.</x:v>
      </x:c>
      <x:c r="U616" s="25" t="str">
        <x:v>https://www.cashhomebuyersdirectory.com/cash-home-buyers/oklahoma/oklahoma-city
https://www.cashhomebuyersdirectory.com/cash-home-buyers/georgia/atlanta</x:v>
      </x:c>
      <x:c r="V616" s="26" t="d">
        <x:v>2026-10-02T00:00:00.000Z</x:v>
      </x:c>
      <x:c r="W616" s="26" t="d">
        <x:v>2026-10-02T00:00:00.000Z</x:v>
      </x:c>
      <x:c r="X616" s="25" t="str">
        <x:v>CashHomeBuyersDirectory third-party business listing; first-party business activity not checked in this batch</x:v>
      </x:c>
      <x:c r="Y616" s="25"/>
      <x:c r="Z616" s="25" t="str">
        <x:v>https://www.cashhomebuyersdirectory.com/cash-home-buyers/oklahoma/oklahoma-city</x:v>
      </x:c>
      <x:c r="AA616" s="25" t="str">
        <x:v>Public cash-home-buyer directory lists the business name, business phone/website where available and market. Operator role and corporate funding willingness require confirmation.</x:v>
      </x:c>
      <x:c r="AB616" s="3" t="str">
        <x:v>New public-source collection</x:v>
      </x:c>
      <x:c r="AC616" s="3" t="str">
        <x:v>unverified</x:v>
      </x:c>
      <x:c r="AD616" s="3" t="str">
        <x:v>Not contacted / unconfirmed</x:v>
      </x:c>
      <x:c r="AE616" s="3" t="str">
        <x:v>No</x:v>
      </x:c>
      <x:c r="AF616" s="3" t="str">
        <x:v>No</x:v>
      </x:c>
      <x:c r="AG616" s="3"/>
      <x:c r="AH616" s="3" t="str">
        <x:v>Happy House Buyers LLC</x:v>
      </x:c>
      <x:c r="AI616" s="18"/>
      <x:c r="AJ616" s="3" t="str">
        <x:v>CF2500-FA065E257355</x:v>
      </x:c>
      <x:c r="AK616" s="3" t="str">
        <x:v>real_estate_operator</x:v>
      </x:c>
      <x:c r="AL616" s="19" t="n">
        <x:v>100000</x:v>
      </x:c>
      <x:c r="AM616" s="19" t="n">
        <x:v>500000</x:v>
      </x:c>
      <x:c r="AN616" s="3" t="str">
        <x:v>https://www.cashhomebuyersdirectory.com/cash-home-buyers/oklahoma/oklahoma-city</x:v>
      </x:c>
      <x:c r="AO616" s="3" t="str">
        <x:v>national_rest_directory_complete.jsonl</x:v>
      </x:c>
      <x:c r="AP616" s="19"/>
    </x:row>
    <x:row r="617" ht="36" customHeight="1">
      <x:c r="A617" s="23" t="n">
        <x:v>616</x:v>
      </x:c>
      <x:c r="B617" s="15" t="str">
        <x:v>Harder Home Buyer</x:v>
      </x:c>
      <x:c r="C617" s="15"/>
      <x:c r="D617" s="15" t="str">
        <x:v>Property investor / home-buying operator</x:v>
      </x:c>
      <x:c r="E617" s="15" t="str">
        <x:v>Property investor / operator inquiry</x:v>
      </x:c>
      <x:c r="F617" s="17" t="str">
        <x:v>New</x:v>
      </x:c>
      <x:c r="G617" s="24"/>
      <x:c r="H617" s="24" t="str">
        <x:v>+13162028277</x:v>
      </x:c>
      <x:c r="I617" s="24" t="str">
        <x:v>https://harderhomebuyer.com/</x:v>
      </x:c>
      <x:c r="J617" s="16" t="str">
        <x:v>KS</x:v>
      </x:c>
      <x:c r="K617" s="16"/>
      <x:c r="L617" s="16" t="str">
        <x:v>Public property-business route; investor decision maker unconfirmed</x:v>
      </x:c>
      <x:c r="M617" s="16" t="str">
        <x:v>https://harderhomebuyer.com/</x:v>
      </x:c>
      <x:c r="N617" s="16" t="str">
        <x:v>$100K-$500K ticket not published / unconfirmed</x:v>
      </x:c>
      <x:c r="O617" s="20"/>
      <x:c r="P617" s="20"/>
      <x:c r="Q617" s="25" t="str">
        <x:v>No direct corporate-capital range established in checked source</x:v>
      </x:c>
      <x:c r="R617" s="25" t="str">
        <x:v>Property acquisition or investor activity makes this an operator-capital prospect for the signed trial. Confirm operating-company debt/equity appetite.</x:v>
      </x:c>
      <x:c r="S617" s="25"/>
      <x:c r="T617" s="25" t="str">
        <x:v>Ask the owner/investor whether they can allocate $100K-$500K to trial marketing and acquisitions, and confirm structure, timing and decision authority.</x:v>
      </x:c>
      <x:c r="U617" s="25" t="str">
        <x:v>https://www.cashhomebuyersdirectory.com/cash-home-buyers/kansas/wichita</x:v>
      </x:c>
      <x:c r="V617" s="26" t="d">
        <x:v>2026-10-02T00:00:00.000Z</x:v>
      </x:c>
      <x:c r="W617" s="26" t="d">
        <x:v>2026-10-02T00:00:00.000Z</x:v>
      </x:c>
      <x:c r="X617" s="25" t="str">
        <x:v>CashHomeBuyersDirectory third-party business listing; first-party business activity not checked in this batch</x:v>
      </x:c>
      <x:c r="Y617" s="25"/>
      <x:c r="Z617" s="25" t="str">
        <x:v>https://www.cashhomebuyersdirectory.com/cash-home-buyers/kansas/wichita</x:v>
      </x:c>
      <x:c r="AA617" s="25" t="str">
        <x:v>Public cash-home-buyer directory lists the business name, business phone/website where available and market. Operator role and corporate funding willingness require confirmation.</x:v>
      </x:c>
      <x:c r="AB617" s="3" t="str">
        <x:v>New public-source collection</x:v>
      </x:c>
      <x:c r="AC617" s="3" t="str">
        <x:v>unverified</x:v>
      </x:c>
      <x:c r="AD617" s="3" t="str">
        <x:v>Not contacted / unconfirmed</x:v>
      </x:c>
      <x:c r="AE617" s="3" t="str">
        <x:v>No</x:v>
      </x:c>
      <x:c r="AF617" s="3" t="str">
        <x:v>No</x:v>
      </x:c>
      <x:c r="AG617" s="3"/>
      <x:c r="AH617" s="3"/>
      <x:c r="AI617" s="18"/>
      <x:c r="AJ617" s="3" t="str">
        <x:v>CF2500-BDB3AC957F9A</x:v>
      </x:c>
      <x:c r="AK617" s="3" t="str">
        <x:v>real_estate_operator</x:v>
      </x:c>
      <x:c r="AL617" s="19" t="n">
        <x:v>100000</x:v>
      </x:c>
      <x:c r="AM617" s="19" t="n">
        <x:v>500000</x:v>
      </x:c>
      <x:c r="AN617" s="3" t="str">
        <x:v>https://www.cashhomebuyersdirectory.com/cash-home-buyers/kansas/wichita</x:v>
      </x:c>
      <x:c r="AO617" s="3" t="str">
        <x:v>national_rest_directory_complete.jsonl</x:v>
      </x:c>
      <x:c r="AP617" s="19"/>
    </x:row>
    <x:row r="618" ht="36" customHeight="1">
      <x:c r="A618" s="23" t="n">
        <x:v>617</x:v>
      </x:c>
      <x:c r="B618" s="15" t="str">
        <x:v>Harmony Home Buyer</x:v>
      </x:c>
      <x:c r="C618" s="15"/>
      <x:c r="D618" s="15" t="str">
        <x:v>Property investor / home-buying operator</x:v>
      </x:c>
      <x:c r="E618" s="15" t="str">
        <x:v>Property investor / operator inquiry</x:v>
      </x:c>
      <x:c r="F618" s="17" t="str">
        <x:v>New</x:v>
      </x:c>
      <x:c r="G618" s="24"/>
      <x:c r="H618" s="24" t="str">
        <x:v>+13162179675</x:v>
      </x:c>
      <x:c r="I618" s="24" t="str">
        <x:v>https://www.harmonyhomebuyer.com/</x:v>
      </x:c>
      <x:c r="J618" s="16" t="str">
        <x:v>KS</x:v>
      </x:c>
      <x:c r="K618" s="16" t="str">
        <x:v>Wichita</x:v>
      </x:c>
      <x:c r="L618" s="16" t="str">
        <x:v>Public property-business route; investor decision maker unconfirmed</x:v>
      </x:c>
      <x:c r="M618" s="16" t="str">
        <x:v>https://www.harmonyhomebuyer.com/</x:v>
      </x:c>
      <x:c r="N618" s="16" t="str">
        <x:v>$100K-$500K ticket not published / unconfirmed</x:v>
      </x:c>
      <x:c r="O618" s="20"/>
      <x:c r="P618" s="20"/>
      <x:c r="Q618" s="25" t="str">
        <x:v>No direct corporate-capital range established in checked source</x:v>
      </x:c>
      <x:c r="R618" s="25" t="str">
        <x:v>Property acquisition or investor activity makes this an operator-capital prospect for the signed trial. Confirm operating-company debt/equity appetite.</x:v>
      </x:c>
      <x:c r="S618" s="25"/>
      <x:c r="T618" s="25" t="str">
        <x:v>Ask the owner/investor whether they can allocate $100K-$500K to trial marketing and acquisitions, and confirm structure, timing and decision authority.</x:v>
      </x:c>
      <x:c r="U618" s="25" t="str">
        <x:v>https://www.cashhomebuyersdirectory.com/cash-home-buyers/kansas/wichita</x:v>
      </x:c>
      <x:c r="V618" s="26" t="d">
        <x:v>2026-10-02T00:00:00.000Z</x:v>
      </x:c>
      <x:c r="W618" s="26" t="d">
        <x:v>2026-10-02T00:00:00.000Z</x:v>
      </x:c>
      <x:c r="X618" s="25" t="str">
        <x:v>CashHomeBuyersDirectory third-party business listing; first-party business activity not checked in this batch</x:v>
      </x:c>
      <x:c r="Y618" s="25"/>
      <x:c r="Z618" s="25" t="str">
        <x:v>https://www.cashhomebuyersdirectory.com/cash-home-buyers/kansas/wichita</x:v>
      </x:c>
      <x:c r="AA618" s="25" t="str">
        <x:v>Public cash-home-buyer directory lists the business name, business phone/website where available and market. Operator role and corporate funding willingness require confirmation.</x:v>
      </x:c>
      <x:c r="AB618" s="3" t="str">
        <x:v>New public-source collection</x:v>
      </x:c>
      <x:c r="AC618" s="3" t="str">
        <x:v>unverified</x:v>
      </x:c>
      <x:c r="AD618" s="3" t="str">
        <x:v>Not contacted / unconfirmed</x:v>
      </x:c>
      <x:c r="AE618" s="3" t="str">
        <x:v>No</x:v>
      </x:c>
      <x:c r="AF618" s="3" t="str">
        <x:v>No</x:v>
      </x:c>
      <x:c r="AG618" s="3"/>
      <x:c r="AH618" s="3"/>
      <x:c r="AI618" s="18"/>
      <x:c r="AJ618" s="3" t="str">
        <x:v>CF2500-447E387F038C</x:v>
      </x:c>
      <x:c r="AK618" s="3" t="str">
        <x:v>real_estate_operator</x:v>
      </x:c>
      <x:c r="AL618" s="19" t="n">
        <x:v>100000</x:v>
      </x:c>
      <x:c r="AM618" s="19" t="n">
        <x:v>500000</x:v>
      </x:c>
      <x:c r="AN618" s="3" t="str">
        <x:v>https://www.cashhomebuyersdirectory.com/cash-home-buyers/kansas/wichita</x:v>
      </x:c>
      <x:c r="AO618" s="3" t="str">
        <x:v>national_rest_directory_complete.jsonl</x:v>
      </x:c>
      <x:c r="AP618" s="19"/>
    </x:row>
    <x:row r="619" ht="36" customHeight="1">
      <x:c r="A619" s="23" t="n">
        <x:v>618</x:v>
      </x:c>
      <x:c r="B619" s="15" t="str">
        <x:v>Harrison Home Buyers</x:v>
      </x:c>
      <x:c r="C619" s="15"/>
      <x:c r="D619" s="15" t="str">
        <x:v>Property investor / home-buying operator</x:v>
      </x:c>
      <x:c r="E619" s="15" t="str">
        <x:v>Property investor / operator inquiry</x:v>
      </x:c>
      <x:c r="F619" s="17" t="str">
        <x:v>New</x:v>
      </x:c>
      <x:c r="G619" s="24"/>
      <x:c r="H619" s="24" t="str">
        <x:v>+18432035374</x:v>
      </x:c>
      <x:c r="I619" s="24" t="str">
        <x:v>https://www.selltoharrison.com/</x:v>
      </x:c>
      <x:c r="J619" s="16" t="str">
        <x:v>SC</x:v>
      </x:c>
      <x:c r="K619" s="16" t="str">
        <x:v>Charleston</x:v>
      </x:c>
      <x:c r="L619" s="16" t="str">
        <x:v>Public property-business route; investor decision maker unconfirmed</x:v>
      </x:c>
      <x:c r="M619" s="16" t="str">
        <x:v>https://www.selltoharrison.com/</x:v>
      </x:c>
      <x:c r="N619" s="16" t="str">
        <x:v>$100K-$500K ticket not published / unconfirmed</x:v>
      </x:c>
      <x:c r="O619" s="20"/>
      <x:c r="P619" s="20"/>
      <x:c r="Q619" s="25" t="str">
        <x:v>No direct corporate-capital range established in checked source</x:v>
      </x:c>
      <x:c r="R619" s="25" t="str">
        <x:v>Property acquisition or investor activity makes this an operator-capital prospect for the signed trial. Confirm operating-company debt/equity appetite.</x:v>
      </x:c>
      <x:c r="S619" s="25"/>
      <x:c r="T619" s="25" t="str">
        <x:v>Ask the owner/investor whether they can allocate $100K-$500K to trial marketing and acquisitions, and confirm structure, timing and decision authority.</x:v>
      </x:c>
      <x:c r="U619" s="25" t="str">
        <x:v>https://www.cashhomebuyersdirectory.com/cash-home-buyers/south-carolina/charleston</x:v>
      </x:c>
      <x:c r="V619" s="26" t="d">
        <x:v>2026-10-02T00:00:00.000Z</x:v>
      </x:c>
      <x:c r="W619" s="26" t="d">
        <x:v>2026-10-02T00:00:00.000Z</x:v>
      </x:c>
      <x:c r="X619" s="25" t="str">
        <x:v>CashHomeBuyersDirectory third-party business listing; first-party business activity not checked in this batch</x:v>
      </x:c>
      <x:c r="Y619" s="25"/>
      <x:c r="Z619" s="25" t="str">
        <x:v>https://www.cashhomebuyersdirectory.com/cash-home-buyers/south-carolina/charleston</x:v>
      </x:c>
      <x:c r="AA619" s="25" t="str">
        <x:v>Public cash-home-buyer directory lists the business name, business phone/website where available and market. Operator role and corporate funding willingness require confirmation.</x:v>
      </x:c>
      <x:c r="AB619" s="3" t="str">
        <x:v>New public-source collection</x:v>
      </x:c>
      <x:c r="AC619" s="3" t="str">
        <x:v>unverified</x:v>
      </x:c>
      <x:c r="AD619" s="3" t="str">
        <x:v>Not contacted / unconfirmed</x:v>
      </x:c>
      <x:c r="AE619" s="3" t="str">
        <x:v>No</x:v>
      </x:c>
      <x:c r="AF619" s="3" t="str">
        <x:v>No</x:v>
      </x:c>
      <x:c r="AG619" s="3"/>
      <x:c r="AH619" s="3"/>
      <x:c r="AI619" s="18"/>
      <x:c r="AJ619" s="3" t="str">
        <x:v>CF2500-36946707EE2C</x:v>
      </x:c>
      <x:c r="AK619" s="3" t="str">
        <x:v>real_estate_operator</x:v>
      </x:c>
      <x:c r="AL619" s="19" t="n">
        <x:v>100000</x:v>
      </x:c>
      <x:c r="AM619" s="19" t="n">
        <x:v>500000</x:v>
      </x:c>
      <x:c r="AN619" s="3" t="str">
        <x:v>https://www.cashhomebuyersdirectory.com/cash-home-buyers/south-carolina/charleston</x:v>
      </x:c>
      <x:c r="AO619" s="3" t="str">
        <x:v>national_rest_directory_complete.jsonl</x:v>
      </x:c>
      <x:c r="AP619" s="19"/>
    </x:row>
    <x:row r="620" ht="36" customHeight="1">
      <x:c r="A620" s="23" t="n">
        <x:v>619</x:v>
      </x:c>
      <x:c r="B620" s="15" t="str">
        <x:v>Heritage Cash Home Buyers</x:v>
      </x:c>
      <x:c r="C620" s="15"/>
      <x:c r="D620" s="15" t="str">
        <x:v>Property investor / home-buying operator</x:v>
      </x:c>
      <x:c r="E620" s="15" t="str">
        <x:v>Property investor / operator inquiry</x:v>
      </x:c>
      <x:c r="F620" s="17" t="str">
        <x:v>New</x:v>
      </x:c>
      <x:c r="G620" s="24"/>
      <x:c r="H620" s="24" t="str">
        <x:v>+13177517011</x:v>
      </x:c>
      <x:c r="I620" s="24" t="str">
        <x:v>https://heritagebuyshomes.com/</x:v>
      </x:c>
      <x:c r="J620" s="16" t="str">
        <x:v>IN</x:v>
      </x:c>
      <x:c r="K620" s="16" t="str">
        <x:v>Indianapolis</x:v>
      </x:c>
      <x:c r="L620" s="16" t="str">
        <x:v>Public property-business route; investor decision maker unconfirmed</x:v>
      </x:c>
      <x:c r="M620" s="16" t="str">
        <x:v>https://heritagebuyshomes.com/</x:v>
      </x:c>
      <x:c r="N620" s="16" t="str">
        <x:v>$100K-$500K ticket not published / unconfirmed</x:v>
      </x:c>
      <x:c r="O620" s="20"/>
      <x:c r="P620" s="20"/>
      <x:c r="Q620" s="25" t="str">
        <x:v>No direct corporate-capital range established in checked source</x:v>
      </x:c>
      <x:c r="R620" s="25" t="str">
        <x:v>Property acquisition or investor activity makes this an operator-capital prospect for the signed trial. Confirm operating-company debt/equity appetite.</x:v>
      </x:c>
      <x:c r="S620" s="25"/>
      <x:c r="T620" s="25" t="str">
        <x:v>Ask the owner/investor whether they can allocate $100K-$500K to trial marketing and acquisitions, and confirm structure, timing and decision authority.</x:v>
      </x:c>
      <x:c r="U620" s="25" t="str">
        <x:v>https://www.cashhomebuyersdirectory.com/cash-home-buyers/indiana/indianapolis</x:v>
      </x:c>
      <x:c r="V620" s="26" t="d">
        <x:v>2026-10-02T00:00:00.000Z</x:v>
      </x:c>
      <x:c r="W620" s="26" t="d">
        <x:v>2026-10-02T00:00:00.000Z</x:v>
      </x:c>
      <x:c r="X620" s="25" t="str">
        <x:v>CashHomeBuyersDirectory third-party business listing; first-party business activity not checked in this batch</x:v>
      </x:c>
      <x:c r="Y620" s="25"/>
      <x:c r="Z620" s="25" t="str">
        <x:v>https://www.cashhomebuyersdirectory.com/cash-home-buyers/indiana/indianapolis</x:v>
      </x:c>
      <x:c r="AA620" s="25" t="str">
        <x:v>Public cash-home-buyer directory lists the business name, business phone/website where available and market. Operator role and corporate funding willingness require confirmation.</x:v>
      </x:c>
      <x:c r="AB620" s="3" t="str">
        <x:v>New public-source collection</x:v>
      </x:c>
      <x:c r="AC620" s="3" t="str">
        <x:v>unverified</x:v>
      </x:c>
      <x:c r="AD620" s="3" t="str">
        <x:v>Not contacted / unconfirmed</x:v>
      </x:c>
      <x:c r="AE620" s="3" t="str">
        <x:v>No</x:v>
      </x:c>
      <x:c r="AF620" s="3" t="str">
        <x:v>No</x:v>
      </x:c>
      <x:c r="AG620" s="3"/>
      <x:c r="AH620" s="3"/>
      <x:c r="AI620" s="18"/>
      <x:c r="AJ620" s="3" t="str">
        <x:v>CF2500-6C11ECBCBDD2</x:v>
      </x:c>
      <x:c r="AK620" s="3" t="str">
        <x:v>real_estate_operator</x:v>
      </x:c>
      <x:c r="AL620" s="19" t="n">
        <x:v>100000</x:v>
      </x:c>
      <x:c r="AM620" s="19" t="n">
        <x:v>500000</x:v>
      </x:c>
      <x:c r="AN620" s="3" t="str">
        <x:v>https://www.cashhomebuyersdirectory.com/cash-home-buyers/indiana/indianapolis</x:v>
      </x:c>
      <x:c r="AO620" s="3" t="str">
        <x:v>national_rest_directory_complete.jsonl</x:v>
      </x:c>
      <x:c r="AP620" s="19"/>
    </x:row>
    <x:row r="621" ht="36" customHeight="1">
      <x:c r="A621" s="23" t="n">
        <x:v>620</x:v>
      </x:c>
      <x:c r="B621" s="15" t="str">
        <x:v>Home 4 You - Fort Wayne Local Cash House Buyer</x:v>
      </x:c>
      <x:c r="C621" s="15"/>
      <x:c r="D621" s="15" t="str">
        <x:v>Property investor / home-buying operator</x:v>
      </x:c>
      <x:c r="E621" s="15" t="str">
        <x:v>Property investor / operator inquiry</x:v>
      </x:c>
      <x:c r="F621" s="17" t="str">
        <x:v>New</x:v>
      </x:c>
      <x:c r="G621" s="24"/>
      <x:c r="H621" s="24" t="str">
        <x:v>+12609993100</x:v>
      </x:c>
      <x:c r="I621" s="24" t="str">
        <x:v>https://www.smartcashforyourhome.com/</x:v>
      </x:c>
      <x:c r="J621" s="16" t="str">
        <x:v>IN</x:v>
      </x:c>
      <x:c r="K621" s="16" t="str">
        <x:v>Fort Wayne</x:v>
      </x:c>
      <x:c r="L621" s="16" t="str">
        <x:v>Public property-business route; investor decision maker unconfirmed</x:v>
      </x:c>
      <x:c r="M621" s="16" t="str">
        <x:v>https://www.smartcashforyourhome.com/</x:v>
      </x:c>
      <x:c r="N621" s="16" t="str">
        <x:v>$100K-$500K ticket not published / unconfirmed</x:v>
      </x:c>
      <x:c r="O621" s="20"/>
      <x:c r="P621" s="20"/>
      <x:c r="Q621" s="25" t="str">
        <x:v>No direct corporate-capital range established in checked source</x:v>
      </x:c>
      <x:c r="R621" s="25" t="str">
        <x:v>Property acquisition or investor activity makes this an operator-capital prospect for the signed trial. Confirm operating-company debt/equity appetite.</x:v>
      </x:c>
      <x:c r="S621" s="25"/>
      <x:c r="T621" s="25" t="str">
        <x:v>Ask the owner/investor whether they can allocate $100K-$500K to trial marketing and acquisitions, and confirm structure, timing and decision authority.</x:v>
      </x:c>
      <x:c r="U621" s="25" t="str">
        <x:v>https://www.cashhomebuyersdirectory.com/cash-home-buyers/indiana/fort-wayne</x:v>
      </x:c>
      <x:c r="V621" s="26" t="d">
        <x:v>2026-10-02T00:00:00.000Z</x:v>
      </x:c>
      <x:c r="W621" s="26" t="d">
        <x:v>2026-10-02T00:00:00.000Z</x:v>
      </x:c>
      <x:c r="X621" s="25" t="str">
        <x:v>CashHomeBuyersDirectory third-party business listing; first-party business activity not checked in this batch</x:v>
      </x:c>
      <x:c r="Y621" s="25"/>
      <x:c r="Z621" s="25" t="str">
        <x:v>https://www.cashhomebuyersdirectory.com/cash-home-buyers/indiana/fort-wayne</x:v>
      </x:c>
      <x:c r="AA621" s="25" t="str">
        <x:v>Public cash-home-buyer directory lists the business name, business phone/website where available and market. Operator role and corporate funding willingness require confirmation.</x:v>
      </x:c>
      <x:c r="AB621" s="3" t="str">
        <x:v>New public-source collection</x:v>
      </x:c>
      <x:c r="AC621" s="3" t="str">
        <x:v>unverified</x:v>
      </x:c>
      <x:c r="AD621" s="3" t="str">
        <x:v>Not contacted / unconfirmed</x:v>
      </x:c>
      <x:c r="AE621" s="3" t="str">
        <x:v>No</x:v>
      </x:c>
      <x:c r="AF621" s="3" t="str">
        <x:v>No</x:v>
      </x:c>
      <x:c r="AG621" s="3"/>
      <x:c r="AH621" s="3"/>
      <x:c r="AI621" s="18"/>
      <x:c r="AJ621" s="3" t="str">
        <x:v>CF2500-D63515AB38BB</x:v>
      </x:c>
      <x:c r="AK621" s="3" t="str">
        <x:v>real_estate_operator</x:v>
      </x:c>
      <x:c r="AL621" s="19" t="n">
        <x:v>100000</x:v>
      </x:c>
      <x:c r="AM621" s="19" t="n">
        <x:v>500000</x:v>
      </x:c>
      <x:c r="AN621" s="3" t="str">
        <x:v>https://www.cashhomebuyersdirectory.com/cash-home-buyers/indiana/fort-wayne</x:v>
      </x:c>
      <x:c r="AO621" s="3" t="str">
        <x:v>national_rest_directory_complete.jsonl</x:v>
      </x:c>
      <x:c r="AP621" s="19"/>
    </x:row>
    <x:row r="622" ht="36" customHeight="1">
      <x:c r="A622" s="23" t="n">
        <x:v>621</x:v>
      </x:c>
      <x:c r="B622" s="15" t="str">
        <x:v>Home Buyer Salt Lake City</x:v>
      </x:c>
      <x:c r="C622" s="15"/>
      <x:c r="D622" s="15" t="str">
        <x:v>Property investor / home-buying operator</x:v>
      </x:c>
      <x:c r="E622" s="15" t="str">
        <x:v>Property investor / operator inquiry</x:v>
      </x:c>
      <x:c r="F622" s="17" t="str">
        <x:v>New</x:v>
      </x:c>
      <x:c r="G622" s="24"/>
      <x:c r="H622" s="24" t="str">
        <x:v>+18018107042</x:v>
      </x:c>
      <x:c r="I622" s="24" t="str">
        <x:v>https://www.homebuyersaltlakecity.com/</x:v>
      </x:c>
      <x:c r="J622" s="16" t="str">
        <x:v>UT</x:v>
      </x:c>
      <x:c r="K622" s="16" t="str">
        <x:v>Salt Lake City</x:v>
      </x:c>
      <x:c r="L622" s="16" t="str">
        <x:v>Public property-business route; investor decision maker unconfirmed</x:v>
      </x:c>
      <x:c r="M622" s="16" t="str">
        <x:v>https://www.homebuyersaltlakecity.com/</x:v>
      </x:c>
      <x:c r="N622" s="16" t="str">
        <x:v>$100K-$500K ticket not published / unconfirmed</x:v>
      </x:c>
      <x:c r="O622" s="20"/>
      <x:c r="P622" s="20"/>
      <x:c r="Q622" s="25" t="str">
        <x:v>No direct corporate-capital range established in checked source</x:v>
      </x:c>
      <x:c r="R622" s="25" t="str">
        <x:v>Property acquisition or investor activity makes this an operator-capital prospect for the signed trial. Confirm operating-company debt/equity appetite.</x:v>
      </x:c>
      <x:c r="S622" s="25"/>
      <x:c r="T622" s="25" t="str">
        <x:v>Ask the owner/investor whether they can allocate $100K-$500K to trial marketing and acquisitions, and confirm structure, timing and decision authority.</x:v>
      </x:c>
      <x:c r="U622" s="25" t="str">
        <x:v>https://www.cashhomebuyersdirectory.com/cash-home-buyers/utah/salt-lake-city</x:v>
      </x:c>
      <x:c r="V622" s="26" t="d">
        <x:v>2026-10-02T00:00:00.000Z</x:v>
      </x:c>
      <x:c r="W622" s="26" t="d">
        <x:v>2026-10-02T00:00:00.000Z</x:v>
      </x:c>
      <x:c r="X622" s="25" t="str">
        <x:v>CashHomeBuyersDirectory third-party business listing; first-party business activity not checked in this batch</x:v>
      </x:c>
      <x:c r="Y622" s="25"/>
      <x:c r="Z622" s="25" t="str">
        <x:v>https://www.cashhomebuyersdirectory.com/cash-home-buyers/utah/salt-lake-city</x:v>
      </x:c>
      <x:c r="AA622" s="25" t="str">
        <x:v>Public cash-home-buyer directory lists the business name, business phone/website where available and market. Operator role and corporate funding willingness require confirmation.</x:v>
      </x:c>
      <x:c r="AB622" s="3" t="str">
        <x:v>New public-source collection</x:v>
      </x:c>
      <x:c r="AC622" s="3" t="str">
        <x:v>unverified</x:v>
      </x:c>
      <x:c r="AD622" s="3" t="str">
        <x:v>Not contacted / unconfirmed</x:v>
      </x:c>
      <x:c r="AE622" s="3" t="str">
        <x:v>No</x:v>
      </x:c>
      <x:c r="AF622" s="3" t="str">
        <x:v>No</x:v>
      </x:c>
      <x:c r="AG622" s="3"/>
      <x:c r="AH622" s="3"/>
      <x:c r="AI622" s="18"/>
      <x:c r="AJ622" s="3" t="str">
        <x:v>CF2500-B9CB638F64DF</x:v>
      </x:c>
      <x:c r="AK622" s="3" t="str">
        <x:v>real_estate_operator</x:v>
      </x:c>
      <x:c r="AL622" s="19" t="n">
        <x:v>100000</x:v>
      </x:c>
      <x:c r="AM622" s="19" t="n">
        <x:v>500000</x:v>
      </x:c>
      <x:c r="AN622" s="3" t="str">
        <x:v>https://www.cashhomebuyersdirectory.com/cash-home-buyers/utah/salt-lake-city</x:v>
      </x:c>
      <x:c r="AO622" s="3" t="str">
        <x:v>national_rest_directory_complete.jsonl</x:v>
      </x:c>
      <x:c r="AP622" s="19"/>
    </x:row>
    <x:row r="623" ht="36" customHeight="1">
      <x:c r="A623" s="23" t="n">
        <x:v>622</x:v>
      </x:c>
      <x:c r="B623" s="15" t="str">
        <x:v>Home Buyers Chattanooga</x:v>
      </x:c>
      <x:c r="C623" s="15"/>
      <x:c r="D623" s="15" t="str">
        <x:v>Property investor / home-buying operator</x:v>
      </x:c>
      <x:c r="E623" s="15" t="str">
        <x:v>Property investor / operator inquiry</x:v>
      </x:c>
      <x:c r="F623" s="17" t="str">
        <x:v>New</x:v>
      </x:c>
      <x:c r="G623" s="24"/>
      <x:c r="H623" s="24" t="str">
        <x:v>+14232003316</x:v>
      </x:c>
      <x:c r="I623" s="24" t="str">
        <x:v>https://www.homebuyerschattanooga.com/</x:v>
      </x:c>
      <x:c r="J623" s="16" t="str">
        <x:v>TN</x:v>
      </x:c>
      <x:c r="K623" s="16" t="str">
        <x:v>Chattanooga</x:v>
      </x:c>
      <x:c r="L623" s="16" t="str">
        <x:v>Public property-business route; investor decision maker unconfirmed</x:v>
      </x:c>
      <x:c r="M623" s="16" t="str">
        <x:v>https://www.homebuyerschattanooga.com/</x:v>
      </x:c>
      <x:c r="N623" s="16" t="str">
        <x:v>$100K-$500K ticket not published / unconfirmed</x:v>
      </x:c>
      <x:c r="O623" s="20"/>
      <x:c r="P623" s="20"/>
      <x:c r="Q623" s="25" t="str">
        <x:v>No direct corporate-capital range established in checked source</x:v>
      </x:c>
      <x:c r="R623" s="25" t="str">
        <x:v>Property acquisition or investor activity makes this an operator-capital prospect for the signed trial. Confirm operating-company debt/equity appetite.</x:v>
      </x:c>
      <x:c r="S623" s="25"/>
      <x:c r="T623" s="25" t="str">
        <x:v>Ask the owner/investor whether they can allocate $100K-$500K to trial marketing and acquisitions, and confirm structure, timing and decision authority.</x:v>
      </x:c>
      <x:c r="U623" s="25" t="str">
        <x:v>https://www.cashhomebuyersdirectory.com/cash-home-buyers/tennessee/chattanooga</x:v>
      </x:c>
      <x:c r="V623" s="26" t="d">
        <x:v>2026-10-02T00:00:00.000Z</x:v>
      </x:c>
      <x:c r="W623" s="26" t="d">
        <x:v>2026-10-02T00:00:00.000Z</x:v>
      </x:c>
      <x:c r="X623" s="25" t="str">
        <x:v>CashHomeBuyersDirectory third-party business listing; first-party business activity not checked in this batch</x:v>
      </x:c>
      <x:c r="Y623" s="25"/>
      <x:c r="Z623" s="25" t="str">
        <x:v>https://www.cashhomebuyersdirectory.com/cash-home-buyers/tennessee/chattanooga</x:v>
      </x:c>
      <x:c r="AA623" s="25" t="str">
        <x:v>Public cash-home-buyer directory lists the business name, business phone/website where available and market. Operator role and corporate funding willingness require confirmation.</x:v>
      </x:c>
      <x:c r="AB623" s="3" t="str">
        <x:v>New public-source collection</x:v>
      </x:c>
      <x:c r="AC623" s="3" t="str">
        <x:v>unverified</x:v>
      </x:c>
      <x:c r="AD623" s="3" t="str">
        <x:v>Not contacted / unconfirmed</x:v>
      </x:c>
      <x:c r="AE623" s="3" t="str">
        <x:v>No</x:v>
      </x:c>
      <x:c r="AF623" s="3" t="str">
        <x:v>No</x:v>
      </x:c>
      <x:c r="AG623" s="3"/>
      <x:c r="AH623" s="3"/>
      <x:c r="AI623" s="18"/>
      <x:c r="AJ623" s="3" t="str">
        <x:v>CF2500-9F38E991897F</x:v>
      </x:c>
      <x:c r="AK623" s="3" t="str">
        <x:v>real_estate_operator</x:v>
      </x:c>
      <x:c r="AL623" s="19" t="n">
        <x:v>100000</x:v>
      </x:c>
      <x:c r="AM623" s="19" t="n">
        <x:v>500000</x:v>
      </x:c>
      <x:c r="AN623" s="3" t="str">
        <x:v>https://www.cashhomebuyersdirectory.com/cash-home-buyers/tennessee/chattanooga</x:v>
      </x:c>
      <x:c r="AO623" s="3" t="str">
        <x:v>national_rest_directory_complete.jsonl</x:v>
      </x:c>
      <x:c r="AP623" s="19"/>
    </x:row>
    <x:row r="624" ht="36" customHeight="1">
      <x:c r="A624" s="23" t="n">
        <x:v>623</x:v>
      </x:c>
      <x:c r="B624" s="15" t="str">
        <x:v>Home Buyers Collection, LLC</x:v>
      </x:c>
      <x:c r="C624" s="15"/>
      <x:c r="D624" s="15" t="str">
        <x:v>Property investor / home-buying operator</x:v>
      </x:c>
      <x:c r="E624" s="15" t="str">
        <x:v>Property investor / operator inquiry</x:v>
      </x:c>
      <x:c r="F624" s="17" t="str">
        <x:v>New</x:v>
      </x:c>
      <x:c r="G624" s="24"/>
      <x:c r="H624" s="24" t="str">
        <x:v>+14044454070</x:v>
      </x:c>
      <x:c r="I624" s="24" t="str">
        <x:v>https://www.thebestcashbuyers.com/</x:v>
      </x:c>
      <x:c r="J624" s="16" t="str">
        <x:v>GA</x:v>
      </x:c>
      <x:c r="K624" s="16" t="str">
        <x:v>Atlanta</x:v>
      </x:c>
      <x:c r="L624" s="16" t="str">
        <x:v>Public property-business route; investor decision maker unconfirmed</x:v>
      </x:c>
      <x:c r="M624" s="16" t="str">
        <x:v>https://www.thebestcashbuyers.com/</x:v>
      </x:c>
      <x:c r="N624" s="16" t="str">
        <x:v>$100K-$500K ticket not published / unconfirmed</x:v>
      </x:c>
      <x:c r="O624" s="20"/>
      <x:c r="P624" s="20"/>
      <x:c r="Q624" s="25" t="str">
        <x:v>No direct corporate-capital range established in checked source</x:v>
      </x:c>
      <x:c r="R624" s="25" t="str">
        <x:v>Property acquisition or investor activity makes this an operator-capital prospect for the signed trial. Confirm operating-company debt/equity appetite.</x:v>
      </x:c>
      <x:c r="S624" s="25"/>
      <x:c r="T624" s="25" t="str">
        <x:v>Ask the owner/investor whether they can allocate $100K-$500K to trial marketing and acquisitions, and confirm structure, timing and decision authority.</x:v>
      </x:c>
      <x:c r="U624" s="25" t="str">
        <x:v>https://www.cashhomebuyersdirectory.com/cash-home-buyers/georgia/atlanta</x:v>
      </x:c>
      <x:c r="V624" s="26" t="d">
        <x:v>2026-10-02T00:00:00.000Z</x:v>
      </x:c>
      <x:c r="W624" s="26" t="d">
        <x:v>2026-10-02T00:00:00.000Z</x:v>
      </x:c>
      <x:c r="X624" s="25" t="str">
        <x:v>CashHomeBuyersDirectory third-party business listing; first-party business activity not checked in this batch</x:v>
      </x:c>
      <x:c r="Y624" s="25"/>
      <x:c r="Z624" s="25" t="str">
        <x:v>https://www.cashhomebuyersdirectory.com/cash-home-buyers/georgia/atlanta</x:v>
      </x:c>
      <x:c r="AA624" s="25" t="str">
        <x:v>Public cash-home-buyer directory lists the business name, business phone/website where available and market. Operator role and corporate funding willingness require confirmation.</x:v>
      </x:c>
      <x:c r="AB624" s="3" t="str">
        <x:v>New public-source collection</x:v>
      </x:c>
      <x:c r="AC624" s="3" t="str">
        <x:v>unverified</x:v>
      </x:c>
      <x:c r="AD624" s="3" t="str">
        <x:v>Not contacted / unconfirmed</x:v>
      </x:c>
      <x:c r="AE624" s="3" t="str">
        <x:v>No</x:v>
      </x:c>
      <x:c r="AF624" s="3" t="str">
        <x:v>No</x:v>
      </x:c>
      <x:c r="AG624" s="3"/>
      <x:c r="AH624" s="3"/>
      <x:c r="AI624" s="18"/>
      <x:c r="AJ624" s="3" t="str">
        <x:v>CF2500-4A356FB740D4</x:v>
      </x:c>
      <x:c r="AK624" s="3" t="str">
        <x:v>real_estate_operator</x:v>
      </x:c>
      <x:c r="AL624" s="19" t="n">
        <x:v>100000</x:v>
      </x:c>
      <x:c r="AM624" s="19" t="n">
        <x:v>500000</x:v>
      </x:c>
      <x:c r="AN624" s="3" t="str">
        <x:v>https://www.cashhomebuyersdirectory.com/cash-home-buyers/georgia/atlanta</x:v>
      </x:c>
      <x:c r="AO624" s="3" t="str">
        <x:v>national_rest_directory_complete.jsonl</x:v>
      </x:c>
      <x:c r="AP624" s="19"/>
    </x:row>
    <x:row r="625" ht="36" customHeight="1">
      <x:c r="A625" s="23" t="n">
        <x:v>624</x:v>
      </x:c>
      <x:c r="B625" s="15" t="str">
        <x:v>Home Buyers Group | Alabama Cash Home Buyers</x:v>
      </x:c>
      <x:c r="C625" s="15"/>
      <x:c r="D625" s="15" t="str">
        <x:v>Property investor / home-buying operator</x:v>
      </x:c>
      <x:c r="E625" s="15" t="str">
        <x:v>Property investor / operator inquiry</x:v>
      </x:c>
      <x:c r="F625" s="17" t="str">
        <x:v>New</x:v>
      </x:c>
      <x:c r="G625" s="24"/>
      <x:c r="H625" s="24" t="str">
        <x:v>+12052088543</x:v>
      </x:c>
      <x:c r="I625" s="24" t="str">
        <x:v>https://www.sellbhamhomefast.com/</x:v>
      </x:c>
      <x:c r="J625" s="16" t="str">
        <x:v>AL</x:v>
      </x:c>
      <x:c r="K625" s="16"/>
      <x:c r="L625" s="16" t="str">
        <x:v>Public property-business route; investor decision maker unconfirmed</x:v>
      </x:c>
      <x:c r="M625" s="16" t="str">
        <x:v>https://www.sellbhamhomefast.com/</x:v>
      </x:c>
      <x:c r="N625" s="16" t="str">
        <x:v>$100K-$500K ticket not published / unconfirmed</x:v>
      </x:c>
      <x:c r="O625" s="20"/>
      <x:c r="P625" s="20"/>
      <x:c r="Q625" s="25" t="str">
        <x:v>No direct corporate-capital range established in checked source</x:v>
      </x:c>
      <x:c r="R625" s="25" t="str">
        <x:v>Property acquisition or investor activity makes this an operator-capital prospect for the signed trial. Confirm operating-company debt/equity appetite.</x:v>
      </x:c>
      <x:c r="S625" s="25"/>
      <x:c r="T625" s="25" t="str">
        <x:v>Ask the owner/investor whether they can allocate $100K-$500K to trial marketing and acquisitions, and confirm structure, timing and decision authority.</x:v>
      </x:c>
      <x:c r="U625" s="25" t="str">
        <x:v>https://www.cashhomebuyersdirectory.com/cash-home-buyers/alabama/birmingham</x:v>
      </x:c>
      <x:c r="V625" s="26" t="d">
        <x:v>2026-10-02T00:00:00.000Z</x:v>
      </x:c>
      <x:c r="W625" s="26" t="d">
        <x:v>2026-10-02T00:00:00.000Z</x:v>
      </x:c>
      <x:c r="X625" s="25" t="str">
        <x:v>CashHomeBuyersDirectory third-party business listing; first-party business activity not checked in this batch</x:v>
      </x:c>
      <x:c r="Y625" s="25"/>
      <x:c r="Z625" s="25" t="str">
        <x:v>https://www.cashhomebuyersdirectory.com/cash-home-buyers/alabama/birmingham</x:v>
      </x:c>
      <x:c r="AA625" s="25" t="str">
        <x:v>Public cash-home-buyer directory lists the business name, business phone/website where available and market. Operator role and corporate funding willingness require confirmation.</x:v>
      </x:c>
      <x:c r="AB625" s="3" t="str">
        <x:v>New public-source collection</x:v>
      </x:c>
      <x:c r="AC625" s="3" t="str">
        <x:v>unverified</x:v>
      </x:c>
      <x:c r="AD625" s="3" t="str">
        <x:v>Not contacted / unconfirmed</x:v>
      </x:c>
      <x:c r="AE625" s="3" t="str">
        <x:v>No</x:v>
      </x:c>
      <x:c r="AF625" s="3" t="str">
        <x:v>No</x:v>
      </x:c>
      <x:c r="AG625" s="3"/>
      <x:c r="AH625" s="3"/>
      <x:c r="AI625" s="18"/>
      <x:c r="AJ625" s="3" t="str">
        <x:v>CF2500-A1AE68D24C30</x:v>
      </x:c>
      <x:c r="AK625" s="3" t="str">
        <x:v>real_estate_operator</x:v>
      </x:c>
      <x:c r="AL625" s="19" t="n">
        <x:v>100000</x:v>
      </x:c>
      <x:c r="AM625" s="19" t="n">
        <x:v>500000</x:v>
      </x:c>
      <x:c r="AN625" s="3" t="str">
        <x:v>https://www.cashhomebuyersdirectory.com/cash-home-buyers/alabama/birmingham</x:v>
      </x:c>
      <x:c r="AO625" s="3" t="str">
        <x:v>national_rest_directory_complete.jsonl</x:v>
      </x:c>
      <x:c r="AP625" s="19"/>
    </x:row>
    <x:row r="626" ht="36" customHeight="1">
      <x:c r="A626" s="23" t="n">
        <x:v>625</x:v>
      </x:c>
      <x:c r="B626" s="15" t="str">
        <x:v>Home Buyers ICT</x:v>
      </x:c>
      <x:c r="C626" s="15"/>
      <x:c r="D626" s="15" t="str">
        <x:v>Property investor / home-buying operator</x:v>
      </x:c>
      <x:c r="E626" s="15" t="str">
        <x:v>Property investor / operator inquiry</x:v>
      </x:c>
      <x:c r="F626" s="17" t="str">
        <x:v>New</x:v>
      </x:c>
      <x:c r="G626" s="24"/>
      <x:c r="H626" s="24" t="str">
        <x:v>+13163080579</x:v>
      </x:c>
      <x:c r="I626" s="24" t="str">
        <x:v>https://www.homebuyersict.com/</x:v>
      </x:c>
      <x:c r="J626" s="16" t="str">
        <x:v>KS</x:v>
      </x:c>
      <x:c r="K626" s="16" t="str">
        <x:v>Wichita</x:v>
      </x:c>
      <x:c r="L626" s="16" t="str">
        <x:v>Public property-business route; investor decision maker unconfirmed</x:v>
      </x:c>
      <x:c r="M626" s="16" t="str">
        <x:v>https://www.homebuyersict.com/</x:v>
      </x:c>
      <x:c r="N626" s="16" t="str">
        <x:v>$100K-$500K ticket not published / unconfirmed</x:v>
      </x:c>
      <x:c r="O626" s="20"/>
      <x:c r="P626" s="20"/>
      <x:c r="Q626" s="25" t="str">
        <x:v>No direct corporate-capital range established in checked source</x:v>
      </x:c>
      <x:c r="R626" s="25" t="str">
        <x:v>Property acquisition or investor activity makes this an operator-capital prospect for the signed trial. Confirm operating-company debt/equity appetite.</x:v>
      </x:c>
      <x:c r="S626" s="25"/>
      <x:c r="T626" s="25" t="str">
        <x:v>Ask the owner/investor whether they can allocate $100K-$500K to trial marketing and acquisitions, and confirm structure, timing and decision authority.</x:v>
      </x:c>
      <x:c r="U626" s="25" t="str">
        <x:v>https://www.cashhomebuyersdirectory.com/cash-home-buyers/kansas/wichita</x:v>
      </x:c>
      <x:c r="V626" s="26" t="d">
        <x:v>2026-10-02T00:00:00.000Z</x:v>
      </x:c>
      <x:c r="W626" s="26" t="d">
        <x:v>2026-10-02T00:00:00.000Z</x:v>
      </x:c>
      <x:c r="X626" s="25" t="str">
        <x:v>CashHomeBuyersDirectory third-party business listing; first-party business activity not checked in this batch</x:v>
      </x:c>
      <x:c r="Y626" s="25"/>
      <x:c r="Z626" s="25" t="str">
        <x:v>https://www.cashhomebuyersdirectory.com/cash-home-buyers/kansas/wichita</x:v>
      </x:c>
      <x:c r="AA626" s="25" t="str">
        <x:v>Public cash-home-buyer directory lists the business name, business phone/website where available and market. Operator role and corporate funding willingness require confirmation.</x:v>
      </x:c>
      <x:c r="AB626" s="3" t="str">
        <x:v>New public-source collection</x:v>
      </x:c>
      <x:c r="AC626" s="3" t="str">
        <x:v>unverified</x:v>
      </x:c>
      <x:c r="AD626" s="3" t="str">
        <x:v>Not contacted / unconfirmed</x:v>
      </x:c>
      <x:c r="AE626" s="3" t="str">
        <x:v>No</x:v>
      </x:c>
      <x:c r="AF626" s="3" t="str">
        <x:v>No</x:v>
      </x:c>
      <x:c r="AG626" s="3"/>
      <x:c r="AH626" s="3"/>
      <x:c r="AI626" s="18"/>
      <x:c r="AJ626" s="3" t="str">
        <x:v>CF2500-51319BEFDB5F</x:v>
      </x:c>
      <x:c r="AK626" s="3" t="str">
        <x:v>real_estate_operator</x:v>
      </x:c>
      <x:c r="AL626" s="19" t="n">
        <x:v>100000</x:v>
      </x:c>
      <x:c r="AM626" s="19" t="n">
        <x:v>500000</x:v>
      </x:c>
      <x:c r="AN626" s="3" t="str">
        <x:v>https://www.cashhomebuyersdirectory.com/cash-home-buyers/kansas/wichita</x:v>
      </x:c>
      <x:c r="AO626" s="3" t="str">
        <x:v>national_rest_directory_complete.jsonl</x:v>
      </x:c>
      <x:c r="AP626" s="19"/>
    </x:row>
    <x:row r="627" ht="36" customHeight="1">
      <x:c r="A627" s="23" t="n">
        <x:v>626</x:v>
      </x:c>
      <x:c r="B627" s="15" t="str">
        <x:v>Home Buyers Now</x:v>
      </x:c>
      <x:c r="C627" s="15"/>
      <x:c r="D627" s="15" t="str">
        <x:v>Property investor / home-buying operator</x:v>
      </x:c>
      <x:c r="E627" s="15" t="str">
        <x:v>Property investor / operator inquiry</x:v>
      </x:c>
      <x:c r="F627" s="17" t="str">
        <x:v>New</x:v>
      </x:c>
      <x:c r="G627" s="24"/>
      <x:c r="H627" s="24" t="str">
        <x:v>+12059463660</x:v>
      </x:c>
      <x:c r="I627" s="24" t="str">
        <x:v>http://homebuyersnow.house/</x:v>
      </x:c>
      <x:c r="J627" s="16" t="str">
        <x:v>AL</x:v>
      </x:c>
      <x:c r="K627" s="16" t="str">
        <x:v>Birmingham</x:v>
      </x:c>
      <x:c r="L627" s="16" t="str">
        <x:v>Public property-business route; investor decision maker unconfirmed</x:v>
      </x:c>
      <x:c r="M627" s="16" t="str">
        <x:v>http://homebuyersnow.house/</x:v>
      </x:c>
      <x:c r="N627" s="16" t="str">
        <x:v>$100K-$500K ticket not published / unconfirmed</x:v>
      </x:c>
      <x:c r="O627" s="20"/>
      <x:c r="P627" s="20"/>
      <x:c r="Q627" s="25" t="str">
        <x:v>No direct corporate-capital range established in checked source</x:v>
      </x:c>
      <x:c r="R627" s="25" t="str">
        <x:v>Property acquisition or investor activity makes this an operator-capital prospect for the signed trial. Confirm operating-company debt/equity appetite.</x:v>
      </x:c>
      <x:c r="S627" s="25"/>
      <x:c r="T627" s="25" t="str">
        <x:v>Ask the owner/investor whether they can allocate $100K-$500K to trial marketing and acquisitions, and confirm structure, timing and decision authority.</x:v>
      </x:c>
      <x:c r="U627" s="25" t="str">
        <x:v>https://www.cashhomebuyersdirectory.com/cash-home-buyers/alabama/birmingham</x:v>
      </x:c>
      <x:c r="V627" s="26" t="d">
        <x:v>2026-10-02T00:00:00.000Z</x:v>
      </x:c>
      <x:c r="W627" s="26" t="d">
        <x:v>2026-10-02T00:00:00.000Z</x:v>
      </x:c>
      <x:c r="X627" s="25" t="str">
        <x:v>CashHomeBuyersDirectory third-party business listing; first-party business activity not checked in this batch</x:v>
      </x:c>
      <x:c r="Y627" s="25"/>
      <x:c r="Z627" s="25" t="str">
        <x:v>https://www.cashhomebuyersdirectory.com/cash-home-buyers/alabama/birmingham</x:v>
      </x:c>
      <x:c r="AA627" s="25" t="str">
        <x:v>Public cash-home-buyer directory lists the business name, business phone/website where available and market. Operator role and corporate funding willingness require confirmation.</x:v>
      </x:c>
      <x:c r="AB627" s="3" t="str">
        <x:v>New public-source collection</x:v>
      </x:c>
      <x:c r="AC627" s="3" t="str">
        <x:v>unverified</x:v>
      </x:c>
      <x:c r="AD627" s="3" t="str">
        <x:v>Not contacted / unconfirmed</x:v>
      </x:c>
      <x:c r="AE627" s="3" t="str">
        <x:v>No</x:v>
      </x:c>
      <x:c r="AF627" s="3" t="str">
        <x:v>No</x:v>
      </x:c>
      <x:c r="AG627" s="3"/>
      <x:c r="AH627" s="3"/>
      <x:c r="AI627" s="18"/>
      <x:c r="AJ627" s="3" t="str">
        <x:v>CF2500-25069B9BF9C7</x:v>
      </x:c>
      <x:c r="AK627" s="3" t="str">
        <x:v>real_estate_operator</x:v>
      </x:c>
      <x:c r="AL627" s="19" t="n">
        <x:v>100000</x:v>
      </x:c>
      <x:c r="AM627" s="19" t="n">
        <x:v>500000</x:v>
      </x:c>
      <x:c r="AN627" s="3" t="str">
        <x:v>https://www.cashhomebuyersdirectory.com/cash-home-buyers/alabama/birmingham</x:v>
      </x:c>
      <x:c r="AO627" s="3" t="str">
        <x:v>national_rest_directory_complete.jsonl</x:v>
      </x:c>
      <x:c r="AP627" s="19"/>
    </x:row>
    <x:row r="628" ht="36" customHeight="1">
      <x:c r="A628" s="23" t="n">
        <x:v>627</x:v>
      </x:c>
      <x:c r="B628" s="15" t="str">
        <x:v>Home Buyers of Birmingham</x:v>
      </x:c>
      <x:c r="C628" s="15"/>
      <x:c r="D628" s="15" t="str">
        <x:v>Property investor / home-buying operator</x:v>
      </x:c>
      <x:c r="E628" s="15" t="str">
        <x:v>Property investor / operator inquiry</x:v>
      </x:c>
      <x:c r="F628" s="17" t="str">
        <x:v>New</x:v>
      </x:c>
      <x:c r="G628" s="24"/>
      <x:c r="H628" s="24" t="str">
        <x:v>+12053798185</x:v>
      </x:c>
      <x:c r="I628" s="24" t="str">
        <x:v>http://www.homebuyersofbirmingham.com/</x:v>
      </x:c>
      <x:c r="J628" s="16" t="str">
        <x:v>AL</x:v>
      </x:c>
      <x:c r="K628" s="16"/>
      <x:c r="L628" s="16" t="str">
        <x:v>Public property-business route; investor decision maker unconfirmed</x:v>
      </x:c>
      <x:c r="M628" s="16" t="str">
        <x:v>http://www.homebuyersofbirmingham.com/</x:v>
      </x:c>
      <x:c r="N628" s="16" t="str">
        <x:v>$100K-$500K ticket not published / unconfirmed</x:v>
      </x:c>
      <x:c r="O628" s="20"/>
      <x:c r="P628" s="20"/>
      <x:c r="Q628" s="25" t="str">
        <x:v>No direct corporate-capital range established in checked source</x:v>
      </x:c>
      <x:c r="R628" s="25" t="str">
        <x:v>Property acquisition or investor activity makes this an operator-capital prospect for the signed trial. Confirm operating-company debt/equity appetite.</x:v>
      </x:c>
      <x:c r="S628" s="25"/>
      <x:c r="T628" s="25" t="str">
        <x:v>Ask the owner/investor whether they can allocate $100K-$500K to trial marketing and acquisitions, and confirm structure, timing and decision authority.</x:v>
      </x:c>
      <x:c r="U628" s="25" t="str">
        <x:v>https://www.cashhomebuyersdirectory.com/cash-home-buyers/alabama/birmingham
https://www.cashhomebuyersdirectory.com/cash-home-buyers/alabama/huntsville</x:v>
      </x:c>
      <x:c r="V628" s="26" t="d">
        <x:v>2026-10-02T00:00:00.000Z</x:v>
      </x:c>
      <x:c r="W628" s="26" t="d">
        <x:v>2026-10-02T00:00:00.000Z</x:v>
      </x:c>
      <x:c r="X628" s="25" t="str">
        <x:v>CashHomeBuyersDirectory third-party business listing; first-party business activity not checked in this batch</x:v>
      </x:c>
      <x:c r="Y628" s="25"/>
      <x:c r="Z628" s="25" t="str">
        <x:v>https://www.cashhomebuyersdirectory.com/cash-home-buyers/alabama/birmingham</x:v>
      </x:c>
      <x:c r="AA628" s="25" t="str">
        <x:v>Public cash-home-buyer directory lists the business name, business phone/website where available and market. Operator role and corporate funding willingness require confirmation.</x:v>
      </x:c>
      <x:c r="AB628" s="3" t="str">
        <x:v>New public-source collection</x:v>
      </x:c>
      <x:c r="AC628" s="3" t="str">
        <x:v>unverified</x:v>
      </x:c>
      <x:c r="AD628" s="3" t="str">
        <x:v>Not contacted / unconfirmed</x:v>
      </x:c>
      <x:c r="AE628" s="3" t="str">
        <x:v>No</x:v>
      </x:c>
      <x:c r="AF628" s="3" t="str">
        <x:v>No</x:v>
      </x:c>
      <x:c r="AG628" s="3"/>
      <x:c r="AH628" s="3"/>
      <x:c r="AI628" s="18"/>
      <x:c r="AJ628" s="3" t="str">
        <x:v>CF2500-82EB94A44080</x:v>
      </x:c>
      <x:c r="AK628" s="3" t="str">
        <x:v>real_estate_operator</x:v>
      </x:c>
      <x:c r="AL628" s="19" t="n">
        <x:v>100000</x:v>
      </x:c>
      <x:c r="AM628" s="19" t="n">
        <x:v>500000</x:v>
      </x:c>
      <x:c r="AN628" s="3" t="str">
        <x:v>https://www.cashhomebuyersdirectory.com/cash-home-buyers/alabama/birmingham</x:v>
      </x:c>
      <x:c r="AO628" s="3" t="str">
        <x:v>national_rest_directory_complete.jsonl</x:v>
      </x:c>
      <x:c r="AP628" s="19"/>
    </x:row>
    <x:row r="629" ht="36" customHeight="1">
      <x:c r="A629" s="23" t="n">
        <x:v>628</x:v>
      </x:c>
      <x:c r="B629" s="15" t="str">
        <x:v>Home Buyers of Georgia LLC</x:v>
      </x:c>
      <x:c r="C629" s="15"/>
      <x:c r="D629" s="15" t="str">
        <x:v>Property investor / home-buying operator</x:v>
      </x:c>
      <x:c r="E629" s="15" t="str">
        <x:v>Property investor / operator inquiry</x:v>
      </x:c>
      <x:c r="F629" s="17" t="str">
        <x:v>New</x:v>
      </x:c>
      <x:c r="G629" s="24"/>
      <x:c r="H629" s="24" t="str">
        <x:v>+14046354357</x:v>
      </x:c>
      <x:c r="I629" s="24" t="str">
        <x:v>https://www.ibuyga.com/</x:v>
      </x:c>
      <x:c r="J629" s="16" t="str">
        <x:v>GA</x:v>
      </x:c>
      <x:c r="K629" s="16" t="str">
        <x:v>Atlanta</x:v>
      </x:c>
      <x:c r="L629" s="16" t="str">
        <x:v>Public property-business route; investor decision maker unconfirmed</x:v>
      </x:c>
      <x:c r="M629" s="16" t="str">
        <x:v>https://www.ibuyga.com/</x:v>
      </x:c>
      <x:c r="N629" s="16" t="str">
        <x:v>$100K-$500K ticket not published / unconfirmed</x:v>
      </x:c>
      <x:c r="O629" s="20"/>
      <x:c r="P629" s="20"/>
      <x:c r="Q629" s="25" t="str">
        <x:v>No direct corporate-capital range established in checked source</x:v>
      </x:c>
      <x:c r="R629" s="25" t="str">
        <x:v>Property acquisition or investor activity makes this an operator-capital prospect for the signed trial. Confirm operating-company debt/equity appetite.</x:v>
      </x:c>
      <x:c r="S629" s="25"/>
      <x:c r="T629" s="25" t="str">
        <x:v>Ask the owner/investor whether they can allocate $100K-$500K to trial marketing and acquisitions, and confirm structure, timing and decision authority.</x:v>
      </x:c>
      <x:c r="U629" s="25" t="str">
        <x:v>https://www.cashhomebuyersdirectory.com/cash-home-buyers/georgia/atlanta
https://www.cashhomebuyersdirectory.com/cash-home-buyers/georgia/decatur</x:v>
      </x:c>
      <x:c r="V629" s="26" t="d">
        <x:v>2026-10-02T00:00:00.000Z</x:v>
      </x:c>
      <x:c r="W629" s="26" t="d">
        <x:v>2026-10-02T00:00:00.000Z</x:v>
      </x:c>
      <x:c r="X629" s="25" t="str">
        <x:v>CashHomeBuyersDirectory third-party business listing; first-party business activity not checked in this batch</x:v>
      </x:c>
      <x:c r="Y629" s="25"/>
      <x:c r="Z629" s="25" t="str">
        <x:v>https://www.cashhomebuyersdirectory.com/cash-home-buyers/georgia/atlanta</x:v>
      </x:c>
      <x:c r="AA629" s="25" t="str">
        <x:v>Public cash-home-buyer directory lists the business name, business phone/website where available and market. Operator role and corporate funding willingness require confirmation.</x:v>
      </x:c>
      <x:c r="AB629" s="3" t="str">
        <x:v>New public-source collection</x:v>
      </x:c>
      <x:c r="AC629" s="3" t="str">
        <x:v>unverified</x:v>
      </x:c>
      <x:c r="AD629" s="3" t="str">
        <x:v>Not contacted / unconfirmed</x:v>
      </x:c>
      <x:c r="AE629" s="3" t="str">
        <x:v>No</x:v>
      </x:c>
      <x:c r="AF629" s="3" t="str">
        <x:v>No</x:v>
      </x:c>
      <x:c r="AG629" s="3"/>
      <x:c r="AH629" s="3"/>
      <x:c r="AI629" s="18"/>
      <x:c r="AJ629" s="3" t="str">
        <x:v>CF2500-D0C83B1B1BF1</x:v>
      </x:c>
      <x:c r="AK629" s="3" t="str">
        <x:v>real_estate_operator</x:v>
      </x:c>
      <x:c r="AL629" s="19" t="n">
        <x:v>100000</x:v>
      </x:c>
      <x:c r="AM629" s="19" t="n">
        <x:v>500000</x:v>
      </x:c>
      <x:c r="AN629" s="3" t="str">
        <x:v>https://www.cashhomebuyersdirectory.com/cash-home-buyers/georgia/atlanta</x:v>
      </x:c>
      <x:c r="AO629" s="3" t="str">
        <x:v>national_rest_directory_complete.jsonl</x:v>
      </x:c>
      <x:c r="AP629" s="19"/>
    </x:row>
    <x:row r="630" ht="36" customHeight="1">
      <x:c r="A630" s="23" t="n">
        <x:v>629</x:v>
      </x:c>
      <x:c r="B630" s="15" t="str">
        <x:v>Home Buyers of Savannah</x:v>
      </x:c>
      <x:c r="C630" s="15"/>
      <x:c r="D630" s="15" t="str">
        <x:v>Property investor / home-buying operator</x:v>
      </x:c>
      <x:c r="E630" s="15" t="str">
        <x:v>Property investor / operator inquiry</x:v>
      </x:c>
      <x:c r="F630" s="17" t="str">
        <x:v>New</x:v>
      </x:c>
      <x:c r="G630" s="24"/>
      <x:c r="H630" s="24" t="str">
        <x:v>+19125138744</x:v>
      </x:c>
      <x:c r="I630" s="24" t="str">
        <x:v>https://homebuyersofsavannah.com/?utm_source=google&amp;utm_medium=gbp&amp;utm_campaign=profile</x:v>
      </x:c>
      <x:c r="J630" s="16" t="str">
        <x:v>GA</x:v>
      </x:c>
      <x:c r="K630" s="16" t="str">
        <x:v>Savannah</x:v>
      </x:c>
      <x:c r="L630" s="16" t="str">
        <x:v>Public property-business route; investor decision maker unconfirmed</x:v>
      </x:c>
      <x:c r="M630" s="16" t="str">
        <x:v>https://homebuyersofsavannah.com/?utm_source=google&amp;utm_medium=gbp&amp;utm_campaign=profile</x:v>
      </x:c>
      <x:c r="N630" s="16" t="str">
        <x:v>$100K-$500K ticket not published / unconfirmed</x:v>
      </x:c>
      <x:c r="O630" s="20"/>
      <x:c r="P630" s="20"/>
      <x:c r="Q630" s="25" t="str">
        <x:v>No direct corporate-capital range established in checked source</x:v>
      </x:c>
      <x:c r="R630" s="25" t="str">
        <x:v>Property acquisition or investor activity makes this an operator-capital prospect for the signed trial. Confirm operating-company debt/equity appetite.</x:v>
      </x:c>
      <x:c r="S630" s="25"/>
      <x:c r="T630" s="25" t="str">
        <x:v>Ask the owner/investor whether they can allocate $100K-$500K to trial marketing and acquisitions, and confirm structure, timing and decision authority.</x:v>
      </x:c>
      <x:c r="U630" s="25" t="str">
        <x:v>https://www.cashhomebuyersdirectory.com/cash-home-buyers/georgia/savannah</x:v>
      </x:c>
      <x:c r="V630" s="26" t="d">
        <x:v>2026-10-02T00:00:00.000Z</x:v>
      </x:c>
      <x:c r="W630" s="26" t="d">
        <x:v>2026-10-02T00:00:00.000Z</x:v>
      </x:c>
      <x:c r="X630" s="25" t="str">
        <x:v>CashHomeBuyersDirectory third-party business listing; first-party business activity not checked in this batch</x:v>
      </x:c>
      <x:c r="Y630" s="25"/>
      <x:c r="Z630" s="25" t="str">
        <x:v>https://www.cashhomebuyersdirectory.com/cash-home-buyers/georgia/savannah</x:v>
      </x:c>
      <x:c r="AA630" s="25" t="str">
        <x:v>Public cash-home-buyer directory lists the business name, business phone/website where available and market. Operator role and corporate funding willingness require confirmation.</x:v>
      </x:c>
      <x:c r="AB630" s="3" t="str">
        <x:v>New public-source collection</x:v>
      </x:c>
      <x:c r="AC630" s="3" t="str">
        <x:v>unverified</x:v>
      </x:c>
      <x:c r="AD630" s="3" t="str">
        <x:v>Not contacted / unconfirmed</x:v>
      </x:c>
      <x:c r="AE630" s="3" t="str">
        <x:v>No</x:v>
      </x:c>
      <x:c r="AF630" s="3" t="str">
        <x:v>No</x:v>
      </x:c>
      <x:c r="AG630" s="3"/>
      <x:c r="AH630" s="3"/>
      <x:c r="AI630" s="18"/>
      <x:c r="AJ630" s="3" t="str">
        <x:v>CF2500-963DC30CD3D1</x:v>
      </x:c>
      <x:c r="AK630" s="3" t="str">
        <x:v>real_estate_operator</x:v>
      </x:c>
      <x:c r="AL630" s="19" t="n">
        <x:v>100000</x:v>
      </x:c>
      <x:c r="AM630" s="19" t="n">
        <x:v>500000</x:v>
      </x:c>
      <x:c r="AN630" s="3" t="str">
        <x:v>https://www.cashhomebuyersdirectory.com/cash-home-buyers/georgia/savannah</x:v>
      </x:c>
      <x:c r="AO630" s="3" t="str">
        <x:v>national_rest_directory_complete.jsonl</x:v>
      </x:c>
      <x:c r="AP630" s="19"/>
    </x:row>
    <x:row r="631" ht="36" customHeight="1">
      <x:c r="A631" s="23" t="n">
        <x:v>630</x:v>
      </x:c>
      <x:c r="B631" s="15" t="str">
        <x:v>Home Buyers USA | Sell My House Fast Birmingham</x:v>
      </x:c>
      <x:c r="C631" s="15"/>
      <x:c r="D631" s="15" t="str">
        <x:v>Property investor / home-buying operator</x:v>
      </x:c>
      <x:c r="E631" s="15" t="str">
        <x:v>Property investor / operator inquiry</x:v>
      </x:c>
      <x:c r="F631" s="17" t="str">
        <x:v>New</x:v>
      </x:c>
      <x:c r="G631" s="24"/>
      <x:c r="H631" s="24" t="str">
        <x:v>+12052630699</x:v>
      </x:c>
      <x:c r="I631" s="24" t="str">
        <x:v>https://www.sellmyhousefast-webuyhousesbham.com/</x:v>
      </x:c>
      <x:c r="J631" s="16" t="str">
        <x:v>AL</x:v>
      </x:c>
      <x:c r="K631" s="16"/>
      <x:c r="L631" s="16" t="str">
        <x:v>Public property-business route; investor decision maker unconfirmed</x:v>
      </x:c>
      <x:c r="M631" s="16" t="str">
        <x:v>https://www.sellmyhousefast-webuyhousesbham.com/</x:v>
      </x:c>
      <x:c r="N631" s="16" t="str">
        <x:v>$100K-$500K ticket not published / unconfirmed</x:v>
      </x:c>
      <x:c r="O631" s="20"/>
      <x:c r="P631" s="20"/>
      <x:c r="Q631" s="25" t="str">
        <x:v>No direct corporate-capital range established in checked source</x:v>
      </x:c>
      <x:c r="R631" s="25" t="str">
        <x:v>Property acquisition or investor activity makes this an operator-capital prospect for the signed trial. Confirm operating-company debt/equity appetite.</x:v>
      </x:c>
      <x:c r="S631" s="25"/>
      <x:c r="T631" s="25" t="str">
        <x:v>Ask the owner/investor whether they can allocate $100K-$500K to trial marketing and acquisitions, and confirm structure, timing and decision authority.</x:v>
      </x:c>
      <x:c r="U631" s="25" t="str">
        <x:v>https://www.cashhomebuyersdirectory.com/cash-home-buyers/alabama/birmingham</x:v>
      </x:c>
      <x:c r="V631" s="26" t="d">
        <x:v>2026-10-02T00:00:00.000Z</x:v>
      </x:c>
      <x:c r="W631" s="26" t="d">
        <x:v>2026-10-02T00:00:00.000Z</x:v>
      </x:c>
      <x:c r="X631" s="25" t="str">
        <x:v>CashHomeBuyersDirectory third-party business listing; first-party business activity not checked in this batch</x:v>
      </x:c>
      <x:c r="Y631" s="25"/>
      <x:c r="Z631" s="25" t="str">
        <x:v>https://www.cashhomebuyersdirectory.com/cash-home-buyers/alabama/birmingham</x:v>
      </x:c>
      <x:c r="AA631" s="25" t="str">
        <x:v>Public cash-home-buyer directory lists the business name, business phone/website where available and market. Operator role and corporate funding willingness require confirmation.</x:v>
      </x:c>
      <x:c r="AB631" s="3" t="str">
        <x:v>New public-source collection</x:v>
      </x:c>
      <x:c r="AC631" s="3" t="str">
        <x:v>unverified</x:v>
      </x:c>
      <x:c r="AD631" s="3" t="str">
        <x:v>Not contacted / unconfirmed</x:v>
      </x:c>
      <x:c r="AE631" s="3" t="str">
        <x:v>No</x:v>
      </x:c>
      <x:c r="AF631" s="3" t="str">
        <x:v>No</x:v>
      </x:c>
      <x:c r="AG631" s="3"/>
      <x:c r="AH631" s="3"/>
      <x:c r="AI631" s="18"/>
      <x:c r="AJ631" s="3" t="str">
        <x:v>CF2500-A995A0B78F86</x:v>
      </x:c>
      <x:c r="AK631" s="3" t="str">
        <x:v>real_estate_operator</x:v>
      </x:c>
      <x:c r="AL631" s="19" t="n">
        <x:v>100000</x:v>
      </x:c>
      <x:c r="AM631" s="19" t="n">
        <x:v>500000</x:v>
      </x:c>
      <x:c r="AN631" s="3" t="str">
        <x:v>https://www.cashhomebuyersdirectory.com/cash-home-buyers/alabama/birmingham</x:v>
      </x:c>
      <x:c r="AO631" s="3" t="str">
        <x:v>national_rest_directory_complete.jsonl</x:v>
      </x:c>
      <x:c r="AP631" s="19"/>
    </x:row>
    <x:row r="632" ht="36" customHeight="1">
      <x:c r="A632" s="23" t="n">
        <x:v>631</x:v>
      </x:c>
      <x:c r="B632" s="15" t="str">
        <x:v>Home Buyers Wichita</x:v>
      </x:c>
      <x:c r="C632" s="15"/>
      <x:c r="D632" s="15" t="str">
        <x:v>Property investor / home-buying operator</x:v>
      </x:c>
      <x:c r="E632" s="15" t="str">
        <x:v>Property investor / operator inquiry</x:v>
      </x:c>
      <x:c r="F632" s="17" t="str">
        <x:v>New</x:v>
      </x:c>
      <x:c r="G632" s="24"/>
      <x:c r="H632" s="24" t="str">
        <x:v>+13165121822</x:v>
      </x:c>
      <x:c r="I632" s="24" t="str">
        <x:v>http://www.homebuyerswichita.com/</x:v>
      </x:c>
      <x:c r="J632" s="16" t="str">
        <x:v>KS</x:v>
      </x:c>
      <x:c r="K632" s="16" t="str">
        <x:v>Wichita</x:v>
      </x:c>
      <x:c r="L632" s="16" t="str">
        <x:v>Public property-business route; investor decision maker unconfirmed</x:v>
      </x:c>
      <x:c r="M632" s="16" t="str">
        <x:v>http://www.homebuyerswichita.com/</x:v>
      </x:c>
      <x:c r="N632" s="16" t="str">
        <x:v>$100K-$500K ticket not published / unconfirmed</x:v>
      </x:c>
      <x:c r="O632" s="20"/>
      <x:c r="P632" s="20"/>
      <x:c r="Q632" s="25" t="str">
        <x:v>No direct corporate-capital range established in checked source</x:v>
      </x:c>
      <x:c r="R632" s="25" t="str">
        <x:v>Property acquisition or investor activity makes this an operator-capital prospect for the signed trial. Confirm operating-company debt/equity appetite.</x:v>
      </x:c>
      <x:c r="S632" s="25"/>
      <x:c r="T632" s="25" t="str">
        <x:v>Ask the owner/investor whether they can allocate $100K-$500K to trial marketing and acquisitions, and confirm structure, timing and decision authority.</x:v>
      </x:c>
      <x:c r="U632" s="25" t="str">
        <x:v>https://www.cashhomebuyersdirectory.com/cash-home-buyers/kansas/wichita</x:v>
      </x:c>
      <x:c r="V632" s="26" t="d">
        <x:v>2026-10-02T00:00:00.000Z</x:v>
      </x:c>
      <x:c r="W632" s="26" t="d">
        <x:v>2026-10-02T00:00:00.000Z</x:v>
      </x:c>
      <x:c r="X632" s="25" t="str">
        <x:v>CashHomeBuyersDirectory third-party business listing; first-party business activity not checked in this batch</x:v>
      </x:c>
      <x:c r="Y632" s="25"/>
      <x:c r="Z632" s="25" t="str">
        <x:v>https://www.cashhomebuyersdirectory.com/cash-home-buyers/kansas/wichita</x:v>
      </x:c>
      <x:c r="AA632" s="25" t="str">
        <x:v>Public cash-home-buyer directory lists the business name, business phone/website where available and market. Operator role and corporate funding willingness require confirmation.</x:v>
      </x:c>
      <x:c r="AB632" s="3" t="str">
        <x:v>New public-source collection</x:v>
      </x:c>
      <x:c r="AC632" s="3" t="str">
        <x:v>unverified</x:v>
      </x:c>
      <x:c r="AD632" s="3" t="str">
        <x:v>Not contacted / unconfirmed</x:v>
      </x:c>
      <x:c r="AE632" s="3" t="str">
        <x:v>No</x:v>
      </x:c>
      <x:c r="AF632" s="3" t="str">
        <x:v>No</x:v>
      </x:c>
      <x:c r="AG632" s="3"/>
      <x:c r="AH632" s="3"/>
      <x:c r="AI632" s="18"/>
      <x:c r="AJ632" s="3" t="str">
        <x:v>CF2500-7A98FB7C968E</x:v>
      </x:c>
      <x:c r="AK632" s="3" t="str">
        <x:v>real_estate_operator</x:v>
      </x:c>
      <x:c r="AL632" s="19" t="n">
        <x:v>100000</x:v>
      </x:c>
      <x:c r="AM632" s="19" t="n">
        <x:v>500000</x:v>
      </x:c>
      <x:c r="AN632" s="3" t="str">
        <x:v>https://www.cashhomebuyersdirectory.com/cash-home-buyers/kansas/wichita</x:v>
      </x:c>
      <x:c r="AO632" s="3" t="str">
        <x:v>national_rest_directory_complete.jsonl</x:v>
      </x:c>
      <x:c r="AP632" s="19"/>
    </x:row>
    <x:row r="633" ht="36" customHeight="1">
      <x:c r="A633" s="23" t="n">
        <x:v>632</x:v>
      </x:c>
      <x:c r="B633" s="15" t="str">
        <x:v>Home Cash Offer</x:v>
      </x:c>
      <x:c r="C633" s="15"/>
      <x:c r="D633" s="15" t="str">
        <x:v>Property investor / home-buying operator</x:v>
      </x:c>
      <x:c r="E633" s="15" t="str">
        <x:v>Property investor / operator inquiry</x:v>
      </x:c>
      <x:c r="F633" s="17" t="str">
        <x:v>New</x:v>
      </x:c>
      <x:c r="G633" s="24"/>
      <x:c r="H633" s="24" t="str">
        <x:v>+14056228705</x:v>
      </x:c>
      <x:c r="I633" s="24" t="str">
        <x:v>http://www.homecashoffer.com/</x:v>
      </x:c>
      <x:c r="J633" s="16" t="str">
        <x:v>OK</x:v>
      </x:c>
      <x:c r="K633" s="16" t="str">
        <x:v>Oklahoma City</x:v>
      </x:c>
      <x:c r="L633" s="16" t="str">
        <x:v>Public property-business route; investor decision maker unconfirmed</x:v>
      </x:c>
      <x:c r="M633" s="16" t="str">
        <x:v>http://www.homecashoffer.com/</x:v>
      </x:c>
      <x:c r="N633" s="16" t="str">
        <x:v>$100K-$500K ticket not published / unconfirmed</x:v>
      </x:c>
      <x:c r="O633" s="20"/>
      <x:c r="P633" s="20"/>
      <x:c r="Q633" s="25" t="str">
        <x:v>No direct corporate-capital range established in checked source</x:v>
      </x:c>
      <x:c r="R633" s="25" t="str">
        <x:v>Property acquisition or investor activity makes this an operator-capital prospect for the signed trial. Confirm operating-company debt/equity appetite.</x:v>
      </x:c>
      <x:c r="S633" s="25"/>
      <x:c r="T633" s="25" t="str">
        <x:v>Ask the owner/investor whether they can allocate $100K-$500K to trial marketing and acquisitions, and confirm structure, timing and decision authority.</x:v>
      </x:c>
      <x:c r="U633" s="25" t="str">
        <x:v>https://www.cashhomebuyersdirectory.com/cash-home-buyers/oklahoma/oklahoma-city</x:v>
      </x:c>
      <x:c r="V633" s="26" t="d">
        <x:v>2026-10-02T00:00:00.000Z</x:v>
      </x:c>
      <x:c r="W633" s="26" t="d">
        <x:v>2026-10-02T00:00:00.000Z</x:v>
      </x:c>
      <x:c r="X633" s="25" t="str">
        <x:v>CashHomeBuyersDirectory third-party business listing; first-party business activity not checked in this batch</x:v>
      </x:c>
      <x:c r="Y633" s="25"/>
      <x:c r="Z633" s="25" t="str">
        <x:v>https://www.cashhomebuyersdirectory.com/cash-home-buyers/oklahoma/oklahoma-city</x:v>
      </x:c>
      <x:c r="AA633" s="25" t="str">
        <x:v>Public cash-home-buyer directory lists the business name, business phone/website where available and market. Operator role and corporate funding willingness require confirmation.</x:v>
      </x:c>
      <x:c r="AB633" s="3" t="str">
        <x:v>New public-source collection</x:v>
      </x:c>
      <x:c r="AC633" s="3" t="str">
        <x:v>unverified</x:v>
      </x:c>
      <x:c r="AD633" s="3" t="str">
        <x:v>Not contacted / unconfirmed</x:v>
      </x:c>
      <x:c r="AE633" s="3" t="str">
        <x:v>No</x:v>
      </x:c>
      <x:c r="AF633" s="3" t="str">
        <x:v>No</x:v>
      </x:c>
      <x:c r="AG633" s="3"/>
      <x:c r="AH633" s="3"/>
      <x:c r="AI633" s="18"/>
      <x:c r="AJ633" s="3" t="str">
        <x:v>CF2500-163708113085</x:v>
      </x:c>
      <x:c r="AK633" s="3" t="str">
        <x:v>real_estate_operator</x:v>
      </x:c>
      <x:c r="AL633" s="19" t="n">
        <x:v>100000</x:v>
      </x:c>
      <x:c r="AM633" s="19" t="n">
        <x:v>500000</x:v>
      </x:c>
      <x:c r="AN633" s="3" t="str">
        <x:v>https://www.cashhomebuyersdirectory.com/cash-home-buyers/oklahoma/oklahoma-city</x:v>
      </x:c>
      <x:c r="AO633" s="3" t="str">
        <x:v>national_rest_directory_complete.jsonl</x:v>
      </x:c>
      <x:c r="AP633" s="19"/>
    </x:row>
    <x:row r="634" ht="36" customHeight="1">
      <x:c r="A634" s="23" t="n">
        <x:v>633</x:v>
      </x:c>
      <x:c r="B634" s="15" t="str">
        <x:v>Home - Honest Home Buyers</x:v>
      </x:c>
      <x:c r="C634" s="15"/>
      <x:c r="D634" s="15" t="str">
        <x:v>Property investor / home-buying operator</x:v>
      </x:c>
      <x:c r="E634" s="15" t="str">
        <x:v>Property investor / operator inquiry</x:v>
      </x:c>
      <x:c r="F634" s="17" t="str">
        <x:v>New</x:v>
      </x:c>
      <x:c r="G634" s="24"/>
      <x:c r="H634" s="24" t="str">
        <x:v>+18168666922</x:v>
      </x:c>
      <x:c r="I634" s="24" t="str">
        <x:v>https://mohhb.com/contact/</x:v>
      </x:c>
      <x:c r="J634" s="16" t="str">
        <x:v>MO</x:v>
      </x:c>
      <x:c r="K634" s="16" t="str">
        <x:v>Kansas City</x:v>
      </x:c>
      <x:c r="L634" s="16" t="str">
        <x:v>Public property-business route; investor decision maker unconfirmed</x:v>
      </x:c>
      <x:c r="M634" s="16" t="str">
        <x:v>https://mohhb.com/contact/</x:v>
      </x:c>
      <x:c r="N634" s="16" t="str">
        <x:v>$100K-$500K ticket not published / unconfirmed</x:v>
      </x:c>
      <x:c r="O634" s="20"/>
      <x:c r="P634" s="20"/>
      <x:c r="Q634" s="25" t="str">
        <x:v>No direct corporate-capital range established in checked source</x:v>
      </x:c>
      <x:c r="R634" s="25" t="str">
        <x:v>Property acquisition or investor activity makes this an operator-capital prospect for the signed trial. Confirm operating-company debt/equity appetite.</x:v>
      </x:c>
      <x:c r="S634" s="25"/>
      <x:c r="T634" s="25" t="str">
        <x:v>Ask the owner/investor whether they can allocate $100K-$500K to trial marketing and acquisitions, and confirm structure, timing and decision authority.</x:v>
      </x:c>
      <x:c r="U634" s="25" t="str">
        <x:v>https://www.cashhomebuyersdirectory.com/cash-home-buyers/missouri/kansas-city</x:v>
      </x:c>
      <x:c r="V634" s="26" t="d">
        <x:v>2026-10-02T00:00:00.000Z</x:v>
      </x:c>
      <x:c r="W634" s="26" t="d">
        <x:v>2026-10-02T00:00:00.000Z</x:v>
      </x:c>
      <x:c r="X634" s="25" t="str">
        <x:v>CashHomeBuyersDirectory third-party business listing; first-party business activity not checked in this batch</x:v>
      </x:c>
      <x:c r="Y634" s="25"/>
      <x:c r="Z634" s="25" t="str">
        <x:v>https://www.cashhomebuyersdirectory.com/cash-home-buyers/missouri/kansas-city</x:v>
      </x:c>
      <x:c r="AA634" s="25" t="str">
        <x:v>Public cash-home-buyer directory lists the business name, business phone/website where available and market. Operator role and corporate funding willingness require confirmation.</x:v>
      </x:c>
      <x:c r="AB634" s="3" t="str">
        <x:v>New public-source collection</x:v>
      </x:c>
      <x:c r="AC634" s="3" t="str">
        <x:v>unverified</x:v>
      </x:c>
      <x:c r="AD634" s="3" t="str">
        <x:v>Not contacted / unconfirmed</x:v>
      </x:c>
      <x:c r="AE634" s="3" t="str">
        <x:v>No</x:v>
      </x:c>
      <x:c r="AF634" s="3" t="str">
        <x:v>No</x:v>
      </x:c>
      <x:c r="AG634" s="3"/>
      <x:c r="AH634" s="3"/>
      <x:c r="AI634" s="18"/>
      <x:c r="AJ634" s="3" t="str">
        <x:v>CF2500-36B6243690C1</x:v>
      </x:c>
      <x:c r="AK634" s="3" t="str">
        <x:v>real_estate_operator</x:v>
      </x:c>
      <x:c r="AL634" s="19" t="n">
        <x:v>100000</x:v>
      </x:c>
      <x:c r="AM634" s="19" t="n">
        <x:v>500000</x:v>
      </x:c>
      <x:c r="AN634" s="3" t="str">
        <x:v>https://www.cashhomebuyersdirectory.com/cash-home-buyers/missouri/kansas-city</x:v>
      </x:c>
      <x:c r="AO634" s="3" t="str">
        <x:v>national_rest_directory_complete.jsonl</x:v>
      </x:c>
      <x:c r="AP634" s="19"/>
    </x:row>
    <x:row r="635" ht="36" customHeight="1">
      <x:c r="A635" s="23" t="n">
        <x:v>634</x:v>
      </x:c>
      <x:c r="B635" s="15" t="str">
        <x:v>HomeLink Properties - We Buy Houses</x:v>
      </x:c>
      <x:c r="C635" s="15"/>
      <x:c r="D635" s="15" t="str">
        <x:v>Property investor / home-buying operator</x:v>
      </x:c>
      <x:c r="E635" s="15" t="str">
        <x:v>Property investor / operator inquiry</x:v>
      </x:c>
      <x:c r="F635" s="17" t="str">
        <x:v>New</x:v>
      </x:c>
      <x:c r="G635" s="24"/>
      <x:c r="H635" s="24" t="str">
        <x:v>+14172950723</x:v>
      </x:c>
      <x:c r="I635" s="24" t="str">
        <x:v>https://www.homelinkprop.com/</x:v>
      </x:c>
      <x:c r="J635" s="16" t="str">
        <x:v>MO</x:v>
      </x:c>
      <x:c r="K635" s="16" t="str">
        <x:v>Springfield</x:v>
      </x:c>
      <x:c r="L635" s="16" t="str">
        <x:v>Public property-business route; investor decision maker unconfirmed</x:v>
      </x:c>
      <x:c r="M635" s="16" t="str">
        <x:v>https://www.homelinkprop.com/</x:v>
      </x:c>
      <x:c r="N635" s="16" t="str">
        <x:v>$100K-$500K ticket not published / unconfirmed</x:v>
      </x:c>
      <x:c r="O635" s="20"/>
      <x:c r="P635" s="20"/>
      <x:c r="Q635" s="25" t="str">
        <x:v>No direct corporate-capital range established in checked source</x:v>
      </x:c>
      <x:c r="R635" s="25" t="str">
        <x:v>Property acquisition or investor activity makes this an operator-capital prospect for the signed trial. Confirm operating-company debt/equity appetite.</x:v>
      </x:c>
      <x:c r="S635" s="25"/>
      <x:c r="T635" s="25" t="str">
        <x:v>Ask the owner/investor whether they can allocate $100K-$500K to trial marketing and acquisitions, and confirm structure, timing and decision authority.</x:v>
      </x:c>
      <x:c r="U635" s="25" t="str">
        <x:v>https://www.cashhomebuyersdirectory.com/cash-home-buyers/missouri/springfield</x:v>
      </x:c>
      <x:c r="V635" s="26" t="d">
        <x:v>2026-10-02T00:00:00.000Z</x:v>
      </x:c>
      <x:c r="W635" s="26" t="d">
        <x:v>2026-10-02T00:00:00.000Z</x:v>
      </x:c>
      <x:c r="X635" s="25" t="str">
        <x:v>CashHomeBuyersDirectory third-party business listing; first-party business activity not checked in this batch</x:v>
      </x:c>
      <x:c r="Y635" s="25"/>
      <x:c r="Z635" s="25" t="str">
        <x:v>https://www.cashhomebuyersdirectory.com/cash-home-buyers/missouri/springfield</x:v>
      </x:c>
      <x:c r="AA635" s="25" t="str">
        <x:v>Public cash-home-buyer directory lists the business name, business phone/website where available and market. Operator role and corporate funding willingness require confirmation.</x:v>
      </x:c>
      <x:c r="AB635" s="3" t="str">
        <x:v>New public-source collection</x:v>
      </x:c>
      <x:c r="AC635" s="3" t="str">
        <x:v>unverified</x:v>
      </x:c>
      <x:c r="AD635" s="3" t="str">
        <x:v>Not contacted / unconfirmed</x:v>
      </x:c>
      <x:c r="AE635" s="3" t="str">
        <x:v>No</x:v>
      </x:c>
      <x:c r="AF635" s="3" t="str">
        <x:v>No</x:v>
      </x:c>
      <x:c r="AG635" s="3"/>
      <x:c r="AH635" s="3"/>
      <x:c r="AI635" s="18"/>
      <x:c r="AJ635" s="3" t="str">
        <x:v>CF2500-570622DBFDCF</x:v>
      </x:c>
      <x:c r="AK635" s="3" t="str">
        <x:v>real_estate_operator</x:v>
      </x:c>
      <x:c r="AL635" s="19" t="n">
        <x:v>100000</x:v>
      </x:c>
      <x:c r="AM635" s="19" t="n">
        <x:v>500000</x:v>
      </x:c>
      <x:c r="AN635" s="3" t="str">
        <x:v>https://www.cashhomebuyersdirectory.com/cash-home-buyers/missouri/springfield</x:v>
      </x:c>
      <x:c r="AO635" s="3" t="str">
        <x:v>national_rest_directory_complete.jsonl</x:v>
      </x:c>
      <x:c r="AP635" s="19"/>
    </x:row>
    <x:row r="636" ht="36" customHeight="1">
      <x:c r="A636" s="23" t="n">
        <x:v>635</x:v>
      </x:c>
      <x:c r="B636" s="15" t="str">
        <x:v>House Buyers</x:v>
      </x:c>
      <x:c r="C636" s="15"/>
      <x:c r="D636" s="15" t="str">
        <x:v>Property investor / home-buying operator</x:v>
      </x:c>
      <x:c r="E636" s="15" t="str">
        <x:v>Property investor / operator inquiry</x:v>
      </x:c>
      <x:c r="F636" s="17" t="str">
        <x:v>New</x:v>
      </x:c>
      <x:c r="G636" s="24"/>
      <x:c r="H636" s="24" t="str">
        <x:v>+12566635535</x:v>
      </x:c>
      <x:c r="I636" s="24" t="str">
        <x:v>https://www.housebuyerspay.com/</x:v>
      </x:c>
      <x:c r="J636" s="16" t="str">
        <x:v>AL</x:v>
      </x:c>
      <x:c r="K636" s="16"/>
      <x:c r="L636" s="16" t="str">
        <x:v>Public property-business route; investor decision maker unconfirmed</x:v>
      </x:c>
      <x:c r="M636" s="16" t="str">
        <x:v>https://www.housebuyerspay.com/</x:v>
      </x:c>
      <x:c r="N636" s="16" t="str">
        <x:v>$100K-$500K ticket not published / unconfirmed</x:v>
      </x:c>
      <x:c r="O636" s="20"/>
      <x:c r="P636" s="20"/>
      <x:c r="Q636" s="25" t="str">
        <x:v>No direct corporate-capital range established in checked source</x:v>
      </x:c>
      <x:c r="R636" s="25" t="str">
        <x:v>Property acquisition or investor activity makes this an operator-capital prospect for the signed trial. Confirm operating-company debt/equity appetite.</x:v>
      </x:c>
      <x:c r="S636" s="25"/>
      <x:c r="T636" s="25" t="str">
        <x:v>Ask the owner/investor whether they can allocate $100K-$500K to trial marketing and acquisitions, and confirm structure, timing and decision authority.</x:v>
      </x:c>
      <x:c r="U636" s="25" t="str">
        <x:v>https://www.cashhomebuyersdirectory.com/cash-home-buyers/alabama/huntsville</x:v>
      </x:c>
      <x:c r="V636" s="26" t="d">
        <x:v>2026-10-02T00:00:00.000Z</x:v>
      </x:c>
      <x:c r="W636" s="26" t="d">
        <x:v>2026-10-02T00:00:00.000Z</x:v>
      </x:c>
      <x:c r="X636" s="25" t="str">
        <x:v>CashHomeBuyersDirectory third-party business listing; first-party business activity not checked in this batch</x:v>
      </x:c>
      <x:c r="Y636" s="25"/>
      <x:c r="Z636" s="25" t="str">
        <x:v>https://www.cashhomebuyersdirectory.com/cash-home-buyers/alabama/huntsville</x:v>
      </x:c>
      <x:c r="AA636" s="25" t="str">
        <x:v>Public cash-home-buyer directory lists the business name, business phone/website where available and market. Operator role and corporate funding willingness require confirmation.</x:v>
      </x:c>
      <x:c r="AB636" s="3" t="str">
        <x:v>New public-source collection</x:v>
      </x:c>
      <x:c r="AC636" s="3" t="str">
        <x:v>unverified</x:v>
      </x:c>
      <x:c r="AD636" s="3" t="str">
        <x:v>Not contacted / unconfirmed</x:v>
      </x:c>
      <x:c r="AE636" s="3" t="str">
        <x:v>No</x:v>
      </x:c>
      <x:c r="AF636" s="3" t="str">
        <x:v>No</x:v>
      </x:c>
      <x:c r="AG636" s="3"/>
      <x:c r="AH636" s="3" t="str">
        <x:v>House Buyers, LLC</x:v>
      </x:c>
      <x:c r="AI636" s="18"/>
      <x:c r="AJ636" s="3" t="str">
        <x:v>CF2500-96DDEDC538B4</x:v>
      </x:c>
      <x:c r="AK636" s="3" t="str">
        <x:v>real_estate_operator</x:v>
      </x:c>
      <x:c r="AL636" s="19" t="n">
        <x:v>100000</x:v>
      </x:c>
      <x:c r="AM636" s="19" t="n">
        <x:v>500000</x:v>
      </x:c>
      <x:c r="AN636" s="3" t="str">
        <x:v>https://www.cashhomebuyersdirectory.com/cash-home-buyers/alabama/huntsville</x:v>
      </x:c>
      <x:c r="AO636" s="3" t="str">
        <x:v>national_rest_directory_complete.jsonl</x:v>
      </x:c>
      <x:c r="AP636" s="19"/>
    </x:row>
    <x:row r="637" ht="36" customHeight="1">
      <x:c r="A637" s="23" t="n">
        <x:v>636</x:v>
      </x:c>
      <x:c r="B637" s="15" t="str">
        <x:v>House Buyers OKC</x:v>
      </x:c>
      <x:c r="C637" s="15"/>
      <x:c r="D637" s="15" t="str">
        <x:v>Property investor / home-buying operator</x:v>
      </x:c>
      <x:c r="E637" s="15" t="str">
        <x:v>Property investor / operator inquiry</x:v>
      </x:c>
      <x:c r="F637" s="17" t="str">
        <x:v>New</x:v>
      </x:c>
      <x:c r="G637" s="24"/>
      <x:c r="H637" s="24" t="str">
        <x:v>+14052799799</x:v>
      </x:c>
      <x:c r="I637" s="24" t="str">
        <x:v>https://housebuyersokc.com/</x:v>
      </x:c>
      <x:c r="J637" s="16" t="str">
        <x:v>OK</x:v>
      </x:c>
      <x:c r="K637" s="16" t="str">
        <x:v>Oklahoma City</x:v>
      </x:c>
      <x:c r="L637" s="16" t="str">
        <x:v>Public property-business route; investor decision maker unconfirmed</x:v>
      </x:c>
      <x:c r="M637" s="16" t="str">
        <x:v>https://housebuyersokc.com/</x:v>
      </x:c>
      <x:c r="N637" s="16" t="str">
        <x:v>$100K-$500K ticket not published / unconfirmed</x:v>
      </x:c>
      <x:c r="O637" s="20"/>
      <x:c r="P637" s="20"/>
      <x:c r="Q637" s="25" t="str">
        <x:v>No direct corporate-capital range established in checked source</x:v>
      </x:c>
      <x:c r="R637" s="25" t="str">
        <x:v>Property acquisition or investor activity makes this an operator-capital prospect for the signed trial. Confirm operating-company debt/equity appetite.</x:v>
      </x:c>
      <x:c r="S637" s="25"/>
      <x:c r="T637" s="25" t="str">
        <x:v>Ask the owner/investor whether they can allocate $100K-$500K to trial marketing and acquisitions, and confirm structure, timing and decision authority.</x:v>
      </x:c>
      <x:c r="U637" s="25" t="str">
        <x:v>https://www.cashhomebuyersdirectory.com/cash-home-buyers/oklahoma/oklahoma-city</x:v>
      </x:c>
      <x:c r="V637" s="26" t="d">
        <x:v>2026-10-02T00:00:00.000Z</x:v>
      </x:c>
      <x:c r="W637" s="26" t="d">
        <x:v>2026-10-02T00:00:00.000Z</x:v>
      </x:c>
      <x:c r="X637" s="25" t="str">
        <x:v>CashHomeBuyersDirectory third-party business listing; first-party business activity not checked in this batch</x:v>
      </x:c>
      <x:c r="Y637" s="25"/>
      <x:c r="Z637" s="25" t="str">
        <x:v>https://www.cashhomebuyersdirectory.com/cash-home-buyers/oklahoma/oklahoma-city</x:v>
      </x:c>
      <x:c r="AA637" s="25" t="str">
        <x:v>Public cash-home-buyer directory lists the business name, business phone/website where available and market. Operator role and corporate funding willingness require confirmation.</x:v>
      </x:c>
      <x:c r="AB637" s="3" t="str">
        <x:v>New public-source collection</x:v>
      </x:c>
      <x:c r="AC637" s="3" t="str">
        <x:v>unverified</x:v>
      </x:c>
      <x:c r="AD637" s="3" t="str">
        <x:v>Not contacted / unconfirmed</x:v>
      </x:c>
      <x:c r="AE637" s="3" t="str">
        <x:v>No</x:v>
      </x:c>
      <x:c r="AF637" s="3" t="str">
        <x:v>No</x:v>
      </x:c>
      <x:c r="AG637" s="3"/>
      <x:c r="AH637" s="3"/>
      <x:c r="AI637" s="18"/>
      <x:c r="AJ637" s="3" t="str">
        <x:v>CF2500-C7F7EFB2A411</x:v>
      </x:c>
      <x:c r="AK637" s="3" t="str">
        <x:v>real_estate_operator</x:v>
      </x:c>
      <x:c r="AL637" s="19" t="n">
        <x:v>100000</x:v>
      </x:c>
      <x:c r="AM637" s="19" t="n">
        <x:v>500000</x:v>
      </x:c>
      <x:c r="AN637" s="3" t="str">
        <x:v>https://www.cashhomebuyersdirectory.com/cash-home-buyers/oklahoma/oklahoma-city</x:v>
      </x:c>
      <x:c r="AO637" s="3" t="str">
        <x:v>national_rest_directory_complete.jsonl</x:v>
      </x:c>
      <x:c r="AP637" s="19"/>
    </x:row>
    <x:row r="638" ht="36" customHeight="1">
      <x:c r="A638" s="23" t="n">
        <x:v>637</x:v>
      </x:c>
      <x:c r="B638" s="15" t="str">
        <x:v>HQH Home Buyers</x:v>
      </x:c>
      <x:c r="C638" s="15"/>
      <x:c r="D638" s="15" t="str">
        <x:v>Property investor / home-buying operator</x:v>
      </x:c>
      <x:c r="E638" s="15" t="str">
        <x:v>Property investor / operator inquiry</x:v>
      </x:c>
      <x:c r="F638" s="17" t="str">
        <x:v>New</x:v>
      </x:c>
      <x:c r="G638" s="24"/>
      <x:c r="H638" s="24" t="str">
        <x:v>+13342697699</x:v>
      </x:c>
      <x:c r="I638" s="24" t="str">
        <x:v>https://www.hqhhomebuyers.com/</x:v>
      </x:c>
      <x:c r="J638" s="16" t="str">
        <x:v>AL</x:v>
      </x:c>
      <x:c r="K638" s="16" t="str">
        <x:v>Montgomery</x:v>
      </x:c>
      <x:c r="L638" s="16" t="str">
        <x:v>Public property-business route; investor decision maker unconfirmed</x:v>
      </x:c>
      <x:c r="M638" s="16" t="str">
        <x:v>https://www.hqhhomebuyers.com/</x:v>
      </x:c>
      <x:c r="N638" s="16" t="str">
        <x:v>$100K-$500K ticket not published / unconfirmed</x:v>
      </x:c>
      <x:c r="O638" s="20"/>
      <x:c r="P638" s="20"/>
      <x:c r="Q638" s="25" t="str">
        <x:v>No direct corporate-capital range established in checked source</x:v>
      </x:c>
      <x:c r="R638" s="25" t="str">
        <x:v>Property acquisition or investor activity makes this an operator-capital prospect for the signed trial. Confirm operating-company debt/equity appetite.</x:v>
      </x:c>
      <x:c r="S638" s="25"/>
      <x:c r="T638" s="25" t="str">
        <x:v>Ask the owner/investor whether they can allocate $100K-$500K to trial marketing and acquisitions, and confirm structure, timing and decision authority.</x:v>
      </x:c>
      <x:c r="U638" s="25" t="str">
        <x:v>https://www.cashhomebuyersdirectory.com/cash-home-buyers/alabama/montgomery</x:v>
      </x:c>
      <x:c r="V638" s="26" t="d">
        <x:v>2026-10-02T00:00:00.000Z</x:v>
      </x:c>
      <x:c r="W638" s="26" t="d">
        <x:v>2026-10-02T00:00:00.000Z</x:v>
      </x:c>
      <x:c r="X638" s="25" t="str">
        <x:v>CashHomeBuyersDirectory third-party business listing; first-party business activity not checked in this batch</x:v>
      </x:c>
      <x:c r="Y638" s="25"/>
      <x:c r="Z638" s="25" t="str">
        <x:v>https://www.cashhomebuyersdirectory.com/cash-home-buyers/alabama/montgomery</x:v>
      </x:c>
      <x:c r="AA638" s="25" t="str">
        <x:v>Public cash-home-buyer directory lists the business name, business phone/website where available and market. Operator role and corporate funding willingness require confirmation.</x:v>
      </x:c>
      <x:c r="AB638" s="3" t="str">
        <x:v>New public-source collection</x:v>
      </x:c>
      <x:c r="AC638" s="3" t="str">
        <x:v>unverified</x:v>
      </x:c>
      <x:c r="AD638" s="3" t="str">
        <x:v>Not contacted / unconfirmed</x:v>
      </x:c>
      <x:c r="AE638" s="3" t="str">
        <x:v>No</x:v>
      </x:c>
      <x:c r="AF638" s="3" t="str">
        <x:v>No</x:v>
      </x:c>
      <x:c r="AG638" s="3"/>
      <x:c r="AH638" s="3"/>
      <x:c r="AI638" s="18"/>
      <x:c r="AJ638" s="3" t="str">
        <x:v>CF2500-351A5A3CBA64</x:v>
      </x:c>
      <x:c r="AK638" s="3" t="str">
        <x:v>real_estate_operator</x:v>
      </x:c>
      <x:c r="AL638" s="19" t="n">
        <x:v>100000</x:v>
      </x:c>
      <x:c r="AM638" s="19" t="n">
        <x:v>500000</x:v>
      </x:c>
      <x:c r="AN638" s="3" t="str">
        <x:v>https://www.cashhomebuyersdirectory.com/cash-home-buyers/alabama/montgomery</x:v>
      </x:c>
      <x:c r="AO638" s="3" t="str">
        <x:v>national_rest_directory_complete.jsonl</x:v>
      </x:c>
      <x:c r="AP638" s="19"/>
    </x:row>
    <x:row r="639" ht="36" customHeight="1">
      <x:c r="A639" s="23" t="n">
        <x:v>638</x:v>
      </x:c>
      <x:c r="B639" s="15" t="str">
        <x:v>Huckleberry Home Buyers</x:v>
      </x:c>
      <x:c r="C639" s="15"/>
      <x:c r="D639" s="15" t="str">
        <x:v>Property investor / home-buying operator</x:v>
      </x:c>
      <x:c r="E639" s="15" t="str">
        <x:v>Property investor / operator inquiry</x:v>
      </x:c>
      <x:c r="F639" s="17" t="str">
        <x:v>New</x:v>
      </x:c>
      <x:c r="G639" s="24"/>
      <x:c r="H639" s="24" t="str">
        <x:v>+17068314634</x:v>
      </x:c>
      <x:c r="I639" s="24" t="str">
        <x:v>https://huckleberry-homes.com/</x:v>
      </x:c>
      <x:c r="J639" s="16" t="str">
        <x:v>GA</x:v>
      </x:c>
      <x:c r="K639" s="16"/>
      <x:c r="L639" s="16" t="str">
        <x:v>Public property-business route; investor decision maker unconfirmed</x:v>
      </x:c>
      <x:c r="M639" s="16" t="str">
        <x:v>https://huckleberry-homes.com/</x:v>
      </x:c>
      <x:c r="N639" s="16" t="str">
        <x:v>$100K-$500K ticket not published / unconfirmed</x:v>
      </x:c>
      <x:c r="O639" s="20"/>
      <x:c r="P639" s="20"/>
      <x:c r="Q639" s="25" t="str">
        <x:v>No direct corporate-capital range established in checked source</x:v>
      </x:c>
      <x:c r="R639" s="25" t="str">
        <x:v>Property acquisition or investor activity makes this an operator-capital prospect for the signed trial. Confirm operating-company debt/equity appetite.</x:v>
      </x:c>
      <x:c r="S639" s="25"/>
      <x:c r="T639" s="25" t="str">
        <x:v>Ask the owner/investor whether they can allocate $100K-$500K to trial marketing and acquisitions, and confirm structure, timing and decision authority.</x:v>
      </x:c>
      <x:c r="U639" s="25" t="str">
        <x:v>https://www.cashhomebuyersdirectory.com/cash-home-buyers/georgia/augusta</x:v>
      </x:c>
      <x:c r="V639" s="26" t="d">
        <x:v>2026-10-02T00:00:00.000Z</x:v>
      </x:c>
      <x:c r="W639" s="26" t="d">
        <x:v>2026-10-02T00:00:00.000Z</x:v>
      </x:c>
      <x:c r="X639" s="25" t="str">
        <x:v>CashHomeBuyersDirectory third-party business listing; first-party business activity not checked in this batch</x:v>
      </x:c>
      <x:c r="Y639" s="25"/>
      <x:c r="Z639" s="25" t="str">
        <x:v>https://www.cashhomebuyersdirectory.com/cash-home-buyers/georgia/augusta</x:v>
      </x:c>
      <x:c r="AA639" s="25" t="str">
        <x:v>Public cash-home-buyer directory lists the business name, business phone/website where available and market. Operator role and corporate funding willingness require confirmation.</x:v>
      </x:c>
      <x:c r="AB639" s="3" t="str">
        <x:v>New public-source collection</x:v>
      </x:c>
      <x:c r="AC639" s="3" t="str">
        <x:v>unverified</x:v>
      </x:c>
      <x:c r="AD639" s="3" t="str">
        <x:v>Not contacted / unconfirmed</x:v>
      </x:c>
      <x:c r="AE639" s="3" t="str">
        <x:v>No</x:v>
      </x:c>
      <x:c r="AF639" s="3" t="str">
        <x:v>No</x:v>
      </x:c>
      <x:c r="AG639" s="3"/>
      <x:c r="AH639" s="3"/>
      <x:c r="AI639" s="18"/>
      <x:c r="AJ639" s="3" t="str">
        <x:v>CF2500-F56479FE7D94</x:v>
      </x:c>
      <x:c r="AK639" s="3" t="str">
        <x:v>real_estate_operator</x:v>
      </x:c>
      <x:c r="AL639" s="19" t="n">
        <x:v>100000</x:v>
      </x:c>
      <x:c r="AM639" s="19" t="n">
        <x:v>500000</x:v>
      </x:c>
      <x:c r="AN639" s="3" t="str">
        <x:v>https://www.cashhomebuyersdirectory.com/cash-home-buyers/georgia/augusta</x:v>
      </x:c>
      <x:c r="AO639" s="3" t="str">
        <x:v>national_rest_directory_complete.jsonl</x:v>
      </x:c>
      <x:c r="AP639" s="19"/>
    </x:row>
    <x:row r="640" ht="36" customHeight="1">
      <x:c r="A640" s="23" t="n">
        <x:v>639</x:v>
      </x:c>
      <x:c r="B640" s="15" t="str">
        <x:v>Huntsville Fast Home Buyer| Sell My House Fast for Cash Huntsville</x:v>
      </x:c>
      <x:c r="C640" s="15"/>
      <x:c r="D640" s="15" t="str">
        <x:v>Property investor / home-buying operator</x:v>
      </x:c>
      <x:c r="E640" s="15" t="str">
        <x:v>Property investor / operator inquiry</x:v>
      </x:c>
      <x:c r="F640" s="17" t="str">
        <x:v>New</x:v>
      </x:c>
      <x:c r="G640" s="24"/>
      <x:c r="H640" s="24" t="str">
        <x:v>+12563846285</x:v>
      </x:c>
      <x:c r="I640" s="24" t="str">
        <x:v>https://www.huntsvillefasthomebuyer.com/</x:v>
      </x:c>
      <x:c r="J640" s="16" t="str">
        <x:v>AL</x:v>
      </x:c>
      <x:c r="K640" s="16"/>
      <x:c r="L640" s="16" t="str">
        <x:v>Public property-business route; investor decision maker unconfirmed</x:v>
      </x:c>
      <x:c r="M640" s="16" t="str">
        <x:v>https://www.huntsvillefasthomebuyer.com/</x:v>
      </x:c>
      <x:c r="N640" s="16" t="str">
        <x:v>$100K-$500K ticket not published / unconfirmed</x:v>
      </x:c>
      <x:c r="O640" s="20"/>
      <x:c r="P640" s="20"/>
      <x:c r="Q640" s="25" t="str">
        <x:v>No direct corporate-capital range established in checked source</x:v>
      </x:c>
      <x:c r="R640" s="25" t="str">
        <x:v>Property acquisition or investor activity makes this an operator-capital prospect for the signed trial. Confirm operating-company debt/equity appetite.</x:v>
      </x:c>
      <x:c r="S640" s="25"/>
      <x:c r="T640" s="25" t="str">
        <x:v>Ask the owner/investor whether they can allocate $100K-$500K to trial marketing and acquisitions, and confirm structure, timing and decision authority.</x:v>
      </x:c>
      <x:c r="U640" s="25" t="str">
        <x:v>https://www.cashhomebuyersdirectory.com/cash-home-buyers/alabama/huntsville</x:v>
      </x:c>
      <x:c r="V640" s="26" t="d">
        <x:v>2026-10-02T00:00:00.000Z</x:v>
      </x:c>
      <x:c r="W640" s="26" t="d">
        <x:v>2026-10-02T00:00:00.000Z</x:v>
      </x:c>
      <x:c r="X640" s="25" t="str">
        <x:v>CashHomeBuyersDirectory third-party business listing; first-party business activity not checked in this batch</x:v>
      </x:c>
      <x:c r="Y640" s="25"/>
      <x:c r="Z640" s="25" t="str">
        <x:v>https://www.cashhomebuyersdirectory.com/cash-home-buyers/alabama/huntsville</x:v>
      </x:c>
      <x:c r="AA640" s="25" t="str">
        <x:v>Public cash-home-buyer directory lists the business name, business phone/website where available and market. Operator role and corporate funding willingness require confirmation.</x:v>
      </x:c>
      <x:c r="AB640" s="3" t="str">
        <x:v>New public-source collection</x:v>
      </x:c>
      <x:c r="AC640" s="3" t="str">
        <x:v>unverified</x:v>
      </x:c>
      <x:c r="AD640" s="3" t="str">
        <x:v>Not contacted / unconfirmed</x:v>
      </x:c>
      <x:c r="AE640" s="3" t="str">
        <x:v>No</x:v>
      </x:c>
      <x:c r="AF640" s="3" t="str">
        <x:v>No</x:v>
      </x:c>
      <x:c r="AG640" s="3"/>
      <x:c r="AH640" s="3"/>
      <x:c r="AI640" s="18"/>
      <x:c r="AJ640" s="3" t="str">
        <x:v>CF2500-C59293DD2D35</x:v>
      </x:c>
      <x:c r="AK640" s="3" t="str">
        <x:v>real_estate_operator</x:v>
      </x:c>
      <x:c r="AL640" s="19" t="n">
        <x:v>100000</x:v>
      </x:c>
      <x:c r="AM640" s="19" t="n">
        <x:v>500000</x:v>
      </x:c>
      <x:c r="AN640" s="3" t="str">
        <x:v>https://www.cashhomebuyersdirectory.com/cash-home-buyers/alabama/huntsville</x:v>
      </x:c>
      <x:c r="AO640" s="3" t="str">
        <x:v>national_rest_directory_complete.jsonl</x:v>
      </x:c>
      <x:c r="AP640" s="19"/>
    </x:row>
    <x:row r="641" ht="36" customHeight="1">
      <x:c r="A641" s="23" t="n">
        <x:v>640</x:v>
      </x:c>
      <x:c r="B641" s="15" t="str">
        <x:v>Huntsville House Buyer AL</x:v>
      </x:c>
      <x:c r="C641" s="15"/>
      <x:c r="D641" s="15" t="str">
        <x:v>Property investor / home-buying operator</x:v>
      </x:c>
      <x:c r="E641" s="15" t="str">
        <x:v>Property investor / operator inquiry</x:v>
      </x:c>
      <x:c r="F641" s="17" t="str">
        <x:v>New</x:v>
      </x:c>
      <x:c r="G641" s="24"/>
      <x:c r="H641" s="24" t="str">
        <x:v>+12568587464</x:v>
      </x:c>
      <x:c r="I641" s="24" t="str">
        <x:v>https://huntsvillehousebuyeral.com/</x:v>
      </x:c>
      <x:c r="J641" s="16" t="str">
        <x:v>AL</x:v>
      </x:c>
      <x:c r="K641" s="16"/>
      <x:c r="L641" s="16" t="str">
        <x:v>Public property-business route; investor decision maker unconfirmed</x:v>
      </x:c>
      <x:c r="M641" s="16" t="str">
        <x:v>https://huntsvillehousebuyeral.com/</x:v>
      </x:c>
      <x:c r="N641" s="16" t="str">
        <x:v>$100K-$500K ticket not published / unconfirmed</x:v>
      </x:c>
      <x:c r="O641" s="20"/>
      <x:c r="P641" s="20"/>
      <x:c r="Q641" s="25" t="str">
        <x:v>No direct corporate-capital range established in checked source</x:v>
      </x:c>
      <x:c r="R641" s="25" t="str">
        <x:v>Property acquisition or investor activity makes this an operator-capital prospect for the signed trial. Confirm operating-company debt/equity appetite.</x:v>
      </x:c>
      <x:c r="S641" s="25"/>
      <x:c r="T641" s="25" t="str">
        <x:v>Ask the owner/investor whether they can allocate $100K-$500K to trial marketing and acquisitions, and confirm structure, timing and decision authority.</x:v>
      </x:c>
      <x:c r="U641" s="25" t="str">
        <x:v>https://www.cashhomebuyersdirectory.com/cash-home-buyers/alabama/huntsville</x:v>
      </x:c>
      <x:c r="V641" s="26" t="d">
        <x:v>2026-10-02T00:00:00.000Z</x:v>
      </x:c>
      <x:c r="W641" s="26" t="d">
        <x:v>2026-10-02T00:00:00.000Z</x:v>
      </x:c>
      <x:c r="X641" s="25" t="str">
        <x:v>CashHomeBuyersDirectory third-party business listing; first-party business activity not checked in this batch</x:v>
      </x:c>
      <x:c r="Y641" s="25"/>
      <x:c r="Z641" s="25" t="str">
        <x:v>https://www.cashhomebuyersdirectory.com/cash-home-buyers/alabama/huntsville</x:v>
      </x:c>
      <x:c r="AA641" s="25" t="str">
        <x:v>Public cash-home-buyer directory lists the business name, business phone/website where available and market. Operator role and corporate funding willingness require confirmation.</x:v>
      </x:c>
      <x:c r="AB641" s="3" t="str">
        <x:v>New public-source collection</x:v>
      </x:c>
      <x:c r="AC641" s="3" t="str">
        <x:v>unverified</x:v>
      </x:c>
      <x:c r="AD641" s="3" t="str">
        <x:v>Not contacted / unconfirmed</x:v>
      </x:c>
      <x:c r="AE641" s="3" t="str">
        <x:v>No</x:v>
      </x:c>
      <x:c r="AF641" s="3" t="str">
        <x:v>No</x:v>
      </x:c>
      <x:c r="AG641" s="3"/>
      <x:c r="AH641" s="3"/>
      <x:c r="AI641" s="18"/>
      <x:c r="AJ641" s="3" t="str">
        <x:v>CF2500-FB82FA633D3C</x:v>
      </x:c>
      <x:c r="AK641" s="3" t="str">
        <x:v>real_estate_operator</x:v>
      </x:c>
      <x:c r="AL641" s="19" t="n">
        <x:v>100000</x:v>
      </x:c>
      <x:c r="AM641" s="19" t="n">
        <x:v>500000</x:v>
      </x:c>
      <x:c r="AN641" s="3" t="str">
        <x:v>https://www.cashhomebuyersdirectory.com/cash-home-buyers/alabama/huntsville</x:v>
      </x:c>
      <x:c r="AO641" s="3" t="str">
        <x:v>national_rest_directory_complete.jsonl</x:v>
      </x:c>
      <x:c r="AP641" s="19"/>
    </x:row>
    <x:row r="642" ht="36" customHeight="1">
      <x:c r="A642" s="23" t="n">
        <x:v>641</x:v>
      </x:c>
      <x:c r="B642" s="15" t="str">
        <x:v>Integrity House Buyers</x:v>
      </x:c>
      <x:c r="C642" s="15"/>
      <x:c r="D642" s="15" t="str">
        <x:v>Property investor / home-buying operator</x:v>
      </x:c>
      <x:c r="E642" s="15" t="str">
        <x:v>Property investor / operator inquiry</x:v>
      </x:c>
      <x:c r="F642" s="17" t="str">
        <x:v>New</x:v>
      </x:c>
      <x:c r="G642" s="24"/>
      <x:c r="H642" s="24" t="str">
        <x:v>+19312136951</x:v>
      </x:c>
      <x:c r="I642" s="24" t="str">
        <x:v>http://www.buyerswithintegrity.com/i/HTNF/</x:v>
      </x:c>
      <x:c r="J642" s="16" t="str">
        <x:v>TN</x:v>
      </x:c>
      <x:c r="K642" s="16" t="str">
        <x:v>Clarksville</x:v>
      </x:c>
      <x:c r="L642" s="16" t="str">
        <x:v>Public property-business route; investor decision maker unconfirmed</x:v>
      </x:c>
      <x:c r="M642" s="16" t="str">
        <x:v>http://www.buyerswithintegrity.com/i/HTNF/</x:v>
      </x:c>
      <x:c r="N642" s="16" t="str">
        <x:v>$100K-$500K ticket not published / unconfirmed</x:v>
      </x:c>
      <x:c r="O642" s="20"/>
      <x:c r="P642" s="20"/>
      <x:c r="Q642" s="25" t="str">
        <x:v>No direct corporate-capital range established in checked source</x:v>
      </x:c>
      <x:c r="R642" s="25" t="str">
        <x:v>Property acquisition or investor activity makes this an operator-capital prospect for the signed trial. Confirm operating-company debt/equity appetite.</x:v>
      </x:c>
      <x:c r="S642" s="25"/>
      <x:c r="T642" s="25" t="str">
        <x:v>Ask the owner/investor whether they can allocate $100K-$500K to trial marketing and acquisitions, and confirm structure, timing and decision authority.</x:v>
      </x:c>
      <x:c r="U642" s="25" t="str">
        <x:v>https://www.cashhomebuyersdirectory.com/cash-home-buyers/tennessee/clarksville</x:v>
      </x:c>
      <x:c r="V642" s="26" t="d">
        <x:v>2026-10-02T00:00:00.000Z</x:v>
      </x:c>
      <x:c r="W642" s="26" t="d">
        <x:v>2026-10-02T00:00:00.000Z</x:v>
      </x:c>
      <x:c r="X642" s="25" t="str">
        <x:v>CashHomeBuyersDirectory third-party business listing; first-party business activity not checked in this batch</x:v>
      </x:c>
      <x:c r="Y642" s="25"/>
      <x:c r="Z642" s="25" t="str">
        <x:v>https://www.cashhomebuyersdirectory.com/cash-home-buyers/tennessee/clarksville</x:v>
      </x:c>
      <x:c r="AA642" s="25" t="str">
        <x:v>Public cash-home-buyer directory lists the business name, business phone/website where available and market. Operator role and corporate funding willingness require confirmation.</x:v>
      </x:c>
      <x:c r="AB642" s="3" t="str">
        <x:v>New public-source collection</x:v>
      </x:c>
      <x:c r="AC642" s="3" t="str">
        <x:v>unverified</x:v>
      </x:c>
      <x:c r="AD642" s="3" t="str">
        <x:v>Not contacted / unconfirmed</x:v>
      </x:c>
      <x:c r="AE642" s="3" t="str">
        <x:v>No</x:v>
      </x:c>
      <x:c r="AF642" s="3" t="str">
        <x:v>No</x:v>
      </x:c>
      <x:c r="AG642" s="3"/>
      <x:c r="AH642" s="3"/>
      <x:c r="AI642" s="18"/>
      <x:c r="AJ642" s="3" t="str">
        <x:v>CF2500-062C04B7AC10</x:v>
      </x:c>
      <x:c r="AK642" s="3" t="str">
        <x:v>real_estate_operator</x:v>
      </x:c>
      <x:c r="AL642" s="19" t="n">
        <x:v>100000</x:v>
      </x:c>
      <x:c r="AM642" s="19" t="n">
        <x:v>500000</x:v>
      </x:c>
      <x:c r="AN642" s="3" t="str">
        <x:v>https://www.cashhomebuyersdirectory.com/cash-home-buyers/tennessee/clarksville</x:v>
      </x:c>
      <x:c r="AO642" s="3" t="str">
        <x:v>national_rest_directory_complete.jsonl</x:v>
      </x:c>
      <x:c r="AP642" s="19"/>
    </x:row>
    <x:row r="643" ht="36" customHeight="1">
      <x:c r="A643" s="23" t="n">
        <x:v>642</x:v>
      </x:c>
      <x:c r="B643" s="15" t="str">
        <x:v>JAG Buys Indy Homes - A Indianapolis Real Estate Home Buying Service</x:v>
      </x:c>
      <x:c r="C643" s="15"/>
      <x:c r="D643" s="15" t="str">
        <x:v>Property investor / home-buying operator</x:v>
      </x:c>
      <x:c r="E643" s="15" t="str">
        <x:v>Property investor / operator inquiry</x:v>
      </x:c>
      <x:c r="F643" s="17" t="str">
        <x:v>New</x:v>
      </x:c>
      <x:c r="G643" s="24"/>
      <x:c r="H643" s="24" t="str">
        <x:v>+13175505009</x:v>
      </x:c>
      <x:c r="I643" s="24" t="str">
        <x:v>https://jagbuysindyhomes.com/</x:v>
      </x:c>
      <x:c r="J643" s="16" t="str">
        <x:v>IN</x:v>
      </x:c>
      <x:c r="K643" s="16" t="str">
        <x:v>Indianapolis</x:v>
      </x:c>
      <x:c r="L643" s="16" t="str">
        <x:v>Public property-business route; investor decision maker unconfirmed</x:v>
      </x:c>
      <x:c r="M643" s="16" t="str">
        <x:v>https://jagbuysindyhomes.com/</x:v>
      </x:c>
      <x:c r="N643" s="16" t="str">
        <x:v>$100K-$500K ticket not published / unconfirmed</x:v>
      </x:c>
      <x:c r="O643" s="20"/>
      <x:c r="P643" s="20"/>
      <x:c r="Q643" s="25" t="str">
        <x:v>No direct corporate-capital range established in checked source</x:v>
      </x:c>
      <x:c r="R643" s="25" t="str">
        <x:v>Property acquisition or investor activity makes this an operator-capital prospect for the signed trial. Confirm operating-company debt/equity appetite.</x:v>
      </x:c>
      <x:c r="S643" s="25"/>
      <x:c r="T643" s="25" t="str">
        <x:v>Ask the owner/investor whether they can allocate $100K-$500K to trial marketing and acquisitions, and confirm structure, timing and decision authority.</x:v>
      </x:c>
      <x:c r="U643" s="25" t="str">
        <x:v>https://www.cashhomebuyersdirectory.com/cash-home-buyers/indiana/indianapolis</x:v>
      </x:c>
      <x:c r="V643" s="26" t="d">
        <x:v>2026-10-02T00:00:00.000Z</x:v>
      </x:c>
      <x:c r="W643" s="26" t="d">
        <x:v>2026-10-02T00:00:00.000Z</x:v>
      </x:c>
      <x:c r="X643" s="25" t="str">
        <x:v>CashHomeBuyersDirectory third-party business listing; first-party business activity not checked in this batch</x:v>
      </x:c>
      <x:c r="Y643" s="25"/>
      <x:c r="Z643" s="25" t="str">
        <x:v>https://www.cashhomebuyersdirectory.com/cash-home-buyers/indiana/indianapolis</x:v>
      </x:c>
      <x:c r="AA643" s="25" t="str">
        <x:v>Public cash-home-buyer directory lists the business name, business phone/website where available and market. Operator role and corporate funding willingness require confirmation.</x:v>
      </x:c>
      <x:c r="AB643" s="3" t="str">
        <x:v>New public-source collection</x:v>
      </x:c>
      <x:c r="AC643" s="3" t="str">
        <x:v>unverified</x:v>
      </x:c>
      <x:c r="AD643" s="3" t="str">
        <x:v>Not contacted / unconfirmed</x:v>
      </x:c>
      <x:c r="AE643" s="3" t="str">
        <x:v>No</x:v>
      </x:c>
      <x:c r="AF643" s="3" t="str">
        <x:v>No</x:v>
      </x:c>
      <x:c r="AG643" s="3"/>
      <x:c r="AH643" s="3"/>
      <x:c r="AI643" s="18"/>
      <x:c r="AJ643" s="3" t="str">
        <x:v>CF2500-18F51466E911</x:v>
      </x:c>
      <x:c r="AK643" s="3" t="str">
        <x:v>real_estate_operator</x:v>
      </x:c>
      <x:c r="AL643" s="19" t="n">
        <x:v>100000</x:v>
      </x:c>
      <x:c r="AM643" s="19" t="n">
        <x:v>500000</x:v>
      </x:c>
      <x:c r="AN643" s="3" t="str">
        <x:v>https://www.cashhomebuyersdirectory.com/cash-home-buyers/indiana/indianapolis</x:v>
      </x:c>
      <x:c r="AO643" s="3" t="str">
        <x:v>national_rest_directory_complete.jsonl</x:v>
      </x:c>
      <x:c r="AP643" s="19"/>
    </x:row>
    <x:row r="644" ht="36" customHeight="1">
      <x:c r="A644" s="23" t="n">
        <x:v>643</x:v>
      </x:c>
      <x:c r="B644" s="15" t="str">
        <x:v>Jenkins Homebuyers</x:v>
      </x:c>
      <x:c r="C644" s="15"/>
      <x:c r="D644" s="15" t="str">
        <x:v>Property investor / home-buying operator</x:v>
      </x:c>
      <x:c r="E644" s="15" t="str">
        <x:v>Property investor / operator inquiry</x:v>
      </x:c>
      <x:c r="F644" s="17" t="str">
        <x:v>New</x:v>
      </x:c>
      <x:c r="G644" s="24"/>
      <x:c r="H644" s="24" t="str">
        <x:v>+16152886673</x:v>
      </x:c>
      <x:c r="I644" s="24" t="str">
        <x:v>https://jenkinshomebuyers.com/</x:v>
      </x:c>
      <x:c r="J644" s="16" t="str">
        <x:v>TN</x:v>
      </x:c>
      <x:c r="K644" s="16" t="str">
        <x:v>Clarksville</x:v>
      </x:c>
      <x:c r="L644" s="16" t="str">
        <x:v>Public property-business route; investor decision maker unconfirmed</x:v>
      </x:c>
      <x:c r="M644" s="16" t="str">
        <x:v>https://jenkinshomebuyers.com/</x:v>
      </x:c>
      <x:c r="N644" s="16" t="str">
        <x:v>$100K-$500K ticket not published / unconfirmed</x:v>
      </x:c>
      <x:c r="O644" s="20"/>
      <x:c r="P644" s="20"/>
      <x:c r="Q644" s="25" t="str">
        <x:v>No direct corporate-capital range established in checked source</x:v>
      </x:c>
      <x:c r="R644" s="25" t="str">
        <x:v>Property acquisition or investor activity makes this an operator-capital prospect for the signed trial. Confirm operating-company debt/equity appetite.</x:v>
      </x:c>
      <x:c r="S644" s="25"/>
      <x:c r="T644" s="25" t="str">
        <x:v>Ask the owner/investor whether they can allocate $100K-$500K to trial marketing and acquisitions, and confirm structure, timing and decision authority.</x:v>
      </x:c>
      <x:c r="U644" s="25" t="str">
        <x:v>https://www.cashhomebuyersdirectory.com/cash-home-buyers/tennessee/clarksville
https://www.cashhomebuyersdirectory.com/cash-home-buyers/tennessee/nashville</x:v>
      </x:c>
      <x:c r="V644" s="26" t="d">
        <x:v>2026-10-02T00:00:00.000Z</x:v>
      </x:c>
      <x:c r="W644" s="26" t="d">
        <x:v>2026-10-02T00:00:00.000Z</x:v>
      </x:c>
      <x:c r="X644" s="25" t="str">
        <x:v>CashHomeBuyersDirectory third-party business listing; first-party business activity not checked in this batch</x:v>
      </x:c>
      <x:c r="Y644" s="25"/>
      <x:c r="Z644" s="25" t="str">
        <x:v>https://www.cashhomebuyersdirectory.com/cash-home-buyers/tennessee/clarksville</x:v>
      </x:c>
      <x:c r="AA644" s="25" t="str">
        <x:v>Public cash-home-buyer directory lists the business name, business phone/website where available and market. Operator role and corporate funding willingness require confirmation.</x:v>
      </x:c>
      <x:c r="AB644" s="3" t="str">
        <x:v>New public-source collection</x:v>
      </x:c>
      <x:c r="AC644" s="3" t="str">
        <x:v>unverified</x:v>
      </x:c>
      <x:c r="AD644" s="3" t="str">
        <x:v>Not contacted / unconfirmed</x:v>
      </x:c>
      <x:c r="AE644" s="3" t="str">
        <x:v>No</x:v>
      </x:c>
      <x:c r="AF644" s="3" t="str">
        <x:v>No</x:v>
      </x:c>
      <x:c r="AG644" s="3"/>
      <x:c r="AH644" s="3"/>
      <x:c r="AI644" s="18"/>
      <x:c r="AJ644" s="3" t="str">
        <x:v>CF2500-0BF0DA81A35E</x:v>
      </x:c>
      <x:c r="AK644" s="3" t="str">
        <x:v>real_estate_operator</x:v>
      </x:c>
      <x:c r="AL644" s="19" t="n">
        <x:v>100000</x:v>
      </x:c>
      <x:c r="AM644" s="19" t="n">
        <x:v>500000</x:v>
      </x:c>
      <x:c r="AN644" s="3" t="str">
        <x:v>https://www.cashhomebuyersdirectory.com/cash-home-buyers/tennessee/clarksville</x:v>
      </x:c>
      <x:c r="AO644" s="3" t="str">
        <x:v>national_rest_directory_complete.jsonl</x:v>
      </x:c>
      <x:c r="AP644" s="19"/>
    </x:row>
    <x:row r="645" ht="36" customHeight="1">
      <x:c r="A645" s="23" t="n">
        <x:v>644</x:v>
      </x:c>
      <x:c r="B645" s="15" t="str">
        <x:v>Joe Homebuyer of Greater Tulsa</x:v>
      </x:c>
      <x:c r="C645" s="15"/>
      <x:c r="D645" s="15" t="str">
        <x:v>Property investor / home-buying operator</x:v>
      </x:c>
      <x:c r="E645" s="15" t="str">
        <x:v>Property investor / operator inquiry</x:v>
      </x:c>
      <x:c r="F645" s="17" t="str">
        <x:v>New</x:v>
      </x:c>
      <x:c r="G645" s="24"/>
      <x:c r="H645" s="24" t="str">
        <x:v>+19183093446</x:v>
      </x:c>
      <x:c r="I645" s="24" t="str">
        <x:v>https://www.jhbofgreatertulsa.com/</x:v>
      </x:c>
      <x:c r="J645" s="16" t="str">
        <x:v>OK</x:v>
      </x:c>
      <x:c r="K645" s="16"/>
      <x:c r="L645" s="16" t="str">
        <x:v>Public property-business route; investor decision maker unconfirmed</x:v>
      </x:c>
      <x:c r="M645" s="16" t="str">
        <x:v>https://www.jhbofgreatertulsa.com/</x:v>
      </x:c>
      <x:c r="N645" s="16" t="str">
        <x:v>$100K-$500K ticket not published / unconfirmed</x:v>
      </x:c>
      <x:c r="O645" s="20"/>
      <x:c r="P645" s="20"/>
      <x:c r="Q645" s="25" t="str">
        <x:v>No direct corporate-capital range established in checked source</x:v>
      </x:c>
      <x:c r="R645" s="25" t="str">
        <x:v>Property acquisition or investor activity makes this an operator-capital prospect for the signed trial. Confirm operating-company debt/equity appetite.</x:v>
      </x:c>
      <x:c r="S645" s="25"/>
      <x:c r="T645" s="25" t="str">
        <x:v>Ask the owner/investor whether they can allocate $100K-$500K to trial marketing and acquisitions, and confirm structure, timing and decision authority.</x:v>
      </x:c>
      <x:c r="U645" s="25" t="str">
        <x:v>https://www.cashhomebuyersdirectory.com/cash-home-buyers/oklahoma/tulsa</x:v>
      </x:c>
      <x:c r="V645" s="26" t="d">
        <x:v>2026-10-02T00:00:00.000Z</x:v>
      </x:c>
      <x:c r="W645" s="26" t="d">
        <x:v>2026-10-02T00:00:00.000Z</x:v>
      </x:c>
      <x:c r="X645" s="25" t="str">
        <x:v>CashHomeBuyersDirectory third-party business listing; first-party business activity not checked in this batch</x:v>
      </x:c>
      <x:c r="Y645" s="25"/>
      <x:c r="Z645" s="25" t="str">
        <x:v>https://www.cashhomebuyersdirectory.com/cash-home-buyers/oklahoma/tulsa</x:v>
      </x:c>
      <x:c r="AA645" s="25" t="str">
        <x:v>Public cash-home-buyer directory lists the business name, business phone/website where available and market. Operator role and corporate funding willingness require confirmation.</x:v>
      </x:c>
      <x:c r="AB645" s="3" t="str">
        <x:v>New public-source collection</x:v>
      </x:c>
      <x:c r="AC645" s="3" t="str">
        <x:v>unverified</x:v>
      </x:c>
      <x:c r="AD645" s="3" t="str">
        <x:v>Not contacted / unconfirmed</x:v>
      </x:c>
      <x:c r="AE645" s="3" t="str">
        <x:v>No</x:v>
      </x:c>
      <x:c r="AF645" s="3" t="str">
        <x:v>No</x:v>
      </x:c>
      <x:c r="AG645" s="3"/>
      <x:c r="AH645" s="3"/>
      <x:c r="AI645" s="18"/>
      <x:c r="AJ645" s="3" t="str">
        <x:v>CF2500-291B56D56135</x:v>
      </x:c>
      <x:c r="AK645" s="3" t="str">
        <x:v>real_estate_operator</x:v>
      </x:c>
      <x:c r="AL645" s="19" t="n">
        <x:v>100000</x:v>
      </x:c>
      <x:c r="AM645" s="19" t="n">
        <x:v>500000</x:v>
      </x:c>
      <x:c r="AN645" s="3" t="str">
        <x:v>https://www.cashhomebuyersdirectory.com/cash-home-buyers/oklahoma/tulsa</x:v>
      </x:c>
      <x:c r="AO645" s="3" t="str">
        <x:v>national_rest_directory_complete.jsonl</x:v>
      </x:c>
      <x:c r="AP645" s="19"/>
    </x:row>
    <x:row r="646" ht="36" customHeight="1">
      <x:c r="A646" s="23" t="n">
        <x:v>645</x:v>
      </x:c>
      <x:c r="B646" s="15" t="str">
        <x:v>Joe Homebuyer of Montgomery</x:v>
      </x:c>
      <x:c r="C646" s="15"/>
      <x:c r="D646" s="15" t="str">
        <x:v>Property investor / home-buying operator</x:v>
      </x:c>
      <x:c r="E646" s="15" t="str">
        <x:v>Property investor / operator inquiry</x:v>
      </x:c>
      <x:c r="F646" s="17" t="str">
        <x:v>New</x:v>
      </x:c>
      <x:c r="G646" s="24"/>
      <x:c r="H646" s="24" t="str">
        <x:v>+13348100548</x:v>
      </x:c>
      <x:c r="I646" s="24" t="str">
        <x:v>https://jhbofmontgomery.com/</x:v>
      </x:c>
      <x:c r="J646" s="16" t="str">
        <x:v>AL</x:v>
      </x:c>
      <x:c r="K646" s="16"/>
      <x:c r="L646" s="16" t="str">
        <x:v>Public property-business route; investor decision maker unconfirmed</x:v>
      </x:c>
      <x:c r="M646" s="16" t="str">
        <x:v>https://jhbofmontgomery.com/</x:v>
      </x:c>
      <x:c r="N646" s="16" t="str">
        <x:v>$100K-$500K ticket not published / unconfirmed</x:v>
      </x:c>
      <x:c r="O646" s="20"/>
      <x:c r="P646" s="20"/>
      <x:c r="Q646" s="25" t="str">
        <x:v>No direct corporate-capital range established in checked source</x:v>
      </x:c>
      <x:c r="R646" s="25" t="str">
        <x:v>Property acquisition or investor activity makes this an operator-capital prospect for the signed trial. Confirm operating-company debt/equity appetite.</x:v>
      </x:c>
      <x:c r="S646" s="25"/>
      <x:c r="T646" s="25" t="str">
        <x:v>Ask the owner/investor whether they can allocate $100K-$500K to trial marketing and acquisitions, and confirm structure, timing and decision authority.</x:v>
      </x:c>
      <x:c r="U646" s="25" t="str">
        <x:v>https://www.cashhomebuyersdirectory.com/cash-home-buyers/alabama/montgomery</x:v>
      </x:c>
      <x:c r="V646" s="26" t="d">
        <x:v>2026-10-02T00:00:00.000Z</x:v>
      </x:c>
      <x:c r="W646" s="26" t="d">
        <x:v>2026-10-02T00:00:00.000Z</x:v>
      </x:c>
      <x:c r="X646" s="25" t="str">
        <x:v>CashHomeBuyersDirectory third-party business listing; first-party business activity not checked in this batch</x:v>
      </x:c>
      <x:c r="Y646" s="25"/>
      <x:c r="Z646" s="25" t="str">
        <x:v>https://www.cashhomebuyersdirectory.com/cash-home-buyers/alabama/montgomery</x:v>
      </x:c>
      <x:c r="AA646" s="25" t="str">
        <x:v>Public cash-home-buyer directory lists the business name, business phone/website where available and market. Operator role and corporate funding willingness require confirmation.</x:v>
      </x:c>
      <x:c r="AB646" s="3" t="str">
        <x:v>New public-source collection</x:v>
      </x:c>
      <x:c r="AC646" s="3" t="str">
        <x:v>unverified</x:v>
      </x:c>
      <x:c r="AD646" s="3" t="str">
        <x:v>Not contacted / unconfirmed</x:v>
      </x:c>
      <x:c r="AE646" s="3" t="str">
        <x:v>No</x:v>
      </x:c>
      <x:c r="AF646" s="3" t="str">
        <x:v>No</x:v>
      </x:c>
      <x:c r="AG646" s="3"/>
      <x:c r="AH646" s="3"/>
      <x:c r="AI646" s="18"/>
      <x:c r="AJ646" s="3" t="str">
        <x:v>CF2500-04D8EB55F638</x:v>
      </x:c>
      <x:c r="AK646" s="3" t="str">
        <x:v>real_estate_operator</x:v>
      </x:c>
      <x:c r="AL646" s="19" t="n">
        <x:v>100000</x:v>
      </x:c>
      <x:c r="AM646" s="19" t="n">
        <x:v>500000</x:v>
      </x:c>
      <x:c r="AN646" s="3" t="str">
        <x:v>https://www.cashhomebuyersdirectory.com/cash-home-buyers/alabama/montgomery</x:v>
      </x:c>
      <x:c r="AO646" s="3" t="str">
        <x:v>national_rest_directory_complete.jsonl</x:v>
      </x:c>
      <x:c r="AP646" s="19"/>
    </x:row>
    <x:row r="647" ht="36" customHeight="1">
      <x:c r="A647" s="23" t="n">
        <x:v>646</x:v>
      </x:c>
      <x:c r="B647" s="15" t="str">
        <x:v>Joe Homebuyer of Utah</x:v>
      </x:c>
      <x:c r="C647" s="15"/>
      <x:c r="D647" s="15" t="str">
        <x:v>Property investor / home-buying operator</x:v>
      </x:c>
      <x:c r="E647" s="15" t="str">
        <x:v>Property investor / operator inquiry</x:v>
      </x:c>
      <x:c r="F647" s="17" t="str">
        <x:v>New</x:v>
      </x:c>
      <x:c r="G647" s="24"/>
      <x:c r="H647" s="24" t="str">
        <x:v>+18012108780</x:v>
      </x:c>
      <x:c r="I647" s="24" t="str">
        <x:v>https://www.joehomebuyerutahlocation.com/?UTM_source=Google_Business_Profile&amp;UTM_medium=Organic</x:v>
      </x:c>
      <x:c r="J647" s="16" t="str">
        <x:v>UT</x:v>
      </x:c>
      <x:c r="K647" s="16" t="str">
        <x:v>Salt Lake City</x:v>
      </x:c>
      <x:c r="L647" s="16" t="str">
        <x:v>Public property-business route; investor decision maker unconfirmed</x:v>
      </x:c>
      <x:c r="M647" s="16" t="str">
        <x:v>https://www.joehomebuyerutahlocation.com/?UTM_source=Google_Business_Profile&amp;UTM_medium=Organic</x:v>
      </x:c>
      <x:c r="N647" s="16" t="str">
        <x:v>$100K-$500K ticket not published / unconfirmed</x:v>
      </x:c>
      <x:c r="O647" s="20"/>
      <x:c r="P647" s="20"/>
      <x:c r="Q647" s="25" t="str">
        <x:v>No direct corporate-capital range established in checked source</x:v>
      </x:c>
      <x:c r="R647" s="25" t="str">
        <x:v>Property acquisition or investor activity makes this an operator-capital prospect for the signed trial. Confirm operating-company debt/equity appetite.</x:v>
      </x:c>
      <x:c r="S647" s="25"/>
      <x:c r="T647" s="25" t="str">
        <x:v>Ask the owner/investor whether they can allocate $100K-$500K to trial marketing and acquisitions, and confirm structure, timing and decision authority.</x:v>
      </x:c>
      <x:c r="U647" s="25" t="str">
        <x:v>https://www.cashhomebuyersdirectory.com/cash-home-buyers/utah/salt-lake-city</x:v>
      </x:c>
      <x:c r="V647" s="26" t="d">
        <x:v>2026-10-02T00:00:00.000Z</x:v>
      </x:c>
      <x:c r="W647" s="26" t="d">
        <x:v>2026-10-02T00:00:00.000Z</x:v>
      </x:c>
      <x:c r="X647" s="25" t="str">
        <x:v>CashHomeBuyersDirectory third-party business listing; first-party business activity not checked in this batch</x:v>
      </x:c>
      <x:c r="Y647" s="25"/>
      <x:c r="Z647" s="25" t="str">
        <x:v>https://www.cashhomebuyersdirectory.com/cash-home-buyers/utah/salt-lake-city</x:v>
      </x:c>
      <x:c r="AA647" s="25" t="str">
        <x:v>Public cash-home-buyer directory lists the business name, business phone/website where available and market. Operator role and corporate funding willingness require confirmation.</x:v>
      </x:c>
      <x:c r="AB647" s="3" t="str">
        <x:v>New public-source collection</x:v>
      </x:c>
      <x:c r="AC647" s="3" t="str">
        <x:v>unverified</x:v>
      </x:c>
      <x:c r="AD647" s="3" t="str">
        <x:v>Not contacted / unconfirmed</x:v>
      </x:c>
      <x:c r="AE647" s="3" t="str">
        <x:v>No</x:v>
      </x:c>
      <x:c r="AF647" s="3" t="str">
        <x:v>No</x:v>
      </x:c>
      <x:c r="AG647" s="3"/>
      <x:c r="AH647" s="3"/>
      <x:c r="AI647" s="18"/>
      <x:c r="AJ647" s="3" t="str">
        <x:v>CF2500-BEC1B7E84E69</x:v>
      </x:c>
      <x:c r="AK647" s="3" t="str">
        <x:v>real_estate_operator</x:v>
      </x:c>
      <x:c r="AL647" s="19" t="n">
        <x:v>100000</x:v>
      </x:c>
      <x:c r="AM647" s="19" t="n">
        <x:v>500000</x:v>
      </x:c>
      <x:c r="AN647" s="3" t="str">
        <x:v>https://www.cashhomebuyersdirectory.com/cash-home-buyers/utah/salt-lake-city</x:v>
      </x:c>
      <x:c r="AO647" s="3" t="str">
        <x:v>national_rest_directory_complete.jsonl</x:v>
      </x:c>
      <x:c r="AP647" s="19"/>
    </x:row>
    <x:row r="648" ht="36" customHeight="1">
      <x:c r="A648" s="23" t="n">
        <x:v>647</x:v>
      </x:c>
      <x:c r="B648" s="15" t="str">
        <x:v>Joplin Homebuyers</x:v>
      </x:c>
      <x:c r="C648" s="15"/>
      <x:c r="D648" s="15" t="str">
        <x:v>Property investor / home-buying operator</x:v>
      </x:c>
      <x:c r="E648" s="15" t="str">
        <x:v>Property investor / operator inquiry</x:v>
      </x:c>
      <x:c r="F648" s="17" t="str">
        <x:v>New</x:v>
      </x:c>
      <x:c r="G648" s="24"/>
      <x:c r="H648" s="24" t="str">
        <x:v>+14172089990</x:v>
      </x:c>
      <x:c r="I648" s="24" t="str">
        <x:v>https://fastcashforhomes.biz/</x:v>
      </x:c>
      <x:c r="J648" s="16" t="str">
        <x:v>MO</x:v>
      </x:c>
      <x:c r="K648" s="16"/>
      <x:c r="L648" s="16" t="str">
        <x:v>Public property-business route; investor decision maker unconfirmed</x:v>
      </x:c>
      <x:c r="M648" s="16" t="str">
        <x:v>https://fastcashforhomes.biz/</x:v>
      </x:c>
      <x:c r="N648" s="16" t="str">
        <x:v>$100K-$500K ticket not published / unconfirmed</x:v>
      </x:c>
      <x:c r="O648" s="20"/>
      <x:c r="P648" s="20"/>
      <x:c r="Q648" s="25" t="str">
        <x:v>No direct corporate-capital range established in checked source</x:v>
      </x:c>
      <x:c r="R648" s="25" t="str">
        <x:v>Property acquisition or investor activity makes this an operator-capital prospect for the signed trial. Confirm operating-company debt/equity appetite.</x:v>
      </x:c>
      <x:c r="S648" s="25"/>
      <x:c r="T648" s="25" t="str">
        <x:v>Ask the owner/investor whether they can allocate $100K-$500K to trial marketing and acquisitions, and confirm structure, timing and decision authority.</x:v>
      </x:c>
      <x:c r="U648" s="25" t="str">
        <x:v>https://www.cashhomebuyersdirectory.com/cash-home-buyers/missouri/joplin</x:v>
      </x:c>
      <x:c r="V648" s="26" t="d">
        <x:v>2026-10-02T00:00:00.000Z</x:v>
      </x:c>
      <x:c r="W648" s="26" t="d">
        <x:v>2026-10-02T00:00:00.000Z</x:v>
      </x:c>
      <x:c r="X648" s="25" t="str">
        <x:v>CashHomeBuyersDirectory third-party business listing; first-party business activity not checked in this batch</x:v>
      </x:c>
      <x:c r="Y648" s="25"/>
      <x:c r="Z648" s="25" t="str">
        <x:v>https://www.cashhomebuyersdirectory.com/cash-home-buyers/missouri/joplin</x:v>
      </x:c>
      <x:c r="AA648" s="25" t="str">
        <x:v>Public cash-home-buyer directory lists the business name, business phone/website where available and market. Operator role and corporate funding willingness require confirmation.</x:v>
      </x:c>
      <x:c r="AB648" s="3" t="str">
        <x:v>New public-source collection</x:v>
      </x:c>
      <x:c r="AC648" s="3" t="str">
        <x:v>unverified</x:v>
      </x:c>
      <x:c r="AD648" s="3" t="str">
        <x:v>Not contacted / unconfirmed</x:v>
      </x:c>
      <x:c r="AE648" s="3" t="str">
        <x:v>No</x:v>
      </x:c>
      <x:c r="AF648" s="3" t="str">
        <x:v>No</x:v>
      </x:c>
      <x:c r="AG648" s="3"/>
      <x:c r="AH648" s="3"/>
      <x:c r="AI648" s="18"/>
      <x:c r="AJ648" s="3" t="str">
        <x:v>CF2500-C447858E689F</x:v>
      </x:c>
      <x:c r="AK648" s="3" t="str">
        <x:v>real_estate_operator</x:v>
      </x:c>
      <x:c r="AL648" s="19" t="n">
        <x:v>100000</x:v>
      </x:c>
      <x:c r="AM648" s="19" t="n">
        <x:v>500000</x:v>
      </x:c>
      <x:c r="AN648" s="3" t="str">
        <x:v>https://www.cashhomebuyersdirectory.com/cash-home-buyers/missouri/joplin</x:v>
      </x:c>
      <x:c r="AO648" s="3" t="str">
        <x:v>national_rest_directory_complete.jsonl</x:v>
      </x:c>
      <x:c r="AP648" s="19"/>
    </x:row>
    <x:row r="649" ht="36" customHeight="1">
      <x:c r="A649" s="23" t="n">
        <x:v>648</x:v>
      </x:c>
      <x:c r="B649" s="15" t="str">
        <x:v>Kansas Cash For Homes</x:v>
      </x:c>
      <x:c r="C649" s="15"/>
      <x:c r="D649" s="15" t="str">
        <x:v>Property investor / home-buying operator</x:v>
      </x:c>
      <x:c r="E649" s="15" t="str">
        <x:v>Property investor / operator inquiry</x:v>
      </x:c>
      <x:c r="F649" s="17" t="str">
        <x:v>New</x:v>
      </x:c>
      <x:c r="G649" s="24"/>
      <x:c r="H649" s="24" t="str">
        <x:v>+13162029669</x:v>
      </x:c>
      <x:c r="I649" s="24" t="str">
        <x:v>https://www.kansascashforhomes.com/</x:v>
      </x:c>
      <x:c r="J649" s="16" t="str">
        <x:v>KS</x:v>
      </x:c>
      <x:c r="K649" s="16" t="str">
        <x:v>Wichita</x:v>
      </x:c>
      <x:c r="L649" s="16" t="str">
        <x:v>Public property-business route; investor decision maker unconfirmed</x:v>
      </x:c>
      <x:c r="M649" s="16" t="str">
        <x:v>https://www.kansascashforhomes.com/</x:v>
      </x:c>
      <x:c r="N649" s="16" t="str">
        <x:v>$100K-$500K ticket not published / unconfirmed</x:v>
      </x:c>
      <x:c r="O649" s="20"/>
      <x:c r="P649" s="20"/>
      <x:c r="Q649" s="25" t="str">
        <x:v>No direct corporate-capital range established in checked source</x:v>
      </x:c>
      <x:c r="R649" s="25" t="str">
        <x:v>Property acquisition or investor activity makes this an operator-capital prospect for the signed trial. Confirm operating-company debt/equity appetite.</x:v>
      </x:c>
      <x:c r="S649" s="25"/>
      <x:c r="T649" s="25" t="str">
        <x:v>Ask the owner/investor whether they can allocate $100K-$500K to trial marketing and acquisitions, and confirm structure, timing and decision authority.</x:v>
      </x:c>
      <x:c r="U649" s="25" t="str">
        <x:v>https://www.cashhomebuyersdirectory.com/cash-home-buyers/kansas/wichita</x:v>
      </x:c>
      <x:c r="V649" s="26" t="d">
        <x:v>2026-10-02T00:00:00.000Z</x:v>
      </x:c>
      <x:c r="W649" s="26" t="d">
        <x:v>2026-10-02T00:00:00.000Z</x:v>
      </x:c>
      <x:c r="X649" s="25" t="str">
        <x:v>CashHomeBuyersDirectory third-party business listing; first-party business activity not checked in this batch</x:v>
      </x:c>
      <x:c r="Y649" s="25"/>
      <x:c r="Z649" s="25" t="str">
        <x:v>https://www.cashhomebuyersdirectory.com/cash-home-buyers/kansas/wichita</x:v>
      </x:c>
      <x:c r="AA649" s="25" t="str">
        <x:v>Public cash-home-buyer directory lists the business name, business phone/website where available and market. Operator role and corporate funding willingness require confirmation.</x:v>
      </x:c>
      <x:c r="AB649" s="3" t="str">
        <x:v>New public-source collection</x:v>
      </x:c>
      <x:c r="AC649" s="3" t="str">
        <x:v>unverified</x:v>
      </x:c>
      <x:c r="AD649" s="3" t="str">
        <x:v>Not contacted / unconfirmed</x:v>
      </x:c>
      <x:c r="AE649" s="3" t="str">
        <x:v>No</x:v>
      </x:c>
      <x:c r="AF649" s="3" t="str">
        <x:v>No</x:v>
      </x:c>
      <x:c r="AG649" s="3"/>
      <x:c r="AH649" s="3"/>
      <x:c r="AI649" s="18"/>
      <x:c r="AJ649" s="3" t="str">
        <x:v>CF2500-0EA5878B2213</x:v>
      </x:c>
      <x:c r="AK649" s="3" t="str">
        <x:v>real_estate_operator</x:v>
      </x:c>
      <x:c r="AL649" s="19" t="n">
        <x:v>100000</x:v>
      </x:c>
      <x:c r="AM649" s="19" t="n">
        <x:v>500000</x:v>
      </x:c>
      <x:c r="AN649" s="3" t="str">
        <x:v>https://www.cashhomebuyersdirectory.com/cash-home-buyers/kansas/wichita</x:v>
      </x:c>
      <x:c r="AO649" s="3" t="str">
        <x:v>national_rest_directory_complete.jsonl</x:v>
      </x:c>
      <x:c r="AP649" s="19"/>
    </x:row>
    <x:row r="650" ht="36" customHeight="1">
      <x:c r="A650" s="23" t="n">
        <x:v>649</x:v>
      </x:c>
      <x:c r="B650" s="15" t="str">
        <x:v>KC Home Buyer Group</x:v>
      </x:c>
      <x:c r="C650" s="15"/>
      <x:c r="D650" s="15" t="str">
        <x:v>Property investor / home-buying operator</x:v>
      </x:c>
      <x:c r="E650" s="15" t="str">
        <x:v>Property investor / operator inquiry</x:v>
      </x:c>
      <x:c r="F650" s="17" t="str">
        <x:v>New</x:v>
      </x:c>
      <x:c r="G650" s="24"/>
      <x:c r="H650" s="24" t="str">
        <x:v>+18163076146</x:v>
      </x:c>
      <x:c r="I650" s="24" t="str">
        <x:v>https://selltohouseguys.com/independence-mo/?utm_source=google&amp;utm_medium=local&amp;utm_campaign=gbp</x:v>
      </x:c>
      <x:c r="J650" s="16" t="str">
        <x:v>MO</x:v>
      </x:c>
      <x:c r="K650" s="16" t="str">
        <x:v>Independence</x:v>
      </x:c>
      <x:c r="L650" s="16" t="str">
        <x:v>Public property-business route; investor decision maker unconfirmed</x:v>
      </x:c>
      <x:c r="M650" s="16" t="str">
        <x:v>https://selltohouseguys.com/independence-mo/?utm_source=google&amp;utm_medium=local&amp;utm_campaign=gbp</x:v>
      </x:c>
      <x:c r="N650" s="16" t="str">
        <x:v>$100K-$500K ticket not published / unconfirmed</x:v>
      </x:c>
      <x:c r="O650" s="20"/>
      <x:c r="P650" s="20"/>
      <x:c r="Q650" s="25" t="str">
        <x:v>No direct corporate-capital range established in checked source</x:v>
      </x:c>
      <x:c r="R650" s="25" t="str">
        <x:v>Property acquisition or investor activity makes this an operator-capital prospect for the signed trial. Confirm operating-company debt/equity appetite.</x:v>
      </x:c>
      <x:c r="S650" s="25"/>
      <x:c r="T650" s="25" t="str">
        <x:v>Ask the owner/investor whether they can allocate $100K-$500K to trial marketing and acquisitions, and confirm structure, timing and decision authority.</x:v>
      </x:c>
      <x:c r="U650" s="25" t="str">
        <x:v>https://www.cashhomebuyersdirectory.com/cash-home-buyers/missouri/independence
https://www.cashhomebuyersdirectory.com/cash-home-buyers/missouri/kansas-city</x:v>
      </x:c>
      <x:c r="V650" s="26" t="d">
        <x:v>2026-10-02T00:00:00.000Z</x:v>
      </x:c>
      <x:c r="W650" s="26" t="d">
        <x:v>2026-10-02T00:00:00.000Z</x:v>
      </x:c>
      <x:c r="X650" s="25" t="str">
        <x:v>CashHomeBuyersDirectory third-party business listing; first-party business activity not checked in this batch</x:v>
      </x:c>
      <x:c r="Y650" s="25"/>
      <x:c r="Z650" s="25" t="str">
        <x:v>https://www.cashhomebuyersdirectory.com/cash-home-buyers/missouri/independence</x:v>
      </x:c>
      <x:c r="AA650" s="25" t="str">
        <x:v>Public cash-home-buyer directory lists the business name, business phone/website where available and market. Operator role and corporate funding willingness require confirmation.</x:v>
      </x:c>
      <x:c r="AB650" s="3" t="str">
        <x:v>New public-source collection</x:v>
      </x:c>
      <x:c r="AC650" s="3" t="str">
        <x:v>unverified</x:v>
      </x:c>
      <x:c r="AD650" s="3" t="str">
        <x:v>Not contacted / unconfirmed</x:v>
      </x:c>
      <x:c r="AE650" s="3" t="str">
        <x:v>No</x:v>
      </x:c>
      <x:c r="AF650" s="3" t="str">
        <x:v>No</x:v>
      </x:c>
      <x:c r="AG650" s="3"/>
      <x:c r="AH650" s="3"/>
      <x:c r="AI650" s="18"/>
      <x:c r="AJ650" s="3" t="str">
        <x:v>CF2500-1CA961A9E955</x:v>
      </x:c>
      <x:c r="AK650" s="3" t="str">
        <x:v>real_estate_operator</x:v>
      </x:c>
      <x:c r="AL650" s="19" t="n">
        <x:v>100000</x:v>
      </x:c>
      <x:c r="AM650" s="19" t="n">
        <x:v>500000</x:v>
      </x:c>
      <x:c r="AN650" s="3" t="str">
        <x:v>https://www.cashhomebuyersdirectory.com/cash-home-buyers/missouri/independence</x:v>
      </x:c>
      <x:c r="AO650" s="3" t="str">
        <x:v>national_rest_directory_complete.jsonl</x:v>
      </x:c>
      <x:c r="AP650" s="19"/>
    </x:row>
    <x:row r="651" ht="36" customHeight="1">
      <x:c r="A651" s="23" t="n">
        <x:v>650</x:v>
      </x:c>
      <x:c r="B651" s="15" t="str">
        <x:v>Kindred Home Buyers</x:v>
      </x:c>
      <x:c r="C651" s="15"/>
      <x:c r="D651" s="15" t="str">
        <x:v>Property investor / home-buying operator</x:v>
      </x:c>
      <x:c r="E651" s="15" t="str">
        <x:v>Property investor / operator inquiry</x:v>
      </x:c>
      <x:c r="F651" s="17" t="str">
        <x:v>New</x:v>
      </x:c>
      <x:c r="G651" s="24"/>
      <x:c r="H651" s="24" t="str">
        <x:v>+16152954035</x:v>
      </x:c>
      <x:c r="I651" s="24" t="str">
        <x:v>http://www.kindredhomebuyers.com/</x:v>
      </x:c>
      <x:c r="J651" s="16" t="str">
        <x:v>TN</x:v>
      </x:c>
      <x:c r="K651" s="16"/>
      <x:c r="L651" s="16" t="str">
        <x:v>Public property-business route; investor decision maker unconfirmed</x:v>
      </x:c>
      <x:c r="M651" s="16" t="str">
        <x:v>http://www.kindredhomebuyers.com/</x:v>
      </x:c>
      <x:c r="N651" s="16" t="str">
        <x:v>$100K-$500K ticket not published / unconfirmed</x:v>
      </x:c>
      <x:c r="O651" s="20"/>
      <x:c r="P651" s="20"/>
      <x:c r="Q651" s="25" t="str">
        <x:v>No direct corporate-capital range established in checked source</x:v>
      </x:c>
      <x:c r="R651" s="25" t="str">
        <x:v>Property acquisition or investor activity makes this an operator-capital prospect for the signed trial. Confirm operating-company debt/equity appetite.</x:v>
      </x:c>
      <x:c r="S651" s="25"/>
      <x:c r="T651" s="25" t="str">
        <x:v>Ask the owner/investor whether they can allocate $100K-$500K to trial marketing and acquisitions, and confirm structure, timing and decision authority.</x:v>
      </x:c>
      <x:c r="U651" s="25" t="str">
        <x:v>https://www.cashhomebuyersdirectory.com/cash-home-buyers/tennessee/murfreesboro</x:v>
      </x:c>
      <x:c r="V651" s="26" t="d">
        <x:v>2026-10-02T00:00:00.000Z</x:v>
      </x:c>
      <x:c r="W651" s="26" t="d">
        <x:v>2026-10-02T00:00:00.000Z</x:v>
      </x:c>
      <x:c r="X651" s="25" t="str">
        <x:v>CashHomeBuyersDirectory third-party business listing; first-party business activity not checked in this batch</x:v>
      </x:c>
      <x:c r="Y651" s="25"/>
      <x:c r="Z651" s="25" t="str">
        <x:v>https://www.cashhomebuyersdirectory.com/cash-home-buyers/tennessee/murfreesboro</x:v>
      </x:c>
      <x:c r="AA651" s="25" t="str">
        <x:v>Public cash-home-buyer directory lists the business name, business phone/website where available and market. Operator role and corporate funding willingness require confirmation.</x:v>
      </x:c>
      <x:c r="AB651" s="3" t="str">
        <x:v>New public-source collection</x:v>
      </x:c>
      <x:c r="AC651" s="3" t="str">
        <x:v>unverified</x:v>
      </x:c>
      <x:c r="AD651" s="3" t="str">
        <x:v>Not contacted / unconfirmed</x:v>
      </x:c>
      <x:c r="AE651" s="3" t="str">
        <x:v>No</x:v>
      </x:c>
      <x:c r="AF651" s="3" t="str">
        <x:v>No</x:v>
      </x:c>
      <x:c r="AG651" s="3"/>
      <x:c r="AH651" s="3"/>
      <x:c r="AI651" s="18"/>
      <x:c r="AJ651" s="3" t="str">
        <x:v>CF2500-F95858CCCC6D</x:v>
      </x:c>
      <x:c r="AK651" s="3" t="str">
        <x:v>real_estate_operator</x:v>
      </x:c>
      <x:c r="AL651" s="19" t="n">
        <x:v>100000</x:v>
      </x:c>
      <x:c r="AM651" s="19" t="n">
        <x:v>500000</x:v>
      </x:c>
      <x:c r="AN651" s="3" t="str">
        <x:v>https://www.cashhomebuyersdirectory.com/cash-home-buyers/tennessee/murfreesboro</x:v>
      </x:c>
      <x:c r="AO651" s="3" t="str">
        <x:v>national_rest_directory_complete.jsonl</x:v>
      </x:c>
      <x:c r="AP651" s="19"/>
    </x:row>
    <x:row r="652" ht="36" customHeight="1">
      <x:c r="A652" s="23" t="n">
        <x:v>651</x:v>
      </x:c>
      <x:c r="B652" s="15" t="str">
        <x:v>Knox Home Buyers</x:v>
      </x:c>
      <x:c r="C652" s="15"/>
      <x:c r="D652" s="15" t="str">
        <x:v>Property investor / home-buying operator</x:v>
      </x:c>
      <x:c r="E652" s="15" t="str">
        <x:v>Property investor / operator inquiry</x:v>
      </x:c>
      <x:c r="F652" s="17" t="str">
        <x:v>New</x:v>
      </x:c>
      <x:c r="G652" s="24"/>
      <x:c r="H652" s="24" t="str">
        <x:v>+18652539995</x:v>
      </x:c>
      <x:c r="I652" s="24" t="str">
        <x:v>https://knoxhomebuyers.com/</x:v>
      </x:c>
      <x:c r="J652" s="16" t="str">
        <x:v>TN</x:v>
      </x:c>
      <x:c r="K652" s="16" t="str">
        <x:v>Knoxville</x:v>
      </x:c>
      <x:c r="L652" s="16" t="str">
        <x:v>Public property-business route; investor decision maker unconfirmed</x:v>
      </x:c>
      <x:c r="M652" s="16" t="str">
        <x:v>https://knoxhomebuyers.com/</x:v>
      </x:c>
      <x:c r="N652" s="16" t="str">
        <x:v>$100K-$500K ticket not published / unconfirmed</x:v>
      </x:c>
      <x:c r="O652" s="20"/>
      <x:c r="P652" s="20"/>
      <x:c r="Q652" s="25" t="str">
        <x:v>No direct corporate-capital range established in checked source</x:v>
      </x:c>
      <x:c r="R652" s="25" t="str">
        <x:v>Property acquisition or investor activity makes this an operator-capital prospect for the signed trial. Confirm operating-company debt/equity appetite.</x:v>
      </x:c>
      <x:c r="S652" s="25"/>
      <x:c r="T652" s="25" t="str">
        <x:v>Ask the owner/investor whether they can allocate $100K-$500K to trial marketing and acquisitions, and confirm structure, timing and decision authority.</x:v>
      </x:c>
      <x:c r="U652" s="25" t="str">
        <x:v>https://www.cashhomebuyersdirectory.com/cash-home-buyers/tennessee/knoxville</x:v>
      </x:c>
      <x:c r="V652" s="26" t="d">
        <x:v>2026-10-02T00:00:00.000Z</x:v>
      </x:c>
      <x:c r="W652" s="26" t="d">
        <x:v>2026-10-02T00:00:00.000Z</x:v>
      </x:c>
      <x:c r="X652" s="25" t="str">
        <x:v>CashHomeBuyersDirectory third-party business listing; first-party business activity not checked in this batch</x:v>
      </x:c>
      <x:c r="Y652" s="25"/>
      <x:c r="Z652" s="25" t="str">
        <x:v>https://www.cashhomebuyersdirectory.com/cash-home-buyers/tennessee/knoxville</x:v>
      </x:c>
      <x:c r="AA652" s="25" t="str">
        <x:v>Public cash-home-buyer directory lists the business name, business phone/website where available and market. Operator role and corporate funding willingness require confirmation.</x:v>
      </x:c>
      <x:c r="AB652" s="3" t="str">
        <x:v>New public-source collection</x:v>
      </x:c>
      <x:c r="AC652" s="3" t="str">
        <x:v>unverified</x:v>
      </x:c>
      <x:c r="AD652" s="3" t="str">
        <x:v>Not contacted / unconfirmed</x:v>
      </x:c>
      <x:c r="AE652" s="3" t="str">
        <x:v>No</x:v>
      </x:c>
      <x:c r="AF652" s="3" t="str">
        <x:v>No</x:v>
      </x:c>
      <x:c r="AG652" s="3"/>
      <x:c r="AH652" s="3"/>
      <x:c r="AI652" s="18"/>
      <x:c r="AJ652" s="3" t="str">
        <x:v>CF2500-47B4D8EAD0E7</x:v>
      </x:c>
      <x:c r="AK652" s="3" t="str">
        <x:v>real_estate_operator</x:v>
      </x:c>
      <x:c r="AL652" s="19" t="n">
        <x:v>100000</x:v>
      </x:c>
      <x:c r="AM652" s="19" t="n">
        <x:v>500000</x:v>
      </x:c>
      <x:c r="AN652" s="3" t="str">
        <x:v>https://www.cashhomebuyersdirectory.com/cash-home-buyers/tennessee/knoxville</x:v>
      </x:c>
      <x:c r="AO652" s="3" t="str">
        <x:v>national_rest_directory_complete.jsonl</x:v>
      </x:c>
      <x:c r="AP652" s="19"/>
    </x:row>
    <x:row r="653" ht="36" customHeight="1">
      <x:c r="A653" s="23" t="n">
        <x:v>652</x:v>
      </x:c>
      <x:c r="B653" s="15" t="str">
        <x:v>Legacy Home Buyers</x:v>
      </x:c>
      <x:c r="C653" s="15"/>
      <x:c r="D653" s="15" t="str">
        <x:v>Property investor / home-buying operator</x:v>
      </x:c>
      <x:c r="E653" s="15" t="str">
        <x:v>Property investor / operator inquiry</x:v>
      </x:c>
      <x:c r="F653" s="17" t="str">
        <x:v>New</x:v>
      </x:c>
      <x:c r="G653" s="24"/>
      <x:c r="H653" s="24" t="str">
        <x:v>+13179338628</x:v>
      </x:c>
      <x:c r="I653" s="24" t="str">
        <x:v>https://www.lhbindy.com/</x:v>
      </x:c>
      <x:c r="J653" s="16" t="str">
        <x:v>IN</x:v>
      </x:c>
      <x:c r="K653" s="16" t="str">
        <x:v>Indianapolis</x:v>
      </x:c>
      <x:c r="L653" s="16" t="str">
        <x:v>Public property-business route; investor decision maker unconfirmed</x:v>
      </x:c>
      <x:c r="M653" s="16" t="str">
        <x:v>https://www.lhbindy.com/</x:v>
      </x:c>
      <x:c r="N653" s="16" t="str">
        <x:v>$100K-$500K ticket not published / unconfirmed</x:v>
      </x:c>
      <x:c r="O653" s="20"/>
      <x:c r="P653" s="20"/>
      <x:c r="Q653" s="25" t="str">
        <x:v>No direct corporate-capital range established in checked source</x:v>
      </x:c>
      <x:c r="R653" s="25" t="str">
        <x:v>Property acquisition or investor activity makes this an operator-capital prospect for the signed trial. Confirm operating-company debt/equity appetite.</x:v>
      </x:c>
      <x:c r="S653" s="25"/>
      <x:c r="T653" s="25" t="str">
        <x:v>Ask the owner/investor whether they can allocate $100K-$500K to trial marketing and acquisitions, and confirm structure, timing and decision authority.</x:v>
      </x:c>
      <x:c r="U653" s="25" t="str">
        <x:v>https://www.cashhomebuyersdirectory.com/cash-home-buyers/indiana/indianapolis</x:v>
      </x:c>
      <x:c r="V653" s="26" t="d">
        <x:v>2026-10-02T00:00:00.000Z</x:v>
      </x:c>
      <x:c r="W653" s="26" t="d">
        <x:v>2026-10-02T00:00:00.000Z</x:v>
      </x:c>
      <x:c r="X653" s="25" t="str">
        <x:v>CashHomeBuyersDirectory third-party business listing; first-party business activity not checked in this batch</x:v>
      </x:c>
      <x:c r="Y653" s="25"/>
      <x:c r="Z653" s="25" t="str">
        <x:v>https://www.cashhomebuyersdirectory.com/cash-home-buyers/indiana/indianapolis</x:v>
      </x:c>
      <x:c r="AA653" s="25" t="str">
        <x:v>Public cash-home-buyer directory lists the business name, business phone/website where available and market. Operator role and corporate funding willingness require confirmation.</x:v>
      </x:c>
      <x:c r="AB653" s="3" t="str">
        <x:v>New public-source collection</x:v>
      </x:c>
      <x:c r="AC653" s="3" t="str">
        <x:v>unverified</x:v>
      </x:c>
      <x:c r="AD653" s="3" t="str">
        <x:v>Not contacted / unconfirmed</x:v>
      </x:c>
      <x:c r="AE653" s="3" t="str">
        <x:v>No</x:v>
      </x:c>
      <x:c r="AF653" s="3" t="str">
        <x:v>No</x:v>
      </x:c>
      <x:c r="AG653" s="3"/>
      <x:c r="AH653" s="3" t="str">
        <x:v>Legacy Home Buyers LLC</x:v>
      </x:c>
      <x:c r="AI653" s="18"/>
      <x:c r="AJ653" s="3" t="str">
        <x:v>CF2500-A05516507CBC</x:v>
      </x:c>
      <x:c r="AK653" s="3" t="str">
        <x:v>real_estate_operator</x:v>
      </x:c>
      <x:c r="AL653" s="19" t="n">
        <x:v>100000</x:v>
      </x:c>
      <x:c r="AM653" s="19" t="n">
        <x:v>500000</x:v>
      </x:c>
      <x:c r="AN653" s="3" t="str">
        <x:v>https://www.cashhomebuyersdirectory.com/cash-home-buyers/indiana/indianapolis</x:v>
      </x:c>
      <x:c r="AO653" s="3" t="str">
        <x:v>national_rest_directory_complete.jsonl</x:v>
      </x:c>
      <x:c r="AP653" s="19"/>
    </x:row>
    <x:row r="654" ht="36" customHeight="1">
      <x:c r="A654" s="23" t="n">
        <x:v>653</x:v>
      </x:c>
      <x:c r="B654" s="15" t="str">
        <x:v>Liberty House Buyer</x:v>
      </x:c>
      <x:c r="C654" s="15"/>
      <x:c r="D654" s="15" t="str">
        <x:v>Property investor / home-buying operator</x:v>
      </x:c>
      <x:c r="E654" s="15" t="str">
        <x:v>Property investor / operator inquiry</x:v>
      </x:c>
      <x:c r="F654" s="17" t="str">
        <x:v>New</x:v>
      </x:c>
      <x:c r="G654" s="24"/>
      <x:c r="H654" s="24" t="str">
        <x:v>+19183282290</x:v>
      </x:c>
      <x:c r="I654" s="24" t="str">
        <x:v>https://www.libertyhousebuyer.com/</x:v>
      </x:c>
      <x:c r="J654" s="16" t="str">
        <x:v>OK</x:v>
      </x:c>
      <x:c r="K654" s="16" t="str">
        <x:v>Tulsa</x:v>
      </x:c>
      <x:c r="L654" s="16" t="str">
        <x:v>Public property-business route; investor decision maker unconfirmed</x:v>
      </x:c>
      <x:c r="M654" s="16" t="str">
        <x:v>https://www.libertyhousebuyer.com/</x:v>
      </x:c>
      <x:c r="N654" s="16" t="str">
        <x:v>$100K-$500K ticket not published / unconfirmed</x:v>
      </x:c>
      <x:c r="O654" s="20"/>
      <x:c r="P654" s="20"/>
      <x:c r="Q654" s="25" t="str">
        <x:v>No direct corporate-capital range established in checked source</x:v>
      </x:c>
      <x:c r="R654" s="25" t="str">
        <x:v>Property acquisition or investor activity makes this an operator-capital prospect for the signed trial. Confirm operating-company debt/equity appetite.</x:v>
      </x:c>
      <x:c r="S654" s="25"/>
      <x:c r="T654" s="25" t="str">
        <x:v>Ask the owner/investor whether they can allocate $100K-$500K to trial marketing and acquisitions, and confirm structure, timing and decision authority.</x:v>
      </x:c>
      <x:c r="U654" s="25" t="str">
        <x:v>https://www.cashhomebuyersdirectory.com/cash-home-buyers/oklahoma/tulsa</x:v>
      </x:c>
      <x:c r="V654" s="26" t="d">
        <x:v>2026-10-02T00:00:00.000Z</x:v>
      </x:c>
      <x:c r="W654" s="26" t="d">
        <x:v>2026-10-02T00:00:00.000Z</x:v>
      </x:c>
      <x:c r="X654" s="25" t="str">
        <x:v>CashHomeBuyersDirectory third-party business listing; first-party business activity not checked in this batch</x:v>
      </x:c>
      <x:c r="Y654" s="25"/>
      <x:c r="Z654" s="25" t="str">
        <x:v>https://www.cashhomebuyersdirectory.com/cash-home-buyers/oklahoma/tulsa</x:v>
      </x:c>
      <x:c r="AA654" s="25" t="str">
        <x:v>Public cash-home-buyer directory lists the business name, business phone/website where available and market. Operator role and corporate funding willingness require confirmation.</x:v>
      </x:c>
      <x:c r="AB654" s="3" t="str">
        <x:v>New public-source collection</x:v>
      </x:c>
      <x:c r="AC654" s="3" t="str">
        <x:v>unverified</x:v>
      </x:c>
      <x:c r="AD654" s="3" t="str">
        <x:v>Not contacted / unconfirmed</x:v>
      </x:c>
      <x:c r="AE654" s="3" t="str">
        <x:v>No</x:v>
      </x:c>
      <x:c r="AF654" s="3" t="str">
        <x:v>No</x:v>
      </x:c>
      <x:c r="AG654" s="3"/>
      <x:c r="AH654" s="3"/>
      <x:c r="AI654" s="18"/>
      <x:c r="AJ654" s="3" t="str">
        <x:v>CF2500-63CA06699E69</x:v>
      </x:c>
      <x:c r="AK654" s="3" t="str">
        <x:v>real_estate_operator</x:v>
      </x:c>
      <x:c r="AL654" s="19" t="n">
        <x:v>100000</x:v>
      </x:c>
      <x:c r="AM654" s="19" t="n">
        <x:v>500000</x:v>
      </x:c>
      <x:c r="AN654" s="3" t="str">
        <x:v>https://www.cashhomebuyersdirectory.com/cash-home-buyers/oklahoma/tulsa</x:v>
      </x:c>
      <x:c r="AO654" s="3" t="str">
        <x:v>national_rest_directory_complete.jsonl</x:v>
      </x:c>
      <x:c r="AP654" s="19"/>
    </x:row>
    <x:row r="655" ht="36" customHeight="1">
      <x:c r="A655" s="23" t="n">
        <x:v>654</x:v>
      </x:c>
      <x:c r="B655" s="15" t="str">
        <x:v>Ligon Investment Group</x:v>
      </x:c>
      <x:c r="C655" s="15"/>
      <x:c r="D655" s="15" t="str">
        <x:v>Property investor / home-buying operator</x:v>
      </x:c>
      <x:c r="E655" s="15" t="str">
        <x:v>Property investor / operator inquiry</x:v>
      </x:c>
      <x:c r="F655" s="17" t="str">
        <x:v>New</x:v>
      </x:c>
      <x:c r="G655" s="24"/>
      <x:c r="H655" s="24" t="str">
        <x:v>+18557332897</x:v>
      </x:c>
      <x:c r="I655" s="24" t="str">
        <x:v>https://www.theligongroup.com/</x:v>
      </x:c>
      <x:c r="J655" s="16" t="str">
        <x:v>TN</x:v>
      </x:c>
      <x:c r="K655" s="16" t="str">
        <x:v>Memphis</x:v>
      </x:c>
      <x:c r="L655" s="16" t="str">
        <x:v>Public property-business route; investor decision maker unconfirmed</x:v>
      </x:c>
      <x:c r="M655" s="16" t="str">
        <x:v>https://www.theligongroup.com/</x:v>
      </x:c>
      <x:c r="N655" s="16" t="str">
        <x:v>$100K-$500K ticket not published / unconfirmed</x:v>
      </x:c>
      <x:c r="O655" s="20"/>
      <x:c r="P655" s="20"/>
      <x:c r="Q655" s="25" t="str">
        <x:v>No direct corporate-capital range established in checked source</x:v>
      </x:c>
      <x:c r="R655" s="25" t="str">
        <x:v>Property acquisition or investor activity makes this an operator-capital prospect for the signed trial. Confirm operating-company debt/equity appetite.</x:v>
      </x:c>
      <x:c r="S655" s="25"/>
      <x:c r="T655" s="25" t="str">
        <x:v>Ask the owner/investor whether they can allocate $100K-$500K to trial marketing and acquisitions, and confirm structure, timing and decision authority.</x:v>
      </x:c>
      <x:c r="U655" s="25" t="str">
        <x:v>https://www.cashhomebuyersdirectory.com/cash-home-buyers/tennessee/memphis</x:v>
      </x:c>
      <x:c r="V655" s="26" t="d">
        <x:v>2026-10-02T00:00:00.000Z</x:v>
      </x:c>
      <x:c r="W655" s="26" t="d">
        <x:v>2026-10-02T00:00:00.000Z</x:v>
      </x:c>
      <x:c r="X655" s="25" t="str">
        <x:v>CashHomeBuyersDirectory third-party business listing; first-party business activity not checked in this batch</x:v>
      </x:c>
      <x:c r="Y655" s="25"/>
      <x:c r="Z655" s="25" t="str">
        <x:v>https://www.cashhomebuyersdirectory.com/cash-home-buyers/tennessee/memphis</x:v>
      </x:c>
      <x:c r="AA655" s="25" t="str">
        <x:v>Public cash-home-buyer directory lists the business name, business phone/website where available and market. Operator role and corporate funding willingness require confirmation.</x:v>
      </x:c>
      <x:c r="AB655" s="3" t="str">
        <x:v>New public-source collection</x:v>
      </x:c>
      <x:c r="AC655" s="3" t="str">
        <x:v>unverified</x:v>
      </x:c>
      <x:c r="AD655" s="3" t="str">
        <x:v>Not contacted / unconfirmed</x:v>
      </x:c>
      <x:c r="AE655" s="3" t="str">
        <x:v>No</x:v>
      </x:c>
      <x:c r="AF655" s="3" t="str">
        <x:v>No</x:v>
      </x:c>
      <x:c r="AG655" s="3"/>
      <x:c r="AH655" s="3"/>
      <x:c r="AI655" s="18"/>
      <x:c r="AJ655" s="3" t="str">
        <x:v>CF2500-D33BA645F326</x:v>
      </x:c>
      <x:c r="AK655" s="3" t="str">
        <x:v>real_estate_operator</x:v>
      </x:c>
      <x:c r="AL655" s="19" t="n">
        <x:v>100000</x:v>
      </x:c>
      <x:c r="AM655" s="19" t="n">
        <x:v>500000</x:v>
      </x:c>
      <x:c r="AN655" s="3" t="str">
        <x:v>https://www.cashhomebuyersdirectory.com/cash-home-buyers/tennessee/memphis</x:v>
      </x:c>
      <x:c r="AO655" s="3" t="str">
        <x:v>national_rest_directory_complete.jsonl</x:v>
      </x:c>
      <x:c r="AP655" s="19"/>
    </x:row>
    <x:row r="656" ht="36" customHeight="1">
      <x:c r="A656" s="23" t="n">
        <x:v>655</x:v>
      </x:c>
      <x:c r="B656" s="15" t="str">
        <x:v>Local Home Buyers</x:v>
      </x:c>
      <x:c r="C656" s="15"/>
      <x:c r="D656" s="15" t="str">
        <x:v>Property investor / home-buying operator</x:v>
      </x:c>
      <x:c r="E656" s="15" t="str">
        <x:v>Property investor / operator inquiry</x:v>
      </x:c>
      <x:c r="F656" s="17" t="str">
        <x:v>New</x:v>
      </x:c>
      <x:c r="G656" s="24"/>
      <x:c r="H656" s="24" t="str">
        <x:v>+12564641974</x:v>
      </x:c>
      <x:c r="I656" s="24" t="str">
        <x:v>https://www.localhomebuyersinc.com/?UTM_source=GBP_Listing&amp;UTM_medium=Organic</x:v>
      </x:c>
      <x:c r="J656" s="16" t="str">
        <x:v>AL</x:v>
      </x:c>
      <x:c r="K656" s="16" t="str">
        <x:v>Huntsville</x:v>
      </x:c>
      <x:c r="L656" s="16" t="str">
        <x:v>Public property-business route; investor decision maker unconfirmed</x:v>
      </x:c>
      <x:c r="M656" s="16" t="str">
        <x:v>https://www.localhomebuyersinc.com/?UTM_source=GBP_Listing&amp;UTM_medium=Organic</x:v>
      </x:c>
      <x:c r="N656" s="16" t="str">
        <x:v>$100K-$500K ticket not published / unconfirmed</x:v>
      </x:c>
      <x:c r="O656" s="20"/>
      <x:c r="P656" s="20"/>
      <x:c r="Q656" s="25" t="str">
        <x:v>No direct corporate-capital range established in checked source</x:v>
      </x:c>
      <x:c r="R656" s="25" t="str">
        <x:v>Property acquisition or investor activity makes this an operator-capital prospect for the signed trial. Confirm operating-company debt/equity appetite.</x:v>
      </x:c>
      <x:c r="S656" s="25"/>
      <x:c r="T656" s="25" t="str">
        <x:v>Ask the owner/investor whether they can allocate $100K-$500K to trial marketing and acquisitions, and confirm structure, timing and decision authority.</x:v>
      </x:c>
      <x:c r="U656" s="25" t="str">
        <x:v>https://www.cashhomebuyersdirectory.com/cash-home-buyers/alabama/huntsville</x:v>
      </x:c>
      <x:c r="V656" s="26" t="d">
        <x:v>2026-10-02T00:00:00.000Z</x:v>
      </x:c>
      <x:c r="W656" s="26" t="d">
        <x:v>2026-10-02T00:00:00.000Z</x:v>
      </x:c>
      <x:c r="X656" s="25" t="str">
        <x:v>CashHomeBuyersDirectory third-party business listing; first-party business activity not checked in this batch</x:v>
      </x:c>
      <x:c r="Y656" s="25"/>
      <x:c r="Z656" s="25" t="str">
        <x:v>https://www.cashhomebuyersdirectory.com/cash-home-buyers/alabama/huntsville</x:v>
      </x:c>
      <x:c r="AA656" s="25" t="str">
        <x:v>Public cash-home-buyer directory lists the business name, business phone/website where available and market. Operator role and corporate funding willingness require confirmation.</x:v>
      </x:c>
      <x:c r="AB656" s="3" t="str">
        <x:v>New public-source collection</x:v>
      </x:c>
      <x:c r="AC656" s="3" t="str">
        <x:v>unverified</x:v>
      </x:c>
      <x:c r="AD656" s="3" t="str">
        <x:v>Not contacted / unconfirmed</x:v>
      </x:c>
      <x:c r="AE656" s="3" t="str">
        <x:v>No</x:v>
      </x:c>
      <x:c r="AF656" s="3" t="str">
        <x:v>No</x:v>
      </x:c>
      <x:c r="AG656" s="3"/>
      <x:c r="AH656" s="3"/>
      <x:c r="AI656" s="18"/>
      <x:c r="AJ656" s="3" t="str">
        <x:v>CF2500-320A9DC72FF2</x:v>
      </x:c>
      <x:c r="AK656" s="3" t="str">
        <x:v>real_estate_operator</x:v>
      </x:c>
      <x:c r="AL656" s="19" t="n">
        <x:v>100000</x:v>
      </x:c>
      <x:c r="AM656" s="19" t="n">
        <x:v>500000</x:v>
      </x:c>
      <x:c r="AN656" s="3" t="str">
        <x:v>https://www.cashhomebuyersdirectory.com/cash-home-buyers/alabama/huntsville</x:v>
      </x:c>
      <x:c r="AO656" s="3" t="str">
        <x:v>national_rest_directory_complete.jsonl</x:v>
      </x:c>
      <x:c r="AP656" s="19"/>
    </x:row>
    <x:row r="657" ht="36" customHeight="1">
      <x:c r="A657" s="23" t="n">
        <x:v>656</x:v>
      </x:c>
      <x:c r="B657" s="15" t="str">
        <x:v>Local Key House Buyers - Sell My House Fast</x:v>
      </x:c>
      <x:c r="C657" s="15"/>
      <x:c r="D657" s="15" t="str">
        <x:v>Property investor / home-buying operator</x:v>
      </x:c>
      <x:c r="E657" s="15" t="str">
        <x:v>Property investor / operator inquiry</x:v>
      </x:c>
      <x:c r="F657" s="17" t="str">
        <x:v>New</x:v>
      </x:c>
      <x:c r="G657" s="24"/>
      <x:c r="H657" s="24" t="str">
        <x:v>+16787694544</x:v>
      </x:c>
      <x:c r="I657" s="24" t="str">
        <x:v>http://www.localkeyoffer.com/</x:v>
      </x:c>
      <x:c r="J657" s="16" t="str">
        <x:v>GA</x:v>
      </x:c>
      <x:c r="K657" s="16"/>
      <x:c r="L657" s="16" t="str">
        <x:v>Public property-business route; investor decision maker unconfirmed</x:v>
      </x:c>
      <x:c r="M657" s="16" t="str">
        <x:v>http://www.localkeyoffer.com/</x:v>
      </x:c>
      <x:c r="N657" s="16" t="str">
        <x:v>$100K-$500K ticket not published / unconfirmed</x:v>
      </x:c>
      <x:c r="O657" s="20"/>
      <x:c r="P657" s="20"/>
      <x:c r="Q657" s="25" t="str">
        <x:v>No direct corporate-capital range established in checked source</x:v>
      </x:c>
      <x:c r="R657" s="25" t="str">
        <x:v>Property acquisition or investor activity makes this an operator-capital prospect for the signed trial. Confirm operating-company debt/equity appetite.</x:v>
      </x:c>
      <x:c r="S657" s="25"/>
      <x:c r="T657" s="25" t="str">
        <x:v>Ask the owner/investor whether they can allocate $100K-$500K to trial marketing and acquisitions, and confirm structure, timing and decision authority.</x:v>
      </x:c>
      <x:c r="U657" s="25" t="str">
        <x:v>https://www.cashhomebuyersdirectory.com/cash-home-buyers/georgia/athens</x:v>
      </x:c>
      <x:c r="V657" s="26" t="d">
        <x:v>2026-10-02T00:00:00.000Z</x:v>
      </x:c>
      <x:c r="W657" s="26" t="d">
        <x:v>2026-10-02T00:00:00.000Z</x:v>
      </x:c>
      <x:c r="X657" s="25" t="str">
        <x:v>CashHomeBuyersDirectory third-party business listing; first-party business activity not checked in this batch</x:v>
      </x:c>
      <x:c r="Y657" s="25"/>
      <x:c r="Z657" s="25" t="str">
        <x:v>https://www.cashhomebuyersdirectory.com/cash-home-buyers/georgia/athens</x:v>
      </x:c>
      <x:c r="AA657" s="25" t="str">
        <x:v>Public cash-home-buyer directory lists the business name, business phone/website where available and market. Operator role and corporate funding willingness require confirmation.</x:v>
      </x:c>
      <x:c r="AB657" s="3" t="str">
        <x:v>New public-source collection</x:v>
      </x:c>
      <x:c r="AC657" s="3" t="str">
        <x:v>unverified</x:v>
      </x:c>
      <x:c r="AD657" s="3" t="str">
        <x:v>Not contacted / unconfirmed</x:v>
      </x:c>
      <x:c r="AE657" s="3" t="str">
        <x:v>No</x:v>
      </x:c>
      <x:c r="AF657" s="3" t="str">
        <x:v>No</x:v>
      </x:c>
      <x:c r="AG657" s="3"/>
      <x:c r="AH657" s="3"/>
      <x:c r="AI657" s="18"/>
      <x:c r="AJ657" s="3" t="str">
        <x:v>CF2500-46EB4AA94DD3</x:v>
      </x:c>
      <x:c r="AK657" s="3" t="str">
        <x:v>real_estate_operator</x:v>
      </x:c>
      <x:c r="AL657" s="19" t="n">
        <x:v>100000</x:v>
      </x:c>
      <x:c r="AM657" s="19" t="n">
        <x:v>500000</x:v>
      </x:c>
      <x:c r="AN657" s="3" t="str">
        <x:v>https://www.cashhomebuyersdirectory.com/cash-home-buyers/georgia/athens</x:v>
      </x:c>
      <x:c r="AO657" s="3" t="str">
        <x:v>national_rest_directory_complete.jsonl</x:v>
      </x:c>
      <x:c r="AP657" s="19"/>
    </x:row>
    <x:row r="658" ht="36" customHeight="1">
      <x:c r="A658" s="23" t="n">
        <x:v>657</x:v>
      </x:c>
      <x:c r="B658" s="15" t="str">
        <x:v>LOWCOUNTRY HOME BUYERS</x:v>
      </x:c>
      <x:c r="C658" s="15"/>
      <x:c r="D658" s="15" t="str">
        <x:v>Property investor / home-buying operator</x:v>
      </x:c>
      <x:c r="E658" s="15" t="str">
        <x:v>Property investor / operator inquiry</x:v>
      </x:c>
      <x:c r="F658" s="17" t="str">
        <x:v>New</x:v>
      </x:c>
      <x:c r="G658" s="24"/>
      <x:c r="H658" s="24" t="str">
        <x:v>+18433438080</x:v>
      </x:c>
      <x:c r="I658" s="24" t="str">
        <x:v>http://www.lowcountryhomebuyers.com/</x:v>
      </x:c>
      <x:c r="J658" s="16" t="str">
        <x:v>SC</x:v>
      </x:c>
      <x:c r="K658" s="16"/>
      <x:c r="L658" s="16" t="str">
        <x:v>Public property-business route; investor decision maker unconfirmed</x:v>
      </x:c>
      <x:c r="M658" s="16" t="str">
        <x:v>http://www.lowcountryhomebuyers.com/</x:v>
      </x:c>
      <x:c r="N658" s="16" t="str">
        <x:v>$100K-$500K ticket not published / unconfirmed</x:v>
      </x:c>
      <x:c r="O658" s="20"/>
      <x:c r="P658" s="20"/>
      <x:c r="Q658" s="25" t="str">
        <x:v>No direct corporate-capital range established in checked source</x:v>
      </x:c>
      <x:c r="R658" s="25" t="str">
        <x:v>Property acquisition or investor activity makes this an operator-capital prospect for the signed trial. Confirm operating-company debt/equity appetite.</x:v>
      </x:c>
      <x:c r="S658" s="25"/>
      <x:c r="T658" s="25" t="str">
        <x:v>Ask the owner/investor whether they can allocate $100K-$500K to trial marketing and acquisitions, and confirm structure, timing and decision authority.</x:v>
      </x:c>
      <x:c r="U658" s="25" t="str">
        <x:v>https://www.cashhomebuyersdirectory.com/cash-home-buyers/south-carolina/charleston</x:v>
      </x:c>
      <x:c r="V658" s="26" t="d">
        <x:v>2026-10-02T00:00:00.000Z</x:v>
      </x:c>
      <x:c r="W658" s="26" t="d">
        <x:v>2026-10-02T00:00:00.000Z</x:v>
      </x:c>
      <x:c r="X658" s="25" t="str">
        <x:v>CashHomeBuyersDirectory third-party business listing; first-party business activity not checked in this batch</x:v>
      </x:c>
      <x:c r="Y658" s="25"/>
      <x:c r="Z658" s="25" t="str">
        <x:v>https://www.cashhomebuyersdirectory.com/cash-home-buyers/south-carolina/charleston</x:v>
      </x:c>
      <x:c r="AA658" s="25" t="str">
        <x:v>Public cash-home-buyer directory lists the business name, business phone/website where available and market. Operator role and corporate funding willingness require confirmation.</x:v>
      </x:c>
      <x:c r="AB658" s="3" t="str">
        <x:v>New public-source collection</x:v>
      </x:c>
      <x:c r="AC658" s="3" t="str">
        <x:v>unverified</x:v>
      </x:c>
      <x:c r="AD658" s="3" t="str">
        <x:v>Not contacted / unconfirmed</x:v>
      </x:c>
      <x:c r="AE658" s="3" t="str">
        <x:v>No</x:v>
      </x:c>
      <x:c r="AF658" s="3" t="str">
        <x:v>No</x:v>
      </x:c>
      <x:c r="AG658" s="3"/>
      <x:c r="AH658" s="3"/>
      <x:c r="AI658" s="18"/>
      <x:c r="AJ658" s="3" t="str">
        <x:v>CF2500-658B393624BD</x:v>
      </x:c>
      <x:c r="AK658" s="3" t="str">
        <x:v>real_estate_operator</x:v>
      </x:c>
      <x:c r="AL658" s="19" t="n">
        <x:v>100000</x:v>
      </x:c>
      <x:c r="AM658" s="19" t="n">
        <x:v>500000</x:v>
      </x:c>
      <x:c r="AN658" s="3" t="str">
        <x:v>https://www.cashhomebuyersdirectory.com/cash-home-buyers/south-carolina/charleston</x:v>
      </x:c>
      <x:c r="AO658" s="3" t="str">
        <x:v>national_rest_directory_complete.jsonl</x:v>
      </x:c>
      <x:c r="AP658" s="19"/>
    </x:row>
    <x:row r="659" ht="36" customHeight="1">
      <x:c r="A659" s="23" t="n">
        <x:v>658</x:v>
      </x:c>
      <x:c r="B659" s="15" t="str">
        <x:v>Madison County House Buyers</x:v>
      </x:c>
      <x:c r="C659" s="15"/>
      <x:c r="D659" s="15" t="str">
        <x:v>Property investor / home-buying operator</x:v>
      </x:c>
      <x:c r="E659" s="15" t="str">
        <x:v>Property investor / operator inquiry</x:v>
      </x:c>
      <x:c r="F659" s="17" t="str">
        <x:v>New</x:v>
      </x:c>
      <x:c r="G659" s="24"/>
      <x:c r="H659" s="24" t="str">
        <x:v>+12566661256</x:v>
      </x:c>
      <x:c r="I659" s="24" t="str">
        <x:v>https://www.madisoncountyhousebuyers.com/?utm_source=Google&amp;utm_medium=SEO&amp;utm_campaign=GBP</x:v>
      </x:c>
      <x:c r="J659" s="16" t="str">
        <x:v>AL</x:v>
      </x:c>
      <x:c r="K659" s="16" t="str">
        <x:v>Birmingham</x:v>
      </x:c>
      <x:c r="L659" s="16" t="str">
        <x:v>Public property-business route; investor decision maker unconfirmed</x:v>
      </x:c>
      <x:c r="M659" s="16" t="str">
        <x:v>https://www.madisoncountyhousebuyers.com/?utm_source=Google&amp;utm_medium=SEO&amp;utm_campaign=GBP</x:v>
      </x:c>
      <x:c r="N659" s="16" t="str">
        <x:v>$100K-$500K ticket not published / unconfirmed</x:v>
      </x:c>
      <x:c r="O659" s="20"/>
      <x:c r="P659" s="20"/>
      <x:c r="Q659" s="25" t="str">
        <x:v>No direct corporate-capital range established in checked source</x:v>
      </x:c>
      <x:c r="R659" s="25" t="str">
        <x:v>Property acquisition or investor activity makes this an operator-capital prospect for the signed trial. Confirm operating-company debt/equity appetite.</x:v>
      </x:c>
      <x:c r="S659" s="25"/>
      <x:c r="T659" s="25" t="str">
        <x:v>Ask the owner/investor whether they can allocate $100K-$500K to trial marketing and acquisitions, and confirm structure, timing and decision authority.</x:v>
      </x:c>
      <x:c r="U659" s="25" t="str">
        <x:v>https://www.cashhomebuyersdirectory.com/cash-home-buyers/alabama/birmingham
https://www.cashhomebuyersdirectory.com/cash-home-buyers/alabama/huntsville</x:v>
      </x:c>
      <x:c r="V659" s="26" t="d">
        <x:v>2026-10-02T00:00:00.000Z</x:v>
      </x:c>
      <x:c r="W659" s="26" t="d">
        <x:v>2026-10-02T00:00:00.000Z</x:v>
      </x:c>
      <x:c r="X659" s="25" t="str">
        <x:v>CashHomeBuyersDirectory third-party business listing; first-party business activity not checked in this batch</x:v>
      </x:c>
      <x:c r="Y659" s="25"/>
      <x:c r="Z659" s="25" t="str">
        <x:v>https://www.cashhomebuyersdirectory.com/cash-home-buyers/alabama/birmingham</x:v>
      </x:c>
      <x:c r="AA659" s="25" t="str">
        <x:v>Public cash-home-buyer directory lists the business name, business phone/website where available and market. Operator role and corporate funding willingness require confirmation.</x:v>
      </x:c>
      <x:c r="AB659" s="3" t="str">
        <x:v>New public-source collection</x:v>
      </x:c>
      <x:c r="AC659" s="3" t="str">
        <x:v>unverified</x:v>
      </x:c>
      <x:c r="AD659" s="3" t="str">
        <x:v>Not contacted / unconfirmed</x:v>
      </x:c>
      <x:c r="AE659" s="3" t="str">
        <x:v>No</x:v>
      </x:c>
      <x:c r="AF659" s="3" t="str">
        <x:v>No</x:v>
      </x:c>
      <x:c r="AG659" s="3"/>
      <x:c r="AH659" s="3"/>
      <x:c r="AI659" s="18"/>
      <x:c r="AJ659" s="3" t="str">
        <x:v>CF2500-270C2460DBE6</x:v>
      </x:c>
      <x:c r="AK659" s="3" t="str">
        <x:v>real_estate_operator</x:v>
      </x:c>
      <x:c r="AL659" s="19" t="n">
        <x:v>100000</x:v>
      </x:c>
      <x:c r="AM659" s="19" t="n">
        <x:v>500000</x:v>
      </x:c>
      <x:c r="AN659" s="3" t="str">
        <x:v>https://www.cashhomebuyersdirectory.com/cash-home-buyers/alabama/birmingham</x:v>
      </x:c>
      <x:c r="AO659" s="3" t="str">
        <x:v>national_rest_directory_complete.jsonl</x:v>
      </x:c>
      <x:c r="AP659" s="19"/>
    </x:row>
    <x:row r="660" ht="36" customHeight="1">
      <x:c r="A660" s="23" t="n">
        <x:v>659</x:v>
      </x:c>
      <x:c r="B660" s="15" t="str">
        <x:v>MarKey Home Buyers</x:v>
      </x:c>
      <x:c r="C660" s="15"/>
      <x:c r="D660" s="15" t="str">
        <x:v>Property investor / home-buying operator</x:v>
      </x:c>
      <x:c r="E660" s="15" t="str">
        <x:v>Property investor / operator inquiry</x:v>
      </x:c>
      <x:c r="F660" s="17" t="str">
        <x:v>New</x:v>
      </x:c>
      <x:c r="G660" s="24"/>
      <x:c r="H660" s="24" t="str">
        <x:v>+16783435413</x:v>
      </x:c>
      <x:c r="I660" s="24" t="str">
        <x:v>http://www.markeyhomebuyers.com/</x:v>
      </x:c>
      <x:c r="J660" s="16" t="str">
        <x:v>GA</x:v>
      </x:c>
      <x:c r="K660" s="16" t="str">
        <x:v>Atlanta</x:v>
      </x:c>
      <x:c r="L660" s="16" t="str">
        <x:v>Public property-business route; investor decision maker unconfirmed</x:v>
      </x:c>
      <x:c r="M660" s="16" t="str">
        <x:v>http://www.markeyhomebuyers.com/</x:v>
      </x:c>
      <x:c r="N660" s="16" t="str">
        <x:v>$100K-$500K ticket not published / unconfirmed</x:v>
      </x:c>
      <x:c r="O660" s="20"/>
      <x:c r="P660" s="20"/>
      <x:c r="Q660" s="25" t="str">
        <x:v>No direct corporate-capital range established in checked source</x:v>
      </x:c>
      <x:c r="R660" s="25" t="str">
        <x:v>Property acquisition or investor activity makes this an operator-capital prospect for the signed trial. Confirm operating-company debt/equity appetite.</x:v>
      </x:c>
      <x:c r="S660" s="25"/>
      <x:c r="T660" s="25" t="str">
        <x:v>Ask the owner/investor whether they can allocate $100K-$500K to trial marketing and acquisitions, and confirm structure, timing and decision authority.</x:v>
      </x:c>
      <x:c r="U660" s="25" t="str">
        <x:v>https://www.cashhomebuyersdirectory.com/cash-home-buyers/georgia/atlanta</x:v>
      </x:c>
      <x:c r="V660" s="26" t="d">
        <x:v>2026-10-02T00:00:00.000Z</x:v>
      </x:c>
      <x:c r="W660" s="26" t="d">
        <x:v>2026-10-02T00:00:00.000Z</x:v>
      </x:c>
      <x:c r="X660" s="25" t="str">
        <x:v>CashHomeBuyersDirectory third-party business listing; first-party business activity not checked in this batch</x:v>
      </x:c>
      <x:c r="Y660" s="25"/>
      <x:c r="Z660" s="25" t="str">
        <x:v>https://www.cashhomebuyersdirectory.com/cash-home-buyers/georgia/atlanta</x:v>
      </x:c>
      <x:c r="AA660" s="25" t="str">
        <x:v>Public cash-home-buyer directory lists the business name, business phone/website where available and market. Operator role and corporate funding willingness require confirmation.</x:v>
      </x:c>
      <x:c r="AB660" s="3" t="str">
        <x:v>New public-source collection</x:v>
      </x:c>
      <x:c r="AC660" s="3" t="str">
        <x:v>unverified</x:v>
      </x:c>
      <x:c r="AD660" s="3" t="str">
        <x:v>Not contacted / unconfirmed</x:v>
      </x:c>
      <x:c r="AE660" s="3" t="str">
        <x:v>No</x:v>
      </x:c>
      <x:c r="AF660" s="3" t="str">
        <x:v>No</x:v>
      </x:c>
      <x:c r="AG660" s="3"/>
      <x:c r="AH660" s="3"/>
      <x:c r="AI660" s="18"/>
      <x:c r="AJ660" s="3" t="str">
        <x:v>CF2500-497C115E5302</x:v>
      </x:c>
      <x:c r="AK660" s="3" t="str">
        <x:v>real_estate_operator</x:v>
      </x:c>
      <x:c r="AL660" s="19" t="n">
        <x:v>100000</x:v>
      </x:c>
      <x:c r="AM660" s="19" t="n">
        <x:v>500000</x:v>
      </x:c>
      <x:c r="AN660" s="3" t="str">
        <x:v>https://www.cashhomebuyersdirectory.com/cash-home-buyers/georgia/atlanta</x:v>
      </x:c>
      <x:c r="AO660" s="3" t="str">
        <x:v>national_rest_directory_complete.jsonl</x:v>
      </x:c>
      <x:c r="AP660" s="19"/>
    </x:row>
    <x:row r="661" ht="36" customHeight="1">
      <x:c r="A661" s="23" t="n">
        <x:v>660</x:v>
      </x:c>
      <x:c r="B661" s="15" t="str">
        <x:v>Memphis Home Buyers</x:v>
      </x:c>
      <x:c r="C661" s="15"/>
      <x:c r="D661" s="15" t="str">
        <x:v>Property investor / home-buying operator</x:v>
      </x:c>
      <x:c r="E661" s="15" t="str">
        <x:v>Property investor / operator inquiry</x:v>
      </x:c>
      <x:c r="F661" s="17" t="str">
        <x:v>New</x:v>
      </x:c>
      <x:c r="G661" s="24"/>
      <x:c r="H661" s="24" t="str">
        <x:v>+19018288419</x:v>
      </x:c>
      <x:c r="I661" s="24" t="str">
        <x:v>http://memphishomebuyers.net/</x:v>
      </x:c>
      <x:c r="J661" s="16" t="str">
        <x:v>TN</x:v>
      </x:c>
      <x:c r="K661" s="16" t="str">
        <x:v>Memphis</x:v>
      </x:c>
      <x:c r="L661" s="16" t="str">
        <x:v>Public property-business route; investor decision maker unconfirmed</x:v>
      </x:c>
      <x:c r="M661" s="16" t="str">
        <x:v>http://memphishomebuyers.net/</x:v>
      </x:c>
      <x:c r="N661" s="16" t="str">
        <x:v>$100K-$500K ticket not published / unconfirmed</x:v>
      </x:c>
      <x:c r="O661" s="20"/>
      <x:c r="P661" s="20"/>
      <x:c r="Q661" s="25" t="str">
        <x:v>No direct corporate-capital range established in checked source</x:v>
      </x:c>
      <x:c r="R661" s="25" t="str">
        <x:v>Property acquisition or investor activity makes this an operator-capital prospect for the signed trial. Confirm operating-company debt/equity appetite.</x:v>
      </x:c>
      <x:c r="S661" s="25"/>
      <x:c r="T661" s="25" t="str">
        <x:v>Ask the owner/investor whether they can allocate $100K-$500K to trial marketing and acquisitions, and confirm structure, timing and decision authority.</x:v>
      </x:c>
      <x:c r="U661" s="25" t="str">
        <x:v>https://www.cashhomebuyersdirectory.com/cash-home-buyers/tennessee/memphis</x:v>
      </x:c>
      <x:c r="V661" s="26" t="d">
        <x:v>2026-10-02T00:00:00.000Z</x:v>
      </x:c>
      <x:c r="W661" s="26" t="d">
        <x:v>2026-10-02T00:00:00.000Z</x:v>
      </x:c>
      <x:c r="X661" s="25" t="str">
        <x:v>CashHomeBuyersDirectory third-party business listing; first-party business activity not checked in this batch</x:v>
      </x:c>
      <x:c r="Y661" s="25"/>
      <x:c r="Z661" s="25" t="str">
        <x:v>https://www.cashhomebuyersdirectory.com/cash-home-buyers/tennessee/memphis</x:v>
      </x:c>
      <x:c r="AA661" s="25" t="str">
        <x:v>Public cash-home-buyer directory lists the business name, business phone/website where available and market. Operator role and corporate funding willingness require confirmation.</x:v>
      </x:c>
      <x:c r="AB661" s="3" t="str">
        <x:v>New public-source collection</x:v>
      </x:c>
      <x:c r="AC661" s="3" t="str">
        <x:v>unverified</x:v>
      </x:c>
      <x:c r="AD661" s="3" t="str">
        <x:v>Not contacted / unconfirmed</x:v>
      </x:c>
      <x:c r="AE661" s="3" t="str">
        <x:v>No</x:v>
      </x:c>
      <x:c r="AF661" s="3" t="str">
        <x:v>No</x:v>
      </x:c>
      <x:c r="AG661" s="3"/>
      <x:c r="AH661" s="3"/>
      <x:c r="AI661" s="18"/>
      <x:c r="AJ661" s="3" t="str">
        <x:v>CF2500-8D5A4693D151</x:v>
      </x:c>
      <x:c r="AK661" s="3" t="str">
        <x:v>real_estate_operator</x:v>
      </x:c>
      <x:c r="AL661" s="19" t="n">
        <x:v>100000</x:v>
      </x:c>
      <x:c r="AM661" s="19" t="n">
        <x:v>500000</x:v>
      </x:c>
      <x:c r="AN661" s="3" t="str">
        <x:v>https://www.cashhomebuyersdirectory.com/cash-home-buyers/tennessee/memphis</x:v>
      </x:c>
      <x:c r="AO661" s="3" t="str">
        <x:v>national_rest_directory_complete.jsonl</x:v>
      </x:c>
      <x:c r="AP661" s="19"/>
    </x:row>
    <x:row r="662" ht="36" customHeight="1">
      <x:c r="A662" s="23" t="n">
        <x:v>661</x:v>
      </x:c>
      <x:c r="B662" s="15" t="str">
        <x:v>Memphis Investment Properties</x:v>
      </x:c>
      <x:c r="C662" s="15"/>
      <x:c r="D662" s="15" t="str">
        <x:v>Property investor / home-buying operator</x:v>
      </x:c>
      <x:c r="E662" s="15" t="str">
        <x:v>Property investor / operator inquiry</x:v>
      </x:c>
      <x:c r="F662" s="17" t="str">
        <x:v>New</x:v>
      </x:c>
      <x:c r="G662" s="24"/>
      <x:c r="H662" s="24" t="str">
        <x:v>+19013504335</x:v>
      </x:c>
      <x:c r="I662" s="24" t="str">
        <x:v>http://www.memphisinvestmentproperties.net/</x:v>
      </x:c>
      <x:c r="J662" s="16" t="str">
        <x:v>TN</x:v>
      </x:c>
      <x:c r="K662" s="16" t="str">
        <x:v>Memphis</x:v>
      </x:c>
      <x:c r="L662" s="16" t="str">
        <x:v>Public property-business route; investor decision maker unconfirmed</x:v>
      </x:c>
      <x:c r="M662" s="16" t="str">
        <x:v>http://www.memphisinvestmentproperties.net/</x:v>
      </x:c>
      <x:c r="N662" s="16" t="str">
        <x:v>$100K-$500K ticket not published / unconfirmed</x:v>
      </x:c>
      <x:c r="O662" s="20"/>
      <x:c r="P662" s="20"/>
      <x:c r="Q662" s="25" t="str">
        <x:v>No direct corporate-capital range established in checked source</x:v>
      </x:c>
      <x:c r="R662" s="25" t="str">
        <x:v>Property acquisition or investor activity makes this an operator-capital prospect for the signed trial. Confirm operating-company debt/equity appetite.</x:v>
      </x:c>
      <x:c r="S662" s="25"/>
      <x:c r="T662" s="25" t="str">
        <x:v>Ask the owner/investor whether they can allocate $100K-$500K to trial marketing and acquisitions, and confirm structure, timing and decision authority.</x:v>
      </x:c>
      <x:c r="U662" s="25" t="str">
        <x:v>https://www.cashhomebuyersdirectory.com/cash-home-buyers/tennessee/memphis</x:v>
      </x:c>
      <x:c r="V662" s="26" t="d">
        <x:v>2026-10-02T00:00:00.000Z</x:v>
      </x:c>
      <x:c r="W662" s="26" t="d">
        <x:v>2026-10-02T00:00:00.000Z</x:v>
      </x:c>
      <x:c r="X662" s="25" t="str">
        <x:v>CashHomeBuyersDirectory third-party business listing; first-party business activity not checked in this batch</x:v>
      </x:c>
      <x:c r="Y662" s="25"/>
      <x:c r="Z662" s="25" t="str">
        <x:v>https://www.cashhomebuyersdirectory.com/cash-home-buyers/tennessee/memphis</x:v>
      </x:c>
      <x:c r="AA662" s="25" t="str">
        <x:v>Public cash-home-buyer directory lists the business name, business phone/website where available and market. Operator role and corporate funding willingness require confirmation.</x:v>
      </x:c>
      <x:c r="AB662" s="3" t="str">
        <x:v>New public-source collection</x:v>
      </x:c>
      <x:c r="AC662" s="3" t="str">
        <x:v>unverified</x:v>
      </x:c>
      <x:c r="AD662" s="3" t="str">
        <x:v>Not contacted / unconfirmed</x:v>
      </x:c>
      <x:c r="AE662" s="3" t="str">
        <x:v>No</x:v>
      </x:c>
      <x:c r="AF662" s="3" t="str">
        <x:v>No</x:v>
      </x:c>
      <x:c r="AG662" s="3"/>
      <x:c r="AH662" s="3"/>
      <x:c r="AI662" s="18"/>
      <x:c r="AJ662" s="3" t="str">
        <x:v>CF2500-ECCFD6EF4FFA</x:v>
      </x:c>
      <x:c r="AK662" s="3" t="str">
        <x:v>real_estate_operator</x:v>
      </x:c>
      <x:c r="AL662" s="19" t="n">
        <x:v>100000</x:v>
      </x:c>
      <x:c r="AM662" s="19" t="n">
        <x:v>500000</x:v>
      </x:c>
      <x:c r="AN662" s="3" t="str">
        <x:v>https://www.cashhomebuyersdirectory.com/cash-home-buyers/tennessee/memphis</x:v>
      </x:c>
      <x:c r="AO662" s="3" t="str">
        <x:v>national_rest_directory_complete.jsonl</x:v>
      </x:c>
      <x:c r="AP662" s="19"/>
    </x:row>
    <x:row r="663" ht="36" customHeight="1">
      <x:c r="A663" s="23" t="n">
        <x:v>662</x:v>
      </x:c>
      <x:c r="B663" s="15" t="str">
        <x:v>Mid South Home Buyers</x:v>
      </x:c>
      <x:c r="C663" s="15"/>
      <x:c r="D663" s="15" t="str">
        <x:v>Property investor / home-buying operator</x:v>
      </x:c>
      <x:c r="E663" s="15" t="str">
        <x:v>Property investor / operator inquiry</x:v>
      </x:c>
      <x:c r="F663" s="17" t="str">
        <x:v>New</x:v>
      </x:c>
      <x:c r="G663" s="24"/>
      <x:c r="H663" s="24" t="str">
        <x:v>+19012174663</x:v>
      </x:c>
      <x:c r="I663" s="24" t="str">
        <x:v>http://midsouthhomebuyers.com/</x:v>
      </x:c>
      <x:c r="J663" s="16" t="str">
        <x:v>TN</x:v>
      </x:c>
      <x:c r="K663" s="16" t="str">
        <x:v>Memphis</x:v>
      </x:c>
      <x:c r="L663" s="16" t="str">
        <x:v>Public property-business route; investor decision maker unconfirmed</x:v>
      </x:c>
      <x:c r="M663" s="16" t="str">
        <x:v>http://midsouthhomebuyers.com/</x:v>
      </x:c>
      <x:c r="N663" s="16" t="str">
        <x:v>$100K-$500K ticket not published / unconfirmed</x:v>
      </x:c>
      <x:c r="O663" s="20"/>
      <x:c r="P663" s="20"/>
      <x:c r="Q663" s="25" t="str">
        <x:v>No direct corporate-capital range established in checked source</x:v>
      </x:c>
      <x:c r="R663" s="25" t="str">
        <x:v>Property acquisition or investor activity makes this an operator-capital prospect for the signed trial. Confirm operating-company debt/equity appetite.</x:v>
      </x:c>
      <x:c r="S663" s="25"/>
      <x:c r="T663" s="25" t="str">
        <x:v>Ask the owner/investor whether they can allocate $100K-$500K to trial marketing and acquisitions, and confirm structure, timing and decision authority.</x:v>
      </x:c>
      <x:c r="U663" s="25" t="str">
        <x:v>https://www.cashhomebuyersdirectory.com/cash-home-buyers/tennessee/memphis</x:v>
      </x:c>
      <x:c r="V663" s="26" t="d">
        <x:v>2026-10-02T00:00:00.000Z</x:v>
      </x:c>
      <x:c r="W663" s="26" t="d">
        <x:v>2026-10-02T00:00:00.000Z</x:v>
      </x:c>
      <x:c r="X663" s="25" t="str">
        <x:v>CashHomeBuyersDirectory third-party business listing; first-party business activity not checked in this batch</x:v>
      </x:c>
      <x:c r="Y663" s="25"/>
      <x:c r="Z663" s="25" t="str">
        <x:v>https://www.cashhomebuyersdirectory.com/cash-home-buyers/tennessee/memphis</x:v>
      </x:c>
      <x:c r="AA663" s="25" t="str">
        <x:v>Public cash-home-buyer directory lists the business name, business phone/website where available and market. Operator role and corporate funding willingness require confirmation.</x:v>
      </x:c>
      <x:c r="AB663" s="3" t="str">
        <x:v>New public-source collection</x:v>
      </x:c>
      <x:c r="AC663" s="3" t="str">
        <x:v>unverified</x:v>
      </x:c>
      <x:c r="AD663" s="3" t="str">
        <x:v>Not contacted / unconfirmed</x:v>
      </x:c>
      <x:c r="AE663" s="3" t="str">
        <x:v>No</x:v>
      </x:c>
      <x:c r="AF663" s="3" t="str">
        <x:v>No</x:v>
      </x:c>
      <x:c r="AG663" s="3"/>
      <x:c r="AH663" s="3"/>
      <x:c r="AI663" s="18"/>
      <x:c r="AJ663" s="3" t="str">
        <x:v>CF2500-36447E851935</x:v>
      </x:c>
      <x:c r="AK663" s="3" t="str">
        <x:v>real_estate_operator</x:v>
      </x:c>
      <x:c r="AL663" s="19" t="n">
        <x:v>100000</x:v>
      </x:c>
      <x:c r="AM663" s="19" t="n">
        <x:v>500000</x:v>
      </x:c>
      <x:c r="AN663" s="3" t="str">
        <x:v>https://www.cashhomebuyersdirectory.com/cash-home-buyers/tennessee/memphis</x:v>
      </x:c>
      <x:c r="AO663" s="3" t="str">
        <x:v>national_rest_directory_complete.jsonl</x:v>
      </x:c>
      <x:c r="AP663" s="19"/>
    </x:row>
    <x:row r="664" ht="36" customHeight="1">
      <x:c r="A664" s="23" t="n">
        <x:v>663</x:v>
      </x:c>
      <x:c r="B664" s="15" t="str">
        <x:v>Middle Georgia Cash Homes, LLC</x:v>
      </x:c>
      <x:c r="C664" s="15"/>
      <x:c r="D664" s="15" t="str">
        <x:v>Property investor / home-buying operator</x:v>
      </x:c>
      <x:c r="E664" s="15" t="str">
        <x:v>Property investor / operator inquiry</x:v>
      </x:c>
      <x:c r="F664" s="17" t="str">
        <x:v>New</x:v>
      </x:c>
      <x:c r="G664" s="24"/>
      <x:c r="H664" s="24" t="str">
        <x:v>+14782161795</x:v>
      </x:c>
      <x:c r="I664" s="24" t="str">
        <x:v>https://www.middlegacashhomes.com/</x:v>
      </x:c>
      <x:c r="J664" s="16" t="str">
        <x:v>GA</x:v>
      </x:c>
      <x:c r="K664" s="16" t="str">
        <x:v>Macon</x:v>
      </x:c>
      <x:c r="L664" s="16" t="str">
        <x:v>Public property-business route; investor decision maker unconfirmed</x:v>
      </x:c>
      <x:c r="M664" s="16" t="str">
        <x:v>https://www.middlegacashhomes.com/</x:v>
      </x:c>
      <x:c r="N664" s="16" t="str">
        <x:v>$100K-$500K ticket not published / unconfirmed</x:v>
      </x:c>
      <x:c r="O664" s="20"/>
      <x:c r="P664" s="20"/>
      <x:c r="Q664" s="25" t="str">
        <x:v>No direct corporate-capital range established in checked source</x:v>
      </x:c>
      <x:c r="R664" s="25" t="str">
        <x:v>Property acquisition or investor activity makes this an operator-capital prospect for the signed trial. Confirm operating-company debt/equity appetite.</x:v>
      </x:c>
      <x:c r="S664" s="25"/>
      <x:c r="T664" s="25" t="str">
        <x:v>Ask the owner/investor whether they can allocate $100K-$500K to trial marketing and acquisitions, and confirm structure, timing and decision authority.</x:v>
      </x:c>
      <x:c r="U664" s="25" t="str">
        <x:v>https://www.cashhomebuyersdirectory.com/cash-home-buyers/georgia/macon</x:v>
      </x:c>
      <x:c r="V664" s="26" t="d">
        <x:v>2026-10-02T00:00:00.000Z</x:v>
      </x:c>
      <x:c r="W664" s="26" t="d">
        <x:v>2026-10-02T00:00:00.000Z</x:v>
      </x:c>
      <x:c r="X664" s="25" t="str">
        <x:v>CashHomeBuyersDirectory third-party business listing; first-party business activity not checked in this batch</x:v>
      </x:c>
      <x:c r="Y664" s="25"/>
      <x:c r="Z664" s="25" t="str">
        <x:v>https://www.cashhomebuyersdirectory.com/cash-home-buyers/georgia/macon</x:v>
      </x:c>
      <x:c r="AA664" s="25" t="str">
        <x:v>Public cash-home-buyer directory lists the business name, business phone/website where available and market. Operator role and corporate funding willingness require confirmation.</x:v>
      </x:c>
      <x:c r="AB664" s="3" t="str">
        <x:v>New public-source collection</x:v>
      </x:c>
      <x:c r="AC664" s="3" t="str">
        <x:v>unverified</x:v>
      </x:c>
      <x:c r="AD664" s="3" t="str">
        <x:v>Not contacted / unconfirmed</x:v>
      </x:c>
      <x:c r="AE664" s="3" t="str">
        <x:v>No</x:v>
      </x:c>
      <x:c r="AF664" s="3" t="str">
        <x:v>No</x:v>
      </x:c>
      <x:c r="AG664" s="3"/>
      <x:c r="AH664" s="3"/>
      <x:c r="AI664" s="18"/>
      <x:c r="AJ664" s="3" t="str">
        <x:v>CF2500-A30BC327E987</x:v>
      </x:c>
      <x:c r="AK664" s="3" t="str">
        <x:v>real_estate_operator</x:v>
      </x:c>
      <x:c r="AL664" s="19" t="n">
        <x:v>100000</x:v>
      </x:c>
      <x:c r="AM664" s="19" t="n">
        <x:v>500000</x:v>
      </x:c>
      <x:c r="AN664" s="3" t="str">
        <x:v>https://www.cashhomebuyersdirectory.com/cash-home-buyers/georgia/macon</x:v>
      </x:c>
      <x:c r="AO664" s="3" t="str">
        <x:v>national_rest_directory_complete.jsonl</x:v>
      </x:c>
      <x:c r="AP664" s="19"/>
    </x:row>
    <x:row r="665" ht="36" customHeight="1">
      <x:c r="A665" s="23" t="n">
        <x:v>664</x:v>
      </x:c>
      <x:c r="B665" s="15" t="str">
        <x:v>Middle Tennessee Cash Home Buyers - We Buy Houses - Sell My House Fast</x:v>
      </x:c>
      <x:c r="C665" s="15"/>
      <x:c r="D665" s="15" t="str">
        <x:v>Property investor / home-buying operator</x:v>
      </x:c>
      <x:c r="E665" s="15" t="str">
        <x:v>Property investor / operator inquiry</x:v>
      </x:c>
      <x:c r="F665" s="17" t="str">
        <x:v>New</x:v>
      </x:c>
      <x:c r="G665" s="24"/>
      <x:c r="H665" s="24" t="str">
        <x:v>+16154926199</x:v>
      </x:c>
      <x:c r="I665" s="24" t="str">
        <x:v>https://www.tncashoffer.com/</x:v>
      </x:c>
      <x:c r="J665" s="16" t="str">
        <x:v>TN</x:v>
      </x:c>
      <x:c r="K665" s="16"/>
      <x:c r="L665" s="16" t="str">
        <x:v>Public property-business route; investor decision maker unconfirmed</x:v>
      </x:c>
      <x:c r="M665" s="16" t="str">
        <x:v>https://www.tncashoffer.com/</x:v>
      </x:c>
      <x:c r="N665" s="16" t="str">
        <x:v>$100K-$500K ticket not published / unconfirmed</x:v>
      </x:c>
      <x:c r="O665" s="20"/>
      <x:c r="P665" s="20"/>
      <x:c r="Q665" s="25" t="str">
        <x:v>No direct corporate-capital range established in checked source</x:v>
      </x:c>
      <x:c r="R665" s="25" t="str">
        <x:v>Property acquisition or investor activity makes this an operator-capital prospect for the signed trial. Confirm operating-company debt/equity appetite.</x:v>
      </x:c>
      <x:c r="S665" s="25"/>
      <x:c r="T665" s="25" t="str">
        <x:v>Ask the owner/investor whether they can allocate $100K-$500K to trial marketing and acquisitions, and confirm structure, timing and decision authority.</x:v>
      </x:c>
      <x:c r="U665" s="25" t="str">
        <x:v>https://www.cashhomebuyersdirectory.com/cash-home-buyers/tennessee/clarksville</x:v>
      </x:c>
      <x:c r="V665" s="26" t="d">
        <x:v>2026-10-02T00:00:00.000Z</x:v>
      </x:c>
      <x:c r="W665" s="26" t="d">
        <x:v>2026-10-02T00:00:00.000Z</x:v>
      </x:c>
      <x:c r="X665" s="25" t="str">
        <x:v>CashHomeBuyersDirectory third-party business listing; first-party business activity not checked in this batch</x:v>
      </x:c>
      <x:c r="Y665" s="25"/>
      <x:c r="Z665" s="25" t="str">
        <x:v>https://www.cashhomebuyersdirectory.com/cash-home-buyers/tennessee/clarksville</x:v>
      </x:c>
      <x:c r="AA665" s="25" t="str">
        <x:v>Public cash-home-buyer directory lists the business name, business phone/website where available and market. Operator role and corporate funding willingness require confirmation.</x:v>
      </x:c>
      <x:c r="AB665" s="3" t="str">
        <x:v>New public-source collection</x:v>
      </x:c>
      <x:c r="AC665" s="3" t="str">
        <x:v>unverified</x:v>
      </x:c>
      <x:c r="AD665" s="3" t="str">
        <x:v>Not contacted / unconfirmed</x:v>
      </x:c>
      <x:c r="AE665" s="3" t="str">
        <x:v>No</x:v>
      </x:c>
      <x:c r="AF665" s="3" t="str">
        <x:v>No</x:v>
      </x:c>
      <x:c r="AG665" s="3"/>
      <x:c r="AH665" s="3"/>
      <x:c r="AI665" s="18"/>
      <x:c r="AJ665" s="3" t="str">
        <x:v>CF2500-52B889F0BC7F</x:v>
      </x:c>
      <x:c r="AK665" s="3" t="str">
        <x:v>real_estate_operator</x:v>
      </x:c>
      <x:c r="AL665" s="19" t="n">
        <x:v>100000</x:v>
      </x:c>
      <x:c r="AM665" s="19" t="n">
        <x:v>500000</x:v>
      </x:c>
      <x:c r="AN665" s="3" t="str">
        <x:v>https://www.cashhomebuyersdirectory.com/cash-home-buyers/tennessee/clarksville</x:v>
      </x:c>
      <x:c r="AO665" s="3" t="str">
        <x:v>national_rest_directory_complete.jsonl</x:v>
      </x:c>
      <x:c r="AP665" s="19"/>
    </x:row>
    <x:row r="666" ht="36" customHeight="1">
      <x:c r="A666" s="23" t="n">
        <x:v>665</x:v>
      </x:c>
      <x:c r="B666" s="15" t="str">
        <x:v>Midwest Cash Offer</x:v>
      </x:c>
      <x:c r="C666" s="15"/>
      <x:c r="D666" s="15" t="str">
        <x:v>Property investor / home-buying operator</x:v>
      </x:c>
      <x:c r="E666" s="15" t="str">
        <x:v>Property investor / operator inquiry</x:v>
      </x:c>
      <x:c r="F666" s="17" t="str">
        <x:v>New</x:v>
      </x:c>
      <x:c r="G666" s="24"/>
      <x:c r="H666" s="24" t="str">
        <x:v>+13177074110</x:v>
      </x:c>
      <x:c r="I666" s="24" t="str">
        <x:v>https://midwestcashoffer.com/</x:v>
      </x:c>
      <x:c r="J666" s="16" t="str">
        <x:v>IN</x:v>
      </x:c>
      <x:c r="K666" s="16" t="str">
        <x:v>Indianapolis</x:v>
      </x:c>
      <x:c r="L666" s="16" t="str">
        <x:v>Public property-business route; investor decision maker unconfirmed</x:v>
      </x:c>
      <x:c r="M666" s="16" t="str">
        <x:v>https://midwestcashoffer.com/</x:v>
      </x:c>
      <x:c r="N666" s="16" t="str">
        <x:v>$100K-$500K ticket not published / unconfirmed</x:v>
      </x:c>
      <x:c r="O666" s="20"/>
      <x:c r="P666" s="20"/>
      <x:c r="Q666" s="25" t="str">
        <x:v>No direct corporate-capital range established in checked source</x:v>
      </x:c>
      <x:c r="R666" s="25" t="str">
        <x:v>Property acquisition or investor activity makes this an operator-capital prospect for the signed trial. Confirm operating-company debt/equity appetite.</x:v>
      </x:c>
      <x:c r="S666" s="25"/>
      <x:c r="T666" s="25" t="str">
        <x:v>Ask the owner/investor whether they can allocate $100K-$500K to trial marketing and acquisitions, and confirm structure, timing and decision authority.</x:v>
      </x:c>
      <x:c r="U666" s="25" t="str">
        <x:v>https://www.cashhomebuyersdirectory.com/cash-home-buyers/indiana/indianapolis</x:v>
      </x:c>
      <x:c r="V666" s="26" t="d">
        <x:v>2026-10-02T00:00:00.000Z</x:v>
      </x:c>
      <x:c r="W666" s="26" t="d">
        <x:v>2026-10-02T00:00:00.000Z</x:v>
      </x:c>
      <x:c r="X666" s="25" t="str">
        <x:v>CashHomeBuyersDirectory third-party business listing; first-party business activity not checked in this batch</x:v>
      </x:c>
      <x:c r="Y666" s="25"/>
      <x:c r="Z666" s="25" t="str">
        <x:v>https://www.cashhomebuyersdirectory.com/cash-home-buyers/indiana/indianapolis</x:v>
      </x:c>
      <x:c r="AA666" s="25" t="str">
        <x:v>Public cash-home-buyer directory lists the business name, business phone/website where available and market. Operator role and corporate funding willingness require confirmation.</x:v>
      </x:c>
      <x:c r="AB666" s="3" t="str">
        <x:v>New public-source collection</x:v>
      </x:c>
      <x:c r="AC666" s="3" t="str">
        <x:v>unverified</x:v>
      </x:c>
      <x:c r="AD666" s="3" t="str">
        <x:v>Not contacted / unconfirmed</x:v>
      </x:c>
      <x:c r="AE666" s="3" t="str">
        <x:v>No</x:v>
      </x:c>
      <x:c r="AF666" s="3" t="str">
        <x:v>No</x:v>
      </x:c>
      <x:c r="AG666" s="3"/>
      <x:c r="AH666" s="3"/>
      <x:c r="AI666" s="18"/>
      <x:c r="AJ666" s="3" t="str">
        <x:v>CF2500-7C22BA4BF238</x:v>
      </x:c>
      <x:c r="AK666" s="3" t="str">
        <x:v>real_estate_operator</x:v>
      </x:c>
      <x:c r="AL666" s="19" t="n">
        <x:v>100000</x:v>
      </x:c>
      <x:c r="AM666" s="19" t="n">
        <x:v>500000</x:v>
      </x:c>
      <x:c r="AN666" s="3" t="str">
        <x:v>https://www.cashhomebuyersdirectory.com/cash-home-buyers/indiana/indianapolis</x:v>
      </x:c>
      <x:c r="AO666" s="3" t="str">
        <x:v>national_rest_directory_complete.jsonl</x:v>
      </x:c>
      <x:c r="AP666" s="19"/>
    </x:row>
    <x:row r="667" ht="36" customHeight="1">
      <x:c r="A667" s="23" t="n">
        <x:v>666</x:v>
      </x:c>
      <x:c r="B667" s="15" t="str">
        <x:v>Missouri Cash Home Buyers LLLC</x:v>
      </x:c>
      <x:c r="C667" s="15"/>
      <x:c r="D667" s="15" t="str">
        <x:v>Property investor / home-buying operator</x:v>
      </x:c>
      <x:c r="E667" s="15" t="str">
        <x:v>Property investor / operator inquiry</x:v>
      </x:c>
      <x:c r="F667" s="17" t="str">
        <x:v>New</x:v>
      </x:c>
      <x:c r="G667" s="24"/>
      <x:c r="H667" s="24" t="str">
        <x:v>+13147429446</x:v>
      </x:c>
      <x:c r="I667" s="24" t="str">
        <x:v>https://www.missouricashhomebuyers.com/</x:v>
      </x:c>
      <x:c r="J667" s="16" t="str">
        <x:v>MO</x:v>
      </x:c>
      <x:c r="K667" s="16" t="str">
        <x:v>St. Louis</x:v>
      </x:c>
      <x:c r="L667" s="16" t="str">
        <x:v>Public property-business route; investor decision maker unconfirmed</x:v>
      </x:c>
      <x:c r="M667" s="16" t="str">
        <x:v>https://www.missouricashhomebuyers.com/</x:v>
      </x:c>
      <x:c r="N667" s="16" t="str">
        <x:v>$100K-$500K ticket not published / unconfirmed</x:v>
      </x:c>
      <x:c r="O667" s="20"/>
      <x:c r="P667" s="20"/>
      <x:c r="Q667" s="25" t="str">
        <x:v>No direct corporate-capital range established in checked source</x:v>
      </x:c>
      <x:c r="R667" s="25" t="str">
        <x:v>Property acquisition or investor activity makes this an operator-capital prospect for the signed trial. Confirm operating-company debt/equity appetite.</x:v>
      </x:c>
      <x:c r="S667" s="25"/>
      <x:c r="T667" s="25" t="str">
        <x:v>Ask the owner/investor whether they can allocate $100K-$500K to trial marketing and acquisitions, and confirm structure, timing and decision authority.</x:v>
      </x:c>
      <x:c r="U667" s="25" t="str">
        <x:v>https://www.cashhomebuyersdirectory.com/cash-home-buyers/missouri/st-louis</x:v>
      </x:c>
      <x:c r="V667" s="26" t="d">
        <x:v>2026-10-02T00:00:00.000Z</x:v>
      </x:c>
      <x:c r="W667" s="26" t="d">
        <x:v>2026-10-02T00:00:00.000Z</x:v>
      </x:c>
      <x:c r="X667" s="25" t="str">
        <x:v>CashHomeBuyersDirectory third-party business listing; first-party business activity not checked in this batch</x:v>
      </x:c>
      <x:c r="Y667" s="25"/>
      <x:c r="Z667" s="25" t="str">
        <x:v>https://www.cashhomebuyersdirectory.com/cash-home-buyers/missouri/st-louis</x:v>
      </x:c>
      <x:c r="AA667" s="25" t="str">
        <x:v>Public cash-home-buyer directory lists the business name, business phone/website where available and market. Operator role and corporate funding willingness require confirmation.</x:v>
      </x:c>
      <x:c r="AB667" s="3" t="str">
        <x:v>New public-source collection</x:v>
      </x:c>
      <x:c r="AC667" s="3" t="str">
        <x:v>unverified</x:v>
      </x:c>
      <x:c r="AD667" s="3" t="str">
        <x:v>Not contacted / unconfirmed</x:v>
      </x:c>
      <x:c r="AE667" s="3" t="str">
        <x:v>No</x:v>
      </x:c>
      <x:c r="AF667" s="3" t="str">
        <x:v>No</x:v>
      </x:c>
      <x:c r="AG667" s="3"/>
      <x:c r="AH667" s="3"/>
      <x:c r="AI667" s="18"/>
      <x:c r="AJ667" s="3" t="str">
        <x:v>CF2500-9D2552F8E39C</x:v>
      </x:c>
      <x:c r="AK667" s="3" t="str">
        <x:v>real_estate_operator</x:v>
      </x:c>
      <x:c r="AL667" s="19" t="n">
        <x:v>100000</x:v>
      </x:c>
      <x:c r="AM667" s="19" t="n">
        <x:v>500000</x:v>
      </x:c>
      <x:c r="AN667" s="3" t="str">
        <x:v>https://www.cashhomebuyersdirectory.com/cash-home-buyers/missouri/st-louis</x:v>
      </x:c>
      <x:c r="AO667" s="3" t="str">
        <x:v>national_rest_directory_complete.jsonl</x:v>
      </x:c>
      <x:c r="AP667" s="19"/>
    </x:row>
    <x:row r="668" ht="36" customHeight="1">
      <x:c r="A668" s="23" t="n">
        <x:v>667</x:v>
      </x:c>
      <x:c r="B668" s="15" t="str">
        <x:v>Mobile Home Buyers</x:v>
      </x:c>
      <x:c r="C668" s="15"/>
      <x:c r="D668" s="15" t="str">
        <x:v>Property investor / home-buying operator</x:v>
      </x:c>
      <x:c r="E668" s="15" t="str">
        <x:v>Property investor / operator inquiry</x:v>
      </x:c>
      <x:c r="F668" s="17" t="str">
        <x:v>New</x:v>
      </x:c>
      <x:c r="G668" s="24"/>
      <x:c r="H668" s="24" t="str">
        <x:v>+18008660071</x:v>
      </x:c>
      <x:c r="I668" s="24" t="str">
        <x:v>https://www.mobilehomebuyers.com/contact-us/</x:v>
      </x:c>
      <x:c r="J668" s="16" t="str">
        <x:v>CO</x:v>
      </x:c>
      <x:c r="K668" s="16" t="str">
        <x:v>Thornton</x:v>
      </x:c>
      <x:c r="L668" s="16" t="str">
        <x:v>Public property-business route; investor decision maker unconfirmed</x:v>
      </x:c>
      <x:c r="M668" s="16" t="str">
        <x:v>https://www.mobilehomebuyers.com/contact-us/</x:v>
      </x:c>
      <x:c r="N668" s="16" t="str">
        <x:v>$100K-$500K ticket not published / unconfirmed</x:v>
      </x:c>
      <x:c r="O668" s="20"/>
      <x:c r="P668" s="20"/>
      <x:c r="Q668" s="25" t="str">
        <x:v>No $100K-$500K operating-company investment ticket verified</x:v>
      </x:c>
      <x:c r="R668" s="25" t="str">
        <x:v>Property acquisition or investor activity makes this an operator-capital prospect for the signed trial. Confirm operating-company debt/equity appetite.</x:v>
      </x:c>
      <x:c r="S668" s="25" t="str">
        <x:v>Public property-buying activity or a directory listing does not establish available cash, investing decision-maker, current $100K-$500K capacity, or willingness to fund 101XVC operating costs.</x:v>
      </x:c>
      <x:c r="T668" s="25" t="str">
        <x:v>Ask the owner/investor whether they can allocate $100K-$500K to trial marketing and acquisitions, and confirm structure, timing and decision authority.</x:v>
      </x:c>
      <x:c r="U668" s="25" t="str">
        <x:v>https://www.cashhomebuyersdirectory.com/cash-home-buyers/colorado/thornton</x:v>
      </x:c>
      <x:c r="V668" s="26" t="d">
        <x:v>2026-10-02T00:00:00.000Z</x:v>
      </x:c>
      <x:c r="W668" s="26" t="d">
        <x:v>2026-10-02T00:00:00.000Z</x:v>
      </x:c>
      <x:c r="X668" s="25" t="str">
        <x:v>Public investor directory; business role and contact ownership require qualification</x:v>
      </x:c>
      <x:c r="Y668" s="25"/>
      <x:c r="Z668" s="25" t="str">
        <x:v>https://www.cashhomebuyersdirectory.com/cash-home-buyers/colorado/thornton</x:v>
      </x:c>
      <x:c r="AA668" s="25" t="str">
        <x:v>Public cash-home-buyer directory lists business name, phone and market. Directory entry may include brokers or service providers.</x:v>
      </x:c>
      <x:c r="AB668" s="3" t="str">
        <x:v>New public-source collection</x:v>
      </x:c>
      <x:c r="AC668" s="3" t="str">
        <x:v>unverified</x:v>
      </x:c>
      <x:c r="AD668" s="3" t="str">
        <x:v>Not contacted / unconfirmed</x:v>
      </x:c>
      <x:c r="AE668" s="3" t="str">
        <x:v>No</x:v>
      </x:c>
      <x:c r="AF668" s="3" t="str">
        <x:v>No</x:v>
      </x:c>
      <x:c r="AG668" s="3"/>
      <x:c r="AH668" s="3"/>
      <x:c r="AI668" s="18"/>
      <x:c r="AJ668" s="3" t="str">
        <x:v>CF2500-0B48C34140EA</x:v>
      </x:c>
      <x:c r="AK668" s="3" t="str">
        <x:v>Property investor / home-buying operator prospect</x:v>
      </x:c>
      <x:c r="AL668" s="19" t="n">
        <x:v>100000</x:v>
      </x:c>
      <x:c r="AM668" s="19" t="n">
        <x:v>500000</x:v>
      </x:c>
      <x:c r="AN668" s="3" t="str">
        <x:v>https://www.cashhomebuyersdirectory.com/cash-home-buyers/colorado/thornton</x:v>
      </x:c>
      <x:c r="AO668" s="3" t="str">
        <x:v>nc_il_az_co_investors.jsonl</x:v>
      </x:c>
      <x:c r="AP668" s="19"/>
    </x:row>
    <x:row r="669" ht="36" customHeight="1">
      <x:c r="A669" s="23" t="n">
        <x:v>668</x:v>
      </x:c>
      <x:c r="B669" s="15" t="str">
        <x:v>Montgomery Fast Home Buyer| Sell My House Fast for Cash Montgomery</x:v>
      </x:c>
      <x:c r="C669" s="15"/>
      <x:c r="D669" s="15" t="str">
        <x:v>Property investor / home-buying operator</x:v>
      </x:c>
      <x:c r="E669" s="15" t="str">
        <x:v>Property investor / operator inquiry</x:v>
      </x:c>
      <x:c r="F669" s="17" t="str">
        <x:v>New</x:v>
      </x:c>
      <x:c r="G669" s="24"/>
      <x:c r="H669" s="24" t="str">
        <x:v>+13342307108</x:v>
      </x:c>
      <x:c r="I669" s="24" t="str">
        <x:v>https://www.montgomeryfasthomebuyer.com/</x:v>
      </x:c>
      <x:c r="J669" s="16" t="str">
        <x:v>AL</x:v>
      </x:c>
      <x:c r="K669" s="16"/>
      <x:c r="L669" s="16" t="str">
        <x:v>Public property-business route; investor decision maker unconfirmed</x:v>
      </x:c>
      <x:c r="M669" s="16" t="str">
        <x:v>https://www.montgomeryfasthomebuyer.com/</x:v>
      </x:c>
      <x:c r="N669" s="16" t="str">
        <x:v>$100K-$500K ticket not published / unconfirmed</x:v>
      </x:c>
      <x:c r="O669" s="20"/>
      <x:c r="P669" s="20"/>
      <x:c r="Q669" s="25" t="str">
        <x:v>No direct corporate-capital range established in checked source</x:v>
      </x:c>
      <x:c r="R669" s="25" t="str">
        <x:v>Property acquisition or investor activity makes this an operator-capital prospect for the signed trial. Confirm operating-company debt/equity appetite.</x:v>
      </x:c>
      <x:c r="S669" s="25"/>
      <x:c r="T669" s="25" t="str">
        <x:v>Ask the owner/investor whether they can allocate $100K-$500K to trial marketing and acquisitions, and confirm structure, timing and decision authority.</x:v>
      </x:c>
      <x:c r="U669" s="25" t="str">
        <x:v>https://www.cashhomebuyersdirectory.com/cash-home-buyers/alabama/montgomery</x:v>
      </x:c>
      <x:c r="V669" s="26" t="d">
        <x:v>2026-10-02T00:00:00.000Z</x:v>
      </x:c>
      <x:c r="W669" s="26" t="d">
        <x:v>2026-10-02T00:00:00.000Z</x:v>
      </x:c>
      <x:c r="X669" s="25" t="str">
        <x:v>CashHomeBuyersDirectory third-party business listing; first-party business activity not checked in this batch</x:v>
      </x:c>
      <x:c r="Y669" s="25"/>
      <x:c r="Z669" s="25" t="str">
        <x:v>https://www.cashhomebuyersdirectory.com/cash-home-buyers/alabama/montgomery</x:v>
      </x:c>
      <x:c r="AA669" s="25" t="str">
        <x:v>Public cash-home-buyer directory lists the business name, business phone/website where available and market. Operator role and corporate funding willingness require confirmation.</x:v>
      </x:c>
      <x:c r="AB669" s="3" t="str">
        <x:v>New public-source collection</x:v>
      </x:c>
      <x:c r="AC669" s="3" t="str">
        <x:v>unverified</x:v>
      </x:c>
      <x:c r="AD669" s="3" t="str">
        <x:v>Not contacted / unconfirmed</x:v>
      </x:c>
      <x:c r="AE669" s="3" t="str">
        <x:v>No</x:v>
      </x:c>
      <x:c r="AF669" s="3" t="str">
        <x:v>No</x:v>
      </x:c>
      <x:c r="AG669" s="3"/>
      <x:c r="AH669" s="3"/>
      <x:c r="AI669" s="18"/>
      <x:c r="AJ669" s="3" t="str">
        <x:v>CF2500-C1DF76EC7A46</x:v>
      </x:c>
      <x:c r="AK669" s="3" t="str">
        <x:v>real_estate_operator</x:v>
      </x:c>
      <x:c r="AL669" s="19" t="n">
        <x:v>100000</x:v>
      </x:c>
      <x:c r="AM669" s="19" t="n">
        <x:v>500000</x:v>
      </x:c>
      <x:c r="AN669" s="3" t="str">
        <x:v>https://www.cashhomebuyersdirectory.com/cash-home-buyers/alabama/montgomery</x:v>
      </x:c>
      <x:c r="AO669" s="3" t="str">
        <x:v>national_rest_directory_complete.jsonl</x:v>
      </x:c>
      <x:c r="AP669" s="19"/>
    </x:row>
    <x:row r="670" ht="36" customHeight="1">
      <x:c r="A670" s="23" t="n">
        <x:v>669</x:v>
      </x:c>
      <x:c r="B670" s="15" t="str">
        <x:v>Myers House Buyers</x:v>
      </x:c>
      <x:c r="C670" s="15"/>
      <x:c r="D670" s="15" t="str">
        <x:v>Property investor / home-buying operator</x:v>
      </x:c>
      <x:c r="E670" s="15" t="str">
        <x:v>Property investor / operator inquiry</x:v>
      </x:c>
      <x:c r="F670" s="17" t="str">
        <x:v>New</x:v>
      </x:c>
      <x:c r="G670" s="24"/>
      <x:c r="H670" s="24" t="str">
        <x:v>+17063502379</x:v>
      </x:c>
      <x:c r="I670" s="24" t="str">
        <x:v>http://www.myershousebuyers.com/i/0LBY/</x:v>
      </x:c>
      <x:c r="J670" s="16" t="str">
        <x:v>GA</x:v>
      </x:c>
      <x:c r="K670" s="16" t="str">
        <x:v>Augusta</x:v>
      </x:c>
      <x:c r="L670" s="16" t="str">
        <x:v>Public property-business route; investor decision maker unconfirmed</x:v>
      </x:c>
      <x:c r="M670" s="16" t="str">
        <x:v>http://www.myershousebuyers.com/i/0LBY/</x:v>
      </x:c>
      <x:c r="N670" s="16" t="str">
        <x:v>$100K-$500K ticket not published / unconfirmed</x:v>
      </x:c>
      <x:c r="O670" s="20"/>
      <x:c r="P670" s="20"/>
      <x:c r="Q670" s="25" t="str">
        <x:v>No direct corporate-capital range established in checked source</x:v>
      </x:c>
      <x:c r="R670" s="25" t="str">
        <x:v>Property acquisition or investor activity makes this an operator-capital prospect for the signed trial. Confirm operating-company debt/equity appetite.</x:v>
      </x:c>
      <x:c r="S670" s="25"/>
      <x:c r="T670" s="25" t="str">
        <x:v>Ask the owner/investor whether they can allocate $100K-$500K to trial marketing and acquisitions, and confirm structure, timing and decision authority.</x:v>
      </x:c>
      <x:c r="U670" s="25" t="str">
        <x:v>https://www.cashhomebuyersdirectory.com/cash-home-buyers/georgia/augusta</x:v>
      </x:c>
      <x:c r="V670" s="26" t="d">
        <x:v>2026-10-02T00:00:00.000Z</x:v>
      </x:c>
      <x:c r="W670" s="26" t="d">
        <x:v>2026-10-02T00:00:00.000Z</x:v>
      </x:c>
      <x:c r="X670" s="25" t="str">
        <x:v>CashHomeBuyersDirectory third-party business listing; first-party business activity not checked in this batch</x:v>
      </x:c>
      <x:c r="Y670" s="25"/>
      <x:c r="Z670" s="25" t="str">
        <x:v>https://www.cashhomebuyersdirectory.com/cash-home-buyers/georgia/augusta</x:v>
      </x:c>
      <x:c r="AA670" s="25" t="str">
        <x:v>Public cash-home-buyer directory lists the business name, business phone/website where available and market. Operator role and corporate funding willingness require confirmation.</x:v>
      </x:c>
      <x:c r="AB670" s="3" t="str">
        <x:v>New public-source collection</x:v>
      </x:c>
      <x:c r="AC670" s="3" t="str">
        <x:v>unverified</x:v>
      </x:c>
      <x:c r="AD670" s="3" t="str">
        <x:v>Not contacted / unconfirmed</x:v>
      </x:c>
      <x:c r="AE670" s="3" t="str">
        <x:v>No</x:v>
      </x:c>
      <x:c r="AF670" s="3" t="str">
        <x:v>No</x:v>
      </x:c>
      <x:c r="AG670" s="3"/>
      <x:c r="AH670" s="3"/>
      <x:c r="AI670" s="18"/>
      <x:c r="AJ670" s="3" t="str">
        <x:v>CF2500-454BE1D4FB29</x:v>
      </x:c>
      <x:c r="AK670" s="3" t="str">
        <x:v>real_estate_operator</x:v>
      </x:c>
      <x:c r="AL670" s="19" t="n">
        <x:v>100000</x:v>
      </x:c>
      <x:c r="AM670" s="19" t="n">
        <x:v>500000</x:v>
      </x:c>
      <x:c r="AN670" s="3" t="str">
        <x:v>https://www.cashhomebuyersdirectory.com/cash-home-buyers/georgia/augusta</x:v>
      </x:c>
      <x:c r="AO670" s="3" t="str">
        <x:v>national_rest_directory_complete.jsonl</x:v>
      </x:c>
      <x:c r="AP670" s="19"/>
    </x:row>
    <x:row r="671" ht="36" customHeight="1">
      <x:c r="A671" s="23" t="n">
        <x:v>670</x:v>
      </x:c>
      <x:c r="B671" s="15" t="str">
        <x:v>Myrtle Beach Home Buyers - Sell My House Fast</x:v>
      </x:c>
      <x:c r="C671" s="15"/>
      <x:c r="D671" s="15" t="str">
        <x:v>Property investor / home-buying operator</x:v>
      </x:c>
      <x:c r="E671" s="15" t="str">
        <x:v>Property investor / operator inquiry</x:v>
      </x:c>
      <x:c r="F671" s="17" t="str">
        <x:v>New</x:v>
      </x:c>
      <x:c r="G671" s="24"/>
      <x:c r="H671" s="24" t="str">
        <x:v>+18435075058</x:v>
      </x:c>
      <x:c r="I671" s="24" t="str">
        <x:v>https://www.myrtlebeachhomebuyers.com/sell-my-house-for-cash/</x:v>
      </x:c>
      <x:c r="J671" s="16" t="str">
        <x:v>SC</x:v>
      </x:c>
      <x:c r="K671" s="16" t="str">
        <x:v>Myrtle Beach</x:v>
      </x:c>
      <x:c r="L671" s="16" t="str">
        <x:v>Public property-business route; investor decision maker unconfirmed</x:v>
      </x:c>
      <x:c r="M671" s="16" t="str">
        <x:v>https://www.myrtlebeachhomebuyers.com/sell-my-house-for-cash/</x:v>
      </x:c>
      <x:c r="N671" s="16" t="str">
        <x:v>$100K-$500K ticket not published / unconfirmed</x:v>
      </x:c>
      <x:c r="O671" s="20"/>
      <x:c r="P671" s="20"/>
      <x:c r="Q671" s="25" t="str">
        <x:v>No direct corporate-capital range established in checked source</x:v>
      </x:c>
      <x:c r="R671" s="25" t="str">
        <x:v>Property acquisition or investor activity makes this an operator-capital prospect for the signed trial. Confirm operating-company debt/equity appetite.</x:v>
      </x:c>
      <x:c r="S671" s="25"/>
      <x:c r="T671" s="25" t="str">
        <x:v>Ask the owner/investor whether they can allocate $100K-$500K to trial marketing and acquisitions, and confirm structure, timing and decision authority.</x:v>
      </x:c>
      <x:c r="U671" s="25" t="str">
        <x:v>https://www.cashhomebuyersdirectory.com/cash-home-buyers/south-carolina/myrtle-beach</x:v>
      </x:c>
      <x:c r="V671" s="26" t="d">
        <x:v>2026-10-02T00:00:00.000Z</x:v>
      </x:c>
      <x:c r="W671" s="26" t="d">
        <x:v>2026-10-02T00:00:00.000Z</x:v>
      </x:c>
      <x:c r="X671" s="25" t="str">
        <x:v>CashHomeBuyersDirectory third-party business listing; first-party business activity not checked in this batch</x:v>
      </x:c>
      <x:c r="Y671" s="25"/>
      <x:c r="Z671" s="25" t="str">
        <x:v>https://www.cashhomebuyersdirectory.com/cash-home-buyers/south-carolina/myrtle-beach</x:v>
      </x:c>
      <x:c r="AA671" s="25" t="str">
        <x:v>Public cash-home-buyer directory lists the business name, business phone/website where available and market. Operator role and corporate funding willingness require confirmation.</x:v>
      </x:c>
      <x:c r="AB671" s="3" t="str">
        <x:v>New public-source collection</x:v>
      </x:c>
      <x:c r="AC671" s="3" t="str">
        <x:v>unverified</x:v>
      </x:c>
      <x:c r="AD671" s="3" t="str">
        <x:v>Not contacted / unconfirmed</x:v>
      </x:c>
      <x:c r="AE671" s="3" t="str">
        <x:v>No</x:v>
      </x:c>
      <x:c r="AF671" s="3" t="str">
        <x:v>No</x:v>
      </x:c>
      <x:c r="AG671" s="3"/>
      <x:c r="AH671" s="3"/>
      <x:c r="AI671" s="18"/>
      <x:c r="AJ671" s="3" t="str">
        <x:v>CF2500-445AD7C586A1</x:v>
      </x:c>
      <x:c r="AK671" s="3" t="str">
        <x:v>real_estate_operator</x:v>
      </x:c>
      <x:c r="AL671" s="19" t="n">
        <x:v>100000</x:v>
      </x:c>
      <x:c r="AM671" s="19" t="n">
        <x:v>500000</x:v>
      </x:c>
      <x:c r="AN671" s="3" t="str">
        <x:v>https://www.cashhomebuyersdirectory.com/cash-home-buyers/south-carolina/myrtle-beach</x:v>
      </x:c>
      <x:c r="AO671" s="3" t="str">
        <x:v>national_rest_directory_complete.jsonl</x:v>
      </x:c>
      <x:c r="AP671" s="19"/>
    </x:row>
    <x:row r="672" ht="36" customHeight="1">
      <x:c r="A672" s="23" t="n">
        <x:v>671</x:v>
      </x:c>
      <x:c r="B672" s="15" t="str">
        <x:v>Myrtle Beach House Buyers</x:v>
      </x:c>
      <x:c r="C672" s="15"/>
      <x:c r="D672" s="15" t="str">
        <x:v>Property investor / home-buying operator</x:v>
      </x:c>
      <x:c r="E672" s="15" t="str">
        <x:v>Property investor / operator inquiry</x:v>
      </x:c>
      <x:c r="F672" s="17" t="str">
        <x:v>New</x:v>
      </x:c>
      <x:c r="G672" s="24"/>
      <x:c r="H672" s="24" t="str">
        <x:v>+18435010100</x:v>
      </x:c>
      <x:c r="I672" s="24" t="str">
        <x:v>http://myrtlebeachhousebuyers.com/</x:v>
      </x:c>
      <x:c r="J672" s="16" t="str">
        <x:v>SC</x:v>
      </x:c>
      <x:c r="K672" s="16" t="str">
        <x:v>Myrtle Beach</x:v>
      </x:c>
      <x:c r="L672" s="16" t="str">
        <x:v>Public property-business route; investor decision maker unconfirmed</x:v>
      </x:c>
      <x:c r="M672" s="16" t="str">
        <x:v>http://myrtlebeachhousebuyers.com/</x:v>
      </x:c>
      <x:c r="N672" s="16" t="str">
        <x:v>$100K-$500K ticket not published / unconfirmed</x:v>
      </x:c>
      <x:c r="O672" s="20"/>
      <x:c r="P672" s="20"/>
      <x:c r="Q672" s="25" t="str">
        <x:v>No direct corporate-capital range established in checked source</x:v>
      </x:c>
      <x:c r="R672" s="25" t="str">
        <x:v>Property acquisition or investor activity makes this an operator-capital prospect for the signed trial. Confirm operating-company debt/equity appetite.</x:v>
      </x:c>
      <x:c r="S672" s="25"/>
      <x:c r="T672" s="25" t="str">
        <x:v>Ask the owner/investor whether they can allocate $100K-$500K to trial marketing and acquisitions, and confirm structure, timing and decision authority.</x:v>
      </x:c>
      <x:c r="U672" s="25" t="str">
        <x:v>https://www.cashhomebuyersdirectory.com/cash-home-buyers/south-carolina/myrtle-beach</x:v>
      </x:c>
      <x:c r="V672" s="26" t="d">
        <x:v>2026-10-02T00:00:00.000Z</x:v>
      </x:c>
      <x:c r="W672" s="26" t="d">
        <x:v>2026-10-02T00:00:00.000Z</x:v>
      </x:c>
      <x:c r="X672" s="25" t="str">
        <x:v>CashHomeBuyersDirectory third-party business listing; first-party business activity not checked in this batch</x:v>
      </x:c>
      <x:c r="Y672" s="25"/>
      <x:c r="Z672" s="25" t="str">
        <x:v>https://www.cashhomebuyersdirectory.com/cash-home-buyers/south-carolina/myrtle-beach</x:v>
      </x:c>
      <x:c r="AA672" s="25" t="str">
        <x:v>Public cash-home-buyer directory lists the business name, business phone/website where available and market. Operator role and corporate funding willingness require confirmation.</x:v>
      </x:c>
      <x:c r="AB672" s="3" t="str">
        <x:v>New public-source collection</x:v>
      </x:c>
      <x:c r="AC672" s="3" t="str">
        <x:v>unverified</x:v>
      </x:c>
      <x:c r="AD672" s="3" t="str">
        <x:v>Not contacted / unconfirmed</x:v>
      </x:c>
      <x:c r="AE672" s="3" t="str">
        <x:v>No</x:v>
      </x:c>
      <x:c r="AF672" s="3" t="str">
        <x:v>No</x:v>
      </x:c>
      <x:c r="AG672" s="3"/>
      <x:c r="AH672" s="3"/>
      <x:c r="AI672" s="18"/>
      <x:c r="AJ672" s="3" t="str">
        <x:v>CF2500-AB2BD3377D1B</x:v>
      </x:c>
      <x:c r="AK672" s="3" t="str">
        <x:v>real_estate_operator</x:v>
      </x:c>
      <x:c r="AL672" s="19" t="n">
        <x:v>100000</x:v>
      </x:c>
      <x:c r="AM672" s="19" t="n">
        <x:v>500000</x:v>
      </x:c>
      <x:c r="AN672" s="3" t="str">
        <x:v>https://www.cashhomebuyersdirectory.com/cash-home-buyers/south-carolina/myrtle-beach</x:v>
      </x:c>
      <x:c r="AO672" s="3" t="str">
        <x:v>national_rest_directory_complete.jsonl</x:v>
      </x:c>
      <x:c r="AP672" s="19"/>
    </x:row>
    <x:row r="673" ht="36" customHeight="1">
      <x:c r="A673" s="23" t="n">
        <x:v>672</x:v>
      </x:c>
      <x:c r="B673" s="15" t="str">
        <x:v>New Era Home Buyers</x:v>
      </x:c>
      <x:c r="C673" s="15"/>
      <x:c r="D673" s="15" t="str">
        <x:v>Property investor / home-buying operator</x:v>
      </x:c>
      <x:c r="E673" s="15" t="str">
        <x:v>Property investor / operator inquiry</x:v>
      </x:c>
      <x:c r="F673" s="17" t="str">
        <x:v>New</x:v>
      </x:c>
      <x:c r="G673" s="24"/>
      <x:c r="H673" s="24" t="str">
        <x:v>+13035658966</x:v>
      </x:c>
      <x:c r="I673" s="24" t="str">
        <x:v>https://newerahomebuyers.com/</x:v>
      </x:c>
      <x:c r="J673" s="16" t="str">
        <x:v>CO</x:v>
      </x:c>
      <x:c r="K673" s="16" t="str">
        <x:v>Greenwood Village</x:v>
      </x:c>
      <x:c r="L673" s="16" t="str">
        <x:v>Public property-business route; investor decision maker unconfirmed</x:v>
      </x:c>
      <x:c r="M673" s="16" t="str">
        <x:v>https://newerahomebuyers.com/</x:v>
      </x:c>
      <x:c r="N673" s="16" t="str">
        <x:v>$100K-$500K ticket not published / unconfirmed</x:v>
      </x:c>
      <x:c r="O673" s="20"/>
      <x:c r="P673" s="20"/>
      <x:c r="Q673" s="25" t="str">
        <x:v>No $100K-$500K operating-company investment ticket verified</x:v>
      </x:c>
      <x:c r="R673" s="25" t="str">
        <x:v>Property acquisition or investor activity makes this an operator-capital prospect for the signed trial. Confirm operating-company debt/equity appetite.</x:v>
      </x:c>
      <x:c r="S673" s="25" t="str">
        <x:v>Public property-buying activity or a directory listing does not establish available cash, investing decision-maker, current $100K-$500K capacity, or willingness to fund 101XVC operating costs.</x:v>
      </x:c>
      <x:c r="T673" s="25" t="str">
        <x:v>Ask the owner/investor whether they can allocate $100K-$500K to trial marketing and acquisitions, and confirm structure, timing and decision authority.</x:v>
      </x:c>
      <x:c r="U673" s="25" t="str">
        <x:v>https://www.cashhomebuyersdirectory.com/cash-home-buyers/colorado/greenwood-village</x:v>
      </x:c>
      <x:c r="V673" s="26" t="d">
        <x:v>2026-10-02T00:00:00.000Z</x:v>
      </x:c>
      <x:c r="W673" s="26" t="d">
        <x:v>2026-10-02T00:00:00.000Z</x:v>
      </x:c>
      <x:c r="X673" s="25" t="str">
        <x:v>Public investor directory; business role and contact ownership require qualification</x:v>
      </x:c>
      <x:c r="Y673" s="25"/>
      <x:c r="Z673" s="25" t="str">
        <x:v>https://www.cashhomebuyersdirectory.com/cash-home-buyers/colorado/greenwood-village</x:v>
      </x:c>
      <x:c r="AA673" s="25" t="str">
        <x:v>Public cash-home-buyer directory lists business name, phone and market. Directory entry may include brokers or service providers.</x:v>
      </x:c>
      <x:c r="AB673" s="3" t="str">
        <x:v>New public-source collection</x:v>
      </x:c>
      <x:c r="AC673" s="3" t="str">
        <x:v>unverified</x:v>
      </x:c>
      <x:c r="AD673" s="3" t="str">
        <x:v>Not contacted / unconfirmed</x:v>
      </x:c>
      <x:c r="AE673" s="3" t="str">
        <x:v>No</x:v>
      </x:c>
      <x:c r="AF673" s="3" t="str">
        <x:v>No</x:v>
      </x:c>
      <x:c r="AG673" s="3"/>
      <x:c r="AH673" s="3"/>
      <x:c r="AI673" s="18"/>
      <x:c r="AJ673" s="3" t="str">
        <x:v>CF2500-BC8EF4353191</x:v>
      </x:c>
      <x:c r="AK673" s="3" t="str">
        <x:v>Property investor / home-buying operator prospect</x:v>
      </x:c>
      <x:c r="AL673" s="19" t="n">
        <x:v>100000</x:v>
      </x:c>
      <x:c r="AM673" s="19" t="n">
        <x:v>500000</x:v>
      </x:c>
      <x:c r="AN673" s="3" t="str">
        <x:v>https://www.cashhomebuyersdirectory.com/cash-home-buyers/colorado/greenwood-village</x:v>
      </x:c>
      <x:c r="AO673" s="3" t="str">
        <x:v>nc_il_az_co_investors.jsonl</x:v>
      </x:c>
      <x:c r="AP673" s="19"/>
    </x:row>
    <x:row r="674" ht="36" customHeight="1">
      <x:c r="A674" s="23" t="n">
        <x:v>673</x:v>
      </x:c>
      <x:c r="B674" s="15" t="str">
        <x:v>New Horizon Home Buyers of Huntsville AL</x:v>
      </x:c>
      <x:c r="C674" s="15"/>
      <x:c r="D674" s="15" t="str">
        <x:v>Property investor / home-buying operator</x:v>
      </x:c>
      <x:c r="E674" s="15" t="str">
        <x:v>Property investor / operator inquiry</x:v>
      </x:c>
      <x:c r="F674" s="17" t="str">
        <x:v>New</x:v>
      </x:c>
      <x:c r="G674" s="24"/>
      <x:c r="H674" s="24" t="str">
        <x:v>+12563841029</x:v>
      </x:c>
      <x:c r="I674" s="24" t="str">
        <x:v>https://www.newhorizonhomebuyers.com/sell-my-house-huntsville-al/</x:v>
      </x:c>
      <x:c r="J674" s="16" t="str">
        <x:v>AL</x:v>
      </x:c>
      <x:c r="K674" s="16" t="str">
        <x:v>Huntsville</x:v>
      </x:c>
      <x:c r="L674" s="16" t="str">
        <x:v>Public property-business route; investor decision maker unconfirmed</x:v>
      </x:c>
      <x:c r="M674" s="16" t="str">
        <x:v>https://www.newhorizonhomebuyers.com/sell-my-house-huntsville-al/</x:v>
      </x:c>
      <x:c r="N674" s="16" t="str">
        <x:v>$100K-$500K ticket not published / unconfirmed</x:v>
      </x:c>
      <x:c r="O674" s="20"/>
      <x:c r="P674" s="20"/>
      <x:c r="Q674" s="25" t="str">
        <x:v>No direct corporate-capital range established in checked source</x:v>
      </x:c>
      <x:c r="R674" s="25" t="str">
        <x:v>Property acquisition or investor activity makes this an operator-capital prospect for the signed trial. Confirm operating-company debt/equity appetite.</x:v>
      </x:c>
      <x:c r="S674" s="25"/>
      <x:c r="T674" s="25" t="str">
        <x:v>Ask the owner/investor whether they can allocate $100K-$500K to trial marketing and acquisitions, and confirm structure, timing and decision authority.</x:v>
      </x:c>
      <x:c r="U674" s="25" t="str">
        <x:v>https://www.cashhomebuyersdirectory.com/cash-home-buyers/alabama/huntsville
https://www.cashhomebuyersdirectory.com/cash-home-buyers/tennessee/memphis
https://www.cashhomebuyersdirectory.com/cash-home-buyers/tennessee/nashville
https://www.cashhomebuyersdirectory.com/cash-home-buyers/tennessee/chattanooga
https://www.cashhomebuyersdirectory.com/cash-home-buyers/tennessee/clarksville
https://www.cashhomebuyersdirectory.com/cash-home-buyers/louisiana/shreveport</x:v>
      </x:c>
      <x:c r="V674" s="26" t="d">
        <x:v>2026-10-02T00:00:00.000Z</x:v>
      </x:c>
      <x:c r="W674" s="26" t="d">
        <x:v>2026-10-02T00:00:00.000Z</x:v>
      </x:c>
      <x:c r="X674" s="25" t="str">
        <x:v>CashHomeBuyersDirectory third-party business listing; first-party business activity not checked in this batch</x:v>
      </x:c>
      <x:c r="Y674" s="25"/>
      <x:c r="Z674" s="25" t="str">
        <x:v>https://www.cashhomebuyersdirectory.com/cash-home-buyers/alabama/huntsville</x:v>
      </x:c>
      <x:c r="AA674" s="25" t="str">
        <x:v>Public cash-home-buyer directory lists the business name, business phone/website where available and market. Operator role and corporate funding willingness require confirmation.</x:v>
      </x:c>
      <x:c r="AB674" s="3" t="str">
        <x:v>New public-source collection</x:v>
      </x:c>
      <x:c r="AC674" s="3" t="str">
        <x:v>unverified</x:v>
      </x:c>
      <x:c r="AD674" s="3" t="str">
        <x:v>Not contacted / unconfirmed</x:v>
      </x:c>
      <x:c r="AE674" s="3" t="str">
        <x:v>No</x:v>
      </x:c>
      <x:c r="AF674" s="3" t="str">
        <x:v>No</x:v>
      </x:c>
      <x:c r="AG674" s="3"/>
      <x:c r="AH674" s="3" t="str">
        <x:v>New Horizon Home Buyers - Sell My House Fast Shreveport Bossier; New Horizon Home Buyers - We Buy Houses - Sell Your House Fast For Cash; New Horizon Home Buyers Of Nashville TN - We Buy Houses Fast For Cash; New Horizon Home Buyers of Memphis - Sell My House Fast</x:v>
      </x:c>
      <x:c r="AI674" s="18"/>
      <x:c r="AJ674" s="3" t="str">
        <x:v>CF2500-C44DE0433488</x:v>
      </x:c>
      <x:c r="AK674" s="3" t="str">
        <x:v>real_estate_operator</x:v>
      </x:c>
      <x:c r="AL674" s="19" t="n">
        <x:v>100000</x:v>
      </x:c>
      <x:c r="AM674" s="19" t="n">
        <x:v>500000</x:v>
      </x:c>
      <x:c r="AN674" s="3" t="str">
        <x:v>https://www.cashhomebuyersdirectory.com/cash-home-buyers/alabama/huntsville</x:v>
      </x:c>
      <x:c r="AO674" s="3" t="str">
        <x:v>national_rest_directory_complete.jsonl</x:v>
      </x:c>
      <x:c r="AP674" s="19"/>
    </x:row>
    <x:row r="675" ht="36" customHeight="1">
      <x:c r="A675" s="23" t="n">
        <x:v>674</x:v>
      </x:c>
      <x:c r="B675" s="15" t="str">
        <x:v>New Leaf House Buyers</x:v>
      </x:c>
      <x:c r="C675" s="15"/>
      <x:c r="D675" s="15" t="str">
        <x:v>Property investor / home-buying operator</x:v>
      </x:c>
      <x:c r="E675" s="15" t="str">
        <x:v>Property investor / operator inquiry</x:v>
      </x:c>
      <x:c r="F675" s="17" t="str">
        <x:v>New</x:v>
      </x:c>
      <x:c r="G675" s="24"/>
      <x:c r="H675" s="24" t="str">
        <x:v>+19314449360</x:v>
      </x:c>
      <x:c r="I675" s="24" t="str">
        <x:v>https://www.newleafhousebuyers.com/</x:v>
      </x:c>
      <x:c r="J675" s="16" t="str">
        <x:v>TN</x:v>
      </x:c>
      <x:c r="K675" s="16" t="str">
        <x:v>Clarksville</x:v>
      </x:c>
      <x:c r="L675" s="16" t="str">
        <x:v>Public property-business route; investor decision maker unconfirmed</x:v>
      </x:c>
      <x:c r="M675" s="16" t="str">
        <x:v>https://www.newleafhousebuyers.com/</x:v>
      </x:c>
      <x:c r="N675" s="16" t="str">
        <x:v>$100K-$500K ticket not published / unconfirmed</x:v>
      </x:c>
      <x:c r="O675" s="20"/>
      <x:c r="P675" s="20"/>
      <x:c r="Q675" s="25" t="str">
        <x:v>No direct corporate-capital range established in checked source</x:v>
      </x:c>
      <x:c r="R675" s="25" t="str">
        <x:v>Property acquisition or investor activity makes this an operator-capital prospect for the signed trial. Confirm operating-company debt/equity appetite.</x:v>
      </x:c>
      <x:c r="S675" s="25"/>
      <x:c r="T675" s="25" t="str">
        <x:v>Ask the owner/investor whether they can allocate $100K-$500K to trial marketing and acquisitions, and confirm structure, timing and decision authority.</x:v>
      </x:c>
      <x:c r="U675" s="25" t="str">
        <x:v>https://www.cashhomebuyersdirectory.com/cash-home-buyers/tennessee/clarksville</x:v>
      </x:c>
      <x:c r="V675" s="26" t="d">
        <x:v>2026-10-02T00:00:00.000Z</x:v>
      </x:c>
      <x:c r="W675" s="26" t="d">
        <x:v>2026-10-02T00:00:00.000Z</x:v>
      </x:c>
      <x:c r="X675" s="25" t="str">
        <x:v>CashHomeBuyersDirectory third-party business listing; first-party business activity not checked in this batch</x:v>
      </x:c>
      <x:c r="Y675" s="25"/>
      <x:c r="Z675" s="25" t="str">
        <x:v>https://www.cashhomebuyersdirectory.com/cash-home-buyers/tennessee/clarksville</x:v>
      </x:c>
      <x:c r="AA675" s="25" t="str">
        <x:v>Public cash-home-buyer directory lists the business name, business phone/website where available and market. Operator role and corporate funding willingness require confirmation.</x:v>
      </x:c>
      <x:c r="AB675" s="3" t="str">
        <x:v>New public-source collection</x:v>
      </x:c>
      <x:c r="AC675" s="3" t="str">
        <x:v>unverified</x:v>
      </x:c>
      <x:c r="AD675" s="3" t="str">
        <x:v>Not contacted / unconfirmed</x:v>
      </x:c>
      <x:c r="AE675" s="3" t="str">
        <x:v>No</x:v>
      </x:c>
      <x:c r="AF675" s="3" t="str">
        <x:v>No</x:v>
      </x:c>
      <x:c r="AG675" s="3"/>
      <x:c r="AH675" s="3"/>
      <x:c r="AI675" s="18"/>
      <x:c r="AJ675" s="3" t="str">
        <x:v>CF2500-551D95310A0C</x:v>
      </x:c>
      <x:c r="AK675" s="3" t="str">
        <x:v>real_estate_operator</x:v>
      </x:c>
      <x:c r="AL675" s="19" t="n">
        <x:v>100000</x:v>
      </x:c>
      <x:c r="AM675" s="19" t="n">
        <x:v>500000</x:v>
      </x:c>
      <x:c r="AN675" s="3" t="str">
        <x:v>https://www.cashhomebuyersdirectory.com/cash-home-buyers/tennessee/clarksville</x:v>
      </x:c>
      <x:c r="AO675" s="3" t="str">
        <x:v>national_rest_directory_complete.jsonl</x:v>
      </x:c>
      <x:c r="AP675" s="19"/>
    </x:row>
    <x:row r="676" ht="36" customHeight="1">
      <x:c r="A676" s="23" t="n">
        <x:v>675</x:v>
      </x:c>
      <x:c r="B676" s="15" t="str">
        <x:v>New Porch Home Buyers</x:v>
      </x:c>
      <x:c r="C676" s="15"/>
      <x:c r="D676" s="15" t="str">
        <x:v>Property investor / home-buying operator</x:v>
      </x:c>
      <x:c r="E676" s="15" t="str">
        <x:v>Property investor / operator inquiry</x:v>
      </x:c>
      <x:c r="F676" s="17" t="str">
        <x:v>New</x:v>
      </x:c>
      <x:c r="G676" s="24"/>
      <x:c r="H676" s="24" t="str">
        <x:v>+18659997809</x:v>
      </x:c>
      <x:c r="I676" s="24" t="str">
        <x:v>https://newporchhomebuyers.com/?utm_source=google_business_profile&amp;utm_medium=organic</x:v>
      </x:c>
      <x:c r="J676" s="16" t="str">
        <x:v>TN</x:v>
      </x:c>
      <x:c r="K676" s="16"/>
      <x:c r="L676" s="16" t="str">
        <x:v>Public property-business route; investor decision maker unconfirmed</x:v>
      </x:c>
      <x:c r="M676" s="16" t="str">
        <x:v>https://newporchhomebuyers.com/?utm_source=google_business_profile&amp;utm_medium=organic</x:v>
      </x:c>
      <x:c r="N676" s="16" t="str">
        <x:v>$100K-$500K ticket not published / unconfirmed</x:v>
      </x:c>
      <x:c r="O676" s="20"/>
      <x:c r="P676" s="20"/>
      <x:c r="Q676" s="25" t="str">
        <x:v>No direct corporate-capital range established in checked source</x:v>
      </x:c>
      <x:c r="R676" s="25" t="str">
        <x:v>Property acquisition or investor activity makes this an operator-capital prospect for the signed trial. Confirm operating-company debt/equity appetite.</x:v>
      </x:c>
      <x:c r="S676" s="25"/>
      <x:c r="T676" s="25" t="str">
        <x:v>Ask the owner/investor whether they can allocate $100K-$500K to trial marketing and acquisitions, and confirm structure, timing and decision authority.</x:v>
      </x:c>
      <x:c r="U676" s="25" t="str">
        <x:v>https://www.cashhomebuyersdirectory.com/cash-home-buyers/tennessee/knoxville</x:v>
      </x:c>
      <x:c r="V676" s="26" t="d">
        <x:v>2026-10-02T00:00:00.000Z</x:v>
      </x:c>
      <x:c r="W676" s="26" t="d">
        <x:v>2026-10-02T00:00:00.000Z</x:v>
      </x:c>
      <x:c r="X676" s="25" t="str">
        <x:v>CashHomeBuyersDirectory third-party business listing; first-party business activity not checked in this batch</x:v>
      </x:c>
      <x:c r="Y676" s="25"/>
      <x:c r="Z676" s="25" t="str">
        <x:v>https://www.cashhomebuyersdirectory.com/cash-home-buyers/tennessee/knoxville</x:v>
      </x:c>
      <x:c r="AA676" s="25" t="str">
        <x:v>Public cash-home-buyer directory lists the business name, business phone/website where available and market. Operator role and corporate funding willingness require confirmation.</x:v>
      </x:c>
      <x:c r="AB676" s="3" t="str">
        <x:v>New public-source collection</x:v>
      </x:c>
      <x:c r="AC676" s="3" t="str">
        <x:v>unverified</x:v>
      </x:c>
      <x:c r="AD676" s="3" t="str">
        <x:v>Not contacted / unconfirmed</x:v>
      </x:c>
      <x:c r="AE676" s="3" t="str">
        <x:v>No</x:v>
      </x:c>
      <x:c r="AF676" s="3" t="str">
        <x:v>No</x:v>
      </x:c>
      <x:c r="AG676" s="3"/>
      <x:c r="AH676" s="3"/>
      <x:c r="AI676" s="18"/>
      <x:c r="AJ676" s="3" t="str">
        <x:v>CF2500-8DF3DC7C51A0</x:v>
      </x:c>
      <x:c r="AK676" s="3" t="str">
        <x:v>real_estate_operator</x:v>
      </x:c>
      <x:c r="AL676" s="19" t="n">
        <x:v>100000</x:v>
      </x:c>
      <x:c r="AM676" s="19" t="n">
        <x:v>500000</x:v>
      </x:c>
      <x:c r="AN676" s="3" t="str">
        <x:v>https://www.cashhomebuyersdirectory.com/cash-home-buyers/tennessee/knoxville</x:v>
      </x:c>
      <x:c r="AO676" s="3" t="str">
        <x:v>national_rest_directory_complete.jsonl</x:v>
      </x:c>
      <x:c r="AP676" s="19"/>
    </x:row>
    <x:row r="677" ht="36" customHeight="1">
      <x:c r="A677" s="23" t="n">
        <x:v>676</x:v>
      </x:c>
      <x:c r="B677" s="15" t="str">
        <x:v>Nexus Homebuyers</x:v>
      </x:c>
      <x:c r="C677" s="15"/>
      <x:c r="D677" s="15" t="str">
        <x:v>Property investor / home-buying operator</x:v>
      </x:c>
      <x:c r="E677" s="15" t="str">
        <x:v>Property investor / operator inquiry</x:v>
      </x:c>
      <x:c r="F677" s="17" t="str">
        <x:v>New</x:v>
      </x:c>
      <x:c r="G677" s="24"/>
      <x:c r="H677" s="24" t="str">
        <x:v>+18659990025</x:v>
      </x:c>
      <x:c r="I677" s="24" t="str">
        <x:v>https://www.nexushomebuyers.com/knoxville</x:v>
      </x:c>
      <x:c r="J677" s="16" t="str">
        <x:v>TN</x:v>
      </x:c>
      <x:c r="K677" s="16" t="str">
        <x:v>Knoxville</x:v>
      </x:c>
      <x:c r="L677" s="16" t="str">
        <x:v>Public property-business route; investor decision maker unconfirmed</x:v>
      </x:c>
      <x:c r="M677" s="16" t="str">
        <x:v>https://www.nexushomebuyers.com/knoxville</x:v>
      </x:c>
      <x:c r="N677" s="16" t="str">
        <x:v>$100K-$500K ticket not published / unconfirmed</x:v>
      </x:c>
      <x:c r="O677" s="20"/>
      <x:c r="P677" s="20"/>
      <x:c r="Q677" s="25" t="str">
        <x:v>No direct corporate-capital range established in checked source</x:v>
      </x:c>
      <x:c r="R677" s="25" t="str">
        <x:v>Property acquisition or investor activity makes this an operator-capital prospect for the signed trial. Confirm operating-company debt/equity appetite.</x:v>
      </x:c>
      <x:c r="S677" s="25"/>
      <x:c r="T677" s="25" t="str">
        <x:v>Ask the owner/investor whether they can allocate $100K-$500K to trial marketing and acquisitions, and confirm structure, timing and decision authority.</x:v>
      </x:c>
      <x:c r="U677" s="25" t="str">
        <x:v>https://www.cashhomebuyersdirectory.com/cash-home-buyers/tennessee/knoxville</x:v>
      </x:c>
      <x:c r="V677" s="26" t="d">
        <x:v>2026-10-02T00:00:00.000Z</x:v>
      </x:c>
      <x:c r="W677" s="26" t="d">
        <x:v>2026-10-02T00:00:00.000Z</x:v>
      </x:c>
      <x:c r="X677" s="25" t="str">
        <x:v>CashHomeBuyersDirectory third-party business listing; first-party business activity not checked in this batch</x:v>
      </x:c>
      <x:c r="Y677" s="25"/>
      <x:c r="Z677" s="25" t="str">
        <x:v>https://www.cashhomebuyersdirectory.com/cash-home-buyers/tennessee/knoxville</x:v>
      </x:c>
      <x:c r="AA677" s="25" t="str">
        <x:v>Public cash-home-buyer directory lists the business name, business phone/website where available and market. Operator role and corporate funding willingness require confirmation.</x:v>
      </x:c>
      <x:c r="AB677" s="3" t="str">
        <x:v>New public-source collection</x:v>
      </x:c>
      <x:c r="AC677" s="3" t="str">
        <x:v>unverified</x:v>
      </x:c>
      <x:c r="AD677" s="3" t="str">
        <x:v>Not contacted / unconfirmed</x:v>
      </x:c>
      <x:c r="AE677" s="3" t="str">
        <x:v>No</x:v>
      </x:c>
      <x:c r="AF677" s="3" t="str">
        <x:v>No</x:v>
      </x:c>
      <x:c r="AG677" s="3"/>
      <x:c r="AH677" s="3"/>
      <x:c r="AI677" s="18"/>
      <x:c r="AJ677" s="3" t="str">
        <x:v>CF2500-46BB3E8CC1A6</x:v>
      </x:c>
      <x:c r="AK677" s="3" t="str">
        <x:v>real_estate_operator</x:v>
      </x:c>
      <x:c r="AL677" s="19" t="n">
        <x:v>100000</x:v>
      </x:c>
      <x:c r="AM677" s="19" t="n">
        <x:v>500000</x:v>
      </x:c>
      <x:c r="AN677" s="3" t="str">
        <x:v>https://www.cashhomebuyersdirectory.com/cash-home-buyers/tennessee/knoxville</x:v>
      </x:c>
      <x:c r="AO677" s="3" t="str">
        <x:v>national_rest_directory_complete.jsonl</x:v>
      </x:c>
      <x:c r="AP677" s="19"/>
    </x:row>
    <x:row r="678" ht="36" customHeight="1">
      <x:c r="A678" s="23" t="n">
        <x:v>677</x:v>
      </x:c>
      <x:c r="B678" s="15" t="str">
        <x:v>NWI Cash Home Buyers</x:v>
      </x:c>
      <x:c r="C678" s="15"/>
      <x:c r="D678" s="15" t="str">
        <x:v>Property investor / home-buying operator</x:v>
      </x:c>
      <x:c r="E678" s="15" t="str">
        <x:v>Property investor / operator inquiry</x:v>
      </x:c>
      <x:c r="F678" s="17" t="str">
        <x:v>New</x:v>
      </x:c>
      <x:c r="G678" s="24"/>
      <x:c r="H678" s="24" t="str">
        <x:v>+12194729100</x:v>
      </x:c>
      <x:c r="I678" s="24" t="str">
        <x:v>http://cashforportagehouses.com/</x:v>
      </x:c>
      <x:c r="J678" s="16" t="str">
        <x:v>IN</x:v>
      </x:c>
      <x:c r="K678" s="16" t="str">
        <x:v>Crown Point</x:v>
      </x:c>
      <x:c r="L678" s="16" t="str">
        <x:v>Public property-business route; investor decision maker unconfirmed</x:v>
      </x:c>
      <x:c r="M678" s="16" t="str">
        <x:v>http://cashforportagehouses.com/</x:v>
      </x:c>
      <x:c r="N678" s="16" t="str">
        <x:v>$100K-$500K ticket not published / unconfirmed</x:v>
      </x:c>
      <x:c r="O678" s="20"/>
      <x:c r="P678" s="20"/>
      <x:c r="Q678" s="25" t="str">
        <x:v>No direct corporate-capital range established in checked source</x:v>
      </x:c>
      <x:c r="R678" s="25" t="str">
        <x:v>Property acquisition or investor activity makes this an operator-capital prospect for the signed trial. Confirm operating-company debt/equity appetite.</x:v>
      </x:c>
      <x:c r="S678" s="25"/>
      <x:c r="T678" s="25" t="str">
        <x:v>Ask the owner/investor whether they can allocate $100K-$500K to trial marketing and acquisitions, and confirm structure, timing and decision authority.</x:v>
      </x:c>
      <x:c r="U678" s="25" t="str">
        <x:v>https://www.cashhomebuyersdirectory.com/cash-home-buyers/indiana/crown-point</x:v>
      </x:c>
      <x:c r="V678" s="26" t="d">
        <x:v>2026-10-02T00:00:00.000Z</x:v>
      </x:c>
      <x:c r="W678" s="26" t="d">
        <x:v>2026-10-02T00:00:00.000Z</x:v>
      </x:c>
      <x:c r="X678" s="25" t="str">
        <x:v>CashHomeBuyersDirectory third-party business listing; first-party business activity not checked in this batch</x:v>
      </x:c>
      <x:c r="Y678" s="25"/>
      <x:c r="Z678" s="25" t="str">
        <x:v>https://www.cashhomebuyersdirectory.com/cash-home-buyers/indiana/crown-point</x:v>
      </x:c>
      <x:c r="AA678" s="25" t="str">
        <x:v>Public cash-home-buyer directory lists the business name, business phone/website where available and market. Operator role and corporate funding willingness require confirmation.</x:v>
      </x:c>
      <x:c r="AB678" s="3" t="str">
        <x:v>New public-source collection</x:v>
      </x:c>
      <x:c r="AC678" s="3" t="str">
        <x:v>unverified</x:v>
      </x:c>
      <x:c r="AD678" s="3" t="str">
        <x:v>Not contacted / unconfirmed</x:v>
      </x:c>
      <x:c r="AE678" s="3" t="str">
        <x:v>No</x:v>
      </x:c>
      <x:c r="AF678" s="3" t="str">
        <x:v>No</x:v>
      </x:c>
      <x:c r="AG678" s="3"/>
      <x:c r="AH678" s="3"/>
      <x:c r="AI678" s="18"/>
      <x:c r="AJ678" s="3" t="str">
        <x:v>CF2500-FE20C24E9949</x:v>
      </x:c>
      <x:c r="AK678" s="3" t="str">
        <x:v>real_estate_operator</x:v>
      </x:c>
      <x:c r="AL678" s="19" t="n">
        <x:v>100000</x:v>
      </x:c>
      <x:c r="AM678" s="19" t="n">
        <x:v>500000</x:v>
      </x:c>
      <x:c r="AN678" s="3" t="str">
        <x:v>https://www.cashhomebuyersdirectory.com/cash-home-buyers/indiana/crown-point</x:v>
      </x:c>
      <x:c r="AO678" s="3" t="str">
        <x:v>national_rest_directory_complete.jsonl</x:v>
      </x:c>
      <x:c r="AP678" s="19"/>
    </x:row>
    <x:row r="679" ht="36" customHeight="1">
      <x:c r="A679" s="23" t="n">
        <x:v>678</x:v>
      </x:c>
      <x:c r="B679" s="15" t="str">
        <x:v>OK Cash Home Buyers</x:v>
      </x:c>
      <x:c r="C679" s="15"/>
      <x:c r="D679" s="15" t="str">
        <x:v>Property investor / home-buying operator</x:v>
      </x:c>
      <x:c r="E679" s="15" t="str">
        <x:v>Property investor / operator inquiry</x:v>
      </x:c>
      <x:c r="F679" s="17" t="str">
        <x:v>New</x:v>
      </x:c>
      <x:c r="G679" s="24"/>
      <x:c r="H679" s="24" t="str">
        <x:v>+14057450849</x:v>
      </x:c>
      <x:c r="I679" s="24" t="str">
        <x:v>http://www.okcashhomebuyers.com/</x:v>
      </x:c>
      <x:c r="J679" s="16" t="str">
        <x:v>OK</x:v>
      </x:c>
      <x:c r="K679" s="16" t="str">
        <x:v>Norman</x:v>
      </x:c>
      <x:c r="L679" s="16" t="str">
        <x:v>Public property-business route; investor decision maker unconfirmed</x:v>
      </x:c>
      <x:c r="M679" s="16" t="str">
        <x:v>http://www.okcashhomebuyers.com/</x:v>
      </x:c>
      <x:c r="N679" s="16" t="str">
        <x:v>$100K-$500K ticket not published / unconfirmed</x:v>
      </x:c>
      <x:c r="O679" s="20"/>
      <x:c r="P679" s="20"/>
      <x:c r="Q679" s="25" t="str">
        <x:v>No direct corporate-capital range established in checked source</x:v>
      </x:c>
      <x:c r="R679" s="25" t="str">
        <x:v>Property acquisition or investor activity makes this an operator-capital prospect for the signed trial. Confirm operating-company debt/equity appetite.</x:v>
      </x:c>
      <x:c r="S679" s="25"/>
      <x:c r="T679" s="25" t="str">
        <x:v>Ask the owner/investor whether they can allocate $100K-$500K to trial marketing and acquisitions, and confirm structure, timing and decision authority.</x:v>
      </x:c>
      <x:c r="U679" s="25" t="str">
        <x:v>https://www.cashhomebuyersdirectory.com/cash-home-buyers/oklahoma/norman
https://www.cashhomebuyersdirectory.com/cash-home-buyers/oklahoma/oklahoma-city</x:v>
      </x:c>
      <x:c r="V679" s="26" t="d">
        <x:v>2026-10-02T00:00:00.000Z</x:v>
      </x:c>
      <x:c r="W679" s="26" t="d">
        <x:v>2026-10-02T00:00:00.000Z</x:v>
      </x:c>
      <x:c r="X679" s="25" t="str">
        <x:v>CashHomeBuyersDirectory third-party business listing; first-party business activity not checked in this batch</x:v>
      </x:c>
      <x:c r="Y679" s="25"/>
      <x:c r="Z679" s="25" t="str">
        <x:v>https://www.cashhomebuyersdirectory.com/cash-home-buyers/oklahoma/norman</x:v>
      </x:c>
      <x:c r="AA679" s="25" t="str">
        <x:v>Public cash-home-buyer directory lists the business name, business phone/website where available and market. Operator role and corporate funding willingness require confirmation.</x:v>
      </x:c>
      <x:c r="AB679" s="3" t="str">
        <x:v>New public-source collection</x:v>
      </x:c>
      <x:c r="AC679" s="3" t="str">
        <x:v>unverified</x:v>
      </x:c>
      <x:c r="AD679" s="3" t="str">
        <x:v>Not contacted / unconfirmed</x:v>
      </x:c>
      <x:c r="AE679" s="3" t="str">
        <x:v>No</x:v>
      </x:c>
      <x:c r="AF679" s="3" t="str">
        <x:v>No</x:v>
      </x:c>
      <x:c r="AG679" s="3"/>
      <x:c r="AH679" s="3"/>
      <x:c r="AI679" s="18"/>
      <x:c r="AJ679" s="3" t="str">
        <x:v>CF2500-3D7E73506594</x:v>
      </x:c>
      <x:c r="AK679" s="3" t="str">
        <x:v>real_estate_operator</x:v>
      </x:c>
      <x:c r="AL679" s="19" t="n">
        <x:v>100000</x:v>
      </x:c>
      <x:c r="AM679" s="19" t="n">
        <x:v>500000</x:v>
      </x:c>
      <x:c r="AN679" s="3" t="str">
        <x:v>https://www.cashhomebuyersdirectory.com/cash-home-buyers/oklahoma/norman</x:v>
      </x:c>
      <x:c r="AO679" s="3" t="str">
        <x:v>national_rest_directory_complete.jsonl</x:v>
      </x:c>
      <x:c r="AP679" s="19"/>
    </x:row>
    <x:row r="680" ht="36" customHeight="1">
      <x:c r="A680" s="23" t="n">
        <x:v>679</x:v>
      </x:c>
      <x:c r="B680" s="15" t="str">
        <x:v>OKC House Buyers - Sell My House Fast OKC - We Buy Houses</x:v>
      </x:c>
      <x:c r="C680" s="15"/>
      <x:c r="D680" s="15" t="str">
        <x:v>Property investor / home-buying operator</x:v>
      </x:c>
      <x:c r="E680" s="15" t="str">
        <x:v>Property investor / operator inquiry</x:v>
      </x:c>
      <x:c r="F680" s="17" t="str">
        <x:v>New</x:v>
      </x:c>
      <x:c r="G680" s="24"/>
      <x:c r="H680" s="24" t="str">
        <x:v>+14056030779</x:v>
      </x:c>
      <x:c r="I680" s="24" t="str">
        <x:v>https://www.okchousebuyers.com/</x:v>
      </x:c>
      <x:c r="J680" s="16" t="str">
        <x:v>OK</x:v>
      </x:c>
      <x:c r="K680" s="16" t="str">
        <x:v>Oklahoma City</x:v>
      </x:c>
      <x:c r="L680" s="16" t="str">
        <x:v>Public property-business route; investor decision maker unconfirmed</x:v>
      </x:c>
      <x:c r="M680" s="16" t="str">
        <x:v>https://www.okchousebuyers.com/</x:v>
      </x:c>
      <x:c r="N680" s="16" t="str">
        <x:v>$100K-$500K ticket not published / unconfirmed</x:v>
      </x:c>
      <x:c r="O680" s="20"/>
      <x:c r="P680" s="20"/>
      <x:c r="Q680" s="25" t="str">
        <x:v>No direct corporate-capital range established in checked source</x:v>
      </x:c>
      <x:c r="R680" s="25" t="str">
        <x:v>Property acquisition or investor activity makes this an operator-capital prospect for the signed trial. Confirm operating-company debt/equity appetite.</x:v>
      </x:c>
      <x:c r="S680" s="25"/>
      <x:c r="T680" s="25" t="str">
        <x:v>Ask the owner/investor whether they can allocate $100K-$500K to trial marketing and acquisitions, and confirm structure, timing and decision authority.</x:v>
      </x:c>
      <x:c r="U680" s="25" t="str">
        <x:v>https://www.cashhomebuyersdirectory.com/cash-home-buyers/oklahoma/oklahoma-city</x:v>
      </x:c>
      <x:c r="V680" s="26" t="d">
        <x:v>2026-10-02T00:00:00.000Z</x:v>
      </x:c>
      <x:c r="W680" s="26" t="d">
        <x:v>2026-10-02T00:00:00.000Z</x:v>
      </x:c>
      <x:c r="X680" s="25" t="str">
        <x:v>CashHomeBuyersDirectory third-party business listing; first-party business activity not checked in this batch</x:v>
      </x:c>
      <x:c r="Y680" s="25"/>
      <x:c r="Z680" s="25" t="str">
        <x:v>https://www.cashhomebuyersdirectory.com/cash-home-buyers/oklahoma/oklahoma-city</x:v>
      </x:c>
      <x:c r="AA680" s="25" t="str">
        <x:v>Public cash-home-buyer directory lists the business name, business phone/website where available and market. Operator role and corporate funding willingness require confirmation.</x:v>
      </x:c>
      <x:c r="AB680" s="3" t="str">
        <x:v>New public-source collection</x:v>
      </x:c>
      <x:c r="AC680" s="3" t="str">
        <x:v>unverified</x:v>
      </x:c>
      <x:c r="AD680" s="3" t="str">
        <x:v>Not contacted / unconfirmed</x:v>
      </x:c>
      <x:c r="AE680" s="3" t="str">
        <x:v>No</x:v>
      </x:c>
      <x:c r="AF680" s="3" t="str">
        <x:v>No</x:v>
      </x:c>
      <x:c r="AG680" s="3"/>
      <x:c r="AH680" s="3"/>
      <x:c r="AI680" s="18"/>
      <x:c r="AJ680" s="3" t="str">
        <x:v>CF2500-16DDFB9167E1</x:v>
      </x:c>
      <x:c r="AK680" s="3" t="str">
        <x:v>real_estate_operator</x:v>
      </x:c>
      <x:c r="AL680" s="19" t="n">
        <x:v>100000</x:v>
      </x:c>
      <x:c r="AM680" s="19" t="n">
        <x:v>500000</x:v>
      </x:c>
      <x:c r="AN680" s="3" t="str">
        <x:v>https://www.cashhomebuyersdirectory.com/cash-home-buyers/oklahoma/oklahoma-city</x:v>
      </x:c>
      <x:c r="AO680" s="3" t="str">
        <x:v>national_rest_directory_complete.jsonl</x:v>
      </x:c>
      <x:c r="AP680" s="19"/>
    </x:row>
    <x:row r="681" ht="36" customHeight="1">
      <x:c r="A681" s="23" t="n">
        <x:v>680</x:v>
      </x:c>
      <x:c r="B681" s="15" t="str">
        <x:v>OKC Property Buyers</x:v>
      </x:c>
      <x:c r="C681" s="15"/>
      <x:c r="D681" s="15" t="str">
        <x:v>Property investor / home-buying operator</x:v>
      </x:c>
      <x:c r="E681" s="15" t="str">
        <x:v>Property investor / operator inquiry</x:v>
      </x:c>
      <x:c r="F681" s="17" t="str">
        <x:v>New</x:v>
      </x:c>
      <x:c r="G681" s="24"/>
      <x:c r="H681" s="24" t="str">
        <x:v>+14052529880</x:v>
      </x:c>
      <x:c r="I681" s="24" t="str">
        <x:v>https://www.okcpropertybuyers.com/sell-your-house/</x:v>
      </x:c>
      <x:c r="J681" s="16" t="str">
        <x:v>OK</x:v>
      </x:c>
      <x:c r="K681" s="16" t="str">
        <x:v>Oklahoma City</x:v>
      </x:c>
      <x:c r="L681" s="16" t="str">
        <x:v>Public property-business route; investor decision maker unconfirmed</x:v>
      </x:c>
      <x:c r="M681" s="16" t="str">
        <x:v>https://www.okcpropertybuyers.com/sell-your-house/</x:v>
      </x:c>
      <x:c r="N681" s="16" t="str">
        <x:v>$100K-$500K ticket not published / unconfirmed</x:v>
      </x:c>
      <x:c r="O681" s="20"/>
      <x:c r="P681" s="20"/>
      <x:c r="Q681" s="25" t="str">
        <x:v>No direct corporate-capital range established in checked source</x:v>
      </x:c>
      <x:c r="R681" s="25" t="str">
        <x:v>Property acquisition or investor activity makes this an operator-capital prospect for the signed trial. Confirm operating-company debt/equity appetite.</x:v>
      </x:c>
      <x:c r="S681" s="25"/>
      <x:c r="T681" s="25" t="str">
        <x:v>Ask the owner/investor whether they can allocate $100K-$500K to trial marketing and acquisitions, and confirm structure, timing and decision authority.</x:v>
      </x:c>
      <x:c r="U681" s="25" t="str">
        <x:v>https://www.cashhomebuyersdirectory.com/cash-home-buyers/oklahoma/oklahoma-city</x:v>
      </x:c>
      <x:c r="V681" s="26" t="d">
        <x:v>2026-10-02T00:00:00.000Z</x:v>
      </x:c>
      <x:c r="W681" s="26" t="d">
        <x:v>2026-10-02T00:00:00.000Z</x:v>
      </x:c>
      <x:c r="X681" s="25" t="str">
        <x:v>CashHomeBuyersDirectory third-party business listing; first-party business activity not checked in this batch</x:v>
      </x:c>
      <x:c r="Y681" s="25"/>
      <x:c r="Z681" s="25" t="str">
        <x:v>https://www.cashhomebuyersdirectory.com/cash-home-buyers/oklahoma/oklahoma-city</x:v>
      </x:c>
      <x:c r="AA681" s="25" t="str">
        <x:v>Public cash-home-buyer directory lists the business name, business phone/website where available and market. Operator role and corporate funding willingness require confirmation.</x:v>
      </x:c>
      <x:c r="AB681" s="3" t="str">
        <x:v>New public-source collection</x:v>
      </x:c>
      <x:c r="AC681" s="3" t="str">
        <x:v>unverified</x:v>
      </x:c>
      <x:c r="AD681" s="3" t="str">
        <x:v>Not contacted / unconfirmed</x:v>
      </x:c>
      <x:c r="AE681" s="3" t="str">
        <x:v>No</x:v>
      </x:c>
      <x:c r="AF681" s="3" t="str">
        <x:v>No</x:v>
      </x:c>
      <x:c r="AG681" s="3"/>
      <x:c r="AH681" s="3"/>
      <x:c r="AI681" s="18"/>
      <x:c r="AJ681" s="3" t="str">
        <x:v>CF2500-54C27347026B</x:v>
      </x:c>
      <x:c r="AK681" s="3" t="str">
        <x:v>real_estate_operator</x:v>
      </x:c>
      <x:c r="AL681" s="19" t="n">
        <x:v>100000</x:v>
      </x:c>
      <x:c r="AM681" s="19" t="n">
        <x:v>500000</x:v>
      </x:c>
      <x:c r="AN681" s="3" t="str">
        <x:v>https://www.cashhomebuyersdirectory.com/cash-home-buyers/oklahoma/oklahoma-city</x:v>
      </x:c>
      <x:c r="AO681" s="3" t="str">
        <x:v>national_rest_directory_complete.jsonl</x:v>
      </x:c>
      <x:c r="AP681" s="19"/>
    </x:row>
    <x:row r="682" ht="36" customHeight="1">
      <x:c r="A682" s="23" t="n">
        <x:v>681</x:v>
      </x:c>
      <x:c r="B682" s="15" t="str">
        <x:v>Oklahoma Cash Home Buyer &amp; Real Estate Advisors</x:v>
      </x:c>
      <x:c r="C682" s="15"/>
      <x:c r="D682" s="15" t="str">
        <x:v>Property investor / home-buying operator</x:v>
      </x:c>
      <x:c r="E682" s="15" t="str">
        <x:v>Property investor / operator inquiry</x:v>
      </x:c>
      <x:c r="F682" s="17" t="str">
        <x:v>New</x:v>
      </x:c>
      <x:c r="G682" s="24"/>
      <x:c r="H682" s="24" t="str">
        <x:v>+19182215222</x:v>
      </x:c>
      <x:c r="I682" s="24" t="str">
        <x:v>https://www.oklahomacashhomebuyer.com/</x:v>
      </x:c>
      <x:c r="J682" s="16" t="str">
        <x:v>OK</x:v>
      </x:c>
      <x:c r="K682" s="16" t="str">
        <x:v>Tulsa</x:v>
      </x:c>
      <x:c r="L682" s="16" t="str">
        <x:v>Public property-business route; investor decision maker unconfirmed</x:v>
      </x:c>
      <x:c r="M682" s="16" t="str">
        <x:v>https://www.oklahomacashhomebuyer.com/</x:v>
      </x:c>
      <x:c r="N682" s="16" t="str">
        <x:v>$100K-$500K ticket not published / unconfirmed</x:v>
      </x:c>
      <x:c r="O682" s="20"/>
      <x:c r="P682" s="20"/>
      <x:c r="Q682" s="25" t="str">
        <x:v>No direct corporate-capital range established in checked source</x:v>
      </x:c>
      <x:c r="R682" s="25" t="str">
        <x:v>Property acquisition or investor activity makes this an operator-capital prospect for the signed trial. Confirm operating-company debt/equity appetite.</x:v>
      </x:c>
      <x:c r="S682" s="25"/>
      <x:c r="T682" s="25" t="str">
        <x:v>Ask the owner/investor whether they can allocate $100K-$500K to trial marketing and acquisitions, and confirm structure, timing and decision authority.</x:v>
      </x:c>
      <x:c r="U682" s="25" t="str">
        <x:v>https://www.cashhomebuyersdirectory.com/cash-home-buyers/oklahoma/tulsa</x:v>
      </x:c>
      <x:c r="V682" s="26" t="d">
        <x:v>2026-10-02T00:00:00.000Z</x:v>
      </x:c>
      <x:c r="W682" s="26" t="d">
        <x:v>2026-10-02T00:00:00.000Z</x:v>
      </x:c>
      <x:c r="X682" s="25" t="str">
        <x:v>CashHomeBuyersDirectory third-party business listing; first-party business activity not checked in this batch</x:v>
      </x:c>
      <x:c r="Y682" s="25"/>
      <x:c r="Z682" s="25" t="str">
        <x:v>https://www.cashhomebuyersdirectory.com/cash-home-buyers/oklahoma/tulsa</x:v>
      </x:c>
      <x:c r="AA682" s="25" t="str">
        <x:v>Public cash-home-buyer directory lists the business name, business phone/website where available and market. Operator role and corporate funding willingness require confirmation.</x:v>
      </x:c>
      <x:c r="AB682" s="3" t="str">
        <x:v>New public-source collection</x:v>
      </x:c>
      <x:c r="AC682" s="3" t="str">
        <x:v>unverified</x:v>
      </x:c>
      <x:c r="AD682" s="3" t="str">
        <x:v>Not contacted / unconfirmed</x:v>
      </x:c>
      <x:c r="AE682" s="3" t="str">
        <x:v>No</x:v>
      </x:c>
      <x:c r="AF682" s="3" t="str">
        <x:v>No</x:v>
      </x:c>
      <x:c r="AG682" s="3"/>
      <x:c r="AH682" s="3"/>
      <x:c r="AI682" s="18"/>
      <x:c r="AJ682" s="3" t="str">
        <x:v>CF2500-4403D120C932</x:v>
      </x:c>
      <x:c r="AK682" s="3" t="str">
        <x:v>real_estate_operator</x:v>
      </x:c>
      <x:c r="AL682" s="19" t="n">
        <x:v>100000</x:v>
      </x:c>
      <x:c r="AM682" s="19" t="n">
        <x:v>500000</x:v>
      </x:c>
      <x:c r="AN682" s="3" t="str">
        <x:v>https://www.cashhomebuyersdirectory.com/cash-home-buyers/oklahoma/tulsa</x:v>
      </x:c>
      <x:c r="AO682" s="3" t="str">
        <x:v>national_rest_directory_complete.jsonl</x:v>
      </x:c>
      <x:c r="AP682" s="19"/>
    </x:row>
    <x:row r="683" ht="36" customHeight="1">
      <x:c r="A683" s="23" t="n">
        <x:v>682</x:v>
      </x:c>
      <x:c r="B683" s="15" t="str">
        <x:v>Palmetto Home Buyers</x:v>
      </x:c>
      <x:c r="C683" s="15"/>
      <x:c r="D683" s="15" t="str">
        <x:v>Property investor / home-buying operator</x:v>
      </x:c>
      <x:c r="E683" s="15" t="str">
        <x:v>Property investor / operator inquiry</x:v>
      </x:c>
      <x:c r="F683" s="17" t="str">
        <x:v>New</x:v>
      </x:c>
      <x:c r="G683" s="24"/>
      <x:c r="H683" s="24" t="str">
        <x:v>+18437904689</x:v>
      </x:c>
      <x:c r="I683" s="24" t="str">
        <x:v>http://www.palmettohomebuyers.com/</x:v>
      </x:c>
      <x:c r="J683" s="16" t="str">
        <x:v>SC</x:v>
      </x:c>
      <x:c r="K683" s="16" t="str">
        <x:v>Charleston</x:v>
      </x:c>
      <x:c r="L683" s="16" t="str">
        <x:v>Public property-business route; investor decision maker unconfirmed</x:v>
      </x:c>
      <x:c r="M683" s="16" t="str">
        <x:v>http://www.palmettohomebuyers.com/</x:v>
      </x:c>
      <x:c r="N683" s="16" t="str">
        <x:v>$100K-$500K ticket not published / unconfirmed</x:v>
      </x:c>
      <x:c r="O683" s="20"/>
      <x:c r="P683" s="20"/>
      <x:c r="Q683" s="25" t="str">
        <x:v>No direct corporate-capital range established in checked source</x:v>
      </x:c>
      <x:c r="R683" s="25" t="str">
        <x:v>Property acquisition or investor activity makes this an operator-capital prospect for the signed trial. Confirm operating-company debt/equity appetite.</x:v>
      </x:c>
      <x:c r="S683" s="25"/>
      <x:c r="T683" s="25" t="str">
        <x:v>Ask the owner/investor whether they can allocate $100K-$500K to trial marketing and acquisitions, and confirm structure, timing and decision authority.</x:v>
      </x:c>
      <x:c r="U683" s="25" t="str">
        <x:v>https://www.cashhomebuyersdirectory.com/cash-home-buyers/south-carolina/charleston</x:v>
      </x:c>
      <x:c r="V683" s="26" t="d">
        <x:v>2026-10-02T00:00:00.000Z</x:v>
      </x:c>
      <x:c r="W683" s="26" t="d">
        <x:v>2026-10-02T00:00:00.000Z</x:v>
      </x:c>
      <x:c r="X683" s="25" t="str">
        <x:v>CashHomeBuyersDirectory third-party business listing; first-party business activity not checked in this batch</x:v>
      </x:c>
      <x:c r="Y683" s="25"/>
      <x:c r="Z683" s="25" t="str">
        <x:v>https://www.cashhomebuyersdirectory.com/cash-home-buyers/south-carolina/charleston</x:v>
      </x:c>
      <x:c r="AA683" s="25" t="str">
        <x:v>Public cash-home-buyer directory lists the business name, business phone/website where available and market. Operator role and corporate funding willingness require confirmation.</x:v>
      </x:c>
      <x:c r="AB683" s="3" t="str">
        <x:v>New public-source collection</x:v>
      </x:c>
      <x:c r="AC683" s="3" t="str">
        <x:v>unverified</x:v>
      </x:c>
      <x:c r="AD683" s="3" t="str">
        <x:v>Not contacted / unconfirmed</x:v>
      </x:c>
      <x:c r="AE683" s="3" t="str">
        <x:v>No</x:v>
      </x:c>
      <x:c r="AF683" s="3" t="str">
        <x:v>No</x:v>
      </x:c>
      <x:c r="AG683" s="3"/>
      <x:c r="AH683" s="3"/>
      <x:c r="AI683" s="18"/>
      <x:c r="AJ683" s="3" t="str">
        <x:v>CF2500-0BB8FD38BADE</x:v>
      </x:c>
      <x:c r="AK683" s="3" t="str">
        <x:v>real_estate_operator</x:v>
      </x:c>
      <x:c r="AL683" s="19" t="n">
        <x:v>100000</x:v>
      </x:c>
      <x:c r="AM683" s="19" t="n">
        <x:v>500000</x:v>
      </x:c>
      <x:c r="AN683" s="3" t="str">
        <x:v>https://www.cashhomebuyersdirectory.com/cash-home-buyers/south-carolina/charleston</x:v>
      </x:c>
      <x:c r="AO683" s="3" t="str">
        <x:v>national_rest_directory_complete.jsonl</x:v>
      </x:c>
      <x:c r="AP683" s="19"/>
    </x:row>
    <x:row r="684" ht="36" customHeight="1">
      <x:c r="A684" s="23" t="n">
        <x:v>683</x:v>
      </x:c>
      <x:c r="B684" s="15" t="str">
        <x:v>Paramount Property Buyers</x:v>
      </x:c>
      <x:c r="C684" s="15"/>
      <x:c r="D684" s="15" t="str">
        <x:v>Property investor / home-buying operator</x:v>
      </x:c>
      <x:c r="E684" s="15" t="str">
        <x:v>Property investor / operator inquiry</x:v>
      </x:c>
      <x:c r="F684" s="17" t="str">
        <x:v>New</x:v>
      </x:c>
      <x:c r="G684" s="24"/>
      <x:c r="H684" s="24" t="str">
        <x:v>+14635001221</x:v>
      </x:c>
      <x:c r="I684" s="24" t="str">
        <x:v>https://paramountprop.com/</x:v>
      </x:c>
      <x:c r="J684" s="16" t="str">
        <x:v>IN</x:v>
      </x:c>
      <x:c r="K684" s="16" t="str">
        <x:v>Indianapolis</x:v>
      </x:c>
      <x:c r="L684" s="16" t="str">
        <x:v>Public property-business route; investor decision maker unconfirmed</x:v>
      </x:c>
      <x:c r="M684" s="16" t="str">
        <x:v>https://paramountprop.com/</x:v>
      </x:c>
      <x:c r="N684" s="16" t="str">
        <x:v>$100K-$500K ticket not published / unconfirmed</x:v>
      </x:c>
      <x:c r="O684" s="20"/>
      <x:c r="P684" s="20"/>
      <x:c r="Q684" s="25" t="str">
        <x:v>No direct corporate-capital range established in checked source</x:v>
      </x:c>
      <x:c r="R684" s="25" t="str">
        <x:v>Property acquisition or investor activity makes this an operator-capital prospect for the signed trial. Confirm operating-company debt/equity appetite.</x:v>
      </x:c>
      <x:c r="S684" s="25"/>
      <x:c r="T684" s="25" t="str">
        <x:v>Ask the owner/investor whether they can allocate $100K-$500K to trial marketing and acquisitions, and confirm structure, timing and decision authority.</x:v>
      </x:c>
      <x:c r="U684" s="25" t="str">
        <x:v>https://www.cashhomebuyersdirectory.com/cash-home-buyers/indiana/indianapolis</x:v>
      </x:c>
      <x:c r="V684" s="26" t="d">
        <x:v>2026-10-02T00:00:00.000Z</x:v>
      </x:c>
      <x:c r="W684" s="26" t="d">
        <x:v>2026-10-02T00:00:00.000Z</x:v>
      </x:c>
      <x:c r="X684" s="25" t="str">
        <x:v>CashHomeBuyersDirectory third-party business listing; first-party business activity not checked in this batch</x:v>
      </x:c>
      <x:c r="Y684" s="25"/>
      <x:c r="Z684" s="25" t="str">
        <x:v>https://www.cashhomebuyersdirectory.com/cash-home-buyers/indiana/indianapolis</x:v>
      </x:c>
      <x:c r="AA684" s="25" t="str">
        <x:v>Public cash-home-buyer directory lists the business name, business phone/website where available and market. Operator role and corporate funding willingness require confirmation.</x:v>
      </x:c>
      <x:c r="AB684" s="3" t="str">
        <x:v>New public-source collection</x:v>
      </x:c>
      <x:c r="AC684" s="3" t="str">
        <x:v>unverified</x:v>
      </x:c>
      <x:c r="AD684" s="3" t="str">
        <x:v>Not contacted / unconfirmed</x:v>
      </x:c>
      <x:c r="AE684" s="3" t="str">
        <x:v>No</x:v>
      </x:c>
      <x:c r="AF684" s="3" t="str">
        <x:v>No</x:v>
      </x:c>
      <x:c r="AG684" s="3"/>
      <x:c r="AH684" s="3"/>
      <x:c r="AI684" s="18"/>
      <x:c r="AJ684" s="3" t="str">
        <x:v>CF2500-08E978DE9C89</x:v>
      </x:c>
      <x:c r="AK684" s="3" t="str">
        <x:v>real_estate_operator</x:v>
      </x:c>
      <x:c r="AL684" s="19" t="n">
        <x:v>100000</x:v>
      </x:c>
      <x:c r="AM684" s="19" t="n">
        <x:v>500000</x:v>
      </x:c>
      <x:c r="AN684" s="3" t="str">
        <x:v>https://www.cashhomebuyersdirectory.com/cash-home-buyers/indiana/indianapolis</x:v>
      </x:c>
      <x:c r="AO684" s="3" t="str">
        <x:v>national_rest_directory_complete.jsonl</x:v>
      </x:c>
      <x:c r="AP684" s="19"/>
    </x:row>
    <x:row r="685" ht="36" customHeight="1">
      <x:c r="A685" s="23" t="n">
        <x:v>684</x:v>
      </x:c>
      <x:c r="B685" s="15" t="str">
        <x:v>PathREI Home Buyers of Greenville</x:v>
      </x:c>
      <x:c r="C685" s="15"/>
      <x:c r="D685" s="15" t="str">
        <x:v>Property investor / home-buying operator</x:v>
      </x:c>
      <x:c r="E685" s="15" t="str">
        <x:v>Property investor / operator inquiry</x:v>
      </x:c>
      <x:c r="F685" s="17" t="str">
        <x:v>New</x:v>
      </x:c>
      <x:c r="G685" s="24"/>
      <x:c r="H685" s="24" t="str">
        <x:v>+18642382629</x:v>
      </x:c>
      <x:c r="I685" s="24" t="str">
        <x:v>https://pathrei.com/greenville-sc/</x:v>
      </x:c>
      <x:c r="J685" s="16" t="str">
        <x:v>SC</x:v>
      </x:c>
      <x:c r="K685" s="16" t="str">
        <x:v>Greenville</x:v>
      </x:c>
      <x:c r="L685" s="16" t="str">
        <x:v>Public property-business route; investor decision maker unconfirmed</x:v>
      </x:c>
      <x:c r="M685" s="16" t="str">
        <x:v>https://pathrei.com/greenville-sc/</x:v>
      </x:c>
      <x:c r="N685" s="16" t="str">
        <x:v>$100K-$500K ticket not published / unconfirmed</x:v>
      </x:c>
      <x:c r="O685" s="20"/>
      <x:c r="P685" s="20"/>
      <x:c r="Q685" s="25" t="str">
        <x:v>No direct corporate-capital range established in checked source</x:v>
      </x:c>
      <x:c r="R685" s="25" t="str">
        <x:v>Property acquisition or investor activity makes this an operator-capital prospect for the signed trial. Confirm operating-company debt/equity appetite.</x:v>
      </x:c>
      <x:c r="S685" s="25"/>
      <x:c r="T685" s="25" t="str">
        <x:v>Ask the owner/investor whether they can allocate $100K-$500K to trial marketing and acquisitions, and confirm structure, timing and decision authority.</x:v>
      </x:c>
      <x:c r="U685" s="25" t="str">
        <x:v>https://www.cashhomebuyersdirectory.com/cash-home-buyers/south-carolina/greenville</x:v>
      </x:c>
      <x:c r="V685" s="26" t="d">
        <x:v>2026-10-02T00:00:00.000Z</x:v>
      </x:c>
      <x:c r="W685" s="26" t="d">
        <x:v>2026-10-02T00:00:00.000Z</x:v>
      </x:c>
      <x:c r="X685" s="25" t="str">
        <x:v>CashHomeBuyersDirectory third-party business listing; first-party business activity not checked in this batch</x:v>
      </x:c>
      <x:c r="Y685" s="25"/>
      <x:c r="Z685" s="25" t="str">
        <x:v>https://www.cashhomebuyersdirectory.com/cash-home-buyers/south-carolina/greenville</x:v>
      </x:c>
      <x:c r="AA685" s="25" t="str">
        <x:v>Public cash-home-buyer directory lists the business name, business phone/website where available and market. Operator role and corporate funding willingness require confirmation.</x:v>
      </x:c>
      <x:c r="AB685" s="3" t="str">
        <x:v>New public-source collection</x:v>
      </x:c>
      <x:c r="AC685" s="3" t="str">
        <x:v>unverified</x:v>
      </x:c>
      <x:c r="AD685" s="3" t="str">
        <x:v>Not contacted / unconfirmed</x:v>
      </x:c>
      <x:c r="AE685" s="3" t="str">
        <x:v>No</x:v>
      </x:c>
      <x:c r="AF685" s="3" t="str">
        <x:v>No</x:v>
      </x:c>
      <x:c r="AG685" s="3"/>
      <x:c r="AH685" s="3"/>
      <x:c r="AI685" s="18"/>
      <x:c r="AJ685" s="3" t="str">
        <x:v>CF2500-B69BACCC8A68</x:v>
      </x:c>
      <x:c r="AK685" s="3" t="str">
        <x:v>real_estate_operator</x:v>
      </x:c>
      <x:c r="AL685" s="19" t="n">
        <x:v>100000</x:v>
      </x:c>
      <x:c r="AM685" s="19" t="n">
        <x:v>500000</x:v>
      </x:c>
      <x:c r="AN685" s="3" t="str">
        <x:v>https://www.cashhomebuyersdirectory.com/cash-home-buyers/south-carolina/greenville</x:v>
      </x:c>
      <x:c r="AO685" s="3" t="str">
        <x:v>national_rest_directory_complete.jsonl</x:v>
      </x:c>
      <x:c r="AP685" s="19"/>
    </x:row>
    <x:row r="686" ht="36" customHeight="1">
      <x:c r="A686" s="23" t="n">
        <x:v>685</x:v>
      </x:c>
      <x:c r="B686" s="15" t="str">
        <x:v>People First Home Buyers</x:v>
      </x:c>
      <x:c r="C686" s="15"/>
      <x:c r="D686" s="15" t="str">
        <x:v>Property investor / home-buying operator</x:v>
      </x:c>
      <x:c r="E686" s="15" t="str">
        <x:v>Property investor / operator inquiry</x:v>
      </x:c>
      <x:c r="F686" s="17" t="str">
        <x:v>New</x:v>
      </x:c>
      <x:c r="G686" s="24"/>
      <x:c r="H686" s="24" t="str">
        <x:v>+16362064997</x:v>
      </x:c>
      <x:c r="I686" s="24" t="str">
        <x:v>https://peoplefirsthomebuyers.com/</x:v>
      </x:c>
      <x:c r="J686" s="16" t="str">
        <x:v>MO</x:v>
      </x:c>
      <x:c r="K686" s="16" t="str">
        <x:v>Cottleville</x:v>
      </x:c>
      <x:c r="L686" s="16" t="str">
        <x:v>Public property-business route; investor decision maker unconfirmed</x:v>
      </x:c>
      <x:c r="M686" s="16" t="str">
        <x:v>https://peoplefirsthomebuyers.com/</x:v>
      </x:c>
      <x:c r="N686" s="16" t="str">
        <x:v>$100K-$500K ticket not published / unconfirmed</x:v>
      </x:c>
      <x:c r="O686" s="20"/>
      <x:c r="P686" s="20"/>
      <x:c r="Q686" s="25" t="str">
        <x:v>No direct corporate-capital range established in checked source</x:v>
      </x:c>
      <x:c r="R686" s="25" t="str">
        <x:v>Property acquisition or investor activity makes this an operator-capital prospect for the signed trial. Confirm operating-company debt/equity appetite.</x:v>
      </x:c>
      <x:c r="S686" s="25"/>
      <x:c r="T686" s="25" t="str">
        <x:v>Ask the owner/investor whether they can allocate $100K-$500K to trial marketing and acquisitions, and confirm structure, timing and decision authority.</x:v>
      </x:c>
      <x:c r="U686" s="25" t="str">
        <x:v>https://www.cashhomebuyersdirectory.com/cash-home-buyers/missouri/cottleville</x:v>
      </x:c>
      <x:c r="V686" s="26" t="d">
        <x:v>2026-10-02T00:00:00.000Z</x:v>
      </x:c>
      <x:c r="W686" s="26" t="d">
        <x:v>2026-10-02T00:00:00.000Z</x:v>
      </x:c>
      <x:c r="X686" s="25" t="str">
        <x:v>CashHomeBuyersDirectory third-party business listing; first-party business activity not checked in this batch</x:v>
      </x:c>
      <x:c r="Y686" s="25"/>
      <x:c r="Z686" s="25" t="str">
        <x:v>https://www.cashhomebuyersdirectory.com/cash-home-buyers/missouri/cottleville</x:v>
      </x:c>
      <x:c r="AA686" s="25" t="str">
        <x:v>Public cash-home-buyer directory lists the business name, business phone/website where available and market. Operator role and corporate funding willingness require confirmation.</x:v>
      </x:c>
      <x:c r="AB686" s="3" t="str">
        <x:v>New public-source collection</x:v>
      </x:c>
      <x:c r="AC686" s="3" t="str">
        <x:v>unverified</x:v>
      </x:c>
      <x:c r="AD686" s="3" t="str">
        <x:v>Not contacted / unconfirmed</x:v>
      </x:c>
      <x:c r="AE686" s="3" t="str">
        <x:v>No</x:v>
      </x:c>
      <x:c r="AF686" s="3" t="str">
        <x:v>No</x:v>
      </x:c>
      <x:c r="AG686" s="3"/>
      <x:c r="AH686" s="3"/>
      <x:c r="AI686" s="18"/>
      <x:c r="AJ686" s="3" t="str">
        <x:v>CF2500-DE21B8C87CDE</x:v>
      </x:c>
      <x:c r="AK686" s="3" t="str">
        <x:v>real_estate_operator</x:v>
      </x:c>
      <x:c r="AL686" s="19" t="n">
        <x:v>100000</x:v>
      </x:c>
      <x:c r="AM686" s="19" t="n">
        <x:v>500000</x:v>
      </x:c>
      <x:c r="AN686" s="3" t="str">
        <x:v>https://www.cashhomebuyersdirectory.com/cash-home-buyers/missouri/cottleville</x:v>
      </x:c>
      <x:c r="AO686" s="3" t="str">
        <x:v>national_rest_directory_complete.jsonl</x:v>
      </x:c>
      <x:c r="AP686" s="19"/>
    </x:row>
    <x:row r="687" ht="36" customHeight="1">
      <x:c r="A687" s="23" t="n">
        <x:v>686</x:v>
      </x:c>
      <x:c r="B687" s="15" t="str">
        <x:v>Pikes Peak Home Buyers</x:v>
      </x:c>
      <x:c r="C687" s="15"/>
      <x:c r="D687" s="15" t="str">
        <x:v>Property investor / home-buying operator</x:v>
      </x:c>
      <x:c r="E687" s="15" t="str">
        <x:v>Property investor / operator inquiry</x:v>
      </x:c>
      <x:c r="F687" s="17" t="str">
        <x:v>New</x:v>
      </x:c>
      <x:c r="G687" s="24"/>
      <x:c r="H687" s="24" t="str">
        <x:v>+17192356797</x:v>
      </x:c>
      <x:c r="I687" s="24" t="str">
        <x:v>http://www.pikespeakhomebuyers.com/</x:v>
      </x:c>
      <x:c r="J687" s="16" t="str">
        <x:v>CO</x:v>
      </x:c>
      <x:c r="K687" s="16" t="str">
        <x:v>Colorado Springs</x:v>
      </x:c>
      <x:c r="L687" s="16" t="str">
        <x:v>Public property-business route; investor decision maker unconfirmed</x:v>
      </x:c>
      <x:c r="M687" s="16" t="str">
        <x:v>http://www.pikespeakhomebuyers.com/</x:v>
      </x:c>
      <x:c r="N687" s="16" t="str">
        <x:v>$100K-$500K ticket not published / unconfirmed</x:v>
      </x:c>
      <x:c r="O687" s="20"/>
      <x:c r="P687" s="20"/>
      <x:c r="Q687" s="25" t="str">
        <x:v>No $100K-$500K operating-company investment ticket verified</x:v>
      </x:c>
      <x:c r="R687" s="25" t="str">
        <x:v>Property acquisition or investor activity makes this an operator-capital prospect for the signed trial. Confirm operating-company debt/equity appetite.</x:v>
      </x:c>
      <x:c r="S687" s="25" t="str">
        <x:v>Public property-buying activity or a directory listing does not establish available cash, investing decision-maker, current $100K-$500K capacity, or willingness to fund 101XVC operating costs.</x:v>
      </x:c>
      <x:c r="T687" s="25" t="str">
        <x:v>Ask the owner/investor whether they can allocate $100K-$500K to trial marketing and acquisitions, and confirm structure, timing and decision authority.</x:v>
      </x:c>
      <x:c r="U687" s="25" t="str">
        <x:v>https://www.cashhomebuyersdirectory.com/cash-home-buyers/colorado/colorado-springs</x:v>
      </x:c>
      <x:c r="V687" s="26" t="d">
        <x:v>2026-10-02T00:00:00.000Z</x:v>
      </x:c>
      <x:c r="W687" s="26" t="d">
        <x:v>2026-10-02T00:00:00.000Z</x:v>
      </x:c>
      <x:c r="X687" s="25" t="str">
        <x:v>Public investor directory; business role and contact ownership require qualification</x:v>
      </x:c>
      <x:c r="Y687" s="25"/>
      <x:c r="Z687" s="25" t="str">
        <x:v>https://www.cashhomebuyersdirectory.com/cash-home-buyers/colorado/colorado-springs</x:v>
      </x:c>
      <x:c r="AA687" s="25" t="str">
        <x:v>Public cash-home-buyer directory lists business name, phone and market. Directory entry may include brokers or service providers.</x:v>
      </x:c>
      <x:c r="AB687" s="3" t="str">
        <x:v>New public-source collection</x:v>
      </x:c>
      <x:c r="AC687" s="3" t="str">
        <x:v>unverified</x:v>
      </x:c>
      <x:c r="AD687" s="3" t="str">
        <x:v>Not contacted / unconfirmed</x:v>
      </x:c>
      <x:c r="AE687" s="3" t="str">
        <x:v>No</x:v>
      </x:c>
      <x:c r="AF687" s="3" t="str">
        <x:v>No</x:v>
      </x:c>
      <x:c r="AG687" s="3"/>
      <x:c r="AH687" s="3"/>
      <x:c r="AI687" s="18"/>
      <x:c r="AJ687" s="3" t="str">
        <x:v>CF2500-40663EE1E187</x:v>
      </x:c>
      <x:c r="AK687" s="3" t="str">
        <x:v>Property investor / home-buying operator prospect</x:v>
      </x:c>
      <x:c r="AL687" s="19" t="n">
        <x:v>100000</x:v>
      </x:c>
      <x:c r="AM687" s="19" t="n">
        <x:v>500000</x:v>
      </x:c>
      <x:c r="AN687" s="3" t="str">
        <x:v>https://www.cashhomebuyersdirectory.com/cash-home-buyers/colorado/colorado-springs</x:v>
      </x:c>
      <x:c r="AO687" s="3" t="str">
        <x:v>nc_il_az_co_investors.jsonl</x:v>
      </x:c>
      <x:c r="AP687" s="19"/>
    </x:row>
    <x:row r="688" ht="36" customHeight="1">
      <x:c r="A688" s="23" t="n">
        <x:v>687</x:v>
      </x:c>
      <x:c r="B688" s="15" t="str">
        <x:v>Pillar Home Buyers</x:v>
      </x:c>
      <x:c r="C688" s="15"/>
      <x:c r="D688" s="15" t="str">
        <x:v>Property investor / home-buying operator</x:v>
      </x:c>
      <x:c r="E688" s="15" t="str">
        <x:v>Property investor / operator inquiry</x:v>
      </x:c>
      <x:c r="F688" s="17" t="str">
        <x:v>New</x:v>
      </x:c>
      <x:c r="G688" s="24"/>
      <x:c r="H688" s="24" t="str">
        <x:v>+13163744104</x:v>
      </x:c>
      <x:c r="I688" s="24" t="str">
        <x:v>https://www.pillarhomebuyers.com/</x:v>
      </x:c>
      <x:c r="J688" s="16" t="str">
        <x:v>KS</x:v>
      </x:c>
      <x:c r="K688" s="16" t="str">
        <x:v>Wichita</x:v>
      </x:c>
      <x:c r="L688" s="16" t="str">
        <x:v>Public property-business route; investor decision maker unconfirmed</x:v>
      </x:c>
      <x:c r="M688" s="16" t="str">
        <x:v>https://www.pillarhomebuyers.com/</x:v>
      </x:c>
      <x:c r="N688" s="16" t="str">
        <x:v>$100K-$500K ticket not published / unconfirmed</x:v>
      </x:c>
      <x:c r="O688" s="20"/>
      <x:c r="P688" s="20"/>
      <x:c r="Q688" s="25" t="str">
        <x:v>No direct corporate-capital range established in checked source</x:v>
      </x:c>
      <x:c r="R688" s="25" t="str">
        <x:v>Property acquisition or investor activity makes this an operator-capital prospect for the signed trial. Confirm operating-company debt/equity appetite.</x:v>
      </x:c>
      <x:c r="S688" s="25"/>
      <x:c r="T688" s="25" t="str">
        <x:v>Ask the owner/investor whether they can allocate $100K-$500K to trial marketing and acquisitions, and confirm structure, timing and decision authority.</x:v>
      </x:c>
      <x:c r="U688" s="25" t="str">
        <x:v>https://www.cashhomebuyersdirectory.com/cash-home-buyers/kansas/wichita</x:v>
      </x:c>
      <x:c r="V688" s="26" t="d">
        <x:v>2026-10-02T00:00:00.000Z</x:v>
      </x:c>
      <x:c r="W688" s="26" t="d">
        <x:v>2026-10-02T00:00:00.000Z</x:v>
      </x:c>
      <x:c r="X688" s="25" t="str">
        <x:v>CashHomeBuyersDirectory third-party business listing; first-party business activity not checked in this batch</x:v>
      </x:c>
      <x:c r="Y688" s="25"/>
      <x:c r="Z688" s="25" t="str">
        <x:v>https://www.cashhomebuyersdirectory.com/cash-home-buyers/kansas/wichita</x:v>
      </x:c>
      <x:c r="AA688" s="25" t="str">
        <x:v>Public cash-home-buyer directory lists the business name, business phone/website where available and market. Operator role and corporate funding willingness require confirmation.</x:v>
      </x:c>
      <x:c r="AB688" s="3" t="str">
        <x:v>New public-source collection</x:v>
      </x:c>
      <x:c r="AC688" s="3" t="str">
        <x:v>unverified</x:v>
      </x:c>
      <x:c r="AD688" s="3" t="str">
        <x:v>Not contacted / unconfirmed</x:v>
      </x:c>
      <x:c r="AE688" s="3" t="str">
        <x:v>No</x:v>
      </x:c>
      <x:c r="AF688" s="3" t="str">
        <x:v>No</x:v>
      </x:c>
      <x:c r="AG688" s="3"/>
      <x:c r="AH688" s="3"/>
      <x:c r="AI688" s="18"/>
      <x:c r="AJ688" s="3" t="str">
        <x:v>CF2500-2C667199156E</x:v>
      </x:c>
      <x:c r="AK688" s="3" t="str">
        <x:v>real_estate_operator</x:v>
      </x:c>
      <x:c r="AL688" s="19" t="n">
        <x:v>100000</x:v>
      </x:c>
      <x:c r="AM688" s="19" t="n">
        <x:v>500000</x:v>
      </x:c>
      <x:c r="AN688" s="3" t="str">
        <x:v>https://www.cashhomebuyersdirectory.com/cash-home-buyers/kansas/wichita</x:v>
      </x:c>
      <x:c r="AO688" s="3" t="str">
        <x:v>national_rest_directory_complete.jsonl</x:v>
      </x:c>
      <x:c r="AP688" s="19"/>
    </x:row>
    <x:row r="689" ht="36" customHeight="1">
      <x:c r="A689" s="23" t="n">
        <x:v>688</x:v>
      </x:c>
      <x:c r="B689" s="15" t="str">
        <x:v>Pink Real Estate - We Buy Houses</x:v>
      </x:c>
      <x:c r="C689" s="15"/>
      <x:c r="D689" s="15" t="str">
        <x:v>Property investor / home-buying operator</x:v>
      </x:c>
      <x:c r="E689" s="15" t="str">
        <x:v>Property investor / operator inquiry</x:v>
      </x:c>
      <x:c r="F689" s="17" t="str">
        <x:v>New</x:v>
      </x:c>
      <x:c r="G689" s="24"/>
      <x:c r="H689" s="24" t="str">
        <x:v>+17194717465</x:v>
      </x:c>
      <x:c r="I689" s="24" t="str">
        <x:v>http://www.pinkrealestate.com/</x:v>
      </x:c>
      <x:c r="J689" s="16" t="str">
        <x:v>CO</x:v>
      </x:c>
      <x:c r="K689" s="16" t="str">
        <x:v>Colorado Springs</x:v>
      </x:c>
      <x:c r="L689" s="16" t="str">
        <x:v>Public property-business route; investor decision maker unconfirmed</x:v>
      </x:c>
      <x:c r="M689" s="16" t="str">
        <x:v>http://www.pinkrealestate.com/</x:v>
      </x:c>
      <x:c r="N689" s="16" t="str">
        <x:v>$100K-$500K ticket not published / unconfirmed</x:v>
      </x:c>
      <x:c r="O689" s="20"/>
      <x:c r="P689" s="20"/>
      <x:c r="Q689" s="25" t="str">
        <x:v>No $100K-$500K operating-company investment ticket verified</x:v>
      </x:c>
      <x:c r="R689" s="25" t="str">
        <x:v>Property acquisition or investor activity makes this an operator-capital prospect for the signed trial. Confirm operating-company debt/equity appetite.</x:v>
      </x:c>
      <x:c r="S689" s="25" t="str">
        <x:v>Public property-buying activity or a directory listing does not establish available cash, investing decision-maker, current $100K-$500K capacity, or willingness to fund 101XVC operating costs.</x:v>
      </x:c>
      <x:c r="T689" s="25" t="str">
        <x:v>Ask the owner/investor whether they can allocate $100K-$500K to trial marketing and acquisitions, and confirm structure, timing and decision authority.</x:v>
      </x:c>
      <x:c r="U689" s="25" t="str">
        <x:v>https://www.cashhomebuyersdirectory.com/cash-home-buyers/colorado/colorado-springs</x:v>
      </x:c>
      <x:c r="V689" s="26" t="d">
        <x:v>2026-10-02T00:00:00.000Z</x:v>
      </x:c>
      <x:c r="W689" s="26" t="d">
        <x:v>2026-10-02T00:00:00.000Z</x:v>
      </x:c>
      <x:c r="X689" s="25" t="str">
        <x:v>Public investor directory; business role and contact ownership require qualification</x:v>
      </x:c>
      <x:c r="Y689" s="25"/>
      <x:c r="Z689" s="25" t="str">
        <x:v>https://www.cashhomebuyersdirectory.com/cash-home-buyers/colorado/colorado-springs</x:v>
      </x:c>
      <x:c r="AA689" s="25" t="str">
        <x:v>Public cash-home-buyer directory lists business name, phone and market. Directory entry may include brokers or service providers.</x:v>
      </x:c>
      <x:c r="AB689" s="3" t="str">
        <x:v>New public-source collection</x:v>
      </x:c>
      <x:c r="AC689" s="3" t="str">
        <x:v>unverified</x:v>
      </x:c>
      <x:c r="AD689" s="3" t="str">
        <x:v>Not contacted / unconfirmed</x:v>
      </x:c>
      <x:c r="AE689" s="3" t="str">
        <x:v>No</x:v>
      </x:c>
      <x:c r="AF689" s="3" t="str">
        <x:v>No</x:v>
      </x:c>
      <x:c r="AG689" s="3"/>
      <x:c r="AH689" s="3"/>
      <x:c r="AI689" s="18"/>
      <x:c r="AJ689" s="3" t="str">
        <x:v>CF2500-64DC3D4FC623</x:v>
      </x:c>
      <x:c r="AK689" s="3" t="str">
        <x:v>Property investor / home-buying operator prospect</x:v>
      </x:c>
      <x:c r="AL689" s="19" t="n">
        <x:v>100000</x:v>
      </x:c>
      <x:c r="AM689" s="19" t="n">
        <x:v>500000</x:v>
      </x:c>
      <x:c r="AN689" s="3" t="str">
        <x:v>https://www.cashhomebuyersdirectory.com/cash-home-buyers/colorado/colorado-springs</x:v>
      </x:c>
      <x:c r="AO689" s="3" t="str">
        <x:v>nc_il_az_co_investors.jsonl</x:v>
      </x:c>
      <x:c r="AP689" s="19"/>
    </x:row>
    <x:row r="690" ht="36" customHeight="1">
      <x:c r="A690" s="23" t="n">
        <x:v>689</x:v>
      </x:c>
      <x:c r="B690" s="15" t="str">
        <x:v>Polar Block Home Buyers</x:v>
      </x:c>
      <x:c r="C690" s="15"/>
      <x:c r="D690" s="15" t="str">
        <x:v>Property investor / home-buying operator</x:v>
      </x:c>
      <x:c r="E690" s="15" t="str">
        <x:v>Property investor / operator inquiry</x:v>
      </x:c>
      <x:c r="F690" s="17" t="str">
        <x:v>New</x:v>
      </x:c>
      <x:c r="G690" s="24"/>
      <x:c r="H690" s="24" t="str">
        <x:v>+17205730860</x:v>
      </x:c>
      <x:c r="I690" s="24" t="str">
        <x:v>http://www.polarblockproperties.com/</x:v>
      </x:c>
      <x:c r="J690" s="16" t="str">
        <x:v>CO</x:v>
      </x:c>
      <x:c r="K690" s="16" t="str">
        <x:v>Boulder</x:v>
      </x:c>
      <x:c r="L690" s="16" t="str">
        <x:v>Public property-business route; investor decision maker unconfirmed</x:v>
      </x:c>
      <x:c r="M690" s="16" t="str">
        <x:v>http://www.polarblockproperties.com/</x:v>
      </x:c>
      <x:c r="N690" s="16" t="str">
        <x:v>$100K-$500K ticket not published / unconfirmed</x:v>
      </x:c>
      <x:c r="O690" s="20"/>
      <x:c r="P690" s="20"/>
      <x:c r="Q690" s="25" t="str">
        <x:v>No $100K-$500K operating-company investment ticket verified</x:v>
      </x:c>
      <x:c r="R690" s="25" t="str">
        <x:v>Property acquisition or investor activity makes this an operator-capital prospect for the signed trial. Confirm operating-company debt/equity appetite.</x:v>
      </x:c>
      <x:c r="S690" s="25" t="str">
        <x:v>Public property-buying activity or a directory listing does not establish available cash, investing decision-maker, current $100K-$500K capacity, or willingness to fund 101XVC operating costs.</x:v>
      </x:c>
      <x:c r="T690" s="25" t="str">
        <x:v>Ask the owner/investor whether they can allocate $100K-$500K to trial marketing and acquisitions, and confirm structure, timing and decision authority.</x:v>
      </x:c>
      <x:c r="U690" s="25" t="str">
        <x:v>https://www.cashhomebuyersdirectory.com/cash-home-buyers/colorado/boulder</x:v>
      </x:c>
      <x:c r="V690" s="26" t="d">
        <x:v>2026-10-02T00:00:00.000Z</x:v>
      </x:c>
      <x:c r="W690" s="26" t="d">
        <x:v>2026-10-02T00:00:00.000Z</x:v>
      </x:c>
      <x:c r="X690" s="25" t="str">
        <x:v>Public investor directory; business role and contact ownership require qualification</x:v>
      </x:c>
      <x:c r="Y690" s="25"/>
      <x:c r="Z690" s="25" t="str">
        <x:v>https://www.cashhomebuyersdirectory.com/cash-home-buyers/colorado/boulder</x:v>
      </x:c>
      <x:c r="AA690" s="25" t="str">
        <x:v>Public cash-home-buyer directory lists business name, phone and market. Directory entry may include brokers or service providers.</x:v>
      </x:c>
      <x:c r="AB690" s="3" t="str">
        <x:v>New public-source collection</x:v>
      </x:c>
      <x:c r="AC690" s="3" t="str">
        <x:v>unverified</x:v>
      </x:c>
      <x:c r="AD690" s="3" t="str">
        <x:v>Not contacted / unconfirmed</x:v>
      </x:c>
      <x:c r="AE690" s="3" t="str">
        <x:v>No</x:v>
      </x:c>
      <x:c r="AF690" s="3" t="str">
        <x:v>No</x:v>
      </x:c>
      <x:c r="AG690" s="3"/>
      <x:c r="AH690" s="3"/>
      <x:c r="AI690" s="18"/>
      <x:c r="AJ690" s="3" t="str">
        <x:v>CF2500-B64353FF42E7</x:v>
      </x:c>
      <x:c r="AK690" s="3" t="str">
        <x:v>Property investor / home-buying operator prospect</x:v>
      </x:c>
      <x:c r="AL690" s="19" t="n">
        <x:v>100000</x:v>
      </x:c>
      <x:c r="AM690" s="19" t="n">
        <x:v>500000</x:v>
      </x:c>
      <x:c r="AN690" s="3" t="str">
        <x:v>https://www.cashhomebuyersdirectory.com/cash-home-buyers/colorado/boulder</x:v>
      </x:c>
      <x:c r="AO690" s="3" t="str">
        <x:v>nc_il_az_co_investors.jsonl</x:v>
      </x:c>
      <x:c r="AP690" s="19"/>
    </x:row>
    <x:row r="691" ht="36" customHeight="1">
      <x:c r="A691" s="23" t="n">
        <x:v>690</x:v>
      </x:c>
      <x:c r="B691" s="15" t="str">
        <x:v>Preferred Home Offers - We Buy Houses in Savannah</x:v>
      </x:c>
      <x:c r="C691" s="15"/>
      <x:c r="D691" s="15" t="str">
        <x:v>Property investor / home-buying operator</x:v>
      </x:c>
      <x:c r="E691" s="15" t="str">
        <x:v>Property investor / operator inquiry</x:v>
      </x:c>
      <x:c r="F691" s="17" t="str">
        <x:v>New</x:v>
      </x:c>
      <x:c r="G691" s="24"/>
      <x:c r="H691" s="24" t="str">
        <x:v>+19122261114</x:v>
      </x:c>
      <x:c r="I691" s="24" t="str">
        <x:v>http://www.preferredhomeoffers.com/</x:v>
      </x:c>
      <x:c r="J691" s="16" t="str">
        <x:v>GA</x:v>
      </x:c>
      <x:c r="K691" s="16"/>
      <x:c r="L691" s="16" t="str">
        <x:v>Public property-business route; investor decision maker unconfirmed</x:v>
      </x:c>
      <x:c r="M691" s="16" t="str">
        <x:v>http://www.preferredhomeoffers.com/</x:v>
      </x:c>
      <x:c r="N691" s="16" t="str">
        <x:v>$100K-$500K ticket not published / unconfirmed</x:v>
      </x:c>
      <x:c r="O691" s="20"/>
      <x:c r="P691" s="20"/>
      <x:c r="Q691" s="25" t="str">
        <x:v>No direct corporate-capital range established in checked source</x:v>
      </x:c>
      <x:c r="R691" s="25" t="str">
        <x:v>Property acquisition or investor activity makes this an operator-capital prospect for the signed trial. Confirm operating-company debt/equity appetite.</x:v>
      </x:c>
      <x:c r="S691" s="25"/>
      <x:c r="T691" s="25" t="str">
        <x:v>Ask the owner/investor whether they can allocate $100K-$500K to trial marketing and acquisitions, and confirm structure, timing and decision authority.</x:v>
      </x:c>
      <x:c r="U691" s="25" t="str">
        <x:v>https://www.cashhomebuyersdirectory.com/cash-home-buyers/georgia/savannah</x:v>
      </x:c>
      <x:c r="V691" s="26" t="d">
        <x:v>2026-10-02T00:00:00.000Z</x:v>
      </x:c>
      <x:c r="W691" s="26" t="d">
        <x:v>2026-10-02T00:00:00.000Z</x:v>
      </x:c>
      <x:c r="X691" s="25" t="str">
        <x:v>CashHomeBuyersDirectory third-party business listing; first-party business activity not checked in this batch</x:v>
      </x:c>
      <x:c r="Y691" s="25"/>
      <x:c r="Z691" s="25" t="str">
        <x:v>https://www.cashhomebuyersdirectory.com/cash-home-buyers/georgia/savannah</x:v>
      </x:c>
      <x:c r="AA691" s="25" t="str">
        <x:v>Public cash-home-buyer directory lists the business name, business phone/website where available and market. Operator role and corporate funding willingness require confirmation.</x:v>
      </x:c>
      <x:c r="AB691" s="3" t="str">
        <x:v>New public-source collection</x:v>
      </x:c>
      <x:c r="AC691" s="3" t="str">
        <x:v>unverified</x:v>
      </x:c>
      <x:c r="AD691" s="3" t="str">
        <x:v>Not contacted / unconfirmed</x:v>
      </x:c>
      <x:c r="AE691" s="3" t="str">
        <x:v>No</x:v>
      </x:c>
      <x:c r="AF691" s="3" t="str">
        <x:v>No</x:v>
      </x:c>
      <x:c r="AG691" s="3"/>
      <x:c r="AH691" s="3"/>
      <x:c r="AI691" s="18"/>
      <x:c r="AJ691" s="3" t="str">
        <x:v>CF2500-040A02EABB6B</x:v>
      </x:c>
      <x:c r="AK691" s="3" t="str">
        <x:v>real_estate_operator</x:v>
      </x:c>
      <x:c r="AL691" s="19" t="n">
        <x:v>100000</x:v>
      </x:c>
      <x:c r="AM691" s="19" t="n">
        <x:v>500000</x:v>
      </x:c>
      <x:c r="AN691" s="3" t="str">
        <x:v>https://www.cashhomebuyersdirectory.com/cash-home-buyers/georgia/savannah</x:v>
      </x:c>
      <x:c r="AO691" s="3" t="str">
        <x:v>national_rest_directory_complete.jsonl</x:v>
      </x:c>
      <x:c r="AP691" s="19"/>
    </x:row>
    <x:row r="692" ht="36" customHeight="1">
      <x:c r="A692" s="23" t="n">
        <x:v>691</x:v>
      </x:c>
      <x:c r="B692" s="15" t="str">
        <x:v>Premier OKC Home Buyers</x:v>
      </x:c>
      <x:c r="C692" s="15"/>
      <x:c r="D692" s="15" t="str">
        <x:v>Property investor / home-buying operator</x:v>
      </x:c>
      <x:c r="E692" s="15" t="str">
        <x:v>Property investor / operator inquiry</x:v>
      </x:c>
      <x:c r="F692" s="17" t="str">
        <x:v>New</x:v>
      </x:c>
      <x:c r="G692" s="24"/>
      <x:c r="H692" s="24" t="str">
        <x:v>+14052265563</x:v>
      </x:c>
      <x:c r="I692" s="24" t="str">
        <x:v>https://premierokchomebuyers.com/?utm_source=Google+Business&amp;utm_medium=Referral</x:v>
      </x:c>
      <x:c r="J692" s="16" t="str">
        <x:v>OK</x:v>
      </x:c>
      <x:c r="K692" s="16"/>
      <x:c r="L692" s="16" t="str">
        <x:v>Public property-business route; investor decision maker unconfirmed</x:v>
      </x:c>
      <x:c r="M692" s="16" t="str">
        <x:v>https://premierokchomebuyers.com/?utm_source=Google+Business&amp;utm_medium=Referral</x:v>
      </x:c>
      <x:c r="N692" s="16" t="str">
        <x:v>$100K-$500K ticket not published / unconfirmed</x:v>
      </x:c>
      <x:c r="O692" s="20"/>
      <x:c r="P692" s="20"/>
      <x:c r="Q692" s="25" t="str">
        <x:v>No direct corporate-capital range established in checked source</x:v>
      </x:c>
      <x:c r="R692" s="25" t="str">
        <x:v>Property acquisition or investor activity makes this an operator-capital prospect for the signed trial. Confirm operating-company debt/equity appetite.</x:v>
      </x:c>
      <x:c r="S692" s="25"/>
      <x:c r="T692" s="25" t="str">
        <x:v>Ask the owner/investor whether they can allocate $100K-$500K to trial marketing and acquisitions, and confirm structure, timing and decision authority.</x:v>
      </x:c>
      <x:c r="U692" s="25" t="str">
        <x:v>https://www.cashhomebuyersdirectory.com/cash-home-buyers/oklahoma/oklahoma-city</x:v>
      </x:c>
      <x:c r="V692" s="26" t="d">
        <x:v>2026-10-02T00:00:00.000Z</x:v>
      </x:c>
      <x:c r="W692" s="26" t="d">
        <x:v>2026-10-02T00:00:00.000Z</x:v>
      </x:c>
      <x:c r="X692" s="25" t="str">
        <x:v>CashHomeBuyersDirectory third-party business listing; first-party business activity not checked in this batch</x:v>
      </x:c>
      <x:c r="Y692" s="25"/>
      <x:c r="Z692" s="25" t="str">
        <x:v>https://www.cashhomebuyersdirectory.com/cash-home-buyers/oklahoma/oklahoma-city</x:v>
      </x:c>
      <x:c r="AA692" s="25" t="str">
        <x:v>Public cash-home-buyer directory lists the business name, business phone/website where available and market. Operator role and corporate funding willingness require confirmation.</x:v>
      </x:c>
      <x:c r="AB692" s="3" t="str">
        <x:v>New public-source collection</x:v>
      </x:c>
      <x:c r="AC692" s="3" t="str">
        <x:v>unverified</x:v>
      </x:c>
      <x:c r="AD692" s="3" t="str">
        <x:v>Not contacted / unconfirmed</x:v>
      </x:c>
      <x:c r="AE692" s="3" t="str">
        <x:v>No</x:v>
      </x:c>
      <x:c r="AF692" s="3" t="str">
        <x:v>No</x:v>
      </x:c>
      <x:c r="AG692" s="3"/>
      <x:c r="AH692" s="3"/>
      <x:c r="AI692" s="18"/>
      <x:c r="AJ692" s="3" t="str">
        <x:v>CF2500-BE6CAB40C088</x:v>
      </x:c>
      <x:c r="AK692" s="3" t="str">
        <x:v>real_estate_operator</x:v>
      </x:c>
      <x:c r="AL692" s="19" t="n">
        <x:v>100000</x:v>
      </x:c>
      <x:c r="AM692" s="19" t="n">
        <x:v>500000</x:v>
      </x:c>
      <x:c r="AN692" s="3" t="str">
        <x:v>https://www.cashhomebuyersdirectory.com/cash-home-buyers/oklahoma/oklahoma-city</x:v>
      </x:c>
      <x:c r="AO692" s="3" t="str">
        <x:v>national_rest_directory_complete.jsonl</x:v>
      </x:c>
      <x:c r="AP692" s="19"/>
    </x:row>
    <x:row r="693" ht="36" customHeight="1">
      <x:c r="A693" s="23" t="n">
        <x:v>692</x:v>
      </x:c>
      <x:c r="B693" s="15" t="str">
        <x:v>Prime Cash Home Buyers</x:v>
      </x:c>
      <x:c r="C693" s="15"/>
      <x:c r="D693" s="15" t="str">
        <x:v>Property investor / home-buying operator</x:v>
      </x:c>
      <x:c r="E693" s="15" t="str">
        <x:v>Property investor / operator inquiry</x:v>
      </x:c>
      <x:c r="F693" s="17" t="str">
        <x:v>New</x:v>
      </x:c>
      <x:c r="G693" s="24"/>
      <x:c r="H693" s="24" t="str">
        <x:v>+17066706543</x:v>
      </x:c>
      <x:c r="I693" s="24" t="str">
        <x:v>https://primecashhomebuyers.com/</x:v>
      </x:c>
      <x:c r="J693" s="16" t="str">
        <x:v>GA</x:v>
      </x:c>
      <x:c r="K693" s="16" t="str">
        <x:v>Augusta</x:v>
      </x:c>
      <x:c r="L693" s="16" t="str">
        <x:v>Public property-business route; investor decision maker unconfirmed</x:v>
      </x:c>
      <x:c r="M693" s="16" t="str">
        <x:v>https://primecashhomebuyers.com/</x:v>
      </x:c>
      <x:c r="N693" s="16" t="str">
        <x:v>$100K-$500K ticket not published / unconfirmed</x:v>
      </x:c>
      <x:c r="O693" s="20"/>
      <x:c r="P693" s="20"/>
      <x:c r="Q693" s="25" t="str">
        <x:v>No direct corporate-capital range established in checked source</x:v>
      </x:c>
      <x:c r="R693" s="25" t="str">
        <x:v>Property acquisition or investor activity makes this an operator-capital prospect for the signed trial. Confirm operating-company debt/equity appetite.</x:v>
      </x:c>
      <x:c r="S693" s="25"/>
      <x:c r="T693" s="25" t="str">
        <x:v>Ask the owner/investor whether they can allocate $100K-$500K to trial marketing and acquisitions, and confirm structure, timing and decision authority.</x:v>
      </x:c>
      <x:c r="U693" s="25" t="str">
        <x:v>https://www.cashhomebuyersdirectory.com/cash-home-buyers/georgia/augusta</x:v>
      </x:c>
      <x:c r="V693" s="26" t="d">
        <x:v>2026-10-02T00:00:00.000Z</x:v>
      </x:c>
      <x:c r="W693" s="26" t="d">
        <x:v>2026-10-02T00:00:00.000Z</x:v>
      </x:c>
      <x:c r="X693" s="25" t="str">
        <x:v>CashHomeBuyersDirectory third-party business listing; first-party business activity not checked in this batch</x:v>
      </x:c>
      <x:c r="Y693" s="25"/>
      <x:c r="Z693" s="25" t="str">
        <x:v>https://www.cashhomebuyersdirectory.com/cash-home-buyers/georgia/augusta</x:v>
      </x:c>
      <x:c r="AA693" s="25" t="str">
        <x:v>Public cash-home-buyer directory lists the business name, business phone/website where available and market. Operator role and corporate funding willingness require confirmation.</x:v>
      </x:c>
      <x:c r="AB693" s="3" t="str">
        <x:v>New public-source collection</x:v>
      </x:c>
      <x:c r="AC693" s="3" t="str">
        <x:v>unverified</x:v>
      </x:c>
      <x:c r="AD693" s="3" t="str">
        <x:v>Not contacted / unconfirmed</x:v>
      </x:c>
      <x:c r="AE693" s="3" t="str">
        <x:v>No</x:v>
      </x:c>
      <x:c r="AF693" s="3" t="str">
        <x:v>No</x:v>
      </x:c>
      <x:c r="AG693" s="3"/>
      <x:c r="AH693" s="3"/>
      <x:c r="AI693" s="18"/>
      <x:c r="AJ693" s="3" t="str">
        <x:v>CF2500-AD2BFE62E7D2</x:v>
      </x:c>
      <x:c r="AK693" s="3" t="str">
        <x:v>real_estate_operator</x:v>
      </x:c>
      <x:c r="AL693" s="19" t="n">
        <x:v>100000</x:v>
      </x:c>
      <x:c r="AM693" s="19" t="n">
        <x:v>500000</x:v>
      </x:c>
      <x:c r="AN693" s="3" t="str">
        <x:v>https://www.cashhomebuyersdirectory.com/cash-home-buyers/georgia/augusta</x:v>
      </x:c>
      <x:c r="AO693" s="3" t="str">
        <x:v>national_rest_directory_complete.jsonl</x:v>
      </x:c>
      <x:c r="AP693" s="19"/>
    </x:row>
    <x:row r="694" ht="36" customHeight="1">
      <x:c r="A694" s="23" t="n">
        <x:v>693</x:v>
      </x:c>
      <x:c r="B694" s="15" t="str">
        <x:v>PrimeNest Realty | We Buy Houses – You Keep the Peace of Mind</x:v>
      </x:c>
      <x:c r="C694" s="15"/>
      <x:c r="D694" s="15" t="str">
        <x:v>Property investor / home-buying operator</x:v>
      </x:c>
      <x:c r="E694" s="15" t="str">
        <x:v>Property investor / operator inquiry</x:v>
      </x:c>
      <x:c r="F694" s="17" t="str">
        <x:v>New</x:v>
      </x:c>
      <x:c r="G694" s="24"/>
      <x:c r="H694" s="24" t="str">
        <x:v>+13143430470</x:v>
      </x:c>
      <x:c r="I694" s="24" t="str">
        <x:v>http://stlhomeoffer.com/</x:v>
      </x:c>
      <x:c r="J694" s="16" t="str">
        <x:v>MO</x:v>
      </x:c>
      <x:c r="K694" s="16" t="str">
        <x:v>St. Louis</x:v>
      </x:c>
      <x:c r="L694" s="16" t="str">
        <x:v>Public property-business route; investor decision maker unconfirmed</x:v>
      </x:c>
      <x:c r="M694" s="16" t="str">
        <x:v>http://stlhomeoffer.com/</x:v>
      </x:c>
      <x:c r="N694" s="16" t="str">
        <x:v>$100K-$500K ticket not published / unconfirmed</x:v>
      </x:c>
      <x:c r="O694" s="20"/>
      <x:c r="P694" s="20"/>
      <x:c r="Q694" s="25" t="str">
        <x:v>No direct corporate-capital range established in checked source</x:v>
      </x:c>
      <x:c r="R694" s="25" t="str">
        <x:v>Property acquisition or investor activity makes this an operator-capital prospect for the signed trial. Confirm operating-company debt/equity appetite.</x:v>
      </x:c>
      <x:c r="S694" s="25"/>
      <x:c r="T694" s="25" t="str">
        <x:v>Ask the owner/investor whether they can allocate $100K-$500K to trial marketing and acquisitions, and confirm structure, timing and decision authority.</x:v>
      </x:c>
      <x:c r="U694" s="25" t="str">
        <x:v>https://www.cashhomebuyersdirectory.com/cash-home-buyers/missouri/st-louis</x:v>
      </x:c>
      <x:c r="V694" s="26" t="d">
        <x:v>2026-10-02T00:00:00.000Z</x:v>
      </x:c>
      <x:c r="W694" s="26" t="d">
        <x:v>2026-10-02T00:00:00.000Z</x:v>
      </x:c>
      <x:c r="X694" s="25" t="str">
        <x:v>CashHomeBuyersDirectory third-party business listing; first-party business activity not checked in this batch</x:v>
      </x:c>
      <x:c r="Y694" s="25"/>
      <x:c r="Z694" s="25" t="str">
        <x:v>https://www.cashhomebuyersdirectory.com/cash-home-buyers/missouri/st-louis</x:v>
      </x:c>
      <x:c r="AA694" s="25" t="str">
        <x:v>Public cash-home-buyer directory lists the business name, business phone/website where available and market. Operator role and corporate funding willingness require confirmation.</x:v>
      </x:c>
      <x:c r="AB694" s="3" t="str">
        <x:v>New public-source collection</x:v>
      </x:c>
      <x:c r="AC694" s="3" t="str">
        <x:v>unverified</x:v>
      </x:c>
      <x:c r="AD694" s="3" t="str">
        <x:v>Not contacted / unconfirmed</x:v>
      </x:c>
      <x:c r="AE694" s="3" t="str">
        <x:v>No</x:v>
      </x:c>
      <x:c r="AF694" s="3" t="str">
        <x:v>No</x:v>
      </x:c>
      <x:c r="AG694" s="3"/>
      <x:c r="AH694" s="3"/>
      <x:c r="AI694" s="18"/>
      <x:c r="AJ694" s="3" t="str">
        <x:v>CF2500-97D3B88D95CB</x:v>
      </x:c>
      <x:c r="AK694" s="3" t="str">
        <x:v>real_estate_operator</x:v>
      </x:c>
      <x:c r="AL694" s="19" t="n">
        <x:v>100000</x:v>
      </x:c>
      <x:c r="AM694" s="19" t="n">
        <x:v>500000</x:v>
      </x:c>
      <x:c r="AN694" s="3" t="str">
        <x:v>https://www.cashhomebuyersdirectory.com/cash-home-buyers/missouri/st-louis</x:v>
      </x:c>
      <x:c r="AO694" s="3" t="str">
        <x:v>national_rest_directory_complete.jsonl</x:v>
      </x:c>
      <x:c r="AP694" s="19"/>
    </x:row>
    <x:row r="695" ht="36" customHeight="1">
      <x:c r="A695" s="23" t="n">
        <x:v>694</x:v>
      </x:c>
      <x:c r="B695" s="15" t="str">
        <x:v>Pro Homebuyers | Sell My House Fast For Cash</x:v>
      </x:c>
      <x:c r="C695" s="15"/>
      <x:c r="D695" s="15" t="str">
        <x:v>Property investor / home-buying operator</x:v>
      </x:c>
      <x:c r="E695" s="15" t="str">
        <x:v>Property investor / operator inquiry</x:v>
      </x:c>
      <x:c r="F695" s="17" t="str">
        <x:v>New</x:v>
      </x:c>
      <x:c r="G695" s="24"/>
      <x:c r="H695" s="24" t="str">
        <x:v>+12513197355</x:v>
      </x:c>
      <x:c r="I695" s="24" t="str">
        <x:v>http://profastoffers.com/</x:v>
      </x:c>
      <x:c r="J695" s="16" t="str">
        <x:v>AL</x:v>
      </x:c>
      <x:c r="K695" s="16" t="str">
        <x:v>Mobile</x:v>
      </x:c>
      <x:c r="L695" s="16" t="str">
        <x:v>Public property-business route; investor decision maker unconfirmed</x:v>
      </x:c>
      <x:c r="M695" s="16" t="str">
        <x:v>http://profastoffers.com/</x:v>
      </x:c>
      <x:c r="N695" s="16" t="str">
        <x:v>$100K-$500K ticket not published / unconfirmed</x:v>
      </x:c>
      <x:c r="O695" s="20"/>
      <x:c r="P695" s="20"/>
      <x:c r="Q695" s="25" t="str">
        <x:v>No direct corporate-capital range established in checked source</x:v>
      </x:c>
      <x:c r="R695" s="25" t="str">
        <x:v>Property acquisition or investor activity makes this an operator-capital prospect for the signed trial. Confirm operating-company debt/equity appetite.</x:v>
      </x:c>
      <x:c r="S695" s="25"/>
      <x:c r="T695" s="25" t="str">
        <x:v>Ask the owner/investor whether they can allocate $100K-$500K to trial marketing and acquisitions, and confirm structure, timing and decision authority.</x:v>
      </x:c>
      <x:c r="U695" s="25" t="str">
        <x:v>https://www.cashhomebuyersdirectory.com/cash-home-buyers/alabama/mobile</x:v>
      </x:c>
      <x:c r="V695" s="26" t="d">
        <x:v>2026-10-02T00:00:00.000Z</x:v>
      </x:c>
      <x:c r="W695" s="26" t="d">
        <x:v>2026-10-02T00:00:00.000Z</x:v>
      </x:c>
      <x:c r="X695" s="25" t="str">
        <x:v>CashHomeBuyersDirectory third-party business listing; first-party business activity not checked in this batch</x:v>
      </x:c>
      <x:c r="Y695" s="25"/>
      <x:c r="Z695" s="25" t="str">
        <x:v>https://www.cashhomebuyersdirectory.com/cash-home-buyers/alabama/mobile</x:v>
      </x:c>
      <x:c r="AA695" s="25" t="str">
        <x:v>Public cash-home-buyer directory lists the business name, business phone/website where available and market. Operator role and corporate funding willingness require confirmation.</x:v>
      </x:c>
      <x:c r="AB695" s="3" t="str">
        <x:v>New public-source collection</x:v>
      </x:c>
      <x:c r="AC695" s="3" t="str">
        <x:v>unverified</x:v>
      </x:c>
      <x:c r="AD695" s="3" t="str">
        <x:v>Not contacted / unconfirmed</x:v>
      </x:c>
      <x:c r="AE695" s="3" t="str">
        <x:v>No</x:v>
      </x:c>
      <x:c r="AF695" s="3" t="str">
        <x:v>No</x:v>
      </x:c>
      <x:c r="AG695" s="3"/>
      <x:c r="AH695" s="3"/>
      <x:c r="AI695" s="18"/>
      <x:c r="AJ695" s="3" t="str">
        <x:v>CF2500-0599A350D817</x:v>
      </x:c>
      <x:c r="AK695" s="3" t="str">
        <x:v>real_estate_operator</x:v>
      </x:c>
      <x:c r="AL695" s="19" t="n">
        <x:v>100000</x:v>
      </x:c>
      <x:c r="AM695" s="19" t="n">
        <x:v>500000</x:v>
      </x:c>
      <x:c r="AN695" s="3" t="str">
        <x:v>https://www.cashhomebuyersdirectory.com/cash-home-buyers/alabama/mobile</x:v>
      </x:c>
      <x:c r="AO695" s="3" t="str">
        <x:v>national_rest_directory_complete.jsonl</x:v>
      </x:c>
      <x:c r="AP695" s="19"/>
    </x:row>
    <x:row r="696" ht="36" customHeight="1">
      <x:c r="A696" s="23" t="n">
        <x:v>695</x:v>
      </x:c>
      <x:c r="B696" s="15" t="str">
        <x:v>Pro Source Home Buyers</x:v>
      </x:c>
      <x:c r="C696" s="15"/>
      <x:c r="D696" s="15" t="str">
        <x:v>Property investor / home-buying operator</x:v>
      </x:c>
      <x:c r="E696" s="15" t="str">
        <x:v>Property investor / operator inquiry</x:v>
      </x:c>
      <x:c r="F696" s="17" t="str">
        <x:v>New</x:v>
      </x:c>
      <x:c r="G696" s="24"/>
      <x:c r="H696" s="24" t="str">
        <x:v>+14233754551</x:v>
      </x:c>
      <x:c r="I696" s="24" t="str">
        <x:v>https://prosourcehomebuyers.com/locations/chattanooga-tn?utm_source=google&amp;utm_medium=organic&amp;utm_campaign=gbp-chattanooga</x:v>
      </x:c>
      <x:c r="J696" s="16" t="str">
        <x:v>TN</x:v>
      </x:c>
      <x:c r="K696" s="16" t="str">
        <x:v>Chattanooga</x:v>
      </x:c>
      <x:c r="L696" s="16" t="str">
        <x:v>Public property-business route; investor decision maker unconfirmed</x:v>
      </x:c>
      <x:c r="M696" s="16" t="str">
        <x:v>https://prosourcehomebuyers.com/locations/chattanooga-tn?utm_source=google&amp;utm_medium=organic&amp;utm_campaign=gbp-chattanooga</x:v>
      </x:c>
      <x:c r="N696" s="16" t="str">
        <x:v>$100K-$500K ticket not published / unconfirmed</x:v>
      </x:c>
      <x:c r="O696" s="20"/>
      <x:c r="P696" s="20"/>
      <x:c r="Q696" s="25" t="str">
        <x:v>No direct corporate-capital range established in checked source</x:v>
      </x:c>
      <x:c r="R696" s="25" t="str">
        <x:v>Property acquisition or investor activity makes this an operator-capital prospect for the signed trial. Confirm operating-company debt/equity appetite.</x:v>
      </x:c>
      <x:c r="S696" s="25"/>
      <x:c r="T696" s="25" t="str">
        <x:v>Ask the owner/investor whether they can allocate $100K-$500K to trial marketing and acquisitions, and confirm structure, timing and decision authority.</x:v>
      </x:c>
      <x:c r="U696" s="25" t="str">
        <x:v>https://www.cashhomebuyersdirectory.com/cash-home-buyers/tennessee/chattanooga
https://www.cashhomebuyersdirectory.com/cash-home-buyers/tennessee/knoxville</x:v>
      </x:c>
      <x:c r="V696" s="26" t="d">
        <x:v>2026-10-02T00:00:00.000Z</x:v>
      </x:c>
      <x:c r="W696" s="26" t="d">
        <x:v>2026-10-02T00:00:00.000Z</x:v>
      </x:c>
      <x:c r="X696" s="25" t="str">
        <x:v>CashHomeBuyersDirectory third-party business listing; first-party business activity not checked in this batch</x:v>
      </x:c>
      <x:c r="Y696" s="25"/>
      <x:c r="Z696" s="25" t="str">
        <x:v>https://www.cashhomebuyersdirectory.com/cash-home-buyers/tennessee/chattanooga</x:v>
      </x:c>
      <x:c r="AA696" s="25" t="str">
        <x:v>Public cash-home-buyer directory lists the business name, business phone/website where available and market. Operator role and corporate funding willingness require confirmation.</x:v>
      </x:c>
      <x:c r="AB696" s="3" t="str">
        <x:v>New public-source collection</x:v>
      </x:c>
      <x:c r="AC696" s="3" t="str">
        <x:v>unverified</x:v>
      </x:c>
      <x:c r="AD696" s="3" t="str">
        <x:v>Not contacted / unconfirmed</x:v>
      </x:c>
      <x:c r="AE696" s="3" t="str">
        <x:v>No</x:v>
      </x:c>
      <x:c r="AF696" s="3" t="str">
        <x:v>No</x:v>
      </x:c>
      <x:c r="AG696" s="3"/>
      <x:c r="AH696" s="3"/>
      <x:c r="AI696" s="18"/>
      <x:c r="AJ696" s="3" t="str">
        <x:v>CF2500-1BA587ADA609</x:v>
      </x:c>
      <x:c r="AK696" s="3" t="str">
        <x:v>real_estate_operator</x:v>
      </x:c>
      <x:c r="AL696" s="19" t="n">
        <x:v>100000</x:v>
      </x:c>
      <x:c r="AM696" s="19" t="n">
        <x:v>500000</x:v>
      </x:c>
      <x:c r="AN696" s="3" t="str">
        <x:v>https://www.cashhomebuyersdirectory.com/cash-home-buyers/tennessee/chattanooga</x:v>
      </x:c>
      <x:c r="AO696" s="3" t="str">
        <x:v>national_rest_directory_complete.jsonl</x:v>
      </x:c>
      <x:c r="AP696" s="19"/>
    </x:row>
    <x:row r="697" ht="36" customHeight="1">
      <x:c r="A697" s="23" t="n">
        <x:v>696</x:v>
      </x:c>
      <x:c r="B697" s="15" t="str">
        <x:v>Professional Home Buyers</x:v>
      </x:c>
      <x:c r="C697" s="15"/>
      <x:c r="D697" s="15" t="str">
        <x:v>Property investor / home-buying operator</x:v>
      </x:c>
      <x:c r="E697" s="15" t="str">
        <x:v>Property investor / operator inquiry</x:v>
      </x:c>
      <x:c r="F697" s="17" t="str">
        <x:v>New</x:v>
      </x:c>
      <x:c r="G697" s="24"/>
      <x:c r="H697" s="24" t="str">
        <x:v>+13166867355</x:v>
      </x:c>
      <x:c r="I697" s="24" t="str">
        <x:v>https://prohomebuyer.com/?UTM_source=GBP_Listing&amp;UTM_medium=Organic</x:v>
      </x:c>
      <x:c r="J697" s="16" t="str">
        <x:v>KS</x:v>
      </x:c>
      <x:c r="K697" s="16" t="str">
        <x:v>Wichita</x:v>
      </x:c>
      <x:c r="L697" s="16" t="str">
        <x:v>Public property-business route; investor decision maker unconfirmed</x:v>
      </x:c>
      <x:c r="M697" s="16" t="str">
        <x:v>https://prohomebuyer.com/?UTM_source=GBP_Listing&amp;UTM_medium=Organic</x:v>
      </x:c>
      <x:c r="N697" s="16" t="str">
        <x:v>$100K-$500K ticket not published / unconfirmed</x:v>
      </x:c>
      <x:c r="O697" s="20"/>
      <x:c r="P697" s="20"/>
      <x:c r="Q697" s="25" t="str">
        <x:v>No direct corporate-capital range established in checked source</x:v>
      </x:c>
      <x:c r="R697" s="25" t="str">
        <x:v>Property acquisition or investor activity makes this an operator-capital prospect for the signed trial. Confirm operating-company debt/equity appetite.</x:v>
      </x:c>
      <x:c r="S697" s="25"/>
      <x:c r="T697" s="25" t="str">
        <x:v>Ask the owner/investor whether they can allocate $100K-$500K to trial marketing and acquisitions, and confirm structure, timing and decision authority.</x:v>
      </x:c>
      <x:c r="U697" s="25" t="str">
        <x:v>https://www.cashhomebuyersdirectory.com/cash-home-buyers/kansas/wichita</x:v>
      </x:c>
      <x:c r="V697" s="26" t="d">
        <x:v>2026-10-02T00:00:00.000Z</x:v>
      </x:c>
      <x:c r="W697" s="26" t="d">
        <x:v>2026-10-02T00:00:00.000Z</x:v>
      </x:c>
      <x:c r="X697" s="25" t="str">
        <x:v>CashHomeBuyersDirectory third-party business listing; first-party business activity not checked in this batch</x:v>
      </x:c>
      <x:c r="Y697" s="25"/>
      <x:c r="Z697" s="25" t="str">
        <x:v>https://www.cashhomebuyersdirectory.com/cash-home-buyers/kansas/wichita</x:v>
      </x:c>
      <x:c r="AA697" s="25" t="str">
        <x:v>Public cash-home-buyer directory lists the business name, business phone/website where available and market. Operator role and corporate funding willingness require confirmation.</x:v>
      </x:c>
      <x:c r="AB697" s="3" t="str">
        <x:v>New public-source collection</x:v>
      </x:c>
      <x:c r="AC697" s="3" t="str">
        <x:v>unverified</x:v>
      </x:c>
      <x:c r="AD697" s="3" t="str">
        <x:v>Not contacted / unconfirmed</x:v>
      </x:c>
      <x:c r="AE697" s="3" t="str">
        <x:v>No</x:v>
      </x:c>
      <x:c r="AF697" s="3" t="str">
        <x:v>No</x:v>
      </x:c>
      <x:c r="AG697" s="3"/>
      <x:c r="AH697" s="3"/>
      <x:c r="AI697" s="18"/>
      <x:c r="AJ697" s="3" t="str">
        <x:v>CF2500-BFE254736ED7</x:v>
      </x:c>
      <x:c r="AK697" s="3" t="str">
        <x:v>real_estate_operator</x:v>
      </x:c>
      <x:c r="AL697" s="19" t="n">
        <x:v>100000</x:v>
      </x:c>
      <x:c r="AM697" s="19" t="n">
        <x:v>500000</x:v>
      </x:c>
      <x:c r="AN697" s="3" t="str">
        <x:v>https://www.cashhomebuyersdirectory.com/cash-home-buyers/kansas/wichita</x:v>
      </x:c>
      <x:c r="AO697" s="3" t="str">
        <x:v>national_rest_directory_complete.jsonl</x:v>
      </x:c>
      <x:c r="AP697" s="19"/>
    </x:row>
    <x:row r="698" ht="36" customHeight="1">
      <x:c r="A698" s="23" t="n">
        <x:v>697</x:v>
      </x:c>
      <x:c r="B698" s="15" t="str">
        <x:v>LTD Property Group- Local Home Buyer- Sell My House Indiana</x:v>
      </x:c>
      <x:c r="C698" s="15"/>
      <x:c r="D698" s="15" t="str">
        <x:v>Property investor / home-buying operator</x:v>
      </x:c>
      <x:c r="E698" s="15" t="str">
        <x:v>Property investor / operator inquiry</x:v>
      </x:c>
      <x:c r="F698" s="17" t="str">
        <x:v>New</x:v>
      </x:c>
      <x:c r="G698" s="24"/>
      <x:c r="H698" s="24" t="str">
        <x:v>+12607777653</x:v>
      </x:c>
      <x:c r="I698" s="24" t="str">
        <x:v>https://www.ltd-propertygroup.com/</x:v>
      </x:c>
      <x:c r="J698" s="16" t="str">
        <x:v>IN</x:v>
      </x:c>
      <x:c r="K698" s="16" t="str">
        <x:v>Fort Wayne</x:v>
      </x:c>
      <x:c r="L698" s="16" t="str">
        <x:v>Public property-business route; investor decision maker unconfirmed</x:v>
      </x:c>
      <x:c r="M698" s="16" t="str">
        <x:v>https://www.ltd-propertygroup.com/</x:v>
      </x:c>
      <x:c r="N698" s="16" t="str">
        <x:v>$100K-$500K ticket not published / unconfirmed</x:v>
      </x:c>
      <x:c r="O698" s="20"/>
      <x:c r="P698" s="20"/>
      <x:c r="Q698" s="25" t="str">
        <x:v>No direct corporate-capital range established in checked source</x:v>
      </x:c>
      <x:c r="R698" s="25" t="str">
        <x:v>Property acquisition or investor activity makes this an operator-capital prospect for the signed trial. Confirm operating-company debt/equity appetite.</x:v>
      </x:c>
      <x:c r="S698" s="25"/>
      <x:c r="T698" s="25" t="str">
        <x:v>Ask the owner/investor whether they can allocate $100K-$500K to trial marketing and acquisitions, and confirm structure, timing and decision authority.</x:v>
      </x:c>
      <x:c r="U698" s="25" t="str">
        <x:v>https://www.cashhomebuyersdirectory.com/cash-home-buyers/indiana/fort-wayne</x:v>
      </x:c>
      <x:c r="V698" s="26" t="d">
        <x:v>2026-10-02T00:00:00.000Z</x:v>
      </x:c>
      <x:c r="W698" s="26" t="d">
        <x:v>2026-10-02T00:00:00.000Z</x:v>
      </x:c>
      <x:c r="X698" s="25" t="str">
        <x:v>CashHomeBuyersDirectory third-party business listing; first-party business activity not checked in this batch</x:v>
      </x:c>
      <x:c r="Y698" s="25"/>
      <x:c r="Z698" s="25" t="str">
        <x:v>https://www.cashhomebuyersdirectory.com/cash-home-buyers/indiana/fort-wayne</x:v>
      </x:c>
      <x:c r="AA698" s="25" t="str">
        <x:v>Public cash-home-buyer directory lists the business name, business phone/website where available and market. Operator role and corporate funding willingness require confirmation.</x:v>
      </x:c>
      <x:c r="AB698" s="3" t="str">
        <x:v>New public-source collection</x:v>
      </x:c>
      <x:c r="AC698" s="3" t="str">
        <x:v>unverified</x:v>
      </x:c>
      <x:c r="AD698" s="3" t="str">
        <x:v>Not contacted / unconfirmed</x:v>
      </x:c>
      <x:c r="AE698" s="3" t="str">
        <x:v>No</x:v>
      </x:c>
      <x:c r="AF698" s="3" t="str">
        <x:v>No</x:v>
      </x:c>
      <x:c r="AG698" s="3"/>
      <x:c r="AH698" s="3"/>
      <x:c r="AI698" s="18"/>
      <x:c r="AJ698" s="3" t="str">
        <x:v>CF2500-AA8409A64A53</x:v>
      </x:c>
      <x:c r="AK698" s="3" t="str">
        <x:v>real_estate_operator</x:v>
      </x:c>
      <x:c r="AL698" s="19" t="n">
        <x:v>100000</x:v>
      </x:c>
      <x:c r="AM698" s="19" t="n">
        <x:v>500000</x:v>
      </x:c>
      <x:c r="AN698" s="3" t="str">
        <x:v>https://www.cashhomebuyersdirectory.com/cash-home-buyers/indiana/fort-wayne</x:v>
      </x:c>
      <x:c r="AO698" s="3" t="str">
        <x:v>national_rest_directory_complete.jsonl</x:v>
      </x:c>
      <x:c r="AP698" s="19"/>
    </x:row>
    <x:row r="699" ht="36" customHeight="1">
      <x:c r="A699" s="23" t="n">
        <x:v>698</x:v>
      </x:c>
      <x:c r="B699" s="15" t="str">
        <x:v>Providence House Buyers</x:v>
      </x:c>
      <x:c r="C699" s="15"/>
      <x:c r="D699" s="15" t="str">
        <x:v>Property investor / home-buying operator</x:v>
      </x:c>
      <x:c r="E699" s="15" t="str">
        <x:v>Property investor / operator inquiry</x:v>
      </x:c>
      <x:c r="F699" s="17" t="str">
        <x:v>New</x:v>
      </x:c>
      <x:c r="G699" s="24"/>
      <x:c r="H699" s="24" t="str">
        <x:v>+13142705500</x:v>
      </x:c>
      <x:c r="I699" s="24" t="str">
        <x:v>https://providencehousebuyers.com/</x:v>
      </x:c>
      <x:c r="J699" s="16" t="str">
        <x:v>MO</x:v>
      </x:c>
      <x:c r="K699" s="16" t="str">
        <x:v>O'Fallon</x:v>
      </x:c>
      <x:c r="L699" s="16" t="str">
        <x:v>Public property-business route; investor decision maker unconfirmed</x:v>
      </x:c>
      <x:c r="M699" s="16" t="str">
        <x:v>https://providencehousebuyers.com/</x:v>
      </x:c>
      <x:c r="N699" s="16" t="str">
        <x:v>$100K-$500K ticket not published / unconfirmed</x:v>
      </x:c>
      <x:c r="O699" s="20"/>
      <x:c r="P699" s="20"/>
      <x:c r="Q699" s="25" t="str">
        <x:v>No direct corporate-capital range established in checked source</x:v>
      </x:c>
      <x:c r="R699" s="25" t="str">
        <x:v>Property acquisition or investor activity makes this an operator-capital prospect for the signed trial. Confirm operating-company debt/equity appetite.</x:v>
      </x:c>
      <x:c r="S699" s="25"/>
      <x:c r="T699" s="25" t="str">
        <x:v>Ask the owner/investor whether they can allocate $100K-$500K to trial marketing and acquisitions, and confirm structure, timing and decision authority.</x:v>
      </x:c>
      <x:c r="U699" s="25" t="str">
        <x:v>https://www.cashhomebuyersdirectory.com/cash-home-buyers/missouri/ofallon</x:v>
      </x:c>
      <x:c r="V699" s="26" t="d">
        <x:v>2026-10-02T00:00:00.000Z</x:v>
      </x:c>
      <x:c r="W699" s="26" t="d">
        <x:v>2026-10-02T00:00:00.000Z</x:v>
      </x:c>
      <x:c r="X699" s="25" t="str">
        <x:v>CashHomeBuyersDirectory third-party business listing; first-party business activity not checked in this batch</x:v>
      </x:c>
      <x:c r="Y699" s="25"/>
      <x:c r="Z699" s="25" t="str">
        <x:v>https://www.cashhomebuyersdirectory.com/cash-home-buyers/missouri/ofallon</x:v>
      </x:c>
      <x:c r="AA699" s="25" t="str">
        <x:v>Public cash-home-buyer directory lists the business name, business phone/website where available and market. Operator role and corporate funding willingness require confirmation.</x:v>
      </x:c>
      <x:c r="AB699" s="3" t="str">
        <x:v>New public-source collection</x:v>
      </x:c>
      <x:c r="AC699" s="3" t="str">
        <x:v>unverified</x:v>
      </x:c>
      <x:c r="AD699" s="3" t="str">
        <x:v>Not contacted / unconfirmed</x:v>
      </x:c>
      <x:c r="AE699" s="3" t="str">
        <x:v>No</x:v>
      </x:c>
      <x:c r="AF699" s="3" t="str">
        <x:v>No</x:v>
      </x:c>
      <x:c r="AG699" s="3"/>
      <x:c r="AH699" s="3"/>
      <x:c r="AI699" s="18"/>
      <x:c r="AJ699" s="3" t="str">
        <x:v>CF2500-1B86DD5BC047</x:v>
      </x:c>
      <x:c r="AK699" s="3" t="str">
        <x:v>real_estate_operator</x:v>
      </x:c>
      <x:c r="AL699" s="19" t="n">
        <x:v>100000</x:v>
      </x:c>
      <x:c r="AM699" s="19" t="n">
        <x:v>500000</x:v>
      </x:c>
      <x:c r="AN699" s="3" t="str">
        <x:v>https://www.cashhomebuyersdirectory.com/cash-home-buyers/missouri/ofallon</x:v>
      </x:c>
      <x:c r="AO699" s="3" t="str">
        <x:v>national_rest_directory_complete.jsonl</x:v>
      </x:c>
      <x:c r="AP699" s="19"/>
    </x:row>
    <x:row r="700" ht="36" customHeight="1">
      <x:c r="A700" s="23" t="n">
        <x:v>699</x:v>
      </x:c>
      <x:c r="B700" s="15" t="str">
        <x:v>Purple Mountain Home Buyers</x:v>
      </x:c>
      <x:c r="C700" s="15"/>
      <x:c r="D700" s="15" t="str">
        <x:v>Property investor / home-buying operator</x:v>
      </x:c>
      <x:c r="E700" s="15" t="str">
        <x:v>Property investor / operator inquiry</x:v>
      </x:c>
      <x:c r="F700" s="17" t="str">
        <x:v>New</x:v>
      </x:c>
      <x:c r="G700" s="24"/>
      <x:c r="H700" s="24" t="str">
        <x:v>+17193012644</x:v>
      </x:c>
      <x:c r="I700" s="24" t="str">
        <x:v>https://www.sellmyhousetoday.com/</x:v>
      </x:c>
      <x:c r="J700" s="16" t="str">
        <x:v>CO</x:v>
      </x:c>
      <x:c r="K700" s="16" t="str">
        <x:v>Colorado Springs</x:v>
      </x:c>
      <x:c r="L700" s="16" t="str">
        <x:v>Public property-business route; investor decision maker unconfirmed</x:v>
      </x:c>
      <x:c r="M700" s="16" t="str">
        <x:v>https://www.sellmyhousetoday.com/</x:v>
      </x:c>
      <x:c r="N700" s="16" t="str">
        <x:v>$100K-$500K ticket not published / unconfirmed</x:v>
      </x:c>
      <x:c r="O700" s="20"/>
      <x:c r="P700" s="20"/>
      <x:c r="Q700" s="25" t="str">
        <x:v>No $100K-$500K operating-company investment ticket verified</x:v>
      </x:c>
      <x:c r="R700" s="25" t="str">
        <x:v>Property acquisition or investor activity makes this an operator-capital prospect for the signed trial. Confirm operating-company debt/equity appetite.</x:v>
      </x:c>
      <x:c r="S700" s="25" t="str">
        <x:v>Public property-buying activity or a directory listing does not establish available cash, investing decision-maker, current $100K-$500K capacity, or willingness to fund 101XVC operating costs.</x:v>
      </x:c>
      <x:c r="T700" s="25" t="str">
        <x:v>Ask the owner/investor whether they can allocate $100K-$500K to trial marketing and acquisitions, and confirm structure, timing and decision authority.</x:v>
      </x:c>
      <x:c r="U700" s="25" t="str">
        <x:v>https://www.cashhomebuyersdirectory.com/cash-home-buyers/colorado/colorado-springs</x:v>
      </x:c>
      <x:c r="V700" s="26" t="d">
        <x:v>2026-10-02T00:00:00.000Z</x:v>
      </x:c>
      <x:c r="W700" s="26" t="d">
        <x:v>2026-10-02T00:00:00.000Z</x:v>
      </x:c>
      <x:c r="X700" s="25" t="str">
        <x:v>Public investor directory; business role and contact ownership require qualification</x:v>
      </x:c>
      <x:c r="Y700" s="25"/>
      <x:c r="Z700" s="25" t="str">
        <x:v>https://www.cashhomebuyersdirectory.com/cash-home-buyers/colorado/colorado-springs</x:v>
      </x:c>
      <x:c r="AA700" s="25" t="str">
        <x:v>Public cash-home-buyer directory lists business name, phone and market. Directory entry may include brokers or service providers.</x:v>
      </x:c>
      <x:c r="AB700" s="3" t="str">
        <x:v>New public-source collection</x:v>
      </x:c>
      <x:c r="AC700" s="3" t="str">
        <x:v>unverified</x:v>
      </x:c>
      <x:c r="AD700" s="3" t="str">
        <x:v>Not contacted / unconfirmed</x:v>
      </x:c>
      <x:c r="AE700" s="3" t="str">
        <x:v>No</x:v>
      </x:c>
      <x:c r="AF700" s="3" t="str">
        <x:v>No</x:v>
      </x:c>
      <x:c r="AG700" s="3"/>
      <x:c r="AH700" s="3"/>
      <x:c r="AI700" s="18"/>
      <x:c r="AJ700" s="3" t="str">
        <x:v>CF2500-A30DC95BB688</x:v>
      </x:c>
      <x:c r="AK700" s="3" t="str">
        <x:v>Property investor / home-buying operator prospect</x:v>
      </x:c>
      <x:c r="AL700" s="19" t="n">
        <x:v>100000</x:v>
      </x:c>
      <x:c r="AM700" s="19" t="n">
        <x:v>500000</x:v>
      </x:c>
      <x:c r="AN700" s="3" t="str">
        <x:v>https://www.cashhomebuyersdirectory.com/cash-home-buyers/colorado/colorado-springs</x:v>
      </x:c>
      <x:c r="AO700" s="3" t="str">
        <x:v>nc_il_az_co_investors.jsonl</x:v>
      </x:c>
      <x:c r="AP700" s="19"/>
    </x:row>
    <x:row r="701" ht="36" customHeight="1">
      <x:c r="A701" s="23" t="n">
        <x:v>700</x:v>
      </x:c>
      <x:c r="B701" s="15" t="str">
        <x:v>Pyramid Home Buyers LLC</x:v>
      </x:c>
      <x:c r="C701" s="15"/>
      <x:c r="D701" s="15" t="str">
        <x:v>Property investor / home-buying operator</x:v>
      </x:c>
      <x:c r="E701" s="15" t="str">
        <x:v>Property investor / operator inquiry</x:v>
      </x:c>
      <x:c r="F701" s="17" t="str">
        <x:v>New</x:v>
      </x:c>
      <x:c r="G701" s="24"/>
      <x:c r="H701" s="24" t="str">
        <x:v>+19013101839</x:v>
      </x:c>
      <x:c r="I701" s="24" t="str">
        <x:v>http://www.pyramidhomebuyers.com/</x:v>
      </x:c>
      <x:c r="J701" s="16" t="str">
        <x:v>TN</x:v>
      </x:c>
      <x:c r="K701" s="16" t="str">
        <x:v>Memphis</x:v>
      </x:c>
      <x:c r="L701" s="16" t="str">
        <x:v>Public property-business route; investor decision maker unconfirmed</x:v>
      </x:c>
      <x:c r="M701" s="16" t="str">
        <x:v>http://www.pyramidhomebuyers.com/</x:v>
      </x:c>
      <x:c r="N701" s="16" t="str">
        <x:v>$100K-$500K ticket not published / unconfirmed</x:v>
      </x:c>
      <x:c r="O701" s="20"/>
      <x:c r="P701" s="20"/>
      <x:c r="Q701" s="25" t="str">
        <x:v>No direct corporate-capital range established in checked source</x:v>
      </x:c>
      <x:c r="R701" s="25" t="str">
        <x:v>Property acquisition or investor activity makes this an operator-capital prospect for the signed trial. Confirm operating-company debt/equity appetite.</x:v>
      </x:c>
      <x:c r="S701" s="25"/>
      <x:c r="T701" s="25" t="str">
        <x:v>Ask the owner/investor whether they can allocate $100K-$500K to trial marketing and acquisitions, and confirm structure, timing and decision authority.</x:v>
      </x:c>
      <x:c r="U701" s="25" t="str">
        <x:v>https://www.cashhomebuyersdirectory.com/cash-home-buyers/tennessee/memphis</x:v>
      </x:c>
      <x:c r="V701" s="26" t="d">
        <x:v>2026-10-02T00:00:00.000Z</x:v>
      </x:c>
      <x:c r="W701" s="26" t="d">
        <x:v>2026-10-02T00:00:00.000Z</x:v>
      </x:c>
      <x:c r="X701" s="25" t="str">
        <x:v>CashHomeBuyersDirectory third-party business listing; first-party business activity not checked in this batch</x:v>
      </x:c>
      <x:c r="Y701" s="25"/>
      <x:c r="Z701" s="25" t="str">
        <x:v>https://www.cashhomebuyersdirectory.com/cash-home-buyers/tennessee/memphis</x:v>
      </x:c>
      <x:c r="AA701" s="25" t="str">
        <x:v>Public cash-home-buyer directory lists the business name, business phone/website where available and market. Operator role and corporate funding willingness require confirmation.</x:v>
      </x:c>
      <x:c r="AB701" s="3" t="str">
        <x:v>New public-source collection</x:v>
      </x:c>
      <x:c r="AC701" s="3" t="str">
        <x:v>unverified</x:v>
      </x:c>
      <x:c r="AD701" s="3" t="str">
        <x:v>Not contacted / unconfirmed</x:v>
      </x:c>
      <x:c r="AE701" s="3" t="str">
        <x:v>No</x:v>
      </x:c>
      <x:c r="AF701" s="3" t="str">
        <x:v>No</x:v>
      </x:c>
      <x:c r="AG701" s="3"/>
      <x:c r="AH701" s="3"/>
      <x:c r="AI701" s="18"/>
      <x:c r="AJ701" s="3" t="str">
        <x:v>CF2500-EA0D7B20E4D2</x:v>
      </x:c>
      <x:c r="AK701" s="3" t="str">
        <x:v>real_estate_operator</x:v>
      </x:c>
      <x:c r="AL701" s="19" t="n">
        <x:v>100000</x:v>
      </x:c>
      <x:c r="AM701" s="19" t="n">
        <x:v>500000</x:v>
      </x:c>
      <x:c r="AN701" s="3" t="str">
        <x:v>https://www.cashhomebuyersdirectory.com/cash-home-buyers/tennessee/memphis</x:v>
      </x:c>
      <x:c r="AO701" s="3" t="str">
        <x:v>national_rest_directory_complete.jsonl</x:v>
      </x:c>
      <x:c r="AP701" s="19"/>
    </x:row>
    <x:row r="702" ht="36" customHeight="1">
      <x:c r="A702" s="23" t="n">
        <x:v>701</x:v>
      </x:c>
      <x:c r="B702" s="15" t="str">
        <x:v>Quick Step Home Buyers | Sell My House Fast</x:v>
      </x:c>
      <x:c r="C702" s="15"/>
      <x:c r="D702" s="15" t="str">
        <x:v>Property investor / home-buying operator</x:v>
      </x:c>
      <x:c r="E702" s="15" t="str">
        <x:v>Property investor / operator inquiry</x:v>
      </x:c>
      <x:c r="F702" s="17" t="str">
        <x:v>New</x:v>
      </x:c>
      <x:c r="G702" s="24"/>
      <x:c r="H702" s="24" t="str">
        <x:v>+18015200101</x:v>
      </x:c>
      <x:c r="I702" s="24" t="str">
        <x:v>https://quickstephome.com/</x:v>
      </x:c>
      <x:c r="J702" s="16" t="str">
        <x:v>UT</x:v>
      </x:c>
      <x:c r="K702" s="16" t="str">
        <x:v>Salt Lake City</x:v>
      </x:c>
      <x:c r="L702" s="16" t="str">
        <x:v>Public property-business route; investor decision maker unconfirmed</x:v>
      </x:c>
      <x:c r="M702" s="16" t="str">
        <x:v>https://quickstephome.com/</x:v>
      </x:c>
      <x:c r="N702" s="16" t="str">
        <x:v>$100K-$500K ticket not published / unconfirmed</x:v>
      </x:c>
      <x:c r="O702" s="20"/>
      <x:c r="P702" s="20"/>
      <x:c r="Q702" s="25" t="str">
        <x:v>No direct corporate-capital range established in checked source</x:v>
      </x:c>
      <x:c r="R702" s="25" t="str">
        <x:v>Property acquisition or investor activity makes this an operator-capital prospect for the signed trial. Confirm operating-company debt/equity appetite.</x:v>
      </x:c>
      <x:c r="S702" s="25"/>
      <x:c r="T702" s="25" t="str">
        <x:v>Ask the owner/investor whether they can allocate $100K-$500K to trial marketing and acquisitions, and confirm structure, timing and decision authority.</x:v>
      </x:c>
      <x:c r="U702" s="25" t="str">
        <x:v>https://www.cashhomebuyersdirectory.com/cash-home-buyers/utah/salt-lake-city</x:v>
      </x:c>
      <x:c r="V702" s="26" t="d">
        <x:v>2026-10-02T00:00:00.000Z</x:v>
      </x:c>
      <x:c r="W702" s="26" t="d">
        <x:v>2026-10-02T00:00:00.000Z</x:v>
      </x:c>
      <x:c r="X702" s="25" t="str">
        <x:v>CashHomeBuyersDirectory third-party business listing; first-party business activity not checked in this batch</x:v>
      </x:c>
      <x:c r="Y702" s="25"/>
      <x:c r="Z702" s="25" t="str">
        <x:v>https://www.cashhomebuyersdirectory.com/cash-home-buyers/utah/salt-lake-city</x:v>
      </x:c>
      <x:c r="AA702" s="25" t="str">
        <x:v>Public cash-home-buyer directory lists the business name, business phone/website where available and market. Operator role and corporate funding willingness require confirmation.</x:v>
      </x:c>
      <x:c r="AB702" s="3" t="str">
        <x:v>New public-source collection</x:v>
      </x:c>
      <x:c r="AC702" s="3" t="str">
        <x:v>unverified</x:v>
      </x:c>
      <x:c r="AD702" s="3" t="str">
        <x:v>Not contacted / unconfirmed</x:v>
      </x:c>
      <x:c r="AE702" s="3" t="str">
        <x:v>No</x:v>
      </x:c>
      <x:c r="AF702" s="3" t="str">
        <x:v>No</x:v>
      </x:c>
      <x:c r="AG702" s="3"/>
      <x:c r="AH702" s="3"/>
      <x:c r="AI702" s="18"/>
      <x:c r="AJ702" s="3" t="str">
        <x:v>CF2500-09FEBE15699F</x:v>
      </x:c>
      <x:c r="AK702" s="3" t="str">
        <x:v>real_estate_operator</x:v>
      </x:c>
      <x:c r="AL702" s="19" t="n">
        <x:v>100000</x:v>
      </x:c>
      <x:c r="AM702" s="19" t="n">
        <x:v>500000</x:v>
      </x:c>
      <x:c r="AN702" s="3" t="str">
        <x:v>https://www.cashhomebuyersdirectory.com/cash-home-buyers/utah/salt-lake-city</x:v>
      </x:c>
      <x:c r="AO702" s="3" t="str">
        <x:v>national_rest_directory_complete.jsonl</x:v>
      </x:c>
      <x:c r="AP702" s="19"/>
    </x:row>
    <x:row r="703" ht="36" customHeight="1">
      <x:c r="A703" s="23" t="n">
        <x:v>702</x:v>
      </x:c>
      <x:c r="B703" s="15" t="str">
        <x:v>Rapid Fire Home Buyers</x:v>
      </x:c>
      <x:c r="C703" s="15"/>
      <x:c r="D703" s="15" t="str">
        <x:v>Property investor / home-buying operator</x:v>
      </x:c>
      <x:c r="E703" s="15" t="str">
        <x:v>Property investor / operator inquiry</x:v>
      </x:c>
      <x:c r="F703" s="17" t="str">
        <x:v>New</x:v>
      </x:c>
      <x:c r="G703" s="24"/>
      <x:c r="H703" s="24" t="str">
        <x:v>+13343103079</x:v>
      </x:c>
      <x:c r="I703" s="24" t="str">
        <x:v>https://www.rfhomebuyers.com/alabama/sell-my-house-fast-montgomery/</x:v>
      </x:c>
      <x:c r="J703" s="16" t="str">
        <x:v>AL</x:v>
      </x:c>
      <x:c r="K703" s="16" t="str">
        <x:v>Montgomery</x:v>
      </x:c>
      <x:c r="L703" s="16" t="str">
        <x:v>Public property-business route; investor decision maker unconfirmed</x:v>
      </x:c>
      <x:c r="M703" s="16" t="str">
        <x:v>https://www.rfhomebuyers.com/alabama/sell-my-house-fast-montgomery/</x:v>
      </x:c>
      <x:c r="N703" s="16" t="str">
        <x:v>$100K-$500K ticket not published / unconfirmed</x:v>
      </x:c>
      <x:c r="O703" s="20"/>
      <x:c r="P703" s="20"/>
      <x:c r="Q703" s="25" t="str">
        <x:v>No direct corporate-capital range established in checked source</x:v>
      </x:c>
      <x:c r="R703" s="25" t="str">
        <x:v>Property acquisition or investor activity makes this an operator-capital prospect for the signed trial. Confirm operating-company debt/equity appetite.</x:v>
      </x:c>
      <x:c r="S703" s="25"/>
      <x:c r="T703" s="25" t="str">
        <x:v>Ask the owner/investor whether they can allocate $100K-$500K to trial marketing and acquisitions, and confirm structure, timing and decision authority.</x:v>
      </x:c>
      <x:c r="U703" s="25" t="str">
        <x:v>https://www.cashhomebuyersdirectory.com/cash-home-buyers/alabama/montgomery
https://www.cashhomebuyersdirectory.com/cash-home-buyers/georgia/columbus
https://www.cashhomebuyersdirectory.com/cash-home-buyers/kentucky/lexington
https://www.cashhomebuyersdirectory.com/cash-home-buyers/kentucky/louisville
https://www.cashhomebuyersdirectory.com/cash-home-buyers/ohio/cincinnati</x:v>
      </x:c>
      <x:c r="V703" s="26" t="d">
        <x:v>2026-10-02T00:00:00.000Z</x:v>
      </x:c>
      <x:c r="W703" s="26" t="d">
        <x:v>2026-10-02T00:00:00.000Z</x:v>
      </x:c>
      <x:c r="X703" s="25" t="str">
        <x:v>CashHomeBuyersDirectory third-party business listing; first-party business activity not checked in this batch</x:v>
      </x:c>
      <x:c r="Y703" s="25"/>
      <x:c r="Z703" s="25" t="str">
        <x:v>https://www.cashhomebuyersdirectory.com/cash-home-buyers/alabama/montgomery</x:v>
      </x:c>
      <x:c r="AA703" s="25" t="str">
        <x:v>Public cash-home-buyer directory lists the business name, business phone/website where available and market. Operator role and corporate funding willingness require confirmation.</x:v>
      </x:c>
      <x:c r="AB703" s="3" t="str">
        <x:v>New public-source collection</x:v>
      </x:c>
      <x:c r="AC703" s="3" t="str">
        <x:v>unverified</x:v>
      </x:c>
      <x:c r="AD703" s="3" t="str">
        <x:v>Not contacted / unconfirmed</x:v>
      </x:c>
      <x:c r="AE703" s="3" t="str">
        <x:v>No</x:v>
      </x:c>
      <x:c r="AF703" s="3" t="str">
        <x:v>No</x:v>
      </x:c>
      <x:c r="AG703" s="3"/>
      <x:c r="AH703" s="3"/>
      <x:c r="AI703" s="18"/>
      <x:c r="AJ703" s="3" t="str">
        <x:v>CF2500-1E934F8FF0FC</x:v>
      </x:c>
      <x:c r="AK703" s="3" t="str">
        <x:v>real_estate_operator</x:v>
      </x:c>
      <x:c r="AL703" s="19" t="n">
        <x:v>100000</x:v>
      </x:c>
      <x:c r="AM703" s="19" t="n">
        <x:v>500000</x:v>
      </x:c>
      <x:c r="AN703" s="3" t="str">
        <x:v>https://www.cashhomebuyersdirectory.com/cash-home-buyers/alabama/montgomery</x:v>
      </x:c>
      <x:c r="AO703" s="3" t="str">
        <x:v>national_rest_directory_complete.jsonl</x:v>
      </x:c>
      <x:c r="AP703" s="19"/>
    </x:row>
    <x:row r="704" ht="36" customHeight="1">
      <x:c r="A704" s="23" t="n">
        <x:v>703</x:v>
      </x:c>
      <x:c r="B704" s="15" t="str">
        <x:v>Real Estate Rescue: Sell My House Fast in Wichita</x:v>
      </x:c>
      <x:c r="C704" s="15"/>
      <x:c r="D704" s="15" t="str">
        <x:v>Property investor / home-buying operator</x:v>
      </x:c>
      <x:c r="E704" s="15" t="str">
        <x:v>Property investor / operator inquiry</x:v>
      </x:c>
      <x:c r="F704" s="17" t="str">
        <x:v>New</x:v>
      </x:c>
      <x:c r="G704" s="24"/>
      <x:c r="H704" s="24" t="str">
        <x:v>+13169257851</x:v>
      </x:c>
      <x:c r="I704" s="24" t="str">
        <x:v>https://www.sellmyhomeict.com/</x:v>
      </x:c>
      <x:c r="J704" s="16" t="str">
        <x:v>KS</x:v>
      </x:c>
      <x:c r="K704" s="16" t="str">
        <x:v>Wichita</x:v>
      </x:c>
      <x:c r="L704" s="16" t="str">
        <x:v>Public property-business route; investor decision maker unconfirmed</x:v>
      </x:c>
      <x:c r="M704" s="16" t="str">
        <x:v>https://www.sellmyhomeict.com/</x:v>
      </x:c>
      <x:c r="N704" s="16" t="str">
        <x:v>$100K-$500K ticket not published / unconfirmed</x:v>
      </x:c>
      <x:c r="O704" s="20"/>
      <x:c r="P704" s="20"/>
      <x:c r="Q704" s="25" t="str">
        <x:v>No direct corporate-capital range established in checked source</x:v>
      </x:c>
      <x:c r="R704" s="25" t="str">
        <x:v>Property acquisition or investor activity makes this an operator-capital prospect for the signed trial. Confirm operating-company debt/equity appetite.</x:v>
      </x:c>
      <x:c r="S704" s="25"/>
      <x:c r="T704" s="25" t="str">
        <x:v>Ask the owner/investor whether they can allocate $100K-$500K to trial marketing and acquisitions, and confirm structure, timing and decision authority.</x:v>
      </x:c>
      <x:c r="U704" s="25" t="str">
        <x:v>https://www.cashhomebuyersdirectory.com/cash-home-buyers/kansas/wichita</x:v>
      </x:c>
      <x:c r="V704" s="26" t="d">
        <x:v>2026-10-02T00:00:00.000Z</x:v>
      </x:c>
      <x:c r="W704" s="26" t="d">
        <x:v>2026-10-02T00:00:00.000Z</x:v>
      </x:c>
      <x:c r="X704" s="25" t="str">
        <x:v>CashHomeBuyersDirectory third-party business listing; first-party business activity not checked in this batch</x:v>
      </x:c>
      <x:c r="Y704" s="25"/>
      <x:c r="Z704" s="25" t="str">
        <x:v>https://www.cashhomebuyersdirectory.com/cash-home-buyers/kansas/wichita</x:v>
      </x:c>
      <x:c r="AA704" s="25" t="str">
        <x:v>Public cash-home-buyer directory lists the business name, business phone/website where available and market. Operator role and corporate funding willingness require confirmation.</x:v>
      </x:c>
      <x:c r="AB704" s="3" t="str">
        <x:v>New public-source collection</x:v>
      </x:c>
      <x:c r="AC704" s="3" t="str">
        <x:v>unverified</x:v>
      </x:c>
      <x:c r="AD704" s="3" t="str">
        <x:v>Not contacted / unconfirmed</x:v>
      </x:c>
      <x:c r="AE704" s="3" t="str">
        <x:v>No</x:v>
      </x:c>
      <x:c r="AF704" s="3" t="str">
        <x:v>No</x:v>
      </x:c>
      <x:c r="AG704" s="3"/>
      <x:c r="AH704" s="3"/>
      <x:c r="AI704" s="18"/>
      <x:c r="AJ704" s="3" t="str">
        <x:v>CF2500-D6CCFD0E6568</x:v>
      </x:c>
      <x:c r="AK704" s="3" t="str">
        <x:v>real_estate_operator</x:v>
      </x:c>
      <x:c r="AL704" s="19" t="n">
        <x:v>100000</x:v>
      </x:c>
      <x:c r="AM704" s="19" t="n">
        <x:v>500000</x:v>
      </x:c>
      <x:c r="AN704" s="3" t="str">
        <x:v>https://www.cashhomebuyersdirectory.com/cash-home-buyers/kansas/wichita</x:v>
      </x:c>
      <x:c r="AO704" s="3" t="str">
        <x:v>national_rest_directory_complete.jsonl</x:v>
      </x:c>
      <x:c r="AP704" s="19"/>
    </x:row>
    <x:row r="705" ht="36" customHeight="1">
      <x:c r="A705" s="23" t="n">
        <x:v>704</x:v>
      </x:c>
      <x:c r="B705" s="15" t="str">
        <x:v>Region Home Buyers</x:v>
      </x:c>
      <x:c r="C705" s="15"/>
      <x:c r="D705" s="15" t="str">
        <x:v>Property investor / home-buying operator</x:v>
      </x:c>
      <x:c r="E705" s="15" t="str">
        <x:v>Property investor / operator inquiry</x:v>
      </x:c>
      <x:c r="F705" s="17" t="str">
        <x:v>New</x:v>
      </x:c>
      <x:c r="G705" s="24"/>
      <x:c r="H705" s="24" t="str">
        <x:v>+12196413400</x:v>
      </x:c>
      <x:c r="I705" s="24" t="str">
        <x:v>http://www.regionhomebuyers.com/</x:v>
      </x:c>
      <x:c r="J705" s="16" t="str">
        <x:v>IN</x:v>
      </x:c>
      <x:c r="K705" s="16" t="str">
        <x:v>Griffith</x:v>
      </x:c>
      <x:c r="L705" s="16" t="str">
        <x:v>Public property-business route; investor decision maker unconfirmed</x:v>
      </x:c>
      <x:c r="M705" s="16" t="str">
        <x:v>http://www.regionhomebuyers.com/</x:v>
      </x:c>
      <x:c r="N705" s="16" t="str">
        <x:v>$100K-$500K ticket not published / unconfirmed</x:v>
      </x:c>
      <x:c r="O705" s="20"/>
      <x:c r="P705" s="20"/>
      <x:c r="Q705" s="25" t="str">
        <x:v>No direct corporate-capital range established in checked source</x:v>
      </x:c>
      <x:c r="R705" s="25" t="str">
        <x:v>Property acquisition or investor activity makes this an operator-capital prospect for the signed trial. Confirm operating-company debt/equity appetite.</x:v>
      </x:c>
      <x:c r="S705" s="25"/>
      <x:c r="T705" s="25" t="str">
        <x:v>Ask the owner/investor whether they can allocate $100K-$500K to trial marketing and acquisitions, and confirm structure, timing and decision authority.</x:v>
      </x:c>
      <x:c r="U705" s="25" t="str">
        <x:v>https://www.cashhomebuyersdirectory.com/cash-home-buyers/indiana/griffith</x:v>
      </x:c>
      <x:c r="V705" s="26" t="d">
        <x:v>2026-10-02T00:00:00.000Z</x:v>
      </x:c>
      <x:c r="W705" s="26" t="d">
        <x:v>2026-10-02T00:00:00.000Z</x:v>
      </x:c>
      <x:c r="X705" s="25" t="str">
        <x:v>CashHomeBuyersDirectory third-party business listing; first-party business activity not checked in this batch</x:v>
      </x:c>
      <x:c r="Y705" s="25"/>
      <x:c r="Z705" s="25" t="str">
        <x:v>https://www.cashhomebuyersdirectory.com/cash-home-buyers/indiana/griffith</x:v>
      </x:c>
      <x:c r="AA705" s="25" t="str">
        <x:v>Public cash-home-buyer directory lists the business name, business phone/website where available and market. Operator role and corporate funding willingness require confirmation.</x:v>
      </x:c>
      <x:c r="AB705" s="3" t="str">
        <x:v>New public-source collection</x:v>
      </x:c>
      <x:c r="AC705" s="3" t="str">
        <x:v>unverified</x:v>
      </x:c>
      <x:c r="AD705" s="3" t="str">
        <x:v>Not contacted / unconfirmed</x:v>
      </x:c>
      <x:c r="AE705" s="3" t="str">
        <x:v>No</x:v>
      </x:c>
      <x:c r="AF705" s="3" t="str">
        <x:v>No</x:v>
      </x:c>
      <x:c r="AG705" s="3"/>
      <x:c r="AH705" s="3"/>
      <x:c r="AI705" s="18"/>
      <x:c r="AJ705" s="3" t="str">
        <x:v>CF2500-CDD7BFB13BFA</x:v>
      </x:c>
      <x:c r="AK705" s="3" t="str">
        <x:v>real_estate_operator</x:v>
      </x:c>
      <x:c r="AL705" s="19" t="n">
        <x:v>100000</x:v>
      </x:c>
      <x:c r="AM705" s="19" t="n">
        <x:v>500000</x:v>
      </x:c>
      <x:c r="AN705" s="3" t="str">
        <x:v>https://www.cashhomebuyersdirectory.com/cash-home-buyers/indiana/griffith</x:v>
      </x:c>
      <x:c r="AO705" s="3" t="str">
        <x:v>national_rest_directory_complete.jsonl</x:v>
      </x:c>
      <x:c r="AP705" s="19"/>
    </x:row>
    <x:row r="706" ht="36" customHeight="1">
      <x:c r="A706" s="23" t="n">
        <x:v>705</x:v>
      </x:c>
      <x:c r="B706" s="15" t="str">
        <x:v>Reliable Cash House Buyers</x:v>
      </x:c>
      <x:c r="C706" s="15"/>
      <x:c r="D706" s="15" t="str">
        <x:v>Property investor / home-buying operator</x:v>
      </x:c>
      <x:c r="E706" s="15" t="str">
        <x:v>Property investor / operator inquiry</x:v>
      </x:c>
      <x:c r="F706" s="17" t="str">
        <x:v>New</x:v>
      </x:c>
      <x:c r="G706" s="24"/>
      <x:c r="H706" s="24" t="str">
        <x:v>+18164510753</x:v>
      </x:c>
      <x:c r="I706" s="24" t="str">
        <x:v>http://www.reliablecashhousebuyers.com/</x:v>
      </x:c>
      <x:c r="J706" s="16" t="str">
        <x:v>MO</x:v>
      </x:c>
      <x:c r="K706" s="16" t="str">
        <x:v>Gladstone</x:v>
      </x:c>
      <x:c r="L706" s="16" t="str">
        <x:v>Public property-business route; investor decision maker unconfirmed</x:v>
      </x:c>
      <x:c r="M706" s="16" t="str">
        <x:v>http://www.reliablecashhousebuyers.com/</x:v>
      </x:c>
      <x:c r="N706" s="16" t="str">
        <x:v>$100K-$500K ticket not published / unconfirmed</x:v>
      </x:c>
      <x:c r="O706" s="20"/>
      <x:c r="P706" s="20"/>
      <x:c r="Q706" s="25" t="str">
        <x:v>No direct corporate-capital range established in checked source</x:v>
      </x:c>
      <x:c r="R706" s="25" t="str">
        <x:v>Property acquisition or investor activity makes this an operator-capital prospect for the signed trial. Confirm operating-company debt/equity appetite.</x:v>
      </x:c>
      <x:c r="S706" s="25"/>
      <x:c r="T706" s="25" t="str">
        <x:v>Ask the owner/investor whether they can allocate $100K-$500K to trial marketing and acquisitions, and confirm structure, timing and decision authority.</x:v>
      </x:c>
      <x:c r="U706" s="25" t="str">
        <x:v>https://www.cashhomebuyersdirectory.com/cash-home-buyers/missouri/gladstone</x:v>
      </x:c>
      <x:c r="V706" s="26" t="d">
        <x:v>2026-10-02T00:00:00.000Z</x:v>
      </x:c>
      <x:c r="W706" s="26" t="d">
        <x:v>2026-10-02T00:00:00.000Z</x:v>
      </x:c>
      <x:c r="X706" s="25" t="str">
        <x:v>CashHomeBuyersDirectory third-party business listing; first-party business activity not checked in this batch</x:v>
      </x:c>
      <x:c r="Y706" s="25"/>
      <x:c r="Z706" s="25" t="str">
        <x:v>https://www.cashhomebuyersdirectory.com/cash-home-buyers/missouri/gladstone</x:v>
      </x:c>
      <x:c r="AA706" s="25" t="str">
        <x:v>Public cash-home-buyer directory lists the business name, business phone/website where available and market. Operator role and corporate funding willingness require confirmation.</x:v>
      </x:c>
      <x:c r="AB706" s="3" t="str">
        <x:v>New public-source collection</x:v>
      </x:c>
      <x:c r="AC706" s="3" t="str">
        <x:v>unverified</x:v>
      </x:c>
      <x:c r="AD706" s="3" t="str">
        <x:v>Not contacted / unconfirmed</x:v>
      </x:c>
      <x:c r="AE706" s="3" t="str">
        <x:v>No</x:v>
      </x:c>
      <x:c r="AF706" s="3" t="str">
        <x:v>No</x:v>
      </x:c>
      <x:c r="AG706" s="3"/>
      <x:c r="AH706" s="3"/>
      <x:c r="AI706" s="18"/>
      <x:c r="AJ706" s="3" t="str">
        <x:v>CF2500-CB8A39A58F33</x:v>
      </x:c>
      <x:c r="AK706" s="3" t="str">
        <x:v>real_estate_operator</x:v>
      </x:c>
      <x:c r="AL706" s="19" t="n">
        <x:v>100000</x:v>
      </x:c>
      <x:c r="AM706" s="19" t="n">
        <x:v>500000</x:v>
      </x:c>
      <x:c r="AN706" s="3" t="str">
        <x:v>https://www.cashhomebuyersdirectory.com/cash-home-buyers/missouri/gladstone</x:v>
      </x:c>
      <x:c r="AO706" s="3" t="str">
        <x:v>national_rest_directory_complete.jsonl</x:v>
      </x:c>
      <x:c r="AP706" s="19"/>
    </x:row>
    <x:row r="707" ht="36" customHeight="1">
      <x:c r="A707" s="23" t="n">
        <x:v>706</x:v>
      </x:c>
      <x:c r="B707" s="15" t="str">
        <x:v>Reliant Home Buyers of Knoxville TN</x:v>
      </x:c>
      <x:c r="C707" s="15"/>
      <x:c r="D707" s="15" t="str">
        <x:v>Property investor / home-buying operator</x:v>
      </x:c>
      <x:c r="E707" s="15" t="str">
        <x:v>Property investor / operator inquiry</x:v>
      </x:c>
      <x:c r="F707" s="17" t="str">
        <x:v>New</x:v>
      </x:c>
      <x:c r="G707" s="24"/>
      <x:c r="H707" s="24" t="str">
        <x:v>+18653452440</x:v>
      </x:c>
      <x:c r="I707" s="24" t="str">
        <x:v>https://relianthomebuyerstn.com/?utm_source=google&amp;utm_medium=organic&amp;utm_campaign=gmb-listing</x:v>
      </x:c>
      <x:c r="J707" s="16" t="str">
        <x:v>TN</x:v>
      </x:c>
      <x:c r="K707" s="16"/>
      <x:c r="L707" s="16" t="str">
        <x:v>Public property-business route; investor decision maker unconfirmed</x:v>
      </x:c>
      <x:c r="M707" s="16" t="str">
        <x:v>https://relianthomebuyerstn.com/?utm_source=google&amp;utm_medium=organic&amp;utm_campaign=gmb-listing</x:v>
      </x:c>
      <x:c r="N707" s="16" t="str">
        <x:v>$100K-$500K ticket not published / unconfirmed</x:v>
      </x:c>
      <x:c r="O707" s="20"/>
      <x:c r="P707" s="20"/>
      <x:c r="Q707" s="25" t="str">
        <x:v>No direct corporate-capital range established in checked source</x:v>
      </x:c>
      <x:c r="R707" s="25" t="str">
        <x:v>Property acquisition or investor activity makes this an operator-capital prospect for the signed trial. Confirm operating-company debt/equity appetite.</x:v>
      </x:c>
      <x:c r="S707" s="25"/>
      <x:c r="T707" s="25" t="str">
        <x:v>Ask the owner/investor whether they can allocate $100K-$500K to trial marketing and acquisitions, and confirm structure, timing and decision authority.</x:v>
      </x:c>
      <x:c r="U707" s="25" t="str">
        <x:v>https://www.cashhomebuyersdirectory.com/cash-home-buyers/tennessee/knoxville</x:v>
      </x:c>
      <x:c r="V707" s="26" t="d">
        <x:v>2026-10-02T00:00:00.000Z</x:v>
      </x:c>
      <x:c r="W707" s="26" t="d">
        <x:v>2026-10-02T00:00:00.000Z</x:v>
      </x:c>
      <x:c r="X707" s="25" t="str">
        <x:v>CashHomeBuyersDirectory third-party business listing; first-party business activity not checked in this batch</x:v>
      </x:c>
      <x:c r="Y707" s="25"/>
      <x:c r="Z707" s="25" t="str">
        <x:v>https://www.cashhomebuyersdirectory.com/cash-home-buyers/tennessee/knoxville</x:v>
      </x:c>
      <x:c r="AA707" s="25" t="str">
        <x:v>Public cash-home-buyer directory lists the business name, business phone/website where available and market. Operator role and corporate funding willingness require confirmation.</x:v>
      </x:c>
      <x:c r="AB707" s="3" t="str">
        <x:v>New public-source collection</x:v>
      </x:c>
      <x:c r="AC707" s="3" t="str">
        <x:v>unverified</x:v>
      </x:c>
      <x:c r="AD707" s="3" t="str">
        <x:v>Not contacted / unconfirmed</x:v>
      </x:c>
      <x:c r="AE707" s="3" t="str">
        <x:v>No</x:v>
      </x:c>
      <x:c r="AF707" s="3" t="str">
        <x:v>No</x:v>
      </x:c>
      <x:c r="AG707" s="3"/>
      <x:c r="AH707" s="3"/>
      <x:c r="AI707" s="18"/>
      <x:c r="AJ707" s="3" t="str">
        <x:v>CF2500-9C536018963B</x:v>
      </x:c>
      <x:c r="AK707" s="3" t="str">
        <x:v>real_estate_operator</x:v>
      </x:c>
      <x:c r="AL707" s="19" t="n">
        <x:v>100000</x:v>
      </x:c>
      <x:c r="AM707" s="19" t="n">
        <x:v>500000</x:v>
      </x:c>
      <x:c r="AN707" s="3" t="str">
        <x:v>https://www.cashhomebuyersdirectory.com/cash-home-buyers/tennessee/knoxville</x:v>
      </x:c>
      <x:c r="AO707" s="3" t="str">
        <x:v>national_rest_directory_complete.jsonl</x:v>
      </x:c>
      <x:c r="AP707" s="19"/>
    </x:row>
    <x:row r="708" ht="36" customHeight="1">
      <x:c r="A708" s="23" t="n">
        <x:v>707</x:v>
      </x:c>
      <x:c r="B708" s="15" t="str">
        <x:v>Remedy Home Buyers</x:v>
      </x:c>
      <x:c r="C708" s="15"/>
      <x:c r="D708" s="15" t="str">
        <x:v>Property investor / home-buying operator</x:v>
      </x:c>
      <x:c r="E708" s="15" t="str">
        <x:v>Property investor / operator inquiry</x:v>
      </x:c>
      <x:c r="F708" s="17" t="str">
        <x:v>New</x:v>
      </x:c>
      <x:c r="G708" s="24"/>
      <x:c r="H708" s="24" t="str">
        <x:v>+14057777166</x:v>
      </x:c>
      <x:c r="I708" s="24" t="str">
        <x:v>http://remedyhomebuyers.com/</x:v>
      </x:c>
      <x:c r="J708" s="16" t="str">
        <x:v>OK</x:v>
      </x:c>
      <x:c r="K708" s="16"/>
      <x:c r="L708" s="16" t="str">
        <x:v>Public property-business route; investor decision maker unconfirmed</x:v>
      </x:c>
      <x:c r="M708" s="16" t="str">
        <x:v>http://remedyhomebuyers.com/</x:v>
      </x:c>
      <x:c r="N708" s="16" t="str">
        <x:v>$100K-$500K ticket not published / unconfirmed</x:v>
      </x:c>
      <x:c r="O708" s="20"/>
      <x:c r="P708" s="20"/>
      <x:c r="Q708" s="25" t="str">
        <x:v>No direct corporate-capital range established in checked source</x:v>
      </x:c>
      <x:c r="R708" s="25" t="str">
        <x:v>Property acquisition or investor activity makes this an operator-capital prospect for the signed trial. Confirm operating-company debt/equity appetite.</x:v>
      </x:c>
      <x:c r="S708" s="25"/>
      <x:c r="T708" s="25" t="str">
        <x:v>Ask the owner/investor whether they can allocate $100K-$500K to trial marketing and acquisitions, and confirm structure, timing and decision authority.</x:v>
      </x:c>
      <x:c r="U708" s="25" t="str">
        <x:v>https://www.cashhomebuyersdirectory.com/cash-home-buyers/oklahoma/oklahoma-city</x:v>
      </x:c>
      <x:c r="V708" s="26" t="d">
        <x:v>2026-10-02T00:00:00.000Z</x:v>
      </x:c>
      <x:c r="W708" s="26" t="d">
        <x:v>2026-10-02T00:00:00.000Z</x:v>
      </x:c>
      <x:c r="X708" s="25" t="str">
        <x:v>CashHomeBuyersDirectory third-party business listing; first-party business activity not checked in this batch</x:v>
      </x:c>
      <x:c r="Y708" s="25"/>
      <x:c r="Z708" s="25" t="str">
        <x:v>https://www.cashhomebuyersdirectory.com/cash-home-buyers/oklahoma/oklahoma-city</x:v>
      </x:c>
      <x:c r="AA708" s="25" t="str">
        <x:v>Public cash-home-buyer directory lists the business name, business phone/website where available and market. Operator role and corporate funding willingness require confirmation.</x:v>
      </x:c>
      <x:c r="AB708" s="3" t="str">
        <x:v>New public-source collection</x:v>
      </x:c>
      <x:c r="AC708" s="3" t="str">
        <x:v>unverified</x:v>
      </x:c>
      <x:c r="AD708" s="3" t="str">
        <x:v>Not contacted / unconfirmed</x:v>
      </x:c>
      <x:c r="AE708" s="3" t="str">
        <x:v>No</x:v>
      </x:c>
      <x:c r="AF708" s="3" t="str">
        <x:v>No</x:v>
      </x:c>
      <x:c r="AG708" s="3"/>
      <x:c r="AH708" s="3"/>
      <x:c r="AI708" s="18"/>
      <x:c r="AJ708" s="3" t="str">
        <x:v>CF2500-E1CB25CCB9FB</x:v>
      </x:c>
      <x:c r="AK708" s="3" t="str">
        <x:v>real_estate_operator</x:v>
      </x:c>
      <x:c r="AL708" s="19" t="n">
        <x:v>100000</x:v>
      </x:c>
      <x:c r="AM708" s="19" t="n">
        <x:v>500000</x:v>
      </x:c>
      <x:c r="AN708" s="3" t="str">
        <x:v>https://www.cashhomebuyersdirectory.com/cash-home-buyers/oklahoma/oklahoma-city</x:v>
      </x:c>
      <x:c r="AO708" s="3" t="str">
        <x:v>national_rest_directory_complete.jsonl</x:v>
      </x:c>
      <x:c r="AP708" s="19"/>
    </x:row>
    <x:row r="709" ht="36" customHeight="1">
      <x:c r="A709" s="23" t="n">
        <x:v>708</x:v>
      </x:c>
      <x:c r="B709" s="15" t="str">
        <x:v>Results House Buyer</x:v>
      </x:c>
      <x:c r="C709" s="15"/>
      <x:c r="D709" s="15" t="str">
        <x:v>Property investor / home-buying operator</x:v>
      </x:c>
      <x:c r="E709" s="15" t="str">
        <x:v>Property investor / operator inquiry</x:v>
      </x:c>
      <x:c r="F709" s="17" t="str">
        <x:v>New</x:v>
      </x:c>
      <x:c r="G709" s="24"/>
      <x:c r="H709" s="24" t="str">
        <x:v>+18004485166</x:v>
      </x:c>
      <x:c r="I709" s="24" t="str">
        <x:v>https://www.resultshousebuyer.com/</x:v>
      </x:c>
      <x:c r="J709" s="16" t="str">
        <x:v>TN</x:v>
      </x:c>
      <x:c r="K709" s="16" t="str">
        <x:v>Memphis</x:v>
      </x:c>
      <x:c r="L709" s="16" t="str">
        <x:v>Public property-business route; investor decision maker unconfirmed</x:v>
      </x:c>
      <x:c r="M709" s="16" t="str">
        <x:v>https://www.resultshousebuyer.com/</x:v>
      </x:c>
      <x:c r="N709" s="16" t="str">
        <x:v>$100K-$500K ticket not published / unconfirmed</x:v>
      </x:c>
      <x:c r="O709" s="20"/>
      <x:c r="P709" s="20"/>
      <x:c r="Q709" s="25" t="str">
        <x:v>No direct corporate-capital range established in checked source</x:v>
      </x:c>
      <x:c r="R709" s="25" t="str">
        <x:v>Property acquisition or investor activity makes this an operator-capital prospect for the signed trial. Confirm operating-company debt/equity appetite.</x:v>
      </x:c>
      <x:c r="S709" s="25"/>
      <x:c r="T709" s="25" t="str">
        <x:v>Ask the owner/investor whether they can allocate $100K-$500K to trial marketing and acquisitions, and confirm structure, timing and decision authority.</x:v>
      </x:c>
      <x:c r="U709" s="25" t="str">
        <x:v>https://www.cashhomebuyersdirectory.com/cash-home-buyers/tennessee/memphis</x:v>
      </x:c>
      <x:c r="V709" s="26" t="d">
        <x:v>2026-10-02T00:00:00.000Z</x:v>
      </x:c>
      <x:c r="W709" s="26" t="d">
        <x:v>2026-10-02T00:00:00.000Z</x:v>
      </x:c>
      <x:c r="X709" s="25" t="str">
        <x:v>CashHomeBuyersDirectory third-party business listing; first-party business activity not checked in this batch</x:v>
      </x:c>
      <x:c r="Y709" s="25"/>
      <x:c r="Z709" s="25" t="str">
        <x:v>https://www.cashhomebuyersdirectory.com/cash-home-buyers/tennessee/memphis</x:v>
      </x:c>
      <x:c r="AA709" s="25" t="str">
        <x:v>Public cash-home-buyer directory lists the business name, business phone/website where available and market. Operator role and corporate funding willingness require confirmation.</x:v>
      </x:c>
      <x:c r="AB709" s="3" t="str">
        <x:v>New public-source collection</x:v>
      </x:c>
      <x:c r="AC709" s="3" t="str">
        <x:v>unverified</x:v>
      </x:c>
      <x:c r="AD709" s="3" t="str">
        <x:v>Not contacted / unconfirmed</x:v>
      </x:c>
      <x:c r="AE709" s="3" t="str">
        <x:v>No</x:v>
      </x:c>
      <x:c r="AF709" s="3" t="str">
        <x:v>No</x:v>
      </x:c>
      <x:c r="AG709" s="3"/>
      <x:c r="AH709" s="3"/>
      <x:c r="AI709" s="18"/>
      <x:c r="AJ709" s="3" t="str">
        <x:v>CF2500-33E6634D2BE6</x:v>
      </x:c>
      <x:c r="AK709" s="3" t="str">
        <x:v>real_estate_operator</x:v>
      </x:c>
      <x:c r="AL709" s="19" t="n">
        <x:v>100000</x:v>
      </x:c>
      <x:c r="AM709" s="19" t="n">
        <x:v>500000</x:v>
      </x:c>
      <x:c r="AN709" s="3" t="str">
        <x:v>https://www.cashhomebuyersdirectory.com/cash-home-buyers/tennessee/memphis</x:v>
      </x:c>
      <x:c r="AO709" s="3" t="str">
        <x:v>national_rest_directory_complete.jsonl</x:v>
      </x:c>
      <x:c r="AP709" s="19"/>
    </x:row>
    <x:row r="710" ht="36" customHeight="1">
      <x:c r="A710" s="23" t="n">
        <x:v>709</x:v>
      </x:c>
      <x:c r="B710" s="15" t="str">
        <x:v>Revestors | Sell House Fast for Cash Salt Lake City | Cash Home Buyers</x:v>
      </x:c>
      <x:c r="C710" s="15"/>
      <x:c r="D710" s="15" t="str">
        <x:v>Property investor / home-buying operator</x:v>
      </x:c>
      <x:c r="E710" s="15" t="str">
        <x:v>Property investor / operator inquiry</x:v>
      </x:c>
      <x:c r="F710" s="17" t="str">
        <x:v>New</x:v>
      </x:c>
      <x:c r="G710" s="24"/>
      <x:c r="H710" s="24" t="str">
        <x:v>+18013493844</x:v>
      </x:c>
      <x:c r="I710" s="24" t="str">
        <x:v>https://housebuyersaltlakecity.com/</x:v>
      </x:c>
      <x:c r="J710" s="16" t="str">
        <x:v>UT</x:v>
      </x:c>
      <x:c r="K710" s="16" t="str">
        <x:v>Salt Lake City</x:v>
      </x:c>
      <x:c r="L710" s="16" t="str">
        <x:v>Public property-business route; investor decision maker unconfirmed</x:v>
      </x:c>
      <x:c r="M710" s="16" t="str">
        <x:v>https://housebuyersaltlakecity.com/</x:v>
      </x:c>
      <x:c r="N710" s="16" t="str">
        <x:v>$100K-$500K ticket not published / unconfirmed</x:v>
      </x:c>
      <x:c r="O710" s="20"/>
      <x:c r="P710" s="20"/>
      <x:c r="Q710" s="25" t="str">
        <x:v>No direct corporate-capital range established in checked source</x:v>
      </x:c>
      <x:c r="R710" s="25" t="str">
        <x:v>Property acquisition or investor activity makes this an operator-capital prospect for the signed trial. Confirm operating-company debt/equity appetite.</x:v>
      </x:c>
      <x:c r="S710" s="25"/>
      <x:c r="T710" s="25" t="str">
        <x:v>Ask the owner/investor whether they can allocate $100K-$500K to trial marketing and acquisitions, and confirm structure, timing and decision authority.</x:v>
      </x:c>
      <x:c r="U710" s="25" t="str">
        <x:v>https://www.cashhomebuyersdirectory.com/cash-home-buyers/utah/salt-lake-city</x:v>
      </x:c>
      <x:c r="V710" s="26" t="d">
        <x:v>2026-10-02T00:00:00.000Z</x:v>
      </x:c>
      <x:c r="W710" s="26" t="d">
        <x:v>2026-10-02T00:00:00.000Z</x:v>
      </x:c>
      <x:c r="X710" s="25" t="str">
        <x:v>CashHomeBuyersDirectory third-party business listing; first-party business activity not checked in this batch</x:v>
      </x:c>
      <x:c r="Y710" s="25"/>
      <x:c r="Z710" s="25" t="str">
        <x:v>https://www.cashhomebuyersdirectory.com/cash-home-buyers/utah/salt-lake-city</x:v>
      </x:c>
      <x:c r="AA710" s="25" t="str">
        <x:v>Public cash-home-buyer directory lists the business name, business phone/website where available and market. Operator role and corporate funding willingness require confirmation.</x:v>
      </x:c>
      <x:c r="AB710" s="3" t="str">
        <x:v>New public-source collection</x:v>
      </x:c>
      <x:c r="AC710" s="3" t="str">
        <x:v>unverified</x:v>
      </x:c>
      <x:c r="AD710" s="3" t="str">
        <x:v>Not contacted / unconfirmed</x:v>
      </x:c>
      <x:c r="AE710" s="3" t="str">
        <x:v>No</x:v>
      </x:c>
      <x:c r="AF710" s="3" t="str">
        <x:v>No</x:v>
      </x:c>
      <x:c r="AG710" s="3"/>
      <x:c r="AH710" s="3"/>
      <x:c r="AI710" s="18"/>
      <x:c r="AJ710" s="3" t="str">
        <x:v>CF2500-5D5714A4125C</x:v>
      </x:c>
      <x:c r="AK710" s="3" t="str">
        <x:v>real_estate_operator</x:v>
      </x:c>
      <x:c r="AL710" s="19" t="n">
        <x:v>100000</x:v>
      </x:c>
      <x:c r="AM710" s="19" t="n">
        <x:v>500000</x:v>
      </x:c>
      <x:c r="AN710" s="3" t="str">
        <x:v>https://www.cashhomebuyersdirectory.com/cash-home-buyers/utah/salt-lake-city</x:v>
      </x:c>
      <x:c r="AO710" s="3" t="str">
        <x:v>national_rest_directory_complete.jsonl</x:v>
      </x:c>
      <x:c r="AP710" s="19"/>
    </x:row>
    <x:row r="711" ht="36" customHeight="1">
      <x:c r="A711" s="23" t="n">
        <x:v>710</x:v>
      </x:c>
      <x:c r="B711" s="15" t="str">
        <x:v>Revolve Homebuyer</x:v>
      </x:c>
      <x:c r="C711" s="15"/>
      <x:c r="D711" s="15" t="str">
        <x:v>Property investor / home-buying operator</x:v>
      </x:c>
      <x:c r="E711" s="15" t="str">
        <x:v>Property investor / operator inquiry</x:v>
      </x:c>
      <x:c r="F711" s="17" t="str">
        <x:v>New</x:v>
      </x:c>
      <x:c r="G711" s="24"/>
      <x:c r="H711" s="24" t="str">
        <x:v>+13145575775</x:v>
      </x:c>
      <x:c r="I711" s="24" t="str">
        <x:v>https://revolvehomebuyer.com/</x:v>
      </x:c>
      <x:c r="J711" s="16" t="str">
        <x:v>MO</x:v>
      </x:c>
      <x:c r="K711" s="16" t="str">
        <x:v>St. Louis</x:v>
      </x:c>
      <x:c r="L711" s="16" t="str">
        <x:v>Public property-business route; investor decision maker unconfirmed</x:v>
      </x:c>
      <x:c r="M711" s="16" t="str">
        <x:v>https://revolvehomebuyer.com/</x:v>
      </x:c>
      <x:c r="N711" s="16" t="str">
        <x:v>$100K-$500K ticket not published / unconfirmed</x:v>
      </x:c>
      <x:c r="O711" s="20"/>
      <x:c r="P711" s="20"/>
      <x:c r="Q711" s="25" t="str">
        <x:v>No direct corporate-capital range established in checked source</x:v>
      </x:c>
      <x:c r="R711" s="25" t="str">
        <x:v>Property acquisition or investor activity makes this an operator-capital prospect for the signed trial. Confirm operating-company debt/equity appetite.</x:v>
      </x:c>
      <x:c r="S711" s="25"/>
      <x:c r="T711" s="25" t="str">
        <x:v>Ask the owner/investor whether they can allocate $100K-$500K to trial marketing and acquisitions, and confirm structure, timing and decision authority.</x:v>
      </x:c>
      <x:c r="U711" s="25" t="str">
        <x:v>https://www.cashhomebuyersdirectory.com/cash-home-buyers/missouri/st-louis</x:v>
      </x:c>
      <x:c r="V711" s="26" t="d">
        <x:v>2026-10-02T00:00:00.000Z</x:v>
      </x:c>
      <x:c r="W711" s="26" t="d">
        <x:v>2026-10-02T00:00:00.000Z</x:v>
      </x:c>
      <x:c r="X711" s="25" t="str">
        <x:v>CashHomeBuyersDirectory third-party business listing; first-party business activity not checked in this batch</x:v>
      </x:c>
      <x:c r="Y711" s="25"/>
      <x:c r="Z711" s="25" t="str">
        <x:v>https://www.cashhomebuyersdirectory.com/cash-home-buyers/missouri/st-louis</x:v>
      </x:c>
      <x:c r="AA711" s="25" t="str">
        <x:v>Public cash-home-buyer directory lists the business name, business phone/website where available and market. Operator role and corporate funding willingness require confirmation.</x:v>
      </x:c>
      <x:c r="AB711" s="3" t="str">
        <x:v>New public-source collection</x:v>
      </x:c>
      <x:c r="AC711" s="3" t="str">
        <x:v>unverified</x:v>
      </x:c>
      <x:c r="AD711" s="3" t="str">
        <x:v>Not contacted / unconfirmed</x:v>
      </x:c>
      <x:c r="AE711" s="3" t="str">
        <x:v>No</x:v>
      </x:c>
      <x:c r="AF711" s="3" t="str">
        <x:v>No</x:v>
      </x:c>
      <x:c r="AG711" s="3"/>
      <x:c r="AH711" s="3"/>
      <x:c r="AI711" s="18"/>
      <x:c r="AJ711" s="3" t="str">
        <x:v>CF2500-D2633FE1D99A</x:v>
      </x:c>
      <x:c r="AK711" s="3" t="str">
        <x:v>real_estate_operator</x:v>
      </x:c>
      <x:c r="AL711" s="19" t="n">
        <x:v>100000</x:v>
      </x:c>
      <x:c r="AM711" s="19" t="n">
        <x:v>500000</x:v>
      </x:c>
      <x:c r="AN711" s="3" t="str">
        <x:v>https://www.cashhomebuyersdirectory.com/cash-home-buyers/missouri/st-louis</x:v>
      </x:c>
      <x:c r="AO711" s="3" t="str">
        <x:v>national_rest_directory_complete.jsonl</x:v>
      </x:c>
      <x:c r="AP711" s="19"/>
    </x:row>
    <x:row r="712" ht="36" customHeight="1">
      <x:c r="A712" s="23" t="n">
        <x:v>711</x:v>
      </x:c>
      <x:c r="B712" s="15" t="str">
        <x:v>Right Solution House Buyers, LLC</x:v>
      </x:c>
      <x:c r="C712" s="15"/>
      <x:c r="D712" s="15" t="str">
        <x:v>Property investor / home-buying operator</x:v>
      </x:c>
      <x:c r="E712" s="15" t="str">
        <x:v>Property investor / operator inquiry</x:v>
      </x:c>
      <x:c r="F712" s="17" t="str">
        <x:v>New</x:v>
      </x:c>
      <x:c r="G712" s="24"/>
      <x:c r="H712" s="24" t="str">
        <x:v>+12565275665</x:v>
      </x:c>
      <x:c r="I712" s="24" t="str">
        <x:v>http://rightsolutionhousebuyers.com/</x:v>
      </x:c>
      <x:c r="J712" s="16" t="str">
        <x:v>AL</x:v>
      </x:c>
      <x:c r="K712" s="16"/>
      <x:c r="L712" s="16" t="str">
        <x:v>Public property-business route; investor decision maker unconfirmed</x:v>
      </x:c>
      <x:c r="M712" s="16" t="str">
        <x:v>http://rightsolutionhousebuyers.com/</x:v>
      </x:c>
      <x:c r="N712" s="16" t="str">
        <x:v>$100K-$500K ticket not published / unconfirmed</x:v>
      </x:c>
      <x:c r="O712" s="20"/>
      <x:c r="P712" s="20"/>
      <x:c r="Q712" s="25" t="str">
        <x:v>No direct corporate-capital range established in checked source</x:v>
      </x:c>
      <x:c r="R712" s="25" t="str">
        <x:v>Property acquisition or investor activity makes this an operator-capital prospect for the signed trial. Confirm operating-company debt/equity appetite.</x:v>
      </x:c>
      <x:c r="S712" s="25"/>
      <x:c r="T712" s="25" t="str">
        <x:v>Ask the owner/investor whether they can allocate $100K-$500K to trial marketing and acquisitions, and confirm structure, timing and decision authority.</x:v>
      </x:c>
      <x:c r="U712" s="25" t="str">
        <x:v>https://www.cashhomebuyersdirectory.com/cash-home-buyers/alabama/huntsville</x:v>
      </x:c>
      <x:c r="V712" s="26" t="d">
        <x:v>2026-10-02T00:00:00.000Z</x:v>
      </x:c>
      <x:c r="W712" s="26" t="d">
        <x:v>2026-10-02T00:00:00.000Z</x:v>
      </x:c>
      <x:c r="X712" s="25" t="str">
        <x:v>CashHomeBuyersDirectory third-party business listing; first-party business activity not checked in this batch</x:v>
      </x:c>
      <x:c r="Y712" s="25"/>
      <x:c r="Z712" s="25" t="str">
        <x:v>https://www.cashhomebuyersdirectory.com/cash-home-buyers/alabama/huntsville</x:v>
      </x:c>
      <x:c r="AA712" s="25" t="str">
        <x:v>Public cash-home-buyer directory lists the business name, business phone/website where available and market. Operator role and corporate funding willingness require confirmation.</x:v>
      </x:c>
      <x:c r="AB712" s="3" t="str">
        <x:v>New public-source collection</x:v>
      </x:c>
      <x:c r="AC712" s="3" t="str">
        <x:v>unverified</x:v>
      </x:c>
      <x:c r="AD712" s="3" t="str">
        <x:v>Not contacted / unconfirmed</x:v>
      </x:c>
      <x:c r="AE712" s="3" t="str">
        <x:v>No</x:v>
      </x:c>
      <x:c r="AF712" s="3" t="str">
        <x:v>No</x:v>
      </x:c>
      <x:c r="AG712" s="3"/>
      <x:c r="AH712" s="3"/>
      <x:c r="AI712" s="18"/>
      <x:c r="AJ712" s="3" t="str">
        <x:v>CF2500-04B56DD9257D</x:v>
      </x:c>
      <x:c r="AK712" s="3" t="str">
        <x:v>real_estate_operator</x:v>
      </x:c>
      <x:c r="AL712" s="19" t="n">
        <x:v>100000</x:v>
      </x:c>
      <x:c r="AM712" s="19" t="n">
        <x:v>500000</x:v>
      </x:c>
      <x:c r="AN712" s="3" t="str">
        <x:v>https://www.cashhomebuyersdirectory.com/cash-home-buyers/alabama/huntsville</x:v>
      </x:c>
      <x:c r="AO712" s="3" t="str">
        <x:v>national_rest_directory_complete.jsonl</x:v>
      </x:c>
      <x:c r="AP712" s="19"/>
    </x:row>
    <x:row r="713" ht="36" customHeight="1">
      <x:c r="A713" s="23" t="n">
        <x:v>712</x:v>
      </x:c>
      <x:c r="B713" s="15" t="str">
        <x:v>River Region Home Buyers</x:v>
      </x:c>
      <x:c r="C713" s="15"/>
      <x:c r="D713" s="15" t="str">
        <x:v>Property investor / home-buying operator</x:v>
      </x:c>
      <x:c r="E713" s="15" t="str">
        <x:v>Property investor / operator inquiry</x:v>
      </x:c>
      <x:c r="F713" s="17" t="str">
        <x:v>New</x:v>
      </x:c>
      <x:c r="G713" s="24"/>
      <x:c r="H713" s="24" t="str">
        <x:v>+13343800015</x:v>
      </x:c>
      <x:c r="I713" s="24" t="str">
        <x:v>http://www.riverregionhomebuyers.com/</x:v>
      </x:c>
      <x:c r="J713" s="16" t="str">
        <x:v>AL</x:v>
      </x:c>
      <x:c r="K713" s="16" t="str">
        <x:v>Birmingham</x:v>
      </x:c>
      <x:c r="L713" s="16" t="str">
        <x:v>Public property-business route; investor decision maker unconfirmed</x:v>
      </x:c>
      <x:c r="M713" s="16" t="str">
        <x:v>http://www.riverregionhomebuyers.com/</x:v>
      </x:c>
      <x:c r="N713" s="16" t="str">
        <x:v>$100K-$500K ticket not published / unconfirmed</x:v>
      </x:c>
      <x:c r="O713" s="20"/>
      <x:c r="P713" s="20"/>
      <x:c r="Q713" s="25" t="str">
        <x:v>No direct corporate-capital range established in checked source</x:v>
      </x:c>
      <x:c r="R713" s="25" t="str">
        <x:v>Property acquisition or investor activity makes this an operator-capital prospect for the signed trial. Confirm operating-company debt/equity appetite.</x:v>
      </x:c>
      <x:c r="S713" s="25"/>
      <x:c r="T713" s="25" t="str">
        <x:v>Ask the owner/investor whether they can allocate $100K-$500K to trial marketing and acquisitions, and confirm structure, timing and decision authority.</x:v>
      </x:c>
      <x:c r="U713" s="25" t="str">
        <x:v>https://www.cashhomebuyersdirectory.com/cash-home-buyers/alabama/birmingham
https://www.cashhomebuyersdirectory.com/cash-home-buyers/alabama/montgomery</x:v>
      </x:c>
      <x:c r="V713" s="26" t="d">
        <x:v>2026-10-02T00:00:00.000Z</x:v>
      </x:c>
      <x:c r="W713" s="26" t="d">
        <x:v>2026-10-02T00:00:00.000Z</x:v>
      </x:c>
      <x:c r="X713" s="25" t="str">
        <x:v>CashHomeBuyersDirectory third-party business listing; first-party business activity not checked in this batch</x:v>
      </x:c>
      <x:c r="Y713" s="25"/>
      <x:c r="Z713" s="25" t="str">
        <x:v>https://www.cashhomebuyersdirectory.com/cash-home-buyers/alabama/birmingham</x:v>
      </x:c>
      <x:c r="AA713" s="25" t="str">
        <x:v>Public cash-home-buyer directory lists the business name, business phone/website where available and market. Operator role and corporate funding willingness require confirmation.</x:v>
      </x:c>
      <x:c r="AB713" s="3" t="str">
        <x:v>New public-source collection</x:v>
      </x:c>
      <x:c r="AC713" s="3" t="str">
        <x:v>unverified</x:v>
      </x:c>
      <x:c r="AD713" s="3" t="str">
        <x:v>Not contacted / unconfirmed</x:v>
      </x:c>
      <x:c r="AE713" s="3" t="str">
        <x:v>No</x:v>
      </x:c>
      <x:c r="AF713" s="3" t="str">
        <x:v>No</x:v>
      </x:c>
      <x:c r="AG713" s="3"/>
      <x:c r="AH713" s="3"/>
      <x:c r="AI713" s="18"/>
      <x:c r="AJ713" s="3" t="str">
        <x:v>CF2500-EB50F49255F6</x:v>
      </x:c>
      <x:c r="AK713" s="3" t="str">
        <x:v>real_estate_operator</x:v>
      </x:c>
      <x:c r="AL713" s="19" t="n">
        <x:v>100000</x:v>
      </x:c>
      <x:c r="AM713" s="19" t="n">
        <x:v>500000</x:v>
      </x:c>
      <x:c r="AN713" s="3" t="str">
        <x:v>https://www.cashhomebuyersdirectory.com/cash-home-buyers/alabama/birmingham</x:v>
      </x:c>
      <x:c r="AO713" s="3" t="str">
        <x:v>national_rest_directory_complete.jsonl</x:v>
      </x:c>
      <x:c r="AP713" s="19"/>
    </x:row>
    <x:row r="714" ht="36" customHeight="1">
      <x:c r="A714" s="23" t="n">
        <x:v>713</x:v>
      </x:c>
      <x:c r="B714" s="15" t="str">
        <x:v>Rocking Chair Home Buyers</x:v>
      </x:c>
      <x:c r="C714" s="15"/>
      <x:c r="D714" s="15" t="str">
        <x:v>Property investor / home-buying operator</x:v>
      </x:c>
      <x:c r="E714" s="15" t="str">
        <x:v>Property investor / operator inquiry</x:v>
      </x:c>
      <x:c r="F714" s="17" t="str">
        <x:v>New</x:v>
      </x:c>
      <x:c r="G714" s="24"/>
      <x:c r="H714" s="24" t="str">
        <x:v>+14237776995</x:v>
      </x:c>
      <x:c r="I714" s="24" t="str">
        <x:v>https://rockingchairhomebuyers.com/</x:v>
      </x:c>
      <x:c r="J714" s="16" t="str">
        <x:v>TN</x:v>
      </x:c>
      <x:c r="K714" s="16"/>
      <x:c r="L714" s="16" t="str">
        <x:v>Public property-business route; investor decision maker unconfirmed</x:v>
      </x:c>
      <x:c r="M714" s="16" t="str">
        <x:v>https://rockingchairhomebuyers.com/</x:v>
      </x:c>
      <x:c r="N714" s="16" t="str">
        <x:v>$100K-$500K ticket not published / unconfirmed</x:v>
      </x:c>
      <x:c r="O714" s="20"/>
      <x:c r="P714" s="20"/>
      <x:c r="Q714" s="25" t="str">
        <x:v>No direct corporate-capital range established in checked source</x:v>
      </x:c>
      <x:c r="R714" s="25" t="str">
        <x:v>Property acquisition or investor activity makes this an operator-capital prospect for the signed trial. Confirm operating-company debt/equity appetite.</x:v>
      </x:c>
      <x:c r="S714" s="25"/>
      <x:c r="T714" s="25" t="str">
        <x:v>Ask the owner/investor whether they can allocate $100K-$500K to trial marketing and acquisitions, and confirm structure, timing and decision authority.</x:v>
      </x:c>
      <x:c r="U714" s="25" t="str">
        <x:v>https://www.cashhomebuyersdirectory.com/cash-home-buyers/tennessee/chattanooga</x:v>
      </x:c>
      <x:c r="V714" s="26" t="d">
        <x:v>2026-10-02T00:00:00.000Z</x:v>
      </x:c>
      <x:c r="W714" s="26" t="d">
        <x:v>2026-10-02T00:00:00.000Z</x:v>
      </x:c>
      <x:c r="X714" s="25" t="str">
        <x:v>CashHomeBuyersDirectory third-party business listing; first-party business activity not checked in this batch</x:v>
      </x:c>
      <x:c r="Y714" s="25"/>
      <x:c r="Z714" s="25" t="str">
        <x:v>https://www.cashhomebuyersdirectory.com/cash-home-buyers/tennessee/chattanooga</x:v>
      </x:c>
      <x:c r="AA714" s="25" t="str">
        <x:v>Public cash-home-buyer directory lists the business name, business phone/website where available and market. Operator role and corporate funding willingness require confirmation.</x:v>
      </x:c>
      <x:c r="AB714" s="3" t="str">
        <x:v>New public-source collection</x:v>
      </x:c>
      <x:c r="AC714" s="3" t="str">
        <x:v>unverified</x:v>
      </x:c>
      <x:c r="AD714" s="3" t="str">
        <x:v>Not contacted / unconfirmed</x:v>
      </x:c>
      <x:c r="AE714" s="3" t="str">
        <x:v>No</x:v>
      </x:c>
      <x:c r="AF714" s="3" t="str">
        <x:v>No</x:v>
      </x:c>
      <x:c r="AG714" s="3"/>
      <x:c r="AH714" s="3"/>
      <x:c r="AI714" s="18"/>
      <x:c r="AJ714" s="3" t="str">
        <x:v>CF2500-6BC7365B8286</x:v>
      </x:c>
      <x:c r="AK714" s="3" t="str">
        <x:v>real_estate_operator</x:v>
      </x:c>
      <x:c r="AL714" s="19" t="n">
        <x:v>100000</x:v>
      </x:c>
      <x:c r="AM714" s="19" t="n">
        <x:v>500000</x:v>
      </x:c>
      <x:c r="AN714" s="3" t="str">
        <x:v>https://www.cashhomebuyersdirectory.com/cash-home-buyers/tennessee/chattanooga</x:v>
      </x:c>
      <x:c r="AO714" s="3" t="str">
        <x:v>national_rest_directory_complete.jsonl</x:v>
      </x:c>
      <x:c r="AP714" s="19"/>
    </x:row>
    <x:row r="715" ht="36" customHeight="1">
      <x:c r="A715" s="23" t="n">
        <x:v>714</x:v>
      </x:c>
      <x:c r="B715" s="15" t="str">
        <x:v>Ryan and Jessica Buy Houses</x:v>
      </x:c>
      <x:c r="C715" s="15"/>
      <x:c r="D715" s="15" t="str">
        <x:v>Property investor / home-buying operator</x:v>
      </x:c>
      <x:c r="E715" s="15" t="str">
        <x:v>Property investor / operator inquiry</x:v>
      </x:c>
      <x:c r="F715" s="17" t="str">
        <x:v>New</x:v>
      </x:c>
      <x:c r="G715" s="24"/>
      <x:c r="H715" s="24" t="str">
        <x:v>+18162628096</x:v>
      </x:c>
      <x:c r="I715" s="24" t="str">
        <x:v>http://ryanandjessicabuyhouses.com/</x:v>
      </x:c>
      <x:c r="J715" s="16" t="str">
        <x:v>MO</x:v>
      </x:c>
      <x:c r="K715" s="16" t="str">
        <x:v>St Joseph</x:v>
      </x:c>
      <x:c r="L715" s="16" t="str">
        <x:v>Public property-business route; investor decision maker unconfirmed</x:v>
      </x:c>
      <x:c r="M715" s="16" t="str">
        <x:v>http://ryanandjessicabuyhouses.com/</x:v>
      </x:c>
      <x:c r="N715" s="16" t="str">
        <x:v>$100K-$500K ticket not published / unconfirmed</x:v>
      </x:c>
      <x:c r="O715" s="20"/>
      <x:c r="P715" s="20"/>
      <x:c r="Q715" s="25" t="str">
        <x:v>No direct corporate-capital range established in checked source</x:v>
      </x:c>
      <x:c r="R715" s="25" t="str">
        <x:v>Property acquisition or investor activity makes this an operator-capital prospect for the signed trial. Confirm operating-company debt/equity appetite.</x:v>
      </x:c>
      <x:c r="S715" s="25"/>
      <x:c r="T715" s="25" t="str">
        <x:v>Ask the owner/investor whether they can allocate $100K-$500K to trial marketing and acquisitions, and confirm structure, timing and decision authority.</x:v>
      </x:c>
      <x:c r="U715" s="25" t="str">
        <x:v>https://www.cashhomebuyersdirectory.com/cash-home-buyers/missouri/st-joseph</x:v>
      </x:c>
      <x:c r="V715" s="26" t="d">
        <x:v>2026-10-02T00:00:00.000Z</x:v>
      </x:c>
      <x:c r="W715" s="26" t="d">
        <x:v>2026-10-02T00:00:00.000Z</x:v>
      </x:c>
      <x:c r="X715" s="25" t="str">
        <x:v>CashHomeBuyersDirectory third-party business listing; first-party business activity not checked in this batch</x:v>
      </x:c>
      <x:c r="Y715" s="25"/>
      <x:c r="Z715" s="25" t="str">
        <x:v>https://www.cashhomebuyersdirectory.com/cash-home-buyers/missouri/st-joseph</x:v>
      </x:c>
      <x:c r="AA715" s="25" t="str">
        <x:v>Public cash-home-buyer directory lists the business name, business phone/website where available and market. Operator role and corporate funding willingness require confirmation.</x:v>
      </x:c>
      <x:c r="AB715" s="3" t="str">
        <x:v>New public-source collection</x:v>
      </x:c>
      <x:c r="AC715" s="3" t="str">
        <x:v>unverified</x:v>
      </x:c>
      <x:c r="AD715" s="3" t="str">
        <x:v>Not contacted / unconfirmed</x:v>
      </x:c>
      <x:c r="AE715" s="3" t="str">
        <x:v>No</x:v>
      </x:c>
      <x:c r="AF715" s="3" t="str">
        <x:v>No</x:v>
      </x:c>
      <x:c r="AG715" s="3"/>
      <x:c r="AH715" s="3"/>
      <x:c r="AI715" s="18"/>
      <x:c r="AJ715" s="3" t="str">
        <x:v>CF2500-7EE05ACE3D05</x:v>
      </x:c>
      <x:c r="AK715" s="3" t="str">
        <x:v>real_estate_operator</x:v>
      </x:c>
      <x:c r="AL715" s="19" t="n">
        <x:v>100000</x:v>
      </x:c>
      <x:c r="AM715" s="19" t="n">
        <x:v>500000</x:v>
      </x:c>
      <x:c r="AN715" s="3" t="str">
        <x:v>https://www.cashhomebuyersdirectory.com/cash-home-buyers/missouri/st-joseph</x:v>
      </x:c>
      <x:c r="AO715" s="3" t="str">
        <x:v>national_rest_directory_complete.jsonl</x:v>
      </x:c>
      <x:c r="AP715" s="19"/>
    </x:row>
    <x:row r="716" ht="36" customHeight="1">
      <x:c r="A716" s="23" t="n">
        <x:v>715</x:v>
      </x:c>
      <x:c r="B716" s="15" t="str">
        <x:v>Salt Lake City House Buyer Group</x:v>
      </x:c>
      <x:c r="C716" s="15"/>
      <x:c r="D716" s="15" t="str">
        <x:v>Property investor / home-buying operator</x:v>
      </x:c>
      <x:c r="E716" s="15" t="str">
        <x:v>Property investor / operator inquiry</x:v>
      </x:c>
      <x:c r="F716" s="17" t="str">
        <x:v>New</x:v>
      </x:c>
      <x:c r="G716" s="24"/>
      <x:c r="H716" s="24" t="str">
        <x:v>+18016086746</x:v>
      </x:c>
      <x:c r="I716" s="24" t="str">
        <x:v>https://saltlakecityhousebuyer.com/</x:v>
      </x:c>
      <x:c r="J716" s="16" t="str">
        <x:v>UT</x:v>
      </x:c>
      <x:c r="K716" s="16"/>
      <x:c r="L716" s="16" t="str">
        <x:v>Public property-business route; investor decision maker unconfirmed</x:v>
      </x:c>
      <x:c r="M716" s="16" t="str">
        <x:v>https://saltlakecityhousebuyer.com/</x:v>
      </x:c>
      <x:c r="N716" s="16" t="str">
        <x:v>$100K-$500K ticket not published / unconfirmed</x:v>
      </x:c>
      <x:c r="O716" s="20"/>
      <x:c r="P716" s="20"/>
      <x:c r="Q716" s="25" t="str">
        <x:v>No direct corporate-capital range established in checked source</x:v>
      </x:c>
      <x:c r="R716" s="25" t="str">
        <x:v>Property acquisition or investor activity makes this an operator-capital prospect for the signed trial. Confirm operating-company debt/equity appetite.</x:v>
      </x:c>
      <x:c r="S716" s="25"/>
      <x:c r="T716" s="25" t="str">
        <x:v>Ask the owner/investor whether they can allocate $100K-$500K to trial marketing and acquisitions, and confirm structure, timing and decision authority.</x:v>
      </x:c>
      <x:c r="U716" s="25" t="str">
        <x:v>https://www.cashhomebuyersdirectory.com/cash-home-buyers/utah/salt-lake-city</x:v>
      </x:c>
      <x:c r="V716" s="26" t="d">
        <x:v>2026-10-02T00:00:00.000Z</x:v>
      </x:c>
      <x:c r="W716" s="26" t="d">
        <x:v>2026-10-02T00:00:00.000Z</x:v>
      </x:c>
      <x:c r="X716" s="25" t="str">
        <x:v>CashHomeBuyersDirectory third-party business listing; first-party business activity not checked in this batch</x:v>
      </x:c>
      <x:c r="Y716" s="25"/>
      <x:c r="Z716" s="25" t="str">
        <x:v>https://www.cashhomebuyersdirectory.com/cash-home-buyers/utah/salt-lake-city</x:v>
      </x:c>
      <x:c r="AA716" s="25" t="str">
        <x:v>Public cash-home-buyer directory lists the business name, business phone/website where available and market. Operator role and corporate funding willingness require confirmation.</x:v>
      </x:c>
      <x:c r="AB716" s="3" t="str">
        <x:v>New public-source collection</x:v>
      </x:c>
      <x:c r="AC716" s="3" t="str">
        <x:v>unverified</x:v>
      </x:c>
      <x:c r="AD716" s="3" t="str">
        <x:v>Not contacted / unconfirmed</x:v>
      </x:c>
      <x:c r="AE716" s="3" t="str">
        <x:v>No</x:v>
      </x:c>
      <x:c r="AF716" s="3" t="str">
        <x:v>No</x:v>
      </x:c>
      <x:c r="AG716" s="3"/>
      <x:c r="AH716" s="3"/>
      <x:c r="AI716" s="18"/>
      <x:c r="AJ716" s="3" t="str">
        <x:v>CF2500-FAA70A406837</x:v>
      </x:c>
      <x:c r="AK716" s="3" t="str">
        <x:v>real_estate_operator</x:v>
      </x:c>
      <x:c r="AL716" s="19" t="n">
        <x:v>100000</x:v>
      </x:c>
      <x:c r="AM716" s="19" t="n">
        <x:v>500000</x:v>
      </x:c>
      <x:c r="AN716" s="3" t="str">
        <x:v>https://www.cashhomebuyersdirectory.com/cash-home-buyers/utah/salt-lake-city</x:v>
      </x:c>
      <x:c r="AO716" s="3" t="str">
        <x:v>national_rest_directory_complete.jsonl</x:v>
      </x:c>
      <x:c r="AP716" s="19"/>
    </x:row>
    <x:row r="717" ht="36" customHeight="1">
      <x:c r="A717" s="23" t="n">
        <x:v>716</x:v>
      </x:c>
      <x:c r="B717" s="15" t="str">
        <x:v>Scruffy Houses Knoxville Homebuyers</x:v>
      </x:c>
      <x:c r="C717" s="15"/>
      <x:c r="D717" s="15" t="str">
        <x:v>Property investor / home-buying operator</x:v>
      </x:c>
      <x:c r="E717" s="15" t="str">
        <x:v>Property investor / operator inquiry</x:v>
      </x:c>
      <x:c r="F717" s="17" t="str">
        <x:v>New</x:v>
      </x:c>
      <x:c r="G717" s="24"/>
      <x:c r="H717" s="24" t="str">
        <x:v>+18658300606</x:v>
      </x:c>
      <x:c r="I717" s="24" t="str">
        <x:v>http://www.scruffyhouses.com/</x:v>
      </x:c>
      <x:c r="J717" s="16" t="str">
        <x:v>TN</x:v>
      </x:c>
      <x:c r="K717" s="16" t="str">
        <x:v>Knoxville</x:v>
      </x:c>
      <x:c r="L717" s="16" t="str">
        <x:v>Public property-business route; investor decision maker unconfirmed</x:v>
      </x:c>
      <x:c r="M717" s="16" t="str">
        <x:v>http://www.scruffyhouses.com/</x:v>
      </x:c>
      <x:c r="N717" s="16" t="str">
        <x:v>$100K-$500K ticket not published / unconfirmed</x:v>
      </x:c>
      <x:c r="O717" s="20"/>
      <x:c r="P717" s="20"/>
      <x:c r="Q717" s="25" t="str">
        <x:v>No direct corporate-capital range established in checked source</x:v>
      </x:c>
      <x:c r="R717" s="25" t="str">
        <x:v>Property acquisition or investor activity makes this an operator-capital prospect for the signed trial. Confirm operating-company debt/equity appetite.</x:v>
      </x:c>
      <x:c r="S717" s="25"/>
      <x:c r="T717" s="25" t="str">
        <x:v>Ask the owner/investor whether they can allocate $100K-$500K to trial marketing and acquisitions, and confirm structure, timing and decision authority.</x:v>
      </x:c>
      <x:c r="U717" s="25" t="str">
        <x:v>https://www.cashhomebuyersdirectory.com/cash-home-buyers/tennessee/knoxville</x:v>
      </x:c>
      <x:c r="V717" s="26" t="d">
        <x:v>2026-10-02T00:00:00.000Z</x:v>
      </x:c>
      <x:c r="W717" s="26" t="d">
        <x:v>2026-10-02T00:00:00.000Z</x:v>
      </x:c>
      <x:c r="X717" s="25" t="str">
        <x:v>CashHomeBuyersDirectory third-party business listing; first-party business activity not checked in this batch</x:v>
      </x:c>
      <x:c r="Y717" s="25"/>
      <x:c r="Z717" s="25" t="str">
        <x:v>https://www.cashhomebuyersdirectory.com/cash-home-buyers/tennessee/knoxville</x:v>
      </x:c>
      <x:c r="AA717" s="25" t="str">
        <x:v>Public cash-home-buyer directory lists the business name, business phone/website where available and market. Operator role and corporate funding willingness require confirmation.</x:v>
      </x:c>
      <x:c r="AB717" s="3" t="str">
        <x:v>New public-source collection</x:v>
      </x:c>
      <x:c r="AC717" s="3" t="str">
        <x:v>unverified</x:v>
      </x:c>
      <x:c r="AD717" s="3" t="str">
        <x:v>Not contacted / unconfirmed</x:v>
      </x:c>
      <x:c r="AE717" s="3" t="str">
        <x:v>No</x:v>
      </x:c>
      <x:c r="AF717" s="3" t="str">
        <x:v>No</x:v>
      </x:c>
      <x:c r="AG717" s="3"/>
      <x:c r="AH717" s="3"/>
      <x:c r="AI717" s="18"/>
      <x:c r="AJ717" s="3" t="str">
        <x:v>CF2500-685D5F4B19D5</x:v>
      </x:c>
      <x:c r="AK717" s="3" t="str">
        <x:v>real_estate_operator</x:v>
      </x:c>
      <x:c r="AL717" s="19" t="n">
        <x:v>100000</x:v>
      </x:c>
      <x:c r="AM717" s="19" t="n">
        <x:v>500000</x:v>
      </x:c>
      <x:c r="AN717" s="3" t="str">
        <x:v>https://www.cashhomebuyersdirectory.com/cash-home-buyers/tennessee/knoxville</x:v>
      </x:c>
      <x:c r="AO717" s="3" t="str">
        <x:v>national_rest_directory_complete.jsonl</x:v>
      </x:c>
      <x:c r="AP717" s="19"/>
    </x:row>
    <x:row r="718" ht="36" customHeight="1">
      <x:c r="A718" s="23" t="n">
        <x:v>717</x:v>
      </x:c>
      <x:c r="B718" s="15" t="str">
        <x:v>Sell My Home Oklahoma</x:v>
      </x:c>
      <x:c r="C718" s="15"/>
      <x:c r="D718" s="15" t="str">
        <x:v>Property investor / home-buying operator</x:v>
      </x:c>
      <x:c r="E718" s="15" t="str">
        <x:v>Property investor / operator inquiry</x:v>
      </x:c>
      <x:c r="F718" s="17" t="str">
        <x:v>New</x:v>
      </x:c>
      <x:c r="G718" s="24"/>
      <x:c r="H718" s="24" t="str">
        <x:v>+14059382508</x:v>
      </x:c>
      <x:c r="I718" s="24" t="str">
        <x:v>https://sellmyhomeoklahoma.com/</x:v>
      </x:c>
      <x:c r="J718" s="16" t="str">
        <x:v>OK</x:v>
      </x:c>
      <x:c r="K718" s="16" t="str">
        <x:v>Oklahoma City</x:v>
      </x:c>
      <x:c r="L718" s="16" t="str">
        <x:v>Public property-business route; investor decision maker unconfirmed</x:v>
      </x:c>
      <x:c r="M718" s="16" t="str">
        <x:v>https://sellmyhomeoklahoma.com/</x:v>
      </x:c>
      <x:c r="N718" s="16" t="str">
        <x:v>$100K-$500K ticket not published / unconfirmed</x:v>
      </x:c>
      <x:c r="O718" s="20"/>
      <x:c r="P718" s="20"/>
      <x:c r="Q718" s="25" t="str">
        <x:v>No direct corporate-capital range established in checked source</x:v>
      </x:c>
      <x:c r="R718" s="25" t="str">
        <x:v>Property acquisition or investor activity makes this an operator-capital prospect for the signed trial. Confirm operating-company debt/equity appetite.</x:v>
      </x:c>
      <x:c r="S718" s="25"/>
      <x:c r="T718" s="25" t="str">
        <x:v>Ask the owner/investor whether they can allocate $100K-$500K to trial marketing and acquisitions, and confirm structure, timing and decision authority.</x:v>
      </x:c>
      <x:c r="U718" s="25" t="str">
        <x:v>https://www.cashhomebuyersdirectory.com/cash-home-buyers/oklahoma/oklahoma-city</x:v>
      </x:c>
      <x:c r="V718" s="26" t="d">
        <x:v>2026-10-02T00:00:00.000Z</x:v>
      </x:c>
      <x:c r="W718" s="26" t="d">
        <x:v>2026-10-02T00:00:00.000Z</x:v>
      </x:c>
      <x:c r="X718" s="25" t="str">
        <x:v>CashHomeBuyersDirectory third-party business listing; first-party business activity not checked in this batch</x:v>
      </x:c>
      <x:c r="Y718" s="25"/>
      <x:c r="Z718" s="25" t="str">
        <x:v>https://www.cashhomebuyersdirectory.com/cash-home-buyers/oklahoma/oklahoma-city</x:v>
      </x:c>
      <x:c r="AA718" s="25" t="str">
        <x:v>Public cash-home-buyer directory lists the business name, business phone/website where available and market. Operator role and corporate funding willingness require confirmation.</x:v>
      </x:c>
      <x:c r="AB718" s="3" t="str">
        <x:v>New public-source collection</x:v>
      </x:c>
      <x:c r="AC718" s="3" t="str">
        <x:v>unverified</x:v>
      </x:c>
      <x:c r="AD718" s="3" t="str">
        <x:v>Not contacted / unconfirmed</x:v>
      </x:c>
      <x:c r="AE718" s="3" t="str">
        <x:v>No</x:v>
      </x:c>
      <x:c r="AF718" s="3" t="str">
        <x:v>No</x:v>
      </x:c>
      <x:c r="AG718" s="3"/>
      <x:c r="AH718" s="3"/>
      <x:c r="AI718" s="18"/>
      <x:c r="AJ718" s="3" t="str">
        <x:v>CF2500-D830F144E438</x:v>
      </x:c>
      <x:c r="AK718" s="3" t="str">
        <x:v>real_estate_operator</x:v>
      </x:c>
      <x:c r="AL718" s="19" t="n">
        <x:v>100000</x:v>
      </x:c>
      <x:c r="AM718" s="19" t="n">
        <x:v>500000</x:v>
      </x:c>
      <x:c r="AN718" s="3" t="str">
        <x:v>https://www.cashhomebuyersdirectory.com/cash-home-buyers/oklahoma/oklahoma-city</x:v>
      </x:c>
      <x:c r="AO718" s="3" t="str">
        <x:v>national_rest_directory_complete.jsonl</x:v>
      </x:c>
      <x:c r="AP718" s="19"/>
    </x:row>
    <x:row r="719" ht="36" customHeight="1">
      <x:c r="A719" s="23" t="n">
        <x:v>718</x:v>
      </x:c>
      <x:c r="B719" s="15" t="str">
        <x:v>Sell My House Fast</x:v>
      </x:c>
      <x:c r="C719" s="15"/>
      <x:c r="D719" s="15" t="str">
        <x:v>Property investor / home-buying operator</x:v>
      </x:c>
      <x:c r="E719" s="15" t="str">
        <x:v>Property investor / operator inquiry</x:v>
      </x:c>
      <x:c r="F719" s="17" t="str">
        <x:v>New</x:v>
      </x:c>
      <x:c r="G719" s="24"/>
      <x:c r="H719" s="24" t="str">
        <x:v>+18652349585</x:v>
      </x:c>
      <x:c r="I719" s="24" t="str">
        <x:v>https://sellmyhousefastknoxvilletn.com/</x:v>
      </x:c>
      <x:c r="J719" s="16" t="str">
        <x:v>TN</x:v>
      </x:c>
      <x:c r="K719" s="16" t="str">
        <x:v>Knoxville</x:v>
      </x:c>
      <x:c r="L719" s="16" t="str">
        <x:v>Public property-business route; investor decision maker unconfirmed</x:v>
      </x:c>
      <x:c r="M719" s="16" t="str">
        <x:v>https://sellmyhousefastknoxvilletn.com/</x:v>
      </x:c>
      <x:c r="N719" s="16" t="str">
        <x:v>$100K-$500K ticket not published / unconfirmed</x:v>
      </x:c>
      <x:c r="O719" s="20"/>
      <x:c r="P719" s="20"/>
      <x:c r="Q719" s="25" t="str">
        <x:v>No direct corporate-capital range established in checked source</x:v>
      </x:c>
      <x:c r="R719" s="25" t="str">
        <x:v>Property acquisition or investor activity makes this an operator-capital prospect for the signed trial. Confirm operating-company debt/equity appetite.</x:v>
      </x:c>
      <x:c r="S719" s="25"/>
      <x:c r="T719" s="25" t="str">
        <x:v>Ask the owner/investor whether they can allocate $100K-$500K to trial marketing and acquisitions, and confirm structure, timing and decision authority.</x:v>
      </x:c>
      <x:c r="U719" s="25" t="str">
        <x:v>https://www.cashhomebuyersdirectory.com/cash-home-buyers/tennessee/knoxville</x:v>
      </x:c>
      <x:c r="V719" s="26" t="d">
        <x:v>2026-10-02T00:00:00.000Z</x:v>
      </x:c>
      <x:c r="W719" s="26" t="d">
        <x:v>2026-10-02T00:00:00.000Z</x:v>
      </x:c>
      <x:c r="X719" s="25" t="str">
        <x:v>CashHomeBuyersDirectory third-party business listing; first-party business activity not checked in this batch</x:v>
      </x:c>
      <x:c r="Y719" s="25"/>
      <x:c r="Z719" s="25" t="str">
        <x:v>https://www.cashhomebuyersdirectory.com/cash-home-buyers/tennessee/knoxville</x:v>
      </x:c>
      <x:c r="AA719" s="25" t="str">
        <x:v>Public cash-home-buyer directory lists the business name, business phone/website where available and market. Operator role and corporate funding willingness require confirmation.</x:v>
      </x:c>
      <x:c r="AB719" s="3" t="str">
        <x:v>New public-source collection</x:v>
      </x:c>
      <x:c r="AC719" s="3" t="str">
        <x:v>unverified</x:v>
      </x:c>
      <x:c r="AD719" s="3" t="str">
        <x:v>Not contacted / unconfirmed</x:v>
      </x:c>
      <x:c r="AE719" s="3" t="str">
        <x:v>No</x:v>
      </x:c>
      <x:c r="AF719" s="3" t="str">
        <x:v>No</x:v>
      </x:c>
      <x:c r="AG719" s="3"/>
      <x:c r="AH719" s="3"/>
      <x:c r="AI719" s="18"/>
      <x:c r="AJ719" s="3" t="str">
        <x:v>CF2500-47C440B764CF</x:v>
      </x:c>
      <x:c r="AK719" s="3" t="str">
        <x:v>real_estate_operator</x:v>
      </x:c>
      <x:c r="AL719" s="19" t="n">
        <x:v>100000</x:v>
      </x:c>
      <x:c r="AM719" s="19" t="n">
        <x:v>500000</x:v>
      </x:c>
      <x:c r="AN719" s="3" t="str">
        <x:v>https://www.cashhomebuyersdirectory.com/cash-home-buyers/tennessee/knoxville</x:v>
      </x:c>
      <x:c r="AO719" s="3" t="str">
        <x:v>national_rest_directory_complete.jsonl</x:v>
      </x:c>
      <x:c r="AP719" s="19"/>
    </x:row>
    <x:row r="720" ht="36" customHeight="1">
      <x:c r="A720" s="23" t="n">
        <x:v>719</x:v>
      </x:c>
      <x:c r="B720" s="15" t="str">
        <x:v>Sell My House Fast Atlanta | As Is Cash Home Buyers</x:v>
      </x:c>
      <x:c r="C720" s="15"/>
      <x:c r="D720" s="15" t="str">
        <x:v>Property investor / home-buying operator</x:v>
      </x:c>
      <x:c r="E720" s="15" t="str">
        <x:v>Property investor / operator inquiry</x:v>
      </x:c>
      <x:c r="F720" s="17" t="str">
        <x:v>New</x:v>
      </x:c>
      <x:c r="G720" s="24"/>
      <x:c r="H720" s="24" t="str">
        <x:v>+14046475399</x:v>
      </x:c>
      <x:c r="I720" s="24" t="str">
        <x:v>https://sellmyhousefastatl.com/</x:v>
      </x:c>
      <x:c r="J720" s="16" t="str">
        <x:v>GA</x:v>
      </x:c>
      <x:c r="K720" s="16" t="str">
        <x:v>Atlanta</x:v>
      </x:c>
      <x:c r="L720" s="16" t="str">
        <x:v>Public property-business route; investor decision maker unconfirmed</x:v>
      </x:c>
      <x:c r="M720" s="16" t="str">
        <x:v>https://sellmyhousefastatl.com/</x:v>
      </x:c>
      <x:c r="N720" s="16" t="str">
        <x:v>$100K-$500K ticket not published / unconfirmed</x:v>
      </x:c>
      <x:c r="O720" s="20"/>
      <x:c r="P720" s="20"/>
      <x:c r="Q720" s="25" t="str">
        <x:v>No direct corporate-capital range established in checked source</x:v>
      </x:c>
      <x:c r="R720" s="25" t="str">
        <x:v>Property acquisition or investor activity makes this an operator-capital prospect for the signed trial. Confirm operating-company debt/equity appetite.</x:v>
      </x:c>
      <x:c r="S720" s="25"/>
      <x:c r="T720" s="25" t="str">
        <x:v>Ask the owner/investor whether they can allocate $100K-$500K to trial marketing and acquisitions, and confirm structure, timing and decision authority.</x:v>
      </x:c>
      <x:c r="U720" s="25" t="str">
        <x:v>https://www.cashhomebuyersdirectory.com/cash-home-buyers/georgia/atlanta</x:v>
      </x:c>
      <x:c r="V720" s="26" t="d">
        <x:v>2026-10-02T00:00:00.000Z</x:v>
      </x:c>
      <x:c r="W720" s="26" t="d">
        <x:v>2026-10-02T00:00:00.000Z</x:v>
      </x:c>
      <x:c r="X720" s="25" t="str">
        <x:v>CashHomeBuyersDirectory third-party business listing; first-party business activity not checked in this batch</x:v>
      </x:c>
      <x:c r="Y720" s="25"/>
      <x:c r="Z720" s="25" t="str">
        <x:v>https://www.cashhomebuyersdirectory.com/cash-home-buyers/georgia/atlanta</x:v>
      </x:c>
      <x:c r="AA720" s="25" t="str">
        <x:v>Public cash-home-buyer directory lists the business name, business phone/website where available and market. Operator role and corporate funding willingness require confirmation.</x:v>
      </x:c>
      <x:c r="AB720" s="3" t="str">
        <x:v>New public-source collection</x:v>
      </x:c>
      <x:c r="AC720" s="3" t="str">
        <x:v>unverified</x:v>
      </x:c>
      <x:c r="AD720" s="3" t="str">
        <x:v>Not contacted / unconfirmed</x:v>
      </x:c>
      <x:c r="AE720" s="3" t="str">
        <x:v>No</x:v>
      </x:c>
      <x:c r="AF720" s="3" t="str">
        <x:v>No</x:v>
      </x:c>
      <x:c r="AG720" s="3"/>
      <x:c r="AH720" s="3" t="str">
        <x:v>Sell My House Fast Atlanta | As Is Cash Home Buyers Atlanta Midtown; Sell My House Fast Atlanta | As Is Cash Home Buyers Buckhead</x:v>
      </x:c>
      <x:c r="AI720" s="18"/>
      <x:c r="AJ720" s="3" t="str">
        <x:v>CF2500-37BE348E7CC8</x:v>
      </x:c>
      <x:c r="AK720" s="3" t="str">
        <x:v>real_estate_operator</x:v>
      </x:c>
      <x:c r="AL720" s="19" t="n">
        <x:v>100000</x:v>
      </x:c>
      <x:c r="AM720" s="19" t="n">
        <x:v>500000</x:v>
      </x:c>
      <x:c r="AN720" s="3" t="str">
        <x:v>https://www.cashhomebuyersdirectory.com/cash-home-buyers/georgia/atlanta</x:v>
      </x:c>
      <x:c r="AO720" s="3" t="str">
        <x:v>national_rest_directory_complete.jsonl</x:v>
      </x:c>
      <x:c r="AP720" s="19"/>
    </x:row>
    <x:row r="721" ht="36" customHeight="1">
      <x:c r="A721" s="23" t="n">
        <x:v>720</x:v>
      </x:c>
      <x:c r="B721" s="15" t="str">
        <x:v>Sell My House Fast Denver | As Is Cash Home Buyers</x:v>
      </x:c>
      <x:c r="C721" s="15"/>
      <x:c r="D721" s="15" t="str">
        <x:v>Property investor / home-buying operator</x:v>
      </x:c>
      <x:c r="E721" s="15" t="str">
        <x:v>Property investor / operator inquiry</x:v>
      </x:c>
      <x:c r="F721" s="17" t="str">
        <x:v>New</x:v>
      </x:c>
      <x:c r="G721" s="24"/>
      <x:c r="H721" s="24" t="str">
        <x:v>+13039634199</x:v>
      </x:c>
      <x:c r="I721" s="24" t="str">
        <x:v>https://sellmyhousefastdenverco.com/</x:v>
      </x:c>
      <x:c r="J721" s="16" t="str">
        <x:v>CO</x:v>
      </x:c>
      <x:c r="K721" s="16" t="str">
        <x:v>Denver</x:v>
      </x:c>
      <x:c r="L721" s="16" t="str">
        <x:v>Public property-business route; investor decision maker unconfirmed</x:v>
      </x:c>
      <x:c r="M721" s="16" t="str">
        <x:v>https://sellmyhousefastdenverco.com/</x:v>
      </x:c>
      <x:c r="N721" s="16" t="str">
        <x:v>$100K-$500K ticket not published / unconfirmed</x:v>
      </x:c>
      <x:c r="O721" s="20"/>
      <x:c r="P721" s="20"/>
      <x:c r="Q721" s="25" t="str">
        <x:v>No $100K-$500K operating-company investment ticket verified</x:v>
      </x:c>
      <x:c r="R721" s="25" t="str">
        <x:v>Property acquisition or investor activity makes this an operator-capital prospect for the signed trial. Confirm operating-company debt/equity appetite.</x:v>
      </x:c>
      <x:c r="S721" s="25" t="str">
        <x:v>Public property-buying activity or a directory listing does not establish available cash, investing decision-maker, current $100K-$500K capacity, or willingness to fund 101XVC operating costs.</x:v>
      </x:c>
      <x:c r="T721" s="25" t="str">
        <x:v>Ask the owner/investor whether they can allocate $100K-$500K to trial marketing and acquisitions, and confirm structure, timing and decision authority.</x:v>
      </x:c>
      <x:c r="U721" s="25" t="str">
        <x:v>https://www.cashhomebuyersdirectory.com/cash-home-buyers/colorado/denver</x:v>
      </x:c>
      <x:c r="V721" s="26" t="d">
        <x:v>2026-10-02T00:00:00.000Z</x:v>
      </x:c>
      <x:c r="W721" s="26" t="d">
        <x:v>2026-10-02T00:00:00.000Z</x:v>
      </x:c>
      <x:c r="X721" s="25" t="str">
        <x:v>Public investor directory; business role and contact ownership require qualification</x:v>
      </x:c>
      <x:c r="Y721" s="25"/>
      <x:c r="Z721" s="25" t="str">
        <x:v>https://www.cashhomebuyersdirectory.com/cash-home-buyers/colorado/denver</x:v>
      </x:c>
      <x:c r="AA721" s="25" t="str">
        <x:v>Public cash-home-buyer directory lists business name, phone and market. Directory entry may include brokers or service providers.</x:v>
      </x:c>
      <x:c r="AB721" s="3" t="str">
        <x:v>New public-source collection</x:v>
      </x:c>
      <x:c r="AC721" s="3" t="str">
        <x:v>unverified</x:v>
      </x:c>
      <x:c r="AD721" s="3" t="str">
        <x:v>Not contacted / unconfirmed</x:v>
      </x:c>
      <x:c r="AE721" s="3" t="str">
        <x:v>No</x:v>
      </x:c>
      <x:c r="AF721" s="3" t="str">
        <x:v>No</x:v>
      </x:c>
      <x:c r="AG721" s="3"/>
      <x:c r="AH721" s="3"/>
      <x:c r="AI721" s="18"/>
      <x:c r="AJ721" s="3" t="str">
        <x:v>CF2500-DA7F06852091</x:v>
      </x:c>
      <x:c r="AK721" s="3" t="str">
        <x:v>Property investor / home-buying operator prospect</x:v>
      </x:c>
      <x:c r="AL721" s="19" t="n">
        <x:v>100000</x:v>
      </x:c>
      <x:c r="AM721" s="19" t="n">
        <x:v>500000</x:v>
      </x:c>
      <x:c r="AN721" s="3" t="str">
        <x:v>https://www.cashhomebuyersdirectory.com/cash-home-buyers/colorado/denver</x:v>
      </x:c>
      <x:c r="AO721" s="3" t="str">
        <x:v>nc_il_az_co_investors.jsonl</x:v>
      </x:c>
      <x:c r="AP721" s="19"/>
    </x:row>
    <x:row r="722" ht="36" customHeight="1">
      <x:c r="A722" s="23" t="n">
        <x:v>721</x:v>
      </x:c>
      <x:c r="B722" s="15" t="str">
        <x:v>Sell My House Fast Greenville SC</x:v>
      </x:c>
      <x:c r="C722" s="15"/>
      <x:c r="D722" s="15" t="str">
        <x:v>Property investor / home-buying operator</x:v>
      </x:c>
      <x:c r="E722" s="15" t="str">
        <x:v>Property investor / operator inquiry</x:v>
      </x:c>
      <x:c r="F722" s="17" t="str">
        <x:v>New</x:v>
      </x:c>
      <x:c r="G722" s="24"/>
      <x:c r="H722" s="24" t="str">
        <x:v>+18644772041</x:v>
      </x:c>
      <x:c r="I722" s="24" t="str">
        <x:v>https://birddogsells.com/</x:v>
      </x:c>
      <x:c r="J722" s="16" t="str">
        <x:v>SC</x:v>
      </x:c>
      <x:c r="K722" s="16" t="str">
        <x:v>Greenville</x:v>
      </x:c>
      <x:c r="L722" s="16" t="str">
        <x:v>Public property-business route; investor decision maker unconfirmed</x:v>
      </x:c>
      <x:c r="M722" s="16" t="str">
        <x:v>https://birddogsells.com/</x:v>
      </x:c>
      <x:c r="N722" s="16" t="str">
        <x:v>$100K-$500K ticket not published / unconfirmed</x:v>
      </x:c>
      <x:c r="O722" s="20"/>
      <x:c r="P722" s="20"/>
      <x:c r="Q722" s="25" t="str">
        <x:v>No direct corporate-capital range established in checked source</x:v>
      </x:c>
      <x:c r="R722" s="25" t="str">
        <x:v>Property acquisition or investor activity makes this an operator-capital prospect for the signed trial. Confirm operating-company debt/equity appetite.</x:v>
      </x:c>
      <x:c r="S722" s="25"/>
      <x:c r="T722" s="25" t="str">
        <x:v>Ask the owner/investor whether they can allocate $100K-$500K to trial marketing and acquisitions, and confirm structure, timing and decision authority.</x:v>
      </x:c>
      <x:c r="U722" s="25" t="str">
        <x:v>https://www.cashhomebuyersdirectory.com/cash-home-buyers/south-carolina/greenville</x:v>
      </x:c>
      <x:c r="V722" s="26" t="d">
        <x:v>2026-10-02T00:00:00.000Z</x:v>
      </x:c>
      <x:c r="W722" s="26" t="d">
        <x:v>2026-10-02T00:00:00.000Z</x:v>
      </x:c>
      <x:c r="X722" s="25" t="str">
        <x:v>CashHomeBuyersDirectory third-party business listing; first-party business activity not checked in this batch</x:v>
      </x:c>
      <x:c r="Y722" s="25"/>
      <x:c r="Z722" s="25" t="str">
        <x:v>https://www.cashhomebuyersdirectory.com/cash-home-buyers/south-carolina/greenville</x:v>
      </x:c>
      <x:c r="AA722" s="25" t="str">
        <x:v>Public cash-home-buyer directory lists the business name, business phone/website where available and market. Operator role and corporate funding willingness require confirmation.</x:v>
      </x:c>
      <x:c r="AB722" s="3" t="str">
        <x:v>New public-source collection</x:v>
      </x:c>
      <x:c r="AC722" s="3" t="str">
        <x:v>unverified</x:v>
      </x:c>
      <x:c r="AD722" s="3" t="str">
        <x:v>Not contacted / unconfirmed</x:v>
      </x:c>
      <x:c r="AE722" s="3" t="str">
        <x:v>No</x:v>
      </x:c>
      <x:c r="AF722" s="3" t="str">
        <x:v>No</x:v>
      </x:c>
      <x:c r="AG722" s="3"/>
      <x:c r="AH722" s="3"/>
      <x:c r="AI722" s="18"/>
      <x:c r="AJ722" s="3" t="str">
        <x:v>CF2500-7084CC725148</x:v>
      </x:c>
      <x:c r="AK722" s="3" t="str">
        <x:v>real_estate_operator</x:v>
      </x:c>
      <x:c r="AL722" s="19" t="n">
        <x:v>100000</x:v>
      </x:c>
      <x:c r="AM722" s="19" t="n">
        <x:v>500000</x:v>
      </x:c>
      <x:c r="AN722" s="3" t="str">
        <x:v>https://www.cashhomebuyersdirectory.com/cash-home-buyers/south-carolina/greenville</x:v>
      </x:c>
      <x:c r="AO722" s="3" t="str">
        <x:v>national_rest_directory_complete.jsonl</x:v>
      </x:c>
      <x:c r="AP722" s="19"/>
    </x:row>
    <x:row r="723" ht="36" customHeight="1">
      <x:c r="A723" s="23" t="n">
        <x:v>722</x:v>
      </x:c>
      <x:c r="B723" s="15" t="str">
        <x:v>Sell My House Fast Indy | As Is Cash Home Buyers Anderson</x:v>
      </x:c>
      <x:c r="C723" s="15"/>
      <x:c r="D723" s="15" t="str">
        <x:v>Property investor / home-buying operator</x:v>
      </x:c>
      <x:c r="E723" s="15" t="str">
        <x:v>Property investor / operator inquiry</x:v>
      </x:c>
      <x:c r="F723" s="17" t="str">
        <x:v>New</x:v>
      </x:c>
      <x:c r="G723" s="24"/>
      <x:c r="H723" s="24" t="str">
        <x:v>+17655342299</x:v>
      </x:c>
      <x:c r="I723" s="24" t="str">
        <x:v>https://sellmyhousefastindy.com/as-is-cash-home-buyers-anderson-indiana/</x:v>
      </x:c>
      <x:c r="J723" s="16" t="str">
        <x:v>IN</x:v>
      </x:c>
      <x:c r="K723" s="16" t="str">
        <x:v>Anderson</x:v>
      </x:c>
      <x:c r="L723" s="16" t="str">
        <x:v>Public property-business route; investor decision maker unconfirmed</x:v>
      </x:c>
      <x:c r="M723" s="16" t="str">
        <x:v>https://sellmyhousefastindy.com/as-is-cash-home-buyers-anderson-indiana/</x:v>
      </x:c>
      <x:c r="N723" s="16" t="str">
        <x:v>$100K-$500K ticket not published / unconfirmed</x:v>
      </x:c>
      <x:c r="O723" s="20"/>
      <x:c r="P723" s="20"/>
      <x:c r="Q723" s="25" t="str">
        <x:v>No direct corporate-capital range established in checked source</x:v>
      </x:c>
      <x:c r="R723" s="25" t="str">
        <x:v>Property acquisition or investor activity makes this an operator-capital prospect for the signed trial. Confirm operating-company debt/equity appetite.</x:v>
      </x:c>
      <x:c r="S723" s="25"/>
      <x:c r="T723" s="25" t="str">
        <x:v>Ask the owner/investor whether they can allocate $100K-$500K to trial marketing and acquisitions, and confirm structure, timing and decision authority.</x:v>
      </x:c>
      <x:c r="U723" s="25" t="str">
        <x:v>https://www.cashhomebuyersdirectory.com/cash-home-buyers/indiana/anderson
https://www.cashhomebuyersdirectory.com/cash-home-buyers/indiana/brownsburg
https://www.cashhomebuyersdirectory.com/cash-home-buyers/indiana/carmel
https://www.cashhomebuyersdirectory.com/cash-home-buyers/indiana/fishers
https://www.cashhomebuyersdirectory.com/cash-home-buyers/indiana/greenwood
https://www.cashhomebuyersdirectory.com/cash-home-buyers/indiana/indianapolis
https://www.cashhomebuyersdirectory.com/cash-home-buyers/indiana/muncie
https://www.cashhomebuyersdirectory.com/cash-home-buyers/indiana/plainfield</x:v>
      </x:c>
      <x:c r="V723" s="26" t="d">
        <x:v>2026-10-02T00:00:00.000Z</x:v>
      </x:c>
      <x:c r="W723" s="26" t="d">
        <x:v>2026-10-02T00:00:00.000Z</x:v>
      </x:c>
      <x:c r="X723" s="25" t="str">
        <x:v>CashHomeBuyersDirectory third-party business listing; first-party business activity not checked in this batch</x:v>
      </x:c>
      <x:c r="Y723" s="25"/>
      <x:c r="Z723" s="25" t="str">
        <x:v>https://www.cashhomebuyersdirectory.com/cash-home-buyers/indiana/anderson</x:v>
      </x:c>
      <x:c r="AA723" s="25" t="str">
        <x:v>Public cash-home-buyer directory lists the business name, business phone/website where available and market. Operator role and corporate funding willingness require confirmation.</x:v>
      </x:c>
      <x:c r="AB723" s="3" t="str">
        <x:v>New public-source collection</x:v>
      </x:c>
      <x:c r="AC723" s="3" t="str">
        <x:v>unverified</x:v>
      </x:c>
      <x:c r="AD723" s="3" t="str">
        <x:v>Not contacted / unconfirmed</x:v>
      </x:c>
      <x:c r="AE723" s="3" t="str">
        <x:v>No</x:v>
      </x:c>
      <x:c r="AF723" s="3" t="str">
        <x:v>No</x:v>
      </x:c>
      <x:c r="AG723" s="3"/>
      <x:c r="AH723" s="3" t="str">
        <x:v>Sell My House Fast Indy | As Is Cash Home Buyers Brownsburg; Sell My House Fast Indy | As Is Cash Home Buyers Carmel; Sell My House Fast Indy | As Is Cash Home Buyers Fishers; Sell My House Fast Indy | As Is Cash Home Buyers Greenwood; Sell My House Fast Indy | As Is Cash Home Buyers Indianapolis; Sell My House Fast Indy | As Is Cash Home Buyers Lawrence; Sell My House Fast Indy | As Is Cash Home Buyers Muncie; Sell My House Fast Indy | As Is Cash Home Buyers Plainfield; Sell My House Fast Indy | As Is Cash Home Buyers Rocky Ripple</x:v>
      </x:c>
      <x:c r="AI723" s="18"/>
      <x:c r="AJ723" s="3" t="str">
        <x:v>CF2500-F6C31BFEBF79</x:v>
      </x:c>
      <x:c r="AK723" s="3" t="str">
        <x:v>real_estate_operator</x:v>
      </x:c>
      <x:c r="AL723" s="19" t="n">
        <x:v>100000</x:v>
      </x:c>
      <x:c r="AM723" s="19" t="n">
        <x:v>500000</x:v>
      </x:c>
      <x:c r="AN723" s="3" t="str">
        <x:v>https://www.cashhomebuyersdirectory.com/cash-home-buyers/indiana/anderson</x:v>
      </x:c>
      <x:c r="AO723" s="3" t="str">
        <x:v>national_rest_directory_complete.jsonl</x:v>
      </x:c>
      <x:c r="AP723" s="19"/>
    </x:row>
    <x:row r="724" ht="36" customHeight="1">
      <x:c r="A724" s="23" t="n">
        <x:v>723</x:v>
      </x:c>
      <x:c r="B724" s="15" t="str">
        <x:v>Sell My House Fast Kansas City | As Is Cash Home Buyers Harrisonville</x:v>
      </x:c>
      <x:c r="C724" s="15"/>
      <x:c r="D724" s="15" t="str">
        <x:v>Property investor / home-buying operator</x:v>
      </x:c>
      <x:c r="E724" s="15" t="str">
        <x:v>Property investor / operator inquiry</x:v>
      </x:c>
      <x:c r="F724" s="17" t="str">
        <x:v>New</x:v>
      </x:c>
      <x:c r="G724" s="24"/>
      <x:c r="H724" s="24" t="str">
        <x:v>+18163276399</x:v>
      </x:c>
      <x:c r="I724" s="24" t="str">
        <x:v>https://sellmyhousefastkcmo.com/as-is-cash-home-buyers-harrisonville-missouri/</x:v>
      </x:c>
      <x:c r="J724" s="16" t="str">
        <x:v>MO</x:v>
      </x:c>
      <x:c r="K724" s="16" t="str">
        <x:v>Harrisonville</x:v>
      </x:c>
      <x:c r="L724" s="16" t="str">
        <x:v>Public property-business route; investor decision maker unconfirmed</x:v>
      </x:c>
      <x:c r="M724" s="16" t="str">
        <x:v>https://sellmyhousefastkcmo.com/as-is-cash-home-buyers-harrisonville-missouri/</x:v>
      </x:c>
      <x:c r="N724" s="16" t="str">
        <x:v>$100K-$500K ticket not published / unconfirmed</x:v>
      </x:c>
      <x:c r="O724" s="20"/>
      <x:c r="P724" s="20"/>
      <x:c r="Q724" s="25" t="str">
        <x:v>No direct corporate-capital range established in checked source</x:v>
      </x:c>
      <x:c r="R724" s="25" t="str">
        <x:v>Property acquisition or investor activity makes this an operator-capital prospect for the signed trial. Confirm operating-company debt/equity appetite.</x:v>
      </x:c>
      <x:c r="S724" s="25"/>
      <x:c r="T724" s="25" t="str">
        <x:v>Ask the owner/investor whether they can allocate $100K-$500K to trial marketing and acquisitions, and confirm structure, timing and decision authority.</x:v>
      </x:c>
      <x:c r="U724" s="25" t="str">
        <x:v>https://www.cashhomebuyersdirectory.com/cash-home-buyers/missouri/harrisonville
https://www.cashhomebuyersdirectory.com/cash-home-buyers/missouri/lees-summit</x:v>
      </x:c>
      <x:c r="V724" s="26" t="d">
        <x:v>2026-10-02T00:00:00.000Z</x:v>
      </x:c>
      <x:c r="W724" s="26" t="d">
        <x:v>2026-10-02T00:00:00.000Z</x:v>
      </x:c>
      <x:c r="X724" s="25" t="str">
        <x:v>CashHomeBuyersDirectory third-party business listing; first-party business activity not checked in this batch</x:v>
      </x:c>
      <x:c r="Y724" s="25"/>
      <x:c r="Z724" s="25" t="str">
        <x:v>https://www.cashhomebuyersdirectory.com/cash-home-buyers/missouri/harrisonville</x:v>
      </x:c>
      <x:c r="AA724" s="25" t="str">
        <x:v>Public cash-home-buyer directory lists the business name, business phone/website where available and market. Operator role and corporate funding willingness require confirmation.</x:v>
      </x:c>
      <x:c r="AB724" s="3" t="str">
        <x:v>New public-source collection</x:v>
      </x:c>
      <x:c r="AC724" s="3" t="str">
        <x:v>unverified</x:v>
      </x:c>
      <x:c r="AD724" s="3" t="str">
        <x:v>Not contacted / unconfirmed</x:v>
      </x:c>
      <x:c r="AE724" s="3" t="str">
        <x:v>No</x:v>
      </x:c>
      <x:c r="AF724" s="3" t="str">
        <x:v>No</x:v>
      </x:c>
      <x:c r="AG724" s="3"/>
      <x:c r="AH724" s="3" t="str">
        <x:v>Sell My House Fast Kansas City | As Is Cash Home Buyers Lee's Summit</x:v>
      </x:c>
      <x:c r="AI724" s="18"/>
      <x:c r="AJ724" s="3" t="str">
        <x:v>CF2500-E1AE7FD07D2D</x:v>
      </x:c>
      <x:c r="AK724" s="3" t="str">
        <x:v>real_estate_operator</x:v>
      </x:c>
      <x:c r="AL724" s="19" t="n">
        <x:v>100000</x:v>
      </x:c>
      <x:c r="AM724" s="19" t="n">
        <x:v>500000</x:v>
      </x:c>
      <x:c r="AN724" s="3" t="str">
        <x:v>https://www.cashhomebuyersdirectory.com/cash-home-buyers/missouri/harrisonville</x:v>
      </x:c>
      <x:c r="AO724" s="3" t="str">
        <x:v>national_rest_directory_complete.jsonl</x:v>
      </x:c>
      <x:c r="AP724" s="19"/>
    </x:row>
    <x:row r="725" ht="36" customHeight="1">
      <x:c r="A725" s="23" t="n">
        <x:v>724</x:v>
      </x:c>
      <x:c r="B725" s="15" t="str">
        <x:v>Sell My House Fast Montgomery</x:v>
      </x:c>
      <x:c r="C725" s="15"/>
      <x:c r="D725" s="15" t="str">
        <x:v>Property investor / home-buying operator</x:v>
      </x:c>
      <x:c r="E725" s="15" t="str">
        <x:v>Property investor / operator inquiry</x:v>
      </x:c>
      <x:c r="F725" s="17" t="str">
        <x:v>New</x:v>
      </x:c>
      <x:c r="G725" s="24"/>
      <x:c r="H725" s="24" t="str">
        <x:v>+13346350058</x:v>
      </x:c>
      <x:c r="I725" s="24" t="str">
        <x:v>http://www.sellmyhousefastmontgomery.com/</x:v>
      </x:c>
      <x:c r="J725" s="16" t="str">
        <x:v>AL</x:v>
      </x:c>
      <x:c r="K725" s="16" t="str">
        <x:v>Montgomery</x:v>
      </x:c>
      <x:c r="L725" s="16" t="str">
        <x:v>Public property-business route; investor decision maker unconfirmed</x:v>
      </x:c>
      <x:c r="M725" s="16" t="str">
        <x:v>http://www.sellmyhousefastmontgomery.com/</x:v>
      </x:c>
      <x:c r="N725" s="16" t="str">
        <x:v>$100K-$500K ticket not published / unconfirmed</x:v>
      </x:c>
      <x:c r="O725" s="20"/>
      <x:c r="P725" s="20"/>
      <x:c r="Q725" s="25" t="str">
        <x:v>No direct corporate-capital range established in checked source</x:v>
      </x:c>
      <x:c r="R725" s="25" t="str">
        <x:v>Property acquisition or investor activity makes this an operator-capital prospect for the signed trial. Confirm operating-company debt/equity appetite.</x:v>
      </x:c>
      <x:c r="S725" s="25"/>
      <x:c r="T725" s="25" t="str">
        <x:v>Ask the owner/investor whether they can allocate $100K-$500K to trial marketing and acquisitions, and confirm structure, timing and decision authority.</x:v>
      </x:c>
      <x:c r="U725" s="25" t="str">
        <x:v>https://www.cashhomebuyersdirectory.com/cash-home-buyers/alabama/montgomery</x:v>
      </x:c>
      <x:c r="V725" s="26" t="d">
        <x:v>2026-10-02T00:00:00.000Z</x:v>
      </x:c>
      <x:c r="W725" s="26" t="d">
        <x:v>2026-10-02T00:00:00.000Z</x:v>
      </x:c>
      <x:c r="X725" s="25" t="str">
        <x:v>CashHomeBuyersDirectory third-party business listing; first-party business activity not checked in this batch</x:v>
      </x:c>
      <x:c r="Y725" s="25"/>
      <x:c r="Z725" s="25" t="str">
        <x:v>https://www.cashhomebuyersdirectory.com/cash-home-buyers/alabama/montgomery</x:v>
      </x:c>
      <x:c r="AA725" s="25" t="str">
        <x:v>Public cash-home-buyer directory lists the business name, business phone/website where available and market. Operator role and corporate funding willingness require confirmation.</x:v>
      </x:c>
      <x:c r="AB725" s="3" t="str">
        <x:v>New public-source collection</x:v>
      </x:c>
      <x:c r="AC725" s="3" t="str">
        <x:v>unverified</x:v>
      </x:c>
      <x:c r="AD725" s="3" t="str">
        <x:v>Not contacted / unconfirmed</x:v>
      </x:c>
      <x:c r="AE725" s="3" t="str">
        <x:v>No</x:v>
      </x:c>
      <x:c r="AF725" s="3" t="str">
        <x:v>No</x:v>
      </x:c>
      <x:c r="AG725" s="3"/>
      <x:c r="AH725" s="3"/>
      <x:c r="AI725" s="18"/>
      <x:c r="AJ725" s="3" t="str">
        <x:v>CF2500-E1CBC178189B</x:v>
      </x:c>
      <x:c r="AK725" s="3" t="str">
        <x:v>real_estate_operator</x:v>
      </x:c>
      <x:c r="AL725" s="19" t="n">
        <x:v>100000</x:v>
      </x:c>
      <x:c r="AM725" s="19" t="n">
        <x:v>500000</x:v>
      </x:c>
      <x:c r="AN725" s="3" t="str">
        <x:v>https://www.cashhomebuyersdirectory.com/cash-home-buyers/alabama/montgomery</x:v>
      </x:c>
      <x:c r="AO725" s="3" t="str">
        <x:v>national_rest_directory_complete.jsonl</x:v>
      </x:c>
      <x:c r="AP725" s="19"/>
    </x:row>
    <x:row r="726" ht="36" customHeight="1">
      <x:c r="A726" s="23" t="n">
        <x:v>725</x:v>
      </x:c>
      <x:c r="B726" s="15" t="str">
        <x:v>Sell My House Fast Nashville | As Is Cash Home Buyers</x:v>
      </x:c>
      <x:c r="C726" s="15"/>
      <x:c r="D726" s="15" t="str">
        <x:v>Property investor / home-buying operator</x:v>
      </x:c>
      <x:c r="E726" s="15" t="str">
        <x:v>Property investor / operator inquiry</x:v>
      </x:c>
      <x:c r="F726" s="17" t="str">
        <x:v>New</x:v>
      </x:c>
      <x:c r="G726" s="24"/>
      <x:c r="H726" s="24" t="str">
        <x:v>+16152349649</x:v>
      </x:c>
      <x:c r="I726" s="24" t="str">
        <x:v>https://sellmyhousefastnash.com/</x:v>
      </x:c>
      <x:c r="J726" s="16" t="str">
        <x:v>TN</x:v>
      </x:c>
      <x:c r="K726" s="16" t="str">
        <x:v>Nashville</x:v>
      </x:c>
      <x:c r="L726" s="16" t="str">
        <x:v>Public property-business route; investor decision maker unconfirmed</x:v>
      </x:c>
      <x:c r="M726" s="16" t="str">
        <x:v>https://sellmyhousefastnash.com/</x:v>
      </x:c>
      <x:c r="N726" s="16" t="str">
        <x:v>$100K-$500K ticket not published / unconfirmed</x:v>
      </x:c>
      <x:c r="O726" s="20"/>
      <x:c r="P726" s="20"/>
      <x:c r="Q726" s="25" t="str">
        <x:v>No direct corporate-capital range established in checked source</x:v>
      </x:c>
      <x:c r="R726" s="25" t="str">
        <x:v>Property acquisition or investor activity makes this an operator-capital prospect for the signed trial. Confirm operating-company debt/equity appetite.</x:v>
      </x:c>
      <x:c r="S726" s="25"/>
      <x:c r="T726" s="25" t="str">
        <x:v>Ask the owner/investor whether they can allocate $100K-$500K to trial marketing and acquisitions, and confirm structure, timing and decision authority.</x:v>
      </x:c>
      <x:c r="U726" s="25" t="str">
        <x:v>https://www.cashhomebuyersdirectory.com/cash-home-buyers/tennessee/nashville
https://www.cashhomebuyersdirectory.com/cash-home-buyers/tennessee/clarksville
https://www.cashhomebuyersdirectory.com/cash-home-buyers/tennessee/murfreesboro</x:v>
      </x:c>
      <x:c r="V726" s="26" t="d">
        <x:v>2026-10-02T00:00:00.000Z</x:v>
      </x:c>
      <x:c r="W726" s="26" t="d">
        <x:v>2026-10-02T00:00:00.000Z</x:v>
      </x:c>
      <x:c r="X726" s="25" t="str">
        <x:v>CashHomeBuyersDirectory third-party business listing; first-party business activity not checked in this batch</x:v>
      </x:c>
      <x:c r="Y726" s="25"/>
      <x:c r="Z726" s="25" t="str">
        <x:v>https://www.cashhomebuyersdirectory.com/cash-home-buyers/tennessee/nashville</x:v>
      </x:c>
      <x:c r="AA726" s="25" t="str">
        <x:v>Public cash-home-buyer directory lists the business name, business phone/website where available and market. Operator role and corporate funding willingness require confirmation.</x:v>
      </x:c>
      <x:c r="AB726" s="3" t="str">
        <x:v>New public-source collection</x:v>
      </x:c>
      <x:c r="AC726" s="3" t="str">
        <x:v>unverified</x:v>
      </x:c>
      <x:c r="AD726" s="3" t="str">
        <x:v>Not contacted / unconfirmed</x:v>
      </x:c>
      <x:c r="AE726" s="3" t="str">
        <x:v>No</x:v>
      </x:c>
      <x:c r="AF726" s="3" t="str">
        <x:v>No</x:v>
      </x:c>
      <x:c r="AG726" s="3"/>
      <x:c r="AH726" s="3" t="str">
        <x:v>Sell My House Fast Nashville | As Is Cash Home Buyers East Nashville; Sell My House Fast Nashville | As Is Cash Home Buyers Mount Juliet; Sell My House Fast Nashville | As Is Cash Home Buyers Murfreesboro</x:v>
      </x:c>
      <x:c r="AI726" s="18"/>
      <x:c r="AJ726" s="3" t="str">
        <x:v>CF2500-2123EBADF9C7</x:v>
      </x:c>
      <x:c r="AK726" s="3" t="str">
        <x:v>real_estate_operator</x:v>
      </x:c>
      <x:c r="AL726" s="19" t="n">
        <x:v>100000</x:v>
      </x:c>
      <x:c r="AM726" s="19" t="n">
        <x:v>500000</x:v>
      </x:c>
      <x:c r="AN726" s="3" t="str">
        <x:v>https://www.cashhomebuyersdirectory.com/cash-home-buyers/tennessee/nashville</x:v>
      </x:c>
      <x:c r="AO726" s="3" t="str">
        <x:v>national_rest_directory_complete.jsonl</x:v>
      </x:c>
      <x:c r="AP726" s="19"/>
    </x:row>
    <x:row r="727" ht="36" customHeight="1">
      <x:c r="A727" s="23" t="n">
        <x:v>726</x:v>
      </x:c>
      <x:c r="B727" s="15" t="str">
        <x:v>Sell My House Fast Nashville - My TN Home Solution</x:v>
      </x:c>
      <x:c r="C727" s="15"/>
      <x:c r="D727" s="15" t="str">
        <x:v>Property investor / home-buying operator</x:v>
      </x:c>
      <x:c r="E727" s="15" t="str">
        <x:v>Property investor / operator inquiry</x:v>
      </x:c>
      <x:c r="F727" s="17" t="str">
        <x:v>New</x:v>
      </x:c>
      <x:c r="G727" s="24"/>
      <x:c r="H727" s="24" t="str">
        <x:v>+16292764629</x:v>
      </x:c>
      <x:c r="I727" s="24" t="str">
        <x:v>https://mytennesseehomesolution.com/?utm_source=google&amp;utm_medium=gmb&amp;utm_campaign=Nash_office</x:v>
      </x:c>
      <x:c r="J727" s="16" t="str">
        <x:v>TN</x:v>
      </x:c>
      <x:c r="K727" s="16" t="str">
        <x:v>Nashville</x:v>
      </x:c>
      <x:c r="L727" s="16" t="str">
        <x:v>Public property-business route; investor decision maker unconfirmed</x:v>
      </x:c>
      <x:c r="M727" s="16" t="str">
        <x:v>https://mytennesseehomesolution.com/?utm_source=google&amp;utm_medium=gmb&amp;utm_campaign=Nash_office</x:v>
      </x:c>
      <x:c r="N727" s="16" t="str">
        <x:v>$100K-$500K ticket not published / unconfirmed</x:v>
      </x:c>
      <x:c r="O727" s="20"/>
      <x:c r="P727" s="20"/>
      <x:c r="Q727" s="25" t="str">
        <x:v>No direct corporate-capital range established in checked source</x:v>
      </x:c>
      <x:c r="R727" s="25" t="str">
        <x:v>Property acquisition or investor activity makes this an operator-capital prospect for the signed trial. Confirm operating-company debt/equity appetite.</x:v>
      </x:c>
      <x:c r="S727" s="25"/>
      <x:c r="T727" s="25" t="str">
        <x:v>Ask the owner/investor whether they can allocate $100K-$500K to trial marketing and acquisitions, and confirm structure, timing and decision authority.</x:v>
      </x:c>
      <x:c r="U727" s="25" t="str">
        <x:v>https://www.cashhomebuyersdirectory.com/cash-home-buyers/tennessee/nashville
https://www.cashhomebuyersdirectory.com/cash-home-buyers/tennessee/clarksville</x:v>
      </x:c>
      <x:c r="V727" s="26" t="d">
        <x:v>2026-10-02T00:00:00.000Z</x:v>
      </x:c>
      <x:c r="W727" s="26" t="d">
        <x:v>2026-10-02T00:00:00.000Z</x:v>
      </x:c>
      <x:c r="X727" s="25" t="str">
        <x:v>CashHomeBuyersDirectory third-party business listing; first-party business activity not checked in this batch</x:v>
      </x:c>
      <x:c r="Y727" s="25"/>
      <x:c r="Z727" s="25" t="str">
        <x:v>https://www.cashhomebuyersdirectory.com/cash-home-buyers/tennessee/nashville</x:v>
      </x:c>
      <x:c r="AA727" s="25" t="str">
        <x:v>Public cash-home-buyer directory lists the business name, business phone/website where available and market. Operator role and corporate funding willingness require confirmation.</x:v>
      </x:c>
      <x:c r="AB727" s="3" t="str">
        <x:v>New public-source collection</x:v>
      </x:c>
      <x:c r="AC727" s="3" t="str">
        <x:v>unverified</x:v>
      </x:c>
      <x:c r="AD727" s="3" t="str">
        <x:v>Not contacted / unconfirmed</x:v>
      </x:c>
      <x:c r="AE727" s="3" t="str">
        <x:v>No</x:v>
      </x:c>
      <x:c r="AF727" s="3" t="str">
        <x:v>No</x:v>
      </x:c>
      <x:c r="AG727" s="3"/>
      <x:c r="AH727" s="3" t="str">
        <x:v>We Buy Houses - My TN Home Solution</x:v>
      </x:c>
      <x:c r="AI727" s="18"/>
      <x:c r="AJ727" s="3" t="str">
        <x:v>CF2500-8C3D67AE951E</x:v>
      </x:c>
      <x:c r="AK727" s="3" t="str">
        <x:v>real_estate_operator</x:v>
      </x:c>
      <x:c r="AL727" s="19" t="n">
        <x:v>100000</x:v>
      </x:c>
      <x:c r="AM727" s="19" t="n">
        <x:v>500000</x:v>
      </x:c>
      <x:c r="AN727" s="3" t="str">
        <x:v>https://www.cashhomebuyersdirectory.com/cash-home-buyers/tennessee/nashville</x:v>
      </x:c>
      <x:c r="AO727" s="3" t="str">
        <x:v>national_rest_directory_complete.jsonl</x:v>
      </x:c>
      <x:c r="AP727" s="19"/>
    </x:row>
    <x:row r="728" ht="36" customHeight="1">
      <x:c r="A728" s="23" t="n">
        <x:v>727</x:v>
      </x:c>
      <x:c r="B728" s="15" t="str">
        <x:v>Sell My House Fast OKC</x:v>
      </x:c>
      <x:c r="C728" s="15"/>
      <x:c r="D728" s="15" t="str">
        <x:v>Property investor / home-buying operator</x:v>
      </x:c>
      <x:c r="E728" s="15" t="str">
        <x:v>Property investor / operator inquiry</x:v>
      </x:c>
      <x:c r="F728" s="17" t="str">
        <x:v>New</x:v>
      </x:c>
      <x:c r="G728" s="24"/>
      <x:c r="H728" s="24" t="str">
        <x:v>+14054773512</x:v>
      </x:c>
      <x:c r="I728" s="24" t="str">
        <x:v>https://www.sellmyhousefastokc.com/</x:v>
      </x:c>
      <x:c r="J728" s="16" t="str">
        <x:v>OK</x:v>
      </x:c>
      <x:c r="K728" s="16" t="str">
        <x:v>Oklahoma City</x:v>
      </x:c>
      <x:c r="L728" s="16" t="str">
        <x:v>Public property-business route; investor decision maker unconfirmed</x:v>
      </x:c>
      <x:c r="M728" s="16" t="str">
        <x:v>https://www.sellmyhousefastokc.com/</x:v>
      </x:c>
      <x:c r="N728" s="16" t="str">
        <x:v>$100K-$500K ticket not published / unconfirmed</x:v>
      </x:c>
      <x:c r="O728" s="20"/>
      <x:c r="P728" s="20"/>
      <x:c r="Q728" s="25" t="str">
        <x:v>No direct corporate-capital range established in checked source</x:v>
      </x:c>
      <x:c r="R728" s="25" t="str">
        <x:v>Property acquisition or investor activity makes this an operator-capital prospect for the signed trial. Confirm operating-company debt/equity appetite.</x:v>
      </x:c>
      <x:c r="S728" s="25"/>
      <x:c r="T728" s="25" t="str">
        <x:v>Ask the owner/investor whether they can allocate $100K-$500K to trial marketing and acquisitions, and confirm structure, timing and decision authority.</x:v>
      </x:c>
      <x:c r="U728" s="25" t="str">
        <x:v>https://www.cashhomebuyersdirectory.com/cash-home-buyers/oklahoma/oklahoma-city</x:v>
      </x:c>
      <x:c r="V728" s="26" t="d">
        <x:v>2026-10-02T00:00:00.000Z</x:v>
      </x:c>
      <x:c r="W728" s="26" t="d">
        <x:v>2026-10-02T00:00:00.000Z</x:v>
      </x:c>
      <x:c r="X728" s="25" t="str">
        <x:v>CashHomeBuyersDirectory third-party business listing; first-party business activity not checked in this batch</x:v>
      </x:c>
      <x:c r="Y728" s="25"/>
      <x:c r="Z728" s="25" t="str">
        <x:v>https://www.cashhomebuyersdirectory.com/cash-home-buyers/oklahoma/oklahoma-city</x:v>
      </x:c>
      <x:c r="AA728" s="25" t="str">
        <x:v>Public cash-home-buyer directory lists the business name, business phone/website where available and market. Operator role and corporate funding willingness require confirmation.</x:v>
      </x:c>
      <x:c r="AB728" s="3" t="str">
        <x:v>New public-source collection</x:v>
      </x:c>
      <x:c r="AC728" s="3" t="str">
        <x:v>unverified</x:v>
      </x:c>
      <x:c r="AD728" s="3" t="str">
        <x:v>Not contacted / unconfirmed</x:v>
      </x:c>
      <x:c r="AE728" s="3" t="str">
        <x:v>No</x:v>
      </x:c>
      <x:c r="AF728" s="3" t="str">
        <x:v>No</x:v>
      </x:c>
      <x:c r="AG728" s="3"/>
      <x:c r="AH728" s="3"/>
      <x:c r="AI728" s="18"/>
      <x:c r="AJ728" s="3" t="str">
        <x:v>CF2500-6A41B4F4C94E</x:v>
      </x:c>
      <x:c r="AK728" s="3" t="str">
        <x:v>real_estate_operator</x:v>
      </x:c>
      <x:c r="AL728" s="19" t="n">
        <x:v>100000</x:v>
      </x:c>
      <x:c r="AM728" s="19" t="n">
        <x:v>500000</x:v>
      </x:c>
      <x:c r="AN728" s="3" t="str">
        <x:v>https://www.cashhomebuyersdirectory.com/cash-home-buyers/oklahoma/oklahoma-city</x:v>
      </x:c>
      <x:c r="AO728" s="3" t="str">
        <x:v>national_rest_directory_complete.jsonl</x:v>
      </x:c>
      <x:c r="AP728" s="19"/>
    </x:row>
    <x:row r="729" ht="36" customHeight="1">
      <x:c r="A729" s="23" t="n">
        <x:v>728</x:v>
      </x:c>
      <x:c r="B729" s="15" t="str">
        <x:v>Sell My House Fast Salt Lake City</x:v>
      </x:c>
      <x:c r="C729" s="15"/>
      <x:c r="D729" s="15" t="str">
        <x:v>Property investor / home-buying operator</x:v>
      </x:c>
      <x:c r="E729" s="15" t="str">
        <x:v>Property investor / operator inquiry</x:v>
      </x:c>
      <x:c r="F729" s="17" t="str">
        <x:v>New</x:v>
      </x:c>
      <x:c r="G729" s="24"/>
      <x:c r="H729" s="24" t="str">
        <x:v>+18016155569</x:v>
      </x:c>
      <x:c r="I729" s="24" t="str">
        <x:v>https://sellmyhousefastslc.com/</x:v>
      </x:c>
      <x:c r="J729" s="16" t="str">
        <x:v>UT</x:v>
      </x:c>
      <x:c r="K729" s="16" t="str">
        <x:v>Salt Lake City</x:v>
      </x:c>
      <x:c r="L729" s="16" t="str">
        <x:v>Public property-business route; investor decision maker unconfirmed</x:v>
      </x:c>
      <x:c r="M729" s="16" t="str">
        <x:v>https://sellmyhousefastslc.com/</x:v>
      </x:c>
      <x:c r="N729" s="16" t="str">
        <x:v>$100K-$500K ticket not published / unconfirmed</x:v>
      </x:c>
      <x:c r="O729" s="20"/>
      <x:c r="P729" s="20"/>
      <x:c r="Q729" s="25" t="str">
        <x:v>No direct corporate-capital range established in checked source</x:v>
      </x:c>
      <x:c r="R729" s="25" t="str">
        <x:v>Property acquisition or investor activity makes this an operator-capital prospect for the signed trial. Confirm operating-company debt/equity appetite.</x:v>
      </x:c>
      <x:c r="S729" s="25"/>
      <x:c r="T729" s="25" t="str">
        <x:v>Ask the owner/investor whether they can allocate $100K-$500K to trial marketing and acquisitions, and confirm structure, timing and decision authority.</x:v>
      </x:c>
      <x:c r="U729" s="25" t="str">
        <x:v>https://www.cashhomebuyersdirectory.com/cash-home-buyers/utah/salt-lake-city</x:v>
      </x:c>
      <x:c r="V729" s="26" t="d">
        <x:v>2026-10-02T00:00:00.000Z</x:v>
      </x:c>
      <x:c r="W729" s="26" t="d">
        <x:v>2026-10-02T00:00:00.000Z</x:v>
      </x:c>
      <x:c r="X729" s="25" t="str">
        <x:v>CashHomeBuyersDirectory third-party business listing; first-party business activity not checked in this batch</x:v>
      </x:c>
      <x:c r="Y729" s="25"/>
      <x:c r="Z729" s="25" t="str">
        <x:v>https://www.cashhomebuyersdirectory.com/cash-home-buyers/utah/salt-lake-city</x:v>
      </x:c>
      <x:c r="AA729" s="25" t="str">
        <x:v>Public cash-home-buyer directory lists the business name, business phone/website where available and market. Operator role and corporate funding willingness require confirmation.</x:v>
      </x:c>
      <x:c r="AB729" s="3" t="str">
        <x:v>New public-source collection</x:v>
      </x:c>
      <x:c r="AC729" s="3" t="str">
        <x:v>unverified</x:v>
      </x:c>
      <x:c r="AD729" s="3" t="str">
        <x:v>Not contacted / unconfirmed</x:v>
      </x:c>
      <x:c r="AE729" s="3" t="str">
        <x:v>No</x:v>
      </x:c>
      <x:c r="AF729" s="3" t="str">
        <x:v>No</x:v>
      </x:c>
      <x:c r="AG729" s="3"/>
      <x:c r="AH729" s="3"/>
      <x:c r="AI729" s="18"/>
      <x:c r="AJ729" s="3" t="str">
        <x:v>CF2500-497701149522</x:v>
      </x:c>
      <x:c r="AK729" s="3" t="str">
        <x:v>real_estate_operator</x:v>
      </x:c>
      <x:c r="AL729" s="19" t="n">
        <x:v>100000</x:v>
      </x:c>
      <x:c r="AM729" s="19" t="n">
        <x:v>500000</x:v>
      </x:c>
      <x:c r="AN729" s="3" t="str">
        <x:v>https://www.cashhomebuyersdirectory.com/cash-home-buyers/utah/salt-lake-city</x:v>
      </x:c>
      <x:c r="AO729" s="3" t="str">
        <x:v>national_rest_directory_complete.jsonl</x:v>
      </x:c>
      <x:c r="AP729" s="19"/>
    </x:row>
    <x:row r="730" ht="36" customHeight="1">
      <x:c r="A730" s="23" t="n">
        <x:v>729</x:v>
      </x:c>
      <x:c r="B730" s="15" t="str">
        <x:v>Sell My House Fast Savannah</x:v>
      </x:c>
      <x:c r="C730" s="15"/>
      <x:c r="D730" s="15" t="str">
        <x:v>Property investor / home-buying operator</x:v>
      </x:c>
      <x:c r="E730" s="15" t="str">
        <x:v>Property investor / operator inquiry</x:v>
      </x:c>
      <x:c r="F730" s="17" t="str">
        <x:v>New</x:v>
      </x:c>
      <x:c r="G730" s="24"/>
      <x:c r="H730" s="24" t="str">
        <x:v>+19129129787</x:v>
      </x:c>
      <x:c r="I730" s="24" t="str">
        <x:v>https://www.sellmyhousefastsavannahga.com/?utm_source=gbp</x:v>
      </x:c>
      <x:c r="J730" s="16" t="str">
        <x:v>GA</x:v>
      </x:c>
      <x:c r="K730" s="16" t="str">
        <x:v>Savannah</x:v>
      </x:c>
      <x:c r="L730" s="16" t="str">
        <x:v>Public property-business route; investor decision maker unconfirmed</x:v>
      </x:c>
      <x:c r="M730" s="16" t="str">
        <x:v>https://www.sellmyhousefastsavannahga.com/?utm_source=gbp</x:v>
      </x:c>
      <x:c r="N730" s="16" t="str">
        <x:v>$100K-$500K ticket not published / unconfirmed</x:v>
      </x:c>
      <x:c r="O730" s="20"/>
      <x:c r="P730" s="20"/>
      <x:c r="Q730" s="25" t="str">
        <x:v>No direct corporate-capital range established in checked source</x:v>
      </x:c>
      <x:c r="R730" s="25" t="str">
        <x:v>Property acquisition or investor activity makes this an operator-capital prospect for the signed trial. Confirm operating-company debt/equity appetite.</x:v>
      </x:c>
      <x:c r="S730" s="25"/>
      <x:c r="T730" s="25" t="str">
        <x:v>Ask the owner/investor whether they can allocate $100K-$500K to trial marketing and acquisitions, and confirm structure, timing and decision authority.</x:v>
      </x:c>
      <x:c r="U730" s="25" t="str">
        <x:v>https://www.cashhomebuyersdirectory.com/cash-home-buyers/georgia/savannah</x:v>
      </x:c>
      <x:c r="V730" s="26" t="d">
        <x:v>2026-10-02T00:00:00.000Z</x:v>
      </x:c>
      <x:c r="W730" s="26" t="d">
        <x:v>2026-10-02T00:00:00.000Z</x:v>
      </x:c>
      <x:c r="X730" s="25" t="str">
        <x:v>CashHomeBuyersDirectory third-party business listing; first-party business activity not checked in this batch</x:v>
      </x:c>
      <x:c r="Y730" s="25"/>
      <x:c r="Z730" s="25" t="str">
        <x:v>https://www.cashhomebuyersdirectory.com/cash-home-buyers/georgia/savannah</x:v>
      </x:c>
      <x:c r="AA730" s="25" t="str">
        <x:v>Public cash-home-buyer directory lists the business name, business phone/website where available and market. Operator role and corporate funding willingness require confirmation.</x:v>
      </x:c>
      <x:c r="AB730" s="3" t="str">
        <x:v>New public-source collection</x:v>
      </x:c>
      <x:c r="AC730" s="3" t="str">
        <x:v>unverified</x:v>
      </x:c>
      <x:c r="AD730" s="3" t="str">
        <x:v>Not contacted / unconfirmed</x:v>
      </x:c>
      <x:c r="AE730" s="3" t="str">
        <x:v>No</x:v>
      </x:c>
      <x:c r="AF730" s="3" t="str">
        <x:v>No</x:v>
      </x:c>
      <x:c r="AG730" s="3"/>
      <x:c r="AH730" s="3"/>
      <x:c r="AI730" s="18"/>
      <x:c r="AJ730" s="3" t="str">
        <x:v>CF2500-2E6AFD83CD85</x:v>
      </x:c>
      <x:c r="AK730" s="3" t="str">
        <x:v>real_estate_operator</x:v>
      </x:c>
      <x:c r="AL730" s="19" t="n">
        <x:v>100000</x:v>
      </x:c>
      <x:c r="AM730" s="19" t="n">
        <x:v>500000</x:v>
      </x:c>
      <x:c r="AN730" s="3" t="str">
        <x:v>https://www.cashhomebuyersdirectory.com/cash-home-buyers/georgia/savannah</x:v>
      </x:c>
      <x:c r="AO730" s="3" t="str">
        <x:v>national_rest_directory_complete.jsonl</x:v>
      </x:c>
      <x:c r="AP730" s="19"/>
    </x:row>
    <x:row r="731" ht="36" customHeight="1">
      <x:c r="A731" s="23" t="n">
        <x:v>730</x:v>
      </x:c>
      <x:c r="B731" s="15" t="str">
        <x:v>Sell My House Fast Topeka</x:v>
      </x:c>
      <x:c r="C731" s="15"/>
      <x:c r="D731" s="15" t="str">
        <x:v>Property investor / home-buying operator</x:v>
      </x:c>
      <x:c r="E731" s="15" t="str">
        <x:v>Property investor / operator inquiry</x:v>
      </x:c>
      <x:c r="F731" s="17" t="str">
        <x:v>New</x:v>
      </x:c>
      <x:c r="G731" s="24"/>
      <x:c r="H731" s="24" t="str">
        <x:v>+17852600614</x:v>
      </x:c>
      <x:c r="I731" s="24" t="str">
        <x:v>http://sellmyhousefasttopeka.com/</x:v>
      </x:c>
      <x:c r="J731" s="16" t="str">
        <x:v>KS</x:v>
      </x:c>
      <x:c r="K731" s="16" t="str">
        <x:v>Topeka</x:v>
      </x:c>
      <x:c r="L731" s="16" t="str">
        <x:v>Public property-business route; investor decision maker unconfirmed</x:v>
      </x:c>
      <x:c r="M731" s="16" t="str">
        <x:v>http://sellmyhousefasttopeka.com/</x:v>
      </x:c>
      <x:c r="N731" s="16" t="str">
        <x:v>$100K-$500K ticket not published / unconfirmed</x:v>
      </x:c>
      <x:c r="O731" s="20"/>
      <x:c r="P731" s="20"/>
      <x:c r="Q731" s="25" t="str">
        <x:v>No direct corporate-capital range established in checked source</x:v>
      </x:c>
      <x:c r="R731" s="25" t="str">
        <x:v>Property acquisition or investor activity makes this an operator-capital prospect for the signed trial. Confirm operating-company debt/equity appetite.</x:v>
      </x:c>
      <x:c r="S731" s="25"/>
      <x:c r="T731" s="25" t="str">
        <x:v>Ask the owner/investor whether they can allocate $100K-$500K to trial marketing and acquisitions, and confirm structure, timing and decision authority.</x:v>
      </x:c>
      <x:c r="U731" s="25" t="str">
        <x:v>https://www.cashhomebuyersdirectory.com/cash-home-buyers/kansas/topeka</x:v>
      </x:c>
      <x:c r="V731" s="26" t="d">
        <x:v>2026-10-02T00:00:00.000Z</x:v>
      </x:c>
      <x:c r="W731" s="26" t="d">
        <x:v>2026-10-02T00:00:00.000Z</x:v>
      </x:c>
      <x:c r="X731" s="25" t="str">
        <x:v>CashHomeBuyersDirectory third-party business listing; first-party business activity not checked in this batch</x:v>
      </x:c>
      <x:c r="Y731" s="25"/>
      <x:c r="Z731" s="25" t="str">
        <x:v>https://www.cashhomebuyersdirectory.com/cash-home-buyers/kansas/topeka</x:v>
      </x:c>
      <x:c r="AA731" s="25" t="str">
        <x:v>Public cash-home-buyer directory lists the business name, business phone/website where available and market. Operator role and corporate funding willingness require confirmation.</x:v>
      </x:c>
      <x:c r="AB731" s="3" t="str">
        <x:v>New public-source collection</x:v>
      </x:c>
      <x:c r="AC731" s="3" t="str">
        <x:v>unverified</x:v>
      </x:c>
      <x:c r="AD731" s="3" t="str">
        <x:v>Not contacted / unconfirmed</x:v>
      </x:c>
      <x:c r="AE731" s="3" t="str">
        <x:v>No</x:v>
      </x:c>
      <x:c r="AF731" s="3" t="str">
        <x:v>No</x:v>
      </x:c>
      <x:c r="AG731" s="3"/>
      <x:c r="AH731" s="3"/>
      <x:c r="AI731" s="18"/>
      <x:c r="AJ731" s="3" t="str">
        <x:v>CF2500-75039CA9B136</x:v>
      </x:c>
      <x:c r="AK731" s="3" t="str">
        <x:v>real_estate_operator</x:v>
      </x:c>
      <x:c r="AL731" s="19" t="n">
        <x:v>100000</x:v>
      </x:c>
      <x:c r="AM731" s="19" t="n">
        <x:v>500000</x:v>
      </x:c>
      <x:c r="AN731" s="3" t="str">
        <x:v>https://www.cashhomebuyersdirectory.com/cash-home-buyers/kansas/topeka</x:v>
      </x:c>
      <x:c r="AO731" s="3" t="str">
        <x:v>national_rest_directory_complete.jsonl</x:v>
      </x:c>
      <x:c r="AP731" s="19"/>
    </x:row>
    <x:row r="732" ht="36" customHeight="1">
      <x:c r="A732" s="23" t="n">
        <x:v>731</x:v>
      </x:c>
      <x:c r="B732" s="15" t="str">
        <x:v>Sell My House Quick Huntsville</x:v>
      </x:c>
      <x:c r="C732" s="15"/>
      <x:c r="D732" s="15" t="str">
        <x:v>Property investor / home-buying operator</x:v>
      </x:c>
      <x:c r="E732" s="15" t="str">
        <x:v>Property investor / operator inquiry</x:v>
      </x:c>
      <x:c r="F732" s="17" t="str">
        <x:v>New</x:v>
      </x:c>
      <x:c r="G732" s="24"/>
      <x:c r="H732" s="24" t="str">
        <x:v>+12562799369</x:v>
      </x:c>
      <x:c r="I732" s="24" t="str">
        <x:v>https://www.sellmyhousequickhuntsville.com/</x:v>
      </x:c>
      <x:c r="J732" s="16" t="str">
        <x:v>AL</x:v>
      </x:c>
      <x:c r="K732" s="16"/>
      <x:c r="L732" s="16" t="str">
        <x:v>Public property-business route; investor decision maker unconfirmed</x:v>
      </x:c>
      <x:c r="M732" s="16" t="str">
        <x:v>https://www.sellmyhousequickhuntsville.com/</x:v>
      </x:c>
      <x:c r="N732" s="16" t="str">
        <x:v>$100K-$500K ticket not published / unconfirmed</x:v>
      </x:c>
      <x:c r="O732" s="20"/>
      <x:c r="P732" s="20"/>
      <x:c r="Q732" s="25" t="str">
        <x:v>No direct corporate-capital range established in checked source</x:v>
      </x:c>
      <x:c r="R732" s="25" t="str">
        <x:v>Property acquisition or investor activity makes this an operator-capital prospect for the signed trial. Confirm operating-company debt/equity appetite.</x:v>
      </x:c>
      <x:c r="S732" s="25"/>
      <x:c r="T732" s="25" t="str">
        <x:v>Ask the owner/investor whether they can allocate $100K-$500K to trial marketing and acquisitions, and confirm structure, timing and decision authority.</x:v>
      </x:c>
      <x:c r="U732" s="25" t="str">
        <x:v>https://www.cashhomebuyersdirectory.com/cash-home-buyers/alabama/huntsville</x:v>
      </x:c>
      <x:c r="V732" s="26" t="d">
        <x:v>2026-10-02T00:00:00.000Z</x:v>
      </x:c>
      <x:c r="W732" s="26" t="d">
        <x:v>2026-10-02T00:00:00.000Z</x:v>
      </x:c>
      <x:c r="X732" s="25" t="str">
        <x:v>CashHomeBuyersDirectory third-party business listing; first-party business activity not checked in this batch</x:v>
      </x:c>
      <x:c r="Y732" s="25"/>
      <x:c r="Z732" s="25" t="str">
        <x:v>https://www.cashhomebuyersdirectory.com/cash-home-buyers/alabama/huntsville</x:v>
      </x:c>
      <x:c r="AA732" s="25" t="str">
        <x:v>Public cash-home-buyer directory lists the business name, business phone/website where available and market. Operator role and corporate funding willingness require confirmation.</x:v>
      </x:c>
      <x:c r="AB732" s="3" t="str">
        <x:v>New public-source collection</x:v>
      </x:c>
      <x:c r="AC732" s="3" t="str">
        <x:v>unverified</x:v>
      </x:c>
      <x:c r="AD732" s="3" t="str">
        <x:v>Not contacted / unconfirmed</x:v>
      </x:c>
      <x:c r="AE732" s="3" t="str">
        <x:v>No</x:v>
      </x:c>
      <x:c r="AF732" s="3" t="str">
        <x:v>No</x:v>
      </x:c>
      <x:c r="AG732" s="3"/>
      <x:c r="AH732" s="3"/>
      <x:c r="AI732" s="18"/>
      <x:c r="AJ732" s="3" t="str">
        <x:v>CF2500-4479EA9C74F0</x:v>
      </x:c>
      <x:c r="AK732" s="3" t="str">
        <x:v>real_estate_operator</x:v>
      </x:c>
      <x:c r="AL732" s="19" t="n">
        <x:v>100000</x:v>
      </x:c>
      <x:c r="AM732" s="19" t="n">
        <x:v>500000</x:v>
      </x:c>
      <x:c r="AN732" s="3" t="str">
        <x:v>https://www.cashhomebuyersdirectory.com/cash-home-buyers/alabama/huntsville</x:v>
      </x:c>
      <x:c r="AO732" s="3" t="str">
        <x:v>national_rest_directory_complete.jsonl</x:v>
      </x:c>
      <x:c r="AP732" s="19"/>
    </x:row>
    <x:row r="733" ht="36" customHeight="1">
      <x:c r="A733" s="23" t="n">
        <x:v>732</x:v>
      </x:c>
      <x:c r="B733" s="15" t="str">
        <x:v>Sell That House Quickly In Oklahoma - Fast Home Buyers - No Fees</x:v>
      </x:c>
      <x:c r="C733" s="15"/>
      <x:c r="D733" s="15" t="str">
        <x:v>Property investor / home-buying operator</x:v>
      </x:c>
      <x:c r="E733" s="15" t="str">
        <x:v>Property investor / operator inquiry</x:v>
      </x:c>
      <x:c r="F733" s="17" t="str">
        <x:v>New</x:v>
      </x:c>
      <x:c r="G733" s="24"/>
      <x:c r="H733" s="24" t="str">
        <x:v>+19188447976</x:v>
      </x:c>
      <x:c r="I733" s="24" t="str">
        <x:v>https://sellthathousequickly.com/</x:v>
      </x:c>
      <x:c r="J733" s="16" t="str">
        <x:v>OK</x:v>
      </x:c>
      <x:c r="K733" s="16" t="str">
        <x:v>Tulsa</x:v>
      </x:c>
      <x:c r="L733" s="16" t="str">
        <x:v>Public property-business route; investor decision maker unconfirmed</x:v>
      </x:c>
      <x:c r="M733" s="16" t="str">
        <x:v>https://sellthathousequickly.com/</x:v>
      </x:c>
      <x:c r="N733" s="16" t="str">
        <x:v>$100K-$500K ticket not published / unconfirmed</x:v>
      </x:c>
      <x:c r="O733" s="20"/>
      <x:c r="P733" s="20"/>
      <x:c r="Q733" s="25" t="str">
        <x:v>No direct corporate-capital range established in checked source</x:v>
      </x:c>
      <x:c r="R733" s="25" t="str">
        <x:v>Property acquisition or investor activity makes this an operator-capital prospect for the signed trial. Confirm operating-company debt/equity appetite.</x:v>
      </x:c>
      <x:c r="S733" s="25"/>
      <x:c r="T733" s="25" t="str">
        <x:v>Ask the owner/investor whether they can allocate $100K-$500K to trial marketing and acquisitions, and confirm structure, timing and decision authority.</x:v>
      </x:c>
      <x:c r="U733" s="25" t="str">
        <x:v>https://www.cashhomebuyersdirectory.com/cash-home-buyers/oklahoma/tulsa</x:v>
      </x:c>
      <x:c r="V733" s="26" t="d">
        <x:v>2026-10-02T00:00:00.000Z</x:v>
      </x:c>
      <x:c r="W733" s="26" t="d">
        <x:v>2026-10-02T00:00:00.000Z</x:v>
      </x:c>
      <x:c r="X733" s="25" t="str">
        <x:v>CashHomeBuyersDirectory third-party business listing; first-party business activity not checked in this batch</x:v>
      </x:c>
      <x:c r="Y733" s="25"/>
      <x:c r="Z733" s="25" t="str">
        <x:v>https://www.cashhomebuyersdirectory.com/cash-home-buyers/oklahoma/tulsa</x:v>
      </x:c>
      <x:c r="AA733" s="25" t="str">
        <x:v>Public cash-home-buyer directory lists the business name, business phone/website where available and market. Operator role and corporate funding willingness require confirmation.</x:v>
      </x:c>
      <x:c r="AB733" s="3" t="str">
        <x:v>New public-source collection</x:v>
      </x:c>
      <x:c r="AC733" s="3" t="str">
        <x:v>unverified</x:v>
      </x:c>
      <x:c r="AD733" s="3" t="str">
        <x:v>Not contacted / unconfirmed</x:v>
      </x:c>
      <x:c r="AE733" s="3" t="str">
        <x:v>No</x:v>
      </x:c>
      <x:c r="AF733" s="3" t="str">
        <x:v>No</x:v>
      </x:c>
      <x:c r="AG733" s="3"/>
      <x:c r="AH733" s="3"/>
      <x:c r="AI733" s="18"/>
      <x:c r="AJ733" s="3" t="str">
        <x:v>CF2500-CB5DE6E9A609</x:v>
      </x:c>
      <x:c r="AK733" s="3" t="str">
        <x:v>real_estate_operator</x:v>
      </x:c>
      <x:c r="AL733" s="19" t="n">
        <x:v>100000</x:v>
      </x:c>
      <x:c r="AM733" s="19" t="n">
        <x:v>500000</x:v>
      </x:c>
      <x:c r="AN733" s="3" t="str">
        <x:v>https://www.cashhomebuyersdirectory.com/cash-home-buyers/oklahoma/tulsa</x:v>
      </x:c>
      <x:c r="AO733" s="3" t="str">
        <x:v>national_rest_directory_complete.jsonl</x:v>
      </x:c>
      <x:c r="AP733" s="19"/>
    </x:row>
    <x:row r="734" ht="36" customHeight="1">
      <x:c r="A734" s="23" t="n">
        <x:v>733</x:v>
      </x:c>
      <x:c r="B734" s="15" t="str">
        <x:v>SellMyHome.org</x:v>
      </x:c>
      <x:c r="C734" s="15"/>
      <x:c r="D734" s="15" t="str">
        <x:v>Property investor / home-buying operator</x:v>
      </x:c>
      <x:c r="E734" s="15" t="str">
        <x:v>Property investor / operator inquiry</x:v>
      </x:c>
      <x:c r="F734" s="17" t="str">
        <x:v>New</x:v>
      </x:c>
      <x:c r="G734" s="24"/>
      <x:c r="H734" s="24" t="str">
        <x:v>+17192591996</x:v>
      </x:c>
      <x:c r="I734" s="24" t="str">
        <x:v>http://sellmyhome.org/</x:v>
      </x:c>
      <x:c r="J734" s="16" t="str">
        <x:v>CO</x:v>
      </x:c>
      <x:c r="K734" s="16" t="str">
        <x:v>Colorado Springs</x:v>
      </x:c>
      <x:c r="L734" s="16" t="str">
        <x:v>Public property-business route; investor decision maker unconfirmed</x:v>
      </x:c>
      <x:c r="M734" s="16" t="str">
        <x:v>http://sellmyhome.org/</x:v>
      </x:c>
      <x:c r="N734" s="16" t="str">
        <x:v>$100K-$500K ticket not published / unconfirmed</x:v>
      </x:c>
      <x:c r="O734" s="20"/>
      <x:c r="P734" s="20"/>
      <x:c r="Q734" s="25" t="str">
        <x:v>No $100K-$500K operating-company investment ticket verified</x:v>
      </x:c>
      <x:c r="R734" s="25" t="str">
        <x:v>Property acquisition or investor activity makes this an operator-capital prospect for the signed trial. Confirm operating-company debt/equity appetite.</x:v>
      </x:c>
      <x:c r="S734" s="25" t="str">
        <x:v>Public property-buying activity or a directory listing does not establish available cash, investing decision-maker, current $100K-$500K capacity, or willingness to fund 101XVC operating costs.</x:v>
      </x:c>
      <x:c r="T734" s="25" t="str">
        <x:v>Ask the owner/investor whether they can allocate $100K-$500K to trial marketing and acquisitions, and confirm structure, timing and decision authority.</x:v>
      </x:c>
      <x:c r="U734" s="25" t="str">
        <x:v>https://www.cashhomebuyersdirectory.com/cash-home-buyers/colorado/colorado-springs</x:v>
      </x:c>
      <x:c r="V734" s="26" t="d">
        <x:v>2026-10-02T00:00:00.000Z</x:v>
      </x:c>
      <x:c r="W734" s="26" t="d">
        <x:v>2026-10-02T00:00:00.000Z</x:v>
      </x:c>
      <x:c r="X734" s="25" t="str">
        <x:v>Public investor directory; business role and contact ownership require qualification</x:v>
      </x:c>
      <x:c r="Y734" s="25"/>
      <x:c r="Z734" s="25" t="str">
        <x:v>https://www.cashhomebuyersdirectory.com/cash-home-buyers/colorado/colorado-springs</x:v>
      </x:c>
      <x:c r="AA734" s="25" t="str">
        <x:v>Public cash-home-buyer directory lists business name, phone and market. Directory entry may include brokers or service providers.</x:v>
      </x:c>
      <x:c r="AB734" s="3" t="str">
        <x:v>New public-source collection</x:v>
      </x:c>
      <x:c r="AC734" s="3" t="str">
        <x:v>unverified</x:v>
      </x:c>
      <x:c r="AD734" s="3" t="str">
        <x:v>Not contacted / unconfirmed</x:v>
      </x:c>
      <x:c r="AE734" s="3" t="str">
        <x:v>No</x:v>
      </x:c>
      <x:c r="AF734" s="3" t="str">
        <x:v>No</x:v>
      </x:c>
      <x:c r="AG734" s="3"/>
      <x:c r="AH734" s="3"/>
      <x:c r="AI734" s="18"/>
      <x:c r="AJ734" s="3" t="str">
        <x:v>CF2500-6B96786F8237</x:v>
      </x:c>
      <x:c r="AK734" s="3" t="str">
        <x:v>Property investor / home-buying operator prospect</x:v>
      </x:c>
      <x:c r="AL734" s="19" t="n">
        <x:v>100000</x:v>
      </x:c>
      <x:c r="AM734" s="19" t="n">
        <x:v>500000</x:v>
      </x:c>
      <x:c r="AN734" s="3" t="str">
        <x:v>https://www.cashhomebuyersdirectory.com/cash-home-buyers/colorado/colorado-springs</x:v>
      </x:c>
      <x:c r="AO734" s="3" t="str">
        <x:v>nc_il_az_co_investors.jsonl</x:v>
      </x:c>
      <x:c r="AP734" s="19"/>
    </x:row>
    <x:row r="735" ht="36" customHeight="1">
      <x:c r="A735" s="23" t="n">
        <x:v>734</x:v>
      </x:c>
      <x:c r="B735" s="15" t="str">
        <x:v>SEMO Home Buyers LLC</x:v>
      </x:c>
      <x:c r="C735" s="15"/>
      <x:c r="D735" s="15" t="str">
        <x:v>Property investor / home-buying operator</x:v>
      </x:c>
      <x:c r="E735" s="15" t="str">
        <x:v>Property investor / operator inquiry</x:v>
      </x:c>
      <x:c r="F735" s="17" t="str">
        <x:v>New</x:v>
      </x:c>
      <x:c r="G735" s="24"/>
      <x:c r="H735" s="24" t="str">
        <x:v>+15733405703</x:v>
      </x:c>
      <x:c r="I735" s="24" t="str">
        <x:v>http://www.semohomebuyers.co/</x:v>
      </x:c>
      <x:c r="J735" s="16" t="str">
        <x:v>MO</x:v>
      </x:c>
      <x:c r="K735" s="16" t="str">
        <x:v>Cape Girardeau</x:v>
      </x:c>
      <x:c r="L735" s="16" t="str">
        <x:v>Public property-business route; investor decision maker unconfirmed</x:v>
      </x:c>
      <x:c r="M735" s="16" t="str">
        <x:v>http://www.semohomebuyers.co/</x:v>
      </x:c>
      <x:c r="N735" s="16" t="str">
        <x:v>$100K-$500K ticket not published / unconfirmed</x:v>
      </x:c>
      <x:c r="O735" s="20"/>
      <x:c r="P735" s="20"/>
      <x:c r="Q735" s="25" t="str">
        <x:v>No direct corporate-capital range established in checked source</x:v>
      </x:c>
      <x:c r="R735" s="25" t="str">
        <x:v>Property acquisition or investor activity makes this an operator-capital prospect for the signed trial. Confirm operating-company debt/equity appetite.</x:v>
      </x:c>
      <x:c r="S735" s="25"/>
      <x:c r="T735" s="25" t="str">
        <x:v>Ask the owner/investor whether they can allocate $100K-$500K to trial marketing and acquisitions, and confirm structure, timing and decision authority.</x:v>
      </x:c>
      <x:c r="U735" s="25" t="str">
        <x:v>https://www.cashhomebuyersdirectory.com/cash-home-buyers/missouri/cape-girardeau</x:v>
      </x:c>
      <x:c r="V735" s="26" t="d">
        <x:v>2026-10-02T00:00:00.000Z</x:v>
      </x:c>
      <x:c r="W735" s="26" t="d">
        <x:v>2026-10-02T00:00:00.000Z</x:v>
      </x:c>
      <x:c r="X735" s="25" t="str">
        <x:v>CashHomeBuyersDirectory third-party business listing; first-party business activity not checked in this batch</x:v>
      </x:c>
      <x:c r="Y735" s="25"/>
      <x:c r="Z735" s="25" t="str">
        <x:v>https://www.cashhomebuyersdirectory.com/cash-home-buyers/missouri/cape-girardeau</x:v>
      </x:c>
      <x:c r="AA735" s="25" t="str">
        <x:v>Public cash-home-buyer directory lists the business name, business phone/website where available and market. Operator role and corporate funding willingness require confirmation.</x:v>
      </x:c>
      <x:c r="AB735" s="3" t="str">
        <x:v>New public-source collection</x:v>
      </x:c>
      <x:c r="AC735" s="3" t="str">
        <x:v>unverified</x:v>
      </x:c>
      <x:c r="AD735" s="3" t="str">
        <x:v>Not contacted / unconfirmed</x:v>
      </x:c>
      <x:c r="AE735" s="3" t="str">
        <x:v>No</x:v>
      </x:c>
      <x:c r="AF735" s="3" t="str">
        <x:v>No</x:v>
      </x:c>
      <x:c r="AG735" s="3"/>
      <x:c r="AH735" s="3"/>
      <x:c r="AI735" s="18"/>
      <x:c r="AJ735" s="3" t="str">
        <x:v>CF2500-9D3E92CEAE1F</x:v>
      </x:c>
      <x:c r="AK735" s="3" t="str">
        <x:v>real_estate_operator</x:v>
      </x:c>
      <x:c r="AL735" s="19" t="n">
        <x:v>100000</x:v>
      </x:c>
      <x:c r="AM735" s="19" t="n">
        <x:v>500000</x:v>
      </x:c>
      <x:c r="AN735" s="3" t="str">
        <x:v>https://www.cashhomebuyersdirectory.com/cash-home-buyers/missouri/cape-girardeau</x:v>
      </x:c>
      <x:c r="AO735" s="3" t="str">
        <x:v>national_rest_directory_complete.jsonl</x:v>
      </x:c>
      <x:c r="AP735" s="19"/>
    </x:row>
    <x:row r="736" ht="36" customHeight="1">
      <x:c r="A736" s="23" t="n">
        <x:v>735</x:v>
      </x:c>
      <x:c r="B736" s="15" t="str">
        <x:v>Show Me Cash Offer-We Buy Houses</x:v>
      </x:c>
      <x:c r="C736" s="15"/>
      <x:c r="D736" s="15" t="str">
        <x:v>Property investor / home-buying operator</x:v>
      </x:c>
      <x:c r="E736" s="15" t="str">
        <x:v>Property investor / operator inquiry</x:v>
      </x:c>
      <x:c r="F736" s="17" t="str">
        <x:v>New</x:v>
      </x:c>
      <x:c r="G736" s="24"/>
      <x:c r="H736" s="24" t="str">
        <x:v>+13149161466</x:v>
      </x:c>
      <x:c r="I736" s="24" t="str">
        <x:v>https://www.showmecashoffer.com/</x:v>
      </x:c>
      <x:c r="J736" s="16" t="str">
        <x:v>MO</x:v>
      </x:c>
      <x:c r="K736" s="16"/>
      <x:c r="L736" s="16" t="str">
        <x:v>Public property-business route; investor decision maker unconfirmed</x:v>
      </x:c>
      <x:c r="M736" s="16" t="str">
        <x:v>https://www.showmecashoffer.com/</x:v>
      </x:c>
      <x:c r="N736" s="16" t="str">
        <x:v>$100K-$500K ticket not published / unconfirmed</x:v>
      </x:c>
      <x:c r="O736" s="20"/>
      <x:c r="P736" s="20"/>
      <x:c r="Q736" s="25" t="str">
        <x:v>No direct corporate-capital range established in checked source</x:v>
      </x:c>
      <x:c r="R736" s="25" t="str">
        <x:v>Property acquisition or investor activity makes this an operator-capital prospect for the signed trial. Confirm operating-company debt/equity appetite.</x:v>
      </x:c>
      <x:c r="S736" s="25"/>
      <x:c r="T736" s="25" t="str">
        <x:v>Ask the owner/investor whether they can allocate $100K-$500K to trial marketing and acquisitions, and confirm structure, timing and decision authority.</x:v>
      </x:c>
      <x:c r="U736" s="25" t="str">
        <x:v>https://www.cashhomebuyersdirectory.com/cash-home-buyers/missouri/joplin</x:v>
      </x:c>
      <x:c r="V736" s="26" t="d">
        <x:v>2026-10-02T00:00:00.000Z</x:v>
      </x:c>
      <x:c r="W736" s="26" t="d">
        <x:v>2026-10-02T00:00:00.000Z</x:v>
      </x:c>
      <x:c r="X736" s="25" t="str">
        <x:v>CashHomeBuyersDirectory third-party business listing; first-party business activity not checked in this batch</x:v>
      </x:c>
      <x:c r="Y736" s="25"/>
      <x:c r="Z736" s="25" t="str">
        <x:v>https://www.cashhomebuyersdirectory.com/cash-home-buyers/missouri/joplin</x:v>
      </x:c>
      <x:c r="AA736" s="25" t="str">
        <x:v>Public cash-home-buyer directory lists the business name, business phone/website where available and market. Operator role and corporate funding willingness require confirmation.</x:v>
      </x:c>
      <x:c r="AB736" s="3" t="str">
        <x:v>New public-source collection</x:v>
      </x:c>
      <x:c r="AC736" s="3" t="str">
        <x:v>unverified</x:v>
      </x:c>
      <x:c r="AD736" s="3" t="str">
        <x:v>Not contacted / unconfirmed</x:v>
      </x:c>
      <x:c r="AE736" s="3" t="str">
        <x:v>No</x:v>
      </x:c>
      <x:c r="AF736" s="3" t="str">
        <x:v>No</x:v>
      </x:c>
      <x:c r="AG736" s="3"/>
      <x:c r="AH736" s="3"/>
      <x:c r="AI736" s="18"/>
      <x:c r="AJ736" s="3" t="str">
        <x:v>CF2500-C209887D4165</x:v>
      </x:c>
      <x:c r="AK736" s="3" t="str">
        <x:v>real_estate_operator</x:v>
      </x:c>
      <x:c r="AL736" s="19" t="n">
        <x:v>100000</x:v>
      </x:c>
      <x:c r="AM736" s="19" t="n">
        <x:v>500000</x:v>
      </x:c>
      <x:c r="AN736" s="3" t="str">
        <x:v>https://www.cashhomebuyersdirectory.com/cash-home-buyers/missouri/joplin</x:v>
      </x:c>
      <x:c r="AO736" s="3" t="str">
        <x:v>national_rest_directory_complete.jsonl</x:v>
      </x:c>
      <x:c r="AP736" s="19"/>
    </x:row>
    <x:row r="737" ht="36" customHeight="1">
      <x:c r="A737" s="23" t="n">
        <x:v>736</x:v>
      </x:c>
      <x:c r="B737" s="15" t="str">
        <x:v>Simple Cash Offers</x:v>
      </x:c>
      <x:c r="C737" s="15"/>
      <x:c r="D737" s="15" t="str">
        <x:v>Property investor / home-buying operator</x:v>
      </x:c>
      <x:c r="E737" s="15" t="str">
        <x:v>Property investor / operator inquiry</x:v>
      </x:c>
      <x:c r="F737" s="17" t="str">
        <x:v>New</x:v>
      </x:c>
      <x:c r="G737" s="24"/>
      <x:c r="H737" s="24" t="str">
        <x:v>+13173425228</x:v>
      </x:c>
      <x:c r="I737" s="24" t="str">
        <x:v>https://www.simplecashhomeoffers.com/?UTM_source=GBP_Listing&amp;UTM_medium=Organic</x:v>
      </x:c>
      <x:c r="J737" s="16" t="str">
        <x:v>IN</x:v>
      </x:c>
      <x:c r="K737" s="16" t="str">
        <x:v>Indianapolis</x:v>
      </x:c>
      <x:c r="L737" s="16" t="str">
        <x:v>Public property-business route; investor decision maker unconfirmed</x:v>
      </x:c>
      <x:c r="M737" s="16" t="str">
        <x:v>https://www.simplecashhomeoffers.com/?UTM_source=GBP_Listing&amp;UTM_medium=Organic</x:v>
      </x:c>
      <x:c r="N737" s="16" t="str">
        <x:v>$100K-$500K ticket not published / unconfirmed</x:v>
      </x:c>
      <x:c r="O737" s="20"/>
      <x:c r="P737" s="20"/>
      <x:c r="Q737" s="25" t="str">
        <x:v>No direct corporate-capital range established in checked source</x:v>
      </x:c>
      <x:c r="R737" s="25" t="str">
        <x:v>Property acquisition or investor activity makes this an operator-capital prospect for the signed trial. Confirm operating-company debt/equity appetite.</x:v>
      </x:c>
      <x:c r="S737" s="25"/>
      <x:c r="T737" s="25" t="str">
        <x:v>Ask the owner/investor whether they can allocate $100K-$500K to trial marketing and acquisitions, and confirm structure, timing and decision authority.</x:v>
      </x:c>
      <x:c r="U737" s="25" t="str">
        <x:v>https://www.cashhomebuyersdirectory.com/cash-home-buyers/indiana/indianapolis</x:v>
      </x:c>
      <x:c r="V737" s="26" t="d">
        <x:v>2026-10-02T00:00:00.000Z</x:v>
      </x:c>
      <x:c r="W737" s="26" t="d">
        <x:v>2026-10-02T00:00:00.000Z</x:v>
      </x:c>
      <x:c r="X737" s="25" t="str">
        <x:v>CashHomeBuyersDirectory third-party business listing; first-party business activity not checked in this batch</x:v>
      </x:c>
      <x:c r="Y737" s="25"/>
      <x:c r="Z737" s="25" t="str">
        <x:v>https://www.cashhomebuyersdirectory.com/cash-home-buyers/indiana/indianapolis</x:v>
      </x:c>
      <x:c r="AA737" s="25" t="str">
        <x:v>Public cash-home-buyer directory lists the business name, business phone/website where available and market. Operator role and corporate funding willingness require confirmation.</x:v>
      </x:c>
      <x:c r="AB737" s="3" t="str">
        <x:v>New public-source collection</x:v>
      </x:c>
      <x:c r="AC737" s="3" t="str">
        <x:v>unverified</x:v>
      </x:c>
      <x:c r="AD737" s="3" t="str">
        <x:v>Not contacted / unconfirmed</x:v>
      </x:c>
      <x:c r="AE737" s="3" t="str">
        <x:v>No</x:v>
      </x:c>
      <x:c r="AF737" s="3" t="str">
        <x:v>No</x:v>
      </x:c>
      <x:c r="AG737" s="3"/>
      <x:c r="AH737" s="3"/>
      <x:c r="AI737" s="18"/>
      <x:c r="AJ737" s="3" t="str">
        <x:v>CF2500-66B85B1B7A1D</x:v>
      </x:c>
      <x:c r="AK737" s="3" t="str">
        <x:v>real_estate_operator</x:v>
      </x:c>
      <x:c r="AL737" s="19" t="n">
        <x:v>100000</x:v>
      </x:c>
      <x:c r="AM737" s="19" t="n">
        <x:v>500000</x:v>
      </x:c>
      <x:c r="AN737" s="3" t="str">
        <x:v>https://www.cashhomebuyersdirectory.com/cash-home-buyers/indiana/indianapolis</x:v>
      </x:c>
      <x:c r="AO737" s="3" t="str">
        <x:v>national_rest_directory_complete.jsonl</x:v>
      </x:c>
      <x:c r="AP737" s="19"/>
    </x:row>
    <x:row r="738" ht="36" customHeight="1">
      <x:c r="A738" s="23" t="n">
        <x:v>737</x:v>
      </x:c>
      <x:c r="B738" s="15" t="str">
        <x:v>Simple Deal Home Buyers</x:v>
      </x:c>
      <x:c r="C738" s="15"/>
      <x:c r="D738" s="15" t="str">
        <x:v>Property investor / home-buying operator</x:v>
      </x:c>
      <x:c r="E738" s="15" t="str">
        <x:v>Property investor / operator inquiry</x:v>
      </x:c>
      <x:c r="F738" s="17" t="str">
        <x:v>New</x:v>
      </x:c>
      <x:c r="G738" s="24"/>
      <x:c r="H738" s="24" t="str">
        <x:v>+19319092102</x:v>
      </x:c>
      <x:c r="I738" s="24" t="str">
        <x:v>https://simpledealhomebuyers.com/</x:v>
      </x:c>
      <x:c r="J738" s="16" t="str">
        <x:v>TN</x:v>
      </x:c>
      <x:c r="K738" s="16"/>
      <x:c r="L738" s="16" t="str">
        <x:v>Public property-business route; investor decision maker unconfirmed</x:v>
      </x:c>
      <x:c r="M738" s="16" t="str">
        <x:v>https://simpledealhomebuyers.com/</x:v>
      </x:c>
      <x:c r="N738" s="16" t="str">
        <x:v>$100K-$500K ticket not published / unconfirmed</x:v>
      </x:c>
      <x:c r="O738" s="20"/>
      <x:c r="P738" s="20"/>
      <x:c r="Q738" s="25" t="str">
        <x:v>No direct corporate-capital range established in checked source</x:v>
      </x:c>
      <x:c r="R738" s="25" t="str">
        <x:v>Property acquisition or investor activity makes this an operator-capital prospect for the signed trial. Confirm operating-company debt/equity appetite.</x:v>
      </x:c>
      <x:c r="S738" s="25"/>
      <x:c r="T738" s="25" t="str">
        <x:v>Ask the owner/investor whether they can allocate $100K-$500K to trial marketing and acquisitions, and confirm structure, timing and decision authority.</x:v>
      </x:c>
      <x:c r="U738" s="25" t="str">
        <x:v>https://www.cashhomebuyersdirectory.com/cash-home-buyers/tennessee/knoxville</x:v>
      </x:c>
      <x:c r="V738" s="26" t="d">
        <x:v>2026-10-02T00:00:00.000Z</x:v>
      </x:c>
      <x:c r="W738" s="26" t="d">
        <x:v>2026-10-02T00:00:00.000Z</x:v>
      </x:c>
      <x:c r="X738" s="25" t="str">
        <x:v>CashHomeBuyersDirectory third-party business listing; first-party business activity not checked in this batch</x:v>
      </x:c>
      <x:c r="Y738" s="25"/>
      <x:c r="Z738" s="25" t="str">
        <x:v>https://www.cashhomebuyersdirectory.com/cash-home-buyers/tennessee/knoxville</x:v>
      </x:c>
      <x:c r="AA738" s="25" t="str">
        <x:v>Public cash-home-buyer directory lists the business name, business phone/website where available and market. Operator role and corporate funding willingness require confirmation.</x:v>
      </x:c>
      <x:c r="AB738" s="3" t="str">
        <x:v>New public-source collection</x:v>
      </x:c>
      <x:c r="AC738" s="3" t="str">
        <x:v>unverified</x:v>
      </x:c>
      <x:c r="AD738" s="3" t="str">
        <x:v>Not contacted / unconfirmed</x:v>
      </x:c>
      <x:c r="AE738" s="3" t="str">
        <x:v>No</x:v>
      </x:c>
      <x:c r="AF738" s="3" t="str">
        <x:v>No</x:v>
      </x:c>
      <x:c r="AG738" s="3"/>
      <x:c r="AH738" s="3"/>
      <x:c r="AI738" s="18"/>
      <x:c r="AJ738" s="3" t="str">
        <x:v>CF2500-D5468A2DCFCC</x:v>
      </x:c>
      <x:c r="AK738" s="3" t="str">
        <x:v>real_estate_operator</x:v>
      </x:c>
      <x:c r="AL738" s="19" t="n">
        <x:v>100000</x:v>
      </x:c>
      <x:c r="AM738" s="19" t="n">
        <x:v>500000</x:v>
      </x:c>
      <x:c r="AN738" s="3" t="str">
        <x:v>https://www.cashhomebuyersdirectory.com/cash-home-buyers/tennessee/knoxville</x:v>
      </x:c>
      <x:c r="AO738" s="3" t="str">
        <x:v>national_rest_directory_complete.jsonl</x:v>
      </x:c>
      <x:c r="AP738" s="19"/>
    </x:row>
    <x:row r="739" ht="36" customHeight="1">
      <x:c r="A739" s="23" t="n">
        <x:v>738</x:v>
      </x:c>
      <x:c r="B739" s="15" t="str">
        <x:v>Simple Solution Home Buyer</x:v>
      </x:c>
      <x:c r="C739" s="15"/>
      <x:c r="D739" s="15" t="str">
        <x:v>Property investor / home-buying operator</x:v>
      </x:c>
      <x:c r="E739" s="15" t="str">
        <x:v>Property investor / operator inquiry</x:v>
      </x:c>
      <x:c r="F739" s="17" t="str">
        <x:v>New</x:v>
      </x:c>
      <x:c r="G739" s="24"/>
      <x:c r="H739" s="24" t="str">
        <x:v>+13148200901</x:v>
      </x:c>
      <x:c r="I739" s="24" t="str">
        <x:v>https://www.simplesolutionhomebuyer.com/</x:v>
      </x:c>
      <x:c r="J739" s="16" t="str">
        <x:v>MO</x:v>
      </x:c>
      <x:c r="K739" s="16" t="str">
        <x:v>Lake St Louis</x:v>
      </x:c>
      <x:c r="L739" s="16" t="str">
        <x:v>Public property-business route; investor decision maker unconfirmed</x:v>
      </x:c>
      <x:c r="M739" s="16" t="str">
        <x:v>https://www.simplesolutionhomebuyer.com/</x:v>
      </x:c>
      <x:c r="N739" s="16" t="str">
        <x:v>$100K-$500K ticket not published / unconfirmed</x:v>
      </x:c>
      <x:c r="O739" s="20"/>
      <x:c r="P739" s="20"/>
      <x:c r="Q739" s="25" t="str">
        <x:v>No direct corporate-capital range established in checked source</x:v>
      </x:c>
      <x:c r="R739" s="25" t="str">
        <x:v>Property acquisition or investor activity makes this an operator-capital prospect for the signed trial. Confirm operating-company debt/equity appetite.</x:v>
      </x:c>
      <x:c r="S739" s="25"/>
      <x:c r="T739" s="25" t="str">
        <x:v>Ask the owner/investor whether they can allocate $100K-$500K to trial marketing and acquisitions, and confirm structure, timing and decision authority.</x:v>
      </x:c>
      <x:c r="U739" s="25" t="str">
        <x:v>https://www.cashhomebuyersdirectory.com/cash-home-buyers/missouri/lake-st-louis</x:v>
      </x:c>
      <x:c r="V739" s="26" t="d">
        <x:v>2026-10-02T00:00:00.000Z</x:v>
      </x:c>
      <x:c r="W739" s="26" t="d">
        <x:v>2026-10-02T00:00:00.000Z</x:v>
      </x:c>
      <x:c r="X739" s="25" t="str">
        <x:v>CashHomeBuyersDirectory third-party business listing; first-party business activity not checked in this batch</x:v>
      </x:c>
      <x:c r="Y739" s="25"/>
      <x:c r="Z739" s="25" t="str">
        <x:v>https://www.cashhomebuyersdirectory.com/cash-home-buyers/missouri/lake-st-louis</x:v>
      </x:c>
      <x:c r="AA739" s="25" t="str">
        <x:v>Public cash-home-buyer directory lists the business name, business phone/website where available and market. Operator role and corporate funding willingness require confirmation.</x:v>
      </x:c>
      <x:c r="AB739" s="3" t="str">
        <x:v>New public-source collection</x:v>
      </x:c>
      <x:c r="AC739" s="3" t="str">
        <x:v>unverified</x:v>
      </x:c>
      <x:c r="AD739" s="3" t="str">
        <x:v>Not contacted / unconfirmed</x:v>
      </x:c>
      <x:c r="AE739" s="3" t="str">
        <x:v>No</x:v>
      </x:c>
      <x:c r="AF739" s="3" t="str">
        <x:v>No</x:v>
      </x:c>
      <x:c r="AG739" s="3"/>
      <x:c r="AH739" s="3"/>
      <x:c r="AI739" s="18"/>
      <x:c r="AJ739" s="3" t="str">
        <x:v>CF2500-5EC7801272D9</x:v>
      </x:c>
      <x:c r="AK739" s="3" t="str">
        <x:v>real_estate_operator</x:v>
      </x:c>
      <x:c r="AL739" s="19" t="n">
        <x:v>100000</x:v>
      </x:c>
      <x:c r="AM739" s="19" t="n">
        <x:v>500000</x:v>
      </x:c>
      <x:c r="AN739" s="3" t="str">
        <x:v>https://www.cashhomebuyersdirectory.com/cash-home-buyers/missouri/lake-st-louis</x:v>
      </x:c>
      <x:c r="AO739" s="3" t="str">
        <x:v>national_rest_directory_complete.jsonl</x:v>
      </x:c>
      <x:c r="AP739" s="19"/>
    </x:row>
    <x:row r="740" ht="36" customHeight="1">
      <x:c r="A740" s="23" t="n">
        <x:v>739</x:v>
      </x:c>
      <x:c r="B740" s="15" t="str">
        <x:v>Simplifi Real Estate - We Buy Houses For Cash - Sell Your House Fast</x:v>
      </x:c>
      <x:c r="C740" s="15"/>
      <x:c r="D740" s="15" t="str">
        <x:v>Property investor / home-buying operator</x:v>
      </x:c>
      <x:c r="E740" s="15" t="str">
        <x:v>Property investor / operator inquiry</x:v>
      </x:c>
      <x:c r="F740" s="17" t="str">
        <x:v>New</x:v>
      </x:c>
      <x:c r="G740" s="24"/>
      <x:c r="H740" s="24" t="str">
        <x:v>+19319990021</x:v>
      </x:c>
      <x:c r="I740" s="24" t="str">
        <x:v>https://simplifirealestate.com/get-a-cash-offer-today/</x:v>
      </x:c>
      <x:c r="J740" s="16" t="str">
        <x:v>TN</x:v>
      </x:c>
      <x:c r="K740" s="16" t="str">
        <x:v>Clarksville</x:v>
      </x:c>
      <x:c r="L740" s="16" t="str">
        <x:v>Public property-business route; investor decision maker unconfirmed</x:v>
      </x:c>
      <x:c r="M740" s="16" t="str">
        <x:v>https://simplifirealestate.com/get-a-cash-offer-today/</x:v>
      </x:c>
      <x:c r="N740" s="16" t="str">
        <x:v>$100K-$500K ticket not published / unconfirmed</x:v>
      </x:c>
      <x:c r="O740" s="20"/>
      <x:c r="P740" s="20"/>
      <x:c r="Q740" s="25" t="str">
        <x:v>No direct corporate-capital range established in checked source</x:v>
      </x:c>
      <x:c r="R740" s="25" t="str">
        <x:v>Property acquisition or investor activity makes this an operator-capital prospect for the signed trial. Confirm operating-company debt/equity appetite.</x:v>
      </x:c>
      <x:c r="S740" s="25"/>
      <x:c r="T740" s="25" t="str">
        <x:v>Ask the owner/investor whether they can allocate $100K-$500K to trial marketing and acquisitions, and confirm structure, timing and decision authority.</x:v>
      </x:c>
      <x:c r="U740" s="25" t="str">
        <x:v>https://www.cashhomebuyersdirectory.com/cash-home-buyers/tennessee/clarksville</x:v>
      </x:c>
      <x:c r="V740" s="26" t="d">
        <x:v>2026-10-02T00:00:00.000Z</x:v>
      </x:c>
      <x:c r="W740" s="26" t="d">
        <x:v>2026-10-02T00:00:00.000Z</x:v>
      </x:c>
      <x:c r="X740" s="25" t="str">
        <x:v>CashHomeBuyersDirectory third-party business listing; first-party business activity not checked in this batch</x:v>
      </x:c>
      <x:c r="Y740" s="25"/>
      <x:c r="Z740" s="25" t="str">
        <x:v>https://www.cashhomebuyersdirectory.com/cash-home-buyers/tennessee/clarksville</x:v>
      </x:c>
      <x:c r="AA740" s="25" t="str">
        <x:v>Public cash-home-buyer directory lists the business name, business phone/website where available and market. Operator role and corporate funding willingness require confirmation.</x:v>
      </x:c>
      <x:c r="AB740" s="3" t="str">
        <x:v>New public-source collection</x:v>
      </x:c>
      <x:c r="AC740" s="3" t="str">
        <x:v>unverified</x:v>
      </x:c>
      <x:c r="AD740" s="3" t="str">
        <x:v>Not contacted / unconfirmed</x:v>
      </x:c>
      <x:c r="AE740" s="3" t="str">
        <x:v>No</x:v>
      </x:c>
      <x:c r="AF740" s="3" t="str">
        <x:v>No</x:v>
      </x:c>
      <x:c r="AG740" s="3"/>
      <x:c r="AH740" s="3"/>
      <x:c r="AI740" s="18"/>
      <x:c r="AJ740" s="3" t="str">
        <x:v>CF2500-91EE5C823179</x:v>
      </x:c>
      <x:c r="AK740" s="3" t="str">
        <x:v>real_estate_operator</x:v>
      </x:c>
      <x:c r="AL740" s="19" t="n">
        <x:v>100000</x:v>
      </x:c>
      <x:c r="AM740" s="19" t="n">
        <x:v>500000</x:v>
      </x:c>
      <x:c r="AN740" s="3" t="str">
        <x:v>https://www.cashhomebuyersdirectory.com/cash-home-buyers/tennessee/clarksville</x:v>
      </x:c>
      <x:c r="AO740" s="3" t="str">
        <x:v>national_rest_directory_complete.jsonl</x:v>
      </x:c>
      <x:c r="AP740" s="19"/>
    </x:row>
    <x:row r="741" ht="36" customHeight="1">
      <x:c r="A741" s="23" t="n">
        <x:v>740</x:v>
      </x:c>
      <x:c r="B741" s="15" t="str">
        <x:v>South House Buyers</x:v>
      </x:c>
      <x:c r="C741" s="15"/>
      <x:c r="D741" s="15" t="str">
        <x:v>Property investor / home-buying operator</x:v>
      </x:c>
      <x:c r="E741" s="15" t="str">
        <x:v>Property investor / operator inquiry</x:v>
      </x:c>
      <x:c r="F741" s="17" t="str">
        <x:v>New</x:v>
      </x:c>
      <x:c r="G741" s="24"/>
      <x:c r="H741" s="24" t="str">
        <x:v>+12566921014</x:v>
      </x:c>
      <x:c r="I741" s="24" t="str">
        <x:v>https://southhousebuyers.com/</x:v>
      </x:c>
      <x:c r="J741" s="16" t="str">
        <x:v>AL</x:v>
      </x:c>
      <x:c r="K741" s="16" t="str">
        <x:v>Huntsville</x:v>
      </x:c>
      <x:c r="L741" s="16" t="str">
        <x:v>Public property-business route; investor decision maker unconfirmed</x:v>
      </x:c>
      <x:c r="M741" s="16" t="str">
        <x:v>https://southhousebuyers.com/</x:v>
      </x:c>
      <x:c r="N741" s="16" t="str">
        <x:v>$100K-$500K ticket not published / unconfirmed</x:v>
      </x:c>
      <x:c r="O741" s="20"/>
      <x:c r="P741" s="20"/>
      <x:c r="Q741" s="25" t="str">
        <x:v>No direct corporate-capital range established in checked source</x:v>
      </x:c>
      <x:c r="R741" s="25" t="str">
        <x:v>Property acquisition or investor activity makes this an operator-capital prospect for the signed trial. Confirm operating-company debt/equity appetite.</x:v>
      </x:c>
      <x:c r="S741" s="25"/>
      <x:c r="T741" s="25" t="str">
        <x:v>Ask the owner/investor whether they can allocate $100K-$500K to trial marketing and acquisitions, and confirm structure, timing and decision authority.</x:v>
      </x:c>
      <x:c r="U741" s="25" t="str">
        <x:v>https://www.cashhomebuyersdirectory.com/cash-home-buyers/alabama/huntsville</x:v>
      </x:c>
      <x:c r="V741" s="26" t="d">
        <x:v>2026-10-02T00:00:00.000Z</x:v>
      </x:c>
      <x:c r="W741" s="26" t="d">
        <x:v>2026-10-02T00:00:00.000Z</x:v>
      </x:c>
      <x:c r="X741" s="25" t="str">
        <x:v>CashHomeBuyersDirectory third-party business listing; first-party business activity not checked in this batch</x:v>
      </x:c>
      <x:c r="Y741" s="25"/>
      <x:c r="Z741" s="25" t="str">
        <x:v>https://www.cashhomebuyersdirectory.com/cash-home-buyers/alabama/huntsville</x:v>
      </x:c>
      <x:c r="AA741" s="25" t="str">
        <x:v>Public cash-home-buyer directory lists the business name, business phone/website where available and market. Operator role and corporate funding willingness require confirmation.</x:v>
      </x:c>
      <x:c r="AB741" s="3" t="str">
        <x:v>New public-source collection</x:v>
      </x:c>
      <x:c r="AC741" s="3" t="str">
        <x:v>unverified</x:v>
      </x:c>
      <x:c r="AD741" s="3" t="str">
        <x:v>Not contacted / unconfirmed</x:v>
      </x:c>
      <x:c r="AE741" s="3" t="str">
        <x:v>No</x:v>
      </x:c>
      <x:c r="AF741" s="3" t="str">
        <x:v>No</x:v>
      </x:c>
      <x:c r="AG741" s="3"/>
      <x:c r="AH741" s="3"/>
      <x:c r="AI741" s="18"/>
      <x:c r="AJ741" s="3" t="str">
        <x:v>CF2500-1B55ED8B5A95</x:v>
      </x:c>
      <x:c r="AK741" s="3" t="str">
        <x:v>real_estate_operator</x:v>
      </x:c>
      <x:c r="AL741" s="19" t="n">
        <x:v>100000</x:v>
      </x:c>
      <x:c r="AM741" s="19" t="n">
        <x:v>500000</x:v>
      </x:c>
      <x:c r="AN741" s="3" t="str">
        <x:v>https://www.cashhomebuyersdirectory.com/cash-home-buyers/alabama/huntsville</x:v>
      </x:c>
      <x:c r="AO741" s="3" t="str">
        <x:v>national_rest_directory_complete.jsonl</x:v>
      </x:c>
      <x:c r="AP741" s="19"/>
    </x:row>
    <x:row r="742" ht="36" customHeight="1">
      <x:c r="A742" s="23" t="n">
        <x:v>741</x:v>
      </x:c>
      <x:c r="B742" s="15" t="str">
        <x:v>Southern Sky Home Buyers</x:v>
      </x:c>
      <x:c r="C742" s="15"/>
      <x:c r="D742" s="15" t="str">
        <x:v>Property investor / home-buying operator</x:v>
      </x:c>
      <x:c r="E742" s="15" t="str">
        <x:v>Property investor / operator inquiry</x:v>
      </x:c>
      <x:c r="F742" s="17" t="str">
        <x:v>New</x:v>
      </x:c>
      <x:c r="G742" s="24"/>
      <x:c r="H742" s="24" t="str">
        <x:v>+18652490226</x:v>
      </x:c>
      <x:c r="I742" s="24" t="str">
        <x:v>https://www.southernskyhomebuyers.com/</x:v>
      </x:c>
      <x:c r="J742" s="16" t="str">
        <x:v>TN</x:v>
      </x:c>
      <x:c r="K742" s="16" t="str">
        <x:v>Knoxville</x:v>
      </x:c>
      <x:c r="L742" s="16" t="str">
        <x:v>Public property-business route; investor decision maker unconfirmed</x:v>
      </x:c>
      <x:c r="M742" s="16" t="str">
        <x:v>https://www.southernskyhomebuyers.com/</x:v>
      </x:c>
      <x:c r="N742" s="16" t="str">
        <x:v>$100K-$500K ticket not published / unconfirmed</x:v>
      </x:c>
      <x:c r="O742" s="20"/>
      <x:c r="P742" s="20"/>
      <x:c r="Q742" s="25" t="str">
        <x:v>No direct corporate-capital range established in checked source</x:v>
      </x:c>
      <x:c r="R742" s="25" t="str">
        <x:v>Property acquisition or investor activity makes this an operator-capital prospect for the signed trial. Confirm operating-company debt/equity appetite.</x:v>
      </x:c>
      <x:c r="S742" s="25"/>
      <x:c r="T742" s="25" t="str">
        <x:v>Ask the owner/investor whether they can allocate $100K-$500K to trial marketing and acquisitions, and confirm structure, timing and decision authority.</x:v>
      </x:c>
      <x:c r="U742" s="25" t="str">
        <x:v>https://www.cashhomebuyersdirectory.com/cash-home-buyers/tennessee/knoxville</x:v>
      </x:c>
      <x:c r="V742" s="26" t="d">
        <x:v>2026-10-02T00:00:00.000Z</x:v>
      </x:c>
      <x:c r="W742" s="26" t="d">
        <x:v>2026-10-02T00:00:00.000Z</x:v>
      </x:c>
      <x:c r="X742" s="25" t="str">
        <x:v>CashHomeBuyersDirectory third-party business listing; first-party business activity not checked in this batch</x:v>
      </x:c>
      <x:c r="Y742" s="25"/>
      <x:c r="Z742" s="25" t="str">
        <x:v>https://www.cashhomebuyersdirectory.com/cash-home-buyers/tennessee/knoxville</x:v>
      </x:c>
      <x:c r="AA742" s="25" t="str">
        <x:v>Public cash-home-buyer directory lists the business name, business phone/website where available and market. Operator role and corporate funding willingness require confirmation.</x:v>
      </x:c>
      <x:c r="AB742" s="3" t="str">
        <x:v>New public-source collection</x:v>
      </x:c>
      <x:c r="AC742" s="3" t="str">
        <x:v>unverified</x:v>
      </x:c>
      <x:c r="AD742" s="3" t="str">
        <x:v>Not contacted / unconfirmed</x:v>
      </x:c>
      <x:c r="AE742" s="3" t="str">
        <x:v>No</x:v>
      </x:c>
      <x:c r="AF742" s="3" t="str">
        <x:v>No</x:v>
      </x:c>
      <x:c r="AG742" s="3"/>
      <x:c r="AH742" s="3"/>
      <x:c r="AI742" s="18"/>
      <x:c r="AJ742" s="3" t="str">
        <x:v>CF2500-44AD7C3D62DD</x:v>
      </x:c>
      <x:c r="AK742" s="3" t="str">
        <x:v>real_estate_operator</x:v>
      </x:c>
      <x:c r="AL742" s="19" t="n">
        <x:v>100000</x:v>
      </x:c>
      <x:c r="AM742" s="19" t="n">
        <x:v>500000</x:v>
      </x:c>
      <x:c r="AN742" s="3" t="str">
        <x:v>https://www.cashhomebuyersdirectory.com/cash-home-buyers/tennessee/knoxville</x:v>
      </x:c>
      <x:c r="AO742" s="3" t="str">
        <x:v>national_rest_directory_complete.jsonl</x:v>
      </x:c>
      <x:c r="AP742" s="19"/>
    </x:row>
    <x:row r="743" ht="36" customHeight="1">
      <x:c r="A743" s="23" t="n">
        <x:v>742</x:v>
      </x:c>
      <x:c r="B743" s="15" t="str">
        <x:v>Southwood Home Buyers</x:v>
      </x:c>
      <x:c r="C743" s="15"/>
      <x:c r="D743" s="15" t="str">
        <x:v>Property investor / home-buying operator</x:v>
      </x:c>
      <x:c r="E743" s="15" t="str">
        <x:v>Property investor / operator inquiry</x:v>
      </x:c>
      <x:c r="F743" s="17" t="str">
        <x:v>New</x:v>
      </x:c>
      <x:c r="G743" s="24"/>
      <x:c r="H743" s="24" t="str">
        <x:v>+12568082477</x:v>
      </x:c>
      <x:c r="I743" s="24" t="str">
        <x:v>https://www.southwoodhomebuyers.com/</x:v>
      </x:c>
      <x:c r="J743" s="16" t="str">
        <x:v>AL</x:v>
      </x:c>
      <x:c r="K743" s="16"/>
      <x:c r="L743" s="16" t="str">
        <x:v>Public property-business route; investor decision maker unconfirmed</x:v>
      </x:c>
      <x:c r="M743" s="16" t="str">
        <x:v>https://www.southwoodhomebuyers.com/</x:v>
      </x:c>
      <x:c r="N743" s="16" t="str">
        <x:v>$100K-$500K ticket not published / unconfirmed</x:v>
      </x:c>
      <x:c r="O743" s="20"/>
      <x:c r="P743" s="20"/>
      <x:c r="Q743" s="25" t="str">
        <x:v>No direct corporate-capital range established in checked source</x:v>
      </x:c>
      <x:c r="R743" s="25" t="str">
        <x:v>Property acquisition or investor activity makes this an operator-capital prospect for the signed trial. Confirm operating-company debt/equity appetite.</x:v>
      </x:c>
      <x:c r="S743" s="25"/>
      <x:c r="T743" s="25" t="str">
        <x:v>Ask the owner/investor whether they can allocate $100K-$500K to trial marketing and acquisitions, and confirm structure, timing and decision authority.</x:v>
      </x:c>
      <x:c r="U743" s="25" t="str">
        <x:v>https://www.cashhomebuyersdirectory.com/cash-home-buyers/alabama/huntsville</x:v>
      </x:c>
      <x:c r="V743" s="26" t="d">
        <x:v>2026-10-02T00:00:00.000Z</x:v>
      </x:c>
      <x:c r="W743" s="26" t="d">
        <x:v>2026-10-02T00:00:00.000Z</x:v>
      </x:c>
      <x:c r="X743" s="25" t="str">
        <x:v>CashHomeBuyersDirectory third-party business listing; first-party business activity not checked in this batch</x:v>
      </x:c>
      <x:c r="Y743" s="25"/>
      <x:c r="Z743" s="25" t="str">
        <x:v>https://www.cashhomebuyersdirectory.com/cash-home-buyers/alabama/huntsville</x:v>
      </x:c>
      <x:c r="AA743" s="25" t="str">
        <x:v>Public cash-home-buyer directory lists the business name, business phone/website where available and market. Operator role and corporate funding willingness require confirmation.</x:v>
      </x:c>
      <x:c r="AB743" s="3" t="str">
        <x:v>New public-source collection</x:v>
      </x:c>
      <x:c r="AC743" s="3" t="str">
        <x:v>unverified</x:v>
      </x:c>
      <x:c r="AD743" s="3" t="str">
        <x:v>Not contacted / unconfirmed</x:v>
      </x:c>
      <x:c r="AE743" s="3" t="str">
        <x:v>No</x:v>
      </x:c>
      <x:c r="AF743" s="3" t="str">
        <x:v>No</x:v>
      </x:c>
      <x:c r="AG743" s="3"/>
      <x:c r="AH743" s="3"/>
      <x:c r="AI743" s="18"/>
      <x:c r="AJ743" s="3" t="str">
        <x:v>CF2500-82090C1D9432</x:v>
      </x:c>
      <x:c r="AK743" s="3" t="str">
        <x:v>real_estate_operator</x:v>
      </x:c>
      <x:c r="AL743" s="19" t="n">
        <x:v>100000</x:v>
      </x:c>
      <x:c r="AM743" s="19" t="n">
        <x:v>500000</x:v>
      </x:c>
      <x:c r="AN743" s="3" t="str">
        <x:v>https://www.cashhomebuyersdirectory.com/cash-home-buyers/alabama/huntsville</x:v>
      </x:c>
      <x:c r="AO743" s="3" t="str">
        <x:v>national_rest_directory_complete.jsonl</x:v>
      </x:c>
      <x:c r="AP743" s="19"/>
    </x:row>
    <x:row r="744" ht="36" customHeight="1">
      <x:c r="A744" s="23" t="n">
        <x:v>743</x:v>
      </x:c>
      <x:c r="B744" s="15" t="str">
        <x:v>Spanish Moss Home Buyers</x:v>
      </x:c>
      <x:c r="C744" s="15"/>
      <x:c r="D744" s="15" t="str">
        <x:v>Property investor / home-buying operator</x:v>
      </x:c>
      <x:c r="E744" s="15" t="str">
        <x:v>Property investor / operator inquiry</x:v>
      </x:c>
      <x:c r="F744" s="17" t="str">
        <x:v>New</x:v>
      </x:c>
      <x:c r="G744" s="24"/>
      <x:c r="H744" s="24" t="str">
        <x:v>+19123725907</x:v>
      </x:c>
      <x:c r="I744" s="24" t="str">
        <x:v>https://www.spanishmosshomebuyers.com/</x:v>
      </x:c>
      <x:c r="J744" s="16" t="str">
        <x:v>GA</x:v>
      </x:c>
      <x:c r="K744" s="16" t="str">
        <x:v>Savannah</x:v>
      </x:c>
      <x:c r="L744" s="16" t="str">
        <x:v>Public property-business route; investor decision maker unconfirmed</x:v>
      </x:c>
      <x:c r="M744" s="16" t="str">
        <x:v>https://www.spanishmosshomebuyers.com/</x:v>
      </x:c>
      <x:c r="N744" s="16" t="str">
        <x:v>$100K-$500K ticket not published / unconfirmed</x:v>
      </x:c>
      <x:c r="O744" s="20"/>
      <x:c r="P744" s="20"/>
      <x:c r="Q744" s="25" t="str">
        <x:v>No direct corporate-capital range established in checked source</x:v>
      </x:c>
      <x:c r="R744" s="25" t="str">
        <x:v>Property acquisition or investor activity makes this an operator-capital prospect for the signed trial. Confirm operating-company debt/equity appetite.</x:v>
      </x:c>
      <x:c r="S744" s="25"/>
      <x:c r="T744" s="25" t="str">
        <x:v>Ask the owner/investor whether they can allocate $100K-$500K to trial marketing and acquisitions, and confirm structure, timing and decision authority.</x:v>
      </x:c>
      <x:c r="U744" s="25" t="str">
        <x:v>https://www.cashhomebuyersdirectory.com/cash-home-buyers/georgia/savannah</x:v>
      </x:c>
      <x:c r="V744" s="26" t="d">
        <x:v>2026-10-02T00:00:00.000Z</x:v>
      </x:c>
      <x:c r="W744" s="26" t="d">
        <x:v>2026-10-02T00:00:00.000Z</x:v>
      </x:c>
      <x:c r="X744" s="25" t="str">
        <x:v>CashHomeBuyersDirectory third-party business listing; first-party business activity not checked in this batch</x:v>
      </x:c>
      <x:c r="Y744" s="25"/>
      <x:c r="Z744" s="25" t="str">
        <x:v>https://www.cashhomebuyersdirectory.com/cash-home-buyers/georgia/savannah</x:v>
      </x:c>
      <x:c r="AA744" s="25" t="str">
        <x:v>Public cash-home-buyer directory lists the business name, business phone/website where available and market. Operator role and corporate funding willingness require confirmation.</x:v>
      </x:c>
      <x:c r="AB744" s="3" t="str">
        <x:v>New public-source collection</x:v>
      </x:c>
      <x:c r="AC744" s="3" t="str">
        <x:v>unverified</x:v>
      </x:c>
      <x:c r="AD744" s="3" t="str">
        <x:v>Not contacted / unconfirmed</x:v>
      </x:c>
      <x:c r="AE744" s="3" t="str">
        <x:v>No</x:v>
      </x:c>
      <x:c r="AF744" s="3" t="str">
        <x:v>No</x:v>
      </x:c>
      <x:c r="AG744" s="3"/>
      <x:c r="AH744" s="3"/>
      <x:c r="AI744" s="18"/>
      <x:c r="AJ744" s="3" t="str">
        <x:v>CF2500-51996E229A58</x:v>
      </x:c>
      <x:c r="AK744" s="3" t="str">
        <x:v>real_estate_operator</x:v>
      </x:c>
      <x:c r="AL744" s="19" t="n">
        <x:v>100000</x:v>
      </x:c>
      <x:c r="AM744" s="19" t="n">
        <x:v>500000</x:v>
      </x:c>
      <x:c r="AN744" s="3" t="str">
        <x:v>https://www.cashhomebuyersdirectory.com/cash-home-buyers/georgia/savannah</x:v>
      </x:c>
      <x:c r="AO744" s="3" t="str">
        <x:v>national_rest_directory_complete.jsonl</x:v>
      </x:c>
      <x:c r="AP744" s="19"/>
    </x:row>
    <x:row r="745" ht="36" customHeight="1">
      <x:c r="A745" s="23" t="n">
        <x:v>744</x:v>
      </x:c>
      <x:c r="B745" s="15" t="str">
        <x:v>Speedy Turtle Home Buyers, LLC</x:v>
      </x:c>
      <x:c r="C745" s="15"/>
      <x:c r="D745" s="15" t="str">
        <x:v>Property investor / home-buying operator</x:v>
      </x:c>
      <x:c r="E745" s="15" t="str">
        <x:v>Property investor / operator inquiry</x:v>
      </x:c>
      <x:c r="F745" s="17" t="str">
        <x:v>New</x:v>
      </x:c>
      <x:c r="G745" s="24"/>
      <x:c r="H745" s="24" t="str">
        <x:v>+18653655307</x:v>
      </x:c>
      <x:c r="I745" s="24" t="str">
        <x:v>https://www.speedyturtlehb.com/</x:v>
      </x:c>
      <x:c r="J745" s="16" t="str">
        <x:v>TN</x:v>
      </x:c>
      <x:c r="K745" s="16"/>
      <x:c r="L745" s="16" t="str">
        <x:v>Public property-business route; investor decision maker unconfirmed</x:v>
      </x:c>
      <x:c r="M745" s="16" t="str">
        <x:v>https://www.speedyturtlehb.com/</x:v>
      </x:c>
      <x:c r="N745" s="16" t="str">
        <x:v>$100K-$500K ticket not published / unconfirmed</x:v>
      </x:c>
      <x:c r="O745" s="20"/>
      <x:c r="P745" s="20"/>
      <x:c r="Q745" s="25" t="str">
        <x:v>No direct corporate-capital range established in checked source</x:v>
      </x:c>
      <x:c r="R745" s="25" t="str">
        <x:v>Property acquisition or investor activity makes this an operator-capital prospect for the signed trial. Confirm operating-company debt/equity appetite.</x:v>
      </x:c>
      <x:c r="S745" s="25"/>
      <x:c r="T745" s="25" t="str">
        <x:v>Ask the owner/investor whether they can allocate $100K-$500K to trial marketing and acquisitions, and confirm structure, timing and decision authority.</x:v>
      </x:c>
      <x:c r="U745" s="25" t="str">
        <x:v>https://www.cashhomebuyersdirectory.com/cash-home-buyers/tennessee/knoxville</x:v>
      </x:c>
      <x:c r="V745" s="26" t="d">
        <x:v>2026-10-02T00:00:00.000Z</x:v>
      </x:c>
      <x:c r="W745" s="26" t="d">
        <x:v>2026-10-02T00:00:00.000Z</x:v>
      </x:c>
      <x:c r="X745" s="25" t="str">
        <x:v>CashHomeBuyersDirectory third-party business listing; first-party business activity not checked in this batch</x:v>
      </x:c>
      <x:c r="Y745" s="25"/>
      <x:c r="Z745" s="25" t="str">
        <x:v>https://www.cashhomebuyersdirectory.com/cash-home-buyers/tennessee/knoxville</x:v>
      </x:c>
      <x:c r="AA745" s="25" t="str">
        <x:v>Public cash-home-buyer directory lists the business name, business phone/website where available and market. Operator role and corporate funding willingness require confirmation.</x:v>
      </x:c>
      <x:c r="AB745" s="3" t="str">
        <x:v>New public-source collection</x:v>
      </x:c>
      <x:c r="AC745" s="3" t="str">
        <x:v>unverified</x:v>
      </x:c>
      <x:c r="AD745" s="3" t="str">
        <x:v>Not contacted / unconfirmed</x:v>
      </x:c>
      <x:c r="AE745" s="3" t="str">
        <x:v>No</x:v>
      </x:c>
      <x:c r="AF745" s="3" t="str">
        <x:v>No</x:v>
      </x:c>
      <x:c r="AG745" s="3"/>
      <x:c r="AH745" s="3"/>
      <x:c r="AI745" s="18"/>
      <x:c r="AJ745" s="3" t="str">
        <x:v>CF2500-BAC2FF3AE4A8</x:v>
      </x:c>
      <x:c r="AK745" s="3" t="str">
        <x:v>real_estate_operator</x:v>
      </x:c>
      <x:c r="AL745" s="19" t="n">
        <x:v>100000</x:v>
      </x:c>
      <x:c r="AM745" s="19" t="n">
        <x:v>500000</x:v>
      </x:c>
      <x:c r="AN745" s="3" t="str">
        <x:v>https://www.cashhomebuyersdirectory.com/cash-home-buyers/tennessee/knoxville</x:v>
      </x:c>
      <x:c r="AO745" s="3" t="str">
        <x:v>national_rest_directory_complete.jsonl</x:v>
      </x:c>
      <x:c r="AP745" s="19"/>
    </x:row>
    <x:row r="746" ht="36" customHeight="1">
      <x:c r="A746" s="23" t="n">
        <x:v>745</x:v>
      </x:c>
      <x:c r="B746" s="15" t="str">
        <x:v>Springfield Home Buyers</x:v>
      </x:c>
      <x:c r="C746" s="15"/>
      <x:c r="D746" s="15" t="str">
        <x:v>Property investor / home-buying operator</x:v>
      </x:c>
      <x:c r="E746" s="15" t="str">
        <x:v>Property investor / operator inquiry</x:v>
      </x:c>
      <x:c r="F746" s="17" t="str">
        <x:v>New</x:v>
      </x:c>
      <x:c r="G746" s="24"/>
      <x:c r="H746" s="24" t="str">
        <x:v>+14177191444</x:v>
      </x:c>
      <x:c r="I746" s="24" t="str">
        <x:v>https://springfieldhomebuyers.com/</x:v>
      </x:c>
      <x:c r="J746" s="16" t="str">
        <x:v>MO</x:v>
      </x:c>
      <x:c r="K746" s="16" t="str">
        <x:v>Springfield</x:v>
      </x:c>
      <x:c r="L746" s="16" t="str">
        <x:v>Public property-business route; investor decision maker unconfirmed</x:v>
      </x:c>
      <x:c r="M746" s="16" t="str">
        <x:v>https://springfieldhomebuyers.com/</x:v>
      </x:c>
      <x:c r="N746" s="16" t="str">
        <x:v>$100K-$500K ticket not published / unconfirmed</x:v>
      </x:c>
      <x:c r="O746" s="20"/>
      <x:c r="P746" s="20"/>
      <x:c r="Q746" s="25" t="str">
        <x:v>No direct corporate-capital range established in checked source</x:v>
      </x:c>
      <x:c r="R746" s="25" t="str">
        <x:v>Property acquisition or investor activity makes this an operator-capital prospect for the signed trial. Confirm operating-company debt/equity appetite.</x:v>
      </x:c>
      <x:c r="S746" s="25"/>
      <x:c r="T746" s="25" t="str">
        <x:v>Ask the owner/investor whether they can allocate $100K-$500K to trial marketing and acquisitions, and confirm structure, timing and decision authority.</x:v>
      </x:c>
      <x:c r="U746" s="25" t="str">
        <x:v>https://www.cashhomebuyersdirectory.com/cash-home-buyers/missouri/springfield</x:v>
      </x:c>
      <x:c r="V746" s="26" t="d">
        <x:v>2026-10-02T00:00:00.000Z</x:v>
      </x:c>
      <x:c r="W746" s="26" t="d">
        <x:v>2026-10-02T00:00:00.000Z</x:v>
      </x:c>
      <x:c r="X746" s="25" t="str">
        <x:v>CashHomeBuyersDirectory third-party business listing; first-party business activity not checked in this batch</x:v>
      </x:c>
      <x:c r="Y746" s="25"/>
      <x:c r="Z746" s="25" t="str">
        <x:v>https://www.cashhomebuyersdirectory.com/cash-home-buyers/missouri/springfield</x:v>
      </x:c>
      <x:c r="AA746" s="25" t="str">
        <x:v>Public cash-home-buyer directory lists the business name, business phone/website where available and market. Operator role and corporate funding willingness require confirmation.</x:v>
      </x:c>
      <x:c r="AB746" s="3" t="str">
        <x:v>New public-source collection</x:v>
      </x:c>
      <x:c r="AC746" s="3" t="str">
        <x:v>unverified</x:v>
      </x:c>
      <x:c r="AD746" s="3" t="str">
        <x:v>Not contacted / unconfirmed</x:v>
      </x:c>
      <x:c r="AE746" s="3" t="str">
        <x:v>No</x:v>
      </x:c>
      <x:c r="AF746" s="3" t="str">
        <x:v>No</x:v>
      </x:c>
      <x:c r="AG746" s="3"/>
      <x:c r="AH746" s="3"/>
      <x:c r="AI746" s="18"/>
      <x:c r="AJ746" s="3" t="str">
        <x:v>CF2500-C1A26B246514</x:v>
      </x:c>
      <x:c r="AK746" s="3" t="str">
        <x:v>real_estate_operator</x:v>
      </x:c>
      <x:c r="AL746" s="19" t="n">
        <x:v>100000</x:v>
      </x:c>
      <x:c r="AM746" s="19" t="n">
        <x:v>500000</x:v>
      </x:c>
      <x:c r="AN746" s="3" t="str">
        <x:v>https://www.cashhomebuyersdirectory.com/cash-home-buyers/missouri/springfield</x:v>
      </x:c>
      <x:c r="AO746" s="3" t="str">
        <x:v>national_rest_directory_complete.jsonl</x:v>
      </x:c>
      <x:c r="AP746" s="19"/>
    </x:row>
    <x:row r="747" ht="36" customHeight="1">
      <x:c r="A747" s="23" t="n">
        <x:v>746</x:v>
      </x:c>
      <x:c r="B747" s="15" t="str">
        <x:v>St Charles County House Buyers</x:v>
      </x:c>
      <x:c r="C747" s="15"/>
      <x:c r="D747" s="15" t="str">
        <x:v>Property investor / home-buying operator</x:v>
      </x:c>
      <x:c r="E747" s="15" t="str">
        <x:v>Property investor / operator inquiry</x:v>
      </x:c>
      <x:c r="F747" s="17" t="str">
        <x:v>New</x:v>
      </x:c>
      <x:c r="G747" s="24"/>
      <x:c r="H747" s="24" t="str">
        <x:v>+16363394600</x:v>
      </x:c>
      <x:c r="I747" s="24" t="str">
        <x:v>https://www.stcharlescountyhousebuyers.com/</x:v>
      </x:c>
      <x:c r="J747" s="16" t="str">
        <x:v>MO</x:v>
      </x:c>
      <x:c r="K747" s="16" t="str">
        <x:v>St Charles</x:v>
      </x:c>
      <x:c r="L747" s="16" t="str">
        <x:v>Public property-business route; investor decision maker unconfirmed</x:v>
      </x:c>
      <x:c r="M747" s="16" t="str">
        <x:v>https://www.stcharlescountyhousebuyers.com/</x:v>
      </x:c>
      <x:c r="N747" s="16" t="str">
        <x:v>$100K-$500K ticket not published / unconfirmed</x:v>
      </x:c>
      <x:c r="O747" s="20"/>
      <x:c r="P747" s="20"/>
      <x:c r="Q747" s="25" t="str">
        <x:v>No direct corporate-capital range established in checked source</x:v>
      </x:c>
      <x:c r="R747" s="25" t="str">
        <x:v>Property acquisition or investor activity makes this an operator-capital prospect for the signed trial. Confirm operating-company debt/equity appetite.</x:v>
      </x:c>
      <x:c r="S747" s="25"/>
      <x:c r="T747" s="25" t="str">
        <x:v>Ask the owner/investor whether they can allocate $100K-$500K to trial marketing and acquisitions, and confirm structure, timing and decision authority.</x:v>
      </x:c>
      <x:c r="U747" s="25" t="str">
        <x:v>https://www.cashhomebuyersdirectory.com/cash-home-buyers/missouri/st-charles</x:v>
      </x:c>
      <x:c r="V747" s="26" t="d">
        <x:v>2026-10-02T00:00:00.000Z</x:v>
      </x:c>
      <x:c r="W747" s="26" t="d">
        <x:v>2026-10-02T00:00:00.000Z</x:v>
      </x:c>
      <x:c r="X747" s="25" t="str">
        <x:v>CashHomeBuyersDirectory third-party business listing; first-party business activity not checked in this batch</x:v>
      </x:c>
      <x:c r="Y747" s="25"/>
      <x:c r="Z747" s="25" t="str">
        <x:v>https://www.cashhomebuyersdirectory.com/cash-home-buyers/missouri/st-charles</x:v>
      </x:c>
      <x:c r="AA747" s="25" t="str">
        <x:v>Public cash-home-buyer directory lists the business name, business phone/website where available and market. Operator role and corporate funding willingness require confirmation.</x:v>
      </x:c>
      <x:c r="AB747" s="3" t="str">
        <x:v>New public-source collection</x:v>
      </x:c>
      <x:c r="AC747" s="3" t="str">
        <x:v>unverified</x:v>
      </x:c>
      <x:c r="AD747" s="3" t="str">
        <x:v>Not contacted / unconfirmed</x:v>
      </x:c>
      <x:c r="AE747" s="3" t="str">
        <x:v>No</x:v>
      </x:c>
      <x:c r="AF747" s="3" t="str">
        <x:v>No</x:v>
      </x:c>
      <x:c r="AG747" s="3"/>
      <x:c r="AH747" s="3"/>
      <x:c r="AI747" s="18"/>
      <x:c r="AJ747" s="3" t="str">
        <x:v>CF2500-94CF2FD2DFC6</x:v>
      </x:c>
      <x:c r="AK747" s="3" t="str">
        <x:v>real_estate_operator</x:v>
      </x:c>
      <x:c r="AL747" s="19" t="n">
        <x:v>100000</x:v>
      </x:c>
      <x:c r="AM747" s="19" t="n">
        <x:v>500000</x:v>
      </x:c>
      <x:c r="AN747" s="3" t="str">
        <x:v>https://www.cashhomebuyersdirectory.com/cash-home-buyers/missouri/st-charles</x:v>
      </x:c>
      <x:c r="AO747" s="3" t="str">
        <x:v>national_rest_directory_complete.jsonl</x:v>
      </x:c>
      <x:c r="AP747" s="19"/>
    </x:row>
    <x:row r="748" ht="36" customHeight="1">
      <x:c r="A748" s="23" t="n">
        <x:v>747</x:v>
      </x:c>
      <x:c r="B748" s="15" t="str">
        <x:v>St Louis Homebuyers, LLC</x:v>
      </x:c>
      <x:c r="C748" s="15"/>
      <x:c r="D748" s="15" t="str">
        <x:v>Property investor / home-buying operator</x:v>
      </x:c>
      <x:c r="E748" s="15" t="str">
        <x:v>Property investor / operator inquiry</x:v>
      </x:c>
      <x:c r="F748" s="17" t="str">
        <x:v>New</x:v>
      </x:c>
      <x:c r="G748" s="24"/>
      <x:c r="H748" s="24" t="str">
        <x:v>+13147836842</x:v>
      </x:c>
      <x:c r="I748" s="24" t="str">
        <x:v>http://www.stlouishomebuyersllc.com/</x:v>
      </x:c>
      <x:c r="J748" s="16" t="str">
        <x:v>MO</x:v>
      </x:c>
      <x:c r="K748" s="16" t="str">
        <x:v>Clayton</x:v>
      </x:c>
      <x:c r="L748" s="16" t="str">
        <x:v>Public property-business route; investor decision maker unconfirmed</x:v>
      </x:c>
      <x:c r="M748" s="16" t="str">
        <x:v>http://www.stlouishomebuyersllc.com/</x:v>
      </x:c>
      <x:c r="N748" s="16" t="str">
        <x:v>$100K-$500K ticket not published / unconfirmed</x:v>
      </x:c>
      <x:c r="O748" s="20"/>
      <x:c r="P748" s="20"/>
      <x:c r="Q748" s="25" t="str">
        <x:v>No direct corporate-capital range established in checked source</x:v>
      </x:c>
      <x:c r="R748" s="25" t="str">
        <x:v>Property acquisition or investor activity makes this an operator-capital prospect for the signed trial. Confirm operating-company debt/equity appetite.</x:v>
      </x:c>
      <x:c r="S748" s="25"/>
      <x:c r="T748" s="25" t="str">
        <x:v>Ask the owner/investor whether they can allocate $100K-$500K to trial marketing and acquisitions, and confirm structure, timing and decision authority.</x:v>
      </x:c>
      <x:c r="U748" s="25" t="str">
        <x:v>https://www.cashhomebuyersdirectory.com/cash-home-buyers/missouri/clayton</x:v>
      </x:c>
      <x:c r="V748" s="26" t="d">
        <x:v>2026-10-02T00:00:00.000Z</x:v>
      </x:c>
      <x:c r="W748" s="26" t="d">
        <x:v>2026-10-02T00:00:00.000Z</x:v>
      </x:c>
      <x:c r="X748" s="25" t="str">
        <x:v>CashHomeBuyersDirectory third-party business listing; first-party business activity not checked in this batch</x:v>
      </x:c>
      <x:c r="Y748" s="25"/>
      <x:c r="Z748" s="25" t="str">
        <x:v>https://www.cashhomebuyersdirectory.com/cash-home-buyers/missouri/clayton</x:v>
      </x:c>
      <x:c r="AA748" s="25" t="str">
        <x:v>Public cash-home-buyer directory lists the business name, business phone/website where available and market. Operator role and corporate funding willingness require confirmation.</x:v>
      </x:c>
      <x:c r="AB748" s="3" t="str">
        <x:v>New public-source collection</x:v>
      </x:c>
      <x:c r="AC748" s="3" t="str">
        <x:v>unverified</x:v>
      </x:c>
      <x:c r="AD748" s="3" t="str">
        <x:v>Not contacted / unconfirmed</x:v>
      </x:c>
      <x:c r="AE748" s="3" t="str">
        <x:v>No</x:v>
      </x:c>
      <x:c r="AF748" s="3" t="str">
        <x:v>No</x:v>
      </x:c>
      <x:c r="AG748" s="3"/>
      <x:c r="AH748" s="3"/>
      <x:c r="AI748" s="18"/>
      <x:c r="AJ748" s="3" t="str">
        <x:v>CF2500-D138E6E8BE0A</x:v>
      </x:c>
      <x:c r="AK748" s="3" t="str">
        <x:v>real_estate_operator</x:v>
      </x:c>
      <x:c r="AL748" s="19" t="n">
        <x:v>100000</x:v>
      </x:c>
      <x:c r="AM748" s="19" t="n">
        <x:v>500000</x:v>
      </x:c>
      <x:c r="AN748" s="3" t="str">
        <x:v>https://www.cashhomebuyersdirectory.com/cash-home-buyers/missouri/clayton</x:v>
      </x:c>
      <x:c r="AO748" s="3" t="str">
        <x:v>national_rest_directory_complete.jsonl</x:v>
      </x:c>
      <x:c r="AP748" s="19"/>
    </x:row>
    <x:row r="749" ht="36" customHeight="1">
      <x:c r="A749" s="23" t="n">
        <x:v>748</x:v>
      </x:c>
      <x:c r="B749" s="15" t="str">
        <x:v>STL Pro Homebuyers</x:v>
      </x:c>
      <x:c r="C749" s="15"/>
      <x:c r="D749" s="15" t="str">
        <x:v>Property investor / home-buying operator</x:v>
      </x:c>
      <x:c r="E749" s="15" t="str">
        <x:v>Property investor / operator inquiry</x:v>
      </x:c>
      <x:c r="F749" s="17" t="str">
        <x:v>New</x:v>
      </x:c>
      <x:c r="G749" s="24"/>
      <x:c r="H749" s="24" t="str">
        <x:v>+16364006060</x:v>
      </x:c>
      <x:c r="I749" s="24" t="str">
        <x:v>https://www.stlprohomebuyers.com/</x:v>
      </x:c>
      <x:c r="J749" s="16" t="str">
        <x:v>MO</x:v>
      </x:c>
      <x:c r="K749" s="16" t="str">
        <x:v>St. Louis</x:v>
      </x:c>
      <x:c r="L749" s="16" t="str">
        <x:v>Public property-business route; investor decision maker unconfirmed</x:v>
      </x:c>
      <x:c r="M749" s="16" t="str">
        <x:v>https://www.stlprohomebuyers.com/</x:v>
      </x:c>
      <x:c r="N749" s="16" t="str">
        <x:v>$100K-$500K ticket not published / unconfirmed</x:v>
      </x:c>
      <x:c r="O749" s="20"/>
      <x:c r="P749" s="20"/>
      <x:c r="Q749" s="25" t="str">
        <x:v>No direct corporate-capital range established in checked source</x:v>
      </x:c>
      <x:c r="R749" s="25" t="str">
        <x:v>Property acquisition or investor activity makes this an operator-capital prospect for the signed trial. Confirm operating-company debt/equity appetite.</x:v>
      </x:c>
      <x:c r="S749" s="25"/>
      <x:c r="T749" s="25" t="str">
        <x:v>Ask the owner/investor whether they can allocate $100K-$500K to trial marketing and acquisitions, and confirm structure, timing and decision authority.</x:v>
      </x:c>
      <x:c r="U749" s="25" t="str">
        <x:v>https://www.cashhomebuyersdirectory.com/cash-home-buyers/missouri/st-louis</x:v>
      </x:c>
      <x:c r="V749" s="26" t="d">
        <x:v>2026-10-02T00:00:00.000Z</x:v>
      </x:c>
      <x:c r="W749" s="26" t="d">
        <x:v>2026-10-02T00:00:00.000Z</x:v>
      </x:c>
      <x:c r="X749" s="25" t="str">
        <x:v>CashHomeBuyersDirectory third-party business listing; first-party business activity not checked in this batch</x:v>
      </x:c>
      <x:c r="Y749" s="25"/>
      <x:c r="Z749" s="25" t="str">
        <x:v>https://www.cashhomebuyersdirectory.com/cash-home-buyers/missouri/st-louis</x:v>
      </x:c>
      <x:c r="AA749" s="25" t="str">
        <x:v>Public cash-home-buyer directory lists the business name, business phone/website where available and market. Operator role and corporate funding willingness require confirmation.</x:v>
      </x:c>
      <x:c r="AB749" s="3" t="str">
        <x:v>New public-source collection</x:v>
      </x:c>
      <x:c r="AC749" s="3" t="str">
        <x:v>unverified</x:v>
      </x:c>
      <x:c r="AD749" s="3" t="str">
        <x:v>Not contacted / unconfirmed</x:v>
      </x:c>
      <x:c r="AE749" s="3" t="str">
        <x:v>No</x:v>
      </x:c>
      <x:c r="AF749" s="3" t="str">
        <x:v>No</x:v>
      </x:c>
      <x:c r="AG749" s="3"/>
      <x:c r="AH749" s="3"/>
      <x:c r="AI749" s="18"/>
      <x:c r="AJ749" s="3" t="str">
        <x:v>CF2500-180218C4AA1E</x:v>
      </x:c>
      <x:c r="AK749" s="3" t="str">
        <x:v>real_estate_operator</x:v>
      </x:c>
      <x:c r="AL749" s="19" t="n">
        <x:v>100000</x:v>
      </x:c>
      <x:c r="AM749" s="19" t="n">
        <x:v>500000</x:v>
      </x:c>
      <x:c r="AN749" s="3" t="str">
        <x:v>https://www.cashhomebuyersdirectory.com/cash-home-buyers/missouri/st-louis</x:v>
      </x:c>
      <x:c r="AO749" s="3" t="str">
        <x:v>national_rest_directory_complete.jsonl</x:v>
      </x:c>
      <x:c r="AP749" s="19"/>
    </x:row>
    <x:row r="750" ht="36" customHeight="1">
      <x:c r="A750" s="23" t="n">
        <x:v>749</x:v>
      </x:c>
      <x:c r="B750" s="15" t="str">
        <x:v>Sure Home Buyers</x:v>
      </x:c>
      <x:c r="C750" s="15"/>
      <x:c r="D750" s="15" t="str">
        <x:v>Property investor / home-buying operator</x:v>
      </x:c>
      <x:c r="E750" s="15" t="str">
        <x:v>Property investor / operator inquiry</x:v>
      </x:c>
      <x:c r="F750" s="17" t="str">
        <x:v>New</x:v>
      </x:c>
      <x:c r="G750" s="24"/>
      <x:c r="H750" s="24" t="str">
        <x:v>+14174134947</x:v>
      </x:c>
      <x:c r="I750" s="24" t="str">
        <x:v>https://www.surehb.com/</x:v>
      </x:c>
      <x:c r="J750" s="16" t="str">
        <x:v>MO</x:v>
      </x:c>
      <x:c r="K750" s="16"/>
      <x:c r="L750" s="16" t="str">
        <x:v>Public property-business route; investor decision maker unconfirmed</x:v>
      </x:c>
      <x:c r="M750" s="16" t="str">
        <x:v>https://www.surehb.com/</x:v>
      </x:c>
      <x:c r="N750" s="16" t="str">
        <x:v>$100K-$500K ticket not published / unconfirmed</x:v>
      </x:c>
      <x:c r="O750" s="20"/>
      <x:c r="P750" s="20"/>
      <x:c r="Q750" s="25" t="str">
        <x:v>No direct corporate-capital range established in checked source</x:v>
      </x:c>
      <x:c r="R750" s="25" t="str">
        <x:v>Property acquisition or investor activity makes this an operator-capital prospect for the signed trial. Confirm operating-company debt/equity appetite.</x:v>
      </x:c>
      <x:c r="S750" s="25"/>
      <x:c r="T750" s="25" t="str">
        <x:v>Ask the owner/investor whether they can allocate $100K-$500K to trial marketing and acquisitions, and confirm structure, timing and decision authority.</x:v>
      </x:c>
      <x:c r="U750" s="25" t="str">
        <x:v>https://www.cashhomebuyersdirectory.com/cash-home-buyers/missouri/joplin</x:v>
      </x:c>
      <x:c r="V750" s="26" t="d">
        <x:v>2026-10-02T00:00:00.000Z</x:v>
      </x:c>
      <x:c r="W750" s="26" t="d">
        <x:v>2026-10-02T00:00:00.000Z</x:v>
      </x:c>
      <x:c r="X750" s="25" t="str">
        <x:v>CashHomeBuyersDirectory third-party business listing; first-party business activity not checked in this batch</x:v>
      </x:c>
      <x:c r="Y750" s="25"/>
      <x:c r="Z750" s="25" t="str">
        <x:v>https://www.cashhomebuyersdirectory.com/cash-home-buyers/missouri/joplin</x:v>
      </x:c>
      <x:c r="AA750" s="25" t="str">
        <x:v>Public cash-home-buyer directory lists the business name, business phone/website where available and market. Operator role and corporate funding willingness require confirmation.</x:v>
      </x:c>
      <x:c r="AB750" s="3" t="str">
        <x:v>New public-source collection</x:v>
      </x:c>
      <x:c r="AC750" s="3" t="str">
        <x:v>unverified</x:v>
      </x:c>
      <x:c r="AD750" s="3" t="str">
        <x:v>Not contacted / unconfirmed</x:v>
      </x:c>
      <x:c r="AE750" s="3" t="str">
        <x:v>No</x:v>
      </x:c>
      <x:c r="AF750" s="3" t="str">
        <x:v>No</x:v>
      </x:c>
      <x:c r="AG750" s="3"/>
      <x:c r="AH750" s="3"/>
      <x:c r="AI750" s="18"/>
      <x:c r="AJ750" s="3" t="str">
        <x:v>CF2500-A9A6E1B12097</x:v>
      </x:c>
      <x:c r="AK750" s="3" t="str">
        <x:v>real_estate_operator</x:v>
      </x:c>
      <x:c r="AL750" s="19" t="n">
        <x:v>100000</x:v>
      </x:c>
      <x:c r="AM750" s="19" t="n">
        <x:v>500000</x:v>
      </x:c>
      <x:c r="AN750" s="3" t="str">
        <x:v>https://www.cashhomebuyersdirectory.com/cash-home-buyers/missouri/joplin</x:v>
      </x:c>
      <x:c r="AO750" s="3" t="str">
        <x:v>national_rest_directory_complete.jsonl</x:v>
      </x:c>
      <x:c r="AP750" s="19"/>
    </x:row>
    <x:row r="751" ht="36" customHeight="1">
      <x:c r="A751" s="23" t="n">
        <x:v>750</x:v>
      </x:c>
      <x:c r="B751" s="15" t="str">
        <x:v>Table Rock Homebuyers</x:v>
      </x:c>
      <x:c r="C751" s="15"/>
      <x:c r="D751" s="15" t="str">
        <x:v>Property investor / home-buying operator</x:v>
      </x:c>
      <x:c r="E751" s="15" t="str">
        <x:v>Property investor / operator inquiry</x:v>
      </x:c>
      <x:c r="F751" s="17" t="str">
        <x:v>New</x:v>
      </x:c>
      <x:c r="G751" s="24"/>
      <x:c r="H751" s="24" t="str">
        <x:v>+18642725400</x:v>
      </x:c>
      <x:c r="I751" s="24" t="str">
        <x:v>https://www.tablerockhomebuyers.com/</x:v>
      </x:c>
      <x:c r="J751" s="16" t="str">
        <x:v>SC</x:v>
      </x:c>
      <x:c r="K751" s="16" t="str">
        <x:v>Greenville</x:v>
      </x:c>
      <x:c r="L751" s="16" t="str">
        <x:v>Public property-business route; investor decision maker unconfirmed</x:v>
      </x:c>
      <x:c r="M751" s="16" t="str">
        <x:v>https://www.tablerockhomebuyers.com/</x:v>
      </x:c>
      <x:c r="N751" s="16" t="str">
        <x:v>$100K-$500K ticket not published / unconfirmed</x:v>
      </x:c>
      <x:c r="O751" s="20"/>
      <x:c r="P751" s="20"/>
      <x:c r="Q751" s="25" t="str">
        <x:v>No direct corporate-capital range established in checked source</x:v>
      </x:c>
      <x:c r="R751" s="25" t="str">
        <x:v>Property acquisition or investor activity makes this an operator-capital prospect for the signed trial. Confirm operating-company debt/equity appetite.</x:v>
      </x:c>
      <x:c r="S751" s="25"/>
      <x:c r="T751" s="25" t="str">
        <x:v>Ask the owner/investor whether they can allocate $100K-$500K to trial marketing and acquisitions, and confirm structure, timing and decision authority.</x:v>
      </x:c>
      <x:c r="U751" s="25" t="str">
        <x:v>https://www.cashhomebuyersdirectory.com/cash-home-buyers/south-carolina/greenville
https://www.cashhomebuyersdirectory.com/cash-home-buyers/south-carolina/spartanburg</x:v>
      </x:c>
      <x:c r="V751" s="26" t="d">
        <x:v>2026-10-02T00:00:00.000Z</x:v>
      </x:c>
      <x:c r="W751" s="26" t="d">
        <x:v>2026-10-02T00:00:00.000Z</x:v>
      </x:c>
      <x:c r="X751" s="25" t="str">
        <x:v>CashHomeBuyersDirectory third-party business listing; first-party business activity not checked in this batch</x:v>
      </x:c>
      <x:c r="Y751" s="25"/>
      <x:c r="Z751" s="25" t="str">
        <x:v>https://www.cashhomebuyersdirectory.com/cash-home-buyers/south-carolina/greenville</x:v>
      </x:c>
      <x:c r="AA751" s="25" t="str">
        <x:v>Public cash-home-buyer directory lists the business name, business phone/website where available and market. Operator role and corporate funding willingness require confirmation.</x:v>
      </x:c>
      <x:c r="AB751" s="3" t="str">
        <x:v>New public-source collection</x:v>
      </x:c>
      <x:c r="AC751" s="3" t="str">
        <x:v>unverified</x:v>
      </x:c>
      <x:c r="AD751" s="3" t="str">
        <x:v>Not contacted / unconfirmed</x:v>
      </x:c>
      <x:c r="AE751" s="3" t="str">
        <x:v>No</x:v>
      </x:c>
      <x:c r="AF751" s="3" t="str">
        <x:v>No</x:v>
      </x:c>
      <x:c r="AG751" s="3"/>
      <x:c r="AH751" s="3"/>
      <x:c r="AI751" s="18"/>
      <x:c r="AJ751" s="3" t="str">
        <x:v>CF2500-01C0C864BEDB</x:v>
      </x:c>
      <x:c r="AK751" s="3" t="str">
        <x:v>real_estate_operator</x:v>
      </x:c>
      <x:c r="AL751" s="19" t="n">
        <x:v>100000</x:v>
      </x:c>
      <x:c r="AM751" s="19" t="n">
        <x:v>500000</x:v>
      </x:c>
      <x:c r="AN751" s="3" t="str">
        <x:v>https://www.cashhomebuyersdirectory.com/cash-home-buyers/south-carolina/greenville</x:v>
      </x:c>
      <x:c r="AO751" s="3" t="str">
        <x:v>national_rest_directory_complete.jsonl</x:v>
      </x:c>
      <x:c r="AP751" s="19"/>
    </x:row>
    <x:row r="752" ht="36" customHeight="1">
      <x:c r="A752" s="23" t="n">
        <x:v>751</x:v>
      </x:c>
      <x:c r="B752" s="15" t="str">
        <x:v>Tallgrass Home Buyers</x:v>
      </x:c>
      <x:c r="C752" s="15"/>
      <x:c r="D752" s="15" t="str">
        <x:v>Property investor / home-buying operator</x:v>
      </x:c>
      <x:c r="E752" s="15" t="str">
        <x:v>Property investor / operator inquiry</x:v>
      </x:c>
      <x:c r="F752" s="17" t="str">
        <x:v>New</x:v>
      </x:c>
      <x:c r="G752" s="24"/>
      <x:c r="H752" s="24" t="str">
        <x:v>+18164488777</x:v>
      </x:c>
      <x:c r="I752" s="24" t="str">
        <x:v>http://www.tallgrasshomebuyers.com/</x:v>
      </x:c>
      <x:c r="J752" s="16" t="str">
        <x:v>MO</x:v>
      </x:c>
      <x:c r="K752" s="16" t="str">
        <x:v>Harrisonville</x:v>
      </x:c>
      <x:c r="L752" s="16" t="str">
        <x:v>Public property-business route; investor decision maker unconfirmed</x:v>
      </x:c>
      <x:c r="M752" s="16" t="str">
        <x:v>http://www.tallgrasshomebuyers.com/</x:v>
      </x:c>
      <x:c r="N752" s="16" t="str">
        <x:v>$100K-$500K ticket not published / unconfirmed</x:v>
      </x:c>
      <x:c r="O752" s="20"/>
      <x:c r="P752" s="20"/>
      <x:c r="Q752" s="25" t="str">
        <x:v>No direct corporate-capital range established in checked source</x:v>
      </x:c>
      <x:c r="R752" s="25" t="str">
        <x:v>Property acquisition or investor activity makes this an operator-capital prospect for the signed trial. Confirm operating-company debt/equity appetite.</x:v>
      </x:c>
      <x:c r="S752" s="25"/>
      <x:c r="T752" s="25" t="str">
        <x:v>Ask the owner/investor whether they can allocate $100K-$500K to trial marketing and acquisitions, and confirm structure, timing and decision authority.</x:v>
      </x:c>
      <x:c r="U752" s="25" t="str">
        <x:v>https://www.cashhomebuyersdirectory.com/cash-home-buyers/missouri/harrisonville</x:v>
      </x:c>
      <x:c r="V752" s="26" t="d">
        <x:v>2026-10-02T00:00:00.000Z</x:v>
      </x:c>
      <x:c r="W752" s="26" t="d">
        <x:v>2026-10-02T00:00:00.000Z</x:v>
      </x:c>
      <x:c r="X752" s="25" t="str">
        <x:v>CashHomeBuyersDirectory third-party business listing; first-party business activity not checked in this batch</x:v>
      </x:c>
      <x:c r="Y752" s="25"/>
      <x:c r="Z752" s="25" t="str">
        <x:v>https://www.cashhomebuyersdirectory.com/cash-home-buyers/missouri/harrisonville</x:v>
      </x:c>
      <x:c r="AA752" s="25" t="str">
        <x:v>Public cash-home-buyer directory lists the business name, business phone/website where available and market. Operator role and corporate funding willingness require confirmation.</x:v>
      </x:c>
      <x:c r="AB752" s="3" t="str">
        <x:v>New public-source collection</x:v>
      </x:c>
      <x:c r="AC752" s="3" t="str">
        <x:v>unverified</x:v>
      </x:c>
      <x:c r="AD752" s="3" t="str">
        <x:v>Not contacted / unconfirmed</x:v>
      </x:c>
      <x:c r="AE752" s="3" t="str">
        <x:v>No</x:v>
      </x:c>
      <x:c r="AF752" s="3" t="str">
        <x:v>No</x:v>
      </x:c>
      <x:c r="AG752" s="3"/>
      <x:c r="AH752" s="3"/>
      <x:c r="AI752" s="18"/>
      <x:c r="AJ752" s="3" t="str">
        <x:v>CF2500-E61650C2AB76</x:v>
      </x:c>
      <x:c r="AK752" s="3" t="str">
        <x:v>real_estate_operator</x:v>
      </x:c>
      <x:c r="AL752" s="19" t="n">
        <x:v>100000</x:v>
      </x:c>
      <x:c r="AM752" s="19" t="n">
        <x:v>500000</x:v>
      </x:c>
      <x:c r="AN752" s="3" t="str">
        <x:v>https://www.cashhomebuyersdirectory.com/cash-home-buyers/missouri/harrisonville</x:v>
      </x:c>
      <x:c r="AO752" s="3" t="str">
        <x:v>national_rest_directory_complete.jsonl</x:v>
      </x:c>
      <x:c r="AP752" s="19"/>
    </x:row>
    <x:row r="753" ht="36" customHeight="1">
      <x:c r="A753" s="23" t="n">
        <x:v>752</x:v>
      </x:c>
      <x:c r="B753" s="15" t="str">
        <x:v>Tennessee Cash For Homes</x:v>
      </x:c>
      <x:c r="C753" s="15"/>
      <x:c r="D753" s="15" t="str">
        <x:v>Property investor / home-buying operator</x:v>
      </x:c>
      <x:c r="E753" s="15" t="str">
        <x:v>Property investor / operator inquiry</x:v>
      </x:c>
      <x:c r="F753" s="17" t="str">
        <x:v>New</x:v>
      </x:c>
      <x:c r="G753" s="24"/>
      <x:c r="H753" s="24" t="str">
        <x:v>+16158018126</x:v>
      </x:c>
      <x:c r="I753" s="24" t="str">
        <x:v>https://tennesseecashforhomes.com/</x:v>
      </x:c>
      <x:c r="J753" s="16" t="str">
        <x:v>TN</x:v>
      </x:c>
      <x:c r="K753" s="16"/>
      <x:c r="L753" s="16" t="str">
        <x:v>Public property-business route; investor decision maker unconfirmed</x:v>
      </x:c>
      <x:c r="M753" s="16" t="str">
        <x:v>https://tennesseecashforhomes.com/</x:v>
      </x:c>
      <x:c r="N753" s="16" t="str">
        <x:v>$100K-$500K ticket not published / unconfirmed</x:v>
      </x:c>
      <x:c r="O753" s="20"/>
      <x:c r="P753" s="20"/>
      <x:c r="Q753" s="25" t="str">
        <x:v>No direct corporate-capital range established in checked source</x:v>
      </x:c>
      <x:c r="R753" s="25" t="str">
        <x:v>Property acquisition or investor activity makes this an operator-capital prospect for the signed trial. Confirm operating-company debt/equity appetite.</x:v>
      </x:c>
      <x:c r="S753" s="25"/>
      <x:c r="T753" s="25" t="str">
        <x:v>Ask the owner/investor whether they can allocate $100K-$500K to trial marketing and acquisitions, and confirm structure, timing and decision authority.</x:v>
      </x:c>
      <x:c r="U753" s="25" t="str">
        <x:v>https://www.cashhomebuyersdirectory.com/cash-home-buyers/tennessee/chattanooga
https://www.cashhomebuyersdirectory.com/cash-home-buyers/tennessee/clarksville
https://www.cashhomebuyersdirectory.com/cash-home-buyers/tennessee/johnson-city</x:v>
      </x:c>
      <x:c r="V753" s="26" t="d">
        <x:v>2026-10-02T00:00:00.000Z</x:v>
      </x:c>
      <x:c r="W753" s="26" t="d">
        <x:v>2026-10-02T00:00:00.000Z</x:v>
      </x:c>
      <x:c r="X753" s="25" t="str">
        <x:v>CashHomeBuyersDirectory third-party business listing; first-party business activity not checked in this batch</x:v>
      </x:c>
      <x:c r="Y753" s="25"/>
      <x:c r="Z753" s="25" t="str">
        <x:v>https://www.cashhomebuyersdirectory.com/cash-home-buyers/tennessee/chattanooga</x:v>
      </x:c>
      <x:c r="AA753" s="25" t="str">
        <x:v>Public cash-home-buyer directory lists the business name, business phone/website where available and market. Operator role and corporate funding willingness require confirmation.</x:v>
      </x:c>
      <x:c r="AB753" s="3" t="str">
        <x:v>New public-source collection</x:v>
      </x:c>
      <x:c r="AC753" s="3" t="str">
        <x:v>unverified</x:v>
      </x:c>
      <x:c r="AD753" s="3" t="str">
        <x:v>Not contacted / unconfirmed</x:v>
      </x:c>
      <x:c r="AE753" s="3" t="str">
        <x:v>No</x:v>
      </x:c>
      <x:c r="AF753" s="3" t="str">
        <x:v>No</x:v>
      </x:c>
      <x:c r="AG753" s="3"/>
      <x:c r="AH753" s="3"/>
      <x:c r="AI753" s="18"/>
      <x:c r="AJ753" s="3" t="str">
        <x:v>CF2500-3E3D0CD01362</x:v>
      </x:c>
      <x:c r="AK753" s="3" t="str">
        <x:v>real_estate_operator</x:v>
      </x:c>
      <x:c r="AL753" s="19" t="n">
        <x:v>100000</x:v>
      </x:c>
      <x:c r="AM753" s="19" t="n">
        <x:v>500000</x:v>
      </x:c>
      <x:c r="AN753" s="3" t="str">
        <x:v>https://www.cashhomebuyersdirectory.com/cash-home-buyers/tennessee/chattanooga</x:v>
      </x:c>
      <x:c r="AO753" s="3" t="str">
        <x:v>national_rest_directory_complete.jsonl</x:v>
      </x:c>
      <x:c r="AP753" s="19"/>
    </x:row>
    <x:row r="754" ht="36" customHeight="1">
      <x:c r="A754" s="23" t="n">
        <x:v>753</x:v>
      </x:c>
      <x:c r="B754" s="15" t="str">
        <x:v>Tennessee State Home Buyers</x:v>
      </x:c>
      <x:c r="C754" s="15"/>
      <x:c r="D754" s="15" t="str">
        <x:v>Property investor / home-buying operator</x:v>
      </x:c>
      <x:c r="E754" s="15" t="str">
        <x:v>Property investor / operator inquiry</x:v>
      </x:c>
      <x:c r="F754" s="17" t="str">
        <x:v>New</x:v>
      </x:c>
      <x:c r="G754" s="24"/>
      <x:c r="H754" s="24" t="str">
        <x:v>+16152410728</x:v>
      </x:c>
      <x:c r="I754" s="24" t="str">
        <x:v>http://www.tennesseestatehomebuyers.com/</x:v>
      </x:c>
      <x:c r="J754" s="16" t="str">
        <x:v>TN</x:v>
      </x:c>
      <x:c r="K754" s="16" t="str">
        <x:v>Clarksville</x:v>
      </x:c>
      <x:c r="L754" s="16" t="str">
        <x:v>Public property-business route; investor decision maker unconfirmed</x:v>
      </x:c>
      <x:c r="M754" s="16" t="str">
        <x:v>http://www.tennesseestatehomebuyers.com/</x:v>
      </x:c>
      <x:c r="N754" s="16" t="str">
        <x:v>$100K-$500K ticket not published / unconfirmed</x:v>
      </x:c>
      <x:c r="O754" s="20"/>
      <x:c r="P754" s="20"/>
      <x:c r="Q754" s="25" t="str">
        <x:v>No direct corporate-capital range established in checked source</x:v>
      </x:c>
      <x:c r="R754" s="25" t="str">
        <x:v>Property acquisition or investor activity makes this an operator-capital prospect for the signed trial. Confirm operating-company debt/equity appetite.</x:v>
      </x:c>
      <x:c r="S754" s="25"/>
      <x:c r="T754" s="25" t="str">
        <x:v>Ask the owner/investor whether they can allocate $100K-$500K to trial marketing and acquisitions, and confirm structure, timing and decision authority.</x:v>
      </x:c>
      <x:c r="U754" s="25" t="str">
        <x:v>https://www.cashhomebuyersdirectory.com/cash-home-buyers/tennessee/clarksville</x:v>
      </x:c>
      <x:c r="V754" s="26" t="d">
        <x:v>2026-10-02T00:00:00.000Z</x:v>
      </x:c>
      <x:c r="W754" s="26" t="d">
        <x:v>2026-10-02T00:00:00.000Z</x:v>
      </x:c>
      <x:c r="X754" s="25" t="str">
        <x:v>CashHomeBuyersDirectory third-party business listing; first-party business activity not checked in this batch</x:v>
      </x:c>
      <x:c r="Y754" s="25"/>
      <x:c r="Z754" s="25" t="str">
        <x:v>https://www.cashhomebuyersdirectory.com/cash-home-buyers/tennessee/clarksville</x:v>
      </x:c>
      <x:c r="AA754" s="25" t="str">
        <x:v>Public cash-home-buyer directory lists the business name, business phone/website where available and market. Operator role and corporate funding willingness require confirmation.</x:v>
      </x:c>
      <x:c r="AB754" s="3" t="str">
        <x:v>New public-source collection</x:v>
      </x:c>
      <x:c r="AC754" s="3" t="str">
        <x:v>unverified</x:v>
      </x:c>
      <x:c r="AD754" s="3" t="str">
        <x:v>Not contacted / unconfirmed</x:v>
      </x:c>
      <x:c r="AE754" s="3" t="str">
        <x:v>No</x:v>
      </x:c>
      <x:c r="AF754" s="3" t="str">
        <x:v>No</x:v>
      </x:c>
      <x:c r="AG754" s="3"/>
      <x:c r="AH754" s="3"/>
      <x:c r="AI754" s="18"/>
      <x:c r="AJ754" s="3" t="str">
        <x:v>CF2500-FE39391D18CB</x:v>
      </x:c>
      <x:c r="AK754" s="3" t="str">
        <x:v>real_estate_operator</x:v>
      </x:c>
      <x:c r="AL754" s="19" t="n">
        <x:v>100000</x:v>
      </x:c>
      <x:c r="AM754" s="19" t="n">
        <x:v>500000</x:v>
      </x:c>
      <x:c r="AN754" s="3" t="str">
        <x:v>https://www.cashhomebuyersdirectory.com/cash-home-buyers/tennessee/clarksville</x:v>
      </x:c>
      <x:c r="AO754" s="3" t="str">
        <x:v>national_rest_directory_complete.jsonl</x:v>
      </x:c>
      <x:c r="AP754" s="19"/>
    </x:row>
    <x:row r="755" ht="36" customHeight="1">
      <x:c r="A755" s="23" t="n">
        <x:v>754</x:v>
      </x:c>
      <x:c r="B755" s="15" t="str">
        <x:v>The Home Buyers</x:v>
      </x:c>
      <x:c r="C755" s="15"/>
      <x:c r="D755" s="15" t="str">
        <x:v>Property investor / home-buying operator</x:v>
      </x:c>
      <x:c r="E755" s="15" t="str">
        <x:v>Property investor / operator inquiry</x:v>
      </x:c>
      <x:c r="F755" s="17" t="str">
        <x:v>New</x:v>
      </x:c>
      <x:c r="G755" s="24"/>
      <x:c r="H755" s="24" t="str">
        <x:v>+17854229394</x:v>
      </x:c>
      <x:c r="I755" s="24" t="str">
        <x:v>https://www.thehomebuyersus.com/contact-us/</x:v>
      </x:c>
      <x:c r="J755" s="16" t="str">
        <x:v>KS</x:v>
      </x:c>
      <x:c r="K755" s="16" t="str">
        <x:v>Topeka</x:v>
      </x:c>
      <x:c r="L755" s="16" t="str">
        <x:v>Public property-business route; investor decision maker unconfirmed</x:v>
      </x:c>
      <x:c r="M755" s="16" t="str">
        <x:v>https://www.thehomebuyersus.com/contact-us/</x:v>
      </x:c>
      <x:c r="N755" s="16" t="str">
        <x:v>$100K-$500K ticket not published / unconfirmed</x:v>
      </x:c>
      <x:c r="O755" s="20"/>
      <x:c r="P755" s="20"/>
      <x:c r="Q755" s="25" t="str">
        <x:v>No direct corporate-capital range established in checked source</x:v>
      </x:c>
      <x:c r="R755" s="25" t="str">
        <x:v>Property acquisition or investor activity makes this an operator-capital prospect for the signed trial. Confirm operating-company debt/equity appetite.</x:v>
      </x:c>
      <x:c r="S755" s="25"/>
      <x:c r="T755" s="25" t="str">
        <x:v>Ask the owner/investor whether they can allocate $100K-$500K to trial marketing and acquisitions, and confirm structure, timing and decision authority.</x:v>
      </x:c>
      <x:c r="U755" s="25" t="str">
        <x:v>https://www.cashhomebuyersdirectory.com/cash-home-buyers/kansas/topeka</x:v>
      </x:c>
      <x:c r="V755" s="26" t="d">
        <x:v>2026-10-02T00:00:00.000Z</x:v>
      </x:c>
      <x:c r="W755" s="26" t="d">
        <x:v>2026-10-02T00:00:00.000Z</x:v>
      </x:c>
      <x:c r="X755" s="25" t="str">
        <x:v>CashHomeBuyersDirectory third-party business listing; first-party business activity not checked in this batch</x:v>
      </x:c>
      <x:c r="Y755" s="25"/>
      <x:c r="Z755" s="25" t="str">
        <x:v>https://www.cashhomebuyersdirectory.com/cash-home-buyers/kansas/topeka</x:v>
      </x:c>
      <x:c r="AA755" s="25" t="str">
        <x:v>Public cash-home-buyer directory lists the business name, business phone/website where available and market. Operator role and corporate funding willingness require confirmation.</x:v>
      </x:c>
      <x:c r="AB755" s="3" t="str">
        <x:v>New public-source collection</x:v>
      </x:c>
      <x:c r="AC755" s="3" t="str">
        <x:v>unverified</x:v>
      </x:c>
      <x:c r="AD755" s="3" t="str">
        <x:v>Not contacted / unconfirmed</x:v>
      </x:c>
      <x:c r="AE755" s="3" t="str">
        <x:v>No</x:v>
      </x:c>
      <x:c r="AF755" s="3" t="str">
        <x:v>No</x:v>
      </x:c>
      <x:c r="AG755" s="3"/>
      <x:c r="AH755" s="3" t="str">
        <x:v>The Home Buyers LLC</x:v>
      </x:c>
      <x:c r="AI755" s="18"/>
      <x:c r="AJ755" s="3" t="str">
        <x:v>CF2500-A5356045C371</x:v>
      </x:c>
      <x:c r="AK755" s="3" t="str">
        <x:v>real_estate_operator</x:v>
      </x:c>
      <x:c r="AL755" s="19" t="n">
        <x:v>100000</x:v>
      </x:c>
      <x:c r="AM755" s="19" t="n">
        <x:v>500000</x:v>
      </x:c>
      <x:c r="AN755" s="3" t="str">
        <x:v>https://www.cashhomebuyersdirectory.com/cash-home-buyers/kansas/topeka</x:v>
      </x:c>
      <x:c r="AO755" s="3" t="str">
        <x:v>national_rest_directory_complete.jsonl</x:v>
      </x:c>
      <x:c r="AP755" s="19"/>
    </x:row>
    <x:row r="756" ht="36" customHeight="1">
      <x:c r="A756" s="23" t="n">
        <x:v>755</x:v>
      </x:c>
      <x:c r="B756" s="15" t="str">
        <x:v>The House Hero - The Evansville House Buyer</x:v>
      </x:c>
      <x:c r="C756" s="15"/>
      <x:c r="D756" s="15" t="str">
        <x:v>Property investor / home-buying operator</x:v>
      </x:c>
      <x:c r="E756" s="15" t="str">
        <x:v>Property investor / operator inquiry</x:v>
      </x:c>
      <x:c r="F756" s="17" t="str">
        <x:v>New</x:v>
      </x:c>
      <x:c r="G756" s="24"/>
      <x:c r="H756" s="24" t="str">
        <x:v>+18126241110</x:v>
      </x:c>
      <x:c r="I756" s="24" t="str">
        <x:v>http://www.househero.com/</x:v>
      </x:c>
      <x:c r="J756" s="16" t="str">
        <x:v>IN</x:v>
      </x:c>
      <x:c r="K756" s="16" t="str">
        <x:v>Evansville</x:v>
      </x:c>
      <x:c r="L756" s="16" t="str">
        <x:v>Public property-business route; investor decision maker unconfirmed</x:v>
      </x:c>
      <x:c r="M756" s="16" t="str">
        <x:v>http://www.househero.com/</x:v>
      </x:c>
      <x:c r="N756" s="16" t="str">
        <x:v>$100K-$500K ticket not published / unconfirmed</x:v>
      </x:c>
      <x:c r="O756" s="20"/>
      <x:c r="P756" s="20"/>
      <x:c r="Q756" s="25" t="str">
        <x:v>No direct corporate-capital range established in checked source</x:v>
      </x:c>
      <x:c r="R756" s="25" t="str">
        <x:v>Property acquisition or investor activity makes this an operator-capital prospect for the signed trial. Confirm operating-company debt/equity appetite.</x:v>
      </x:c>
      <x:c r="S756" s="25"/>
      <x:c r="T756" s="25" t="str">
        <x:v>Ask the owner/investor whether they can allocate $100K-$500K to trial marketing and acquisitions, and confirm structure, timing and decision authority.</x:v>
      </x:c>
      <x:c r="U756" s="25" t="str">
        <x:v>https://www.cashhomebuyersdirectory.com/cash-home-buyers/indiana/evansville</x:v>
      </x:c>
      <x:c r="V756" s="26" t="d">
        <x:v>2026-10-02T00:00:00.000Z</x:v>
      </x:c>
      <x:c r="W756" s="26" t="d">
        <x:v>2026-10-02T00:00:00.000Z</x:v>
      </x:c>
      <x:c r="X756" s="25" t="str">
        <x:v>CashHomeBuyersDirectory third-party business listing; first-party business activity not checked in this batch</x:v>
      </x:c>
      <x:c r="Y756" s="25"/>
      <x:c r="Z756" s="25" t="str">
        <x:v>https://www.cashhomebuyersdirectory.com/cash-home-buyers/indiana/evansville</x:v>
      </x:c>
      <x:c r="AA756" s="25" t="str">
        <x:v>Public cash-home-buyer directory lists the business name, business phone/website where available and market. Operator role and corporate funding willingness require confirmation.</x:v>
      </x:c>
      <x:c r="AB756" s="3" t="str">
        <x:v>New public-source collection</x:v>
      </x:c>
      <x:c r="AC756" s="3" t="str">
        <x:v>unverified</x:v>
      </x:c>
      <x:c r="AD756" s="3" t="str">
        <x:v>Not contacted / unconfirmed</x:v>
      </x:c>
      <x:c r="AE756" s="3" t="str">
        <x:v>No</x:v>
      </x:c>
      <x:c r="AF756" s="3" t="str">
        <x:v>No</x:v>
      </x:c>
      <x:c r="AG756" s="3"/>
      <x:c r="AH756" s="3"/>
      <x:c r="AI756" s="18"/>
      <x:c r="AJ756" s="3" t="str">
        <x:v>CF2500-6BFA5A2E9BE9</x:v>
      </x:c>
      <x:c r="AK756" s="3" t="str">
        <x:v>real_estate_operator</x:v>
      </x:c>
      <x:c r="AL756" s="19" t="n">
        <x:v>100000</x:v>
      </x:c>
      <x:c r="AM756" s="19" t="n">
        <x:v>500000</x:v>
      </x:c>
      <x:c r="AN756" s="3" t="str">
        <x:v>https://www.cashhomebuyersdirectory.com/cash-home-buyers/indiana/evansville</x:v>
      </x:c>
      <x:c r="AO756" s="3" t="str">
        <x:v>national_rest_directory_complete.jsonl</x:v>
      </x:c>
      <x:c r="AP756" s="19"/>
    </x:row>
    <x:row r="757" ht="36" customHeight="1">
      <x:c r="A757" s="23" t="n">
        <x:v>756</x:v>
      </x:c>
      <x:c r="B757" s="15" t="str">
        <x:v>The Property Buyers</x:v>
      </x:c>
      <x:c r="C757" s="15"/>
      <x:c r="D757" s="15" t="str">
        <x:v>Property investor / home-buying operator</x:v>
      </x:c>
      <x:c r="E757" s="15" t="str">
        <x:v>Property investor / operator inquiry</x:v>
      </x:c>
      <x:c r="F757" s="17" t="str">
        <x:v>New</x:v>
      </x:c>
      <x:c r="G757" s="24"/>
      <x:c r="H757" s="24" t="str">
        <x:v>+17206507986</x:v>
      </x:c>
      <x:c r="I757" s="24" t="str">
        <x:v>https://thepropertybuyers.com/</x:v>
      </x:c>
      <x:c r="J757" s="16" t="str">
        <x:v>CO</x:v>
      </x:c>
      <x:c r="K757" s="16" t="str">
        <x:v>Aurora</x:v>
      </x:c>
      <x:c r="L757" s="16" t="str">
        <x:v>Public property-business route; investor decision maker unconfirmed</x:v>
      </x:c>
      <x:c r="M757" s="16" t="str">
        <x:v>https://thepropertybuyers.com/</x:v>
      </x:c>
      <x:c r="N757" s="16" t="str">
        <x:v>$100K-$500K ticket not published / unconfirmed</x:v>
      </x:c>
      <x:c r="O757" s="20"/>
      <x:c r="P757" s="20"/>
      <x:c r="Q757" s="25" t="str">
        <x:v>No $100K-$500K operating-company investment ticket verified</x:v>
      </x:c>
      <x:c r="R757" s="25" t="str">
        <x:v>Property acquisition or investor activity makes this an operator-capital prospect for the signed trial. Confirm operating-company debt/equity appetite.</x:v>
      </x:c>
      <x:c r="S757" s="25" t="str">
        <x:v>Public property-buying activity or a directory listing does not establish available cash, investing decision-maker, current $100K-$500K capacity, or willingness to fund 101XVC operating costs.</x:v>
      </x:c>
      <x:c r="T757" s="25" t="str">
        <x:v>Ask the owner/investor whether they can allocate $100K-$500K to trial marketing and acquisitions, and confirm structure, timing and decision authority.</x:v>
      </x:c>
      <x:c r="U757" s="25" t="str">
        <x:v>https://www.cashhomebuyersdirectory.com/cash-home-buyers/colorado/aurora</x:v>
      </x:c>
      <x:c r="V757" s="26" t="d">
        <x:v>2026-10-02T00:00:00.000Z</x:v>
      </x:c>
      <x:c r="W757" s="26" t="d">
        <x:v>2026-10-02T00:00:00.000Z</x:v>
      </x:c>
      <x:c r="X757" s="25" t="str">
        <x:v>Public investor directory; business role and contact ownership require qualification</x:v>
      </x:c>
      <x:c r="Y757" s="25"/>
      <x:c r="Z757" s="25" t="str">
        <x:v>https://www.cashhomebuyersdirectory.com/cash-home-buyers/colorado/aurora</x:v>
      </x:c>
      <x:c r="AA757" s="25" t="str">
        <x:v>Public cash-home-buyer directory lists business name, phone and market. Directory entry may include brokers or service providers.</x:v>
      </x:c>
      <x:c r="AB757" s="3" t="str">
        <x:v>New public-source collection</x:v>
      </x:c>
      <x:c r="AC757" s="3" t="str">
        <x:v>unverified</x:v>
      </x:c>
      <x:c r="AD757" s="3" t="str">
        <x:v>Not contacted / unconfirmed</x:v>
      </x:c>
      <x:c r="AE757" s="3" t="str">
        <x:v>No</x:v>
      </x:c>
      <x:c r="AF757" s="3" t="str">
        <x:v>No</x:v>
      </x:c>
      <x:c r="AG757" s="3"/>
      <x:c r="AH757" s="3"/>
      <x:c r="AI757" s="18"/>
      <x:c r="AJ757" s="3" t="str">
        <x:v>CF2500-4DF7628E423F</x:v>
      </x:c>
      <x:c r="AK757" s="3" t="str">
        <x:v>Property investor / home-buying operator prospect</x:v>
      </x:c>
      <x:c r="AL757" s="19" t="n">
        <x:v>100000</x:v>
      </x:c>
      <x:c r="AM757" s="19" t="n">
        <x:v>500000</x:v>
      </x:c>
      <x:c r="AN757" s="3" t="str">
        <x:v>https://www.cashhomebuyersdirectory.com/cash-home-buyers/colorado/aurora</x:v>
      </x:c>
      <x:c r="AO757" s="3" t="str">
        <x:v>nc_il_az_co_investors.jsonl</x:v>
      </x:c>
      <x:c r="AP757" s="19"/>
    </x:row>
    <x:row r="758" ht="36" customHeight="1">
      <x:c r="A758" s="23" t="n">
        <x:v>757</x:v>
      </x:c>
      <x:c r="B758" s="15" t="str">
        <x:v>The Regal Home Buyers</x:v>
      </x:c>
      <x:c r="C758" s="15"/>
      <x:c r="D758" s="15" t="str">
        <x:v>Property investor / home-buying operator</x:v>
      </x:c>
      <x:c r="E758" s="15" t="str">
        <x:v>Property investor / operator inquiry</x:v>
      </x:c>
      <x:c r="F758" s="17" t="str">
        <x:v>New</x:v>
      </x:c>
      <x:c r="G758" s="24"/>
      <x:c r="H758" s="24" t="str">
        <x:v>+13034182109</x:v>
      </x:c>
      <x:c r="I758" s="24" t="str">
        <x:v>http://theregalhomebuyers.com/</x:v>
      </x:c>
      <x:c r="J758" s="16" t="str">
        <x:v>CO</x:v>
      </x:c>
      <x:c r="K758" s="16" t="str">
        <x:v>Denver</x:v>
      </x:c>
      <x:c r="L758" s="16" t="str">
        <x:v>Public property-business route; investor decision maker unconfirmed</x:v>
      </x:c>
      <x:c r="M758" s="16" t="str">
        <x:v>http://theregalhomebuyers.com/</x:v>
      </x:c>
      <x:c r="N758" s="16" t="str">
        <x:v>$100K-$500K ticket not published / unconfirmed</x:v>
      </x:c>
      <x:c r="O758" s="20"/>
      <x:c r="P758" s="20"/>
      <x:c r="Q758" s="25" t="str">
        <x:v>No $100K-$500K operating-company investment ticket verified</x:v>
      </x:c>
      <x:c r="R758" s="25" t="str">
        <x:v>Property acquisition or investor activity makes this an operator-capital prospect for the signed trial. Confirm operating-company debt/equity appetite.</x:v>
      </x:c>
      <x:c r="S758" s="25" t="str">
        <x:v>Public property-buying activity or a directory listing does not establish available cash, investing decision-maker, current $100K-$500K capacity, or willingness to fund 101XVC operating costs.</x:v>
      </x:c>
      <x:c r="T758" s="25" t="str">
        <x:v>Ask the owner/investor whether they can allocate $100K-$500K to trial marketing and acquisitions, and confirm structure, timing and decision authority.</x:v>
      </x:c>
      <x:c r="U758" s="25" t="str">
        <x:v>https://www.cashhomebuyersdirectory.com/cash-home-buyers/colorado/denver</x:v>
      </x:c>
      <x:c r="V758" s="26" t="d">
        <x:v>2026-10-02T00:00:00.000Z</x:v>
      </x:c>
      <x:c r="W758" s="26" t="d">
        <x:v>2026-10-02T00:00:00.000Z</x:v>
      </x:c>
      <x:c r="X758" s="25" t="str">
        <x:v>Public investor directory; business role and contact ownership require qualification</x:v>
      </x:c>
      <x:c r="Y758" s="25"/>
      <x:c r="Z758" s="25" t="str">
        <x:v>https://www.cashhomebuyersdirectory.com/cash-home-buyers/colorado/denver</x:v>
      </x:c>
      <x:c r="AA758" s="25" t="str">
        <x:v>Public cash-home-buyer directory lists business name, phone and market. Directory entry may include brokers or service providers.</x:v>
      </x:c>
      <x:c r="AB758" s="3" t="str">
        <x:v>New public-source collection</x:v>
      </x:c>
      <x:c r="AC758" s="3" t="str">
        <x:v>unverified</x:v>
      </x:c>
      <x:c r="AD758" s="3" t="str">
        <x:v>Not contacted / unconfirmed</x:v>
      </x:c>
      <x:c r="AE758" s="3" t="str">
        <x:v>No</x:v>
      </x:c>
      <x:c r="AF758" s="3" t="str">
        <x:v>No</x:v>
      </x:c>
      <x:c r="AG758" s="3"/>
      <x:c r="AH758" s="3"/>
      <x:c r="AI758" s="18"/>
      <x:c r="AJ758" s="3" t="str">
        <x:v>CF2500-22808D54D8DA</x:v>
      </x:c>
      <x:c r="AK758" s="3" t="str">
        <x:v>Property investor / home-buying operator prospect</x:v>
      </x:c>
      <x:c r="AL758" s="19" t="n">
        <x:v>100000</x:v>
      </x:c>
      <x:c r="AM758" s="19" t="n">
        <x:v>500000</x:v>
      </x:c>
      <x:c r="AN758" s="3" t="str">
        <x:v>https://www.cashhomebuyersdirectory.com/cash-home-buyers/colorado/denver</x:v>
      </x:c>
      <x:c r="AO758" s="3" t="str">
        <x:v>nc_il_az_co_investors.jsonl</x:v>
      </x:c>
      <x:c r="AP758" s="19"/>
    </x:row>
    <x:row r="759" ht="36" customHeight="1">
      <x:c r="A759" s="23" t="n">
        <x:v>758</x:v>
      </x:c>
      <x:c r="B759" s="15" t="str">
        <x:v>Tidal Home Buyers</x:v>
      </x:c>
      <x:c r="C759" s="15"/>
      <x:c r="D759" s="15" t="str">
        <x:v>Property investor / home-buying operator</x:v>
      </x:c>
      <x:c r="E759" s="15" t="str">
        <x:v>Property investor / operator inquiry</x:v>
      </x:c>
      <x:c r="F759" s="17" t="str">
        <x:v>New</x:v>
      </x:c>
      <x:c r="G759" s="24"/>
      <x:c r="H759" s="24" t="str">
        <x:v>+19127711776</x:v>
      </x:c>
      <x:c r="I759" s="24" t="str">
        <x:v>http://tidalhomebuyers.com/</x:v>
      </x:c>
      <x:c r="J759" s="16" t="str">
        <x:v>GA</x:v>
      </x:c>
      <x:c r="K759" s="16"/>
      <x:c r="L759" s="16" t="str">
        <x:v>Public property-business route; investor decision maker unconfirmed</x:v>
      </x:c>
      <x:c r="M759" s="16" t="str">
        <x:v>http://tidalhomebuyers.com/</x:v>
      </x:c>
      <x:c r="N759" s="16" t="str">
        <x:v>$100K-$500K ticket not published / unconfirmed</x:v>
      </x:c>
      <x:c r="O759" s="20"/>
      <x:c r="P759" s="20"/>
      <x:c r="Q759" s="25" t="str">
        <x:v>No direct corporate-capital range established in checked source</x:v>
      </x:c>
      <x:c r="R759" s="25" t="str">
        <x:v>Property acquisition or investor activity makes this an operator-capital prospect for the signed trial. Confirm operating-company debt/equity appetite.</x:v>
      </x:c>
      <x:c r="S759" s="25"/>
      <x:c r="T759" s="25" t="str">
        <x:v>Ask the owner/investor whether they can allocate $100K-$500K to trial marketing and acquisitions, and confirm structure, timing and decision authority.</x:v>
      </x:c>
      <x:c r="U759" s="25" t="str">
        <x:v>https://www.cashhomebuyersdirectory.com/cash-home-buyers/georgia/savannah</x:v>
      </x:c>
      <x:c r="V759" s="26" t="d">
        <x:v>2026-10-02T00:00:00.000Z</x:v>
      </x:c>
      <x:c r="W759" s="26" t="d">
        <x:v>2026-10-02T00:00:00.000Z</x:v>
      </x:c>
      <x:c r="X759" s="25" t="str">
        <x:v>CashHomeBuyersDirectory third-party business listing; first-party business activity not checked in this batch</x:v>
      </x:c>
      <x:c r="Y759" s="25"/>
      <x:c r="Z759" s="25" t="str">
        <x:v>https://www.cashhomebuyersdirectory.com/cash-home-buyers/georgia/savannah</x:v>
      </x:c>
      <x:c r="AA759" s="25" t="str">
        <x:v>Public cash-home-buyer directory lists the business name, business phone/website where available and market. Operator role and corporate funding willingness require confirmation.</x:v>
      </x:c>
      <x:c r="AB759" s="3" t="str">
        <x:v>New public-source collection</x:v>
      </x:c>
      <x:c r="AC759" s="3" t="str">
        <x:v>unverified</x:v>
      </x:c>
      <x:c r="AD759" s="3" t="str">
        <x:v>Not contacted / unconfirmed</x:v>
      </x:c>
      <x:c r="AE759" s="3" t="str">
        <x:v>No</x:v>
      </x:c>
      <x:c r="AF759" s="3" t="str">
        <x:v>No</x:v>
      </x:c>
      <x:c r="AG759" s="3"/>
      <x:c r="AH759" s="3"/>
      <x:c r="AI759" s="18"/>
      <x:c r="AJ759" s="3" t="str">
        <x:v>CF2500-5B3AA8928AA9</x:v>
      </x:c>
      <x:c r="AK759" s="3" t="str">
        <x:v>real_estate_operator</x:v>
      </x:c>
      <x:c r="AL759" s="19" t="n">
        <x:v>100000</x:v>
      </x:c>
      <x:c r="AM759" s="19" t="n">
        <x:v>500000</x:v>
      </x:c>
      <x:c r="AN759" s="3" t="str">
        <x:v>https://www.cashhomebuyersdirectory.com/cash-home-buyers/georgia/savannah</x:v>
      </x:c>
      <x:c r="AO759" s="3" t="str">
        <x:v>national_rest_directory_complete.jsonl</x:v>
      </x:c>
      <x:c r="AP759" s="19"/>
    </x:row>
    <x:row r="760" ht="36" customHeight="1">
      <x:c r="A760" s="23" t="n">
        <x:v>759</x:v>
      </x:c>
      <x:c r="B760" s="15" t="str">
        <x:v>TN HomeBuyers</x:v>
      </x:c>
      <x:c r="C760" s="15"/>
      <x:c r="D760" s="15" t="str">
        <x:v>Property investor / home-buying operator</x:v>
      </x:c>
      <x:c r="E760" s="15" t="str">
        <x:v>Property investor / operator inquiry</x:v>
      </x:c>
      <x:c r="F760" s="17" t="str">
        <x:v>New</x:v>
      </x:c>
      <x:c r="G760" s="24"/>
      <x:c r="H760" s="24" t="str">
        <x:v>+16152995525</x:v>
      </x:c>
      <x:c r="I760" s="24" t="str">
        <x:v>http://www.299cash.com/</x:v>
      </x:c>
      <x:c r="J760" s="16" t="str">
        <x:v>TN</x:v>
      </x:c>
      <x:c r="K760" s="16" t="str">
        <x:v>Clarksville</x:v>
      </x:c>
      <x:c r="L760" s="16" t="str">
        <x:v>Public property-business route; investor decision maker unconfirmed</x:v>
      </x:c>
      <x:c r="M760" s="16" t="str">
        <x:v>http://www.299cash.com/</x:v>
      </x:c>
      <x:c r="N760" s="16" t="str">
        <x:v>$100K-$500K ticket not published / unconfirmed</x:v>
      </x:c>
      <x:c r="O760" s="20"/>
      <x:c r="P760" s="20"/>
      <x:c r="Q760" s="25" t="str">
        <x:v>No direct corporate-capital range established in checked source</x:v>
      </x:c>
      <x:c r="R760" s="25" t="str">
        <x:v>Property acquisition or investor activity makes this an operator-capital prospect for the signed trial. Confirm operating-company debt/equity appetite.</x:v>
      </x:c>
      <x:c r="S760" s="25"/>
      <x:c r="T760" s="25" t="str">
        <x:v>Ask the owner/investor whether they can allocate $100K-$500K to trial marketing and acquisitions, and confirm structure, timing and decision authority.</x:v>
      </x:c>
      <x:c r="U760" s="25" t="str">
        <x:v>https://www.cashhomebuyersdirectory.com/cash-home-buyers/tennessee/clarksville
https://www.cashhomebuyersdirectory.com/cash-home-buyers/tennessee/nashville</x:v>
      </x:c>
      <x:c r="V760" s="26" t="d">
        <x:v>2026-10-02T00:00:00.000Z</x:v>
      </x:c>
      <x:c r="W760" s="26" t="d">
        <x:v>2026-10-02T00:00:00.000Z</x:v>
      </x:c>
      <x:c r="X760" s="25" t="str">
        <x:v>CashHomeBuyersDirectory third-party business listing; first-party business activity not checked in this batch</x:v>
      </x:c>
      <x:c r="Y760" s="25"/>
      <x:c r="Z760" s="25" t="str">
        <x:v>https://www.cashhomebuyersdirectory.com/cash-home-buyers/tennessee/clarksville</x:v>
      </x:c>
      <x:c r="AA760" s="25" t="str">
        <x:v>Public cash-home-buyer directory lists the business name, business phone/website where available and market. Operator role and corporate funding willingness require confirmation.</x:v>
      </x:c>
      <x:c r="AB760" s="3" t="str">
        <x:v>New public-source collection</x:v>
      </x:c>
      <x:c r="AC760" s="3" t="str">
        <x:v>unverified</x:v>
      </x:c>
      <x:c r="AD760" s="3" t="str">
        <x:v>Not contacted / unconfirmed</x:v>
      </x:c>
      <x:c r="AE760" s="3" t="str">
        <x:v>No</x:v>
      </x:c>
      <x:c r="AF760" s="3" t="str">
        <x:v>No</x:v>
      </x:c>
      <x:c r="AG760" s="3"/>
      <x:c r="AH760" s="3"/>
      <x:c r="AI760" s="18"/>
      <x:c r="AJ760" s="3" t="str">
        <x:v>CF2500-91A494A0BD1B</x:v>
      </x:c>
      <x:c r="AK760" s="3" t="str">
        <x:v>real_estate_operator</x:v>
      </x:c>
      <x:c r="AL760" s="19" t="n">
        <x:v>100000</x:v>
      </x:c>
      <x:c r="AM760" s="19" t="n">
        <x:v>500000</x:v>
      </x:c>
      <x:c r="AN760" s="3" t="str">
        <x:v>https://www.cashhomebuyersdirectory.com/cash-home-buyers/tennessee/clarksville</x:v>
      </x:c>
      <x:c r="AO760" s="3" t="str">
        <x:v>national_rest_directory_complete.jsonl</x:v>
      </x:c>
      <x:c r="AP760" s="19"/>
    </x:row>
    <x:row r="761" ht="36" customHeight="1">
      <x:c r="A761" s="23" t="n">
        <x:v>760</x:v>
      </x:c>
      <x:c r="B761" s="15" t="str">
        <x:v>Tri Cities Home Buyers</x:v>
      </x:c>
      <x:c r="C761" s="15"/>
      <x:c r="D761" s="15" t="str">
        <x:v>Property investor / home-buying operator</x:v>
      </x:c>
      <x:c r="E761" s="15" t="str">
        <x:v>Property investor / operator inquiry</x:v>
      </x:c>
      <x:c r="F761" s="17" t="str">
        <x:v>New</x:v>
      </x:c>
      <x:c r="G761" s="24"/>
      <x:c r="H761" s="24" t="str">
        <x:v>+14234499148</x:v>
      </x:c>
      <x:c r="I761" s="24" t="str">
        <x:v>http://www.webuy423homes.com/</x:v>
      </x:c>
      <x:c r="J761" s="16" t="str">
        <x:v>TN</x:v>
      </x:c>
      <x:c r="K761" s="16"/>
      <x:c r="L761" s="16" t="str">
        <x:v>Public property-business route; investor decision maker unconfirmed</x:v>
      </x:c>
      <x:c r="M761" s="16" t="str">
        <x:v>http://www.webuy423homes.com/</x:v>
      </x:c>
      <x:c r="N761" s="16" t="str">
        <x:v>$100K-$500K ticket not published / unconfirmed</x:v>
      </x:c>
      <x:c r="O761" s="20"/>
      <x:c r="P761" s="20"/>
      <x:c r="Q761" s="25" t="str">
        <x:v>No direct corporate-capital range established in checked source</x:v>
      </x:c>
      <x:c r="R761" s="25" t="str">
        <x:v>Property acquisition or investor activity makes this an operator-capital prospect for the signed trial. Confirm operating-company debt/equity appetite.</x:v>
      </x:c>
      <x:c r="S761" s="25"/>
      <x:c r="T761" s="25" t="str">
        <x:v>Ask the owner/investor whether they can allocate $100K-$500K to trial marketing and acquisitions, and confirm structure, timing and decision authority.</x:v>
      </x:c>
      <x:c r="U761" s="25" t="str">
        <x:v>https://www.cashhomebuyersdirectory.com/cash-home-buyers/tennessee/johnson-city</x:v>
      </x:c>
      <x:c r="V761" s="26" t="d">
        <x:v>2026-10-02T00:00:00.000Z</x:v>
      </x:c>
      <x:c r="W761" s="26" t="d">
        <x:v>2026-10-02T00:00:00.000Z</x:v>
      </x:c>
      <x:c r="X761" s="25" t="str">
        <x:v>CashHomeBuyersDirectory third-party business listing; first-party business activity not checked in this batch</x:v>
      </x:c>
      <x:c r="Y761" s="25"/>
      <x:c r="Z761" s="25" t="str">
        <x:v>https://www.cashhomebuyersdirectory.com/cash-home-buyers/tennessee/johnson-city</x:v>
      </x:c>
      <x:c r="AA761" s="25" t="str">
        <x:v>Public cash-home-buyer directory lists the business name, business phone/website where available and market. Operator role and corporate funding willingness require confirmation.</x:v>
      </x:c>
      <x:c r="AB761" s="3" t="str">
        <x:v>New public-source collection</x:v>
      </x:c>
      <x:c r="AC761" s="3" t="str">
        <x:v>unverified</x:v>
      </x:c>
      <x:c r="AD761" s="3" t="str">
        <x:v>Not contacted / unconfirmed</x:v>
      </x:c>
      <x:c r="AE761" s="3" t="str">
        <x:v>No</x:v>
      </x:c>
      <x:c r="AF761" s="3" t="str">
        <x:v>No</x:v>
      </x:c>
      <x:c r="AG761" s="3"/>
      <x:c r="AH761" s="3"/>
      <x:c r="AI761" s="18"/>
      <x:c r="AJ761" s="3" t="str">
        <x:v>CF2500-04B21A3E19DD</x:v>
      </x:c>
      <x:c r="AK761" s="3" t="str">
        <x:v>real_estate_operator</x:v>
      </x:c>
      <x:c r="AL761" s="19" t="n">
        <x:v>100000</x:v>
      </x:c>
      <x:c r="AM761" s="19" t="n">
        <x:v>500000</x:v>
      </x:c>
      <x:c r="AN761" s="3" t="str">
        <x:v>https://www.cashhomebuyersdirectory.com/cash-home-buyers/tennessee/johnson-city</x:v>
      </x:c>
      <x:c r="AO761" s="3" t="str">
        <x:v>national_rest_directory_complete.jsonl</x:v>
      </x:c>
      <x:c r="AP761" s="19"/>
    </x:row>
    <x:row r="762" ht="36" customHeight="1">
      <x:c r="A762" s="23" t="n">
        <x:v>761</x:v>
      </x:c>
      <x:c r="B762" s="15" t="str">
        <x:v>Tristate Home Buying</x:v>
      </x:c>
      <x:c r="C762" s="15"/>
      <x:c r="D762" s="15" t="str">
        <x:v>Property investor / home-buying operator</x:v>
      </x:c>
      <x:c r="E762" s="15" t="str">
        <x:v>Property investor / operator inquiry</x:v>
      </x:c>
      <x:c r="F762" s="17" t="str">
        <x:v>New</x:v>
      </x:c>
      <x:c r="G762" s="24"/>
      <x:c r="H762" s="24" t="str">
        <x:v>+18129022253</x:v>
      </x:c>
      <x:c r="I762" s="24" t="str">
        <x:v>https://tristatehomebuying.com/about-us/</x:v>
      </x:c>
      <x:c r="J762" s="16" t="str">
        <x:v>IN</x:v>
      </x:c>
      <x:c r="K762" s="16" t="str">
        <x:v>Evansville</x:v>
      </x:c>
      <x:c r="L762" s="16" t="str">
        <x:v>Public property-business route; investor decision maker unconfirmed</x:v>
      </x:c>
      <x:c r="M762" s="16" t="str">
        <x:v>https://tristatehomebuying.com/about-us/</x:v>
      </x:c>
      <x:c r="N762" s="16" t="str">
        <x:v>$100K-$500K ticket not published / unconfirmed</x:v>
      </x:c>
      <x:c r="O762" s="20"/>
      <x:c r="P762" s="20"/>
      <x:c r="Q762" s="25" t="str">
        <x:v>No direct corporate-capital range established in checked source</x:v>
      </x:c>
      <x:c r="R762" s="25" t="str">
        <x:v>Property acquisition or investor activity makes this an operator-capital prospect for the signed trial. Confirm operating-company debt/equity appetite.</x:v>
      </x:c>
      <x:c r="S762" s="25"/>
      <x:c r="T762" s="25" t="str">
        <x:v>Ask the owner/investor whether they can allocate $100K-$500K to trial marketing and acquisitions, and confirm structure, timing and decision authority.</x:v>
      </x:c>
      <x:c r="U762" s="25" t="str">
        <x:v>https://www.cashhomebuyersdirectory.com/cash-home-buyers/indiana/evansville</x:v>
      </x:c>
      <x:c r="V762" s="26" t="d">
        <x:v>2026-10-02T00:00:00.000Z</x:v>
      </x:c>
      <x:c r="W762" s="26" t="d">
        <x:v>2026-10-02T00:00:00.000Z</x:v>
      </x:c>
      <x:c r="X762" s="25" t="str">
        <x:v>CashHomeBuyersDirectory third-party business listing; first-party business activity not checked in this batch</x:v>
      </x:c>
      <x:c r="Y762" s="25"/>
      <x:c r="Z762" s="25" t="str">
        <x:v>https://www.cashhomebuyersdirectory.com/cash-home-buyers/indiana/evansville</x:v>
      </x:c>
      <x:c r="AA762" s="25" t="str">
        <x:v>Public cash-home-buyer directory lists the business name, business phone/website where available and market. Operator role and corporate funding willingness require confirmation.</x:v>
      </x:c>
      <x:c r="AB762" s="3" t="str">
        <x:v>New public-source collection</x:v>
      </x:c>
      <x:c r="AC762" s="3" t="str">
        <x:v>unverified</x:v>
      </x:c>
      <x:c r="AD762" s="3" t="str">
        <x:v>Not contacted / unconfirmed</x:v>
      </x:c>
      <x:c r="AE762" s="3" t="str">
        <x:v>No</x:v>
      </x:c>
      <x:c r="AF762" s="3" t="str">
        <x:v>No</x:v>
      </x:c>
      <x:c r="AG762" s="3"/>
      <x:c r="AH762" s="3"/>
      <x:c r="AI762" s="18"/>
      <x:c r="AJ762" s="3" t="str">
        <x:v>CF2500-737A72FC57AA</x:v>
      </x:c>
      <x:c r="AK762" s="3" t="str">
        <x:v>real_estate_operator</x:v>
      </x:c>
      <x:c r="AL762" s="19" t="n">
        <x:v>100000</x:v>
      </x:c>
      <x:c r="AM762" s="19" t="n">
        <x:v>500000</x:v>
      </x:c>
      <x:c r="AN762" s="3" t="str">
        <x:v>https://www.cashhomebuyersdirectory.com/cash-home-buyers/indiana/evansville</x:v>
      </x:c>
      <x:c r="AO762" s="3" t="str">
        <x:v>national_rest_directory_complete.jsonl</x:v>
      </x:c>
      <x:c r="AP762" s="19"/>
    </x:row>
    <x:row r="763" ht="36" customHeight="1">
      <x:c r="A763" s="23" t="n">
        <x:v>762</x:v>
      </x:c>
      <x:c r="B763" s="15" t="str">
        <x:v>Trusted Home Buyers</x:v>
      </x:c>
      <x:c r="C763" s="15"/>
      <x:c r="D763" s="15" t="str">
        <x:v>Property investor / home-buying operator</x:v>
      </x:c>
      <x:c r="E763" s="15" t="str">
        <x:v>Property investor / operator inquiry</x:v>
      </x:c>
      <x:c r="F763" s="17" t="str">
        <x:v>New</x:v>
      </x:c>
      <x:c r="G763" s="24"/>
      <x:c r="H763" s="24" t="str">
        <x:v>+19124336726</x:v>
      </x:c>
      <x:c r="I763" s="24" t="str">
        <x:v>https://www.houseofferfast.com/</x:v>
      </x:c>
      <x:c r="J763" s="16" t="str">
        <x:v>GA</x:v>
      </x:c>
      <x:c r="K763" s="16" t="str">
        <x:v>Savannah</x:v>
      </x:c>
      <x:c r="L763" s="16" t="str">
        <x:v>Public property-business route; investor decision maker unconfirmed</x:v>
      </x:c>
      <x:c r="M763" s="16" t="str">
        <x:v>https://www.houseofferfast.com/</x:v>
      </x:c>
      <x:c r="N763" s="16" t="str">
        <x:v>$100K-$500K ticket not published / unconfirmed</x:v>
      </x:c>
      <x:c r="O763" s="20"/>
      <x:c r="P763" s="20"/>
      <x:c r="Q763" s="25" t="str">
        <x:v>No direct corporate-capital range established in checked source</x:v>
      </x:c>
      <x:c r="R763" s="25" t="str">
        <x:v>Property acquisition or investor activity makes this an operator-capital prospect for the signed trial. Confirm operating-company debt/equity appetite.</x:v>
      </x:c>
      <x:c r="S763" s="25"/>
      <x:c r="T763" s="25" t="str">
        <x:v>Ask the owner/investor whether they can allocate $100K-$500K to trial marketing and acquisitions, and confirm structure, timing and decision authority.</x:v>
      </x:c>
      <x:c r="U763" s="25" t="str">
        <x:v>https://www.cashhomebuyersdirectory.com/cash-home-buyers/georgia/savannah</x:v>
      </x:c>
      <x:c r="V763" s="26" t="d">
        <x:v>2026-10-02T00:00:00.000Z</x:v>
      </x:c>
      <x:c r="W763" s="26" t="d">
        <x:v>2026-10-02T00:00:00.000Z</x:v>
      </x:c>
      <x:c r="X763" s="25" t="str">
        <x:v>CashHomeBuyersDirectory third-party business listing; first-party business activity not checked in this batch</x:v>
      </x:c>
      <x:c r="Y763" s="25"/>
      <x:c r="Z763" s="25" t="str">
        <x:v>https://www.cashhomebuyersdirectory.com/cash-home-buyers/georgia/savannah</x:v>
      </x:c>
      <x:c r="AA763" s="25" t="str">
        <x:v>Public cash-home-buyer directory lists the business name, business phone/website where available and market. Operator role and corporate funding willingness require confirmation.</x:v>
      </x:c>
      <x:c r="AB763" s="3" t="str">
        <x:v>New public-source collection</x:v>
      </x:c>
      <x:c r="AC763" s="3" t="str">
        <x:v>unverified</x:v>
      </x:c>
      <x:c r="AD763" s="3" t="str">
        <x:v>Not contacted / unconfirmed</x:v>
      </x:c>
      <x:c r="AE763" s="3" t="str">
        <x:v>No</x:v>
      </x:c>
      <x:c r="AF763" s="3" t="str">
        <x:v>No</x:v>
      </x:c>
      <x:c r="AG763" s="3"/>
      <x:c r="AH763" s="3"/>
      <x:c r="AI763" s="18"/>
      <x:c r="AJ763" s="3" t="str">
        <x:v>CF2500-8E50D0AF2015</x:v>
      </x:c>
      <x:c r="AK763" s="3" t="str">
        <x:v>real_estate_operator</x:v>
      </x:c>
      <x:c r="AL763" s="19" t="n">
        <x:v>100000</x:v>
      </x:c>
      <x:c r="AM763" s="19" t="n">
        <x:v>500000</x:v>
      </x:c>
      <x:c r="AN763" s="3" t="str">
        <x:v>https://www.cashhomebuyersdirectory.com/cash-home-buyers/georgia/savannah</x:v>
      </x:c>
      <x:c r="AO763" s="3" t="str">
        <x:v>national_rest_directory_complete.jsonl</x:v>
      </x:c>
      <x:c r="AP763" s="19"/>
    </x:row>
    <x:row r="764" ht="36" customHeight="1">
      <x:c r="A764" s="23" t="n">
        <x:v>763</x:v>
      </x:c>
      <x:c r="B764" s="15" t="str">
        <x:v>Tulsa Home Buyers</x:v>
      </x:c>
      <x:c r="C764" s="15"/>
      <x:c r="D764" s="15" t="str">
        <x:v>Property investor / home-buying operator</x:v>
      </x:c>
      <x:c r="E764" s="15" t="str">
        <x:v>Property investor / operator inquiry</x:v>
      </x:c>
      <x:c r="F764" s="17" t="str">
        <x:v>New</x:v>
      </x:c>
      <x:c r="G764" s="24"/>
      <x:c r="H764" s="24" t="str">
        <x:v>+19185168951</x:v>
      </x:c>
      <x:c r="I764" s="24" t="str">
        <x:v>https://www.tulsahomesforcash.com/</x:v>
      </x:c>
      <x:c r="J764" s="16" t="str">
        <x:v>OK</x:v>
      </x:c>
      <x:c r="K764" s="16" t="str">
        <x:v>Tulsa</x:v>
      </x:c>
      <x:c r="L764" s="16" t="str">
        <x:v>Public property-business route; investor decision maker unconfirmed</x:v>
      </x:c>
      <x:c r="M764" s="16" t="str">
        <x:v>https://www.tulsahomesforcash.com/</x:v>
      </x:c>
      <x:c r="N764" s="16" t="str">
        <x:v>$100K-$500K ticket not published / unconfirmed</x:v>
      </x:c>
      <x:c r="O764" s="20"/>
      <x:c r="P764" s="20"/>
      <x:c r="Q764" s="25" t="str">
        <x:v>No direct corporate-capital range established in checked source</x:v>
      </x:c>
      <x:c r="R764" s="25" t="str">
        <x:v>Property acquisition or investor activity makes this an operator-capital prospect for the signed trial. Confirm operating-company debt/equity appetite.</x:v>
      </x:c>
      <x:c r="S764" s="25"/>
      <x:c r="T764" s="25" t="str">
        <x:v>Ask the owner/investor whether they can allocate $100K-$500K to trial marketing and acquisitions, and confirm structure, timing and decision authority.</x:v>
      </x:c>
      <x:c r="U764" s="25" t="str">
        <x:v>https://www.cashhomebuyersdirectory.com/cash-home-buyers/oklahoma/tulsa</x:v>
      </x:c>
      <x:c r="V764" s="26" t="d">
        <x:v>2026-10-02T00:00:00.000Z</x:v>
      </x:c>
      <x:c r="W764" s="26" t="d">
        <x:v>2026-10-02T00:00:00.000Z</x:v>
      </x:c>
      <x:c r="X764" s="25" t="str">
        <x:v>CashHomeBuyersDirectory third-party business listing; first-party business activity not checked in this batch</x:v>
      </x:c>
      <x:c r="Y764" s="25"/>
      <x:c r="Z764" s="25" t="str">
        <x:v>https://www.cashhomebuyersdirectory.com/cash-home-buyers/oklahoma/tulsa</x:v>
      </x:c>
      <x:c r="AA764" s="25" t="str">
        <x:v>Public cash-home-buyer directory lists the business name, business phone/website where available and market. Operator role and corporate funding willingness require confirmation.</x:v>
      </x:c>
      <x:c r="AB764" s="3" t="str">
        <x:v>New public-source collection</x:v>
      </x:c>
      <x:c r="AC764" s="3" t="str">
        <x:v>unverified</x:v>
      </x:c>
      <x:c r="AD764" s="3" t="str">
        <x:v>Not contacted / unconfirmed</x:v>
      </x:c>
      <x:c r="AE764" s="3" t="str">
        <x:v>No</x:v>
      </x:c>
      <x:c r="AF764" s="3" t="str">
        <x:v>No</x:v>
      </x:c>
      <x:c r="AG764" s="3"/>
      <x:c r="AH764" s="3"/>
      <x:c r="AI764" s="18"/>
      <x:c r="AJ764" s="3" t="str">
        <x:v>CF2500-C89B131A878F</x:v>
      </x:c>
      <x:c r="AK764" s="3" t="str">
        <x:v>real_estate_operator</x:v>
      </x:c>
      <x:c r="AL764" s="19" t="n">
        <x:v>100000</x:v>
      </x:c>
      <x:c r="AM764" s="19" t="n">
        <x:v>500000</x:v>
      </x:c>
      <x:c r="AN764" s="3" t="str">
        <x:v>https://www.cashhomebuyersdirectory.com/cash-home-buyers/oklahoma/tulsa</x:v>
      </x:c>
      <x:c r="AO764" s="3" t="str">
        <x:v>national_rest_directory_complete.jsonl</x:v>
      </x:c>
      <x:c r="AP764" s="19"/>
    </x:row>
    <x:row r="765" ht="36" customHeight="1">
      <x:c r="A765" s="23" t="n">
        <x:v>764</x:v>
      </x:c>
      <x:c r="B765" s="15" t="str">
        <x:v>Tulsa Property Buyers -We Buy houses Tulsa - Sell My House Fast Tulsa</x:v>
      </x:c>
      <x:c r="C765" s="15"/>
      <x:c r="D765" s="15" t="str">
        <x:v>Property investor / home-buying operator</x:v>
      </x:c>
      <x:c r="E765" s="15" t="str">
        <x:v>Property investor / operator inquiry</x:v>
      </x:c>
      <x:c r="F765" s="17" t="str">
        <x:v>New</x:v>
      </x:c>
      <x:c r="G765" s="24"/>
      <x:c r="H765" s="24" t="str">
        <x:v>+19188567656</x:v>
      </x:c>
      <x:c r="I765" s="24" t="str">
        <x:v>https://tulsapropertybuyers.com/</x:v>
      </x:c>
      <x:c r="J765" s="16" t="str">
        <x:v>OK</x:v>
      </x:c>
      <x:c r="K765" s="16" t="str">
        <x:v>Tulsa</x:v>
      </x:c>
      <x:c r="L765" s="16" t="str">
        <x:v>Public property-business route; investor decision maker unconfirmed</x:v>
      </x:c>
      <x:c r="M765" s="16" t="str">
        <x:v>https://tulsapropertybuyers.com/</x:v>
      </x:c>
      <x:c r="N765" s="16" t="str">
        <x:v>$100K-$500K ticket not published / unconfirmed</x:v>
      </x:c>
      <x:c r="O765" s="20"/>
      <x:c r="P765" s="20"/>
      <x:c r="Q765" s="25" t="str">
        <x:v>No direct corporate-capital range established in checked source</x:v>
      </x:c>
      <x:c r="R765" s="25" t="str">
        <x:v>Property acquisition or investor activity makes this an operator-capital prospect for the signed trial. Confirm operating-company debt/equity appetite.</x:v>
      </x:c>
      <x:c r="S765" s="25"/>
      <x:c r="T765" s="25" t="str">
        <x:v>Ask the owner/investor whether they can allocate $100K-$500K to trial marketing and acquisitions, and confirm structure, timing and decision authority.</x:v>
      </x:c>
      <x:c r="U765" s="25" t="str">
        <x:v>https://www.cashhomebuyersdirectory.com/cash-home-buyers/oklahoma/tulsa</x:v>
      </x:c>
      <x:c r="V765" s="26" t="d">
        <x:v>2026-10-02T00:00:00.000Z</x:v>
      </x:c>
      <x:c r="W765" s="26" t="d">
        <x:v>2026-10-02T00:00:00.000Z</x:v>
      </x:c>
      <x:c r="X765" s="25" t="str">
        <x:v>CashHomeBuyersDirectory third-party business listing; first-party business activity not checked in this batch</x:v>
      </x:c>
      <x:c r="Y765" s="25"/>
      <x:c r="Z765" s="25" t="str">
        <x:v>https://www.cashhomebuyersdirectory.com/cash-home-buyers/oklahoma/tulsa</x:v>
      </x:c>
      <x:c r="AA765" s="25" t="str">
        <x:v>Public cash-home-buyer directory lists the business name, business phone/website where available and market. Operator role and corporate funding willingness require confirmation.</x:v>
      </x:c>
      <x:c r="AB765" s="3" t="str">
        <x:v>New public-source collection</x:v>
      </x:c>
      <x:c r="AC765" s="3" t="str">
        <x:v>unverified</x:v>
      </x:c>
      <x:c r="AD765" s="3" t="str">
        <x:v>Not contacted / unconfirmed</x:v>
      </x:c>
      <x:c r="AE765" s="3" t="str">
        <x:v>No</x:v>
      </x:c>
      <x:c r="AF765" s="3" t="str">
        <x:v>No</x:v>
      </x:c>
      <x:c r="AG765" s="3"/>
      <x:c r="AH765" s="3"/>
      <x:c r="AI765" s="18"/>
      <x:c r="AJ765" s="3" t="str">
        <x:v>CF2500-EB58374B7589</x:v>
      </x:c>
      <x:c r="AK765" s="3" t="str">
        <x:v>real_estate_operator</x:v>
      </x:c>
      <x:c r="AL765" s="19" t="n">
        <x:v>100000</x:v>
      </x:c>
      <x:c r="AM765" s="19" t="n">
        <x:v>500000</x:v>
      </x:c>
      <x:c r="AN765" s="3" t="str">
        <x:v>https://www.cashhomebuyersdirectory.com/cash-home-buyers/oklahoma/tulsa</x:v>
      </x:c>
      <x:c r="AO765" s="3" t="str">
        <x:v>national_rest_directory_complete.jsonl</x:v>
      </x:c>
      <x:c r="AP765" s="19"/>
    </x:row>
    <x:row r="766" ht="36" customHeight="1">
      <x:c r="A766" s="23" t="n">
        <x:v>765</x:v>
      </x:c>
      <x:c r="B766" s="15" t="str">
        <x:v>Tulsa's Fastest Home Buyers</x:v>
      </x:c>
      <x:c r="C766" s="15"/>
      <x:c r="D766" s="15" t="str">
        <x:v>Property investor / home-buying operator</x:v>
      </x:c>
      <x:c r="E766" s="15" t="str">
        <x:v>Property investor / operator inquiry</x:v>
      </x:c>
      <x:c r="F766" s="17" t="str">
        <x:v>New</x:v>
      </x:c>
      <x:c r="G766" s="24"/>
      <x:c r="H766" s="24" t="str">
        <x:v>+19183386770</x:v>
      </x:c>
      <x:c r="I766" s="24" t="str">
        <x:v>https://www.tulsafastesthomebuyers.com/i/fZy8/</x:v>
      </x:c>
      <x:c r="J766" s="16" t="str">
        <x:v>OK</x:v>
      </x:c>
      <x:c r="K766" s="16" t="str">
        <x:v>Tulsa</x:v>
      </x:c>
      <x:c r="L766" s="16" t="str">
        <x:v>Public property-business route; investor decision maker unconfirmed</x:v>
      </x:c>
      <x:c r="M766" s="16" t="str">
        <x:v>https://www.tulsafastesthomebuyers.com/i/fZy8/</x:v>
      </x:c>
      <x:c r="N766" s="16" t="str">
        <x:v>$100K-$500K ticket not published / unconfirmed</x:v>
      </x:c>
      <x:c r="O766" s="20"/>
      <x:c r="P766" s="20"/>
      <x:c r="Q766" s="25" t="str">
        <x:v>No direct corporate-capital range established in checked source</x:v>
      </x:c>
      <x:c r="R766" s="25" t="str">
        <x:v>Property acquisition or investor activity makes this an operator-capital prospect for the signed trial. Confirm operating-company debt/equity appetite.</x:v>
      </x:c>
      <x:c r="S766" s="25"/>
      <x:c r="T766" s="25" t="str">
        <x:v>Ask the owner/investor whether they can allocate $100K-$500K to trial marketing and acquisitions, and confirm structure, timing and decision authority.</x:v>
      </x:c>
      <x:c r="U766" s="25" t="str">
        <x:v>https://www.cashhomebuyersdirectory.com/cash-home-buyers/oklahoma/tulsa</x:v>
      </x:c>
      <x:c r="V766" s="26" t="d">
        <x:v>2026-10-02T00:00:00.000Z</x:v>
      </x:c>
      <x:c r="W766" s="26" t="d">
        <x:v>2026-10-02T00:00:00.000Z</x:v>
      </x:c>
      <x:c r="X766" s="25" t="str">
        <x:v>CashHomeBuyersDirectory third-party business listing; first-party business activity not checked in this batch</x:v>
      </x:c>
      <x:c r="Y766" s="25"/>
      <x:c r="Z766" s="25" t="str">
        <x:v>https://www.cashhomebuyersdirectory.com/cash-home-buyers/oklahoma/tulsa</x:v>
      </x:c>
      <x:c r="AA766" s="25" t="str">
        <x:v>Public cash-home-buyer directory lists the business name, business phone/website where available and market. Operator role and corporate funding willingness require confirmation.</x:v>
      </x:c>
      <x:c r="AB766" s="3" t="str">
        <x:v>New public-source collection</x:v>
      </x:c>
      <x:c r="AC766" s="3" t="str">
        <x:v>unverified</x:v>
      </x:c>
      <x:c r="AD766" s="3" t="str">
        <x:v>Not contacted / unconfirmed</x:v>
      </x:c>
      <x:c r="AE766" s="3" t="str">
        <x:v>No</x:v>
      </x:c>
      <x:c r="AF766" s="3" t="str">
        <x:v>No</x:v>
      </x:c>
      <x:c r="AG766" s="3"/>
      <x:c r="AH766" s="3"/>
      <x:c r="AI766" s="18"/>
      <x:c r="AJ766" s="3" t="str">
        <x:v>CF2500-00B5438748E9</x:v>
      </x:c>
      <x:c r="AK766" s="3" t="str">
        <x:v>real_estate_operator</x:v>
      </x:c>
      <x:c r="AL766" s="19" t="n">
        <x:v>100000</x:v>
      </x:c>
      <x:c r="AM766" s="19" t="n">
        <x:v>500000</x:v>
      </x:c>
      <x:c r="AN766" s="3" t="str">
        <x:v>https://www.cashhomebuyersdirectory.com/cash-home-buyers/oklahoma/tulsa</x:v>
      </x:c>
      <x:c r="AO766" s="3" t="str">
        <x:v>national_rest_directory_complete.jsonl</x:v>
      </x:c>
      <x:c r="AP766" s="19"/>
    </x:row>
    <x:row r="767" ht="36" customHeight="1">
      <x:c r="A767" s="23" t="n">
        <x:v>766</x:v>
      </x:c>
      <x:c r="B767" s="15" t="str">
        <x:v>TurnPro Home Buyers</x:v>
      </x:c>
      <x:c r="C767" s="15"/>
      <x:c r="D767" s="15" t="str">
        <x:v>Property investor / home-buying operator</x:v>
      </x:c>
      <x:c r="E767" s="15" t="str">
        <x:v>Property investor / operator inquiry</x:v>
      </x:c>
      <x:c r="F767" s="17" t="str">
        <x:v>New</x:v>
      </x:c>
      <x:c r="G767" s="24"/>
      <x:c r="H767" s="24" t="str">
        <x:v>+18439004663</x:v>
      </x:c>
      <x:c r="I767" s="24" t="str">
        <x:v>https://www.turnprobuyshouses.com/?utm_source=gmb&amp;utm_medium=organic</x:v>
      </x:c>
      <x:c r="J767" s="16" t="str">
        <x:v>SC</x:v>
      </x:c>
      <x:c r="K767" s="16" t="str">
        <x:v>Charleston</x:v>
      </x:c>
      <x:c r="L767" s="16" t="str">
        <x:v>Public property-business route; investor decision maker unconfirmed</x:v>
      </x:c>
      <x:c r="M767" s="16" t="str">
        <x:v>https://www.turnprobuyshouses.com/?utm_source=gmb&amp;utm_medium=organic</x:v>
      </x:c>
      <x:c r="N767" s="16" t="str">
        <x:v>$100K-$500K ticket not published / unconfirmed</x:v>
      </x:c>
      <x:c r="O767" s="20"/>
      <x:c r="P767" s="20"/>
      <x:c r="Q767" s="25" t="str">
        <x:v>No direct corporate-capital range established in checked source</x:v>
      </x:c>
      <x:c r="R767" s="25" t="str">
        <x:v>Property acquisition or investor activity makes this an operator-capital prospect for the signed trial. Confirm operating-company debt/equity appetite.</x:v>
      </x:c>
      <x:c r="S767" s="25"/>
      <x:c r="T767" s="25" t="str">
        <x:v>Ask the owner/investor whether they can allocate $100K-$500K to trial marketing and acquisitions, and confirm structure, timing and decision authority.</x:v>
      </x:c>
      <x:c r="U767" s="25" t="str">
        <x:v>https://www.cashhomebuyersdirectory.com/cash-home-buyers/south-carolina/charleston</x:v>
      </x:c>
      <x:c r="V767" s="26" t="d">
        <x:v>2026-10-02T00:00:00.000Z</x:v>
      </x:c>
      <x:c r="W767" s="26" t="d">
        <x:v>2026-10-02T00:00:00.000Z</x:v>
      </x:c>
      <x:c r="X767" s="25" t="str">
        <x:v>CashHomeBuyersDirectory third-party business listing; first-party business activity not checked in this batch</x:v>
      </x:c>
      <x:c r="Y767" s="25"/>
      <x:c r="Z767" s="25" t="str">
        <x:v>https://www.cashhomebuyersdirectory.com/cash-home-buyers/south-carolina/charleston</x:v>
      </x:c>
      <x:c r="AA767" s="25" t="str">
        <x:v>Public cash-home-buyer directory lists the business name, business phone/website where available and market. Operator role and corporate funding willingness require confirmation.</x:v>
      </x:c>
      <x:c r="AB767" s="3" t="str">
        <x:v>New public-source collection</x:v>
      </x:c>
      <x:c r="AC767" s="3" t="str">
        <x:v>unverified</x:v>
      </x:c>
      <x:c r="AD767" s="3" t="str">
        <x:v>Not contacted / unconfirmed</x:v>
      </x:c>
      <x:c r="AE767" s="3" t="str">
        <x:v>No</x:v>
      </x:c>
      <x:c r="AF767" s="3" t="str">
        <x:v>No</x:v>
      </x:c>
      <x:c r="AG767" s="3"/>
      <x:c r="AH767" s="3"/>
      <x:c r="AI767" s="18"/>
      <x:c r="AJ767" s="3" t="str">
        <x:v>CF2500-D15755B3B706</x:v>
      </x:c>
      <x:c r="AK767" s="3" t="str">
        <x:v>real_estate_operator</x:v>
      </x:c>
      <x:c r="AL767" s="19" t="n">
        <x:v>100000</x:v>
      </x:c>
      <x:c r="AM767" s="19" t="n">
        <x:v>500000</x:v>
      </x:c>
      <x:c r="AN767" s="3" t="str">
        <x:v>https://www.cashhomebuyersdirectory.com/cash-home-buyers/south-carolina/charleston</x:v>
      </x:c>
      <x:c r="AO767" s="3" t="str">
        <x:v>national_rest_directory_complete.jsonl</x:v>
      </x:c>
      <x:c r="AP767" s="19"/>
    </x:row>
    <x:row r="768" ht="36" customHeight="1">
      <x:c r="A768" s="23" t="n">
        <x:v>767</x:v>
      </x:c>
      <x:c r="B768" s="15" t="str">
        <x:v>Tuscaloosa Fast Home Buyer | Sell My House Fast for Cash Tuscaloosa</x:v>
      </x:c>
      <x:c r="C768" s="15"/>
      <x:c r="D768" s="15" t="str">
        <x:v>Property investor / home-buying operator</x:v>
      </x:c>
      <x:c r="E768" s="15" t="str">
        <x:v>Property investor / operator inquiry</x:v>
      </x:c>
      <x:c r="F768" s="17" t="str">
        <x:v>New</x:v>
      </x:c>
      <x:c r="G768" s="24"/>
      <x:c r="H768" s="24" t="str">
        <x:v>+12052164430</x:v>
      </x:c>
      <x:c r="I768" s="24" t="str">
        <x:v>https://www.tuscaloosafasthomebuyer.com/</x:v>
      </x:c>
      <x:c r="J768" s="16" t="str">
        <x:v>AL</x:v>
      </x:c>
      <x:c r="K768" s="16"/>
      <x:c r="L768" s="16" t="str">
        <x:v>Public property-business route; investor decision maker unconfirmed</x:v>
      </x:c>
      <x:c r="M768" s="16" t="str">
        <x:v>https://www.tuscaloosafasthomebuyer.com/</x:v>
      </x:c>
      <x:c r="N768" s="16" t="str">
        <x:v>$100K-$500K ticket not published / unconfirmed</x:v>
      </x:c>
      <x:c r="O768" s="20"/>
      <x:c r="P768" s="20"/>
      <x:c r="Q768" s="25" t="str">
        <x:v>No direct corporate-capital range established in checked source</x:v>
      </x:c>
      <x:c r="R768" s="25" t="str">
        <x:v>Property acquisition or investor activity makes this an operator-capital prospect for the signed trial. Confirm operating-company debt/equity appetite.</x:v>
      </x:c>
      <x:c r="S768" s="25"/>
      <x:c r="T768" s="25" t="str">
        <x:v>Ask the owner/investor whether they can allocate $100K-$500K to trial marketing and acquisitions, and confirm structure, timing and decision authority.</x:v>
      </x:c>
      <x:c r="U768" s="25" t="str">
        <x:v>https://www.cashhomebuyersdirectory.com/cash-home-buyers/alabama/tuscaloosa</x:v>
      </x:c>
      <x:c r="V768" s="26" t="d">
        <x:v>2026-10-02T00:00:00.000Z</x:v>
      </x:c>
      <x:c r="W768" s="26" t="d">
        <x:v>2026-10-02T00:00:00.000Z</x:v>
      </x:c>
      <x:c r="X768" s="25" t="str">
        <x:v>CashHomeBuyersDirectory third-party business listing; first-party business activity not checked in this batch</x:v>
      </x:c>
      <x:c r="Y768" s="25"/>
      <x:c r="Z768" s="25" t="str">
        <x:v>https://www.cashhomebuyersdirectory.com/cash-home-buyers/alabama/tuscaloosa</x:v>
      </x:c>
      <x:c r="AA768" s="25" t="str">
        <x:v>Public cash-home-buyer directory lists the business name, business phone/website where available and market. Operator role and corporate funding willingness require confirmation.</x:v>
      </x:c>
      <x:c r="AB768" s="3" t="str">
        <x:v>New public-source collection</x:v>
      </x:c>
      <x:c r="AC768" s="3" t="str">
        <x:v>unverified</x:v>
      </x:c>
      <x:c r="AD768" s="3" t="str">
        <x:v>Not contacted / unconfirmed</x:v>
      </x:c>
      <x:c r="AE768" s="3" t="str">
        <x:v>No</x:v>
      </x:c>
      <x:c r="AF768" s="3" t="str">
        <x:v>No</x:v>
      </x:c>
      <x:c r="AG768" s="3"/>
      <x:c r="AH768" s="3"/>
      <x:c r="AI768" s="18"/>
      <x:c r="AJ768" s="3" t="str">
        <x:v>CF2500-50D14944BB5B</x:v>
      </x:c>
      <x:c r="AK768" s="3" t="str">
        <x:v>real_estate_operator</x:v>
      </x:c>
      <x:c r="AL768" s="19" t="n">
        <x:v>100000</x:v>
      </x:c>
      <x:c r="AM768" s="19" t="n">
        <x:v>500000</x:v>
      </x:c>
      <x:c r="AN768" s="3" t="str">
        <x:v>https://www.cashhomebuyersdirectory.com/cash-home-buyers/alabama/tuscaloosa</x:v>
      </x:c>
      <x:c r="AO768" s="3" t="str">
        <x:v>national_rest_directory_complete.jsonl</x:v>
      </x:c>
      <x:c r="AP768" s="19"/>
    </x:row>
    <x:row r="769" ht="36" customHeight="1">
      <x:c r="A769" s="23" t="n">
        <x:v>768</x:v>
      </x:c>
      <x:c r="B769" s="15" t="str">
        <x:v>Uncommon Home Buyers</x:v>
      </x:c>
      <x:c r="C769" s="15"/>
      <x:c r="D769" s="15" t="str">
        <x:v>Property investor / home-buying operator</x:v>
      </x:c>
      <x:c r="E769" s="15" t="str">
        <x:v>Property investor / operator inquiry</x:v>
      </x:c>
      <x:c r="F769" s="17" t="str">
        <x:v>New</x:v>
      </x:c>
      <x:c r="G769" s="24"/>
      <x:c r="H769" s="24" t="str">
        <x:v>+17069819919</x:v>
      </x:c>
      <x:c r="I769" s="24" t="str">
        <x:v>https://uncommonhomebuyers.com/</x:v>
      </x:c>
      <x:c r="J769" s="16" t="str">
        <x:v>GA</x:v>
      </x:c>
      <x:c r="K769" s="16"/>
      <x:c r="L769" s="16" t="str">
        <x:v>Public property-business route; investor decision maker unconfirmed</x:v>
      </x:c>
      <x:c r="M769" s="16" t="str">
        <x:v>https://uncommonhomebuyers.com/</x:v>
      </x:c>
      <x:c r="N769" s="16" t="str">
        <x:v>$100K-$500K ticket not published / unconfirmed</x:v>
      </x:c>
      <x:c r="O769" s="20"/>
      <x:c r="P769" s="20"/>
      <x:c r="Q769" s="25" t="str">
        <x:v>No direct corporate-capital range established in checked source</x:v>
      </x:c>
      <x:c r="R769" s="25" t="str">
        <x:v>Property acquisition or investor activity makes this an operator-capital prospect for the signed trial. Confirm operating-company debt/equity appetite.</x:v>
      </x:c>
      <x:c r="S769" s="25"/>
      <x:c r="T769" s="25" t="str">
        <x:v>Ask the owner/investor whether they can allocate $100K-$500K to trial marketing and acquisitions, and confirm structure, timing and decision authority.</x:v>
      </x:c>
      <x:c r="U769" s="25" t="str">
        <x:v>https://www.cashhomebuyersdirectory.com/cash-home-buyers/georgia/columbus</x:v>
      </x:c>
      <x:c r="V769" s="26" t="d">
        <x:v>2026-10-02T00:00:00.000Z</x:v>
      </x:c>
      <x:c r="W769" s="26" t="d">
        <x:v>2026-10-02T00:00:00.000Z</x:v>
      </x:c>
      <x:c r="X769" s="25" t="str">
        <x:v>CashHomeBuyersDirectory third-party business listing; first-party business activity not checked in this batch</x:v>
      </x:c>
      <x:c r="Y769" s="25"/>
      <x:c r="Z769" s="25" t="str">
        <x:v>https://www.cashhomebuyersdirectory.com/cash-home-buyers/georgia/columbus</x:v>
      </x:c>
      <x:c r="AA769" s="25" t="str">
        <x:v>Public cash-home-buyer directory lists the business name, business phone/website where available and market. Operator role and corporate funding willingness require confirmation.</x:v>
      </x:c>
      <x:c r="AB769" s="3" t="str">
        <x:v>New public-source collection</x:v>
      </x:c>
      <x:c r="AC769" s="3" t="str">
        <x:v>unverified</x:v>
      </x:c>
      <x:c r="AD769" s="3" t="str">
        <x:v>Not contacted / unconfirmed</x:v>
      </x:c>
      <x:c r="AE769" s="3" t="str">
        <x:v>No</x:v>
      </x:c>
      <x:c r="AF769" s="3" t="str">
        <x:v>No</x:v>
      </x:c>
      <x:c r="AG769" s="3"/>
      <x:c r="AH769" s="3"/>
      <x:c r="AI769" s="18"/>
      <x:c r="AJ769" s="3" t="str">
        <x:v>CF2500-56F383588C08</x:v>
      </x:c>
      <x:c r="AK769" s="3" t="str">
        <x:v>real_estate_operator</x:v>
      </x:c>
      <x:c r="AL769" s="19" t="n">
        <x:v>100000</x:v>
      </x:c>
      <x:c r="AM769" s="19" t="n">
        <x:v>500000</x:v>
      </x:c>
      <x:c r="AN769" s="3" t="str">
        <x:v>https://www.cashhomebuyersdirectory.com/cash-home-buyers/georgia/columbus</x:v>
      </x:c>
      <x:c r="AO769" s="3" t="str">
        <x:v>national_rest_directory_complete.jsonl</x:v>
      </x:c>
      <x:c r="AP769" s="19"/>
    </x:row>
    <x:row r="770" ht="36" customHeight="1">
      <x:c r="A770" s="23" t="n">
        <x:v>769</x:v>
      </x:c>
      <x:c r="B770" s="15" t="str">
        <x:v>Upstate Homebuyers</x:v>
      </x:c>
      <x:c r="C770" s="15"/>
      <x:c r="D770" s="15" t="str">
        <x:v>Property investor / home-buying operator</x:v>
      </x:c>
      <x:c r="E770" s="15" t="str">
        <x:v>Property investor / operator inquiry</x:v>
      </x:c>
      <x:c r="F770" s="17" t="str">
        <x:v>New</x:v>
      </x:c>
      <x:c r="G770" s="24"/>
      <x:c r="H770" s="24" t="str">
        <x:v>+18643004857</x:v>
      </x:c>
      <x:c r="I770" s="24" t="str">
        <x:v>https://sellhouseupstate.com/</x:v>
      </x:c>
      <x:c r="J770" s="16" t="str">
        <x:v>SC</x:v>
      </x:c>
      <x:c r="K770" s="16" t="str">
        <x:v>Greenville</x:v>
      </x:c>
      <x:c r="L770" s="16" t="str">
        <x:v>Public property-business route; investor decision maker unconfirmed</x:v>
      </x:c>
      <x:c r="M770" s="16" t="str">
        <x:v>https://sellhouseupstate.com/</x:v>
      </x:c>
      <x:c r="N770" s="16" t="str">
        <x:v>$100K-$500K ticket not published / unconfirmed</x:v>
      </x:c>
      <x:c r="O770" s="20"/>
      <x:c r="P770" s="20"/>
      <x:c r="Q770" s="25" t="str">
        <x:v>No direct corporate-capital range established in checked source</x:v>
      </x:c>
      <x:c r="R770" s="25" t="str">
        <x:v>Property acquisition or investor activity makes this an operator-capital prospect for the signed trial. Confirm operating-company debt/equity appetite.</x:v>
      </x:c>
      <x:c r="S770" s="25"/>
      <x:c r="T770" s="25" t="str">
        <x:v>Ask the owner/investor whether they can allocate $100K-$500K to trial marketing and acquisitions, and confirm structure, timing and decision authority.</x:v>
      </x:c>
      <x:c r="U770" s="25" t="str">
        <x:v>https://www.cashhomebuyersdirectory.com/cash-home-buyers/south-carolina/greenville</x:v>
      </x:c>
      <x:c r="V770" s="26" t="d">
        <x:v>2026-10-02T00:00:00.000Z</x:v>
      </x:c>
      <x:c r="W770" s="26" t="d">
        <x:v>2026-10-02T00:00:00.000Z</x:v>
      </x:c>
      <x:c r="X770" s="25" t="str">
        <x:v>CashHomeBuyersDirectory third-party business listing; first-party business activity not checked in this batch</x:v>
      </x:c>
      <x:c r="Y770" s="25"/>
      <x:c r="Z770" s="25" t="str">
        <x:v>https://www.cashhomebuyersdirectory.com/cash-home-buyers/south-carolina/greenville</x:v>
      </x:c>
      <x:c r="AA770" s="25" t="str">
        <x:v>Public cash-home-buyer directory lists the business name, business phone/website where available and market. Operator role and corporate funding willingness require confirmation.</x:v>
      </x:c>
      <x:c r="AB770" s="3" t="str">
        <x:v>New public-source collection</x:v>
      </x:c>
      <x:c r="AC770" s="3" t="str">
        <x:v>unverified</x:v>
      </x:c>
      <x:c r="AD770" s="3" t="str">
        <x:v>Not contacted / unconfirmed</x:v>
      </x:c>
      <x:c r="AE770" s="3" t="str">
        <x:v>No</x:v>
      </x:c>
      <x:c r="AF770" s="3" t="str">
        <x:v>No</x:v>
      </x:c>
      <x:c r="AG770" s="3"/>
      <x:c r="AH770" s="3"/>
      <x:c r="AI770" s="18"/>
      <x:c r="AJ770" s="3" t="str">
        <x:v>CF2500-B2911A08AE18</x:v>
      </x:c>
      <x:c r="AK770" s="3" t="str">
        <x:v>real_estate_operator</x:v>
      </x:c>
      <x:c r="AL770" s="19" t="n">
        <x:v>100000</x:v>
      </x:c>
      <x:c r="AM770" s="19" t="n">
        <x:v>500000</x:v>
      </x:c>
      <x:c r="AN770" s="3" t="str">
        <x:v>https://www.cashhomebuyersdirectory.com/cash-home-buyers/south-carolina/greenville</x:v>
      </x:c>
      <x:c r="AO770" s="3" t="str">
        <x:v>national_rest_directory_complete.jsonl</x:v>
      </x:c>
      <x:c r="AP770" s="19"/>
    </x:row>
    <x:row r="771" ht="36" customHeight="1">
      <x:c r="A771" s="23" t="n">
        <x:v>770</x:v>
      </x:c>
      <x:c r="B771" s="15" t="str">
        <x:v>Utah Close Fast Cash Home Buyers</x:v>
      </x:c>
      <x:c r="C771" s="15"/>
      <x:c r="D771" s="15" t="str">
        <x:v>Property investor / home-buying operator</x:v>
      </x:c>
      <x:c r="E771" s="15" t="str">
        <x:v>Property investor / operator inquiry</x:v>
      </x:c>
      <x:c r="F771" s="17" t="str">
        <x:v>New</x:v>
      </x:c>
      <x:c r="G771" s="24"/>
      <x:c r="H771" s="24" t="str">
        <x:v>+18017553865</x:v>
      </x:c>
      <x:c r="I771" s="24" t="str">
        <x:v>https://www.utahclosefast.com/</x:v>
      </x:c>
      <x:c r="J771" s="16" t="str">
        <x:v>UT</x:v>
      </x:c>
      <x:c r="K771" s="16" t="str">
        <x:v>Salt Lake City</x:v>
      </x:c>
      <x:c r="L771" s="16" t="str">
        <x:v>Public property-business route; investor decision maker unconfirmed</x:v>
      </x:c>
      <x:c r="M771" s="16" t="str">
        <x:v>https://www.utahclosefast.com/</x:v>
      </x:c>
      <x:c r="N771" s="16" t="str">
        <x:v>$100K-$500K ticket not published / unconfirmed</x:v>
      </x:c>
      <x:c r="O771" s="20"/>
      <x:c r="P771" s="20"/>
      <x:c r="Q771" s="25" t="str">
        <x:v>No direct corporate-capital range established in checked source</x:v>
      </x:c>
      <x:c r="R771" s="25" t="str">
        <x:v>Property acquisition or investor activity makes this an operator-capital prospect for the signed trial. Confirm operating-company debt/equity appetite.</x:v>
      </x:c>
      <x:c r="S771" s="25"/>
      <x:c r="T771" s="25" t="str">
        <x:v>Ask the owner/investor whether they can allocate $100K-$500K to trial marketing and acquisitions, and confirm structure, timing and decision authority.</x:v>
      </x:c>
      <x:c r="U771" s="25" t="str">
        <x:v>https://www.cashhomebuyersdirectory.com/cash-home-buyers/utah/salt-lake-city</x:v>
      </x:c>
      <x:c r="V771" s="26" t="d">
        <x:v>2026-10-02T00:00:00.000Z</x:v>
      </x:c>
      <x:c r="W771" s="26" t="d">
        <x:v>2026-10-02T00:00:00.000Z</x:v>
      </x:c>
      <x:c r="X771" s="25" t="str">
        <x:v>CashHomeBuyersDirectory third-party business listing; first-party business activity not checked in this batch</x:v>
      </x:c>
      <x:c r="Y771" s="25"/>
      <x:c r="Z771" s="25" t="str">
        <x:v>https://www.cashhomebuyersdirectory.com/cash-home-buyers/utah/salt-lake-city</x:v>
      </x:c>
      <x:c r="AA771" s="25" t="str">
        <x:v>Public cash-home-buyer directory lists the business name, business phone/website where available and market. Operator role and corporate funding willingness require confirmation.</x:v>
      </x:c>
      <x:c r="AB771" s="3" t="str">
        <x:v>New public-source collection</x:v>
      </x:c>
      <x:c r="AC771" s="3" t="str">
        <x:v>unverified</x:v>
      </x:c>
      <x:c r="AD771" s="3" t="str">
        <x:v>Not contacted / unconfirmed</x:v>
      </x:c>
      <x:c r="AE771" s="3" t="str">
        <x:v>No</x:v>
      </x:c>
      <x:c r="AF771" s="3" t="str">
        <x:v>No</x:v>
      </x:c>
      <x:c r="AG771" s="3"/>
      <x:c r="AH771" s="3"/>
      <x:c r="AI771" s="18"/>
      <x:c r="AJ771" s="3" t="str">
        <x:v>CF2500-C011C1EA0381</x:v>
      </x:c>
      <x:c r="AK771" s="3" t="str">
        <x:v>real_estate_operator</x:v>
      </x:c>
      <x:c r="AL771" s="19" t="n">
        <x:v>100000</x:v>
      </x:c>
      <x:c r="AM771" s="19" t="n">
        <x:v>500000</x:v>
      </x:c>
      <x:c r="AN771" s="3" t="str">
        <x:v>https://www.cashhomebuyersdirectory.com/cash-home-buyers/utah/salt-lake-city</x:v>
      </x:c>
      <x:c r="AO771" s="3" t="str">
        <x:v>national_rest_directory_complete.jsonl</x:v>
      </x:c>
      <x:c r="AP771" s="19"/>
    </x:row>
    <x:row r="772" ht="36" customHeight="1">
      <x:c r="A772" s="23" t="n">
        <x:v>771</x:v>
      </x:c>
      <x:c r="B772" s="15" t="str">
        <x:v>Utah Home Buyers</x:v>
      </x:c>
      <x:c r="C772" s="15"/>
      <x:c r="D772" s="15" t="str">
        <x:v>Property investor / home-buying operator</x:v>
      </x:c>
      <x:c r="E772" s="15" t="str">
        <x:v>Property investor / operator inquiry</x:v>
      </x:c>
      <x:c r="F772" s="17" t="str">
        <x:v>New</x:v>
      </x:c>
      <x:c r="G772" s="24"/>
      <x:c r="H772" s="24" t="str">
        <x:v>+18014410323</x:v>
      </x:c>
      <x:c r="I772" s="24" t="str">
        <x:v>http://www.utahhomebuyers.com/</x:v>
      </x:c>
      <x:c r="J772" s="16" t="str">
        <x:v>UT</x:v>
      </x:c>
      <x:c r="K772" s="16" t="str">
        <x:v>Salt Lake City</x:v>
      </x:c>
      <x:c r="L772" s="16" t="str">
        <x:v>Public property-business route; investor decision maker unconfirmed</x:v>
      </x:c>
      <x:c r="M772" s="16" t="str">
        <x:v>http://www.utahhomebuyers.com/</x:v>
      </x:c>
      <x:c r="N772" s="16" t="str">
        <x:v>$100K-$500K ticket not published / unconfirmed</x:v>
      </x:c>
      <x:c r="O772" s="20"/>
      <x:c r="P772" s="20"/>
      <x:c r="Q772" s="25" t="str">
        <x:v>No direct corporate-capital range established in checked source</x:v>
      </x:c>
      <x:c r="R772" s="25" t="str">
        <x:v>Property acquisition or investor activity makes this an operator-capital prospect for the signed trial. Confirm operating-company debt/equity appetite.</x:v>
      </x:c>
      <x:c r="S772" s="25"/>
      <x:c r="T772" s="25" t="str">
        <x:v>Ask the owner/investor whether they can allocate $100K-$500K to trial marketing and acquisitions, and confirm structure, timing and decision authority.</x:v>
      </x:c>
      <x:c r="U772" s="25" t="str">
        <x:v>https://www.cashhomebuyersdirectory.com/cash-home-buyers/utah/salt-lake-city</x:v>
      </x:c>
      <x:c r="V772" s="26" t="d">
        <x:v>2026-10-02T00:00:00.000Z</x:v>
      </x:c>
      <x:c r="W772" s="26" t="d">
        <x:v>2026-10-02T00:00:00.000Z</x:v>
      </x:c>
      <x:c r="X772" s="25" t="str">
        <x:v>CashHomeBuyersDirectory third-party business listing; first-party business activity not checked in this batch</x:v>
      </x:c>
      <x:c r="Y772" s="25"/>
      <x:c r="Z772" s="25" t="str">
        <x:v>https://www.cashhomebuyersdirectory.com/cash-home-buyers/utah/salt-lake-city</x:v>
      </x:c>
      <x:c r="AA772" s="25" t="str">
        <x:v>Public cash-home-buyer directory lists the business name, business phone/website where available and market. Operator role and corporate funding willingness require confirmation.</x:v>
      </x:c>
      <x:c r="AB772" s="3" t="str">
        <x:v>New public-source collection</x:v>
      </x:c>
      <x:c r="AC772" s="3" t="str">
        <x:v>unverified</x:v>
      </x:c>
      <x:c r="AD772" s="3" t="str">
        <x:v>Not contacted / unconfirmed</x:v>
      </x:c>
      <x:c r="AE772" s="3" t="str">
        <x:v>No</x:v>
      </x:c>
      <x:c r="AF772" s="3" t="str">
        <x:v>No</x:v>
      </x:c>
      <x:c r="AG772" s="3"/>
      <x:c r="AH772" s="3"/>
      <x:c r="AI772" s="18"/>
      <x:c r="AJ772" s="3" t="str">
        <x:v>CF2500-81EC8C81690B</x:v>
      </x:c>
      <x:c r="AK772" s="3" t="str">
        <x:v>real_estate_operator</x:v>
      </x:c>
      <x:c r="AL772" s="19" t="n">
        <x:v>100000</x:v>
      </x:c>
      <x:c r="AM772" s="19" t="n">
        <x:v>500000</x:v>
      </x:c>
      <x:c r="AN772" s="3" t="str">
        <x:v>https://www.cashhomebuyersdirectory.com/cash-home-buyers/utah/salt-lake-city</x:v>
      </x:c>
      <x:c r="AO772" s="3" t="str">
        <x:v>national_rest_directory_complete.jsonl</x:v>
      </x:c>
      <x:c r="AP772" s="19"/>
    </x:row>
    <x:row r="773" ht="36" customHeight="1">
      <x:c r="A773" s="23" t="n">
        <x:v>772</x:v>
      </x:c>
      <x:c r="B773" s="15" t="str">
        <x:v>Veritas Buyers We Buy Houses Huntsville AL</x:v>
      </x:c>
      <x:c r="C773" s="15"/>
      <x:c r="D773" s="15" t="str">
        <x:v>Property investor / home-buying operator</x:v>
      </x:c>
      <x:c r="E773" s="15" t="str">
        <x:v>Property investor / operator inquiry</x:v>
      </x:c>
      <x:c r="F773" s="17" t="str">
        <x:v>New</x:v>
      </x:c>
      <x:c r="G773" s="24"/>
      <x:c r="H773" s="24" t="str">
        <x:v>+12564884055</x:v>
      </x:c>
      <x:c r="I773" s="24" t="str">
        <x:v>https://veritasbuyers.com/?utm_source=google&amp;utm_medium=organic&amp;utm_campaign=gmb</x:v>
      </x:c>
      <x:c r="J773" s="16" t="str">
        <x:v>AL</x:v>
      </x:c>
      <x:c r="K773" s="16" t="str">
        <x:v>Huntsville</x:v>
      </x:c>
      <x:c r="L773" s="16" t="str">
        <x:v>Public property-business route; investor decision maker unconfirmed</x:v>
      </x:c>
      <x:c r="M773" s="16" t="str">
        <x:v>https://veritasbuyers.com/?utm_source=google&amp;utm_medium=organic&amp;utm_campaign=gmb</x:v>
      </x:c>
      <x:c r="N773" s="16" t="str">
        <x:v>$100K-$500K ticket not published / unconfirmed</x:v>
      </x:c>
      <x:c r="O773" s="20"/>
      <x:c r="P773" s="20"/>
      <x:c r="Q773" s="25" t="str">
        <x:v>No direct corporate-capital range established in checked source</x:v>
      </x:c>
      <x:c r="R773" s="25" t="str">
        <x:v>Property acquisition or investor activity makes this an operator-capital prospect for the signed trial. Confirm operating-company debt/equity appetite.</x:v>
      </x:c>
      <x:c r="S773" s="25"/>
      <x:c r="T773" s="25" t="str">
        <x:v>Ask the owner/investor whether they can allocate $100K-$500K to trial marketing and acquisitions, and confirm structure, timing and decision authority.</x:v>
      </x:c>
      <x:c r="U773" s="25" t="str">
        <x:v>https://www.cashhomebuyersdirectory.com/cash-home-buyers/alabama/huntsville</x:v>
      </x:c>
      <x:c r="V773" s="26" t="d">
        <x:v>2026-10-02T00:00:00.000Z</x:v>
      </x:c>
      <x:c r="W773" s="26" t="d">
        <x:v>2026-10-02T00:00:00.000Z</x:v>
      </x:c>
      <x:c r="X773" s="25" t="str">
        <x:v>CashHomeBuyersDirectory third-party business listing; first-party business activity not checked in this batch</x:v>
      </x:c>
      <x:c r="Y773" s="25"/>
      <x:c r="Z773" s="25" t="str">
        <x:v>https://www.cashhomebuyersdirectory.com/cash-home-buyers/alabama/huntsville</x:v>
      </x:c>
      <x:c r="AA773" s="25" t="str">
        <x:v>Public cash-home-buyer directory lists the business name, business phone/website where available and market. Operator role and corporate funding willingness require confirmation.</x:v>
      </x:c>
      <x:c r="AB773" s="3" t="str">
        <x:v>New public-source collection</x:v>
      </x:c>
      <x:c r="AC773" s="3" t="str">
        <x:v>unverified</x:v>
      </x:c>
      <x:c r="AD773" s="3" t="str">
        <x:v>Not contacted / unconfirmed</x:v>
      </x:c>
      <x:c r="AE773" s="3" t="str">
        <x:v>No</x:v>
      </x:c>
      <x:c r="AF773" s="3" t="str">
        <x:v>No</x:v>
      </x:c>
      <x:c r="AG773" s="3"/>
      <x:c r="AH773" s="3"/>
      <x:c r="AI773" s="18"/>
      <x:c r="AJ773" s="3" t="str">
        <x:v>CF2500-FB9DEDD22FCE</x:v>
      </x:c>
      <x:c r="AK773" s="3" t="str">
        <x:v>real_estate_operator</x:v>
      </x:c>
      <x:c r="AL773" s="19" t="n">
        <x:v>100000</x:v>
      </x:c>
      <x:c r="AM773" s="19" t="n">
        <x:v>500000</x:v>
      </x:c>
      <x:c r="AN773" s="3" t="str">
        <x:v>https://www.cashhomebuyersdirectory.com/cash-home-buyers/alabama/huntsville</x:v>
      </x:c>
      <x:c r="AO773" s="3" t="str">
        <x:v>national_rest_directory_complete.jsonl</x:v>
      </x:c>
      <x:c r="AP773" s="19"/>
    </x:row>
    <x:row r="774" ht="36" customHeight="1">
      <x:c r="A774" s="23" t="n">
        <x:v>773</x:v>
      </x:c>
      <x:c r="B774" s="15" t="str">
        <x:v>Victory Home Buyers</x:v>
      </x:c>
      <x:c r="C774" s="15"/>
      <x:c r="D774" s="15" t="str">
        <x:v>Property investor / home-buying operator</x:v>
      </x:c>
      <x:c r="E774" s="15" t="str">
        <x:v>Property investor / operator inquiry</x:v>
      </x:c>
      <x:c r="F774" s="17" t="str">
        <x:v>New</x:v>
      </x:c>
      <x:c r="G774" s="24"/>
      <x:c r="H774" s="24" t="str">
        <x:v>+18776604079</x:v>
      </x:c>
      <x:c r="I774" s="24" t="str">
        <x:v>https://www.victorybuyers.com/?utm_source=google&amp;utm_medium=local&amp;utm_campaign=gbp</x:v>
      </x:c>
      <x:c r="J774" s="16" t="str">
        <x:v>TN</x:v>
      </x:c>
      <x:c r="K774" s="16" t="str">
        <x:v>Memphis</x:v>
      </x:c>
      <x:c r="L774" s="16" t="str">
        <x:v>Public property-business route; investor decision maker unconfirmed</x:v>
      </x:c>
      <x:c r="M774" s="16" t="str">
        <x:v>https://www.victorybuyers.com/?utm_source=google&amp;utm_medium=local&amp;utm_campaign=gbp</x:v>
      </x:c>
      <x:c r="N774" s="16" t="str">
        <x:v>$100K-$500K ticket not published / unconfirmed</x:v>
      </x:c>
      <x:c r="O774" s="20"/>
      <x:c r="P774" s="20"/>
      <x:c r="Q774" s="25" t="str">
        <x:v>No direct corporate-capital range established in checked source</x:v>
      </x:c>
      <x:c r="R774" s="25" t="str">
        <x:v>Property acquisition or investor activity makes this an operator-capital prospect for the signed trial. Confirm operating-company debt/equity appetite.</x:v>
      </x:c>
      <x:c r="S774" s="25"/>
      <x:c r="T774" s="25" t="str">
        <x:v>Ask the owner/investor whether they can allocate $100K-$500K to trial marketing and acquisitions, and confirm structure, timing and decision authority.</x:v>
      </x:c>
      <x:c r="U774" s="25" t="str">
        <x:v>https://www.cashhomebuyersdirectory.com/cash-home-buyers/tennessee/memphis</x:v>
      </x:c>
      <x:c r="V774" s="26" t="d">
        <x:v>2026-10-02T00:00:00.000Z</x:v>
      </x:c>
      <x:c r="W774" s="26" t="d">
        <x:v>2026-10-02T00:00:00.000Z</x:v>
      </x:c>
      <x:c r="X774" s="25" t="str">
        <x:v>CashHomeBuyersDirectory third-party business listing; first-party business activity not checked in this batch</x:v>
      </x:c>
      <x:c r="Y774" s="25"/>
      <x:c r="Z774" s="25" t="str">
        <x:v>https://www.cashhomebuyersdirectory.com/cash-home-buyers/tennessee/memphis</x:v>
      </x:c>
      <x:c r="AA774" s="25" t="str">
        <x:v>Public cash-home-buyer directory lists the business name, business phone/website where available and market. Operator role and corporate funding willingness require confirmation.</x:v>
      </x:c>
      <x:c r="AB774" s="3" t="str">
        <x:v>New public-source collection</x:v>
      </x:c>
      <x:c r="AC774" s="3" t="str">
        <x:v>unverified</x:v>
      </x:c>
      <x:c r="AD774" s="3" t="str">
        <x:v>Not contacted / unconfirmed</x:v>
      </x:c>
      <x:c r="AE774" s="3" t="str">
        <x:v>No</x:v>
      </x:c>
      <x:c r="AF774" s="3" t="str">
        <x:v>No</x:v>
      </x:c>
      <x:c r="AG774" s="3"/>
      <x:c r="AH774" s="3"/>
      <x:c r="AI774" s="18"/>
      <x:c r="AJ774" s="3" t="str">
        <x:v>CF2500-6FD1E2E47D35</x:v>
      </x:c>
      <x:c r="AK774" s="3" t="str">
        <x:v>real_estate_operator</x:v>
      </x:c>
      <x:c r="AL774" s="19" t="n">
        <x:v>100000</x:v>
      </x:c>
      <x:c r="AM774" s="19" t="n">
        <x:v>500000</x:v>
      </x:c>
      <x:c r="AN774" s="3" t="str">
        <x:v>https://www.cashhomebuyersdirectory.com/cash-home-buyers/tennessee/memphis</x:v>
      </x:c>
      <x:c r="AO774" s="3" t="str">
        <x:v>national_rest_directory_complete.jsonl</x:v>
      </x:c>
      <x:c r="AP774" s="19"/>
    </x:row>
    <x:row r="775" ht="36" customHeight="1">
      <x:c r="A775" s="23" t="n">
        <x:v>774</x:v>
      </x:c>
      <x:c r="B775" s="15" t="str">
        <x:v>Vision Home Buyers | Sell My House Fast for Cash Denver | We Buy Houses</x:v>
      </x:c>
      <x:c r="C775" s="15"/>
      <x:c r="D775" s="15" t="str">
        <x:v>Property investor / home-buying operator</x:v>
      </x:c>
      <x:c r="E775" s="15" t="str">
        <x:v>Property investor / operator inquiry</x:v>
      </x:c>
      <x:c r="F775" s="17" t="str">
        <x:v>New</x:v>
      </x:c>
      <x:c r="G775" s="24"/>
      <x:c r="H775" s="24" t="str">
        <x:v>+13035209022</x:v>
      </x:c>
      <x:c r="I775" s="24" t="str">
        <x:v>http://visionhomebuyers.com/</x:v>
      </x:c>
      <x:c r="J775" s="16" t="str">
        <x:v>CO</x:v>
      </x:c>
      <x:c r="K775" s="16" t="str">
        <x:v>Denver</x:v>
      </x:c>
      <x:c r="L775" s="16" t="str">
        <x:v>Public property-business route; investor decision maker unconfirmed</x:v>
      </x:c>
      <x:c r="M775" s="16" t="str">
        <x:v>http://visionhomebuyers.com/</x:v>
      </x:c>
      <x:c r="N775" s="16" t="str">
        <x:v>$100K-$500K ticket not published / unconfirmed</x:v>
      </x:c>
      <x:c r="O775" s="20"/>
      <x:c r="P775" s="20"/>
      <x:c r="Q775" s="25" t="str">
        <x:v>No $100K-$500K operating-company investment ticket verified</x:v>
      </x:c>
      <x:c r="R775" s="25" t="str">
        <x:v>Property acquisition or investor activity makes this an operator-capital prospect for the signed trial. Confirm operating-company debt/equity appetite.</x:v>
      </x:c>
      <x:c r="S775" s="25" t="str">
        <x:v>Public property-buying activity or a directory listing does not establish available cash, investing decision-maker, current $100K-$500K capacity, or willingness to fund 101XVC operating costs.</x:v>
      </x:c>
      <x:c r="T775" s="25" t="str">
        <x:v>Ask the owner/investor whether they can allocate $100K-$500K to trial marketing and acquisitions, and confirm structure, timing and decision authority.</x:v>
      </x:c>
      <x:c r="U775" s="25" t="str">
        <x:v>https://www.cashhomebuyersdirectory.com/cash-home-buyers/colorado/denver
https://www.bbb.org/us/co/category/home-buyers</x:v>
      </x:c>
      <x:c r="V775" s="26" t="d">
        <x:v>2026-10-02T00:00:00.000Z</x:v>
      </x:c>
      <x:c r="W775" s="26" t="d">
        <x:v>2026-10-02T00:00:00.000Z</x:v>
      </x:c>
      <x:c r="X775" s="25" t="str">
        <x:v>Public investor directory; business role and contact ownership require qualification</x:v>
      </x:c>
      <x:c r="Y775" s="25"/>
      <x:c r="Z775" s="25" t="str">
        <x:v>https://www.cashhomebuyersdirectory.com/cash-home-buyers/colorado/denver</x:v>
      </x:c>
      <x:c r="AA775" s="25" t="str">
        <x:v>Public cash-home-buyer directory lists business name, phone and market. Directory entry may include brokers or service providers.</x:v>
      </x:c>
      <x:c r="AB775" s="3" t="str">
        <x:v>New public-source collection</x:v>
      </x:c>
      <x:c r="AC775" s="3" t="str">
        <x:v>unverified</x:v>
      </x:c>
      <x:c r="AD775" s="3" t="str">
        <x:v>Not contacted / unconfirmed</x:v>
      </x:c>
      <x:c r="AE775" s="3" t="str">
        <x:v>No</x:v>
      </x:c>
      <x:c r="AF775" s="3" t="str">
        <x:v>No</x:v>
      </x:c>
      <x:c r="AG775" s="3"/>
      <x:c r="AH775" s="3"/>
      <x:c r="AI775" s="18"/>
      <x:c r="AJ775" s="3" t="str">
        <x:v>CF2500-5F8E0B452E4C</x:v>
      </x:c>
      <x:c r="AK775" s="3" t="str">
        <x:v>Property investor / home-buying operator prospect</x:v>
      </x:c>
      <x:c r="AL775" s="19" t="n">
        <x:v>100000</x:v>
      </x:c>
      <x:c r="AM775" s="19" t="n">
        <x:v>500000</x:v>
      </x:c>
      <x:c r="AN775" s="3" t="str">
        <x:v>https://www.cashhomebuyersdirectory.com/cash-home-buyers/colorado/denver</x:v>
      </x:c>
      <x:c r="AO775" s="3" t="str">
        <x:v>nc_il_az_co_investors.jsonl</x:v>
      </x:c>
      <x:c r="AP775" s="19"/>
    </x:row>
    <x:row r="776" ht="36" customHeight="1">
      <x:c r="A776" s="23" t="n">
        <x:v>775</x:v>
      </x:c>
      <x:c r="B776" s="15" t="str">
        <x:v>Vision Real Estate | We Buy Houses In Denver</x:v>
      </x:c>
      <x:c r="C776" s="15"/>
      <x:c r="D776" s="15" t="str">
        <x:v>Property investor / home-buying operator</x:v>
      </x:c>
      <x:c r="E776" s="15" t="str">
        <x:v>Property investor / operator inquiry</x:v>
      </x:c>
      <x:c r="F776" s="17" t="str">
        <x:v>New</x:v>
      </x:c>
      <x:c r="G776" s="24"/>
      <x:c r="H776" s="24" t="str">
        <x:v>+17207260022</x:v>
      </x:c>
      <x:c r="I776" s="24" t="str">
        <x:v>http://www.visionhomesdenver.com/</x:v>
      </x:c>
      <x:c r="J776" s="16" t="str">
        <x:v>CO</x:v>
      </x:c>
      <x:c r="K776" s="16" t="str">
        <x:v>Denver</x:v>
      </x:c>
      <x:c r="L776" s="16" t="str">
        <x:v>Public property-business route; investor decision maker unconfirmed</x:v>
      </x:c>
      <x:c r="M776" s="16" t="str">
        <x:v>http://www.visionhomesdenver.com/</x:v>
      </x:c>
      <x:c r="N776" s="16" t="str">
        <x:v>$100K-$500K ticket not published / unconfirmed</x:v>
      </x:c>
      <x:c r="O776" s="20"/>
      <x:c r="P776" s="20"/>
      <x:c r="Q776" s="25" t="str">
        <x:v>No $100K-$500K operating-company investment ticket verified</x:v>
      </x:c>
      <x:c r="R776" s="25" t="str">
        <x:v>Property acquisition or investor activity makes this an operator-capital prospect for the signed trial. Confirm operating-company debt/equity appetite.</x:v>
      </x:c>
      <x:c r="S776" s="25" t="str">
        <x:v>Public property-buying activity or a directory listing does not establish available cash, investing decision-maker, current $100K-$500K capacity, or willingness to fund 101XVC operating costs.</x:v>
      </x:c>
      <x:c r="T776" s="25" t="str">
        <x:v>Ask the owner/investor whether they can allocate $100K-$500K to trial marketing and acquisitions, and confirm structure, timing and decision authority.</x:v>
      </x:c>
      <x:c r="U776" s="25" t="str">
        <x:v>https://www.cashhomebuyersdirectory.com/cash-home-buyers/colorado/denver</x:v>
      </x:c>
      <x:c r="V776" s="26" t="d">
        <x:v>2026-10-02T00:00:00.000Z</x:v>
      </x:c>
      <x:c r="W776" s="26" t="d">
        <x:v>2026-10-02T00:00:00.000Z</x:v>
      </x:c>
      <x:c r="X776" s="25" t="str">
        <x:v>Public investor directory; business role and contact ownership require qualification</x:v>
      </x:c>
      <x:c r="Y776" s="25"/>
      <x:c r="Z776" s="25" t="str">
        <x:v>https://www.cashhomebuyersdirectory.com/cash-home-buyers/colorado/denver</x:v>
      </x:c>
      <x:c r="AA776" s="25" t="str">
        <x:v>Public cash-home-buyer directory lists business name, phone and market. Directory entry may include brokers or service providers.</x:v>
      </x:c>
      <x:c r="AB776" s="3" t="str">
        <x:v>New public-source collection</x:v>
      </x:c>
      <x:c r="AC776" s="3" t="str">
        <x:v>unverified</x:v>
      </x:c>
      <x:c r="AD776" s="3" t="str">
        <x:v>Not contacted / unconfirmed</x:v>
      </x:c>
      <x:c r="AE776" s="3" t="str">
        <x:v>No</x:v>
      </x:c>
      <x:c r="AF776" s="3" t="str">
        <x:v>No</x:v>
      </x:c>
      <x:c r="AG776" s="3"/>
      <x:c r="AH776" s="3"/>
      <x:c r="AI776" s="18"/>
      <x:c r="AJ776" s="3" t="str">
        <x:v>CF2500-D2E78D866B6F</x:v>
      </x:c>
      <x:c r="AK776" s="3" t="str">
        <x:v>Property investor / home-buying operator prospect</x:v>
      </x:c>
      <x:c r="AL776" s="19" t="n">
        <x:v>100000</x:v>
      </x:c>
      <x:c r="AM776" s="19" t="n">
        <x:v>500000</x:v>
      </x:c>
      <x:c r="AN776" s="3" t="str">
        <x:v>https://www.cashhomebuyersdirectory.com/cash-home-buyers/colorado/denver</x:v>
      </x:c>
      <x:c r="AO776" s="3" t="str">
        <x:v>nc_il_az_co_investors.jsonl</x:v>
      </x:c>
      <x:c r="AP776" s="19"/>
    </x:row>
    <x:row r="777" ht="36" customHeight="1">
      <x:c r="A777" s="23" t="n">
        <x:v>776</x:v>
      </x:c>
      <x:c r="B777" s="15" t="str">
        <x:v>Wave Time Home Buyers</x:v>
      </x:c>
      <x:c r="C777" s="15"/>
      <x:c r="D777" s="15" t="str">
        <x:v>Property investor / home-buying operator</x:v>
      </x:c>
      <x:c r="E777" s="15" t="str">
        <x:v>Property investor / operator inquiry</x:v>
      </x:c>
      <x:c r="F777" s="17" t="str">
        <x:v>New</x:v>
      </x:c>
      <x:c r="G777" s="24"/>
      <x:c r="H777" s="24" t="str">
        <x:v>+18432836880</x:v>
      </x:c>
      <x:c r="I777" s="24" t="str">
        <x:v>https://wavetimehomebuyers.com/</x:v>
      </x:c>
      <x:c r="J777" s="16" t="str">
        <x:v>SC</x:v>
      </x:c>
      <x:c r="K777" s="16" t="str">
        <x:v>Myrtle Beach</x:v>
      </x:c>
      <x:c r="L777" s="16" t="str">
        <x:v>Public property-business route; investor decision maker unconfirmed</x:v>
      </x:c>
      <x:c r="M777" s="16" t="str">
        <x:v>https://wavetimehomebuyers.com/</x:v>
      </x:c>
      <x:c r="N777" s="16" t="str">
        <x:v>$100K-$500K ticket not published / unconfirmed</x:v>
      </x:c>
      <x:c r="O777" s="20"/>
      <x:c r="P777" s="20"/>
      <x:c r="Q777" s="25" t="str">
        <x:v>No direct corporate-capital range established in checked source</x:v>
      </x:c>
      <x:c r="R777" s="25" t="str">
        <x:v>Property acquisition or investor activity makes this an operator-capital prospect for the signed trial. Confirm operating-company debt/equity appetite.</x:v>
      </x:c>
      <x:c r="S777" s="25"/>
      <x:c r="T777" s="25" t="str">
        <x:v>Ask the owner/investor whether they can allocate $100K-$500K to trial marketing and acquisitions, and confirm structure, timing and decision authority.</x:v>
      </x:c>
      <x:c r="U777" s="25" t="str">
        <x:v>https://www.cashhomebuyersdirectory.com/cash-home-buyers/south-carolina/myrtle-beach</x:v>
      </x:c>
      <x:c r="V777" s="26" t="d">
        <x:v>2026-10-02T00:00:00.000Z</x:v>
      </x:c>
      <x:c r="W777" s="26" t="d">
        <x:v>2026-10-02T00:00:00.000Z</x:v>
      </x:c>
      <x:c r="X777" s="25" t="str">
        <x:v>CashHomeBuyersDirectory third-party business listing; first-party business activity not checked in this batch</x:v>
      </x:c>
      <x:c r="Y777" s="25"/>
      <x:c r="Z777" s="25" t="str">
        <x:v>https://www.cashhomebuyersdirectory.com/cash-home-buyers/south-carolina/myrtle-beach</x:v>
      </x:c>
      <x:c r="AA777" s="25" t="str">
        <x:v>Public cash-home-buyer directory lists the business name, business phone/website where available and market. Operator role and corporate funding willingness require confirmation.</x:v>
      </x:c>
      <x:c r="AB777" s="3" t="str">
        <x:v>New public-source collection</x:v>
      </x:c>
      <x:c r="AC777" s="3" t="str">
        <x:v>unverified</x:v>
      </x:c>
      <x:c r="AD777" s="3" t="str">
        <x:v>Not contacted / unconfirmed</x:v>
      </x:c>
      <x:c r="AE777" s="3" t="str">
        <x:v>No</x:v>
      </x:c>
      <x:c r="AF777" s="3" t="str">
        <x:v>No</x:v>
      </x:c>
      <x:c r="AG777" s="3"/>
      <x:c r="AH777" s="3"/>
      <x:c r="AI777" s="18"/>
      <x:c r="AJ777" s="3" t="str">
        <x:v>CF2500-6197EAE08B71</x:v>
      </x:c>
      <x:c r="AK777" s="3" t="str">
        <x:v>real_estate_operator</x:v>
      </x:c>
      <x:c r="AL777" s="19" t="n">
        <x:v>100000</x:v>
      </x:c>
      <x:c r="AM777" s="19" t="n">
        <x:v>500000</x:v>
      </x:c>
      <x:c r="AN777" s="3" t="str">
        <x:v>https://www.cashhomebuyersdirectory.com/cash-home-buyers/south-carolina/myrtle-beach</x:v>
      </x:c>
      <x:c r="AO777" s="3" t="str">
        <x:v>national_rest_directory_complete.jsonl</x:v>
      </x:c>
      <x:c r="AP777" s="19"/>
    </x:row>
    <x:row r="778" ht="36" customHeight="1">
      <x:c r="A778" s="23" t="n">
        <x:v>777</x:v>
      </x:c>
      <x:c r="B778" s="15" t="str">
        <x:v>WCC Properties - Cash Home Buyer</x:v>
      </x:c>
      <x:c r="C778" s="15"/>
      <x:c r="D778" s="15" t="str">
        <x:v>Property investor / home-buying operator</x:v>
      </x:c>
      <x:c r="E778" s="15" t="str">
        <x:v>Property investor / operator inquiry</x:v>
      </x:c>
      <x:c r="F778" s="17" t="str">
        <x:v>New</x:v>
      </x:c>
      <x:c r="G778" s="24"/>
      <x:c r="H778" s="24" t="str">
        <x:v>+12602504663</x:v>
      </x:c>
      <x:c r="I778" s="24" t="str">
        <x:v>https://www.fastcashhomesfw.com/</x:v>
      </x:c>
      <x:c r="J778" s="16" t="str">
        <x:v>IN</x:v>
      </x:c>
      <x:c r="K778" s="16" t="str">
        <x:v>Fort Wayne</x:v>
      </x:c>
      <x:c r="L778" s="16" t="str">
        <x:v>Public property-business route; investor decision maker unconfirmed</x:v>
      </x:c>
      <x:c r="M778" s="16" t="str">
        <x:v>https://www.fastcashhomesfw.com/</x:v>
      </x:c>
      <x:c r="N778" s="16" t="str">
        <x:v>$100K-$500K ticket not published / unconfirmed</x:v>
      </x:c>
      <x:c r="O778" s="20"/>
      <x:c r="P778" s="20"/>
      <x:c r="Q778" s="25" t="str">
        <x:v>No direct corporate-capital range established in checked source</x:v>
      </x:c>
      <x:c r="R778" s="25" t="str">
        <x:v>Property acquisition or investor activity makes this an operator-capital prospect for the signed trial. Confirm operating-company debt/equity appetite.</x:v>
      </x:c>
      <x:c r="S778" s="25"/>
      <x:c r="T778" s="25" t="str">
        <x:v>Ask the owner/investor whether they can allocate $100K-$500K to trial marketing and acquisitions, and confirm structure, timing and decision authority.</x:v>
      </x:c>
      <x:c r="U778" s="25" t="str">
        <x:v>https://www.cashhomebuyersdirectory.com/cash-home-buyers/indiana/fort-wayne</x:v>
      </x:c>
      <x:c r="V778" s="26" t="d">
        <x:v>2026-10-02T00:00:00.000Z</x:v>
      </x:c>
      <x:c r="W778" s="26" t="d">
        <x:v>2026-10-02T00:00:00.000Z</x:v>
      </x:c>
      <x:c r="X778" s="25" t="str">
        <x:v>CashHomeBuyersDirectory third-party business listing; first-party business activity not checked in this batch</x:v>
      </x:c>
      <x:c r="Y778" s="25"/>
      <x:c r="Z778" s="25" t="str">
        <x:v>https://www.cashhomebuyersdirectory.com/cash-home-buyers/indiana/fort-wayne</x:v>
      </x:c>
      <x:c r="AA778" s="25" t="str">
        <x:v>Public cash-home-buyer directory lists the business name, business phone/website where available and market. Operator role and corporate funding willingness require confirmation.</x:v>
      </x:c>
      <x:c r="AB778" s="3" t="str">
        <x:v>New public-source collection</x:v>
      </x:c>
      <x:c r="AC778" s="3" t="str">
        <x:v>unverified</x:v>
      </x:c>
      <x:c r="AD778" s="3" t="str">
        <x:v>Not contacted / unconfirmed</x:v>
      </x:c>
      <x:c r="AE778" s="3" t="str">
        <x:v>No</x:v>
      </x:c>
      <x:c r="AF778" s="3" t="str">
        <x:v>No</x:v>
      </x:c>
      <x:c r="AG778" s="3"/>
      <x:c r="AH778" s="3"/>
      <x:c r="AI778" s="18"/>
      <x:c r="AJ778" s="3" t="str">
        <x:v>CF2500-36472EC245DE</x:v>
      </x:c>
      <x:c r="AK778" s="3" t="str">
        <x:v>real_estate_operator</x:v>
      </x:c>
      <x:c r="AL778" s="19" t="n">
        <x:v>100000</x:v>
      </x:c>
      <x:c r="AM778" s="19" t="n">
        <x:v>500000</x:v>
      </x:c>
      <x:c r="AN778" s="3" t="str">
        <x:v>https://www.cashhomebuyersdirectory.com/cash-home-buyers/indiana/fort-wayne</x:v>
      </x:c>
      <x:c r="AO778" s="3" t="str">
        <x:v>national_rest_directory_complete.jsonl</x:v>
      </x:c>
      <x:c r="AP778" s="19"/>
    </x:row>
    <x:row r="779" ht="36" customHeight="1">
      <x:c r="A779" s="23" t="n">
        <x:v>778</x:v>
      </x:c>
      <x:c r="B779" s="15" t="str">
        <x:v>We Buy Houses Birmingham</x:v>
      </x:c>
      <x:c r="C779" s="15"/>
      <x:c r="D779" s="15" t="str">
        <x:v>Property investor / home-buying operator</x:v>
      </x:c>
      <x:c r="E779" s="15" t="str">
        <x:v>Property investor / operator inquiry</x:v>
      </x:c>
      <x:c r="F779" s="17" t="str">
        <x:v>New</x:v>
      </x:c>
      <x:c r="G779" s="24"/>
      <x:c r="H779" s="24" t="str">
        <x:v>+12053040032</x:v>
      </x:c>
      <x:c r="I779" s="24" t="str">
        <x:v>https://birmingham.webuyhouses.com/?utm_source=gbp</x:v>
      </x:c>
      <x:c r="J779" s="16" t="str">
        <x:v>AL</x:v>
      </x:c>
      <x:c r="K779" s="16" t="str">
        <x:v>Birmingham</x:v>
      </x:c>
      <x:c r="L779" s="16" t="str">
        <x:v>Public property-business route; investor decision maker unconfirmed</x:v>
      </x:c>
      <x:c r="M779" s="16" t="str">
        <x:v>https://birmingham.webuyhouses.com/?utm_source=gbp</x:v>
      </x:c>
      <x:c r="N779" s="16" t="str">
        <x:v>$100K-$500K ticket not published / unconfirmed</x:v>
      </x:c>
      <x:c r="O779" s="20"/>
      <x:c r="P779" s="20"/>
      <x:c r="Q779" s="25" t="str">
        <x:v>No direct corporate-capital range established in checked source</x:v>
      </x:c>
      <x:c r="R779" s="25" t="str">
        <x:v>Property acquisition or investor activity makes this an operator-capital prospect for the signed trial. Confirm operating-company debt/equity appetite.</x:v>
      </x:c>
      <x:c r="S779" s="25"/>
      <x:c r="T779" s="25" t="str">
        <x:v>Ask the owner/investor whether they can allocate $100K-$500K to trial marketing and acquisitions, and confirm structure, timing and decision authority.</x:v>
      </x:c>
      <x:c r="U779" s="25" t="str">
        <x:v>https://www.cashhomebuyersdirectory.com/cash-home-buyers/alabama/birmingham</x:v>
      </x:c>
      <x:c r="V779" s="26" t="d">
        <x:v>2026-10-02T00:00:00.000Z</x:v>
      </x:c>
      <x:c r="W779" s="26" t="d">
        <x:v>2026-10-02T00:00:00.000Z</x:v>
      </x:c>
      <x:c r="X779" s="25" t="str">
        <x:v>CashHomeBuyersDirectory third-party business listing; first-party business activity not checked in this batch</x:v>
      </x:c>
      <x:c r="Y779" s="25"/>
      <x:c r="Z779" s="25" t="str">
        <x:v>https://www.cashhomebuyersdirectory.com/cash-home-buyers/alabama/birmingham</x:v>
      </x:c>
      <x:c r="AA779" s="25" t="str">
        <x:v>Public cash-home-buyer directory lists the business name, business phone/website where available and market. Operator role and corporate funding willingness require confirmation.</x:v>
      </x:c>
      <x:c r="AB779" s="3" t="str">
        <x:v>New public-source collection</x:v>
      </x:c>
      <x:c r="AC779" s="3" t="str">
        <x:v>unverified</x:v>
      </x:c>
      <x:c r="AD779" s="3" t="str">
        <x:v>Not contacted / unconfirmed</x:v>
      </x:c>
      <x:c r="AE779" s="3" t="str">
        <x:v>No</x:v>
      </x:c>
      <x:c r="AF779" s="3" t="str">
        <x:v>No</x:v>
      </x:c>
      <x:c r="AG779" s="3"/>
      <x:c r="AH779" s="3"/>
      <x:c r="AI779" s="18"/>
      <x:c r="AJ779" s="3" t="str">
        <x:v>CF2500-F2A231C7DB8F</x:v>
      </x:c>
      <x:c r="AK779" s="3" t="str">
        <x:v>real_estate_operator</x:v>
      </x:c>
      <x:c r="AL779" s="19" t="n">
        <x:v>100000</x:v>
      </x:c>
      <x:c r="AM779" s="19" t="n">
        <x:v>500000</x:v>
      </x:c>
      <x:c r="AN779" s="3" t="str">
        <x:v>https://www.cashhomebuyersdirectory.com/cash-home-buyers/alabama/birmingham</x:v>
      </x:c>
      <x:c r="AO779" s="3" t="str">
        <x:v>national_rest_directory_complete.jsonl</x:v>
      </x:c>
      <x:c r="AP779" s="19"/>
    </x:row>
    <x:row r="780" ht="36" customHeight="1">
      <x:c r="A780" s="23" t="n">
        <x:v>779</x:v>
      </x:c>
      <x:c r="B780" s="15" t="str">
        <x:v>We Buy Houses Cash Knoxville</x:v>
      </x:c>
      <x:c r="C780" s="15"/>
      <x:c r="D780" s="15" t="str">
        <x:v>Property investor / home-buying operator</x:v>
      </x:c>
      <x:c r="E780" s="15" t="str">
        <x:v>Property investor / operator inquiry</x:v>
      </x:c>
      <x:c r="F780" s="17" t="str">
        <x:v>New</x:v>
      </x:c>
      <x:c r="G780" s="24"/>
      <x:c r="H780" s="24" t="str">
        <x:v>+18653463800</x:v>
      </x:c>
      <x:c r="I780" s="24" t="str">
        <x:v>https://webuyhousescashknoxville.com/</x:v>
      </x:c>
      <x:c r="J780" s="16" t="str">
        <x:v>TN</x:v>
      </x:c>
      <x:c r="K780" s="16" t="str">
        <x:v>Knoxville</x:v>
      </x:c>
      <x:c r="L780" s="16" t="str">
        <x:v>Public property-business route; investor decision maker unconfirmed</x:v>
      </x:c>
      <x:c r="M780" s="16" t="str">
        <x:v>https://webuyhousescashknoxville.com/</x:v>
      </x:c>
      <x:c r="N780" s="16" t="str">
        <x:v>$100K-$500K ticket not published / unconfirmed</x:v>
      </x:c>
      <x:c r="O780" s="20"/>
      <x:c r="P780" s="20"/>
      <x:c r="Q780" s="25" t="str">
        <x:v>No direct corporate-capital range established in checked source</x:v>
      </x:c>
      <x:c r="R780" s="25" t="str">
        <x:v>Property acquisition or investor activity makes this an operator-capital prospect for the signed trial. Confirm operating-company debt/equity appetite.</x:v>
      </x:c>
      <x:c r="S780" s="25"/>
      <x:c r="T780" s="25" t="str">
        <x:v>Ask the owner/investor whether they can allocate $100K-$500K to trial marketing and acquisitions, and confirm structure, timing and decision authority.</x:v>
      </x:c>
      <x:c r="U780" s="25" t="str">
        <x:v>https://www.cashhomebuyersdirectory.com/cash-home-buyers/tennessee/knoxville</x:v>
      </x:c>
      <x:c r="V780" s="26" t="d">
        <x:v>2026-10-02T00:00:00.000Z</x:v>
      </x:c>
      <x:c r="W780" s="26" t="d">
        <x:v>2026-10-02T00:00:00.000Z</x:v>
      </x:c>
      <x:c r="X780" s="25" t="str">
        <x:v>CashHomeBuyersDirectory third-party business listing; first-party business activity not checked in this batch</x:v>
      </x:c>
      <x:c r="Y780" s="25"/>
      <x:c r="Z780" s="25" t="str">
        <x:v>https://www.cashhomebuyersdirectory.com/cash-home-buyers/tennessee/knoxville</x:v>
      </x:c>
      <x:c r="AA780" s="25" t="str">
        <x:v>Public cash-home-buyer directory lists the business name, business phone/website where available and market. Operator role and corporate funding willingness require confirmation.</x:v>
      </x:c>
      <x:c r="AB780" s="3" t="str">
        <x:v>New public-source collection</x:v>
      </x:c>
      <x:c r="AC780" s="3" t="str">
        <x:v>unverified</x:v>
      </x:c>
      <x:c r="AD780" s="3" t="str">
        <x:v>Not contacted / unconfirmed</x:v>
      </x:c>
      <x:c r="AE780" s="3" t="str">
        <x:v>No</x:v>
      </x:c>
      <x:c r="AF780" s="3" t="str">
        <x:v>No</x:v>
      </x:c>
      <x:c r="AG780" s="3"/>
      <x:c r="AH780" s="3"/>
      <x:c r="AI780" s="18"/>
      <x:c r="AJ780" s="3" t="str">
        <x:v>CF2500-73C500BF5911</x:v>
      </x:c>
      <x:c r="AK780" s="3" t="str">
        <x:v>real_estate_operator</x:v>
      </x:c>
      <x:c r="AL780" s="19" t="n">
        <x:v>100000</x:v>
      </x:c>
      <x:c r="AM780" s="19" t="n">
        <x:v>500000</x:v>
      </x:c>
      <x:c r="AN780" s="3" t="str">
        <x:v>https://www.cashhomebuyersdirectory.com/cash-home-buyers/tennessee/knoxville</x:v>
      </x:c>
      <x:c r="AO780" s="3" t="str">
        <x:v>national_rest_directory_complete.jsonl</x:v>
      </x:c>
      <x:c r="AP780" s="19"/>
    </x:row>
    <x:row r="781" ht="36" customHeight="1">
      <x:c r="A781" s="23" t="n">
        <x:v>780</x:v>
      </x:c>
      <x:c r="B781" s="15" t="str">
        <x:v>We Buy Houses Charleston SC</x:v>
      </x:c>
      <x:c r="C781" s="15"/>
      <x:c r="D781" s="15" t="str">
        <x:v>Property investor / home-buying operator</x:v>
      </x:c>
      <x:c r="E781" s="15" t="str">
        <x:v>Property investor / operator inquiry</x:v>
      </x:c>
      <x:c r="F781" s="17" t="str">
        <x:v>New</x:v>
      </x:c>
      <x:c r="G781" s="24"/>
      <x:c r="H781" s="24" t="str">
        <x:v>+18438854646</x:v>
      </x:c>
      <x:c r="I781" s="24" t="str">
        <x:v>https://www.palmettostatehomebuyers.com/we-buy-houses-charleston-sc/</x:v>
      </x:c>
      <x:c r="J781" s="16" t="str">
        <x:v>SC</x:v>
      </x:c>
      <x:c r="K781" s="16"/>
      <x:c r="L781" s="16" t="str">
        <x:v>Public property-business route; investor decision maker unconfirmed</x:v>
      </x:c>
      <x:c r="M781" s="16" t="str">
        <x:v>https://www.palmettostatehomebuyers.com/we-buy-houses-charleston-sc/</x:v>
      </x:c>
      <x:c r="N781" s="16" t="str">
        <x:v>$100K-$500K ticket not published / unconfirmed</x:v>
      </x:c>
      <x:c r="O781" s="20"/>
      <x:c r="P781" s="20"/>
      <x:c r="Q781" s="25" t="str">
        <x:v>No direct corporate-capital range established in checked source</x:v>
      </x:c>
      <x:c r="R781" s="25" t="str">
        <x:v>Property acquisition or investor activity makes this an operator-capital prospect for the signed trial. Confirm operating-company debt/equity appetite.</x:v>
      </x:c>
      <x:c r="S781" s="25"/>
      <x:c r="T781" s="25" t="str">
        <x:v>Ask the owner/investor whether they can allocate $100K-$500K to trial marketing and acquisitions, and confirm structure, timing and decision authority.</x:v>
      </x:c>
      <x:c r="U781" s="25" t="str">
        <x:v>https://www.cashhomebuyersdirectory.com/cash-home-buyers/south-carolina/charleston</x:v>
      </x:c>
      <x:c r="V781" s="26" t="d">
        <x:v>2026-10-02T00:00:00.000Z</x:v>
      </x:c>
      <x:c r="W781" s="26" t="d">
        <x:v>2026-10-02T00:00:00.000Z</x:v>
      </x:c>
      <x:c r="X781" s="25" t="str">
        <x:v>CashHomeBuyersDirectory third-party business listing; first-party business activity not checked in this batch</x:v>
      </x:c>
      <x:c r="Y781" s="25"/>
      <x:c r="Z781" s="25" t="str">
        <x:v>https://www.cashhomebuyersdirectory.com/cash-home-buyers/south-carolina/charleston</x:v>
      </x:c>
      <x:c r="AA781" s="25" t="str">
        <x:v>Public cash-home-buyer directory lists the business name, business phone/website where available and market. Operator role and corporate funding willingness require confirmation.</x:v>
      </x:c>
      <x:c r="AB781" s="3" t="str">
        <x:v>New public-source collection</x:v>
      </x:c>
      <x:c r="AC781" s="3" t="str">
        <x:v>unverified</x:v>
      </x:c>
      <x:c r="AD781" s="3" t="str">
        <x:v>Not contacted / unconfirmed</x:v>
      </x:c>
      <x:c r="AE781" s="3" t="str">
        <x:v>No</x:v>
      </x:c>
      <x:c r="AF781" s="3" t="str">
        <x:v>No</x:v>
      </x:c>
      <x:c r="AG781" s="3"/>
      <x:c r="AH781" s="3"/>
      <x:c r="AI781" s="18"/>
      <x:c r="AJ781" s="3" t="str">
        <x:v>CF2500-1CE497BC3B4E</x:v>
      </x:c>
      <x:c r="AK781" s="3" t="str">
        <x:v>real_estate_operator</x:v>
      </x:c>
      <x:c r="AL781" s="19" t="n">
        <x:v>100000</x:v>
      </x:c>
      <x:c r="AM781" s="19" t="n">
        <x:v>500000</x:v>
      </x:c>
      <x:c r="AN781" s="3" t="str">
        <x:v>https://www.cashhomebuyersdirectory.com/cash-home-buyers/south-carolina/charleston</x:v>
      </x:c>
      <x:c r="AO781" s="3" t="str">
        <x:v>national_rest_directory_complete.jsonl</x:v>
      </x:c>
      <x:c r="AP781" s="19"/>
    </x:row>
    <x:row r="782" ht="36" customHeight="1">
      <x:c r="A782" s="23" t="n">
        <x:v>781</x:v>
      </x:c>
      <x:c r="B782" s="15" t="str">
        <x:v>We buy houses Chattanooga</x:v>
      </x:c>
      <x:c r="C782" s="15"/>
      <x:c r="D782" s="15" t="str">
        <x:v>Property investor / home-buying operator</x:v>
      </x:c>
      <x:c r="E782" s="15" t="str">
        <x:v>Property investor / operator inquiry</x:v>
      </x:c>
      <x:c r="F782" s="17" t="str">
        <x:v>New</x:v>
      </x:c>
      <x:c r="G782" s="24"/>
      <x:c r="H782" s="24" t="str">
        <x:v>+14239331919</x:v>
      </x:c>
      <x:c r="I782" s="24" t="str">
        <x:v>https://www.webuyhouseschattanooga.com/</x:v>
      </x:c>
      <x:c r="J782" s="16" t="str">
        <x:v>TN</x:v>
      </x:c>
      <x:c r="K782" s="16"/>
      <x:c r="L782" s="16" t="str">
        <x:v>Public property-business route; investor decision maker unconfirmed</x:v>
      </x:c>
      <x:c r="M782" s="16" t="str">
        <x:v>https://www.webuyhouseschattanooga.com/</x:v>
      </x:c>
      <x:c r="N782" s="16" t="str">
        <x:v>$100K-$500K ticket not published / unconfirmed</x:v>
      </x:c>
      <x:c r="O782" s="20"/>
      <x:c r="P782" s="20"/>
      <x:c r="Q782" s="25" t="str">
        <x:v>No direct corporate-capital range established in checked source</x:v>
      </x:c>
      <x:c r="R782" s="25" t="str">
        <x:v>Property acquisition or investor activity makes this an operator-capital prospect for the signed trial. Confirm operating-company debt/equity appetite.</x:v>
      </x:c>
      <x:c r="S782" s="25"/>
      <x:c r="T782" s="25" t="str">
        <x:v>Ask the owner/investor whether they can allocate $100K-$500K to trial marketing and acquisitions, and confirm structure, timing and decision authority.</x:v>
      </x:c>
      <x:c r="U782" s="25" t="str">
        <x:v>https://www.cashhomebuyersdirectory.com/cash-home-buyers/tennessee/chattanooga</x:v>
      </x:c>
      <x:c r="V782" s="26" t="d">
        <x:v>2026-10-02T00:00:00.000Z</x:v>
      </x:c>
      <x:c r="W782" s="26" t="d">
        <x:v>2026-10-02T00:00:00.000Z</x:v>
      </x:c>
      <x:c r="X782" s="25" t="str">
        <x:v>CashHomeBuyersDirectory third-party business listing; first-party business activity not checked in this batch</x:v>
      </x:c>
      <x:c r="Y782" s="25"/>
      <x:c r="Z782" s="25" t="str">
        <x:v>https://www.cashhomebuyersdirectory.com/cash-home-buyers/tennessee/chattanooga</x:v>
      </x:c>
      <x:c r="AA782" s="25" t="str">
        <x:v>Public cash-home-buyer directory lists the business name, business phone/website where available and market. Operator role and corporate funding willingness require confirmation.</x:v>
      </x:c>
      <x:c r="AB782" s="3" t="str">
        <x:v>New public-source collection</x:v>
      </x:c>
      <x:c r="AC782" s="3" t="str">
        <x:v>unverified</x:v>
      </x:c>
      <x:c r="AD782" s="3" t="str">
        <x:v>Not contacted / unconfirmed</x:v>
      </x:c>
      <x:c r="AE782" s="3" t="str">
        <x:v>No</x:v>
      </x:c>
      <x:c r="AF782" s="3" t="str">
        <x:v>No</x:v>
      </x:c>
      <x:c r="AG782" s="3"/>
      <x:c r="AH782" s="3"/>
      <x:c r="AI782" s="18"/>
      <x:c r="AJ782" s="3" t="str">
        <x:v>CF2500-69BBBF81AB1F</x:v>
      </x:c>
      <x:c r="AK782" s="3" t="str">
        <x:v>real_estate_operator</x:v>
      </x:c>
      <x:c r="AL782" s="19" t="n">
        <x:v>100000</x:v>
      </x:c>
      <x:c r="AM782" s="19" t="n">
        <x:v>500000</x:v>
      </x:c>
      <x:c r="AN782" s="3" t="str">
        <x:v>https://www.cashhomebuyersdirectory.com/cash-home-buyers/tennessee/chattanooga</x:v>
      </x:c>
      <x:c r="AO782" s="3" t="str">
        <x:v>national_rest_directory_complete.jsonl</x:v>
      </x:c>
      <x:c r="AP782" s="19"/>
    </x:row>
    <x:row r="783" ht="36" customHeight="1">
      <x:c r="A783" s="23" t="n">
        <x:v>782</x:v>
      </x:c>
      <x:c r="B783" s="15" t="str">
        <x:v>We Buy Houses Columbia</x:v>
      </x:c>
      <x:c r="C783" s="15"/>
      <x:c r="D783" s="15" t="str">
        <x:v>Property investor / home-buying operator</x:v>
      </x:c>
      <x:c r="E783" s="15" t="str">
        <x:v>Property investor / operator inquiry</x:v>
      </x:c>
      <x:c r="F783" s="17" t="str">
        <x:v>New</x:v>
      </x:c>
      <x:c r="G783" s="24"/>
      <x:c r="H783" s="24" t="str">
        <x:v>+15736158995</x:v>
      </x:c>
      <x:c r="I783" s="24" t="str">
        <x:v>https://webuyhousescolumbia.co/</x:v>
      </x:c>
      <x:c r="J783" s="16" t="str">
        <x:v>MO</x:v>
      </x:c>
      <x:c r="K783" s="16" t="str">
        <x:v>Columbia</x:v>
      </x:c>
      <x:c r="L783" s="16" t="str">
        <x:v>Public property-business route; investor decision maker unconfirmed</x:v>
      </x:c>
      <x:c r="M783" s="16" t="str">
        <x:v>https://webuyhousescolumbia.co/</x:v>
      </x:c>
      <x:c r="N783" s="16" t="str">
        <x:v>$100K-$500K ticket not published / unconfirmed</x:v>
      </x:c>
      <x:c r="O783" s="20"/>
      <x:c r="P783" s="20"/>
      <x:c r="Q783" s="25" t="str">
        <x:v>No direct corporate-capital range established in checked source</x:v>
      </x:c>
      <x:c r="R783" s="25" t="str">
        <x:v>Property acquisition or investor activity makes this an operator-capital prospect for the signed trial. Confirm operating-company debt/equity appetite.</x:v>
      </x:c>
      <x:c r="S783" s="25"/>
      <x:c r="T783" s="25" t="str">
        <x:v>Ask the owner/investor whether they can allocate $100K-$500K to trial marketing and acquisitions, and confirm structure, timing and decision authority.</x:v>
      </x:c>
      <x:c r="U783" s="25" t="str">
        <x:v>https://www.cashhomebuyersdirectory.com/cash-home-buyers/missouri/columbia</x:v>
      </x:c>
      <x:c r="V783" s="26" t="d">
        <x:v>2026-10-02T00:00:00.000Z</x:v>
      </x:c>
      <x:c r="W783" s="26" t="d">
        <x:v>2026-10-02T00:00:00.000Z</x:v>
      </x:c>
      <x:c r="X783" s="25" t="str">
        <x:v>CashHomeBuyersDirectory third-party business listing; first-party business activity not checked in this batch</x:v>
      </x:c>
      <x:c r="Y783" s="25"/>
      <x:c r="Z783" s="25" t="str">
        <x:v>https://www.cashhomebuyersdirectory.com/cash-home-buyers/missouri/columbia</x:v>
      </x:c>
      <x:c r="AA783" s="25" t="str">
        <x:v>Public cash-home-buyer directory lists the business name, business phone/website where available and market. Operator role and corporate funding willingness require confirmation.</x:v>
      </x:c>
      <x:c r="AB783" s="3" t="str">
        <x:v>New public-source collection</x:v>
      </x:c>
      <x:c r="AC783" s="3" t="str">
        <x:v>unverified</x:v>
      </x:c>
      <x:c r="AD783" s="3" t="str">
        <x:v>Not contacted / unconfirmed</x:v>
      </x:c>
      <x:c r="AE783" s="3" t="str">
        <x:v>No</x:v>
      </x:c>
      <x:c r="AF783" s="3" t="str">
        <x:v>No</x:v>
      </x:c>
      <x:c r="AG783" s="3"/>
      <x:c r="AH783" s="3"/>
      <x:c r="AI783" s="18"/>
      <x:c r="AJ783" s="3" t="str">
        <x:v>CF2500-45D7D2EB869B</x:v>
      </x:c>
      <x:c r="AK783" s="3" t="str">
        <x:v>real_estate_operator</x:v>
      </x:c>
      <x:c r="AL783" s="19" t="n">
        <x:v>100000</x:v>
      </x:c>
      <x:c r="AM783" s="19" t="n">
        <x:v>500000</x:v>
      </x:c>
      <x:c r="AN783" s="3" t="str">
        <x:v>https://www.cashhomebuyersdirectory.com/cash-home-buyers/missouri/columbia</x:v>
      </x:c>
      <x:c r="AO783" s="3" t="str">
        <x:v>national_rest_directory_complete.jsonl</x:v>
      </x:c>
      <x:c r="AP783" s="19"/>
    </x:row>
    <x:row r="784" ht="36" customHeight="1">
      <x:c r="A784" s="23" t="n">
        <x:v>783</x:v>
      </x:c>
      <x:c r="B784" s="15" t="str">
        <x:v>We Buy Houses Fast Cash Southwest Missouri</x:v>
      </x:c>
      <x:c r="C784" s="15"/>
      <x:c r="D784" s="15" t="str">
        <x:v>Property investor / home-buying operator</x:v>
      </x:c>
      <x:c r="E784" s="15" t="str">
        <x:v>Property investor / operator inquiry</x:v>
      </x:c>
      <x:c r="F784" s="17" t="str">
        <x:v>New</x:v>
      </x:c>
      <x:c r="G784" s="24"/>
      <x:c r="H784" s="24" t="str">
        <x:v>+14174092274</x:v>
      </x:c>
      <x:c r="I784" s="24" t="str">
        <x:v>http://helpingpropertyowners.com/sell-your-house/?LS=&amp;LST=&amp;LSD=&amp;utm_source=omg-gbp&amp;utm_medium=webclick</x:v>
      </x:c>
      <x:c r="J784" s="16" t="str">
        <x:v>MO</x:v>
      </x:c>
      <x:c r="K784" s="16"/>
      <x:c r="L784" s="16" t="str">
        <x:v>Public property-business route; investor decision maker unconfirmed</x:v>
      </x:c>
      <x:c r="M784" s="16" t="str">
        <x:v>http://helpingpropertyowners.com/sell-your-house/?LS=&amp;LST=&amp;LSD=&amp;utm_source=omg-gbp&amp;utm_medium=webclick</x:v>
      </x:c>
      <x:c r="N784" s="16" t="str">
        <x:v>$100K-$500K ticket not published / unconfirmed</x:v>
      </x:c>
      <x:c r="O784" s="20"/>
      <x:c r="P784" s="20"/>
      <x:c r="Q784" s="25" t="str">
        <x:v>No direct corporate-capital range established in checked source</x:v>
      </x:c>
      <x:c r="R784" s="25" t="str">
        <x:v>Property acquisition or investor activity makes this an operator-capital prospect for the signed trial. Confirm operating-company debt/equity appetite.</x:v>
      </x:c>
      <x:c r="S784" s="25"/>
      <x:c r="T784" s="25" t="str">
        <x:v>Ask the owner/investor whether they can allocate $100K-$500K to trial marketing and acquisitions, and confirm structure, timing and decision authority.</x:v>
      </x:c>
      <x:c r="U784" s="25" t="str">
        <x:v>https://www.cashhomebuyersdirectory.com/cash-home-buyers/missouri/joplin</x:v>
      </x:c>
      <x:c r="V784" s="26" t="d">
        <x:v>2026-10-02T00:00:00.000Z</x:v>
      </x:c>
      <x:c r="W784" s="26" t="d">
        <x:v>2026-10-02T00:00:00.000Z</x:v>
      </x:c>
      <x:c r="X784" s="25" t="str">
        <x:v>CashHomeBuyersDirectory third-party business listing; first-party business activity not checked in this batch</x:v>
      </x:c>
      <x:c r="Y784" s="25"/>
      <x:c r="Z784" s="25" t="str">
        <x:v>https://www.cashhomebuyersdirectory.com/cash-home-buyers/missouri/joplin</x:v>
      </x:c>
      <x:c r="AA784" s="25" t="str">
        <x:v>Public cash-home-buyer directory lists the business name, business phone/website where available and market. Operator role and corporate funding willingness require confirmation.</x:v>
      </x:c>
      <x:c r="AB784" s="3" t="str">
        <x:v>New public-source collection</x:v>
      </x:c>
      <x:c r="AC784" s="3" t="str">
        <x:v>unverified</x:v>
      </x:c>
      <x:c r="AD784" s="3" t="str">
        <x:v>Not contacted / unconfirmed</x:v>
      </x:c>
      <x:c r="AE784" s="3" t="str">
        <x:v>No</x:v>
      </x:c>
      <x:c r="AF784" s="3" t="str">
        <x:v>No</x:v>
      </x:c>
      <x:c r="AG784" s="3"/>
      <x:c r="AH784" s="3"/>
      <x:c r="AI784" s="18"/>
      <x:c r="AJ784" s="3" t="str">
        <x:v>CF2500-5AD07E435054</x:v>
      </x:c>
      <x:c r="AK784" s="3" t="str">
        <x:v>real_estate_operator</x:v>
      </x:c>
      <x:c r="AL784" s="19" t="n">
        <x:v>100000</x:v>
      </x:c>
      <x:c r="AM784" s="19" t="n">
        <x:v>500000</x:v>
      </x:c>
      <x:c r="AN784" s="3" t="str">
        <x:v>https://www.cashhomebuyersdirectory.com/cash-home-buyers/missouri/joplin</x:v>
      </x:c>
      <x:c r="AO784" s="3" t="str">
        <x:v>national_rest_directory_complete.jsonl</x:v>
      </x:c>
      <x:c r="AP784" s="19"/>
    </x:row>
    <x:row r="785" ht="36" customHeight="1">
      <x:c r="A785" s="23" t="n">
        <x:v>784</x:v>
      </x:c>
      <x:c r="B785" s="15" t="str">
        <x:v>We Buy Houses Greenville - Spartanburg - Anderson - Pickens</x:v>
      </x:c>
      <x:c r="C785" s="15"/>
      <x:c r="D785" s="15" t="str">
        <x:v>Property investor / home-buying operator</x:v>
      </x:c>
      <x:c r="E785" s="15" t="str">
        <x:v>Property investor / operator inquiry</x:v>
      </x:c>
      <x:c r="F785" s="17" t="str">
        <x:v>New</x:v>
      </x:c>
      <x:c r="G785" s="24"/>
      <x:c r="H785" s="24" t="str">
        <x:v>+18647351016</x:v>
      </x:c>
      <x:c r="I785" s="24" t="str">
        <x:v>http://selltomyles.com/</x:v>
      </x:c>
      <x:c r="J785" s="16" t="str">
        <x:v>SC</x:v>
      </x:c>
      <x:c r="K785" s="16" t="str">
        <x:v>Greenville</x:v>
      </x:c>
      <x:c r="L785" s="16" t="str">
        <x:v>Public property-business route; investor decision maker unconfirmed</x:v>
      </x:c>
      <x:c r="M785" s="16" t="str">
        <x:v>http://selltomyles.com/</x:v>
      </x:c>
      <x:c r="N785" s="16" t="str">
        <x:v>$100K-$500K ticket not published / unconfirmed</x:v>
      </x:c>
      <x:c r="O785" s="20"/>
      <x:c r="P785" s="20"/>
      <x:c r="Q785" s="25" t="str">
        <x:v>No direct corporate-capital range established in checked source</x:v>
      </x:c>
      <x:c r="R785" s="25" t="str">
        <x:v>Property acquisition or investor activity makes this an operator-capital prospect for the signed trial. Confirm operating-company debt/equity appetite.</x:v>
      </x:c>
      <x:c r="S785" s="25"/>
      <x:c r="T785" s="25" t="str">
        <x:v>Ask the owner/investor whether they can allocate $100K-$500K to trial marketing and acquisitions, and confirm structure, timing and decision authority.</x:v>
      </x:c>
      <x:c r="U785" s="25" t="str">
        <x:v>https://www.cashhomebuyersdirectory.com/cash-home-buyers/south-carolina/greenville</x:v>
      </x:c>
      <x:c r="V785" s="26" t="d">
        <x:v>2026-10-02T00:00:00.000Z</x:v>
      </x:c>
      <x:c r="W785" s="26" t="d">
        <x:v>2026-10-02T00:00:00.000Z</x:v>
      </x:c>
      <x:c r="X785" s="25" t="str">
        <x:v>CashHomeBuyersDirectory third-party business listing; first-party business activity not checked in this batch</x:v>
      </x:c>
      <x:c r="Y785" s="25"/>
      <x:c r="Z785" s="25" t="str">
        <x:v>https://www.cashhomebuyersdirectory.com/cash-home-buyers/south-carolina/greenville</x:v>
      </x:c>
      <x:c r="AA785" s="25" t="str">
        <x:v>Public cash-home-buyer directory lists the business name, business phone/website where available and market. Operator role and corporate funding willingness require confirmation.</x:v>
      </x:c>
      <x:c r="AB785" s="3" t="str">
        <x:v>New public-source collection</x:v>
      </x:c>
      <x:c r="AC785" s="3" t="str">
        <x:v>unverified</x:v>
      </x:c>
      <x:c r="AD785" s="3" t="str">
        <x:v>Not contacted / unconfirmed</x:v>
      </x:c>
      <x:c r="AE785" s="3" t="str">
        <x:v>No</x:v>
      </x:c>
      <x:c r="AF785" s="3" t="str">
        <x:v>No</x:v>
      </x:c>
      <x:c r="AG785" s="3"/>
      <x:c r="AH785" s="3"/>
      <x:c r="AI785" s="18"/>
      <x:c r="AJ785" s="3" t="str">
        <x:v>CF2500-B018A9C22308</x:v>
      </x:c>
      <x:c r="AK785" s="3" t="str">
        <x:v>real_estate_operator</x:v>
      </x:c>
      <x:c r="AL785" s="19" t="n">
        <x:v>100000</x:v>
      </x:c>
      <x:c r="AM785" s="19" t="n">
        <x:v>500000</x:v>
      </x:c>
      <x:c r="AN785" s="3" t="str">
        <x:v>https://www.cashhomebuyersdirectory.com/cash-home-buyers/south-carolina/greenville</x:v>
      </x:c>
      <x:c r="AO785" s="3" t="str">
        <x:v>national_rest_directory_complete.jsonl</x:v>
      </x:c>
      <x:c r="AP785" s="19"/>
    </x:row>
    <x:row r="786" ht="36" customHeight="1">
      <x:c r="A786" s="23" t="n">
        <x:v>785</x:v>
      </x:c>
      <x:c r="B786" s="15" t="str">
        <x:v>We Buy Houses in Atlanta GA</x:v>
      </x:c>
      <x:c r="C786" s="15"/>
      <x:c r="D786" s="15" t="str">
        <x:v>Property investor / home-buying operator</x:v>
      </x:c>
      <x:c r="E786" s="15" t="str">
        <x:v>Property investor / operator inquiry</x:v>
      </x:c>
      <x:c r="F786" s="17" t="str">
        <x:v>New</x:v>
      </x:c>
      <x:c r="G786" s="24"/>
      <x:c r="H786" s="24" t="str">
        <x:v>+14703695727</x:v>
      </x:c>
      <x:c r="I786" s="24" t="str">
        <x:v>http://www.webuyhousesinatlantaga.com/i/DtC3/</x:v>
      </x:c>
      <x:c r="J786" s="16" t="str">
        <x:v>GA</x:v>
      </x:c>
      <x:c r="K786" s="16" t="str">
        <x:v>Atlanta</x:v>
      </x:c>
      <x:c r="L786" s="16" t="str">
        <x:v>Public property-business route; investor decision maker unconfirmed</x:v>
      </x:c>
      <x:c r="M786" s="16" t="str">
        <x:v>http://www.webuyhousesinatlantaga.com/i/DtC3/</x:v>
      </x:c>
      <x:c r="N786" s="16" t="str">
        <x:v>$100K-$500K ticket not published / unconfirmed</x:v>
      </x:c>
      <x:c r="O786" s="20"/>
      <x:c r="P786" s="20"/>
      <x:c r="Q786" s="25" t="str">
        <x:v>No direct corporate-capital range established in checked source</x:v>
      </x:c>
      <x:c r="R786" s="25" t="str">
        <x:v>Property acquisition or investor activity makes this an operator-capital prospect for the signed trial. Confirm operating-company debt/equity appetite.</x:v>
      </x:c>
      <x:c r="S786" s="25"/>
      <x:c r="T786" s="25" t="str">
        <x:v>Ask the owner/investor whether they can allocate $100K-$500K to trial marketing and acquisitions, and confirm structure, timing and decision authority.</x:v>
      </x:c>
      <x:c r="U786" s="25" t="str">
        <x:v>https://www.cashhomebuyersdirectory.com/cash-home-buyers/georgia/atlanta</x:v>
      </x:c>
      <x:c r="V786" s="26" t="d">
        <x:v>2026-10-02T00:00:00.000Z</x:v>
      </x:c>
      <x:c r="W786" s="26" t="d">
        <x:v>2026-10-02T00:00:00.000Z</x:v>
      </x:c>
      <x:c r="X786" s="25" t="str">
        <x:v>CashHomeBuyersDirectory third-party business listing; first-party business activity not checked in this batch</x:v>
      </x:c>
      <x:c r="Y786" s="25"/>
      <x:c r="Z786" s="25" t="str">
        <x:v>https://www.cashhomebuyersdirectory.com/cash-home-buyers/georgia/atlanta</x:v>
      </x:c>
      <x:c r="AA786" s="25" t="str">
        <x:v>Public cash-home-buyer directory lists the business name, business phone/website where available and market. Operator role and corporate funding willingness require confirmation.</x:v>
      </x:c>
      <x:c r="AB786" s="3" t="str">
        <x:v>New public-source collection</x:v>
      </x:c>
      <x:c r="AC786" s="3" t="str">
        <x:v>unverified</x:v>
      </x:c>
      <x:c r="AD786" s="3" t="str">
        <x:v>Not contacted / unconfirmed</x:v>
      </x:c>
      <x:c r="AE786" s="3" t="str">
        <x:v>No</x:v>
      </x:c>
      <x:c r="AF786" s="3" t="str">
        <x:v>No</x:v>
      </x:c>
      <x:c r="AG786" s="3"/>
      <x:c r="AH786" s="3"/>
      <x:c r="AI786" s="18"/>
      <x:c r="AJ786" s="3" t="str">
        <x:v>CF2500-F818348B6E76</x:v>
      </x:c>
      <x:c r="AK786" s="3" t="str">
        <x:v>real_estate_operator</x:v>
      </x:c>
      <x:c r="AL786" s="19" t="n">
        <x:v>100000</x:v>
      </x:c>
      <x:c r="AM786" s="19" t="n">
        <x:v>500000</x:v>
      </x:c>
      <x:c r="AN786" s="3" t="str">
        <x:v>https://www.cashhomebuyersdirectory.com/cash-home-buyers/georgia/atlanta</x:v>
      </x:c>
      <x:c r="AO786" s="3" t="str">
        <x:v>national_rest_directory_complete.jsonl</x:v>
      </x:c>
      <x:c r="AP786" s="19"/>
    </x:row>
    <x:row r="787" ht="36" customHeight="1">
      <x:c r="A787" s="23" t="n">
        <x:v>786</x:v>
      </x:c>
      <x:c r="B787" s="15" t="str">
        <x:v>We Buy Houses in Augusta</x:v>
      </x:c>
      <x:c r="C787" s="15"/>
      <x:c r="D787" s="15" t="str">
        <x:v>Property investor / home-buying operator</x:v>
      </x:c>
      <x:c r="E787" s="15" t="str">
        <x:v>Property investor / operator inquiry</x:v>
      </x:c>
      <x:c r="F787" s="17" t="str">
        <x:v>New</x:v>
      </x:c>
      <x:c r="G787" s="24"/>
      <x:c r="H787" s="24" t="str">
        <x:v>+18035994393</x:v>
      </x:c>
      <x:c r="I787" s="24" t="str">
        <x:v>https://www.webuyhousesinaugusta.com/</x:v>
      </x:c>
      <x:c r="J787" s="16" t="str">
        <x:v>GA</x:v>
      </x:c>
      <x:c r="K787" s="16"/>
      <x:c r="L787" s="16" t="str">
        <x:v>Public property-business route; investor decision maker unconfirmed</x:v>
      </x:c>
      <x:c r="M787" s="16" t="str">
        <x:v>https://www.webuyhousesinaugusta.com/</x:v>
      </x:c>
      <x:c r="N787" s="16" t="str">
        <x:v>$100K-$500K ticket not published / unconfirmed</x:v>
      </x:c>
      <x:c r="O787" s="20"/>
      <x:c r="P787" s="20"/>
      <x:c r="Q787" s="25" t="str">
        <x:v>No direct corporate-capital range established in checked source</x:v>
      </x:c>
      <x:c r="R787" s="25" t="str">
        <x:v>Property acquisition or investor activity makes this an operator-capital prospect for the signed trial. Confirm operating-company debt/equity appetite.</x:v>
      </x:c>
      <x:c r="S787" s="25"/>
      <x:c r="T787" s="25" t="str">
        <x:v>Ask the owner/investor whether they can allocate $100K-$500K to trial marketing and acquisitions, and confirm structure, timing and decision authority.</x:v>
      </x:c>
      <x:c r="U787" s="25" t="str">
        <x:v>https://www.cashhomebuyersdirectory.com/cash-home-buyers/georgia/augusta</x:v>
      </x:c>
      <x:c r="V787" s="26" t="d">
        <x:v>2026-10-02T00:00:00.000Z</x:v>
      </x:c>
      <x:c r="W787" s="26" t="d">
        <x:v>2026-10-02T00:00:00.000Z</x:v>
      </x:c>
      <x:c r="X787" s="25" t="str">
        <x:v>CashHomeBuyersDirectory third-party business listing; first-party business activity not checked in this batch</x:v>
      </x:c>
      <x:c r="Y787" s="25"/>
      <x:c r="Z787" s="25" t="str">
        <x:v>https://www.cashhomebuyersdirectory.com/cash-home-buyers/georgia/augusta</x:v>
      </x:c>
      <x:c r="AA787" s="25" t="str">
        <x:v>Public cash-home-buyer directory lists the business name, business phone/website where available and market. Operator role and corporate funding willingness require confirmation.</x:v>
      </x:c>
      <x:c r="AB787" s="3" t="str">
        <x:v>New public-source collection</x:v>
      </x:c>
      <x:c r="AC787" s="3" t="str">
        <x:v>unverified</x:v>
      </x:c>
      <x:c r="AD787" s="3" t="str">
        <x:v>Not contacted / unconfirmed</x:v>
      </x:c>
      <x:c r="AE787" s="3" t="str">
        <x:v>No</x:v>
      </x:c>
      <x:c r="AF787" s="3" t="str">
        <x:v>No</x:v>
      </x:c>
      <x:c r="AG787" s="3"/>
      <x:c r="AH787" s="3"/>
      <x:c r="AI787" s="18"/>
      <x:c r="AJ787" s="3" t="str">
        <x:v>CF2500-05665FB956C1</x:v>
      </x:c>
      <x:c r="AK787" s="3" t="str">
        <x:v>real_estate_operator</x:v>
      </x:c>
      <x:c r="AL787" s="19" t="n">
        <x:v>100000</x:v>
      </x:c>
      <x:c r="AM787" s="19" t="n">
        <x:v>500000</x:v>
      </x:c>
      <x:c r="AN787" s="3" t="str">
        <x:v>https://www.cashhomebuyersdirectory.com/cash-home-buyers/georgia/augusta</x:v>
      </x:c>
      <x:c r="AO787" s="3" t="str">
        <x:v>national_rest_directory_complete.jsonl</x:v>
      </x:c>
      <x:c r="AP787" s="19"/>
    </x:row>
    <x:row r="788" ht="36" customHeight="1">
      <x:c r="A788" s="23" t="n">
        <x:v>787</x:v>
      </x:c>
      <x:c r="B788" s="15" t="str">
        <x:v>We Buy Houses In Bama</x:v>
      </x:c>
      <x:c r="C788" s="15"/>
      <x:c r="D788" s="15" t="str">
        <x:v>Property investor / home-buying operator</x:v>
      </x:c>
      <x:c r="E788" s="15" t="str">
        <x:v>Property investor / operator inquiry</x:v>
      </x:c>
      <x:c r="F788" s="17" t="str">
        <x:v>New</x:v>
      </x:c>
      <x:c r="G788" s="24"/>
      <x:c r="H788" s="24" t="str">
        <x:v>+12566074109</x:v>
      </x:c>
      <x:c r="I788" s="24" t="str">
        <x:v>https://www.webuyhousesinbama.com/</x:v>
      </x:c>
      <x:c r="J788" s="16" t="str">
        <x:v>AL</x:v>
      </x:c>
      <x:c r="K788" s="16" t="str">
        <x:v>Huntsville</x:v>
      </x:c>
      <x:c r="L788" s="16" t="str">
        <x:v>Public property-business route; investor decision maker unconfirmed</x:v>
      </x:c>
      <x:c r="M788" s="16" t="str">
        <x:v>https://www.webuyhousesinbama.com/</x:v>
      </x:c>
      <x:c r="N788" s="16" t="str">
        <x:v>$100K-$500K ticket not published / unconfirmed</x:v>
      </x:c>
      <x:c r="O788" s="20"/>
      <x:c r="P788" s="20"/>
      <x:c r="Q788" s="25" t="str">
        <x:v>No direct corporate-capital range established in checked source</x:v>
      </x:c>
      <x:c r="R788" s="25" t="str">
        <x:v>Property acquisition or investor activity makes this an operator-capital prospect for the signed trial. Confirm operating-company debt/equity appetite.</x:v>
      </x:c>
      <x:c r="S788" s="25"/>
      <x:c r="T788" s="25" t="str">
        <x:v>Ask the owner/investor whether they can allocate $100K-$500K to trial marketing and acquisitions, and confirm structure, timing and decision authority.</x:v>
      </x:c>
      <x:c r="U788" s="25" t="str">
        <x:v>https://www.cashhomebuyersdirectory.com/cash-home-buyers/alabama/huntsville</x:v>
      </x:c>
      <x:c r="V788" s="26" t="d">
        <x:v>2026-10-02T00:00:00.000Z</x:v>
      </x:c>
      <x:c r="W788" s="26" t="d">
        <x:v>2026-10-02T00:00:00.000Z</x:v>
      </x:c>
      <x:c r="X788" s="25" t="str">
        <x:v>CashHomeBuyersDirectory third-party business listing; first-party business activity not checked in this batch</x:v>
      </x:c>
      <x:c r="Y788" s="25"/>
      <x:c r="Z788" s="25" t="str">
        <x:v>https://www.cashhomebuyersdirectory.com/cash-home-buyers/alabama/huntsville</x:v>
      </x:c>
      <x:c r="AA788" s="25" t="str">
        <x:v>Public cash-home-buyer directory lists the business name, business phone/website where available and market. Operator role and corporate funding willingness require confirmation.</x:v>
      </x:c>
      <x:c r="AB788" s="3" t="str">
        <x:v>New public-source collection</x:v>
      </x:c>
      <x:c r="AC788" s="3" t="str">
        <x:v>unverified</x:v>
      </x:c>
      <x:c r="AD788" s="3" t="str">
        <x:v>Not contacted / unconfirmed</x:v>
      </x:c>
      <x:c r="AE788" s="3" t="str">
        <x:v>No</x:v>
      </x:c>
      <x:c r="AF788" s="3" t="str">
        <x:v>No</x:v>
      </x:c>
      <x:c r="AG788" s="3"/>
      <x:c r="AH788" s="3"/>
      <x:c r="AI788" s="18"/>
      <x:c r="AJ788" s="3" t="str">
        <x:v>CF2500-A49C231A282B</x:v>
      </x:c>
      <x:c r="AK788" s="3" t="str">
        <x:v>real_estate_operator</x:v>
      </x:c>
      <x:c r="AL788" s="19" t="n">
        <x:v>100000</x:v>
      </x:c>
      <x:c r="AM788" s="19" t="n">
        <x:v>500000</x:v>
      </x:c>
      <x:c r="AN788" s="3" t="str">
        <x:v>https://www.cashhomebuyersdirectory.com/cash-home-buyers/alabama/huntsville</x:v>
      </x:c>
      <x:c r="AO788" s="3" t="str">
        <x:v>national_rest_directory_complete.jsonl</x:v>
      </x:c>
      <x:c r="AP788" s="19"/>
    </x:row>
    <x:row r="789" ht="36" customHeight="1">
      <x:c r="A789" s="23" t="n">
        <x:v>788</x:v>
      </x:c>
      <x:c r="B789" s="15" t="str">
        <x:v>We Buy Houses in Birmingham</x:v>
      </x:c>
      <x:c r="C789" s="15"/>
      <x:c r="D789" s="15" t="str">
        <x:v>Property investor / home-buying operator</x:v>
      </x:c>
      <x:c r="E789" s="15" t="str">
        <x:v>Property investor / operator inquiry</x:v>
      </x:c>
      <x:c r="F789" s="17" t="str">
        <x:v>New</x:v>
      </x:c>
      <x:c r="G789" s="24"/>
      <x:c r="H789" s="24" t="str">
        <x:v>+12054337050</x:v>
      </x:c>
      <x:c r="I789" s="24" t="str">
        <x:v>http://www.webuybham.com/</x:v>
      </x:c>
      <x:c r="J789" s="16" t="str">
        <x:v>AL</x:v>
      </x:c>
      <x:c r="K789" s="16" t="str">
        <x:v>Birmingham</x:v>
      </x:c>
      <x:c r="L789" s="16" t="str">
        <x:v>Public property-business route; investor decision maker unconfirmed</x:v>
      </x:c>
      <x:c r="M789" s="16" t="str">
        <x:v>http://www.webuybham.com/</x:v>
      </x:c>
      <x:c r="N789" s="16" t="str">
        <x:v>$100K-$500K ticket not published / unconfirmed</x:v>
      </x:c>
      <x:c r="O789" s="20"/>
      <x:c r="P789" s="20"/>
      <x:c r="Q789" s="25" t="str">
        <x:v>No direct corporate-capital range established in checked source</x:v>
      </x:c>
      <x:c r="R789" s="25" t="str">
        <x:v>Property acquisition or investor activity makes this an operator-capital prospect for the signed trial. Confirm operating-company debt/equity appetite.</x:v>
      </x:c>
      <x:c r="S789" s="25"/>
      <x:c r="T789" s="25" t="str">
        <x:v>Ask the owner/investor whether they can allocate $100K-$500K to trial marketing and acquisitions, and confirm structure, timing and decision authority.</x:v>
      </x:c>
      <x:c r="U789" s="25" t="str">
        <x:v>https://www.cashhomebuyersdirectory.com/cash-home-buyers/alabama/birmingham</x:v>
      </x:c>
      <x:c r="V789" s="26" t="d">
        <x:v>2026-10-02T00:00:00.000Z</x:v>
      </x:c>
      <x:c r="W789" s="26" t="d">
        <x:v>2026-10-02T00:00:00.000Z</x:v>
      </x:c>
      <x:c r="X789" s="25" t="str">
        <x:v>CashHomeBuyersDirectory third-party business listing; first-party business activity not checked in this batch</x:v>
      </x:c>
      <x:c r="Y789" s="25"/>
      <x:c r="Z789" s="25" t="str">
        <x:v>https://www.cashhomebuyersdirectory.com/cash-home-buyers/alabama/birmingham</x:v>
      </x:c>
      <x:c r="AA789" s="25" t="str">
        <x:v>Public cash-home-buyer directory lists the business name, business phone/website where available and market. Operator role and corporate funding willingness require confirmation.</x:v>
      </x:c>
      <x:c r="AB789" s="3" t="str">
        <x:v>New public-source collection</x:v>
      </x:c>
      <x:c r="AC789" s="3" t="str">
        <x:v>unverified</x:v>
      </x:c>
      <x:c r="AD789" s="3" t="str">
        <x:v>Not contacted / unconfirmed</x:v>
      </x:c>
      <x:c r="AE789" s="3" t="str">
        <x:v>No</x:v>
      </x:c>
      <x:c r="AF789" s="3" t="str">
        <x:v>No</x:v>
      </x:c>
      <x:c r="AG789" s="3"/>
      <x:c r="AH789" s="3"/>
      <x:c r="AI789" s="18"/>
      <x:c r="AJ789" s="3" t="str">
        <x:v>CF2500-9717956AA89D</x:v>
      </x:c>
      <x:c r="AK789" s="3" t="str">
        <x:v>real_estate_operator</x:v>
      </x:c>
      <x:c r="AL789" s="19" t="n">
        <x:v>100000</x:v>
      </x:c>
      <x:c r="AM789" s="19" t="n">
        <x:v>500000</x:v>
      </x:c>
      <x:c r="AN789" s="3" t="str">
        <x:v>https://www.cashhomebuyersdirectory.com/cash-home-buyers/alabama/birmingham</x:v>
      </x:c>
      <x:c r="AO789" s="3" t="str">
        <x:v>national_rest_directory_complete.jsonl</x:v>
      </x:c>
      <x:c r="AP789" s="19"/>
    </x:row>
    <x:row r="790" ht="36" customHeight="1">
      <x:c r="A790" s="23" t="n">
        <x:v>789</x:v>
      </x:c>
      <x:c r="B790" s="15" t="str">
        <x:v>We Buy Houses In Denver</x:v>
      </x:c>
      <x:c r="C790" s="15"/>
      <x:c r="D790" s="15" t="str">
        <x:v>Property investor / home-buying operator</x:v>
      </x:c>
      <x:c r="E790" s="15" t="str">
        <x:v>Property investor / operator inquiry</x:v>
      </x:c>
      <x:c r="F790" s="17" t="str">
        <x:v>New</x:v>
      </x:c>
      <x:c r="G790" s="24"/>
      <x:c r="H790" s="24" t="str">
        <x:v>+17207386020</x:v>
      </x:c>
      <x:c r="I790" s="24" t="str">
        <x:v>https://webuyhousesindenver.org/</x:v>
      </x:c>
      <x:c r="J790" s="16" t="str">
        <x:v>CO</x:v>
      </x:c>
      <x:c r="K790" s="16" t="str">
        <x:v>Denver</x:v>
      </x:c>
      <x:c r="L790" s="16" t="str">
        <x:v>Public property-business route; investor decision maker unconfirmed</x:v>
      </x:c>
      <x:c r="M790" s="16" t="str">
        <x:v>https://webuyhousesindenver.org/</x:v>
      </x:c>
      <x:c r="N790" s="16" t="str">
        <x:v>$100K-$500K ticket not published / unconfirmed</x:v>
      </x:c>
      <x:c r="O790" s="20"/>
      <x:c r="P790" s="20"/>
      <x:c r="Q790" s="25" t="str">
        <x:v>No $100K-$500K operating-company investment ticket verified</x:v>
      </x:c>
      <x:c r="R790" s="25" t="str">
        <x:v>Property acquisition or investor activity makes this an operator-capital prospect for the signed trial. Confirm operating-company debt/equity appetite.</x:v>
      </x:c>
      <x:c r="S790" s="25" t="str">
        <x:v>Public property-buying activity or a directory listing does not establish available cash, investing decision-maker, current $100K-$500K capacity, or willingness to fund 101XVC operating costs.</x:v>
      </x:c>
      <x:c r="T790" s="25" t="str">
        <x:v>Ask the owner/investor whether they can allocate $100K-$500K to trial marketing and acquisitions, and confirm structure, timing and decision authority.</x:v>
      </x:c>
      <x:c r="U790" s="25" t="str">
        <x:v>https://www.cashhomebuyersdirectory.com/cash-home-buyers/colorado/denver</x:v>
      </x:c>
      <x:c r="V790" s="26" t="d">
        <x:v>2026-10-02T00:00:00.000Z</x:v>
      </x:c>
      <x:c r="W790" s="26" t="d">
        <x:v>2026-10-02T00:00:00.000Z</x:v>
      </x:c>
      <x:c r="X790" s="25" t="str">
        <x:v>Public investor directory; business role and contact ownership require qualification</x:v>
      </x:c>
      <x:c r="Y790" s="25"/>
      <x:c r="Z790" s="25" t="str">
        <x:v>https://www.cashhomebuyersdirectory.com/cash-home-buyers/colorado/denver</x:v>
      </x:c>
      <x:c r="AA790" s="25" t="str">
        <x:v>Public cash-home-buyer directory lists business name, phone and market. Directory entry may include brokers or service providers.</x:v>
      </x:c>
      <x:c r="AB790" s="3" t="str">
        <x:v>New public-source collection</x:v>
      </x:c>
      <x:c r="AC790" s="3" t="str">
        <x:v>unverified</x:v>
      </x:c>
      <x:c r="AD790" s="3" t="str">
        <x:v>Not contacted / unconfirmed</x:v>
      </x:c>
      <x:c r="AE790" s="3" t="str">
        <x:v>No</x:v>
      </x:c>
      <x:c r="AF790" s="3" t="str">
        <x:v>No</x:v>
      </x:c>
      <x:c r="AG790" s="3"/>
      <x:c r="AH790" s="3"/>
      <x:c r="AI790" s="18"/>
      <x:c r="AJ790" s="3" t="str">
        <x:v>CF2500-D5DFC95A18AA</x:v>
      </x:c>
      <x:c r="AK790" s="3" t="str">
        <x:v>Property investor / home-buying operator prospect</x:v>
      </x:c>
      <x:c r="AL790" s="19" t="n">
        <x:v>100000</x:v>
      </x:c>
      <x:c r="AM790" s="19" t="n">
        <x:v>500000</x:v>
      </x:c>
      <x:c r="AN790" s="3" t="str">
        <x:v>https://www.cashhomebuyersdirectory.com/cash-home-buyers/colorado/denver</x:v>
      </x:c>
      <x:c r="AO790" s="3" t="str">
        <x:v>nc_il_az_co_investors.jsonl</x:v>
      </x:c>
      <x:c r="AP790" s="19"/>
    </x:row>
    <x:row r="791" ht="36" customHeight="1">
      <x:c r="A791" s="23" t="n">
        <x:v>790</x:v>
      </x:c>
      <x:c r="B791" s="15" t="str">
        <x:v>We Buy Houses In Indiana</x:v>
      </x:c>
      <x:c r="C791" s="15"/>
      <x:c r="D791" s="15" t="str">
        <x:v>Property investor / home-buying operator</x:v>
      </x:c>
      <x:c r="E791" s="15" t="str">
        <x:v>Property investor / operator inquiry</x:v>
      </x:c>
      <x:c r="F791" s="17" t="str">
        <x:v>New</x:v>
      </x:c>
      <x:c r="G791" s="24"/>
      <x:c r="H791" s="24" t="str">
        <x:v>+13177217492</x:v>
      </x:c>
      <x:c r="I791" s="24" t="str">
        <x:v>http://www.webuyhousesinindiana.com/</x:v>
      </x:c>
      <x:c r="J791" s="16" t="str">
        <x:v>IN</x:v>
      </x:c>
      <x:c r="K791" s="16"/>
      <x:c r="L791" s="16" t="str">
        <x:v>Public property-business route; investor decision maker unconfirmed</x:v>
      </x:c>
      <x:c r="M791" s="16" t="str">
        <x:v>http://www.webuyhousesinindiana.com/</x:v>
      </x:c>
      <x:c r="N791" s="16" t="str">
        <x:v>$100K-$500K ticket not published / unconfirmed</x:v>
      </x:c>
      <x:c r="O791" s="20"/>
      <x:c r="P791" s="20"/>
      <x:c r="Q791" s="25" t="str">
        <x:v>No direct corporate-capital range established in checked source</x:v>
      </x:c>
      <x:c r="R791" s="25" t="str">
        <x:v>Property acquisition or investor activity makes this an operator-capital prospect for the signed trial. Confirm operating-company debt/equity appetite.</x:v>
      </x:c>
      <x:c r="S791" s="25"/>
      <x:c r="T791" s="25" t="str">
        <x:v>Ask the owner/investor whether they can allocate $100K-$500K to trial marketing and acquisitions, and confirm structure, timing and decision authority.</x:v>
      </x:c>
      <x:c r="U791" s="25" t="str">
        <x:v>https://www.cashhomebuyersdirectory.com/cash-home-buyers/indiana/gary</x:v>
      </x:c>
      <x:c r="V791" s="26" t="d">
        <x:v>2026-10-02T00:00:00.000Z</x:v>
      </x:c>
      <x:c r="W791" s="26" t="d">
        <x:v>2026-10-02T00:00:00.000Z</x:v>
      </x:c>
      <x:c r="X791" s="25" t="str">
        <x:v>CashHomeBuyersDirectory third-party business listing; first-party business activity not checked in this batch</x:v>
      </x:c>
      <x:c r="Y791" s="25"/>
      <x:c r="Z791" s="25" t="str">
        <x:v>https://www.cashhomebuyersdirectory.com/cash-home-buyers/indiana/gary</x:v>
      </x:c>
      <x:c r="AA791" s="25" t="str">
        <x:v>Public cash-home-buyer directory lists the business name, business phone/website where available and market. Operator role and corporate funding willingness require confirmation.</x:v>
      </x:c>
      <x:c r="AB791" s="3" t="str">
        <x:v>New public-source collection</x:v>
      </x:c>
      <x:c r="AC791" s="3" t="str">
        <x:v>unverified</x:v>
      </x:c>
      <x:c r="AD791" s="3" t="str">
        <x:v>Not contacted / unconfirmed</x:v>
      </x:c>
      <x:c r="AE791" s="3" t="str">
        <x:v>No</x:v>
      </x:c>
      <x:c r="AF791" s="3" t="str">
        <x:v>No</x:v>
      </x:c>
      <x:c r="AG791" s="3"/>
      <x:c r="AH791" s="3"/>
      <x:c r="AI791" s="18"/>
      <x:c r="AJ791" s="3" t="str">
        <x:v>CF2500-8DA2191EB567</x:v>
      </x:c>
      <x:c r="AK791" s="3" t="str">
        <x:v>real_estate_operator</x:v>
      </x:c>
      <x:c r="AL791" s="19" t="n">
        <x:v>100000</x:v>
      </x:c>
      <x:c r="AM791" s="19" t="n">
        <x:v>500000</x:v>
      </x:c>
      <x:c r="AN791" s="3" t="str">
        <x:v>https://www.cashhomebuyersdirectory.com/cash-home-buyers/indiana/gary</x:v>
      </x:c>
      <x:c r="AO791" s="3" t="str">
        <x:v>national_rest_directory_complete.jsonl</x:v>
      </x:c>
      <x:c r="AP791" s="19"/>
    </x:row>
    <x:row r="792" ht="36" customHeight="1">
      <x:c r="A792" s="23" t="n">
        <x:v>791</x:v>
      </x:c>
      <x:c r="B792" s="15" t="str">
        <x:v>We Buy Houses In Muncie</x:v>
      </x:c>
      <x:c r="C792" s="15"/>
      <x:c r="D792" s="15" t="str">
        <x:v>Property investor / home-buying operator</x:v>
      </x:c>
      <x:c r="E792" s="15" t="str">
        <x:v>Property investor / operator inquiry</x:v>
      </x:c>
      <x:c r="F792" s="17" t="str">
        <x:v>New</x:v>
      </x:c>
      <x:c r="G792" s="24"/>
      <x:c r="H792" s="24" t="str">
        <x:v>+17657222955</x:v>
      </x:c>
      <x:c r="I792" s="24" t="str">
        <x:v>http://www.webuyhousesinmuncie.com/</x:v>
      </x:c>
      <x:c r="J792" s="16" t="str">
        <x:v>IN</x:v>
      </x:c>
      <x:c r="K792" s="16" t="str">
        <x:v>Winchester</x:v>
      </x:c>
      <x:c r="L792" s="16" t="str">
        <x:v>Public property-business route; investor decision maker unconfirmed</x:v>
      </x:c>
      <x:c r="M792" s="16" t="str">
        <x:v>http://www.webuyhousesinmuncie.com/</x:v>
      </x:c>
      <x:c r="N792" s="16" t="str">
        <x:v>$100K-$500K ticket not published / unconfirmed</x:v>
      </x:c>
      <x:c r="O792" s="20"/>
      <x:c r="P792" s="20"/>
      <x:c r="Q792" s="25" t="str">
        <x:v>No direct corporate-capital range established in checked source</x:v>
      </x:c>
      <x:c r="R792" s="25" t="str">
        <x:v>Property acquisition or investor activity makes this an operator-capital prospect for the signed trial. Confirm operating-company debt/equity appetite.</x:v>
      </x:c>
      <x:c r="S792" s="25"/>
      <x:c r="T792" s="25" t="str">
        <x:v>Ask the owner/investor whether they can allocate $100K-$500K to trial marketing and acquisitions, and confirm structure, timing and decision authority.</x:v>
      </x:c>
      <x:c r="U792" s="25" t="str">
        <x:v>https://www.cashhomebuyersdirectory.com/cash-home-buyers/indiana/winchester</x:v>
      </x:c>
      <x:c r="V792" s="26" t="d">
        <x:v>2026-10-02T00:00:00.000Z</x:v>
      </x:c>
      <x:c r="W792" s="26" t="d">
        <x:v>2026-10-02T00:00:00.000Z</x:v>
      </x:c>
      <x:c r="X792" s="25" t="str">
        <x:v>CashHomeBuyersDirectory third-party business listing; first-party business activity not checked in this batch</x:v>
      </x:c>
      <x:c r="Y792" s="25"/>
      <x:c r="Z792" s="25" t="str">
        <x:v>https://www.cashhomebuyersdirectory.com/cash-home-buyers/indiana/winchester</x:v>
      </x:c>
      <x:c r="AA792" s="25" t="str">
        <x:v>Public cash-home-buyer directory lists the business name, business phone/website where available and market. Operator role and corporate funding willingness require confirmation.</x:v>
      </x:c>
      <x:c r="AB792" s="3" t="str">
        <x:v>New public-source collection</x:v>
      </x:c>
      <x:c r="AC792" s="3" t="str">
        <x:v>unverified</x:v>
      </x:c>
      <x:c r="AD792" s="3" t="str">
        <x:v>Not contacted / unconfirmed</x:v>
      </x:c>
      <x:c r="AE792" s="3" t="str">
        <x:v>No</x:v>
      </x:c>
      <x:c r="AF792" s="3" t="str">
        <x:v>No</x:v>
      </x:c>
      <x:c r="AG792" s="3"/>
      <x:c r="AH792" s="3"/>
      <x:c r="AI792" s="18"/>
      <x:c r="AJ792" s="3" t="str">
        <x:v>CF2500-3B2221AF67BA</x:v>
      </x:c>
      <x:c r="AK792" s="3" t="str">
        <x:v>real_estate_operator</x:v>
      </x:c>
      <x:c r="AL792" s="19" t="n">
        <x:v>100000</x:v>
      </x:c>
      <x:c r="AM792" s="19" t="n">
        <x:v>500000</x:v>
      </x:c>
      <x:c r="AN792" s="3" t="str">
        <x:v>https://www.cashhomebuyersdirectory.com/cash-home-buyers/indiana/winchester</x:v>
      </x:c>
      <x:c r="AO792" s="3" t="str">
        <x:v>national_rest_directory_complete.jsonl</x:v>
      </x:c>
      <x:c r="AP792" s="19"/>
    </x:row>
    <x:row r="793" ht="36" customHeight="1">
      <x:c r="A793" s="23" t="n">
        <x:v>792</x:v>
      </x:c>
      <x:c r="B793" s="15" t="str">
        <x:v>We Buy Houses In Tulsa</x:v>
      </x:c>
      <x:c r="C793" s="15"/>
      <x:c r="D793" s="15" t="str">
        <x:v>Property investor / home-buying operator</x:v>
      </x:c>
      <x:c r="E793" s="15" t="str">
        <x:v>Property investor / operator inquiry</x:v>
      </x:c>
      <x:c r="F793" s="17" t="str">
        <x:v>New</x:v>
      </x:c>
      <x:c r="G793" s="24"/>
      <x:c r="H793" s="24" t="str">
        <x:v>+19184171657</x:v>
      </x:c>
      <x:c r="I793" s="24" t="str">
        <x:v>http://tulsawebuyhouses.com/</x:v>
      </x:c>
      <x:c r="J793" s="16" t="str">
        <x:v>OK</x:v>
      </x:c>
      <x:c r="K793" s="16" t="str">
        <x:v>Tulsa</x:v>
      </x:c>
      <x:c r="L793" s="16" t="str">
        <x:v>Public property-business route; investor decision maker unconfirmed</x:v>
      </x:c>
      <x:c r="M793" s="16" t="str">
        <x:v>http://tulsawebuyhouses.com/</x:v>
      </x:c>
      <x:c r="N793" s="16" t="str">
        <x:v>$100K-$500K ticket not published / unconfirmed</x:v>
      </x:c>
      <x:c r="O793" s="20"/>
      <x:c r="P793" s="20"/>
      <x:c r="Q793" s="25" t="str">
        <x:v>No direct corporate-capital range established in checked source</x:v>
      </x:c>
      <x:c r="R793" s="25" t="str">
        <x:v>Property acquisition or investor activity makes this an operator-capital prospect for the signed trial. Confirm operating-company debt/equity appetite.</x:v>
      </x:c>
      <x:c r="S793" s="25"/>
      <x:c r="T793" s="25" t="str">
        <x:v>Ask the owner/investor whether they can allocate $100K-$500K to trial marketing and acquisitions, and confirm structure, timing and decision authority.</x:v>
      </x:c>
      <x:c r="U793" s="25" t="str">
        <x:v>https://www.cashhomebuyersdirectory.com/cash-home-buyers/oklahoma/tulsa</x:v>
      </x:c>
      <x:c r="V793" s="26" t="d">
        <x:v>2026-10-02T00:00:00.000Z</x:v>
      </x:c>
      <x:c r="W793" s="26" t="d">
        <x:v>2026-10-02T00:00:00.000Z</x:v>
      </x:c>
      <x:c r="X793" s="25" t="str">
        <x:v>CashHomeBuyersDirectory third-party business listing; first-party business activity not checked in this batch</x:v>
      </x:c>
      <x:c r="Y793" s="25"/>
      <x:c r="Z793" s="25" t="str">
        <x:v>https://www.cashhomebuyersdirectory.com/cash-home-buyers/oklahoma/tulsa</x:v>
      </x:c>
      <x:c r="AA793" s="25" t="str">
        <x:v>Public cash-home-buyer directory lists the business name, business phone/website where available and market. Operator role and corporate funding willingness require confirmation.</x:v>
      </x:c>
      <x:c r="AB793" s="3" t="str">
        <x:v>New public-source collection</x:v>
      </x:c>
      <x:c r="AC793" s="3" t="str">
        <x:v>unverified</x:v>
      </x:c>
      <x:c r="AD793" s="3" t="str">
        <x:v>Not contacted / unconfirmed</x:v>
      </x:c>
      <x:c r="AE793" s="3" t="str">
        <x:v>No</x:v>
      </x:c>
      <x:c r="AF793" s="3" t="str">
        <x:v>No</x:v>
      </x:c>
      <x:c r="AG793" s="3"/>
      <x:c r="AH793" s="3"/>
      <x:c r="AI793" s="18"/>
      <x:c r="AJ793" s="3" t="str">
        <x:v>CF2500-851B12741FC0</x:v>
      </x:c>
      <x:c r="AK793" s="3" t="str">
        <x:v>real_estate_operator</x:v>
      </x:c>
      <x:c r="AL793" s="19" t="n">
        <x:v>100000</x:v>
      </x:c>
      <x:c r="AM793" s="19" t="n">
        <x:v>500000</x:v>
      </x:c>
      <x:c r="AN793" s="3" t="str">
        <x:v>https://www.cashhomebuyersdirectory.com/cash-home-buyers/oklahoma/tulsa</x:v>
      </x:c>
      <x:c r="AO793" s="3" t="str">
        <x:v>national_rest_directory_complete.jsonl</x:v>
      </x:c>
      <x:c r="AP793" s="19"/>
    </x:row>
    <x:row r="794" ht="36" customHeight="1">
      <x:c r="A794" s="23" t="n">
        <x:v>793</x:v>
      </x:c>
      <x:c r="B794" s="15" t="str">
        <x:v>We Buy Houses Indianapolis Indiana</x:v>
      </x:c>
      <x:c r="C794" s="15"/>
      <x:c r="D794" s="15" t="str">
        <x:v>Property investor / home-buying operator</x:v>
      </x:c>
      <x:c r="E794" s="15" t="str">
        <x:v>Property investor / operator inquiry</x:v>
      </x:c>
      <x:c r="F794" s="17" t="str">
        <x:v>New</x:v>
      </x:c>
      <x:c r="G794" s="24"/>
      <x:c r="H794" s="24" t="str">
        <x:v>+13175051717</x:v>
      </x:c>
      <x:c r="I794" s="24" t="str">
        <x:v>https://webuyhousesindianapolisindiana.com/</x:v>
      </x:c>
      <x:c r="J794" s="16" t="str">
        <x:v>IN</x:v>
      </x:c>
      <x:c r="K794" s="16" t="str">
        <x:v>Indianapolis</x:v>
      </x:c>
      <x:c r="L794" s="16" t="str">
        <x:v>Public property-business route; investor decision maker unconfirmed</x:v>
      </x:c>
      <x:c r="M794" s="16" t="str">
        <x:v>https://webuyhousesindianapolisindiana.com/</x:v>
      </x:c>
      <x:c r="N794" s="16" t="str">
        <x:v>$100K-$500K ticket not published / unconfirmed</x:v>
      </x:c>
      <x:c r="O794" s="20"/>
      <x:c r="P794" s="20"/>
      <x:c r="Q794" s="25" t="str">
        <x:v>No direct corporate-capital range established in checked source</x:v>
      </x:c>
      <x:c r="R794" s="25" t="str">
        <x:v>Property acquisition or investor activity makes this an operator-capital prospect for the signed trial. Confirm operating-company debt/equity appetite.</x:v>
      </x:c>
      <x:c r="S794" s="25"/>
      <x:c r="T794" s="25" t="str">
        <x:v>Ask the owner/investor whether they can allocate $100K-$500K to trial marketing and acquisitions, and confirm structure, timing and decision authority.</x:v>
      </x:c>
      <x:c r="U794" s="25" t="str">
        <x:v>https://www.cashhomebuyersdirectory.com/cash-home-buyers/indiana/indianapolis</x:v>
      </x:c>
      <x:c r="V794" s="26" t="d">
        <x:v>2026-10-02T00:00:00.000Z</x:v>
      </x:c>
      <x:c r="W794" s="26" t="d">
        <x:v>2026-10-02T00:00:00.000Z</x:v>
      </x:c>
      <x:c r="X794" s="25" t="str">
        <x:v>CashHomeBuyersDirectory third-party business listing; first-party business activity not checked in this batch</x:v>
      </x:c>
      <x:c r="Y794" s="25"/>
      <x:c r="Z794" s="25" t="str">
        <x:v>https://www.cashhomebuyersdirectory.com/cash-home-buyers/indiana/indianapolis</x:v>
      </x:c>
      <x:c r="AA794" s="25" t="str">
        <x:v>Public cash-home-buyer directory lists the business name, business phone/website where available and market. Operator role and corporate funding willingness require confirmation.</x:v>
      </x:c>
      <x:c r="AB794" s="3" t="str">
        <x:v>New public-source collection</x:v>
      </x:c>
      <x:c r="AC794" s="3" t="str">
        <x:v>unverified</x:v>
      </x:c>
      <x:c r="AD794" s="3" t="str">
        <x:v>Not contacted / unconfirmed</x:v>
      </x:c>
      <x:c r="AE794" s="3" t="str">
        <x:v>No</x:v>
      </x:c>
      <x:c r="AF794" s="3" t="str">
        <x:v>No</x:v>
      </x:c>
      <x:c r="AG794" s="3"/>
      <x:c r="AH794" s="3"/>
      <x:c r="AI794" s="18"/>
      <x:c r="AJ794" s="3" t="str">
        <x:v>CF2500-CD2D7E50B21E</x:v>
      </x:c>
      <x:c r="AK794" s="3" t="str">
        <x:v>real_estate_operator</x:v>
      </x:c>
      <x:c r="AL794" s="19" t="n">
        <x:v>100000</x:v>
      </x:c>
      <x:c r="AM794" s="19" t="n">
        <x:v>500000</x:v>
      </x:c>
      <x:c r="AN794" s="3" t="str">
        <x:v>https://www.cashhomebuyersdirectory.com/cash-home-buyers/indiana/indianapolis</x:v>
      </x:c>
      <x:c r="AO794" s="3" t="str">
        <x:v>national_rest_directory_complete.jsonl</x:v>
      </x:c>
      <x:c r="AP794" s="19"/>
    </x:row>
    <x:row r="795" ht="36" customHeight="1">
      <x:c r="A795" s="23" t="n">
        <x:v>794</x:v>
      </x:c>
      <x:c r="B795" s="15" t="str">
        <x:v>We Buy Houses Johnson City LLC</x:v>
      </x:c>
      <x:c r="C795" s="15"/>
      <x:c r="D795" s="15" t="str">
        <x:v>Property investor / home-buying operator</x:v>
      </x:c>
      <x:c r="E795" s="15" t="str">
        <x:v>Property investor / operator inquiry</x:v>
      </x:c>
      <x:c r="F795" s="17" t="str">
        <x:v>New</x:v>
      </x:c>
      <x:c r="G795" s="24"/>
      <x:c r="H795" s="24" t="str">
        <x:v>+14232264770</x:v>
      </x:c>
      <x:c r="I795" s="24" t="str">
        <x:v>http://www.elevationpropertyjc.com/?utm_source=WBHJC</x:v>
      </x:c>
      <x:c r="J795" s="16" t="str">
        <x:v>TN</x:v>
      </x:c>
      <x:c r="K795" s="16" t="str">
        <x:v>Johnson City</x:v>
      </x:c>
      <x:c r="L795" s="16" t="str">
        <x:v>Public property-business route; investor decision maker unconfirmed</x:v>
      </x:c>
      <x:c r="M795" s="16" t="str">
        <x:v>http://www.elevationpropertyjc.com/?utm_source=WBHJC</x:v>
      </x:c>
      <x:c r="N795" s="16" t="str">
        <x:v>$100K-$500K ticket not published / unconfirmed</x:v>
      </x:c>
      <x:c r="O795" s="20"/>
      <x:c r="P795" s="20"/>
      <x:c r="Q795" s="25" t="str">
        <x:v>No direct corporate-capital range established in checked source</x:v>
      </x:c>
      <x:c r="R795" s="25" t="str">
        <x:v>Property acquisition or investor activity makes this an operator-capital prospect for the signed trial. Confirm operating-company debt/equity appetite.</x:v>
      </x:c>
      <x:c r="S795" s="25"/>
      <x:c r="T795" s="25" t="str">
        <x:v>Ask the owner/investor whether they can allocate $100K-$500K to trial marketing and acquisitions, and confirm structure, timing and decision authority.</x:v>
      </x:c>
      <x:c r="U795" s="25" t="str">
        <x:v>https://www.cashhomebuyersdirectory.com/cash-home-buyers/tennessee/johnson-city</x:v>
      </x:c>
      <x:c r="V795" s="26" t="d">
        <x:v>2026-10-02T00:00:00.000Z</x:v>
      </x:c>
      <x:c r="W795" s="26" t="d">
        <x:v>2026-10-02T00:00:00.000Z</x:v>
      </x:c>
      <x:c r="X795" s="25" t="str">
        <x:v>CashHomeBuyersDirectory third-party business listing; first-party business activity not checked in this batch</x:v>
      </x:c>
      <x:c r="Y795" s="25"/>
      <x:c r="Z795" s="25" t="str">
        <x:v>https://www.cashhomebuyersdirectory.com/cash-home-buyers/tennessee/johnson-city</x:v>
      </x:c>
      <x:c r="AA795" s="25" t="str">
        <x:v>Public cash-home-buyer directory lists the business name, business phone/website where available and market. Operator role and corporate funding willingness require confirmation.</x:v>
      </x:c>
      <x:c r="AB795" s="3" t="str">
        <x:v>New public-source collection</x:v>
      </x:c>
      <x:c r="AC795" s="3" t="str">
        <x:v>unverified</x:v>
      </x:c>
      <x:c r="AD795" s="3" t="str">
        <x:v>Not contacted / unconfirmed</x:v>
      </x:c>
      <x:c r="AE795" s="3" t="str">
        <x:v>No</x:v>
      </x:c>
      <x:c r="AF795" s="3" t="str">
        <x:v>No</x:v>
      </x:c>
      <x:c r="AG795" s="3"/>
      <x:c r="AH795" s="3"/>
      <x:c r="AI795" s="18"/>
      <x:c r="AJ795" s="3" t="str">
        <x:v>CF2500-14ABA776807C</x:v>
      </x:c>
      <x:c r="AK795" s="3" t="str">
        <x:v>real_estate_operator</x:v>
      </x:c>
      <x:c r="AL795" s="19" t="n">
        <x:v>100000</x:v>
      </x:c>
      <x:c r="AM795" s="19" t="n">
        <x:v>500000</x:v>
      </x:c>
      <x:c r="AN795" s="3" t="str">
        <x:v>https://www.cashhomebuyersdirectory.com/cash-home-buyers/tennessee/johnson-city</x:v>
      </x:c>
      <x:c r="AO795" s="3" t="str">
        <x:v>national_rest_directory_complete.jsonl</x:v>
      </x:c>
      <x:c r="AP795" s="19"/>
    </x:row>
    <x:row r="796" ht="36" customHeight="1">
      <x:c r="A796" s="23" t="n">
        <x:v>795</x:v>
      </x:c>
      <x:c r="B796" s="15" t="str">
        <x:v>We Buy Houses Memphis</x:v>
      </x:c>
      <x:c r="C796" s="15"/>
      <x:c r="D796" s="15" t="str">
        <x:v>Property investor / home-buying operator</x:v>
      </x:c>
      <x:c r="E796" s="15" t="str">
        <x:v>Property investor / operator inquiry</x:v>
      </x:c>
      <x:c r="F796" s="17" t="str">
        <x:v>New</x:v>
      </x:c>
      <x:c r="G796" s="24"/>
      <x:c r="H796" s="24" t="str">
        <x:v>+19018810824</x:v>
      </x:c>
      <x:c r="I796" s="24" t="str">
        <x:v>https://memphis.webuyhouses.com/?utm_campaign=gmb</x:v>
      </x:c>
      <x:c r="J796" s="16" t="str">
        <x:v>TN</x:v>
      </x:c>
      <x:c r="K796" s="16" t="str">
        <x:v>Memphis</x:v>
      </x:c>
      <x:c r="L796" s="16" t="str">
        <x:v>Public property-business route; investor decision maker unconfirmed</x:v>
      </x:c>
      <x:c r="M796" s="16" t="str">
        <x:v>https://memphis.webuyhouses.com/?utm_campaign=gmb</x:v>
      </x:c>
      <x:c r="N796" s="16" t="str">
        <x:v>$100K-$500K ticket not published / unconfirmed</x:v>
      </x:c>
      <x:c r="O796" s="20"/>
      <x:c r="P796" s="20"/>
      <x:c r="Q796" s="25" t="str">
        <x:v>No direct corporate-capital range established in checked source</x:v>
      </x:c>
      <x:c r="R796" s="25" t="str">
        <x:v>Property acquisition or investor activity makes this an operator-capital prospect for the signed trial. Confirm operating-company debt/equity appetite.</x:v>
      </x:c>
      <x:c r="S796" s="25"/>
      <x:c r="T796" s="25" t="str">
        <x:v>Ask the owner/investor whether they can allocate $100K-$500K to trial marketing and acquisitions, and confirm structure, timing and decision authority.</x:v>
      </x:c>
      <x:c r="U796" s="25" t="str">
        <x:v>https://www.cashhomebuyersdirectory.com/cash-home-buyers/tennessee/memphis</x:v>
      </x:c>
      <x:c r="V796" s="26" t="d">
        <x:v>2026-10-02T00:00:00.000Z</x:v>
      </x:c>
      <x:c r="W796" s="26" t="d">
        <x:v>2026-10-02T00:00:00.000Z</x:v>
      </x:c>
      <x:c r="X796" s="25" t="str">
        <x:v>CashHomeBuyersDirectory third-party business listing; first-party business activity not checked in this batch</x:v>
      </x:c>
      <x:c r="Y796" s="25"/>
      <x:c r="Z796" s="25" t="str">
        <x:v>https://www.cashhomebuyersdirectory.com/cash-home-buyers/tennessee/memphis</x:v>
      </x:c>
      <x:c r="AA796" s="25" t="str">
        <x:v>Public cash-home-buyer directory lists the business name, business phone/website where available and market. Operator role and corporate funding willingness require confirmation.</x:v>
      </x:c>
      <x:c r="AB796" s="3" t="str">
        <x:v>New public-source collection</x:v>
      </x:c>
      <x:c r="AC796" s="3" t="str">
        <x:v>unverified</x:v>
      </x:c>
      <x:c r="AD796" s="3" t="str">
        <x:v>Not contacted / unconfirmed</x:v>
      </x:c>
      <x:c r="AE796" s="3" t="str">
        <x:v>No</x:v>
      </x:c>
      <x:c r="AF796" s="3" t="str">
        <x:v>No</x:v>
      </x:c>
      <x:c r="AG796" s="3"/>
      <x:c r="AH796" s="3" t="str">
        <x:v>We Buy Houses - Whitehaven</x:v>
      </x:c>
      <x:c r="AI796" s="18"/>
      <x:c r="AJ796" s="3" t="str">
        <x:v>CF2500-A2DBF0CED70D</x:v>
      </x:c>
      <x:c r="AK796" s="3" t="str">
        <x:v>real_estate_operator</x:v>
      </x:c>
      <x:c r="AL796" s="19" t="n">
        <x:v>100000</x:v>
      </x:c>
      <x:c r="AM796" s="19" t="n">
        <x:v>500000</x:v>
      </x:c>
      <x:c r="AN796" s="3" t="str">
        <x:v>https://www.cashhomebuyersdirectory.com/cash-home-buyers/tennessee/memphis</x:v>
      </x:c>
      <x:c r="AO796" s="3" t="str">
        <x:v>national_rest_directory_complete.jsonl</x:v>
      </x:c>
      <x:c r="AP796" s="19"/>
    </x:row>
    <x:row r="797" ht="36" customHeight="1">
      <x:c r="A797" s="23" t="n">
        <x:v>796</x:v>
      </x:c>
      <x:c r="B797" s="15" t="str">
        <x:v>We Buy Houses Mobile, AL</x:v>
      </x:c>
      <x:c r="C797" s="15"/>
      <x:c r="D797" s="15" t="str">
        <x:v>Property investor / home-buying operator</x:v>
      </x:c>
      <x:c r="E797" s="15" t="str">
        <x:v>Property investor / operator inquiry</x:v>
      </x:c>
      <x:c r="F797" s="17" t="str">
        <x:v>New</x:v>
      </x:c>
      <x:c r="G797" s="24"/>
      <x:c r="H797" s="24" t="str">
        <x:v>+12512727311</x:v>
      </x:c>
      <x:c r="I797" s="24" t="str">
        <x:v>http://www.cashinquickhomes.com/</x:v>
      </x:c>
      <x:c r="J797" s="16" t="str">
        <x:v>AL</x:v>
      </x:c>
      <x:c r="K797" s="16" t="str">
        <x:v>Mobile</x:v>
      </x:c>
      <x:c r="L797" s="16" t="str">
        <x:v>Public property-business route; investor decision maker unconfirmed</x:v>
      </x:c>
      <x:c r="M797" s="16" t="str">
        <x:v>http://www.cashinquickhomes.com/</x:v>
      </x:c>
      <x:c r="N797" s="16" t="str">
        <x:v>$100K-$500K ticket not published / unconfirmed</x:v>
      </x:c>
      <x:c r="O797" s="20"/>
      <x:c r="P797" s="20"/>
      <x:c r="Q797" s="25" t="str">
        <x:v>No direct corporate-capital range established in checked source</x:v>
      </x:c>
      <x:c r="R797" s="25" t="str">
        <x:v>Property acquisition or investor activity makes this an operator-capital prospect for the signed trial. Confirm operating-company debt/equity appetite.</x:v>
      </x:c>
      <x:c r="S797" s="25"/>
      <x:c r="T797" s="25" t="str">
        <x:v>Ask the owner/investor whether they can allocate $100K-$500K to trial marketing and acquisitions, and confirm structure, timing and decision authority.</x:v>
      </x:c>
      <x:c r="U797" s="25" t="str">
        <x:v>https://www.cashhomebuyersdirectory.com/cash-home-buyers/alabama/mobile</x:v>
      </x:c>
      <x:c r="V797" s="26" t="d">
        <x:v>2026-10-02T00:00:00.000Z</x:v>
      </x:c>
      <x:c r="W797" s="26" t="d">
        <x:v>2026-10-02T00:00:00.000Z</x:v>
      </x:c>
      <x:c r="X797" s="25" t="str">
        <x:v>CashHomeBuyersDirectory third-party business listing; first-party business activity not checked in this batch</x:v>
      </x:c>
      <x:c r="Y797" s="25"/>
      <x:c r="Z797" s="25" t="str">
        <x:v>https://www.cashhomebuyersdirectory.com/cash-home-buyers/alabama/mobile</x:v>
      </x:c>
      <x:c r="AA797" s="25" t="str">
        <x:v>Public cash-home-buyer directory lists the business name, business phone/website where available and market. Operator role and corporate funding willingness require confirmation.</x:v>
      </x:c>
      <x:c r="AB797" s="3" t="str">
        <x:v>New public-source collection</x:v>
      </x:c>
      <x:c r="AC797" s="3" t="str">
        <x:v>unverified</x:v>
      </x:c>
      <x:c r="AD797" s="3" t="str">
        <x:v>Not contacted / unconfirmed</x:v>
      </x:c>
      <x:c r="AE797" s="3" t="str">
        <x:v>No</x:v>
      </x:c>
      <x:c r="AF797" s="3" t="str">
        <x:v>No</x:v>
      </x:c>
      <x:c r="AG797" s="3"/>
      <x:c r="AH797" s="3"/>
      <x:c r="AI797" s="18"/>
      <x:c r="AJ797" s="3" t="str">
        <x:v>CF2500-EBB4CF3658F4</x:v>
      </x:c>
      <x:c r="AK797" s="3" t="str">
        <x:v>real_estate_operator</x:v>
      </x:c>
      <x:c r="AL797" s="19" t="n">
        <x:v>100000</x:v>
      </x:c>
      <x:c r="AM797" s="19" t="n">
        <x:v>500000</x:v>
      </x:c>
      <x:c r="AN797" s="3" t="str">
        <x:v>https://www.cashhomebuyersdirectory.com/cash-home-buyers/alabama/mobile</x:v>
      </x:c>
      <x:c r="AO797" s="3" t="str">
        <x:v>national_rest_directory_complete.jsonl</x:v>
      </x:c>
      <x:c r="AP797" s="19"/>
    </x:row>
    <x:row r="798" ht="36" customHeight="1">
      <x:c r="A798" s="23" t="n">
        <x:v>797</x:v>
      </x:c>
      <x:c r="B798" s="15" t="str">
        <x:v>We Buy Houses Montgomery</x:v>
      </x:c>
      <x:c r="C798" s="15"/>
      <x:c r="D798" s="15" t="str">
        <x:v>Property investor / home-buying operator</x:v>
      </x:c>
      <x:c r="E798" s="15" t="str">
        <x:v>Property investor / operator inquiry</x:v>
      </x:c>
      <x:c r="F798" s="17" t="str">
        <x:v>New</x:v>
      </x:c>
      <x:c r="G798" s="24"/>
      <x:c r="H798" s="24" t="str">
        <x:v>+13343800049</x:v>
      </x:c>
      <x:c r="I798" s="24" t="str">
        <x:v>https://www.webuyhousesmontgomery.co/</x:v>
      </x:c>
      <x:c r="J798" s="16" t="str">
        <x:v>AL</x:v>
      </x:c>
      <x:c r="K798" s="16" t="str">
        <x:v>Montgomery</x:v>
      </x:c>
      <x:c r="L798" s="16" t="str">
        <x:v>Public property-business route; investor decision maker unconfirmed</x:v>
      </x:c>
      <x:c r="M798" s="16" t="str">
        <x:v>https://www.webuyhousesmontgomery.co/</x:v>
      </x:c>
      <x:c r="N798" s="16" t="str">
        <x:v>$100K-$500K ticket not published / unconfirmed</x:v>
      </x:c>
      <x:c r="O798" s="20"/>
      <x:c r="P798" s="20"/>
      <x:c r="Q798" s="25" t="str">
        <x:v>No direct corporate-capital range established in checked source</x:v>
      </x:c>
      <x:c r="R798" s="25" t="str">
        <x:v>Property acquisition or investor activity makes this an operator-capital prospect for the signed trial. Confirm operating-company debt/equity appetite.</x:v>
      </x:c>
      <x:c r="S798" s="25"/>
      <x:c r="T798" s="25" t="str">
        <x:v>Ask the owner/investor whether they can allocate $100K-$500K to trial marketing and acquisitions, and confirm structure, timing and decision authority.</x:v>
      </x:c>
      <x:c r="U798" s="25" t="str">
        <x:v>https://www.cashhomebuyersdirectory.com/cash-home-buyers/alabama/montgomery</x:v>
      </x:c>
      <x:c r="V798" s="26" t="d">
        <x:v>2026-10-02T00:00:00.000Z</x:v>
      </x:c>
      <x:c r="W798" s="26" t="d">
        <x:v>2026-10-02T00:00:00.000Z</x:v>
      </x:c>
      <x:c r="X798" s="25" t="str">
        <x:v>CashHomeBuyersDirectory third-party business listing; first-party business activity not checked in this batch</x:v>
      </x:c>
      <x:c r="Y798" s="25"/>
      <x:c r="Z798" s="25" t="str">
        <x:v>https://www.cashhomebuyersdirectory.com/cash-home-buyers/alabama/montgomery</x:v>
      </x:c>
      <x:c r="AA798" s="25" t="str">
        <x:v>Public cash-home-buyer directory lists the business name, business phone/website where available and market. Operator role and corporate funding willingness require confirmation.</x:v>
      </x:c>
      <x:c r="AB798" s="3" t="str">
        <x:v>New public-source collection</x:v>
      </x:c>
      <x:c r="AC798" s="3" t="str">
        <x:v>unverified</x:v>
      </x:c>
      <x:c r="AD798" s="3" t="str">
        <x:v>Not contacted / unconfirmed</x:v>
      </x:c>
      <x:c r="AE798" s="3" t="str">
        <x:v>No</x:v>
      </x:c>
      <x:c r="AF798" s="3" t="str">
        <x:v>No</x:v>
      </x:c>
      <x:c r="AG798" s="3"/>
      <x:c r="AH798" s="3"/>
      <x:c r="AI798" s="18"/>
      <x:c r="AJ798" s="3" t="str">
        <x:v>CF2500-5177321EA30F</x:v>
      </x:c>
      <x:c r="AK798" s="3" t="str">
        <x:v>real_estate_operator</x:v>
      </x:c>
      <x:c r="AL798" s="19" t="n">
        <x:v>100000</x:v>
      </x:c>
      <x:c r="AM798" s="19" t="n">
        <x:v>500000</x:v>
      </x:c>
      <x:c r="AN798" s="3" t="str">
        <x:v>https://www.cashhomebuyersdirectory.com/cash-home-buyers/alabama/montgomery</x:v>
      </x:c>
      <x:c r="AO798" s="3" t="str">
        <x:v>national_rest_directory_complete.jsonl</x:v>
      </x:c>
      <x:c r="AP798" s="19"/>
    </x:row>
    <x:row r="799" ht="36" customHeight="1">
      <x:c r="A799" s="23" t="n">
        <x:v>798</x:v>
      </x:c>
      <x:c r="B799" s="15" t="str">
        <x:v>We Buy Houses Nashville</x:v>
      </x:c>
      <x:c r="C799" s="15"/>
      <x:c r="D799" s="15" t="str">
        <x:v>Property investor / home-buying operator</x:v>
      </x:c>
      <x:c r="E799" s="15" t="str">
        <x:v>Property investor / operator inquiry</x:v>
      </x:c>
      <x:c r="F799" s="17" t="str">
        <x:v>New</x:v>
      </x:c>
      <x:c r="G799" s="24"/>
      <x:c r="H799" s="24" t="str">
        <x:v>+16293021485</x:v>
      </x:c>
      <x:c r="I799" s="24" t="str">
        <x:v>https://webuyhousesnashville.info/</x:v>
      </x:c>
      <x:c r="J799" s="16" t="str">
        <x:v>TN</x:v>
      </x:c>
      <x:c r="K799" s="16" t="str">
        <x:v>Nashville</x:v>
      </x:c>
      <x:c r="L799" s="16" t="str">
        <x:v>Public property-business route; investor decision maker unconfirmed</x:v>
      </x:c>
      <x:c r="M799" s="16" t="str">
        <x:v>https://webuyhousesnashville.info/</x:v>
      </x:c>
      <x:c r="N799" s="16" t="str">
        <x:v>$100K-$500K ticket not published / unconfirmed</x:v>
      </x:c>
      <x:c r="O799" s="20"/>
      <x:c r="P799" s="20"/>
      <x:c r="Q799" s="25" t="str">
        <x:v>No direct corporate-capital range established in checked source</x:v>
      </x:c>
      <x:c r="R799" s="25" t="str">
        <x:v>Property acquisition or investor activity makes this an operator-capital prospect for the signed trial. Confirm operating-company debt/equity appetite.</x:v>
      </x:c>
      <x:c r="S799" s="25"/>
      <x:c r="T799" s="25" t="str">
        <x:v>Ask the owner/investor whether they can allocate $100K-$500K to trial marketing and acquisitions, and confirm structure, timing and decision authority.</x:v>
      </x:c>
      <x:c r="U799" s="25" t="str">
        <x:v>https://www.cashhomebuyersdirectory.com/cash-home-buyers/tennessee/nashville</x:v>
      </x:c>
      <x:c r="V799" s="26" t="d">
        <x:v>2026-10-02T00:00:00.000Z</x:v>
      </x:c>
      <x:c r="W799" s="26" t="d">
        <x:v>2026-10-02T00:00:00.000Z</x:v>
      </x:c>
      <x:c r="X799" s="25" t="str">
        <x:v>CashHomeBuyersDirectory third-party business listing; first-party business activity not checked in this batch</x:v>
      </x:c>
      <x:c r="Y799" s="25"/>
      <x:c r="Z799" s="25" t="str">
        <x:v>https://www.cashhomebuyersdirectory.com/cash-home-buyers/tennessee/nashville</x:v>
      </x:c>
      <x:c r="AA799" s="25" t="str">
        <x:v>Public cash-home-buyer directory lists the business name, business phone/website where available and market. Operator role and corporate funding willingness require confirmation.</x:v>
      </x:c>
      <x:c r="AB799" s="3" t="str">
        <x:v>New public-source collection</x:v>
      </x:c>
      <x:c r="AC799" s="3" t="str">
        <x:v>unverified</x:v>
      </x:c>
      <x:c r="AD799" s="3" t="str">
        <x:v>Not contacted / unconfirmed</x:v>
      </x:c>
      <x:c r="AE799" s="3" t="str">
        <x:v>No</x:v>
      </x:c>
      <x:c r="AF799" s="3" t="str">
        <x:v>No</x:v>
      </x:c>
      <x:c r="AG799" s="3"/>
      <x:c r="AH799" s="3"/>
      <x:c r="AI799" s="18"/>
      <x:c r="AJ799" s="3" t="str">
        <x:v>CF2500-01A079DE9B6A</x:v>
      </x:c>
      <x:c r="AK799" s="3" t="str">
        <x:v>real_estate_operator</x:v>
      </x:c>
      <x:c r="AL799" s="19" t="n">
        <x:v>100000</x:v>
      </x:c>
      <x:c r="AM799" s="19" t="n">
        <x:v>500000</x:v>
      </x:c>
      <x:c r="AN799" s="3" t="str">
        <x:v>https://www.cashhomebuyersdirectory.com/cash-home-buyers/tennessee/nashville</x:v>
      </x:c>
      <x:c r="AO799" s="3" t="str">
        <x:v>national_rest_directory_complete.jsonl</x:v>
      </x:c>
      <x:c r="AP799" s="19"/>
    </x:row>
    <x:row r="800" ht="36" customHeight="1">
      <x:c r="A800" s="23" t="n">
        <x:v>799</x:v>
      </x:c>
      <x:c r="B800" s="15" t="str">
        <x:v>We Buy Houses Northwest Indiana</x:v>
      </x:c>
      <x:c r="C800" s="15"/>
      <x:c r="D800" s="15" t="str">
        <x:v>Property investor / home-buying operator</x:v>
      </x:c>
      <x:c r="E800" s="15" t="str">
        <x:v>Property investor / operator inquiry</x:v>
      </x:c>
      <x:c r="F800" s="17" t="str">
        <x:v>New</x:v>
      </x:c>
      <x:c r="G800" s="24"/>
      <x:c r="H800" s="24" t="str">
        <x:v>+12192595677</x:v>
      </x:c>
      <x:c r="I800" s="24" t="str">
        <x:v>https://www.webuyhousesnorthwestindiana.com/</x:v>
      </x:c>
      <x:c r="J800" s="16" t="str">
        <x:v>IN</x:v>
      </x:c>
      <x:c r="K800" s="16" t="str">
        <x:v>Hammond</x:v>
      </x:c>
      <x:c r="L800" s="16" t="str">
        <x:v>Public property-business route; investor decision maker unconfirmed</x:v>
      </x:c>
      <x:c r="M800" s="16" t="str">
        <x:v>https://www.webuyhousesnorthwestindiana.com/</x:v>
      </x:c>
      <x:c r="N800" s="16" t="str">
        <x:v>$100K-$500K ticket not published / unconfirmed</x:v>
      </x:c>
      <x:c r="O800" s="20"/>
      <x:c r="P800" s="20"/>
      <x:c r="Q800" s="25" t="str">
        <x:v>No direct corporate-capital range established in checked source</x:v>
      </x:c>
      <x:c r="R800" s="25" t="str">
        <x:v>Property acquisition or investor activity makes this an operator-capital prospect for the signed trial. Confirm operating-company debt/equity appetite.</x:v>
      </x:c>
      <x:c r="S800" s="25"/>
      <x:c r="T800" s="25" t="str">
        <x:v>Ask the owner/investor whether they can allocate $100K-$500K to trial marketing and acquisitions, and confirm structure, timing and decision authority.</x:v>
      </x:c>
      <x:c r="U800" s="25" t="str">
        <x:v>https://www.cashhomebuyersdirectory.com/cash-home-buyers/indiana/hammond</x:v>
      </x:c>
      <x:c r="V800" s="26" t="d">
        <x:v>2026-10-02T00:00:00.000Z</x:v>
      </x:c>
      <x:c r="W800" s="26" t="d">
        <x:v>2026-10-02T00:00:00.000Z</x:v>
      </x:c>
      <x:c r="X800" s="25" t="str">
        <x:v>CashHomeBuyersDirectory third-party business listing; first-party business activity not checked in this batch</x:v>
      </x:c>
      <x:c r="Y800" s="25"/>
      <x:c r="Z800" s="25" t="str">
        <x:v>https://www.cashhomebuyersdirectory.com/cash-home-buyers/indiana/hammond</x:v>
      </x:c>
      <x:c r="AA800" s="25" t="str">
        <x:v>Public cash-home-buyer directory lists the business name, business phone/website where available and market. Operator role and corporate funding willingness require confirmation.</x:v>
      </x:c>
      <x:c r="AB800" s="3" t="str">
        <x:v>New public-source collection</x:v>
      </x:c>
      <x:c r="AC800" s="3" t="str">
        <x:v>unverified</x:v>
      </x:c>
      <x:c r="AD800" s="3" t="str">
        <x:v>Not contacted / unconfirmed</x:v>
      </x:c>
      <x:c r="AE800" s="3" t="str">
        <x:v>No</x:v>
      </x:c>
      <x:c r="AF800" s="3" t="str">
        <x:v>No</x:v>
      </x:c>
      <x:c r="AG800" s="3"/>
      <x:c r="AH800" s="3"/>
      <x:c r="AI800" s="18"/>
      <x:c r="AJ800" s="3" t="str">
        <x:v>CF2500-1E406F7072CF</x:v>
      </x:c>
      <x:c r="AK800" s="3" t="str">
        <x:v>real_estate_operator</x:v>
      </x:c>
      <x:c r="AL800" s="19" t="n">
        <x:v>100000</x:v>
      </x:c>
      <x:c r="AM800" s="19" t="n">
        <x:v>500000</x:v>
      </x:c>
      <x:c r="AN800" s="3" t="str">
        <x:v>https://www.cashhomebuyersdirectory.com/cash-home-buyers/indiana/hammond</x:v>
      </x:c>
      <x:c r="AO800" s="3" t="str">
        <x:v>national_rest_directory_complete.jsonl</x:v>
      </x:c>
      <x:c r="AP800" s="19"/>
    </x:row>
    <x:row r="801" ht="36" customHeight="1">
      <x:c r="A801" s="23" t="n">
        <x:v>800</x:v>
      </x:c>
      <x:c r="B801" s="15" t="str">
        <x:v>We Buy Houses Southwest Indiana</x:v>
      </x:c>
      <x:c r="C801" s="15"/>
      <x:c r="D801" s="15" t="str">
        <x:v>Property investor / home-buying operator</x:v>
      </x:c>
      <x:c r="E801" s="15" t="str">
        <x:v>Property investor / operator inquiry</x:v>
      </x:c>
      <x:c r="F801" s="17" t="str">
        <x:v>New</x:v>
      </x:c>
      <x:c r="G801" s="24"/>
      <x:c r="H801" s="24" t="str">
        <x:v>+18128644114</x:v>
      </x:c>
      <x:c r="I801" s="24" t="str">
        <x:v>https://webuyhouses812.com/</x:v>
      </x:c>
      <x:c r="J801" s="16" t="str">
        <x:v>IN</x:v>
      </x:c>
      <x:c r="K801" s="16" t="str">
        <x:v>Princeton</x:v>
      </x:c>
      <x:c r="L801" s="16" t="str">
        <x:v>Public property-business route; investor decision maker unconfirmed</x:v>
      </x:c>
      <x:c r="M801" s="16" t="str">
        <x:v>https://webuyhouses812.com/</x:v>
      </x:c>
      <x:c r="N801" s="16" t="str">
        <x:v>$100K-$500K ticket not published / unconfirmed</x:v>
      </x:c>
      <x:c r="O801" s="20"/>
      <x:c r="P801" s="20"/>
      <x:c r="Q801" s="25" t="str">
        <x:v>No direct corporate-capital range established in checked source</x:v>
      </x:c>
      <x:c r="R801" s="25" t="str">
        <x:v>Property acquisition or investor activity makes this an operator-capital prospect for the signed trial. Confirm operating-company debt/equity appetite.</x:v>
      </x:c>
      <x:c r="S801" s="25"/>
      <x:c r="T801" s="25" t="str">
        <x:v>Ask the owner/investor whether they can allocate $100K-$500K to trial marketing and acquisitions, and confirm structure, timing and decision authority.</x:v>
      </x:c>
      <x:c r="U801" s="25" t="str">
        <x:v>https://www.cashhomebuyersdirectory.com/cash-home-buyers/indiana/princeton</x:v>
      </x:c>
      <x:c r="V801" s="26" t="d">
        <x:v>2026-10-02T00:00:00.000Z</x:v>
      </x:c>
      <x:c r="W801" s="26" t="d">
        <x:v>2026-10-02T00:00:00.000Z</x:v>
      </x:c>
      <x:c r="X801" s="25" t="str">
        <x:v>CashHomeBuyersDirectory third-party business listing; first-party business activity not checked in this batch</x:v>
      </x:c>
      <x:c r="Y801" s="25"/>
      <x:c r="Z801" s="25" t="str">
        <x:v>https://www.cashhomebuyersdirectory.com/cash-home-buyers/indiana/princeton</x:v>
      </x:c>
      <x:c r="AA801" s="25" t="str">
        <x:v>Public cash-home-buyer directory lists the business name, business phone/website where available and market. Operator role and corporate funding willingness require confirmation.</x:v>
      </x:c>
      <x:c r="AB801" s="3" t="str">
        <x:v>New public-source collection</x:v>
      </x:c>
      <x:c r="AC801" s="3" t="str">
        <x:v>unverified</x:v>
      </x:c>
      <x:c r="AD801" s="3" t="str">
        <x:v>Not contacted / unconfirmed</x:v>
      </x:c>
      <x:c r="AE801" s="3" t="str">
        <x:v>No</x:v>
      </x:c>
      <x:c r="AF801" s="3" t="str">
        <x:v>No</x:v>
      </x:c>
      <x:c r="AG801" s="3"/>
      <x:c r="AH801" s="3"/>
      <x:c r="AI801" s="18"/>
      <x:c r="AJ801" s="3" t="str">
        <x:v>CF2500-8239BB7AA9E9</x:v>
      </x:c>
      <x:c r="AK801" s="3" t="str">
        <x:v>real_estate_operator</x:v>
      </x:c>
      <x:c r="AL801" s="19" t="n">
        <x:v>100000</x:v>
      </x:c>
      <x:c r="AM801" s="19" t="n">
        <x:v>500000</x:v>
      </x:c>
      <x:c r="AN801" s="3" t="str">
        <x:v>https://www.cashhomebuyersdirectory.com/cash-home-buyers/indiana/princeton</x:v>
      </x:c>
      <x:c r="AO801" s="3" t="str">
        <x:v>national_rest_directory_complete.jsonl</x:v>
      </x:c>
      <x:c r="AP801" s="19"/>
    </x:row>
    <x:row r="802" ht="36" customHeight="1">
      <x:c r="A802" s="23" t="n">
        <x:v>801</x:v>
      </x:c>
      <x:c r="B802" s="15" t="str">
        <x:v>We Buy Houses® Tulsa</x:v>
      </x:c>
      <x:c r="C802" s="15"/>
      <x:c r="D802" s="15" t="str">
        <x:v>Property investor / home-buying operator</x:v>
      </x:c>
      <x:c r="E802" s="15" t="str">
        <x:v>Property investor / operator inquiry</x:v>
      </x:c>
      <x:c r="F802" s="17" t="str">
        <x:v>New</x:v>
      </x:c>
      <x:c r="G802" s="24"/>
      <x:c r="H802" s="24" t="str">
        <x:v>+19187396777</x:v>
      </x:c>
      <x:c r="I802" s="24" t="str">
        <x:v>https://tulsa.webuyhouses.com/?utm_source=gbp</x:v>
      </x:c>
      <x:c r="J802" s="16" t="str">
        <x:v>OK</x:v>
      </x:c>
      <x:c r="K802" s="16"/>
      <x:c r="L802" s="16" t="str">
        <x:v>Public property-business route; investor decision maker unconfirmed</x:v>
      </x:c>
      <x:c r="M802" s="16" t="str">
        <x:v>https://tulsa.webuyhouses.com/?utm_source=gbp</x:v>
      </x:c>
      <x:c r="N802" s="16" t="str">
        <x:v>$100K-$500K ticket not published / unconfirmed</x:v>
      </x:c>
      <x:c r="O802" s="20"/>
      <x:c r="P802" s="20"/>
      <x:c r="Q802" s="25" t="str">
        <x:v>No direct corporate-capital range established in checked source</x:v>
      </x:c>
      <x:c r="R802" s="25" t="str">
        <x:v>Property acquisition or investor activity makes this an operator-capital prospect for the signed trial. Confirm operating-company debt/equity appetite.</x:v>
      </x:c>
      <x:c r="S802" s="25"/>
      <x:c r="T802" s="25" t="str">
        <x:v>Ask the owner/investor whether they can allocate $100K-$500K to trial marketing and acquisitions, and confirm structure, timing and decision authority.</x:v>
      </x:c>
      <x:c r="U802" s="25" t="str">
        <x:v>https://www.cashhomebuyersdirectory.com/cash-home-buyers/oklahoma/tulsa</x:v>
      </x:c>
      <x:c r="V802" s="26" t="d">
        <x:v>2026-10-02T00:00:00.000Z</x:v>
      </x:c>
      <x:c r="W802" s="26" t="d">
        <x:v>2026-10-02T00:00:00.000Z</x:v>
      </x:c>
      <x:c r="X802" s="25" t="str">
        <x:v>CashHomeBuyersDirectory third-party business listing; first-party business activity not checked in this batch</x:v>
      </x:c>
      <x:c r="Y802" s="25"/>
      <x:c r="Z802" s="25" t="str">
        <x:v>https://www.cashhomebuyersdirectory.com/cash-home-buyers/oklahoma/tulsa</x:v>
      </x:c>
      <x:c r="AA802" s="25" t="str">
        <x:v>Public cash-home-buyer directory lists the business name, business phone/website where available and market. Operator role and corporate funding willingness require confirmation.</x:v>
      </x:c>
      <x:c r="AB802" s="3" t="str">
        <x:v>New public-source collection</x:v>
      </x:c>
      <x:c r="AC802" s="3" t="str">
        <x:v>unverified</x:v>
      </x:c>
      <x:c r="AD802" s="3" t="str">
        <x:v>Not contacted / unconfirmed</x:v>
      </x:c>
      <x:c r="AE802" s="3" t="str">
        <x:v>No</x:v>
      </x:c>
      <x:c r="AF802" s="3" t="str">
        <x:v>No</x:v>
      </x:c>
      <x:c r="AG802" s="3"/>
      <x:c r="AH802" s="3"/>
      <x:c r="AI802" s="18"/>
      <x:c r="AJ802" s="3" t="str">
        <x:v>CF2500-C9469C550AF2</x:v>
      </x:c>
      <x:c r="AK802" s="3" t="str">
        <x:v>real_estate_operator</x:v>
      </x:c>
      <x:c r="AL802" s="19" t="n">
        <x:v>100000</x:v>
      </x:c>
      <x:c r="AM802" s="19" t="n">
        <x:v>500000</x:v>
      </x:c>
      <x:c r="AN802" s="3" t="str">
        <x:v>https://www.cashhomebuyersdirectory.com/cash-home-buyers/oklahoma/tulsa</x:v>
      </x:c>
      <x:c r="AO802" s="3" t="str">
        <x:v>national_rest_directory_complete.jsonl</x:v>
      </x:c>
      <x:c r="AP802" s="19"/>
    </x:row>
    <x:row r="803" ht="36" customHeight="1">
      <x:c r="A803" s="23" t="n">
        <x:v>802</x:v>
      </x:c>
      <x:c r="B803" s="15" t="str">
        <x:v>We Buy Houses Tulsa - Sell My House Fast Tulsa - Sell Your House Tulsa</x:v>
      </x:c>
      <x:c r="C803" s="15"/>
      <x:c r="D803" s="15" t="str">
        <x:v>Property investor / home-buying operator</x:v>
      </x:c>
      <x:c r="E803" s="15" t="str">
        <x:v>Property investor / operator inquiry</x:v>
      </x:c>
      <x:c r="F803" s="17" t="str">
        <x:v>New</x:v>
      </x:c>
      <x:c r="G803" s="24"/>
      <x:c r="H803" s="24" t="str">
        <x:v>+19182976222</x:v>
      </x:c>
      <x:c r="I803" s="24" t="str">
        <x:v>https://sellyourhousetulsa.com/</x:v>
      </x:c>
      <x:c r="J803" s="16" t="str">
        <x:v>OK</x:v>
      </x:c>
      <x:c r="K803" s="16"/>
      <x:c r="L803" s="16" t="str">
        <x:v>Public property-business route; investor decision maker unconfirmed</x:v>
      </x:c>
      <x:c r="M803" s="16" t="str">
        <x:v>https://sellyourhousetulsa.com/</x:v>
      </x:c>
      <x:c r="N803" s="16" t="str">
        <x:v>$100K-$500K ticket not published / unconfirmed</x:v>
      </x:c>
      <x:c r="O803" s="20"/>
      <x:c r="P803" s="20"/>
      <x:c r="Q803" s="25" t="str">
        <x:v>No direct corporate-capital range established in checked source</x:v>
      </x:c>
      <x:c r="R803" s="25" t="str">
        <x:v>Property acquisition or investor activity makes this an operator-capital prospect for the signed trial. Confirm operating-company debt/equity appetite.</x:v>
      </x:c>
      <x:c r="S803" s="25"/>
      <x:c r="T803" s="25" t="str">
        <x:v>Ask the owner/investor whether they can allocate $100K-$500K to trial marketing and acquisitions, and confirm structure, timing and decision authority.</x:v>
      </x:c>
      <x:c r="U803" s="25" t="str">
        <x:v>https://www.cashhomebuyersdirectory.com/cash-home-buyers/oklahoma/tulsa</x:v>
      </x:c>
      <x:c r="V803" s="26" t="d">
        <x:v>2026-10-02T00:00:00.000Z</x:v>
      </x:c>
      <x:c r="W803" s="26" t="d">
        <x:v>2026-10-02T00:00:00.000Z</x:v>
      </x:c>
      <x:c r="X803" s="25" t="str">
        <x:v>CashHomeBuyersDirectory third-party business listing; first-party business activity not checked in this batch</x:v>
      </x:c>
      <x:c r="Y803" s="25"/>
      <x:c r="Z803" s="25" t="str">
        <x:v>https://www.cashhomebuyersdirectory.com/cash-home-buyers/oklahoma/tulsa</x:v>
      </x:c>
      <x:c r="AA803" s="25" t="str">
        <x:v>Public cash-home-buyer directory lists the business name, business phone/website where available and market. Operator role and corporate funding willingness require confirmation.</x:v>
      </x:c>
      <x:c r="AB803" s="3" t="str">
        <x:v>New public-source collection</x:v>
      </x:c>
      <x:c r="AC803" s="3" t="str">
        <x:v>unverified</x:v>
      </x:c>
      <x:c r="AD803" s="3" t="str">
        <x:v>Not contacted / unconfirmed</x:v>
      </x:c>
      <x:c r="AE803" s="3" t="str">
        <x:v>No</x:v>
      </x:c>
      <x:c r="AF803" s="3" t="str">
        <x:v>No</x:v>
      </x:c>
      <x:c r="AG803" s="3"/>
      <x:c r="AH803" s="3"/>
      <x:c r="AI803" s="18"/>
      <x:c r="AJ803" s="3" t="str">
        <x:v>CF2500-B7AD519F86D2</x:v>
      </x:c>
      <x:c r="AK803" s="3" t="str">
        <x:v>real_estate_operator</x:v>
      </x:c>
      <x:c r="AL803" s="19" t="n">
        <x:v>100000</x:v>
      </x:c>
      <x:c r="AM803" s="19" t="n">
        <x:v>500000</x:v>
      </x:c>
      <x:c r="AN803" s="3" t="str">
        <x:v>https://www.cashhomebuyersdirectory.com/cash-home-buyers/oklahoma/tulsa</x:v>
      </x:c>
      <x:c r="AO803" s="3" t="str">
        <x:v>national_rest_directory_complete.jsonl</x:v>
      </x:c>
      <x:c r="AP803" s="19"/>
    </x:row>
    <x:row r="804" ht="36" customHeight="1">
      <x:c r="A804" s="23" t="n">
        <x:v>803</x:v>
      </x:c>
      <x:c r="B804" s="15" t="str">
        <x:v>We Buy Houses Upstate SC</x:v>
      </x:c>
      <x:c r="C804" s="15"/>
      <x:c r="D804" s="15" t="str">
        <x:v>Property investor / home-buying operator</x:v>
      </x:c>
      <x:c r="E804" s="15" t="str">
        <x:v>Property investor / operator inquiry</x:v>
      </x:c>
      <x:c r="F804" s="17" t="str">
        <x:v>New</x:v>
      </x:c>
      <x:c r="G804" s="24"/>
      <x:c r="H804" s="24" t="str">
        <x:v>+18644000470</x:v>
      </x:c>
      <x:c r="I804" s="24" t="str">
        <x:v>https://www.webuyhousesupstatesc.com/</x:v>
      </x:c>
      <x:c r="J804" s="16" t="str">
        <x:v>SC</x:v>
      </x:c>
      <x:c r="K804" s="16"/>
      <x:c r="L804" s="16" t="str">
        <x:v>Public property-business route; investor decision maker unconfirmed</x:v>
      </x:c>
      <x:c r="M804" s="16" t="str">
        <x:v>https://www.webuyhousesupstatesc.com/</x:v>
      </x:c>
      <x:c r="N804" s="16" t="str">
        <x:v>$100K-$500K ticket not published / unconfirmed</x:v>
      </x:c>
      <x:c r="O804" s="20"/>
      <x:c r="P804" s="20"/>
      <x:c r="Q804" s="25" t="str">
        <x:v>No direct corporate-capital range established in checked source</x:v>
      </x:c>
      <x:c r="R804" s="25" t="str">
        <x:v>Property acquisition or investor activity makes this an operator-capital prospect for the signed trial. Confirm operating-company debt/equity appetite.</x:v>
      </x:c>
      <x:c r="S804" s="25"/>
      <x:c r="T804" s="25" t="str">
        <x:v>Ask the owner/investor whether they can allocate $100K-$500K to trial marketing and acquisitions, and confirm structure, timing and decision authority.</x:v>
      </x:c>
      <x:c r="U804" s="25" t="str">
        <x:v>https://www.cashhomebuyersdirectory.com/cash-home-buyers/south-carolina/greenville</x:v>
      </x:c>
      <x:c r="V804" s="26" t="d">
        <x:v>2026-10-02T00:00:00.000Z</x:v>
      </x:c>
      <x:c r="W804" s="26" t="d">
        <x:v>2026-10-02T00:00:00.000Z</x:v>
      </x:c>
      <x:c r="X804" s="25" t="str">
        <x:v>CashHomeBuyersDirectory third-party business listing; first-party business activity not checked in this batch</x:v>
      </x:c>
      <x:c r="Y804" s="25"/>
      <x:c r="Z804" s="25" t="str">
        <x:v>https://www.cashhomebuyersdirectory.com/cash-home-buyers/south-carolina/greenville</x:v>
      </x:c>
      <x:c r="AA804" s="25" t="str">
        <x:v>Public cash-home-buyer directory lists the business name, business phone/website where available and market. Operator role and corporate funding willingness require confirmation.</x:v>
      </x:c>
      <x:c r="AB804" s="3" t="str">
        <x:v>New public-source collection</x:v>
      </x:c>
      <x:c r="AC804" s="3" t="str">
        <x:v>unverified</x:v>
      </x:c>
      <x:c r="AD804" s="3" t="str">
        <x:v>Not contacted / unconfirmed</x:v>
      </x:c>
      <x:c r="AE804" s="3" t="str">
        <x:v>No</x:v>
      </x:c>
      <x:c r="AF804" s="3" t="str">
        <x:v>No</x:v>
      </x:c>
      <x:c r="AG804" s="3"/>
      <x:c r="AH804" s="3"/>
      <x:c r="AI804" s="18"/>
      <x:c r="AJ804" s="3" t="str">
        <x:v>CF2500-EB29801B2596</x:v>
      </x:c>
      <x:c r="AK804" s="3" t="str">
        <x:v>real_estate_operator</x:v>
      </x:c>
      <x:c r="AL804" s="19" t="n">
        <x:v>100000</x:v>
      </x:c>
      <x:c r="AM804" s="19" t="n">
        <x:v>500000</x:v>
      </x:c>
      <x:c r="AN804" s="3" t="str">
        <x:v>https://www.cashhomebuyersdirectory.com/cash-home-buyers/south-carolina/greenville</x:v>
      </x:c>
      <x:c r="AO804" s="3" t="str">
        <x:v>national_rest_directory_complete.jsonl</x:v>
      </x:c>
      <x:c r="AP804" s="19"/>
    </x:row>
    <x:row r="805" ht="36" customHeight="1">
      <x:c r="A805" s="23" t="n">
        <x:v>804</x:v>
      </x:c>
      <x:c r="B805" s="15" t="str">
        <x:v>We Buy Houses Wichita Kansas</x:v>
      </x:c>
      <x:c r="C805" s="15"/>
      <x:c r="D805" s="15" t="str">
        <x:v>Property investor / home-buying operator</x:v>
      </x:c>
      <x:c r="E805" s="15" t="str">
        <x:v>Property investor / operator inquiry</x:v>
      </x:c>
      <x:c r="F805" s="17" t="str">
        <x:v>New</x:v>
      </x:c>
      <x:c r="G805" s="24"/>
      <x:c r="H805" s="24" t="str">
        <x:v>+13167792418</x:v>
      </x:c>
      <x:c r="I805" s="24" t="str">
        <x:v>https://webuyhouseswichitakansas.com/</x:v>
      </x:c>
      <x:c r="J805" s="16" t="str">
        <x:v>KS</x:v>
      </x:c>
      <x:c r="K805" s="16" t="str">
        <x:v>Wichita</x:v>
      </x:c>
      <x:c r="L805" s="16" t="str">
        <x:v>Public property-business route; investor decision maker unconfirmed</x:v>
      </x:c>
      <x:c r="M805" s="16" t="str">
        <x:v>https://webuyhouseswichitakansas.com/</x:v>
      </x:c>
      <x:c r="N805" s="16" t="str">
        <x:v>$100K-$500K ticket not published / unconfirmed</x:v>
      </x:c>
      <x:c r="O805" s="20"/>
      <x:c r="P805" s="20"/>
      <x:c r="Q805" s="25" t="str">
        <x:v>No direct corporate-capital range established in checked source</x:v>
      </x:c>
      <x:c r="R805" s="25" t="str">
        <x:v>Property acquisition or investor activity makes this an operator-capital prospect for the signed trial. Confirm operating-company debt/equity appetite.</x:v>
      </x:c>
      <x:c r="S805" s="25"/>
      <x:c r="T805" s="25" t="str">
        <x:v>Ask the owner/investor whether they can allocate $100K-$500K to trial marketing and acquisitions, and confirm structure, timing and decision authority.</x:v>
      </x:c>
      <x:c r="U805" s="25" t="str">
        <x:v>https://www.cashhomebuyersdirectory.com/cash-home-buyers/kansas/wichita</x:v>
      </x:c>
      <x:c r="V805" s="26" t="d">
        <x:v>2026-10-02T00:00:00.000Z</x:v>
      </x:c>
      <x:c r="W805" s="26" t="d">
        <x:v>2026-10-02T00:00:00.000Z</x:v>
      </x:c>
      <x:c r="X805" s="25" t="str">
        <x:v>CashHomeBuyersDirectory third-party business listing; first-party business activity not checked in this batch</x:v>
      </x:c>
      <x:c r="Y805" s="25"/>
      <x:c r="Z805" s="25" t="str">
        <x:v>https://www.cashhomebuyersdirectory.com/cash-home-buyers/kansas/wichita</x:v>
      </x:c>
      <x:c r="AA805" s="25" t="str">
        <x:v>Public cash-home-buyer directory lists the business name, business phone/website where available and market. Operator role and corporate funding willingness require confirmation.</x:v>
      </x:c>
      <x:c r="AB805" s="3" t="str">
        <x:v>New public-source collection</x:v>
      </x:c>
      <x:c r="AC805" s="3" t="str">
        <x:v>unverified</x:v>
      </x:c>
      <x:c r="AD805" s="3" t="str">
        <x:v>Not contacted / unconfirmed</x:v>
      </x:c>
      <x:c r="AE805" s="3" t="str">
        <x:v>No</x:v>
      </x:c>
      <x:c r="AF805" s="3" t="str">
        <x:v>No</x:v>
      </x:c>
      <x:c r="AG805" s="3"/>
      <x:c r="AH805" s="3"/>
      <x:c r="AI805" s="18"/>
      <x:c r="AJ805" s="3" t="str">
        <x:v>CF2500-B78AD2B7BD6D</x:v>
      </x:c>
      <x:c r="AK805" s="3" t="str">
        <x:v>real_estate_operator</x:v>
      </x:c>
      <x:c r="AL805" s="19" t="n">
        <x:v>100000</x:v>
      </x:c>
      <x:c r="AM805" s="19" t="n">
        <x:v>500000</x:v>
      </x:c>
      <x:c r="AN805" s="3" t="str">
        <x:v>https://www.cashhomebuyersdirectory.com/cash-home-buyers/kansas/wichita</x:v>
      </x:c>
      <x:c r="AO805" s="3" t="str">
        <x:v>national_rest_directory_complete.jsonl</x:v>
      </x:c>
      <x:c r="AP805" s="19"/>
    </x:row>
    <x:row r="806" ht="36" customHeight="1">
      <x:c r="A806" s="23" t="n">
        <x:v>805</x:v>
      </x:c>
      <x:c r="B806" s="15" t="str">
        <x:v>Whitley Hamilton Home Buyers</x:v>
      </x:c>
      <x:c r="C806" s="15"/>
      <x:c r="D806" s="15" t="str">
        <x:v>Property investor / home-buying operator</x:v>
      </x:c>
      <x:c r="E806" s="15" t="str">
        <x:v>Property investor / operator inquiry</x:v>
      </x:c>
      <x:c r="F806" s="17" t="str">
        <x:v>New</x:v>
      </x:c>
      <x:c r="G806" s="24"/>
      <x:c r="H806" s="24" t="str">
        <x:v>+14238202779</x:v>
      </x:c>
      <x:c r="I806" s="24" t="str">
        <x:v>https://whitleyhamiltonhomebuyers.com/</x:v>
      </x:c>
      <x:c r="J806" s="16" t="str">
        <x:v>TN</x:v>
      </x:c>
      <x:c r="K806" s="16"/>
      <x:c r="L806" s="16" t="str">
        <x:v>Public property-business route; investor decision maker unconfirmed</x:v>
      </x:c>
      <x:c r="M806" s="16" t="str">
        <x:v>https://whitleyhamiltonhomebuyers.com/</x:v>
      </x:c>
      <x:c r="N806" s="16" t="str">
        <x:v>$100K-$500K ticket not published / unconfirmed</x:v>
      </x:c>
      <x:c r="O806" s="20"/>
      <x:c r="P806" s="20"/>
      <x:c r="Q806" s="25" t="str">
        <x:v>No direct corporate-capital range established in checked source</x:v>
      </x:c>
      <x:c r="R806" s="25" t="str">
        <x:v>Property acquisition or investor activity makes this an operator-capital prospect for the signed trial. Confirm operating-company debt/equity appetite.</x:v>
      </x:c>
      <x:c r="S806" s="25"/>
      <x:c r="T806" s="25" t="str">
        <x:v>Ask the owner/investor whether they can allocate $100K-$500K to trial marketing and acquisitions, and confirm structure, timing and decision authority.</x:v>
      </x:c>
      <x:c r="U806" s="25" t="str">
        <x:v>https://www.cashhomebuyersdirectory.com/cash-home-buyers/tennessee/johnson-city</x:v>
      </x:c>
      <x:c r="V806" s="26" t="d">
        <x:v>2026-10-02T00:00:00.000Z</x:v>
      </x:c>
      <x:c r="W806" s="26" t="d">
        <x:v>2026-10-02T00:00:00.000Z</x:v>
      </x:c>
      <x:c r="X806" s="25" t="str">
        <x:v>CashHomeBuyersDirectory third-party business listing; first-party business activity not checked in this batch</x:v>
      </x:c>
      <x:c r="Y806" s="25"/>
      <x:c r="Z806" s="25" t="str">
        <x:v>https://www.cashhomebuyersdirectory.com/cash-home-buyers/tennessee/johnson-city</x:v>
      </x:c>
      <x:c r="AA806" s="25" t="str">
        <x:v>Public cash-home-buyer directory lists the business name, business phone/website where available and market. Operator role and corporate funding willingness require confirmation.</x:v>
      </x:c>
      <x:c r="AB806" s="3" t="str">
        <x:v>New public-source collection</x:v>
      </x:c>
      <x:c r="AC806" s="3" t="str">
        <x:v>unverified</x:v>
      </x:c>
      <x:c r="AD806" s="3" t="str">
        <x:v>Not contacted / unconfirmed</x:v>
      </x:c>
      <x:c r="AE806" s="3" t="str">
        <x:v>No</x:v>
      </x:c>
      <x:c r="AF806" s="3" t="str">
        <x:v>No</x:v>
      </x:c>
      <x:c r="AG806" s="3"/>
      <x:c r="AH806" s="3"/>
      <x:c r="AI806" s="18"/>
      <x:c r="AJ806" s="3" t="str">
        <x:v>CF2500-D8A12E993E00</x:v>
      </x:c>
      <x:c r="AK806" s="3" t="str">
        <x:v>real_estate_operator</x:v>
      </x:c>
      <x:c r="AL806" s="19" t="n">
        <x:v>100000</x:v>
      </x:c>
      <x:c r="AM806" s="19" t="n">
        <x:v>500000</x:v>
      </x:c>
      <x:c r="AN806" s="3" t="str">
        <x:v>https://www.cashhomebuyersdirectory.com/cash-home-buyers/tennessee/johnson-city</x:v>
      </x:c>
      <x:c r="AO806" s="3" t="str">
        <x:v>national_rest_directory_complete.jsonl</x:v>
      </x:c>
      <x:c r="AP806" s="19"/>
    </x:row>
    <x:row r="807" ht="36" customHeight="1">
      <x:c r="A807" s="23" t="n">
        <x:v>806</x:v>
      </x:c>
      <x:c r="B807" s="15" t="str">
        <x:v>Wichita Cash For Homes</x:v>
      </x:c>
      <x:c r="C807" s="15"/>
      <x:c r="D807" s="15" t="str">
        <x:v>Property investor / home-buying operator</x:v>
      </x:c>
      <x:c r="E807" s="15" t="str">
        <x:v>Property investor / operator inquiry</x:v>
      </x:c>
      <x:c r="F807" s="17" t="str">
        <x:v>New</x:v>
      </x:c>
      <x:c r="G807" s="24"/>
      <x:c r="H807" s="24" t="str">
        <x:v>+13163024410</x:v>
      </x:c>
      <x:c r="I807" s="24" t="str">
        <x:v>https://www.wichitacashforhomes.com/</x:v>
      </x:c>
      <x:c r="J807" s="16" t="str">
        <x:v>KS</x:v>
      </x:c>
      <x:c r="K807" s="16" t="str">
        <x:v>Wichita</x:v>
      </x:c>
      <x:c r="L807" s="16" t="str">
        <x:v>Public property-business route; investor decision maker unconfirmed</x:v>
      </x:c>
      <x:c r="M807" s="16" t="str">
        <x:v>https://www.wichitacashforhomes.com/</x:v>
      </x:c>
      <x:c r="N807" s="16" t="str">
        <x:v>$100K-$500K ticket not published / unconfirmed</x:v>
      </x:c>
      <x:c r="O807" s="20"/>
      <x:c r="P807" s="20"/>
      <x:c r="Q807" s="25" t="str">
        <x:v>No direct corporate-capital range established in checked source</x:v>
      </x:c>
      <x:c r="R807" s="25" t="str">
        <x:v>Property acquisition or investor activity makes this an operator-capital prospect for the signed trial. Confirm operating-company debt/equity appetite.</x:v>
      </x:c>
      <x:c r="S807" s="25"/>
      <x:c r="T807" s="25" t="str">
        <x:v>Ask the owner/investor whether they can allocate $100K-$500K to trial marketing and acquisitions, and confirm structure, timing and decision authority.</x:v>
      </x:c>
      <x:c r="U807" s="25" t="str">
        <x:v>https://www.cashhomebuyersdirectory.com/cash-home-buyers/kansas/wichita</x:v>
      </x:c>
      <x:c r="V807" s="26" t="d">
        <x:v>2026-10-02T00:00:00.000Z</x:v>
      </x:c>
      <x:c r="W807" s="26" t="d">
        <x:v>2026-10-02T00:00:00.000Z</x:v>
      </x:c>
      <x:c r="X807" s="25" t="str">
        <x:v>CashHomeBuyersDirectory third-party business listing; first-party business activity not checked in this batch</x:v>
      </x:c>
      <x:c r="Y807" s="25"/>
      <x:c r="Z807" s="25" t="str">
        <x:v>https://www.cashhomebuyersdirectory.com/cash-home-buyers/kansas/wichita</x:v>
      </x:c>
      <x:c r="AA807" s="25" t="str">
        <x:v>Public cash-home-buyer directory lists the business name, business phone/website where available and market. Operator role and corporate funding willingness require confirmation.</x:v>
      </x:c>
      <x:c r="AB807" s="3" t="str">
        <x:v>New public-source collection</x:v>
      </x:c>
      <x:c r="AC807" s="3" t="str">
        <x:v>unverified</x:v>
      </x:c>
      <x:c r="AD807" s="3" t="str">
        <x:v>Not contacted / unconfirmed</x:v>
      </x:c>
      <x:c r="AE807" s="3" t="str">
        <x:v>No</x:v>
      </x:c>
      <x:c r="AF807" s="3" t="str">
        <x:v>No</x:v>
      </x:c>
      <x:c r="AG807" s="3"/>
      <x:c r="AH807" s="3"/>
      <x:c r="AI807" s="18"/>
      <x:c r="AJ807" s="3" t="str">
        <x:v>CF2500-446454B9E5BB</x:v>
      </x:c>
      <x:c r="AK807" s="3" t="str">
        <x:v>real_estate_operator</x:v>
      </x:c>
      <x:c r="AL807" s="19" t="n">
        <x:v>100000</x:v>
      </x:c>
      <x:c r="AM807" s="19" t="n">
        <x:v>500000</x:v>
      </x:c>
      <x:c r="AN807" s="3" t="str">
        <x:v>https://www.cashhomebuyersdirectory.com/cash-home-buyers/kansas/wichita</x:v>
      </x:c>
      <x:c r="AO807" s="3" t="str">
        <x:v>national_rest_directory_complete.jsonl</x:v>
      </x:c>
      <x:c r="AP807" s="19"/>
    </x:row>
    <x:row r="808" ht="36" customHeight="1">
      <x:c r="A808" s="23" t="n">
        <x:v>807</x:v>
      </x:c>
      <x:c r="B808" s="15" t="str">
        <x:v>Will the Homebuyer</x:v>
      </x:c>
      <x:c r="C808" s="15"/>
      <x:c r="D808" s="15" t="str">
        <x:v>Property investor / home-buying operator</x:v>
      </x:c>
      <x:c r="E808" s="15" t="str">
        <x:v>Property investor / operator inquiry</x:v>
      </x:c>
      <x:c r="F808" s="17" t="str">
        <x:v>New</x:v>
      </x:c>
      <x:c r="G808" s="24"/>
      <x:c r="H808" s="24" t="str">
        <x:v>+14632639189</x:v>
      </x:c>
      <x:c r="I808" s="24" t="str">
        <x:v>https://willthehomebuyer.com/</x:v>
      </x:c>
      <x:c r="J808" s="16" t="str">
        <x:v>IN</x:v>
      </x:c>
      <x:c r="K808" s="16" t="str">
        <x:v>Indianapolis</x:v>
      </x:c>
      <x:c r="L808" s="16" t="str">
        <x:v>Public property-business route; investor decision maker unconfirmed</x:v>
      </x:c>
      <x:c r="M808" s="16" t="str">
        <x:v>https://willthehomebuyer.com/</x:v>
      </x:c>
      <x:c r="N808" s="16" t="str">
        <x:v>$100K-$500K ticket not published / unconfirmed</x:v>
      </x:c>
      <x:c r="O808" s="20"/>
      <x:c r="P808" s="20"/>
      <x:c r="Q808" s="25" t="str">
        <x:v>No direct corporate-capital range established in checked source</x:v>
      </x:c>
      <x:c r="R808" s="25" t="str">
        <x:v>Property acquisition or investor activity makes this an operator-capital prospect for the signed trial. Confirm operating-company debt/equity appetite.</x:v>
      </x:c>
      <x:c r="S808" s="25"/>
      <x:c r="T808" s="25" t="str">
        <x:v>Ask the owner/investor whether they can allocate $100K-$500K to trial marketing and acquisitions, and confirm structure, timing and decision authority.</x:v>
      </x:c>
      <x:c r="U808" s="25" t="str">
        <x:v>https://www.cashhomebuyersdirectory.com/cash-home-buyers/indiana/indianapolis</x:v>
      </x:c>
      <x:c r="V808" s="26" t="d">
        <x:v>2026-10-02T00:00:00.000Z</x:v>
      </x:c>
      <x:c r="W808" s="26" t="d">
        <x:v>2026-10-02T00:00:00.000Z</x:v>
      </x:c>
      <x:c r="X808" s="25" t="str">
        <x:v>CashHomeBuyersDirectory third-party business listing; first-party business activity not checked in this batch</x:v>
      </x:c>
      <x:c r="Y808" s="25"/>
      <x:c r="Z808" s="25" t="str">
        <x:v>https://www.cashhomebuyersdirectory.com/cash-home-buyers/indiana/indianapolis</x:v>
      </x:c>
      <x:c r="AA808" s="25" t="str">
        <x:v>Public cash-home-buyer directory lists the business name, business phone/website where available and market. Operator role and corporate funding willingness require confirmation.</x:v>
      </x:c>
      <x:c r="AB808" s="3" t="str">
        <x:v>New public-source collection</x:v>
      </x:c>
      <x:c r="AC808" s="3" t="str">
        <x:v>unverified</x:v>
      </x:c>
      <x:c r="AD808" s="3" t="str">
        <x:v>Not contacted / unconfirmed</x:v>
      </x:c>
      <x:c r="AE808" s="3" t="str">
        <x:v>No</x:v>
      </x:c>
      <x:c r="AF808" s="3" t="str">
        <x:v>No</x:v>
      </x:c>
      <x:c r="AG808" s="3"/>
      <x:c r="AH808" s="3"/>
      <x:c r="AI808" s="18"/>
      <x:c r="AJ808" s="3" t="str">
        <x:v>CF2500-7BAB6B7B90F5</x:v>
      </x:c>
      <x:c r="AK808" s="3" t="str">
        <x:v>real_estate_operator</x:v>
      </x:c>
      <x:c r="AL808" s="19" t="n">
        <x:v>100000</x:v>
      </x:c>
      <x:c r="AM808" s="19" t="n">
        <x:v>500000</x:v>
      </x:c>
      <x:c r="AN808" s="3" t="str">
        <x:v>https://www.cashhomebuyersdirectory.com/cash-home-buyers/indiana/indianapolis</x:v>
      </x:c>
      <x:c r="AO808" s="3" t="str">
        <x:v>national_rest_directory_complete.jsonl</x:v>
      </x:c>
      <x:c r="AP808" s="19"/>
    </x:row>
    <x:row r="809" ht="36" customHeight="1">
      <x:c r="A809" s="23" t="n">
        <x:v>808</x:v>
      </x:c>
      <x:c r="B809" s="15" t="str">
        <x:v>Yellowhammer Home Buyers</x:v>
      </x:c>
      <x:c r="C809" s="15"/>
      <x:c r="D809" s="15" t="str">
        <x:v>Property investor / home-buying operator</x:v>
      </x:c>
      <x:c r="E809" s="15" t="str">
        <x:v>Property investor / operator inquiry</x:v>
      </x:c>
      <x:c r="F809" s="17" t="str">
        <x:v>New</x:v>
      </x:c>
      <x:c r="G809" s="24"/>
      <x:c r="H809" s="24" t="str">
        <x:v>+12567953014</x:v>
      </x:c>
      <x:c r="I809" s="24" t="str">
        <x:v>https://www.yellowhammerhomebuyers.com/sell-your-house/</x:v>
      </x:c>
      <x:c r="J809" s="16" t="str">
        <x:v>AL</x:v>
      </x:c>
      <x:c r="K809" s="16" t="str">
        <x:v>Huntsville</x:v>
      </x:c>
      <x:c r="L809" s="16" t="str">
        <x:v>Public property-business route; investor decision maker unconfirmed</x:v>
      </x:c>
      <x:c r="M809" s="16" t="str">
        <x:v>https://www.yellowhammerhomebuyers.com/sell-your-house/</x:v>
      </x:c>
      <x:c r="N809" s="16" t="str">
        <x:v>$100K-$500K ticket not published / unconfirmed</x:v>
      </x:c>
      <x:c r="O809" s="20"/>
      <x:c r="P809" s="20"/>
      <x:c r="Q809" s="25" t="str">
        <x:v>No direct corporate-capital range established in checked source</x:v>
      </x:c>
      <x:c r="R809" s="25" t="str">
        <x:v>Property acquisition or investor activity makes this an operator-capital prospect for the signed trial. Confirm operating-company debt/equity appetite.</x:v>
      </x:c>
      <x:c r="S809" s="25"/>
      <x:c r="T809" s="25" t="str">
        <x:v>Ask the owner/investor whether they can allocate $100K-$500K to trial marketing and acquisitions, and confirm structure, timing and decision authority.</x:v>
      </x:c>
      <x:c r="U809" s="25" t="str">
        <x:v>https://www.cashhomebuyersdirectory.com/cash-home-buyers/alabama/huntsville</x:v>
      </x:c>
      <x:c r="V809" s="26" t="d">
        <x:v>2026-10-02T00:00:00.000Z</x:v>
      </x:c>
      <x:c r="W809" s="26" t="d">
        <x:v>2026-10-02T00:00:00.000Z</x:v>
      </x:c>
      <x:c r="X809" s="25" t="str">
        <x:v>CashHomeBuyersDirectory third-party business listing; first-party business activity not checked in this batch</x:v>
      </x:c>
      <x:c r="Y809" s="25"/>
      <x:c r="Z809" s="25" t="str">
        <x:v>https://www.cashhomebuyersdirectory.com/cash-home-buyers/alabama/huntsville</x:v>
      </x:c>
      <x:c r="AA809" s="25" t="str">
        <x:v>Public cash-home-buyer directory lists the business name, business phone/website where available and market. Operator role and corporate funding willingness require confirmation.</x:v>
      </x:c>
      <x:c r="AB809" s="3" t="str">
        <x:v>New public-source collection</x:v>
      </x:c>
      <x:c r="AC809" s="3" t="str">
        <x:v>unverified</x:v>
      </x:c>
      <x:c r="AD809" s="3" t="str">
        <x:v>Not contacted / unconfirmed</x:v>
      </x:c>
      <x:c r="AE809" s="3" t="str">
        <x:v>No</x:v>
      </x:c>
      <x:c r="AF809" s="3" t="str">
        <x:v>No</x:v>
      </x:c>
      <x:c r="AG809" s="3"/>
      <x:c r="AH809" s="3"/>
      <x:c r="AI809" s="18"/>
      <x:c r="AJ809" s="3" t="str">
        <x:v>CF2500-2D98ECC13C0F</x:v>
      </x:c>
      <x:c r="AK809" s="3" t="str">
        <x:v>real_estate_operator</x:v>
      </x:c>
      <x:c r="AL809" s="19" t="n">
        <x:v>100000</x:v>
      </x:c>
      <x:c r="AM809" s="19" t="n">
        <x:v>500000</x:v>
      </x:c>
      <x:c r="AN809" s="3" t="str">
        <x:v>https://www.cashhomebuyersdirectory.com/cash-home-buyers/alabama/huntsville</x:v>
      </x:c>
      <x:c r="AO809" s="3" t="str">
        <x:v>national_rest_directory_complete.jsonl</x:v>
      </x:c>
      <x:c r="AP809" s="19"/>
    </x:row>
    <x:row r="810" ht="36" customHeight="1">
      <x:c r="A810" s="23" t="n">
        <x:v>809</x:v>
      </x:c>
      <x:c r="B810" s="15" t="str">
        <x:v>Your Choice Home Buyer - The #1 Choice When Selling Your Indianapolis Home.</x:v>
      </x:c>
      <x:c r="C810" s="15"/>
      <x:c r="D810" s="15" t="str">
        <x:v>Property investor / home-buying operator</x:v>
      </x:c>
      <x:c r="E810" s="15" t="str">
        <x:v>Property investor / operator inquiry</x:v>
      </x:c>
      <x:c r="F810" s="17" t="str">
        <x:v>New</x:v>
      </x:c>
      <x:c r="G810" s="24"/>
      <x:c r="H810" s="24" t="str">
        <x:v>+13173500232</x:v>
      </x:c>
      <x:c r="I810" s="24" t="str">
        <x:v>https://www.yourchoicehomebuyer.com/</x:v>
      </x:c>
      <x:c r="J810" s="16" t="str">
        <x:v>IN</x:v>
      </x:c>
      <x:c r="K810" s="16" t="str">
        <x:v>Indianapolis</x:v>
      </x:c>
      <x:c r="L810" s="16" t="str">
        <x:v>Public property-business route; investor decision maker unconfirmed</x:v>
      </x:c>
      <x:c r="M810" s="16" t="str">
        <x:v>https://www.yourchoicehomebuyer.com/</x:v>
      </x:c>
      <x:c r="N810" s="16" t="str">
        <x:v>$100K-$500K ticket not published / unconfirmed</x:v>
      </x:c>
      <x:c r="O810" s="20"/>
      <x:c r="P810" s="20"/>
      <x:c r="Q810" s="25" t="str">
        <x:v>No direct corporate-capital range established in checked source</x:v>
      </x:c>
      <x:c r="R810" s="25" t="str">
        <x:v>Property acquisition or investor activity makes this an operator-capital prospect for the signed trial. Confirm operating-company debt/equity appetite.</x:v>
      </x:c>
      <x:c r="S810" s="25"/>
      <x:c r="T810" s="25" t="str">
        <x:v>Ask the owner/investor whether they can allocate $100K-$500K to trial marketing and acquisitions, and confirm structure, timing and decision authority.</x:v>
      </x:c>
      <x:c r="U810" s="25" t="str">
        <x:v>https://www.cashhomebuyersdirectory.com/cash-home-buyers/indiana/indianapolis</x:v>
      </x:c>
      <x:c r="V810" s="26" t="d">
        <x:v>2026-10-02T00:00:00.000Z</x:v>
      </x:c>
      <x:c r="W810" s="26" t="d">
        <x:v>2026-10-02T00:00:00.000Z</x:v>
      </x:c>
      <x:c r="X810" s="25" t="str">
        <x:v>CashHomeBuyersDirectory third-party business listing; first-party business activity not checked in this batch</x:v>
      </x:c>
      <x:c r="Y810" s="25"/>
      <x:c r="Z810" s="25" t="str">
        <x:v>https://www.cashhomebuyersdirectory.com/cash-home-buyers/indiana/indianapolis</x:v>
      </x:c>
      <x:c r="AA810" s="25" t="str">
        <x:v>Public cash-home-buyer directory lists the business name, business phone/website where available and market. Operator role and corporate funding willingness require confirmation.</x:v>
      </x:c>
      <x:c r="AB810" s="3" t="str">
        <x:v>New public-source collection</x:v>
      </x:c>
      <x:c r="AC810" s="3" t="str">
        <x:v>unverified</x:v>
      </x:c>
      <x:c r="AD810" s="3" t="str">
        <x:v>Not contacted / unconfirmed</x:v>
      </x:c>
      <x:c r="AE810" s="3" t="str">
        <x:v>No</x:v>
      </x:c>
      <x:c r="AF810" s="3" t="str">
        <x:v>No</x:v>
      </x:c>
      <x:c r="AG810" s="3"/>
      <x:c r="AH810" s="3"/>
      <x:c r="AI810" s="18"/>
      <x:c r="AJ810" s="3" t="str">
        <x:v>CF2500-415E0EDAE367</x:v>
      </x:c>
      <x:c r="AK810" s="3" t="str">
        <x:v>real_estate_operator</x:v>
      </x:c>
      <x:c r="AL810" s="19" t="n">
        <x:v>100000</x:v>
      </x:c>
      <x:c r="AM810" s="19" t="n">
        <x:v>500000</x:v>
      </x:c>
      <x:c r="AN810" s="3" t="str">
        <x:v>https://www.cashhomebuyersdirectory.com/cash-home-buyers/indiana/indianapolis</x:v>
      </x:c>
      <x:c r="AO810" s="3" t="str">
        <x:v>national_rest_directory_complete.jsonl</x:v>
      </x:c>
      <x:c r="AP810" s="19"/>
    </x:row>
    <x:row r="811" ht="36" customHeight="1">
      <x:c r="A811" s="23" t="n">
        <x:v>810</x:v>
      </x:c>
      <x:c r="B811" s="15" t="str">
        <x:v>Your Choice Home Buyers</x:v>
      </x:c>
      <x:c r="C811" s="15"/>
      <x:c r="D811" s="15" t="str">
        <x:v>Property investor / home-buying operator</x:v>
      </x:c>
      <x:c r="E811" s="15" t="str">
        <x:v>Property investor / operator inquiry</x:v>
      </x:c>
      <x:c r="F811" s="17" t="str">
        <x:v>New</x:v>
      </x:c>
      <x:c r="G811" s="24"/>
      <x:c r="H811" s="24" t="str">
        <x:v>+18646928118</x:v>
      </x:c>
      <x:c r="I811" s="24" t="str">
        <x:v>http://www.yourchoicehomebuyers.com/?utm_source=google_business_profile&amp;utm_medium=organic</x:v>
      </x:c>
      <x:c r="J811" s="16" t="str">
        <x:v>SC</x:v>
      </x:c>
      <x:c r="K811" s="16" t="str">
        <x:v>Greenville</x:v>
      </x:c>
      <x:c r="L811" s="16" t="str">
        <x:v>Public property-business route; investor decision maker unconfirmed</x:v>
      </x:c>
      <x:c r="M811" s="16" t="str">
        <x:v>http://www.yourchoicehomebuyers.com/?utm_source=google_business_profile&amp;utm_medium=organic</x:v>
      </x:c>
      <x:c r="N811" s="16" t="str">
        <x:v>$100K-$500K ticket not published / unconfirmed</x:v>
      </x:c>
      <x:c r="O811" s="20"/>
      <x:c r="P811" s="20"/>
      <x:c r="Q811" s="25" t="str">
        <x:v>No direct corporate-capital range established in checked source</x:v>
      </x:c>
      <x:c r="R811" s="25" t="str">
        <x:v>Property acquisition or investor activity makes this an operator-capital prospect for the signed trial. Confirm operating-company debt/equity appetite.</x:v>
      </x:c>
      <x:c r="S811" s="25"/>
      <x:c r="T811" s="25" t="str">
        <x:v>Ask the owner/investor whether they can allocate $100K-$500K to trial marketing and acquisitions, and confirm structure, timing and decision authority.</x:v>
      </x:c>
      <x:c r="U811" s="25" t="str">
        <x:v>https://www.cashhomebuyersdirectory.com/cash-home-buyers/south-carolina/greenville</x:v>
      </x:c>
      <x:c r="V811" s="26" t="d">
        <x:v>2026-10-02T00:00:00.000Z</x:v>
      </x:c>
      <x:c r="W811" s="26" t="d">
        <x:v>2026-10-02T00:00:00.000Z</x:v>
      </x:c>
      <x:c r="X811" s="25" t="str">
        <x:v>CashHomeBuyersDirectory third-party business listing; first-party business activity not checked in this batch</x:v>
      </x:c>
      <x:c r="Y811" s="25"/>
      <x:c r="Z811" s="25" t="str">
        <x:v>https://www.cashhomebuyersdirectory.com/cash-home-buyers/south-carolina/greenville</x:v>
      </x:c>
      <x:c r="AA811" s="25" t="str">
        <x:v>Public cash-home-buyer directory lists the business name, business phone/website where available and market. Operator role and corporate funding willingness require confirmation.</x:v>
      </x:c>
      <x:c r="AB811" s="3" t="str">
        <x:v>New public-source collection</x:v>
      </x:c>
      <x:c r="AC811" s="3" t="str">
        <x:v>unverified</x:v>
      </x:c>
      <x:c r="AD811" s="3" t="str">
        <x:v>Not contacted / unconfirmed</x:v>
      </x:c>
      <x:c r="AE811" s="3" t="str">
        <x:v>No</x:v>
      </x:c>
      <x:c r="AF811" s="3" t="str">
        <x:v>No</x:v>
      </x:c>
      <x:c r="AG811" s="3"/>
      <x:c r="AH811" s="3"/>
      <x:c r="AI811" s="18"/>
      <x:c r="AJ811" s="3" t="str">
        <x:v>CF2500-71F3E2E81FA3</x:v>
      </x:c>
      <x:c r="AK811" s="3" t="str">
        <x:v>real_estate_operator</x:v>
      </x:c>
      <x:c r="AL811" s="19" t="n">
        <x:v>100000</x:v>
      </x:c>
      <x:c r="AM811" s="19" t="n">
        <x:v>500000</x:v>
      </x:c>
      <x:c r="AN811" s="3" t="str">
        <x:v>https://www.cashhomebuyersdirectory.com/cash-home-buyers/south-carolina/greenville</x:v>
      </x:c>
      <x:c r="AO811" s="3" t="str">
        <x:v>national_rest_directory_complete.jsonl</x:v>
      </x:c>
      <x:c r="AP811" s="19"/>
    </x:row>
    <x:row r="812" ht="36" customHeight="1">
      <x:c r="A812" s="23" t="n">
        <x:v>811</x:v>
      </x:c>
      <x:c r="B812" s="15" t="str">
        <x:v>Yow Home Buyers, LLC</x:v>
      </x:c>
      <x:c r="C812" s="15"/>
      <x:c r="D812" s="15" t="str">
        <x:v>Property investor / home-buying operator</x:v>
      </x:c>
      <x:c r="E812" s="15" t="str">
        <x:v>Property investor / operator inquiry</x:v>
      </x:c>
      <x:c r="F812" s="17" t="str">
        <x:v>New</x:v>
      </x:c>
      <x:c r="G812" s="24"/>
      <x:c r="H812" s="24" t="str">
        <x:v>+19318200138</x:v>
      </x:c>
      <x:c r="I812" s="24" t="str">
        <x:v>https://yowhomebuyers.com/</x:v>
      </x:c>
      <x:c r="J812" s="16" t="str">
        <x:v>TN</x:v>
      </x:c>
      <x:c r="K812" s="16" t="str">
        <x:v>Clarksville</x:v>
      </x:c>
      <x:c r="L812" s="16" t="str">
        <x:v>Public property-business route; investor decision maker unconfirmed</x:v>
      </x:c>
      <x:c r="M812" s="16" t="str">
        <x:v>https://yowhomebuyers.com/</x:v>
      </x:c>
      <x:c r="N812" s="16" t="str">
        <x:v>$100K-$500K ticket not published / unconfirmed</x:v>
      </x:c>
      <x:c r="O812" s="20"/>
      <x:c r="P812" s="20"/>
      <x:c r="Q812" s="25" t="str">
        <x:v>No direct corporate-capital range established in checked source</x:v>
      </x:c>
      <x:c r="R812" s="25" t="str">
        <x:v>Property acquisition or investor activity makes this an operator-capital prospect for the signed trial. Confirm operating-company debt/equity appetite.</x:v>
      </x:c>
      <x:c r="S812" s="25"/>
      <x:c r="T812" s="25" t="str">
        <x:v>Ask the owner/investor whether they can allocate $100K-$500K to trial marketing and acquisitions, and confirm structure, timing and decision authority.</x:v>
      </x:c>
      <x:c r="U812" s="25" t="str">
        <x:v>https://www.cashhomebuyersdirectory.com/cash-home-buyers/tennessee/clarksville</x:v>
      </x:c>
      <x:c r="V812" s="26" t="d">
        <x:v>2026-10-02T00:00:00.000Z</x:v>
      </x:c>
      <x:c r="W812" s="26" t="d">
        <x:v>2026-10-02T00:00:00.000Z</x:v>
      </x:c>
      <x:c r="X812" s="25" t="str">
        <x:v>CashHomeBuyersDirectory third-party business listing; first-party business activity not checked in this batch</x:v>
      </x:c>
      <x:c r="Y812" s="25"/>
      <x:c r="Z812" s="25" t="str">
        <x:v>https://www.cashhomebuyersdirectory.com/cash-home-buyers/tennessee/clarksville</x:v>
      </x:c>
      <x:c r="AA812" s="25" t="str">
        <x:v>Public cash-home-buyer directory lists the business name, business phone/website where available and market. Operator role and corporate funding willingness require confirmation.</x:v>
      </x:c>
      <x:c r="AB812" s="3" t="str">
        <x:v>New public-source collection</x:v>
      </x:c>
      <x:c r="AC812" s="3" t="str">
        <x:v>unverified</x:v>
      </x:c>
      <x:c r="AD812" s="3" t="str">
        <x:v>Not contacted / unconfirmed</x:v>
      </x:c>
      <x:c r="AE812" s="3" t="str">
        <x:v>No</x:v>
      </x:c>
      <x:c r="AF812" s="3" t="str">
        <x:v>No</x:v>
      </x:c>
      <x:c r="AG812" s="3"/>
      <x:c r="AH812" s="3"/>
      <x:c r="AI812" s="18"/>
      <x:c r="AJ812" s="3" t="str">
        <x:v>CF2500-B8C256F4B3EE</x:v>
      </x:c>
      <x:c r="AK812" s="3" t="str">
        <x:v>real_estate_operator</x:v>
      </x:c>
      <x:c r="AL812" s="19" t="n">
        <x:v>100000</x:v>
      </x:c>
      <x:c r="AM812" s="19" t="n">
        <x:v>500000</x:v>
      </x:c>
      <x:c r="AN812" s="3" t="str">
        <x:v>https://www.cashhomebuyersdirectory.com/cash-home-buyers/tennessee/clarksville</x:v>
      </x:c>
      <x:c r="AO812" s="3" t="str">
        <x:v>national_rest_directory_complete.jsonl</x:v>
      </x:c>
      <x:c r="AP812" s="19"/>
    </x:row>
    <x:row r="813" ht="36" customHeight="1">
      <x:c r="A813" s="23" t="n">
        <x:v>812</x:v>
      </x:c>
      <x:c r="B813" s="15" t="str">
        <x:v>Yucky Home Buyer</x:v>
      </x:c>
      <x:c r="C813" s="15"/>
      <x:c r="D813" s="15" t="str">
        <x:v>Property investor / home-buying operator</x:v>
      </x:c>
      <x:c r="E813" s="15" t="str">
        <x:v>Property investor / operator inquiry</x:v>
      </x:c>
      <x:c r="F813" s="17" t="str">
        <x:v>New</x:v>
      </x:c>
      <x:c r="G813" s="24"/>
      <x:c r="H813" s="24" t="str">
        <x:v>+16155622274</x:v>
      </x:c>
      <x:c r="I813" s="24" t="str">
        <x:v>https://www.yuckyhomebuyer.com/</x:v>
      </x:c>
      <x:c r="J813" s="16" t="str">
        <x:v>TN</x:v>
      </x:c>
      <x:c r="K813" s="16" t="str">
        <x:v>Nashville</x:v>
      </x:c>
      <x:c r="L813" s="16" t="str">
        <x:v>Public property-business route; investor decision maker unconfirmed</x:v>
      </x:c>
      <x:c r="M813" s="16" t="str">
        <x:v>https://www.yuckyhomebuyer.com/</x:v>
      </x:c>
      <x:c r="N813" s="16" t="str">
        <x:v>$100K-$500K ticket not published / unconfirmed</x:v>
      </x:c>
      <x:c r="O813" s="20"/>
      <x:c r="P813" s="20"/>
      <x:c r="Q813" s="25" t="str">
        <x:v>No direct corporate-capital range established in checked source</x:v>
      </x:c>
      <x:c r="R813" s="25" t="str">
        <x:v>Property acquisition or investor activity makes this an operator-capital prospect for the signed trial. Confirm operating-company debt/equity appetite.</x:v>
      </x:c>
      <x:c r="S813" s="25"/>
      <x:c r="T813" s="25" t="str">
        <x:v>Ask the owner/investor whether they can allocate $100K-$500K to trial marketing and acquisitions, and confirm structure, timing and decision authority.</x:v>
      </x:c>
      <x:c r="U813" s="25" t="str">
        <x:v>https://www.cashhomebuyersdirectory.com/cash-home-buyers/tennessee/nashville</x:v>
      </x:c>
      <x:c r="V813" s="26" t="d">
        <x:v>2026-10-02T00:00:00.000Z</x:v>
      </x:c>
      <x:c r="W813" s="26" t="d">
        <x:v>2026-10-02T00:00:00.000Z</x:v>
      </x:c>
      <x:c r="X813" s="25" t="str">
        <x:v>CashHomeBuyersDirectory third-party business listing; first-party business activity not checked in this batch</x:v>
      </x:c>
      <x:c r="Y813" s="25"/>
      <x:c r="Z813" s="25" t="str">
        <x:v>https://www.cashhomebuyersdirectory.com/cash-home-buyers/tennessee/nashville</x:v>
      </x:c>
      <x:c r="AA813" s="25" t="str">
        <x:v>Public cash-home-buyer directory lists the business name, business phone/website where available and market. Operator role and corporate funding willingness require confirmation.</x:v>
      </x:c>
      <x:c r="AB813" s="3" t="str">
        <x:v>New public-source collection</x:v>
      </x:c>
      <x:c r="AC813" s="3" t="str">
        <x:v>unverified</x:v>
      </x:c>
      <x:c r="AD813" s="3" t="str">
        <x:v>Not contacted / unconfirmed</x:v>
      </x:c>
      <x:c r="AE813" s="3" t="str">
        <x:v>No</x:v>
      </x:c>
      <x:c r="AF813" s="3" t="str">
        <x:v>No</x:v>
      </x:c>
      <x:c r="AG813" s="3"/>
      <x:c r="AH813" s="3"/>
      <x:c r="AI813" s="18"/>
      <x:c r="AJ813" s="3" t="str">
        <x:v>CF2500-6B77B35D6B45</x:v>
      </x:c>
      <x:c r="AK813" s="3" t="str">
        <x:v>real_estate_operator</x:v>
      </x:c>
      <x:c r="AL813" s="19" t="n">
        <x:v>100000</x:v>
      </x:c>
      <x:c r="AM813" s="19" t="n">
        <x:v>500000</x:v>
      </x:c>
      <x:c r="AN813" s="3" t="str">
        <x:v>https://www.cashhomebuyersdirectory.com/cash-home-buyers/tennessee/nashville</x:v>
      </x:c>
      <x:c r="AO813" s="3" t="str">
        <x:v>national_rest_directory_complete.jsonl</x:v>
      </x:c>
      <x:c r="AP813" s="19"/>
    </x:row>
    <x:row r="814" ht="36" customHeight="1">
      <x:c r="A814" s="23" t="n">
        <x:v>813</x:v>
      </x:c>
      <x:c r="B814" s="15" t="str">
        <x:v>AtlantaCashHomeBuyers</x:v>
      </x:c>
      <x:c r="C814" s="15"/>
      <x:c r="D814" s="15" t="str">
        <x:v>Property investor / home-buying operator</x:v>
      </x:c>
      <x:c r="E814" s="15" t="str">
        <x:v>Property investor / operator inquiry</x:v>
      </x:c>
      <x:c r="F814" s="17" t="str">
        <x:v>New</x:v>
      </x:c>
      <x:c r="G814" s="24"/>
      <x:c r="H814" s="24" t="str">
        <x:v>+14045276641</x:v>
      </x:c>
      <x:c r="I814" s="24"/>
      <x:c r="J814" s="16" t="str">
        <x:v>GA</x:v>
      </x:c>
      <x:c r="K814" s="16" t="str">
        <x:v>Atlanta</x:v>
      </x:c>
      <x:c r="L814" s="16" t="str">
        <x:v>Public property-business route; investor decision maker unconfirmed</x:v>
      </x:c>
      <x:c r="M814" s="16"/>
      <x:c r="N814" s="16" t="str">
        <x:v>$100K-$500K ticket not published / unconfirmed</x:v>
      </x:c>
      <x:c r="O814" s="20"/>
      <x:c r="P814" s="20"/>
      <x:c r="Q814" s="25" t="str">
        <x:v>No direct corporate-capital range established in checked source</x:v>
      </x:c>
      <x:c r="R814" s="25" t="str">
        <x:v>Property acquisition or investor activity makes this an operator-capital prospect for the signed trial. Confirm operating-company debt/equity appetite.</x:v>
      </x:c>
      <x:c r="S814" s="25"/>
      <x:c r="T814" s="25" t="str">
        <x:v>Ask the owner/investor whether they can allocate $100K-$500K to trial marketing and acquisitions, and confirm structure, timing and decision authority.</x:v>
      </x:c>
      <x:c r="U814" s="25" t="str">
        <x:v>https://www.cashhomebuyersdirectory.com/cash-home-buyers/georgia/atlanta</x:v>
      </x:c>
      <x:c r="V814" s="26" t="d">
        <x:v>2026-10-02T00:00:00.000Z</x:v>
      </x:c>
      <x:c r="W814" s="26" t="d">
        <x:v>2026-10-02T00:00:00.000Z</x:v>
      </x:c>
      <x:c r="X814" s="25" t="str">
        <x:v>CashHomeBuyersDirectory third-party business listing; first-party business activity not checked in this batch</x:v>
      </x:c>
      <x:c r="Y814" s="25"/>
      <x:c r="Z814" s="25" t="str">
        <x:v>https://www.cashhomebuyersdirectory.com/cash-home-buyers/georgia/atlanta</x:v>
      </x:c>
      <x:c r="AA814" s="25" t="str">
        <x:v>Public cash-home-buyer directory lists the business name, business phone/website where available and market. Operator role and corporate funding willingness require confirmation.</x:v>
      </x:c>
      <x:c r="AB814" s="3" t="str">
        <x:v>New public-source collection</x:v>
      </x:c>
      <x:c r="AC814" s="3" t="str">
        <x:v>unverified</x:v>
      </x:c>
      <x:c r="AD814" s="3" t="str">
        <x:v>Not contacted / unconfirmed</x:v>
      </x:c>
      <x:c r="AE814" s="3" t="str">
        <x:v>No</x:v>
      </x:c>
      <x:c r="AF814" s="3" t="str">
        <x:v>No</x:v>
      </x:c>
      <x:c r="AG814" s="3"/>
      <x:c r="AH814" s="3"/>
      <x:c r="AI814" s="18"/>
      <x:c r="AJ814" s="3" t="str">
        <x:v>CF2500-78B2AE9A2BBB</x:v>
      </x:c>
      <x:c r="AK814" s="3" t="str">
        <x:v>real_estate_operator</x:v>
      </x:c>
      <x:c r="AL814" s="19" t="n">
        <x:v>100000</x:v>
      </x:c>
      <x:c r="AM814" s="19" t="n">
        <x:v>500000</x:v>
      </x:c>
      <x:c r="AN814" s="3" t="str">
        <x:v>https://www.cashhomebuyersdirectory.com/cash-home-buyers/georgia/atlanta</x:v>
      </x:c>
      <x:c r="AO814" s="3" t="str">
        <x:v>national_rest_directory_complete.jsonl</x:v>
      </x:c>
      <x:c r="AP814" s="19"/>
    </x:row>
    <x:row r="815" ht="36" customHeight="1">
      <x:c r="A815" s="23" t="n">
        <x:v>814</x:v>
      </x:c>
      <x:c r="B815" s="15" t="str">
        <x:v>Better Home Buyers TN</x:v>
      </x:c>
      <x:c r="C815" s="15"/>
      <x:c r="D815" s="15" t="str">
        <x:v>Property investor / home-buying operator</x:v>
      </x:c>
      <x:c r="E815" s="15" t="str">
        <x:v>Property investor / operator inquiry</x:v>
      </x:c>
      <x:c r="F815" s="17" t="str">
        <x:v>New</x:v>
      </x:c>
      <x:c r="G815" s="24"/>
      <x:c r="H815" s="24" t="str">
        <x:v>+16155703935</x:v>
      </x:c>
      <x:c r="I815" s="24"/>
      <x:c r="J815" s="16" t="str">
        <x:v>TN</x:v>
      </x:c>
      <x:c r="K815" s="16" t="str">
        <x:v>Nashville</x:v>
      </x:c>
      <x:c r="L815" s="16" t="str">
        <x:v>Public property-business route; investor decision maker unconfirmed</x:v>
      </x:c>
      <x:c r="M815" s="16"/>
      <x:c r="N815" s="16" t="str">
        <x:v>$100K-$500K ticket not published / unconfirmed</x:v>
      </x:c>
      <x:c r="O815" s="20"/>
      <x:c r="P815" s="20"/>
      <x:c r="Q815" s="25" t="str">
        <x:v>No direct corporate-capital range established in checked source</x:v>
      </x:c>
      <x:c r="R815" s="25" t="str">
        <x:v>Property acquisition or investor activity makes this an operator-capital prospect for the signed trial. Confirm operating-company debt/equity appetite.</x:v>
      </x:c>
      <x:c r="S815" s="25"/>
      <x:c r="T815" s="25" t="str">
        <x:v>Ask the owner/investor whether they can allocate $100K-$500K to trial marketing and acquisitions, and confirm structure, timing and decision authority.</x:v>
      </x:c>
      <x:c r="U815" s="25" t="str">
        <x:v>https://www.cashhomebuyersdirectory.com/cash-home-buyers/tennessee/nashville</x:v>
      </x:c>
      <x:c r="V815" s="26" t="d">
        <x:v>2026-10-02T00:00:00.000Z</x:v>
      </x:c>
      <x:c r="W815" s="26" t="d">
        <x:v>2026-10-02T00:00:00.000Z</x:v>
      </x:c>
      <x:c r="X815" s="25" t="str">
        <x:v>CashHomeBuyersDirectory third-party business listing; first-party business activity not checked in this batch</x:v>
      </x:c>
      <x:c r="Y815" s="25"/>
      <x:c r="Z815" s="25" t="str">
        <x:v>https://www.cashhomebuyersdirectory.com/cash-home-buyers/tennessee/nashville</x:v>
      </x:c>
      <x:c r="AA815" s="25" t="str">
        <x:v>Public cash-home-buyer directory lists the business name, business phone/website where available and market. Operator role and corporate funding willingness require confirmation.</x:v>
      </x:c>
      <x:c r="AB815" s="3" t="str">
        <x:v>New public-source collection</x:v>
      </x:c>
      <x:c r="AC815" s="3" t="str">
        <x:v>unverified</x:v>
      </x:c>
      <x:c r="AD815" s="3" t="str">
        <x:v>Not contacted / unconfirmed</x:v>
      </x:c>
      <x:c r="AE815" s="3" t="str">
        <x:v>No</x:v>
      </x:c>
      <x:c r="AF815" s="3" t="str">
        <x:v>No</x:v>
      </x:c>
      <x:c r="AG815" s="3"/>
      <x:c r="AH815" s="3"/>
      <x:c r="AI815" s="18"/>
      <x:c r="AJ815" s="3" t="str">
        <x:v>CF2500-8C0C52F1CF61</x:v>
      </x:c>
      <x:c r="AK815" s="3" t="str">
        <x:v>real_estate_operator</x:v>
      </x:c>
      <x:c r="AL815" s="19" t="n">
        <x:v>100000</x:v>
      </x:c>
      <x:c r="AM815" s="19" t="n">
        <x:v>500000</x:v>
      </x:c>
      <x:c r="AN815" s="3" t="str">
        <x:v>https://www.cashhomebuyersdirectory.com/cash-home-buyers/tennessee/nashville</x:v>
      </x:c>
      <x:c r="AO815" s="3" t="str">
        <x:v>national_rest_directory_complete.jsonl</x:v>
      </x:c>
      <x:c r="AP815" s="19"/>
    </x:row>
    <x:row r="816" ht="36" customHeight="1">
      <x:c r="A816" s="23" t="n">
        <x:v>815</x:v>
      </x:c>
      <x:c r="B816" s="15" t="str">
        <x:v>Charleston All-Cash Home Buyers</x:v>
      </x:c>
      <x:c r="C816" s="15"/>
      <x:c r="D816" s="15" t="str">
        <x:v>Property investor / home-buying operator</x:v>
      </x:c>
      <x:c r="E816" s="15" t="str">
        <x:v>Property investor / operator inquiry</x:v>
      </x:c>
      <x:c r="F816" s="17" t="str">
        <x:v>New</x:v>
      </x:c>
      <x:c r="G816" s="24"/>
      <x:c r="H816" s="24" t="str">
        <x:v>+18433021936</x:v>
      </x:c>
      <x:c r="I816" s="24"/>
      <x:c r="J816" s="16" t="str">
        <x:v>SC</x:v>
      </x:c>
      <x:c r="K816" s="16" t="str">
        <x:v>Charleston</x:v>
      </x:c>
      <x:c r="L816" s="16" t="str">
        <x:v>Public property-business route; investor decision maker unconfirmed</x:v>
      </x:c>
      <x:c r="M816" s="16"/>
      <x:c r="N816" s="16" t="str">
        <x:v>$100K-$500K ticket not published / unconfirmed</x:v>
      </x:c>
      <x:c r="O816" s="20"/>
      <x:c r="P816" s="20"/>
      <x:c r="Q816" s="25" t="str">
        <x:v>No direct corporate-capital range established in checked source</x:v>
      </x:c>
      <x:c r="R816" s="25" t="str">
        <x:v>Property acquisition or investor activity makes this an operator-capital prospect for the signed trial. Confirm operating-company debt/equity appetite.</x:v>
      </x:c>
      <x:c r="S816" s="25"/>
      <x:c r="T816" s="25" t="str">
        <x:v>Ask the owner/investor whether they can allocate $100K-$500K to trial marketing and acquisitions, and confirm structure, timing and decision authority.</x:v>
      </x:c>
      <x:c r="U816" s="25" t="str">
        <x:v>https://www.cashhomebuyersdirectory.com/cash-home-buyers/south-carolina/charleston</x:v>
      </x:c>
      <x:c r="V816" s="26" t="d">
        <x:v>2026-10-02T00:00:00.000Z</x:v>
      </x:c>
      <x:c r="W816" s="26" t="d">
        <x:v>2026-10-02T00:00:00.000Z</x:v>
      </x:c>
      <x:c r="X816" s="25" t="str">
        <x:v>CashHomeBuyersDirectory third-party business listing; first-party business activity not checked in this batch</x:v>
      </x:c>
      <x:c r="Y816" s="25"/>
      <x:c r="Z816" s="25" t="str">
        <x:v>https://www.cashhomebuyersdirectory.com/cash-home-buyers/south-carolina/charleston</x:v>
      </x:c>
      <x:c r="AA816" s="25" t="str">
        <x:v>Public cash-home-buyer directory lists the business name, business phone/website where available and market. Operator role and corporate funding willingness require confirmation.</x:v>
      </x:c>
      <x:c r="AB816" s="3" t="str">
        <x:v>New public-source collection</x:v>
      </x:c>
      <x:c r="AC816" s="3" t="str">
        <x:v>unverified</x:v>
      </x:c>
      <x:c r="AD816" s="3" t="str">
        <x:v>Not contacted / unconfirmed</x:v>
      </x:c>
      <x:c r="AE816" s="3" t="str">
        <x:v>No</x:v>
      </x:c>
      <x:c r="AF816" s="3" t="str">
        <x:v>No</x:v>
      </x:c>
      <x:c r="AG816" s="3"/>
      <x:c r="AH816" s="3"/>
      <x:c r="AI816" s="18"/>
      <x:c r="AJ816" s="3" t="str">
        <x:v>CF2500-7FEA788B84A8</x:v>
      </x:c>
      <x:c r="AK816" s="3" t="str">
        <x:v>real_estate_operator</x:v>
      </x:c>
      <x:c r="AL816" s="19" t="n">
        <x:v>100000</x:v>
      </x:c>
      <x:c r="AM816" s="19" t="n">
        <x:v>500000</x:v>
      </x:c>
      <x:c r="AN816" s="3" t="str">
        <x:v>https://www.cashhomebuyersdirectory.com/cash-home-buyers/south-carolina/charleston</x:v>
      </x:c>
      <x:c r="AO816" s="3" t="str">
        <x:v>national_rest_directory_complete.jsonl</x:v>
      </x:c>
      <x:c r="AP816" s="19"/>
    </x:row>
    <x:row r="817" ht="36" customHeight="1">
      <x:c r="A817" s="23" t="n">
        <x:v>816</x:v>
      </x:c>
      <x:c r="B817" s="15" t="str">
        <x:v>Clarksville Homebuyers, Inc.</x:v>
      </x:c>
      <x:c r="C817" s="15"/>
      <x:c r="D817" s="15" t="str">
        <x:v>Property investor / home-buying operator</x:v>
      </x:c>
      <x:c r="E817" s="15" t="str">
        <x:v>Property investor / operator inquiry</x:v>
      </x:c>
      <x:c r="F817" s="17" t="str">
        <x:v>New</x:v>
      </x:c>
      <x:c r="G817" s="24"/>
      <x:c r="H817" s="24" t="str">
        <x:v>+19312664536</x:v>
      </x:c>
      <x:c r="I817" s="24"/>
      <x:c r="J817" s="16" t="str">
        <x:v>TN</x:v>
      </x:c>
      <x:c r="K817" s="16" t="str">
        <x:v>Clarksville</x:v>
      </x:c>
      <x:c r="L817" s="16" t="str">
        <x:v>Public property-business route; investor decision maker unconfirmed</x:v>
      </x:c>
      <x:c r="M817" s="16"/>
      <x:c r="N817" s="16" t="str">
        <x:v>$100K-$500K ticket not published / unconfirmed</x:v>
      </x:c>
      <x:c r="O817" s="20"/>
      <x:c r="P817" s="20"/>
      <x:c r="Q817" s="25" t="str">
        <x:v>No direct corporate-capital range established in checked source</x:v>
      </x:c>
      <x:c r="R817" s="25" t="str">
        <x:v>Property acquisition or investor activity makes this an operator-capital prospect for the signed trial. Confirm operating-company debt/equity appetite.</x:v>
      </x:c>
      <x:c r="S817" s="25"/>
      <x:c r="T817" s="25" t="str">
        <x:v>Ask the owner/investor whether they can allocate $100K-$500K to trial marketing and acquisitions, and confirm structure, timing and decision authority.</x:v>
      </x:c>
      <x:c r="U817" s="25" t="str">
        <x:v>https://www.cashhomebuyersdirectory.com/cash-home-buyers/tennessee/clarksville</x:v>
      </x:c>
      <x:c r="V817" s="26" t="d">
        <x:v>2026-10-02T00:00:00.000Z</x:v>
      </x:c>
      <x:c r="W817" s="26" t="d">
        <x:v>2026-10-02T00:00:00.000Z</x:v>
      </x:c>
      <x:c r="X817" s="25" t="str">
        <x:v>CashHomeBuyersDirectory third-party business listing; first-party business activity not checked in this batch</x:v>
      </x:c>
      <x:c r="Y817" s="25"/>
      <x:c r="Z817" s="25" t="str">
        <x:v>https://www.cashhomebuyersdirectory.com/cash-home-buyers/tennessee/clarksville</x:v>
      </x:c>
      <x:c r="AA817" s="25" t="str">
        <x:v>Public cash-home-buyer directory lists the business name, business phone/website where available and market. Operator role and corporate funding willingness require confirmation.</x:v>
      </x:c>
      <x:c r="AB817" s="3" t="str">
        <x:v>New public-source collection</x:v>
      </x:c>
      <x:c r="AC817" s="3" t="str">
        <x:v>unverified</x:v>
      </x:c>
      <x:c r="AD817" s="3" t="str">
        <x:v>Not contacted / unconfirmed</x:v>
      </x:c>
      <x:c r="AE817" s="3" t="str">
        <x:v>No</x:v>
      </x:c>
      <x:c r="AF817" s="3" t="str">
        <x:v>No</x:v>
      </x:c>
      <x:c r="AG817" s="3"/>
      <x:c r="AH817" s="3"/>
      <x:c r="AI817" s="18"/>
      <x:c r="AJ817" s="3" t="str">
        <x:v>CF2500-0CF634908FFA</x:v>
      </x:c>
      <x:c r="AK817" s="3" t="str">
        <x:v>real_estate_operator</x:v>
      </x:c>
      <x:c r="AL817" s="19" t="n">
        <x:v>100000</x:v>
      </x:c>
      <x:c r="AM817" s="19" t="n">
        <x:v>500000</x:v>
      </x:c>
      <x:c r="AN817" s="3" t="str">
        <x:v>https://www.cashhomebuyersdirectory.com/cash-home-buyers/tennessee/clarksville</x:v>
      </x:c>
      <x:c r="AO817" s="3" t="str">
        <x:v>national_rest_directory_complete.jsonl</x:v>
      </x:c>
      <x:c r="AP817" s="19"/>
    </x:row>
    <x:row r="818" ht="36" customHeight="1">
      <x:c r="A818" s="23" t="n">
        <x:v>817</x:v>
      </x:c>
      <x:c r="B818" s="15" t="str">
        <x:v>Colorado Cash Homes</x:v>
      </x:c>
      <x:c r="C818" s="15"/>
      <x:c r="D818" s="15" t="str">
        <x:v>Property investor / home-buying operator</x:v>
      </x:c>
      <x:c r="E818" s="15" t="str">
        <x:v>Property investor / operator inquiry</x:v>
      </x:c>
      <x:c r="F818" s="17" t="str">
        <x:v>New</x:v>
      </x:c>
      <x:c r="G818" s="24"/>
      <x:c r="H818" s="24" t="str">
        <x:v>+17194068091</x:v>
      </x:c>
      <x:c r="I818" s="24"/>
      <x:c r="J818" s="16" t="str">
        <x:v>CO</x:v>
      </x:c>
      <x:c r="K818" s="16" t="str">
        <x:v>Pueblo</x:v>
      </x:c>
      <x:c r="L818" s="16" t="str">
        <x:v>Public property-business route; investor decision maker unconfirmed</x:v>
      </x:c>
      <x:c r="M818" s="16"/>
      <x:c r="N818" s="16" t="str">
        <x:v>$100K-$500K ticket not published / unconfirmed</x:v>
      </x:c>
      <x:c r="O818" s="20"/>
      <x:c r="P818" s="20"/>
      <x:c r="Q818" s="25" t="str">
        <x:v>No $100K-$500K operating-company investment ticket verified</x:v>
      </x:c>
      <x:c r="R818" s="25" t="str">
        <x:v>Property acquisition or investor activity makes this an operator-capital prospect for the signed trial. Confirm operating-company debt/equity appetite.</x:v>
      </x:c>
      <x:c r="S818" s="25" t="str">
        <x:v>Public property-buying activity or a directory listing does not establish available cash, investing decision-maker, current $100K-$500K capacity, or willingness to fund 101XVC operating costs.</x:v>
      </x:c>
      <x:c r="T818" s="25" t="str">
        <x:v>Ask the owner/investor whether they can allocate $100K-$500K to trial marketing and acquisitions, and confirm structure, timing and decision authority.</x:v>
      </x:c>
      <x:c r="U818" s="25" t="str">
        <x:v>https://www.cashhomebuyersdirectory.com/cash-home-buyers/colorado/pueblo</x:v>
      </x:c>
      <x:c r="V818" s="26" t="d">
        <x:v>2026-10-02T00:00:00.000Z</x:v>
      </x:c>
      <x:c r="W818" s="26" t="d">
        <x:v>2026-10-02T00:00:00.000Z</x:v>
      </x:c>
      <x:c r="X818" s="25" t="str">
        <x:v>Public investor directory; business role and contact ownership require qualification</x:v>
      </x:c>
      <x:c r="Y818" s="25"/>
      <x:c r="Z818" s="25" t="str">
        <x:v>https://www.cashhomebuyersdirectory.com/cash-home-buyers/colorado/pueblo</x:v>
      </x:c>
      <x:c r="AA818" s="25" t="str">
        <x:v>Public cash-home-buyer directory lists business name, phone and market. Directory entry may include brokers or service providers.</x:v>
      </x:c>
      <x:c r="AB818" s="3" t="str">
        <x:v>New public-source collection</x:v>
      </x:c>
      <x:c r="AC818" s="3" t="str">
        <x:v>unverified</x:v>
      </x:c>
      <x:c r="AD818" s="3" t="str">
        <x:v>Not contacted / unconfirmed</x:v>
      </x:c>
      <x:c r="AE818" s="3" t="str">
        <x:v>No</x:v>
      </x:c>
      <x:c r="AF818" s="3" t="str">
        <x:v>No</x:v>
      </x:c>
      <x:c r="AG818" s="3"/>
      <x:c r="AH818" s="3"/>
      <x:c r="AI818" s="18"/>
      <x:c r="AJ818" s="3" t="str">
        <x:v>CF2500-DEBCE5F64A87</x:v>
      </x:c>
      <x:c r="AK818" s="3" t="str">
        <x:v>Property investor / home-buying operator prospect</x:v>
      </x:c>
      <x:c r="AL818" s="19" t="n">
        <x:v>100000</x:v>
      </x:c>
      <x:c r="AM818" s="19" t="n">
        <x:v>500000</x:v>
      </x:c>
      <x:c r="AN818" s="3" t="str">
        <x:v>https://www.cashhomebuyersdirectory.com/cash-home-buyers/colorado/pueblo</x:v>
      </x:c>
      <x:c r="AO818" s="3" t="str">
        <x:v>nc_il_az_co_investors.jsonl</x:v>
      </x:c>
      <x:c r="AP818" s="19"/>
    </x:row>
    <x:row r="819" ht="36" customHeight="1">
      <x:c r="A819" s="23" t="n">
        <x:v>818</x:v>
      </x:c>
      <x:c r="B819" s="15" t="str">
        <x:v>Fort Wayne Home Buyers, Inc.</x:v>
      </x:c>
      <x:c r="C819" s="15"/>
      <x:c r="D819" s="15" t="str">
        <x:v>Property investor / home-buying operator</x:v>
      </x:c>
      <x:c r="E819" s="15" t="str">
        <x:v>Property investor / operator inquiry</x:v>
      </x:c>
      <x:c r="F819" s="17" t="str">
        <x:v>New</x:v>
      </x:c>
      <x:c r="G819" s="24"/>
      <x:c r="H819" s="24" t="str">
        <x:v>+12602303060</x:v>
      </x:c>
      <x:c r="I819" s="24"/>
      <x:c r="J819" s="16" t="str">
        <x:v>IN</x:v>
      </x:c>
      <x:c r="K819" s="16" t="str">
        <x:v>Fort Wayne</x:v>
      </x:c>
      <x:c r="L819" s="16" t="str">
        <x:v>Public property-business route; investor decision maker unconfirmed</x:v>
      </x:c>
      <x:c r="M819" s="16"/>
      <x:c r="N819" s="16" t="str">
        <x:v>$100K-$500K ticket not published / unconfirmed</x:v>
      </x:c>
      <x:c r="O819" s="20"/>
      <x:c r="P819" s="20"/>
      <x:c r="Q819" s="25" t="str">
        <x:v>No direct corporate-capital range established in checked source</x:v>
      </x:c>
      <x:c r="R819" s="25" t="str">
        <x:v>Property acquisition or investor activity makes this an operator-capital prospect for the signed trial. Confirm operating-company debt/equity appetite.</x:v>
      </x:c>
      <x:c r="S819" s="25"/>
      <x:c r="T819" s="25" t="str">
        <x:v>Ask the owner/investor whether they can allocate $100K-$500K to trial marketing and acquisitions, and confirm structure, timing and decision authority.</x:v>
      </x:c>
      <x:c r="U819" s="25" t="str">
        <x:v>https://www.cashhomebuyersdirectory.com/cash-home-buyers/indiana/fort-wayne</x:v>
      </x:c>
      <x:c r="V819" s="26" t="d">
        <x:v>2026-10-02T00:00:00.000Z</x:v>
      </x:c>
      <x:c r="W819" s="26" t="d">
        <x:v>2026-10-02T00:00:00.000Z</x:v>
      </x:c>
      <x:c r="X819" s="25" t="str">
        <x:v>CashHomeBuyersDirectory third-party business listing; first-party business activity not checked in this batch</x:v>
      </x:c>
      <x:c r="Y819" s="25"/>
      <x:c r="Z819" s="25" t="str">
        <x:v>https://www.cashhomebuyersdirectory.com/cash-home-buyers/indiana/fort-wayne</x:v>
      </x:c>
      <x:c r="AA819" s="25" t="str">
        <x:v>Public cash-home-buyer directory lists the business name, business phone/website where available and market. Operator role and corporate funding willingness require confirmation.</x:v>
      </x:c>
      <x:c r="AB819" s="3" t="str">
        <x:v>New public-source collection</x:v>
      </x:c>
      <x:c r="AC819" s="3" t="str">
        <x:v>unverified</x:v>
      </x:c>
      <x:c r="AD819" s="3" t="str">
        <x:v>Not contacted / unconfirmed</x:v>
      </x:c>
      <x:c r="AE819" s="3" t="str">
        <x:v>No</x:v>
      </x:c>
      <x:c r="AF819" s="3" t="str">
        <x:v>No</x:v>
      </x:c>
      <x:c r="AG819" s="3"/>
      <x:c r="AH819" s="3"/>
      <x:c r="AI819" s="18"/>
      <x:c r="AJ819" s="3" t="str">
        <x:v>CF2500-446D6D37533C</x:v>
      </x:c>
      <x:c r="AK819" s="3" t="str">
        <x:v>real_estate_operator</x:v>
      </x:c>
      <x:c r="AL819" s="19" t="n">
        <x:v>100000</x:v>
      </x:c>
      <x:c r="AM819" s="19" t="n">
        <x:v>500000</x:v>
      </x:c>
      <x:c r="AN819" s="3" t="str">
        <x:v>https://www.cashhomebuyersdirectory.com/cash-home-buyers/indiana/fort-wayne</x:v>
      </x:c>
      <x:c r="AO819" s="3" t="str">
        <x:v>national_rest_directory_complete.jsonl</x:v>
      </x:c>
      <x:c r="AP819" s="19"/>
    </x:row>
    <x:row r="820" ht="36" customHeight="1">
      <x:c r="A820" s="23" t="n">
        <x:v>819</x:v>
      </x:c>
      <x:c r="B820" s="15" t="str">
        <x:v>Homebuyers Of Kansas</x:v>
      </x:c>
      <x:c r="C820" s="15"/>
      <x:c r="D820" s="15" t="str">
        <x:v>Property investor / home-buying operator</x:v>
      </x:c>
      <x:c r="E820" s="15" t="str">
        <x:v>Property investor / operator inquiry</x:v>
      </x:c>
      <x:c r="F820" s="17" t="str">
        <x:v>New</x:v>
      </x:c>
      <x:c r="G820" s="24"/>
      <x:c r="H820" s="24" t="str">
        <x:v>+13164615313</x:v>
      </x:c>
      <x:c r="I820" s="24"/>
      <x:c r="J820" s="16" t="str">
        <x:v>KS</x:v>
      </x:c>
      <x:c r="K820" s="16"/>
      <x:c r="L820" s="16" t="str">
        <x:v>Public property-business route; investor decision maker unconfirmed</x:v>
      </x:c>
      <x:c r="M820" s="16"/>
      <x:c r="N820" s="16" t="str">
        <x:v>$100K-$500K ticket not published / unconfirmed</x:v>
      </x:c>
      <x:c r="O820" s="20"/>
      <x:c r="P820" s="20"/>
      <x:c r="Q820" s="25" t="str">
        <x:v>No direct corporate-capital range established in checked source</x:v>
      </x:c>
      <x:c r="R820" s="25" t="str">
        <x:v>Property acquisition or investor activity makes this an operator-capital prospect for the signed trial. Confirm operating-company debt/equity appetite.</x:v>
      </x:c>
      <x:c r="S820" s="25"/>
      <x:c r="T820" s="25" t="str">
        <x:v>Ask the owner/investor whether they can allocate $100K-$500K to trial marketing and acquisitions, and confirm structure, timing and decision authority.</x:v>
      </x:c>
      <x:c r="U820" s="25" t="str">
        <x:v>https://www.cashhomebuyersdirectory.com/cash-home-buyers/kansas/wichita</x:v>
      </x:c>
      <x:c r="V820" s="26" t="d">
        <x:v>2026-10-02T00:00:00.000Z</x:v>
      </x:c>
      <x:c r="W820" s="26" t="d">
        <x:v>2026-10-02T00:00:00.000Z</x:v>
      </x:c>
      <x:c r="X820" s="25" t="str">
        <x:v>CashHomeBuyersDirectory third-party business listing; first-party business activity not checked in this batch</x:v>
      </x:c>
      <x:c r="Y820" s="25"/>
      <x:c r="Z820" s="25" t="str">
        <x:v>https://www.cashhomebuyersdirectory.com/cash-home-buyers/kansas/wichita</x:v>
      </x:c>
      <x:c r="AA820" s="25" t="str">
        <x:v>Public cash-home-buyer directory lists the business name, business phone/website where available and market. Operator role and corporate funding willingness require confirmation.</x:v>
      </x:c>
      <x:c r="AB820" s="3" t="str">
        <x:v>New public-source collection</x:v>
      </x:c>
      <x:c r="AC820" s="3" t="str">
        <x:v>unverified</x:v>
      </x:c>
      <x:c r="AD820" s="3" t="str">
        <x:v>Not contacted / unconfirmed</x:v>
      </x:c>
      <x:c r="AE820" s="3" t="str">
        <x:v>No</x:v>
      </x:c>
      <x:c r="AF820" s="3" t="str">
        <x:v>No</x:v>
      </x:c>
      <x:c r="AG820" s="3"/>
      <x:c r="AH820" s="3"/>
      <x:c r="AI820" s="18"/>
      <x:c r="AJ820" s="3" t="str">
        <x:v>CF2500-9DC2E7FC8889</x:v>
      </x:c>
      <x:c r="AK820" s="3" t="str">
        <x:v>real_estate_operator</x:v>
      </x:c>
      <x:c r="AL820" s="19" t="n">
        <x:v>100000</x:v>
      </x:c>
      <x:c r="AM820" s="19" t="n">
        <x:v>500000</x:v>
      </x:c>
      <x:c r="AN820" s="3" t="str">
        <x:v>https://www.cashhomebuyersdirectory.com/cash-home-buyers/kansas/wichita</x:v>
      </x:c>
      <x:c r="AO820" s="3" t="str">
        <x:v>national_rest_directory_complete.jsonl</x:v>
      </x:c>
      <x:c r="AP820" s="19"/>
    </x:row>
    <x:row r="821" ht="36" customHeight="1">
      <x:c r="A821" s="23" t="n">
        <x:v>820</x:v>
      </x:c>
      <x:c r="B821" s="15" t="str">
        <x:v>Hometown Home Buyers LLC</x:v>
      </x:c>
      <x:c r="C821" s="15"/>
      <x:c r="D821" s="15" t="str">
        <x:v>Property investor / home-buying operator</x:v>
      </x:c>
      <x:c r="E821" s="15" t="str">
        <x:v>Property investor / operator inquiry</x:v>
      </x:c>
      <x:c r="F821" s="17" t="str">
        <x:v>New</x:v>
      </x:c>
      <x:c r="G821" s="24"/>
      <x:c r="H821" s="24" t="str">
        <x:v>+12059144215</x:v>
      </x:c>
      <x:c r="I821" s="24"/>
      <x:c r="J821" s="16" t="str">
        <x:v>AL</x:v>
      </x:c>
      <x:c r="K821" s="16" t="str">
        <x:v>Birmingham</x:v>
      </x:c>
      <x:c r="L821" s="16" t="str">
        <x:v>Public property-business route; investor decision maker unconfirmed</x:v>
      </x:c>
      <x:c r="M821" s="16" t="str">
        <x:v>https://www.facebook.com/share/1Gi6J2Hn2A/?mibextid=wwXIfr</x:v>
      </x:c>
      <x:c r="N821" s="16" t="str">
        <x:v>$100K-$500K ticket not published / unconfirmed</x:v>
      </x:c>
      <x:c r="O821" s="20"/>
      <x:c r="P821" s="20"/>
      <x:c r="Q821" s="25" t="str">
        <x:v>No direct corporate-capital range established in checked source</x:v>
      </x:c>
      <x:c r="R821" s="25" t="str">
        <x:v>Property acquisition or investor activity makes this an operator-capital prospect for the signed trial. Confirm operating-company debt/equity appetite.</x:v>
      </x:c>
      <x:c r="S821" s="25"/>
      <x:c r="T821" s="25" t="str">
        <x:v>Ask the owner/investor whether they can allocate $100K-$500K to trial marketing and acquisitions, and confirm structure, timing and decision authority.</x:v>
      </x:c>
      <x:c r="U821" s="25" t="str">
        <x:v>https://www.cashhomebuyersdirectory.com/cash-home-buyers/alabama/birmingham
https://www.cashhomebuyersdirectory.com/cash-home-buyers/ohio/columbus
https://www.cashhomebuyersdirectory.com/cash-home-buyers/pennsylvania/grove-city
https://www.cashhomebuyersdirectory.com/cash-home-buyers/maryland/silver-spring</x:v>
      </x:c>
      <x:c r="V821" s="26" t="d">
        <x:v>2026-10-02T00:00:00.000Z</x:v>
      </x:c>
      <x:c r="W821" s="26" t="d">
        <x:v>2026-10-02T00:00:00.000Z</x:v>
      </x:c>
      <x:c r="X821" s="25" t="str">
        <x:v>CashHomeBuyersDirectory third-party business listing; first-party business activity not checked in this batch</x:v>
      </x:c>
      <x:c r="Y821" s="25"/>
      <x:c r="Z821" s="25" t="str">
        <x:v>https://www.cashhomebuyersdirectory.com/cash-home-buyers/alabama/birmingham</x:v>
      </x:c>
      <x:c r="AA821" s="25" t="str">
        <x:v>Public cash-home-buyer directory lists the business name, business phone/website where available and market. Operator role and corporate funding willingness require confirmation.</x:v>
      </x:c>
      <x:c r="AB821" s="3" t="str">
        <x:v>New public-source collection</x:v>
      </x:c>
      <x:c r="AC821" s="3" t="str">
        <x:v>unverified</x:v>
      </x:c>
      <x:c r="AD821" s="3" t="str">
        <x:v>Not contacted / unconfirmed</x:v>
      </x:c>
      <x:c r="AE821" s="3" t="str">
        <x:v>No</x:v>
      </x:c>
      <x:c r="AF821" s="3" t="str">
        <x:v>No</x:v>
      </x:c>
      <x:c r="AG821" s="3"/>
      <x:c r="AH821" s="3" t="str">
        <x:v>Hometown Home Buyers</x:v>
      </x:c>
      <x:c r="AI821" s="18"/>
      <x:c r="AJ821" s="3" t="str">
        <x:v>CF2500-38C3C6B33C27</x:v>
      </x:c>
      <x:c r="AK821" s="3" t="str">
        <x:v>real_estate_operator</x:v>
      </x:c>
      <x:c r="AL821" s="19" t="n">
        <x:v>100000</x:v>
      </x:c>
      <x:c r="AM821" s="19" t="n">
        <x:v>500000</x:v>
      </x:c>
      <x:c r="AN821" s="3" t="str">
        <x:v>https://www.cashhomebuyersdirectory.com/cash-home-buyers/alabama/birmingham</x:v>
      </x:c>
      <x:c r="AO821" s="3" t="str">
        <x:v>national_rest_directory_complete.jsonl</x:v>
      </x:c>
      <x:c r="AP821" s="19"/>
    </x:row>
    <x:row r="822" ht="36" customHeight="1">
      <x:c r="A822" s="23" t="n">
        <x:v>821</x:v>
      </x:c>
      <x:c r="B822" s="15" t="str">
        <x:v>Hoosier Home Buyers</x:v>
      </x:c>
      <x:c r="C822" s="15"/>
      <x:c r="D822" s="15" t="str">
        <x:v>Property investor / home-buying operator</x:v>
      </x:c>
      <x:c r="E822" s="15" t="str">
        <x:v>Property investor / operator inquiry</x:v>
      </x:c>
      <x:c r="F822" s="17" t="str">
        <x:v>New</x:v>
      </x:c>
      <x:c r="G822" s="24"/>
      <x:c r="H822" s="24" t="str">
        <x:v>+13177514588</x:v>
      </x:c>
      <x:c r="I822" s="24"/>
      <x:c r="J822" s="16" t="str">
        <x:v>IN</x:v>
      </x:c>
      <x:c r="K822" s="16" t="str">
        <x:v>Indianapolis</x:v>
      </x:c>
      <x:c r="L822" s="16" t="str">
        <x:v>Public property-business route; investor decision maker unconfirmed</x:v>
      </x:c>
      <x:c r="M822" s="16"/>
      <x:c r="N822" s="16" t="str">
        <x:v>$100K-$500K ticket not published / unconfirmed</x:v>
      </x:c>
      <x:c r="O822" s="20"/>
      <x:c r="P822" s="20"/>
      <x:c r="Q822" s="25" t="str">
        <x:v>No direct corporate-capital range established in checked source</x:v>
      </x:c>
      <x:c r="R822" s="25" t="str">
        <x:v>Property acquisition or investor activity makes this an operator-capital prospect for the signed trial. Confirm operating-company debt/equity appetite.</x:v>
      </x:c>
      <x:c r="S822" s="25"/>
      <x:c r="T822" s="25" t="str">
        <x:v>Ask the owner/investor whether they can allocate $100K-$500K to trial marketing and acquisitions, and confirm structure, timing and decision authority.</x:v>
      </x:c>
      <x:c r="U822" s="25" t="str">
        <x:v>https://www.cashhomebuyersdirectory.com/cash-home-buyers/indiana/indianapolis</x:v>
      </x:c>
      <x:c r="V822" s="26" t="d">
        <x:v>2026-10-02T00:00:00.000Z</x:v>
      </x:c>
      <x:c r="W822" s="26" t="d">
        <x:v>2026-10-02T00:00:00.000Z</x:v>
      </x:c>
      <x:c r="X822" s="25" t="str">
        <x:v>CashHomeBuyersDirectory third-party business listing; first-party business activity not checked in this batch</x:v>
      </x:c>
      <x:c r="Y822" s="25"/>
      <x:c r="Z822" s="25" t="str">
        <x:v>https://www.cashhomebuyersdirectory.com/cash-home-buyers/indiana/indianapolis</x:v>
      </x:c>
      <x:c r="AA822" s="25" t="str">
        <x:v>Public cash-home-buyer directory lists the business name, business phone/website where available and market. Operator role and corporate funding willingness require confirmation.</x:v>
      </x:c>
      <x:c r="AB822" s="3" t="str">
        <x:v>New public-source collection</x:v>
      </x:c>
      <x:c r="AC822" s="3" t="str">
        <x:v>unverified</x:v>
      </x:c>
      <x:c r="AD822" s="3" t="str">
        <x:v>Not contacted / unconfirmed</x:v>
      </x:c>
      <x:c r="AE822" s="3" t="str">
        <x:v>No</x:v>
      </x:c>
      <x:c r="AF822" s="3" t="str">
        <x:v>No</x:v>
      </x:c>
      <x:c r="AG822" s="3"/>
      <x:c r="AH822" s="3"/>
      <x:c r="AI822" s="18"/>
      <x:c r="AJ822" s="3" t="str">
        <x:v>CF2500-9B16A6658812</x:v>
      </x:c>
      <x:c r="AK822" s="3" t="str">
        <x:v>real_estate_operator</x:v>
      </x:c>
      <x:c r="AL822" s="19" t="n">
        <x:v>100000</x:v>
      </x:c>
      <x:c r="AM822" s="19" t="n">
        <x:v>500000</x:v>
      </x:c>
      <x:c r="AN822" s="3" t="str">
        <x:v>https://www.cashhomebuyersdirectory.com/cash-home-buyers/indiana/indianapolis</x:v>
      </x:c>
      <x:c r="AO822" s="3" t="str">
        <x:v>national_rest_directory_complete.jsonl</x:v>
      </x:c>
      <x:c r="AP822" s="19"/>
    </x:row>
    <x:row r="823" ht="36" customHeight="1">
      <x:c r="A823" s="23" t="n">
        <x:v>822</x:v>
      </x:c>
      <x:c r="B823" s="15" t="str">
        <x:v>I Buy Houses Cash.com</x:v>
      </x:c>
      <x:c r="C823" s="15"/>
      <x:c r="D823" s="15" t="str">
        <x:v>Property investor / home-buying operator</x:v>
      </x:c>
      <x:c r="E823" s="15" t="str">
        <x:v>Property investor / operator inquiry</x:v>
      </x:c>
      <x:c r="F823" s="17" t="str">
        <x:v>New</x:v>
      </x:c>
      <x:c r="G823" s="24"/>
      <x:c r="H823" s="24" t="str">
        <x:v>+17063738782</x:v>
      </x:c>
      <x:c r="I823" s="24"/>
      <x:c r="J823" s="16" t="str">
        <x:v>GA</x:v>
      </x:c>
      <x:c r="K823" s="16" t="str">
        <x:v>Augusta</x:v>
      </x:c>
      <x:c r="L823" s="16" t="str">
        <x:v>Public property-business route; investor decision maker unconfirmed</x:v>
      </x:c>
      <x:c r="M823" s="16" t="str">
        <x:v>https://www.facebook.com/UglyhousesCSRA/</x:v>
      </x:c>
      <x:c r="N823" s="16" t="str">
        <x:v>$100K-$500K ticket not published / unconfirmed</x:v>
      </x:c>
      <x:c r="O823" s="20"/>
      <x:c r="P823" s="20"/>
      <x:c r="Q823" s="25" t="str">
        <x:v>No direct corporate-capital range established in checked source</x:v>
      </x:c>
      <x:c r="R823" s="25" t="str">
        <x:v>Property acquisition or investor activity makes this an operator-capital prospect for the signed trial. Confirm operating-company debt/equity appetite.</x:v>
      </x:c>
      <x:c r="S823" s="25"/>
      <x:c r="T823" s="25" t="str">
        <x:v>Ask the owner/investor whether they can allocate $100K-$500K to trial marketing and acquisitions, and confirm structure, timing and decision authority.</x:v>
      </x:c>
      <x:c r="U823" s="25" t="str">
        <x:v>https://www.cashhomebuyersdirectory.com/cash-home-buyers/georgia/augusta</x:v>
      </x:c>
      <x:c r="V823" s="26" t="d">
        <x:v>2026-10-02T00:00:00.000Z</x:v>
      </x:c>
      <x:c r="W823" s="26" t="d">
        <x:v>2026-10-02T00:00:00.000Z</x:v>
      </x:c>
      <x:c r="X823" s="25" t="str">
        <x:v>CashHomeBuyersDirectory third-party business listing; first-party business activity not checked in this batch</x:v>
      </x:c>
      <x:c r="Y823" s="25"/>
      <x:c r="Z823" s="25" t="str">
        <x:v>https://www.cashhomebuyersdirectory.com/cash-home-buyers/georgia/augusta</x:v>
      </x:c>
      <x:c r="AA823" s="25" t="str">
        <x:v>Public cash-home-buyer directory lists the business name, business phone/website where available and market. Operator role and corporate funding willingness require confirmation.</x:v>
      </x:c>
      <x:c r="AB823" s="3" t="str">
        <x:v>New public-source collection</x:v>
      </x:c>
      <x:c r="AC823" s="3" t="str">
        <x:v>unverified</x:v>
      </x:c>
      <x:c r="AD823" s="3" t="str">
        <x:v>Not contacted / unconfirmed</x:v>
      </x:c>
      <x:c r="AE823" s="3" t="str">
        <x:v>No</x:v>
      </x:c>
      <x:c r="AF823" s="3" t="str">
        <x:v>No</x:v>
      </x:c>
      <x:c r="AG823" s="3"/>
      <x:c r="AH823" s="3"/>
      <x:c r="AI823" s="18"/>
      <x:c r="AJ823" s="3" t="str">
        <x:v>CF2500-05D3B337B559</x:v>
      </x:c>
      <x:c r="AK823" s="3" t="str">
        <x:v>real_estate_operator</x:v>
      </x:c>
      <x:c r="AL823" s="19" t="n">
        <x:v>100000</x:v>
      </x:c>
      <x:c r="AM823" s="19" t="n">
        <x:v>500000</x:v>
      </x:c>
      <x:c r="AN823" s="3" t="str">
        <x:v>https://www.cashhomebuyersdirectory.com/cash-home-buyers/georgia/augusta</x:v>
      </x:c>
      <x:c r="AO823" s="3" t="str">
        <x:v>national_rest_directory_complete.jsonl</x:v>
      </x:c>
      <x:c r="AP823" s="19"/>
    </x:row>
    <x:row r="824" ht="36" customHeight="1">
      <x:c r="A824" s="23" t="n">
        <x:v>823</x:v>
      </x:c>
      <x:c r="B824" s="15" t="str">
        <x:v>INI Home Buyers</x:v>
      </x:c>
      <x:c r="C824" s="15"/>
      <x:c r="D824" s="15" t="str">
        <x:v>Property investor / home-buying operator</x:v>
      </x:c>
      <x:c r="E824" s="15" t="str">
        <x:v>Property investor / operator inquiry</x:v>
      </x:c>
      <x:c r="F824" s="17" t="str">
        <x:v>New</x:v>
      </x:c>
      <x:c r="G824" s="24"/>
      <x:c r="H824" s="24" t="str">
        <x:v>+18438002588</x:v>
      </x:c>
      <x:c r="I824" s="24"/>
      <x:c r="J824" s="16" t="str">
        <x:v>SC</x:v>
      </x:c>
      <x:c r="K824" s="16" t="str">
        <x:v>Charleston</x:v>
      </x:c>
      <x:c r="L824" s="16" t="str">
        <x:v>Public property-business route; investor decision maker unconfirmed</x:v>
      </x:c>
      <x:c r="M824" s="16"/>
      <x:c r="N824" s="16" t="str">
        <x:v>$100K-$500K ticket not published / unconfirmed</x:v>
      </x:c>
      <x:c r="O824" s="20"/>
      <x:c r="P824" s="20"/>
      <x:c r="Q824" s="25" t="str">
        <x:v>No direct corporate-capital range established in checked source</x:v>
      </x:c>
      <x:c r="R824" s="25" t="str">
        <x:v>Property acquisition or investor activity makes this an operator-capital prospect for the signed trial. Confirm operating-company debt/equity appetite.</x:v>
      </x:c>
      <x:c r="S824" s="25"/>
      <x:c r="T824" s="25" t="str">
        <x:v>Ask the owner/investor whether they can allocate $100K-$500K to trial marketing and acquisitions, and confirm structure, timing and decision authority.</x:v>
      </x:c>
      <x:c r="U824" s="25" t="str">
        <x:v>https://www.cashhomebuyersdirectory.com/cash-home-buyers/south-carolina/charleston</x:v>
      </x:c>
      <x:c r="V824" s="26" t="d">
        <x:v>2026-10-02T00:00:00.000Z</x:v>
      </x:c>
      <x:c r="W824" s="26" t="d">
        <x:v>2026-10-02T00:00:00.000Z</x:v>
      </x:c>
      <x:c r="X824" s="25" t="str">
        <x:v>CashHomeBuyersDirectory third-party business listing; first-party business activity not checked in this batch</x:v>
      </x:c>
      <x:c r="Y824" s="25"/>
      <x:c r="Z824" s="25" t="str">
        <x:v>https://www.cashhomebuyersdirectory.com/cash-home-buyers/south-carolina/charleston</x:v>
      </x:c>
      <x:c r="AA824" s="25" t="str">
        <x:v>Public cash-home-buyer directory lists the business name, business phone/website where available and market. Operator role and corporate funding willingness require confirmation.</x:v>
      </x:c>
      <x:c r="AB824" s="3" t="str">
        <x:v>New public-source collection</x:v>
      </x:c>
      <x:c r="AC824" s="3" t="str">
        <x:v>unverified</x:v>
      </x:c>
      <x:c r="AD824" s="3" t="str">
        <x:v>Not contacted / unconfirmed</x:v>
      </x:c>
      <x:c r="AE824" s="3" t="str">
        <x:v>No</x:v>
      </x:c>
      <x:c r="AF824" s="3" t="str">
        <x:v>No</x:v>
      </x:c>
      <x:c r="AG824" s="3"/>
      <x:c r="AH824" s="3"/>
      <x:c r="AI824" s="18"/>
      <x:c r="AJ824" s="3" t="str">
        <x:v>CF2500-A58C05E8990A</x:v>
      </x:c>
      <x:c r="AK824" s="3" t="str">
        <x:v>real_estate_operator</x:v>
      </x:c>
      <x:c r="AL824" s="19" t="n">
        <x:v>100000</x:v>
      </x:c>
      <x:c r="AM824" s="19" t="n">
        <x:v>500000</x:v>
      </x:c>
      <x:c r="AN824" s="3" t="str">
        <x:v>https://www.cashhomebuyersdirectory.com/cash-home-buyers/south-carolina/charleston</x:v>
      </x:c>
      <x:c r="AO824" s="3" t="str">
        <x:v>national_rest_directory_complete.jsonl</x:v>
      </x:c>
      <x:c r="AP824" s="19"/>
    </x:row>
    <x:row r="825" ht="36" customHeight="1">
      <x:c r="A825" s="23" t="n">
        <x:v>824</x:v>
      </x:c>
      <x:c r="B825" s="15" t="str">
        <x:v>Integrity Wholesale Investments</x:v>
      </x:c>
      <x:c r="C825" s="15"/>
      <x:c r="D825" s="15" t="str">
        <x:v>Property investor / home-buying operator</x:v>
      </x:c>
      <x:c r="E825" s="15" t="str">
        <x:v>Property investor / operator inquiry</x:v>
      </x:c>
      <x:c r="F825" s="17" t="str">
        <x:v>New</x:v>
      </x:c>
      <x:c r="G825" s="24"/>
      <x:c r="H825" s="24" t="str">
        <x:v>+13148562221</x:v>
      </x:c>
      <x:c r="I825" s="24"/>
      <x:c r="J825" s="16" t="str">
        <x:v>MO</x:v>
      </x:c>
      <x:c r="K825" s="16" t="str">
        <x:v>Wentzville</x:v>
      </x:c>
      <x:c r="L825" s="16" t="str">
        <x:v>Public property-business route; investor decision maker unconfirmed</x:v>
      </x:c>
      <x:c r="M825" s="16"/>
      <x:c r="N825" s="16" t="str">
        <x:v>$100K-$500K ticket not published / unconfirmed</x:v>
      </x:c>
      <x:c r="O825" s="20"/>
      <x:c r="P825" s="20"/>
      <x:c r="Q825" s="25" t="str">
        <x:v>No direct corporate-capital range established in checked source</x:v>
      </x:c>
      <x:c r="R825" s="25" t="str">
        <x:v>Property acquisition or investor activity makes this an operator-capital prospect for the signed trial. Confirm operating-company debt/equity appetite.</x:v>
      </x:c>
      <x:c r="S825" s="25"/>
      <x:c r="T825" s="25" t="str">
        <x:v>Ask the owner/investor whether they can allocate $100K-$500K to trial marketing and acquisitions, and confirm structure, timing and decision authority.</x:v>
      </x:c>
      <x:c r="U825" s="25" t="str">
        <x:v>https://www.cashhomebuyersdirectory.com/cash-home-buyers/missouri/wentzville</x:v>
      </x:c>
      <x:c r="V825" s="26" t="d">
        <x:v>2026-10-02T00:00:00.000Z</x:v>
      </x:c>
      <x:c r="W825" s="26" t="d">
        <x:v>2026-10-02T00:00:00.000Z</x:v>
      </x:c>
      <x:c r="X825" s="25" t="str">
        <x:v>CashHomeBuyersDirectory third-party business listing; first-party business activity not checked in this batch</x:v>
      </x:c>
      <x:c r="Y825" s="25"/>
      <x:c r="Z825" s="25" t="str">
        <x:v>https://www.cashhomebuyersdirectory.com/cash-home-buyers/missouri/wentzville</x:v>
      </x:c>
      <x:c r="AA825" s="25" t="str">
        <x:v>Public cash-home-buyer directory lists the business name, business phone/website where available and market. Operator role and corporate funding willingness require confirmation.</x:v>
      </x:c>
      <x:c r="AB825" s="3" t="str">
        <x:v>New public-source collection</x:v>
      </x:c>
      <x:c r="AC825" s="3" t="str">
        <x:v>unverified</x:v>
      </x:c>
      <x:c r="AD825" s="3" t="str">
        <x:v>Not contacted / unconfirmed</x:v>
      </x:c>
      <x:c r="AE825" s="3" t="str">
        <x:v>No</x:v>
      </x:c>
      <x:c r="AF825" s="3" t="str">
        <x:v>No</x:v>
      </x:c>
      <x:c r="AG825" s="3"/>
      <x:c r="AH825" s="3"/>
      <x:c r="AI825" s="18"/>
      <x:c r="AJ825" s="3" t="str">
        <x:v>CF2500-92313EAC9B33</x:v>
      </x:c>
      <x:c r="AK825" s="3" t="str">
        <x:v>real_estate_operator</x:v>
      </x:c>
      <x:c r="AL825" s="19" t="n">
        <x:v>100000</x:v>
      </x:c>
      <x:c r="AM825" s="19" t="n">
        <x:v>500000</x:v>
      </x:c>
      <x:c r="AN825" s="3" t="str">
        <x:v>https://www.cashhomebuyersdirectory.com/cash-home-buyers/missouri/wentzville</x:v>
      </x:c>
      <x:c r="AO825" s="3" t="str">
        <x:v>national_rest_directory_complete.jsonl</x:v>
      </x:c>
      <x:c r="AP825" s="19"/>
    </x:row>
    <x:row r="826" ht="36" customHeight="1">
      <x:c r="A826" s="23" t="n">
        <x:v>825</x:v>
      </x:c>
      <x:c r="B826" s="15" t="str">
        <x:v>Joe Homebuyer Colorado</x:v>
      </x:c>
      <x:c r="C826" s="15"/>
      <x:c r="D826" s="15" t="str">
        <x:v>Property investor / home-buying operator</x:v>
      </x:c>
      <x:c r="E826" s="15" t="str">
        <x:v>Property investor / operator inquiry</x:v>
      </x:c>
      <x:c r="F826" s="17" t="str">
        <x:v>New</x:v>
      </x:c>
      <x:c r="G826" s="24"/>
      <x:c r="H826" s="24" t="str">
        <x:v>+17207061677</x:v>
      </x:c>
      <x:c r="I826" s="24"/>
      <x:c r="J826" s="16" t="str">
        <x:v>CO</x:v>
      </x:c>
      <x:c r="K826" s="16"/>
      <x:c r="L826" s="16" t="str">
        <x:v>Public property-business route; investor decision maker unconfirmed</x:v>
      </x:c>
      <x:c r="M826" s="16" t="str">
        <x:v>https://www.bbb.org/us/co/category/home-buyers</x:v>
      </x:c>
      <x:c r="N826" s="16" t="str">
        <x:v>$100K-$500K ticket not published / unconfirmed</x:v>
      </x:c>
      <x:c r="O826" s="20"/>
      <x:c r="P826" s="20"/>
      <x:c r="Q826" s="25" t="str">
        <x:v>No $100K-$500K operating-company investment ticket verified</x:v>
      </x:c>
      <x:c r="R826" s="25" t="str">
        <x:v>Property acquisition or investor activity makes this an operator-capital prospect for the signed trial. Confirm operating-company debt/equity appetite.</x:v>
      </x:c>
      <x:c r="S826" s="25" t="str">
        <x:v>Public property-buying activity or a directory listing does not establish available cash, investing decision-maker, current $100K-$500K capacity, or willingness to fund 101XVC operating costs.</x:v>
      </x:c>
      <x:c r="T826" s="25" t="str">
        <x:v>Ask the owner/investor whether they can allocate $100K-$500K to trial marketing and acquisitions, and confirm structure, timing and decision authority.</x:v>
      </x:c>
      <x:c r="U826" s="25" t="str">
        <x:v>https://www.bbb.org/us/co/category/home-buyers</x:v>
      </x:c>
      <x:c r="V826" s="26" t="d">
        <x:v>2026-10-02T00:00:00.000Z</x:v>
      </x:c>
      <x:c r="W826" s="26" t="d">
        <x:v>2026-10-02T00:00:00.000Z</x:v>
      </x:c>
      <x:c r="X826" s="25" t="str">
        <x:v>Public investor directory; business role and contact ownership require qualification</x:v>
      </x:c>
      <x:c r="Y826" s="25"/>
      <x:c r="Z826" s="25" t="str">
        <x:v>https://www.bbb.org/us/co/category/home-buyers</x:v>
      </x:c>
      <x:c r="AA826" s="25" t="str">
        <x:v>BBB publicly lists this business as a home buyer, with the recorded business phone. Its investing role and company-capital appetite require qualification.</x:v>
      </x:c>
      <x:c r="AB826" s="3" t="str">
        <x:v>New public-source collection</x:v>
      </x:c>
      <x:c r="AC826" s="3" t="str">
        <x:v>unverified</x:v>
      </x:c>
      <x:c r="AD826" s="3" t="str">
        <x:v>Not contacted / unconfirmed</x:v>
      </x:c>
      <x:c r="AE826" s="3" t="str">
        <x:v>No</x:v>
      </x:c>
      <x:c r="AF826" s="3" t="str">
        <x:v>No</x:v>
      </x:c>
      <x:c r="AG826" s="3"/>
      <x:c r="AH826" s="3"/>
      <x:c r="AI826" s="18"/>
      <x:c r="AJ826" s="3" t="str">
        <x:v>CF2500-7D172DF49E1E</x:v>
      </x:c>
      <x:c r="AK826" s="3" t="str">
        <x:v>Property buyer / investor operator prospect</x:v>
      </x:c>
      <x:c r="AL826" s="19" t="n">
        <x:v>100000</x:v>
      </x:c>
      <x:c r="AM826" s="19" t="n">
        <x:v>500000</x:v>
      </x:c>
      <x:c r="AN826" s="3" t="str">
        <x:v>https://www.bbb.org/us/co/category/home-buyers</x:v>
      </x:c>
      <x:c r="AO826" s="3" t="str">
        <x:v>nc_il_az_co_investors.jsonl</x:v>
      </x:c>
      <x:c r="AP826" s="19"/>
    </x:row>
    <x:row r="827" ht="36" customHeight="1">
      <x:c r="A827" s="23" t="n">
        <x:v>826</x:v>
      </x:c>
      <x:c r="B827" s="15" t="str">
        <x:v>Midwest House Buyers LLC</x:v>
      </x:c>
      <x:c r="C827" s="15"/>
      <x:c r="D827" s="15" t="str">
        <x:v>Property investor / home-buying operator</x:v>
      </x:c>
      <x:c r="E827" s="15" t="str">
        <x:v>Property investor / operator inquiry</x:v>
      </x:c>
      <x:c r="F827" s="17" t="str">
        <x:v>New</x:v>
      </x:c>
      <x:c r="G827" s="24"/>
      <x:c r="H827" s="24" t="str">
        <x:v>+13177592882</x:v>
      </x:c>
      <x:c r="I827" s="24"/>
      <x:c r="J827" s="16" t="str">
        <x:v>IN</x:v>
      </x:c>
      <x:c r="K827" s="16" t="str">
        <x:v>Indianapolis</x:v>
      </x:c>
      <x:c r="L827" s="16" t="str">
        <x:v>Public property-business route; investor decision maker unconfirmed</x:v>
      </x:c>
      <x:c r="M827" s="16"/>
      <x:c r="N827" s="16" t="str">
        <x:v>$100K-$500K ticket not published / unconfirmed</x:v>
      </x:c>
      <x:c r="O827" s="20"/>
      <x:c r="P827" s="20"/>
      <x:c r="Q827" s="25" t="str">
        <x:v>No direct corporate-capital range established in checked source</x:v>
      </x:c>
      <x:c r="R827" s="25" t="str">
        <x:v>Property acquisition or investor activity makes this an operator-capital prospect for the signed trial. Confirm operating-company debt/equity appetite.</x:v>
      </x:c>
      <x:c r="S827" s="25"/>
      <x:c r="T827" s="25" t="str">
        <x:v>Ask the owner/investor whether they can allocate $100K-$500K to trial marketing and acquisitions, and confirm structure, timing and decision authority.</x:v>
      </x:c>
      <x:c r="U827" s="25" t="str">
        <x:v>https://www.cashhomebuyersdirectory.com/cash-home-buyers/indiana/indianapolis</x:v>
      </x:c>
      <x:c r="V827" s="26" t="d">
        <x:v>2026-10-02T00:00:00.000Z</x:v>
      </x:c>
      <x:c r="W827" s="26" t="d">
        <x:v>2026-10-02T00:00:00.000Z</x:v>
      </x:c>
      <x:c r="X827" s="25" t="str">
        <x:v>CashHomeBuyersDirectory third-party business listing; first-party business activity not checked in this batch</x:v>
      </x:c>
      <x:c r="Y827" s="25"/>
      <x:c r="Z827" s="25" t="str">
        <x:v>https://www.cashhomebuyersdirectory.com/cash-home-buyers/indiana/indianapolis</x:v>
      </x:c>
      <x:c r="AA827" s="25" t="str">
        <x:v>Public cash-home-buyer directory lists the business name, business phone/website where available and market. Operator role and corporate funding willingness require confirmation.</x:v>
      </x:c>
      <x:c r="AB827" s="3" t="str">
        <x:v>New public-source collection</x:v>
      </x:c>
      <x:c r="AC827" s="3" t="str">
        <x:v>unverified</x:v>
      </x:c>
      <x:c r="AD827" s="3" t="str">
        <x:v>Not contacted / unconfirmed</x:v>
      </x:c>
      <x:c r="AE827" s="3" t="str">
        <x:v>No</x:v>
      </x:c>
      <x:c r="AF827" s="3" t="str">
        <x:v>No</x:v>
      </x:c>
      <x:c r="AG827" s="3"/>
      <x:c r="AH827" s="3"/>
      <x:c r="AI827" s="18"/>
      <x:c r="AJ827" s="3" t="str">
        <x:v>CF2500-855F1950A3EF</x:v>
      </x:c>
      <x:c r="AK827" s="3" t="str">
        <x:v>real_estate_operator</x:v>
      </x:c>
      <x:c r="AL827" s="19" t="n">
        <x:v>100000</x:v>
      </x:c>
      <x:c r="AM827" s="19" t="n">
        <x:v>500000</x:v>
      </x:c>
      <x:c r="AN827" s="3" t="str">
        <x:v>https://www.cashhomebuyersdirectory.com/cash-home-buyers/indiana/indianapolis</x:v>
      </x:c>
      <x:c r="AO827" s="3" t="str">
        <x:v>national_rest_directory_complete.jsonl</x:v>
      </x:c>
      <x:c r="AP827" s="19"/>
    </x:row>
    <x:row r="828" ht="36" customHeight="1">
      <x:c r="A828" s="23" t="n">
        <x:v>827</x:v>
      </x:c>
      <x:c r="B828" s="15" t="str">
        <x:v>Murfreesboro and Nashville Cash House Buyer</x:v>
      </x:c>
      <x:c r="C828" s="15"/>
      <x:c r="D828" s="15" t="str">
        <x:v>Property investor / home-buying operator</x:v>
      </x:c>
      <x:c r="E828" s="15" t="str">
        <x:v>Property investor / operator inquiry</x:v>
      </x:c>
      <x:c r="F828" s="17" t="str">
        <x:v>New</x:v>
      </x:c>
      <x:c r="G828" s="24"/>
      <x:c r="H828" s="24" t="str">
        <x:v>+16156921800</x:v>
      </x:c>
      <x:c r="I828" s="24"/>
      <x:c r="J828" s="16" t="str">
        <x:v>TN</x:v>
      </x:c>
      <x:c r="K828" s="16" t="str">
        <x:v>Murfreesboro</x:v>
      </x:c>
      <x:c r="L828" s="16" t="str">
        <x:v>Public property-business route; investor decision maker unconfirmed</x:v>
      </x:c>
      <x:c r="M828" s="16"/>
      <x:c r="N828" s="16" t="str">
        <x:v>$100K-$500K ticket not published / unconfirmed</x:v>
      </x:c>
      <x:c r="O828" s="20"/>
      <x:c r="P828" s="20"/>
      <x:c r="Q828" s="25" t="str">
        <x:v>No direct corporate-capital range established in checked source</x:v>
      </x:c>
      <x:c r="R828" s="25" t="str">
        <x:v>Property acquisition or investor activity makes this an operator-capital prospect for the signed trial. Confirm operating-company debt/equity appetite.</x:v>
      </x:c>
      <x:c r="S828" s="25"/>
      <x:c r="T828" s="25" t="str">
        <x:v>Ask the owner/investor whether they can allocate $100K-$500K to trial marketing and acquisitions, and confirm structure, timing and decision authority.</x:v>
      </x:c>
      <x:c r="U828" s="25" t="str">
        <x:v>https://www.cashhomebuyersdirectory.com/cash-home-buyers/tennessee/murfreesboro</x:v>
      </x:c>
      <x:c r="V828" s="26" t="d">
        <x:v>2026-10-02T00:00:00.000Z</x:v>
      </x:c>
      <x:c r="W828" s="26" t="d">
        <x:v>2026-10-02T00:00:00.000Z</x:v>
      </x:c>
      <x:c r="X828" s="25" t="str">
        <x:v>CashHomeBuyersDirectory third-party business listing; first-party business activity not checked in this batch</x:v>
      </x:c>
      <x:c r="Y828" s="25"/>
      <x:c r="Z828" s="25" t="str">
        <x:v>https://www.cashhomebuyersdirectory.com/cash-home-buyers/tennessee/murfreesboro</x:v>
      </x:c>
      <x:c r="AA828" s="25" t="str">
        <x:v>Public cash-home-buyer directory lists the business name, business phone/website where available and market. Operator role and corporate funding willingness require confirmation.</x:v>
      </x:c>
      <x:c r="AB828" s="3" t="str">
        <x:v>New public-source collection</x:v>
      </x:c>
      <x:c r="AC828" s="3" t="str">
        <x:v>unverified</x:v>
      </x:c>
      <x:c r="AD828" s="3" t="str">
        <x:v>Not contacted / unconfirmed</x:v>
      </x:c>
      <x:c r="AE828" s="3" t="str">
        <x:v>No</x:v>
      </x:c>
      <x:c r="AF828" s="3" t="str">
        <x:v>No</x:v>
      </x:c>
      <x:c r="AG828" s="3"/>
      <x:c r="AH828" s="3"/>
      <x:c r="AI828" s="18"/>
      <x:c r="AJ828" s="3" t="str">
        <x:v>CF2500-73B104F1B70E</x:v>
      </x:c>
      <x:c r="AK828" s="3" t="str">
        <x:v>real_estate_operator</x:v>
      </x:c>
      <x:c r="AL828" s="19" t="n">
        <x:v>100000</x:v>
      </x:c>
      <x:c r="AM828" s="19" t="n">
        <x:v>500000</x:v>
      </x:c>
      <x:c r="AN828" s="3" t="str">
        <x:v>https://www.cashhomebuyersdirectory.com/cash-home-buyers/tennessee/murfreesboro</x:v>
      </x:c>
      <x:c r="AO828" s="3" t="str">
        <x:v>national_rest_directory_complete.jsonl</x:v>
      </x:c>
      <x:c r="AP828" s="19"/>
    </x:row>
    <x:row r="829" ht="36" customHeight="1">
      <x:c r="A829" s="23" t="n">
        <x:v>828</x:v>
      </x:c>
      <x:c r="B829" s="15" t="str">
        <x:v>Nash Home Buyers</x:v>
      </x:c>
      <x:c r="C829" s="15"/>
      <x:c r="D829" s="15" t="str">
        <x:v>Property investor / home-buying operator</x:v>
      </x:c>
      <x:c r="E829" s="15" t="str">
        <x:v>Property investor / operator inquiry</x:v>
      </x:c>
      <x:c r="F829" s="17" t="str">
        <x:v>New</x:v>
      </x:c>
      <x:c r="G829" s="24"/>
      <x:c r="H829" s="24" t="str">
        <x:v>+16158574881</x:v>
      </x:c>
      <x:c r="I829" s="24"/>
      <x:c r="J829" s="16" t="str">
        <x:v>TN</x:v>
      </x:c>
      <x:c r="K829" s="16" t="str">
        <x:v>Nashville</x:v>
      </x:c>
      <x:c r="L829" s="16" t="str">
        <x:v>Public property-business route; investor decision maker unconfirmed</x:v>
      </x:c>
      <x:c r="M829" s="16"/>
      <x:c r="N829" s="16" t="str">
        <x:v>$100K-$500K ticket not published / unconfirmed</x:v>
      </x:c>
      <x:c r="O829" s="20"/>
      <x:c r="P829" s="20"/>
      <x:c r="Q829" s="25" t="str">
        <x:v>No direct corporate-capital range established in checked source</x:v>
      </x:c>
      <x:c r="R829" s="25" t="str">
        <x:v>Property acquisition or investor activity makes this an operator-capital prospect for the signed trial. Confirm operating-company debt/equity appetite.</x:v>
      </x:c>
      <x:c r="S829" s="25"/>
      <x:c r="T829" s="25" t="str">
        <x:v>Ask the owner/investor whether they can allocate $100K-$500K to trial marketing and acquisitions, and confirm structure, timing and decision authority.</x:v>
      </x:c>
      <x:c r="U829" s="25" t="str">
        <x:v>https://www.cashhomebuyersdirectory.com/cash-home-buyers/tennessee/nashville</x:v>
      </x:c>
      <x:c r="V829" s="26" t="d">
        <x:v>2026-10-02T00:00:00.000Z</x:v>
      </x:c>
      <x:c r="W829" s="26" t="d">
        <x:v>2026-10-02T00:00:00.000Z</x:v>
      </x:c>
      <x:c r="X829" s="25" t="str">
        <x:v>CashHomeBuyersDirectory third-party business listing; first-party business activity not checked in this batch</x:v>
      </x:c>
      <x:c r="Y829" s="25"/>
      <x:c r="Z829" s="25" t="str">
        <x:v>https://www.cashhomebuyersdirectory.com/cash-home-buyers/tennessee/nashville</x:v>
      </x:c>
      <x:c r="AA829" s="25" t="str">
        <x:v>Public cash-home-buyer directory lists the business name, business phone/website where available and market. Operator role and corporate funding willingness require confirmation.</x:v>
      </x:c>
      <x:c r="AB829" s="3" t="str">
        <x:v>New public-source collection</x:v>
      </x:c>
      <x:c r="AC829" s="3" t="str">
        <x:v>unverified</x:v>
      </x:c>
      <x:c r="AD829" s="3" t="str">
        <x:v>Not contacted / unconfirmed</x:v>
      </x:c>
      <x:c r="AE829" s="3" t="str">
        <x:v>No</x:v>
      </x:c>
      <x:c r="AF829" s="3" t="str">
        <x:v>No</x:v>
      </x:c>
      <x:c r="AG829" s="3"/>
      <x:c r="AH829" s="3"/>
      <x:c r="AI829" s="18"/>
      <x:c r="AJ829" s="3" t="str">
        <x:v>CF2500-DBB1013C5270</x:v>
      </x:c>
      <x:c r="AK829" s="3" t="str">
        <x:v>real_estate_operator</x:v>
      </x:c>
      <x:c r="AL829" s="19" t="n">
        <x:v>100000</x:v>
      </x:c>
      <x:c r="AM829" s="19" t="n">
        <x:v>500000</x:v>
      </x:c>
      <x:c r="AN829" s="3" t="str">
        <x:v>https://www.cashhomebuyersdirectory.com/cash-home-buyers/tennessee/nashville</x:v>
      </x:c>
      <x:c r="AO829" s="3" t="str">
        <x:v>national_rest_directory_complete.jsonl</x:v>
      </x:c>
      <x:c r="AP829" s="19"/>
    </x:row>
    <x:row r="830" ht="36" customHeight="1">
      <x:c r="A830" s="23" t="n">
        <x:v>829</x:v>
      </x:c>
      <x:c r="B830" s="15" t="str">
        <x:v>No Mortgage Cash Offer LLC</x:v>
      </x:c>
      <x:c r="C830" s="15"/>
      <x:c r="D830" s="15" t="str">
        <x:v>Property investor / home-buying operator</x:v>
      </x:c>
      <x:c r="E830" s="15" t="str">
        <x:v>Property investor / operator inquiry</x:v>
      </x:c>
      <x:c r="F830" s="17" t="str">
        <x:v>New</x:v>
      </x:c>
      <x:c r="G830" s="24"/>
      <x:c r="H830" s="24" t="str">
        <x:v>+13177791087</x:v>
      </x:c>
      <x:c r="I830" s="24"/>
      <x:c r="J830" s="16" t="str">
        <x:v>IN</x:v>
      </x:c>
      <x:c r="K830" s="16" t="str">
        <x:v>Indianapolis</x:v>
      </x:c>
      <x:c r="L830" s="16" t="str">
        <x:v>Public property-business route; investor decision maker unconfirmed</x:v>
      </x:c>
      <x:c r="M830" s="16"/>
      <x:c r="N830" s="16" t="str">
        <x:v>$100K-$500K ticket not published / unconfirmed</x:v>
      </x:c>
      <x:c r="O830" s="20"/>
      <x:c r="P830" s="20"/>
      <x:c r="Q830" s="25" t="str">
        <x:v>No direct corporate-capital range established in checked source</x:v>
      </x:c>
      <x:c r="R830" s="25" t="str">
        <x:v>Property acquisition or investor activity makes this an operator-capital prospect for the signed trial. Confirm operating-company debt/equity appetite.</x:v>
      </x:c>
      <x:c r="S830" s="25"/>
      <x:c r="T830" s="25" t="str">
        <x:v>Ask the owner/investor whether they can allocate $100K-$500K to trial marketing and acquisitions, and confirm structure, timing and decision authority.</x:v>
      </x:c>
      <x:c r="U830" s="25" t="str">
        <x:v>https://www.cashhomebuyersdirectory.com/cash-home-buyers/indiana/indianapolis</x:v>
      </x:c>
      <x:c r="V830" s="26" t="d">
        <x:v>2026-10-02T00:00:00.000Z</x:v>
      </x:c>
      <x:c r="W830" s="26" t="d">
        <x:v>2026-10-02T00:00:00.000Z</x:v>
      </x:c>
      <x:c r="X830" s="25" t="str">
        <x:v>CashHomeBuyersDirectory third-party business listing; first-party business activity not checked in this batch</x:v>
      </x:c>
      <x:c r="Y830" s="25"/>
      <x:c r="Z830" s="25" t="str">
        <x:v>https://www.cashhomebuyersdirectory.com/cash-home-buyers/indiana/indianapolis</x:v>
      </x:c>
      <x:c r="AA830" s="25" t="str">
        <x:v>Public cash-home-buyer directory lists the business name, business phone/website where available and market. Operator role and corporate funding willingness require confirmation.</x:v>
      </x:c>
      <x:c r="AB830" s="3" t="str">
        <x:v>New public-source collection</x:v>
      </x:c>
      <x:c r="AC830" s="3" t="str">
        <x:v>unverified</x:v>
      </x:c>
      <x:c r="AD830" s="3" t="str">
        <x:v>Not contacted / unconfirmed</x:v>
      </x:c>
      <x:c r="AE830" s="3" t="str">
        <x:v>No</x:v>
      </x:c>
      <x:c r="AF830" s="3" t="str">
        <x:v>No</x:v>
      </x:c>
      <x:c r="AG830" s="3"/>
      <x:c r="AH830" s="3"/>
      <x:c r="AI830" s="18"/>
      <x:c r="AJ830" s="3" t="str">
        <x:v>CF2500-F929FE1DF9EC</x:v>
      </x:c>
      <x:c r="AK830" s="3" t="str">
        <x:v>real_estate_operator</x:v>
      </x:c>
      <x:c r="AL830" s="19" t="n">
        <x:v>100000</x:v>
      </x:c>
      <x:c r="AM830" s="19" t="n">
        <x:v>500000</x:v>
      </x:c>
      <x:c r="AN830" s="3" t="str">
        <x:v>https://www.cashhomebuyersdirectory.com/cash-home-buyers/indiana/indianapolis</x:v>
      </x:c>
      <x:c r="AO830" s="3" t="str">
        <x:v>national_rest_directory_complete.jsonl</x:v>
      </x:c>
      <x:c r="AP830" s="19"/>
    </x:row>
    <x:row r="831" ht="36" customHeight="1">
      <x:c r="A831" s="23" t="n">
        <x:v>830</x:v>
      </x:c>
      <x:c r="B831" s="15" t="str">
        <x:v>Revamp Home Buyers</x:v>
      </x:c>
      <x:c r="C831" s="15"/>
      <x:c r="D831" s="15" t="str">
        <x:v>Property investor / home-buying operator</x:v>
      </x:c>
      <x:c r="E831" s="15" t="str">
        <x:v>Property investor / operator inquiry</x:v>
      </x:c>
      <x:c r="F831" s="17" t="str">
        <x:v>New</x:v>
      </x:c>
      <x:c r="G831" s="24"/>
      <x:c r="H831" s="24" t="str">
        <x:v>+18339832262</x:v>
      </x:c>
      <x:c r="I831" s="24"/>
      <x:c r="J831" s="16" t="str">
        <x:v>GA</x:v>
      </x:c>
      <x:c r="K831" s="16" t="str">
        <x:v>Atlanta</x:v>
      </x:c>
      <x:c r="L831" s="16" t="str">
        <x:v>Public property-business route; investor decision maker unconfirmed</x:v>
      </x:c>
      <x:c r="M831" s="16"/>
      <x:c r="N831" s="16" t="str">
        <x:v>$100K-$500K ticket not published / unconfirmed</x:v>
      </x:c>
      <x:c r="O831" s="20"/>
      <x:c r="P831" s="20"/>
      <x:c r="Q831" s="25" t="str">
        <x:v>No direct corporate-capital range established in checked source</x:v>
      </x:c>
      <x:c r="R831" s="25" t="str">
        <x:v>Property acquisition or investor activity makes this an operator-capital prospect for the signed trial. Confirm operating-company debt/equity appetite.</x:v>
      </x:c>
      <x:c r="S831" s="25"/>
      <x:c r="T831" s="25" t="str">
        <x:v>Ask the owner/investor whether they can allocate $100K-$500K to trial marketing and acquisitions, and confirm structure, timing and decision authority.</x:v>
      </x:c>
      <x:c r="U831" s="25" t="str">
        <x:v>https://www.cashhomebuyersdirectory.com/cash-home-buyers/georgia/atlanta</x:v>
      </x:c>
      <x:c r="V831" s="26" t="d">
        <x:v>2026-10-02T00:00:00.000Z</x:v>
      </x:c>
      <x:c r="W831" s="26" t="d">
        <x:v>2026-10-02T00:00:00.000Z</x:v>
      </x:c>
      <x:c r="X831" s="25" t="str">
        <x:v>CashHomeBuyersDirectory third-party business listing; first-party business activity not checked in this batch</x:v>
      </x:c>
      <x:c r="Y831" s="25"/>
      <x:c r="Z831" s="25" t="str">
        <x:v>https://www.cashhomebuyersdirectory.com/cash-home-buyers/georgia/atlanta</x:v>
      </x:c>
      <x:c r="AA831" s="25" t="str">
        <x:v>Public cash-home-buyer directory lists the business name, business phone/website where available and market. Operator role and corporate funding willingness require confirmation.</x:v>
      </x:c>
      <x:c r="AB831" s="3" t="str">
        <x:v>New public-source collection</x:v>
      </x:c>
      <x:c r="AC831" s="3" t="str">
        <x:v>unverified</x:v>
      </x:c>
      <x:c r="AD831" s="3" t="str">
        <x:v>Not contacted / unconfirmed</x:v>
      </x:c>
      <x:c r="AE831" s="3" t="str">
        <x:v>No</x:v>
      </x:c>
      <x:c r="AF831" s="3" t="str">
        <x:v>No</x:v>
      </x:c>
      <x:c r="AG831" s="3"/>
      <x:c r="AH831" s="3"/>
      <x:c r="AI831" s="18"/>
      <x:c r="AJ831" s="3" t="str">
        <x:v>CF2500-65B4399A1E5F</x:v>
      </x:c>
      <x:c r="AK831" s="3" t="str">
        <x:v>real_estate_operator</x:v>
      </x:c>
      <x:c r="AL831" s="19" t="n">
        <x:v>100000</x:v>
      </x:c>
      <x:c r="AM831" s="19" t="n">
        <x:v>500000</x:v>
      </x:c>
      <x:c r="AN831" s="3" t="str">
        <x:v>https://www.cashhomebuyersdirectory.com/cash-home-buyers/georgia/atlanta</x:v>
      </x:c>
      <x:c r="AO831" s="3" t="str">
        <x:v>national_rest_directory_complete.jsonl</x:v>
      </x:c>
      <x:c r="AP831" s="19"/>
    </x:row>
    <x:row r="832" ht="36" customHeight="1">
      <x:c r="A832" s="23" t="n">
        <x:v>831</x:v>
      </x:c>
      <x:c r="B832" s="15" t="str">
        <x:v>Revolution Homebuyers</x:v>
      </x:c>
      <x:c r="C832" s="15"/>
      <x:c r="D832" s="15" t="str">
        <x:v>Property investor / home-buying operator</x:v>
      </x:c>
      <x:c r="E832" s="15" t="str">
        <x:v>Property investor / operator inquiry</x:v>
      </x:c>
      <x:c r="F832" s="17" t="str">
        <x:v>New</x:v>
      </x:c>
      <x:c r="G832" s="24"/>
      <x:c r="H832" s="24" t="str">
        <x:v>+16153074656</x:v>
      </x:c>
      <x:c r="I832" s="24"/>
      <x:c r="J832" s="16" t="str">
        <x:v>TN</x:v>
      </x:c>
      <x:c r="K832" s="16" t="str">
        <x:v>Murfreesboro</x:v>
      </x:c>
      <x:c r="L832" s="16" t="str">
        <x:v>Public property-business route; investor decision maker unconfirmed</x:v>
      </x:c>
      <x:c r="M832" s="16"/>
      <x:c r="N832" s="16" t="str">
        <x:v>$100K-$500K ticket not published / unconfirmed</x:v>
      </x:c>
      <x:c r="O832" s="20"/>
      <x:c r="P832" s="20"/>
      <x:c r="Q832" s="25" t="str">
        <x:v>No direct corporate-capital range established in checked source</x:v>
      </x:c>
      <x:c r="R832" s="25" t="str">
        <x:v>Property acquisition or investor activity makes this an operator-capital prospect for the signed trial. Confirm operating-company debt/equity appetite.</x:v>
      </x:c>
      <x:c r="S832" s="25"/>
      <x:c r="T832" s="25" t="str">
        <x:v>Ask the owner/investor whether they can allocate $100K-$500K to trial marketing and acquisitions, and confirm structure, timing and decision authority.</x:v>
      </x:c>
      <x:c r="U832" s="25" t="str">
        <x:v>https://www.cashhomebuyersdirectory.com/cash-home-buyers/tennessee/murfreesboro</x:v>
      </x:c>
      <x:c r="V832" s="26" t="d">
        <x:v>2026-10-02T00:00:00.000Z</x:v>
      </x:c>
      <x:c r="W832" s="26" t="d">
        <x:v>2026-10-02T00:00:00.000Z</x:v>
      </x:c>
      <x:c r="X832" s="25" t="str">
        <x:v>CashHomeBuyersDirectory third-party business listing; first-party business activity not checked in this batch</x:v>
      </x:c>
      <x:c r="Y832" s="25"/>
      <x:c r="Z832" s="25" t="str">
        <x:v>https://www.cashhomebuyersdirectory.com/cash-home-buyers/tennessee/murfreesboro</x:v>
      </x:c>
      <x:c r="AA832" s="25" t="str">
        <x:v>Public cash-home-buyer directory lists the business name, business phone/website where available and market. Operator role and corporate funding willingness require confirmation.</x:v>
      </x:c>
      <x:c r="AB832" s="3" t="str">
        <x:v>New public-source collection</x:v>
      </x:c>
      <x:c r="AC832" s="3" t="str">
        <x:v>unverified</x:v>
      </x:c>
      <x:c r="AD832" s="3" t="str">
        <x:v>Not contacted / unconfirmed</x:v>
      </x:c>
      <x:c r="AE832" s="3" t="str">
        <x:v>No</x:v>
      </x:c>
      <x:c r="AF832" s="3" t="str">
        <x:v>No</x:v>
      </x:c>
      <x:c r="AG832" s="3"/>
      <x:c r="AH832" s="3"/>
      <x:c r="AI832" s="18"/>
      <x:c r="AJ832" s="3" t="str">
        <x:v>CF2500-52506847D9BE</x:v>
      </x:c>
      <x:c r="AK832" s="3" t="str">
        <x:v>real_estate_operator</x:v>
      </x:c>
      <x:c r="AL832" s="19" t="n">
        <x:v>100000</x:v>
      </x:c>
      <x:c r="AM832" s="19" t="n">
        <x:v>500000</x:v>
      </x:c>
      <x:c r="AN832" s="3" t="str">
        <x:v>https://www.cashhomebuyersdirectory.com/cash-home-buyers/tennessee/murfreesboro</x:v>
      </x:c>
      <x:c r="AO832" s="3" t="str">
        <x:v>national_rest_directory_complete.jsonl</x:v>
      </x:c>
      <x:c r="AP832" s="19"/>
    </x:row>
    <x:row r="833" ht="36" customHeight="1">
      <x:c r="A833" s="23" t="n">
        <x:v>832</x:v>
      </x:c>
      <x:c r="B833" s="15" t="str">
        <x:v>Rising Home Buyers</x:v>
      </x:c>
      <x:c r="C833" s="15"/>
      <x:c r="D833" s="15" t="str">
        <x:v>Property investor / home-buying operator</x:v>
      </x:c>
      <x:c r="E833" s="15" t="str">
        <x:v>Property investor / operator inquiry</x:v>
      </x:c>
      <x:c r="F833" s="17" t="str">
        <x:v>New</x:v>
      </x:c>
      <x:c r="G833" s="24"/>
      <x:c r="H833" s="24" t="str">
        <x:v>+14173851466</x:v>
      </x:c>
      <x:c r="I833" s="24"/>
      <x:c r="J833" s="16" t="str">
        <x:v>MO</x:v>
      </x:c>
      <x:c r="K833" s="16"/>
      <x:c r="L833" s="16" t="str">
        <x:v>Public property-business route; investor decision maker unconfirmed</x:v>
      </x:c>
      <x:c r="M833" s="16"/>
      <x:c r="N833" s="16" t="str">
        <x:v>$100K-$500K ticket not published / unconfirmed</x:v>
      </x:c>
      <x:c r="O833" s="20"/>
      <x:c r="P833" s="20"/>
      <x:c r="Q833" s="25" t="str">
        <x:v>No direct corporate-capital range established in checked source</x:v>
      </x:c>
      <x:c r="R833" s="25" t="str">
        <x:v>Property acquisition or investor activity makes this an operator-capital prospect for the signed trial. Confirm operating-company debt/equity appetite.</x:v>
      </x:c>
      <x:c r="S833" s="25"/>
      <x:c r="T833" s="25" t="str">
        <x:v>Ask the owner/investor whether they can allocate $100K-$500K to trial marketing and acquisitions, and confirm structure, timing and decision authority.</x:v>
      </x:c>
      <x:c r="U833" s="25" t="str">
        <x:v>https://www.cashhomebuyersdirectory.com/cash-home-buyers/missouri/joplin</x:v>
      </x:c>
      <x:c r="V833" s="26" t="d">
        <x:v>2026-10-02T00:00:00.000Z</x:v>
      </x:c>
      <x:c r="W833" s="26" t="d">
        <x:v>2026-10-02T00:00:00.000Z</x:v>
      </x:c>
      <x:c r="X833" s="25" t="str">
        <x:v>CashHomeBuyersDirectory third-party business listing; first-party business activity not checked in this batch</x:v>
      </x:c>
      <x:c r="Y833" s="25"/>
      <x:c r="Z833" s="25" t="str">
        <x:v>https://www.cashhomebuyersdirectory.com/cash-home-buyers/missouri/joplin</x:v>
      </x:c>
      <x:c r="AA833" s="25" t="str">
        <x:v>Public cash-home-buyer directory lists the business name, business phone/website where available and market. Operator role and corporate funding willingness require confirmation.</x:v>
      </x:c>
      <x:c r="AB833" s="3" t="str">
        <x:v>New public-source collection</x:v>
      </x:c>
      <x:c r="AC833" s="3" t="str">
        <x:v>unverified</x:v>
      </x:c>
      <x:c r="AD833" s="3" t="str">
        <x:v>Not contacted / unconfirmed</x:v>
      </x:c>
      <x:c r="AE833" s="3" t="str">
        <x:v>No</x:v>
      </x:c>
      <x:c r="AF833" s="3" t="str">
        <x:v>No</x:v>
      </x:c>
      <x:c r="AG833" s="3"/>
      <x:c r="AH833" s="3"/>
      <x:c r="AI833" s="18"/>
      <x:c r="AJ833" s="3" t="str">
        <x:v>CF2500-3B3FBE9DFF80</x:v>
      </x:c>
      <x:c r="AK833" s="3" t="str">
        <x:v>real_estate_operator</x:v>
      </x:c>
      <x:c r="AL833" s="19" t="n">
        <x:v>100000</x:v>
      </x:c>
      <x:c r="AM833" s="19" t="n">
        <x:v>500000</x:v>
      </x:c>
      <x:c r="AN833" s="3" t="str">
        <x:v>https://www.cashhomebuyersdirectory.com/cash-home-buyers/missouri/joplin</x:v>
      </x:c>
      <x:c r="AO833" s="3" t="str">
        <x:v>national_rest_directory_complete.jsonl</x:v>
      </x:c>
      <x:c r="AP833" s="19"/>
    </x:row>
    <x:row r="834" ht="36" customHeight="1">
      <x:c r="A834" s="23" t="n">
        <x:v>833</x:v>
      </x:c>
      <x:c r="B834" s="15" t="str">
        <x:v>SAVANNAH CASH HOMES, LLC</x:v>
      </x:c>
      <x:c r="C834" s="15"/>
      <x:c r="D834" s="15" t="str">
        <x:v>Property investor / home-buying operator</x:v>
      </x:c>
      <x:c r="E834" s="15" t="str">
        <x:v>Property investor / operator inquiry</x:v>
      </x:c>
      <x:c r="F834" s="17" t="str">
        <x:v>New</x:v>
      </x:c>
      <x:c r="G834" s="24"/>
      <x:c r="H834" s="24" t="str">
        <x:v>+19123125749</x:v>
      </x:c>
      <x:c r="I834" s="24"/>
      <x:c r="J834" s="16" t="str">
        <x:v>GA</x:v>
      </x:c>
      <x:c r="K834" s="16" t="str">
        <x:v>Savannah</x:v>
      </x:c>
      <x:c r="L834" s="16" t="str">
        <x:v>Public property-business route; investor decision maker unconfirmed</x:v>
      </x:c>
      <x:c r="M834" s="16"/>
      <x:c r="N834" s="16" t="str">
        <x:v>$100K-$500K ticket not published / unconfirmed</x:v>
      </x:c>
      <x:c r="O834" s="20"/>
      <x:c r="P834" s="20"/>
      <x:c r="Q834" s="25" t="str">
        <x:v>No direct corporate-capital range established in checked source</x:v>
      </x:c>
      <x:c r="R834" s="25" t="str">
        <x:v>Property acquisition or investor activity makes this an operator-capital prospect for the signed trial. Confirm operating-company debt/equity appetite.</x:v>
      </x:c>
      <x:c r="S834" s="25"/>
      <x:c r="T834" s="25" t="str">
        <x:v>Ask the owner/investor whether they can allocate $100K-$500K to trial marketing and acquisitions, and confirm structure, timing and decision authority.</x:v>
      </x:c>
      <x:c r="U834" s="25" t="str">
        <x:v>https://www.cashhomebuyersdirectory.com/cash-home-buyers/georgia/savannah</x:v>
      </x:c>
      <x:c r="V834" s="26" t="d">
        <x:v>2026-10-02T00:00:00.000Z</x:v>
      </x:c>
      <x:c r="W834" s="26" t="d">
        <x:v>2026-10-02T00:00:00.000Z</x:v>
      </x:c>
      <x:c r="X834" s="25" t="str">
        <x:v>CashHomeBuyersDirectory third-party business listing; first-party business activity not checked in this batch</x:v>
      </x:c>
      <x:c r="Y834" s="25"/>
      <x:c r="Z834" s="25" t="str">
        <x:v>https://www.cashhomebuyersdirectory.com/cash-home-buyers/georgia/savannah</x:v>
      </x:c>
      <x:c r="AA834" s="25" t="str">
        <x:v>Public cash-home-buyer directory lists the business name, business phone/website where available and market. Operator role and corporate funding willingness require confirmation.</x:v>
      </x:c>
      <x:c r="AB834" s="3" t="str">
        <x:v>New public-source collection</x:v>
      </x:c>
      <x:c r="AC834" s="3" t="str">
        <x:v>unverified</x:v>
      </x:c>
      <x:c r="AD834" s="3" t="str">
        <x:v>Not contacted / unconfirmed</x:v>
      </x:c>
      <x:c r="AE834" s="3" t="str">
        <x:v>No</x:v>
      </x:c>
      <x:c r="AF834" s="3" t="str">
        <x:v>No</x:v>
      </x:c>
      <x:c r="AG834" s="3"/>
      <x:c r="AH834" s="3"/>
      <x:c r="AI834" s="18"/>
      <x:c r="AJ834" s="3" t="str">
        <x:v>CF2500-14FD26A2746F</x:v>
      </x:c>
      <x:c r="AK834" s="3" t="str">
        <x:v>real_estate_operator</x:v>
      </x:c>
      <x:c r="AL834" s="19" t="n">
        <x:v>100000</x:v>
      </x:c>
      <x:c r="AM834" s="19" t="n">
        <x:v>500000</x:v>
      </x:c>
      <x:c r="AN834" s="3" t="str">
        <x:v>https://www.cashhomebuyersdirectory.com/cash-home-buyers/georgia/savannah</x:v>
      </x:c>
      <x:c r="AO834" s="3" t="str">
        <x:v>national_rest_directory_complete.jsonl</x:v>
      </x:c>
      <x:c r="AP834" s="19"/>
    </x:row>
    <x:row r="835" ht="36" customHeight="1">
      <x:c r="A835" s="23" t="n">
        <x:v>834</x:v>
      </x:c>
      <x:c r="B835" s="15" t="str">
        <x:v>Savannah Home Buyers</x:v>
      </x:c>
      <x:c r="C835" s="15"/>
      <x:c r="D835" s="15" t="str">
        <x:v>Property investor / home-buying operator</x:v>
      </x:c>
      <x:c r="E835" s="15" t="str">
        <x:v>Property investor / operator inquiry</x:v>
      </x:c>
      <x:c r="F835" s="17" t="str">
        <x:v>New</x:v>
      </x:c>
      <x:c r="G835" s="24"/>
      <x:c r="H835" s="24" t="str">
        <x:v>+18435923016</x:v>
      </x:c>
      <x:c r="I835" s="24"/>
      <x:c r="J835" s="16" t="str">
        <x:v>GA</x:v>
      </x:c>
      <x:c r="K835" s="16"/>
      <x:c r="L835" s="16" t="str">
        <x:v>Public property-business route; investor decision maker unconfirmed</x:v>
      </x:c>
      <x:c r="M835" s="16"/>
      <x:c r="N835" s="16" t="str">
        <x:v>$100K-$500K ticket not published / unconfirmed</x:v>
      </x:c>
      <x:c r="O835" s="20"/>
      <x:c r="P835" s="20"/>
      <x:c r="Q835" s="25" t="str">
        <x:v>No direct corporate-capital range established in checked source</x:v>
      </x:c>
      <x:c r="R835" s="25" t="str">
        <x:v>Property acquisition or investor activity makes this an operator-capital prospect for the signed trial. Confirm operating-company debt/equity appetite.</x:v>
      </x:c>
      <x:c r="S835" s="25"/>
      <x:c r="T835" s="25" t="str">
        <x:v>Ask the owner/investor whether they can allocate $100K-$500K to trial marketing and acquisitions, and confirm structure, timing and decision authority.</x:v>
      </x:c>
      <x:c r="U835" s="25" t="str">
        <x:v>https://www.cashhomebuyersdirectory.com/cash-home-buyers/georgia/savannah</x:v>
      </x:c>
      <x:c r="V835" s="26" t="d">
        <x:v>2026-10-02T00:00:00.000Z</x:v>
      </x:c>
      <x:c r="W835" s="26" t="d">
        <x:v>2026-10-02T00:00:00.000Z</x:v>
      </x:c>
      <x:c r="X835" s="25" t="str">
        <x:v>CashHomeBuyersDirectory third-party business listing; first-party business activity not checked in this batch</x:v>
      </x:c>
      <x:c r="Y835" s="25"/>
      <x:c r="Z835" s="25" t="str">
        <x:v>https://www.cashhomebuyersdirectory.com/cash-home-buyers/georgia/savannah</x:v>
      </x:c>
      <x:c r="AA835" s="25" t="str">
        <x:v>Public cash-home-buyer directory lists the business name, business phone/website where available and market. Operator role and corporate funding willingness require confirmation.</x:v>
      </x:c>
      <x:c r="AB835" s="3" t="str">
        <x:v>New public-source collection</x:v>
      </x:c>
      <x:c r="AC835" s="3" t="str">
        <x:v>unverified</x:v>
      </x:c>
      <x:c r="AD835" s="3" t="str">
        <x:v>Not contacted / unconfirmed</x:v>
      </x:c>
      <x:c r="AE835" s="3" t="str">
        <x:v>No</x:v>
      </x:c>
      <x:c r="AF835" s="3" t="str">
        <x:v>No</x:v>
      </x:c>
      <x:c r="AG835" s="3"/>
      <x:c r="AH835" s="3"/>
      <x:c r="AI835" s="18"/>
      <x:c r="AJ835" s="3" t="str">
        <x:v>CF2500-C931C4786202</x:v>
      </x:c>
      <x:c r="AK835" s="3" t="str">
        <x:v>real_estate_operator</x:v>
      </x:c>
      <x:c r="AL835" s="19" t="n">
        <x:v>100000</x:v>
      </x:c>
      <x:c r="AM835" s="19" t="n">
        <x:v>500000</x:v>
      </x:c>
      <x:c r="AN835" s="3" t="str">
        <x:v>https://www.cashhomebuyersdirectory.com/cash-home-buyers/georgia/savannah</x:v>
      </x:c>
      <x:c r="AO835" s="3" t="str">
        <x:v>national_rest_directory_complete.jsonl</x:v>
      </x:c>
      <x:c r="AP835" s="19"/>
    </x:row>
    <x:row r="836" ht="36" customHeight="1">
      <x:c r="A836" s="23" t="n">
        <x:v>835</x:v>
      </x:c>
      <x:c r="B836" s="15" t="str">
        <x:v>Saving Grace Home Buyers LLC</x:v>
      </x:c>
      <x:c r="C836" s="15"/>
      <x:c r="D836" s="15" t="str">
        <x:v>Property investor / home-buying operator</x:v>
      </x:c>
      <x:c r="E836" s="15" t="str">
        <x:v>Property investor / operator inquiry</x:v>
      </x:c>
      <x:c r="F836" s="17" t="str">
        <x:v>New</x:v>
      </x:c>
      <x:c r="G836" s="24"/>
      <x:c r="H836" s="24" t="str">
        <x:v>+18436080555</x:v>
      </x:c>
      <x:c r="I836" s="24"/>
      <x:c r="J836" s="16" t="str">
        <x:v>SC</x:v>
      </x:c>
      <x:c r="K836" s="16"/>
      <x:c r="L836" s="16" t="str">
        <x:v>Public property-business route; investor decision maker unconfirmed</x:v>
      </x:c>
      <x:c r="M836" s="16"/>
      <x:c r="N836" s="16" t="str">
        <x:v>$100K-$500K ticket not published / unconfirmed</x:v>
      </x:c>
      <x:c r="O836" s="20"/>
      <x:c r="P836" s="20"/>
      <x:c r="Q836" s="25" t="str">
        <x:v>No direct corporate-capital range established in checked source</x:v>
      </x:c>
      <x:c r="R836" s="25" t="str">
        <x:v>Property acquisition or investor activity makes this an operator-capital prospect for the signed trial. Confirm operating-company debt/equity appetite.</x:v>
      </x:c>
      <x:c r="S836" s="25"/>
      <x:c r="T836" s="25" t="str">
        <x:v>Ask the owner/investor whether they can allocate $100K-$500K to trial marketing and acquisitions, and confirm structure, timing and decision authority.</x:v>
      </x:c>
      <x:c r="U836" s="25" t="str">
        <x:v>https://www.cashhomebuyersdirectory.com/cash-home-buyers/south-carolina/charleston</x:v>
      </x:c>
      <x:c r="V836" s="26" t="d">
        <x:v>2026-10-02T00:00:00.000Z</x:v>
      </x:c>
      <x:c r="W836" s="26" t="d">
        <x:v>2026-10-02T00:00:00.000Z</x:v>
      </x:c>
      <x:c r="X836" s="25" t="str">
        <x:v>CashHomeBuyersDirectory third-party business listing; first-party business activity not checked in this batch</x:v>
      </x:c>
      <x:c r="Y836" s="25"/>
      <x:c r="Z836" s="25" t="str">
        <x:v>https://www.cashhomebuyersdirectory.com/cash-home-buyers/south-carolina/charleston</x:v>
      </x:c>
      <x:c r="AA836" s="25" t="str">
        <x:v>Public cash-home-buyer directory lists the business name, business phone/website where available and market. Operator role and corporate funding willingness require confirmation.</x:v>
      </x:c>
      <x:c r="AB836" s="3" t="str">
        <x:v>New public-source collection</x:v>
      </x:c>
      <x:c r="AC836" s="3" t="str">
        <x:v>unverified</x:v>
      </x:c>
      <x:c r="AD836" s="3" t="str">
        <x:v>Not contacted / unconfirmed</x:v>
      </x:c>
      <x:c r="AE836" s="3" t="str">
        <x:v>No</x:v>
      </x:c>
      <x:c r="AF836" s="3" t="str">
        <x:v>No</x:v>
      </x:c>
      <x:c r="AG836" s="3"/>
      <x:c r="AH836" s="3"/>
      <x:c r="AI836" s="18"/>
      <x:c r="AJ836" s="3" t="str">
        <x:v>CF2500-A78D83AAE192</x:v>
      </x:c>
      <x:c r="AK836" s="3" t="str">
        <x:v>real_estate_operator</x:v>
      </x:c>
      <x:c r="AL836" s="19" t="n">
        <x:v>100000</x:v>
      </x:c>
      <x:c r="AM836" s="19" t="n">
        <x:v>500000</x:v>
      </x:c>
      <x:c r="AN836" s="3" t="str">
        <x:v>https://www.cashhomebuyersdirectory.com/cash-home-buyers/south-carolina/charleston</x:v>
      </x:c>
      <x:c r="AO836" s="3" t="str">
        <x:v>national_rest_directory_complete.jsonl</x:v>
      </x:c>
      <x:c r="AP836" s="19"/>
    </x:row>
    <x:row r="837" ht="36" customHeight="1">
      <x:c r="A837" s="23" t="n">
        <x:v>836</x:v>
      </x:c>
      <x:c r="B837" s="15" t="str">
        <x:v>Sell My House Company</x:v>
      </x:c>
      <x:c r="C837" s="15"/>
      <x:c r="D837" s="15" t="str">
        <x:v>Property investor / home-buying operator</x:v>
      </x:c>
      <x:c r="E837" s="15" t="str">
        <x:v>Property investor / operator inquiry</x:v>
      </x:c>
      <x:c r="F837" s="17" t="str">
        <x:v>New</x:v>
      </x:c>
      <x:c r="G837" s="24"/>
      <x:c r="H837" s="24" t="str">
        <x:v>+13179343663</x:v>
      </x:c>
      <x:c r="I837" s="24"/>
      <x:c r="J837" s="16" t="str">
        <x:v>IN</x:v>
      </x:c>
      <x:c r="K837" s="16" t="str">
        <x:v>Indianapolis</x:v>
      </x:c>
      <x:c r="L837" s="16" t="str">
        <x:v>Public property-business route; investor decision maker unconfirmed</x:v>
      </x:c>
      <x:c r="M837" s="16"/>
      <x:c r="N837" s="16" t="str">
        <x:v>$100K-$500K ticket not published / unconfirmed</x:v>
      </x:c>
      <x:c r="O837" s="20"/>
      <x:c r="P837" s="20"/>
      <x:c r="Q837" s="25" t="str">
        <x:v>No direct corporate-capital range established in checked source</x:v>
      </x:c>
      <x:c r="R837" s="25" t="str">
        <x:v>Property acquisition or investor activity makes this an operator-capital prospect for the signed trial. Confirm operating-company debt/equity appetite.</x:v>
      </x:c>
      <x:c r="S837" s="25"/>
      <x:c r="T837" s="25" t="str">
        <x:v>Ask the owner/investor whether they can allocate $100K-$500K to trial marketing and acquisitions, and confirm structure, timing and decision authority.</x:v>
      </x:c>
      <x:c r="U837" s="25" t="str">
        <x:v>https://www.cashhomebuyersdirectory.com/cash-home-buyers/indiana/indianapolis</x:v>
      </x:c>
      <x:c r="V837" s="26" t="d">
        <x:v>2026-10-02T00:00:00.000Z</x:v>
      </x:c>
      <x:c r="W837" s="26" t="d">
        <x:v>2026-10-02T00:00:00.000Z</x:v>
      </x:c>
      <x:c r="X837" s="25" t="str">
        <x:v>CashHomeBuyersDirectory third-party business listing; first-party business activity not checked in this batch</x:v>
      </x:c>
      <x:c r="Y837" s="25"/>
      <x:c r="Z837" s="25" t="str">
        <x:v>https://www.cashhomebuyersdirectory.com/cash-home-buyers/indiana/indianapolis</x:v>
      </x:c>
      <x:c r="AA837" s="25" t="str">
        <x:v>Public cash-home-buyer directory lists the business name, business phone/website where available and market. Operator role and corporate funding willingness require confirmation.</x:v>
      </x:c>
      <x:c r="AB837" s="3" t="str">
        <x:v>New public-source collection</x:v>
      </x:c>
      <x:c r="AC837" s="3" t="str">
        <x:v>unverified</x:v>
      </x:c>
      <x:c r="AD837" s="3" t="str">
        <x:v>Not contacted / unconfirmed</x:v>
      </x:c>
      <x:c r="AE837" s="3" t="str">
        <x:v>No</x:v>
      </x:c>
      <x:c r="AF837" s="3" t="str">
        <x:v>No</x:v>
      </x:c>
      <x:c r="AG837" s="3"/>
      <x:c r="AH837" s="3"/>
      <x:c r="AI837" s="18"/>
      <x:c r="AJ837" s="3" t="str">
        <x:v>CF2500-4AEC0076866D</x:v>
      </x:c>
      <x:c r="AK837" s="3" t="str">
        <x:v>real_estate_operator</x:v>
      </x:c>
      <x:c r="AL837" s="19" t="n">
        <x:v>100000</x:v>
      </x:c>
      <x:c r="AM837" s="19" t="n">
        <x:v>500000</x:v>
      </x:c>
      <x:c r="AN837" s="3" t="str">
        <x:v>https://www.cashhomebuyersdirectory.com/cash-home-buyers/indiana/indianapolis</x:v>
      </x:c>
      <x:c r="AO837" s="3" t="str">
        <x:v>national_rest_directory_complete.jsonl</x:v>
      </x:c>
      <x:c r="AP837" s="19"/>
    </x:row>
    <x:row r="838" ht="36" customHeight="1">
      <x:c r="A838" s="23" t="n">
        <x:v>837</x:v>
      </x:c>
      <x:c r="B838" s="15" t="str">
        <x:v>Southern Home Buyers</x:v>
      </x:c>
      <x:c r="C838" s="15"/>
      <x:c r="D838" s="15" t="str">
        <x:v>Property investor / home-buying operator</x:v>
      </x:c>
      <x:c r="E838" s="15" t="str">
        <x:v>Property investor / operator inquiry</x:v>
      </x:c>
      <x:c r="F838" s="17" t="str">
        <x:v>New</x:v>
      </x:c>
      <x:c r="G838" s="24"/>
      <x:c r="H838" s="24" t="str">
        <x:v>+19019799640</x:v>
      </x:c>
      <x:c r="I838" s="24"/>
      <x:c r="J838" s="16" t="str">
        <x:v>TN</x:v>
      </x:c>
      <x:c r="K838" s="16" t="str">
        <x:v>Memphis</x:v>
      </x:c>
      <x:c r="L838" s="16" t="str">
        <x:v>Public property-business route; investor decision maker unconfirmed</x:v>
      </x:c>
      <x:c r="M838" s="16"/>
      <x:c r="N838" s="16" t="str">
        <x:v>$100K-$500K ticket not published / unconfirmed</x:v>
      </x:c>
      <x:c r="O838" s="20"/>
      <x:c r="P838" s="20"/>
      <x:c r="Q838" s="25" t="str">
        <x:v>No direct corporate-capital range established in checked source</x:v>
      </x:c>
      <x:c r="R838" s="25" t="str">
        <x:v>Property acquisition or investor activity makes this an operator-capital prospect for the signed trial. Confirm operating-company debt/equity appetite.</x:v>
      </x:c>
      <x:c r="S838" s="25"/>
      <x:c r="T838" s="25" t="str">
        <x:v>Ask the owner/investor whether they can allocate $100K-$500K to trial marketing and acquisitions, and confirm structure, timing and decision authority.</x:v>
      </x:c>
      <x:c r="U838" s="25" t="str">
        <x:v>https://www.cashhomebuyersdirectory.com/cash-home-buyers/tennessee/memphis</x:v>
      </x:c>
      <x:c r="V838" s="26" t="d">
        <x:v>2026-10-02T00:00:00.000Z</x:v>
      </x:c>
      <x:c r="W838" s="26" t="d">
        <x:v>2026-10-02T00:00:00.000Z</x:v>
      </x:c>
      <x:c r="X838" s="25" t="str">
        <x:v>CashHomeBuyersDirectory third-party business listing; first-party business activity not checked in this batch</x:v>
      </x:c>
      <x:c r="Y838" s="25"/>
      <x:c r="Z838" s="25" t="str">
        <x:v>https://www.cashhomebuyersdirectory.com/cash-home-buyers/tennessee/memphis</x:v>
      </x:c>
      <x:c r="AA838" s="25" t="str">
        <x:v>Public cash-home-buyer directory lists the business name, business phone/website where available and market. Operator role and corporate funding willingness require confirmation.</x:v>
      </x:c>
      <x:c r="AB838" s="3" t="str">
        <x:v>New public-source collection</x:v>
      </x:c>
      <x:c r="AC838" s="3" t="str">
        <x:v>unverified</x:v>
      </x:c>
      <x:c r="AD838" s="3" t="str">
        <x:v>Not contacted / unconfirmed</x:v>
      </x:c>
      <x:c r="AE838" s="3" t="str">
        <x:v>No</x:v>
      </x:c>
      <x:c r="AF838" s="3" t="str">
        <x:v>No</x:v>
      </x:c>
      <x:c r="AG838" s="3"/>
      <x:c r="AH838" s="3"/>
      <x:c r="AI838" s="18"/>
      <x:c r="AJ838" s="3" t="str">
        <x:v>CF2500-0289C6FFE24B</x:v>
      </x:c>
      <x:c r="AK838" s="3" t="str">
        <x:v>real_estate_operator</x:v>
      </x:c>
      <x:c r="AL838" s="19" t="n">
        <x:v>100000</x:v>
      </x:c>
      <x:c r="AM838" s="19" t="n">
        <x:v>500000</x:v>
      </x:c>
      <x:c r="AN838" s="3" t="str">
        <x:v>https://www.cashhomebuyersdirectory.com/cash-home-buyers/tennessee/memphis</x:v>
      </x:c>
      <x:c r="AO838" s="3" t="str">
        <x:v>national_rest_directory_complete.jsonl</x:v>
      </x:c>
      <x:c r="AP838" s="19"/>
    </x:row>
    <x:row r="839" ht="36" customHeight="1">
      <x:c r="A839" s="23" t="n">
        <x:v>838</x:v>
      </x:c>
      <x:c r="B839" s="15" t="str">
        <x:v>Sweet Home Property Buyers</x:v>
      </x:c>
      <x:c r="C839" s="15"/>
      <x:c r="D839" s="15" t="str">
        <x:v>Property investor / home-buying operator</x:v>
      </x:c>
      <x:c r="E839" s="15" t="str">
        <x:v>Property investor / operator inquiry</x:v>
      </x:c>
      <x:c r="F839" s="17" t="str">
        <x:v>New</x:v>
      </x:c>
      <x:c r="G839" s="24"/>
      <x:c r="H839" s="24" t="str">
        <x:v>+12562421272</x:v>
      </x:c>
      <x:c r="I839" s="24"/>
      <x:c r="J839" s="16" t="str">
        <x:v>AL</x:v>
      </x:c>
      <x:c r="K839" s="16" t="str">
        <x:v>Huntsville</x:v>
      </x:c>
      <x:c r="L839" s="16" t="str">
        <x:v>Public property-business route; investor decision maker unconfirmed</x:v>
      </x:c>
      <x:c r="M839" s="16"/>
      <x:c r="N839" s="16" t="str">
        <x:v>$100K-$500K ticket not published / unconfirmed</x:v>
      </x:c>
      <x:c r="O839" s="20"/>
      <x:c r="P839" s="20"/>
      <x:c r="Q839" s="25" t="str">
        <x:v>No direct corporate-capital range established in checked source</x:v>
      </x:c>
      <x:c r="R839" s="25" t="str">
        <x:v>Property acquisition or investor activity makes this an operator-capital prospect for the signed trial. Confirm operating-company debt/equity appetite.</x:v>
      </x:c>
      <x:c r="S839" s="25"/>
      <x:c r="T839" s="25" t="str">
        <x:v>Ask the owner/investor whether they can allocate $100K-$500K to trial marketing and acquisitions, and confirm structure, timing and decision authority.</x:v>
      </x:c>
      <x:c r="U839" s="25" t="str">
        <x:v>https://www.cashhomebuyersdirectory.com/cash-home-buyers/alabama/huntsville</x:v>
      </x:c>
      <x:c r="V839" s="26" t="d">
        <x:v>2026-10-02T00:00:00.000Z</x:v>
      </x:c>
      <x:c r="W839" s="26" t="d">
        <x:v>2026-10-02T00:00:00.000Z</x:v>
      </x:c>
      <x:c r="X839" s="25" t="str">
        <x:v>CashHomeBuyersDirectory third-party business listing; first-party business activity not checked in this batch</x:v>
      </x:c>
      <x:c r="Y839" s="25"/>
      <x:c r="Z839" s="25" t="str">
        <x:v>https://www.cashhomebuyersdirectory.com/cash-home-buyers/alabama/huntsville</x:v>
      </x:c>
      <x:c r="AA839" s="25" t="str">
        <x:v>Public cash-home-buyer directory lists the business name, business phone/website where available and market. Operator role and corporate funding willingness require confirmation.</x:v>
      </x:c>
      <x:c r="AB839" s="3" t="str">
        <x:v>New public-source collection</x:v>
      </x:c>
      <x:c r="AC839" s="3" t="str">
        <x:v>unverified</x:v>
      </x:c>
      <x:c r="AD839" s="3" t="str">
        <x:v>Not contacted / unconfirmed</x:v>
      </x:c>
      <x:c r="AE839" s="3" t="str">
        <x:v>No</x:v>
      </x:c>
      <x:c r="AF839" s="3" t="str">
        <x:v>No</x:v>
      </x:c>
      <x:c r="AG839" s="3"/>
      <x:c r="AH839" s="3"/>
      <x:c r="AI839" s="18"/>
      <x:c r="AJ839" s="3" t="str">
        <x:v>CF2500-B3A19601F87E</x:v>
      </x:c>
      <x:c r="AK839" s="3" t="str">
        <x:v>real_estate_operator</x:v>
      </x:c>
      <x:c r="AL839" s="19" t="n">
        <x:v>100000</x:v>
      </x:c>
      <x:c r="AM839" s="19" t="n">
        <x:v>500000</x:v>
      </x:c>
      <x:c r="AN839" s="3" t="str">
        <x:v>https://www.cashhomebuyersdirectory.com/cash-home-buyers/alabama/huntsville</x:v>
      </x:c>
      <x:c r="AO839" s="3" t="str">
        <x:v>national_rest_directory_complete.jsonl</x:v>
      </x:c>
      <x:c r="AP839" s="19"/>
    </x:row>
    <x:row r="840" ht="36" customHeight="1">
      <x:c r="A840" s="23" t="n">
        <x:v>839</x:v>
      </x:c>
      <x:c r="B840" s="15" t="str">
        <x:v>VanWest Homebuyers</x:v>
      </x:c>
      <x:c r="C840" s="15"/>
      <x:c r="D840" s="15" t="str">
        <x:v>Property investor / home-buying operator</x:v>
      </x:c>
      <x:c r="E840" s="15" t="str">
        <x:v>Property investor / operator inquiry</x:v>
      </x:c>
      <x:c r="F840" s="17" t="str">
        <x:v>New</x:v>
      </x:c>
      <x:c r="G840" s="24"/>
      <x:c r="H840" s="24" t="str">
        <x:v>+13036259837</x:v>
      </x:c>
      <x:c r="I840" s="24"/>
      <x:c r="J840" s="16" t="str">
        <x:v>CO</x:v>
      </x:c>
      <x:c r="K840" s="16" t="str">
        <x:v>Denver</x:v>
      </x:c>
      <x:c r="L840" s="16" t="str">
        <x:v>Public property-business route; investor decision maker unconfirmed</x:v>
      </x:c>
      <x:c r="M840" s="16"/>
      <x:c r="N840" s="16" t="str">
        <x:v>$100K-$500K ticket not published / unconfirmed</x:v>
      </x:c>
      <x:c r="O840" s="20"/>
      <x:c r="P840" s="20"/>
      <x:c r="Q840" s="25" t="str">
        <x:v>No $100K-$500K operating-company investment ticket verified</x:v>
      </x:c>
      <x:c r="R840" s="25" t="str">
        <x:v>Property acquisition or investor activity makes this an operator-capital prospect for the signed trial. Confirm operating-company debt/equity appetite.</x:v>
      </x:c>
      <x:c r="S840" s="25" t="str">
        <x:v>Public property-buying activity or a directory listing does not establish available cash, investing decision-maker, current $100K-$500K capacity, or willingness to fund 101XVC operating costs.</x:v>
      </x:c>
      <x:c r="T840" s="25" t="str">
        <x:v>Ask the owner/investor whether they can allocate $100K-$500K to trial marketing and acquisitions, and confirm structure, timing and decision authority.</x:v>
      </x:c>
      <x:c r="U840" s="25" t="str">
        <x:v>https://www.cashhomebuyersdirectory.com/cash-home-buyers/colorado/denver</x:v>
      </x:c>
      <x:c r="V840" s="26" t="d">
        <x:v>2026-10-02T00:00:00.000Z</x:v>
      </x:c>
      <x:c r="W840" s="26" t="d">
        <x:v>2026-10-02T00:00:00.000Z</x:v>
      </x:c>
      <x:c r="X840" s="25" t="str">
        <x:v>Public investor directory; business role and contact ownership require qualification</x:v>
      </x:c>
      <x:c r="Y840" s="25"/>
      <x:c r="Z840" s="25" t="str">
        <x:v>https://www.cashhomebuyersdirectory.com/cash-home-buyers/colorado/denver</x:v>
      </x:c>
      <x:c r="AA840" s="25" t="str">
        <x:v>Public cash-home-buyer directory lists business name, phone and market. Directory entry may include brokers or service providers.</x:v>
      </x:c>
      <x:c r="AB840" s="3" t="str">
        <x:v>New public-source collection</x:v>
      </x:c>
      <x:c r="AC840" s="3" t="str">
        <x:v>unverified</x:v>
      </x:c>
      <x:c r="AD840" s="3" t="str">
        <x:v>Not contacted / unconfirmed</x:v>
      </x:c>
      <x:c r="AE840" s="3" t="str">
        <x:v>No</x:v>
      </x:c>
      <x:c r="AF840" s="3" t="str">
        <x:v>No</x:v>
      </x:c>
      <x:c r="AG840" s="3"/>
      <x:c r="AH840" s="3"/>
      <x:c r="AI840" s="18"/>
      <x:c r="AJ840" s="3" t="str">
        <x:v>CF2500-C254D55ADF01</x:v>
      </x:c>
      <x:c r="AK840" s="3" t="str">
        <x:v>Property investor / home-buying operator prospect</x:v>
      </x:c>
      <x:c r="AL840" s="19" t="n">
        <x:v>100000</x:v>
      </x:c>
      <x:c r="AM840" s="19" t="n">
        <x:v>500000</x:v>
      </x:c>
      <x:c r="AN840" s="3" t="str">
        <x:v>https://www.cashhomebuyersdirectory.com/cash-home-buyers/colorado/denver</x:v>
      </x:c>
      <x:c r="AO840" s="3" t="str">
        <x:v>nc_il_az_co_investors.jsonl</x:v>
      </x:c>
      <x:c r="AP840" s="19"/>
    </x:row>
    <x:row r="841" ht="36" customHeight="1">
      <x:c r="A841" s="23" t="n">
        <x:v>840</x:v>
      </x:c>
      <x:c r="B841" s="15" t="str">
        <x:v>VonDerau Team , Realtors - Open Door Real Estate - Sell house, Buy house, Home worth, Home value, Find homes, Cash Offer</x:v>
      </x:c>
      <x:c r="C841" s="15"/>
      <x:c r="D841" s="15" t="str">
        <x:v>Property investor / home-buying operator</x:v>
      </x:c>
      <x:c r="E841" s="15" t="str">
        <x:v>Property investor / operator inquiry</x:v>
      </x:c>
      <x:c r="F841" s="17" t="str">
        <x:v>New</x:v>
      </x:c>
      <x:c r="G841" s="24"/>
      <x:c r="H841" s="24" t="str">
        <x:v>+12602261970</x:v>
      </x:c>
      <x:c r="I841" s="24"/>
      <x:c r="J841" s="16" t="str">
        <x:v>IN</x:v>
      </x:c>
      <x:c r="K841" s="16" t="str">
        <x:v>Auburn</x:v>
      </x:c>
      <x:c r="L841" s="16" t="str">
        <x:v>Public property-business route; investor decision maker unconfirmed</x:v>
      </x:c>
      <x:c r="M841" s="16"/>
      <x:c r="N841" s="16" t="str">
        <x:v>$100K-$500K ticket not published / unconfirmed</x:v>
      </x:c>
      <x:c r="O841" s="20"/>
      <x:c r="P841" s="20"/>
      <x:c r="Q841" s="25" t="str">
        <x:v>No direct corporate-capital range established in checked source</x:v>
      </x:c>
      <x:c r="R841" s="25" t="str">
        <x:v>Property acquisition or investor activity makes this an operator-capital prospect for the signed trial. Confirm operating-company debt/equity appetite.</x:v>
      </x:c>
      <x:c r="S841" s="25"/>
      <x:c r="T841" s="25" t="str">
        <x:v>Ask the owner/investor whether they can allocate $100K-$500K to trial marketing and acquisitions, and confirm structure, timing and decision authority.</x:v>
      </x:c>
      <x:c r="U841" s="25" t="str">
        <x:v>https://www.cashhomebuyersdirectory.com/cash-home-buyers/indiana/auburn</x:v>
      </x:c>
      <x:c r="V841" s="26" t="d">
        <x:v>2026-10-02T00:00:00.000Z</x:v>
      </x:c>
      <x:c r="W841" s="26" t="d">
        <x:v>2026-10-02T00:00:00.000Z</x:v>
      </x:c>
      <x:c r="X841" s="25" t="str">
        <x:v>CashHomeBuyersDirectory third-party business listing; first-party business activity not checked in this batch</x:v>
      </x:c>
      <x:c r="Y841" s="25"/>
      <x:c r="Z841" s="25" t="str">
        <x:v>https://www.cashhomebuyersdirectory.com/cash-home-buyers/indiana/auburn</x:v>
      </x:c>
      <x:c r="AA841" s="25" t="str">
        <x:v>Public cash-home-buyer directory lists the business name, business phone/website where available and market. Operator role and corporate funding willingness require confirmation.</x:v>
      </x:c>
      <x:c r="AB841" s="3" t="str">
        <x:v>New public-source collection</x:v>
      </x:c>
      <x:c r="AC841" s="3" t="str">
        <x:v>unverified</x:v>
      </x:c>
      <x:c r="AD841" s="3" t="str">
        <x:v>Not contacted / unconfirmed</x:v>
      </x:c>
      <x:c r="AE841" s="3" t="str">
        <x:v>No</x:v>
      </x:c>
      <x:c r="AF841" s="3" t="str">
        <x:v>No</x:v>
      </x:c>
      <x:c r="AG841" s="3"/>
      <x:c r="AH841" s="3"/>
      <x:c r="AI841" s="18"/>
      <x:c r="AJ841" s="3" t="str">
        <x:v>CF2500-F78E17BC9E4E</x:v>
      </x:c>
      <x:c r="AK841" s="3" t="str">
        <x:v>real_estate_operator</x:v>
      </x:c>
      <x:c r="AL841" s="19" t="n">
        <x:v>100000</x:v>
      </x:c>
      <x:c r="AM841" s="19" t="n">
        <x:v>500000</x:v>
      </x:c>
      <x:c r="AN841" s="3" t="str">
        <x:v>https://www.cashhomebuyersdirectory.com/cash-home-buyers/indiana/auburn</x:v>
      </x:c>
      <x:c r="AO841" s="3" t="str">
        <x:v>national_rest_directory_complete.jsonl</x:v>
      </x:c>
      <x:c r="AP841" s="19"/>
    </x:row>
    <x:row r="842" ht="36" customHeight="1">
      <x:c r="A842" s="23" t="n">
        <x:v>841</x:v>
      </x:c>
      <x:c r="B842" s="15" t="str">
        <x:v>We Buy Houses In Wichita</x:v>
      </x:c>
      <x:c r="C842" s="15"/>
      <x:c r="D842" s="15" t="str">
        <x:v>Property investor / home-buying operator</x:v>
      </x:c>
      <x:c r="E842" s="15" t="str">
        <x:v>Property investor / operator inquiry</x:v>
      </x:c>
      <x:c r="F842" s="17" t="str">
        <x:v>New</x:v>
      </x:c>
      <x:c r="G842" s="24"/>
      <x:c r="H842" s="24" t="str">
        <x:v>+16204621192</x:v>
      </x:c>
      <x:c r="I842" s="24"/>
      <x:c r="J842" s="16" t="str">
        <x:v>KS</x:v>
      </x:c>
      <x:c r="K842" s="16" t="str">
        <x:v>Wichita</x:v>
      </x:c>
      <x:c r="L842" s="16" t="str">
        <x:v>Public property-business route; investor decision maker unconfirmed</x:v>
      </x:c>
      <x:c r="M842" s="16"/>
      <x:c r="N842" s="16" t="str">
        <x:v>$100K-$500K ticket not published / unconfirmed</x:v>
      </x:c>
      <x:c r="O842" s="20"/>
      <x:c r="P842" s="20"/>
      <x:c r="Q842" s="25" t="str">
        <x:v>No direct corporate-capital range established in checked source</x:v>
      </x:c>
      <x:c r="R842" s="25" t="str">
        <x:v>Property acquisition or investor activity makes this an operator-capital prospect for the signed trial. Confirm operating-company debt/equity appetite.</x:v>
      </x:c>
      <x:c r="S842" s="25"/>
      <x:c r="T842" s="25" t="str">
        <x:v>Ask the owner/investor whether they can allocate $100K-$500K to trial marketing and acquisitions, and confirm structure, timing and decision authority.</x:v>
      </x:c>
      <x:c r="U842" s="25" t="str">
        <x:v>https://www.cashhomebuyersdirectory.com/cash-home-buyers/kansas/wichita</x:v>
      </x:c>
      <x:c r="V842" s="26" t="d">
        <x:v>2026-10-02T00:00:00.000Z</x:v>
      </x:c>
      <x:c r="W842" s="26" t="d">
        <x:v>2026-10-02T00:00:00.000Z</x:v>
      </x:c>
      <x:c r="X842" s="25" t="str">
        <x:v>CashHomeBuyersDirectory third-party business listing; first-party business activity not checked in this batch</x:v>
      </x:c>
      <x:c r="Y842" s="25"/>
      <x:c r="Z842" s="25" t="str">
        <x:v>https://www.cashhomebuyersdirectory.com/cash-home-buyers/kansas/wichita</x:v>
      </x:c>
      <x:c r="AA842" s="25" t="str">
        <x:v>Public cash-home-buyer directory lists the business name, business phone/website where available and market. Operator role and corporate funding willingness require confirmation.</x:v>
      </x:c>
      <x:c r="AB842" s="3" t="str">
        <x:v>New public-source collection</x:v>
      </x:c>
      <x:c r="AC842" s="3" t="str">
        <x:v>unverified</x:v>
      </x:c>
      <x:c r="AD842" s="3" t="str">
        <x:v>Not contacted / unconfirmed</x:v>
      </x:c>
      <x:c r="AE842" s="3" t="str">
        <x:v>No</x:v>
      </x:c>
      <x:c r="AF842" s="3" t="str">
        <x:v>No</x:v>
      </x:c>
      <x:c r="AG842" s="3"/>
      <x:c r="AH842" s="3"/>
      <x:c r="AI842" s="18"/>
      <x:c r="AJ842" s="3" t="str">
        <x:v>CF2500-A012A8FA126D</x:v>
      </x:c>
      <x:c r="AK842" s="3" t="str">
        <x:v>real_estate_operator</x:v>
      </x:c>
      <x:c r="AL842" s="19" t="n">
        <x:v>100000</x:v>
      </x:c>
      <x:c r="AM842" s="19" t="n">
        <x:v>500000</x:v>
      </x:c>
      <x:c r="AN842" s="3" t="str">
        <x:v>https://www.cashhomebuyersdirectory.com/cash-home-buyers/kansas/wichita</x:v>
      </x:c>
      <x:c r="AO842" s="3" t="str">
        <x:v>national_rest_directory_complete.jsonl</x:v>
      </x:c>
      <x:c r="AP842" s="19"/>
    </x:row>
    <x:row r="843" ht="36" customHeight="1">
      <x:c r="A843" s="23" t="n">
        <x:v>842</x:v>
      </x:c>
      <x:c r="B843" s="15" t="str">
        <x:v>Convenient Home Buyers</x:v>
      </x:c>
      <x:c r="C843" s="15"/>
      <x:c r="D843" s="15" t="str">
        <x:v>Property investor / home-buying operator</x:v>
      </x:c>
      <x:c r="E843" s="15" t="str">
        <x:v>Property investor / operator inquiry</x:v>
      </x:c>
      <x:c r="F843" s="17" t="str">
        <x:v>New</x:v>
      </x:c>
      <x:c r="G843" s="24"/>
      <x:c r="H843" s="24"/>
      <x:c r="I843" s="24" t="str">
        <x:v>https://www.sellmyhousefastnwi.com/</x:v>
      </x:c>
      <x:c r="J843" s="16" t="str">
        <x:v>IN</x:v>
      </x:c>
      <x:c r="K843" s="16" t="str">
        <x:v>Highland</x:v>
      </x:c>
      <x:c r="L843" s="16" t="str">
        <x:v>Public property-business route; investor decision maker unconfirmed</x:v>
      </x:c>
      <x:c r="M843" s="16" t="str">
        <x:v>https://www.sellmyhousefastnwi.com/</x:v>
      </x:c>
      <x:c r="N843" s="16" t="str">
        <x:v>$100K-$500K ticket not published / unconfirmed</x:v>
      </x:c>
      <x:c r="O843" s="20"/>
      <x:c r="P843" s="20"/>
      <x:c r="Q843" s="25" t="str">
        <x:v>No direct corporate-capital range established in checked source</x:v>
      </x:c>
      <x:c r="R843" s="25" t="str">
        <x:v>Property acquisition or investor activity makes this an operator-capital prospect for the signed trial. Confirm operating-company debt/equity appetite.</x:v>
      </x:c>
      <x:c r="S843" s="25"/>
      <x:c r="T843" s="25" t="str">
        <x:v>Ask the owner/investor whether they can allocate $100K-$500K to trial marketing and acquisitions, and confirm structure, timing and decision authority.</x:v>
      </x:c>
      <x:c r="U843" s="25" t="str">
        <x:v>https://www.cashhomebuyersdirectory.com/cash-home-buyers/indiana/highland</x:v>
      </x:c>
      <x:c r="V843" s="26" t="d">
        <x:v>2026-10-02T00:00:00.000Z</x:v>
      </x:c>
      <x:c r="W843" s="26" t="d">
        <x:v>2026-10-02T00:00:00.000Z</x:v>
      </x:c>
      <x:c r="X843" s="25" t="str">
        <x:v>CashHomeBuyersDirectory third-party business listing; first-party business activity not checked in this batch</x:v>
      </x:c>
      <x:c r="Y843" s="25"/>
      <x:c r="Z843" s="25" t="str">
        <x:v>https://www.cashhomebuyersdirectory.com/cash-home-buyers/indiana/highland</x:v>
      </x:c>
      <x:c r="AA843" s="25" t="str">
        <x:v>Public cash-home-buyer directory lists the business name, business phone/website where available and market. Operator role and corporate funding willingness require confirmation.</x:v>
      </x:c>
      <x:c r="AB843" s="3" t="str">
        <x:v>New public-source collection</x:v>
      </x:c>
      <x:c r="AC843" s="3" t="str">
        <x:v>unverified</x:v>
      </x:c>
      <x:c r="AD843" s="3" t="str">
        <x:v>Not contacted / unconfirmed</x:v>
      </x:c>
      <x:c r="AE843" s="3" t="str">
        <x:v>No</x:v>
      </x:c>
      <x:c r="AF843" s="3" t="str">
        <x:v>No</x:v>
      </x:c>
      <x:c r="AG843" s="3"/>
      <x:c r="AH843" s="3"/>
      <x:c r="AI843" s="18"/>
      <x:c r="AJ843" s="3" t="str">
        <x:v>CF2500-D9AC14997232</x:v>
      </x:c>
      <x:c r="AK843" s="3" t="str">
        <x:v>real_estate_operator</x:v>
      </x:c>
      <x:c r="AL843" s="19" t="n">
        <x:v>100000</x:v>
      </x:c>
      <x:c r="AM843" s="19" t="n">
        <x:v>500000</x:v>
      </x:c>
      <x:c r="AN843" s="3" t="str">
        <x:v>https://www.cashhomebuyersdirectory.com/cash-home-buyers/indiana/highland</x:v>
      </x:c>
      <x:c r="AO843" s="3" t="str">
        <x:v>national_rest_directory_complete.jsonl</x:v>
      </x:c>
      <x:c r="AP843" s="19"/>
    </x:row>
    <x:row r="844" ht="36" customHeight="1">
      <x:c r="A844" s="23" t="n">
        <x:v>843</x:v>
      </x:c>
      <x:c r="B844" s="15" t="str">
        <x:v>Easy Carolina Home Buyers</x:v>
      </x:c>
      <x:c r="C844" s="15"/>
      <x:c r="D844" s="15" t="str">
        <x:v>Property investor / home-buying operator</x:v>
      </x:c>
      <x:c r="E844" s="15" t="str">
        <x:v>Property investor / operator inquiry</x:v>
      </x:c>
      <x:c r="F844" s="17" t="str">
        <x:v>New</x:v>
      </x:c>
      <x:c r="G844" s="24"/>
      <x:c r="H844" s="24"/>
      <x:c r="I844" s="24" t="str">
        <x:v>http://www.easycarolinahomebuyers.com/</x:v>
      </x:c>
      <x:c r="J844" s="16" t="str">
        <x:v>SC</x:v>
      </x:c>
      <x:c r="K844" s="16"/>
      <x:c r="L844" s="16" t="str">
        <x:v>Public property-business route; investor decision maker unconfirmed</x:v>
      </x:c>
      <x:c r="M844" s="16" t="str">
        <x:v>http://www.easycarolinahomebuyers.com/</x:v>
      </x:c>
      <x:c r="N844" s="16" t="str">
        <x:v>$100K-$500K ticket not published / unconfirmed</x:v>
      </x:c>
      <x:c r="O844" s="20"/>
      <x:c r="P844" s="20"/>
      <x:c r="Q844" s="25" t="str">
        <x:v>No direct corporate-capital range established in checked source</x:v>
      </x:c>
      <x:c r="R844" s="25" t="str">
        <x:v>Property acquisition or investor activity makes this an operator-capital prospect for the signed trial. Confirm operating-company debt/equity appetite.</x:v>
      </x:c>
      <x:c r="S844" s="25"/>
      <x:c r="T844" s="25" t="str">
        <x:v>Ask the owner/investor whether they can allocate $100K-$500K to trial marketing and acquisitions, and confirm structure, timing and decision authority.</x:v>
      </x:c>
      <x:c r="U844" s="25" t="str">
        <x:v>https://www.cashhomebuyersdirectory.com/cash-home-buyers/south-carolina/charleston</x:v>
      </x:c>
      <x:c r="V844" s="26" t="d">
        <x:v>2026-10-02T00:00:00.000Z</x:v>
      </x:c>
      <x:c r="W844" s="26" t="d">
        <x:v>2026-10-02T00:00:00.000Z</x:v>
      </x:c>
      <x:c r="X844" s="25" t="str">
        <x:v>CashHomeBuyersDirectory third-party business listing; first-party business activity not checked in this batch</x:v>
      </x:c>
      <x:c r="Y844" s="25"/>
      <x:c r="Z844" s="25" t="str">
        <x:v>https://www.cashhomebuyersdirectory.com/cash-home-buyers/south-carolina/charleston</x:v>
      </x:c>
      <x:c r="AA844" s="25" t="str">
        <x:v>Public cash-home-buyer directory lists the business name, business phone/website where available and market. Operator role and corporate funding willingness require confirmation.</x:v>
      </x:c>
      <x:c r="AB844" s="3" t="str">
        <x:v>New public-source collection</x:v>
      </x:c>
      <x:c r="AC844" s="3" t="str">
        <x:v>unverified</x:v>
      </x:c>
      <x:c r="AD844" s="3" t="str">
        <x:v>Not contacted / unconfirmed</x:v>
      </x:c>
      <x:c r="AE844" s="3" t="str">
        <x:v>No</x:v>
      </x:c>
      <x:c r="AF844" s="3" t="str">
        <x:v>No</x:v>
      </x:c>
      <x:c r="AG844" s="3"/>
      <x:c r="AH844" s="3"/>
      <x:c r="AI844" s="18"/>
      <x:c r="AJ844" s="3" t="str">
        <x:v>CF2500-128B269D1DA8</x:v>
      </x:c>
      <x:c r="AK844" s="3" t="str">
        <x:v>real_estate_operator</x:v>
      </x:c>
      <x:c r="AL844" s="19" t="n">
        <x:v>100000</x:v>
      </x:c>
      <x:c r="AM844" s="19" t="n">
        <x:v>500000</x:v>
      </x:c>
      <x:c r="AN844" s="3" t="str">
        <x:v>https://www.cashhomebuyersdirectory.com/cash-home-buyers/south-carolina/charleston</x:v>
      </x:c>
      <x:c r="AO844" s="3" t="str">
        <x:v>national_rest_directory_complete.jsonl</x:v>
      </x:c>
      <x:c r="AP844" s="19"/>
    </x:row>
    <x:row r="845" ht="36" customHeight="1">
      <x:c r="A845" s="23" t="n">
        <x:v>844</x:v>
      </x:c>
      <x:c r="B845" s="15" t="str">
        <x:v>Home Again House Buyers</x:v>
      </x:c>
      <x:c r="C845" s="15"/>
      <x:c r="D845" s="15" t="str">
        <x:v>Property investor / home-buying operator</x:v>
      </x:c>
      <x:c r="E845" s="15" t="str">
        <x:v>Property investor / operator inquiry</x:v>
      </x:c>
      <x:c r="F845" s="17" t="str">
        <x:v>New</x:v>
      </x:c>
      <x:c r="G845" s="24"/>
      <x:c r="H845" s="24"/>
      <x:c r="I845" s="24" t="str">
        <x:v>https://www.homeagainhousebuyers.com/</x:v>
      </x:c>
      <x:c r="J845" s="16" t="str">
        <x:v>TN</x:v>
      </x:c>
      <x:c r="K845" s="16" t="str">
        <x:v>Nashville</x:v>
      </x:c>
      <x:c r="L845" s="16" t="str">
        <x:v>Public property-business route; investor decision maker unconfirmed</x:v>
      </x:c>
      <x:c r="M845" s="16" t="str">
        <x:v>https://www.homeagainhousebuyers.com/</x:v>
      </x:c>
      <x:c r="N845" s="16" t="str">
        <x:v>$100K-$500K ticket not published / unconfirmed</x:v>
      </x:c>
      <x:c r="O845" s="20"/>
      <x:c r="P845" s="20"/>
      <x:c r="Q845" s="25" t="str">
        <x:v>No direct corporate-capital range established in checked source</x:v>
      </x:c>
      <x:c r="R845" s="25" t="str">
        <x:v>Property acquisition or investor activity makes this an operator-capital prospect for the signed trial. Confirm operating-company debt/equity appetite.</x:v>
      </x:c>
      <x:c r="S845" s="25"/>
      <x:c r="T845" s="25" t="str">
        <x:v>Ask the owner/investor whether they can allocate $100K-$500K to trial marketing and acquisitions, and confirm structure, timing and decision authority.</x:v>
      </x:c>
      <x:c r="U845" s="25" t="str">
        <x:v>https://www.cashhomebuyersdirectory.com/cash-home-buyers/tennessee/nashville</x:v>
      </x:c>
      <x:c r="V845" s="26" t="d">
        <x:v>2026-10-02T00:00:00.000Z</x:v>
      </x:c>
      <x:c r="W845" s="26" t="d">
        <x:v>2026-10-02T00:00:00.000Z</x:v>
      </x:c>
      <x:c r="X845" s="25" t="str">
        <x:v>CashHomeBuyersDirectory third-party business listing; first-party business activity not checked in this batch</x:v>
      </x:c>
      <x:c r="Y845" s="25"/>
      <x:c r="Z845" s="25" t="str">
        <x:v>https://www.cashhomebuyersdirectory.com/cash-home-buyers/tennessee/nashville</x:v>
      </x:c>
      <x:c r="AA845" s="25" t="str">
        <x:v>Public cash-home-buyer directory lists the business name, business phone/website where available and market. Operator role and corporate funding willingness require confirmation.</x:v>
      </x:c>
      <x:c r="AB845" s="3" t="str">
        <x:v>New public-source collection</x:v>
      </x:c>
      <x:c r="AC845" s="3" t="str">
        <x:v>unverified</x:v>
      </x:c>
      <x:c r="AD845" s="3" t="str">
        <x:v>Not contacted / unconfirmed</x:v>
      </x:c>
      <x:c r="AE845" s="3" t="str">
        <x:v>No</x:v>
      </x:c>
      <x:c r="AF845" s="3" t="str">
        <x:v>No</x:v>
      </x:c>
      <x:c r="AG845" s="3"/>
      <x:c r="AH845" s="3"/>
      <x:c r="AI845" s="18"/>
      <x:c r="AJ845" s="3" t="str">
        <x:v>CF2500-5D4D736B9160</x:v>
      </x:c>
      <x:c r="AK845" s="3" t="str">
        <x:v>real_estate_operator</x:v>
      </x:c>
      <x:c r="AL845" s="19" t="n">
        <x:v>100000</x:v>
      </x:c>
      <x:c r="AM845" s="19" t="n">
        <x:v>500000</x:v>
      </x:c>
      <x:c r="AN845" s="3" t="str">
        <x:v>https://www.cashhomebuyersdirectory.com/cash-home-buyers/tennessee/nashville</x:v>
      </x:c>
      <x:c r="AO845" s="3" t="str">
        <x:v>national_rest_directory_complete.jsonl</x:v>
      </x:c>
      <x:c r="AP845" s="19"/>
    </x:row>
    <x:row r="846" ht="36" customHeight="1">
      <x:c r="A846" s="23" t="n">
        <x:v>845</x:v>
      </x:c>
      <x:c r="B846" s="15" t="str">
        <x:v>Home Buyers Birmingham</x:v>
      </x:c>
      <x:c r="C846" s="15"/>
      <x:c r="D846" s="15" t="str">
        <x:v>Property investor / home-buying operator</x:v>
      </x:c>
      <x:c r="E846" s="15" t="str">
        <x:v>Property investor / operator inquiry</x:v>
      </x:c>
      <x:c r="F846" s="17" t="str">
        <x:v>New</x:v>
      </x:c>
      <x:c r="G846" s="24"/>
      <x:c r="H846" s="24"/>
      <x:c r="I846" s="24" t="str">
        <x:v>https://homebuyersbirmingham.com/</x:v>
      </x:c>
      <x:c r="J846" s="16" t="str">
        <x:v>AL</x:v>
      </x:c>
      <x:c r="K846" s="16"/>
      <x:c r="L846" s="16" t="str">
        <x:v>Public property-business route; investor decision maker unconfirmed</x:v>
      </x:c>
      <x:c r="M846" s="16" t="str">
        <x:v>https://homebuyersbirmingham.com/</x:v>
      </x:c>
      <x:c r="N846" s="16" t="str">
        <x:v>$100K-$500K ticket not published / unconfirmed</x:v>
      </x:c>
      <x:c r="O846" s="20"/>
      <x:c r="P846" s="20"/>
      <x:c r="Q846" s="25" t="str">
        <x:v>No direct corporate-capital range established in checked source</x:v>
      </x:c>
      <x:c r="R846" s="25" t="str">
        <x:v>Property acquisition or investor activity makes this an operator-capital prospect for the signed trial. Confirm operating-company debt/equity appetite.</x:v>
      </x:c>
      <x:c r="S846" s="25"/>
      <x:c r="T846" s="25" t="str">
        <x:v>Ask the owner/investor whether they can allocate $100K-$500K to trial marketing and acquisitions, and confirm structure, timing and decision authority.</x:v>
      </x:c>
      <x:c r="U846" s="25" t="str">
        <x:v>https://www.cashhomebuyersdirectory.com/cash-home-buyers/alabama/birmingham</x:v>
      </x:c>
      <x:c r="V846" s="26" t="d">
        <x:v>2026-10-02T00:00:00.000Z</x:v>
      </x:c>
      <x:c r="W846" s="26" t="d">
        <x:v>2026-10-02T00:00:00.000Z</x:v>
      </x:c>
      <x:c r="X846" s="25" t="str">
        <x:v>CashHomeBuyersDirectory third-party business listing; first-party business activity not checked in this batch</x:v>
      </x:c>
      <x:c r="Y846" s="25"/>
      <x:c r="Z846" s="25" t="str">
        <x:v>https://www.cashhomebuyersdirectory.com/cash-home-buyers/alabama/birmingham</x:v>
      </x:c>
      <x:c r="AA846" s="25" t="str">
        <x:v>Public cash-home-buyer directory lists the business name, business phone/website where available and market. Operator role and corporate funding willingness require confirmation.</x:v>
      </x:c>
      <x:c r="AB846" s="3" t="str">
        <x:v>New public-source collection</x:v>
      </x:c>
      <x:c r="AC846" s="3" t="str">
        <x:v>unverified</x:v>
      </x:c>
      <x:c r="AD846" s="3" t="str">
        <x:v>Not contacted / unconfirmed</x:v>
      </x:c>
      <x:c r="AE846" s="3" t="str">
        <x:v>No</x:v>
      </x:c>
      <x:c r="AF846" s="3" t="str">
        <x:v>No</x:v>
      </x:c>
      <x:c r="AG846" s="3"/>
      <x:c r="AH846" s="3"/>
      <x:c r="AI846" s="18"/>
      <x:c r="AJ846" s="3" t="str">
        <x:v>CF2500-A65F9B393AEE</x:v>
      </x:c>
      <x:c r="AK846" s="3" t="str">
        <x:v>real_estate_operator</x:v>
      </x:c>
      <x:c r="AL846" s="19" t="n">
        <x:v>100000</x:v>
      </x:c>
      <x:c r="AM846" s="19" t="n">
        <x:v>500000</x:v>
      </x:c>
      <x:c r="AN846" s="3" t="str">
        <x:v>https://www.cashhomebuyersdirectory.com/cash-home-buyers/alabama/birmingham</x:v>
      </x:c>
      <x:c r="AO846" s="3" t="str">
        <x:v>national_rest_directory_complete.jsonl</x:v>
      </x:c>
      <x:c r="AP846" s="19"/>
    </x:row>
    <x:row r="847" ht="36" customHeight="1">
      <x:c r="A847" s="23" t="n">
        <x:v>846</x:v>
      </x:c>
      <x:c r="B847" s="15" t="str">
        <x:v>Sell Your House Indy</x:v>
      </x:c>
      <x:c r="C847" s="15"/>
      <x:c r="D847" s="15" t="str">
        <x:v>Property investor / home-buying operator</x:v>
      </x:c>
      <x:c r="E847" s="15" t="str">
        <x:v>Property investor / operator inquiry</x:v>
      </x:c>
      <x:c r="F847" s="17" t="str">
        <x:v>New</x:v>
      </x:c>
      <x:c r="G847" s="24"/>
      <x:c r="H847" s="24"/>
      <x:c r="I847" s="24" t="str">
        <x:v>https://sellyourhouseindy.com/</x:v>
      </x:c>
      <x:c r="J847" s="16" t="str">
        <x:v>IN</x:v>
      </x:c>
      <x:c r="K847" s="16" t="str">
        <x:v>Indianapolis</x:v>
      </x:c>
      <x:c r="L847" s="16" t="str">
        <x:v>Public property-business route; investor decision maker unconfirmed</x:v>
      </x:c>
      <x:c r="M847" s="16" t="str">
        <x:v>https://sellyourhouseindy.com/</x:v>
      </x:c>
      <x:c r="N847" s="16" t="str">
        <x:v>$100K-$500K ticket not published / unconfirmed</x:v>
      </x:c>
      <x:c r="O847" s="20"/>
      <x:c r="P847" s="20"/>
      <x:c r="Q847" s="25" t="str">
        <x:v>No direct corporate-capital range established in checked source</x:v>
      </x:c>
      <x:c r="R847" s="25" t="str">
        <x:v>Property acquisition or investor activity makes this an operator-capital prospect for the signed trial. Confirm operating-company debt/equity appetite.</x:v>
      </x:c>
      <x:c r="S847" s="25"/>
      <x:c r="T847" s="25" t="str">
        <x:v>Ask the owner/investor whether they can allocate $100K-$500K to trial marketing and acquisitions, and confirm structure, timing and decision authority.</x:v>
      </x:c>
      <x:c r="U847" s="25" t="str">
        <x:v>https://www.cashhomebuyersdirectory.com/cash-home-buyers/indiana/indianapolis</x:v>
      </x:c>
      <x:c r="V847" s="26" t="d">
        <x:v>2026-10-02T00:00:00.000Z</x:v>
      </x:c>
      <x:c r="W847" s="26" t="d">
        <x:v>2026-10-02T00:00:00.000Z</x:v>
      </x:c>
      <x:c r="X847" s="25" t="str">
        <x:v>CashHomeBuyersDirectory third-party business listing; first-party business activity not checked in this batch</x:v>
      </x:c>
      <x:c r="Y847" s="25"/>
      <x:c r="Z847" s="25" t="str">
        <x:v>https://www.cashhomebuyersdirectory.com/cash-home-buyers/indiana/indianapolis</x:v>
      </x:c>
      <x:c r="AA847" s="25" t="str">
        <x:v>Public cash-home-buyer directory lists the business name, business phone/website where available and market. Operator role and corporate funding willingness require confirmation.</x:v>
      </x:c>
      <x:c r="AB847" s="3" t="str">
        <x:v>New public-source collection</x:v>
      </x:c>
      <x:c r="AC847" s="3" t="str">
        <x:v>unverified</x:v>
      </x:c>
      <x:c r="AD847" s="3" t="str">
        <x:v>Not contacted / unconfirmed</x:v>
      </x:c>
      <x:c r="AE847" s="3" t="str">
        <x:v>No</x:v>
      </x:c>
      <x:c r="AF847" s="3" t="str">
        <x:v>No</x:v>
      </x:c>
      <x:c r="AG847" s="3"/>
      <x:c r="AH847" s="3"/>
      <x:c r="AI847" s="18"/>
      <x:c r="AJ847" s="3" t="str">
        <x:v>CF2500-8448A9D4F7F7</x:v>
      </x:c>
      <x:c r="AK847" s="3" t="str">
        <x:v>real_estate_operator</x:v>
      </x:c>
      <x:c r="AL847" s="19" t="n">
        <x:v>100000</x:v>
      </x:c>
      <x:c r="AM847" s="19" t="n">
        <x:v>500000</x:v>
      </x:c>
      <x:c r="AN847" s="3" t="str">
        <x:v>https://www.cashhomebuyersdirectory.com/cash-home-buyers/indiana/indianapolis</x:v>
      </x:c>
      <x:c r="AO847" s="3" t="str">
        <x:v>national_rest_directory_complete.jsonl</x:v>
      </x:c>
      <x:c r="AP847" s="19"/>
    </x:row>
    <x:row r="848" ht="36" customHeight="1">
      <x:c r="A848" s="23" t="n">
        <x:v>847</x:v>
      </x:c>
      <x:c r="B848" s="15" t="str">
        <x:v>DONE DEAL HOME BUYERS LLC</x:v>
      </x:c>
      <x:c r="C848" s="15"/>
      <x:c r="D848" s="15" t="str">
        <x:v>Property investor / home-buying operator</x:v>
      </x:c>
      <x:c r="E848" s="15" t="str">
        <x:v>Property investor / operator inquiry</x:v>
      </x:c>
      <x:c r="F848" s="17" t="str">
        <x:v>New</x:v>
      </x:c>
      <x:c r="G848" s="24" t="str">
        <x:v>samhopkins@donedealhomebuyers.com</x:v>
      </x:c>
      <x:c r="H848" s="24" t="str">
        <x:v>+12762761765</x:v>
      </x:c>
      <x:c r="I848" s="24" t="str">
        <x:v>https://sell.donedealhomebuyers.net/</x:v>
      </x:c>
      <x:c r="J848" s="16" t="str">
        <x:v>VA</x:v>
      </x:c>
      <x:c r="K848" s="16"/>
      <x:c r="L848" s="16" t="str">
        <x:v>Public property-business route; investor decision maker unconfirmed</x:v>
      </x:c>
      <x:c r="M848" s="16" t="str">
        <x:v>https://sell.donedealhomebuyers.net/</x:v>
      </x:c>
      <x:c r="N848" s="16" t="str">
        <x:v>$100K-$500K ticket not published / unconfirmed</x:v>
      </x:c>
      <x:c r="O848" s="20"/>
      <x:c r="P848" s="20"/>
      <x:c r="Q848" s="25" t="str">
        <x:v>No direct corporate-capital range established in checked source</x:v>
      </x:c>
      <x:c r="R848" s="25" t="str">
        <x:v>Property acquisition or investor activity makes this an operator-capital prospect for the signed trial. Confirm operating-company debt/equity appetite.</x:v>
      </x:c>
      <x:c r="S848" s="25" t="str">
        <x:v>Confirm the contact controls funding decisions; confirm willingness to invest in an operating company, current liquidity, $100K to $500K ticket size, required security and diligence.</x:v>
      </x:c>
      <x:c r="T848" s="25" t="str">
        <x:v>Ask the owner/investor whether they can allocate $100K-$500K to trial marketing and acquisitions, and confirm structure, timing and decision authority.</x:v>
      </x:c>
      <x:c r="U848" s="25" t="str">
        <x:v>https://sell.donedealhomebuyers.net/
https://sfranalytics.com/investors/va
https://sfranalytics.com/investors/va/statewide/done-deal-home-buyers-llc-va
https://sfranalytics.com/investors/va/statewide</x:v>
      </x:c>
      <x:c r="V848" s="26" t="d">
        <x:v>2026-10-02T00:00:00.000Z</x:v>
      </x:c>
      <x:c r="W848" s="26" t="d">
        <x:v>2026-10-03T00:00:00.000Z</x:v>
      </x:c>
      <x:c r="X848" s="25" t="str">
        <x:v>SFR Analytics public investor discovery plus official-company activity, geography and published business contact checks</x:v>
      </x:c>
      <x:c r="Y848" s="25" t="str">
        <x:v>https://sell.donedealhomebuyers.net/</x:v>
      </x:c>
      <x:c r="Z848" s="25" t="str">
        <x:v>https://sell.donedealhomebuyers.net/</x:v>
      </x:c>
      <x:c r="AA848" s="25" t="str">
        <x:v>Company describes buying homes throughout Southwest and Central Virginia. Published general business contact observed: (276) 276-1765. SFR Analytics public directory lists DONE DEAL HOME BUYERS LLC as an organization with a flipper strategy, 314 observed transactions and $18.3M tracked transaction volume. Observed listing market: Virginia. This is third-party public-record research, not evidence of available cash, a $100K to $500K check, an operating-company investment mandate, or acceptance of this transaction.</x:v>
      </x:c>
      <x:c r="AB848" s="3" t="str">
        <x:v>New public-source collection</x:v>
      </x:c>
      <x:c r="AC848" s="3" t="str">
        <x:v>unverified</x:v>
      </x:c>
      <x:c r="AD848" s="3" t="str">
        <x:v>Not contacted / unconfirmed</x:v>
      </x:c>
      <x:c r="AE848" s="3" t="str">
        <x:v>Yes</x:v>
      </x:c>
      <x:c r="AF848" s="3" t="str">
        <x:v>Yes</x:v>
      </x:c>
      <x:c r="AG848" s="3"/>
      <x:c r="AH848" s="3"/>
      <x:c r="AI848" s="18"/>
      <x:c r="AJ848" s="3" t="str">
        <x:v>CF2500-66017644BC3A</x:v>
      </x:c>
      <x:c r="AK848" s="3" t="str">
        <x:v>real_estate_operator</x:v>
      </x:c>
      <x:c r="AL848" s="19" t="n">
        <x:v>100000</x:v>
      </x:c>
      <x:c r="AM848" s="19" t="n">
        <x:v>500000</x:v>
      </x:c>
      <x:c r="AN848" s="3" t="str">
        <x:v>https://sell.donedealhomebuyers.net/</x:v>
      </x:c>
      <x:c r="AO848" s="3" t="str">
        <x:v>sfr_contact_enriched.jsonl</x:v>
      </x:c>
      <x:c r="AP848" s="19"/>
    </x:row>
    <x:row r="849" ht="36" customHeight="1">
      <x:c r="A849" s="23" t="n">
        <x:v>848</x:v>
      </x:c>
      <x:c r="B849" s="15" t="str">
        <x:v>FAIR DEAL HOME BUYERS LLC</x:v>
      </x:c>
      <x:c r="C849" s="15"/>
      <x:c r="D849" s="15" t="str">
        <x:v>Property investor / home-buying operator</x:v>
      </x:c>
      <x:c r="E849" s="15" t="str">
        <x:v>Property investor / operator inquiry</x:v>
      </x:c>
      <x:c r="F849" s="17" t="str">
        <x:v>New</x:v>
      </x:c>
      <x:c r="G849" s="24" t="str">
        <x:v>customer@fairdealhomebuyers.com</x:v>
      </x:c>
      <x:c r="H849" s="24" t="str">
        <x:v>+14144098251</x:v>
      </x:c>
      <x:c r="I849" s="24" t="str">
        <x:v>https://fairdealhomebuyers.com/</x:v>
      </x:c>
      <x:c r="J849" s="16" t="str">
        <x:v>WI</x:v>
      </x:c>
      <x:c r="K849" s="16" t="str">
        <x:v>Mequon</x:v>
      </x:c>
      <x:c r="L849" s="16" t="str">
        <x:v>Public property-business route; investor decision maker unconfirmed</x:v>
      </x:c>
      <x:c r="M849" s="16" t="str">
        <x:v>https://fairdealhomebuyers.com/contact-us/</x:v>
      </x:c>
      <x:c r="N849" s="16" t="str">
        <x:v>$100K-$500K ticket not published / unconfirmed</x:v>
      </x:c>
      <x:c r="O849" s="20"/>
      <x:c r="P849" s="20"/>
      <x:c r="Q849" s="25" t="str">
        <x:v>No direct corporate-capital range established in checked source</x:v>
      </x:c>
      <x:c r="R849" s="25" t="str">
        <x:v>Property acquisition or investor activity makes this an operator-capital prospect for the signed trial. Confirm operating-company debt/equity appetite.</x:v>
      </x:c>
      <x:c r="S849" s="25" t="str">
        <x:v>Confirm the contact controls funding decisions; confirm willingness to invest in an operating company, current liquidity, $100K to $500K ticket size, required security and diligence.</x:v>
      </x:c>
      <x:c r="T849" s="25" t="str">
        <x:v>Ask the owner/investor whether they can allocate $100K-$500K to trial marketing and acquisitions, and confirm structure, timing and decision authority.</x:v>
      </x:c>
      <x:c r="U849" s="25" t="str">
        <x:v>https://fairdealhomebuyers.com/contact-us/
https://sfranalytics.com/investors/wi
https://sfranalytics.com/investors/wi/milwaukee-waukesha-wi/fair-deal-home-buyers-llc-wi
https://sfranalytics.com/investors/wi/milwaukee-waukesha-wi
https://www.cashhomebuyersdirectory.com/cash-home-buyers/wisconsin/milwaukee</x:v>
      </x:c>
      <x:c r="V849" s="26" t="d">
        <x:v>2026-10-02T00:00:00.000Z</x:v>
      </x:c>
      <x:c r="W849" s="26" t="d">
        <x:v>2026-10-03T00:00:00.000Z</x:v>
      </x:c>
      <x:c r="X849" s="25" t="str">
        <x:v>SFR Analytics public investor discovery plus official-company activity, geography and published business contact checks</x:v>
      </x:c>
      <x:c r="Y849" s="25" t="str">
        <x:v>https://fairdealhomebuyers.com/contact-us/</x:v>
      </x:c>
      <x:c r="Z849" s="25" t="str">
        <x:v>https://fairdealhomebuyers.com/contact-us/</x:v>
      </x:c>
      <x:c r="AA849" s="25" t="str">
        <x:v>Company contact page gives Mequon, Wisconsin business location and cash home offer service. Published general business contact observed: (414) 409-8251. SFR Analytics public directory lists FAIR DEAL HOME BUYERS LLC as an organization with a flipper strategy, 238 observed transactions and $31.9M tracked transaction volume. Observed listing market: Wisconsin. This is third-party public-record research, not evidence of available cash, a $100K to $500K check, an operating-company investment mandate, or acceptance of this transaction.</x:v>
      </x:c>
      <x:c r="AB849" s="3" t="str">
        <x:v>New public-source collection</x:v>
      </x:c>
      <x:c r="AC849" s="3" t="str">
        <x:v>unverified</x:v>
      </x:c>
      <x:c r="AD849" s="3" t="str">
        <x:v>Not contacted / unconfirmed</x:v>
      </x:c>
      <x:c r="AE849" s="3" t="str">
        <x:v>Yes</x:v>
      </x:c>
      <x:c r="AF849" s="3" t="str">
        <x:v>Yes</x:v>
      </x:c>
      <x:c r="AG849" s="3"/>
      <x:c r="AH849" s="3" t="str">
        <x:v>Fair Deal Home Buyers LLC</x:v>
      </x:c>
      <x:c r="AI849" s="18"/>
      <x:c r="AJ849" s="3" t="str">
        <x:v>CF2500-99ABCDDFB995</x:v>
      </x:c>
      <x:c r="AK849" s="3" t="str">
        <x:v>real_estate_operator</x:v>
      </x:c>
      <x:c r="AL849" s="19" t="n">
        <x:v>100000</x:v>
      </x:c>
      <x:c r="AM849" s="19" t="n">
        <x:v>500000</x:v>
      </x:c>
      <x:c r="AN849" s="3" t="str">
        <x:v>https://fairdealhomebuyers.com/contact-us/</x:v>
      </x:c>
      <x:c r="AO849" s="3" t="str">
        <x:v>sfr_contact_enriched.jsonl</x:v>
      </x:c>
      <x:c r="AP849" s="19"/>
    </x:row>
    <x:row r="850" ht="36" customHeight="1">
      <x:c r="A850" s="23" t="n">
        <x:v>849</x:v>
      </x:c>
      <x:c r="B850" s="15" t="str">
        <x:v>FIRST CHOICE HOME BUYERS LLC</x:v>
      </x:c>
      <x:c r="C850" s="15"/>
      <x:c r="D850" s="15" t="str">
        <x:v>Property investor / home-buying operator</x:v>
      </x:c>
      <x:c r="E850" s="15" t="str">
        <x:v>Property investor / operator inquiry</x:v>
      </x:c>
      <x:c r="F850" s="17" t="str">
        <x:v>New</x:v>
      </x:c>
      <x:c r="G850" s="24" t="str">
        <x:v>info@firstchoicehomebuyers.com</x:v>
      </x:c>
      <x:c r="H850" s="24" t="str">
        <x:v>+17177449113</x:v>
      </x:c>
      <x:c r="I850" s="24" t="str">
        <x:v>https://firstchoicehomebuyers.com/</x:v>
      </x:c>
      <x:c r="J850" s="16" t="str">
        <x:v>PA</x:v>
      </x:c>
      <x:c r="K850" s="16" t="str">
        <x:v>Harrisburg</x:v>
      </x:c>
      <x:c r="L850" s="16" t="str">
        <x:v>Public property-business route; investor decision maker unconfirmed</x:v>
      </x:c>
      <x:c r="M850" s="16" t="str">
        <x:v>https://firstchoicehomebuyers.com/contact-us/</x:v>
      </x:c>
      <x:c r="N850" s="16" t="str">
        <x:v>$100K-$500K ticket not published / unconfirmed</x:v>
      </x:c>
      <x:c r="O850" s="20"/>
      <x:c r="P850" s="20"/>
      <x:c r="Q850" s="25" t="str">
        <x:v>No direct corporate-capital range established in checked source</x:v>
      </x:c>
      <x:c r="R850" s="25" t="str">
        <x:v>Property acquisition or investor activity makes this an operator-capital prospect for the signed trial. Confirm operating-company debt/equity appetite.</x:v>
      </x:c>
      <x:c r="S850" s="25" t="str">
        <x:v>Confirm the contact controls funding decisions; confirm willingness to invest in an operating company, current liquidity, $100K to $500K ticket size, required security and diligence.</x:v>
      </x:c>
      <x:c r="T850" s="25" t="str">
        <x:v>Ask the owner/investor whether they can allocate $100K-$500K to trial marketing and acquisitions, and confirm structure, timing and decision authority.</x:v>
      </x:c>
      <x:c r="U850" s="25" t="str">
        <x:v>https://firstchoicehomebuyers.com/contact-us/
https://sfranalytics.com/investors/pa
https://sfranalytics.com/investors/pa/harrisburg-carlisle-pa/first-choice-home-buyers-llc-pa
https://www.cashhomebuyersdirectory.com/cash-home-buyers/pennsylvania/camp-hill</x:v>
      </x:c>
      <x:c r="V850" s="26" t="d">
        <x:v>2026-10-02T00:00:00.000Z</x:v>
      </x:c>
      <x:c r="W850" s="26" t="d">
        <x:v>2026-10-03T00:00:00.000Z</x:v>
      </x:c>
      <x:c r="X850" s="25" t="str">
        <x:v>SFR Analytics public investor discovery plus official-company activity, geography and published business contact checks</x:v>
      </x:c>
      <x:c r="Y850" s="25" t="str">
        <x:v>https://firstchoicehomebuyers.com/contact-us/</x:v>
      </x:c>
      <x:c r="Z850" s="25" t="str">
        <x:v>https://firstchoicehomebuyers.com/contact-us/</x:v>
      </x:c>
      <x:c r="AA850" s="25" t="str">
        <x:v>Company describes cash home buying in Harrisburg, York and Lancaster, Pennsylvania. Published general business contact observed: (717) 744-9113. SFR Analytics public directory lists FIRST CHOICE HOME BUYERS LLC as an organization with a flipper strategy, 338 observed transactions and $45.7M tracked transaction volume. Observed listing market: Pennsylvania. This is third-party public-record research, not evidence of available cash, a $100K to $500K check, an operating-company investment mandate, or acceptance of this transaction.</x:v>
      </x:c>
      <x:c r="AB850" s="3" t="str">
        <x:v>New public-source collection</x:v>
      </x:c>
      <x:c r="AC850" s="3" t="str">
        <x:v>unverified</x:v>
      </x:c>
      <x:c r="AD850" s="3" t="str">
        <x:v>Not contacted / unconfirmed</x:v>
      </x:c>
      <x:c r="AE850" s="3" t="str">
        <x:v>Yes</x:v>
      </x:c>
      <x:c r="AF850" s="3" t="str">
        <x:v>Yes</x:v>
      </x:c>
      <x:c r="AG850" s="3"/>
      <x:c r="AH850" s="3" t="str">
        <x:v>First Choice Home Buyers</x:v>
      </x:c>
      <x:c r="AI850" s="18"/>
      <x:c r="AJ850" s="3" t="str">
        <x:v>CF2500-698C0EE28445</x:v>
      </x:c>
      <x:c r="AK850" s="3" t="str">
        <x:v>real_estate_operator</x:v>
      </x:c>
      <x:c r="AL850" s="19" t="n">
        <x:v>100000</x:v>
      </x:c>
      <x:c r="AM850" s="19" t="n">
        <x:v>500000</x:v>
      </x:c>
      <x:c r="AN850" s="3" t="str">
        <x:v>https://firstchoicehomebuyers.com/contact-us/</x:v>
      </x:c>
      <x:c r="AO850" s="3" t="str">
        <x:v>sfr_contact_enriched.jsonl</x:v>
      </x:c>
      <x:c r="AP850" s="19"/>
    </x:row>
    <x:row r="851" ht="36" customHeight="1">
      <x:c r="A851" s="23" t="n">
        <x:v>850</x:v>
      </x:c>
      <x:c r="B851" s="15" t="str">
        <x:v>MILL CITY HOME BUYERS LLC</x:v>
      </x:c>
      <x:c r="C851" s="15"/>
      <x:c r="D851" s="15" t="str">
        <x:v>Property investor / home-buying operator</x:v>
      </x:c>
      <x:c r="E851" s="15" t="str">
        <x:v>Property investor / operator inquiry</x:v>
      </x:c>
      <x:c r="F851" s="17" t="str">
        <x:v>New</x:v>
      </x:c>
      <x:c r="G851" s="24" t="str">
        <x:v>info@millcityhomebuyers.com</x:v>
      </x:c>
      <x:c r="H851" s="24" t="str">
        <x:v>+16122605577</x:v>
      </x:c>
      <x:c r="I851" s="24" t="str">
        <x:v>https://www.millcityhomebuyers.com/</x:v>
      </x:c>
      <x:c r="J851" s="16" t="str">
        <x:v>MN</x:v>
      </x:c>
      <x:c r="K851" s="16" t="str">
        <x:v>Roseville</x:v>
      </x:c>
      <x:c r="L851" s="16" t="str">
        <x:v>Public property-business route; investor decision maker unconfirmed</x:v>
      </x:c>
      <x:c r="M851" s="16" t="str">
        <x:v>https://www.millcityhomebuyers.com/contact-us/</x:v>
      </x:c>
      <x:c r="N851" s="16" t="str">
        <x:v>$100K-$500K ticket not published / unconfirmed</x:v>
      </x:c>
      <x:c r="O851" s="20"/>
      <x:c r="P851" s="20"/>
      <x:c r="Q851" s="25" t="str">
        <x:v>No direct corporate-capital range established in checked source</x:v>
      </x:c>
      <x:c r="R851" s="25" t="str">
        <x:v>Property acquisition or investor activity makes this an operator-capital prospect for the signed trial. Confirm operating-company debt/equity appetite.</x:v>
      </x:c>
      <x:c r="S851" s="25" t="str">
        <x:v>Confirm the contact controls funding decisions; confirm willingness to invest in an operating company, current liquidity, $100K to $500K ticket size, required security and diligence.</x:v>
      </x:c>
      <x:c r="T851" s="25" t="str">
        <x:v>Ask the owner/investor whether they can allocate $100K-$500K to trial marketing and acquisitions, and confirm structure, timing and decision authority.</x:v>
      </x:c>
      <x:c r="U851" s="25" t="str">
        <x:v>https://www.millcityhomebuyers.com/contact-us/
https://sfranalytics.com/investors/mn/minneapolis-st-paul-bloomington-mn-wi
https://sfranalytics.com/investors/mn/minneapolis-st-paul-bloomington-mn-wi/mill-city-home-buyers-llc-mn
https://www.cashhomebuyersdirectory.com/cash-home-buyers/minnesota/st-paul</x:v>
      </x:c>
      <x:c r="V851" s="26" t="d">
        <x:v>2026-10-02T00:00:00.000Z</x:v>
      </x:c>
      <x:c r="W851" s="26" t="d">
        <x:v>2026-10-03T00:00:00.000Z</x:v>
      </x:c>
      <x:c r="X851" s="25" t="str">
        <x:v>SFR Analytics public investor discovery plus official-company activity, geography and published business contact checks</x:v>
      </x:c>
      <x:c r="Y851" s="25" t="str">
        <x:v>https://www.millcityhomebuyers.com/contact-us/</x:v>
      </x:c>
      <x:c r="Z851" s="25" t="str">
        <x:v>https://www.millcityhomebuyers.com/contact-us/</x:v>
      </x:c>
      <x:c r="AA851" s="25" t="str">
        <x:v>Company contact page describes a Minnesota home buying company and Roseville business location. Published general business contact observed: (612) 260-5577. SFR Analytics public directory lists MILL CITY HOME BUYERS LLC as an organization with a flipper strategy, 49 observed transactions and $11.7M tracked transaction volume. Observed listing market: Minneapolis-St. Paul-Bloomington, MN-WI. This is third-party public-record research, not evidence of available cash, a $100K to $500K check, an operating-company investment mandate, or acceptance of this transaction.</x:v>
      </x:c>
      <x:c r="AB851" s="3" t="str">
        <x:v>New public-source collection</x:v>
      </x:c>
      <x:c r="AC851" s="3" t="str">
        <x:v>unverified</x:v>
      </x:c>
      <x:c r="AD851" s="3" t="str">
        <x:v>Not contacted / unconfirmed</x:v>
      </x:c>
      <x:c r="AE851" s="3" t="str">
        <x:v>Yes</x:v>
      </x:c>
      <x:c r="AF851" s="3" t="str">
        <x:v>Yes</x:v>
      </x:c>
      <x:c r="AG851" s="3"/>
      <x:c r="AH851" s="3" t="str">
        <x:v>Mill City Home Buyers</x:v>
      </x:c>
      <x:c r="AI851" s="18"/>
      <x:c r="AJ851" s="3" t="str">
        <x:v>CF2500-B58ED9DE6C34</x:v>
      </x:c>
      <x:c r="AK851" s="3" t="str">
        <x:v>real_estate_operator</x:v>
      </x:c>
      <x:c r="AL851" s="19" t="n">
        <x:v>100000</x:v>
      </x:c>
      <x:c r="AM851" s="19" t="n">
        <x:v>500000</x:v>
      </x:c>
      <x:c r="AN851" s="3" t="str">
        <x:v>https://www.millcityhomebuyers.com/contact-us/</x:v>
      </x:c>
      <x:c r="AO851" s="3" t="str">
        <x:v>sfr_contact_enriched.jsonl</x:v>
      </x:c>
      <x:c r="AP851" s="19"/>
    </x:row>
    <x:row r="852" ht="36" customHeight="1">
      <x:c r="A852" s="23" t="n">
        <x:v>851</x:v>
      </x:c>
      <x:c r="B852" s="15" t="str">
        <x:v>PACE HOME BUYERS LLC</x:v>
      </x:c>
      <x:c r="C852" s="15"/>
      <x:c r="D852" s="15" t="str">
        <x:v>Property investor / home-buying operator</x:v>
      </x:c>
      <x:c r="E852" s="15" t="str">
        <x:v>Property investor / operator inquiry</x:v>
      </x:c>
      <x:c r="F852" s="17" t="str">
        <x:v>New</x:v>
      </x:c>
      <x:c r="G852" s="24" t="str">
        <x:v>richie@pacehomebuyers.com</x:v>
      </x:c>
      <x:c r="H852" s="24" t="str">
        <x:v>+19144715145</x:v>
      </x:c>
      <x:c r="I852" s="24" t="str">
        <x:v>https://pacehomebuyers.com/</x:v>
      </x:c>
      <x:c r="J852" s="16" t="str">
        <x:v>CT</x:v>
      </x:c>
      <x:c r="K852" s="16"/>
      <x:c r="L852" s="16" t="str">
        <x:v>Public property-business route; investor decision maker unconfirmed</x:v>
      </x:c>
      <x:c r="M852" s="16" t="str">
        <x:v>https://pacehomebuyers.com/</x:v>
      </x:c>
      <x:c r="N852" s="16" t="str">
        <x:v>$100K-$500K ticket not published / unconfirmed</x:v>
      </x:c>
      <x:c r="O852" s="20"/>
      <x:c r="P852" s="20"/>
      <x:c r="Q852" s="25" t="str">
        <x:v>No direct corporate-capital range established in checked source</x:v>
      </x:c>
      <x:c r="R852" s="25" t="str">
        <x:v>Property acquisition or investor activity makes this an operator-capital prospect for the signed trial. Confirm operating-company debt/equity appetite.</x:v>
      </x:c>
      <x:c r="S852" s="25" t="str">
        <x:v>Confirm the contact controls funding decisions; confirm willingness to invest in an operating company, current liquidity, $100K to $500K ticket size, required security and diligence.</x:v>
      </x:c>
      <x:c r="T852" s="25" t="str">
        <x:v>Ask the owner/investor whether they can allocate $100K-$500K to trial marketing and acquisitions, and confirm structure, timing and decision authority.</x:v>
      </x:c>
      <x:c r="U852" s="25" t="str">
        <x:v>https://pacehomebuyers.com/
https://sfranalytics.com/investors/ct
https://sfranalytics.com/investors/ct/statewide/pace-home-buyers-llc-ct
https://sfranalytics.com/investors/ct/statewide</x:v>
      </x:c>
      <x:c r="V852" s="26" t="d">
        <x:v>2026-10-02T00:00:00.000Z</x:v>
      </x:c>
      <x:c r="W852" s="26" t="d">
        <x:v>2026-10-03T00:00:00.000Z</x:v>
      </x:c>
      <x:c r="X852" s="25" t="str">
        <x:v>SFR Analytics public investor discovery plus official-company activity, geography and published business contact checks</x:v>
      </x:c>
      <x:c r="Y852" s="25" t="str">
        <x:v>https://pacehomebuyers.com/</x:v>
      </x:c>
      <x:c r="Z852" s="25" t="str">
        <x:v>https://pacehomebuyers.com/</x:v>
      </x:c>
      <x:c r="AA852" s="25" t="str">
        <x:v>Company describes buying houses in New York and Connecticut. Published general business contact observed: (914) 471-5145. SFR Analytics public directory lists PACE HOME BUYERS LLC as an organization with a flipper strategy, 47 observed transactions and $9.18M tracked transaction volume. Observed listing market: Connecticut. This is third-party public-record research, not evidence of available cash, a $100K to $500K check, an operating-company investment mandate, or acceptance of this transaction.</x:v>
      </x:c>
      <x:c r="AB852" s="3" t="str">
        <x:v>New public-source collection</x:v>
      </x:c>
      <x:c r="AC852" s="3" t="str">
        <x:v>unverified</x:v>
      </x:c>
      <x:c r="AD852" s="3" t="str">
        <x:v>Not contacted / unconfirmed</x:v>
      </x:c>
      <x:c r="AE852" s="3" t="str">
        <x:v>Yes</x:v>
      </x:c>
      <x:c r="AF852" s="3" t="str">
        <x:v>Yes</x:v>
      </x:c>
      <x:c r="AG852" s="3"/>
      <x:c r="AH852" s="3"/>
      <x:c r="AI852" s="18"/>
      <x:c r="AJ852" s="3" t="str">
        <x:v>CF2500-AA7B014419CC</x:v>
      </x:c>
      <x:c r="AK852" s="3" t="str">
        <x:v>real_estate_operator</x:v>
      </x:c>
      <x:c r="AL852" s="19" t="n">
        <x:v>100000</x:v>
      </x:c>
      <x:c r="AM852" s="19" t="n">
        <x:v>500000</x:v>
      </x:c>
      <x:c r="AN852" s="3" t="str">
        <x:v>https://pacehomebuyers.com/</x:v>
      </x:c>
      <x:c r="AO852" s="3" t="str">
        <x:v>sfr_contact_enriched.jsonl</x:v>
      </x:c>
      <x:c r="AP852" s="19"/>
    </x:row>
    <x:row r="853" ht="36" customHeight="1">
      <x:c r="A853" s="23" t="n">
        <x:v>852</x:v>
      </x:c>
      <x:c r="B853" s="15" t="str">
        <x:v>REVOLUTIONARY HOME BUYERS LLC</x:v>
      </x:c>
      <x:c r="C853" s="15"/>
      <x:c r="D853" s="15" t="str">
        <x:v>Property investor / home-buying operator</x:v>
      </x:c>
      <x:c r="E853" s="15" t="str">
        <x:v>Property investor / operator inquiry</x:v>
      </x:c>
      <x:c r="F853" s="17" t="str">
        <x:v>New</x:v>
      </x:c>
      <x:c r="G853" s="24" t="str">
        <x:v>info@revolutionaryhomebuyers.com</x:v>
      </x:c>
      <x:c r="H853" s="24" t="str">
        <x:v>+14432057707</x:v>
      </x:c>
      <x:c r="I853" s="24" t="str">
        <x:v>https://revolutionaryhomebuyers.com/</x:v>
      </x:c>
      <x:c r="J853" s="16" t="str">
        <x:v>MD</x:v>
      </x:c>
      <x:c r="K853" s="16"/>
      <x:c r="L853" s="16" t="str">
        <x:v>Public property-business route; investor decision maker unconfirmed</x:v>
      </x:c>
      <x:c r="M853" s="16" t="str">
        <x:v>https://revolutionaryhomebuyers.com/</x:v>
      </x:c>
      <x:c r="N853" s="16" t="str">
        <x:v>$100K-$500K ticket not published / unconfirmed</x:v>
      </x:c>
      <x:c r="O853" s="20"/>
      <x:c r="P853" s="20"/>
      <x:c r="Q853" s="25" t="str">
        <x:v>No direct corporate-capital range established in checked source</x:v>
      </x:c>
      <x:c r="R853" s="25" t="str">
        <x:v>Property acquisition or investor activity makes this an operator-capital prospect for the signed trial. Confirm operating-company debt/equity appetite.</x:v>
      </x:c>
      <x:c r="S853" s="25" t="str">
        <x:v>Confirm the contact controls funding decisions; confirm willingness to invest in an operating company, current liquidity, $100K to $500K ticket size, required security and diligence.</x:v>
      </x:c>
      <x:c r="T853" s="25" t="str">
        <x:v>Ask the owner/investor whether they can allocate $100K-$500K to trial marketing and acquisitions, and confirm structure, timing and decision authority.</x:v>
      </x:c>
      <x:c r="U853" s="25" t="str">
        <x:v>https://revolutionaryhomebuyers.com/
https://sfranalytics.com/investors/md/baltimore-columbia-towson-md
https://sfranalytics.com/investors/md/baltimore-columbia-towson-md/revolutionary-home-buyers-llc-md
https://www.cashhomebuyersdirectory.com/cash-home-buyers/maryland/baltimore</x:v>
      </x:c>
      <x:c r="V853" s="26" t="d">
        <x:v>2026-10-02T00:00:00.000Z</x:v>
      </x:c>
      <x:c r="W853" s="26" t="d">
        <x:v>2026-10-03T00:00:00.000Z</x:v>
      </x:c>
      <x:c r="X853" s="25" t="str">
        <x:v>SFR Analytics public investor discovery plus official-company activity, geography and published business contact checks</x:v>
      </x:c>
      <x:c r="Y853" s="25" t="str">
        <x:v>https://revolutionaryhomebuyers.com/</x:v>
      </x:c>
      <x:c r="Z853" s="25" t="str">
        <x:v>https://revolutionaryhomebuyers.com/</x:v>
      </x:c>
      <x:c r="AA853" s="25" t="str">
        <x:v>Company describes buying houses throughout Maryland. Published general business contact observed: (443) 205-7707. SFR Analytics public directory lists REVOLUTIONARY HOME BUYERS LLC as an organization with a flipper strategy, 50 observed transactions and $6.51M tracked transaction volume. Observed listing market: Baltimore-Columbia-Towson, MD. This is third-party public-record research, not evidence of available cash, a $100K to $500K check, an operating-company investment mandate, or acceptance of this transaction.</x:v>
      </x:c>
      <x:c r="AB853" s="3" t="str">
        <x:v>New public-source collection</x:v>
      </x:c>
      <x:c r="AC853" s="3" t="str">
        <x:v>unverified</x:v>
      </x:c>
      <x:c r="AD853" s="3" t="str">
        <x:v>Not contacted / unconfirmed</x:v>
      </x:c>
      <x:c r="AE853" s="3" t="str">
        <x:v>Yes</x:v>
      </x:c>
      <x:c r="AF853" s="3" t="str">
        <x:v>Yes</x:v>
      </x:c>
      <x:c r="AG853" s="3"/>
      <x:c r="AH853" s="3" t="str">
        <x:v>Revolutionary Home Buyers</x:v>
      </x:c>
      <x:c r="AI853" s="18"/>
      <x:c r="AJ853" s="3" t="str">
        <x:v>CF2500-EE01A1E478E8</x:v>
      </x:c>
      <x:c r="AK853" s="3" t="str">
        <x:v>real_estate_operator</x:v>
      </x:c>
      <x:c r="AL853" s="19" t="n">
        <x:v>100000</x:v>
      </x:c>
      <x:c r="AM853" s="19" t="n">
        <x:v>500000</x:v>
      </x:c>
      <x:c r="AN853" s="3" t="str">
        <x:v>https://revolutionaryhomebuyers.com/</x:v>
      </x:c>
      <x:c r="AO853" s="3" t="str">
        <x:v>sfr_contact_enriched.jsonl</x:v>
      </x:c>
      <x:c r="AP853" s="19"/>
    </x:row>
    <x:row r="854" ht="36" customHeight="1">
      <x:c r="A854" s="23" t="n">
        <x:v>853</x:v>
      </x:c>
      <x:c r="B854" s="15" t="str">
        <x:v>VEGAS CASH HOME OFFER LLC</x:v>
      </x:c>
      <x:c r="C854" s="15"/>
      <x:c r="D854" s="15" t="str">
        <x:v>Property investor / home-buying operator</x:v>
      </x:c>
      <x:c r="E854" s="15" t="str">
        <x:v>Property investor / operator inquiry</x:v>
      </x:c>
      <x:c r="F854" s="17" t="str">
        <x:v>New</x:v>
      </x:c>
      <x:c r="G854" s="24" t="str">
        <x:v>offer@vegascashhomeoffer.com</x:v>
      </x:c>
      <x:c r="H854" s="24" t="str">
        <x:v>+17028255063</x:v>
      </x:c>
      <x:c r="I854" s="24" t="str">
        <x:v>https://vegascashhomeoffer.com/</x:v>
      </x:c>
      <x:c r="J854" s="16" t="str">
        <x:v>NV</x:v>
      </x:c>
      <x:c r="K854" s="16" t="str">
        <x:v>Henderson</x:v>
      </x:c>
      <x:c r="L854" s="16" t="str">
        <x:v>Public property-business route; investor decision maker unconfirmed</x:v>
      </x:c>
      <x:c r="M854" s="16" t="str">
        <x:v>https://vegascashhomeoffer.com/contact-us/</x:v>
      </x:c>
      <x:c r="N854" s="16" t="str">
        <x:v>$100K-$500K ticket not published / unconfirmed</x:v>
      </x:c>
      <x:c r="O854" s="20"/>
      <x:c r="P854" s="20"/>
      <x:c r="Q854" s="25" t="str">
        <x:v>No direct corporate-capital range established in checked source</x:v>
      </x:c>
      <x:c r="R854" s="25" t="str">
        <x:v>Property acquisition or investor activity makes this an operator-capital prospect for the signed trial. Confirm operating-company debt/equity appetite.</x:v>
      </x:c>
      <x:c r="S854" s="25" t="str">
        <x:v>Confirm the contact controls funding decisions; confirm willingness to invest in an operating company, current liquidity, $100K to $500K ticket size, required security and diligence.</x:v>
      </x:c>
      <x:c r="T854" s="25" t="str">
        <x:v>Ask the owner/investor whether they can allocate $100K-$500K to trial marketing and acquisitions, and confirm structure, timing and decision authority.</x:v>
      </x:c>
      <x:c r="U854" s="25" t="str">
        <x:v>https://vegascashhomeoffer.com/contact-us/
https://sfranalytics.com/investors/nv
https://sfranalytics.com/investors/nv/las-vegas-henderson-north-las-vegas-nv/vegas-cash-home-offer-llc-nv
https://sfranalytics.com/investors/nv/las-vegas-henderson-north-las-vegas-nv</x:v>
      </x:c>
      <x:c r="V854" s="26" t="d">
        <x:v>2026-10-02T00:00:00.000Z</x:v>
      </x:c>
      <x:c r="W854" s="26" t="d">
        <x:v>2026-10-03T00:00:00.000Z</x:v>
      </x:c>
      <x:c r="X854" s="25" t="str">
        <x:v>SFR Analytics public investor discovery plus official-company activity, geography and published business contact checks</x:v>
      </x:c>
      <x:c r="Y854" s="25" t="str">
        <x:v>https://vegascashhomeoffer.com/contact-us/</x:v>
      </x:c>
      <x:c r="Z854" s="25" t="str">
        <x:v>https://vegascashhomeoffer.com/contact-us/</x:v>
      </x:c>
      <x:c r="AA854" s="25" t="str">
        <x:v>Official company contact page describes buying homes in Las Vegas, Nevada and gives the Henderson business location. Published general business contact observed: (702) 825-5063. SFR Analytics public directory lists VEGAS CASH HOME OFFER LLC as an organization with a flipper strategy, 134 observed transactions and $41.5M tracked transaction volume. Observed listing market: Nevada. This is third-party public-record research, not evidence of available cash, a $100K to $500K check, an operating-company investment mandate, or acceptance of this transaction.</x:v>
      </x:c>
      <x:c r="AB854" s="3" t="str">
        <x:v>New public-source collection</x:v>
      </x:c>
      <x:c r="AC854" s="3" t="str">
        <x:v>unverified</x:v>
      </x:c>
      <x:c r="AD854" s="3" t="str">
        <x:v>Not contacted / unconfirmed</x:v>
      </x:c>
      <x:c r="AE854" s="3" t="str">
        <x:v>Yes</x:v>
      </x:c>
      <x:c r="AF854" s="3" t="str">
        <x:v>Yes</x:v>
      </x:c>
      <x:c r="AG854" s="3"/>
      <x:c r="AH854" s="3"/>
      <x:c r="AI854" s="18"/>
      <x:c r="AJ854" s="3" t="str">
        <x:v>CF2500-6B4B3F90D75E</x:v>
      </x:c>
      <x:c r="AK854" s="3" t="str">
        <x:v>real_estate_operator</x:v>
      </x:c>
      <x:c r="AL854" s="19" t="n">
        <x:v>100000</x:v>
      </x:c>
      <x:c r="AM854" s="19" t="n">
        <x:v>500000</x:v>
      </x:c>
      <x:c r="AN854" s="3" t="str">
        <x:v>https://vegascashhomeoffer.com/contact-us/</x:v>
      </x:c>
      <x:c r="AO854" s="3" t="str">
        <x:v>sfr_contact_enriched.jsonl</x:v>
      </x:c>
      <x:c r="AP854" s="19"/>
    </x:row>
    <x:row r="855" ht="36" customHeight="1">
      <x:c r="A855" s="23" t="n">
        <x:v>854</x:v>
      </x:c>
      <x:c r="B855" s="15" t="str">
        <x:v>AJ HOME SOLUTIONS LLC</x:v>
      </x:c>
      <x:c r="C855" s="15"/>
      <x:c r="D855" s="15" t="str">
        <x:v>Property investor / home-buying operator</x:v>
      </x:c>
      <x:c r="E855" s="15" t="str">
        <x:v>Property investor / operator inquiry</x:v>
      </x:c>
      <x:c r="F855" s="17" t="str">
        <x:v>New</x:v>
      </x:c>
      <x:c r="G855" s="24"/>
      <x:c r="H855" s="24" t="str">
        <x:v>+17174001477</x:v>
      </x:c>
      <x:c r="I855" s="24" t="str">
        <x:v>https://ajpayscash.com/</x:v>
      </x:c>
      <x:c r="J855" s="16" t="str">
        <x:v>PA</x:v>
      </x:c>
      <x:c r="K855" s="16" t="str">
        <x:v>Lancaster</x:v>
      </x:c>
      <x:c r="L855" s="16" t="str">
        <x:v>Public property-business route; investor decision maker unconfirmed</x:v>
      </x:c>
      <x:c r="M855" s="16" t="str">
        <x:v>https://ajpayscash.com/contact-us/</x:v>
      </x:c>
      <x:c r="N855" s="16" t="str">
        <x:v>$100K-$500K ticket not published / unconfirmed</x:v>
      </x:c>
      <x:c r="O855" s="20"/>
      <x:c r="P855" s="20"/>
      <x:c r="Q855" s="25" t="str">
        <x:v>No direct corporate-capital range established in checked source</x:v>
      </x:c>
      <x:c r="R855" s="25" t="str">
        <x:v>Property acquisition or investor activity makes this an operator-capital prospect for the signed trial. Confirm operating-company debt/equity appetite.</x:v>
      </x:c>
      <x:c r="S855" s="25" t="str">
        <x:v>Confirm the contact controls funding decisions; confirm willingness to invest in an operating company, current liquidity, $100K to $500K ticket size, required security and diligence.</x:v>
      </x:c>
      <x:c r="T855" s="25" t="str">
        <x:v>Ask the owner/investor whether they can allocate $100K-$500K to trial marketing and acquisitions, and confirm structure, timing and decision authority.</x:v>
      </x:c>
      <x:c r="U855" s="25" t="str">
        <x:v>https://ajpayscash.com/contact-us/
https://sfranalytics.com/investors/pa
https://sfranalytics.com/investors/pa/lancaster-pa/aj-home-solutions-llc-pa</x:v>
      </x:c>
      <x:c r="V855" s="26" t="d">
        <x:v>2026-10-02T00:00:00.000Z</x:v>
      </x:c>
      <x:c r="W855" s="26" t="d">
        <x:v>2026-10-03T00:00:00.000Z</x:v>
      </x:c>
      <x:c r="X855" s="25" t="str">
        <x:v>SFR Analytics public investor discovery plus official-company activity, geography and published business contact checks</x:v>
      </x:c>
      <x:c r="Y855" s="25"/>
      <x:c r="Z855" s="25" t="str">
        <x:v>https://ajpayscash.com/contact-us/</x:v>
      </x:c>
      <x:c r="AA855" s="25" t="str">
        <x:v>Official contact page names AJ Home Solutions LLC and describes direct cash purchases around Lancaster, Harrisburg and York, Pennsylvania. Published general business contact observed: (717) 400-1477. SFR Analytics public directory lists AJ HOME SOLUTIONS LLC as an organization with a flipper strategy, 92 observed transactions and $19.1M tracked transaction volume. Observed listing market: Pennsylvania. This is third-party public-record research, not evidence of available cash, a $100K to $500K check, an operating-company investment mandate, or acceptance of this transaction.</x:v>
      </x:c>
      <x:c r="AB855" s="3" t="str">
        <x:v>New public-source collection</x:v>
      </x:c>
      <x:c r="AC855" s="3" t="str">
        <x:v>unverified</x:v>
      </x:c>
      <x:c r="AD855" s="3" t="str">
        <x:v>Not contacted / unconfirmed</x:v>
      </x:c>
      <x:c r="AE855" s="3" t="str">
        <x:v>Yes</x:v>
      </x:c>
      <x:c r="AF855" s="3" t="str">
        <x:v>Yes</x:v>
      </x:c>
      <x:c r="AG855" s="3"/>
      <x:c r="AH855" s="3"/>
      <x:c r="AI855" s="18"/>
      <x:c r="AJ855" s="3" t="str">
        <x:v>CF2500-3E0DDE002269</x:v>
      </x:c>
      <x:c r="AK855" s="3" t="str">
        <x:v>real_estate_operator</x:v>
      </x:c>
      <x:c r="AL855" s="19" t="n">
        <x:v>100000</x:v>
      </x:c>
      <x:c r="AM855" s="19" t="n">
        <x:v>500000</x:v>
      </x:c>
      <x:c r="AN855" s="3" t="str">
        <x:v>https://ajpayscash.com/contact-us/</x:v>
      </x:c>
      <x:c r="AO855" s="3" t="str">
        <x:v>sfr_contact_enriched.jsonl</x:v>
      </x:c>
      <x:c r="AP855" s="19"/>
    </x:row>
    <x:row r="856" ht="36" customHeight="1">
      <x:c r="A856" s="23" t="n">
        <x:v>855</x:v>
      </x:c>
      <x:c r="B856" s="15" t="str">
        <x:v>BETTER ASSETS INC</x:v>
      </x:c>
      <x:c r="C856" s="15"/>
      <x:c r="D856" s="15" t="str">
        <x:v>Property investor / home-buying operator</x:v>
      </x:c>
      <x:c r="E856" s="15" t="str">
        <x:v>Property investor / operator inquiry</x:v>
      </x:c>
      <x:c r="F856" s="17" t="str">
        <x:v>New</x:v>
      </x:c>
      <x:c r="G856" s="24"/>
      <x:c r="H856" s="24" t="str">
        <x:v>+17028433516</x:v>
      </x:c>
      <x:c r="I856" s="24" t="str">
        <x:v>https://betterassetsinc.com/</x:v>
      </x:c>
      <x:c r="J856" s="16" t="str">
        <x:v>NV</x:v>
      </x:c>
      <x:c r="K856" s="16" t="str">
        <x:v>Las Vegas</x:v>
      </x:c>
      <x:c r="L856" s="16" t="str">
        <x:v>Public property-business route; investor decision maker unconfirmed</x:v>
      </x:c>
      <x:c r="M856" s="16" t="str">
        <x:v>https://betterassetsinc.com/</x:v>
      </x:c>
      <x:c r="N856" s="16" t="str">
        <x:v>$100K-$500K ticket not published / unconfirmed</x:v>
      </x:c>
      <x:c r="O856" s="20"/>
      <x:c r="P856" s="20"/>
      <x:c r="Q856" s="25" t="str">
        <x:v>No direct corporate-capital range established in checked source</x:v>
      </x:c>
      <x:c r="R856" s="25" t="str">
        <x:v>Property acquisition or investor activity makes this an operator-capital prospect for the signed trial. Confirm operating-company debt/equity appetite.</x:v>
      </x:c>
      <x:c r="S856" s="25" t="str">
        <x:v>Confirm the contact controls funding decisions; confirm willingness to invest in an operating company, current liquidity, $100K to $500K ticket size, required security and diligence.</x:v>
      </x:c>
      <x:c r="T856" s="25" t="str">
        <x:v>Ask the owner/investor whether they can allocate $100K-$500K to trial marketing and acquisitions, and confirm structure, timing and decision authority.</x:v>
      </x:c>
      <x:c r="U856" s="25" t="str">
        <x:v>https://betterassetsinc.com/
https://sfranalytics.com/investors
https://sfranalytics.com/investors/nv/las-vegas-henderson-north-las-vegas-nv/better-assets-inc-nv
https://sfranalytics.com/investors/nv
https://sfranalytics.com/investors/nv/las-vegas-henderson-north-las-vegas-nv</x:v>
      </x:c>
      <x:c r="V856" s="26" t="d">
        <x:v>2026-10-02T00:00:00.000Z</x:v>
      </x:c>
      <x:c r="W856" s="26" t="d">
        <x:v>2026-10-03T00:00:00.000Z</x:v>
      </x:c>
      <x:c r="X856" s="25" t="str">
        <x:v>SFR Analytics public investor discovery plus official-company activity, geography and published business contact checks</x:v>
      </x:c>
      <x:c r="Y856" s="25"/>
      <x:c r="Z856" s="25" t="str">
        <x:v>https://betterassetsinc.com/</x:v>
      </x:c>
      <x:c r="AA856" s="25" t="str">
        <x:v>Company site identifies Better Assets Inc, based in Las Vegas, and residential acquisition, rehabilitation, management and sale in Nevada and Arizona. Published general business contact observed: (702) 843-3516. SFR Analytics public directory lists BETTER ASSETS INC as an organization with a flipper strategy, 674 observed transactions and $179.2M tracked transaction volume. Observed listing market: Real Estate Investor Directory. This is third-party public-record research, not evidence of available cash, a $100K to $500K check, an operating-company investment mandate, or acceptance of this transaction.</x:v>
      </x:c>
      <x:c r="AB856" s="3" t="str">
        <x:v>New public-source collection</x:v>
      </x:c>
      <x:c r="AC856" s="3" t="str">
        <x:v>unverified</x:v>
      </x:c>
      <x:c r="AD856" s="3" t="str">
        <x:v>Not contacted / unconfirmed</x:v>
      </x:c>
      <x:c r="AE856" s="3" t="str">
        <x:v>Yes</x:v>
      </x:c>
      <x:c r="AF856" s="3" t="str">
        <x:v>Yes</x:v>
      </x:c>
      <x:c r="AG856" s="3"/>
      <x:c r="AH856" s="3"/>
      <x:c r="AI856" s="18"/>
      <x:c r="AJ856" s="3" t="str">
        <x:v>CF2500-217EF4912872</x:v>
      </x:c>
      <x:c r="AK856" s="3" t="str">
        <x:v>real_estate_operator</x:v>
      </x:c>
      <x:c r="AL856" s="19" t="n">
        <x:v>100000</x:v>
      </x:c>
      <x:c r="AM856" s="19" t="n">
        <x:v>500000</x:v>
      </x:c>
      <x:c r="AN856" s="3" t="str">
        <x:v>https://betterassetsinc.com/</x:v>
      </x:c>
      <x:c r="AO856" s="3" t="str">
        <x:v>sfr_contact_enriched.jsonl</x:v>
      </x:c>
      <x:c r="AP856" s="19"/>
    </x:row>
    <x:row r="857" ht="36" customHeight="1">
      <x:c r="A857" s="23" t="n">
        <x:v>856</x:v>
      </x:c>
      <x:c r="B857" s="15" t="str">
        <x:v>CB HOME SOLUTIONS LLC</x:v>
      </x:c>
      <x:c r="C857" s="15"/>
      <x:c r="D857" s="15" t="str">
        <x:v>Property investor / home-buying operator</x:v>
      </x:c>
      <x:c r="E857" s="15" t="str">
        <x:v>Property investor / operator inquiry</x:v>
      </x:c>
      <x:c r="F857" s="17" t="str">
        <x:v>New</x:v>
      </x:c>
      <x:c r="G857" s="24"/>
      <x:c r="H857" s="24" t="str">
        <x:v>+19202524243</x:v>
      </x:c>
      <x:c r="I857" s="24" t="str">
        <x:v>https://www.wimultifamily.com/</x:v>
      </x:c>
      <x:c r="J857" s="16" t="str">
        <x:v>WI</x:v>
      </x:c>
      <x:c r="K857" s="16"/>
      <x:c r="L857" s="16" t="str">
        <x:v>Public property-business route; investor decision maker unconfirmed</x:v>
      </x:c>
      <x:c r="M857" s="16" t="str">
        <x:v>https://www.wimultifamily.com/contact-us/</x:v>
      </x:c>
      <x:c r="N857" s="16" t="str">
        <x:v>$100K-$500K ticket not published / unconfirmed</x:v>
      </x:c>
      <x:c r="O857" s="20"/>
      <x:c r="P857" s="20"/>
      <x:c r="Q857" s="25" t="str">
        <x:v>No direct corporate-capital range established in checked source</x:v>
      </x:c>
      <x:c r="R857" s="25" t="str">
        <x:v>Property acquisition or investor activity makes this an operator-capital prospect for the signed trial. Confirm operating-company debt/equity appetite.</x:v>
      </x:c>
      <x:c r="S857" s="25" t="str">
        <x:v>Confirm the contact controls funding decisions; confirm willingness to invest in an operating company, current liquidity, $100K to $500K ticket size, required security and diligence.</x:v>
      </x:c>
      <x:c r="T857" s="25" t="str">
        <x:v>Ask the owner/investor whether they can allocate $100K-$500K to trial marketing and acquisitions, and confirm structure, timing and decision authority.</x:v>
      </x:c>
      <x:c r="U857" s="25" t="str">
        <x:v>https://www.wimultifamily.com/contact-us/
https://sfranalytics.com/investors/wi
https://sfranalytics.com/investors/wi/oshkosh-neenah-wi/cb-home-solutions-llc-wi</x:v>
      </x:c>
      <x:c r="V857" s="26" t="d">
        <x:v>2026-10-02T00:00:00.000Z</x:v>
      </x:c>
      <x:c r="W857" s="26" t="d">
        <x:v>2026-10-03T00:00:00.000Z</x:v>
      </x:c>
      <x:c r="X857" s="25" t="str">
        <x:v>SFR Analytics public investor discovery plus official-company activity, geography and published business contact checks</x:v>
      </x:c>
      <x:c r="Y857" s="25"/>
      <x:c r="Z857" s="25" t="str">
        <x:v>https://www.wimultifamily.com/contact-us/</x:v>
      </x:c>
      <x:c r="AA857" s="25" t="str">
        <x:v>Company-branded page names CB Home Solutions LLC and describes buying commercial properties in Wisconsin. Published general business contact observed: (920) 252-4243. SFR Analytics public directory lists CB HOME SOLUTIONS LLC as an organization with a flipper strategy, 118 observed transactions and $18.4M tracked transaction volume. Observed listing market: Wisconsin. This is third-party public-record research, not evidence of available cash, a $100K to $500K check, an operating-company investment mandate, or acceptance of this transaction.</x:v>
      </x:c>
      <x:c r="AB857" s="3" t="str">
        <x:v>New public-source collection</x:v>
      </x:c>
      <x:c r="AC857" s="3" t="str">
        <x:v>unverified</x:v>
      </x:c>
      <x:c r="AD857" s="3" t="str">
        <x:v>Not contacted / unconfirmed</x:v>
      </x:c>
      <x:c r="AE857" s="3" t="str">
        <x:v>Yes</x:v>
      </x:c>
      <x:c r="AF857" s="3" t="str">
        <x:v>Yes</x:v>
      </x:c>
      <x:c r="AG857" s="3"/>
      <x:c r="AH857" s="3"/>
      <x:c r="AI857" s="18"/>
      <x:c r="AJ857" s="3" t="str">
        <x:v>CF2500-609AADF2E4E9</x:v>
      </x:c>
      <x:c r="AK857" s="3" t="str">
        <x:v>real_estate_operator</x:v>
      </x:c>
      <x:c r="AL857" s="19" t="n">
        <x:v>100000</x:v>
      </x:c>
      <x:c r="AM857" s="19" t="n">
        <x:v>500000</x:v>
      </x:c>
      <x:c r="AN857" s="3" t="str">
        <x:v>https://www.wimultifamily.com/contact-us/</x:v>
      </x:c>
      <x:c r="AO857" s="3" t="str">
        <x:v>sfr_contact_enriched.jsonl</x:v>
      </x:c>
      <x:c r="AP857" s="19"/>
    </x:row>
    <x:row r="858" ht="36" customHeight="1">
      <x:c r="A858" s="23" t="n">
        <x:v>857</x:v>
      </x:c>
      <x:c r="B858" s="15" t="str">
        <x:v>CVG HOME BUYERS LLC</x:v>
      </x:c>
      <x:c r="C858" s="15"/>
      <x:c r="D858" s="15" t="str">
        <x:v>Property investor / home-buying operator</x:v>
      </x:c>
      <x:c r="E858" s="15" t="str">
        <x:v>Property investor / operator inquiry</x:v>
      </x:c>
      <x:c r="F858" s="17" t="str">
        <x:v>New</x:v>
      </x:c>
      <x:c r="G858" s="24"/>
      <x:c r="H858" s="24" t="str">
        <x:v>+15136060215</x:v>
      </x:c>
      <x:c r="I858" s="24" t="str">
        <x:v>https://www.cvghomebuyers.com/</x:v>
      </x:c>
      <x:c r="J858" s="16" t="str">
        <x:v>OH</x:v>
      </x:c>
      <x:c r="K858" s="16"/>
      <x:c r="L858" s="16" t="str">
        <x:v>Public property-business route; investor decision maker unconfirmed</x:v>
      </x:c>
      <x:c r="M858" s="16" t="str">
        <x:v>https://www.cvghomebuyers.com/contact-us/</x:v>
      </x:c>
      <x:c r="N858" s="16" t="str">
        <x:v>$100K-$500K ticket not published / unconfirmed</x:v>
      </x:c>
      <x:c r="O858" s="20"/>
      <x:c r="P858" s="20"/>
      <x:c r="Q858" s="25" t="str">
        <x:v>No direct corporate-capital range established in checked source</x:v>
      </x:c>
      <x:c r="R858" s="25" t="str">
        <x:v>Property acquisition or investor activity makes this an operator-capital prospect for the signed trial. Confirm operating-company debt/equity appetite.</x:v>
      </x:c>
      <x:c r="S858" s="25" t="str">
        <x:v>Confirm the contact controls funding decisions; confirm willingness to invest in an operating company, current liquidity, $100K to $500K ticket size, required security and diligence.</x:v>
      </x:c>
      <x:c r="T858" s="25" t="str">
        <x:v>Ask the owner/investor whether they can allocate $100K-$500K to trial marketing and acquisitions, and confirm structure, timing and decision authority.</x:v>
      </x:c>
      <x:c r="U858" s="25" t="str">
        <x:v>https://www.cvghomebuyers.com/contact-us/
https://sfranalytics.com/investors/oh/cincinnati-oh-ky-in
https://sfranalytics.com/investors/oh/cincinnati-oh-ky-in/cvg-home-buyers-llc-oh</x:v>
      </x:c>
      <x:c r="V858" s="26" t="d">
        <x:v>2026-10-02T00:00:00.000Z</x:v>
      </x:c>
      <x:c r="W858" s="26" t="d">
        <x:v>2026-10-03T00:00:00.000Z</x:v>
      </x:c>
      <x:c r="X858" s="25" t="str">
        <x:v>SFR Analytics public investor discovery plus official-company activity, geography and published business contact checks</x:v>
      </x:c>
      <x:c r="Y858" s="25"/>
      <x:c r="Z858" s="25" t="str">
        <x:v>https://www.cvghomebuyers.com/contact-us/</x:v>
      </x:c>
      <x:c r="AA858" s="25" t="str">
        <x:v>Company contact page explicitly describes buying Ohio homes for cash. Published general business contact observed: (513) 606-0215. SFR Analytics public directory lists CVG HOME BUYERS LLC as an organization with a flipper strategy, 77 observed transactions and $10.1M tracked transaction volume. Observed listing market: Cincinnati, OH-KY-IN. This is third-party public-record research, not evidence of available cash, a $100K to $500K check, an operating-company investment mandate, or acceptance of this transaction.</x:v>
      </x:c>
      <x:c r="AB858" s="3" t="str">
        <x:v>New public-source collection</x:v>
      </x:c>
      <x:c r="AC858" s="3" t="str">
        <x:v>unverified</x:v>
      </x:c>
      <x:c r="AD858" s="3" t="str">
        <x:v>Not contacted / unconfirmed</x:v>
      </x:c>
      <x:c r="AE858" s="3" t="str">
        <x:v>Yes</x:v>
      </x:c>
      <x:c r="AF858" s="3" t="str">
        <x:v>Yes</x:v>
      </x:c>
      <x:c r="AG858" s="3"/>
      <x:c r="AH858" s="3"/>
      <x:c r="AI858" s="18"/>
      <x:c r="AJ858" s="3" t="str">
        <x:v>CF2500-9721F5620A6B</x:v>
      </x:c>
      <x:c r="AK858" s="3" t="str">
        <x:v>real_estate_operator</x:v>
      </x:c>
      <x:c r="AL858" s="19" t="n">
        <x:v>100000</x:v>
      </x:c>
      <x:c r="AM858" s="19" t="n">
        <x:v>500000</x:v>
      </x:c>
      <x:c r="AN858" s="3" t="str">
        <x:v>https://www.cvghomebuyers.com/contact-us/</x:v>
      </x:c>
      <x:c r="AO858" s="3" t="str">
        <x:v>sfr_contact_enriched.jsonl</x:v>
      </x:c>
      <x:c r="AP858" s="19"/>
    </x:row>
    <x:row r="859" ht="36" customHeight="1">
      <x:c r="A859" s="23" t="n">
        <x:v>858</x:v>
      </x:c>
      <x:c r="B859" s="15" t="str">
        <x:v>HALL OF FAME HOME BUYERS LLC</x:v>
      </x:c>
      <x:c r="C859" s="15"/>
      <x:c r="D859" s="15" t="str">
        <x:v>Property investor / home-buying operator</x:v>
      </x:c>
      <x:c r="E859" s="15" t="str">
        <x:v>Property investor / operator inquiry</x:v>
      </x:c>
      <x:c r="F859" s="17" t="str">
        <x:v>New</x:v>
      </x:c>
      <x:c r="G859" s="24"/>
      <x:c r="H859" s="24" t="str">
        <x:v>+18565121704</x:v>
      </x:c>
      <x:c r="I859" s="24" t="str">
        <x:v>https://www.hofhomebuyers.net/</x:v>
      </x:c>
      <x:c r="J859" s="16" t="str">
        <x:v>NJ</x:v>
      </x:c>
      <x:c r="K859" s="16"/>
      <x:c r="L859" s="16" t="str">
        <x:v>Public property-business route; investor decision maker unconfirmed</x:v>
      </x:c>
      <x:c r="M859" s="16" t="str">
        <x:v>https://www.hofhomebuyers.net/contact-us/</x:v>
      </x:c>
      <x:c r="N859" s="16" t="str">
        <x:v>$100K-$500K ticket not published / unconfirmed</x:v>
      </x:c>
      <x:c r="O859" s="20"/>
      <x:c r="P859" s="20"/>
      <x:c r="Q859" s="25" t="str">
        <x:v>No direct corporate-capital range established in checked source</x:v>
      </x:c>
      <x:c r="R859" s="25" t="str">
        <x:v>Property acquisition or investor activity makes this an operator-capital prospect for the signed trial. Confirm operating-company debt/equity appetite.</x:v>
      </x:c>
      <x:c r="S859" s="25" t="str">
        <x:v>Confirm the contact controls funding decisions; confirm willingness to invest in an operating company, current liquidity, $100K to $500K ticket size, required security and diligence.</x:v>
      </x:c>
      <x:c r="T859" s="25" t="str">
        <x:v>Ask the owner/investor whether they can allocate $100K-$500K to trial marketing and acquisitions, and confirm structure, timing and decision authority.</x:v>
      </x:c>
      <x:c r="U859" s="25" t="str">
        <x:v>https://www.hofhomebuyers.net/contact-us/
https://sfranalytics.com/investors/nj
https://sfranalytics.com/investors/nj/philadelphia-camden-wilmington-pa-nj-de-md/hall-of-fame-home-buyers-llc-nj</x:v>
      </x:c>
      <x:c r="V859" s="26" t="d">
        <x:v>2026-10-02T00:00:00.000Z</x:v>
      </x:c>
      <x:c r="W859" s="26" t="d">
        <x:v>2026-10-03T00:00:00.000Z</x:v>
      </x:c>
      <x:c r="X859" s="25" t="str">
        <x:v>SFR Analytics public investor discovery plus official-company activity, geography and published business contact checks</x:v>
      </x:c>
      <x:c r="Y859" s="25"/>
      <x:c r="Z859" s="25" t="str">
        <x:v>https://www.hofhomebuyers.net/contact-us/</x:v>
      </x:c>
      <x:c r="AA859" s="25" t="str">
        <x:v>Company describes buying houses in New Jersey and Pennsylvania. Published general business contact observed: (856) 512-1704. SFR Analytics public directory lists HALL OF FAME HOME BUYERS LLC as an organization with a flipper strategy, 343 observed transactions and $68.2M tracked transaction volume. Observed listing market: New Jersey. This is third-party public-record research, not evidence of available cash, a $100K to $500K check, an operating-company investment mandate, or acceptance of this transaction.</x:v>
      </x:c>
      <x:c r="AB859" s="3" t="str">
        <x:v>New public-source collection</x:v>
      </x:c>
      <x:c r="AC859" s="3" t="str">
        <x:v>unverified</x:v>
      </x:c>
      <x:c r="AD859" s="3" t="str">
        <x:v>Not contacted / unconfirmed</x:v>
      </x:c>
      <x:c r="AE859" s="3" t="str">
        <x:v>Yes</x:v>
      </x:c>
      <x:c r="AF859" s="3" t="str">
        <x:v>Yes</x:v>
      </x:c>
      <x:c r="AG859" s="3"/>
      <x:c r="AH859" s="3"/>
      <x:c r="AI859" s="18"/>
      <x:c r="AJ859" s="3" t="str">
        <x:v>CF2500-A4CFDCF30FF5</x:v>
      </x:c>
      <x:c r="AK859" s="3" t="str">
        <x:v>real_estate_operator</x:v>
      </x:c>
      <x:c r="AL859" s="19" t="n">
        <x:v>100000</x:v>
      </x:c>
      <x:c r="AM859" s="19" t="n">
        <x:v>500000</x:v>
      </x:c>
      <x:c r="AN859" s="3" t="str">
        <x:v>https://www.hofhomebuyers.net/contact-us/</x:v>
      </x:c>
      <x:c r="AO859" s="3" t="str">
        <x:v>sfr_contact_enriched.jsonl</x:v>
      </x:c>
      <x:c r="AP859" s="19"/>
    </x:row>
    <x:row r="860" ht="36" customHeight="1">
      <x:c r="A860" s="23" t="n">
        <x:v>859</x:v>
      </x:c>
      <x:c r="B860" s="15" t="str">
        <x:v>HOUSE BUYERS OF AMERICA INC</x:v>
      </x:c>
      <x:c r="C860" s="15"/>
      <x:c r="D860" s="15" t="str">
        <x:v>Property investor / home-buying operator</x:v>
      </x:c>
      <x:c r="E860" s="15" t="str">
        <x:v>Property investor / operator inquiry</x:v>
      </x:c>
      <x:c r="F860" s="17" t="str">
        <x:v>New</x:v>
      </x:c>
      <x:c r="G860" s="24"/>
      <x:c r="H860" s="24" t="str">
        <x:v>+18556593289</x:v>
      </x:c>
      <x:c r="I860" s="24" t="str">
        <x:v>https://www.housebuyersofamerica.com/</x:v>
      </x:c>
      <x:c r="J860" s="16" t="str">
        <x:v>MD</x:v>
      </x:c>
      <x:c r="K860" s="16"/>
      <x:c r="L860" s="16" t="str">
        <x:v>Public property-business route; investor decision maker unconfirmed</x:v>
      </x:c>
      <x:c r="M860" s="16" t="str">
        <x:v>https://www.housebuyersofamerica.com/contact-us</x:v>
      </x:c>
      <x:c r="N860" s="16" t="str">
        <x:v>$100K-$500K ticket not published / unconfirmed</x:v>
      </x:c>
      <x:c r="O860" s="20"/>
      <x:c r="P860" s="20"/>
      <x:c r="Q860" s="25" t="str">
        <x:v>No direct corporate-capital range established in checked source</x:v>
      </x:c>
      <x:c r="R860" s="25" t="str">
        <x:v>Property acquisition or investor activity makes this an operator-capital prospect for the signed trial. Confirm operating-company debt/equity appetite.</x:v>
      </x:c>
      <x:c r="S860" s="25" t="str">
        <x:v>Confirm the contact controls funding decisions; confirm willingness to invest in an operating company, current liquidity, $100K to $500K ticket size, required security and diligence.</x:v>
      </x:c>
      <x:c r="T860" s="25" t="str">
        <x:v>Ask the owner/investor whether they can allocate $100K-$500K to trial marketing and acquisitions, and confirm structure, timing and decision authority.</x:v>
      </x:c>
      <x:c r="U860" s="25" t="str">
        <x:v>https://www.housebuyersofamerica.com/contact-us
https://sfranalytics.com/investors/md
https://sfranalytics.com/investors/md/baltimore-columbia-towson-md/house-buyers-of-america-inc-md
https://sfranalytics.com/investors/md/baltimore-columbia-towson-md</x:v>
      </x:c>
      <x:c r="V860" s="26" t="d">
        <x:v>2026-10-02T00:00:00.000Z</x:v>
      </x:c>
      <x:c r="W860" s="26" t="d">
        <x:v>2026-10-03T00:00:00.000Z</x:v>
      </x:c>
      <x:c r="X860" s="25" t="str">
        <x:v>SFR Analytics public investor discovery plus official-company activity, geography and published business contact checks</x:v>
      </x:c>
      <x:c r="Y860" s="25"/>
      <x:c r="Z860" s="25" t="str">
        <x:v>https://www.housebuyersofamerica.com/contact-us</x:v>
      </x:c>
      <x:c r="AA860" s="25" t="str">
        <x:v>Official company contact page describes buying houses and publishes Maryland service links. Published general business contact observed: (855) 659-3289. SFR Analytics public directory lists HOUSE BUYERS OF AMERICA INC as an organization with a flipper strategy, 265 observed transactions and $55.5M tracked transaction volume. Observed listing market: Maryland. This is third-party public-record research, not evidence of available cash, a $100K to $500K check, an operating-company investment mandate, or acceptance of this transaction.</x:v>
      </x:c>
      <x:c r="AB860" s="3" t="str">
        <x:v>New public-source collection</x:v>
      </x:c>
      <x:c r="AC860" s="3" t="str">
        <x:v>unverified</x:v>
      </x:c>
      <x:c r="AD860" s="3" t="str">
        <x:v>Not contacted / unconfirmed</x:v>
      </x:c>
      <x:c r="AE860" s="3" t="str">
        <x:v>Yes</x:v>
      </x:c>
      <x:c r="AF860" s="3" t="str">
        <x:v>Yes</x:v>
      </x:c>
      <x:c r="AG860" s="3"/>
      <x:c r="AH860" s="3"/>
      <x:c r="AI860" s="18"/>
      <x:c r="AJ860" s="3" t="str">
        <x:v>CF2500-E4B9AA1E221F</x:v>
      </x:c>
      <x:c r="AK860" s="3" t="str">
        <x:v>real_estate_operator</x:v>
      </x:c>
      <x:c r="AL860" s="19" t="n">
        <x:v>100000</x:v>
      </x:c>
      <x:c r="AM860" s="19" t="n">
        <x:v>500000</x:v>
      </x:c>
      <x:c r="AN860" s="3" t="str">
        <x:v>https://www.housebuyersofamerica.com/contact-us</x:v>
      </x:c>
      <x:c r="AO860" s="3" t="str">
        <x:v>sfr_contact_enriched.jsonl</x:v>
      </x:c>
      <x:c r="AP860" s="19"/>
    </x:row>
    <x:row r="861" ht="36" customHeight="1">
      <x:c r="A861" s="23" t="n">
        <x:v>860</x:v>
      </x:c>
      <x:c r="B861" s="15" t="str">
        <x:v>INTEGRITY FIRST HOME BUYERS LLC</x:v>
      </x:c>
      <x:c r="C861" s="15"/>
      <x:c r="D861" s="15" t="str">
        <x:v>Property investor / home-buying operator</x:v>
      </x:c>
      <x:c r="E861" s="15" t="str">
        <x:v>Property investor / operator inquiry</x:v>
      </x:c>
      <x:c r="F861" s="17" t="str">
        <x:v>New</x:v>
      </x:c>
      <x:c r="G861" s="24"/>
      <x:c r="H861" s="24" t="str">
        <x:v>+17177143307</x:v>
      </x:c>
      <x:c r="I861" s="24" t="str">
        <x:v>https://www.integrityfirsthomebuyers.com/</x:v>
      </x:c>
      <x:c r="J861" s="16" t="str">
        <x:v>PA</x:v>
      </x:c>
      <x:c r="K861" s="16" t="str">
        <x:v>York</x:v>
      </x:c>
      <x:c r="L861" s="16" t="str">
        <x:v>Public property-business route; investor decision maker unconfirmed</x:v>
      </x:c>
      <x:c r="M861" s="16" t="str">
        <x:v>https://www.integrityfirsthomebuyers.com/contact/</x:v>
      </x:c>
      <x:c r="N861" s="16" t="str">
        <x:v>$100K-$500K ticket not published / unconfirmed</x:v>
      </x:c>
      <x:c r="O861" s="20"/>
      <x:c r="P861" s="20"/>
      <x:c r="Q861" s="25" t="str">
        <x:v>No direct corporate-capital range established in checked source</x:v>
      </x:c>
      <x:c r="R861" s="25" t="str">
        <x:v>Property acquisition or investor activity makes this an operator-capital prospect for the signed trial. Confirm operating-company debt/equity appetite.</x:v>
      </x:c>
      <x:c r="S861" s="25" t="str">
        <x:v>Confirm the contact controls funding decisions; confirm willingness to invest in an operating company, current liquidity, $100K to $500K ticket size, required security and diligence.</x:v>
      </x:c>
      <x:c r="T861" s="25" t="str">
        <x:v>Ask the owner/investor whether they can allocate $100K-$500K to trial marketing and acquisitions, and confirm structure, timing and decision authority.</x:v>
      </x:c>
      <x:c r="U861" s="25" t="str">
        <x:v>https://www.integrityfirsthomebuyers.com/contact/
https://sfranalytics.com/investors
https://sfranalytics.com/investors/pa/york-hanover-pa/integrity-first-home-buyers-llc-pa
https://sfranalytics.com/investors/pa
https://www.cashhomebuyersdirectory.com/cash-home-buyers/pennsylvania/york</x:v>
      </x:c>
      <x:c r="V861" s="26" t="d">
        <x:v>2026-10-02T00:00:00.000Z</x:v>
      </x:c>
      <x:c r="W861" s="26" t="d">
        <x:v>2026-10-03T00:00:00.000Z</x:v>
      </x:c>
      <x:c r="X861" s="25" t="str">
        <x:v>SFR Analytics public investor discovery plus official-company activity, geography and published business contact checks</x:v>
      </x:c>
      <x:c r="Y861" s="25"/>
      <x:c r="Z861" s="25" t="str">
        <x:v>https://www.integrityfirsthomebuyers.com/contact/</x:v>
      </x:c>
      <x:c r="AA861" s="25" t="str">
        <x:v>Official company contact page identifies the York, Pennsylvania home buying business. Published general business contact observed: (717) 714-3307. SFR Analytics public directory lists INTEGRITY FIRST HOME BUYERS LLC as an organization with a flipper strategy, 761 observed transactions and $101.3M tracked transaction volume. Observed listing market: Real Estate Investor Directory. This is third-party public-record research, not evidence of available cash, a $100K to $500K check, an operating-company investment mandate, or acceptance of this transaction.</x:v>
      </x:c>
      <x:c r="AB861" s="3" t="str">
        <x:v>New public-source collection</x:v>
      </x:c>
      <x:c r="AC861" s="3" t="str">
        <x:v>unverified</x:v>
      </x:c>
      <x:c r="AD861" s="3" t="str">
        <x:v>Not contacted / unconfirmed</x:v>
      </x:c>
      <x:c r="AE861" s="3" t="str">
        <x:v>Yes</x:v>
      </x:c>
      <x:c r="AF861" s="3" t="str">
        <x:v>Yes</x:v>
      </x:c>
      <x:c r="AG861" s="3"/>
      <x:c r="AH861" s="3" t="str">
        <x:v>Integrity First Home Buyers</x:v>
      </x:c>
      <x:c r="AI861" s="18"/>
      <x:c r="AJ861" s="3" t="str">
        <x:v>CF2500-02AD0A65F86C</x:v>
      </x:c>
      <x:c r="AK861" s="3" t="str">
        <x:v>real_estate_operator</x:v>
      </x:c>
      <x:c r="AL861" s="19" t="n">
        <x:v>100000</x:v>
      </x:c>
      <x:c r="AM861" s="19" t="n">
        <x:v>500000</x:v>
      </x:c>
      <x:c r="AN861" s="3" t="str">
        <x:v>https://www.integrityfirsthomebuyers.com/contact/</x:v>
      </x:c>
      <x:c r="AO861" s="3" t="str">
        <x:v>sfr_contact_enriched.jsonl</x:v>
      </x:c>
      <x:c r="AP861" s="19"/>
    </x:row>
    <x:row r="862" ht="36" customHeight="1">
      <x:c r="A862" s="23" t="n">
        <x:v>861</x:v>
      </x:c>
      <x:c r="B862" s="15" t="str">
        <x:v>MARKO HOME SOLUTIONS LLC</x:v>
      </x:c>
      <x:c r="C862" s="15"/>
      <x:c r="D862" s="15" t="str">
        <x:v>Property investor / home-buying operator</x:v>
      </x:c>
      <x:c r="E862" s="15" t="str">
        <x:v>Property investor / operator inquiry</x:v>
      </x:c>
      <x:c r="F862" s="17" t="str">
        <x:v>New</x:v>
      </x:c>
      <x:c r="G862" s="24"/>
      <x:c r="H862" s="24" t="str">
        <x:v>+14409015044</x:v>
      </x:c>
      <x:c r="I862" s="24" t="str">
        <x:v>https://markohomebuyers.com/</x:v>
      </x:c>
      <x:c r="J862" s="16" t="str">
        <x:v>OH</x:v>
      </x:c>
      <x:c r="K862" s="16" t="str">
        <x:v>Grand River</x:v>
      </x:c>
      <x:c r="L862" s="16" t="str">
        <x:v>Public property-business route; investor decision maker unconfirmed</x:v>
      </x:c>
      <x:c r="M862" s="16" t="str">
        <x:v>https://markohomebuyers.com/contact/</x:v>
      </x:c>
      <x:c r="N862" s="16" t="str">
        <x:v>$100K-$500K ticket not published / unconfirmed</x:v>
      </x:c>
      <x:c r="O862" s="20"/>
      <x:c r="P862" s="20"/>
      <x:c r="Q862" s="25" t="str">
        <x:v>No direct corporate-capital range established in checked source</x:v>
      </x:c>
      <x:c r="R862" s="25" t="str">
        <x:v>Property acquisition or investor activity makes this an operator-capital prospect for the signed trial. Confirm operating-company debt/equity appetite.</x:v>
      </x:c>
      <x:c r="S862" s="25" t="str">
        <x:v>Confirm the contact controls funding decisions; confirm willingness to invest in an operating company, current liquidity, $100K to $500K ticket size, required security and diligence.</x:v>
      </x:c>
      <x:c r="T862" s="25" t="str">
        <x:v>Ask the owner/investor whether they can allocate $100K-$500K to trial marketing and acquisitions, and confirm structure, timing and decision authority.</x:v>
      </x:c>
      <x:c r="U862" s="25" t="str">
        <x:v>https://markohomebuyers.com/contact/
https://sfranalytics.com/investors/oh/cleveland-oh
https://sfranalytics.com/investors/oh/cleveland-oh/marko-home-solutions-llc-oh
https://markohomebuyers.com/</x:v>
      </x:c>
      <x:c r="V862" s="26" t="d">
        <x:v>2026-10-02T00:00:00.000Z</x:v>
      </x:c>
      <x:c r="W862" s="26" t="d">
        <x:v>2026-10-03T00:00:00.000Z</x:v>
      </x:c>
      <x:c r="X862" s="25" t="str">
        <x:v>SFR Analytics public investor discovery plus official-company activity, geography and published business contact checks</x:v>
      </x:c>
      <x:c r="Y862" s="25"/>
      <x:c r="Z862" s="25" t="str">
        <x:v>https://markohomebuyers.com/contact/</x:v>
      </x:c>
      <x:c r="AA862" s="25" t="str">
        <x:v>Official brand contact page gives a Grand River, Ohio business location. The company homepage names Marko Home Solutions LLC as the business behind Marko Home Buyers. Published general business contact observed: (440) 901-5044. SFR Analytics public directory lists MARKO HOME SOLUTIONS LLC as an organization with a flipper strategy, 50 observed transactions and $5.74M tracked transaction volume. Observed listing market: Cleveland, OH. This is third-party public-record research, not evidence of available cash, a $100K to $500K check, an operating-company investment mandate, or acceptance of this transaction.</x:v>
      </x:c>
      <x:c r="AB862" s="3" t="str">
        <x:v>New public-source collection</x:v>
      </x:c>
      <x:c r="AC862" s="3" t="str">
        <x:v>unverified</x:v>
      </x:c>
      <x:c r="AD862" s="3" t="str">
        <x:v>Not contacted / unconfirmed</x:v>
      </x:c>
      <x:c r="AE862" s="3" t="str">
        <x:v>Yes</x:v>
      </x:c>
      <x:c r="AF862" s="3" t="str">
        <x:v>Yes</x:v>
      </x:c>
      <x:c r="AG862" s="3"/>
      <x:c r="AH862" s="3"/>
      <x:c r="AI862" s="18"/>
      <x:c r="AJ862" s="3" t="str">
        <x:v>CF2500-4EF356230D14</x:v>
      </x:c>
      <x:c r="AK862" s="3" t="str">
        <x:v>real_estate_operator</x:v>
      </x:c>
      <x:c r="AL862" s="19" t="n">
        <x:v>100000</x:v>
      </x:c>
      <x:c r="AM862" s="19" t="n">
        <x:v>500000</x:v>
      </x:c>
      <x:c r="AN862" s="3" t="str">
        <x:v>https://markohomebuyers.com/contact/</x:v>
      </x:c>
      <x:c r="AO862" s="3" t="str">
        <x:v>sfr_contact_enriched.jsonl</x:v>
      </x:c>
      <x:c r="AP862" s="19"/>
    </x:row>
    <x:row r="863" ht="36" customHeight="1">
      <x:c r="A863" s="23" t="n">
        <x:v>862</x:v>
      </x:c>
      <x:c r="B863" s="15" t="str">
        <x:v>NH HOME BUYERS LLC</x:v>
      </x:c>
      <x:c r="C863" s="15"/>
      <x:c r="D863" s="15" t="str">
        <x:v>Property investor / home-buying operator</x:v>
      </x:c>
      <x:c r="E863" s="15" t="str">
        <x:v>Property investor / operator inquiry</x:v>
      </x:c>
      <x:c r="F863" s="17" t="str">
        <x:v>New</x:v>
      </x:c>
      <x:c r="G863" s="24"/>
      <x:c r="H863" s="24" t="str">
        <x:v>+16034216868</x:v>
      </x:c>
      <x:c r="I863" s="24" t="str">
        <x:v>https://www.nhhomebuyers.net/</x:v>
      </x:c>
      <x:c r="J863" s="16" t="str">
        <x:v>NH</x:v>
      </x:c>
      <x:c r="K863" s="16"/>
      <x:c r="L863" s="16" t="str">
        <x:v>Public property-business route; investor decision maker unconfirmed</x:v>
      </x:c>
      <x:c r="M863" s="16" t="str">
        <x:v>https://www.nhhomebuyers.net/contact/</x:v>
      </x:c>
      <x:c r="N863" s="16" t="str">
        <x:v>$100K-$500K ticket not published / unconfirmed</x:v>
      </x:c>
      <x:c r="O863" s="20"/>
      <x:c r="P863" s="20"/>
      <x:c r="Q863" s="25" t="str">
        <x:v>No direct corporate-capital range established in checked source</x:v>
      </x:c>
      <x:c r="R863" s="25" t="str">
        <x:v>Property acquisition or investor activity makes this an operator-capital prospect for the signed trial. Confirm operating-company debt/equity appetite.</x:v>
      </x:c>
      <x:c r="S863" s="25" t="str">
        <x:v>Confirm the contact controls funding decisions; confirm willingness to invest in an operating company, current liquidity, $100K to $500K ticket size, required security and diligence.</x:v>
      </x:c>
      <x:c r="T863" s="25" t="str">
        <x:v>Ask the owner/investor whether they can allocate $100K-$500K to trial marketing and acquisitions, and confirm structure, timing and decision authority.</x:v>
      </x:c>
      <x:c r="U863" s="25" t="str">
        <x:v>https://www.nhhomebuyers.net/contact/
https://sfranalytics.com/investors/nh
https://sfranalytics.com/investors/nh/manchester-nashua-nh/nh-home-buyers-llc-nh
https://www.cashhomebuyersdirectory.com/cash-home-buyers/new-hampshire/manchester</x:v>
      </x:c>
      <x:c r="V863" s="26" t="d">
        <x:v>2026-10-02T00:00:00.000Z</x:v>
      </x:c>
      <x:c r="W863" s="26" t="d">
        <x:v>2026-10-03T00:00:00.000Z</x:v>
      </x:c>
      <x:c r="X863" s="25" t="str">
        <x:v>SFR Analytics public investor discovery plus official-company activity, geography and published business contact checks</x:v>
      </x:c>
      <x:c r="Y863" s="25"/>
      <x:c r="Z863" s="25" t="str">
        <x:v>https://www.nhhomebuyers.net/contact/</x:v>
      </x:c>
      <x:c r="AA863" s="25" t="str">
        <x:v>Official company page identifies NH Homebuyers LLC and a New Hampshire real estate investor operation. Published general business contact observed: (603) 421-6868. SFR Analytics public directory lists NH HOME BUYERS LLC as an organization with a flipper strategy, 52 observed transactions and $12.7M tracked transaction volume. Observed listing market: New Hampshire. This is third-party public-record research, not evidence of available cash, a $100K to $500K check, an operating-company investment mandate, or acceptance of this transaction.</x:v>
      </x:c>
      <x:c r="AB863" s="3" t="str">
        <x:v>New public-source collection</x:v>
      </x:c>
      <x:c r="AC863" s="3" t="str">
        <x:v>unverified</x:v>
      </x:c>
      <x:c r="AD863" s="3" t="str">
        <x:v>Not contacted / unconfirmed</x:v>
      </x:c>
      <x:c r="AE863" s="3" t="str">
        <x:v>Yes</x:v>
      </x:c>
      <x:c r="AF863" s="3" t="str">
        <x:v>Yes</x:v>
      </x:c>
      <x:c r="AG863" s="3"/>
      <x:c r="AH863" s="3" t="str">
        <x:v>NH Home Buyers</x:v>
      </x:c>
      <x:c r="AI863" s="18"/>
      <x:c r="AJ863" s="3" t="str">
        <x:v>CF2500-1F5131199391</x:v>
      </x:c>
      <x:c r="AK863" s="3" t="str">
        <x:v>real_estate_operator</x:v>
      </x:c>
      <x:c r="AL863" s="19" t="n">
        <x:v>100000</x:v>
      </x:c>
      <x:c r="AM863" s="19" t="n">
        <x:v>500000</x:v>
      </x:c>
      <x:c r="AN863" s="3" t="str">
        <x:v>https://www.nhhomebuyers.net/contact/</x:v>
      </x:c>
      <x:c r="AO863" s="3" t="str">
        <x:v>sfr_contact_enriched.jsonl</x:v>
      </x:c>
      <x:c r="AP863" s="19"/>
    </x:row>
    <x:row r="864" ht="36" customHeight="1">
      <x:c r="A864" s="23" t="n">
        <x:v>863</x:v>
      </x:c>
      <x:c r="B864" s="15" t="str">
        <x:v>ARCHWAY FUND</x:v>
      </x:c>
      <x:c r="C864" s="15"/>
      <x:c r="D864" s="15" t="str">
        <x:v>Property operator or real-estate investment company; finance willingness unconfirmed</x:v>
      </x:c>
      <x:c r="E864" s="15" t="str">
        <x:v>Property investor / operator inquiry</x:v>
      </x:c>
      <x:c r="F864" s="17" t="str">
        <x:v>New</x:v>
      </x:c>
      <x:c r="G864" s="24" t="str">
        <x:v>info@archwayfund.com</x:v>
      </x:c>
      <x:c r="H864" s="24" t="str">
        <x:v>+13104478899</x:v>
      </x:c>
      <x:c r="I864" s="24" t="str">
        <x:v>https://archwayfund.com/</x:v>
      </x:c>
      <x:c r="J864" s="16" t="str">
        <x:v>CA</x:v>
      </x:c>
      <x:c r="K864" s="16" t="str">
        <x:v>Los Angeles</x:v>
      </x:c>
      <x:c r="L864" s="16" t="str">
        <x:v>firm_business_routing</x:v>
      </x:c>
      <x:c r="M864" s="16" t="str">
        <x:v>https://archwayfund.com/</x:v>
      </x:c>
      <x:c r="N864" s="16" t="str">
        <x:v>$100K-$500K ticket not published / unconfirmed</x:v>
      </x:c>
      <x:c r="O864" s="20"/>
      <x:c r="P864" s="20"/>
      <x:c r="Q864" s="25" t="str">
        <x:v>No direct corporate-capital range established in checked source</x:v>
      </x:c>
      <x:c r="R864" s="25" t="str">
        <x:v>Public directory listing; contact ownership, lender/broker role, present operations, deployable $500K cash and unsecured/equity appetite remain unverified. LOS ANGELES, CA PRIVATE REAL ESTATE LENDER We are a real estate investment company.</x:v>
      </x:c>
      <x:c r="S864" s="25"/>
      <x:c r="T864" s="25" t="str">
        <x:v>Confirm $100K-$500K ticket, company-stage and sector eligibility, investment authority, available allocation and proposed terms.</x:v>
      </x:c>
      <x:c r="U864" s="25" t="str">
        <x:v>https://www.privatelendersdirectory.com/united-states/los-angeles/top-level-category/archway-fund
https://archwayfund.com/</x:v>
      </x:c>
      <x:c r="V864" s="26" t="d">
        <x:v>2026-10-02T00:00:00.000Z</x:v>
      </x:c>
      <x:c r="W864" s="26" t="d">
        <x:v>2026-09-30T00:00:00.000Z</x:v>
      </x:c>
      <x:c r="X864" s="25" t="str">
        <x:v>Saved public company, industry-directory or regulatory source; source date retained</x:v>
      </x:c>
      <x:c r="Y864" s="25" t="str">
        <x:v>https://archwayfund.com/</x:v>
      </x:c>
      <x:c r="Z864" s="25" t="str">
        <x:v>https://archwayfund.com/</x:v>
      </x:c>
      <x:c r="AA864" s="25" t="str">
        <x:v>[]</x:v>
      </x:c>
      <x:c r="AB864" s="3" t="str">
        <x:v>Existing CapitalForge research, newly screened for this campaign</x:v>
      </x:c>
      <x:c r="AC864" s="3" t="str">
        <x:v>unverified</x:v>
      </x:c>
      <x:c r="AD864" s="3" t="str">
        <x:v>Not contacted / unconfirmed</x:v>
      </x:c>
      <x:c r="AE864" s="3" t="str">
        <x:v>No</x:v>
      </x:c>
      <x:c r="AF864" s="3" t="str">
        <x:v>No</x:v>
      </x:c>
      <x:c r="AG864" s="3"/>
      <x:c r="AH864" s="3"/>
      <x:c r="AI864" s="18"/>
      <x:c r="AJ864" s="3" t="str">
        <x:v>CF2500-8099D3487645</x:v>
      </x:c>
      <x:c r="AK864" s="3" t="str">
        <x:v>private_real_estate_lender</x:v>
      </x:c>
      <x:c r="AL864" s="19" t="n">
        <x:v>100000</x:v>
      </x:c>
      <x:c r="AM864" s="19" t="n">
        <x:v>500000</x:v>
      </x:c>
      <x:c r="AN864" s="3" t="str">
        <x:v>https://www.privatelendersdirectory.com/united-states/los-angeles/top-level-category/archway-fund</x:v>
      </x:c>
      <x:c r="AO864" s="3" t="str">
        <x:v>public_directory.jsonl</x:v>
      </x:c>
      <x:c r="AP864" s="19"/>
    </x:row>
    <x:row r="865" ht="36" customHeight="1">
      <x:c r="A865" s="23" t="n">
        <x:v>864</x:v>
      </x:c>
      <x:c r="B865" s="15" t="str">
        <x:v>JC REInvestment Group</x:v>
      </x:c>
      <x:c r="C865" s="15" t="str">
        <x:v>JC REInvestment Group</x:v>
      </x:c>
      <x:c r="D865" s="15" t="str">
        <x:v>Property operator or real-estate investment company; finance willingness unconfirmed</x:v>
      </x:c>
      <x:c r="E865" s="15" t="str">
        <x:v>Property investor / operator inquiry</x:v>
      </x:c>
      <x:c r="F865" s="17" t="str">
        <x:v>New</x:v>
      </x:c>
      <x:c r="G865" s="24" t="str">
        <x:v>info@jcreig.com</x:v>
      </x:c>
      <x:c r="H865" s="24" t="str">
        <x:v>+15613030334</x:v>
      </x:c>
      <x:c r="I865" s="24" t="str">
        <x:v>https://jcreig.com</x:v>
      </x:c>
      <x:c r="J865" s="16"/>
      <x:c r="K865" s="16"/>
      <x:c r="L865" s="16" t="str">
        <x:v>published_professional_contact_directness_unconfirmed</x:v>
      </x:c>
      <x:c r="M865" s="16" t="str">
        <x:v>https://jcreig.com</x:v>
      </x:c>
      <x:c r="N865" s="16" t="str">
        <x:v>$100K-$500K ticket not published / unconfirmed</x:v>
      </x:c>
      <x:c r="O865" s="20"/>
      <x:c r="P865" s="20"/>
      <x:c r="Q865" s="25" t="str">
        <x:v>No direct corporate-capital range established in checked source</x:v>
      </x:c>
      <x:c r="R865" s="25" t="str">
        <x:v>Home - JC REInvestment Group | Your #1 Trusted Home Buyers In Florida P.O. Box 742642Boynton Beach, FL 33474Phone Number(561) 303-0334Home About Us How It WorksHow Do I Sell My House Compare Selling To Us Sale-Leaseback Why Sell To UsFSBO In South Florida Bad Tenants Complications Foreclosure Liquidation Probate Repairs Vacancies Relocating or Moving Evaluate Your Property Blog Reviews FAQ Contact Free ConsultationHome About Us How It WorksHow Do I Sell My House Compare Selling To Us Sale-Leaseback Why Sell To UsFSBO In South Florida Bad Tenants Complications Foreclosure Liquidation Probate Repairs Vacancies Relocating or Moving Evaluate Your Property Blog Reviews FAQ Contact FacebookTwitter</x:v>
      </x:c>
      <x:c r="S865" s="25"/>
      <x:c r="T865" s="25" t="str">
        <x:v>Confirm $100K-$500K ticket, company-stage and sector eligibility, investment authority, available allocation and proposed terms.</x:v>
      </x:c>
      <x:c r="U865" s="25" t="str">
        <x:v>https://nplaconference.com/private-lending-directory/page/8/
https://jcreig.com/contact/
https://jcreigcapitalfunding.com/contact/</x:v>
      </x:c>
      <x:c r="V865" s="26" t="d">
        <x:v>2026-10-02T00:00:00.000Z</x:v>
      </x:c>
      <x:c r="W865" s="26" t="d">
        <x:v>2026-09-30T00:00:00.000Z</x:v>
      </x:c>
      <x:c r="X865" s="25" t="str">
        <x:v>Saved public company, industry-directory or regulatory source; source date retained</x:v>
      </x:c>
      <x:c r="Y865" s="25" t="str">
        <x:v>https://jcreig.com/contact/</x:v>
      </x:c>
      <x:c r="Z865" s="25" t="str">
        <x:v>https://jcreig.com/contact/</x:v>
      </x:c>
      <x:c r="AA865" s="25" t="str">
        <x:v>[]</x:v>
      </x:c>
      <x:c r="AB865" s="3" t="str">
        <x:v>Existing CapitalForge research, newly screened for this campaign</x:v>
      </x:c>
      <x:c r="AC865" s="3" t="str">
        <x:v>unverified</x:v>
      </x:c>
      <x:c r="AD865" s="3" t="str">
        <x:v>Not contacted / unconfirmed</x:v>
      </x:c>
      <x:c r="AE865" s="3" t="str">
        <x:v>No</x:v>
      </x:c>
      <x:c r="AF865" s="3" t="str">
        <x:v>No</x:v>
      </x:c>
      <x:c r="AG865" s="3" t="str">
        <x:v>JCREIG Capital Funding</x:v>
      </x:c>
      <x:c r="AH865" s="3" t="str">
        <x:v>JCREIG Capital Funding</x:v>
      </x:c>
      <x:c r="AI865" s="18"/>
      <x:c r="AJ865" s="3" t="str">
        <x:v>CF2500-4A2F72A84BFA</x:v>
      </x:c>
      <x:c r="AK865" s="3" t="str">
        <x:v>private_real_estate_or_finance_directory_member</x:v>
      </x:c>
      <x:c r="AL865" s="19" t="n">
        <x:v>100000</x:v>
      </x:c>
      <x:c r="AM865" s="19" t="n">
        <x:v>500000</x:v>
      </x:c>
      <x:c r="AN865" s="3" t="str">
        <x:v>https://nplaconference.com/private-lending-directory/page/8/</x:v>
      </x:c>
      <x:c r="AO865" s="3" t="str">
        <x:v>public_directory.jsonl</x:v>
      </x:c>
      <x:c r="AP865" s="19"/>
    </x:row>
    <x:row r="866" ht="36" customHeight="1">
      <x:c r="A866" s="23" t="n">
        <x:v>865</x:v>
      </x:c>
      <x:c r="B866" s="15" t="str">
        <x:v>Jared Chapple</x:v>
      </x:c>
      <x:c r="C866" s="15" t="str">
        <x:v>Jared Chapple</x:v>
      </x:c>
      <x:c r="D866" s="15" t="str">
        <x:v>Private-money individual; investment structure unconfirmed</x:v>
      </x:c>
      <x:c r="E866" s="15" t="str">
        <x:v>Property investor / operator inquiry</x:v>
      </x:c>
      <x:c r="F866" s="17" t="str">
        <x:v>New</x:v>
      </x:c>
      <x:c r="G866" s="24" t="str">
        <x:v>jchapplebiz@gmail.com</x:v>
      </x:c>
      <x:c r="H866" s="24" t="str">
        <x:v>+16784467003</x:v>
      </x:c>
      <x:c r="I866" s="24"/>
      <x:c r="J866" s="16"/>
      <x:c r="K866" s="16"/>
      <x:c r="L866" s="16" t="str">
        <x:v>published_professional_contact_directness_unconfirmed</x:v>
      </x:c>
      <x:c r="M866" s="16"/>
      <x:c r="N866" s="16" t="str">
        <x:v>$100K-$500K ticket not published / unconfirmed</x:v>
      </x:c>
      <x:c r="O866" s="20"/>
      <x:c r="P866" s="20"/>
      <x:c r="Q866" s="25" t="str">
        <x:v>No direct corporate-capital range established in checked source</x:v>
      </x:c>
      <x:c r="R866" s="25" t="str">
        <x:v>Collateral assessment: unknown</x:v>
      </x:c>
      <x:c r="S866" s="25"/>
      <x:c r="T866" s="25" t="str">
        <x:v>Confirm $100K-$500K ticket, company-stage and sector eligibility, investment authority, available allocation and proposed terms.</x:v>
      </x:c>
      <x:c r="U866" s="25" t="str">
        <x:v>https://resources.pacejmorby.com/wp-content/uploads/2024/03/Paces-Private-Money-Lenders-compressed.pdf</x:v>
      </x:c>
      <x:c r="V866" s="26" t="d">
        <x:v>2026-10-02T00:00:00.000Z</x:v>
      </x:c>
      <x:c r="W866" s="26" t="d">
        <x:v>2026-09-30T00:00:00.000Z</x:v>
      </x:c>
      <x:c r="X866" s="25" t="str">
        <x:v>Saved public company, industry-directory or regulatory source; source date retained</x:v>
      </x:c>
      <x:c r="Y866" s="25" t="str">
        <x:v>https://resources.pacejmorby.com/wp-content/uploads/2024/03/Paces-Private-Money-Lenders-compressed.pdf</x:v>
      </x:c>
      <x:c r="Z866" s="25" t="str">
        <x:v>https://resources.pacejmorby.com/wp-content/uploads/2024/03/Paces-Private-Money-Lenders-compressed.pdf</x:v>
      </x:c>
      <x:c r="AA866" s="25" t="str">
        <x:v>[]</x:v>
      </x:c>
      <x:c r="AB866" s="3" t="str">
        <x:v>Existing CapitalForge research, newly screened for this campaign</x:v>
      </x:c>
      <x:c r="AC866" s="3" t="str">
        <x:v>unverified</x:v>
      </x:c>
      <x:c r="AD866" s="3" t="str">
        <x:v>Not contacted / unconfirmed</x:v>
      </x:c>
      <x:c r="AE866" s="3" t="str">
        <x:v>No</x:v>
      </x:c>
      <x:c r="AF866" s="3" t="str">
        <x:v>No</x:v>
      </x:c>
      <x:c r="AG866" s="3"/>
      <x:c r="AH866" s="3"/>
      <x:c r="AI866" s="18"/>
      <x:c r="AJ866" s="3" t="str">
        <x:v>CF2500-A720CFCDCE67</x:v>
      </x:c>
      <x:c r="AK866" s="3" t="str">
        <x:v>private_money_individual</x:v>
      </x:c>
      <x:c r="AL866" s="19" t="n">
        <x:v>100000</x:v>
      </x:c>
      <x:c r="AM866" s="19" t="n">
        <x:v>500000</x:v>
      </x:c>
      <x:c r="AN866" s="3" t="str">
        <x:v>https://resources.pacejmorby.com/wp-content/uploads/2024/03/Paces-Private-Money-Lenders-compressed.pdf</x:v>
      </x:c>
      <x:c r="AO866" s="3" t="str">
        <x:v>public_directory.jsonl</x:v>
      </x:c>
      <x:c r="AP866" s="19"/>
    </x:row>
    <x:row r="867" ht="36" customHeight="1">
      <x:c r="A867" s="23" t="n">
        <x:v>866</x:v>
      </x:c>
      <x:c r="B867" s="15" t="str">
        <x:v>Brian O'Neill</x:v>
      </x:c>
      <x:c r="C867" s="15" t="str">
        <x:v>Brian O'Neill</x:v>
      </x:c>
      <x:c r="D867" s="15" t="str">
        <x:v>Private-money individual; investment structure unconfirmed</x:v>
      </x:c>
      <x:c r="E867" s="15" t="str">
        <x:v>Property investor / operator inquiry</x:v>
      </x:c>
      <x:c r="F867" s="17" t="str">
        <x:v>New</x:v>
      </x:c>
      <x:c r="G867" s="24" t="str">
        <x:v>brian@passivecapitalpartners.com</x:v>
      </x:c>
      <x:c r="H867" s="24"/>
      <x:c r="I867" s="24"/>
      <x:c r="J867" s="16"/>
      <x:c r="K867" s="16"/>
      <x:c r="L867" s="16" t="str">
        <x:v>published_professional_contact_directness_unconfirmed</x:v>
      </x:c>
      <x:c r="M867" s="16"/>
      <x:c r="N867" s="16" t="str">
        <x:v>$100K-$500K ticket not published / unconfirmed</x:v>
      </x:c>
      <x:c r="O867" s="20"/>
      <x:c r="P867" s="20"/>
      <x:c r="Q867" s="25" t="str">
        <x:v>No direct corporate-capital range established in checked source</x:v>
      </x:c>
      <x:c r="R867" s="25" t="str">
        <x:v>Collateral assessment: unknown</x:v>
      </x:c>
      <x:c r="S867" s="25"/>
      <x:c r="T867" s="25" t="str">
        <x:v>Confirm $100K-$500K ticket, company-stage and sector eligibility, investment authority, available allocation and proposed terms.</x:v>
      </x:c>
      <x:c r="U867" s="25" t="str">
        <x:v>https://resources.pacejmorby.com/wp-content/uploads/2024/03/Paces-Private-Money-Lenders-compressed.pdf</x:v>
      </x:c>
      <x:c r="V867" s="26" t="d">
        <x:v>2026-10-02T00:00:00.000Z</x:v>
      </x:c>
      <x:c r="W867" s="26" t="d">
        <x:v>2026-09-30T00:00:00.000Z</x:v>
      </x:c>
      <x:c r="X867" s="25" t="str">
        <x:v>Saved public company, industry-directory or regulatory source; source date retained</x:v>
      </x:c>
      <x:c r="Y867" s="25" t="str">
        <x:v>https://resources.pacejmorby.com/wp-content/uploads/2024/03/Paces-Private-Money-Lenders-compressed.pdf</x:v>
      </x:c>
      <x:c r="Z867" s="25" t="str">
        <x:v>https://resources.pacejmorby.com/wp-content/uploads/2024/03/Paces-Private-Money-Lenders-compressed.pdf</x:v>
      </x:c>
      <x:c r="AA867" s="25" t="str">
        <x:v>[]</x:v>
      </x:c>
      <x:c r="AB867" s="3" t="str">
        <x:v>Existing CapitalForge research, newly screened for this campaign</x:v>
      </x:c>
      <x:c r="AC867" s="3" t="str">
        <x:v>unverified</x:v>
      </x:c>
      <x:c r="AD867" s="3" t="str">
        <x:v>Not contacted / unconfirmed</x:v>
      </x:c>
      <x:c r="AE867" s="3" t="str">
        <x:v>No</x:v>
      </x:c>
      <x:c r="AF867" s="3" t="str">
        <x:v>No</x:v>
      </x:c>
      <x:c r="AG867" s="3"/>
      <x:c r="AH867" s="3"/>
      <x:c r="AI867" s="18"/>
      <x:c r="AJ867" s="3" t="str">
        <x:v>CF2500-40F03A913A49</x:v>
      </x:c>
      <x:c r="AK867" s="3" t="str">
        <x:v>private_money_individual</x:v>
      </x:c>
      <x:c r="AL867" s="19" t="n">
        <x:v>100000</x:v>
      </x:c>
      <x:c r="AM867" s="19" t="n">
        <x:v>500000</x:v>
      </x:c>
      <x:c r="AN867" s="3" t="str">
        <x:v>https://resources.pacejmorby.com/wp-content/uploads/2024/03/Paces-Private-Money-Lenders-compressed.pdf</x:v>
      </x:c>
      <x:c r="AO867" s="3" t="str">
        <x:v>public_directory.jsonl</x:v>
      </x:c>
      <x:c r="AP867" s="19"/>
    </x:row>
    <x:row r="868" ht="36" customHeight="1">
      <x:c r="A868" s="23" t="n">
        <x:v>867</x:v>
      </x:c>
      <x:c r="B868" s="15" t="str">
        <x:v>Drake Bonilla</x:v>
      </x:c>
      <x:c r="C868" s="15" t="str">
        <x:v>Drake Bonilla</x:v>
      </x:c>
      <x:c r="D868" s="15" t="str">
        <x:v>Private-money individual; investment structure unconfirmed</x:v>
      </x:c>
      <x:c r="E868" s="15" t="str">
        <x:v>Property investor / operator inquiry</x:v>
      </x:c>
      <x:c r="F868" s="17" t="str">
        <x:v>New</x:v>
      </x:c>
      <x:c r="G868" s="24" t="str">
        <x:v>dbonilla1996@gmail.com</x:v>
      </x:c>
      <x:c r="H868" s="24"/>
      <x:c r="I868" s="24"/>
      <x:c r="J868" s="16"/>
      <x:c r="K868" s="16"/>
      <x:c r="L868" s="16" t="str">
        <x:v>published_professional_contact_directness_unconfirmed</x:v>
      </x:c>
      <x:c r="M868" s="16"/>
      <x:c r="N868" s="16" t="str">
        <x:v>$100K-$500K ticket not published / unconfirmed</x:v>
      </x:c>
      <x:c r="O868" s="20"/>
      <x:c r="P868" s="20"/>
      <x:c r="Q868" s="25" t="str">
        <x:v>No direct corporate-capital range established in checked source</x:v>
      </x:c>
      <x:c r="R868" s="25" t="str">
        <x:v>Collateral assessment: unknown</x:v>
      </x:c>
      <x:c r="S868" s="25"/>
      <x:c r="T868" s="25" t="str">
        <x:v>Confirm $100K-$500K ticket, company-stage and sector eligibility, investment authority, available allocation and proposed terms.</x:v>
      </x:c>
      <x:c r="U868" s="25" t="str">
        <x:v>https://resources.pacejmorby.com/wp-content/uploads/2024/03/Paces-Private-Money-Lenders-compressed.pdf</x:v>
      </x:c>
      <x:c r="V868" s="26" t="d">
        <x:v>2026-10-02T00:00:00.000Z</x:v>
      </x:c>
      <x:c r="W868" s="26" t="d">
        <x:v>2026-09-30T00:00:00.000Z</x:v>
      </x:c>
      <x:c r="X868" s="25" t="str">
        <x:v>Saved public company, industry-directory or regulatory source; source date retained</x:v>
      </x:c>
      <x:c r="Y868" s="25" t="str">
        <x:v>https://resources.pacejmorby.com/wp-content/uploads/2024/03/Paces-Private-Money-Lenders-compressed.pdf</x:v>
      </x:c>
      <x:c r="Z868" s="25" t="str">
        <x:v>https://resources.pacejmorby.com/wp-content/uploads/2024/03/Paces-Private-Money-Lenders-compressed.pdf</x:v>
      </x:c>
      <x:c r="AA868" s="25" t="str">
        <x:v>[]</x:v>
      </x:c>
      <x:c r="AB868" s="3" t="str">
        <x:v>Existing CapitalForge research, newly screened for this campaign</x:v>
      </x:c>
      <x:c r="AC868" s="3" t="str">
        <x:v>unverified</x:v>
      </x:c>
      <x:c r="AD868" s="3" t="str">
        <x:v>Not contacted / unconfirmed</x:v>
      </x:c>
      <x:c r="AE868" s="3" t="str">
        <x:v>No</x:v>
      </x:c>
      <x:c r="AF868" s="3" t="str">
        <x:v>No</x:v>
      </x:c>
      <x:c r="AG868" s="3"/>
      <x:c r="AH868" s="3"/>
      <x:c r="AI868" s="18"/>
      <x:c r="AJ868" s="3" t="str">
        <x:v>CF2500-58E612BC3F75</x:v>
      </x:c>
      <x:c r="AK868" s="3" t="str">
        <x:v>private_money_individual</x:v>
      </x:c>
      <x:c r="AL868" s="19" t="n">
        <x:v>100000</x:v>
      </x:c>
      <x:c r="AM868" s="19" t="n">
        <x:v>500000</x:v>
      </x:c>
      <x:c r="AN868" s="3" t="str">
        <x:v>https://resources.pacejmorby.com/wp-content/uploads/2024/03/Paces-Private-Money-Lenders-compressed.pdf</x:v>
      </x:c>
      <x:c r="AO868" s="3" t="str">
        <x:v>public_directory.jsonl</x:v>
      </x:c>
      <x:c r="AP868" s="19"/>
    </x:row>
    <x:row r="869" ht="36" customHeight="1">
      <x:c r="A869" s="23" t="n">
        <x:v>868</x:v>
      </x:c>
      <x:c r="B869" s="15" t="str">
        <x:v>1010 Home Buyers</x:v>
      </x:c>
      <x:c r="C869" s="15"/>
      <x:c r="D869" s="15" t="str">
        <x:v>Property investor / home-buying operator</x:v>
      </x:c>
      <x:c r="E869" s="15" t="str">
        <x:v>Property investor / operator inquiry</x:v>
      </x:c>
      <x:c r="F869" s="17" t="str">
        <x:v>New</x:v>
      </x:c>
      <x:c r="G869" s="24"/>
      <x:c r="H869" s="24" t="str">
        <x:v>+17576705779</x:v>
      </x:c>
      <x:c r="I869" s="24" t="str">
        <x:v>http://www.1010homebuyers.com/</x:v>
      </x:c>
      <x:c r="J869" s="16" t="str">
        <x:v>VA</x:v>
      </x:c>
      <x:c r="K869" s="16" t="str">
        <x:v>Norfolk</x:v>
      </x:c>
      <x:c r="L869" s="16" t="str">
        <x:v>Public property-business route; investor decision maker unconfirmed</x:v>
      </x:c>
      <x:c r="M869" s="16" t="str">
        <x:v>http://www.1010homebuyers.com/</x:v>
      </x:c>
      <x:c r="N869" s="16" t="str">
        <x:v>$100K-$500K ticket not published / unconfirmed</x:v>
      </x:c>
      <x:c r="O869" s="20"/>
      <x:c r="P869" s="20"/>
      <x:c r="Q869" s="25" t="str">
        <x:v>No direct corporate-capital range established in checked source</x:v>
      </x:c>
      <x:c r="R869" s="25" t="str">
        <x:v>Property acquisition or investor activity makes this an operator-capital prospect for the signed trial. Confirm operating-company debt/equity appetite.</x:v>
      </x:c>
      <x:c r="S869" s="25"/>
      <x:c r="T869" s="25" t="str">
        <x:v>Ask the owner/investor whether they can allocate $100K-$500K to trial marketing and acquisitions, and confirm structure, timing and decision authority.</x:v>
      </x:c>
      <x:c r="U869" s="25" t="str">
        <x:v>https://www.cashhomebuyersdirectory.com/cash-home-buyers/virginia/norfolk</x:v>
      </x:c>
      <x:c r="V869" s="26" t="d">
        <x:v>2026-10-02T00:00:00.000Z</x:v>
      </x:c>
      <x:c r="W869" s="26" t="d">
        <x:v>2026-10-02T00:00:00.000Z</x:v>
      </x:c>
      <x:c r="X869" s="25" t="str">
        <x:v>CashHomeBuyersDirectory third-party business listing; first-party business activity not checked in this batch</x:v>
      </x:c>
      <x:c r="Y869" s="25"/>
      <x:c r="Z869" s="25" t="str">
        <x:v>https://www.cashhomebuyersdirectory.com/cash-home-buyers/virginia/norfolk</x:v>
      </x:c>
      <x:c r="AA869" s="25" t="str">
        <x:v>Public cash-home-buyer directory lists the business name, business phone/website where available and market. Operator role and corporate funding willingness require confirmation.</x:v>
      </x:c>
      <x:c r="AB869" s="3" t="str">
        <x:v>New public-source collection</x:v>
      </x:c>
      <x:c r="AC869" s="3" t="str">
        <x:v>unverified</x:v>
      </x:c>
      <x:c r="AD869" s="3" t="str">
        <x:v>Not contacted / unconfirmed</x:v>
      </x:c>
      <x:c r="AE869" s="3" t="str">
        <x:v>No</x:v>
      </x:c>
      <x:c r="AF869" s="3" t="str">
        <x:v>No</x:v>
      </x:c>
      <x:c r="AG869" s="3"/>
      <x:c r="AH869" s="3"/>
      <x:c r="AI869" s="18"/>
      <x:c r="AJ869" s="3" t="str">
        <x:v>CF2500-D4B2304598FB</x:v>
      </x:c>
      <x:c r="AK869" s="3" t="str">
        <x:v>real_estate_operator</x:v>
      </x:c>
      <x:c r="AL869" s="19" t="n">
        <x:v>100000</x:v>
      </x:c>
      <x:c r="AM869" s="19" t="n">
        <x:v>500000</x:v>
      </x:c>
      <x:c r="AN869" s="3" t="str">
        <x:v>https://www.cashhomebuyersdirectory.com/cash-home-buyers/virginia/norfolk</x:v>
      </x:c>
      <x:c r="AO869" s="3" t="str">
        <x:v>national_rest_directory_complete.jsonl</x:v>
      </x:c>
      <x:c r="AP869" s="19"/>
    </x:row>
    <x:row r="870" ht="36" customHeight="1">
      <x:c r="A870" s="23" t="n">
        <x:v>869</x:v>
      </x:c>
      <x:c r="B870" s="15" t="str">
        <x:v>208 Home Buyers</x:v>
      </x:c>
      <x:c r="C870" s="15"/>
      <x:c r="D870" s="15" t="str">
        <x:v>Property investor / home-buying operator</x:v>
      </x:c>
      <x:c r="E870" s="15" t="str">
        <x:v>Property investor / operator inquiry</x:v>
      </x:c>
      <x:c r="F870" s="17" t="str">
        <x:v>New</x:v>
      </x:c>
      <x:c r="G870" s="24"/>
      <x:c r="H870" s="24" t="str">
        <x:v>+12085058720</x:v>
      </x:c>
      <x:c r="I870" s="24" t="str">
        <x:v>https://208homebuyers.com/</x:v>
      </x:c>
      <x:c r="J870" s="16" t="str">
        <x:v>ID</x:v>
      </x:c>
      <x:c r="K870" s="16" t="str">
        <x:v>Boise</x:v>
      </x:c>
      <x:c r="L870" s="16" t="str">
        <x:v>Public property-business route; investor decision maker unconfirmed</x:v>
      </x:c>
      <x:c r="M870" s="16" t="str">
        <x:v>https://208homebuyers.com/</x:v>
      </x:c>
      <x:c r="N870" s="16" t="str">
        <x:v>$100K-$500K ticket not published / unconfirmed</x:v>
      </x:c>
      <x:c r="O870" s="20"/>
      <x:c r="P870" s="20"/>
      <x:c r="Q870" s="25" t="str">
        <x:v>No direct corporate-capital range established in checked source</x:v>
      </x:c>
      <x:c r="R870" s="25" t="str">
        <x:v>Property acquisition or investor activity makes this an operator-capital prospect for the signed trial. Confirm operating-company debt/equity appetite.</x:v>
      </x:c>
      <x:c r="S870" s="25"/>
      <x:c r="T870" s="25" t="str">
        <x:v>Ask the owner/investor whether they can allocate $100K-$500K to trial marketing and acquisitions, and confirm structure, timing and decision authority.</x:v>
      </x:c>
      <x:c r="U870" s="25" t="str">
        <x:v>https://www.cashhomebuyersdirectory.com/cash-home-buyers/idaho/boise</x:v>
      </x:c>
      <x:c r="V870" s="26" t="d">
        <x:v>2026-10-02T00:00:00.000Z</x:v>
      </x:c>
      <x:c r="W870" s="26" t="d">
        <x:v>2026-10-02T00:00:00.000Z</x:v>
      </x:c>
      <x:c r="X870" s="25" t="str">
        <x:v>CashHomeBuyersDirectory third-party business listing; first-party business activity not checked in this batch</x:v>
      </x:c>
      <x:c r="Y870" s="25"/>
      <x:c r="Z870" s="25" t="str">
        <x:v>https://www.cashhomebuyersdirectory.com/cash-home-buyers/idaho/boise</x:v>
      </x:c>
      <x:c r="AA870" s="25" t="str">
        <x:v>Public cash-home-buyer directory lists the business name, business phone/website where available and market. Operator role and corporate funding willingness require confirmation.</x:v>
      </x:c>
      <x:c r="AB870" s="3" t="str">
        <x:v>New public-source collection</x:v>
      </x:c>
      <x:c r="AC870" s="3" t="str">
        <x:v>unverified</x:v>
      </x:c>
      <x:c r="AD870" s="3" t="str">
        <x:v>Not contacted / unconfirmed</x:v>
      </x:c>
      <x:c r="AE870" s="3" t="str">
        <x:v>No</x:v>
      </x:c>
      <x:c r="AF870" s="3" t="str">
        <x:v>No</x:v>
      </x:c>
      <x:c r="AG870" s="3"/>
      <x:c r="AH870" s="3"/>
      <x:c r="AI870" s="18"/>
      <x:c r="AJ870" s="3" t="str">
        <x:v>CF2500-DF94DFE0F553</x:v>
      </x:c>
      <x:c r="AK870" s="3" t="str">
        <x:v>real_estate_operator</x:v>
      </x:c>
      <x:c r="AL870" s="19" t="n">
        <x:v>100000</x:v>
      </x:c>
      <x:c r="AM870" s="19" t="n">
        <x:v>500000</x:v>
      </x:c>
      <x:c r="AN870" s="3" t="str">
        <x:v>https://www.cashhomebuyersdirectory.com/cash-home-buyers/idaho/boise</x:v>
      </x:c>
      <x:c r="AO870" s="3" t="str">
        <x:v>national_rest_directory_complete.jsonl</x:v>
      </x:c>
      <x:c r="AP870" s="19"/>
    </x:row>
    <x:row r="871" ht="36" customHeight="1">
      <x:c r="A871" s="23" t="n">
        <x:v>870</x:v>
      </x:c>
      <x:c r="B871" s="15" t="str">
        <x:v>302 House Buyers</x:v>
      </x:c>
      <x:c r="C871" s="15"/>
      <x:c r="D871" s="15" t="str">
        <x:v>Property investor / home-buying operator</x:v>
      </x:c>
      <x:c r="E871" s="15" t="str">
        <x:v>Property investor / operator inquiry</x:v>
      </x:c>
      <x:c r="F871" s="17" t="str">
        <x:v>New</x:v>
      </x:c>
      <x:c r="G871" s="24"/>
      <x:c r="H871" s="24" t="str">
        <x:v>+13023298899</x:v>
      </x:c>
      <x:c r="I871" s="24" t="str">
        <x:v>https://www.302housebuyers.com/</x:v>
      </x:c>
      <x:c r="J871" s="16" t="str">
        <x:v>DE</x:v>
      </x:c>
      <x:c r="K871" s="16" t="str">
        <x:v>Wilmington</x:v>
      </x:c>
      <x:c r="L871" s="16" t="str">
        <x:v>Public property-business route; investor decision maker unconfirmed</x:v>
      </x:c>
      <x:c r="M871" s="16" t="str">
        <x:v>https://www.302housebuyers.com/</x:v>
      </x:c>
      <x:c r="N871" s="16" t="str">
        <x:v>$100K-$500K ticket not published / unconfirmed</x:v>
      </x:c>
      <x:c r="O871" s="20"/>
      <x:c r="P871" s="20"/>
      <x:c r="Q871" s="25" t="str">
        <x:v>No direct corporate-capital range established in checked source</x:v>
      </x:c>
      <x:c r="R871" s="25" t="str">
        <x:v>Property acquisition or investor activity makes this an operator-capital prospect for the signed trial. Confirm operating-company debt/equity appetite.</x:v>
      </x:c>
      <x:c r="S871" s="25"/>
      <x:c r="T871" s="25" t="str">
        <x:v>Ask the owner/investor whether they can allocate $100K-$500K to trial marketing and acquisitions, and confirm structure, timing and decision authority.</x:v>
      </x:c>
      <x:c r="U871" s="25" t="str">
        <x:v>https://www.cashhomebuyersdirectory.com/cash-home-buyers/delaware/wilmington</x:v>
      </x:c>
      <x:c r="V871" s="26" t="d">
        <x:v>2026-10-02T00:00:00.000Z</x:v>
      </x:c>
      <x:c r="W871" s="26" t="d">
        <x:v>2026-10-02T00:00:00.000Z</x:v>
      </x:c>
      <x:c r="X871" s="25" t="str">
        <x:v>CashHomeBuyersDirectory third-party business listing; first-party business activity not checked in this batch</x:v>
      </x:c>
      <x:c r="Y871" s="25"/>
      <x:c r="Z871" s="25" t="str">
        <x:v>https://www.cashhomebuyersdirectory.com/cash-home-buyers/delaware/wilmington</x:v>
      </x:c>
      <x:c r="AA871" s="25" t="str">
        <x:v>Public cash-home-buyer directory lists the business name, business phone/website where available and market. Operator role and corporate funding willingness require confirmation.</x:v>
      </x:c>
      <x:c r="AB871" s="3" t="str">
        <x:v>New public-source collection</x:v>
      </x:c>
      <x:c r="AC871" s="3" t="str">
        <x:v>unverified</x:v>
      </x:c>
      <x:c r="AD871" s="3" t="str">
        <x:v>Not contacted / unconfirmed</x:v>
      </x:c>
      <x:c r="AE871" s="3" t="str">
        <x:v>No</x:v>
      </x:c>
      <x:c r="AF871" s="3" t="str">
        <x:v>No</x:v>
      </x:c>
      <x:c r="AG871" s="3"/>
      <x:c r="AH871" s="3"/>
      <x:c r="AI871" s="18"/>
      <x:c r="AJ871" s="3" t="str">
        <x:v>CF2500-93E4D2446458</x:v>
      </x:c>
      <x:c r="AK871" s="3" t="str">
        <x:v>real_estate_operator</x:v>
      </x:c>
      <x:c r="AL871" s="19" t="n">
        <x:v>100000</x:v>
      </x:c>
      <x:c r="AM871" s="19" t="n">
        <x:v>500000</x:v>
      </x:c>
      <x:c r="AN871" s="3" t="str">
        <x:v>https://www.cashhomebuyersdirectory.com/cash-home-buyers/delaware/wilmington</x:v>
      </x:c>
      <x:c r="AO871" s="3" t="str">
        <x:v>national_rest_directory_complete.jsonl</x:v>
      </x:c>
      <x:c r="AP871" s="19"/>
    </x:row>
    <x:row r="872" ht="36" customHeight="1">
      <x:c r="A872" s="23" t="n">
        <x:v>871</x:v>
      </x:c>
      <x:c r="B872" s="15" t="str">
        <x:v>401HomeBuyers</x:v>
      </x:c>
      <x:c r="C872" s="15"/>
      <x:c r="D872" s="15" t="str">
        <x:v>Property investor / home-buying operator</x:v>
      </x:c>
      <x:c r="E872" s="15" t="str">
        <x:v>Property investor / operator inquiry</x:v>
      </x:c>
      <x:c r="F872" s="17" t="str">
        <x:v>New</x:v>
      </x:c>
      <x:c r="G872" s="24"/>
      <x:c r="H872" s="24" t="str">
        <x:v>+14015415560</x:v>
      </x:c>
      <x:c r="I872" s="24" t="str">
        <x:v>https://www.401homebuyers.com/?utm_source=gmb&amp;utm_medium=organic</x:v>
      </x:c>
      <x:c r="J872" s="16" t="str">
        <x:v>RI</x:v>
      </x:c>
      <x:c r="K872" s="16" t="str">
        <x:v>Providence</x:v>
      </x:c>
      <x:c r="L872" s="16" t="str">
        <x:v>Public property-business route; investor decision maker unconfirmed</x:v>
      </x:c>
      <x:c r="M872" s="16" t="str">
        <x:v>https://www.401homebuyers.com/?utm_source=gmb&amp;utm_medium=organic</x:v>
      </x:c>
      <x:c r="N872" s="16" t="str">
        <x:v>$100K-$500K ticket not published / unconfirmed</x:v>
      </x:c>
      <x:c r="O872" s="20"/>
      <x:c r="P872" s="20"/>
      <x:c r="Q872" s="25" t="str">
        <x:v>No direct corporate-capital range established in checked source</x:v>
      </x:c>
      <x:c r="R872" s="25" t="str">
        <x:v>Property acquisition or investor activity makes this an operator-capital prospect for the signed trial. Confirm operating-company debt/equity appetite.</x:v>
      </x:c>
      <x:c r="S872" s="25"/>
      <x:c r="T872" s="25" t="str">
        <x:v>Ask the owner/investor whether they can allocate $100K-$500K to trial marketing and acquisitions, and confirm structure, timing and decision authority.</x:v>
      </x:c>
      <x:c r="U872" s="25" t="str">
        <x:v>https://www.cashhomebuyersdirectory.com/cash-home-buyers/rhode-island/providence</x:v>
      </x:c>
      <x:c r="V872" s="26" t="d">
        <x:v>2026-10-02T00:00:00.000Z</x:v>
      </x:c>
      <x:c r="W872" s="26" t="d">
        <x:v>2026-10-02T00:00:00.000Z</x:v>
      </x:c>
      <x:c r="X872" s="25" t="str">
        <x:v>CashHomeBuyersDirectory third-party business listing; first-party business activity not checked in this batch</x:v>
      </x:c>
      <x:c r="Y872" s="25"/>
      <x:c r="Z872" s="25" t="str">
        <x:v>https://www.cashhomebuyersdirectory.com/cash-home-buyers/rhode-island/providence</x:v>
      </x:c>
      <x:c r="AA872" s="25" t="str">
        <x:v>Public cash-home-buyer directory lists the business name, business phone/website where available and market. Operator role and corporate funding willingness require confirmation.</x:v>
      </x:c>
      <x:c r="AB872" s="3" t="str">
        <x:v>New public-source collection</x:v>
      </x:c>
      <x:c r="AC872" s="3" t="str">
        <x:v>unverified</x:v>
      </x:c>
      <x:c r="AD872" s="3" t="str">
        <x:v>Not contacted / unconfirmed</x:v>
      </x:c>
      <x:c r="AE872" s="3" t="str">
        <x:v>No</x:v>
      </x:c>
      <x:c r="AF872" s="3" t="str">
        <x:v>No</x:v>
      </x:c>
      <x:c r="AG872" s="3"/>
      <x:c r="AH872" s="3"/>
      <x:c r="AI872" s="18"/>
      <x:c r="AJ872" s="3" t="str">
        <x:v>CF2500-0C93D6DF4D6D</x:v>
      </x:c>
      <x:c r="AK872" s="3" t="str">
        <x:v>real_estate_operator</x:v>
      </x:c>
      <x:c r="AL872" s="19" t="n">
        <x:v>100000</x:v>
      </x:c>
      <x:c r="AM872" s="19" t="n">
        <x:v>500000</x:v>
      </x:c>
      <x:c r="AN872" s="3" t="str">
        <x:v>https://www.cashhomebuyersdirectory.com/cash-home-buyers/rhode-island/providence</x:v>
      </x:c>
      <x:c r="AO872" s="3" t="str">
        <x:v>national_rest_directory_complete.jsonl</x:v>
      </x:c>
      <x:c r="AP872" s="19"/>
    </x:row>
    <x:row r="873" ht="36" customHeight="1">
      <x:c r="A873" s="23" t="n">
        <x:v>872</x:v>
      </x:c>
      <x:c r="B873" s="15" t="str">
        <x:v>413 Home Buyers LLC</x:v>
      </x:c>
      <x:c r="C873" s="15"/>
      <x:c r="D873" s="15" t="str">
        <x:v>Property investor / home-buying operator</x:v>
      </x:c>
      <x:c r="E873" s="15" t="str">
        <x:v>Property investor / operator inquiry</x:v>
      </x:c>
      <x:c r="F873" s="17" t="str">
        <x:v>New</x:v>
      </x:c>
      <x:c r="G873" s="24"/>
      <x:c r="H873" s="24" t="str">
        <x:v>+14132002650</x:v>
      </x:c>
      <x:c r="I873" s="24" t="str">
        <x:v>https://413hb.com/</x:v>
      </x:c>
      <x:c r="J873" s="16" t="str">
        <x:v>MA</x:v>
      </x:c>
      <x:c r="K873" s="16" t="str">
        <x:v>Springfield</x:v>
      </x:c>
      <x:c r="L873" s="16" t="str">
        <x:v>Public property-business route; investor decision maker unconfirmed</x:v>
      </x:c>
      <x:c r="M873" s="16" t="str">
        <x:v>https://413hb.com/</x:v>
      </x:c>
      <x:c r="N873" s="16" t="str">
        <x:v>$100K-$500K ticket not published / unconfirmed</x:v>
      </x:c>
      <x:c r="O873" s="20"/>
      <x:c r="P873" s="20"/>
      <x:c r="Q873" s="25" t="str">
        <x:v>No direct corporate-capital range established in checked source</x:v>
      </x:c>
      <x:c r="R873" s="25" t="str">
        <x:v>Property acquisition or investor activity makes this an operator-capital prospect for the signed trial. Confirm operating-company debt/equity appetite.</x:v>
      </x:c>
      <x:c r="S873" s="25"/>
      <x:c r="T873" s="25" t="str">
        <x:v>Ask the owner/investor whether they can allocate $100K-$500K to trial marketing and acquisitions, and confirm structure, timing and decision authority.</x:v>
      </x:c>
      <x:c r="U873" s="25" t="str">
        <x:v>https://www.cashhomebuyersdirectory.com/cash-home-buyers/massachusetts/springfield</x:v>
      </x:c>
      <x:c r="V873" s="26" t="d">
        <x:v>2026-10-02T00:00:00.000Z</x:v>
      </x:c>
      <x:c r="W873" s="26" t="d">
        <x:v>2026-10-02T00:00:00.000Z</x:v>
      </x:c>
      <x:c r="X873" s="25" t="str">
        <x:v>CashHomeBuyersDirectory third-party business listing; first-party business activity not checked in this batch</x:v>
      </x:c>
      <x:c r="Y873" s="25"/>
      <x:c r="Z873" s="25" t="str">
        <x:v>https://www.cashhomebuyersdirectory.com/cash-home-buyers/massachusetts/springfield</x:v>
      </x:c>
      <x:c r="AA873" s="25" t="str">
        <x:v>Public cash-home-buyer directory lists the business name, business phone/website where available and market. Operator role and corporate funding willingness require confirmation.</x:v>
      </x:c>
      <x:c r="AB873" s="3" t="str">
        <x:v>New public-source collection</x:v>
      </x:c>
      <x:c r="AC873" s="3" t="str">
        <x:v>unverified</x:v>
      </x:c>
      <x:c r="AD873" s="3" t="str">
        <x:v>Not contacted / unconfirmed</x:v>
      </x:c>
      <x:c r="AE873" s="3" t="str">
        <x:v>No</x:v>
      </x:c>
      <x:c r="AF873" s="3" t="str">
        <x:v>No</x:v>
      </x:c>
      <x:c r="AG873" s="3"/>
      <x:c r="AH873" s="3"/>
      <x:c r="AI873" s="18"/>
      <x:c r="AJ873" s="3" t="str">
        <x:v>CF2500-EDCF88211EB2</x:v>
      </x:c>
      <x:c r="AK873" s="3" t="str">
        <x:v>real_estate_operator</x:v>
      </x:c>
      <x:c r="AL873" s="19" t="n">
        <x:v>100000</x:v>
      </x:c>
      <x:c r="AM873" s="19" t="n">
        <x:v>500000</x:v>
      </x:c>
      <x:c r="AN873" s="3" t="str">
        <x:v>https://www.cashhomebuyersdirectory.com/cash-home-buyers/massachusetts/springfield</x:v>
      </x:c>
      <x:c r="AO873" s="3" t="str">
        <x:v>national_rest_directory_complete.jsonl</x:v>
      </x:c>
      <x:c r="AP873" s="19"/>
    </x:row>
    <x:row r="874" ht="36" customHeight="1">
      <x:c r="A874" s="23" t="n">
        <x:v>873</x:v>
      </x:c>
      <x:c r="B874" s="15" t="str">
        <x:v>414 Homebuyers</x:v>
      </x:c>
      <x:c r="C874" s="15"/>
      <x:c r="D874" s="15" t="str">
        <x:v>Property investor / home-buying operator</x:v>
      </x:c>
      <x:c r="E874" s="15" t="str">
        <x:v>Property investor / operator inquiry</x:v>
      </x:c>
      <x:c r="F874" s="17" t="str">
        <x:v>New</x:v>
      </x:c>
      <x:c r="G874" s="24"/>
      <x:c r="H874" s="24" t="str">
        <x:v>+14142079075</x:v>
      </x:c>
      <x:c r="I874" s="24" t="str">
        <x:v>http://www.414homebuyers.com/</x:v>
      </x:c>
      <x:c r="J874" s="16" t="str">
        <x:v>WI</x:v>
      </x:c>
      <x:c r="K874" s="16"/>
      <x:c r="L874" s="16" t="str">
        <x:v>Public property-business route; investor decision maker unconfirmed</x:v>
      </x:c>
      <x:c r="M874" s="16" t="str">
        <x:v>http://www.414homebuyers.com/</x:v>
      </x:c>
      <x:c r="N874" s="16" t="str">
        <x:v>$100K-$500K ticket not published / unconfirmed</x:v>
      </x:c>
      <x:c r="O874" s="20"/>
      <x:c r="P874" s="20"/>
      <x:c r="Q874" s="25" t="str">
        <x:v>No direct corporate-capital range established in checked source</x:v>
      </x:c>
      <x:c r="R874" s="25" t="str">
        <x:v>Property acquisition or investor activity makes this an operator-capital prospect for the signed trial. Confirm operating-company debt/equity appetite.</x:v>
      </x:c>
      <x:c r="S874" s="25"/>
      <x:c r="T874" s="25" t="str">
        <x:v>Ask the owner/investor whether they can allocate $100K-$500K to trial marketing and acquisitions, and confirm structure, timing and decision authority.</x:v>
      </x:c>
      <x:c r="U874" s="25" t="str">
        <x:v>https://www.cashhomebuyersdirectory.com/cash-home-buyers/wisconsin/milwaukee</x:v>
      </x:c>
      <x:c r="V874" s="26" t="d">
        <x:v>2026-10-02T00:00:00.000Z</x:v>
      </x:c>
      <x:c r="W874" s="26" t="d">
        <x:v>2026-10-02T00:00:00.000Z</x:v>
      </x:c>
      <x:c r="X874" s="25" t="str">
        <x:v>CashHomeBuyersDirectory third-party business listing; first-party business activity not checked in this batch</x:v>
      </x:c>
      <x:c r="Y874" s="25"/>
      <x:c r="Z874" s="25" t="str">
        <x:v>https://www.cashhomebuyersdirectory.com/cash-home-buyers/wisconsin/milwaukee</x:v>
      </x:c>
      <x:c r="AA874" s="25" t="str">
        <x:v>Public cash-home-buyer directory lists the business name, business phone/website where available and market. Operator role and corporate funding willingness require confirmation.</x:v>
      </x:c>
      <x:c r="AB874" s="3" t="str">
        <x:v>New public-source collection</x:v>
      </x:c>
      <x:c r="AC874" s="3" t="str">
        <x:v>unverified</x:v>
      </x:c>
      <x:c r="AD874" s="3" t="str">
        <x:v>Not contacted / unconfirmed</x:v>
      </x:c>
      <x:c r="AE874" s="3" t="str">
        <x:v>No</x:v>
      </x:c>
      <x:c r="AF874" s="3" t="str">
        <x:v>No</x:v>
      </x:c>
      <x:c r="AG874" s="3"/>
      <x:c r="AH874" s="3"/>
      <x:c r="AI874" s="18"/>
      <x:c r="AJ874" s="3" t="str">
        <x:v>CF2500-4A5ADC30BC89</x:v>
      </x:c>
      <x:c r="AK874" s="3" t="str">
        <x:v>real_estate_operator</x:v>
      </x:c>
      <x:c r="AL874" s="19" t="n">
        <x:v>100000</x:v>
      </x:c>
      <x:c r="AM874" s="19" t="n">
        <x:v>500000</x:v>
      </x:c>
      <x:c r="AN874" s="3" t="str">
        <x:v>https://www.cashhomebuyersdirectory.com/cash-home-buyers/wisconsin/milwaukee</x:v>
      </x:c>
      <x:c r="AO874" s="3" t="str">
        <x:v>national_rest_directory_complete.jsonl</x:v>
      </x:c>
      <x:c r="AP874" s="19"/>
    </x:row>
    <x:row r="875" ht="36" customHeight="1">
      <x:c r="A875" s="23" t="n">
        <x:v>874</x:v>
      </x:c>
      <x:c r="B875" s="15" t="str">
        <x:v>504 Homebuyers</x:v>
      </x:c>
      <x:c r="C875" s="15"/>
      <x:c r="D875" s="15" t="str">
        <x:v>Property investor / home-buying operator</x:v>
      </x:c>
      <x:c r="E875" s="15" t="str">
        <x:v>Property investor / operator inquiry</x:v>
      </x:c>
      <x:c r="F875" s="17" t="str">
        <x:v>New</x:v>
      </x:c>
      <x:c r="G875" s="24"/>
      <x:c r="H875" s="24" t="str">
        <x:v>+15046136919</x:v>
      </x:c>
      <x:c r="I875" s="24" t="str">
        <x:v>https://www.504homebuyers.com/</x:v>
      </x:c>
      <x:c r="J875" s="16" t="str">
        <x:v>LA</x:v>
      </x:c>
      <x:c r="K875" s="16"/>
      <x:c r="L875" s="16" t="str">
        <x:v>Public property-business route; investor decision maker unconfirmed</x:v>
      </x:c>
      <x:c r="M875" s="16" t="str">
        <x:v>https://www.504homebuyers.com/</x:v>
      </x:c>
      <x:c r="N875" s="16" t="str">
        <x:v>$100K-$500K ticket not published / unconfirmed</x:v>
      </x:c>
      <x:c r="O875" s="20"/>
      <x:c r="P875" s="20"/>
      <x:c r="Q875" s="25" t="str">
        <x:v>No direct corporate-capital range established in checked source</x:v>
      </x:c>
      <x:c r="R875" s="25" t="str">
        <x:v>Property acquisition or investor activity makes this an operator-capital prospect for the signed trial. Confirm operating-company debt/equity appetite.</x:v>
      </x:c>
      <x:c r="S875" s="25"/>
      <x:c r="T875" s="25" t="str">
        <x:v>Ask the owner/investor whether they can allocate $100K-$500K to trial marketing and acquisitions, and confirm structure, timing and decision authority.</x:v>
      </x:c>
      <x:c r="U875" s="25" t="str">
        <x:v>https://www.cashhomebuyersdirectory.com/cash-home-buyers/louisiana/new-orleans</x:v>
      </x:c>
      <x:c r="V875" s="26" t="d">
        <x:v>2026-10-02T00:00:00.000Z</x:v>
      </x:c>
      <x:c r="W875" s="26" t="d">
        <x:v>2026-10-02T00:00:00.000Z</x:v>
      </x:c>
      <x:c r="X875" s="25" t="str">
        <x:v>CashHomeBuyersDirectory third-party business listing; first-party business activity not checked in this batch</x:v>
      </x:c>
      <x:c r="Y875" s="25"/>
      <x:c r="Z875" s="25" t="str">
        <x:v>https://www.cashhomebuyersdirectory.com/cash-home-buyers/louisiana/new-orleans</x:v>
      </x:c>
      <x:c r="AA875" s="25" t="str">
        <x:v>Public cash-home-buyer directory lists the business name, business phone/website where available and market. Operator role and corporate funding willingness require confirmation.</x:v>
      </x:c>
      <x:c r="AB875" s="3" t="str">
        <x:v>New public-source collection</x:v>
      </x:c>
      <x:c r="AC875" s="3" t="str">
        <x:v>unverified</x:v>
      </x:c>
      <x:c r="AD875" s="3" t="str">
        <x:v>Not contacted / unconfirmed</x:v>
      </x:c>
      <x:c r="AE875" s="3" t="str">
        <x:v>No</x:v>
      </x:c>
      <x:c r="AF875" s="3" t="str">
        <x:v>No</x:v>
      </x:c>
      <x:c r="AG875" s="3"/>
      <x:c r="AH875" s="3"/>
      <x:c r="AI875" s="18"/>
      <x:c r="AJ875" s="3" t="str">
        <x:v>CF2500-C5C505501159</x:v>
      </x:c>
      <x:c r="AK875" s="3" t="str">
        <x:v>real_estate_operator</x:v>
      </x:c>
      <x:c r="AL875" s="19" t="n">
        <x:v>100000</x:v>
      </x:c>
      <x:c r="AM875" s="19" t="n">
        <x:v>500000</x:v>
      </x:c>
      <x:c r="AN875" s="3" t="str">
        <x:v>https://www.cashhomebuyersdirectory.com/cash-home-buyers/louisiana/new-orleans</x:v>
      </x:c>
      <x:c r="AO875" s="3" t="str">
        <x:v>national_rest_directory_complete.jsonl</x:v>
      </x:c>
      <x:c r="AP875" s="19"/>
    </x:row>
    <x:row r="876" ht="36" customHeight="1">
      <x:c r="A876" s="23" t="n">
        <x:v>875</x:v>
      </x:c>
      <x:c r="B876" s="15" t="str">
        <x:v>540 Home Buyers</x:v>
      </x:c>
      <x:c r="C876" s="15"/>
      <x:c r="D876" s="15" t="str">
        <x:v>Property investor / home-buying operator</x:v>
      </x:c>
      <x:c r="E876" s="15" t="str">
        <x:v>Property investor / operator inquiry</x:v>
      </x:c>
      <x:c r="F876" s="17" t="str">
        <x:v>New</x:v>
      </x:c>
      <x:c r="G876" s="24"/>
      <x:c r="H876" s="24" t="str">
        <x:v>+15403931902</x:v>
      </x:c>
      <x:c r="I876" s="24" t="str">
        <x:v>https://www.540homebuyers.com/</x:v>
      </x:c>
      <x:c r="J876" s="16" t="str">
        <x:v>VA</x:v>
      </x:c>
      <x:c r="K876" s="16" t="str">
        <x:v>Roanoke</x:v>
      </x:c>
      <x:c r="L876" s="16" t="str">
        <x:v>Public property-business route; investor decision maker unconfirmed</x:v>
      </x:c>
      <x:c r="M876" s="16" t="str">
        <x:v>https://www.540homebuyers.com/</x:v>
      </x:c>
      <x:c r="N876" s="16" t="str">
        <x:v>$100K-$500K ticket not published / unconfirmed</x:v>
      </x:c>
      <x:c r="O876" s="20"/>
      <x:c r="P876" s="20"/>
      <x:c r="Q876" s="25" t="str">
        <x:v>No direct corporate-capital range established in checked source</x:v>
      </x:c>
      <x:c r="R876" s="25" t="str">
        <x:v>Property acquisition or investor activity makes this an operator-capital prospect for the signed trial. Confirm operating-company debt/equity appetite.</x:v>
      </x:c>
      <x:c r="S876" s="25"/>
      <x:c r="T876" s="25" t="str">
        <x:v>Ask the owner/investor whether they can allocate $100K-$500K to trial marketing and acquisitions, and confirm structure, timing and decision authority.</x:v>
      </x:c>
      <x:c r="U876" s="25" t="str">
        <x:v>https://www.cashhomebuyersdirectory.com/cash-home-buyers/virginia/roanoke</x:v>
      </x:c>
      <x:c r="V876" s="26" t="d">
        <x:v>2026-10-02T00:00:00.000Z</x:v>
      </x:c>
      <x:c r="W876" s="26" t="d">
        <x:v>2026-10-02T00:00:00.000Z</x:v>
      </x:c>
      <x:c r="X876" s="25" t="str">
        <x:v>CashHomeBuyersDirectory third-party business listing; first-party business activity not checked in this batch</x:v>
      </x:c>
      <x:c r="Y876" s="25"/>
      <x:c r="Z876" s="25" t="str">
        <x:v>https://www.cashhomebuyersdirectory.com/cash-home-buyers/virginia/roanoke</x:v>
      </x:c>
      <x:c r="AA876" s="25" t="str">
        <x:v>Public cash-home-buyer directory lists the business name, business phone/website where available and market. Operator role and corporate funding willingness require confirmation.</x:v>
      </x:c>
      <x:c r="AB876" s="3" t="str">
        <x:v>New public-source collection</x:v>
      </x:c>
      <x:c r="AC876" s="3" t="str">
        <x:v>unverified</x:v>
      </x:c>
      <x:c r="AD876" s="3" t="str">
        <x:v>Not contacted / unconfirmed</x:v>
      </x:c>
      <x:c r="AE876" s="3" t="str">
        <x:v>No</x:v>
      </x:c>
      <x:c r="AF876" s="3" t="str">
        <x:v>No</x:v>
      </x:c>
      <x:c r="AG876" s="3"/>
      <x:c r="AH876" s="3"/>
      <x:c r="AI876" s="18"/>
      <x:c r="AJ876" s="3" t="str">
        <x:v>CF2500-D51F0860EF3B</x:v>
      </x:c>
      <x:c r="AK876" s="3" t="str">
        <x:v>real_estate_operator</x:v>
      </x:c>
      <x:c r="AL876" s="19" t="n">
        <x:v>100000</x:v>
      </x:c>
      <x:c r="AM876" s="19" t="n">
        <x:v>500000</x:v>
      </x:c>
      <x:c r="AN876" s="3" t="str">
        <x:v>https://www.cashhomebuyersdirectory.com/cash-home-buyers/virginia/roanoke</x:v>
      </x:c>
      <x:c r="AO876" s="3" t="str">
        <x:v>national_rest_directory_complete.jsonl</x:v>
      </x:c>
      <x:c r="AP876" s="19"/>
    </x:row>
    <x:row r="877" ht="36" customHeight="1">
      <x:c r="A877" s="23" t="n">
        <x:v>876</x:v>
      </x:c>
      <x:c r="B877" s="15" t="str">
        <x:v>664 Cash Home Buyers</x:v>
      </x:c>
      <x:c r="C877" s="15"/>
      <x:c r="D877" s="15" t="str">
        <x:v>Property investor / home-buying operator</x:v>
      </x:c>
      <x:c r="E877" s="15" t="str">
        <x:v>Property investor / operator inquiry</x:v>
      </x:c>
      <x:c r="F877" s="17" t="str">
        <x:v>New</x:v>
      </x:c>
      <x:c r="G877" s="24"/>
      <x:c r="H877" s="24" t="str">
        <x:v>+17023292727</x:v>
      </x:c>
      <x:c r="I877" s="24" t="str">
        <x:v>https://www.664homebuyers.com/</x:v>
      </x:c>
      <x:c r="J877" s="16" t="str">
        <x:v>NV</x:v>
      </x:c>
      <x:c r="K877" s="16" t="str">
        <x:v>Las Vegas</x:v>
      </x:c>
      <x:c r="L877" s="16" t="str">
        <x:v>Public property-business route; investor decision maker unconfirmed</x:v>
      </x:c>
      <x:c r="M877" s="16" t="str">
        <x:v>https://www.664homebuyers.com/</x:v>
      </x:c>
      <x:c r="N877" s="16" t="str">
        <x:v>$100K-$500K ticket not published / unconfirmed</x:v>
      </x:c>
      <x:c r="O877" s="20"/>
      <x:c r="P877" s="20"/>
      <x:c r="Q877" s="25" t="str">
        <x:v>No direct corporate-capital range established in checked source</x:v>
      </x:c>
      <x:c r="R877" s="25" t="str">
        <x:v>Property acquisition or investor activity makes this an operator-capital prospect for the signed trial. Confirm operating-company debt/equity appetite.</x:v>
      </x:c>
      <x:c r="S877" s="25"/>
      <x:c r="T877" s="25" t="str">
        <x:v>Ask the owner/investor whether they can allocate $100K-$500K to trial marketing and acquisitions, and confirm structure, timing and decision authority.</x:v>
      </x:c>
      <x:c r="U877" s="25" t="str">
        <x:v>https://www.cashhomebuyersdirectory.com/cash-home-buyers/nevada/las-vegas</x:v>
      </x:c>
      <x:c r="V877" s="26" t="d">
        <x:v>2026-10-02T00:00:00.000Z</x:v>
      </x:c>
      <x:c r="W877" s="26" t="d">
        <x:v>2026-10-02T00:00:00.000Z</x:v>
      </x:c>
      <x:c r="X877" s="25" t="str">
        <x:v>CashHomeBuyersDirectory third-party business listing; first-party business activity not checked in this batch</x:v>
      </x:c>
      <x:c r="Y877" s="25"/>
      <x:c r="Z877" s="25" t="str">
        <x:v>https://www.cashhomebuyersdirectory.com/cash-home-buyers/nevada/las-vegas</x:v>
      </x:c>
      <x:c r="AA877" s="25" t="str">
        <x:v>Public cash-home-buyer directory lists the business name, business phone/website where available and market. Operator role and corporate funding willingness require confirmation.</x:v>
      </x:c>
      <x:c r="AB877" s="3" t="str">
        <x:v>New public-source collection</x:v>
      </x:c>
      <x:c r="AC877" s="3" t="str">
        <x:v>unverified</x:v>
      </x:c>
      <x:c r="AD877" s="3" t="str">
        <x:v>Not contacted / unconfirmed</x:v>
      </x:c>
      <x:c r="AE877" s="3" t="str">
        <x:v>No</x:v>
      </x:c>
      <x:c r="AF877" s="3" t="str">
        <x:v>No</x:v>
      </x:c>
      <x:c r="AG877" s="3"/>
      <x:c r="AH877" s="3"/>
      <x:c r="AI877" s="18"/>
      <x:c r="AJ877" s="3" t="str">
        <x:v>CF2500-48113F449B11</x:v>
      </x:c>
      <x:c r="AK877" s="3" t="str">
        <x:v>real_estate_operator</x:v>
      </x:c>
      <x:c r="AL877" s="19" t="n">
        <x:v>100000</x:v>
      </x:c>
      <x:c r="AM877" s="19" t="n">
        <x:v>500000</x:v>
      </x:c>
      <x:c r="AN877" s="3" t="str">
        <x:v>https://www.cashhomebuyersdirectory.com/cash-home-buyers/nevada/las-vegas</x:v>
      </x:c>
      <x:c r="AO877" s="3" t="str">
        <x:v>national_rest_directory_complete.jsonl</x:v>
      </x:c>
      <x:c r="AP877" s="19"/>
    </x:row>
    <x:row r="878" ht="36" customHeight="1">
      <x:c r="A878" s="23" t="n">
        <x:v>877</x:v>
      </x:c>
      <x:c r="B878" s="15" t="str">
        <x:v>7 Days Cash Home Buyers by Home Downsizing Solutions</x:v>
      </x:c>
      <x:c r="C878" s="15"/>
      <x:c r="D878" s="15" t="str">
        <x:v>Property investor / home-buying operator</x:v>
      </x:c>
      <x:c r="E878" s="15" t="str">
        <x:v>Property investor / operator inquiry</x:v>
      </x:c>
      <x:c r="F878" s="17" t="str">
        <x:v>New</x:v>
      </x:c>
      <x:c r="G878" s="24"/>
      <x:c r="H878" s="24" t="str">
        <x:v>+14022915005</x:v>
      </x:c>
      <x:c r="I878" s="24" t="str">
        <x:v>https://www.7dayscash.com/?utm_source=google&amp;utm_medium=Click</x:v>
      </x:c>
      <x:c r="J878" s="16" t="str">
        <x:v>NE</x:v>
      </x:c>
      <x:c r="K878" s="16"/>
      <x:c r="L878" s="16" t="str">
        <x:v>Public property-business route; investor decision maker unconfirmed</x:v>
      </x:c>
      <x:c r="M878" s="16" t="str">
        <x:v>https://www.7dayscash.com/?utm_source=google&amp;utm_medium=Click</x:v>
      </x:c>
      <x:c r="N878" s="16" t="str">
        <x:v>$100K-$500K ticket not published / unconfirmed</x:v>
      </x:c>
      <x:c r="O878" s="20"/>
      <x:c r="P878" s="20"/>
      <x:c r="Q878" s="25" t="str">
        <x:v>No direct corporate-capital range established in checked source</x:v>
      </x:c>
      <x:c r="R878" s="25" t="str">
        <x:v>Property acquisition or investor activity makes this an operator-capital prospect for the signed trial. Confirm operating-company debt/equity appetite.</x:v>
      </x:c>
      <x:c r="S878" s="25"/>
      <x:c r="T878" s="25" t="str">
        <x:v>Ask the owner/investor whether they can allocate $100K-$500K to trial marketing and acquisitions, and confirm structure, timing and decision authority.</x:v>
      </x:c>
      <x:c r="U878" s="25" t="str">
        <x:v>https://www.cashhomebuyersdirectory.com/cash-home-buyers/nebraska/lincoln</x:v>
      </x:c>
      <x:c r="V878" s="26" t="d">
        <x:v>2026-10-02T00:00:00.000Z</x:v>
      </x:c>
      <x:c r="W878" s="26" t="d">
        <x:v>2026-10-02T00:00:00.000Z</x:v>
      </x:c>
      <x:c r="X878" s="25" t="str">
        <x:v>CashHomeBuyersDirectory third-party business listing; first-party business activity not checked in this batch</x:v>
      </x:c>
      <x:c r="Y878" s="25"/>
      <x:c r="Z878" s="25" t="str">
        <x:v>https://www.cashhomebuyersdirectory.com/cash-home-buyers/nebraska/lincoln</x:v>
      </x:c>
      <x:c r="AA878" s="25" t="str">
        <x:v>Public cash-home-buyer directory lists the business name, business phone/website where available and market. Operator role and corporate funding willingness require confirmation.</x:v>
      </x:c>
      <x:c r="AB878" s="3" t="str">
        <x:v>New public-source collection</x:v>
      </x:c>
      <x:c r="AC878" s="3" t="str">
        <x:v>unverified</x:v>
      </x:c>
      <x:c r="AD878" s="3" t="str">
        <x:v>Not contacted / unconfirmed</x:v>
      </x:c>
      <x:c r="AE878" s="3" t="str">
        <x:v>No</x:v>
      </x:c>
      <x:c r="AF878" s="3" t="str">
        <x:v>No</x:v>
      </x:c>
      <x:c r="AG878" s="3"/>
      <x:c r="AH878" s="3"/>
      <x:c r="AI878" s="18"/>
      <x:c r="AJ878" s="3" t="str">
        <x:v>CF2500-3FD67ED9A952</x:v>
      </x:c>
      <x:c r="AK878" s="3" t="str">
        <x:v>real_estate_operator</x:v>
      </x:c>
      <x:c r="AL878" s="19" t="n">
        <x:v>100000</x:v>
      </x:c>
      <x:c r="AM878" s="19" t="n">
        <x:v>500000</x:v>
      </x:c>
      <x:c r="AN878" s="3" t="str">
        <x:v>https://www.cashhomebuyersdirectory.com/cash-home-buyers/nebraska/lincoln</x:v>
      </x:c>
      <x:c r="AO878" s="3" t="str">
        <x:v>national_rest_directory_complete.jsonl</x:v>
      </x:c>
      <x:c r="AP878" s="19"/>
    </x:row>
    <x:row r="879" ht="36" customHeight="1">
      <x:c r="A879" s="23" t="n">
        <x:v>878</x:v>
      </x:c>
      <x:c r="B879" s="15" t="str">
        <x:v>702 Home Buyers</x:v>
      </x:c>
      <x:c r="C879" s="15"/>
      <x:c r="D879" s="15" t="str">
        <x:v>Property investor / home-buying operator</x:v>
      </x:c>
      <x:c r="E879" s="15" t="str">
        <x:v>Property investor / operator inquiry</x:v>
      </x:c>
      <x:c r="F879" s="17" t="str">
        <x:v>New</x:v>
      </x:c>
      <x:c r="G879" s="24"/>
      <x:c r="H879" s="24" t="str">
        <x:v>+17029856122</x:v>
      </x:c>
      <x:c r="I879" s="24" t="str">
        <x:v>https://www.702homebuyers.vegas/</x:v>
      </x:c>
      <x:c r="J879" s="16" t="str">
        <x:v>NV</x:v>
      </x:c>
      <x:c r="K879" s="16" t="str">
        <x:v>Henderson</x:v>
      </x:c>
      <x:c r="L879" s="16" t="str">
        <x:v>Public property-business route; investor decision maker unconfirmed</x:v>
      </x:c>
      <x:c r="M879" s="16" t="str">
        <x:v>https://www.702homebuyers.vegas/</x:v>
      </x:c>
      <x:c r="N879" s="16" t="str">
        <x:v>$100K-$500K ticket not published / unconfirmed</x:v>
      </x:c>
      <x:c r="O879" s="20"/>
      <x:c r="P879" s="20"/>
      <x:c r="Q879" s="25" t="str">
        <x:v>No direct corporate-capital range established in checked source</x:v>
      </x:c>
      <x:c r="R879" s="25" t="str">
        <x:v>Property acquisition or investor activity makes this an operator-capital prospect for the signed trial. Confirm operating-company debt/equity appetite.</x:v>
      </x:c>
      <x:c r="S879" s="25"/>
      <x:c r="T879" s="25" t="str">
        <x:v>Ask the owner/investor whether they can allocate $100K-$500K to trial marketing and acquisitions, and confirm structure, timing and decision authority.</x:v>
      </x:c>
      <x:c r="U879" s="25" t="str">
        <x:v>https://www.cashhomebuyersdirectory.com/cash-home-buyers/nevada/henderson</x:v>
      </x:c>
      <x:c r="V879" s="26" t="d">
        <x:v>2026-10-02T00:00:00.000Z</x:v>
      </x:c>
      <x:c r="W879" s="26" t="d">
        <x:v>2026-10-02T00:00:00.000Z</x:v>
      </x:c>
      <x:c r="X879" s="25" t="str">
        <x:v>CashHomeBuyersDirectory third-party business listing; first-party business activity not checked in this batch</x:v>
      </x:c>
      <x:c r="Y879" s="25"/>
      <x:c r="Z879" s="25" t="str">
        <x:v>https://www.cashhomebuyersdirectory.com/cash-home-buyers/nevada/henderson</x:v>
      </x:c>
      <x:c r="AA879" s="25" t="str">
        <x:v>Public cash-home-buyer directory lists the business name, business phone/website where available and market. Operator role and corporate funding willingness require confirmation.</x:v>
      </x:c>
      <x:c r="AB879" s="3" t="str">
        <x:v>New public-source collection</x:v>
      </x:c>
      <x:c r="AC879" s="3" t="str">
        <x:v>unverified</x:v>
      </x:c>
      <x:c r="AD879" s="3" t="str">
        <x:v>Not contacted / unconfirmed</x:v>
      </x:c>
      <x:c r="AE879" s="3" t="str">
        <x:v>No</x:v>
      </x:c>
      <x:c r="AF879" s="3" t="str">
        <x:v>No</x:v>
      </x:c>
      <x:c r="AG879" s="3"/>
      <x:c r="AH879" s="3"/>
      <x:c r="AI879" s="18"/>
      <x:c r="AJ879" s="3" t="str">
        <x:v>CF2500-45EC35C2F1FF</x:v>
      </x:c>
      <x:c r="AK879" s="3" t="str">
        <x:v>real_estate_operator</x:v>
      </x:c>
      <x:c r="AL879" s="19" t="n">
        <x:v>100000</x:v>
      </x:c>
      <x:c r="AM879" s="19" t="n">
        <x:v>500000</x:v>
      </x:c>
      <x:c r="AN879" s="3" t="str">
        <x:v>https://www.cashhomebuyersdirectory.com/cash-home-buyers/nevada/henderson</x:v>
      </x:c>
      <x:c r="AO879" s="3" t="str">
        <x:v>national_rest_directory_complete.jsonl</x:v>
      </x:c>
      <x:c r="AP879" s="19"/>
    </x:row>
    <x:row r="880" ht="36" customHeight="1">
      <x:c r="A880" s="23" t="n">
        <x:v>879</x:v>
      </x:c>
      <x:c r="B880" s="15" t="str">
        <x:v>717 Home Buyers</x:v>
      </x:c>
      <x:c r="C880" s="15"/>
      <x:c r="D880" s="15" t="str">
        <x:v>Property investor / home-buying operator</x:v>
      </x:c>
      <x:c r="E880" s="15" t="str">
        <x:v>Property investor / operator inquiry</x:v>
      </x:c>
      <x:c r="F880" s="17" t="str">
        <x:v>New</x:v>
      </x:c>
      <x:c r="G880" s="24"/>
      <x:c r="H880" s="24" t="str">
        <x:v>+17173217653</x:v>
      </x:c>
      <x:c r="I880" s="24" t="str">
        <x:v>http://www.717homebuyers.com/</x:v>
      </x:c>
      <x:c r="J880" s="16" t="str">
        <x:v>PA</x:v>
      </x:c>
      <x:c r="K880" s="16" t="str">
        <x:v>Lancaster</x:v>
      </x:c>
      <x:c r="L880" s="16" t="str">
        <x:v>Public property-business route; investor decision maker unconfirmed</x:v>
      </x:c>
      <x:c r="M880" s="16" t="str">
        <x:v>http://www.717homebuyers.com/</x:v>
      </x:c>
      <x:c r="N880" s="16" t="str">
        <x:v>$100K-$500K ticket not published / unconfirmed</x:v>
      </x:c>
      <x:c r="O880" s="20"/>
      <x:c r="P880" s="20"/>
      <x:c r="Q880" s="25" t="str">
        <x:v>No direct corporate-capital range established in checked source</x:v>
      </x:c>
      <x:c r="R880" s="25" t="str">
        <x:v>Property acquisition or investor activity makes this an operator-capital prospect for the signed trial. Confirm operating-company debt/equity appetite.</x:v>
      </x:c>
      <x:c r="S880" s="25"/>
      <x:c r="T880" s="25" t="str">
        <x:v>Ask the owner/investor whether they can allocate $100K-$500K to trial marketing and acquisitions, and confirm structure, timing and decision authority.</x:v>
      </x:c>
      <x:c r="U880" s="25" t="str">
        <x:v>https://www.cashhomebuyersdirectory.com/cash-home-buyers/pennsylvania/lancaster</x:v>
      </x:c>
      <x:c r="V880" s="26" t="d">
        <x:v>2026-10-02T00:00:00.000Z</x:v>
      </x:c>
      <x:c r="W880" s="26" t="d">
        <x:v>2026-10-02T00:00:00.000Z</x:v>
      </x:c>
      <x:c r="X880" s="25" t="str">
        <x:v>CashHomeBuyersDirectory third-party business listing; first-party business activity not checked in this batch</x:v>
      </x:c>
      <x:c r="Y880" s="25"/>
      <x:c r="Z880" s="25" t="str">
        <x:v>https://www.cashhomebuyersdirectory.com/cash-home-buyers/pennsylvania/lancaster</x:v>
      </x:c>
      <x:c r="AA880" s="25" t="str">
        <x:v>Public cash-home-buyer directory lists the business name, business phone/website where available and market. Operator role and corporate funding willingness require confirmation.</x:v>
      </x:c>
      <x:c r="AB880" s="3" t="str">
        <x:v>New public-source collection</x:v>
      </x:c>
      <x:c r="AC880" s="3" t="str">
        <x:v>unverified</x:v>
      </x:c>
      <x:c r="AD880" s="3" t="str">
        <x:v>Not contacted / unconfirmed</x:v>
      </x:c>
      <x:c r="AE880" s="3" t="str">
        <x:v>No</x:v>
      </x:c>
      <x:c r="AF880" s="3" t="str">
        <x:v>No</x:v>
      </x:c>
      <x:c r="AG880" s="3"/>
      <x:c r="AH880" s="3"/>
      <x:c r="AI880" s="18"/>
      <x:c r="AJ880" s="3" t="str">
        <x:v>CF2500-661BE6A33C50</x:v>
      </x:c>
      <x:c r="AK880" s="3" t="str">
        <x:v>real_estate_operator</x:v>
      </x:c>
      <x:c r="AL880" s="19" t="n">
        <x:v>100000</x:v>
      </x:c>
      <x:c r="AM880" s="19" t="n">
        <x:v>500000</x:v>
      </x:c>
      <x:c r="AN880" s="3" t="str">
        <x:v>https://www.cashhomebuyersdirectory.com/cash-home-buyers/pennsylvania/lancaster</x:v>
      </x:c>
      <x:c r="AO880" s="3" t="str">
        <x:v>national_rest_directory_complete.jsonl</x:v>
      </x:c>
      <x:c r="AP880" s="19"/>
    </x:row>
    <x:row r="881" ht="36" customHeight="1">
      <x:c r="A881" s="23" t="n">
        <x:v>880</x:v>
      </x:c>
      <x:c r="B881" s="15" t="str">
        <x:v>814 Home Buyers</x:v>
      </x:c>
      <x:c r="C881" s="15"/>
      <x:c r="D881" s="15" t="str">
        <x:v>Property investor / home-buying operator</x:v>
      </x:c>
      <x:c r="E881" s="15" t="str">
        <x:v>Property investor / operator inquiry</x:v>
      </x:c>
      <x:c r="F881" s="17" t="str">
        <x:v>New</x:v>
      </x:c>
      <x:c r="G881" s="24"/>
      <x:c r="H881" s="24" t="str">
        <x:v>+18147381212</x:v>
      </x:c>
      <x:c r="I881" s="24" t="str">
        <x:v>https://814homebuyers.com/</x:v>
      </x:c>
      <x:c r="J881" s="16" t="str">
        <x:v>PA</x:v>
      </x:c>
      <x:c r="K881" s="16" t="str">
        <x:v>Fairview</x:v>
      </x:c>
      <x:c r="L881" s="16" t="str">
        <x:v>Public property-business route; investor decision maker unconfirmed</x:v>
      </x:c>
      <x:c r="M881" s="16" t="str">
        <x:v>https://814homebuyers.com/</x:v>
      </x:c>
      <x:c r="N881" s="16" t="str">
        <x:v>$100K-$500K ticket not published / unconfirmed</x:v>
      </x:c>
      <x:c r="O881" s="20"/>
      <x:c r="P881" s="20"/>
      <x:c r="Q881" s="25" t="str">
        <x:v>No direct corporate-capital range established in checked source</x:v>
      </x:c>
      <x:c r="R881" s="25" t="str">
        <x:v>Property acquisition or investor activity makes this an operator-capital prospect for the signed trial. Confirm operating-company debt/equity appetite.</x:v>
      </x:c>
      <x:c r="S881" s="25"/>
      <x:c r="T881" s="25" t="str">
        <x:v>Ask the owner/investor whether they can allocate $100K-$500K to trial marketing and acquisitions, and confirm structure, timing and decision authority.</x:v>
      </x:c>
      <x:c r="U881" s="25" t="str">
        <x:v>https://www.cashhomebuyersdirectory.com/cash-home-buyers/pennsylvania/fairview</x:v>
      </x:c>
      <x:c r="V881" s="26" t="d">
        <x:v>2026-10-02T00:00:00.000Z</x:v>
      </x:c>
      <x:c r="W881" s="26" t="d">
        <x:v>2026-10-02T00:00:00.000Z</x:v>
      </x:c>
      <x:c r="X881" s="25" t="str">
        <x:v>CashHomeBuyersDirectory third-party business listing; first-party business activity not checked in this batch</x:v>
      </x:c>
      <x:c r="Y881" s="25"/>
      <x:c r="Z881" s="25" t="str">
        <x:v>https://www.cashhomebuyersdirectory.com/cash-home-buyers/pennsylvania/fairview</x:v>
      </x:c>
      <x:c r="AA881" s="25" t="str">
        <x:v>Public cash-home-buyer directory lists the business name, business phone/website where available and market. Operator role and corporate funding willingness require confirmation.</x:v>
      </x:c>
      <x:c r="AB881" s="3" t="str">
        <x:v>New public-source collection</x:v>
      </x:c>
      <x:c r="AC881" s="3" t="str">
        <x:v>unverified</x:v>
      </x:c>
      <x:c r="AD881" s="3" t="str">
        <x:v>Not contacted / unconfirmed</x:v>
      </x:c>
      <x:c r="AE881" s="3" t="str">
        <x:v>No</x:v>
      </x:c>
      <x:c r="AF881" s="3" t="str">
        <x:v>No</x:v>
      </x:c>
      <x:c r="AG881" s="3"/>
      <x:c r="AH881" s="3"/>
      <x:c r="AI881" s="18"/>
      <x:c r="AJ881" s="3" t="str">
        <x:v>CF2500-4EDEDF9C6014</x:v>
      </x:c>
      <x:c r="AK881" s="3" t="str">
        <x:v>real_estate_operator</x:v>
      </x:c>
      <x:c r="AL881" s="19" t="n">
        <x:v>100000</x:v>
      </x:c>
      <x:c r="AM881" s="19" t="n">
        <x:v>500000</x:v>
      </x:c>
      <x:c r="AN881" s="3" t="str">
        <x:v>https://www.cashhomebuyersdirectory.com/cash-home-buyers/pennsylvania/fairview</x:v>
      </x:c>
      <x:c r="AO881" s="3" t="str">
        <x:v>national_rest_directory_complete.jsonl</x:v>
      </x:c>
      <x:c r="AP881" s="19"/>
    </x:row>
    <x:row r="882" ht="36" customHeight="1">
      <x:c r="A882" s="23" t="n">
        <x:v>881</x:v>
      </x:c>
      <x:c r="B882" s="15" t="str">
        <x:v>850 Cash Home Buyers</x:v>
      </x:c>
      <x:c r="C882" s="15"/>
      <x:c r="D882" s="15" t="str">
        <x:v>Property investor / home-buying operator</x:v>
      </x:c>
      <x:c r="E882" s="15" t="str">
        <x:v>Property investor / operator inquiry</x:v>
      </x:c>
      <x:c r="F882" s="17" t="str">
        <x:v>New</x:v>
      </x:c>
      <x:c r="G882" s="24"/>
      <x:c r="H882" s="24" t="str">
        <x:v>+18503613991</x:v>
      </x:c>
      <x:c r="I882" s="24" t="str">
        <x:v>http://www.850cashhomebuyers.com/</x:v>
      </x:c>
      <x:c r="J882" s="16" t="str">
        <x:v>LA</x:v>
      </x:c>
      <x:c r="K882" s="16"/>
      <x:c r="L882" s="16" t="str">
        <x:v>Public property-business route; investor decision maker unconfirmed</x:v>
      </x:c>
      <x:c r="M882" s="16" t="str">
        <x:v>http://www.850cashhomebuyers.com/</x:v>
      </x:c>
      <x:c r="N882" s="16" t="str">
        <x:v>$100K-$500K ticket not published / unconfirmed</x:v>
      </x:c>
      <x:c r="O882" s="20"/>
      <x:c r="P882" s="20"/>
      <x:c r="Q882" s="25" t="str">
        <x:v>No direct corporate-capital range established in checked source</x:v>
      </x:c>
      <x:c r="R882" s="25" t="str">
        <x:v>Property acquisition or investor activity makes this an operator-capital prospect for the signed trial. Confirm operating-company debt/equity appetite.</x:v>
      </x:c>
      <x:c r="S882" s="25"/>
      <x:c r="T882" s="25" t="str">
        <x:v>Ask the owner/investor whether they can allocate $100K-$500K to trial marketing and acquisitions, and confirm structure, timing and decision authority.</x:v>
      </x:c>
      <x:c r="U882" s="25" t="str">
        <x:v>https://www.cashhomebuyersdirectory.com/cash-home-buyers/louisiana/lafayette</x:v>
      </x:c>
      <x:c r="V882" s="26" t="d">
        <x:v>2026-10-02T00:00:00.000Z</x:v>
      </x:c>
      <x:c r="W882" s="26" t="d">
        <x:v>2026-10-02T00:00:00.000Z</x:v>
      </x:c>
      <x:c r="X882" s="25" t="str">
        <x:v>CashHomeBuyersDirectory third-party business listing; first-party business activity not checked in this batch</x:v>
      </x:c>
      <x:c r="Y882" s="25"/>
      <x:c r="Z882" s="25" t="str">
        <x:v>https://www.cashhomebuyersdirectory.com/cash-home-buyers/louisiana/lafayette</x:v>
      </x:c>
      <x:c r="AA882" s="25" t="str">
        <x:v>Public cash-home-buyer directory lists the business name, business phone/website where available and market. Operator role and corporate funding willingness require confirmation.</x:v>
      </x:c>
      <x:c r="AB882" s="3" t="str">
        <x:v>New public-source collection</x:v>
      </x:c>
      <x:c r="AC882" s="3" t="str">
        <x:v>unverified</x:v>
      </x:c>
      <x:c r="AD882" s="3" t="str">
        <x:v>Not contacted / unconfirmed</x:v>
      </x:c>
      <x:c r="AE882" s="3" t="str">
        <x:v>No</x:v>
      </x:c>
      <x:c r="AF882" s="3" t="str">
        <x:v>No</x:v>
      </x:c>
      <x:c r="AG882" s="3"/>
      <x:c r="AH882" s="3"/>
      <x:c r="AI882" s="18"/>
      <x:c r="AJ882" s="3" t="str">
        <x:v>CF2500-0F8E248ED4B3</x:v>
      </x:c>
      <x:c r="AK882" s="3" t="str">
        <x:v>real_estate_operator</x:v>
      </x:c>
      <x:c r="AL882" s="19" t="n">
        <x:v>100000</x:v>
      </x:c>
      <x:c r="AM882" s="19" t="n">
        <x:v>500000</x:v>
      </x:c>
      <x:c r="AN882" s="3" t="str">
        <x:v>https://www.cashhomebuyersdirectory.com/cash-home-buyers/louisiana/lafayette</x:v>
      </x:c>
      <x:c r="AO882" s="3" t="str">
        <x:v>national_rest_directory_complete.jsonl</x:v>
      </x:c>
      <x:c r="AP882" s="19"/>
    </x:row>
    <x:row r="883" ht="36" customHeight="1">
      <x:c r="A883" s="23" t="n">
        <x:v>882</x:v>
      </x:c>
      <x:c r="B883" s="15" t="str">
        <x:v>Above The Line Homebuyers</x:v>
      </x:c>
      <x:c r="C883" s="15"/>
      <x:c r="D883" s="15" t="str">
        <x:v>Property investor / home-buying operator</x:v>
      </x:c>
      <x:c r="E883" s="15" t="str">
        <x:v>Property investor / operator inquiry</x:v>
      </x:c>
      <x:c r="F883" s="17" t="str">
        <x:v>New</x:v>
      </x:c>
      <x:c r="G883" s="24"/>
      <x:c r="H883" s="24" t="str">
        <x:v>+17179497869</x:v>
      </x:c>
      <x:c r="I883" s="24" t="str">
        <x:v>http://www.abovethelinehomebuyers.com/</x:v>
      </x:c>
      <x:c r="J883" s="16" t="str">
        <x:v>PA</x:v>
      </x:c>
      <x:c r="K883" s="16" t="str">
        <x:v>York</x:v>
      </x:c>
      <x:c r="L883" s="16" t="str">
        <x:v>Public property-business route; investor decision maker unconfirmed</x:v>
      </x:c>
      <x:c r="M883" s="16" t="str">
        <x:v>http://www.abovethelinehomebuyers.com/</x:v>
      </x:c>
      <x:c r="N883" s="16" t="str">
        <x:v>$100K-$500K ticket not published / unconfirmed</x:v>
      </x:c>
      <x:c r="O883" s="20"/>
      <x:c r="P883" s="20"/>
      <x:c r="Q883" s="25" t="str">
        <x:v>No direct corporate-capital range established in checked source</x:v>
      </x:c>
      <x:c r="R883" s="25" t="str">
        <x:v>Property acquisition or investor activity makes this an operator-capital prospect for the signed trial. Confirm operating-company debt/equity appetite.</x:v>
      </x:c>
      <x:c r="S883" s="25"/>
      <x:c r="T883" s="25" t="str">
        <x:v>Ask the owner/investor whether they can allocate $100K-$500K to trial marketing and acquisitions, and confirm structure, timing and decision authority.</x:v>
      </x:c>
      <x:c r="U883" s="25" t="str">
        <x:v>https://www.cashhomebuyersdirectory.com/cash-home-buyers/pennsylvania/york</x:v>
      </x:c>
      <x:c r="V883" s="26" t="d">
        <x:v>2026-10-02T00:00:00.000Z</x:v>
      </x:c>
      <x:c r="W883" s="26" t="d">
        <x:v>2026-10-02T00:00:00.000Z</x:v>
      </x:c>
      <x:c r="X883" s="25" t="str">
        <x:v>CashHomeBuyersDirectory third-party business listing; first-party business activity not checked in this batch</x:v>
      </x:c>
      <x:c r="Y883" s="25"/>
      <x:c r="Z883" s="25" t="str">
        <x:v>https://www.cashhomebuyersdirectory.com/cash-home-buyers/pennsylvania/york</x:v>
      </x:c>
      <x:c r="AA883" s="25" t="str">
        <x:v>Public cash-home-buyer directory lists the business name, business phone/website where available and market. Operator role and corporate funding willingness require confirmation.</x:v>
      </x:c>
      <x:c r="AB883" s="3" t="str">
        <x:v>New public-source collection</x:v>
      </x:c>
      <x:c r="AC883" s="3" t="str">
        <x:v>unverified</x:v>
      </x:c>
      <x:c r="AD883" s="3" t="str">
        <x:v>Not contacted / unconfirmed</x:v>
      </x:c>
      <x:c r="AE883" s="3" t="str">
        <x:v>No</x:v>
      </x:c>
      <x:c r="AF883" s="3" t="str">
        <x:v>No</x:v>
      </x:c>
      <x:c r="AG883" s="3"/>
      <x:c r="AH883" s="3"/>
      <x:c r="AI883" s="18"/>
      <x:c r="AJ883" s="3" t="str">
        <x:v>CF2500-69B7676DDFD3</x:v>
      </x:c>
      <x:c r="AK883" s="3" t="str">
        <x:v>real_estate_operator</x:v>
      </x:c>
      <x:c r="AL883" s="19" t="n">
        <x:v>100000</x:v>
      </x:c>
      <x:c r="AM883" s="19" t="n">
        <x:v>500000</x:v>
      </x:c>
      <x:c r="AN883" s="3" t="str">
        <x:v>https://www.cashhomebuyersdirectory.com/cash-home-buyers/pennsylvania/york</x:v>
      </x:c>
      <x:c r="AO883" s="3" t="str">
        <x:v>national_rest_directory_complete.jsonl</x:v>
      </x:c>
      <x:c r="AP883" s="19"/>
    </x:row>
    <x:row r="884" ht="36" customHeight="1">
      <x:c r="A884" s="23" t="n">
        <x:v>883</x:v>
      </x:c>
      <x:c r="B884" s="15" t="str">
        <x:v>ABQ Property Buyers</x:v>
      </x:c>
      <x:c r="C884" s="15"/>
      <x:c r="D884" s="15" t="str">
        <x:v>Property investor / home-buying operator</x:v>
      </x:c>
      <x:c r="E884" s="15" t="str">
        <x:v>Property investor / operator inquiry</x:v>
      </x:c>
      <x:c r="F884" s="17" t="str">
        <x:v>New</x:v>
      </x:c>
      <x:c r="G884" s="24"/>
      <x:c r="H884" s="24" t="str">
        <x:v>+15055851616</x:v>
      </x:c>
      <x:c r="I884" s="24" t="str">
        <x:v>https://abqpropertybuyers.com/</x:v>
      </x:c>
      <x:c r="J884" s="16" t="str">
        <x:v>NM</x:v>
      </x:c>
      <x:c r="K884" s="16" t="str">
        <x:v>Albuquerque</x:v>
      </x:c>
      <x:c r="L884" s="16" t="str">
        <x:v>Public property-business route; investor decision maker unconfirmed</x:v>
      </x:c>
      <x:c r="M884" s="16" t="str">
        <x:v>https://abqpropertybuyers.com/</x:v>
      </x:c>
      <x:c r="N884" s="16" t="str">
        <x:v>$100K-$500K ticket not published / unconfirmed</x:v>
      </x:c>
      <x:c r="O884" s="20"/>
      <x:c r="P884" s="20"/>
      <x:c r="Q884" s="25" t="str">
        <x:v>No direct corporate-capital range established in checked source</x:v>
      </x:c>
      <x:c r="R884" s="25" t="str">
        <x:v>Property acquisition or investor activity makes this an operator-capital prospect for the signed trial. Confirm operating-company debt/equity appetite.</x:v>
      </x:c>
      <x:c r="S884" s="25"/>
      <x:c r="T884" s="25" t="str">
        <x:v>Ask the owner/investor whether they can allocate $100K-$500K to trial marketing and acquisitions, and confirm structure, timing and decision authority.</x:v>
      </x:c>
      <x:c r="U884" s="25" t="str">
        <x:v>https://www.cashhomebuyersdirectory.com/cash-home-buyers/new-mexico/albuquerque</x:v>
      </x:c>
      <x:c r="V884" s="26" t="d">
        <x:v>2026-10-02T00:00:00.000Z</x:v>
      </x:c>
      <x:c r="W884" s="26" t="d">
        <x:v>2026-10-02T00:00:00.000Z</x:v>
      </x:c>
      <x:c r="X884" s="25" t="str">
        <x:v>CashHomeBuyersDirectory third-party business listing; first-party business activity not checked in this batch</x:v>
      </x:c>
      <x:c r="Y884" s="25"/>
      <x:c r="Z884" s="25" t="str">
        <x:v>https://www.cashhomebuyersdirectory.com/cash-home-buyers/new-mexico/albuquerque</x:v>
      </x:c>
      <x:c r="AA884" s="25" t="str">
        <x:v>Public cash-home-buyer directory lists the business name, business phone/website where available and market. Operator role and corporate funding willingness require confirmation.</x:v>
      </x:c>
      <x:c r="AB884" s="3" t="str">
        <x:v>New public-source collection</x:v>
      </x:c>
      <x:c r="AC884" s="3" t="str">
        <x:v>unverified</x:v>
      </x:c>
      <x:c r="AD884" s="3" t="str">
        <x:v>Not contacted / unconfirmed</x:v>
      </x:c>
      <x:c r="AE884" s="3" t="str">
        <x:v>No</x:v>
      </x:c>
      <x:c r="AF884" s="3" t="str">
        <x:v>No</x:v>
      </x:c>
      <x:c r="AG884" s="3"/>
      <x:c r="AH884" s="3"/>
      <x:c r="AI884" s="18"/>
      <x:c r="AJ884" s="3" t="str">
        <x:v>CF2500-A7875C16B4B5</x:v>
      </x:c>
      <x:c r="AK884" s="3" t="str">
        <x:v>real_estate_operator</x:v>
      </x:c>
      <x:c r="AL884" s="19" t="n">
        <x:v>100000</x:v>
      </x:c>
      <x:c r="AM884" s="19" t="n">
        <x:v>500000</x:v>
      </x:c>
      <x:c r="AN884" s="3" t="str">
        <x:v>https://www.cashhomebuyersdirectory.com/cash-home-buyers/new-mexico/albuquerque</x:v>
      </x:c>
      <x:c r="AO884" s="3" t="str">
        <x:v>national_rest_directory_complete.jsonl</x:v>
      </x:c>
      <x:c r="AP884" s="19"/>
    </x:row>
    <x:row r="885" ht="36" customHeight="1">
      <x:c r="A885" s="23" t="n">
        <x:v>884</x:v>
      </x:c>
      <x:c r="B885" s="15" t="str">
        <x:v>Academy Home Buyers</x:v>
      </x:c>
      <x:c r="C885" s="15"/>
      <x:c r="D885" s="15" t="str">
        <x:v>Property investor / home-buying operator</x:v>
      </x:c>
      <x:c r="E885" s="15" t="str">
        <x:v>Property investor / operator inquiry</x:v>
      </x:c>
      <x:c r="F885" s="17" t="str">
        <x:v>New</x:v>
      </x:c>
      <x:c r="G885" s="24"/>
      <x:c r="H885" s="24" t="str">
        <x:v>+17577555587</x:v>
      </x:c>
      <x:c r="I885" s="24" t="str">
        <x:v>http://www.academyhomebuyers.com/</x:v>
      </x:c>
      <x:c r="J885" s="16" t="str">
        <x:v>VA</x:v>
      </x:c>
      <x:c r="K885" s="16" t="str">
        <x:v>Virginia Beach</x:v>
      </x:c>
      <x:c r="L885" s="16" t="str">
        <x:v>Public property-business route; investor decision maker unconfirmed</x:v>
      </x:c>
      <x:c r="M885" s="16" t="str">
        <x:v>http://www.academyhomebuyers.com/</x:v>
      </x:c>
      <x:c r="N885" s="16" t="str">
        <x:v>$100K-$500K ticket not published / unconfirmed</x:v>
      </x:c>
      <x:c r="O885" s="20"/>
      <x:c r="P885" s="20"/>
      <x:c r="Q885" s="25" t="str">
        <x:v>No direct corporate-capital range established in checked source</x:v>
      </x:c>
      <x:c r="R885" s="25" t="str">
        <x:v>Property acquisition or investor activity makes this an operator-capital prospect for the signed trial. Confirm operating-company debt/equity appetite.</x:v>
      </x:c>
      <x:c r="S885" s="25"/>
      <x:c r="T885" s="25" t="str">
        <x:v>Ask the owner/investor whether they can allocate $100K-$500K to trial marketing and acquisitions, and confirm structure, timing and decision authority.</x:v>
      </x:c>
      <x:c r="U885" s="25" t="str">
        <x:v>https://www.cashhomebuyersdirectory.com/cash-home-buyers/virginia/virginia-beach</x:v>
      </x:c>
      <x:c r="V885" s="26" t="d">
        <x:v>2026-10-02T00:00:00.000Z</x:v>
      </x:c>
      <x:c r="W885" s="26" t="d">
        <x:v>2026-10-02T00:00:00.000Z</x:v>
      </x:c>
      <x:c r="X885" s="25" t="str">
        <x:v>CashHomeBuyersDirectory third-party business listing; first-party business activity not checked in this batch</x:v>
      </x:c>
      <x:c r="Y885" s="25"/>
      <x:c r="Z885" s="25" t="str">
        <x:v>https://www.cashhomebuyersdirectory.com/cash-home-buyers/virginia/virginia-beach</x:v>
      </x:c>
      <x:c r="AA885" s="25" t="str">
        <x:v>Public cash-home-buyer directory lists the business name, business phone/website where available and market. Operator role and corporate funding willingness require confirmation.</x:v>
      </x:c>
      <x:c r="AB885" s="3" t="str">
        <x:v>New public-source collection</x:v>
      </x:c>
      <x:c r="AC885" s="3" t="str">
        <x:v>unverified</x:v>
      </x:c>
      <x:c r="AD885" s="3" t="str">
        <x:v>Not contacted / unconfirmed</x:v>
      </x:c>
      <x:c r="AE885" s="3" t="str">
        <x:v>No</x:v>
      </x:c>
      <x:c r="AF885" s="3" t="str">
        <x:v>No</x:v>
      </x:c>
      <x:c r="AG885" s="3"/>
      <x:c r="AH885" s="3"/>
      <x:c r="AI885" s="18"/>
      <x:c r="AJ885" s="3" t="str">
        <x:v>CF2500-9498E866AC97</x:v>
      </x:c>
      <x:c r="AK885" s="3" t="str">
        <x:v>real_estate_operator</x:v>
      </x:c>
      <x:c r="AL885" s="19" t="n">
        <x:v>100000</x:v>
      </x:c>
      <x:c r="AM885" s="19" t="n">
        <x:v>500000</x:v>
      </x:c>
      <x:c r="AN885" s="3" t="str">
        <x:v>https://www.cashhomebuyersdirectory.com/cash-home-buyers/virginia/virginia-beach</x:v>
      </x:c>
      <x:c r="AO885" s="3" t="str">
        <x:v>national_rest_directory_complete.jsonl</x:v>
      </x:c>
      <x:c r="AP885" s="19"/>
    </x:row>
    <x:row r="886" ht="36" customHeight="1">
      <x:c r="A886" s="23" t="n">
        <x:v>885</x:v>
      </x:c>
      <x:c r="B886" s="15" t="str">
        <x:v>Action Home Buyers Idaho</x:v>
      </x:c>
      <x:c r="C886" s="15"/>
      <x:c r="D886" s="15" t="str">
        <x:v>Property investor / home-buying operator</x:v>
      </x:c>
      <x:c r="E886" s="15" t="str">
        <x:v>Property investor / operator inquiry</x:v>
      </x:c>
      <x:c r="F886" s="17" t="str">
        <x:v>New</x:v>
      </x:c>
      <x:c r="G886" s="24"/>
      <x:c r="H886" s="24" t="str">
        <x:v>+12088667020</x:v>
      </x:c>
      <x:c r="I886" s="24" t="str">
        <x:v>https://webuyboisehomes.com/?utm_source=google&amp;utm_medium=local&amp;utm_campaign=gmb_listing</x:v>
      </x:c>
      <x:c r="J886" s="16" t="str">
        <x:v>ID</x:v>
      </x:c>
      <x:c r="K886" s="16" t="str">
        <x:v>Boise</x:v>
      </x:c>
      <x:c r="L886" s="16" t="str">
        <x:v>Public property-business route; investor decision maker unconfirmed</x:v>
      </x:c>
      <x:c r="M886" s="16" t="str">
        <x:v>https://webuyboisehomes.com/?utm_source=google&amp;utm_medium=local&amp;utm_campaign=gmb_listing</x:v>
      </x:c>
      <x:c r="N886" s="16" t="str">
        <x:v>$100K-$500K ticket not published / unconfirmed</x:v>
      </x:c>
      <x:c r="O886" s="20"/>
      <x:c r="P886" s="20"/>
      <x:c r="Q886" s="25" t="str">
        <x:v>No direct corporate-capital range established in checked source</x:v>
      </x:c>
      <x:c r="R886" s="25" t="str">
        <x:v>Property acquisition or investor activity makes this an operator-capital prospect for the signed trial. Confirm operating-company debt/equity appetite.</x:v>
      </x:c>
      <x:c r="S886" s="25"/>
      <x:c r="T886" s="25" t="str">
        <x:v>Ask the owner/investor whether they can allocate $100K-$500K to trial marketing and acquisitions, and confirm structure, timing and decision authority.</x:v>
      </x:c>
      <x:c r="U886" s="25" t="str">
        <x:v>https://www.cashhomebuyersdirectory.com/cash-home-buyers/idaho/boise</x:v>
      </x:c>
      <x:c r="V886" s="26" t="d">
        <x:v>2026-10-02T00:00:00.000Z</x:v>
      </x:c>
      <x:c r="W886" s="26" t="d">
        <x:v>2026-10-02T00:00:00.000Z</x:v>
      </x:c>
      <x:c r="X886" s="25" t="str">
        <x:v>CashHomeBuyersDirectory third-party business listing; first-party business activity not checked in this batch</x:v>
      </x:c>
      <x:c r="Y886" s="25"/>
      <x:c r="Z886" s="25" t="str">
        <x:v>https://www.cashhomebuyersdirectory.com/cash-home-buyers/idaho/boise</x:v>
      </x:c>
      <x:c r="AA886" s="25" t="str">
        <x:v>Public cash-home-buyer directory lists the business name, business phone/website where available and market. Operator role and corporate funding willingness require confirmation.</x:v>
      </x:c>
      <x:c r="AB886" s="3" t="str">
        <x:v>New public-source collection</x:v>
      </x:c>
      <x:c r="AC886" s="3" t="str">
        <x:v>unverified</x:v>
      </x:c>
      <x:c r="AD886" s="3" t="str">
        <x:v>Not contacted / unconfirmed</x:v>
      </x:c>
      <x:c r="AE886" s="3" t="str">
        <x:v>No</x:v>
      </x:c>
      <x:c r="AF886" s="3" t="str">
        <x:v>No</x:v>
      </x:c>
      <x:c r="AG886" s="3"/>
      <x:c r="AH886" s="3"/>
      <x:c r="AI886" s="18"/>
      <x:c r="AJ886" s="3" t="str">
        <x:v>CF2500-72D60A1F85B6</x:v>
      </x:c>
      <x:c r="AK886" s="3" t="str">
        <x:v>real_estate_operator</x:v>
      </x:c>
      <x:c r="AL886" s="19" t="n">
        <x:v>100000</x:v>
      </x:c>
      <x:c r="AM886" s="19" t="n">
        <x:v>500000</x:v>
      </x:c>
      <x:c r="AN886" s="3" t="str">
        <x:v>https://www.cashhomebuyersdirectory.com/cash-home-buyers/idaho/boise</x:v>
      </x:c>
      <x:c r="AO886" s="3" t="str">
        <x:v>national_rest_directory_complete.jsonl</x:v>
      </x:c>
      <x:c r="AP886" s="19"/>
    </x:row>
    <x:row r="887" ht="36" customHeight="1">
      <x:c r="A887" s="23" t="n">
        <x:v>886</x:v>
      </x:c>
      <x:c r="B887" s="15" t="str">
        <x:v>Advantage Homebuyers</x:v>
      </x:c>
      <x:c r="C887" s="15"/>
      <x:c r="D887" s="15" t="str">
        <x:v>Property investor / home-buying operator</x:v>
      </x:c>
      <x:c r="E887" s="15" t="str">
        <x:v>Property investor / operator inquiry</x:v>
      </x:c>
      <x:c r="F887" s="17" t="str">
        <x:v>New</x:v>
      </x:c>
      <x:c r="G887" s="24"/>
      <x:c r="H887" s="24" t="str">
        <x:v>+17576441313</x:v>
      </x:c>
      <x:c r="I887" s="24" t="str">
        <x:v>http://www.sevendaystosold.com/</x:v>
      </x:c>
      <x:c r="J887" s="16" t="str">
        <x:v>VA</x:v>
      </x:c>
      <x:c r="K887" s="16" t="str">
        <x:v>Chesapeake</x:v>
      </x:c>
      <x:c r="L887" s="16" t="str">
        <x:v>Public property-business route; investor decision maker unconfirmed</x:v>
      </x:c>
      <x:c r="M887" s="16" t="str">
        <x:v>http://www.sevendaystosold.com/</x:v>
      </x:c>
      <x:c r="N887" s="16" t="str">
        <x:v>$100K-$500K ticket not published / unconfirmed</x:v>
      </x:c>
      <x:c r="O887" s="20"/>
      <x:c r="P887" s="20"/>
      <x:c r="Q887" s="25" t="str">
        <x:v>No direct corporate-capital range established in checked source</x:v>
      </x:c>
      <x:c r="R887" s="25" t="str">
        <x:v>Property acquisition or investor activity makes this an operator-capital prospect for the signed trial. Confirm operating-company debt/equity appetite.</x:v>
      </x:c>
      <x:c r="S887" s="25"/>
      <x:c r="T887" s="25" t="str">
        <x:v>Ask the owner/investor whether they can allocate $100K-$500K to trial marketing and acquisitions, and confirm structure, timing and decision authority.</x:v>
      </x:c>
      <x:c r="U887" s="25" t="str">
        <x:v>https://www.cashhomebuyersdirectory.com/cash-home-buyers/virginia/chesapeake
https://www.cashhomebuyersdirectory.com/cash-home-buyers/virginia/virginia-beach</x:v>
      </x:c>
      <x:c r="V887" s="26" t="d">
        <x:v>2026-10-02T00:00:00.000Z</x:v>
      </x:c>
      <x:c r="W887" s="26" t="d">
        <x:v>2026-10-02T00:00:00.000Z</x:v>
      </x:c>
      <x:c r="X887" s="25" t="str">
        <x:v>CashHomeBuyersDirectory third-party business listing; first-party business activity not checked in this batch</x:v>
      </x:c>
      <x:c r="Y887" s="25"/>
      <x:c r="Z887" s="25" t="str">
        <x:v>https://www.cashhomebuyersdirectory.com/cash-home-buyers/virginia/chesapeake</x:v>
      </x:c>
      <x:c r="AA887" s="25" t="str">
        <x:v>Public cash-home-buyer directory lists the business name, business phone/website where available and market. Operator role and corporate funding willingness require confirmation.</x:v>
      </x:c>
      <x:c r="AB887" s="3" t="str">
        <x:v>New public-source collection</x:v>
      </x:c>
      <x:c r="AC887" s="3" t="str">
        <x:v>unverified</x:v>
      </x:c>
      <x:c r="AD887" s="3" t="str">
        <x:v>Not contacted / unconfirmed</x:v>
      </x:c>
      <x:c r="AE887" s="3" t="str">
        <x:v>No</x:v>
      </x:c>
      <x:c r="AF887" s="3" t="str">
        <x:v>No</x:v>
      </x:c>
      <x:c r="AG887" s="3"/>
      <x:c r="AH887" s="3"/>
      <x:c r="AI887" s="18"/>
      <x:c r="AJ887" s="3" t="str">
        <x:v>CF2500-50B492214907</x:v>
      </x:c>
      <x:c r="AK887" s="3" t="str">
        <x:v>real_estate_operator</x:v>
      </x:c>
      <x:c r="AL887" s="19" t="n">
        <x:v>100000</x:v>
      </x:c>
      <x:c r="AM887" s="19" t="n">
        <x:v>500000</x:v>
      </x:c>
      <x:c r="AN887" s="3" t="str">
        <x:v>https://www.cashhomebuyersdirectory.com/cash-home-buyers/virginia/chesapeake</x:v>
      </x:c>
      <x:c r="AO887" s="3" t="str">
        <x:v>national_rest_directory_complete.jsonl</x:v>
      </x:c>
      <x:c r="AP887" s="19"/>
    </x:row>
    <x:row r="888" ht="36" customHeight="1">
      <x:c r="A888" s="23" t="n">
        <x:v>887</x:v>
      </x:c>
      <x:c r="B888" s="15" t="str">
        <x:v>Advantage Homebuyers of VA - We Buy &amp; Sell Houses Fast For Cash Norfolk</x:v>
      </x:c>
      <x:c r="C888" s="15"/>
      <x:c r="D888" s="15" t="str">
        <x:v>Property investor / home-buying operator</x:v>
      </x:c>
      <x:c r="E888" s="15" t="str">
        <x:v>Property investor / operator inquiry</x:v>
      </x:c>
      <x:c r="F888" s="17" t="str">
        <x:v>New</x:v>
      </x:c>
      <x:c r="G888" s="24"/>
      <x:c r="H888" s="24" t="str">
        <x:v>+17573240443</x:v>
      </x:c>
      <x:c r="I888" s="24" t="str">
        <x:v>https://www.advantagehomebuyersofva.com/</x:v>
      </x:c>
      <x:c r="J888" s="16" t="str">
        <x:v>VA</x:v>
      </x:c>
      <x:c r="K888" s="16"/>
      <x:c r="L888" s="16" t="str">
        <x:v>Public property-business route; investor decision maker unconfirmed</x:v>
      </x:c>
      <x:c r="M888" s="16" t="str">
        <x:v>https://www.advantagehomebuyersofva.com/</x:v>
      </x:c>
      <x:c r="N888" s="16" t="str">
        <x:v>$100K-$500K ticket not published / unconfirmed</x:v>
      </x:c>
      <x:c r="O888" s="20"/>
      <x:c r="P888" s="20"/>
      <x:c r="Q888" s="25" t="str">
        <x:v>No direct corporate-capital range established in checked source</x:v>
      </x:c>
      <x:c r="R888" s="25" t="str">
        <x:v>Property acquisition or investor activity makes this an operator-capital prospect for the signed trial. Confirm operating-company debt/equity appetite.</x:v>
      </x:c>
      <x:c r="S888" s="25"/>
      <x:c r="T888" s="25" t="str">
        <x:v>Ask the owner/investor whether they can allocate $100K-$500K to trial marketing and acquisitions, and confirm structure, timing and decision authority.</x:v>
      </x:c>
      <x:c r="U888" s="25" t="str">
        <x:v>https://www.cashhomebuyersdirectory.com/cash-home-buyers/virginia/newport-news
https://www.cashhomebuyersdirectory.com/cash-home-buyers/virginia/norfolk</x:v>
      </x:c>
      <x:c r="V888" s="26" t="d">
        <x:v>2026-10-02T00:00:00.000Z</x:v>
      </x:c>
      <x:c r="W888" s="26" t="d">
        <x:v>2026-10-02T00:00:00.000Z</x:v>
      </x:c>
      <x:c r="X888" s="25" t="str">
        <x:v>CashHomeBuyersDirectory third-party business listing; first-party business activity not checked in this batch</x:v>
      </x:c>
      <x:c r="Y888" s="25"/>
      <x:c r="Z888" s="25" t="str">
        <x:v>https://www.cashhomebuyersdirectory.com/cash-home-buyers/virginia/newport-news</x:v>
      </x:c>
      <x:c r="AA888" s="25" t="str">
        <x:v>Public cash-home-buyer directory lists the business name, business phone/website where available and market. Operator role and corporate funding willingness require confirmation.</x:v>
      </x:c>
      <x:c r="AB888" s="3" t="str">
        <x:v>New public-source collection</x:v>
      </x:c>
      <x:c r="AC888" s="3" t="str">
        <x:v>unverified</x:v>
      </x:c>
      <x:c r="AD888" s="3" t="str">
        <x:v>Not contacted / unconfirmed</x:v>
      </x:c>
      <x:c r="AE888" s="3" t="str">
        <x:v>No</x:v>
      </x:c>
      <x:c r="AF888" s="3" t="str">
        <x:v>No</x:v>
      </x:c>
      <x:c r="AG888" s="3"/>
      <x:c r="AH888" s="3"/>
      <x:c r="AI888" s="18"/>
      <x:c r="AJ888" s="3" t="str">
        <x:v>CF2500-6366D20C0E89</x:v>
      </x:c>
      <x:c r="AK888" s="3" t="str">
        <x:v>real_estate_operator</x:v>
      </x:c>
      <x:c r="AL888" s="19" t="n">
        <x:v>100000</x:v>
      </x:c>
      <x:c r="AM888" s="19" t="n">
        <x:v>500000</x:v>
      </x:c>
      <x:c r="AN888" s="3" t="str">
        <x:v>https://www.cashhomebuyersdirectory.com/cash-home-buyers/virginia/newport-news</x:v>
      </x:c>
      <x:c r="AO888" s="3" t="str">
        <x:v>national_rest_directory_complete.jsonl</x:v>
      </x:c>
      <x:c r="AP888" s="19"/>
    </x:row>
    <x:row r="889" ht="36" customHeight="1">
      <x:c r="A889" s="23" t="n">
        <x:v>888</x:v>
      </x:c>
      <x:c r="B889" s="15" t="str">
        <x:v>Alaskan Cash Home Buyer</x:v>
      </x:c>
      <x:c r="C889" s="15"/>
      <x:c r="D889" s="15" t="str">
        <x:v>Property investor / home-buying operator</x:v>
      </x:c>
      <x:c r="E889" s="15" t="str">
        <x:v>Property investor / operator inquiry</x:v>
      </x:c>
      <x:c r="F889" s="17" t="str">
        <x:v>New</x:v>
      </x:c>
      <x:c r="G889" s="24"/>
      <x:c r="H889" s="24" t="str">
        <x:v>+19072271316</x:v>
      </x:c>
      <x:c r="I889" s="24" t="str">
        <x:v>https://alaskancashhomebuyer.com/</x:v>
      </x:c>
      <x:c r="J889" s="16" t="str">
        <x:v>AK</x:v>
      </x:c>
      <x:c r="K889" s="16"/>
      <x:c r="L889" s="16" t="str">
        <x:v>Public property-business route; investor decision maker unconfirmed</x:v>
      </x:c>
      <x:c r="M889" s="16" t="str">
        <x:v>https://alaskancashhomebuyer.com/</x:v>
      </x:c>
      <x:c r="N889" s="16" t="str">
        <x:v>$100K-$500K ticket not published / unconfirmed</x:v>
      </x:c>
      <x:c r="O889" s="20"/>
      <x:c r="P889" s="20"/>
      <x:c r="Q889" s="25" t="str">
        <x:v>No direct corporate-capital range established in checked source</x:v>
      </x:c>
      <x:c r="R889" s="25" t="str">
        <x:v>Property acquisition or investor activity makes this an operator-capital prospect for the signed trial. Confirm operating-company debt/equity appetite.</x:v>
      </x:c>
      <x:c r="S889" s="25"/>
      <x:c r="T889" s="25" t="str">
        <x:v>Ask the owner/investor whether they can allocate $100K-$500K to trial marketing and acquisitions, and confirm structure, timing and decision authority.</x:v>
      </x:c>
      <x:c r="U889" s="25" t="str">
        <x:v>https://www.cashhomebuyersdirectory.com/cash-home-buyers/alaska/anchorage</x:v>
      </x:c>
      <x:c r="V889" s="26" t="d">
        <x:v>2026-10-02T00:00:00.000Z</x:v>
      </x:c>
      <x:c r="W889" s="26" t="d">
        <x:v>2026-10-02T00:00:00.000Z</x:v>
      </x:c>
      <x:c r="X889" s="25" t="str">
        <x:v>CashHomeBuyersDirectory third-party business listing; first-party business activity not checked in this batch</x:v>
      </x:c>
      <x:c r="Y889" s="25"/>
      <x:c r="Z889" s="25" t="str">
        <x:v>https://www.cashhomebuyersdirectory.com/cash-home-buyers/alaska/anchorage</x:v>
      </x:c>
      <x:c r="AA889" s="25" t="str">
        <x:v>Public cash-home-buyer directory lists the business name, business phone/website where available and market. Operator role and corporate funding willingness require confirmation.</x:v>
      </x:c>
      <x:c r="AB889" s="3" t="str">
        <x:v>New public-source collection</x:v>
      </x:c>
      <x:c r="AC889" s="3" t="str">
        <x:v>unverified</x:v>
      </x:c>
      <x:c r="AD889" s="3" t="str">
        <x:v>Not contacted / unconfirmed</x:v>
      </x:c>
      <x:c r="AE889" s="3" t="str">
        <x:v>No</x:v>
      </x:c>
      <x:c r="AF889" s="3" t="str">
        <x:v>No</x:v>
      </x:c>
      <x:c r="AG889" s="3"/>
      <x:c r="AH889" s="3"/>
      <x:c r="AI889" s="18"/>
      <x:c r="AJ889" s="3" t="str">
        <x:v>CF2500-FF0F6B8AECF9</x:v>
      </x:c>
      <x:c r="AK889" s="3" t="str">
        <x:v>real_estate_operator</x:v>
      </x:c>
      <x:c r="AL889" s="19" t="n">
        <x:v>100000</x:v>
      </x:c>
      <x:c r="AM889" s="19" t="n">
        <x:v>500000</x:v>
      </x:c>
      <x:c r="AN889" s="3" t="str">
        <x:v>https://www.cashhomebuyersdirectory.com/cash-home-buyers/alaska/anchorage</x:v>
      </x:c>
      <x:c r="AO889" s="3" t="str">
        <x:v>national_rest_directory_complete.jsonl</x:v>
      </x:c>
      <x:c r="AP889" s="19"/>
    </x:row>
    <x:row r="890" ht="36" customHeight="1">
      <x:c r="A890" s="23" t="n">
        <x:v>889</x:v>
      </x:c>
      <x:c r="B890" s="15" t="str">
        <x:v>Alaskan Home Buyers</x:v>
      </x:c>
      <x:c r="C890" s="15"/>
      <x:c r="D890" s="15" t="str">
        <x:v>Property investor / home-buying operator</x:v>
      </x:c>
      <x:c r="E890" s="15" t="str">
        <x:v>Property investor / operator inquiry</x:v>
      </x:c>
      <x:c r="F890" s="17" t="str">
        <x:v>New</x:v>
      </x:c>
      <x:c r="G890" s="24"/>
      <x:c r="H890" s="24" t="str">
        <x:v>+19072068090</x:v>
      </x:c>
      <x:c r="I890" s="24" t="str">
        <x:v>https://alaskanhomebuyers.com/</x:v>
      </x:c>
      <x:c r="J890" s="16" t="str">
        <x:v>AK</x:v>
      </x:c>
      <x:c r="K890" s="16" t="str">
        <x:v>Anchorage</x:v>
      </x:c>
      <x:c r="L890" s="16" t="str">
        <x:v>Public property-business route; investor decision maker unconfirmed</x:v>
      </x:c>
      <x:c r="M890" s="16" t="str">
        <x:v>https://alaskanhomebuyers.com/</x:v>
      </x:c>
      <x:c r="N890" s="16" t="str">
        <x:v>$100K-$500K ticket not published / unconfirmed</x:v>
      </x:c>
      <x:c r="O890" s="20"/>
      <x:c r="P890" s="20"/>
      <x:c r="Q890" s="25" t="str">
        <x:v>No direct corporate-capital range established in checked source</x:v>
      </x:c>
      <x:c r="R890" s="25" t="str">
        <x:v>Property acquisition or investor activity makes this an operator-capital prospect for the signed trial. Confirm operating-company debt/equity appetite.</x:v>
      </x:c>
      <x:c r="S890" s="25"/>
      <x:c r="T890" s="25" t="str">
        <x:v>Ask the owner/investor whether they can allocate $100K-$500K to trial marketing and acquisitions, and confirm structure, timing and decision authority.</x:v>
      </x:c>
      <x:c r="U890" s="25" t="str">
        <x:v>https://www.cashhomebuyersdirectory.com/cash-home-buyers/alaska/anchorage</x:v>
      </x:c>
      <x:c r="V890" s="26" t="d">
        <x:v>2026-10-02T00:00:00.000Z</x:v>
      </x:c>
      <x:c r="W890" s="26" t="d">
        <x:v>2026-10-02T00:00:00.000Z</x:v>
      </x:c>
      <x:c r="X890" s="25" t="str">
        <x:v>CashHomeBuyersDirectory third-party business listing; first-party business activity not checked in this batch</x:v>
      </x:c>
      <x:c r="Y890" s="25"/>
      <x:c r="Z890" s="25" t="str">
        <x:v>https://www.cashhomebuyersdirectory.com/cash-home-buyers/alaska/anchorage</x:v>
      </x:c>
      <x:c r="AA890" s="25" t="str">
        <x:v>Public cash-home-buyer directory lists the business name, business phone/website where available and market. Operator role and corporate funding willingness require confirmation.</x:v>
      </x:c>
      <x:c r="AB890" s="3" t="str">
        <x:v>New public-source collection</x:v>
      </x:c>
      <x:c r="AC890" s="3" t="str">
        <x:v>unverified</x:v>
      </x:c>
      <x:c r="AD890" s="3" t="str">
        <x:v>Not contacted / unconfirmed</x:v>
      </x:c>
      <x:c r="AE890" s="3" t="str">
        <x:v>No</x:v>
      </x:c>
      <x:c r="AF890" s="3" t="str">
        <x:v>No</x:v>
      </x:c>
      <x:c r="AG890" s="3"/>
      <x:c r="AH890" s="3"/>
      <x:c r="AI890" s="18"/>
      <x:c r="AJ890" s="3" t="str">
        <x:v>CF2500-BD669B871683</x:v>
      </x:c>
      <x:c r="AK890" s="3" t="str">
        <x:v>real_estate_operator</x:v>
      </x:c>
      <x:c r="AL890" s="19" t="n">
        <x:v>100000</x:v>
      </x:c>
      <x:c r="AM890" s="19" t="n">
        <x:v>500000</x:v>
      </x:c>
      <x:c r="AN890" s="3" t="str">
        <x:v>https://www.cashhomebuyersdirectory.com/cash-home-buyers/alaska/anchorage</x:v>
      </x:c>
      <x:c r="AO890" s="3" t="str">
        <x:v>national_rest_directory_complete.jsonl</x:v>
      </x:c>
      <x:c r="AP890" s="19"/>
    </x:row>
    <x:row r="891" ht="36" customHeight="1">
      <x:c r="A891" s="23" t="n">
        <x:v>890</x:v>
      </x:c>
      <x:c r="B891" s="15" t="str">
        <x:v>Alberti Home Buyers</x:v>
      </x:c>
      <x:c r="C891" s="15"/>
      <x:c r="D891" s="15" t="str">
        <x:v>Property investor / home-buying operator</x:v>
      </x:c>
      <x:c r="E891" s="15" t="str">
        <x:v>Property investor / operator inquiry</x:v>
      </x:c>
      <x:c r="F891" s="17" t="str">
        <x:v>New</x:v>
      </x:c>
      <x:c r="G891" s="24"/>
      <x:c r="H891" s="24" t="str">
        <x:v>+14433451300</x:v>
      </x:c>
      <x:c r="I891" s="24" t="str">
        <x:v>http://www.albertihomebuyers.com/</x:v>
      </x:c>
      <x:c r="J891" s="16" t="str">
        <x:v>MD</x:v>
      </x:c>
      <x:c r="K891" s="16" t="str">
        <x:v>Rosedale</x:v>
      </x:c>
      <x:c r="L891" s="16" t="str">
        <x:v>Public property-business route; investor decision maker unconfirmed</x:v>
      </x:c>
      <x:c r="M891" s="16" t="str">
        <x:v>http://www.albertihomebuyers.com/</x:v>
      </x:c>
      <x:c r="N891" s="16" t="str">
        <x:v>$100K-$500K ticket not published / unconfirmed</x:v>
      </x:c>
      <x:c r="O891" s="20"/>
      <x:c r="P891" s="20"/>
      <x:c r="Q891" s="25" t="str">
        <x:v>No direct corporate-capital range established in checked source</x:v>
      </x:c>
      <x:c r="R891" s="25" t="str">
        <x:v>Property acquisition or investor activity makes this an operator-capital prospect for the signed trial. Confirm operating-company debt/equity appetite.</x:v>
      </x:c>
      <x:c r="S891" s="25"/>
      <x:c r="T891" s="25" t="str">
        <x:v>Ask the owner/investor whether they can allocate $100K-$500K to trial marketing and acquisitions, and confirm structure, timing and decision authority.</x:v>
      </x:c>
      <x:c r="U891" s="25" t="str">
        <x:v>https://www.cashhomebuyersdirectory.com/cash-home-buyers/maryland/rosedale</x:v>
      </x:c>
      <x:c r="V891" s="26" t="d">
        <x:v>2026-10-02T00:00:00.000Z</x:v>
      </x:c>
      <x:c r="W891" s="26" t="d">
        <x:v>2026-10-02T00:00:00.000Z</x:v>
      </x:c>
      <x:c r="X891" s="25" t="str">
        <x:v>CashHomeBuyersDirectory third-party business listing; first-party business activity not checked in this batch</x:v>
      </x:c>
      <x:c r="Y891" s="25"/>
      <x:c r="Z891" s="25" t="str">
        <x:v>https://www.cashhomebuyersdirectory.com/cash-home-buyers/maryland/rosedale</x:v>
      </x:c>
      <x:c r="AA891" s="25" t="str">
        <x:v>Public cash-home-buyer directory lists the business name, business phone/website where available and market. Operator role and corporate funding willingness require confirmation.</x:v>
      </x:c>
      <x:c r="AB891" s="3" t="str">
        <x:v>New public-source collection</x:v>
      </x:c>
      <x:c r="AC891" s="3" t="str">
        <x:v>unverified</x:v>
      </x:c>
      <x:c r="AD891" s="3" t="str">
        <x:v>Not contacted / unconfirmed</x:v>
      </x:c>
      <x:c r="AE891" s="3" t="str">
        <x:v>No</x:v>
      </x:c>
      <x:c r="AF891" s="3" t="str">
        <x:v>No</x:v>
      </x:c>
      <x:c r="AG891" s="3"/>
      <x:c r="AH891" s="3"/>
      <x:c r="AI891" s="18"/>
      <x:c r="AJ891" s="3" t="str">
        <x:v>CF2500-64F3501A5220</x:v>
      </x:c>
      <x:c r="AK891" s="3" t="str">
        <x:v>real_estate_operator</x:v>
      </x:c>
      <x:c r="AL891" s="19" t="n">
        <x:v>100000</x:v>
      </x:c>
      <x:c r="AM891" s="19" t="n">
        <x:v>500000</x:v>
      </x:c>
      <x:c r="AN891" s="3" t="str">
        <x:v>https://www.cashhomebuyersdirectory.com/cash-home-buyers/maryland/rosedale</x:v>
      </x:c>
      <x:c r="AO891" s="3" t="str">
        <x:v>national_rest_directory_complete.jsonl</x:v>
      </x:c>
      <x:c r="AP891" s="19"/>
    </x:row>
    <x:row r="892" ht="36" customHeight="1">
      <x:c r="A892" s="23" t="n">
        <x:v>891</x:v>
      </x:c>
      <x:c r="B892" s="15" t="str">
        <x:v>All Cash Home Buyers</x:v>
      </x:c>
      <x:c r="C892" s="15"/>
      <x:c r="D892" s="15" t="str">
        <x:v>Property investor / home-buying operator</x:v>
      </x:c>
      <x:c r="E892" s="15" t="str">
        <x:v>Property investor / operator inquiry</x:v>
      </x:c>
      <x:c r="F892" s="17" t="str">
        <x:v>New</x:v>
      </x:c>
      <x:c r="G892" s="24"/>
      <x:c r="H892" s="24" t="str">
        <x:v>+12062916117</x:v>
      </x:c>
      <x:c r="I892" s="24" t="str">
        <x:v>https://webuyhouseasis.com/</x:v>
      </x:c>
      <x:c r="J892" s="16" t="str">
        <x:v>WA</x:v>
      </x:c>
      <x:c r="K892" s="16"/>
      <x:c r="L892" s="16" t="str">
        <x:v>Public property-business route; investor decision maker unconfirmed</x:v>
      </x:c>
      <x:c r="M892" s="16" t="str">
        <x:v>https://webuyhouseasis.com/</x:v>
      </x:c>
      <x:c r="N892" s="16" t="str">
        <x:v>$100K-$500K ticket not published / unconfirmed</x:v>
      </x:c>
      <x:c r="O892" s="20"/>
      <x:c r="P892" s="20"/>
      <x:c r="Q892" s="25" t="str">
        <x:v>No direct corporate-capital range established in checked source</x:v>
      </x:c>
      <x:c r="R892" s="25" t="str">
        <x:v>Property acquisition or investor activity makes this an operator-capital prospect for the signed trial. Confirm operating-company debt/equity appetite.</x:v>
      </x:c>
      <x:c r="S892" s="25"/>
      <x:c r="T892" s="25" t="str">
        <x:v>Ask the owner/investor whether they can allocate $100K-$500K to trial marketing and acquisitions, and confirm structure, timing and decision authority.</x:v>
      </x:c>
      <x:c r="U892" s="25" t="str">
        <x:v>https://www.cashhomebuyersdirectory.com/cash-home-buyers/washington/seattle</x:v>
      </x:c>
      <x:c r="V892" s="26" t="d">
        <x:v>2026-10-02T00:00:00.000Z</x:v>
      </x:c>
      <x:c r="W892" s="26" t="d">
        <x:v>2026-10-02T00:00:00.000Z</x:v>
      </x:c>
      <x:c r="X892" s="25" t="str">
        <x:v>CashHomeBuyersDirectory third-party business listing; first-party business activity not checked in this batch</x:v>
      </x:c>
      <x:c r="Y892" s="25"/>
      <x:c r="Z892" s="25" t="str">
        <x:v>https://www.cashhomebuyersdirectory.com/cash-home-buyers/washington/seattle</x:v>
      </x:c>
      <x:c r="AA892" s="25" t="str">
        <x:v>Public cash-home-buyer directory lists the business name, business phone/website where available and market. Operator role and corporate funding willingness require confirmation.</x:v>
      </x:c>
      <x:c r="AB892" s="3" t="str">
        <x:v>New public-source collection</x:v>
      </x:c>
      <x:c r="AC892" s="3" t="str">
        <x:v>unverified</x:v>
      </x:c>
      <x:c r="AD892" s="3" t="str">
        <x:v>Not contacted / unconfirmed</x:v>
      </x:c>
      <x:c r="AE892" s="3" t="str">
        <x:v>No</x:v>
      </x:c>
      <x:c r="AF892" s="3" t="str">
        <x:v>No</x:v>
      </x:c>
      <x:c r="AG892" s="3"/>
      <x:c r="AH892" s="3"/>
      <x:c r="AI892" s="18"/>
      <x:c r="AJ892" s="3" t="str">
        <x:v>CF2500-68C55183A418</x:v>
      </x:c>
      <x:c r="AK892" s="3" t="str">
        <x:v>real_estate_operator</x:v>
      </x:c>
      <x:c r="AL892" s="19" t="n">
        <x:v>100000</x:v>
      </x:c>
      <x:c r="AM892" s="19" t="n">
        <x:v>500000</x:v>
      </x:c>
      <x:c r="AN892" s="3" t="str">
        <x:v>https://www.cashhomebuyersdirectory.com/cash-home-buyers/washington/seattle</x:v>
      </x:c>
      <x:c r="AO892" s="3" t="str">
        <x:v>national_rest_directory_complete.jsonl</x:v>
      </x:c>
      <x:c r="AP892" s="19"/>
    </x:row>
    <x:row r="893" ht="36" customHeight="1">
      <x:c r="A893" s="23" t="n">
        <x:v>892</x:v>
      </x:c>
      <x:c r="B893" s="15" t="str">
        <x:v>All Ohio Homebuyers</x:v>
      </x:c>
      <x:c r="C893" s="15"/>
      <x:c r="D893" s="15" t="str">
        <x:v>Property investor / home-buying operator</x:v>
      </x:c>
      <x:c r="E893" s="15" t="str">
        <x:v>Property investor / operator inquiry</x:v>
      </x:c>
      <x:c r="F893" s="17" t="str">
        <x:v>New</x:v>
      </x:c>
      <x:c r="G893" s="24"/>
      <x:c r="H893" s="24" t="str">
        <x:v>+19375192922</x:v>
      </x:c>
      <x:c r="I893" s="24" t="str">
        <x:v>http://www.allohiohomebuyers.com/</x:v>
      </x:c>
      <x:c r="J893" s="16" t="str">
        <x:v>OH</x:v>
      </x:c>
      <x:c r="K893" s="16" t="str">
        <x:v>Dayton</x:v>
      </x:c>
      <x:c r="L893" s="16" t="str">
        <x:v>Public property-business route; investor decision maker unconfirmed</x:v>
      </x:c>
      <x:c r="M893" s="16" t="str">
        <x:v>http://www.allohiohomebuyers.com/</x:v>
      </x:c>
      <x:c r="N893" s="16" t="str">
        <x:v>$100K-$500K ticket not published / unconfirmed</x:v>
      </x:c>
      <x:c r="O893" s="20"/>
      <x:c r="P893" s="20"/>
      <x:c r="Q893" s="25" t="str">
        <x:v>No direct corporate-capital range established in checked source</x:v>
      </x:c>
      <x:c r="R893" s="25" t="str">
        <x:v>Property acquisition or investor activity makes this an operator-capital prospect for the signed trial. Confirm operating-company debt/equity appetite.</x:v>
      </x:c>
      <x:c r="S893" s="25"/>
      <x:c r="T893" s="25" t="str">
        <x:v>Ask the owner/investor whether they can allocate $100K-$500K to trial marketing and acquisitions, and confirm structure, timing and decision authority.</x:v>
      </x:c>
      <x:c r="U893" s="25" t="str">
        <x:v>https://www.cashhomebuyersdirectory.com/cash-home-buyers/ohio/dayton</x:v>
      </x:c>
      <x:c r="V893" s="26" t="d">
        <x:v>2026-10-02T00:00:00.000Z</x:v>
      </x:c>
      <x:c r="W893" s="26" t="d">
        <x:v>2026-10-02T00:00:00.000Z</x:v>
      </x:c>
      <x:c r="X893" s="25" t="str">
        <x:v>CashHomeBuyersDirectory third-party business listing; first-party business activity not checked in this batch</x:v>
      </x:c>
      <x:c r="Y893" s="25"/>
      <x:c r="Z893" s="25" t="str">
        <x:v>https://www.cashhomebuyersdirectory.com/cash-home-buyers/ohio/dayton</x:v>
      </x:c>
      <x:c r="AA893" s="25" t="str">
        <x:v>Public cash-home-buyer directory lists the business name, business phone/website where available and market. Operator role and corporate funding willingness require confirmation.</x:v>
      </x:c>
      <x:c r="AB893" s="3" t="str">
        <x:v>New public-source collection</x:v>
      </x:c>
      <x:c r="AC893" s="3" t="str">
        <x:v>unverified</x:v>
      </x:c>
      <x:c r="AD893" s="3" t="str">
        <x:v>Not contacted / unconfirmed</x:v>
      </x:c>
      <x:c r="AE893" s="3" t="str">
        <x:v>No</x:v>
      </x:c>
      <x:c r="AF893" s="3" t="str">
        <x:v>No</x:v>
      </x:c>
      <x:c r="AG893" s="3"/>
      <x:c r="AH893" s="3"/>
      <x:c r="AI893" s="18"/>
      <x:c r="AJ893" s="3" t="str">
        <x:v>CF2500-D82C411E3506</x:v>
      </x:c>
      <x:c r="AK893" s="3" t="str">
        <x:v>real_estate_operator</x:v>
      </x:c>
      <x:c r="AL893" s="19" t="n">
        <x:v>100000</x:v>
      </x:c>
      <x:c r="AM893" s="19" t="n">
        <x:v>500000</x:v>
      </x:c>
      <x:c r="AN893" s="3" t="str">
        <x:v>https://www.cashhomebuyersdirectory.com/cash-home-buyers/ohio/dayton</x:v>
      </x:c>
      <x:c r="AO893" s="3" t="str">
        <x:v>national_rest_directory_complete.jsonl</x:v>
      </x:c>
      <x:c r="AP893" s="19"/>
    </x:row>
    <x:row r="894" ht="36" customHeight="1">
      <x:c r="A894" s="23" t="n">
        <x:v>893</x:v>
      </x:c>
      <x:c r="B894" s="15" t="str">
        <x:v>Aloha Property Buyers</x:v>
      </x:c>
      <x:c r="C894" s="15"/>
      <x:c r="D894" s="15" t="str">
        <x:v>Property investor / home-buying operator</x:v>
      </x:c>
      <x:c r="E894" s="15" t="str">
        <x:v>Property investor / operator inquiry</x:v>
      </x:c>
      <x:c r="F894" s="17" t="str">
        <x:v>New</x:v>
      </x:c>
      <x:c r="G894" s="24"/>
      <x:c r="H894" s="24" t="str">
        <x:v>+18084008626</x:v>
      </x:c>
      <x:c r="I894" s="24" t="str">
        <x:v>https://www.alohapropertybuyer.com/contact-us/</x:v>
      </x:c>
      <x:c r="J894" s="16" t="str">
        <x:v>HI</x:v>
      </x:c>
      <x:c r="K894" s="16" t="str">
        <x:v>Honolulu</x:v>
      </x:c>
      <x:c r="L894" s="16" t="str">
        <x:v>Public property-business route; investor decision maker unconfirmed</x:v>
      </x:c>
      <x:c r="M894" s="16" t="str">
        <x:v>https://www.alohapropertybuyer.com/contact-us/</x:v>
      </x:c>
      <x:c r="N894" s="16" t="str">
        <x:v>$100K-$500K ticket not published / unconfirmed</x:v>
      </x:c>
      <x:c r="O894" s="20"/>
      <x:c r="P894" s="20"/>
      <x:c r="Q894" s="25" t="str">
        <x:v>No direct corporate-capital range established in checked source</x:v>
      </x:c>
      <x:c r="R894" s="25" t="str">
        <x:v>Property acquisition or investor activity makes this an operator-capital prospect for the signed trial. Confirm operating-company debt/equity appetite.</x:v>
      </x:c>
      <x:c r="S894" s="25"/>
      <x:c r="T894" s="25" t="str">
        <x:v>Ask the owner/investor whether they can allocate $100K-$500K to trial marketing and acquisitions, and confirm structure, timing and decision authority.</x:v>
      </x:c>
      <x:c r="U894" s="25" t="str">
        <x:v>https://www.cashhomebuyersdirectory.com/cash-home-buyers/hawaii/honolulu</x:v>
      </x:c>
      <x:c r="V894" s="26" t="d">
        <x:v>2026-10-02T00:00:00.000Z</x:v>
      </x:c>
      <x:c r="W894" s="26" t="d">
        <x:v>2026-10-02T00:00:00.000Z</x:v>
      </x:c>
      <x:c r="X894" s="25" t="str">
        <x:v>CashHomeBuyersDirectory third-party business listing; first-party business activity not checked in this batch</x:v>
      </x:c>
      <x:c r="Y894" s="25"/>
      <x:c r="Z894" s="25" t="str">
        <x:v>https://www.cashhomebuyersdirectory.com/cash-home-buyers/hawaii/honolulu</x:v>
      </x:c>
      <x:c r="AA894" s="25" t="str">
        <x:v>Public cash-home-buyer directory lists the business name, business phone/website where available and market. Operator role and corporate funding willingness require confirmation.</x:v>
      </x:c>
      <x:c r="AB894" s="3" t="str">
        <x:v>New public-source collection</x:v>
      </x:c>
      <x:c r="AC894" s="3" t="str">
        <x:v>unverified</x:v>
      </x:c>
      <x:c r="AD894" s="3" t="str">
        <x:v>Not contacted / unconfirmed</x:v>
      </x:c>
      <x:c r="AE894" s="3" t="str">
        <x:v>No</x:v>
      </x:c>
      <x:c r="AF894" s="3" t="str">
        <x:v>No</x:v>
      </x:c>
      <x:c r="AG894" s="3"/>
      <x:c r="AH894" s="3" t="str">
        <x:v>Expert Property Buyers, LLC</x:v>
      </x:c>
      <x:c r="AI894" s="18"/>
      <x:c r="AJ894" s="3" t="str">
        <x:v>CF2500-5C1A881F929C</x:v>
      </x:c>
      <x:c r="AK894" s="3" t="str">
        <x:v>real_estate_operator</x:v>
      </x:c>
      <x:c r="AL894" s="19" t="n">
        <x:v>100000</x:v>
      </x:c>
      <x:c r="AM894" s="19" t="n">
        <x:v>500000</x:v>
      </x:c>
      <x:c r="AN894" s="3" t="str">
        <x:v>https://www.cashhomebuyersdirectory.com/cash-home-buyers/hawaii/honolulu</x:v>
      </x:c>
      <x:c r="AO894" s="3" t="str">
        <x:v>national_rest_directory_complete.jsonl</x:v>
      </x:c>
      <x:c r="AP894" s="19"/>
    </x:row>
    <x:row r="895" ht="36" customHeight="1">
      <x:c r="A895" s="23" t="n">
        <x:v>894</x:v>
      </x:c>
      <x:c r="B895" s="15" t="str">
        <x:v>Anchor Home Buyers</x:v>
      </x:c>
      <x:c r="C895" s="15"/>
      <x:c r="D895" s="15" t="str">
        <x:v>Property investor / home-buying operator</x:v>
      </x:c>
      <x:c r="E895" s="15" t="str">
        <x:v>Property investor / operator inquiry</x:v>
      </x:c>
      <x:c r="F895" s="17" t="str">
        <x:v>New</x:v>
      </x:c>
      <x:c r="G895" s="24"/>
      <x:c r="H895" s="24" t="str">
        <x:v>+13025920855</x:v>
      </x:c>
      <x:c r="I895" s="24" t="str">
        <x:v>https://www.newcastlehousebuyers.com/</x:v>
      </x:c>
      <x:c r="J895" s="16" t="str">
        <x:v>DE</x:v>
      </x:c>
      <x:c r="K895" s="16" t="str">
        <x:v>Wilmington</x:v>
      </x:c>
      <x:c r="L895" s="16" t="str">
        <x:v>Public property-business route; investor decision maker unconfirmed</x:v>
      </x:c>
      <x:c r="M895" s="16" t="str">
        <x:v>https://www.newcastlehousebuyers.com/</x:v>
      </x:c>
      <x:c r="N895" s="16" t="str">
        <x:v>$100K-$500K ticket not published / unconfirmed</x:v>
      </x:c>
      <x:c r="O895" s="20"/>
      <x:c r="P895" s="20"/>
      <x:c r="Q895" s="25" t="str">
        <x:v>No direct corporate-capital range established in checked source</x:v>
      </x:c>
      <x:c r="R895" s="25" t="str">
        <x:v>Property acquisition or investor activity makes this an operator-capital prospect for the signed trial. Confirm operating-company debt/equity appetite.</x:v>
      </x:c>
      <x:c r="S895" s="25"/>
      <x:c r="T895" s="25" t="str">
        <x:v>Ask the owner/investor whether they can allocate $100K-$500K to trial marketing and acquisitions, and confirm structure, timing and decision authority.</x:v>
      </x:c>
      <x:c r="U895" s="25" t="str">
        <x:v>https://www.cashhomebuyersdirectory.com/cash-home-buyers/delaware/wilmington</x:v>
      </x:c>
      <x:c r="V895" s="26" t="d">
        <x:v>2026-10-02T00:00:00.000Z</x:v>
      </x:c>
      <x:c r="W895" s="26" t="d">
        <x:v>2026-10-02T00:00:00.000Z</x:v>
      </x:c>
      <x:c r="X895" s="25" t="str">
        <x:v>CashHomeBuyersDirectory third-party business listing; first-party business activity not checked in this batch</x:v>
      </x:c>
      <x:c r="Y895" s="25"/>
      <x:c r="Z895" s="25" t="str">
        <x:v>https://www.cashhomebuyersdirectory.com/cash-home-buyers/delaware/wilmington</x:v>
      </x:c>
      <x:c r="AA895" s="25" t="str">
        <x:v>Public cash-home-buyer directory lists the business name, business phone/website where available and market. Operator role and corporate funding willingness require confirmation.</x:v>
      </x:c>
      <x:c r="AB895" s="3" t="str">
        <x:v>New public-source collection</x:v>
      </x:c>
      <x:c r="AC895" s="3" t="str">
        <x:v>unverified</x:v>
      </x:c>
      <x:c r="AD895" s="3" t="str">
        <x:v>Not contacted / unconfirmed</x:v>
      </x:c>
      <x:c r="AE895" s="3" t="str">
        <x:v>No</x:v>
      </x:c>
      <x:c r="AF895" s="3" t="str">
        <x:v>No</x:v>
      </x:c>
      <x:c r="AG895" s="3"/>
      <x:c r="AH895" s="3"/>
      <x:c r="AI895" s="18"/>
      <x:c r="AJ895" s="3" t="str">
        <x:v>CF2500-742F948FF9BB</x:v>
      </x:c>
      <x:c r="AK895" s="3" t="str">
        <x:v>real_estate_operator</x:v>
      </x:c>
      <x:c r="AL895" s="19" t="n">
        <x:v>100000</x:v>
      </x:c>
      <x:c r="AM895" s="19" t="n">
        <x:v>500000</x:v>
      </x:c>
      <x:c r="AN895" s="3" t="str">
        <x:v>https://www.cashhomebuyersdirectory.com/cash-home-buyers/delaware/wilmington</x:v>
      </x:c>
      <x:c r="AO895" s="3" t="str">
        <x:v>national_rest_directory_complete.jsonl</x:v>
      </x:c>
      <x:c r="AP895" s="19"/>
    </x:row>
    <x:row r="896" ht="36" customHeight="1">
      <x:c r="A896" s="23" t="n">
        <x:v>895</x:v>
      </x:c>
      <x:c r="B896" s="15" t="str">
        <x:v>Anchorage Home Buyers</x:v>
      </x:c>
      <x:c r="C896" s="15"/>
      <x:c r="D896" s="15" t="str">
        <x:v>Property investor / home-buying operator</x:v>
      </x:c>
      <x:c r="E896" s="15" t="str">
        <x:v>Property investor / operator inquiry</x:v>
      </x:c>
      <x:c r="F896" s="17" t="str">
        <x:v>New</x:v>
      </x:c>
      <x:c r="G896" s="24"/>
      <x:c r="H896" s="24" t="str">
        <x:v>+19073314472</x:v>
      </x:c>
      <x:c r="I896" s="24" t="str">
        <x:v>https://www.anchoragehomebuyers.com/</x:v>
      </x:c>
      <x:c r="J896" s="16" t="str">
        <x:v>AK</x:v>
      </x:c>
      <x:c r="K896" s="16" t="str">
        <x:v>Anchorage</x:v>
      </x:c>
      <x:c r="L896" s="16" t="str">
        <x:v>Public property-business route; investor decision maker unconfirmed</x:v>
      </x:c>
      <x:c r="M896" s="16" t="str">
        <x:v>https://www.anchoragehomebuyers.com/</x:v>
      </x:c>
      <x:c r="N896" s="16" t="str">
        <x:v>$100K-$500K ticket not published / unconfirmed</x:v>
      </x:c>
      <x:c r="O896" s="20"/>
      <x:c r="P896" s="20"/>
      <x:c r="Q896" s="25" t="str">
        <x:v>No direct corporate-capital range established in checked source</x:v>
      </x:c>
      <x:c r="R896" s="25" t="str">
        <x:v>Property acquisition or investor activity makes this an operator-capital prospect for the signed trial. Confirm operating-company debt/equity appetite.</x:v>
      </x:c>
      <x:c r="S896" s="25"/>
      <x:c r="T896" s="25" t="str">
        <x:v>Ask the owner/investor whether they can allocate $100K-$500K to trial marketing and acquisitions, and confirm structure, timing and decision authority.</x:v>
      </x:c>
      <x:c r="U896" s="25" t="str">
        <x:v>https://www.cashhomebuyersdirectory.com/cash-home-buyers/alaska/anchorage</x:v>
      </x:c>
      <x:c r="V896" s="26" t="d">
        <x:v>2026-10-02T00:00:00.000Z</x:v>
      </x:c>
      <x:c r="W896" s="26" t="d">
        <x:v>2026-10-02T00:00:00.000Z</x:v>
      </x:c>
      <x:c r="X896" s="25" t="str">
        <x:v>CashHomeBuyersDirectory third-party business listing; first-party business activity not checked in this batch</x:v>
      </x:c>
      <x:c r="Y896" s="25"/>
      <x:c r="Z896" s="25" t="str">
        <x:v>https://www.cashhomebuyersdirectory.com/cash-home-buyers/alaska/anchorage</x:v>
      </x:c>
      <x:c r="AA896" s="25" t="str">
        <x:v>Public cash-home-buyer directory lists the business name, business phone/website where available and market. Operator role and corporate funding willingness require confirmation.</x:v>
      </x:c>
      <x:c r="AB896" s="3" t="str">
        <x:v>New public-source collection</x:v>
      </x:c>
      <x:c r="AC896" s="3" t="str">
        <x:v>unverified</x:v>
      </x:c>
      <x:c r="AD896" s="3" t="str">
        <x:v>Not contacted / unconfirmed</x:v>
      </x:c>
      <x:c r="AE896" s="3" t="str">
        <x:v>No</x:v>
      </x:c>
      <x:c r="AF896" s="3" t="str">
        <x:v>No</x:v>
      </x:c>
      <x:c r="AG896" s="3"/>
      <x:c r="AH896" s="3"/>
      <x:c r="AI896" s="18"/>
      <x:c r="AJ896" s="3" t="str">
        <x:v>CF2500-60E98036900F</x:v>
      </x:c>
      <x:c r="AK896" s="3" t="str">
        <x:v>real_estate_operator</x:v>
      </x:c>
      <x:c r="AL896" s="19" t="n">
        <x:v>100000</x:v>
      </x:c>
      <x:c r="AM896" s="19" t="n">
        <x:v>500000</x:v>
      </x:c>
      <x:c r="AN896" s="3" t="str">
        <x:v>https://www.cashhomebuyersdirectory.com/cash-home-buyers/alaska/anchorage</x:v>
      </x:c>
      <x:c r="AO896" s="3" t="str">
        <x:v>national_rest_directory_complete.jsonl</x:v>
      </x:c>
      <x:c r="AP896" s="19"/>
    </x:row>
    <x:row r="897" ht="36" customHeight="1">
      <x:c r="A897" s="23" t="n">
        <x:v>896</x:v>
      </x:c>
      <x:c r="B897" s="15" t="str">
        <x:v>Arkansas Property Buyers</x:v>
      </x:c>
      <x:c r="C897" s="15"/>
      <x:c r="D897" s="15" t="str">
        <x:v>Property investor / home-buying operator</x:v>
      </x:c>
      <x:c r="E897" s="15" t="str">
        <x:v>Property investor / operator inquiry</x:v>
      </x:c>
      <x:c r="F897" s="17" t="str">
        <x:v>New</x:v>
      </x:c>
      <x:c r="G897" s="24"/>
      <x:c r="H897" s="24" t="str">
        <x:v>+15015047109</x:v>
      </x:c>
      <x:c r="I897" s="24" t="str">
        <x:v>https://arkansaspropertybuyers.com/?utm_source=google&amp;utm_medium=organic&amp;utm_campaign=gbp</x:v>
      </x:c>
      <x:c r="J897" s="16" t="str">
        <x:v>AR</x:v>
      </x:c>
      <x:c r="K897" s="16" t="str">
        <x:v>Little Rock</x:v>
      </x:c>
      <x:c r="L897" s="16" t="str">
        <x:v>Public property-business route; investor decision maker unconfirmed</x:v>
      </x:c>
      <x:c r="M897" s="16" t="str">
        <x:v>https://arkansaspropertybuyers.com/?utm_source=google&amp;utm_medium=organic&amp;utm_campaign=gbp</x:v>
      </x:c>
      <x:c r="N897" s="16" t="str">
        <x:v>$100K-$500K ticket not published / unconfirmed</x:v>
      </x:c>
      <x:c r="O897" s="20"/>
      <x:c r="P897" s="20"/>
      <x:c r="Q897" s="25" t="str">
        <x:v>No direct corporate-capital range established in checked source</x:v>
      </x:c>
      <x:c r="R897" s="25" t="str">
        <x:v>Property acquisition or investor activity makes this an operator-capital prospect for the signed trial. Confirm operating-company debt/equity appetite.</x:v>
      </x:c>
      <x:c r="S897" s="25"/>
      <x:c r="T897" s="25" t="str">
        <x:v>Ask the owner/investor whether they can allocate $100K-$500K to trial marketing and acquisitions, and confirm structure, timing and decision authority.</x:v>
      </x:c>
      <x:c r="U897" s="25" t="str">
        <x:v>https://www.cashhomebuyersdirectory.com/cash-home-buyers/arkansas/little-rock</x:v>
      </x:c>
      <x:c r="V897" s="26" t="d">
        <x:v>2026-10-02T00:00:00.000Z</x:v>
      </x:c>
      <x:c r="W897" s="26" t="d">
        <x:v>2026-10-02T00:00:00.000Z</x:v>
      </x:c>
      <x:c r="X897" s="25" t="str">
        <x:v>CashHomeBuyersDirectory third-party business listing; first-party business activity not checked in this batch</x:v>
      </x:c>
      <x:c r="Y897" s="25"/>
      <x:c r="Z897" s="25" t="str">
        <x:v>https://www.cashhomebuyersdirectory.com/cash-home-buyers/arkansas/little-rock</x:v>
      </x:c>
      <x:c r="AA897" s="25" t="str">
        <x:v>Public cash-home-buyer directory lists the business name, business phone/website where available and market. Operator role and corporate funding willingness require confirmation.</x:v>
      </x:c>
      <x:c r="AB897" s="3" t="str">
        <x:v>New public-source collection</x:v>
      </x:c>
      <x:c r="AC897" s="3" t="str">
        <x:v>unverified</x:v>
      </x:c>
      <x:c r="AD897" s="3" t="str">
        <x:v>Not contacted / unconfirmed</x:v>
      </x:c>
      <x:c r="AE897" s="3" t="str">
        <x:v>No</x:v>
      </x:c>
      <x:c r="AF897" s="3" t="str">
        <x:v>No</x:v>
      </x:c>
      <x:c r="AG897" s="3"/>
      <x:c r="AH897" s="3"/>
      <x:c r="AI897" s="18"/>
      <x:c r="AJ897" s="3" t="str">
        <x:v>CF2500-D6F0559B0012</x:v>
      </x:c>
      <x:c r="AK897" s="3" t="str">
        <x:v>real_estate_operator</x:v>
      </x:c>
      <x:c r="AL897" s="19" t="n">
        <x:v>100000</x:v>
      </x:c>
      <x:c r="AM897" s="19" t="n">
        <x:v>500000</x:v>
      </x:c>
      <x:c r="AN897" s="3" t="str">
        <x:v>https://www.cashhomebuyersdirectory.com/cash-home-buyers/arkansas/little-rock</x:v>
      </x:c>
      <x:c r="AO897" s="3" t="str">
        <x:v>national_rest_directory_complete.jsonl</x:v>
      </x:c>
      <x:c r="AP897" s="19"/>
    </x:row>
    <x:row r="898" ht="36" customHeight="1">
      <x:c r="A898" s="23" t="n">
        <x:v>897</x:v>
      </x:c>
      <x:c r="B898" s="15" t="str">
        <x:v>As-Is Home Buyer - Los Angeles</x:v>
      </x:c>
      <x:c r="C898" s="15"/>
      <x:c r="D898" s="15" t="str">
        <x:v>Property investor / home-buying operator</x:v>
      </x:c>
      <x:c r="E898" s="15" t="str">
        <x:v>Property investor / operator inquiry</x:v>
      </x:c>
      <x:c r="F898" s="17" t="str">
        <x:v>New</x:v>
      </x:c>
      <x:c r="G898" s="24"/>
      <x:c r="H898" s="24" t="str">
        <x:v>+13236226021</x:v>
      </x:c>
      <x:c r="I898" s="24" t="str">
        <x:v>https://los-angeles.as-ishomebuyer.com/</x:v>
      </x:c>
      <x:c r="J898" s="16" t="str">
        <x:v>CA</x:v>
      </x:c>
      <x:c r="K898" s="16"/>
      <x:c r="L898" s="16" t="str">
        <x:v>Public property-business route; investor decision maker unconfirmed</x:v>
      </x:c>
      <x:c r="M898" s="16" t="str">
        <x:v>https://los-angeles.as-ishomebuyer.com/</x:v>
      </x:c>
      <x:c r="N898" s="16" t="str">
        <x:v>$100K-$500K ticket not published / unconfirmed</x:v>
      </x:c>
      <x:c r="O898" s="20"/>
      <x:c r="P898" s="20"/>
      <x:c r="Q898" s="25" t="str">
        <x:v>No direct corporate-capital range established in checked source</x:v>
      </x:c>
      <x:c r="R898" s="25" t="str">
        <x:v>Property acquisition or investor activity makes this an operator-capital prospect for the signed trial. Confirm operating-company debt/equity appetite.</x:v>
      </x:c>
      <x:c r="S898" s="25"/>
      <x:c r="T898" s="25" t="str">
        <x:v>Ask the owner/investor whether they can allocate $100K-$500K to trial marketing and acquisitions, and confirm structure, timing and decision authority.</x:v>
      </x:c>
      <x:c r="U898" s="25" t="str">
        <x:v>https://www.cashhomebuyersdirectory.com/cash-home-buyers/california/los-angeles</x:v>
      </x:c>
      <x:c r="V898" s="26" t="d">
        <x:v>2026-10-02T00:00:00.000Z</x:v>
      </x:c>
      <x:c r="W898" s="26" t="d">
        <x:v>2026-10-02T00:00:00.000Z</x:v>
      </x:c>
      <x:c r="X898" s="25" t="str">
        <x:v>CashHomeBuyersDirectory third-party business listing; first-party business activity not checked in this batch</x:v>
      </x:c>
      <x:c r="Y898" s="25"/>
      <x:c r="Z898" s="25" t="str">
        <x:v>https://www.cashhomebuyersdirectory.com/cash-home-buyers/california/los-angeles</x:v>
      </x:c>
      <x:c r="AA898" s="25" t="str">
        <x:v>Public cash-home-buyer directory lists the business name, business phone/website where available and market. Operator role and corporate funding willingness require confirmation.</x:v>
      </x:c>
      <x:c r="AB898" s="3" t="str">
        <x:v>New public-source collection</x:v>
      </x:c>
      <x:c r="AC898" s="3" t="str">
        <x:v>unverified</x:v>
      </x:c>
      <x:c r="AD898" s="3" t="str">
        <x:v>Not contacted / unconfirmed</x:v>
      </x:c>
      <x:c r="AE898" s="3" t="str">
        <x:v>No</x:v>
      </x:c>
      <x:c r="AF898" s="3" t="str">
        <x:v>No</x:v>
      </x:c>
      <x:c r="AG898" s="3"/>
      <x:c r="AH898" s="3"/>
      <x:c r="AI898" s="18"/>
      <x:c r="AJ898" s="3" t="str">
        <x:v>CF2500-8964942A8BB6</x:v>
      </x:c>
      <x:c r="AK898" s="3" t="str">
        <x:v>real_estate_operator</x:v>
      </x:c>
      <x:c r="AL898" s="19" t="n">
        <x:v>100000</x:v>
      </x:c>
      <x:c r="AM898" s="19" t="n">
        <x:v>500000</x:v>
      </x:c>
      <x:c r="AN898" s="3" t="str">
        <x:v>https://www.cashhomebuyersdirectory.com/cash-home-buyers/california/los-angeles</x:v>
      </x:c>
      <x:c r="AO898" s="3" t="str">
        <x:v>national_rest_directory_complete.jsonl</x:v>
      </x:c>
      <x:c r="AP898" s="19"/>
    </x:row>
    <x:row r="899" ht="36" customHeight="1">
      <x:c r="A899" s="23" t="n">
        <x:v>898</x:v>
      </x:c>
      <x:c r="B899" s="15" t="str">
        <x:v>As-Is Homebuyers</x:v>
      </x:c>
      <x:c r="C899" s="15"/>
      <x:c r="D899" s="15" t="str">
        <x:v>Property investor / home-buying operator</x:v>
      </x:c>
      <x:c r="E899" s="15" t="str">
        <x:v>Property investor / operator inquiry</x:v>
      </x:c>
      <x:c r="F899" s="17" t="str">
        <x:v>New</x:v>
      </x:c>
      <x:c r="G899" s="24"/>
      <x:c r="H899" s="24" t="str">
        <x:v>+15313016414</x:v>
      </x:c>
      <x:c r="I899" s="24" t="str">
        <x:v>https://www.asisnebraskahomes.com/</x:v>
      </x:c>
      <x:c r="J899" s="16" t="str">
        <x:v>NE</x:v>
      </x:c>
      <x:c r="K899" s="16" t="str">
        <x:v>Omaha</x:v>
      </x:c>
      <x:c r="L899" s="16" t="str">
        <x:v>Public property-business route; investor decision maker unconfirmed</x:v>
      </x:c>
      <x:c r="M899" s="16" t="str">
        <x:v>https://www.asisnebraskahomes.com/</x:v>
      </x:c>
      <x:c r="N899" s="16" t="str">
        <x:v>$100K-$500K ticket not published / unconfirmed</x:v>
      </x:c>
      <x:c r="O899" s="20"/>
      <x:c r="P899" s="20"/>
      <x:c r="Q899" s="25" t="str">
        <x:v>No direct corporate-capital range established in checked source</x:v>
      </x:c>
      <x:c r="R899" s="25" t="str">
        <x:v>Property acquisition or investor activity makes this an operator-capital prospect for the signed trial. Confirm operating-company debt/equity appetite.</x:v>
      </x:c>
      <x:c r="S899" s="25"/>
      <x:c r="T899" s="25" t="str">
        <x:v>Ask the owner/investor whether they can allocate $100K-$500K to trial marketing and acquisitions, and confirm structure, timing and decision authority.</x:v>
      </x:c>
      <x:c r="U899" s="25" t="str">
        <x:v>https://www.cashhomebuyersdirectory.com/cash-home-buyers/nebraska/omaha</x:v>
      </x:c>
      <x:c r="V899" s="26" t="d">
        <x:v>2026-10-02T00:00:00.000Z</x:v>
      </x:c>
      <x:c r="W899" s="26" t="d">
        <x:v>2026-10-02T00:00:00.000Z</x:v>
      </x:c>
      <x:c r="X899" s="25" t="str">
        <x:v>CashHomeBuyersDirectory third-party business listing; first-party business activity not checked in this batch</x:v>
      </x:c>
      <x:c r="Y899" s="25"/>
      <x:c r="Z899" s="25" t="str">
        <x:v>https://www.cashhomebuyersdirectory.com/cash-home-buyers/nebraska/omaha</x:v>
      </x:c>
      <x:c r="AA899" s="25" t="str">
        <x:v>Public cash-home-buyer directory lists the business name, business phone/website where available and market. Operator role and corporate funding willingness require confirmation.</x:v>
      </x:c>
      <x:c r="AB899" s="3" t="str">
        <x:v>New public-source collection</x:v>
      </x:c>
      <x:c r="AC899" s="3" t="str">
        <x:v>unverified</x:v>
      </x:c>
      <x:c r="AD899" s="3" t="str">
        <x:v>Not contacted / unconfirmed</x:v>
      </x:c>
      <x:c r="AE899" s="3" t="str">
        <x:v>No</x:v>
      </x:c>
      <x:c r="AF899" s="3" t="str">
        <x:v>No</x:v>
      </x:c>
      <x:c r="AG899" s="3"/>
      <x:c r="AH899" s="3"/>
      <x:c r="AI899" s="18"/>
      <x:c r="AJ899" s="3" t="str">
        <x:v>CF2500-FE6D4C30BC03</x:v>
      </x:c>
      <x:c r="AK899" s="3" t="str">
        <x:v>real_estate_operator</x:v>
      </x:c>
      <x:c r="AL899" s="19" t="n">
        <x:v>100000</x:v>
      </x:c>
      <x:c r="AM899" s="19" t="n">
        <x:v>500000</x:v>
      </x:c>
      <x:c r="AN899" s="3" t="str">
        <x:v>https://www.cashhomebuyersdirectory.com/cash-home-buyers/nebraska/omaha</x:v>
      </x:c>
      <x:c r="AO899" s="3" t="str">
        <x:v>national_rest_directory_complete.jsonl</x:v>
      </x:c>
      <x:c r="AP899" s="19"/>
    </x:row>
    <x:row r="900" ht="36" customHeight="1">
      <x:c r="A900" s="23" t="n">
        <x:v>899</x:v>
      </x:c>
      <x:c r="B900" s="15" t="str">
        <x:v>As-Is Homebuyers of Nevada</x:v>
      </x:c>
      <x:c r="C900" s="15"/>
      <x:c r="D900" s="15" t="str">
        <x:v>Property investor / home-buying operator</x:v>
      </x:c>
      <x:c r="E900" s="15" t="str">
        <x:v>Property investor / operator inquiry</x:v>
      </x:c>
      <x:c r="F900" s="17" t="str">
        <x:v>New</x:v>
      </x:c>
      <x:c r="G900" s="24"/>
      <x:c r="H900" s="24" t="str">
        <x:v>+17753460285</x:v>
      </x:c>
      <x:c r="I900" s="24" t="str">
        <x:v>https://asishomebuyersofnevada.com/</x:v>
      </x:c>
      <x:c r="J900" s="16" t="str">
        <x:v>NV</x:v>
      </x:c>
      <x:c r="K900" s="16"/>
      <x:c r="L900" s="16" t="str">
        <x:v>Public property-business route; investor decision maker unconfirmed</x:v>
      </x:c>
      <x:c r="M900" s="16" t="str">
        <x:v>https://asishomebuyersofnevada.com/</x:v>
      </x:c>
      <x:c r="N900" s="16" t="str">
        <x:v>$100K-$500K ticket not published / unconfirmed</x:v>
      </x:c>
      <x:c r="O900" s="20"/>
      <x:c r="P900" s="20"/>
      <x:c r="Q900" s="25" t="str">
        <x:v>No direct corporate-capital range established in checked source</x:v>
      </x:c>
      <x:c r="R900" s="25" t="str">
        <x:v>Property acquisition or investor activity makes this an operator-capital prospect for the signed trial. Confirm operating-company debt/equity appetite.</x:v>
      </x:c>
      <x:c r="S900" s="25"/>
      <x:c r="T900" s="25" t="str">
        <x:v>Ask the owner/investor whether they can allocate $100K-$500K to trial marketing and acquisitions, and confirm structure, timing and decision authority.</x:v>
      </x:c>
      <x:c r="U900" s="25" t="str">
        <x:v>https://www.cashhomebuyersdirectory.com/cash-home-buyers/nevada/reno</x:v>
      </x:c>
      <x:c r="V900" s="26" t="d">
        <x:v>2026-10-02T00:00:00.000Z</x:v>
      </x:c>
      <x:c r="W900" s="26" t="d">
        <x:v>2026-10-02T00:00:00.000Z</x:v>
      </x:c>
      <x:c r="X900" s="25" t="str">
        <x:v>CashHomeBuyersDirectory third-party business listing; first-party business activity not checked in this batch</x:v>
      </x:c>
      <x:c r="Y900" s="25"/>
      <x:c r="Z900" s="25" t="str">
        <x:v>https://www.cashhomebuyersdirectory.com/cash-home-buyers/nevada/reno</x:v>
      </x:c>
      <x:c r="AA900" s="25" t="str">
        <x:v>Public cash-home-buyer directory lists the business name, business phone/website where available and market. Operator role and corporate funding willingness require confirmation.</x:v>
      </x:c>
      <x:c r="AB900" s="3" t="str">
        <x:v>New public-source collection</x:v>
      </x:c>
      <x:c r="AC900" s="3" t="str">
        <x:v>unverified</x:v>
      </x:c>
      <x:c r="AD900" s="3" t="str">
        <x:v>Not contacted / unconfirmed</x:v>
      </x:c>
      <x:c r="AE900" s="3" t="str">
        <x:v>No</x:v>
      </x:c>
      <x:c r="AF900" s="3" t="str">
        <x:v>No</x:v>
      </x:c>
      <x:c r="AG900" s="3"/>
      <x:c r="AH900" s="3"/>
      <x:c r="AI900" s="18"/>
      <x:c r="AJ900" s="3" t="str">
        <x:v>CF2500-A93A4D5D659E</x:v>
      </x:c>
      <x:c r="AK900" s="3" t="str">
        <x:v>real_estate_operator</x:v>
      </x:c>
      <x:c r="AL900" s="19" t="n">
        <x:v>100000</x:v>
      </x:c>
      <x:c r="AM900" s="19" t="n">
        <x:v>500000</x:v>
      </x:c>
      <x:c r="AN900" s="3" t="str">
        <x:v>https://www.cashhomebuyersdirectory.com/cash-home-buyers/nevada/reno</x:v>
      </x:c>
      <x:c r="AO900" s="3" t="str">
        <x:v>national_rest_directory_complete.jsonl</x:v>
      </x:c>
      <x:c r="AP900" s="19"/>
    </x:row>
    <x:row r="901" ht="36" customHeight="1">
      <x:c r="A901" s="23" t="n">
        <x:v>900</x:v>
      </x:c>
      <x:c r="B901" s="15" t="str">
        <x:v>Astra Home Buyers</x:v>
      </x:c>
      <x:c r="C901" s="15"/>
      <x:c r="D901" s="15" t="str">
        <x:v>Property investor / home-buying operator</x:v>
      </x:c>
      <x:c r="E901" s="15" t="str">
        <x:v>Property investor / operator inquiry</x:v>
      </x:c>
      <x:c r="F901" s="17" t="str">
        <x:v>New</x:v>
      </x:c>
      <x:c r="G901" s="24"/>
      <x:c r="H901" s="24" t="str">
        <x:v>+13109993228</x:v>
      </x:c>
      <x:c r="I901" s="24" t="str">
        <x:v>https://www.astrahomebuyer.com/</x:v>
      </x:c>
      <x:c r="J901" s="16" t="str">
        <x:v>CA</x:v>
      </x:c>
      <x:c r="K901" s="16" t="str">
        <x:v>San Diego</x:v>
      </x:c>
      <x:c r="L901" s="16" t="str">
        <x:v>Public property-business route; investor decision maker unconfirmed</x:v>
      </x:c>
      <x:c r="M901" s="16" t="str">
        <x:v>https://www.astrahomebuyer.com/</x:v>
      </x:c>
      <x:c r="N901" s="16" t="str">
        <x:v>$100K-$500K ticket not published / unconfirmed</x:v>
      </x:c>
      <x:c r="O901" s="20"/>
      <x:c r="P901" s="20"/>
      <x:c r="Q901" s="25" t="str">
        <x:v>No direct corporate-capital range established in checked source</x:v>
      </x:c>
      <x:c r="R901" s="25" t="str">
        <x:v>Property acquisition or investor activity makes this an operator-capital prospect for the signed trial. Confirm operating-company debt/equity appetite.</x:v>
      </x:c>
      <x:c r="S901" s="25"/>
      <x:c r="T901" s="25" t="str">
        <x:v>Ask the owner/investor whether they can allocate $100K-$500K to trial marketing and acquisitions, and confirm structure, timing and decision authority.</x:v>
      </x:c>
      <x:c r="U901" s="25" t="str">
        <x:v>https://www.cashhomebuyersdirectory.com/cash-home-buyers/california/san-diego</x:v>
      </x:c>
      <x:c r="V901" s="26" t="d">
        <x:v>2026-10-02T00:00:00.000Z</x:v>
      </x:c>
      <x:c r="W901" s="26" t="d">
        <x:v>2026-10-02T00:00:00.000Z</x:v>
      </x:c>
      <x:c r="X901" s="25" t="str">
        <x:v>CashHomeBuyersDirectory third-party business listing; first-party business activity not checked in this batch</x:v>
      </x:c>
      <x:c r="Y901" s="25"/>
      <x:c r="Z901" s="25" t="str">
        <x:v>https://www.cashhomebuyersdirectory.com/cash-home-buyers/california/san-diego</x:v>
      </x:c>
      <x:c r="AA901" s="25" t="str">
        <x:v>Public cash-home-buyer directory lists the business name, business phone/website where available and market. Operator role and corporate funding willingness require confirmation.</x:v>
      </x:c>
      <x:c r="AB901" s="3" t="str">
        <x:v>New public-source collection</x:v>
      </x:c>
      <x:c r="AC901" s="3" t="str">
        <x:v>unverified</x:v>
      </x:c>
      <x:c r="AD901" s="3" t="str">
        <x:v>Not contacted / unconfirmed</x:v>
      </x:c>
      <x:c r="AE901" s="3" t="str">
        <x:v>No</x:v>
      </x:c>
      <x:c r="AF901" s="3" t="str">
        <x:v>No</x:v>
      </x:c>
      <x:c r="AG901" s="3"/>
      <x:c r="AH901" s="3"/>
      <x:c r="AI901" s="18"/>
      <x:c r="AJ901" s="3" t="str">
        <x:v>CF2500-FAE3AF4C73B0</x:v>
      </x:c>
      <x:c r="AK901" s="3" t="str">
        <x:v>real_estate_operator</x:v>
      </x:c>
      <x:c r="AL901" s="19" t="n">
        <x:v>100000</x:v>
      </x:c>
      <x:c r="AM901" s="19" t="n">
        <x:v>500000</x:v>
      </x:c>
      <x:c r="AN901" s="3" t="str">
        <x:v>https://www.cashhomebuyersdirectory.com/cash-home-buyers/california/san-diego</x:v>
      </x:c>
      <x:c r="AO901" s="3" t="str">
        <x:v>national_rest_directory_complete.jsonl</x:v>
      </x:c>
      <x:c r="AP901" s="19"/>
    </x:row>
    <x:row r="902" ht="36" customHeight="1">
      <x:c r="A902" s="23" t="n">
        <x:v>901</x:v>
      </x:c>
      <x:c r="B902" s="15" t="str">
        <x:v>Atticus Home Buyers</x:v>
      </x:c>
      <x:c r="C902" s="15"/>
      <x:c r="D902" s="15" t="str">
        <x:v>Property investor / home-buying operator</x:v>
      </x:c>
      <x:c r="E902" s="15" t="str">
        <x:v>Property investor / operator inquiry</x:v>
      </x:c>
      <x:c r="F902" s="17" t="str">
        <x:v>New</x:v>
      </x:c>
      <x:c r="G902" s="24"/>
      <x:c r="H902" s="24" t="str">
        <x:v>+12622074401</x:v>
      </x:c>
      <x:c r="I902" s="24" t="str">
        <x:v>https://www.atticushomebuyers.com/we-buy-houses-milwaukee/</x:v>
      </x:c>
      <x:c r="J902" s="16" t="str">
        <x:v>WI</x:v>
      </x:c>
      <x:c r="K902" s="16" t="str">
        <x:v>Milwaukee</x:v>
      </x:c>
      <x:c r="L902" s="16" t="str">
        <x:v>Public property-business route; investor decision maker unconfirmed</x:v>
      </x:c>
      <x:c r="M902" s="16" t="str">
        <x:v>https://www.atticushomebuyers.com/we-buy-houses-milwaukee/</x:v>
      </x:c>
      <x:c r="N902" s="16" t="str">
        <x:v>$100K-$500K ticket not published / unconfirmed</x:v>
      </x:c>
      <x:c r="O902" s="20"/>
      <x:c r="P902" s="20"/>
      <x:c r="Q902" s="25" t="str">
        <x:v>No direct corporate-capital range established in checked source</x:v>
      </x:c>
      <x:c r="R902" s="25" t="str">
        <x:v>Property acquisition or investor activity makes this an operator-capital prospect for the signed trial. Confirm operating-company debt/equity appetite.</x:v>
      </x:c>
      <x:c r="S902" s="25"/>
      <x:c r="T902" s="25" t="str">
        <x:v>Ask the owner/investor whether they can allocate $100K-$500K to trial marketing and acquisitions, and confirm structure, timing and decision authority.</x:v>
      </x:c>
      <x:c r="U902" s="25" t="str">
        <x:v>https://www.cashhomebuyersdirectory.com/cash-home-buyers/wisconsin/milwaukee</x:v>
      </x:c>
      <x:c r="V902" s="26" t="d">
        <x:v>2026-10-02T00:00:00.000Z</x:v>
      </x:c>
      <x:c r="W902" s="26" t="d">
        <x:v>2026-10-02T00:00:00.000Z</x:v>
      </x:c>
      <x:c r="X902" s="25" t="str">
        <x:v>CashHomeBuyersDirectory third-party business listing; first-party business activity not checked in this batch</x:v>
      </x:c>
      <x:c r="Y902" s="25"/>
      <x:c r="Z902" s="25" t="str">
        <x:v>https://www.cashhomebuyersdirectory.com/cash-home-buyers/wisconsin/milwaukee</x:v>
      </x:c>
      <x:c r="AA902" s="25" t="str">
        <x:v>Public cash-home-buyer directory lists the business name, business phone/website where available and market. Operator role and corporate funding willingness require confirmation.</x:v>
      </x:c>
      <x:c r="AB902" s="3" t="str">
        <x:v>New public-source collection</x:v>
      </x:c>
      <x:c r="AC902" s="3" t="str">
        <x:v>unverified</x:v>
      </x:c>
      <x:c r="AD902" s="3" t="str">
        <x:v>Not contacted / unconfirmed</x:v>
      </x:c>
      <x:c r="AE902" s="3" t="str">
        <x:v>No</x:v>
      </x:c>
      <x:c r="AF902" s="3" t="str">
        <x:v>No</x:v>
      </x:c>
      <x:c r="AG902" s="3"/>
      <x:c r="AH902" s="3"/>
      <x:c r="AI902" s="18"/>
      <x:c r="AJ902" s="3" t="str">
        <x:v>CF2500-7AD540FDFA28</x:v>
      </x:c>
      <x:c r="AK902" s="3" t="str">
        <x:v>real_estate_operator</x:v>
      </x:c>
      <x:c r="AL902" s="19" t="n">
        <x:v>100000</x:v>
      </x:c>
      <x:c r="AM902" s="19" t="n">
        <x:v>500000</x:v>
      </x:c>
      <x:c r="AN902" s="3" t="str">
        <x:v>https://www.cashhomebuyersdirectory.com/cash-home-buyers/wisconsin/milwaukee</x:v>
      </x:c>
      <x:c r="AO902" s="3" t="str">
        <x:v>national_rest_directory_complete.jsonl</x:v>
      </x:c>
      <x:c r="AP902" s="19"/>
    </x:row>
    <x:row r="903" ht="36" customHeight="1">
      <x:c r="A903" s="23" t="n">
        <x:v>902</x:v>
      </x:c>
      <x:c r="B903" s="15" t="str">
        <x:v>Awakened Home Buyers</x:v>
      </x:c>
      <x:c r="C903" s="15"/>
      <x:c r="D903" s="15" t="str">
        <x:v>Property investor / home-buying operator</x:v>
      </x:c>
      <x:c r="E903" s="15" t="str">
        <x:v>Property investor / operator inquiry</x:v>
      </x:c>
      <x:c r="F903" s="17" t="str">
        <x:v>New</x:v>
      </x:c>
      <x:c r="G903" s="24"/>
      <x:c r="H903" s="24" t="str">
        <x:v>+17179257465</x:v>
      </x:c>
      <x:c r="I903" s="24" t="str">
        <x:v>https://www.awakenedhomebuyers.com/?utm_source=GMBListing&amp;utm_medium=organic</x:v>
      </x:c>
      <x:c r="J903" s="16" t="str">
        <x:v>PA</x:v>
      </x:c>
      <x:c r="K903" s="16" t="str">
        <x:v>Lancaster</x:v>
      </x:c>
      <x:c r="L903" s="16" t="str">
        <x:v>Public property-business route; investor decision maker unconfirmed</x:v>
      </x:c>
      <x:c r="M903" s="16" t="str">
        <x:v>https://www.awakenedhomebuyers.com/?utm_source=GMBListing&amp;utm_medium=organic</x:v>
      </x:c>
      <x:c r="N903" s="16" t="str">
        <x:v>$100K-$500K ticket not published / unconfirmed</x:v>
      </x:c>
      <x:c r="O903" s="20"/>
      <x:c r="P903" s="20"/>
      <x:c r="Q903" s="25" t="str">
        <x:v>No direct corporate-capital range established in checked source</x:v>
      </x:c>
      <x:c r="R903" s="25" t="str">
        <x:v>Property acquisition or investor activity makes this an operator-capital prospect for the signed trial. Confirm operating-company debt/equity appetite.</x:v>
      </x:c>
      <x:c r="S903" s="25"/>
      <x:c r="T903" s="25" t="str">
        <x:v>Ask the owner/investor whether they can allocate $100K-$500K to trial marketing and acquisitions, and confirm structure, timing and decision authority.</x:v>
      </x:c>
      <x:c r="U903" s="25" t="str">
        <x:v>https://www.cashhomebuyersdirectory.com/cash-home-buyers/pennsylvania/lancaster</x:v>
      </x:c>
      <x:c r="V903" s="26" t="d">
        <x:v>2026-10-02T00:00:00.000Z</x:v>
      </x:c>
      <x:c r="W903" s="26" t="d">
        <x:v>2026-10-02T00:00:00.000Z</x:v>
      </x:c>
      <x:c r="X903" s="25" t="str">
        <x:v>CashHomeBuyersDirectory third-party business listing; first-party business activity not checked in this batch</x:v>
      </x:c>
      <x:c r="Y903" s="25"/>
      <x:c r="Z903" s="25" t="str">
        <x:v>https://www.cashhomebuyersdirectory.com/cash-home-buyers/pennsylvania/lancaster</x:v>
      </x:c>
      <x:c r="AA903" s="25" t="str">
        <x:v>Public cash-home-buyer directory lists the business name, business phone/website where available and market. Operator role and corporate funding willingness require confirmation.</x:v>
      </x:c>
      <x:c r="AB903" s="3" t="str">
        <x:v>New public-source collection</x:v>
      </x:c>
      <x:c r="AC903" s="3" t="str">
        <x:v>unverified</x:v>
      </x:c>
      <x:c r="AD903" s="3" t="str">
        <x:v>Not contacted / unconfirmed</x:v>
      </x:c>
      <x:c r="AE903" s="3" t="str">
        <x:v>No</x:v>
      </x:c>
      <x:c r="AF903" s="3" t="str">
        <x:v>No</x:v>
      </x:c>
      <x:c r="AG903" s="3"/>
      <x:c r="AH903" s="3"/>
      <x:c r="AI903" s="18"/>
      <x:c r="AJ903" s="3" t="str">
        <x:v>CF2500-822ADFF7B7AC</x:v>
      </x:c>
      <x:c r="AK903" s="3" t="str">
        <x:v>real_estate_operator</x:v>
      </x:c>
      <x:c r="AL903" s="19" t="n">
        <x:v>100000</x:v>
      </x:c>
      <x:c r="AM903" s="19" t="n">
        <x:v>500000</x:v>
      </x:c>
      <x:c r="AN903" s="3" t="str">
        <x:v>https://www.cashhomebuyersdirectory.com/cash-home-buyers/pennsylvania/lancaster</x:v>
      </x:c>
      <x:c r="AO903" s="3" t="str">
        <x:v>national_rest_directory_complete.jsonl</x:v>
      </x:c>
      <x:c r="AP903" s="19"/>
    </x:row>
    <x:row r="904" ht="36" customHeight="1">
      <x:c r="A904" s="23" t="n">
        <x:v>903</x:v>
      </x:c>
      <x:c r="B904" s="15" t="str">
        <x:v>AxStone Investments Lexington's top cash home buyers!</x:v>
      </x:c>
      <x:c r="C904" s="15"/>
      <x:c r="D904" s="15" t="str">
        <x:v>Property investor / home-buying operator</x:v>
      </x:c>
      <x:c r="E904" s="15" t="str">
        <x:v>Property investor / operator inquiry</x:v>
      </x:c>
      <x:c r="F904" s="17" t="str">
        <x:v>New</x:v>
      </x:c>
      <x:c r="G904" s="24"/>
      <x:c r="H904" s="24" t="str">
        <x:v>+18592857934</x:v>
      </x:c>
      <x:c r="I904" s="24" t="str">
        <x:v>https://www.axstoneinvestments.com/</x:v>
      </x:c>
      <x:c r="J904" s="16" t="str">
        <x:v>KY</x:v>
      </x:c>
      <x:c r="K904" s="16"/>
      <x:c r="L904" s="16" t="str">
        <x:v>Public property-business route; investor decision maker unconfirmed</x:v>
      </x:c>
      <x:c r="M904" s="16" t="str">
        <x:v>https://www.axstoneinvestments.com/</x:v>
      </x:c>
      <x:c r="N904" s="16" t="str">
        <x:v>$100K-$500K ticket not published / unconfirmed</x:v>
      </x:c>
      <x:c r="O904" s="20"/>
      <x:c r="P904" s="20"/>
      <x:c r="Q904" s="25" t="str">
        <x:v>No direct corporate-capital range established in checked source</x:v>
      </x:c>
      <x:c r="R904" s="25" t="str">
        <x:v>Property acquisition or investor activity makes this an operator-capital prospect for the signed trial. Confirm operating-company debt/equity appetite.</x:v>
      </x:c>
      <x:c r="S904" s="25"/>
      <x:c r="T904" s="25" t="str">
        <x:v>Ask the owner/investor whether they can allocate $100K-$500K to trial marketing and acquisitions, and confirm structure, timing and decision authority.</x:v>
      </x:c>
      <x:c r="U904" s="25" t="str">
        <x:v>https://www.cashhomebuyersdirectory.com/cash-home-buyers/kentucky/lexington</x:v>
      </x:c>
      <x:c r="V904" s="26" t="d">
        <x:v>2026-10-02T00:00:00.000Z</x:v>
      </x:c>
      <x:c r="W904" s="26" t="d">
        <x:v>2026-10-02T00:00:00.000Z</x:v>
      </x:c>
      <x:c r="X904" s="25" t="str">
        <x:v>CashHomeBuyersDirectory third-party business listing; first-party business activity not checked in this batch</x:v>
      </x:c>
      <x:c r="Y904" s="25"/>
      <x:c r="Z904" s="25" t="str">
        <x:v>https://www.cashhomebuyersdirectory.com/cash-home-buyers/kentucky/lexington</x:v>
      </x:c>
      <x:c r="AA904" s="25" t="str">
        <x:v>Public cash-home-buyer directory lists the business name, business phone/website where available and market. Operator role and corporate funding willingness require confirmation.</x:v>
      </x:c>
      <x:c r="AB904" s="3" t="str">
        <x:v>New public-source collection</x:v>
      </x:c>
      <x:c r="AC904" s="3" t="str">
        <x:v>unverified</x:v>
      </x:c>
      <x:c r="AD904" s="3" t="str">
        <x:v>Not contacted / unconfirmed</x:v>
      </x:c>
      <x:c r="AE904" s="3" t="str">
        <x:v>No</x:v>
      </x:c>
      <x:c r="AF904" s="3" t="str">
        <x:v>No</x:v>
      </x:c>
      <x:c r="AG904" s="3"/>
      <x:c r="AH904" s="3"/>
      <x:c r="AI904" s="18"/>
      <x:c r="AJ904" s="3" t="str">
        <x:v>CF2500-2D76FCE492F3</x:v>
      </x:c>
      <x:c r="AK904" s="3" t="str">
        <x:v>real_estate_operator</x:v>
      </x:c>
      <x:c r="AL904" s="19" t="n">
        <x:v>100000</x:v>
      </x:c>
      <x:c r="AM904" s="19" t="n">
        <x:v>500000</x:v>
      </x:c>
      <x:c r="AN904" s="3" t="str">
        <x:v>https://www.cashhomebuyersdirectory.com/cash-home-buyers/kentucky/lexington</x:v>
      </x:c>
      <x:c r="AO904" s="3" t="str">
        <x:v>national_rest_directory_complete.jsonl</x:v>
      </x:c>
      <x:c r="AP904" s="19"/>
    </x:row>
    <x:row r="905" ht="36" customHeight="1">
      <x:c r="A905" s="23" t="n">
        <x:v>904</x:v>
      </x:c>
      <x:c r="B905" s="15" t="str">
        <x:v>Backyard Home Buyers</x:v>
      </x:c>
      <x:c r="C905" s="15"/>
      <x:c r="D905" s="15" t="str">
        <x:v>Property investor / home-buying operator</x:v>
      </x:c>
      <x:c r="E905" s="15" t="str">
        <x:v>Property investor / operator inquiry</x:v>
      </x:c>
      <x:c r="F905" s="17" t="str">
        <x:v>New</x:v>
      </x:c>
      <x:c r="G905" s="24"/>
      <x:c r="H905" s="24" t="str">
        <x:v>+15094619079</x:v>
      </x:c>
      <x:c r="I905" s="24" t="str">
        <x:v>https://backyardhomebuyers.com/</x:v>
      </x:c>
      <x:c r="J905" s="16" t="str">
        <x:v>WA</x:v>
      </x:c>
      <x:c r="K905" s="16" t="str">
        <x:v>Spokane</x:v>
      </x:c>
      <x:c r="L905" s="16" t="str">
        <x:v>Public property-business route; investor decision maker unconfirmed</x:v>
      </x:c>
      <x:c r="M905" s="16" t="str">
        <x:v>https://backyardhomebuyers.com/</x:v>
      </x:c>
      <x:c r="N905" s="16" t="str">
        <x:v>$100K-$500K ticket not published / unconfirmed</x:v>
      </x:c>
      <x:c r="O905" s="20"/>
      <x:c r="P905" s="20"/>
      <x:c r="Q905" s="25" t="str">
        <x:v>No direct corporate-capital range established in checked source</x:v>
      </x:c>
      <x:c r="R905" s="25" t="str">
        <x:v>Property acquisition or investor activity makes this an operator-capital prospect for the signed trial. Confirm operating-company debt/equity appetite.</x:v>
      </x:c>
      <x:c r="S905" s="25"/>
      <x:c r="T905" s="25" t="str">
        <x:v>Ask the owner/investor whether they can allocate $100K-$500K to trial marketing and acquisitions, and confirm structure, timing and decision authority.</x:v>
      </x:c>
      <x:c r="U905" s="25" t="str">
        <x:v>https://www.cashhomebuyersdirectory.com/cash-home-buyers/washington/spokane</x:v>
      </x:c>
      <x:c r="V905" s="26" t="d">
        <x:v>2026-10-02T00:00:00.000Z</x:v>
      </x:c>
      <x:c r="W905" s="26" t="d">
        <x:v>2026-10-02T00:00:00.000Z</x:v>
      </x:c>
      <x:c r="X905" s="25" t="str">
        <x:v>CashHomeBuyersDirectory third-party business listing; first-party business activity not checked in this batch</x:v>
      </x:c>
      <x:c r="Y905" s="25"/>
      <x:c r="Z905" s="25" t="str">
        <x:v>https://www.cashhomebuyersdirectory.com/cash-home-buyers/washington/spokane</x:v>
      </x:c>
      <x:c r="AA905" s="25" t="str">
        <x:v>Public cash-home-buyer directory lists the business name, business phone/website where available and market. Operator role and corporate funding willingness require confirmation.</x:v>
      </x:c>
      <x:c r="AB905" s="3" t="str">
        <x:v>New public-source collection</x:v>
      </x:c>
      <x:c r="AC905" s="3" t="str">
        <x:v>unverified</x:v>
      </x:c>
      <x:c r="AD905" s="3" t="str">
        <x:v>Not contacted / unconfirmed</x:v>
      </x:c>
      <x:c r="AE905" s="3" t="str">
        <x:v>No</x:v>
      </x:c>
      <x:c r="AF905" s="3" t="str">
        <x:v>No</x:v>
      </x:c>
      <x:c r="AG905" s="3"/>
      <x:c r="AH905" s="3"/>
      <x:c r="AI905" s="18"/>
      <x:c r="AJ905" s="3" t="str">
        <x:v>CF2500-C08864A5042F</x:v>
      </x:c>
      <x:c r="AK905" s="3" t="str">
        <x:v>real_estate_operator</x:v>
      </x:c>
      <x:c r="AL905" s="19" t="n">
        <x:v>100000</x:v>
      </x:c>
      <x:c r="AM905" s="19" t="n">
        <x:v>500000</x:v>
      </x:c>
      <x:c r="AN905" s="3" t="str">
        <x:v>https://www.cashhomebuyersdirectory.com/cash-home-buyers/washington/spokane</x:v>
      </x:c>
      <x:c r="AO905" s="3" t="str">
        <x:v>national_rest_directory_complete.jsonl</x:v>
      </x:c>
      <x:c r="AP905" s="19"/>
    </x:row>
    <x:row r="906" ht="36" customHeight="1">
      <x:c r="A906" s="23" t="n">
        <x:v>905</x:v>
      </x:c>
      <x:c r="B906" s="15" t="str">
        <x:v>Baltimore Home Buyers LLC</x:v>
      </x:c>
      <x:c r="C906" s="15"/>
      <x:c r="D906" s="15" t="str">
        <x:v>Property investor / home-buying operator</x:v>
      </x:c>
      <x:c r="E906" s="15" t="str">
        <x:v>Property investor / operator inquiry</x:v>
      </x:c>
      <x:c r="F906" s="17" t="str">
        <x:v>New</x:v>
      </x:c>
      <x:c r="G906" s="24"/>
      <x:c r="H906" s="24" t="str">
        <x:v>+14439284550</x:v>
      </x:c>
      <x:c r="I906" s="24" t="str">
        <x:v>https://nationwidehomebuyers.co/</x:v>
      </x:c>
      <x:c r="J906" s="16" t="str">
        <x:v>MD</x:v>
      </x:c>
      <x:c r="K906" s="16" t="str">
        <x:v>Pikesville</x:v>
      </x:c>
      <x:c r="L906" s="16" t="str">
        <x:v>Public property-business route; investor decision maker unconfirmed</x:v>
      </x:c>
      <x:c r="M906" s="16" t="str">
        <x:v>https://nationwidehomebuyers.co/</x:v>
      </x:c>
      <x:c r="N906" s="16" t="str">
        <x:v>$100K-$500K ticket not published / unconfirmed</x:v>
      </x:c>
      <x:c r="O906" s="20"/>
      <x:c r="P906" s="20"/>
      <x:c r="Q906" s="25" t="str">
        <x:v>No direct corporate-capital range established in checked source</x:v>
      </x:c>
      <x:c r="R906" s="25" t="str">
        <x:v>Property acquisition or investor activity makes this an operator-capital prospect for the signed trial. Confirm operating-company debt/equity appetite.</x:v>
      </x:c>
      <x:c r="S906" s="25"/>
      <x:c r="T906" s="25" t="str">
        <x:v>Ask the owner/investor whether they can allocate $100K-$500K to trial marketing and acquisitions, and confirm structure, timing and decision authority.</x:v>
      </x:c>
      <x:c r="U906" s="25" t="str">
        <x:v>https://www.cashhomebuyersdirectory.com/cash-home-buyers/maryland/pikesville</x:v>
      </x:c>
      <x:c r="V906" s="26" t="d">
        <x:v>2026-10-02T00:00:00.000Z</x:v>
      </x:c>
      <x:c r="W906" s="26" t="d">
        <x:v>2026-10-02T00:00:00.000Z</x:v>
      </x:c>
      <x:c r="X906" s="25" t="str">
        <x:v>CashHomeBuyersDirectory third-party business listing; first-party business activity not checked in this batch</x:v>
      </x:c>
      <x:c r="Y906" s="25"/>
      <x:c r="Z906" s="25" t="str">
        <x:v>https://www.cashhomebuyersdirectory.com/cash-home-buyers/maryland/pikesville</x:v>
      </x:c>
      <x:c r="AA906" s="25" t="str">
        <x:v>Public cash-home-buyer directory lists the business name, business phone/website where available and market. Operator role and corporate funding willingness require confirmation.</x:v>
      </x:c>
      <x:c r="AB906" s="3" t="str">
        <x:v>New public-source collection</x:v>
      </x:c>
      <x:c r="AC906" s="3" t="str">
        <x:v>unverified</x:v>
      </x:c>
      <x:c r="AD906" s="3" t="str">
        <x:v>Not contacted / unconfirmed</x:v>
      </x:c>
      <x:c r="AE906" s="3" t="str">
        <x:v>No</x:v>
      </x:c>
      <x:c r="AF906" s="3" t="str">
        <x:v>No</x:v>
      </x:c>
      <x:c r="AG906" s="3"/>
      <x:c r="AH906" s="3"/>
      <x:c r="AI906" s="18"/>
      <x:c r="AJ906" s="3" t="str">
        <x:v>CF2500-A661B47950BF</x:v>
      </x:c>
      <x:c r="AK906" s="3" t="str">
        <x:v>real_estate_operator</x:v>
      </x:c>
      <x:c r="AL906" s="19" t="n">
        <x:v>100000</x:v>
      </x:c>
      <x:c r="AM906" s="19" t="n">
        <x:v>500000</x:v>
      </x:c>
      <x:c r="AN906" s="3" t="str">
        <x:v>https://www.cashhomebuyersdirectory.com/cash-home-buyers/maryland/pikesville</x:v>
      </x:c>
      <x:c r="AO906" s="3" t="str">
        <x:v>national_rest_directory_complete.jsonl</x:v>
      </x:c>
      <x:c r="AP906" s="19"/>
    </x:row>
    <x:row r="907" ht="36" customHeight="1">
      <x:c r="A907" s="23" t="n">
        <x:v>906</x:v>
      </x:c>
      <x:c r="B907" s="15" t="str">
        <x:v>Barkers Home Buying LLC</x:v>
      </x:c>
      <x:c r="C907" s="15"/>
      <x:c r="D907" s="15" t="str">
        <x:v>Property investor / home-buying operator</x:v>
      </x:c>
      <x:c r="E907" s="15" t="str">
        <x:v>Property investor / operator inquiry</x:v>
      </x:c>
      <x:c r="F907" s="17" t="str">
        <x:v>New</x:v>
      </x:c>
      <x:c r="G907" s="24"/>
      <x:c r="H907" s="24" t="str">
        <x:v>+15403977923</x:v>
      </x:c>
      <x:c r="I907" s="24" t="str">
        <x:v>https://barkershomebuying.com/</x:v>
      </x:c>
      <x:c r="J907" s="16" t="str">
        <x:v>VA</x:v>
      </x:c>
      <x:c r="K907" s="16" t="str">
        <x:v>Roanoke</x:v>
      </x:c>
      <x:c r="L907" s="16" t="str">
        <x:v>Public property-business route; investor decision maker unconfirmed</x:v>
      </x:c>
      <x:c r="M907" s="16" t="str">
        <x:v>https://barkershomebuying.com/</x:v>
      </x:c>
      <x:c r="N907" s="16" t="str">
        <x:v>$100K-$500K ticket not published / unconfirmed</x:v>
      </x:c>
      <x:c r="O907" s="20"/>
      <x:c r="P907" s="20"/>
      <x:c r="Q907" s="25" t="str">
        <x:v>No direct corporate-capital range established in checked source</x:v>
      </x:c>
      <x:c r="R907" s="25" t="str">
        <x:v>Property acquisition or investor activity makes this an operator-capital prospect for the signed trial. Confirm operating-company debt/equity appetite.</x:v>
      </x:c>
      <x:c r="S907" s="25"/>
      <x:c r="T907" s="25" t="str">
        <x:v>Ask the owner/investor whether they can allocate $100K-$500K to trial marketing and acquisitions, and confirm structure, timing and decision authority.</x:v>
      </x:c>
      <x:c r="U907" s="25" t="str">
        <x:v>https://www.cashhomebuyersdirectory.com/cash-home-buyers/virginia/roanoke</x:v>
      </x:c>
      <x:c r="V907" s="26" t="d">
        <x:v>2026-10-02T00:00:00.000Z</x:v>
      </x:c>
      <x:c r="W907" s="26" t="d">
        <x:v>2026-10-02T00:00:00.000Z</x:v>
      </x:c>
      <x:c r="X907" s="25" t="str">
        <x:v>CashHomeBuyersDirectory third-party business listing; first-party business activity not checked in this batch</x:v>
      </x:c>
      <x:c r="Y907" s="25"/>
      <x:c r="Z907" s="25" t="str">
        <x:v>https://www.cashhomebuyersdirectory.com/cash-home-buyers/virginia/roanoke</x:v>
      </x:c>
      <x:c r="AA907" s="25" t="str">
        <x:v>Public cash-home-buyer directory lists the business name, business phone/website where available and market. Operator role and corporate funding willingness require confirmation.</x:v>
      </x:c>
      <x:c r="AB907" s="3" t="str">
        <x:v>New public-source collection</x:v>
      </x:c>
      <x:c r="AC907" s="3" t="str">
        <x:v>unverified</x:v>
      </x:c>
      <x:c r="AD907" s="3" t="str">
        <x:v>Not contacted / unconfirmed</x:v>
      </x:c>
      <x:c r="AE907" s="3" t="str">
        <x:v>No</x:v>
      </x:c>
      <x:c r="AF907" s="3" t="str">
        <x:v>No</x:v>
      </x:c>
      <x:c r="AG907" s="3"/>
      <x:c r="AH907" s="3"/>
      <x:c r="AI907" s="18"/>
      <x:c r="AJ907" s="3" t="str">
        <x:v>CF2500-C9B3326A325B</x:v>
      </x:c>
      <x:c r="AK907" s="3" t="str">
        <x:v>real_estate_operator</x:v>
      </x:c>
      <x:c r="AL907" s="19" t="n">
        <x:v>100000</x:v>
      </x:c>
      <x:c r="AM907" s="19" t="n">
        <x:v>500000</x:v>
      </x:c>
      <x:c r="AN907" s="3" t="str">
        <x:v>https://www.cashhomebuyersdirectory.com/cash-home-buyers/virginia/roanoke</x:v>
      </x:c>
      <x:c r="AO907" s="3" t="str">
        <x:v>national_rest_directory_complete.jsonl</x:v>
      </x:c>
      <x:c r="AP907" s="19"/>
    </x:row>
    <x:row r="908" ht="36" customHeight="1">
      <x:c r="A908" s="23" t="n">
        <x:v>907</x:v>
      </x:c>
      <x:c r="B908" s="15" t="str">
        <x:v>Baton Rouge Cash Home Buyers</x:v>
      </x:c>
      <x:c r="C908" s="15"/>
      <x:c r="D908" s="15" t="str">
        <x:v>Property investor / home-buying operator</x:v>
      </x:c>
      <x:c r="E908" s="15" t="str">
        <x:v>Property investor / operator inquiry</x:v>
      </x:c>
      <x:c r="F908" s="17" t="str">
        <x:v>New</x:v>
      </x:c>
      <x:c r="G908" s="24"/>
      <x:c r="H908" s="24" t="str">
        <x:v>+12254253448</x:v>
      </x:c>
      <x:c r="I908" s="24" t="str">
        <x:v>http://www.batonrougecashhomebuyers.com/</x:v>
      </x:c>
      <x:c r="J908" s="16" t="str">
        <x:v>LA</x:v>
      </x:c>
      <x:c r="K908" s="16" t="str">
        <x:v>Baton Rouge</x:v>
      </x:c>
      <x:c r="L908" s="16" t="str">
        <x:v>Public property-business route; investor decision maker unconfirmed</x:v>
      </x:c>
      <x:c r="M908" s="16" t="str">
        <x:v>http://www.batonrougecashhomebuyers.com/</x:v>
      </x:c>
      <x:c r="N908" s="16" t="str">
        <x:v>$100K-$500K ticket not published / unconfirmed</x:v>
      </x:c>
      <x:c r="O908" s="20"/>
      <x:c r="P908" s="20"/>
      <x:c r="Q908" s="25" t="str">
        <x:v>No direct corporate-capital range established in checked source</x:v>
      </x:c>
      <x:c r="R908" s="25" t="str">
        <x:v>Property acquisition or investor activity makes this an operator-capital prospect for the signed trial. Confirm operating-company debt/equity appetite.</x:v>
      </x:c>
      <x:c r="S908" s="25"/>
      <x:c r="T908" s="25" t="str">
        <x:v>Ask the owner/investor whether they can allocate $100K-$500K to trial marketing and acquisitions, and confirm structure, timing and decision authority.</x:v>
      </x:c>
      <x:c r="U908" s="25" t="str">
        <x:v>https://www.cashhomebuyersdirectory.com/cash-home-buyers/louisiana/baton-rouge</x:v>
      </x:c>
      <x:c r="V908" s="26" t="d">
        <x:v>2026-10-02T00:00:00.000Z</x:v>
      </x:c>
      <x:c r="W908" s="26" t="d">
        <x:v>2026-10-02T00:00:00.000Z</x:v>
      </x:c>
      <x:c r="X908" s="25" t="str">
        <x:v>CashHomeBuyersDirectory third-party business listing; first-party business activity not checked in this batch</x:v>
      </x:c>
      <x:c r="Y908" s="25"/>
      <x:c r="Z908" s="25" t="str">
        <x:v>https://www.cashhomebuyersdirectory.com/cash-home-buyers/louisiana/baton-rouge</x:v>
      </x:c>
      <x:c r="AA908" s="25" t="str">
        <x:v>Public cash-home-buyer directory lists the business name, business phone/website where available and market. Operator role and corporate funding willingness require confirmation.</x:v>
      </x:c>
      <x:c r="AB908" s="3" t="str">
        <x:v>New public-source collection</x:v>
      </x:c>
      <x:c r="AC908" s="3" t="str">
        <x:v>unverified</x:v>
      </x:c>
      <x:c r="AD908" s="3" t="str">
        <x:v>Not contacted / unconfirmed</x:v>
      </x:c>
      <x:c r="AE908" s="3" t="str">
        <x:v>No</x:v>
      </x:c>
      <x:c r="AF908" s="3" t="str">
        <x:v>No</x:v>
      </x:c>
      <x:c r="AG908" s="3"/>
      <x:c r="AH908" s="3"/>
      <x:c r="AI908" s="18"/>
      <x:c r="AJ908" s="3" t="str">
        <x:v>CF2500-033639951AC5</x:v>
      </x:c>
      <x:c r="AK908" s="3" t="str">
        <x:v>real_estate_operator</x:v>
      </x:c>
      <x:c r="AL908" s="19" t="n">
        <x:v>100000</x:v>
      </x:c>
      <x:c r="AM908" s="19" t="n">
        <x:v>500000</x:v>
      </x:c>
      <x:c r="AN908" s="3" t="str">
        <x:v>https://www.cashhomebuyersdirectory.com/cash-home-buyers/louisiana/baton-rouge</x:v>
      </x:c>
      <x:c r="AO908" s="3" t="str">
        <x:v>national_rest_directory_complete.jsonl</x:v>
      </x:c>
      <x:c r="AP908" s="19"/>
    </x:row>
    <x:row r="909" ht="36" customHeight="1">
      <x:c r="A909" s="23" t="n">
        <x:v>908</x:v>
      </x:c>
      <x:c r="B909" s="15" t="str">
        <x:v>Bay Area House Buyer</x:v>
      </x:c>
      <x:c r="C909" s="15"/>
      <x:c r="D909" s="15" t="str">
        <x:v>Property investor / home-buying operator</x:v>
      </x:c>
      <x:c r="E909" s="15" t="str">
        <x:v>Property investor / operator inquiry</x:v>
      </x:c>
      <x:c r="F909" s="17" t="str">
        <x:v>New</x:v>
      </x:c>
      <x:c r="G909" s="24"/>
      <x:c r="H909" s="24" t="str">
        <x:v>+15108248710</x:v>
      </x:c>
      <x:c r="I909" s="24" t="str">
        <x:v>https://www.bayareahousebuyer.com/</x:v>
      </x:c>
      <x:c r="J909" s="16" t="str">
        <x:v>CA</x:v>
      </x:c>
      <x:c r="K909" s="16" t="str">
        <x:v>Oakland</x:v>
      </x:c>
      <x:c r="L909" s="16" t="str">
        <x:v>Public property-business route; investor decision maker unconfirmed</x:v>
      </x:c>
      <x:c r="M909" s="16" t="str">
        <x:v>https://www.bayareahousebuyer.com/</x:v>
      </x:c>
      <x:c r="N909" s="16" t="str">
        <x:v>$100K-$500K ticket not published / unconfirmed</x:v>
      </x:c>
      <x:c r="O909" s="20"/>
      <x:c r="P909" s="20"/>
      <x:c r="Q909" s="25" t="str">
        <x:v>No direct corporate-capital range established in checked source</x:v>
      </x:c>
      <x:c r="R909" s="25" t="str">
        <x:v>Property acquisition or investor activity makes this an operator-capital prospect for the signed trial. Confirm operating-company debt/equity appetite.</x:v>
      </x:c>
      <x:c r="S909" s="25"/>
      <x:c r="T909" s="25" t="str">
        <x:v>Ask the owner/investor whether they can allocate $100K-$500K to trial marketing and acquisitions, and confirm structure, timing and decision authority.</x:v>
      </x:c>
      <x:c r="U909" s="25" t="str">
        <x:v>https://www.cashhomebuyersdirectory.com/cash-home-buyers/california/oakland</x:v>
      </x:c>
      <x:c r="V909" s="26" t="d">
        <x:v>2026-10-02T00:00:00.000Z</x:v>
      </x:c>
      <x:c r="W909" s="26" t="d">
        <x:v>2026-10-02T00:00:00.000Z</x:v>
      </x:c>
      <x:c r="X909" s="25" t="str">
        <x:v>CashHomeBuyersDirectory third-party business listing; first-party business activity not checked in this batch</x:v>
      </x:c>
      <x:c r="Y909" s="25"/>
      <x:c r="Z909" s="25" t="str">
        <x:v>https://www.cashhomebuyersdirectory.com/cash-home-buyers/california/oakland</x:v>
      </x:c>
      <x:c r="AA909" s="25" t="str">
        <x:v>Public cash-home-buyer directory lists the business name, business phone/website where available and market. Operator role and corporate funding willingness require confirmation.</x:v>
      </x:c>
      <x:c r="AB909" s="3" t="str">
        <x:v>New public-source collection</x:v>
      </x:c>
      <x:c r="AC909" s="3" t="str">
        <x:v>unverified</x:v>
      </x:c>
      <x:c r="AD909" s="3" t="str">
        <x:v>Not contacted / unconfirmed</x:v>
      </x:c>
      <x:c r="AE909" s="3" t="str">
        <x:v>No</x:v>
      </x:c>
      <x:c r="AF909" s="3" t="str">
        <x:v>No</x:v>
      </x:c>
      <x:c r="AG909" s="3"/>
      <x:c r="AH909" s="3"/>
      <x:c r="AI909" s="18"/>
      <x:c r="AJ909" s="3" t="str">
        <x:v>CF2500-EE5EA2D9D6F0</x:v>
      </x:c>
      <x:c r="AK909" s="3" t="str">
        <x:v>real_estate_operator</x:v>
      </x:c>
      <x:c r="AL909" s="19" t="n">
        <x:v>100000</x:v>
      </x:c>
      <x:c r="AM909" s="19" t="n">
        <x:v>500000</x:v>
      </x:c>
      <x:c r="AN909" s="3" t="str">
        <x:v>https://www.cashhomebuyersdirectory.com/cash-home-buyers/california/oakland</x:v>
      </x:c>
      <x:c r="AO909" s="3" t="str">
        <x:v>national_rest_directory_complete.jsonl</x:v>
      </x:c>
      <x:c r="AP909" s="19"/>
    </x:row>
    <x:row r="910" ht="36" customHeight="1">
      <x:c r="A910" s="23" t="n">
        <x:v>909</x:v>
      </x:c>
      <x:c r="B910" s="15" t="str">
        <x:v>Bay Rock Home Buyers</x:v>
      </x:c>
      <x:c r="C910" s="15"/>
      <x:c r="D910" s="15" t="str">
        <x:v>Property investor / home-buying operator</x:v>
      </x:c>
      <x:c r="E910" s="15" t="str">
        <x:v>Property investor / operator inquiry</x:v>
      </x:c>
      <x:c r="F910" s="17" t="str">
        <x:v>New</x:v>
      </x:c>
      <x:c r="G910" s="24"/>
      <x:c r="H910" s="24" t="str">
        <x:v>+14103718883</x:v>
      </x:c>
      <x:c r="I910" s="24" t="str">
        <x:v>https://www.bayrockhomebuyers.com/</x:v>
      </x:c>
      <x:c r="J910" s="16" t="str">
        <x:v>MD</x:v>
      </x:c>
      <x:c r="K910" s="16" t="str">
        <x:v>Bel Air</x:v>
      </x:c>
      <x:c r="L910" s="16" t="str">
        <x:v>Public property-business route; investor decision maker unconfirmed</x:v>
      </x:c>
      <x:c r="M910" s="16" t="str">
        <x:v>https://www.bayrockhomebuyers.com/</x:v>
      </x:c>
      <x:c r="N910" s="16" t="str">
        <x:v>$100K-$500K ticket not published / unconfirmed</x:v>
      </x:c>
      <x:c r="O910" s="20"/>
      <x:c r="P910" s="20"/>
      <x:c r="Q910" s="25" t="str">
        <x:v>No direct corporate-capital range established in checked source</x:v>
      </x:c>
      <x:c r="R910" s="25" t="str">
        <x:v>Property acquisition or investor activity makes this an operator-capital prospect for the signed trial. Confirm operating-company debt/equity appetite.</x:v>
      </x:c>
      <x:c r="S910" s="25"/>
      <x:c r="T910" s="25" t="str">
        <x:v>Ask the owner/investor whether they can allocate $100K-$500K to trial marketing and acquisitions, and confirm structure, timing and decision authority.</x:v>
      </x:c>
      <x:c r="U910" s="25" t="str">
        <x:v>https://www.cashhomebuyersdirectory.com/cash-home-buyers/maryland/bel-air</x:v>
      </x:c>
      <x:c r="V910" s="26" t="d">
        <x:v>2026-10-02T00:00:00.000Z</x:v>
      </x:c>
      <x:c r="W910" s="26" t="d">
        <x:v>2026-10-02T00:00:00.000Z</x:v>
      </x:c>
      <x:c r="X910" s="25" t="str">
        <x:v>CashHomeBuyersDirectory third-party business listing; first-party business activity not checked in this batch</x:v>
      </x:c>
      <x:c r="Y910" s="25"/>
      <x:c r="Z910" s="25" t="str">
        <x:v>https://www.cashhomebuyersdirectory.com/cash-home-buyers/maryland/bel-air</x:v>
      </x:c>
      <x:c r="AA910" s="25" t="str">
        <x:v>Public cash-home-buyer directory lists the business name, business phone/website where available and market. Operator role and corporate funding willingness require confirmation.</x:v>
      </x:c>
      <x:c r="AB910" s="3" t="str">
        <x:v>New public-source collection</x:v>
      </x:c>
      <x:c r="AC910" s="3" t="str">
        <x:v>unverified</x:v>
      </x:c>
      <x:c r="AD910" s="3" t="str">
        <x:v>Not contacted / unconfirmed</x:v>
      </x:c>
      <x:c r="AE910" s="3" t="str">
        <x:v>No</x:v>
      </x:c>
      <x:c r="AF910" s="3" t="str">
        <x:v>No</x:v>
      </x:c>
      <x:c r="AG910" s="3"/>
      <x:c r="AH910" s="3"/>
      <x:c r="AI910" s="18"/>
      <x:c r="AJ910" s="3" t="str">
        <x:v>CF2500-CC167A06DC2C</x:v>
      </x:c>
      <x:c r="AK910" s="3" t="str">
        <x:v>real_estate_operator</x:v>
      </x:c>
      <x:c r="AL910" s="19" t="n">
        <x:v>100000</x:v>
      </x:c>
      <x:c r="AM910" s="19" t="n">
        <x:v>500000</x:v>
      </x:c>
      <x:c r="AN910" s="3" t="str">
        <x:v>https://www.cashhomebuyersdirectory.com/cash-home-buyers/maryland/bel-air</x:v>
      </x:c>
      <x:c r="AO910" s="3" t="str">
        <x:v>national_rest_directory_complete.jsonl</x:v>
      </x:c>
      <x:c r="AP910" s="19"/>
    </x:row>
    <x:row r="911" ht="36" customHeight="1">
      <x:c r="A911" s="23" t="n">
        <x:v>910</x:v>
      </x:c>
      <x:c r="B911" s="15" t="str">
        <x:v>BERKS COUNTY HOUSE BUYERS</x:v>
      </x:c>
      <x:c r="C911" s="15"/>
      <x:c r="D911" s="15" t="str">
        <x:v>Property investor / home-buying operator</x:v>
      </x:c>
      <x:c r="E911" s="15" t="str">
        <x:v>Property investor / operator inquiry</x:v>
      </x:c>
      <x:c r="F911" s="17" t="str">
        <x:v>New</x:v>
      </x:c>
      <x:c r="G911" s="24"/>
      <x:c r="H911" s="24" t="str">
        <x:v>+16108166205</x:v>
      </x:c>
      <x:c r="I911" s="24" t="str">
        <x:v>http://www.berksdirectcashbuyers.com/</x:v>
      </x:c>
      <x:c r="J911" s="16" t="str">
        <x:v>PA</x:v>
      </x:c>
      <x:c r="K911" s="16" t="str">
        <x:v>Mohnton</x:v>
      </x:c>
      <x:c r="L911" s="16" t="str">
        <x:v>Public property-business route; investor decision maker unconfirmed</x:v>
      </x:c>
      <x:c r="M911" s="16" t="str">
        <x:v>http://www.berksdirectcashbuyers.com/</x:v>
      </x:c>
      <x:c r="N911" s="16" t="str">
        <x:v>$100K-$500K ticket not published / unconfirmed</x:v>
      </x:c>
      <x:c r="O911" s="20"/>
      <x:c r="P911" s="20"/>
      <x:c r="Q911" s="25" t="str">
        <x:v>No direct corporate-capital range established in checked source</x:v>
      </x:c>
      <x:c r="R911" s="25" t="str">
        <x:v>Property acquisition or investor activity makes this an operator-capital prospect for the signed trial. Confirm operating-company debt/equity appetite.</x:v>
      </x:c>
      <x:c r="S911" s="25"/>
      <x:c r="T911" s="25" t="str">
        <x:v>Ask the owner/investor whether they can allocate $100K-$500K to trial marketing and acquisitions, and confirm structure, timing and decision authority.</x:v>
      </x:c>
      <x:c r="U911" s="25" t="str">
        <x:v>https://www.cashhomebuyersdirectory.com/cash-home-buyers/pennsylvania/mohnton</x:v>
      </x:c>
      <x:c r="V911" s="26" t="d">
        <x:v>2026-10-02T00:00:00.000Z</x:v>
      </x:c>
      <x:c r="W911" s="26" t="d">
        <x:v>2026-10-02T00:00:00.000Z</x:v>
      </x:c>
      <x:c r="X911" s="25" t="str">
        <x:v>CashHomeBuyersDirectory third-party business listing; first-party business activity not checked in this batch</x:v>
      </x:c>
      <x:c r="Y911" s="25"/>
      <x:c r="Z911" s="25" t="str">
        <x:v>https://www.cashhomebuyersdirectory.com/cash-home-buyers/pennsylvania/mohnton</x:v>
      </x:c>
      <x:c r="AA911" s="25" t="str">
        <x:v>Public cash-home-buyer directory lists the business name, business phone/website where available and market. Operator role and corporate funding willingness require confirmation.</x:v>
      </x:c>
      <x:c r="AB911" s="3" t="str">
        <x:v>New public-source collection</x:v>
      </x:c>
      <x:c r="AC911" s="3" t="str">
        <x:v>unverified</x:v>
      </x:c>
      <x:c r="AD911" s="3" t="str">
        <x:v>Not contacted / unconfirmed</x:v>
      </x:c>
      <x:c r="AE911" s="3" t="str">
        <x:v>No</x:v>
      </x:c>
      <x:c r="AF911" s="3" t="str">
        <x:v>No</x:v>
      </x:c>
      <x:c r="AG911" s="3"/>
      <x:c r="AH911" s="3"/>
      <x:c r="AI911" s="18"/>
      <x:c r="AJ911" s="3" t="str">
        <x:v>CF2500-0628EFC381A5</x:v>
      </x:c>
      <x:c r="AK911" s="3" t="str">
        <x:v>real_estate_operator</x:v>
      </x:c>
      <x:c r="AL911" s="19" t="n">
        <x:v>100000</x:v>
      </x:c>
      <x:c r="AM911" s="19" t="n">
        <x:v>500000</x:v>
      </x:c>
      <x:c r="AN911" s="3" t="str">
        <x:v>https://www.cashhomebuyersdirectory.com/cash-home-buyers/pennsylvania/mohnton</x:v>
      </x:c>
      <x:c r="AO911" s="3" t="str">
        <x:v>national_rest_directory_complete.jsonl</x:v>
      </x:c>
      <x:c r="AP911" s="19"/>
    </x:row>
    <x:row r="912" ht="36" customHeight="1">
      <x:c r="A912" s="23" t="n">
        <x:v>911</x:v>
      </x:c>
      <x:c r="B912" s="15" t="str">
        <x:v>Bertucci Investment Group Cash Home Buyers</x:v>
      </x:c>
      <x:c r="C912" s="15"/>
      <x:c r="D912" s="15" t="str">
        <x:v>Property investor / home-buying operator</x:v>
      </x:c>
      <x:c r="E912" s="15" t="str">
        <x:v>Property investor / operator inquiry</x:v>
      </x:c>
      <x:c r="F912" s="17" t="str">
        <x:v>New</x:v>
      </x:c>
      <x:c r="G912" s="24"/>
      <x:c r="H912" s="24" t="str">
        <x:v>+15049204747</x:v>
      </x:c>
      <x:c r="I912" s="24" t="str">
        <x:v>https://www.bertucci-investments.com/</x:v>
      </x:c>
      <x:c r="J912" s="16" t="str">
        <x:v>LA</x:v>
      </x:c>
      <x:c r="K912" s="16" t="str">
        <x:v>New Orleans</x:v>
      </x:c>
      <x:c r="L912" s="16" t="str">
        <x:v>Public property-business route; investor decision maker unconfirmed</x:v>
      </x:c>
      <x:c r="M912" s="16" t="str">
        <x:v>https://www.bertucci-investments.com/</x:v>
      </x:c>
      <x:c r="N912" s="16" t="str">
        <x:v>$100K-$500K ticket not published / unconfirmed</x:v>
      </x:c>
      <x:c r="O912" s="20"/>
      <x:c r="P912" s="20"/>
      <x:c r="Q912" s="25" t="str">
        <x:v>No direct corporate-capital range established in checked source</x:v>
      </x:c>
      <x:c r="R912" s="25" t="str">
        <x:v>Property acquisition or investor activity makes this an operator-capital prospect for the signed trial. Confirm operating-company debt/equity appetite.</x:v>
      </x:c>
      <x:c r="S912" s="25"/>
      <x:c r="T912" s="25" t="str">
        <x:v>Ask the owner/investor whether they can allocate $100K-$500K to trial marketing and acquisitions, and confirm structure, timing and decision authority.</x:v>
      </x:c>
      <x:c r="U912" s="25" t="str">
        <x:v>https://www.cashhomebuyersdirectory.com/cash-home-buyers/louisiana/new-orleans</x:v>
      </x:c>
      <x:c r="V912" s="26" t="d">
        <x:v>2026-10-02T00:00:00.000Z</x:v>
      </x:c>
      <x:c r="W912" s="26" t="d">
        <x:v>2026-10-02T00:00:00.000Z</x:v>
      </x:c>
      <x:c r="X912" s="25" t="str">
        <x:v>CashHomeBuyersDirectory third-party business listing; first-party business activity not checked in this batch</x:v>
      </x:c>
      <x:c r="Y912" s="25"/>
      <x:c r="Z912" s="25" t="str">
        <x:v>https://www.cashhomebuyersdirectory.com/cash-home-buyers/louisiana/new-orleans</x:v>
      </x:c>
      <x:c r="AA912" s="25" t="str">
        <x:v>Public cash-home-buyer directory lists the business name, business phone/website where available and market. Operator role and corporate funding willingness require confirmation.</x:v>
      </x:c>
      <x:c r="AB912" s="3" t="str">
        <x:v>New public-source collection</x:v>
      </x:c>
      <x:c r="AC912" s="3" t="str">
        <x:v>unverified</x:v>
      </x:c>
      <x:c r="AD912" s="3" t="str">
        <x:v>Not contacted / unconfirmed</x:v>
      </x:c>
      <x:c r="AE912" s="3" t="str">
        <x:v>No</x:v>
      </x:c>
      <x:c r="AF912" s="3" t="str">
        <x:v>No</x:v>
      </x:c>
      <x:c r="AG912" s="3"/>
      <x:c r="AH912" s="3"/>
      <x:c r="AI912" s="18"/>
      <x:c r="AJ912" s="3" t="str">
        <x:v>CF2500-598E5086C277</x:v>
      </x:c>
      <x:c r="AK912" s="3" t="str">
        <x:v>real_estate_operator</x:v>
      </x:c>
      <x:c r="AL912" s="19" t="n">
        <x:v>100000</x:v>
      </x:c>
      <x:c r="AM912" s="19" t="n">
        <x:v>500000</x:v>
      </x:c>
      <x:c r="AN912" s="3" t="str">
        <x:v>https://www.cashhomebuyersdirectory.com/cash-home-buyers/louisiana/new-orleans</x:v>
      </x:c>
      <x:c r="AO912" s="3" t="str">
        <x:v>national_rest_directory_complete.jsonl</x:v>
      </x:c>
      <x:c r="AP912" s="19"/>
    </x:row>
    <x:row r="913" ht="36" customHeight="1">
      <x:c r="A913" s="23" t="n">
        <x:v>912</x:v>
      </x:c>
      <x:c r="B913" s="15" t="str">
        <x:v>Better Off Home Buyers</x:v>
      </x:c>
      <x:c r="C913" s="15"/>
      <x:c r="D913" s="15" t="str">
        <x:v>Property investor / home-buying operator</x:v>
      </x:c>
      <x:c r="E913" s="15" t="str">
        <x:v>Property investor / operator inquiry</x:v>
      </x:c>
      <x:c r="F913" s="17" t="str">
        <x:v>New</x:v>
      </x:c>
      <x:c r="G913" s="24"/>
      <x:c r="H913" s="24" t="str">
        <x:v>+18888270889</x:v>
      </x:c>
      <x:c r="I913" s="24" t="str">
        <x:v>https://www.betteroffhomebuyers.com/</x:v>
      </x:c>
      <x:c r="J913" s="16" t="str">
        <x:v>OR</x:v>
      </x:c>
      <x:c r="K913" s="16" t="str">
        <x:v>Portland</x:v>
      </x:c>
      <x:c r="L913" s="16" t="str">
        <x:v>Public property-business route; investor decision maker unconfirmed</x:v>
      </x:c>
      <x:c r="M913" s="16" t="str">
        <x:v>https://www.betteroffhomebuyers.com/</x:v>
      </x:c>
      <x:c r="N913" s="16" t="str">
        <x:v>$100K-$500K ticket not published / unconfirmed</x:v>
      </x:c>
      <x:c r="O913" s="20"/>
      <x:c r="P913" s="20"/>
      <x:c r="Q913" s="25" t="str">
        <x:v>No direct corporate-capital range established in checked source</x:v>
      </x:c>
      <x:c r="R913" s="25" t="str">
        <x:v>Property acquisition or investor activity makes this an operator-capital prospect for the signed trial. Confirm operating-company debt/equity appetite.</x:v>
      </x:c>
      <x:c r="S913" s="25"/>
      <x:c r="T913" s="25" t="str">
        <x:v>Ask the owner/investor whether they can allocate $100K-$500K to trial marketing and acquisitions, and confirm structure, timing and decision authority.</x:v>
      </x:c>
      <x:c r="U913" s="25" t="str">
        <x:v>https://www.cashhomebuyersdirectory.com/cash-home-buyers/oregon/portland</x:v>
      </x:c>
      <x:c r="V913" s="26" t="d">
        <x:v>2026-10-02T00:00:00.000Z</x:v>
      </x:c>
      <x:c r="W913" s="26" t="d">
        <x:v>2026-10-02T00:00:00.000Z</x:v>
      </x:c>
      <x:c r="X913" s="25" t="str">
        <x:v>CashHomeBuyersDirectory third-party business listing; first-party business activity not checked in this batch</x:v>
      </x:c>
      <x:c r="Y913" s="25"/>
      <x:c r="Z913" s="25" t="str">
        <x:v>https://www.cashhomebuyersdirectory.com/cash-home-buyers/oregon/portland</x:v>
      </x:c>
      <x:c r="AA913" s="25" t="str">
        <x:v>Public cash-home-buyer directory lists the business name, business phone/website where available and market. Operator role and corporate funding willingness require confirmation.</x:v>
      </x:c>
      <x:c r="AB913" s="3" t="str">
        <x:v>New public-source collection</x:v>
      </x:c>
      <x:c r="AC913" s="3" t="str">
        <x:v>unverified</x:v>
      </x:c>
      <x:c r="AD913" s="3" t="str">
        <x:v>Not contacted / unconfirmed</x:v>
      </x:c>
      <x:c r="AE913" s="3" t="str">
        <x:v>No</x:v>
      </x:c>
      <x:c r="AF913" s="3" t="str">
        <x:v>No</x:v>
      </x:c>
      <x:c r="AG913" s="3"/>
      <x:c r="AH913" s="3"/>
      <x:c r="AI913" s="18"/>
      <x:c r="AJ913" s="3" t="str">
        <x:v>CF2500-5651D67F6586</x:v>
      </x:c>
      <x:c r="AK913" s="3" t="str">
        <x:v>real_estate_operator</x:v>
      </x:c>
      <x:c r="AL913" s="19" t="n">
        <x:v>100000</x:v>
      </x:c>
      <x:c r="AM913" s="19" t="n">
        <x:v>500000</x:v>
      </x:c>
      <x:c r="AN913" s="3" t="str">
        <x:v>https://www.cashhomebuyersdirectory.com/cash-home-buyers/oregon/portland</x:v>
      </x:c>
      <x:c r="AO913" s="3" t="str">
        <x:v>national_rest_directory_complete.jsonl</x:v>
      </x:c>
      <x:c r="AP913" s="19"/>
    </x:row>
    <x:row r="914" ht="36" customHeight="1">
      <x:c r="A914" s="23" t="n">
        <x:v>913</x:v>
      </x:c>
      <x:c r="B914" s="15" t="str">
        <x:v>Bev and Tom Buy Houses</x:v>
      </x:c>
      <x:c r="C914" s="15"/>
      <x:c r="D914" s="15" t="str">
        <x:v>Property investor / home-buying operator</x:v>
      </x:c>
      <x:c r="E914" s="15" t="str">
        <x:v>Property investor / operator inquiry</x:v>
      </x:c>
      <x:c r="F914" s="17" t="str">
        <x:v>New</x:v>
      </x:c>
      <x:c r="G914" s="24"/>
      <x:c r="H914" s="24" t="str">
        <x:v>+16106088006</x:v>
      </x:c>
      <x:c r="I914" s="24" t="str">
        <x:v>http://www.bevandtombuyhouses.com/</x:v>
      </x:c>
      <x:c r="J914" s="16" t="str">
        <x:v>PA</x:v>
      </x:c>
      <x:c r="K914" s="16" t="str">
        <x:v>Douglassville</x:v>
      </x:c>
      <x:c r="L914" s="16" t="str">
        <x:v>Public property-business route; investor decision maker unconfirmed</x:v>
      </x:c>
      <x:c r="M914" s="16" t="str">
        <x:v>http://www.bevandtombuyhouses.com/</x:v>
      </x:c>
      <x:c r="N914" s="16" t="str">
        <x:v>$100K-$500K ticket not published / unconfirmed</x:v>
      </x:c>
      <x:c r="O914" s="20"/>
      <x:c r="P914" s="20"/>
      <x:c r="Q914" s="25" t="str">
        <x:v>No direct corporate-capital range established in checked source</x:v>
      </x:c>
      <x:c r="R914" s="25" t="str">
        <x:v>Property acquisition or investor activity makes this an operator-capital prospect for the signed trial. Confirm operating-company debt/equity appetite.</x:v>
      </x:c>
      <x:c r="S914" s="25"/>
      <x:c r="T914" s="25" t="str">
        <x:v>Ask the owner/investor whether they can allocate $100K-$500K to trial marketing and acquisitions, and confirm structure, timing and decision authority.</x:v>
      </x:c>
      <x:c r="U914" s="25" t="str">
        <x:v>https://www.cashhomebuyersdirectory.com/cash-home-buyers/pennsylvania/douglassville</x:v>
      </x:c>
      <x:c r="V914" s="26" t="d">
        <x:v>2026-10-02T00:00:00.000Z</x:v>
      </x:c>
      <x:c r="W914" s="26" t="d">
        <x:v>2026-10-02T00:00:00.000Z</x:v>
      </x:c>
      <x:c r="X914" s="25" t="str">
        <x:v>CashHomeBuyersDirectory third-party business listing; first-party business activity not checked in this batch</x:v>
      </x:c>
      <x:c r="Y914" s="25"/>
      <x:c r="Z914" s="25" t="str">
        <x:v>https://www.cashhomebuyersdirectory.com/cash-home-buyers/pennsylvania/douglassville</x:v>
      </x:c>
      <x:c r="AA914" s="25" t="str">
        <x:v>Public cash-home-buyer directory lists the business name, business phone/website where available and market. Operator role and corporate funding willingness require confirmation.</x:v>
      </x:c>
      <x:c r="AB914" s="3" t="str">
        <x:v>New public-source collection</x:v>
      </x:c>
      <x:c r="AC914" s="3" t="str">
        <x:v>unverified</x:v>
      </x:c>
      <x:c r="AD914" s="3" t="str">
        <x:v>Not contacted / unconfirmed</x:v>
      </x:c>
      <x:c r="AE914" s="3" t="str">
        <x:v>No</x:v>
      </x:c>
      <x:c r="AF914" s="3" t="str">
        <x:v>No</x:v>
      </x:c>
      <x:c r="AG914" s="3"/>
      <x:c r="AH914" s="3"/>
      <x:c r="AI914" s="18"/>
      <x:c r="AJ914" s="3" t="str">
        <x:v>CF2500-C4250F48929D</x:v>
      </x:c>
      <x:c r="AK914" s="3" t="str">
        <x:v>real_estate_operator</x:v>
      </x:c>
      <x:c r="AL914" s="19" t="n">
        <x:v>100000</x:v>
      </x:c>
      <x:c r="AM914" s="19" t="n">
        <x:v>500000</x:v>
      </x:c>
      <x:c r="AN914" s="3" t="str">
        <x:v>https://www.cashhomebuyersdirectory.com/cash-home-buyers/pennsylvania/douglassville</x:v>
      </x:c>
      <x:c r="AO914" s="3" t="str">
        <x:v>national_rest_directory_complete.jsonl</x:v>
      </x:c>
      <x:c r="AP914" s="19"/>
    </x:row>
    <x:row r="915" ht="36" customHeight="1">
      <x:c r="A915" s="23" t="n">
        <x:v>914</x:v>
      </x:c>
      <x:c r="B915" s="15" t="str">
        <x:v>BHI Home Buyers</x:v>
      </x:c>
      <x:c r="C915" s="15"/>
      <x:c r="D915" s="15" t="str">
        <x:v>Property investor / home-buying operator</x:v>
      </x:c>
      <x:c r="E915" s="15" t="str">
        <x:v>Property investor / operator inquiry</x:v>
      </x:c>
      <x:c r="F915" s="17" t="str">
        <x:v>New</x:v>
      </x:c>
      <x:c r="G915" s="24"/>
      <x:c r="H915" s="24" t="str">
        <x:v>+19379071319</x:v>
      </x:c>
      <x:c r="I915" s="24" t="str">
        <x:v>https://www.bhihomebuyers.com/</x:v>
      </x:c>
      <x:c r="J915" s="16" t="str">
        <x:v>OH</x:v>
      </x:c>
      <x:c r="K915" s="16" t="str">
        <x:v>Beavercreek</x:v>
      </x:c>
      <x:c r="L915" s="16" t="str">
        <x:v>Public property-business route; investor decision maker unconfirmed</x:v>
      </x:c>
      <x:c r="M915" s="16" t="str">
        <x:v>https://www.bhihomebuyers.com/</x:v>
      </x:c>
      <x:c r="N915" s="16" t="str">
        <x:v>$100K-$500K ticket not published / unconfirmed</x:v>
      </x:c>
      <x:c r="O915" s="20"/>
      <x:c r="P915" s="20"/>
      <x:c r="Q915" s="25" t="str">
        <x:v>No direct corporate-capital range established in checked source</x:v>
      </x:c>
      <x:c r="R915" s="25" t="str">
        <x:v>Property acquisition or investor activity makes this an operator-capital prospect for the signed trial. Confirm operating-company debt/equity appetite.</x:v>
      </x:c>
      <x:c r="S915" s="25"/>
      <x:c r="T915" s="25" t="str">
        <x:v>Ask the owner/investor whether they can allocate $100K-$500K to trial marketing and acquisitions, and confirm structure, timing and decision authority.</x:v>
      </x:c>
      <x:c r="U915" s="25" t="str">
        <x:v>https://www.cashhomebuyersdirectory.com/cash-home-buyers/ohio/beavercreek</x:v>
      </x:c>
      <x:c r="V915" s="26" t="d">
        <x:v>2026-10-02T00:00:00.000Z</x:v>
      </x:c>
      <x:c r="W915" s="26" t="d">
        <x:v>2026-10-02T00:00:00.000Z</x:v>
      </x:c>
      <x:c r="X915" s="25" t="str">
        <x:v>CashHomeBuyersDirectory third-party business listing; first-party business activity not checked in this batch</x:v>
      </x:c>
      <x:c r="Y915" s="25"/>
      <x:c r="Z915" s="25" t="str">
        <x:v>https://www.cashhomebuyersdirectory.com/cash-home-buyers/ohio/beavercreek</x:v>
      </x:c>
      <x:c r="AA915" s="25" t="str">
        <x:v>Public cash-home-buyer directory lists the business name, business phone/website where available and market. Operator role and corporate funding willingness require confirmation.</x:v>
      </x:c>
      <x:c r="AB915" s="3" t="str">
        <x:v>New public-source collection</x:v>
      </x:c>
      <x:c r="AC915" s="3" t="str">
        <x:v>unverified</x:v>
      </x:c>
      <x:c r="AD915" s="3" t="str">
        <x:v>Not contacted / unconfirmed</x:v>
      </x:c>
      <x:c r="AE915" s="3" t="str">
        <x:v>No</x:v>
      </x:c>
      <x:c r="AF915" s="3" t="str">
        <x:v>No</x:v>
      </x:c>
      <x:c r="AG915" s="3"/>
      <x:c r="AH915" s="3"/>
      <x:c r="AI915" s="18"/>
      <x:c r="AJ915" s="3" t="str">
        <x:v>CF2500-B1B80867F9B4</x:v>
      </x:c>
      <x:c r="AK915" s="3" t="str">
        <x:v>real_estate_operator</x:v>
      </x:c>
      <x:c r="AL915" s="19" t="n">
        <x:v>100000</x:v>
      </x:c>
      <x:c r="AM915" s="19" t="n">
        <x:v>500000</x:v>
      </x:c>
      <x:c r="AN915" s="3" t="str">
        <x:v>https://www.cashhomebuyersdirectory.com/cash-home-buyers/ohio/beavercreek</x:v>
      </x:c>
      <x:c r="AO915" s="3" t="str">
        <x:v>national_rest_directory_complete.jsonl</x:v>
      </x:c>
      <x:c r="AP915" s="19"/>
    </x:row>
    <x:row r="916" ht="36" customHeight="1">
      <x:c r="A916" s="23" t="n">
        <x:v>915</x:v>
      </x:c>
      <x:c r="B916" s="15" t="str">
        <x:v>Big Bear Homebuyers</x:v>
      </x:c>
      <x:c r="C916" s="15"/>
      <x:c r="D916" s="15" t="str">
        <x:v>Property investor / home-buying operator</x:v>
      </x:c>
      <x:c r="E916" s="15" t="str">
        <x:v>Property investor / operator inquiry</x:v>
      </x:c>
      <x:c r="F916" s="17" t="str">
        <x:v>New</x:v>
      </x:c>
      <x:c r="G916" s="24"/>
      <x:c r="H916" s="24" t="str">
        <x:v>+17273530505</x:v>
      </x:c>
      <x:c r="I916" s="24" t="str">
        <x:v>http://bigbearhomebuyers.com/</x:v>
      </x:c>
      <x:c r="J916" s="16" t="str">
        <x:v>NJ</x:v>
      </x:c>
      <x:c r="K916" s="16"/>
      <x:c r="L916" s="16" t="str">
        <x:v>Public property-business route; investor decision maker unconfirmed</x:v>
      </x:c>
      <x:c r="M916" s="16" t="str">
        <x:v>http://bigbearhomebuyers.com/</x:v>
      </x:c>
      <x:c r="N916" s="16" t="str">
        <x:v>$100K-$500K ticket not published / unconfirmed</x:v>
      </x:c>
      <x:c r="O916" s="20"/>
      <x:c r="P916" s="20"/>
      <x:c r="Q916" s="25" t="str">
        <x:v>No direct corporate-capital range established in checked source</x:v>
      </x:c>
      <x:c r="R916" s="25" t="str">
        <x:v>Property acquisition or investor activity makes this an operator-capital prospect for the signed trial. Confirm operating-company debt/equity appetite.</x:v>
      </x:c>
      <x:c r="S916" s="25"/>
      <x:c r="T916" s="25" t="str">
        <x:v>Ask the owner/investor whether they can allocate $100K-$500K to trial marketing and acquisitions, and confirm structure, timing and decision authority.</x:v>
      </x:c>
      <x:c r="U916" s="25" t="str">
        <x:v>https://www.cashhomebuyersdirectory.com/cash-home-buyers/new-jersey/jersey-city</x:v>
      </x:c>
      <x:c r="V916" s="26" t="d">
        <x:v>2026-10-02T00:00:00.000Z</x:v>
      </x:c>
      <x:c r="W916" s="26" t="d">
        <x:v>2026-10-02T00:00:00.000Z</x:v>
      </x:c>
      <x:c r="X916" s="25" t="str">
        <x:v>CashHomeBuyersDirectory third-party business listing; first-party business activity not checked in this batch</x:v>
      </x:c>
      <x:c r="Y916" s="25"/>
      <x:c r="Z916" s="25" t="str">
        <x:v>https://www.cashhomebuyersdirectory.com/cash-home-buyers/new-jersey/jersey-city</x:v>
      </x:c>
      <x:c r="AA916" s="25" t="str">
        <x:v>Public cash-home-buyer directory lists the business name, business phone/website where available and market. Operator role and corporate funding willingness require confirmation.</x:v>
      </x:c>
      <x:c r="AB916" s="3" t="str">
        <x:v>New public-source collection</x:v>
      </x:c>
      <x:c r="AC916" s="3" t="str">
        <x:v>unverified</x:v>
      </x:c>
      <x:c r="AD916" s="3" t="str">
        <x:v>Not contacted / unconfirmed</x:v>
      </x:c>
      <x:c r="AE916" s="3" t="str">
        <x:v>No</x:v>
      </x:c>
      <x:c r="AF916" s="3" t="str">
        <x:v>No</x:v>
      </x:c>
      <x:c r="AG916" s="3"/>
      <x:c r="AH916" s="3"/>
      <x:c r="AI916" s="18"/>
      <x:c r="AJ916" s="3" t="str">
        <x:v>CF2500-48CB1701A04E</x:v>
      </x:c>
      <x:c r="AK916" s="3" t="str">
        <x:v>real_estate_operator</x:v>
      </x:c>
      <x:c r="AL916" s="19" t="n">
        <x:v>100000</x:v>
      </x:c>
      <x:c r="AM916" s="19" t="n">
        <x:v>500000</x:v>
      </x:c>
      <x:c r="AN916" s="3" t="str">
        <x:v>https://www.cashhomebuyersdirectory.com/cash-home-buyers/new-jersey/jersey-city</x:v>
      </x:c>
      <x:c r="AO916" s="3" t="str">
        <x:v>national_rest_directory_complete.jsonl</x:v>
      </x:c>
      <x:c r="AP916" s="19"/>
    </x:row>
    <x:row r="917" ht="36" customHeight="1">
      <x:c r="A917" s="23" t="n">
        <x:v>916</x:v>
      </x:c>
      <x:c r="B917" s="15" t="str">
        <x:v>Big Bull Buyers | Home Buyers</x:v>
      </x:c>
      <x:c r="C917" s="15"/>
      <x:c r="D917" s="15" t="str">
        <x:v>Property investor / home-buying operator</x:v>
      </x:c>
      <x:c r="E917" s="15" t="str">
        <x:v>Property investor / operator inquiry</x:v>
      </x:c>
      <x:c r="F917" s="17" t="str">
        <x:v>New</x:v>
      </x:c>
      <x:c r="G917" s="24"/>
      <x:c r="H917" s="24" t="str">
        <x:v>+12066357464</x:v>
      </x:c>
      <x:c r="I917" s="24" t="str">
        <x:v>https://www.bighornbuyers.com/</x:v>
      </x:c>
      <x:c r="J917" s="16" t="str">
        <x:v>WA</x:v>
      </x:c>
      <x:c r="K917" s="16" t="str">
        <x:v>Seattle</x:v>
      </x:c>
      <x:c r="L917" s="16" t="str">
        <x:v>Public property-business route; investor decision maker unconfirmed</x:v>
      </x:c>
      <x:c r="M917" s="16" t="str">
        <x:v>https://www.bighornbuyers.com/</x:v>
      </x:c>
      <x:c r="N917" s="16" t="str">
        <x:v>$100K-$500K ticket not published / unconfirmed</x:v>
      </x:c>
      <x:c r="O917" s="20"/>
      <x:c r="P917" s="20"/>
      <x:c r="Q917" s="25" t="str">
        <x:v>No direct corporate-capital range established in checked source</x:v>
      </x:c>
      <x:c r="R917" s="25" t="str">
        <x:v>Property acquisition or investor activity makes this an operator-capital prospect for the signed trial. Confirm operating-company debt/equity appetite.</x:v>
      </x:c>
      <x:c r="S917" s="25"/>
      <x:c r="T917" s="25" t="str">
        <x:v>Ask the owner/investor whether they can allocate $100K-$500K to trial marketing and acquisitions, and confirm structure, timing and decision authority.</x:v>
      </x:c>
      <x:c r="U917" s="25" t="str">
        <x:v>https://www.cashhomebuyersdirectory.com/cash-home-buyers/washington/seattle</x:v>
      </x:c>
      <x:c r="V917" s="26" t="d">
        <x:v>2026-10-02T00:00:00.000Z</x:v>
      </x:c>
      <x:c r="W917" s="26" t="d">
        <x:v>2026-10-02T00:00:00.000Z</x:v>
      </x:c>
      <x:c r="X917" s="25" t="str">
        <x:v>CashHomeBuyersDirectory third-party business listing; first-party business activity not checked in this batch</x:v>
      </x:c>
      <x:c r="Y917" s="25"/>
      <x:c r="Z917" s="25" t="str">
        <x:v>https://www.cashhomebuyersdirectory.com/cash-home-buyers/washington/seattle</x:v>
      </x:c>
      <x:c r="AA917" s="25" t="str">
        <x:v>Public cash-home-buyer directory lists the business name, business phone/website where available and market. Operator role and corporate funding willingness require confirmation.</x:v>
      </x:c>
      <x:c r="AB917" s="3" t="str">
        <x:v>New public-source collection</x:v>
      </x:c>
      <x:c r="AC917" s="3" t="str">
        <x:v>unverified</x:v>
      </x:c>
      <x:c r="AD917" s="3" t="str">
        <x:v>Not contacted / unconfirmed</x:v>
      </x:c>
      <x:c r="AE917" s="3" t="str">
        <x:v>No</x:v>
      </x:c>
      <x:c r="AF917" s="3" t="str">
        <x:v>No</x:v>
      </x:c>
      <x:c r="AG917" s="3"/>
      <x:c r="AH917" s="3"/>
      <x:c r="AI917" s="18"/>
      <x:c r="AJ917" s="3" t="str">
        <x:v>CF2500-6FA09EEDE1FB</x:v>
      </x:c>
      <x:c r="AK917" s="3" t="str">
        <x:v>real_estate_operator</x:v>
      </x:c>
      <x:c r="AL917" s="19" t="n">
        <x:v>100000</x:v>
      </x:c>
      <x:c r="AM917" s="19" t="n">
        <x:v>500000</x:v>
      </x:c>
      <x:c r="AN917" s="3" t="str">
        <x:v>https://www.cashhomebuyersdirectory.com/cash-home-buyers/washington/seattle</x:v>
      </x:c>
      <x:c r="AO917" s="3" t="str">
        <x:v>national_rest_directory_complete.jsonl</x:v>
      </x:c>
      <x:c r="AP917" s="19"/>
    </x:row>
    <x:row r="918" ht="36" customHeight="1">
      <x:c r="A918" s="23" t="n">
        <x:v>917</x:v>
      </x:c>
      <x:c r="B918" s="15" t="str">
        <x:v>Big Easy Home Buyer</x:v>
      </x:c>
      <x:c r="C918" s="15"/>
      <x:c r="D918" s="15" t="str">
        <x:v>Property investor / home-buying operator</x:v>
      </x:c>
      <x:c r="E918" s="15" t="str">
        <x:v>Property investor / operator inquiry</x:v>
      </x:c>
      <x:c r="F918" s="17" t="str">
        <x:v>New</x:v>
      </x:c>
      <x:c r="G918" s="24"/>
      <x:c r="H918" s="24" t="str">
        <x:v>+15042901221</x:v>
      </x:c>
      <x:c r="I918" s="24" t="str">
        <x:v>https://bigeasyhomebuyer.com/</x:v>
      </x:c>
      <x:c r="J918" s="16" t="str">
        <x:v>LA</x:v>
      </x:c>
      <x:c r="K918" s="16"/>
      <x:c r="L918" s="16" t="str">
        <x:v>Public property-business route; investor decision maker unconfirmed</x:v>
      </x:c>
      <x:c r="M918" s="16" t="str">
        <x:v>https://bigeasyhomebuyer.com/</x:v>
      </x:c>
      <x:c r="N918" s="16" t="str">
        <x:v>$100K-$500K ticket not published / unconfirmed</x:v>
      </x:c>
      <x:c r="O918" s="20"/>
      <x:c r="P918" s="20"/>
      <x:c r="Q918" s="25" t="str">
        <x:v>No direct corporate-capital range established in checked source</x:v>
      </x:c>
      <x:c r="R918" s="25" t="str">
        <x:v>Property acquisition or investor activity makes this an operator-capital prospect for the signed trial. Confirm operating-company debt/equity appetite.</x:v>
      </x:c>
      <x:c r="S918" s="25"/>
      <x:c r="T918" s="25" t="str">
        <x:v>Ask the owner/investor whether they can allocate $100K-$500K to trial marketing and acquisitions, and confirm structure, timing and decision authority.</x:v>
      </x:c>
      <x:c r="U918" s="25" t="str">
        <x:v>https://www.cashhomebuyersdirectory.com/cash-home-buyers/louisiana/new-orleans</x:v>
      </x:c>
      <x:c r="V918" s="26" t="d">
        <x:v>2026-10-02T00:00:00.000Z</x:v>
      </x:c>
      <x:c r="W918" s="26" t="d">
        <x:v>2026-10-02T00:00:00.000Z</x:v>
      </x:c>
      <x:c r="X918" s="25" t="str">
        <x:v>CashHomeBuyersDirectory third-party business listing; first-party business activity not checked in this batch</x:v>
      </x:c>
      <x:c r="Y918" s="25"/>
      <x:c r="Z918" s="25" t="str">
        <x:v>https://www.cashhomebuyersdirectory.com/cash-home-buyers/louisiana/new-orleans</x:v>
      </x:c>
      <x:c r="AA918" s="25" t="str">
        <x:v>Public cash-home-buyer directory lists the business name, business phone/website where available and market. Operator role and corporate funding willingness require confirmation.</x:v>
      </x:c>
      <x:c r="AB918" s="3" t="str">
        <x:v>New public-source collection</x:v>
      </x:c>
      <x:c r="AC918" s="3" t="str">
        <x:v>unverified</x:v>
      </x:c>
      <x:c r="AD918" s="3" t="str">
        <x:v>Not contacted / unconfirmed</x:v>
      </x:c>
      <x:c r="AE918" s="3" t="str">
        <x:v>No</x:v>
      </x:c>
      <x:c r="AF918" s="3" t="str">
        <x:v>No</x:v>
      </x:c>
      <x:c r="AG918" s="3"/>
      <x:c r="AH918" s="3"/>
      <x:c r="AI918" s="18"/>
      <x:c r="AJ918" s="3" t="str">
        <x:v>CF2500-46E5B2A05316</x:v>
      </x:c>
      <x:c r="AK918" s="3" t="str">
        <x:v>real_estate_operator</x:v>
      </x:c>
      <x:c r="AL918" s="19" t="n">
        <x:v>100000</x:v>
      </x:c>
      <x:c r="AM918" s="19" t="n">
        <x:v>500000</x:v>
      </x:c>
      <x:c r="AN918" s="3" t="str">
        <x:v>https://www.cashhomebuyersdirectory.com/cash-home-buyers/louisiana/new-orleans</x:v>
      </x:c>
      <x:c r="AO918" s="3" t="str">
        <x:v>national_rest_directory_complete.jsonl</x:v>
      </x:c>
      <x:c r="AP918" s="19"/>
    </x:row>
    <x:row r="919" ht="36" customHeight="1">
      <x:c r="A919" s="23" t="n">
        <x:v>918</x:v>
      </x:c>
      <x:c r="B919" s="15" t="str">
        <x:v>Big Lick Home Buyers, LLC</x:v>
      </x:c>
      <x:c r="C919" s="15"/>
      <x:c r="D919" s="15" t="str">
        <x:v>Property investor / home-buying operator</x:v>
      </x:c>
      <x:c r="E919" s="15" t="str">
        <x:v>Property investor / operator inquiry</x:v>
      </x:c>
      <x:c r="F919" s="17" t="str">
        <x:v>New</x:v>
      </x:c>
      <x:c r="G919" s="24"/>
      <x:c r="H919" s="24" t="str">
        <x:v>+15402512131</x:v>
      </x:c>
      <x:c r="I919" s="24" t="str">
        <x:v>https://www.biglickhomebuyers.com/?UTM_source=GBP_Listing&amp;UTM_medium=Organic</x:v>
      </x:c>
      <x:c r="J919" s="16" t="str">
        <x:v>VA</x:v>
      </x:c>
      <x:c r="K919" s="16" t="str">
        <x:v>Roanoke</x:v>
      </x:c>
      <x:c r="L919" s="16" t="str">
        <x:v>Public property-business route; investor decision maker unconfirmed</x:v>
      </x:c>
      <x:c r="M919" s="16" t="str">
        <x:v>https://www.biglickhomebuyers.com/?UTM_source=GBP_Listing&amp;UTM_medium=Organic</x:v>
      </x:c>
      <x:c r="N919" s="16" t="str">
        <x:v>$100K-$500K ticket not published / unconfirmed</x:v>
      </x:c>
      <x:c r="O919" s="20"/>
      <x:c r="P919" s="20"/>
      <x:c r="Q919" s="25" t="str">
        <x:v>No direct corporate-capital range established in checked source</x:v>
      </x:c>
      <x:c r="R919" s="25" t="str">
        <x:v>Property acquisition or investor activity makes this an operator-capital prospect for the signed trial. Confirm operating-company debt/equity appetite.</x:v>
      </x:c>
      <x:c r="S919" s="25"/>
      <x:c r="T919" s="25" t="str">
        <x:v>Ask the owner/investor whether they can allocate $100K-$500K to trial marketing and acquisitions, and confirm structure, timing and decision authority.</x:v>
      </x:c>
      <x:c r="U919" s="25" t="str">
        <x:v>https://www.cashhomebuyersdirectory.com/cash-home-buyers/virginia/roanoke</x:v>
      </x:c>
      <x:c r="V919" s="26" t="d">
        <x:v>2026-10-02T00:00:00.000Z</x:v>
      </x:c>
      <x:c r="W919" s="26" t="d">
        <x:v>2026-10-02T00:00:00.000Z</x:v>
      </x:c>
      <x:c r="X919" s="25" t="str">
        <x:v>CashHomeBuyersDirectory third-party business listing; first-party business activity not checked in this batch</x:v>
      </x:c>
      <x:c r="Y919" s="25"/>
      <x:c r="Z919" s="25" t="str">
        <x:v>https://www.cashhomebuyersdirectory.com/cash-home-buyers/virginia/roanoke</x:v>
      </x:c>
      <x:c r="AA919" s="25" t="str">
        <x:v>Public cash-home-buyer directory lists the business name, business phone/website where available and market. Operator role and corporate funding willingness require confirmation.</x:v>
      </x:c>
      <x:c r="AB919" s="3" t="str">
        <x:v>New public-source collection</x:v>
      </x:c>
      <x:c r="AC919" s="3" t="str">
        <x:v>unverified</x:v>
      </x:c>
      <x:c r="AD919" s="3" t="str">
        <x:v>Not contacted / unconfirmed</x:v>
      </x:c>
      <x:c r="AE919" s="3" t="str">
        <x:v>No</x:v>
      </x:c>
      <x:c r="AF919" s="3" t="str">
        <x:v>No</x:v>
      </x:c>
      <x:c r="AG919" s="3"/>
      <x:c r="AH919" s="3"/>
      <x:c r="AI919" s="18"/>
      <x:c r="AJ919" s="3" t="str">
        <x:v>CF2500-85AFAEF1E4A0</x:v>
      </x:c>
      <x:c r="AK919" s="3" t="str">
        <x:v>real_estate_operator</x:v>
      </x:c>
      <x:c r="AL919" s="19" t="n">
        <x:v>100000</x:v>
      </x:c>
      <x:c r="AM919" s="19" t="n">
        <x:v>500000</x:v>
      </x:c>
      <x:c r="AN919" s="3" t="str">
        <x:v>https://www.cashhomebuyersdirectory.com/cash-home-buyers/virginia/roanoke</x:v>
      </x:c>
      <x:c r="AO919" s="3" t="str">
        <x:v>national_rest_directory_complete.jsonl</x:v>
      </x:c>
      <x:c r="AP919" s="19"/>
    </x:row>
    <x:row r="920" ht="36" customHeight="1">
      <x:c r="A920" s="23" t="n">
        <x:v>919</x:v>
      </x:c>
      <x:c r="B920" s="15" t="str">
        <x:v>Big Sky Homebuyers</x:v>
      </x:c>
      <x:c r="C920" s="15"/>
      <x:c r="D920" s="15" t="str">
        <x:v>Property investor / home-buying operator</x:v>
      </x:c>
      <x:c r="E920" s="15" t="str">
        <x:v>Property investor / operator inquiry</x:v>
      </x:c>
      <x:c r="F920" s="17" t="str">
        <x:v>New</x:v>
      </x:c>
      <x:c r="G920" s="24"/>
      <x:c r="H920" s="24" t="str">
        <x:v>+14065085373</x:v>
      </x:c>
      <x:c r="I920" s="24" t="str">
        <x:v>https://bigskyhomebuyer.com/</x:v>
      </x:c>
      <x:c r="J920" s="16" t="str">
        <x:v>MT</x:v>
      </x:c>
      <x:c r="K920" s="16"/>
      <x:c r="L920" s="16" t="str">
        <x:v>Public property-business route; investor decision maker unconfirmed</x:v>
      </x:c>
      <x:c r="M920" s="16" t="str">
        <x:v>https://bigskyhomebuyer.com/</x:v>
      </x:c>
      <x:c r="N920" s="16" t="str">
        <x:v>$100K-$500K ticket not published / unconfirmed</x:v>
      </x:c>
      <x:c r="O920" s="20"/>
      <x:c r="P920" s="20"/>
      <x:c r="Q920" s="25" t="str">
        <x:v>No direct corporate-capital range established in checked source</x:v>
      </x:c>
      <x:c r="R920" s="25" t="str">
        <x:v>Property acquisition or investor activity makes this an operator-capital prospect for the signed trial. Confirm operating-company debt/equity appetite.</x:v>
      </x:c>
      <x:c r="S920" s="25"/>
      <x:c r="T920" s="25" t="str">
        <x:v>Ask the owner/investor whether they can allocate $100K-$500K to trial marketing and acquisitions, and confirm structure, timing and decision authority.</x:v>
      </x:c>
      <x:c r="U920" s="25" t="str">
        <x:v>https://www.cashhomebuyersdirectory.com/cash-home-buyers/montana/billings</x:v>
      </x:c>
      <x:c r="V920" s="26" t="d">
        <x:v>2026-10-02T00:00:00.000Z</x:v>
      </x:c>
      <x:c r="W920" s="26" t="d">
        <x:v>2026-10-02T00:00:00.000Z</x:v>
      </x:c>
      <x:c r="X920" s="25" t="str">
        <x:v>CashHomeBuyersDirectory third-party business listing; first-party business activity not checked in this batch</x:v>
      </x:c>
      <x:c r="Y920" s="25"/>
      <x:c r="Z920" s="25" t="str">
        <x:v>https://www.cashhomebuyersdirectory.com/cash-home-buyers/montana/billings</x:v>
      </x:c>
      <x:c r="AA920" s="25" t="str">
        <x:v>Public cash-home-buyer directory lists the business name, business phone/website where available and market. Operator role and corporate funding willingness require confirmation.</x:v>
      </x:c>
      <x:c r="AB920" s="3" t="str">
        <x:v>New public-source collection</x:v>
      </x:c>
      <x:c r="AC920" s="3" t="str">
        <x:v>unverified</x:v>
      </x:c>
      <x:c r="AD920" s="3" t="str">
        <x:v>Not contacted / unconfirmed</x:v>
      </x:c>
      <x:c r="AE920" s="3" t="str">
        <x:v>No</x:v>
      </x:c>
      <x:c r="AF920" s="3" t="str">
        <x:v>No</x:v>
      </x:c>
      <x:c r="AG920" s="3"/>
      <x:c r="AH920" s="3"/>
      <x:c r="AI920" s="18"/>
      <x:c r="AJ920" s="3" t="str">
        <x:v>CF2500-BB2A876DC4E1</x:v>
      </x:c>
      <x:c r="AK920" s="3" t="str">
        <x:v>real_estate_operator</x:v>
      </x:c>
      <x:c r="AL920" s="19" t="n">
        <x:v>100000</x:v>
      </x:c>
      <x:c r="AM920" s="19" t="n">
        <x:v>500000</x:v>
      </x:c>
      <x:c r="AN920" s="3" t="str">
        <x:v>https://www.cashhomebuyersdirectory.com/cash-home-buyers/montana/billings</x:v>
      </x:c>
      <x:c r="AO920" s="3" t="str">
        <x:v>national_rest_directory_complete.jsonl</x:v>
      </x:c>
      <x:c r="AP920" s="19"/>
    </x:row>
    <x:row r="921" ht="36" customHeight="1">
      <x:c r="A921" s="23" t="n">
        <x:v>920</x:v>
      </x:c>
      <x:c r="B921" s="15" t="str">
        <x:v>Billings Homebuyers</x:v>
      </x:c>
      <x:c r="C921" s="15"/>
      <x:c r="D921" s="15" t="str">
        <x:v>Property investor / home-buying operator</x:v>
      </x:c>
      <x:c r="E921" s="15" t="str">
        <x:v>Property investor / operator inquiry</x:v>
      </x:c>
      <x:c r="F921" s="17" t="str">
        <x:v>New</x:v>
      </x:c>
      <x:c r="G921" s="24"/>
      <x:c r="H921" s="24" t="str">
        <x:v>+14068614229</x:v>
      </x:c>
      <x:c r="I921" s="24" t="str">
        <x:v>https://www.billingshomebuyers.com/?UTM_source=GBP_Listing&amp;UTM_medium=Organic</x:v>
      </x:c>
      <x:c r="J921" s="16" t="str">
        <x:v>MT</x:v>
      </x:c>
      <x:c r="K921" s="16" t="str">
        <x:v>Billings</x:v>
      </x:c>
      <x:c r="L921" s="16" t="str">
        <x:v>Public property-business route; investor decision maker unconfirmed</x:v>
      </x:c>
      <x:c r="M921" s="16" t="str">
        <x:v>https://www.billingshomebuyers.com/?UTM_source=GBP_Listing&amp;UTM_medium=Organic</x:v>
      </x:c>
      <x:c r="N921" s="16" t="str">
        <x:v>$100K-$500K ticket not published / unconfirmed</x:v>
      </x:c>
      <x:c r="O921" s="20"/>
      <x:c r="P921" s="20"/>
      <x:c r="Q921" s="25" t="str">
        <x:v>No direct corporate-capital range established in checked source</x:v>
      </x:c>
      <x:c r="R921" s="25" t="str">
        <x:v>Property acquisition or investor activity makes this an operator-capital prospect for the signed trial. Confirm operating-company debt/equity appetite.</x:v>
      </x:c>
      <x:c r="S921" s="25"/>
      <x:c r="T921" s="25" t="str">
        <x:v>Ask the owner/investor whether they can allocate $100K-$500K to trial marketing and acquisitions, and confirm structure, timing and decision authority.</x:v>
      </x:c>
      <x:c r="U921" s="25" t="str">
        <x:v>https://www.cashhomebuyersdirectory.com/cash-home-buyers/montana/billings</x:v>
      </x:c>
      <x:c r="V921" s="26" t="d">
        <x:v>2026-10-02T00:00:00.000Z</x:v>
      </x:c>
      <x:c r="W921" s="26" t="d">
        <x:v>2026-10-02T00:00:00.000Z</x:v>
      </x:c>
      <x:c r="X921" s="25" t="str">
        <x:v>CashHomeBuyersDirectory third-party business listing; first-party business activity not checked in this batch</x:v>
      </x:c>
      <x:c r="Y921" s="25"/>
      <x:c r="Z921" s="25" t="str">
        <x:v>https://www.cashhomebuyersdirectory.com/cash-home-buyers/montana/billings</x:v>
      </x:c>
      <x:c r="AA921" s="25" t="str">
        <x:v>Public cash-home-buyer directory lists the business name, business phone/website where available and market. Operator role and corporate funding willingness require confirmation.</x:v>
      </x:c>
      <x:c r="AB921" s="3" t="str">
        <x:v>New public-source collection</x:v>
      </x:c>
      <x:c r="AC921" s="3" t="str">
        <x:v>unverified</x:v>
      </x:c>
      <x:c r="AD921" s="3" t="str">
        <x:v>Not contacted / unconfirmed</x:v>
      </x:c>
      <x:c r="AE921" s="3" t="str">
        <x:v>No</x:v>
      </x:c>
      <x:c r="AF921" s="3" t="str">
        <x:v>No</x:v>
      </x:c>
      <x:c r="AG921" s="3"/>
      <x:c r="AH921" s="3"/>
      <x:c r="AI921" s="18"/>
      <x:c r="AJ921" s="3" t="str">
        <x:v>CF2500-A81C1A53C975</x:v>
      </x:c>
      <x:c r="AK921" s="3" t="str">
        <x:v>real_estate_operator</x:v>
      </x:c>
      <x:c r="AL921" s="19" t="n">
        <x:v>100000</x:v>
      </x:c>
      <x:c r="AM921" s="19" t="n">
        <x:v>500000</x:v>
      </x:c>
      <x:c r="AN921" s="3" t="str">
        <x:v>https://www.cashhomebuyersdirectory.com/cash-home-buyers/montana/billings</x:v>
      </x:c>
      <x:c r="AO921" s="3" t="str">
        <x:v>national_rest_directory_complete.jsonl</x:v>
      </x:c>
      <x:c r="AP921" s="19"/>
    </x:row>
    <x:row r="922" ht="36" customHeight="1">
      <x:c r="A922" s="23" t="n">
        <x:v>921</x:v>
      </x:c>
      <x:c r="B922" s="15" t="str">
        <x:v>Binghamton Home Buyers</x:v>
      </x:c>
      <x:c r="C922" s="15"/>
      <x:c r="D922" s="15" t="str">
        <x:v>Property investor / home-buying operator</x:v>
      </x:c>
      <x:c r="E922" s="15" t="str">
        <x:v>Property investor / operator inquiry</x:v>
      </x:c>
      <x:c r="F922" s="17" t="str">
        <x:v>New</x:v>
      </x:c>
      <x:c r="G922" s="24"/>
      <x:c r="H922" s="24" t="str">
        <x:v>+16074442466</x:v>
      </x:c>
      <x:c r="I922" s="24" t="str">
        <x:v>https://binghamtonhomebuyer.com/</x:v>
      </x:c>
      <x:c r="J922" s="16" t="str">
        <x:v>NY</x:v>
      </x:c>
      <x:c r="K922" s="16"/>
      <x:c r="L922" s="16" t="str">
        <x:v>Public property-business route; investor decision maker unconfirmed</x:v>
      </x:c>
      <x:c r="M922" s="16" t="str">
        <x:v>https://binghamtonhomebuyer.com/</x:v>
      </x:c>
      <x:c r="N922" s="16" t="str">
        <x:v>$100K-$500K ticket not published / unconfirmed</x:v>
      </x:c>
      <x:c r="O922" s="20"/>
      <x:c r="P922" s="20"/>
      <x:c r="Q922" s="25" t="str">
        <x:v>No direct corporate-capital range established in checked source</x:v>
      </x:c>
      <x:c r="R922" s="25" t="str">
        <x:v>Property acquisition or investor activity makes this an operator-capital prospect for the signed trial. Confirm operating-company debt/equity appetite.</x:v>
      </x:c>
      <x:c r="S922" s="25"/>
      <x:c r="T922" s="25" t="str">
        <x:v>Ask the owner/investor whether they can allocate $100K-$500K to trial marketing and acquisitions, and confirm structure, timing and decision authority.</x:v>
      </x:c>
      <x:c r="U922" s="25" t="str">
        <x:v>https://www.cashhomebuyersdirectory.com/cash-home-buyers/new-york/binghamton</x:v>
      </x:c>
      <x:c r="V922" s="26" t="d">
        <x:v>2026-10-02T00:00:00.000Z</x:v>
      </x:c>
      <x:c r="W922" s="26" t="d">
        <x:v>2026-10-02T00:00:00.000Z</x:v>
      </x:c>
      <x:c r="X922" s="25" t="str">
        <x:v>CashHomeBuyersDirectory third-party business listing; first-party business activity not checked in this batch</x:v>
      </x:c>
      <x:c r="Y922" s="25"/>
      <x:c r="Z922" s="25" t="str">
        <x:v>https://www.cashhomebuyersdirectory.com/cash-home-buyers/new-york/binghamton</x:v>
      </x:c>
      <x:c r="AA922" s="25" t="str">
        <x:v>Public cash-home-buyer directory lists the business name, business phone/website where available and market. Operator role and corporate funding willingness require confirmation.</x:v>
      </x:c>
      <x:c r="AB922" s="3" t="str">
        <x:v>New public-source collection</x:v>
      </x:c>
      <x:c r="AC922" s="3" t="str">
        <x:v>unverified</x:v>
      </x:c>
      <x:c r="AD922" s="3" t="str">
        <x:v>Not contacted / unconfirmed</x:v>
      </x:c>
      <x:c r="AE922" s="3" t="str">
        <x:v>No</x:v>
      </x:c>
      <x:c r="AF922" s="3" t="str">
        <x:v>No</x:v>
      </x:c>
      <x:c r="AG922" s="3"/>
      <x:c r="AH922" s="3"/>
      <x:c r="AI922" s="18"/>
      <x:c r="AJ922" s="3" t="str">
        <x:v>CF2500-56B74E516AC8</x:v>
      </x:c>
      <x:c r="AK922" s="3" t="str">
        <x:v>real_estate_operator</x:v>
      </x:c>
      <x:c r="AL922" s="19" t="n">
        <x:v>100000</x:v>
      </x:c>
      <x:c r="AM922" s="19" t="n">
        <x:v>500000</x:v>
      </x:c>
      <x:c r="AN922" s="3" t="str">
        <x:v>https://www.cashhomebuyersdirectory.com/cash-home-buyers/new-york/binghamton</x:v>
      </x:c>
      <x:c r="AO922" s="3" t="str">
        <x:v>national_rest_directory_complete.jsonl</x:v>
      </x:c>
      <x:c r="AP922" s="19"/>
    </x:row>
    <x:row r="923" ht="36" customHeight="1">
      <x:c r="A923" s="23" t="n">
        <x:v>922</x:v>
      </x:c>
      <x:c r="B923" s="15" t="str">
        <x:v>Blue Agave Home Buyers</x:v>
      </x:c>
      <x:c r="C923" s="15"/>
      <x:c r="D923" s="15" t="str">
        <x:v>Property investor / home-buying operator</x:v>
      </x:c>
      <x:c r="E923" s="15" t="str">
        <x:v>Property investor / operator inquiry</x:v>
      </x:c>
      <x:c r="F923" s="17" t="str">
        <x:v>New</x:v>
      </x:c>
      <x:c r="G923" s="24"/>
      <x:c r="H923" s="24" t="str">
        <x:v>+15596297577</x:v>
      </x:c>
      <x:c r="I923" s="24" t="str">
        <x:v>https://sellmyhouseinfresno.com/</x:v>
      </x:c>
      <x:c r="J923" s="16" t="str">
        <x:v>CA</x:v>
      </x:c>
      <x:c r="K923" s="16" t="str">
        <x:v>Fresno</x:v>
      </x:c>
      <x:c r="L923" s="16" t="str">
        <x:v>Public property-business route; investor decision maker unconfirmed</x:v>
      </x:c>
      <x:c r="M923" s="16" t="str">
        <x:v>https://sellmyhouseinfresno.com/</x:v>
      </x:c>
      <x:c r="N923" s="16" t="str">
        <x:v>$100K-$500K ticket not published / unconfirmed</x:v>
      </x:c>
      <x:c r="O923" s="20"/>
      <x:c r="P923" s="20"/>
      <x:c r="Q923" s="25" t="str">
        <x:v>No direct corporate-capital range established in checked source</x:v>
      </x:c>
      <x:c r="R923" s="25" t="str">
        <x:v>Property acquisition or investor activity makes this an operator-capital prospect for the signed trial. Confirm operating-company debt/equity appetite.</x:v>
      </x:c>
      <x:c r="S923" s="25"/>
      <x:c r="T923" s="25" t="str">
        <x:v>Ask the owner/investor whether they can allocate $100K-$500K to trial marketing and acquisitions, and confirm structure, timing and decision authority.</x:v>
      </x:c>
      <x:c r="U923" s="25" t="str">
        <x:v>https://www.cashhomebuyersdirectory.com/cash-home-buyers/california/fresno</x:v>
      </x:c>
      <x:c r="V923" s="26" t="d">
        <x:v>2026-10-02T00:00:00.000Z</x:v>
      </x:c>
      <x:c r="W923" s="26" t="d">
        <x:v>2026-10-02T00:00:00.000Z</x:v>
      </x:c>
      <x:c r="X923" s="25" t="str">
        <x:v>CashHomeBuyersDirectory third-party business listing; first-party business activity not checked in this batch</x:v>
      </x:c>
      <x:c r="Y923" s="25"/>
      <x:c r="Z923" s="25" t="str">
        <x:v>https://www.cashhomebuyersdirectory.com/cash-home-buyers/california/fresno</x:v>
      </x:c>
      <x:c r="AA923" s="25" t="str">
        <x:v>Public cash-home-buyer directory lists the business name, business phone/website where available and market. Operator role and corporate funding willingness require confirmation.</x:v>
      </x:c>
      <x:c r="AB923" s="3" t="str">
        <x:v>New public-source collection</x:v>
      </x:c>
      <x:c r="AC923" s="3" t="str">
        <x:v>unverified</x:v>
      </x:c>
      <x:c r="AD923" s="3" t="str">
        <x:v>Not contacted / unconfirmed</x:v>
      </x:c>
      <x:c r="AE923" s="3" t="str">
        <x:v>No</x:v>
      </x:c>
      <x:c r="AF923" s="3" t="str">
        <x:v>No</x:v>
      </x:c>
      <x:c r="AG923" s="3"/>
      <x:c r="AH923" s="3"/>
      <x:c r="AI923" s="18"/>
      <x:c r="AJ923" s="3" t="str">
        <x:v>CF2500-82EDBE8451CB</x:v>
      </x:c>
      <x:c r="AK923" s="3" t="str">
        <x:v>real_estate_operator</x:v>
      </x:c>
      <x:c r="AL923" s="19" t="n">
        <x:v>100000</x:v>
      </x:c>
      <x:c r="AM923" s="19" t="n">
        <x:v>500000</x:v>
      </x:c>
      <x:c r="AN923" s="3" t="str">
        <x:v>https://www.cashhomebuyersdirectory.com/cash-home-buyers/california/fresno</x:v>
      </x:c>
      <x:c r="AO923" s="3" t="str">
        <x:v>national_rest_directory_complete.jsonl</x:v>
      </x:c>
      <x:c r="AP923" s="19"/>
    </x:row>
    <x:row r="924" ht="36" customHeight="1">
      <x:c r="A924" s="23" t="n">
        <x:v>923</x:v>
      </x:c>
      <x:c r="B924" s="15" t="str">
        <x:v>Blue Chicken Investors - We Buy Houses</x:v>
      </x:c>
      <x:c r="C924" s="15"/>
      <x:c r="D924" s="15" t="str">
        <x:v>Property investor / home-buying operator</x:v>
      </x:c>
      <x:c r="E924" s="15" t="str">
        <x:v>Property investor / operator inquiry</x:v>
      </x:c>
      <x:c r="F924" s="17" t="str">
        <x:v>New</x:v>
      </x:c>
      <x:c r="G924" s="24"/>
      <x:c r="H924" s="24" t="str">
        <x:v>+15138224634</x:v>
      </x:c>
      <x:c r="I924" s="24" t="str">
        <x:v>https://www.cashhomebuyercincinnati.com/?utm_source=gbp</x:v>
      </x:c>
      <x:c r="J924" s="16" t="str">
        <x:v>OH</x:v>
      </x:c>
      <x:c r="K924" s="16" t="str">
        <x:v>Cincinnati</x:v>
      </x:c>
      <x:c r="L924" s="16" t="str">
        <x:v>Public property-business route; investor decision maker unconfirmed</x:v>
      </x:c>
      <x:c r="M924" s="16" t="str">
        <x:v>https://www.cashhomebuyercincinnati.com/?utm_source=gbp</x:v>
      </x:c>
      <x:c r="N924" s="16" t="str">
        <x:v>$100K-$500K ticket not published / unconfirmed</x:v>
      </x:c>
      <x:c r="O924" s="20"/>
      <x:c r="P924" s="20"/>
      <x:c r="Q924" s="25" t="str">
        <x:v>No direct corporate-capital range established in checked source</x:v>
      </x:c>
      <x:c r="R924" s="25" t="str">
        <x:v>Property acquisition or investor activity makes this an operator-capital prospect for the signed trial. Confirm operating-company debt/equity appetite.</x:v>
      </x:c>
      <x:c r="S924" s="25"/>
      <x:c r="T924" s="25" t="str">
        <x:v>Ask the owner/investor whether they can allocate $100K-$500K to trial marketing and acquisitions, and confirm structure, timing and decision authority.</x:v>
      </x:c>
      <x:c r="U924" s="25" t="str">
        <x:v>https://www.cashhomebuyersdirectory.com/cash-home-buyers/ohio/cincinnati</x:v>
      </x:c>
      <x:c r="V924" s="26" t="d">
        <x:v>2026-10-02T00:00:00.000Z</x:v>
      </x:c>
      <x:c r="W924" s="26" t="d">
        <x:v>2026-10-02T00:00:00.000Z</x:v>
      </x:c>
      <x:c r="X924" s="25" t="str">
        <x:v>CashHomeBuyersDirectory third-party business listing; first-party business activity not checked in this batch</x:v>
      </x:c>
      <x:c r="Y924" s="25"/>
      <x:c r="Z924" s="25" t="str">
        <x:v>https://www.cashhomebuyersdirectory.com/cash-home-buyers/ohio/cincinnati</x:v>
      </x:c>
      <x:c r="AA924" s="25" t="str">
        <x:v>Public cash-home-buyer directory lists the business name, business phone/website where available and market. Operator role and corporate funding willingness require confirmation.</x:v>
      </x:c>
      <x:c r="AB924" s="3" t="str">
        <x:v>New public-source collection</x:v>
      </x:c>
      <x:c r="AC924" s="3" t="str">
        <x:v>unverified</x:v>
      </x:c>
      <x:c r="AD924" s="3" t="str">
        <x:v>Not contacted / unconfirmed</x:v>
      </x:c>
      <x:c r="AE924" s="3" t="str">
        <x:v>No</x:v>
      </x:c>
      <x:c r="AF924" s="3" t="str">
        <x:v>No</x:v>
      </x:c>
      <x:c r="AG924" s="3"/>
      <x:c r="AH924" s="3"/>
      <x:c r="AI924" s="18"/>
      <x:c r="AJ924" s="3" t="str">
        <x:v>CF2500-A388C530D545</x:v>
      </x:c>
      <x:c r="AK924" s="3" t="str">
        <x:v>real_estate_operator</x:v>
      </x:c>
      <x:c r="AL924" s="19" t="n">
        <x:v>100000</x:v>
      </x:c>
      <x:c r="AM924" s="19" t="n">
        <x:v>500000</x:v>
      </x:c>
      <x:c r="AN924" s="3" t="str">
        <x:v>https://www.cashhomebuyersdirectory.com/cash-home-buyers/ohio/cincinnati</x:v>
      </x:c>
      <x:c r="AO924" s="3" t="str">
        <x:v>national_rest_directory_complete.jsonl</x:v>
      </x:c>
      <x:c r="AP924" s="19"/>
    </x:row>
    <x:row r="925" ht="36" customHeight="1">
      <x:c r="A925" s="23" t="n">
        <x:v>924</x:v>
      </x:c>
      <x:c r="B925" s="15" t="str">
        <x:v>Blue Key Home Buyers</x:v>
      </x:c>
      <x:c r="C925" s="15"/>
      <x:c r="D925" s="15" t="str">
        <x:v>Property investor / home-buying operator</x:v>
      </x:c>
      <x:c r="E925" s="15" t="str">
        <x:v>Property investor / operator inquiry</x:v>
      </x:c>
      <x:c r="F925" s="17" t="str">
        <x:v>New</x:v>
      </x:c>
      <x:c r="G925" s="24"/>
      <x:c r="H925" s="24" t="str">
        <x:v>+14193099447</x:v>
      </x:c>
      <x:c r="I925" s="24" t="str">
        <x:v>https://bkhomebuyers.com/</x:v>
      </x:c>
      <x:c r="J925" s="16" t="str">
        <x:v>OH</x:v>
      </x:c>
      <x:c r="K925" s="16" t="str">
        <x:v>Toledo</x:v>
      </x:c>
      <x:c r="L925" s="16" t="str">
        <x:v>Public property-business route; investor decision maker unconfirmed</x:v>
      </x:c>
      <x:c r="M925" s="16" t="str">
        <x:v>https://bkhomebuyers.com/</x:v>
      </x:c>
      <x:c r="N925" s="16" t="str">
        <x:v>$100K-$500K ticket not published / unconfirmed</x:v>
      </x:c>
      <x:c r="O925" s="20"/>
      <x:c r="P925" s="20"/>
      <x:c r="Q925" s="25" t="str">
        <x:v>No direct corporate-capital range established in checked source</x:v>
      </x:c>
      <x:c r="R925" s="25" t="str">
        <x:v>Property acquisition or investor activity makes this an operator-capital prospect for the signed trial. Confirm operating-company debt/equity appetite.</x:v>
      </x:c>
      <x:c r="S925" s="25"/>
      <x:c r="T925" s="25" t="str">
        <x:v>Ask the owner/investor whether they can allocate $100K-$500K to trial marketing and acquisitions, and confirm structure, timing and decision authority.</x:v>
      </x:c>
      <x:c r="U925" s="25" t="str">
        <x:v>https://www.cashhomebuyersdirectory.com/cash-home-buyers/ohio/toledo</x:v>
      </x:c>
      <x:c r="V925" s="26" t="d">
        <x:v>2026-10-02T00:00:00.000Z</x:v>
      </x:c>
      <x:c r="W925" s="26" t="d">
        <x:v>2026-10-02T00:00:00.000Z</x:v>
      </x:c>
      <x:c r="X925" s="25" t="str">
        <x:v>CashHomeBuyersDirectory third-party business listing; first-party business activity not checked in this batch</x:v>
      </x:c>
      <x:c r="Y925" s="25"/>
      <x:c r="Z925" s="25" t="str">
        <x:v>https://www.cashhomebuyersdirectory.com/cash-home-buyers/ohio/toledo</x:v>
      </x:c>
      <x:c r="AA925" s="25" t="str">
        <x:v>Public cash-home-buyer directory lists the business name, business phone/website where available and market. Operator role and corporate funding willingness require confirmation.</x:v>
      </x:c>
      <x:c r="AB925" s="3" t="str">
        <x:v>New public-source collection</x:v>
      </x:c>
      <x:c r="AC925" s="3" t="str">
        <x:v>unverified</x:v>
      </x:c>
      <x:c r="AD925" s="3" t="str">
        <x:v>Not contacted / unconfirmed</x:v>
      </x:c>
      <x:c r="AE925" s="3" t="str">
        <x:v>No</x:v>
      </x:c>
      <x:c r="AF925" s="3" t="str">
        <x:v>No</x:v>
      </x:c>
      <x:c r="AG925" s="3"/>
      <x:c r="AH925" s="3"/>
      <x:c r="AI925" s="18"/>
      <x:c r="AJ925" s="3" t="str">
        <x:v>CF2500-EC0F0B6A557D</x:v>
      </x:c>
      <x:c r="AK925" s="3" t="str">
        <x:v>real_estate_operator</x:v>
      </x:c>
      <x:c r="AL925" s="19" t="n">
        <x:v>100000</x:v>
      </x:c>
      <x:c r="AM925" s="19" t="n">
        <x:v>500000</x:v>
      </x:c>
      <x:c r="AN925" s="3" t="str">
        <x:v>https://www.cashhomebuyersdirectory.com/cash-home-buyers/ohio/toledo</x:v>
      </x:c>
      <x:c r="AO925" s="3" t="str">
        <x:v>national_rest_directory_complete.jsonl</x:v>
      </x:c>
      <x:c r="AP925" s="19"/>
    </x:row>
    <x:row r="926" ht="36" customHeight="1">
      <x:c r="A926" s="23" t="n">
        <x:v>925</x:v>
      </x:c>
      <x:c r="B926" s="15" t="str">
        <x:v>Blue Palm Fast Cash Home Buyers</x:v>
      </x:c>
      <x:c r="C926" s="15"/>
      <x:c r="D926" s="15" t="str">
        <x:v>Property investor / home-buying operator</x:v>
      </x:c>
      <x:c r="E926" s="15" t="str">
        <x:v>Property investor / operator inquiry</x:v>
      </x:c>
      <x:c r="F926" s="17" t="str">
        <x:v>New</x:v>
      </x:c>
      <x:c r="G926" s="24"/>
      <x:c r="H926" s="24" t="str">
        <x:v>+17578707033</x:v>
      </x:c>
      <x:c r="I926" s="24" t="str">
        <x:v>https://www.bluepalmig.com/</x:v>
      </x:c>
      <x:c r="J926" s="16" t="str">
        <x:v>VA</x:v>
      </x:c>
      <x:c r="K926" s="16"/>
      <x:c r="L926" s="16" t="str">
        <x:v>Public property-business route; investor decision maker unconfirmed</x:v>
      </x:c>
      <x:c r="M926" s="16" t="str">
        <x:v>https://www.bluepalmig.com/</x:v>
      </x:c>
      <x:c r="N926" s="16" t="str">
        <x:v>$100K-$500K ticket not published / unconfirmed</x:v>
      </x:c>
      <x:c r="O926" s="20"/>
      <x:c r="P926" s="20"/>
      <x:c r="Q926" s="25" t="str">
        <x:v>No direct corporate-capital range established in checked source</x:v>
      </x:c>
      <x:c r="R926" s="25" t="str">
        <x:v>Property acquisition or investor activity makes this an operator-capital prospect for the signed trial. Confirm operating-company debt/equity appetite.</x:v>
      </x:c>
      <x:c r="S926" s="25"/>
      <x:c r="T926" s="25" t="str">
        <x:v>Ask the owner/investor whether they can allocate $100K-$500K to trial marketing and acquisitions, and confirm structure, timing and decision authority.</x:v>
      </x:c>
      <x:c r="U926" s="25" t="str">
        <x:v>https://www.cashhomebuyersdirectory.com/cash-home-buyers/virginia/newport-news</x:v>
      </x:c>
      <x:c r="V926" s="26" t="d">
        <x:v>2026-10-02T00:00:00.000Z</x:v>
      </x:c>
      <x:c r="W926" s="26" t="d">
        <x:v>2026-10-02T00:00:00.000Z</x:v>
      </x:c>
      <x:c r="X926" s="25" t="str">
        <x:v>CashHomeBuyersDirectory third-party business listing; first-party business activity not checked in this batch</x:v>
      </x:c>
      <x:c r="Y926" s="25"/>
      <x:c r="Z926" s="25" t="str">
        <x:v>https://www.cashhomebuyersdirectory.com/cash-home-buyers/virginia/newport-news</x:v>
      </x:c>
      <x:c r="AA926" s="25" t="str">
        <x:v>Public cash-home-buyer directory lists the business name, business phone/website where available and market. Operator role and corporate funding willingness require confirmation.</x:v>
      </x:c>
      <x:c r="AB926" s="3" t="str">
        <x:v>New public-source collection</x:v>
      </x:c>
      <x:c r="AC926" s="3" t="str">
        <x:v>unverified</x:v>
      </x:c>
      <x:c r="AD926" s="3" t="str">
        <x:v>Not contacted / unconfirmed</x:v>
      </x:c>
      <x:c r="AE926" s="3" t="str">
        <x:v>No</x:v>
      </x:c>
      <x:c r="AF926" s="3" t="str">
        <x:v>No</x:v>
      </x:c>
      <x:c r="AG926" s="3"/>
      <x:c r="AH926" s="3"/>
      <x:c r="AI926" s="18"/>
      <x:c r="AJ926" s="3" t="str">
        <x:v>CF2500-CF5F99161412</x:v>
      </x:c>
      <x:c r="AK926" s="3" t="str">
        <x:v>real_estate_operator</x:v>
      </x:c>
      <x:c r="AL926" s="19" t="n">
        <x:v>100000</x:v>
      </x:c>
      <x:c r="AM926" s="19" t="n">
        <x:v>500000</x:v>
      </x:c>
      <x:c r="AN926" s="3" t="str">
        <x:v>https://www.cashhomebuyersdirectory.com/cash-home-buyers/virginia/newport-news</x:v>
      </x:c>
      <x:c r="AO926" s="3" t="str">
        <x:v>national_rest_directory_complete.jsonl</x:v>
      </x:c>
      <x:c r="AP926" s="19"/>
    </x:row>
    <x:row r="927" ht="36" customHeight="1">
      <x:c r="A927" s="23" t="n">
        <x:v>926</x:v>
      </x:c>
      <x:c r="B927" s="15" t="str">
        <x:v>Blue Ridge Property Buyers, LLC</x:v>
      </x:c>
      <x:c r="C927" s="15"/>
      <x:c r="D927" s="15" t="str">
        <x:v>Property investor / home-buying operator</x:v>
      </x:c>
      <x:c r="E927" s="15" t="str">
        <x:v>Property investor / operator inquiry</x:v>
      </x:c>
      <x:c r="F927" s="17" t="str">
        <x:v>New</x:v>
      </x:c>
      <x:c r="G927" s="24"/>
      <x:c r="H927" s="24" t="str">
        <x:v>+15408024054</x:v>
      </x:c>
      <x:c r="I927" s="24" t="str">
        <x:v>https://www.blueridgepropertybuyers.com/</x:v>
      </x:c>
      <x:c r="J927" s="16" t="str">
        <x:v>VA</x:v>
      </x:c>
      <x:c r="K927" s="16" t="str">
        <x:v>Roanoke</x:v>
      </x:c>
      <x:c r="L927" s="16" t="str">
        <x:v>Public property-business route; investor decision maker unconfirmed</x:v>
      </x:c>
      <x:c r="M927" s="16" t="str">
        <x:v>https://www.blueridgepropertybuyers.com/</x:v>
      </x:c>
      <x:c r="N927" s="16" t="str">
        <x:v>$100K-$500K ticket not published / unconfirmed</x:v>
      </x:c>
      <x:c r="O927" s="20"/>
      <x:c r="P927" s="20"/>
      <x:c r="Q927" s="25" t="str">
        <x:v>No direct corporate-capital range established in checked source</x:v>
      </x:c>
      <x:c r="R927" s="25" t="str">
        <x:v>Property acquisition or investor activity makes this an operator-capital prospect for the signed trial. Confirm operating-company debt/equity appetite.</x:v>
      </x:c>
      <x:c r="S927" s="25"/>
      <x:c r="T927" s="25" t="str">
        <x:v>Ask the owner/investor whether they can allocate $100K-$500K to trial marketing and acquisitions, and confirm structure, timing and decision authority.</x:v>
      </x:c>
      <x:c r="U927" s="25" t="str">
        <x:v>https://www.cashhomebuyersdirectory.com/cash-home-buyers/virginia/roanoke</x:v>
      </x:c>
      <x:c r="V927" s="26" t="d">
        <x:v>2026-10-02T00:00:00.000Z</x:v>
      </x:c>
      <x:c r="W927" s="26" t="d">
        <x:v>2026-10-02T00:00:00.000Z</x:v>
      </x:c>
      <x:c r="X927" s="25" t="str">
        <x:v>CashHomeBuyersDirectory third-party business listing; first-party business activity not checked in this batch</x:v>
      </x:c>
      <x:c r="Y927" s="25"/>
      <x:c r="Z927" s="25" t="str">
        <x:v>https://www.cashhomebuyersdirectory.com/cash-home-buyers/virginia/roanoke</x:v>
      </x:c>
      <x:c r="AA927" s="25" t="str">
        <x:v>Public cash-home-buyer directory lists the business name, business phone/website where available and market. Operator role and corporate funding willingness require confirmation.</x:v>
      </x:c>
      <x:c r="AB927" s="3" t="str">
        <x:v>New public-source collection</x:v>
      </x:c>
      <x:c r="AC927" s="3" t="str">
        <x:v>unverified</x:v>
      </x:c>
      <x:c r="AD927" s="3" t="str">
        <x:v>Not contacted / unconfirmed</x:v>
      </x:c>
      <x:c r="AE927" s="3" t="str">
        <x:v>No</x:v>
      </x:c>
      <x:c r="AF927" s="3" t="str">
        <x:v>No</x:v>
      </x:c>
      <x:c r="AG927" s="3"/>
      <x:c r="AH927" s="3"/>
      <x:c r="AI927" s="18"/>
      <x:c r="AJ927" s="3" t="str">
        <x:v>CF2500-DAD0EC5198AF</x:v>
      </x:c>
      <x:c r="AK927" s="3" t="str">
        <x:v>real_estate_operator</x:v>
      </x:c>
      <x:c r="AL927" s="19" t="n">
        <x:v>100000</x:v>
      </x:c>
      <x:c r="AM927" s="19" t="n">
        <x:v>500000</x:v>
      </x:c>
      <x:c r="AN927" s="3" t="str">
        <x:v>https://www.cashhomebuyersdirectory.com/cash-home-buyers/virginia/roanoke</x:v>
      </x:c>
      <x:c r="AO927" s="3" t="str">
        <x:v>national_rest_directory_complete.jsonl</x:v>
      </x:c>
      <x:c r="AP927" s="19"/>
    </x:row>
    <x:row r="928" ht="36" customHeight="1">
      <x:c r="A928" s="23" t="n">
        <x:v>927</x:v>
      </x:c>
      <x:c r="B928" s="15" t="str">
        <x:v>Boise Cash Home Buyers</x:v>
      </x:c>
      <x:c r="C928" s="15"/>
      <x:c r="D928" s="15" t="str">
        <x:v>Property investor / home-buying operator</x:v>
      </x:c>
      <x:c r="E928" s="15" t="str">
        <x:v>Property investor / operator inquiry</x:v>
      </x:c>
      <x:c r="F928" s="17" t="str">
        <x:v>New</x:v>
      </x:c>
      <x:c r="G928" s="24"/>
      <x:c r="H928" s="24" t="str">
        <x:v>+12082975010</x:v>
      </x:c>
      <x:c r="I928" s="24" t="str">
        <x:v>http://boisecashhomebuyer.com/</x:v>
      </x:c>
      <x:c r="J928" s="16" t="str">
        <x:v>ID</x:v>
      </x:c>
      <x:c r="K928" s="16" t="str">
        <x:v>Boise</x:v>
      </x:c>
      <x:c r="L928" s="16" t="str">
        <x:v>Public property-business route; investor decision maker unconfirmed</x:v>
      </x:c>
      <x:c r="M928" s="16" t="str">
        <x:v>http://boisecashhomebuyer.com/</x:v>
      </x:c>
      <x:c r="N928" s="16" t="str">
        <x:v>$100K-$500K ticket not published / unconfirmed</x:v>
      </x:c>
      <x:c r="O928" s="20"/>
      <x:c r="P928" s="20"/>
      <x:c r="Q928" s="25" t="str">
        <x:v>No direct corporate-capital range established in checked source</x:v>
      </x:c>
      <x:c r="R928" s="25" t="str">
        <x:v>Property acquisition or investor activity makes this an operator-capital prospect for the signed trial. Confirm operating-company debt/equity appetite.</x:v>
      </x:c>
      <x:c r="S928" s="25"/>
      <x:c r="T928" s="25" t="str">
        <x:v>Ask the owner/investor whether they can allocate $100K-$500K to trial marketing and acquisitions, and confirm structure, timing and decision authority.</x:v>
      </x:c>
      <x:c r="U928" s="25" t="str">
        <x:v>https://www.cashhomebuyersdirectory.com/cash-home-buyers/idaho/boise</x:v>
      </x:c>
      <x:c r="V928" s="26" t="d">
        <x:v>2026-10-02T00:00:00.000Z</x:v>
      </x:c>
      <x:c r="W928" s="26" t="d">
        <x:v>2026-10-02T00:00:00.000Z</x:v>
      </x:c>
      <x:c r="X928" s="25" t="str">
        <x:v>CashHomeBuyersDirectory third-party business listing; first-party business activity not checked in this batch</x:v>
      </x:c>
      <x:c r="Y928" s="25"/>
      <x:c r="Z928" s="25" t="str">
        <x:v>https://www.cashhomebuyersdirectory.com/cash-home-buyers/idaho/boise</x:v>
      </x:c>
      <x:c r="AA928" s="25" t="str">
        <x:v>Public cash-home-buyer directory lists the business name, business phone/website where available and market. Operator role and corporate funding willingness require confirmation.</x:v>
      </x:c>
      <x:c r="AB928" s="3" t="str">
        <x:v>New public-source collection</x:v>
      </x:c>
      <x:c r="AC928" s="3" t="str">
        <x:v>unverified</x:v>
      </x:c>
      <x:c r="AD928" s="3" t="str">
        <x:v>Not contacted / unconfirmed</x:v>
      </x:c>
      <x:c r="AE928" s="3" t="str">
        <x:v>No</x:v>
      </x:c>
      <x:c r="AF928" s="3" t="str">
        <x:v>No</x:v>
      </x:c>
      <x:c r="AG928" s="3"/>
      <x:c r="AH928" s="3"/>
      <x:c r="AI928" s="18"/>
      <x:c r="AJ928" s="3" t="str">
        <x:v>CF2500-D363F93F8980</x:v>
      </x:c>
      <x:c r="AK928" s="3" t="str">
        <x:v>real_estate_operator</x:v>
      </x:c>
      <x:c r="AL928" s="19" t="n">
        <x:v>100000</x:v>
      </x:c>
      <x:c r="AM928" s="19" t="n">
        <x:v>500000</x:v>
      </x:c>
      <x:c r="AN928" s="3" t="str">
        <x:v>https://www.cashhomebuyersdirectory.com/cash-home-buyers/idaho/boise</x:v>
      </x:c>
      <x:c r="AO928" s="3" t="str">
        <x:v>national_rest_directory_complete.jsonl</x:v>
      </x:c>
      <x:c r="AP928" s="19"/>
    </x:row>
    <x:row r="929" ht="36" customHeight="1">
      <x:c r="A929" s="23" t="n">
        <x:v>928</x:v>
      </x:c>
      <x:c r="B929" s="15" t="str">
        <x:v>Boise House Buyers</x:v>
      </x:c>
      <x:c r="C929" s="15"/>
      <x:c r="D929" s="15" t="str">
        <x:v>Property investor / home-buying operator</x:v>
      </x:c>
      <x:c r="E929" s="15" t="str">
        <x:v>Property investor / operator inquiry</x:v>
      </x:c>
      <x:c r="F929" s="17" t="str">
        <x:v>New</x:v>
      </x:c>
      <x:c r="G929" s="24"/>
      <x:c r="H929" s="24" t="str">
        <x:v>+12083141350</x:v>
      </x:c>
      <x:c r="I929" s="24" t="str">
        <x:v>https://www.theboisehousebuyers.com/</x:v>
      </x:c>
      <x:c r="J929" s="16" t="str">
        <x:v>ID</x:v>
      </x:c>
      <x:c r="K929" s="16" t="str">
        <x:v>Boise</x:v>
      </x:c>
      <x:c r="L929" s="16" t="str">
        <x:v>Public property-business route; investor decision maker unconfirmed</x:v>
      </x:c>
      <x:c r="M929" s="16" t="str">
        <x:v>https://www.theboisehousebuyers.com/</x:v>
      </x:c>
      <x:c r="N929" s="16" t="str">
        <x:v>$100K-$500K ticket not published / unconfirmed</x:v>
      </x:c>
      <x:c r="O929" s="20"/>
      <x:c r="P929" s="20"/>
      <x:c r="Q929" s="25" t="str">
        <x:v>No direct corporate-capital range established in checked source</x:v>
      </x:c>
      <x:c r="R929" s="25" t="str">
        <x:v>Property acquisition or investor activity makes this an operator-capital prospect for the signed trial. Confirm operating-company debt/equity appetite.</x:v>
      </x:c>
      <x:c r="S929" s="25"/>
      <x:c r="T929" s="25" t="str">
        <x:v>Ask the owner/investor whether they can allocate $100K-$500K to trial marketing and acquisitions, and confirm structure, timing and decision authority.</x:v>
      </x:c>
      <x:c r="U929" s="25" t="str">
        <x:v>https://www.cashhomebuyersdirectory.com/cash-home-buyers/idaho/boise</x:v>
      </x:c>
      <x:c r="V929" s="26" t="d">
        <x:v>2026-10-02T00:00:00.000Z</x:v>
      </x:c>
      <x:c r="W929" s="26" t="d">
        <x:v>2026-10-02T00:00:00.000Z</x:v>
      </x:c>
      <x:c r="X929" s="25" t="str">
        <x:v>CashHomeBuyersDirectory third-party business listing; first-party business activity not checked in this batch</x:v>
      </x:c>
      <x:c r="Y929" s="25"/>
      <x:c r="Z929" s="25" t="str">
        <x:v>https://www.cashhomebuyersdirectory.com/cash-home-buyers/idaho/boise</x:v>
      </x:c>
      <x:c r="AA929" s="25" t="str">
        <x:v>Public cash-home-buyer directory lists the business name, business phone/website where available and market. Operator role and corporate funding willingness require confirmation.</x:v>
      </x:c>
      <x:c r="AB929" s="3" t="str">
        <x:v>New public-source collection</x:v>
      </x:c>
      <x:c r="AC929" s="3" t="str">
        <x:v>unverified</x:v>
      </x:c>
      <x:c r="AD929" s="3" t="str">
        <x:v>Not contacted / unconfirmed</x:v>
      </x:c>
      <x:c r="AE929" s="3" t="str">
        <x:v>No</x:v>
      </x:c>
      <x:c r="AF929" s="3" t="str">
        <x:v>No</x:v>
      </x:c>
      <x:c r="AG929" s="3"/>
      <x:c r="AH929" s="3"/>
      <x:c r="AI929" s="18"/>
      <x:c r="AJ929" s="3" t="str">
        <x:v>CF2500-95491615C7E1</x:v>
      </x:c>
      <x:c r="AK929" s="3" t="str">
        <x:v>real_estate_operator</x:v>
      </x:c>
      <x:c r="AL929" s="19" t="n">
        <x:v>100000</x:v>
      </x:c>
      <x:c r="AM929" s="19" t="n">
        <x:v>500000</x:v>
      </x:c>
      <x:c r="AN929" s="3" t="str">
        <x:v>https://www.cashhomebuyersdirectory.com/cash-home-buyers/idaho/boise</x:v>
      </x:c>
      <x:c r="AO929" s="3" t="str">
        <x:v>national_rest_directory_complete.jsonl</x:v>
      </x:c>
      <x:c r="AP929" s="19"/>
    </x:row>
    <x:row r="930" ht="36" customHeight="1">
      <x:c r="A930" s="23" t="n">
        <x:v>929</x:v>
      </x:c>
      <x:c r="B930" s="15" t="str">
        <x:v>Born To Buy Houses</x:v>
      </x:c>
      <x:c r="C930" s="15"/>
      <x:c r="D930" s="15" t="str">
        <x:v>Property investor / home-buying operator</x:v>
      </x:c>
      <x:c r="E930" s="15" t="str">
        <x:v>Property investor / operator inquiry</x:v>
      </x:c>
      <x:c r="F930" s="17" t="str">
        <x:v>New</x:v>
      </x:c>
      <x:c r="G930" s="24"/>
      <x:c r="H930" s="24" t="str">
        <x:v>+13026000699</x:v>
      </x:c>
      <x:c r="I930" s="24" t="str">
        <x:v>https://www.borntobuyhouses.com/</x:v>
      </x:c>
      <x:c r="J930" s="16" t="str">
        <x:v>DE</x:v>
      </x:c>
      <x:c r="K930" s="16" t="str">
        <x:v>Wilmington</x:v>
      </x:c>
      <x:c r="L930" s="16" t="str">
        <x:v>Public property-business route; investor decision maker unconfirmed</x:v>
      </x:c>
      <x:c r="M930" s="16" t="str">
        <x:v>https://www.borntobuyhouses.com/</x:v>
      </x:c>
      <x:c r="N930" s="16" t="str">
        <x:v>$100K-$500K ticket not published / unconfirmed</x:v>
      </x:c>
      <x:c r="O930" s="20"/>
      <x:c r="P930" s="20"/>
      <x:c r="Q930" s="25" t="str">
        <x:v>No direct corporate-capital range established in checked source</x:v>
      </x:c>
      <x:c r="R930" s="25" t="str">
        <x:v>Property acquisition or investor activity makes this an operator-capital prospect for the signed trial. Confirm operating-company debt/equity appetite.</x:v>
      </x:c>
      <x:c r="S930" s="25"/>
      <x:c r="T930" s="25" t="str">
        <x:v>Ask the owner/investor whether they can allocate $100K-$500K to trial marketing and acquisitions, and confirm structure, timing and decision authority.</x:v>
      </x:c>
      <x:c r="U930" s="25" t="str">
        <x:v>https://www.cashhomebuyersdirectory.com/cash-home-buyers/delaware/wilmington</x:v>
      </x:c>
      <x:c r="V930" s="26" t="d">
        <x:v>2026-10-02T00:00:00.000Z</x:v>
      </x:c>
      <x:c r="W930" s="26" t="d">
        <x:v>2026-10-02T00:00:00.000Z</x:v>
      </x:c>
      <x:c r="X930" s="25" t="str">
        <x:v>CashHomeBuyersDirectory third-party business listing; first-party business activity not checked in this batch</x:v>
      </x:c>
      <x:c r="Y930" s="25"/>
      <x:c r="Z930" s="25" t="str">
        <x:v>https://www.cashhomebuyersdirectory.com/cash-home-buyers/delaware/wilmington</x:v>
      </x:c>
      <x:c r="AA930" s="25" t="str">
        <x:v>Public cash-home-buyer directory lists the business name, business phone/website where available and market. Operator role and corporate funding willingness require confirmation.</x:v>
      </x:c>
      <x:c r="AB930" s="3" t="str">
        <x:v>New public-source collection</x:v>
      </x:c>
      <x:c r="AC930" s="3" t="str">
        <x:v>unverified</x:v>
      </x:c>
      <x:c r="AD930" s="3" t="str">
        <x:v>Not contacted / unconfirmed</x:v>
      </x:c>
      <x:c r="AE930" s="3" t="str">
        <x:v>No</x:v>
      </x:c>
      <x:c r="AF930" s="3" t="str">
        <x:v>No</x:v>
      </x:c>
      <x:c r="AG930" s="3"/>
      <x:c r="AH930" s="3"/>
      <x:c r="AI930" s="18"/>
      <x:c r="AJ930" s="3" t="str">
        <x:v>CF2500-AC3B7B45779A</x:v>
      </x:c>
      <x:c r="AK930" s="3" t="str">
        <x:v>real_estate_operator</x:v>
      </x:c>
      <x:c r="AL930" s="19" t="n">
        <x:v>100000</x:v>
      </x:c>
      <x:c r="AM930" s="19" t="n">
        <x:v>500000</x:v>
      </x:c>
      <x:c r="AN930" s="3" t="str">
        <x:v>https://www.cashhomebuyersdirectory.com/cash-home-buyers/delaware/wilmington</x:v>
      </x:c>
      <x:c r="AO930" s="3" t="str">
        <x:v>national_rest_directory_complete.jsonl</x:v>
      </x:c>
      <x:c r="AP930" s="19"/>
    </x:row>
    <x:row r="931" ht="36" customHeight="1">
      <x:c r="A931" s="23" t="n">
        <x:v>930</x:v>
      </x:c>
      <x:c r="B931" s="15" t="str">
        <x:v>Brett Buys Roc Houses LLC | Sell My House Rochester NY</x:v>
      </x:c>
      <x:c r="C931" s="15"/>
      <x:c r="D931" s="15" t="str">
        <x:v>Property investor / home-buying operator</x:v>
      </x:c>
      <x:c r="E931" s="15" t="str">
        <x:v>Property investor / operator inquiry</x:v>
      </x:c>
      <x:c r="F931" s="17" t="str">
        <x:v>New</x:v>
      </x:c>
      <x:c r="G931" s="24"/>
      <x:c r="H931" s="24" t="str">
        <x:v>+15852999709</x:v>
      </x:c>
      <x:c r="I931" s="24" t="str">
        <x:v>https://www.brettbuysrochouses.com/</x:v>
      </x:c>
      <x:c r="J931" s="16" t="str">
        <x:v>NY</x:v>
      </x:c>
      <x:c r="K931" s="16" t="str">
        <x:v>Rochester</x:v>
      </x:c>
      <x:c r="L931" s="16" t="str">
        <x:v>Public property-business route; investor decision maker unconfirmed</x:v>
      </x:c>
      <x:c r="M931" s="16" t="str">
        <x:v>https://www.brettbuysrochouses.com/</x:v>
      </x:c>
      <x:c r="N931" s="16" t="str">
        <x:v>$100K-$500K ticket not published / unconfirmed</x:v>
      </x:c>
      <x:c r="O931" s="20"/>
      <x:c r="P931" s="20"/>
      <x:c r="Q931" s="25" t="str">
        <x:v>No direct corporate-capital range established in checked source</x:v>
      </x:c>
      <x:c r="R931" s="25" t="str">
        <x:v>Property acquisition or investor activity makes this an operator-capital prospect for the signed trial. Confirm operating-company debt/equity appetite.</x:v>
      </x:c>
      <x:c r="S931" s="25"/>
      <x:c r="T931" s="25" t="str">
        <x:v>Ask the owner/investor whether they can allocate $100K-$500K to trial marketing and acquisitions, and confirm structure, timing and decision authority.</x:v>
      </x:c>
      <x:c r="U931" s="25" t="str">
        <x:v>https://www.cashhomebuyersdirectory.com/cash-home-buyers/new-york/rochester</x:v>
      </x:c>
      <x:c r="V931" s="26" t="d">
        <x:v>2026-10-02T00:00:00.000Z</x:v>
      </x:c>
      <x:c r="W931" s="26" t="d">
        <x:v>2026-10-02T00:00:00.000Z</x:v>
      </x:c>
      <x:c r="X931" s="25" t="str">
        <x:v>CashHomeBuyersDirectory third-party business listing; first-party business activity not checked in this batch</x:v>
      </x:c>
      <x:c r="Y931" s="25"/>
      <x:c r="Z931" s="25" t="str">
        <x:v>https://www.cashhomebuyersdirectory.com/cash-home-buyers/new-york/rochester</x:v>
      </x:c>
      <x:c r="AA931" s="25" t="str">
        <x:v>Public cash-home-buyer directory lists the business name, business phone/website where available and market. Operator role and corporate funding willingness require confirmation.</x:v>
      </x:c>
      <x:c r="AB931" s="3" t="str">
        <x:v>New public-source collection</x:v>
      </x:c>
      <x:c r="AC931" s="3" t="str">
        <x:v>unverified</x:v>
      </x:c>
      <x:c r="AD931" s="3" t="str">
        <x:v>Not contacted / unconfirmed</x:v>
      </x:c>
      <x:c r="AE931" s="3" t="str">
        <x:v>No</x:v>
      </x:c>
      <x:c r="AF931" s="3" t="str">
        <x:v>No</x:v>
      </x:c>
      <x:c r="AG931" s="3"/>
      <x:c r="AH931" s="3"/>
      <x:c r="AI931" s="18"/>
      <x:c r="AJ931" s="3" t="str">
        <x:v>CF2500-6F913CABA237</x:v>
      </x:c>
      <x:c r="AK931" s="3" t="str">
        <x:v>real_estate_operator</x:v>
      </x:c>
      <x:c r="AL931" s="19" t="n">
        <x:v>100000</x:v>
      </x:c>
      <x:c r="AM931" s="19" t="n">
        <x:v>500000</x:v>
      </x:c>
      <x:c r="AN931" s="3" t="str">
        <x:v>https://www.cashhomebuyersdirectory.com/cash-home-buyers/new-york/rochester</x:v>
      </x:c>
      <x:c r="AO931" s="3" t="str">
        <x:v>national_rest_directory_complete.jsonl</x:v>
      </x:c>
      <x:c r="AP931" s="19"/>
    </x:row>
    <x:row r="932" ht="36" customHeight="1">
      <x:c r="A932" s="23" t="n">
        <x:v>931</x:v>
      </x:c>
      <x:c r="B932" s="15" t="str">
        <x:v>Bridgetown Home Buyers</x:v>
      </x:c>
      <x:c r="C932" s="15"/>
      <x:c r="D932" s="15" t="str">
        <x:v>Property investor / home-buying operator</x:v>
      </x:c>
      <x:c r="E932" s="15" t="str">
        <x:v>Property investor / operator inquiry</x:v>
      </x:c>
      <x:c r="F932" s="17" t="str">
        <x:v>New</x:v>
      </x:c>
      <x:c r="G932" s="24"/>
      <x:c r="H932" s="24" t="str">
        <x:v>+15037659326</x:v>
      </x:c>
      <x:c r="I932" s="24" t="str">
        <x:v>https://bridgetownhomebuyers.com/</x:v>
      </x:c>
      <x:c r="J932" s="16" t="str">
        <x:v>OR</x:v>
      </x:c>
      <x:c r="K932" s="16" t="str">
        <x:v>Portland</x:v>
      </x:c>
      <x:c r="L932" s="16" t="str">
        <x:v>Public property-business route; investor decision maker unconfirmed</x:v>
      </x:c>
      <x:c r="M932" s="16" t="str">
        <x:v>https://bridgetownhomebuyers.com/</x:v>
      </x:c>
      <x:c r="N932" s="16" t="str">
        <x:v>$100K-$500K ticket not published / unconfirmed</x:v>
      </x:c>
      <x:c r="O932" s="20"/>
      <x:c r="P932" s="20"/>
      <x:c r="Q932" s="25" t="str">
        <x:v>No direct corporate-capital range established in checked source</x:v>
      </x:c>
      <x:c r="R932" s="25" t="str">
        <x:v>Property acquisition or investor activity makes this an operator-capital prospect for the signed trial. Confirm operating-company debt/equity appetite.</x:v>
      </x:c>
      <x:c r="S932" s="25"/>
      <x:c r="T932" s="25" t="str">
        <x:v>Ask the owner/investor whether they can allocate $100K-$500K to trial marketing and acquisitions, and confirm structure, timing and decision authority.</x:v>
      </x:c>
      <x:c r="U932" s="25" t="str">
        <x:v>https://www.cashhomebuyersdirectory.com/cash-home-buyers/oregon/portland</x:v>
      </x:c>
      <x:c r="V932" s="26" t="d">
        <x:v>2026-10-02T00:00:00.000Z</x:v>
      </x:c>
      <x:c r="W932" s="26" t="d">
        <x:v>2026-10-02T00:00:00.000Z</x:v>
      </x:c>
      <x:c r="X932" s="25" t="str">
        <x:v>CashHomeBuyersDirectory third-party business listing; first-party business activity not checked in this batch</x:v>
      </x:c>
      <x:c r="Y932" s="25"/>
      <x:c r="Z932" s="25" t="str">
        <x:v>https://www.cashhomebuyersdirectory.com/cash-home-buyers/oregon/portland</x:v>
      </x:c>
      <x:c r="AA932" s="25" t="str">
        <x:v>Public cash-home-buyer directory lists the business name, business phone/website where available and market. Operator role and corporate funding willingness require confirmation.</x:v>
      </x:c>
      <x:c r="AB932" s="3" t="str">
        <x:v>New public-source collection</x:v>
      </x:c>
      <x:c r="AC932" s="3" t="str">
        <x:v>unverified</x:v>
      </x:c>
      <x:c r="AD932" s="3" t="str">
        <x:v>Not contacted / unconfirmed</x:v>
      </x:c>
      <x:c r="AE932" s="3" t="str">
        <x:v>No</x:v>
      </x:c>
      <x:c r="AF932" s="3" t="str">
        <x:v>No</x:v>
      </x:c>
      <x:c r="AG932" s="3"/>
      <x:c r="AH932" s="3"/>
      <x:c r="AI932" s="18"/>
      <x:c r="AJ932" s="3" t="str">
        <x:v>CF2500-812B12211475</x:v>
      </x:c>
      <x:c r="AK932" s="3" t="str">
        <x:v>real_estate_operator</x:v>
      </x:c>
      <x:c r="AL932" s="19" t="n">
        <x:v>100000</x:v>
      </x:c>
      <x:c r="AM932" s="19" t="n">
        <x:v>500000</x:v>
      </x:c>
      <x:c r="AN932" s="3" t="str">
        <x:v>https://www.cashhomebuyersdirectory.com/cash-home-buyers/oregon/portland</x:v>
      </x:c>
      <x:c r="AO932" s="3" t="str">
        <x:v>national_rest_directory_complete.jsonl</x:v>
      </x:c>
      <x:c r="AP932" s="19"/>
    </x:row>
    <x:row r="933" ht="36" customHeight="1">
      <x:c r="A933" s="23" t="n">
        <x:v>932</x:v>
      </x:c>
      <x:c r="B933" s="15" t="str">
        <x:v>Bridgeview Cash for Homes</x:v>
      </x:c>
      <x:c r="C933" s="15"/>
      <x:c r="D933" s="15" t="str">
        <x:v>Property investor / home-buying operator</x:v>
      </x:c>
      <x:c r="E933" s="15" t="str">
        <x:v>Property investor / operator inquiry</x:v>
      </x:c>
      <x:c r="F933" s="17" t="str">
        <x:v>New</x:v>
      </x:c>
      <x:c r="G933" s="24"/>
      <x:c r="H933" s="24" t="str">
        <x:v>+15039983900</x:v>
      </x:c>
      <x:c r="I933" s="24" t="str">
        <x:v>https://www.cashforhomespdx.com/</x:v>
      </x:c>
      <x:c r="J933" s="16" t="str">
        <x:v>ME</x:v>
      </x:c>
      <x:c r="K933" s="16"/>
      <x:c r="L933" s="16" t="str">
        <x:v>Public property-business route; investor decision maker unconfirmed</x:v>
      </x:c>
      <x:c r="M933" s="16" t="str">
        <x:v>https://www.cashforhomespdx.com/</x:v>
      </x:c>
      <x:c r="N933" s="16" t="str">
        <x:v>$100K-$500K ticket not published / unconfirmed</x:v>
      </x:c>
      <x:c r="O933" s="20"/>
      <x:c r="P933" s="20"/>
      <x:c r="Q933" s="25" t="str">
        <x:v>No direct corporate-capital range established in checked source</x:v>
      </x:c>
      <x:c r="R933" s="25" t="str">
        <x:v>Property acquisition or investor activity makes this an operator-capital prospect for the signed trial. Confirm operating-company debt/equity appetite.</x:v>
      </x:c>
      <x:c r="S933" s="25"/>
      <x:c r="T933" s="25" t="str">
        <x:v>Ask the owner/investor whether they can allocate $100K-$500K to trial marketing and acquisitions, and confirm structure, timing and decision authority.</x:v>
      </x:c>
      <x:c r="U933" s="25" t="str">
        <x:v>https://www.cashhomebuyersdirectory.com/cash-home-buyers/maine/portland
https://www.cashhomebuyersdirectory.com/cash-home-buyers/oregon/portland</x:v>
      </x:c>
      <x:c r="V933" s="26" t="d">
        <x:v>2026-10-02T00:00:00.000Z</x:v>
      </x:c>
      <x:c r="W933" s="26" t="d">
        <x:v>2026-10-02T00:00:00.000Z</x:v>
      </x:c>
      <x:c r="X933" s="25" t="str">
        <x:v>CashHomeBuyersDirectory third-party business listing; first-party business activity not checked in this batch</x:v>
      </x:c>
      <x:c r="Y933" s="25"/>
      <x:c r="Z933" s="25" t="str">
        <x:v>https://www.cashhomebuyersdirectory.com/cash-home-buyers/maine/portland</x:v>
      </x:c>
      <x:c r="AA933" s="25" t="str">
        <x:v>Public cash-home-buyer directory lists the business name, business phone/website where available and market. Operator role and corporate funding willingness require confirmation.</x:v>
      </x:c>
      <x:c r="AB933" s="3" t="str">
        <x:v>New public-source collection</x:v>
      </x:c>
      <x:c r="AC933" s="3" t="str">
        <x:v>unverified</x:v>
      </x:c>
      <x:c r="AD933" s="3" t="str">
        <x:v>Not contacted / unconfirmed</x:v>
      </x:c>
      <x:c r="AE933" s="3" t="str">
        <x:v>No</x:v>
      </x:c>
      <x:c r="AF933" s="3" t="str">
        <x:v>No</x:v>
      </x:c>
      <x:c r="AG933" s="3"/>
      <x:c r="AH933" s="3"/>
      <x:c r="AI933" s="18"/>
      <x:c r="AJ933" s="3" t="str">
        <x:v>CF2500-C183D3F9EF8B</x:v>
      </x:c>
      <x:c r="AK933" s="3" t="str">
        <x:v>real_estate_operator</x:v>
      </x:c>
      <x:c r="AL933" s="19" t="n">
        <x:v>100000</x:v>
      </x:c>
      <x:c r="AM933" s="19" t="n">
        <x:v>500000</x:v>
      </x:c>
      <x:c r="AN933" s="3" t="str">
        <x:v>https://www.cashhomebuyersdirectory.com/cash-home-buyers/maine/portland</x:v>
      </x:c>
      <x:c r="AO933" s="3" t="str">
        <x:v>national_rest_directory_complete.jsonl</x:v>
      </x:c>
      <x:c r="AP933" s="19"/>
    </x:row>
    <x:row r="934" ht="36" customHeight="1">
      <x:c r="A934" s="23" t="n">
        <x:v>933</x:v>
      </x:c>
      <x:c r="B934" s="15" t="str">
        <x:v>Broadway Home Buyers</x:v>
      </x:c>
      <x:c r="C934" s="15"/>
      <x:c r="D934" s="15" t="str">
        <x:v>Property investor / home-buying operator</x:v>
      </x:c>
      <x:c r="E934" s="15" t="str">
        <x:v>Property investor / operator inquiry</x:v>
      </x:c>
      <x:c r="F934" s="17" t="str">
        <x:v>New</x:v>
      </x:c>
      <x:c r="G934" s="24"/>
      <x:c r="H934" s="24" t="str">
        <x:v>+16143506567</x:v>
      </x:c>
      <x:c r="I934" s="24" t="str">
        <x:v>https://broadwayhomebuyer.com/</x:v>
      </x:c>
      <x:c r="J934" s="16" t="str">
        <x:v>NJ</x:v>
      </x:c>
      <x:c r="K934" s="16"/>
      <x:c r="L934" s="16" t="str">
        <x:v>Public property-business route; investor decision maker unconfirmed</x:v>
      </x:c>
      <x:c r="M934" s="16" t="str">
        <x:v>https://broadwayhomebuyer.com/</x:v>
      </x:c>
      <x:c r="N934" s="16" t="str">
        <x:v>$100K-$500K ticket not published / unconfirmed</x:v>
      </x:c>
      <x:c r="O934" s="20"/>
      <x:c r="P934" s="20"/>
      <x:c r="Q934" s="25" t="str">
        <x:v>No direct corporate-capital range established in checked source</x:v>
      </x:c>
      <x:c r="R934" s="25" t="str">
        <x:v>Property acquisition or investor activity makes this an operator-capital prospect for the signed trial. Confirm operating-company debt/equity appetite.</x:v>
      </x:c>
      <x:c r="S934" s="25"/>
      <x:c r="T934" s="25" t="str">
        <x:v>Ask the owner/investor whether they can allocate $100K-$500K to trial marketing and acquisitions, and confirm structure, timing and decision authority.</x:v>
      </x:c>
      <x:c r="U934" s="25" t="str">
        <x:v>https://www.cashhomebuyersdirectory.com/cash-home-buyers/new-jersey/jersey-city
https://www.cashhomebuyersdirectory.com/cash-home-buyers/new-york/albany
https://www.cashhomebuyersdirectory.com/cash-home-buyers/new-york/new-york
https://www.cashhomebuyersdirectory.com/cash-home-buyers/new-york/utica</x:v>
      </x:c>
      <x:c r="V934" s="26" t="d">
        <x:v>2026-10-02T00:00:00.000Z</x:v>
      </x:c>
      <x:c r="W934" s="26" t="d">
        <x:v>2026-10-02T00:00:00.000Z</x:v>
      </x:c>
      <x:c r="X934" s="25" t="str">
        <x:v>CashHomeBuyersDirectory third-party business listing; first-party business activity not checked in this batch</x:v>
      </x:c>
      <x:c r="Y934" s="25"/>
      <x:c r="Z934" s="25" t="str">
        <x:v>https://www.cashhomebuyersdirectory.com/cash-home-buyers/new-jersey/jersey-city</x:v>
      </x:c>
      <x:c r="AA934" s="25" t="str">
        <x:v>Public cash-home-buyer directory lists the business name, business phone/website where available and market. Operator role and corporate funding willingness require confirmation.</x:v>
      </x:c>
      <x:c r="AB934" s="3" t="str">
        <x:v>New public-source collection</x:v>
      </x:c>
      <x:c r="AC934" s="3" t="str">
        <x:v>unverified</x:v>
      </x:c>
      <x:c r="AD934" s="3" t="str">
        <x:v>Not contacted / unconfirmed</x:v>
      </x:c>
      <x:c r="AE934" s="3" t="str">
        <x:v>No</x:v>
      </x:c>
      <x:c r="AF934" s="3" t="str">
        <x:v>No</x:v>
      </x:c>
      <x:c r="AG934" s="3"/>
      <x:c r="AH934" s="3"/>
      <x:c r="AI934" s="18"/>
      <x:c r="AJ934" s="3" t="str">
        <x:v>CF2500-A0BC36697F08</x:v>
      </x:c>
      <x:c r="AK934" s="3" t="str">
        <x:v>real_estate_operator</x:v>
      </x:c>
      <x:c r="AL934" s="19" t="n">
        <x:v>100000</x:v>
      </x:c>
      <x:c r="AM934" s="19" t="n">
        <x:v>500000</x:v>
      </x:c>
      <x:c r="AN934" s="3" t="str">
        <x:v>https://www.cashhomebuyersdirectory.com/cash-home-buyers/new-jersey/jersey-city</x:v>
      </x:c>
      <x:c r="AO934" s="3" t="str">
        <x:v>national_rest_directory_complete.jsonl</x:v>
      </x:c>
      <x:c r="AP934" s="19"/>
    </x:row>
    <x:row r="935" ht="36" customHeight="1">
      <x:c r="A935" s="23" t="n">
        <x:v>934</x:v>
      </x:c>
      <x:c r="B935" s="15" t="str">
        <x:v>Bronte House Buyer</x:v>
      </x:c>
      <x:c r="C935" s="15"/>
      <x:c r="D935" s="15" t="str">
        <x:v>Property investor / home-buying operator</x:v>
      </x:c>
      <x:c r="E935" s="15" t="str">
        <x:v>Property investor / operator inquiry</x:v>
      </x:c>
      <x:c r="F935" s="17" t="str">
        <x:v>New</x:v>
      </x:c>
      <x:c r="G935" s="24"/>
      <x:c r="H935" s="24" t="str">
        <x:v>+14025000477</x:v>
      </x:c>
      <x:c r="I935" s="24" t="str">
        <x:v>https://www.omahahousebuyer.com/</x:v>
      </x:c>
      <x:c r="J935" s="16" t="str">
        <x:v>NE</x:v>
      </x:c>
      <x:c r="K935" s="16" t="str">
        <x:v>Omaha</x:v>
      </x:c>
      <x:c r="L935" s="16" t="str">
        <x:v>Public property-business route; investor decision maker unconfirmed</x:v>
      </x:c>
      <x:c r="M935" s="16" t="str">
        <x:v>https://www.omahahousebuyer.com/</x:v>
      </x:c>
      <x:c r="N935" s="16" t="str">
        <x:v>$100K-$500K ticket not published / unconfirmed</x:v>
      </x:c>
      <x:c r="O935" s="20"/>
      <x:c r="P935" s="20"/>
      <x:c r="Q935" s="25" t="str">
        <x:v>No direct corporate-capital range established in checked source</x:v>
      </x:c>
      <x:c r="R935" s="25" t="str">
        <x:v>Property acquisition or investor activity makes this an operator-capital prospect for the signed trial. Confirm operating-company debt/equity appetite.</x:v>
      </x:c>
      <x:c r="S935" s="25"/>
      <x:c r="T935" s="25" t="str">
        <x:v>Ask the owner/investor whether they can allocate $100K-$500K to trial marketing and acquisitions, and confirm structure, timing and decision authority.</x:v>
      </x:c>
      <x:c r="U935" s="25" t="str">
        <x:v>https://www.cashhomebuyersdirectory.com/cash-home-buyers/nebraska/omaha</x:v>
      </x:c>
      <x:c r="V935" s="26" t="d">
        <x:v>2026-10-02T00:00:00.000Z</x:v>
      </x:c>
      <x:c r="W935" s="26" t="d">
        <x:v>2026-10-02T00:00:00.000Z</x:v>
      </x:c>
      <x:c r="X935" s="25" t="str">
        <x:v>CashHomeBuyersDirectory third-party business listing; first-party business activity not checked in this batch</x:v>
      </x:c>
      <x:c r="Y935" s="25"/>
      <x:c r="Z935" s="25" t="str">
        <x:v>https://www.cashhomebuyersdirectory.com/cash-home-buyers/nebraska/omaha</x:v>
      </x:c>
      <x:c r="AA935" s="25" t="str">
        <x:v>Public cash-home-buyer directory lists the business name, business phone/website where available and market. Operator role and corporate funding willingness require confirmation.</x:v>
      </x:c>
      <x:c r="AB935" s="3" t="str">
        <x:v>New public-source collection</x:v>
      </x:c>
      <x:c r="AC935" s="3" t="str">
        <x:v>unverified</x:v>
      </x:c>
      <x:c r="AD935" s="3" t="str">
        <x:v>Not contacted / unconfirmed</x:v>
      </x:c>
      <x:c r="AE935" s="3" t="str">
        <x:v>No</x:v>
      </x:c>
      <x:c r="AF935" s="3" t="str">
        <x:v>No</x:v>
      </x:c>
      <x:c r="AG935" s="3"/>
      <x:c r="AH935" s="3"/>
      <x:c r="AI935" s="18"/>
      <x:c r="AJ935" s="3" t="str">
        <x:v>CF2500-E07E6FB723F3</x:v>
      </x:c>
      <x:c r="AK935" s="3" t="str">
        <x:v>real_estate_operator</x:v>
      </x:c>
      <x:c r="AL935" s="19" t="n">
        <x:v>100000</x:v>
      </x:c>
      <x:c r="AM935" s="19" t="n">
        <x:v>500000</x:v>
      </x:c>
      <x:c r="AN935" s="3" t="str">
        <x:v>https://www.cashhomebuyersdirectory.com/cash-home-buyers/nebraska/omaha</x:v>
      </x:c>
      <x:c r="AO935" s="3" t="str">
        <x:v>national_rest_directory_complete.jsonl</x:v>
      </x:c>
      <x:c r="AP935" s="19"/>
    </x:row>
    <x:row r="936" ht="36" customHeight="1">
      <x:c r="A936" s="23" t="n">
        <x:v>935</x:v>
      </x:c>
      <x:c r="B936" s="15" t="str">
        <x:v>Buckeye Home Buyers</x:v>
      </x:c>
      <x:c r="C936" s="15"/>
      <x:c r="D936" s="15" t="str">
        <x:v>Property investor / home-buying operator</x:v>
      </x:c>
      <x:c r="E936" s="15" t="str">
        <x:v>Property investor / operator inquiry</x:v>
      </x:c>
      <x:c r="F936" s="17" t="str">
        <x:v>New</x:v>
      </x:c>
      <x:c r="G936" s="24"/>
      <x:c r="H936" s="24" t="str">
        <x:v>+19372002274</x:v>
      </x:c>
      <x:c r="I936" s="24" t="str">
        <x:v>http://www.webuyohio.com/</x:v>
      </x:c>
      <x:c r="J936" s="16" t="str">
        <x:v>OH</x:v>
      </x:c>
      <x:c r="K936" s="16" t="str">
        <x:v>Beavercreek</x:v>
      </x:c>
      <x:c r="L936" s="16" t="str">
        <x:v>Public property-business route; investor decision maker unconfirmed</x:v>
      </x:c>
      <x:c r="M936" s="16" t="str">
        <x:v>http://www.webuyohio.com/</x:v>
      </x:c>
      <x:c r="N936" s="16" t="str">
        <x:v>$100K-$500K ticket not published / unconfirmed</x:v>
      </x:c>
      <x:c r="O936" s="20"/>
      <x:c r="P936" s="20"/>
      <x:c r="Q936" s="25" t="str">
        <x:v>No direct corporate-capital range established in checked source</x:v>
      </x:c>
      <x:c r="R936" s="25" t="str">
        <x:v>Property acquisition or investor activity makes this an operator-capital prospect for the signed trial. Confirm operating-company debt/equity appetite.</x:v>
      </x:c>
      <x:c r="S936" s="25"/>
      <x:c r="T936" s="25" t="str">
        <x:v>Ask the owner/investor whether they can allocate $100K-$500K to trial marketing and acquisitions, and confirm structure, timing and decision authority.</x:v>
      </x:c>
      <x:c r="U936" s="25" t="str">
        <x:v>https://www.cashhomebuyersdirectory.com/cash-home-buyers/ohio/beavercreek</x:v>
      </x:c>
      <x:c r="V936" s="26" t="d">
        <x:v>2026-10-02T00:00:00.000Z</x:v>
      </x:c>
      <x:c r="W936" s="26" t="d">
        <x:v>2026-10-02T00:00:00.000Z</x:v>
      </x:c>
      <x:c r="X936" s="25" t="str">
        <x:v>CashHomeBuyersDirectory third-party business listing; first-party business activity not checked in this batch</x:v>
      </x:c>
      <x:c r="Y936" s="25"/>
      <x:c r="Z936" s="25" t="str">
        <x:v>https://www.cashhomebuyersdirectory.com/cash-home-buyers/ohio/beavercreek</x:v>
      </x:c>
      <x:c r="AA936" s="25" t="str">
        <x:v>Public cash-home-buyer directory lists the business name, business phone/website where available and market. Operator role and corporate funding willingness require confirmation.</x:v>
      </x:c>
      <x:c r="AB936" s="3" t="str">
        <x:v>New public-source collection</x:v>
      </x:c>
      <x:c r="AC936" s="3" t="str">
        <x:v>unverified</x:v>
      </x:c>
      <x:c r="AD936" s="3" t="str">
        <x:v>Not contacted / unconfirmed</x:v>
      </x:c>
      <x:c r="AE936" s="3" t="str">
        <x:v>No</x:v>
      </x:c>
      <x:c r="AF936" s="3" t="str">
        <x:v>No</x:v>
      </x:c>
      <x:c r="AG936" s="3"/>
      <x:c r="AH936" s="3"/>
      <x:c r="AI936" s="18"/>
      <x:c r="AJ936" s="3" t="str">
        <x:v>CF2500-DDFCBFDBFE69</x:v>
      </x:c>
      <x:c r="AK936" s="3" t="str">
        <x:v>real_estate_operator</x:v>
      </x:c>
      <x:c r="AL936" s="19" t="n">
        <x:v>100000</x:v>
      </x:c>
      <x:c r="AM936" s="19" t="n">
        <x:v>500000</x:v>
      </x:c>
      <x:c r="AN936" s="3" t="str">
        <x:v>https://www.cashhomebuyersdirectory.com/cash-home-buyers/ohio/beavercreek</x:v>
      </x:c>
      <x:c r="AO936" s="3" t="str">
        <x:v>national_rest_directory_complete.jsonl</x:v>
      </x:c>
      <x:c r="AP936" s="19"/>
    </x:row>
    <x:row r="937" ht="36" customHeight="1">
      <x:c r="A937" s="23" t="n">
        <x:v>936</x:v>
      </x:c>
      <x:c r="B937" s="15" t="str">
        <x:v>Buffalo Home Buyers</x:v>
      </x:c>
      <x:c r="C937" s="15"/>
      <x:c r="D937" s="15" t="str">
        <x:v>Property investor / home-buying operator</x:v>
      </x:c>
      <x:c r="E937" s="15" t="str">
        <x:v>Property investor / operator inquiry</x:v>
      </x:c>
      <x:c r="F937" s="17" t="str">
        <x:v>New</x:v>
      </x:c>
      <x:c r="G937" s="24"/>
      <x:c r="H937" s="24" t="str">
        <x:v>+17163002274</x:v>
      </x:c>
      <x:c r="I937" s="24" t="str">
        <x:v>https://www.buffalohomebuyers.com/</x:v>
      </x:c>
      <x:c r="J937" s="16" t="str">
        <x:v>NY</x:v>
      </x:c>
      <x:c r="K937" s="16" t="str">
        <x:v>Buffalo</x:v>
      </x:c>
      <x:c r="L937" s="16" t="str">
        <x:v>Public property-business route; investor decision maker unconfirmed</x:v>
      </x:c>
      <x:c r="M937" s="16" t="str">
        <x:v>https://www.buffalohomebuyers.com/</x:v>
      </x:c>
      <x:c r="N937" s="16" t="str">
        <x:v>$100K-$500K ticket not published / unconfirmed</x:v>
      </x:c>
      <x:c r="O937" s="20"/>
      <x:c r="P937" s="20"/>
      <x:c r="Q937" s="25" t="str">
        <x:v>No direct corporate-capital range established in checked source</x:v>
      </x:c>
      <x:c r="R937" s="25" t="str">
        <x:v>Property acquisition or investor activity makes this an operator-capital prospect for the signed trial. Confirm operating-company debt/equity appetite.</x:v>
      </x:c>
      <x:c r="S937" s="25"/>
      <x:c r="T937" s="25" t="str">
        <x:v>Ask the owner/investor whether they can allocate $100K-$500K to trial marketing and acquisitions, and confirm structure, timing and decision authority.</x:v>
      </x:c>
      <x:c r="U937" s="25" t="str">
        <x:v>https://www.cashhomebuyersdirectory.com/cash-home-buyers/new-york/buffalo</x:v>
      </x:c>
      <x:c r="V937" s="26" t="d">
        <x:v>2026-10-02T00:00:00.000Z</x:v>
      </x:c>
      <x:c r="W937" s="26" t="d">
        <x:v>2026-10-02T00:00:00.000Z</x:v>
      </x:c>
      <x:c r="X937" s="25" t="str">
        <x:v>CashHomeBuyersDirectory third-party business listing; first-party business activity not checked in this batch</x:v>
      </x:c>
      <x:c r="Y937" s="25"/>
      <x:c r="Z937" s="25" t="str">
        <x:v>https://www.cashhomebuyersdirectory.com/cash-home-buyers/new-york/buffalo</x:v>
      </x:c>
      <x:c r="AA937" s="25" t="str">
        <x:v>Public cash-home-buyer directory lists the business name, business phone/website where available and market. Operator role and corporate funding willingness require confirmation.</x:v>
      </x:c>
      <x:c r="AB937" s="3" t="str">
        <x:v>New public-source collection</x:v>
      </x:c>
      <x:c r="AC937" s="3" t="str">
        <x:v>unverified</x:v>
      </x:c>
      <x:c r="AD937" s="3" t="str">
        <x:v>Not contacted / unconfirmed</x:v>
      </x:c>
      <x:c r="AE937" s="3" t="str">
        <x:v>No</x:v>
      </x:c>
      <x:c r="AF937" s="3" t="str">
        <x:v>No</x:v>
      </x:c>
      <x:c r="AG937" s="3"/>
      <x:c r="AH937" s="3"/>
      <x:c r="AI937" s="18"/>
      <x:c r="AJ937" s="3" t="str">
        <x:v>CF2500-C4DDE29D9154</x:v>
      </x:c>
      <x:c r="AK937" s="3" t="str">
        <x:v>real_estate_operator</x:v>
      </x:c>
      <x:c r="AL937" s="19" t="n">
        <x:v>100000</x:v>
      </x:c>
      <x:c r="AM937" s="19" t="n">
        <x:v>500000</x:v>
      </x:c>
      <x:c r="AN937" s="3" t="str">
        <x:v>https://www.cashhomebuyersdirectory.com/cash-home-buyers/new-york/buffalo</x:v>
      </x:c>
      <x:c r="AO937" s="3" t="str">
        <x:v>national_rest_directory_complete.jsonl</x:v>
      </x:c>
      <x:c r="AP937" s="19"/>
    </x:row>
    <x:row r="938" ht="36" customHeight="1">
      <x:c r="A938" s="23" t="n">
        <x:v>937</x:v>
      </x:c>
      <x:c r="B938" s="15" t="str">
        <x:v>BuyHousesBR, LLC</x:v>
      </x:c>
      <x:c r="C938" s="15"/>
      <x:c r="D938" s="15" t="str">
        <x:v>Property investor / home-buying operator</x:v>
      </x:c>
      <x:c r="E938" s="15" t="str">
        <x:v>Property investor / operator inquiry</x:v>
      </x:c>
      <x:c r="F938" s="17" t="str">
        <x:v>New</x:v>
      </x:c>
      <x:c r="G938" s="24"/>
      <x:c r="H938" s="24" t="str">
        <x:v>+12252171778</x:v>
      </x:c>
      <x:c r="I938" s="24" t="str">
        <x:v>http://www.buyhousesbr.com/</x:v>
      </x:c>
      <x:c r="J938" s="16" t="str">
        <x:v>LA</x:v>
      </x:c>
      <x:c r="K938" s="16"/>
      <x:c r="L938" s="16" t="str">
        <x:v>Public property-business route; investor decision maker unconfirmed</x:v>
      </x:c>
      <x:c r="M938" s="16" t="str">
        <x:v>http://www.buyhousesbr.com/</x:v>
      </x:c>
      <x:c r="N938" s="16" t="str">
        <x:v>$100K-$500K ticket not published / unconfirmed</x:v>
      </x:c>
      <x:c r="O938" s="20"/>
      <x:c r="P938" s="20"/>
      <x:c r="Q938" s="25" t="str">
        <x:v>No direct corporate-capital range established in checked source</x:v>
      </x:c>
      <x:c r="R938" s="25" t="str">
        <x:v>Property acquisition or investor activity makes this an operator-capital prospect for the signed trial. Confirm operating-company debt/equity appetite.</x:v>
      </x:c>
      <x:c r="S938" s="25"/>
      <x:c r="T938" s="25" t="str">
        <x:v>Ask the owner/investor whether they can allocate $100K-$500K to trial marketing and acquisitions, and confirm structure, timing and decision authority.</x:v>
      </x:c>
      <x:c r="U938" s="25" t="str">
        <x:v>https://www.cashhomebuyersdirectory.com/cash-home-buyers/louisiana/baton-rouge</x:v>
      </x:c>
      <x:c r="V938" s="26" t="d">
        <x:v>2026-10-02T00:00:00.000Z</x:v>
      </x:c>
      <x:c r="W938" s="26" t="d">
        <x:v>2026-10-02T00:00:00.000Z</x:v>
      </x:c>
      <x:c r="X938" s="25" t="str">
        <x:v>CashHomeBuyersDirectory third-party business listing; first-party business activity not checked in this batch</x:v>
      </x:c>
      <x:c r="Y938" s="25"/>
      <x:c r="Z938" s="25" t="str">
        <x:v>https://www.cashhomebuyersdirectory.com/cash-home-buyers/louisiana/baton-rouge</x:v>
      </x:c>
      <x:c r="AA938" s="25" t="str">
        <x:v>Public cash-home-buyer directory lists the business name, business phone/website where available and market. Operator role and corporate funding willingness require confirmation.</x:v>
      </x:c>
      <x:c r="AB938" s="3" t="str">
        <x:v>New public-source collection</x:v>
      </x:c>
      <x:c r="AC938" s="3" t="str">
        <x:v>unverified</x:v>
      </x:c>
      <x:c r="AD938" s="3" t="str">
        <x:v>Not contacted / unconfirmed</x:v>
      </x:c>
      <x:c r="AE938" s="3" t="str">
        <x:v>No</x:v>
      </x:c>
      <x:c r="AF938" s="3" t="str">
        <x:v>No</x:v>
      </x:c>
      <x:c r="AG938" s="3"/>
      <x:c r="AH938" s="3"/>
      <x:c r="AI938" s="18"/>
      <x:c r="AJ938" s="3" t="str">
        <x:v>CF2500-3F2063421B46</x:v>
      </x:c>
      <x:c r="AK938" s="3" t="str">
        <x:v>real_estate_operator</x:v>
      </x:c>
      <x:c r="AL938" s="19" t="n">
        <x:v>100000</x:v>
      </x:c>
      <x:c r="AM938" s="19" t="n">
        <x:v>500000</x:v>
      </x:c>
      <x:c r="AN938" s="3" t="str">
        <x:v>https://www.cashhomebuyersdirectory.com/cash-home-buyers/louisiana/baton-rouge</x:v>
      </x:c>
      <x:c r="AO938" s="3" t="str">
        <x:v>national_rest_directory_complete.jsonl</x:v>
      </x:c>
      <x:c r="AP938" s="19"/>
    </x:row>
    <x:row r="939" ht="36" customHeight="1">
      <x:c r="A939" s="23" t="n">
        <x:v>938</x:v>
      </x:c>
      <x:c r="B939" s="15" t="str">
        <x:v>CALI HOME BUYERS LLC.</x:v>
      </x:c>
      <x:c r="C939" s="15"/>
      <x:c r="D939" s="15" t="str">
        <x:v>Property investor / home-buying operator</x:v>
      </x:c>
      <x:c r="E939" s="15" t="str">
        <x:v>Property investor / operator inquiry</x:v>
      </x:c>
      <x:c r="F939" s="17" t="str">
        <x:v>New</x:v>
      </x:c>
      <x:c r="G939" s="24"/>
      <x:c r="H939" s="24" t="str">
        <x:v>+12137854180</x:v>
      </x:c>
      <x:c r="I939" s="24" t="str">
        <x:v>http://calihomebuyersllc.com/</x:v>
      </x:c>
      <x:c r="J939" s="16" t="str">
        <x:v>CA</x:v>
      </x:c>
      <x:c r="K939" s="16" t="str">
        <x:v>Los Angeles</x:v>
      </x:c>
      <x:c r="L939" s="16" t="str">
        <x:v>Public property-business route; investor decision maker unconfirmed</x:v>
      </x:c>
      <x:c r="M939" s="16" t="str">
        <x:v>http://calihomebuyersllc.com/</x:v>
      </x:c>
      <x:c r="N939" s="16" t="str">
        <x:v>$100K-$500K ticket not published / unconfirmed</x:v>
      </x:c>
      <x:c r="O939" s="20"/>
      <x:c r="P939" s="20"/>
      <x:c r="Q939" s="25" t="str">
        <x:v>No direct corporate-capital range established in checked source</x:v>
      </x:c>
      <x:c r="R939" s="25" t="str">
        <x:v>Property acquisition or investor activity makes this an operator-capital prospect for the signed trial. Confirm operating-company debt/equity appetite.</x:v>
      </x:c>
      <x:c r="S939" s="25"/>
      <x:c r="T939" s="25" t="str">
        <x:v>Ask the owner/investor whether they can allocate $100K-$500K to trial marketing and acquisitions, and confirm structure, timing and decision authority.</x:v>
      </x:c>
      <x:c r="U939" s="25" t="str">
        <x:v>https://www.cashhomebuyersdirectory.com/cash-home-buyers/california/los-angeles</x:v>
      </x:c>
      <x:c r="V939" s="26" t="d">
        <x:v>2026-10-02T00:00:00.000Z</x:v>
      </x:c>
      <x:c r="W939" s="26" t="d">
        <x:v>2026-10-02T00:00:00.000Z</x:v>
      </x:c>
      <x:c r="X939" s="25" t="str">
        <x:v>CashHomeBuyersDirectory third-party business listing; first-party business activity not checked in this batch</x:v>
      </x:c>
      <x:c r="Y939" s="25"/>
      <x:c r="Z939" s="25" t="str">
        <x:v>https://www.cashhomebuyersdirectory.com/cash-home-buyers/california/los-angeles</x:v>
      </x:c>
      <x:c r="AA939" s="25" t="str">
        <x:v>Public cash-home-buyer directory lists the business name, business phone/website where available and market. Operator role and corporate funding willingness require confirmation.</x:v>
      </x:c>
      <x:c r="AB939" s="3" t="str">
        <x:v>New public-source collection</x:v>
      </x:c>
      <x:c r="AC939" s="3" t="str">
        <x:v>unverified</x:v>
      </x:c>
      <x:c r="AD939" s="3" t="str">
        <x:v>Not contacted / unconfirmed</x:v>
      </x:c>
      <x:c r="AE939" s="3" t="str">
        <x:v>No</x:v>
      </x:c>
      <x:c r="AF939" s="3" t="str">
        <x:v>No</x:v>
      </x:c>
      <x:c r="AG939" s="3"/>
      <x:c r="AH939" s="3"/>
      <x:c r="AI939" s="18"/>
      <x:c r="AJ939" s="3" t="str">
        <x:v>CF2500-25808F060D0C</x:v>
      </x:c>
      <x:c r="AK939" s="3" t="str">
        <x:v>real_estate_operator</x:v>
      </x:c>
      <x:c r="AL939" s="19" t="n">
        <x:v>100000</x:v>
      </x:c>
      <x:c r="AM939" s="19" t="n">
        <x:v>500000</x:v>
      </x:c>
      <x:c r="AN939" s="3" t="str">
        <x:v>https://www.cashhomebuyersdirectory.com/cash-home-buyers/california/los-angeles</x:v>
      </x:c>
      <x:c r="AO939" s="3" t="str">
        <x:v>national_rest_directory_complete.jsonl</x:v>
      </x:c>
      <x:c r="AP939" s="19"/>
    </x:row>
    <x:row r="940" ht="36" customHeight="1">
      <x:c r="A940" s="23" t="n">
        <x:v>939</x:v>
      </x:c>
      <x:c r="B940" s="15" t="str">
        <x:v>California Family Homebuyers</x:v>
      </x:c>
      <x:c r="C940" s="15"/>
      <x:c r="D940" s="15" t="str">
        <x:v>Property investor / home-buying operator</x:v>
      </x:c>
      <x:c r="E940" s="15" t="str">
        <x:v>Property investor / operator inquiry</x:v>
      </x:c>
      <x:c r="F940" s="17" t="str">
        <x:v>New</x:v>
      </x:c>
      <x:c r="G940" s="24"/>
      <x:c r="H940" s="24" t="str">
        <x:v>+19164963737</x:v>
      </x:c>
      <x:c r="I940" s="24" t="str">
        <x:v>https://www.californiafamilyhomebuyers.com/</x:v>
      </x:c>
      <x:c r="J940" s="16" t="str">
        <x:v>CA</x:v>
      </x:c>
      <x:c r="K940" s="16" t="str">
        <x:v>Sacramento</x:v>
      </x:c>
      <x:c r="L940" s="16" t="str">
        <x:v>Public property-business route; investor decision maker unconfirmed</x:v>
      </x:c>
      <x:c r="M940" s="16" t="str">
        <x:v>https://www.californiafamilyhomebuyers.com/</x:v>
      </x:c>
      <x:c r="N940" s="16" t="str">
        <x:v>$100K-$500K ticket not published / unconfirmed</x:v>
      </x:c>
      <x:c r="O940" s="20"/>
      <x:c r="P940" s="20"/>
      <x:c r="Q940" s="25" t="str">
        <x:v>No direct corporate-capital range established in checked source</x:v>
      </x:c>
      <x:c r="R940" s="25" t="str">
        <x:v>Property acquisition or investor activity makes this an operator-capital prospect for the signed trial. Confirm operating-company debt/equity appetite.</x:v>
      </x:c>
      <x:c r="S940" s="25"/>
      <x:c r="T940" s="25" t="str">
        <x:v>Ask the owner/investor whether they can allocate $100K-$500K to trial marketing and acquisitions, and confirm structure, timing and decision authority.</x:v>
      </x:c>
      <x:c r="U940" s="25" t="str">
        <x:v>https://www.cashhomebuyersdirectory.com/cash-home-buyers/california/sacramento</x:v>
      </x:c>
      <x:c r="V940" s="26" t="d">
        <x:v>2026-10-02T00:00:00.000Z</x:v>
      </x:c>
      <x:c r="W940" s="26" t="d">
        <x:v>2026-10-02T00:00:00.000Z</x:v>
      </x:c>
      <x:c r="X940" s="25" t="str">
        <x:v>CashHomeBuyersDirectory third-party business listing; first-party business activity not checked in this batch</x:v>
      </x:c>
      <x:c r="Y940" s="25"/>
      <x:c r="Z940" s="25" t="str">
        <x:v>https://www.cashhomebuyersdirectory.com/cash-home-buyers/california/sacramento</x:v>
      </x:c>
      <x:c r="AA940" s="25" t="str">
        <x:v>Public cash-home-buyer directory lists the business name, business phone/website where available and market. Operator role and corporate funding willingness require confirmation.</x:v>
      </x:c>
      <x:c r="AB940" s="3" t="str">
        <x:v>New public-source collection</x:v>
      </x:c>
      <x:c r="AC940" s="3" t="str">
        <x:v>unverified</x:v>
      </x:c>
      <x:c r="AD940" s="3" t="str">
        <x:v>Not contacted / unconfirmed</x:v>
      </x:c>
      <x:c r="AE940" s="3" t="str">
        <x:v>No</x:v>
      </x:c>
      <x:c r="AF940" s="3" t="str">
        <x:v>No</x:v>
      </x:c>
      <x:c r="AG940" s="3"/>
      <x:c r="AH940" s="3"/>
      <x:c r="AI940" s="18"/>
      <x:c r="AJ940" s="3" t="str">
        <x:v>CF2500-4909BFD2B105</x:v>
      </x:c>
      <x:c r="AK940" s="3" t="str">
        <x:v>real_estate_operator</x:v>
      </x:c>
      <x:c r="AL940" s="19" t="n">
        <x:v>100000</x:v>
      </x:c>
      <x:c r="AM940" s="19" t="n">
        <x:v>500000</x:v>
      </x:c>
      <x:c r="AN940" s="3" t="str">
        <x:v>https://www.cashhomebuyersdirectory.com/cash-home-buyers/california/sacramento</x:v>
      </x:c>
      <x:c r="AO940" s="3" t="str">
        <x:v>national_rest_directory_complete.jsonl</x:v>
      </x:c>
      <x:c r="AP940" s="19"/>
    </x:row>
    <x:row r="941" ht="36" customHeight="1">
      <x:c r="A941" s="23" t="n">
        <x:v>940</x:v>
      </x:c>
      <x:c r="B941" s="15" t="str">
        <x:v>California House Buyers</x:v>
      </x:c>
      <x:c r="C941" s="15"/>
      <x:c r="D941" s="15" t="str">
        <x:v>Property investor / home-buying operator</x:v>
      </x:c>
      <x:c r="E941" s="15" t="str">
        <x:v>Property investor / operator inquiry</x:v>
      </x:c>
      <x:c r="F941" s="17" t="str">
        <x:v>New</x:v>
      </x:c>
      <x:c r="G941" s="24"/>
      <x:c r="H941" s="24" t="str">
        <x:v>+19169649106</x:v>
      </x:c>
      <x:c r="I941" s="24" t="str">
        <x:v>https://www.californiahousebuyer.org/</x:v>
      </x:c>
      <x:c r="J941" s="16" t="str">
        <x:v>CA</x:v>
      </x:c>
      <x:c r="K941" s="16"/>
      <x:c r="L941" s="16" t="str">
        <x:v>Public property-business route; investor decision maker unconfirmed</x:v>
      </x:c>
      <x:c r="M941" s="16" t="str">
        <x:v>https://www.californiahousebuyer.org/</x:v>
      </x:c>
      <x:c r="N941" s="16" t="str">
        <x:v>$100K-$500K ticket not published / unconfirmed</x:v>
      </x:c>
      <x:c r="O941" s="20"/>
      <x:c r="P941" s="20"/>
      <x:c r="Q941" s="25" t="str">
        <x:v>No direct corporate-capital range established in checked source</x:v>
      </x:c>
      <x:c r="R941" s="25" t="str">
        <x:v>Property acquisition or investor activity makes this an operator-capital prospect for the signed trial. Confirm operating-company debt/equity appetite.</x:v>
      </x:c>
      <x:c r="S941" s="25"/>
      <x:c r="T941" s="25" t="str">
        <x:v>Ask the owner/investor whether they can allocate $100K-$500K to trial marketing and acquisitions, and confirm structure, timing and decision authority.</x:v>
      </x:c>
      <x:c r="U941" s="25" t="str">
        <x:v>https://www.cashhomebuyersdirectory.com/cash-home-buyers/california/sacramento</x:v>
      </x:c>
      <x:c r="V941" s="26" t="d">
        <x:v>2026-10-02T00:00:00.000Z</x:v>
      </x:c>
      <x:c r="W941" s="26" t="d">
        <x:v>2026-10-02T00:00:00.000Z</x:v>
      </x:c>
      <x:c r="X941" s="25" t="str">
        <x:v>CashHomeBuyersDirectory third-party business listing; first-party business activity not checked in this batch</x:v>
      </x:c>
      <x:c r="Y941" s="25"/>
      <x:c r="Z941" s="25" t="str">
        <x:v>https://www.cashhomebuyersdirectory.com/cash-home-buyers/california/sacramento</x:v>
      </x:c>
      <x:c r="AA941" s="25" t="str">
        <x:v>Public cash-home-buyer directory lists the business name, business phone/website where available and market. Operator role and corporate funding willingness require confirmation.</x:v>
      </x:c>
      <x:c r="AB941" s="3" t="str">
        <x:v>New public-source collection</x:v>
      </x:c>
      <x:c r="AC941" s="3" t="str">
        <x:v>unverified</x:v>
      </x:c>
      <x:c r="AD941" s="3" t="str">
        <x:v>Not contacted / unconfirmed</x:v>
      </x:c>
      <x:c r="AE941" s="3" t="str">
        <x:v>No</x:v>
      </x:c>
      <x:c r="AF941" s="3" t="str">
        <x:v>No</x:v>
      </x:c>
      <x:c r="AG941" s="3"/>
      <x:c r="AH941" s="3"/>
      <x:c r="AI941" s="18"/>
      <x:c r="AJ941" s="3" t="str">
        <x:v>CF2500-43BAAC62CA66</x:v>
      </x:c>
      <x:c r="AK941" s="3" t="str">
        <x:v>real_estate_operator</x:v>
      </x:c>
      <x:c r="AL941" s="19" t="n">
        <x:v>100000</x:v>
      </x:c>
      <x:c r="AM941" s="19" t="n">
        <x:v>500000</x:v>
      </x:c>
      <x:c r="AN941" s="3" t="str">
        <x:v>https://www.cashhomebuyersdirectory.com/cash-home-buyers/california/sacramento</x:v>
      </x:c>
      <x:c r="AO941" s="3" t="str">
        <x:v>national_rest_directory_complete.jsonl</x:v>
      </x:c>
      <x:c r="AP941" s="19"/>
    </x:row>
    <x:row r="942" ht="36" customHeight="1">
      <x:c r="A942" s="23" t="n">
        <x:v>941</x:v>
      </x:c>
      <x:c r="B942" s="15" t="str">
        <x:v>Capable Home Buyers</x:v>
      </x:c>
      <x:c r="C942" s="15"/>
      <x:c r="D942" s="15" t="str">
        <x:v>Property investor / home-buying operator</x:v>
      </x:c>
      <x:c r="E942" s="15" t="str">
        <x:v>Property investor / operator inquiry</x:v>
      </x:c>
      <x:c r="F942" s="17" t="str">
        <x:v>New</x:v>
      </x:c>
      <x:c r="G942" s="24"/>
      <x:c r="H942" s="24" t="str">
        <x:v>+17576991201</x:v>
      </x:c>
      <x:c r="I942" s="24" t="str">
        <x:v>https://www.capablehomebuyers.com/</x:v>
      </x:c>
      <x:c r="J942" s="16" t="str">
        <x:v>VA</x:v>
      </x:c>
      <x:c r="K942" s="16" t="str">
        <x:v>Chesapeake</x:v>
      </x:c>
      <x:c r="L942" s="16" t="str">
        <x:v>Public property-business route; investor decision maker unconfirmed</x:v>
      </x:c>
      <x:c r="M942" s="16" t="str">
        <x:v>https://www.capablehomebuyers.com/</x:v>
      </x:c>
      <x:c r="N942" s="16" t="str">
        <x:v>$100K-$500K ticket not published / unconfirmed</x:v>
      </x:c>
      <x:c r="O942" s="20"/>
      <x:c r="P942" s="20"/>
      <x:c r="Q942" s="25" t="str">
        <x:v>No direct corporate-capital range established in checked source</x:v>
      </x:c>
      <x:c r="R942" s="25" t="str">
        <x:v>Property acquisition or investor activity makes this an operator-capital prospect for the signed trial. Confirm operating-company debt/equity appetite.</x:v>
      </x:c>
      <x:c r="S942" s="25"/>
      <x:c r="T942" s="25" t="str">
        <x:v>Ask the owner/investor whether they can allocate $100K-$500K to trial marketing and acquisitions, and confirm structure, timing and decision authority.</x:v>
      </x:c>
      <x:c r="U942" s="25" t="str">
        <x:v>https://www.cashhomebuyersdirectory.com/cash-home-buyers/virginia/chesapeake</x:v>
      </x:c>
      <x:c r="V942" s="26" t="d">
        <x:v>2026-10-02T00:00:00.000Z</x:v>
      </x:c>
      <x:c r="W942" s="26" t="d">
        <x:v>2026-10-02T00:00:00.000Z</x:v>
      </x:c>
      <x:c r="X942" s="25" t="str">
        <x:v>CashHomeBuyersDirectory third-party business listing; first-party business activity not checked in this batch</x:v>
      </x:c>
      <x:c r="Y942" s="25"/>
      <x:c r="Z942" s="25" t="str">
        <x:v>https://www.cashhomebuyersdirectory.com/cash-home-buyers/virginia/chesapeake</x:v>
      </x:c>
      <x:c r="AA942" s="25" t="str">
        <x:v>Public cash-home-buyer directory lists the business name, business phone/website where available and market. Operator role and corporate funding willingness require confirmation.</x:v>
      </x:c>
      <x:c r="AB942" s="3" t="str">
        <x:v>New public-source collection</x:v>
      </x:c>
      <x:c r="AC942" s="3" t="str">
        <x:v>unverified</x:v>
      </x:c>
      <x:c r="AD942" s="3" t="str">
        <x:v>Not contacted / unconfirmed</x:v>
      </x:c>
      <x:c r="AE942" s="3" t="str">
        <x:v>No</x:v>
      </x:c>
      <x:c r="AF942" s="3" t="str">
        <x:v>No</x:v>
      </x:c>
      <x:c r="AG942" s="3"/>
      <x:c r="AH942" s="3"/>
      <x:c r="AI942" s="18"/>
      <x:c r="AJ942" s="3" t="str">
        <x:v>CF2500-8B8EBBE564A6</x:v>
      </x:c>
      <x:c r="AK942" s="3" t="str">
        <x:v>real_estate_operator</x:v>
      </x:c>
      <x:c r="AL942" s="19" t="n">
        <x:v>100000</x:v>
      </x:c>
      <x:c r="AM942" s="19" t="n">
        <x:v>500000</x:v>
      </x:c>
      <x:c r="AN942" s="3" t="str">
        <x:v>https://www.cashhomebuyersdirectory.com/cash-home-buyers/virginia/chesapeake</x:v>
      </x:c>
      <x:c r="AO942" s="3" t="str">
        <x:v>national_rest_directory_complete.jsonl</x:v>
      </x:c>
      <x:c r="AP942" s="19"/>
    </x:row>
    <x:row r="943" ht="36" customHeight="1">
      <x:c r="A943" s="23" t="n">
        <x:v>942</x:v>
      </x:c>
      <x:c r="B943" s="15" t="str">
        <x:v>Capitol Cash Offer</x:v>
      </x:c>
      <x:c r="C943" s="15"/>
      <x:c r="D943" s="15" t="str">
        <x:v>Property investor / home-buying operator</x:v>
      </x:c>
      <x:c r="E943" s="15" t="str">
        <x:v>Property investor / operator inquiry</x:v>
      </x:c>
      <x:c r="F943" s="17" t="str">
        <x:v>New</x:v>
      </x:c>
      <x:c r="G943" s="24"/>
      <x:c r="H943" s="24" t="str">
        <x:v>+12022352323</x:v>
      </x:c>
      <x:c r="I943" s="24" t="str">
        <x:v>https://www.capitolcashoffer.com/</x:v>
      </x:c>
      <x:c r="J943" s="16" t="str">
        <x:v>DC</x:v>
      </x:c>
      <x:c r="K943" s="16" t="str">
        <x:v>Washington</x:v>
      </x:c>
      <x:c r="L943" s="16" t="str">
        <x:v>Public property-business route; investor decision maker unconfirmed</x:v>
      </x:c>
      <x:c r="M943" s="16" t="str">
        <x:v>https://www.capitolcashoffer.com/</x:v>
      </x:c>
      <x:c r="N943" s="16" t="str">
        <x:v>$100K-$500K ticket not published / unconfirmed</x:v>
      </x:c>
      <x:c r="O943" s="20"/>
      <x:c r="P943" s="20"/>
      <x:c r="Q943" s="25" t="str">
        <x:v>No direct corporate-capital range established in checked source</x:v>
      </x:c>
      <x:c r="R943" s="25" t="str">
        <x:v>Property acquisition or investor activity makes this an operator-capital prospect for the signed trial. Confirm operating-company debt/equity appetite.</x:v>
      </x:c>
      <x:c r="S943" s="25"/>
      <x:c r="T943" s="25" t="str">
        <x:v>Ask the owner/investor whether they can allocate $100K-$500K to trial marketing and acquisitions, and confirm structure, timing and decision authority.</x:v>
      </x:c>
      <x:c r="U943" s="25" t="str">
        <x:v>https://www.cashhomebuyersdirectory.com/cash-home-buyers/district-of-columbia/washington</x:v>
      </x:c>
      <x:c r="V943" s="26" t="d">
        <x:v>2026-10-02T00:00:00.000Z</x:v>
      </x:c>
      <x:c r="W943" s="26" t="d">
        <x:v>2026-10-02T00:00:00.000Z</x:v>
      </x:c>
      <x:c r="X943" s="25" t="str">
        <x:v>CashHomeBuyersDirectory third-party business listing; first-party business activity not checked in this batch</x:v>
      </x:c>
      <x:c r="Y943" s="25"/>
      <x:c r="Z943" s="25" t="str">
        <x:v>https://www.cashhomebuyersdirectory.com/cash-home-buyers/district-of-columbia/washington</x:v>
      </x:c>
      <x:c r="AA943" s="25" t="str">
        <x:v>Public cash-home-buyer directory lists the business name, business phone/website where available and market. Operator role and corporate funding willingness require confirmation.</x:v>
      </x:c>
      <x:c r="AB943" s="3" t="str">
        <x:v>New public-source collection</x:v>
      </x:c>
      <x:c r="AC943" s="3" t="str">
        <x:v>unverified</x:v>
      </x:c>
      <x:c r="AD943" s="3" t="str">
        <x:v>Not contacted / unconfirmed</x:v>
      </x:c>
      <x:c r="AE943" s="3" t="str">
        <x:v>No</x:v>
      </x:c>
      <x:c r="AF943" s="3" t="str">
        <x:v>No</x:v>
      </x:c>
      <x:c r="AG943" s="3"/>
      <x:c r="AH943" s="3"/>
      <x:c r="AI943" s="18"/>
      <x:c r="AJ943" s="3" t="str">
        <x:v>CF2500-EBCEC77D5A0F</x:v>
      </x:c>
      <x:c r="AK943" s="3" t="str">
        <x:v>real_estate_operator</x:v>
      </x:c>
      <x:c r="AL943" s="19" t="n">
        <x:v>100000</x:v>
      </x:c>
      <x:c r="AM943" s="19" t="n">
        <x:v>500000</x:v>
      </x:c>
      <x:c r="AN943" s="3" t="str">
        <x:v>https://www.cashhomebuyersdirectory.com/cash-home-buyers/district-of-columbia/washington</x:v>
      </x:c>
      <x:c r="AO943" s="3" t="str">
        <x:v>national_rest_directory_complete.jsonl</x:v>
      </x:c>
      <x:c r="AP943" s="19"/>
    </x:row>
    <x:row r="944" ht="36" customHeight="1">
      <x:c r="A944" s="23" t="n">
        <x:v>943</x:v>
      </x:c>
      <x:c r="B944" s="15" t="str">
        <x:v>Cascade House Buyers</x:v>
      </x:c>
      <x:c r="C944" s="15"/>
      <x:c r="D944" s="15" t="str">
        <x:v>Property investor / home-buying operator</x:v>
      </x:c>
      <x:c r="E944" s="15" t="str">
        <x:v>Property investor / operator inquiry</x:v>
      </x:c>
      <x:c r="F944" s="17" t="str">
        <x:v>New</x:v>
      </x:c>
      <x:c r="G944" s="24"/>
      <x:c r="H944" s="24" t="str">
        <x:v>+19714497129</x:v>
      </x:c>
      <x:c r="I944" s="24" t="str">
        <x:v>https://www.cascadehousebuyers.com/?UTM_source=GBP_listing&amp;UTM_medium=organic&amp;source=gmb</x:v>
      </x:c>
      <x:c r="J944" s="16" t="str">
        <x:v>OR</x:v>
      </x:c>
      <x:c r="K944" s="16" t="str">
        <x:v>Portland</x:v>
      </x:c>
      <x:c r="L944" s="16" t="str">
        <x:v>Public property-business route; investor decision maker unconfirmed</x:v>
      </x:c>
      <x:c r="M944" s="16" t="str">
        <x:v>https://www.cascadehousebuyers.com/?UTM_source=GBP_listing&amp;UTM_medium=organic&amp;source=gmb</x:v>
      </x:c>
      <x:c r="N944" s="16" t="str">
        <x:v>$100K-$500K ticket not published / unconfirmed</x:v>
      </x:c>
      <x:c r="O944" s="20"/>
      <x:c r="P944" s="20"/>
      <x:c r="Q944" s="25" t="str">
        <x:v>No direct corporate-capital range established in checked source</x:v>
      </x:c>
      <x:c r="R944" s="25" t="str">
        <x:v>Property acquisition or investor activity makes this an operator-capital prospect for the signed trial. Confirm operating-company debt/equity appetite.</x:v>
      </x:c>
      <x:c r="S944" s="25"/>
      <x:c r="T944" s="25" t="str">
        <x:v>Ask the owner/investor whether they can allocate $100K-$500K to trial marketing and acquisitions, and confirm structure, timing and decision authority.</x:v>
      </x:c>
      <x:c r="U944" s="25" t="str">
        <x:v>https://www.cashhomebuyersdirectory.com/cash-home-buyers/oregon/portland</x:v>
      </x:c>
      <x:c r="V944" s="26" t="d">
        <x:v>2026-10-02T00:00:00.000Z</x:v>
      </x:c>
      <x:c r="W944" s="26" t="d">
        <x:v>2026-10-02T00:00:00.000Z</x:v>
      </x:c>
      <x:c r="X944" s="25" t="str">
        <x:v>CashHomeBuyersDirectory third-party business listing; first-party business activity not checked in this batch</x:v>
      </x:c>
      <x:c r="Y944" s="25"/>
      <x:c r="Z944" s="25" t="str">
        <x:v>https://www.cashhomebuyersdirectory.com/cash-home-buyers/oregon/portland</x:v>
      </x:c>
      <x:c r="AA944" s="25" t="str">
        <x:v>Public cash-home-buyer directory lists the business name, business phone/website where available and market. Operator role and corporate funding willingness require confirmation.</x:v>
      </x:c>
      <x:c r="AB944" s="3" t="str">
        <x:v>New public-source collection</x:v>
      </x:c>
      <x:c r="AC944" s="3" t="str">
        <x:v>unverified</x:v>
      </x:c>
      <x:c r="AD944" s="3" t="str">
        <x:v>Not contacted / unconfirmed</x:v>
      </x:c>
      <x:c r="AE944" s="3" t="str">
        <x:v>No</x:v>
      </x:c>
      <x:c r="AF944" s="3" t="str">
        <x:v>No</x:v>
      </x:c>
      <x:c r="AG944" s="3"/>
      <x:c r="AH944" s="3"/>
      <x:c r="AI944" s="18"/>
      <x:c r="AJ944" s="3" t="str">
        <x:v>CF2500-849E6A0CE4EA</x:v>
      </x:c>
      <x:c r="AK944" s="3" t="str">
        <x:v>real_estate_operator</x:v>
      </x:c>
      <x:c r="AL944" s="19" t="n">
        <x:v>100000</x:v>
      </x:c>
      <x:c r="AM944" s="19" t="n">
        <x:v>500000</x:v>
      </x:c>
      <x:c r="AN944" s="3" t="str">
        <x:v>https://www.cashhomebuyersdirectory.com/cash-home-buyers/oregon/portland</x:v>
      </x:c>
      <x:c r="AO944" s="3" t="str">
        <x:v>national_rest_directory_complete.jsonl</x:v>
      </x:c>
      <x:c r="AP944" s="19"/>
    </x:row>
    <x:row r="945" ht="36" customHeight="1">
      <x:c r="A945" s="23" t="n">
        <x:v>944</x:v>
      </x:c>
      <x:c r="B945" s="15" t="str">
        <x:v>Cash Home Buyers - Accredited Home Buyers LLC</x:v>
      </x:c>
      <x:c r="C945" s="15"/>
      <x:c r="D945" s="15" t="str">
        <x:v>Property investor / home-buying operator</x:v>
      </x:c>
      <x:c r="E945" s="15" t="str">
        <x:v>Property investor / operator inquiry</x:v>
      </x:c>
      <x:c r="F945" s="17" t="str">
        <x:v>New</x:v>
      </x:c>
      <x:c r="G945" s="24"/>
      <x:c r="H945" s="24" t="str">
        <x:v>+13017984597</x:v>
      </x:c>
      <x:c r="I945" s="24" t="str">
        <x:v>http://www.accreditedhomebuyers.com/</x:v>
      </x:c>
      <x:c r="J945" s="16" t="str">
        <x:v>MD</x:v>
      </x:c>
      <x:c r="K945" s="16" t="str">
        <x:v>Gaithersburg</x:v>
      </x:c>
      <x:c r="L945" s="16" t="str">
        <x:v>Public property-business route; investor decision maker unconfirmed</x:v>
      </x:c>
      <x:c r="M945" s="16" t="str">
        <x:v>http://www.accreditedhomebuyers.com/</x:v>
      </x:c>
      <x:c r="N945" s="16" t="str">
        <x:v>$100K-$500K ticket not published / unconfirmed</x:v>
      </x:c>
      <x:c r="O945" s="20"/>
      <x:c r="P945" s="20"/>
      <x:c r="Q945" s="25" t="str">
        <x:v>No direct corporate-capital range established in checked source</x:v>
      </x:c>
      <x:c r="R945" s="25" t="str">
        <x:v>Property acquisition or investor activity makes this an operator-capital prospect for the signed trial. Confirm operating-company debt/equity appetite.</x:v>
      </x:c>
      <x:c r="S945" s="25"/>
      <x:c r="T945" s="25" t="str">
        <x:v>Ask the owner/investor whether they can allocate $100K-$500K to trial marketing and acquisitions, and confirm structure, timing and decision authority.</x:v>
      </x:c>
      <x:c r="U945" s="25" t="str">
        <x:v>https://www.cashhomebuyersdirectory.com/cash-home-buyers/maryland/gaithersburg</x:v>
      </x:c>
      <x:c r="V945" s="26" t="d">
        <x:v>2026-10-02T00:00:00.000Z</x:v>
      </x:c>
      <x:c r="W945" s="26" t="d">
        <x:v>2026-10-02T00:00:00.000Z</x:v>
      </x:c>
      <x:c r="X945" s="25" t="str">
        <x:v>CashHomeBuyersDirectory third-party business listing; first-party business activity not checked in this batch</x:v>
      </x:c>
      <x:c r="Y945" s="25"/>
      <x:c r="Z945" s="25" t="str">
        <x:v>https://www.cashhomebuyersdirectory.com/cash-home-buyers/maryland/gaithersburg</x:v>
      </x:c>
      <x:c r="AA945" s="25" t="str">
        <x:v>Public cash-home-buyer directory lists the business name, business phone/website where available and market. Operator role and corporate funding willingness require confirmation.</x:v>
      </x:c>
      <x:c r="AB945" s="3" t="str">
        <x:v>New public-source collection</x:v>
      </x:c>
      <x:c r="AC945" s="3" t="str">
        <x:v>unverified</x:v>
      </x:c>
      <x:c r="AD945" s="3" t="str">
        <x:v>Not contacted / unconfirmed</x:v>
      </x:c>
      <x:c r="AE945" s="3" t="str">
        <x:v>No</x:v>
      </x:c>
      <x:c r="AF945" s="3" t="str">
        <x:v>No</x:v>
      </x:c>
      <x:c r="AG945" s="3"/>
      <x:c r="AH945" s="3"/>
      <x:c r="AI945" s="18"/>
      <x:c r="AJ945" s="3" t="str">
        <x:v>CF2500-9A81E73316CA</x:v>
      </x:c>
      <x:c r="AK945" s="3" t="str">
        <x:v>real_estate_operator</x:v>
      </x:c>
      <x:c r="AL945" s="19" t="n">
        <x:v>100000</x:v>
      </x:c>
      <x:c r="AM945" s="19" t="n">
        <x:v>500000</x:v>
      </x:c>
      <x:c r="AN945" s="3" t="str">
        <x:v>https://www.cashhomebuyersdirectory.com/cash-home-buyers/maryland/gaithersburg</x:v>
      </x:c>
      <x:c r="AO945" s="3" t="str">
        <x:v>national_rest_directory_complete.jsonl</x:v>
      </x:c>
      <x:c r="AP945" s="19"/>
    </x:row>
    <x:row r="946" ht="36" customHeight="1">
      <x:c r="A946" s="23" t="n">
        <x:v>945</x:v>
      </x:c>
      <x:c r="B946" s="15" t="str">
        <x:v>Cash Home Buyers CA</x:v>
      </x:c>
      <x:c r="C946" s="15"/>
      <x:c r="D946" s="15" t="str">
        <x:v>Property investor / home-buying operator</x:v>
      </x:c>
      <x:c r="E946" s="15" t="str">
        <x:v>Property investor / operator inquiry</x:v>
      </x:c>
      <x:c r="F946" s="17" t="str">
        <x:v>New</x:v>
      </x:c>
      <x:c r="G946" s="24"/>
      <x:c r="H946" s="24" t="str">
        <x:v>+14244934424</x:v>
      </x:c>
      <x:c r="I946" s="24" t="str">
        <x:v>https://cashhomebuyersca.com/</x:v>
      </x:c>
      <x:c r="J946" s="16" t="str">
        <x:v>CA</x:v>
      </x:c>
      <x:c r="K946" s="16"/>
      <x:c r="L946" s="16" t="str">
        <x:v>Public property-business route; investor decision maker unconfirmed</x:v>
      </x:c>
      <x:c r="M946" s="16" t="str">
        <x:v>https://cashhomebuyersca.com/</x:v>
      </x:c>
      <x:c r="N946" s="16" t="str">
        <x:v>$100K-$500K ticket not published / unconfirmed</x:v>
      </x:c>
      <x:c r="O946" s="20"/>
      <x:c r="P946" s="20"/>
      <x:c r="Q946" s="25" t="str">
        <x:v>No direct corporate-capital range established in checked source</x:v>
      </x:c>
      <x:c r="R946" s="25" t="str">
        <x:v>Property acquisition or investor activity makes this an operator-capital prospect for the signed trial. Confirm operating-company debt/equity appetite.</x:v>
      </x:c>
      <x:c r="S946" s="25"/>
      <x:c r="T946" s="25" t="str">
        <x:v>Ask the owner/investor whether they can allocate $100K-$500K to trial marketing and acquisitions, and confirm structure, timing and decision authority.</x:v>
      </x:c>
      <x:c r="U946" s="25" t="str">
        <x:v>https://www.cashhomebuyersdirectory.com/cash-home-buyers/california/los-angeles</x:v>
      </x:c>
      <x:c r="V946" s="26" t="d">
        <x:v>2026-10-02T00:00:00.000Z</x:v>
      </x:c>
      <x:c r="W946" s="26" t="d">
        <x:v>2026-10-02T00:00:00.000Z</x:v>
      </x:c>
      <x:c r="X946" s="25" t="str">
        <x:v>CashHomeBuyersDirectory third-party business listing; first-party business activity not checked in this batch</x:v>
      </x:c>
      <x:c r="Y946" s="25"/>
      <x:c r="Z946" s="25" t="str">
        <x:v>https://www.cashhomebuyersdirectory.com/cash-home-buyers/california/los-angeles</x:v>
      </x:c>
      <x:c r="AA946" s="25" t="str">
        <x:v>Public cash-home-buyer directory lists the business name, business phone/website where available and market. Operator role and corporate funding willingness require confirmation.</x:v>
      </x:c>
      <x:c r="AB946" s="3" t="str">
        <x:v>New public-source collection</x:v>
      </x:c>
      <x:c r="AC946" s="3" t="str">
        <x:v>unverified</x:v>
      </x:c>
      <x:c r="AD946" s="3" t="str">
        <x:v>Not contacted / unconfirmed</x:v>
      </x:c>
      <x:c r="AE946" s="3" t="str">
        <x:v>No</x:v>
      </x:c>
      <x:c r="AF946" s="3" t="str">
        <x:v>No</x:v>
      </x:c>
      <x:c r="AG946" s="3"/>
      <x:c r="AH946" s="3"/>
      <x:c r="AI946" s="18"/>
      <x:c r="AJ946" s="3" t="str">
        <x:v>CF2500-F15C03811932</x:v>
      </x:c>
      <x:c r="AK946" s="3" t="str">
        <x:v>real_estate_operator</x:v>
      </x:c>
      <x:c r="AL946" s="19" t="n">
        <x:v>100000</x:v>
      </x:c>
      <x:c r="AM946" s="19" t="n">
        <x:v>500000</x:v>
      </x:c>
      <x:c r="AN946" s="3" t="str">
        <x:v>https://www.cashhomebuyersdirectory.com/cash-home-buyers/california/los-angeles</x:v>
      </x:c>
      <x:c r="AO946" s="3" t="str">
        <x:v>national_rest_directory_complete.jsonl</x:v>
      </x:c>
      <x:c r="AP946" s="19"/>
    </x:row>
    <x:row r="947" ht="36" customHeight="1">
      <x:c r="A947" s="23" t="n">
        <x:v>946</x:v>
      </x:c>
      <x:c r="B947" s="15" t="str">
        <x:v>Cash Home Buyers Cudahy</x:v>
      </x:c>
      <x:c r="C947" s="15"/>
      <x:c r="D947" s="15" t="str">
        <x:v>Property investor / home-buying operator</x:v>
      </x:c>
      <x:c r="E947" s="15" t="str">
        <x:v>Property investor / operator inquiry</x:v>
      </x:c>
      <x:c r="F947" s="17" t="str">
        <x:v>New</x:v>
      </x:c>
      <x:c r="G947" s="24"/>
      <x:c r="H947" s="24" t="str">
        <x:v>+14143101185</x:v>
      </x:c>
      <x:c r="I947" s="24" t="str">
        <x:v>https://cashhomebuyerscudahy.com/</x:v>
      </x:c>
      <x:c r="J947" s="16" t="str">
        <x:v>WI</x:v>
      </x:c>
      <x:c r="K947" s="16" t="str">
        <x:v>Milwaukee</x:v>
      </x:c>
      <x:c r="L947" s="16" t="str">
        <x:v>Public property-business route; investor decision maker unconfirmed</x:v>
      </x:c>
      <x:c r="M947" s="16" t="str">
        <x:v>https://cashhomebuyerscudahy.com/</x:v>
      </x:c>
      <x:c r="N947" s="16" t="str">
        <x:v>$100K-$500K ticket not published / unconfirmed</x:v>
      </x:c>
      <x:c r="O947" s="20"/>
      <x:c r="P947" s="20"/>
      <x:c r="Q947" s="25" t="str">
        <x:v>No direct corporate-capital range established in checked source</x:v>
      </x:c>
      <x:c r="R947" s="25" t="str">
        <x:v>Property acquisition or investor activity makes this an operator-capital prospect for the signed trial. Confirm operating-company debt/equity appetite.</x:v>
      </x:c>
      <x:c r="S947" s="25"/>
      <x:c r="T947" s="25" t="str">
        <x:v>Ask the owner/investor whether they can allocate $100K-$500K to trial marketing and acquisitions, and confirm structure, timing and decision authority.</x:v>
      </x:c>
      <x:c r="U947" s="25" t="str">
        <x:v>https://www.cashhomebuyersdirectory.com/cash-home-buyers/wisconsin/milwaukee</x:v>
      </x:c>
      <x:c r="V947" s="26" t="d">
        <x:v>2026-10-02T00:00:00.000Z</x:v>
      </x:c>
      <x:c r="W947" s="26" t="d">
        <x:v>2026-10-02T00:00:00.000Z</x:v>
      </x:c>
      <x:c r="X947" s="25" t="str">
        <x:v>CashHomeBuyersDirectory third-party business listing; first-party business activity not checked in this batch</x:v>
      </x:c>
      <x:c r="Y947" s="25"/>
      <x:c r="Z947" s="25" t="str">
        <x:v>https://www.cashhomebuyersdirectory.com/cash-home-buyers/wisconsin/milwaukee</x:v>
      </x:c>
      <x:c r="AA947" s="25" t="str">
        <x:v>Public cash-home-buyer directory lists the business name, business phone/website where available and market. Operator role and corporate funding willingness require confirmation.</x:v>
      </x:c>
      <x:c r="AB947" s="3" t="str">
        <x:v>New public-source collection</x:v>
      </x:c>
      <x:c r="AC947" s="3" t="str">
        <x:v>unverified</x:v>
      </x:c>
      <x:c r="AD947" s="3" t="str">
        <x:v>Not contacted / unconfirmed</x:v>
      </x:c>
      <x:c r="AE947" s="3" t="str">
        <x:v>No</x:v>
      </x:c>
      <x:c r="AF947" s="3" t="str">
        <x:v>No</x:v>
      </x:c>
      <x:c r="AG947" s="3"/>
      <x:c r="AH947" s="3"/>
      <x:c r="AI947" s="18"/>
      <x:c r="AJ947" s="3" t="str">
        <x:v>CF2500-40A39CED2094</x:v>
      </x:c>
      <x:c r="AK947" s="3" t="str">
        <x:v>real_estate_operator</x:v>
      </x:c>
      <x:c r="AL947" s="19" t="n">
        <x:v>100000</x:v>
      </x:c>
      <x:c r="AM947" s="19" t="n">
        <x:v>500000</x:v>
      </x:c>
      <x:c r="AN947" s="3" t="str">
        <x:v>https://www.cashhomebuyersdirectory.com/cash-home-buyers/wisconsin/milwaukee</x:v>
      </x:c>
      <x:c r="AO947" s="3" t="str">
        <x:v>national_rest_directory_complete.jsonl</x:v>
      </x:c>
      <x:c r="AP947" s="19"/>
    </x:row>
    <x:row r="948" ht="36" customHeight="1">
      <x:c r="A948" s="23" t="n">
        <x:v>947</x:v>
      </x:c>
      <x:c r="B948" s="15" t="str">
        <x:v>Cash Home Buyers in New York | Sell House for Cash</x:v>
      </x:c>
      <x:c r="C948" s="15"/>
      <x:c r="D948" s="15" t="str">
        <x:v>Property investor / home-buying operator</x:v>
      </x:c>
      <x:c r="E948" s="15" t="str">
        <x:v>Property investor / operator inquiry</x:v>
      </x:c>
      <x:c r="F948" s="17" t="str">
        <x:v>New</x:v>
      </x:c>
      <x:c r="G948" s="24"/>
      <x:c r="H948" s="24" t="str">
        <x:v>+16469208900</x:v>
      </x:c>
      <x:c r="I948" s="24" t="str">
        <x:v>https://cashbuyersny.com/</x:v>
      </x:c>
      <x:c r="J948" s="16" t="str">
        <x:v>NY</x:v>
      </x:c>
      <x:c r="K948" s="16" t="str">
        <x:v>Albany</x:v>
      </x:c>
      <x:c r="L948" s="16" t="str">
        <x:v>Public property-business route; investor decision maker unconfirmed</x:v>
      </x:c>
      <x:c r="M948" s="16" t="str">
        <x:v>https://cashbuyersny.com/</x:v>
      </x:c>
      <x:c r="N948" s="16" t="str">
        <x:v>$100K-$500K ticket not published / unconfirmed</x:v>
      </x:c>
      <x:c r="O948" s="20"/>
      <x:c r="P948" s="20"/>
      <x:c r="Q948" s="25" t="str">
        <x:v>No direct corporate-capital range established in checked source</x:v>
      </x:c>
      <x:c r="R948" s="25" t="str">
        <x:v>Property acquisition or investor activity makes this an operator-capital prospect for the signed trial. Confirm operating-company debt/equity appetite.</x:v>
      </x:c>
      <x:c r="S948" s="25"/>
      <x:c r="T948" s="25" t="str">
        <x:v>Ask the owner/investor whether they can allocate $100K-$500K to trial marketing and acquisitions, and confirm structure, timing and decision authority.</x:v>
      </x:c>
      <x:c r="U948" s="25" t="str">
        <x:v>https://www.cashhomebuyersdirectory.com/cash-home-buyers/new-york/albany
https://www.cashhomebuyersdirectory.com/cash-home-buyers/new-york/binghamton
https://www.cashhomebuyersdirectory.com/cash-home-buyers/new-york/utica</x:v>
      </x:c>
      <x:c r="V948" s="26" t="d">
        <x:v>2026-10-02T00:00:00.000Z</x:v>
      </x:c>
      <x:c r="W948" s="26" t="d">
        <x:v>2026-10-02T00:00:00.000Z</x:v>
      </x:c>
      <x:c r="X948" s="25" t="str">
        <x:v>CashHomeBuyersDirectory third-party business listing; first-party business activity not checked in this batch</x:v>
      </x:c>
      <x:c r="Y948" s="25"/>
      <x:c r="Z948" s="25" t="str">
        <x:v>https://www.cashhomebuyersdirectory.com/cash-home-buyers/new-york/albany</x:v>
      </x:c>
      <x:c r="AA948" s="25" t="str">
        <x:v>Public cash-home-buyer directory lists the business name, business phone/website where available and market. Operator role and corporate funding willingness require confirmation.</x:v>
      </x:c>
      <x:c r="AB948" s="3" t="str">
        <x:v>New public-source collection</x:v>
      </x:c>
      <x:c r="AC948" s="3" t="str">
        <x:v>unverified</x:v>
      </x:c>
      <x:c r="AD948" s="3" t="str">
        <x:v>Not contacted / unconfirmed</x:v>
      </x:c>
      <x:c r="AE948" s="3" t="str">
        <x:v>No</x:v>
      </x:c>
      <x:c r="AF948" s="3" t="str">
        <x:v>No</x:v>
      </x:c>
      <x:c r="AG948" s="3"/>
      <x:c r="AH948" s="3"/>
      <x:c r="AI948" s="18"/>
      <x:c r="AJ948" s="3" t="str">
        <x:v>CF2500-05D34B634160</x:v>
      </x:c>
      <x:c r="AK948" s="3" t="str">
        <x:v>real_estate_operator</x:v>
      </x:c>
      <x:c r="AL948" s="19" t="n">
        <x:v>100000</x:v>
      </x:c>
      <x:c r="AM948" s="19" t="n">
        <x:v>500000</x:v>
      </x:c>
      <x:c r="AN948" s="3" t="str">
        <x:v>https://www.cashhomebuyersdirectory.com/cash-home-buyers/new-york/albany</x:v>
      </x:c>
      <x:c r="AO948" s="3" t="str">
        <x:v>national_rest_directory_complete.jsonl</x:v>
      </x:c>
      <x:c r="AP948" s="19"/>
    </x:row>
    <x:row r="949" ht="36" customHeight="1">
      <x:c r="A949" s="23" t="n">
        <x:v>948</x:v>
      </x:c>
      <x:c r="B949" s="15" t="str">
        <x:v>Cash home buyers Long Island</x:v>
      </x:c>
      <x:c r="C949" s="15"/>
      <x:c r="D949" s="15" t="str">
        <x:v>Property investor / home-buying operator</x:v>
      </x:c>
      <x:c r="E949" s="15" t="str">
        <x:v>Property investor / operator inquiry</x:v>
      </x:c>
      <x:c r="F949" s="17" t="str">
        <x:v>New</x:v>
      </x:c>
      <x:c r="G949" s="24"/>
      <x:c r="H949" s="24" t="str">
        <x:v>+15166473734</x:v>
      </x:c>
      <x:c r="I949" s="24" t="str">
        <x:v>http://cashhomebuyersli.com/</x:v>
      </x:c>
      <x:c r="J949" s="16" t="str">
        <x:v>NY</x:v>
      </x:c>
      <x:c r="K949" s="16"/>
      <x:c r="L949" s="16" t="str">
        <x:v>Public property-business route; investor decision maker unconfirmed</x:v>
      </x:c>
      <x:c r="M949" s="16" t="str">
        <x:v>http://cashhomebuyersli.com/</x:v>
      </x:c>
      <x:c r="N949" s="16" t="str">
        <x:v>$100K-$500K ticket not published / unconfirmed</x:v>
      </x:c>
      <x:c r="O949" s="20"/>
      <x:c r="P949" s="20"/>
      <x:c r="Q949" s="25" t="str">
        <x:v>No direct corporate-capital range established in checked source</x:v>
      </x:c>
      <x:c r="R949" s="25" t="str">
        <x:v>Property acquisition or investor activity makes this an operator-capital prospect for the signed trial. Confirm operating-company debt/equity appetite.</x:v>
      </x:c>
      <x:c r="S949" s="25"/>
      <x:c r="T949" s="25" t="str">
        <x:v>Ask the owner/investor whether they can allocate $100K-$500K to trial marketing and acquisitions, and confirm structure, timing and decision authority.</x:v>
      </x:c>
      <x:c r="U949" s="25" t="str">
        <x:v>https://www.cashhomebuyersdirectory.com/cash-home-buyers/new-york/albany</x:v>
      </x:c>
      <x:c r="V949" s="26" t="d">
        <x:v>2026-10-02T00:00:00.000Z</x:v>
      </x:c>
      <x:c r="W949" s="26" t="d">
        <x:v>2026-10-02T00:00:00.000Z</x:v>
      </x:c>
      <x:c r="X949" s="25" t="str">
        <x:v>CashHomeBuyersDirectory third-party business listing; first-party business activity not checked in this batch</x:v>
      </x:c>
      <x:c r="Y949" s="25"/>
      <x:c r="Z949" s="25" t="str">
        <x:v>https://www.cashhomebuyersdirectory.com/cash-home-buyers/new-york/albany</x:v>
      </x:c>
      <x:c r="AA949" s="25" t="str">
        <x:v>Public cash-home-buyer directory lists the business name, business phone/website where available and market. Operator role and corporate funding willingness require confirmation.</x:v>
      </x:c>
      <x:c r="AB949" s="3" t="str">
        <x:v>New public-source collection</x:v>
      </x:c>
      <x:c r="AC949" s="3" t="str">
        <x:v>unverified</x:v>
      </x:c>
      <x:c r="AD949" s="3" t="str">
        <x:v>Not contacted / unconfirmed</x:v>
      </x:c>
      <x:c r="AE949" s="3" t="str">
        <x:v>No</x:v>
      </x:c>
      <x:c r="AF949" s="3" t="str">
        <x:v>No</x:v>
      </x:c>
      <x:c r="AG949" s="3"/>
      <x:c r="AH949" s="3"/>
      <x:c r="AI949" s="18"/>
      <x:c r="AJ949" s="3" t="str">
        <x:v>CF2500-2B87AF425B36</x:v>
      </x:c>
      <x:c r="AK949" s="3" t="str">
        <x:v>real_estate_operator</x:v>
      </x:c>
      <x:c r="AL949" s="19" t="n">
        <x:v>100000</x:v>
      </x:c>
      <x:c r="AM949" s="19" t="n">
        <x:v>500000</x:v>
      </x:c>
      <x:c r="AN949" s="3" t="str">
        <x:v>https://www.cashhomebuyersdirectory.com/cash-home-buyers/new-york/albany</x:v>
      </x:c>
      <x:c r="AO949" s="3" t="str">
        <x:v>national_rest_directory_complete.jsonl</x:v>
      </x:c>
      <x:c r="AP949" s="19"/>
    </x:row>
    <x:row r="950" ht="36" customHeight="1">
      <x:c r="A950" s="23" t="n">
        <x:v>949</x:v>
      </x:c>
      <x:c r="B950" s="15" t="str">
        <x:v>Cash home buyers ny 120-20 liberty ave llc</x:v>
      </x:c>
      <x:c r="C950" s="15"/>
      <x:c r="D950" s="15" t="str">
        <x:v>Property investor / home-buying operator</x:v>
      </x:c>
      <x:c r="E950" s="15" t="str">
        <x:v>Property investor / operator inquiry</x:v>
      </x:c>
      <x:c r="F950" s="17" t="str">
        <x:v>New</x:v>
      </x:c>
      <x:c r="G950" s="24"/>
      <x:c r="H950" s="24" t="str">
        <x:v>+15165231099</x:v>
      </x:c>
      <x:c r="I950" s="24" t="str">
        <x:v>https://nationwidehomes4sale.com/</x:v>
      </x:c>
      <x:c r="J950" s="16" t="str">
        <x:v>NY</x:v>
      </x:c>
      <x:c r="K950" s="16"/>
      <x:c r="L950" s="16" t="str">
        <x:v>Public property-business route; investor decision maker unconfirmed</x:v>
      </x:c>
      <x:c r="M950" s="16" t="str">
        <x:v>https://nationwidehomes4sale.com/</x:v>
      </x:c>
      <x:c r="N950" s="16" t="str">
        <x:v>$100K-$500K ticket not published / unconfirmed</x:v>
      </x:c>
      <x:c r="O950" s="20"/>
      <x:c r="P950" s="20"/>
      <x:c r="Q950" s="25" t="str">
        <x:v>No direct corporate-capital range established in checked source</x:v>
      </x:c>
      <x:c r="R950" s="25" t="str">
        <x:v>Property acquisition or investor activity makes this an operator-capital prospect for the signed trial. Confirm operating-company debt/equity appetite.</x:v>
      </x:c>
      <x:c r="S950" s="25"/>
      <x:c r="T950" s="25" t="str">
        <x:v>Ask the owner/investor whether they can allocate $100K-$500K to trial marketing and acquisitions, and confirm structure, timing and decision authority.</x:v>
      </x:c>
      <x:c r="U950" s="25" t="str">
        <x:v>https://www.cashhomebuyersdirectory.com/cash-home-buyers/new-york/albany
https://www.cashhomebuyersdirectory.com/cash-home-buyers/new-york/new-york</x:v>
      </x:c>
      <x:c r="V950" s="26" t="d">
        <x:v>2026-10-02T00:00:00.000Z</x:v>
      </x:c>
      <x:c r="W950" s="26" t="d">
        <x:v>2026-10-02T00:00:00.000Z</x:v>
      </x:c>
      <x:c r="X950" s="25" t="str">
        <x:v>CashHomeBuyersDirectory third-party business listing; first-party business activity not checked in this batch</x:v>
      </x:c>
      <x:c r="Y950" s="25"/>
      <x:c r="Z950" s="25" t="str">
        <x:v>https://www.cashhomebuyersdirectory.com/cash-home-buyers/new-york/albany</x:v>
      </x:c>
      <x:c r="AA950" s="25" t="str">
        <x:v>Public cash-home-buyer directory lists the business name, business phone/website where available and market. Operator role and corporate funding willingness require confirmation.</x:v>
      </x:c>
      <x:c r="AB950" s="3" t="str">
        <x:v>New public-source collection</x:v>
      </x:c>
      <x:c r="AC950" s="3" t="str">
        <x:v>unverified</x:v>
      </x:c>
      <x:c r="AD950" s="3" t="str">
        <x:v>Not contacted / unconfirmed</x:v>
      </x:c>
      <x:c r="AE950" s="3" t="str">
        <x:v>No</x:v>
      </x:c>
      <x:c r="AF950" s="3" t="str">
        <x:v>No</x:v>
      </x:c>
      <x:c r="AG950" s="3"/>
      <x:c r="AH950" s="3"/>
      <x:c r="AI950" s="18"/>
      <x:c r="AJ950" s="3" t="str">
        <x:v>CF2500-8876060DF362</x:v>
      </x:c>
      <x:c r="AK950" s="3" t="str">
        <x:v>real_estate_operator</x:v>
      </x:c>
      <x:c r="AL950" s="19" t="n">
        <x:v>100000</x:v>
      </x:c>
      <x:c r="AM950" s="19" t="n">
        <x:v>500000</x:v>
      </x:c>
      <x:c r="AN950" s="3" t="str">
        <x:v>https://www.cashhomebuyersdirectory.com/cash-home-buyers/new-york/albany</x:v>
      </x:c>
      <x:c r="AO950" s="3" t="str">
        <x:v>national_rest_directory_complete.jsonl</x:v>
      </x:c>
      <x:c r="AP950" s="19"/>
    </x:row>
    <x:row r="951" ht="36" customHeight="1">
      <x:c r="A951" s="23" t="n">
        <x:v>950</x:v>
      </x:c>
      <x:c r="B951" s="15" t="str">
        <x:v>Cash Home Buyers NYC</x:v>
      </x:c>
      <x:c r="C951" s="15"/>
      <x:c r="D951" s="15" t="str">
        <x:v>Property investor / home-buying operator</x:v>
      </x:c>
      <x:c r="E951" s="15" t="str">
        <x:v>Property investor / operator inquiry</x:v>
      </x:c>
      <x:c r="F951" s="17" t="str">
        <x:v>New</x:v>
      </x:c>
      <x:c r="G951" s="24"/>
      <x:c r="H951" s="24" t="str">
        <x:v>+19176365863</x:v>
      </x:c>
      <x:c r="I951" s="24" t="str">
        <x:v>https://webuyhousesforcashnyc.com/cash-house-buyers-near-me/</x:v>
      </x:c>
      <x:c r="J951" s="16" t="str">
        <x:v>NJ</x:v>
      </x:c>
      <x:c r="K951" s="16"/>
      <x:c r="L951" s="16" t="str">
        <x:v>Public property-business route; investor decision maker unconfirmed</x:v>
      </x:c>
      <x:c r="M951" s="16" t="str">
        <x:v>https://webuyhousesforcashnyc.com/cash-house-buyers-near-me/</x:v>
      </x:c>
      <x:c r="N951" s="16" t="str">
        <x:v>$100K-$500K ticket not published / unconfirmed</x:v>
      </x:c>
      <x:c r="O951" s="20"/>
      <x:c r="P951" s="20"/>
      <x:c r="Q951" s="25" t="str">
        <x:v>No direct corporate-capital range established in checked source</x:v>
      </x:c>
      <x:c r="R951" s="25" t="str">
        <x:v>Property acquisition or investor activity makes this an operator-capital prospect for the signed trial. Confirm operating-company debt/equity appetite.</x:v>
      </x:c>
      <x:c r="S951" s="25"/>
      <x:c r="T951" s="25" t="str">
        <x:v>Ask the owner/investor whether they can allocate $100K-$500K to trial marketing and acquisitions, and confirm structure, timing and decision authority.</x:v>
      </x:c>
      <x:c r="U951" s="25" t="str">
        <x:v>https://www.cashhomebuyersdirectory.com/cash-home-buyers/new-jersey/jersey-city
https://www.cashhomebuyersdirectory.com/cash-home-buyers/new-york/new-york</x:v>
      </x:c>
      <x:c r="V951" s="26" t="d">
        <x:v>2026-10-02T00:00:00.000Z</x:v>
      </x:c>
      <x:c r="W951" s="26" t="d">
        <x:v>2026-10-02T00:00:00.000Z</x:v>
      </x:c>
      <x:c r="X951" s="25" t="str">
        <x:v>CashHomeBuyersDirectory third-party business listing; first-party business activity not checked in this batch</x:v>
      </x:c>
      <x:c r="Y951" s="25"/>
      <x:c r="Z951" s="25" t="str">
        <x:v>https://www.cashhomebuyersdirectory.com/cash-home-buyers/new-jersey/jersey-city</x:v>
      </x:c>
      <x:c r="AA951" s="25" t="str">
        <x:v>Public cash-home-buyer directory lists the business name, business phone/website where available and market. Operator role and corporate funding willingness require confirmation.</x:v>
      </x:c>
      <x:c r="AB951" s="3" t="str">
        <x:v>New public-source collection</x:v>
      </x:c>
      <x:c r="AC951" s="3" t="str">
        <x:v>unverified</x:v>
      </x:c>
      <x:c r="AD951" s="3" t="str">
        <x:v>Not contacted / unconfirmed</x:v>
      </x:c>
      <x:c r="AE951" s="3" t="str">
        <x:v>No</x:v>
      </x:c>
      <x:c r="AF951" s="3" t="str">
        <x:v>No</x:v>
      </x:c>
      <x:c r="AG951" s="3"/>
      <x:c r="AH951" s="3"/>
      <x:c r="AI951" s="18"/>
      <x:c r="AJ951" s="3" t="str">
        <x:v>CF2500-4AE74FB2A1E9</x:v>
      </x:c>
      <x:c r="AK951" s="3" t="str">
        <x:v>real_estate_operator</x:v>
      </x:c>
      <x:c r="AL951" s="19" t="n">
        <x:v>100000</x:v>
      </x:c>
      <x:c r="AM951" s="19" t="n">
        <x:v>500000</x:v>
      </x:c>
      <x:c r="AN951" s="3" t="str">
        <x:v>https://www.cashhomebuyersdirectory.com/cash-home-buyers/new-jersey/jersey-city</x:v>
      </x:c>
      <x:c r="AO951" s="3" t="str">
        <x:v>national_rest_directory_complete.jsonl</x:v>
      </x:c>
      <x:c r="AP951" s="19"/>
    </x:row>
    <x:row r="952" ht="36" customHeight="1">
      <x:c r="A952" s="23" t="n">
        <x:v>951</x:v>
      </x:c>
      <x:c r="B952" s="15" t="str">
        <x:v>Cash Homes Happen - Little Rock House Buyers</x:v>
      </x:c>
      <x:c r="C952" s="15"/>
      <x:c r="D952" s="15" t="str">
        <x:v>Property investor / home-buying operator</x:v>
      </x:c>
      <x:c r="E952" s="15" t="str">
        <x:v>Property investor / operator inquiry</x:v>
      </x:c>
      <x:c r="F952" s="17" t="str">
        <x:v>New</x:v>
      </x:c>
      <x:c r="G952" s="24"/>
      <x:c r="H952" s="24" t="str">
        <x:v>+15015071711</x:v>
      </x:c>
      <x:c r="I952" s="24" t="str">
        <x:v>http://www.cashhomeshappen.com/</x:v>
      </x:c>
      <x:c r="J952" s="16" t="str">
        <x:v>AR</x:v>
      </x:c>
      <x:c r="K952" s="16"/>
      <x:c r="L952" s="16" t="str">
        <x:v>Public property-business route; investor decision maker unconfirmed</x:v>
      </x:c>
      <x:c r="M952" s="16" t="str">
        <x:v>http://www.cashhomeshappen.com/</x:v>
      </x:c>
      <x:c r="N952" s="16" t="str">
        <x:v>$100K-$500K ticket not published / unconfirmed</x:v>
      </x:c>
      <x:c r="O952" s="20"/>
      <x:c r="P952" s="20"/>
      <x:c r="Q952" s="25" t="str">
        <x:v>No direct corporate-capital range established in checked source</x:v>
      </x:c>
      <x:c r="R952" s="25" t="str">
        <x:v>Property acquisition or investor activity makes this an operator-capital prospect for the signed trial. Confirm operating-company debt/equity appetite.</x:v>
      </x:c>
      <x:c r="S952" s="25"/>
      <x:c r="T952" s="25" t="str">
        <x:v>Ask the owner/investor whether they can allocate $100K-$500K to trial marketing and acquisitions, and confirm structure, timing and decision authority.</x:v>
      </x:c>
      <x:c r="U952" s="25" t="str">
        <x:v>https://www.cashhomebuyersdirectory.com/cash-home-buyers/arkansas/little-rock</x:v>
      </x:c>
      <x:c r="V952" s="26" t="d">
        <x:v>2026-10-02T00:00:00.000Z</x:v>
      </x:c>
      <x:c r="W952" s="26" t="d">
        <x:v>2026-10-02T00:00:00.000Z</x:v>
      </x:c>
      <x:c r="X952" s="25" t="str">
        <x:v>CashHomeBuyersDirectory third-party business listing; first-party business activity not checked in this batch</x:v>
      </x:c>
      <x:c r="Y952" s="25"/>
      <x:c r="Z952" s="25" t="str">
        <x:v>https://www.cashhomebuyersdirectory.com/cash-home-buyers/arkansas/little-rock</x:v>
      </x:c>
      <x:c r="AA952" s="25" t="str">
        <x:v>Public cash-home-buyer directory lists the business name, business phone/website where available and market. Operator role and corporate funding willingness require confirmation.</x:v>
      </x:c>
      <x:c r="AB952" s="3" t="str">
        <x:v>New public-source collection</x:v>
      </x:c>
      <x:c r="AC952" s="3" t="str">
        <x:v>unverified</x:v>
      </x:c>
      <x:c r="AD952" s="3" t="str">
        <x:v>Not contacted / unconfirmed</x:v>
      </x:c>
      <x:c r="AE952" s="3" t="str">
        <x:v>No</x:v>
      </x:c>
      <x:c r="AF952" s="3" t="str">
        <x:v>No</x:v>
      </x:c>
      <x:c r="AG952" s="3"/>
      <x:c r="AH952" s="3"/>
      <x:c r="AI952" s="18"/>
      <x:c r="AJ952" s="3" t="str">
        <x:v>CF2500-3ACCC73C1591</x:v>
      </x:c>
      <x:c r="AK952" s="3" t="str">
        <x:v>real_estate_operator</x:v>
      </x:c>
      <x:c r="AL952" s="19" t="n">
        <x:v>100000</x:v>
      </x:c>
      <x:c r="AM952" s="19" t="n">
        <x:v>500000</x:v>
      </x:c>
      <x:c r="AN952" s="3" t="str">
        <x:v>https://www.cashhomebuyersdirectory.com/cash-home-buyers/arkansas/little-rock</x:v>
      </x:c>
      <x:c r="AO952" s="3" t="str">
        <x:v>national_rest_directory_complete.jsonl</x:v>
      </x:c>
      <x:c r="AP952" s="19"/>
    </x:row>
    <x:row r="953" ht="36" customHeight="1">
      <x:c r="A953" s="23" t="n">
        <x:v>952</x:v>
      </x:c>
      <x:c r="B953" s="15" t="str">
        <x:v>Cash Homes Louisville</x:v>
      </x:c>
      <x:c r="C953" s="15"/>
      <x:c r="D953" s="15" t="str">
        <x:v>Property investor / home-buying operator</x:v>
      </x:c>
      <x:c r="E953" s="15" t="str">
        <x:v>Property investor / operator inquiry</x:v>
      </x:c>
      <x:c r="F953" s="17" t="str">
        <x:v>New</x:v>
      </x:c>
      <x:c r="G953" s="24"/>
      <x:c r="H953" s="24" t="str">
        <x:v>+15026451503</x:v>
      </x:c>
      <x:c r="I953" s="24" t="str">
        <x:v>https://www.cashhomeslouisville.com/?utm_source=google&amp;utm_medium=wix_google_business_profile&amp;utm_campaign=15509111690199556979</x:v>
      </x:c>
      <x:c r="J953" s="16" t="str">
        <x:v>KY</x:v>
      </x:c>
      <x:c r="K953" s="16"/>
      <x:c r="L953" s="16" t="str">
        <x:v>Public property-business route; investor decision maker unconfirmed</x:v>
      </x:c>
      <x:c r="M953" s="16" t="str">
        <x:v>https://www.cashhomeslouisville.com/?utm_source=google&amp;utm_medium=wix_google_business_profile&amp;utm_campaign=15509111690199556979</x:v>
      </x:c>
      <x:c r="N953" s="16" t="str">
        <x:v>$100K-$500K ticket not published / unconfirmed</x:v>
      </x:c>
      <x:c r="O953" s="20"/>
      <x:c r="P953" s="20"/>
      <x:c r="Q953" s="25" t="str">
        <x:v>No direct corporate-capital range established in checked source</x:v>
      </x:c>
      <x:c r="R953" s="25" t="str">
        <x:v>Property acquisition or investor activity makes this an operator-capital prospect for the signed trial. Confirm operating-company debt/equity appetite.</x:v>
      </x:c>
      <x:c r="S953" s="25"/>
      <x:c r="T953" s="25" t="str">
        <x:v>Ask the owner/investor whether they can allocate $100K-$500K to trial marketing and acquisitions, and confirm structure, timing and decision authority.</x:v>
      </x:c>
      <x:c r="U953" s="25" t="str">
        <x:v>https://www.cashhomebuyersdirectory.com/cash-home-buyers/kentucky/louisville</x:v>
      </x:c>
      <x:c r="V953" s="26" t="d">
        <x:v>2026-10-02T00:00:00.000Z</x:v>
      </x:c>
      <x:c r="W953" s="26" t="d">
        <x:v>2026-10-02T00:00:00.000Z</x:v>
      </x:c>
      <x:c r="X953" s="25" t="str">
        <x:v>CashHomeBuyersDirectory third-party business listing; first-party business activity not checked in this batch</x:v>
      </x:c>
      <x:c r="Y953" s="25"/>
      <x:c r="Z953" s="25" t="str">
        <x:v>https://www.cashhomebuyersdirectory.com/cash-home-buyers/kentucky/louisville</x:v>
      </x:c>
      <x:c r="AA953" s="25" t="str">
        <x:v>Public cash-home-buyer directory lists the business name, business phone/website where available and market. Operator role and corporate funding willingness require confirmation.</x:v>
      </x:c>
      <x:c r="AB953" s="3" t="str">
        <x:v>New public-source collection</x:v>
      </x:c>
      <x:c r="AC953" s="3" t="str">
        <x:v>unverified</x:v>
      </x:c>
      <x:c r="AD953" s="3" t="str">
        <x:v>Not contacted / unconfirmed</x:v>
      </x:c>
      <x:c r="AE953" s="3" t="str">
        <x:v>No</x:v>
      </x:c>
      <x:c r="AF953" s="3" t="str">
        <x:v>No</x:v>
      </x:c>
      <x:c r="AG953" s="3"/>
      <x:c r="AH953" s="3"/>
      <x:c r="AI953" s="18"/>
      <x:c r="AJ953" s="3" t="str">
        <x:v>CF2500-73AF1A457826</x:v>
      </x:c>
      <x:c r="AK953" s="3" t="str">
        <x:v>real_estate_operator</x:v>
      </x:c>
      <x:c r="AL953" s="19" t="n">
        <x:v>100000</x:v>
      </x:c>
      <x:c r="AM953" s="19" t="n">
        <x:v>500000</x:v>
      </x:c>
      <x:c r="AN953" s="3" t="str">
        <x:v>https://www.cashhomebuyersdirectory.com/cash-home-buyers/kentucky/louisville</x:v>
      </x:c>
      <x:c r="AO953" s="3" t="str">
        <x:v>national_rest_directory_complete.jsonl</x:v>
      </x:c>
      <x:c r="AP953" s="19"/>
    </x:row>
    <x:row r="954" ht="36" customHeight="1">
      <x:c r="A954" s="23" t="n">
        <x:v>953</x:v>
      </x:c>
      <x:c r="B954" s="15" t="str">
        <x:v>Cash Homes NWA</x:v>
      </x:c>
      <x:c r="C954" s="15"/>
      <x:c r="D954" s="15" t="str">
        <x:v>Property investor / home-buying operator</x:v>
      </x:c>
      <x:c r="E954" s="15" t="str">
        <x:v>Property investor / operator inquiry</x:v>
      </x:c>
      <x:c r="F954" s="17" t="str">
        <x:v>New</x:v>
      </x:c>
      <x:c r="G954" s="24"/>
      <x:c r="H954" s="24" t="str">
        <x:v>+14792592633</x:v>
      </x:c>
      <x:c r="I954" s="24" t="str">
        <x:v>http://www.cashhomesnwa.com/</x:v>
      </x:c>
      <x:c r="J954" s="16" t="str">
        <x:v>AR</x:v>
      </x:c>
      <x:c r="K954" s="16"/>
      <x:c r="L954" s="16" t="str">
        <x:v>Public property-business route; investor decision maker unconfirmed</x:v>
      </x:c>
      <x:c r="M954" s="16" t="str">
        <x:v>http://www.cashhomesnwa.com/</x:v>
      </x:c>
      <x:c r="N954" s="16" t="str">
        <x:v>$100K-$500K ticket not published / unconfirmed</x:v>
      </x:c>
      <x:c r="O954" s="20"/>
      <x:c r="P954" s="20"/>
      <x:c r="Q954" s="25" t="str">
        <x:v>No direct corporate-capital range established in checked source</x:v>
      </x:c>
      <x:c r="R954" s="25" t="str">
        <x:v>Property acquisition or investor activity makes this an operator-capital prospect for the signed trial. Confirm operating-company debt/equity appetite.</x:v>
      </x:c>
      <x:c r="S954" s="25"/>
      <x:c r="T954" s="25" t="str">
        <x:v>Ask the owner/investor whether they can allocate $100K-$500K to trial marketing and acquisitions, and confirm structure, timing and decision authority.</x:v>
      </x:c>
      <x:c r="U954" s="25" t="str">
        <x:v>https://www.cashhomebuyersdirectory.com/cash-home-buyers/arkansas/fayetteville</x:v>
      </x:c>
      <x:c r="V954" s="26" t="d">
        <x:v>2026-10-02T00:00:00.000Z</x:v>
      </x:c>
      <x:c r="W954" s="26" t="d">
        <x:v>2026-10-02T00:00:00.000Z</x:v>
      </x:c>
      <x:c r="X954" s="25" t="str">
        <x:v>CashHomeBuyersDirectory third-party business listing; first-party business activity not checked in this batch</x:v>
      </x:c>
      <x:c r="Y954" s="25"/>
      <x:c r="Z954" s="25" t="str">
        <x:v>https://www.cashhomebuyersdirectory.com/cash-home-buyers/arkansas/fayetteville</x:v>
      </x:c>
      <x:c r="AA954" s="25" t="str">
        <x:v>Public cash-home-buyer directory lists the business name, business phone/website where available and market. Operator role and corporate funding willingness require confirmation.</x:v>
      </x:c>
      <x:c r="AB954" s="3" t="str">
        <x:v>New public-source collection</x:v>
      </x:c>
      <x:c r="AC954" s="3" t="str">
        <x:v>unverified</x:v>
      </x:c>
      <x:c r="AD954" s="3" t="str">
        <x:v>Not contacted / unconfirmed</x:v>
      </x:c>
      <x:c r="AE954" s="3" t="str">
        <x:v>No</x:v>
      </x:c>
      <x:c r="AF954" s="3" t="str">
        <x:v>No</x:v>
      </x:c>
      <x:c r="AG954" s="3"/>
      <x:c r="AH954" s="3"/>
      <x:c r="AI954" s="18"/>
      <x:c r="AJ954" s="3" t="str">
        <x:v>CF2500-468004C46992</x:v>
      </x:c>
      <x:c r="AK954" s="3" t="str">
        <x:v>real_estate_operator</x:v>
      </x:c>
      <x:c r="AL954" s="19" t="n">
        <x:v>100000</x:v>
      </x:c>
      <x:c r="AM954" s="19" t="n">
        <x:v>500000</x:v>
      </x:c>
      <x:c r="AN954" s="3" t="str">
        <x:v>https://www.cashhomebuyersdirectory.com/cash-home-buyers/arkansas/fayetteville</x:v>
      </x:c>
      <x:c r="AO954" s="3" t="str">
        <x:v>national_rest_directory_complete.jsonl</x:v>
      </x:c>
      <x:c r="AP954" s="19"/>
    </x:row>
    <x:row r="955" ht="36" customHeight="1">
      <x:c r="A955" s="23" t="n">
        <x:v>954</x:v>
      </x:c>
      <x:c r="B955" s="15" t="str">
        <x:v>Cash House Buyer Greenfield WI</x:v>
      </x:c>
      <x:c r="C955" s="15"/>
      <x:c r="D955" s="15" t="str">
        <x:v>Property investor / home-buying operator</x:v>
      </x:c>
      <x:c r="E955" s="15" t="str">
        <x:v>Property investor / operator inquiry</x:v>
      </x:c>
      <x:c r="F955" s="17" t="str">
        <x:v>New</x:v>
      </x:c>
      <x:c r="G955" s="24"/>
      <x:c r="H955" s="24" t="str">
        <x:v>+14142460032</x:v>
      </x:c>
      <x:c r="I955" s="24" t="str">
        <x:v>https://cashhousebuyerwi.com/</x:v>
      </x:c>
      <x:c r="J955" s="16" t="str">
        <x:v>WI</x:v>
      </x:c>
      <x:c r="K955" s="16" t="str">
        <x:v>Madison</x:v>
      </x:c>
      <x:c r="L955" s="16" t="str">
        <x:v>Public property-business route; investor decision maker unconfirmed</x:v>
      </x:c>
      <x:c r="M955" s="16" t="str">
        <x:v>https://cashhousebuyerwi.com/</x:v>
      </x:c>
      <x:c r="N955" s="16" t="str">
        <x:v>$100K-$500K ticket not published / unconfirmed</x:v>
      </x:c>
      <x:c r="O955" s="20"/>
      <x:c r="P955" s="20"/>
      <x:c r="Q955" s="25" t="str">
        <x:v>No direct corporate-capital range established in checked source</x:v>
      </x:c>
      <x:c r="R955" s="25" t="str">
        <x:v>Property acquisition or investor activity makes this an operator-capital prospect for the signed trial. Confirm operating-company debt/equity appetite.</x:v>
      </x:c>
      <x:c r="S955" s="25"/>
      <x:c r="T955" s="25" t="str">
        <x:v>Ask the owner/investor whether they can allocate $100K-$500K to trial marketing and acquisitions, and confirm structure, timing and decision authority.</x:v>
      </x:c>
      <x:c r="U955" s="25" t="str">
        <x:v>https://www.cashhomebuyersdirectory.com/cash-home-buyers/wisconsin/madison
https://www.cashhomebuyersdirectory.com/cash-home-buyers/wisconsin/milwaukee</x:v>
      </x:c>
      <x:c r="V955" s="26" t="d">
        <x:v>2026-10-02T00:00:00.000Z</x:v>
      </x:c>
      <x:c r="W955" s="26" t="d">
        <x:v>2026-10-02T00:00:00.000Z</x:v>
      </x:c>
      <x:c r="X955" s="25" t="str">
        <x:v>CashHomeBuyersDirectory third-party business listing; first-party business activity not checked in this batch</x:v>
      </x:c>
      <x:c r="Y955" s="25"/>
      <x:c r="Z955" s="25" t="str">
        <x:v>https://www.cashhomebuyersdirectory.com/cash-home-buyers/wisconsin/madison</x:v>
      </x:c>
      <x:c r="AA955" s="25" t="str">
        <x:v>Public cash-home-buyer directory lists the business name, business phone/website where available and market. Operator role and corporate funding willingness require confirmation.</x:v>
      </x:c>
      <x:c r="AB955" s="3" t="str">
        <x:v>New public-source collection</x:v>
      </x:c>
      <x:c r="AC955" s="3" t="str">
        <x:v>unverified</x:v>
      </x:c>
      <x:c r="AD955" s="3" t="str">
        <x:v>Not contacted / unconfirmed</x:v>
      </x:c>
      <x:c r="AE955" s="3" t="str">
        <x:v>No</x:v>
      </x:c>
      <x:c r="AF955" s="3" t="str">
        <x:v>No</x:v>
      </x:c>
      <x:c r="AG955" s="3"/>
      <x:c r="AH955" s="3"/>
      <x:c r="AI955" s="18"/>
      <x:c r="AJ955" s="3" t="str">
        <x:v>CF2500-EF8D41053FF7</x:v>
      </x:c>
      <x:c r="AK955" s="3" t="str">
        <x:v>real_estate_operator</x:v>
      </x:c>
      <x:c r="AL955" s="19" t="n">
        <x:v>100000</x:v>
      </x:c>
      <x:c r="AM955" s="19" t="n">
        <x:v>500000</x:v>
      </x:c>
      <x:c r="AN955" s="3" t="str">
        <x:v>https://www.cashhomebuyersdirectory.com/cash-home-buyers/wisconsin/madison</x:v>
      </x:c>
      <x:c r="AO955" s="3" t="str">
        <x:v>national_rest_directory_complete.jsonl</x:v>
      </x:c>
      <x:c r="AP955" s="19"/>
    </x:row>
    <x:row r="956" ht="36" customHeight="1">
      <x:c r="A956" s="23" t="n">
        <x:v>955</x:v>
      </x:c>
      <x:c r="B956" s="15" t="str">
        <x:v>Cash House Buyers, LLC</x:v>
      </x:c>
      <x:c r="C956" s="15"/>
      <x:c r="D956" s="15" t="str">
        <x:v>Property investor / home-buying operator</x:v>
      </x:c>
      <x:c r="E956" s="15" t="str">
        <x:v>Property investor / operator inquiry</x:v>
      </x:c>
      <x:c r="F956" s="17" t="str">
        <x:v>New</x:v>
      </x:c>
      <x:c r="G956" s="24"/>
      <x:c r="H956" s="24" t="str">
        <x:v>+13013072244</x:v>
      </x:c>
      <x:c r="I956" s="24" t="str">
        <x:v>http://www.cashhousebuyersllc.com/</x:v>
      </x:c>
      <x:c r="J956" s="16" t="str">
        <x:v>PA</x:v>
      </x:c>
      <x:c r="K956" s="16" t="str">
        <x:v>York</x:v>
      </x:c>
      <x:c r="L956" s="16" t="str">
        <x:v>Public property-business route; investor decision maker unconfirmed</x:v>
      </x:c>
      <x:c r="M956" s="16" t="str">
        <x:v>http://www.cashhousebuyersllc.com/</x:v>
      </x:c>
      <x:c r="N956" s="16" t="str">
        <x:v>$100K-$500K ticket not published / unconfirmed</x:v>
      </x:c>
      <x:c r="O956" s="20"/>
      <x:c r="P956" s="20"/>
      <x:c r="Q956" s="25" t="str">
        <x:v>No direct corporate-capital range established in checked source</x:v>
      </x:c>
      <x:c r="R956" s="25" t="str">
        <x:v>Property acquisition or investor activity makes this an operator-capital prospect for the signed trial. Confirm operating-company debt/equity appetite.</x:v>
      </x:c>
      <x:c r="S956" s="25"/>
      <x:c r="T956" s="25" t="str">
        <x:v>Ask the owner/investor whether they can allocate $100K-$500K to trial marketing and acquisitions, and confirm structure, timing and decision authority.</x:v>
      </x:c>
      <x:c r="U956" s="25" t="str">
        <x:v>https://www.cashhomebuyersdirectory.com/cash-home-buyers/pennsylvania/york</x:v>
      </x:c>
      <x:c r="V956" s="26" t="d">
        <x:v>2026-10-02T00:00:00.000Z</x:v>
      </x:c>
      <x:c r="W956" s="26" t="d">
        <x:v>2026-10-02T00:00:00.000Z</x:v>
      </x:c>
      <x:c r="X956" s="25" t="str">
        <x:v>CashHomeBuyersDirectory third-party business listing; first-party business activity not checked in this batch</x:v>
      </x:c>
      <x:c r="Y956" s="25"/>
      <x:c r="Z956" s="25" t="str">
        <x:v>https://www.cashhomebuyersdirectory.com/cash-home-buyers/pennsylvania/york</x:v>
      </x:c>
      <x:c r="AA956" s="25" t="str">
        <x:v>Public cash-home-buyer directory lists the business name, business phone/website where available and market. Operator role and corporate funding willingness require confirmation.</x:v>
      </x:c>
      <x:c r="AB956" s="3" t="str">
        <x:v>New public-source collection</x:v>
      </x:c>
      <x:c r="AC956" s="3" t="str">
        <x:v>unverified</x:v>
      </x:c>
      <x:c r="AD956" s="3" t="str">
        <x:v>Not contacted / unconfirmed</x:v>
      </x:c>
      <x:c r="AE956" s="3" t="str">
        <x:v>No</x:v>
      </x:c>
      <x:c r="AF956" s="3" t="str">
        <x:v>No</x:v>
      </x:c>
      <x:c r="AG956" s="3"/>
      <x:c r="AH956" s="3"/>
      <x:c r="AI956" s="18"/>
      <x:c r="AJ956" s="3" t="str">
        <x:v>CF2500-15EC8E0D0C61</x:v>
      </x:c>
      <x:c r="AK956" s="3" t="str">
        <x:v>real_estate_operator</x:v>
      </x:c>
      <x:c r="AL956" s="19" t="n">
        <x:v>100000</x:v>
      </x:c>
      <x:c r="AM956" s="19" t="n">
        <x:v>500000</x:v>
      </x:c>
      <x:c r="AN956" s="3" t="str">
        <x:v>https://www.cashhomebuyersdirectory.com/cash-home-buyers/pennsylvania/york</x:v>
      </x:c>
      <x:c r="AO956" s="3" t="str">
        <x:v>national_rest_directory_complete.jsonl</x:v>
      </x:c>
      <x:c r="AP956" s="19"/>
    </x:row>
    <x:row r="957" ht="36" customHeight="1">
      <x:c r="A957" s="23" t="n">
        <x:v>956</x:v>
      </x:c>
      <x:c r="B957" s="15" t="str">
        <x:v>Cash Is King House Buyers</x:v>
      </x:c>
      <x:c r="C957" s="15"/>
      <x:c r="D957" s="15" t="str">
        <x:v>Property investor / home-buying operator</x:v>
      </x:c>
      <x:c r="E957" s="15" t="str">
        <x:v>Property investor / operator inquiry</x:v>
      </x:c>
      <x:c r="F957" s="17" t="str">
        <x:v>New</x:v>
      </x:c>
      <x:c r="G957" s="24"/>
      <x:c r="H957" s="24" t="str">
        <x:v>+15039129009</x:v>
      </x:c>
      <x:c r="I957" s="24" t="str">
        <x:v>https://www.cashisking.com/?utm_source=gmb&amp;utm_medium=organic</x:v>
      </x:c>
      <x:c r="J957" s="16" t="str">
        <x:v>OR</x:v>
      </x:c>
      <x:c r="K957" s="16"/>
      <x:c r="L957" s="16" t="str">
        <x:v>Public property-business route; investor decision maker unconfirmed</x:v>
      </x:c>
      <x:c r="M957" s="16" t="str">
        <x:v>https://www.cashisking.com/?utm_source=gmb&amp;utm_medium=organic</x:v>
      </x:c>
      <x:c r="N957" s="16" t="str">
        <x:v>$100K-$500K ticket not published / unconfirmed</x:v>
      </x:c>
      <x:c r="O957" s="20"/>
      <x:c r="P957" s="20"/>
      <x:c r="Q957" s="25" t="str">
        <x:v>No direct corporate-capital range established in checked source</x:v>
      </x:c>
      <x:c r="R957" s="25" t="str">
        <x:v>Property acquisition or investor activity makes this an operator-capital prospect for the signed trial. Confirm operating-company debt/equity appetite.</x:v>
      </x:c>
      <x:c r="S957" s="25"/>
      <x:c r="T957" s="25" t="str">
        <x:v>Ask the owner/investor whether they can allocate $100K-$500K to trial marketing and acquisitions, and confirm structure, timing and decision authority.</x:v>
      </x:c>
      <x:c r="U957" s="25" t="str">
        <x:v>https://www.cashhomebuyersdirectory.com/cash-home-buyers/oregon/portland</x:v>
      </x:c>
      <x:c r="V957" s="26" t="d">
        <x:v>2026-10-02T00:00:00.000Z</x:v>
      </x:c>
      <x:c r="W957" s="26" t="d">
        <x:v>2026-10-02T00:00:00.000Z</x:v>
      </x:c>
      <x:c r="X957" s="25" t="str">
        <x:v>CashHomeBuyersDirectory third-party business listing; first-party business activity not checked in this batch</x:v>
      </x:c>
      <x:c r="Y957" s="25"/>
      <x:c r="Z957" s="25" t="str">
        <x:v>https://www.cashhomebuyersdirectory.com/cash-home-buyers/oregon/portland</x:v>
      </x:c>
      <x:c r="AA957" s="25" t="str">
        <x:v>Public cash-home-buyer directory lists the business name, business phone/website where available and market. Operator role and corporate funding willingness require confirmation.</x:v>
      </x:c>
      <x:c r="AB957" s="3" t="str">
        <x:v>New public-source collection</x:v>
      </x:c>
      <x:c r="AC957" s="3" t="str">
        <x:v>unverified</x:v>
      </x:c>
      <x:c r="AD957" s="3" t="str">
        <x:v>Not contacted / unconfirmed</x:v>
      </x:c>
      <x:c r="AE957" s="3" t="str">
        <x:v>No</x:v>
      </x:c>
      <x:c r="AF957" s="3" t="str">
        <x:v>No</x:v>
      </x:c>
      <x:c r="AG957" s="3"/>
      <x:c r="AH957" s="3"/>
      <x:c r="AI957" s="18"/>
      <x:c r="AJ957" s="3" t="str">
        <x:v>CF2500-38C0CB8BCC9B</x:v>
      </x:c>
      <x:c r="AK957" s="3" t="str">
        <x:v>real_estate_operator</x:v>
      </x:c>
      <x:c r="AL957" s="19" t="n">
        <x:v>100000</x:v>
      </x:c>
      <x:c r="AM957" s="19" t="n">
        <x:v>500000</x:v>
      </x:c>
      <x:c r="AN957" s="3" t="str">
        <x:v>https://www.cashhomebuyersdirectory.com/cash-home-buyers/oregon/portland</x:v>
      </x:c>
      <x:c r="AO957" s="3" t="str">
        <x:v>national_rest_directory_complete.jsonl</x:v>
      </x:c>
      <x:c r="AP957" s="19"/>
    </x:row>
    <x:row r="958" ht="36" customHeight="1">
      <x:c r="A958" s="23" t="n">
        <x:v>957</x:v>
      </x:c>
      <x:c r="B958" s="15" t="str">
        <x:v>Cash Offer Home Buyers Sell House Fast - Grand Rapids</x:v>
      </x:c>
      <x:c r="C958" s="15"/>
      <x:c r="D958" s="15" t="str">
        <x:v>Property investor / home-buying operator</x:v>
      </x:c>
      <x:c r="E958" s="15" t="str">
        <x:v>Property investor / operator inquiry</x:v>
      </x:c>
      <x:c r="F958" s="17" t="str">
        <x:v>New</x:v>
      </x:c>
      <x:c r="G958" s="24"/>
      <x:c r="H958" s="24" t="str">
        <x:v>+14423337313</x:v>
      </x:c>
      <x:c r="I958" s="24" t="str">
        <x:v>https://cashofferhomebuyerssellhousefast.com/</x:v>
      </x:c>
      <x:c r="J958" s="16" t="str">
        <x:v>MI</x:v>
      </x:c>
      <x:c r="K958" s="16"/>
      <x:c r="L958" s="16" t="str">
        <x:v>Public property-business route; investor decision maker unconfirmed</x:v>
      </x:c>
      <x:c r="M958" s="16" t="str">
        <x:v>https://cashofferhomebuyerssellhousefast.com/</x:v>
      </x:c>
      <x:c r="N958" s="16" t="str">
        <x:v>$100K-$500K ticket not published / unconfirmed</x:v>
      </x:c>
      <x:c r="O958" s="20"/>
      <x:c r="P958" s="20"/>
      <x:c r="Q958" s="25" t="str">
        <x:v>No direct corporate-capital range established in checked source</x:v>
      </x:c>
      <x:c r="R958" s="25" t="str">
        <x:v>Property acquisition or investor activity makes this an operator-capital prospect for the signed trial. Confirm operating-company debt/equity appetite.</x:v>
      </x:c>
      <x:c r="S958" s="25"/>
      <x:c r="T958" s="25" t="str">
        <x:v>Ask the owner/investor whether they can allocate $100K-$500K to trial marketing and acquisitions, and confirm structure, timing and decision authority.</x:v>
      </x:c>
      <x:c r="U958" s="25" t="str">
        <x:v>https://www.cashhomebuyersdirectory.com/cash-home-buyers/michigan/grand-rapids</x:v>
      </x:c>
      <x:c r="V958" s="26" t="d">
        <x:v>2026-10-02T00:00:00.000Z</x:v>
      </x:c>
      <x:c r="W958" s="26" t="d">
        <x:v>2026-10-02T00:00:00.000Z</x:v>
      </x:c>
      <x:c r="X958" s="25" t="str">
        <x:v>CashHomeBuyersDirectory third-party business listing; first-party business activity not checked in this batch</x:v>
      </x:c>
      <x:c r="Y958" s="25"/>
      <x:c r="Z958" s="25" t="str">
        <x:v>https://www.cashhomebuyersdirectory.com/cash-home-buyers/michigan/grand-rapids</x:v>
      </x:c>
      <x:c r="AA958" s="25" t="str">
        <x:v>Public cash-home-buyer directory lists the business name, business phone/website where available and market. Operator role and corporate funding willingness require confirmation.</x:v>
      </x:c>
      <x:c r="AB958" s="3" t="str">
        <x:v>New public-source collection</x:v>
      </x:c>
      <x:c r="AC958" s="3" t="str">
        <x:v>unverified</x:v>
      </x:c>
      <x:c r="AD958" s="3" t="str">
        <x:v>Not contacted / unconfirmed</x:v>
      </x:c>
      <x:c r="AE958" s="3" t="str">
        <x:v>No</x:v>
      </x:c>
      <x:c r="AF958" s="3" t="str">
        <x:v>No</x:v>
      </x:c>
      <x:c r="AG958" s="3"/>
      <x:c r="AH958" s="3"/>
      <x:c r="AI958" s="18"/>
      <x:c r="AJ958" s="3" t="str">
        <x:v>CF2500-2EC979BFA759</x:v>
      </x:c>
      <x:c r="AK958" s="3" t="str">
        <x:v>real_estate_operator</x:v>
      </x:c>
      <x:c r="AL958" s="19" t="n">
        <x:v>100000</x:v>
      </x:c>
      <x:c r="AM958" s="19" t="n">
        <x:v>500000</x:v>
      </x:c>
      <x:c r="AN958" s="3" t="str">
        <x:v>https://www.cashhomebuyersdirectory.com/cash-home-buyers/michigan/grand-rapids</x:v>
      </x:c>
      <x:c r="AO958" s="3" t="str">
        <x:v>national_rest_directory_complete.jsonl</x:v>
      </x:c>
      <x:c r="AP958" s="19"/>
    </x:row>
    <x:row r="959" ht="36" customHeight="1">
      <x:c r="A959" s="23" t="n">
        <x:v>958</x:v>
      </x:c>
      <x:c r="B959" s="15" t="str">
        <x:v>Cash Offer KY</x:v>
      </x:c>
      <x:c r="C959" s="15"/>
      <x:c r="D959" s="15" t="str">
        <x:v>Property investor / home-buying operator</x:v>
      </x:c>
      <x:c r="E959" s="15" t="str">
        <x:v>Property investor / operator inquiry</x:v>
      </x:c>
      <x:c r="F959" s="17" t="str">
        <x:v>New</x:v>
      </x:c>
      <x:c r="G959" s="24"/>
      <x:c r="H959" s="24" t="str">
        <x:v>+15023690432</x:v>
      </x:c>
      <x:c r="I959" s="24" t="str">
        <x:v>https://www.cashofferky.com/</x:v>
      </x:c>
      <x:c r="J959" s="16" t="str">
        <x:v>KY</x:v>
      </x:c>
      <x:c r="K959" s="16" t="str">
        <x:v>Louisville</x:v>
      </x:c>
      <x:c r="L959" s="16" t="str">
        <x:v>Public property-business route; investor decision maker unconfirmed</x:v>
      </x:c>
      <x:c r="M959" s="16" t="str">
        <x:v>https://www.cashofferky.com/</x:v>
      </x:c>
      <x:c r="N959" s="16" t="str">
        <x:v>$100K-$500K ticket not published / unconfirmed</x:v>
      </x:c>
      <x:c r="O959" s="20"/>
      <x:c r="P959" s="20"/>
      <x:c r="Q959" s="25" t="str">
        <x:v>No direct corporate-capital range established in checked source</x:v>
      </x:c>
      <x:c r="R959" s="25" t="str">
        <x:v>Property acquisition or investor activity makes this an operator-capital prospect for the signed trial. Confirm operating-company debt/equity appetite.</x:v>
      </x:c>
      <x:c r="S959" s="25"/>
      <x:c r="T959" s="25" t="str">
        <x:v>Ask the owner/investor whether they can allocate $100K-$500K to trial marketing and acquisitions, and confirm structure, timing and decision authority.</x:v>
      </x:c>
      <x:c r="U959" s="25" t="str">
        <x:v>https://www.cashhomebuyersdirectory.com/cash-home-buyers/kentucky/louisville</x:v>
      </x:c>
      <x:c r="V959" s="26" t="d">
        <x:v>2026-10-02T00:00:00.000Z</x:v>
      </x:c>
      <x:c r="W959" s="26" t="d">
        <x:v>2026-10-02T00:00:00.000Z</x:v>
      </x:c>
      <x:c r="X959" s="25" t="str">
        <x:v>CashHomeBuyersDirectory third-party business listing; first-party business activity not checked in this batch</x:v>
      </x:c>
      <x:c r="Y959" s="25"/>
      <x:c r="Z959" s="25" t="str">
        <x:v>https://www.cashhomebuyersdirectory.com/cash-home-buyers/kentucky/louisville</x:v>
      </x:c>
      <x:c r="AA959" s="25" t="str">
        <x:v>Public cash-home-buyer directory lists the business name, business phone/website where available and market. Operator role and corporate funding willingness require confirmation.</x:v>
      </x:c>
      <x:c r="AB959" s="3" t="str">
        <x:v>New public-source collection</x:v>
      </x:c>
      <x:c r="AC959" s="3" t="str">
        <x:v>unverified</x:v>
      </x:c>
      <x:c r="AD959" s="3" t="str">
        <x:v>Not contacted / unconfirmed</x:v>
      </x:c>
      <x:c r="AE959" s="3" t="str">
        <x:v>No</x:v>
      </x:c>
      <x:c r="AF959" s="3" t="str">
        <x:v>No</x:v>
      </x:c>
      <x:c r="AG959" s="3"/>
      <x:c r="AH959" s="3"/>
      <x:c r="AI959" s="18"/>
      <x:c r="AJ959" s="3" t="str">
        <x:v>CF2500-CB6C2BB53F78</x:v>
      </x:c>
      <x:c r="AK959" s="3" t="str">
        <x:v>real_estate_operator</x:v>
      </x:c>
      <x:c r="AL959" s="19" t="n">
        <x:v>100000</x:v>
      </x:c>
      <x:c r="AM959" s="19" t="n">
        <x:v>500000</x:v>
      </x:c>
      <x:c r="AN959" s="3" t="str">
        <x:v>https://www.cashhomebuyersdirectory.com/cash-home-buyers/kentucky/louisville</x:v>
      </x:c>
      <x:c r="AO959" s="3" t="str">
        <x:v>national_rest_directory_complete.jsonl</x:v>
      </x:c>
      <x:c r="AP959" s="19"/>
    </x:row>
    <x:row r="960" ht="36" customHeight="1">
      <x:c r="A960" s="23" t="n">
        <x:v>959</x:v>
      </x:c>
      <x:c r="B960" s="15" t="str">
        <x:v>Cash Offer Maine</x:v>
      </x:c>
      <x:c r="C960" s="15"/>
      <x:c r="D960" s="15" t="str">
        <x:v>Property investor / home-buying operator</x:v>
      </x:c>
      <x:c r="E960" s="15" t="str">
        <x:v>Property investor / operator inquiry</x:v>
      </x:c>
      <x:c r="F960" s="17" t="str">
        <x:v>New</x:v>
      </x:c>
      <x:c r="G960" s="24"/>
      <x:c r="H960" s="24" t="str">
        <x:v>+12072001847</x:v>
      </x:c>
      <x:c r="I960" s="24" t="str">
        <x:v>https://www.webuyhousesinme.com/</x:v>
      </x:c>
      <x:c r="J960" s="16" t="str">
        <x:v>ME</x:v>
      </x:c>
      <x:c r="K960" s="16" t="str">
        <x:v>Portland</x:v>
      </x:c>
      <x:c r="L960" s="16" t="str">
        <x:v>Public property-business route; investor decision maker unconfirmed</x:v>
      </x:c>
      <x:c r="M960" s="16" t="str">
        <x:v>https://www.webuyhousesinme.com/</x:v>
      </x:c>
      <x:c r="N960" s="16" t="str">
        <x:v>$100K-$500K ticket not published / unconfirmed</x:v>
      </x:c>
      <x:c r="O960" s="20"/>
      <x:c r="P960" s="20"/>
      <x:c r="Q960" s="25" t="str">
        <x:v>No direct corporate-capital range established in checked source</x:v>
      </x:c>
      <x:c r="R960" s="25" t="str">
        <x:v>Property acquisition or investor activity makes this an operator-capital prospect for the signed trial. Confirm operating-company debt/equity appetite.</x:v>
      </x:c>
      <x:c r="S960" s="25"/>
      <x:c r="T960" s="25" t="str">
        <x:v>Ask the owner/investor whether they can allocate $100K-$500K to trial marketing and acquisitions, and confirm structure, timing and decision authority.</x:v>
      </x:c>
      <x:c r="U960" s="25" t="str">
        <x:v>https://www.cashhomebuyersdirectory.com/cash-home-buyers/maine/portland</x:v>
      </x:c>
      <x:c r="V960" s="26" t="d">
        <x:v>2026-10-02T00:00:00.000Z</x:v>
      </x:c>
      <x:c r="W960" s="26" t="d">
        <x:v>2026-10-02T00:00:00.000Z</x:v>
      </x:c>
      <x:c r="X960" s="25" t="str">
        <x:v>CashHomeBuyersDirectory third-party business listing; first-party business activity not checked in this batch</x:v>
      </x:c>
      <x:c r="Y960" s="25"/>
      <x:c r="Z960" s="25" t="str">
        <x:v>https://www.cashhomebuyersdirectory.com/cash-home-buyers/maine/portland</x:v>
      </x:c>
      <x:c r="AA960" s="25" t="str">
        <x:v>Public cash-home-buyer directory lists the business name, business phone/website where available and market. Operator role and corporate funding willingness require confirmation.</x:v>
      </x:c>
      <x:c r="AB960" s="3" t="str">
        <x:v>New public-source collection</x:v>
      </x:c>
      <x:c r="AC960" s="3" t="str">
        <x:v>unverified</x:v>
      </x:c>
      <x:c r="AD960" s="3" t="str">
        <x:v>Not contacted / unconfirmed</x:v>
      </x:c>
      <x:c r="AE960" s="3" t="str">
        <x:v>No</x:v>
      </x:c>
      <x:c r="AF960" s="3" t="str">
        <x:v>No</x:v>
      </x:c>
      <x:c r="AG960" s="3"/>
      <x:c r="AH960" s="3" t="str">
        <x:v>We Buy Houses 813</x:v>
      </x:c>
      <x:c r="AI960" s="18"/>
      <x:c r="AJ960" s="3" t="str">
        <x:v>CF2500-A6C654F5CEA5</x:v>
      </x:c>
      <x:c r="AK960" s="3" t="str">
        <x:v>real_estate_operator</x:v>
      </x:c>
      <x:c r="AL960" s="19" t="n">
        <x:v>100000</x:v>
      </x:c>
      <x:c r="AM960" s="19" t="n">
        <x:v>500000</x:v>
      </x:c>
      <x:c r="AN960" s="3" t="str">
        <x:v>https://www.cashhomebuyersdirectory.com/cash-home-buyers/maine/portland</x:v>
      </x:c>
      <x:c r="AO960" s="3" t="str">
        <x:v>national_rest_directory_complete.jsonl</x:v>
      </x:c>
      <x:c r="AP960" s="19"/>
    </x:row>
    <x:row r="961" ht="36" customHeight="1">
      <x:c r="A961" s="23" t="n">
        <x:v>960</x:v>
      </x:c>
      <x:c r="B961" s="15" t="str">
        <x:v>CB Home Solutions - We Buy Houses - Sell My House Fast</x:v>
      </x:c>
      <x:c r="C961" s="15"/>
      <x:c r="D961" s="15" t="str">
        <x:v>Property investor / home-buying operator</x:v>
      </x:c>
      <x:c r="E961" s="15" t="str">
        <x:v>Property investor / operator inquiry</x:v>
      </x:c>
      <x:c r="F961" s="17" t="str">
        <x:v>New</x:v>
      </x:c>
      <x:c r="G961" s="24"/>
      <x:c r="H961" s="24" t="str">
        <x:v>+19202154201</x:v>
      </x:c>
      <x:c r="I961" s="24" t="str">
        <x:v>https://www.flipfoxvalley.com/how-we-buy-houses/</x:v>
      </x:c>
      <x:c r="J961" s="16" t="str">
        <x:v>WI</x:v>
      </x:c>
      <x:c r="K961" s="16" t="str">
        <x:v>Milwaukee</x:v>
      </x:c>
      <x:c r="L961" s="16" t="str">
        <x:v>Public property-business route; investor decision maker unconfirmed</x:v>
      </x:c>
      <x:c r="M961" s="16" t="str">
        <x:v>https://www.flipfoxvalley.com/how-we-buy-houses/</x:v>
      </x:c>
      <x:c r="N961" s="16" t="str">
        <x:v>$100K-$500K ticket not published / unconfirmed</x:v>
      </x:c>
      <x:c r="O961" s="20"/>
      <x:c r="P961" s="20"/>
      <x:c r="Q961" s="25" t="str">
        <x:v>No direct corporate-capital range established in checked source</x:v>
      </x:c>
      <x:c r="R961" s="25" t="str">
        <x:v>Property acquisition or investor activity makes this an operator-capital prospect for the signed trial. Confirm operating-company debt/equity appetite.</x:v>
      </x:c>
      <x:c r="S961" s="25"/>
      <x:c r="T961" s="25" t="str">
        <x:v>Ask the owner/investor whether they can allocate $100K-$500K to trial marketing and acquisitions, and confirm structure, timing and decision authority.</x:v>
      </x:c>
      <x:c r="U961" s="25" t="str">
        <x:v>https://www.cashhomebuyersdirectory.com/cash-home-buyers/wisconsin/milwaukee</x:v>
      </x:c>
      <x:c r="V961" s="26" t="d">
        <x:v>2026-10-02T00:00:00.000Z</x:v>
      </x:c>
      <x:c r="W961" s="26" t="d">
        <x:v>2026-10-02T00:00:00.000Z</x:v>
      </x:c>
      <x:c r="X961" s="25" t="str">
        <x:v>CashHomeBuyersDirectory third-party business listing; first-party business activity not checked in this batch</x:v>
      </x:c>
      <x:c r="Y961" s="25"/>
      <x:c r="Z961" s="25" t="str">
        <x:v>https://www.cashhomebuyersdirectory.com/cash-home-buyers/wisconsin/milwaukee</x:v>
      </x:c>
      <x:c r="AA961" s="25" t="str">
        <x:v>Public cash-home-buyer directory lists the business name, business phone/website where available and market. Operator role and corporate funding willingness require confirmation.</x:v>
      </x:c>
      <x:c r="AB961" s="3" t="str">
        <x:v>New public-source collection</x:v>
      </x:c>
      <x:c r="AC961" s="3" t="str">
        <x:v>unverified</x:v>
      </x:c>
      <x:c r="AD961" s="3" t="str">
        <x:v>Not contacted / unconfirmed</x:v>
      </x:c>
      <x:c r="AE961" s="3" t="str">
        <x:v>No</x:v>
      </x:c>
      <x:c r="AF961" s="3" t="str">
        <x:v>No</x:v>
      </x:c>
      <x:c r="AG961" s="3"/>
      <x:c r="AH961" s="3"/>
      <x:c r="AI961" s="18"/>
      <x:c r="AJ961" s="3" t="str">
        <x:v>CF2500-65F5F10083E2</x:v>
      </x:c>
      <x:c r="AK961" s="3" t="str">
        <x:v>real_estate_operator</x:v>
      </x:c>
      <x:c r="AL961" s="19" t="n">
        <x:v>100000</x:v>
      </x:c>
      <x:c r="AM961" s="19" t="n">
        <x:v>500000</x:v>
      </x:c>
      <x:c r="AN961" s="3" t="str">
        <x:v>https://www.cashhomebuyersdirectory.com/cash-home-buyers/wisconsin/milwaukee</x:v>
      </x:c>
      <x:c r="AO961" s="3" t="str">
        <x:v>national_rest_directory_complete.jsonl</x:v>
      </x:c>
      <x:c r="AP961" s="19"/>
    </x:row>
    <x:row r="962" ht="36" customHeight="1">
      <x:c r="A962" s="23" t="n">
        <x:v>961</x:v>
      </x:c>
      <x:c r="B962" s="15" t="str">
        <x:v>Cedar Cash Home Buyers</x:v>
      </x:c>
      <x:c r="C962" s="15"/>
      <x:c r="D962" s="15" t="str">
        <x:v>Property investor / home-buying operator</x:v>
      </x:c>
      <x:c r="E962" s="15" t="str">
        <x:v>Property investor / operator inquiry</x:v>
      </x:c>
      <x:c r="F962" s="17" t="str">
        <x:v>New</x:v>
      </x:c>
      <x:c r="G962" s="24"/>
      <x:c r="H962" s="24" t="str">
        <x:v>+13374200375</x:v>
      </x:c>
      <x:c r="I962" s="24" t="str">
        <x:v>https://www.cedarcashhomebuyers.com/</x:v>
      </x:c>
      <x:c r="J962" s="16" t="str">
        <x:v>LA</x:v>
      </x:c>
      <x:c r="K962" s="16" t="str">
        <x:v>Lafayette</x:v>
      </x:c>
      <x:c r="L962" s="16" t="str">
        <x:v>Public property-business route; investor decision maker unconfirmed</x:v>
      </x:c>
      <x:c r="M962" s="16" t="str">
        <x:v>https://www.cedarcashhomebuyers.com/</x:v>
      </x:c>
      <x:c r="N962" s="16" t="str">
        <x:v>$100K-$500K ticket not published / unconfirmed</x:v>
      </x:c>
      <x:c r="O962" s="20"/>
      <x:c r="P962" s="20"/>
      <x:c r="Q962" s="25" t="str">
        <x:v>No direct corporate-capital range established in checked source</x:v>
      </x:c>
      <x:c r="R962" s="25" t="str">
        <x:v>Property acquisition or investor activity makes this an operator-capital prospect for the signed trial. Confirm operating-company debt/equity appetite.</x:v>
      </x:c>
      <x:c r="S962" s="25"/>
      <x:c r="T962" s="25" t="str">
        <x:v>Ask the owner/investor whether they can allocate $100K-$500K to trial marketing and acquisitions, and confirm structure, timing and decision authority.</x:v>
      </x:c>
      <x:c r="U962" s="25" t="str">
        <x:v>https://www.cashhomebuyersdirectory.com/cash-home-buyers/louisiana/lafayette</x:v>
      </x:c>
      <x:c r="V962" s="26" t="d">
        <x:v>2026-10-02T00:00:00.000Z</x:v>
      </x:c>
      <x:c r="W962" s="26" t="d">
        <x:v>2026-10-02T00:00:00.000Z</x:v>
      </x:c>
      <x:c r="X962" s="25" t="str">
        <x:v>CashHomeBuyersDirectory third-party business listing; first-party business activity not checked in this batch</x:v>
      </x:c>
      <x:c r="Y962" s="25"/>
      <x:c r="Z962" s="25" t="str">
        <x:v>https://www.cashhomebuyersdirectory.com/cash-home-buyers/louisiana/lafayette</x:v>
      </x:c>
      <x:c r="AA962" s="25" t="str">
        <x:v>Public cash-home-buyer directory lists the business name, business phone/website where available and market. Operator role and corporate funding willingness require confirmation.</x:v>
      </x:c>
      <x:c r="AB962" s="3" t="str">
        <x:v>New public-source collection</x:v>
      </x:c>
      <x:c r="AC962" s="3" t="str">
        <x:v>unverified</x:v>
      </x:c>
      <x:c r="AD962" s="3" t="str">
        <x:v>Not contacted / unconfirmed</x:v>
      </x:c>
      <x:c r="AE962" s="3" t="str">
        <x:v>No</x:v>
      </x:c>
      <x:c r="AF962" s="3" t="str">
        <x:v>No</x:v>
      </x:c>
      <x:c r="AG962" s="3"/>
      <x:c r="AH962" s="3"/>
      <x:c r="AI962" s="18"/>
      <x:c r="AJ962" s="3" t="str">
        <x:v>CF2500-4681D36C7C78</x:v>
      </x:c>
      <x:c r="AK962" s="3" t="str">
        <x:v>real_estate_operator</x:v>
      </x:c>
      <x:c r="AL962" s="19" t="n">
        <x:v>100000</x:v>
      </x:c>
      <x:c r="AM962" s="19" t="n">
        <x:v>500000</x:v>
      </x:c>
      <x:c r="AN962" s="3" t="str">
        <x:v>https://www.cashhomebuyersdirectory.com/cash-home-buyers/louisiana/lafayette</x:v>
      </x:c>
      <x:c r="AO962" s="3" t="str">
        <x:v>national_rest_directory_complete.jsonl</x:v>
      </x:c>
      <x:c r="AP962" s="19"/>
    </x:row>
    <x:row r="963" ht="36" customHeight="1">
      <x:c r="A963" s="23" t="n">
        <x:v>962</x:v>
      </x:c>
      <x:c r="B963" s="15" t="str">
        <x:v>Cedar Rapids Iowa Home Buyer</x:v>
      </x:c>
      <x:c r="C963" s="15"/>
      <x:c r="D963" s="15" t="str">
        <x:v>Property investor / home-buying operator</x:v>
      </x:c>
      <x:c r="E963" s="15" t="str">
        <x:v>Property investor / operator inquiry</x:v>
      </x:c>
      <x:c r="F963" s="17" t="str">
        <x:v>New</x:v>
      </x:c>
      <x:c r="G963" s="24"/>
      <x:c r="H963" s="24" t="str">
        <x:v>+13198265289</x:v>
      </x:c>
      <x:c r="I963" s="24" t="str">
        <x:v>https://cedarrapidsiowahomebuyer.com/</x:v>
      </x:c>
      <x:c r="J963" s="16" t="str">
        <x:v>IA</x:v>
      </x:c>
      <x:c r="K963" s="16" t="str">
        <x:v>Cedar Rapids</x:v>
      </x:c>
      <x:c r="L963" s="16" t="str">
        <x:v>Public property-business route; investor decision maker unconfirmed</x:v>
      </x:c>
      <x:c r="M963" s="16" t="str">
        <x:v>https://cedarrapidsiowahomebuyer.com/</x:v>
      </x:c>
      <x:c r="N963" s="16" t="str">
        <x:v>$100K-$500K ticket not published / unconfirmed</x:v>
      </x:c>
      <x:c r="O963" s="20"/>
      <x:c r="P963" s="20"/>
      <x:c r="Q963" s="25" t="str">
        <x:v>No direct corporate-capital range established in checked source</x:v>
      </x:c>
      <x:c r="R963" s="25" t="str">
        <x:v>Property acquisition or investor activity makes this an operator-capital prospect for the signed trial. Confirm operating-company debt/equity appetite.</x:v>
      </x:c>
      <x:c r="S963" s="25"/>
      <x:c r="T963" s="25" t="str">
        <x:v>Ask the owner/investor whether they can allocate $100K-$500K to trial marketing and acquisitions, and confirm structure, timing and decision authority.</x:v>
      </x:c>
      <x:c r="U963" s="25" t="str">
        <x:v>https://www.cashhomebuyersdirectory.com/cash-home-buyers/iowa/cedar-rapids</x:v>
      </x:c>
      <x:c r="V963" s="26" t="d">
        <x:v>2026-10-02T00:00:00.000Z</x:v>
      </x:c>
      <x:c r="W963" s="26" t="d">
        <x:v>2026-10-02T00:00:00.000Z</x:v>
      </x:c>
      <x:c r="X963" s="25" t="str">
        <x:v>CashHomeBuyersDirectory third-party business listing; first-party business activity not checked in this batch</x:v>
      </x:c>
      <x:c r="Y963" s="25"/>
      <x:c r="Z963" s="25" t="str">
        <x:v>https://www.cashhomebuyersdirectory.com/cash-home-buyers/iowa/cedar-rapids</x:v>
      </x:c>
      <x:c r="AA963" s="25" t="str">
        <x:v>Public cash-home-buyer directory lists the business name, business phone/website where available and market. Operator role and corporate funding willingness require confirmation.</x:v>
      </x:c>
      <x:c r="AB963" s="3" t="str">
        <x:v>New public-source collection</x:v>
      </x:c>
      <x:c r="AC963" s="3" t="str">
        <x:v>unverified</x:v>
      </x:c>
      <x:c r="AD963" s="3" t="str">
        <x:v>Not contacted / unconfirmed</x:v>
      </x:c>
      <x:c r="AE963" s="3" t="str">
        <x:v>No</x:v>
      </x:c>
      <x:c r="AF963" s="3" t="str">
        <x:v>No</x:v>
      </x:c>
      <x:c r="AG963" s="3"/>
      <x:c r="AH963" s="3"/>
      <x:c r="AI963" s="18"/>
      <x:c r="AJ963" s="3" t="str">
        <x:v>CF2500-676088751608</x:v>
      </x:c>
      <x:c r="AK963" s="3" t="str">
        <x:v>real_estate_operator</x:v>
      </x:c>
      <x:c r="AL963" s="19" t="n">
        <x:v>100000</x:v>
      </x:c>
      <x:c r="AM963" s="19" t="n">
        <x:v>500000</x:v>
      </x:c>
      <x:c r="AN963" s="3" t="str">
        <x:v>https://www.cashhomebuyersdirectory.com/cash-home-buyers/iowa/cedar-rapids</x:v>
      </x:c>
      <x:c r="AO963" s="3" t="str">
        <x:v>national_rest_directory_complete.jsonl</x:v>
      </x:c>
      <x:c r="AP963" s="19"/>
    </x:row>
    <x:row r="964" ht="36" customHeight="1">
      <x:c r="A964" s="23" t="n">
        <x:v>963</x:v>
      </x:c>
      <x:c r="B964" s="15" t="str">
        <x:v>Central Massachusetts Home Buyers</x:v>
      </x:c>
      <x:c r="C964" s="15"/>
      <x:c r="D964" s="15" t="str">
        <x:v>Property investor / home-buying operator</x:v>
      </x:c>
      <x:c r="E964" s="15" t="str">
        <x:v>Property investor / operator inquiry</x:v>
      </x:c>
      <x:c r="F964" s="17" t="str">
        <x:v>New</x:v>
      </x:c>
      <x:c r="G964" s="24"/>
      <x:c r="H964" s="24" t="str">
        <x:v>+16173837523</x:v>
      </x:c>
      <x:c r="I964" s="24" t="str">
        <x:v>http://centralmasshomebuyers.com/</x:v>
      </x:c>
      <x:c r="J964" s="16" t="str">
        <x:v>MA</x:v>
      </x:c>
      <x:c r="K964" s="16"/>
      <x:c r="L964" s="16" t="str">
        <x:v>Public property-business route; investor decision maker unconfirmed</x:v>
      </x:c>
      <x:c r="M964" s="16" t="str">
        <x:v>http://centralmasshomebuyers.com/</x:v>
      </x:c>
      <x:c r="N964" s="16" t="str">
        <x:v>$100K-$500K ticket not published / unconfirmed</x:v>
      </x:c>
      <x:c r="O964" s="20"/>
      <x:c r="P964" s="20"/>
      <x:c r="Q964" s="25" t="str">
        <x:v>No direct corporate-capital range established in checked source</x:v>
      </x:c>
      <x:c r="R964" s="25" t="str">
        <x:v>Property acquisition or investor activity makes this an operator-capital prospect for the signed trial. Confirm operating-company debt/equity appetite.</x:v>
      </x:c>
      <x:c r="S964" s="25"/>
      <x:c r="T964" s="25" t="str">
        <x:v>Ask the owner/investor whether they can allocate $100K-$500K to trial marketing and acquisitions, and confirm structure, timing and decision authority.</x:v>
      </x:c>
      <x:c r="U964" s="25" t="str">
        <x:v>https://www.cashhomebuyersdirectory.com/cash-home-buyers/massachusetts/worcester</x:v>
      </x:c>
      <x:c r="V964" s="26" t="d">
        <x:v>2026-10-02T00:00:00.000Z</x:v>
      </x:c>
      <x:c r="W964" s="26" t="d">
        <x:v>2026-10-02T00:00:00.000Z</x:v>
      </x:c>
      <x:c r="X964" s="25" t="str">
        <x:v>CashHomeBuyersDirectory third-party business listing; first-party business activity not checked in this batch</x:v>
      </x:c>
      <x:c r="Y964" s="25"/>
      <x:c r="Z964" s="25" t="str">
        <x:v>https://www.cashhomebuyersdirectory.com/cash-home-buyers/massachusetts/worcester</x:v>
      </x:c>
      <x:c r="AA964" s="25" t="str">
        <x:v>Public cash-home-buyer directory lists the business name, business phone/website where available and market. Operator role and corporate funding willingness require confirmation.</x:v>
      </x:c>
      <x:c r="AB964" s="3" t="str">
        <x:v>New public-source collection</x:v>
      </x:c>
      <x:c r="AC964" s="3" t="str">
        <x:v>unverified</x:v>
      </x:c>
      <x:c r="AD964" s="3" t="str">
        <x:v>Not contacted / unconfirmed</x:v>
      </x:c>
      <x:c r="AE964" s="3" t="str">
        <x:v>No</x:v>
      </x:c>
      <x:c r="AF964" s="3" t="str">
        <x:v>No</x:v>
      </x:c>
      <x:c r="AG964" s="3"/>
      <x:c r="AH964" s="3"/>
      <x:c r="AI964" s="18"/>
      <x:c r="AJ964" s="3" t="str">
        <x:v>CF2500-543532BD6688</x:v>
      </x:c>
      <x:c r="AK964" s="3" t="str">
        <x:v>real_estate_operator</x:v>
      </x:c>
      <x:c r="AL964" s="19" t="n">
        <x:v>100000</x:v>
      </x:c>
      <x:c r="AM964" s="19" t="n">
        <x:v>500000</x:v>
      </x:c>
      <x:c r="AN964" s="3" t="str">
        <x:v>https://www.cashhomebuyersdirectory.com/cash-home-buyers/massachusetts/worcester</x:v>
      </x:c>
      <x:c r="AO964" s="3" t="str">
        <x:v>national_rest_directory_complete.jsonl</x:v>
      </x:c>
      <x:c r="AP964" s="19"/>
    </x:row>
    <x:row r="965" ht="36" customHeight="1">
      <x:c r="A965" s="23" t="n">
        <x:v>964</x:v>
      </x:c>
      <x:c r="B965" s="15" t="str">
        <x:v>Central Mississippi House Buyers</x:v>
      </x:c>
      <x:c r="C965" s="15"/>
      <x:c r="D965" s="15" t="str">
        <x:v>Property investor / home-buying operator</x:v>
      </x:c>
      <x:c r="E965" s="15" t="str">
        <x:v>Property investor / operator inquiry</x:v>
      </x:c>
      <x:c r="F965" s="17" t="str">
        <x:v>New</x:v>
      </x:c>
      <x:c r="G965" s="24"/>
      <x:c r="H965" s="24" t="str">
        <x:v>+16013515325</x:v>
      </x:c>
      <x:c r="I965" s="24" t="str">
        <x:v>http://www.centralmshousebuyers.com/</x:v>
      </x:c>
      <x:c r="J965" s="16" t="str">
        <x:v>MS</x:v>
      </x:c>
      <x:c r="K965" s="16" t="str">
        <x:v>Jackson</x:v>
      </x:c>
      <x:c r="L965" s="16" t="str">
        <x:v>Public property-business route; investor decision maker unconfirmed</x:v>
      </x:c>
      <x:c r="M965" s="16" t="str">
        <x:v>http://www.centralmshousebuyers.com/</x:v>
      </x:c>
      <x:c r="N965" s="16" t="str">
        <x:v>$100K-$500K ticket not published / unconfirmed</x:v>
      </x:c>
      <x:c r="O965" s="20"/>
      <x:c r="P965" s="20"/>
      <x:c r="Q965" s="25" t="str">
        <x:v>No direct corporate-capital range established in checked source</x:v>
      </x:c>
      <x:c r="R965" s="25" t="str">
        <x:v>Property acquisition or investor activity makes this an operator-capital prospect for the signed trial. Confirm operating-company debt/equity appetite.</x:v>
      </x:c>
      <x:c r="S965" s="25"/>
      <x:c r="T965" s="25" t="str">
        <x:v>Ask the owner/investor whether they can allocate $100K-$500K to trial marketing and acquisitions, and confirm structure, timing and decision authority.</x:v>
      </x:c>
      <x:c r="U965" s="25" t="str">
        <x:v>https://www.cashhomebuyersdirectory.com/cash-home-buyers/mississippi/jackson</x:v>
      </x:c>
      <x:c r="V965" s="26" t="d">
        <x:v>2026-10-02T00:00:00.000Z</x:v>
      </x:c>
      <x:c r="W965" s="26" t="d">
        <x:v>2026-10-02T00:00:00.000Z</x:v>
      </x:c>
      <x:c r="X965" s="25" t="str">
        <x:v>CashHomeBuyersDirectory third-party business listing; first-party business activity not checked in this batch</x:v>
      </x:c>
      <x:c r="Y965" s="25"/>
      <x:c r="Z965" s="25" t="str">
        <x:v>https://www.cashhomebuyersdirectory.com/cash-home-buyers/mississippi/jackson</x:v>
      </x:c>
      <x:c r="AA965" s="25" t="str">
        <x:v>Public cash-home-buyer directory lists the business name, business phone/website where available and market. Operator role and corporate funding willingness require confirmation.</x:v>
      </x:c>
      <x:c r="AB965" s="3" t="str">
        <x:v>New public-source collection</x:v>
      </x:c>
      <x:c r="AC965" s="3" t="str">
        <x:v>unverified</x:v>
      </x:c>
      <x:c r="AD965" s="3" t="str">
        <x:v>Not contacted / unconfirmed</x:v>
      </x:c>
      <x:c r="AE965" s="3" t="str">
        <x:v>No</x:v>
      </x:c>
      <x:c r="AF965" s="3" t="str">
        <x:v>No</x:v>
      </x:c>
      <x:c r="AG965" s="3"/>
      <x:c r="AH965" s="3"/>
      <x:c r="AI965" s="18"/>
      <x:c r="AJ965" s="3" t="str">
        <x:v>CF2500-F055F3FFA25B</x:v>
      </x:c>
      <x:c r="AK965" s="3" t="str">
        <x:v>real_estate_operator</x:v>
      </x:c>
      <x:c r="AL965" s="19" t="n">
        <x:v>100000</x:v>
      </x:c>
      <x:c r="AM965" s="19" t="n">
        <x:v>500000</x:v>
      </x:c>
      <x:c r="AN965" s="3" t="str">
        <x:v>https://www.cashhomebuyersdirectory.com/cash-home-buyers/mississippi/jackson</x:v>
      </x:c>
      <x:c r="AO965" s="3" t="str">
        <x:v>national_rest_directory_complete.jsonl</x:v>
      </x:c>
      <x:c r="AP965" s="19"/>
    </x:row>
    <x:row r="966" ht="36" customHeight="1">
      <x:c r="A966" s="23" t="n">
        <x:v>965</x:v>
      </x:c>
      <x:c r="B966" s="15" t="str">
        <x:v>Cincinnati Home Buyers, LLC</x:v>
      </x:c>
      <x:c r="C966" s="15"/>
      <x:c r="D966" s="15" t="str">
        <x:v>Property investor / home-buying operator</x:v>
      </x:c>
      <x:c r="E966" s="15" t="str">
        <x:v>Property investor / operator inquiry</x:v>
      </x:c>
      <x:c r="F966" s="17" t="str">
        <x:v>New</x:v>
      </x:c>
      <x:c r="G966" s="24"/>
      <x:c r="H966" s="24" t="str">
        <x:v>+15134452274</x:v>
      </x:c>
      <x:c r="I966" s="24" t="str">
        <x:v>https://thecincyhousebuyer.com/</x:v>
      </x:c>
      <x:c r="J966" s="16" t="str">
        <x:v>OH</x:v>
      </x:c>
      <x:c r="K966" s="16" t="str">
        <x:v>Cincinnati</x:v>
      </x:c>
      <x:c r="L966" s="16" t="str">
        <x:v>Public property-business route; investor decision maker unconfirmed</x:v>
      </x:c>
      <x:c r="M966" s="16" t="str">
        <x:v>https://thecincyhousebuyer.com/</x:v>
      </x:c>
      <x:c r="N966" s="16" t="str">
        <x:v>$100K-$500K ticket not published / unconfirmed</x:v>
      </x:c>
      <x:c r="O966" s="20"/>
      <x:c r="P966" s="20"/>
      <x:c r="Q966" s="25" t="str">
        <x:v>No direct corporate-capital range established in checked source</x:v>
      </x:c>
      <x:c r="R966" s="25" t="str">
        <x:v>Property acquisition or investor activity makes this an operator-capital prospect for the signed trial. Confirm operating-company debt/equity appetite.</x:v>
      </x:c>
      <x:c r="S966" s="25"/>
      <x:c r="T966" s="25" t="str">
        <x:v>Ask the owner/investor whether they can allocate $100K-$500K to trial marketing and acquisitions, and confirm structure, timing and decision authority.</x:v>
      </x:c>
      <x:c r="U966" s="25" t="str">
        <x:v>https://www.cashhomebuyersdirectory.com/cash-home-buyers/ohio/cincinnati</x:v>
      </x:c>
      <x:c r="V966" s="26" t="d">
        <x:v>2026-10-02T00:00:00.000Z</x:v>
      </x:c>
      <x:c r="W966" s="26" t="d">
        <x:v>2026-10-02T00:00:00.000Z</x:v>
      </x:c>
      <x:c r="X966" s="25" t="str">
        <x:v>CashHomeBuyersDirectory third-party business listing; first-party business activity not checked in this batch</x:v>
      </x:c>
      <x:c r="Y966" s="25"/>
      <x:c r="Z966" s="25" t="str">
        <x:v>https://www.cashhomebuyersdirectory.com/cash-home-buyers/ohio/cincinnati</x:v>
      </x:c>
      <x:c r="AA966" s="25" t="str">
        <x:v>Public cash-home-buyer directory lists the business name, business phone/website where available and market. Operator role and corporate funding willingness require confirmation.</x:v>
      </x:c>
      <x:c r="AB966" s="3" t="str">
        <x:v>New public-source collection</x:v>
      </x:c>
      <x:c r="AC966" s="3" t="str">
        <x:v>unverified</x:v>
      </x:c>
      <x:c r="AD966" s="3" t="str">
        <x:v>Not contacted / unconfirmed</x:v>
      </x:c>
      <x:c r="AE966" s="3" t="str">
        <x:v>No</x:v>
      </x:c>
      <x:c r="AF966" s="3" t="str">
        <x:v>No</x:v>
      </x:c>
      <x:c r="AG966" s="3"/>
      <x:c r="AH966" s="3" t="str">
        <x:v>Cincinnati House Buyer</x:v>
      </x:c>
      <x:c r="AI966" s="18"/>
      <x:c r="AJ966" s="3" t="str">
        <x:v>CF2500-A4A9853CF98B</x:v>
      </x:c>
      <x:c r="AK966" s="3" t="str">
        <x:v>real_estate_operator</x:v>
      </x:c>
      <x:c r="AL966" s="19" t="n">
        <x:v>100000</x:v>
      </x:c>
      <x:c r="AM966" s="19" t="n">
        <x:v>500000</x:v>
      </x:c>
      <x:c r="AN966" s="3" t="str">
        <x:v>https://www.cashhomebuyersdirectory.com/cash-home-buyers/ohio/cincinnati</x:v>
      </x:c>
      <x:c r="AO966" s="3" t="str">
        <x:v>national_rest_directory_complete.jsonl</x:v>
      </x:c>
      <x:c r="AP966" s="19"/>
    </x:row>
    <x:row r="967" ht="36" customHeight="1">
      <x:c r="A967" s="23" t="n">
        <x:v>966</x:v>
      </x:c>
      <x:c r="B967" s="15" t="str">
        <x:v>Cinergy Homebuyers</x:v>
      </x:c>
      <x:c r="C967" s="15"/>
      <x:c r="D967" s="15" t="str">
        <x:v>Property investor / home-buying operator</x:v>
      </x:c>
      <x:c r="E967" s="15" t="str">
        <x:v>Property investor / operator inquiry</x:v>
      </x:c>
      <x:c r="F967" s="17" t="str">
        <x:v>New</x:v>
      </x:c>
      <x:c r="G967" s="24"/>
      <x:c r="H967" s="24" t="str">
        <x:v>+15135132897</x:v>
      </x:c>
      <x:c r="I967" s="24" t="str">
        <x:v>https://www.cinergyhomebuyers.com/</x:v>
      </x:c>
      <x:c r="J967" s="16" t="str">
        <x:v>OH</x:v>
      </x:c>
      <x:c r="K967" s="16" t="str">
        <x:v>Cincinnati</x:v>
      </x:c>
      <x:c r="L967" s="16" t="str">
        <x:v>Public property-business route; investor decision maker unconfirmed</x:v>
      </x:c>
      <x:c r="M967" s="16" t="str">
        <x:v>https://www.cinergyhomebuyers.com/</x:v>
      </x:c>
      <x:c r="N967" s="16" t="str">
        <x:v>$100K-$500K ticket not published / unconfirmed</x:v>
      </x:c>
      <x:c r="O967" s="20"/>
      <x:c r="P967" s="20"/>
      <x:c r="Q967" s="25" t="str">
        <x:v>No direct corporate-capital range established in checked source</x:v>
      </x:c>
      <x:c r="R967" s="25" t="str">
        <x:v>Property acquisition or investor activity makes this an operator-capital prospect for the signed trial. Confirm operating-company debt/equity appetite.</x:v>
      </x:c>
      <x:c r="S967" s="25"/>
      <x:c r="T967" s="25" t="str">
        <x:v>Ask the owner/investor whether they can allocate $100K-$500K to trial marketing and acquisitions, and confirm structure, timing and decision authority.</x:v>
      </x:c>
      <x:c r="U967" s="25" t="str">
        <x:v>https://www.cashhomebuyersdirectory.com/cash-home-buyers/ohio/cincinnati</x:v>
      </x:c>
      <x:c r="V967" s="26" t="d">
        <x:v>2026-10-02T00:00:00.000Z</x:v>
      </x:c>
      <x:c r="W967" s="26" t="d">
        <x:v>2026-10-02T00:00:00.000Z</x:v>
      </x:c>
      <x:c r="X967" s="25" t="str">
        <x:v>CashHomeBuyersDirectory third-party business listing; first-party business activity not checked in this batch</x:v>
      </x:c>
      <x:c r="Y967" s="25"/>
      <x:c r="Z967" s="25" t="str">
        <x:v>https://www.cashhomebuyersdirectory.com/cash-home-buyers/ohio/cincinnati</x:v>
      </x:c>
      <x:c r="AA967" s="25" t="str">
        <x:v>Public cash-home-buyer directory lists the business name, business phone/website where available and market. Operator role and corporate funding willingness require confirmation.</x:v>
      </x:c>
      <x:c r="AB967" s="3" t="str">
        <x:v>New public-source collection</x:v>
      </x:c>
      <x:c r="AC967" s="3" t="str">
        <x:v>unverified</x:v>
      </x:c>
      <x:c r="AD967" s="3" t="str">
        <x:v>Not contacted / unconfirmed</x:v>
      </x:c>
      <x:c r="AE967" s="3" t="str">
        <x:v>No</x:v>
      </x:c>
      <x:c r="AF967" s="3" t="str">
        <x:v>No</x:v>
      </x:c>
      <x:c r="AG967" s="3"/>
      <x:c r="AH967" s="3"/>
      <x:c r="AI967" s="18"/>
      <x:c r="AJ967" s="3" t="str">
        <x:v>CF2500-4E9EA924A1AF</x:v>
      </x:c>
      <x:c r="AK967" s="3" t="str">
        <x:v>real_estate_operator</x:v>
      </x:c>
      <x:c r="AL967" s="19" t="n">
        <x:v>100000</x:v>
      </x:c>
      <x:c r="AM967" s="19" t="n">
        <x:v>500000</x:v>
      </x:c>
      <x:c r="AN967" s="3" t="str">
        <x:v>https://www.cashhomebuyersdirectory.com/cash-home-buyers/ohio/cincinnati</x:v>
      </x:c>
      <x:c r="AO967" s="3" t="str">
        <x:v>national_rest_directory_complete.jsonl</x:v>
      </x:c>
      <x:c r="AP967" s="19"/>
    </x:row>
    <x:row r="968" ht="36" customHeight="1">
      <x:c r="A968" s="23" t="n">
        <x:v>967</x:v>
      </x:c>
      <x:c r="B968" s="15" t="str">
        <x:v>City Lights Home Buyers</x:v>
      </x:c>
      <x:c r="C968" s="15"/>
      <x:c r="D968" s="15" t="str">
        <x:v>Property investor / home-buying operator</x:v>
      </x:c>
      <x:c r="E968" s="15" t="str">
        <x:v>Property investor / operator inquiry</x:v>
      </x:c>
      <x:c r="F968" s="17" t="str">
        <x:v>New</x:v>
      </x:c>
      <x:c r="G968" s="24"/>
      <x:c r="H968" s="24" t="str">
        <x:v>+16162023922</x:v>
      </x:c>
      <x:c r="I968" s="24" t="str">
        <x:v>https://citylightsgrandrapids.com/</x:v>
      </x:c>
      <x:c r="J968" s="16" t="str">
        <x:v>MI</x:v>
      </x:c>
      <x:c r="K968" s="16" t="str">
        <x:v>Grand Rapids</x:v>
      </x:c>
      <x:c r="L968" s="16" t="str">
        <x:v>Public property-business route; investor decision maker unconfirmed</x:v>
      </x:c>
      <x:c r="M968" s="16" t="str">
        <x:v>https://citylightsgrandrapids.com/</x:v>
      </x:c>
      <x:c r="N968" s="16" t="str">
        <x:v>$100K-$500K ticket not published / unconfirmed</x:v>
      </x:c>
      <x:c r="O968" s="20"/>
      <x:c r="P968" s="20"/>
      <x:c r="Q968" s="25" t="str">
        <x:v>No direct corporate-capital range established in checked source</x:v>
      </x:c>
      <x:c r="R968" s="25" t="str">
        <x:v>Property acquisition or investor activity makes this an operator-capital prospect for the signed trial. Confirm operating-company debt/equity appetite.</x:v>
      </x:c>
      <x:c r="S968" s="25"/>
      <x:c r="T968" s="25" t="str">
        <x:v>Ask the owner/investor whether they can allocate $100K-$500K to trial marketing and acquisitions, and confirm structure, timing and decision authority.</x:v>
      </x:c>
      <x:c r="U968" s="25" t="str">
        <x:v>https://www.cashhomebuyersdirectory.com/cash-home-buyers/michigan/grand-rapids</x:v>
      </x:c>
      <x:c r="V968" s="26" t="d">
        <x:v>2026-10-02T00:00:00.000Z</x:v>
      </x:c>
      <x:c r="W968" s="26" t="d">
        <x:v>2026-10-02T00:00:00.000Z</x:v>
      </x:c>
      <x:c r="X968" s="25" t="str">
        <x:v>CashHomeBuyersDirectory third-party business listing; first-party business activity not checked in this batch</x:v>
      </x:c>
      <x:c r="Y968" s="25"/>
      <x:c r="Z968" s="25" t="str">
        <x:v>https://www.cashhomebuyersdirectory.com/cash-home-buyers/michigan/grand-rapids</x:v>
      </x:c>
      <x:c r="AA968" s="25" t="str">
        <x:v>Public cash-home-buyer directory lists the business name, business phone/website where available and market. Operator role and corporate funding willingness require confirmation.</x:v>
      </x:c>
      <x:c r="AB968" s="3" t="str">
        <x:v>New public-source collection</x:v>
      </x:c>
      <x:c r="AC968" s="3" t="str">
        <x:v>unverified</x:v>
      </x:c>
      <x:c r="AD968" s="3" t="str">
        <x:v>Not contacted / unconfirmed</x:v>
      </x:c>
      <x:c r="AE968" s="3" t="str">
        <x:v>No</x:v>
      </x:c>
      <x:c r="AF968" s="3" t="str">
        <x:v>No</x:v>
      </x:c>
      <x:c r="AG968" s="3"/>
      <x:c r="AH968" s="3"/>
      <x:c r="AI968" s="18"/>
      <x:c r="AJ968" s="3" t="str">
        <x:v>CF2500-679214BF3D01</x:v>
      </x:c>
      <x:c r="AK968" s="3" t="str">
        <x:v>real_estate_operator</x:v>
      </x:c>
      <x:c r="AL968" s="19" t="n">
        <x:v>100000</x:v>
      </x:c>
      <x:c r="AM968" s="19" t="n">
        <x:v>500000</x:v>
      </x:c>
      <x:c r="AN968" s="3" t="str">
        <x:v>https://www.cashhomebuyersdirectory.com/cash-home-buyers/michigan/grand-rapids</x:v>
      </x:c>
      <x:c r="AO968" s="3" t="str">
        <x:v>national_rest_directory_complete.jsonl</x:v>
      </x:c>
      <x:c r="AP968" s="19"/>
    </x:row>
    <x:row r="969" ht="36" customHeight="1">
      <x:c r="A969" s="23" t="n">
        <x:v>968</x:v>
      </x:c>
      <x:c r="B969" s="15" t="str">
        <x:v>Cle Home Buyers</x:v>
      </x:c>
      <x:c r="C969" s="15"/>
      <x:c r="D969" s="15" t="str">
        <x:v>Property investor / home-buying operator</x:v>
      </x:c>
      <x:c r="E969" s="15" t="str">
        <x:v>Property investor / operator inquiry</x:v>
      </x:c>
      <x:c r="F969" s="17" t="str">
        <x:v>New</x:v>
      </x:c>
      <x:c r="G969" s="24"/>
      <x:c r="H969" s="24" t="str">
        <x:v>+14403461341</x:v>
      </x:c>
      <x:c r="I969" s="24" t="str">
        <x:v>https://clehomebuyer.com/</x:v>
      </x:c>
      <x:c r="J969" s="16" t="str">
        <x:v>OH</x:v>
      </x:c>
      <x:c r="K969" s="16" t="str">
        <x:v>Valley View</x:v>
      </x:c>
      <x:c r="L969" s="16" t="str">
        <x:v>Public property-business route; investor decision maker unconfirmed</x:v>
      </x:c>
      <x:c r="M969" s="16" t="str">
        <x:v>https://clehomebuyer.com/</x:v>
      </x:c>
      <x:c r="N969" s="16" t="str">
        <x:v>$100K-$500K ticket not published / unconfirmed</x:v>
      </x:c>
      <x:c r="O969" s="20"/>
      <x:c r="P969" s="20"/>
      <x:c r="Q969" s="25" t="str">
        <x:v>No direct corporate-capital range established in checked source</x:v>
      </x:c>
      <x:c r="R969" s="25" t="str">
        <x:v>Property acquisition or investor activity makes this an operator-capital prospect for the signed trial. Confirm operating-company debt/equity appetite.</x:v>
      </x:c>
      <x:c r="S969" s="25"/>
      <x:c r="T969" s="25" t="str">
        <x:v>Ask the owner/investor whether they can allocate $100K-$500K to trial marketing and acquisitions, and confirm structure, timing and decision authority.</x:v>
      </x:c>
      <x:c r="U969" s="25" t="str">
        <x:v>https://www.cashhomebuyersdirectory.com/cash-home-buyers/ohio/valley-view</x:v>
      </x:c>
      <x:c r="V969" s="26" t="d">
        <x:v>2026-10-02T00:00:00.000Z</x:v>
      </x:c>
      <x:c r="W969" s="26" t="d">
        <x:v>2026-10-02T00:00:00.000Z</x:v>
      </x:c>
      <x:c r="X969" s="25" t="str">
        <x:v>CashHomeBuyersDirectory third-party business listing; first-party business activity not checked in this batch</x:v>
      </x:c>
      <x:c r="Y969" s="25"/>
      <x:c r="Z969" s="25" t="str">
        <x:v>https://www.cashhomebuyersdirectory.com/cash-home-buyers/ohio/valley-view</x:v>
      </x:c>
      <x:c r="AA969" s="25" t="str">
        <x:v>Public cash-home-buyer directory lists the business name, business phone/website where available and market. Operator role and corporate funding willingness require confirmation.</x:v>
      </x:c>
      <x:c r="AB969" s="3" t="str">
        <x:v>New public-source collection</x:v>
      </x:c>
      <x:c r="AC969" s="3" t="str">
        <x:v>unverified</x:v>
      </x:c>
      <x:c r="AD969" s="3" t="str">
        <x:v>Not contacted / unconfirmed</x:v>
      </x:c>
      <x:c r="AE969" s="3" t="str">
        <x:v>No</x:v>
      </x:c>
      <x:c r="AF969" s="3" t="str">
        <x:v>No</x:v>
      </x:c>
      <x:c r="AG969" s="3"/>
      <x:c r="AH969" s="3"/>
      <x:c r="AI969" s="18"/>
      <x:c r="AJ969" s="3" t="str">
        <x:v>CF2500-083B801F15A6</x:v>
      </x:c>
      <x:c r="AK969" s="3" t="str">
        <x:v>real_estate_operator</x:v>
      </x:c>
      <x:c r="AL969" s="19" t="n">
        <x:v>100000</x:v>
      </x:c>
      <x:c r="AM969" s="19" t="n">
        <x:v>500000</x:v>
      </x:c>
      <x:c r="AN969" s="3" t="str">
        <x:v>https://www.cashhomebuyersdirectory.com/cash-home-buyers/ohio/valley-view</x:v>
      </x:c>
      <x:c r="AO969" s="3" t="str">
        <x:v>national_rest_directory_complete.jsonl</x:v>
      </x:c>
      <x:c r="AP969" s="19"/>
    </x:row>
    <x:row r="970" ht="36" customHeight="1">
      <x:c r="A970" s="23" t="n">
        <x:v>969</x:v>
      </x:c>
      <x:c r="B970" s="15" t="str">
        <x:v>ClearEdge Home Buyers</x:v>
      </x:c>
      <x:c r="C970" s="15"/>
      <x:c r="D970" s="15" t="str">
        <x:v>Property investor / home-buying operator</x:v>
      </x:c>
      <x:c r="E970" s="15" t="str">
        <x:v>Property investor / operator inquiry</x:v>
      </x:c>
      <x:c r="F970" s="17" t="str">
        <x:v>New</x:v>
      </x:c>
      <x:c r="G970" s="24"/>
      <x:c r="H970" s="24" t="str">
        <x:v>+16109048526</x:v>
      </x:c>
      <x:c r="I970" s="24" t="str">
        <x:v>https://www.clearedgehomebuyers.com/</x:v>
      </x:c>
      <x:c r="J970" s="16" t="str">
        <x:v>NJ</x:v>
      </x:c>
      <x:c r="K970" s="16"/>
      <x:c r="L970" s="16" t="str">
        <x:v>Public property-business route; investor decision maker unconfirmed</x:v>
      </x:c>
      <x:c r="M970" s="16" t="str">
        <x:v>https://www.clearedgehomebuyers.com/</x:v>
      </x:c>
      <x:c r="N970" s="16" t="str">
        <x:v>$100K-$500K ticket not published / unconfirmed</x:v>
      </x:c>
      <x:c r="O970" s="20"/>
      <x:c r="P970" s="20"/>
      <x:c r="Q970" s="25" t="str">
        <x:v>No direct corporate-capital range established in checked source</x:v>
      </x:c>
      <x:c r="R970" s="25" t="str">
        <x:v>Property acquisition or investor activity makes this an operator-capital prospect for the signed trial. Confirm operating-company debt/equity appetite.</x:v>
      </x:c>
      <x:c r="S970" s="25"/>
      <x:c r="T970" s="25" t="str">
        <x:v>Ask the owner/investor whether they can allocate $100K-$500K to trial marketing and acquisitions, and confirm structure, timing and decision authority.</x:v>
      </x:c>
      <x:c r="U970" s="25" t="str">
        <x:v>https://www.cashhomebuyersdirectory.com/cash-home-buyers/new-jersey/jersey-city</x:v>
      </x:c>
      <x:c r="V970" s="26" t="d">
        <x:v>2026-10-02T00:00:00.000Z</x:v>
      </x:c>
      <x:c r="W970" s="26" t="d">
        <x:v>2026-10-02T00:00:00.000Z</x:v>
      </x:c>
      <x:c r="X970" s="25" t="str">
        <x:v>CashHomeBuyersDirectory third-party business listing; first-party business activity not checked in this batch</x:v>
      </x:c>
      <x:c r="Y970" s="25"/>
      <x:c r="Z970" s="25" t="str">
        <x:v>https://www.cashhomebuyersdirectory.com/cash-home-buyers/new-jersey/jersey-city</x:v>
      </x:c>
      <x:c r="AA970" s="25" t="str">
        <x:v>Public cash-home-buyer directory lists the business name, business phone/website where available and market. Operator role and corporate funding willingness require confirmation.</x:v>
      </x:c>
      <x:c r="AB970" s="3" t="str">
        <x:v>New public-source collection</x:v>
      </x:c>
      <x:c r="AC970" s="3" t="str">
        <x:v>unverified</x:v>
      </x:c>
      <x:c r="AD970" s="3" t="str">
        <x:v>Not contacted / unconfirmed</x:v>
      </x:c>
      <x:c r="AE970" s="3" t="str">
        <x:v>No</x:v>
      </x:c>
      <x:c r="AF970" s="3" t="str">
        <x:v>No</x:v>
      </x:c>
      <x:c r="AG970" s="3"/>
      <x:c r="AH970" s="3"/>
      <x:c r="AI970" s="18"/>
      <x:c r="AJ970" s="3" t="str">
        <x:v>CF2500-DA06DE7D5638</x:v>
      </x:c>
      <x:c r="AK970" s="3" t="str">
        <x:v>real_estate_operator</x:v>
      </x:c>
      <x:c r="AL970" s="19" t="n">
        <x:v>100000</x:v>
      </x:c>
      <x:c r="AM970" s="19" t="n">
        <x:v>500000</x:v>
      </x:c>
      <x:c r="AN970" s="3" t="str">
        <x:v>https://www.cashhomebuyersdirectory.com/cash-home-buyers/new-jersey/jersey-city</x:v>
      </x:c>
      <x:c r="AO970" s="3" t="str">
        <x:v>national_rest_directory_complete.jsonl</x:v>
      </x:c>
      <x:c r="AP970" s="19"/>
    </x:row>
    <x:row r="971" ht="36" customHeight="1">
      <x:c r="A971" s="23" t="n">
        <x:v>970</x:v>
      </x:c>
      <x:c r="B971" s="15" t="str">
        <x:v>Cleveland Cash Offers</x:v>
      </x:c>
      <x:c r="C971" s="15"/>
      <x:c r="D971" s="15" t="str">
        <x:v>Property investor / home-buying operator</x:v>
      </x:c>
      <x:c r="E971" s="15" t="str">
        <x:v>Property investor / operator inquiry</x:v>
      </x:c>
      <x:c r="F971" s="17" t="str">
        <x:v>New</x:v>
      </x:c>
      <x:c r="G971" s="24"/>
      <x:c r="H971" s="24" t="str">
        <x:v>+12162004160</x:v>
      </x:c>
      <x:c r="I971" s="24" t="str">
        <x:v>https://www.clecashoffers.com/</x:v>
      </x:c>
      <x:c r="J971" s="16" t="str">
        <x:v>OH</x:v>
      </x:c>
      <x:c r="K971" s="16" t="str">
        <x:v>Cleveland</x:v>
      </x:c>
      <x:c r="L971" s="16" t="str">
        <x:v>Public property-business route; investor decision maker unconfirmed</x:v>
      </x:c>
      <x:c r="M971" s="16" t="str">
        <x:v>https://www.clecashoffers.com/</x:v>
      </x:c>
      <x:c r="N971" s="16" t="str">
        <x:v>$100K-$500K ticket not published / unconfirmed</x:v>
      </x:c>
      <x:c r="O971" s="20"/>
      <x:c r="P971" s="20"/>
      <x:c r="Q971" s="25" t="str">
        <x:v>No direct corporate-capital range established in checked source</x:v>
      </x:c>
      <x:c r="R971" s="25" t="str">
        <x:v>Property acquisition or investor activity makes this an operator-capital prospect for the signed trial. Confirm operating-company debt/equity appetite.</x:v>
      </x:c>
      <x:c r="S971" s="25"/>
      <x:c r="T971" s="25" t="str">
        <x:v>Ask the owner/investor whether they can allocate $100K-$500K to trial marketing and acquisitions, and confirm structure, timing and decision authority.</x:v>
      </x:c>
      <x:c r="U971" s="25" t="str">
        <x:v>https://www.cashhomebuyersdirectory.com/cash-home-buyers/ohio/cleveland</x:v>
      </x:c>
      <x:c r="V971" s="26" t="d">
        <x:v>2026-10-02T00:00:00.000Z</x:v>
      </x:c>
      <x:c r="W971" s="26" t="d">
        <x:v>2026-10-02T00:00:00.000Z</x:v>
      </x:c>
      <x:c r="X971" s="25" t="str">
        <x:v>CashHomeBuyersDirectory third-party business listing; first-party business activity not checked in this batch</x:v>
      </x:c>
      <x:c r="Y971" s="25"/>
      <x:c r="Z971" s="25" t="str">
        <x:v>https://www.cashhomebuyersdirectory.com/cash-home-buyers/ohio/cleveland</x:v>
      </x:c>
      <x:c r="AA971" s="25" t="str">
        <x:v>Public cash-home-buyer directory lists the business name, business phone/website where available and market. Operator role and corporate funding willingness require confirmation.</x:v>
      </x:c>
      <x:c r="AB971" s="3" t="str">
        <x:v>New public-source collection</x:v>
      </x:c>
      <x:c r="AC971" s="3" t="str">
        <x:v>unverified</x:v>
      </x:c>
      <x:c r="AD971" s="3" t="str">
        <x:v>Not contacted / unconfirmed</x:v>
      </x:c>
      <x:c r="AE971" s="3" t="str">
        <x:v>No</x:v>
      </x:c>
      <x:c r="AF971" s="3" t="str">
        <x:v>No</x:v>
      </x:c>
      <x:c r="AG971" s="3"/>
      <x:c r="AH971" s="3"/>
      <x:c r="AI971" s="18"/>
      <x:c r="AJ971" s="3" t="str">
        <x:v>CF2500-C0A63C38B316</x:v>
      </x:c>
      <x:c r="AK971" s="3" t="str">
        <x:v>real_estate_operator</x:v>
      </x:c>
      <x:c r="AL971" s="19" t="n">
        <x:v>100000</x:v>
      </x:c>
      <x:c r="AM971" s="19" t="n">
        <x:v>500000</x:v>
      </x:c>
      <x:c r="AN971" s="3" t="str">
        <x:v>https://www.cashhomebuyersdirectory.com/cash-home-buyers/ohio/cleveland</x:v>
      </x:c>
      <x:c r="AO971" s="3" t="str">
        <x:v>national_rest_directory_complete.jsonl</x:v>
      </x:c>
      <x:c r="AP971" s="19"/>
    </x:row>
    <x:row r="972" ht="36" customHeight="1">
      <x:c r="A972" s="23" t="n">
        <x:v>971</x:v>
      </x:c>
      <x:c r="B972" s="15" t="str">
        <x:v>Cleveland Fast Home Buyers</x:v>
      </x:c>
      <x:c r="C972" s="15"/>
      <x:c r="D972" s="15" t="str">
        <x:v>Property investor / home-buying operator</x:v>
      </x:c>
      <x:c r="E972" s="15" t="str">
        <x:v>Property investor / operator inquiry</x:v>
      </x:c>
      <x:c r="F972" s="17" t="str">
        <x:v>New</x:v>
      </x:c>
      <x:c r="G972" s="24"/>
      <x:c r="H972" s="24" t="str">
        <x:v>+12162508476</x:v>
      </x:c>
      <x:c r="I972" s="24" t="str">
        <x:v>https://clevelandfasthomebuyers.com/</x:v>
      </x:c>
      <x:c r="J972" s="16" t="str">
        <x:v>OH</x:v>
      </x:c>
      <x:c r="K972" s="16" t="str">
        <x:v>North Canton</x:v>
      </x:c>
      <x:c r="L972" s="16" t="str">
        <x:v>Public property-business route; investor decision maker unconfirmed</x:v>
      </x:c>
      <x:c r="M972" s="16" t="str">
        <x:v>https://clevelandfasthomebuyers.com/</x:v>
      </x:c>
      <x:c r="N972" s="16" t="str">
        <x:v>$100K-$500K ticket not published / unconfirmed</x:v>
      </x:c>
      <x:c r="O972" s="20"/>
      <x:c r="P972" s="20"/>
      <x:c r="Q972" s="25" t="str">
        <x:v>No direct corporate-capital range established in checked source</x:v>
      </x:c>
      <x:c r="R972" s="25" t="str">
        <x:v>Property acquisition or investor activity makes this an operator-capital prospect for the signed trial. Confirm operating-company debt/equity appetite.</x:v>
      </x:c>
      <x:c r="S972" s="25"/>
      <x:c r="T972" s="25" t="str">
        <x:v>Ask the owner/investor whether they can allocate $100K-$500K to trial marketing and acquisitions, and confirm structure, timing and decision authority.</x:v>
      </x:c>
      <x:c r="U972" s="25" t="str">
        <x:v>https://www.cashhomebuyersdirectory.com/cash-home-buyers/ohio/north-canton</x:v>
      </x:c>
      <x:c r="V972" s="26" t="d">
        <x:v>2026-10-02T00:00:00.000Z</x:v>
      </x:c>
      <x:c r="W972" s="26" t="d">
        <x:v>2026-10-02T00:00:00.000Z</x:v>
      </x:c>
      <x:c r="X972" s="25" t="str">
        <x:v>CashHomeBuyersDirectory third-party business listing; first-party business activity not checked in this batch</x:v>
      </x:c>
      <x:c r="Y972" s="25"/>
      <x:c r="Z972" s="25" t="str">
        <x:v>https://www.cashhomebuyersdirectory.com/cash-home-buyers/ohio/north-canton</x:v>
      </x:c>
      <x:c r="AA972" s="25" t="str">
        <x:v>Public cash-home-buyer directory lists the business name, business phone/website where available and market. Operator role and corporate funding willingness require confirmation.</x:v>
      </x:c>
      <x:c r="AB972" s="3" t="str">
        <x:v>New public-source collection</x:v>
      </x:c>
      <x:c r="AC972" s="3" t="str">
        <x:v>unverified</x:v>
      </x:c>
      <x:c r="AD972" s="3" t="str">
        <x:v>Not contacted / unconfirmed</x:v>
      </x:c>
      <x:c r="AE972" s="3" t="str">
        <x:v>No</x:v>
      </x:c>
      <x:c r="AF972" s="3" t="str">
        <x:v>No</x:v>
      </x:c>
      <x:c r="AG972" s="3"/>
      <x:c r="AH972" s="3"/>
      <x:c r="AI972" s="18"/>
      <x:c r="AJ972" s="3" t="str">
        <x:v>CF2500-3081D323B0DE</x:v>
      </x:c>
      <x:c r="AK972" s="3" t="str">
        <x:v>real_estate_operator</x:v>
      </x:c>
      <x:c r="AL972" s="19" t="n">
        <x:v>100000</x:v>
      </x:c>
      <x:c r="AM972" s="19" t="n">
        <x:v>500000</x:v>
      </x:c>
      <x:c r="AN972" s="3" t="str">
        <x:v>https://www.cashhomebuyersdirectory.com/cash-home-buyers/ohio/north-canton</x:v>
      </x:c>
      <x:c r="AO972" s="3" t="str">
        <x:v>national_rest_directory_complete.jsonl</x:v>
      </x:c>
      <x:c r="AP972" s="19"/>
    </x:row>
    <x:row r="973" ht="36" customHeight="1">
      <x:c r="A973" s="23" t="n">
        <x:v>972</x:v>
      </x:c>
      <x:c r="B973" s="15" t="str">
        <x:v>Cleveland Home Buyers</x:v>
      </x:c>
      <x:c r="C973" s="15"/>
      <x:c r="D973" s="15" t="str">
        <x:v>Property investor / home-buying operator</x:v>
      </x:c>
      <x:c r="E973" s="15" t="str">
        <x:v>Property investor / operator inquiry</x:v>
      </x:c>
      <x:c r="F973" s="17" t="str">
        <x:v>New</x:v>
      </x:c>
      <x:c r="G973" s="24"/>
      <x:c r="H973" s="24" t="str">
        <x:v>+14406788180</x:v>
      </x:c>
      <x:c r="I973" s="24" t="str">
        <x:v>https://clevelandhomebuyers.co/</x:v>
      </x:c>
      <x:c r="J973" s="16" t="str">
        <x:v>OH</x:v>
      </x:c>
      <x:c r="K973" s="16" t="str">
        <x:v>Northfield</x:v>
      </x:c>
      <x:c r="L973" s="16" t="str">
        <x:v>Public property-business route; investor decision maker unconfirmed</x:v>
      </x:c>
      <x:c r="M973" s="16" t="str">
        <x:v>https://clevelandhomebuyers.co/</x:v>
      </x:c>
      <x:c r="N973" s="16" t="str">
        <x:v>$100K-$500K ticket not published / unconfirmed</x:v>
      </x:c>
      <x:c r="O973" s="20"/>
      <x:c r="P973" s="20"/>
      <x:c r="Q973" s="25" t="str">
        <x:v>No direct corporate-capital range established in checked source</x:v>
      </x:c>
      <x:c r="R973" s="25" t="str">
        <x:v>Property acquisition or investor activity makes this an operator-capital prospect for the signed trial. Confirm operating-company debt/equity appetite.</x:v>
      </x:c>
      <x:c r="S973" s="25"/>
      <x:c r="T973" s="25" t="str">
        <x:v>Ask the owner/investor whether they can allocate $100K-$500K to trial marketing and acquisitions, and confirm structure, timing and decision authority.</x:v>
      </x:c>
      <x:c r="U973" s="25" t="str">
        <x:v>https://www.cashhomebuyersdirectory.com/cash-home-buyers/ohio/northfield</x:v>
      </x:c>
      <x:c r="V973" s="26" t="d">
        <x:v>2026-10-02T00:00:00.000Z</x:v>
      </x:c>
      <x:c r="W973" s="26" t="d">
        <x:v>2026-10-02T00:00:00.000Z</x:v>
      </x:c>
      <x:c r="X973" s="25" t="str">
        <x:v>CashHomeBuyersDirectory third-party business listing; first-party business activity not checked in this batch</x:v>
      </x:c>
      <x:c r="Y973" s="25"/>
      <x:c r="Z973" s="25" t="str">
        <x:v>https://www.cashhomebuyersdirectory.com/cash-home-buyers/ohio/northfield</x:v>
      </x:c>
      <x:c r="AA973" s="25" t="str">
        <x:v>Public cash-home-buyer directory lists the business name, business phone/website where available and market. Operator role and corporate funding willingness require confirmation.</x:v>
      </x:c>
      <x:c r="AB973" s="3" t="str">
        <x:v>New public-source collection</x:v>
      </x:c>
      <x:c r="AC973" s="3" t="str">
        <x:v>unverified</x:v>
      </x:c>
      <x:c r="AD973" s="3" t="str">
        <x:v>Not contacted / unconfirmed</x:v>
      </x:c>
      <x:c r="AE973" s="3" t="str">
        <x:v>No</x:v>
      </x:c>
      <x:c r="AF973" s="3" t="str">
        <x:v>No</x:v>
      </x:c>
      <x:c r="AG973" s="3"/>
      <x:c r="AH973" s="3"/>
      <x:c r="AI973" s="18"/>
      <x:c r="AJ973" s="3" t="str">
        <x:v>CF2500-67A75FCCC4C4</x:v>
      </x:c>
      <x:c r="AK973" s="3" t="str">
        <x:v>real_estate_operator</x:v>
      </x:c>
      <x:c r="AL973" s="19" t="n">
        <x:v>100000</x:v>
      </x:c>
      <x:c r="AM973" s="19" t="n">
        <x:v>500000</x:v>
      </x:c>
      <x:c r="AN973" s="3" t="str">
        <x:v>https://www.cashhomebuyersdirectory.com/cash-home-buyers/ohio/northfield</x:v>
      </x:c>
      <x:c r="AO973" s="3" t="str">
        <x:v>national_rest_directory_complete.jsonl</x:v>
      </x:c>
      <x:c r="AP973" s="19"/>
    </x:row>
    <x:row r="974" ht="36" customHeight="1">
      <x:c r="A974" s="23" t="n">
        <x:v>973</x:v>
      </x:c>
      <x:c r="B974" s="15" t="str">
        <x:v>Cleveland House Buyers</x:v>
      </x:c>
      <x:c r="C974" s="15"/>
      <x:c r="D974" s="15" t="str">
        <x:v>Property investor / home-buying operator</x:v>
      </x:c>
      <x:c r="E974" s="15" t="str">
        <x:v>Property investor / operator inquiry</x:v>
      </x:c>
      <x:c r="F974" s="17" t="str">
        <x:v>New</x:v>
      </x:c>
      <x:c r="G974" s="24"/>
      <x:c r="H974" s="24" t="str">
        <x:v>+14405776552</x:v>
      </x:c>
      <x:c r="I974" s="24" t="str">
        <x:v>http://www.clevelandhousebuyers.com/</x:v>
      </x:c>
      <x:c r="J974" s="16" t="str">
        <x:v>OH</x:v>
      </x:c>
      <x:c r="K974" s="16" t="str">
        <x:v>North Royalton</x:v>
      </x:c>
      <x:c r="L974" s="16" t="str">
        <x:v>Public property-business route; investor decision maker unconfirmed</x:v>
      </x:c>
      <x:c r="M974" s="16" t="str">
        <x:v>http://www.clevelandhousebuyers.com/</x:v>
      </x:c>
      <x:c r="N974" s="16" t="str">
        <x:v>$100K-$500K ticket not published / unconfirmed</x:v>
      </x:c>
      <x:c r="O974" s="20"/>
      <x:c r="P974" s="20"/>
      <x:c r="Q974" s="25" t="str">
        <x:v>No direct corporate-capital range established in checked source</x:v>
      </x:c>
      <x:c r="R974" s="25" t="str">
        <x:v>Property acquisition or investor activity makes this an operator-capital prospect for the signed trial. Confirm operating-company debt/equity appetite.</x:v>
      </x:c>
      <x:c r="S974" s="25"/>
      <x:c r="T974" s="25" t="str">
        <x:v>Ask the owner/investor whether they can allocate $100K-$500K to trial marketing and acquisitions, and confirm structure, timing and decision authority.</x:v>
      </x:c>
      <x:c r="U974" s="25" t="str">
        <x:v>https://www.cashhomebuyersdirectory.com/cash-home-buyers/ohio/north-royalton</x:v>
      </x:c>
      <x:c r="V974" s="26" t="d">
        <x:v>2026-10-02T00:00:00.000Z</x:v>
      </x:c>
      <x:c r="W974" s="26" t="d">
        <x:v>2026-10-02T00:00:00.000Z</x:v>
      </x:c>
      <x:c r="X974" s="25" t="str">
        <x:v>CashHomeBuyersDirectory third-party business listing; first-party business activity not checked in this batch</x:v>
      </x:c>
      <x:c r="Y974" s="25"/>
      <x:c r="Z974" s="25" t="str">
        <x:v>https://www.cashhomebuyersdirectory.com/cash-home-buyers/ohio/north-royalton</x:v>
      </x:c>
      <x:c r="AA974" s="25" t="str">
        <x:v>Public cash-home-buyer directory lists the business name, business phone/website where available and market. Operator role and corporate funding willingness require confirmation.</x:v>
      </x:c>
      <x:c r="AB974" s="3" t="str">
        <x:v>New public-source collection</x:v>
      </x:c>
      <x:c r="AC974" s="3" t="str">
        <x:v>unverified</x:v>
      </x:c>
      <x:c r="AD974" s="3" t="str">
        <x:v>Not contacted / unconfirmed</x:v>
      </x:c>
      <x:c r="AE974" s="3" t="str">
        <x:v>No</x:v>
      </x:c>
      <x:c r="AF974" s="3" t="str">
        <x:v>No</x:v>
      </x:c>
      <x:c r="AG974" s="3"/>
      <x:c r="AH974" s="3"/>
      <x:c r="AI974" s="18"/>
      <x:c r="AJ974" s="3" t="str">
        <x:v>CF2500-7D4C01C0BDB6</x:v>
      </x:c>
      <x:c r="AK974" s="3" t="str">
        <x:v>real_estate_operator</x:v>
      </x:c>
      <x:c r="AL974" s="19" t="n">
        <x:v>100000</x:v>
      </x:c>
      <x:c r="AM974" s="19" t="n">
        <x:v>500000</x:v>
      </x:c>
      <x:c r="AN974" s="3" t="str">
        <x:v>https://www.cashhomebuyersdirectory.com/cash-home-buyers/ohio/north-royalton</x:v>
      </x:c>
      <x:c r="AO974" s="3" t="str">
        <x:v>national_rest_directory_complete.jsonl</x:v>
      </x:c>
      <x:c r="AP974" s="19"/>
    </x:row>
    <x:row r="975" ht="36" customHeight="1">
      <x:c r="A975" s="23" t="n">
        <x:v>974</x:v>
      </x:c>
      <x:c r="B975" s="15" t="str">
        <x:v>Clutch Home Buyers</x:v>
      </x:c>
      <x:c r="C975" s="15"/>
      <x:c r="D975" s="15" t="str">
        <x:v>Property investor / home-buying operator</x:v>
      </x:c>
      <x:c r="E975" s="15" t="str">
        <x:v>Property investor / operator inquiry</x:v>
      </x:c>
      <x:c r="F975" s="17" t="str">
        <x:v>New</x:v>
      </x:c>
      <x:c r="G975" s="24"/>
      <x:c r="H975" s="24" t="str">
        <x:v>+19738469063</x:v>
      </x:c>
      <x:c r="I975" s="24" t="str">
        <x:v>https://clutchbuyers.com/</x:v>
      </x:c>
      <x:c r="J975" s="16" t="str">
        <x:v>NJ</x:v>
      </x:c>
      <x:c r="K975" s="16"/>
      <x:c r="L975" s="16" t="str">
        <x:v>Public property-business route; investor decision maker unconfirmed</x:v>
      </x:c>
      <x:c r="M975" s="16" t="str">
        <x:v>https://clutchbuyers.com/</x:v>
      </x:c>
      <x:c r="N975" s="16" t="str">
        <x:v>$100K-$500K ticket not published / unconfirmed</x:v>
      </x:c>
      <x:c r="O975" s="20"/>
      <x:c r="P975" s="20"/>
      <x:c r="Q975" s="25" t="str">
        <x:v>No direct corporate-capital range established in checked source</x:v>
      </x:c>
      <x:c r="R975" s="25" t="str">
        <x:v>Property acquisition or investor activity makes this an operator-capital prospect for the signed trial. Confirm operating-company debt/equity appetite.</x:v>
      </x:c>
      <x:c r="S975" s="25"/>
      <x:c r="T975" s="25" t="str">
        <x:v>Ask the owner/investor whether they can allocate $100K-$500K to trial marketing and acquisitions, and confirm structure, timing and decision authority.</x:v>
      </x:c>
      <x:c r="U975" s="25" t="str">
        <x:v>https://www.cashhomebuyersdirectory.com/cash-home-buyers/new-jersey/jersey-city</x:v>
      </x:c>
      <x:c r="V975" s="26" t="d">
        <x:v>2026-10-02T00:00:00.000Z</x:v>
      </x:c>
      <x:c r="W975" s="26" t="d">
        <x:v>2026-10-02T00:00:00.000Z</x:v>
      </x:c>
      <x:c r="X975" s="25" t="str">
        <x:v>CashHomeBuyersDirectory third-party business listing; first-party business activity not checked in this batch</x:v>
      </x:c>
      <x:c r="Y975" s="25"/>
      <x:c r="Z975" s="25" t="str">
        <x:v>https://www.cashhomebuyersdirectory.com/cash-home-buyers/new-jersey/jersey-city</x:v>
      </x:c>
      <x:c r="AA975" s="25" t="str">
        <x:v>Public cash-home-buyer directory lists the business name, business phone/website where available and market. Operator role and corporate funding willingness require confirmation.</x:v>
      </x:c>
      <x:c r="AB975" s="3" t="str">
        <x:v>New public-source collection</x:v>
      </x:c>
      <x:c r="AC975" s="3" t="str">
        <x:v>unverified</x:v>
      </x:c>
      <x:c r="AD975" s="3" t="str">
        <x:v>Not contacted / unconfirmed</x:v>
      </x:c>
      <x:c r="AE975" s="3" t="str">
        <x:v>No</x:v>
      </x:c>
      <x:c r="AF975" s="3" t="str">
        <x:v>No</x:v>
      </x:c>
      <x:c r="AG975" s="3"/>
      <x:c r="AH975" s="3"/>
      <x:c r="AI975" s="18"/>
      <x:c r="AJ975" s="3" t="str">
        <x:v>CF2500-310377F6D999</x:v>
      </x:c>
      <x:c r="AK975" s="3" t="str">
        <x:v>real_estate_operator</x:v>
      </x:c>
      <x:c r="AL975" s="19" t="n">
        <x:v>100000</x:v>
      </x:c>
      <x:c r="AM975" s="19" t="n">
        <x:v>500000</x:v>
      </x:c>
      <x:c r="AN975" s="3" t="str">
        <x:v>https://www.cashhomebuyersdirectory.com/cash-home-buyers/new-jersey/jersey-city</x:v>
      </x:c>
      <x:c r="AO975" s="3" t="str">
        <x:v>national_rest_directory_complete.jsonl</x:v>
      </x:c>
      <x:c r="AP975" s="19"/>
    </x:row>
    <x:row r="976" ht="36" customHeight="1">
      <x:c r="A976" s="23" t="n">
        <x:v>975</x:v>
      </x:c>
      <x:c r="B976" s="15" t="str">
        <x:v>CM Cash Home Buyers</x:v>
      </x:c>
      <x:c r="C976" s="15"/>
      <x:c r="D976" s="15" t="str">
        <x:v>Property investor / home-buying operator</x:v>
      </x:c>
      <x:c r="E976" s="15" t="str">
        <x:v>Property investor / operator inquiry</x:v>
      </x:c>
      <x:c r="F976" s="17" t="str">
        <x:v>New</x:v>
      </x:c>
      <x:c r="G976" s="24"/>
      <x:c r="H976" s="24" t="str">
        <x:v>+14254904848</x:v>
      </x:c>
      <x:c r="I976" s="24" t="str">
        <x:v>https://www.cmcashhomebuyers.com/</x:v>
      </x:c>
      <x:c r="J976" s="16" t="str">
        <x:v>WA</x:v>
      </x:c>
      <x:c r="K976" s="16"/>
      <x:c r="L976" s="16" t="str">
        <x:v>Public property-business route; investor decision maker unconfirmed</x:v>
      </x:c>
      <x:c r="M976" s="16" t="str">
        <x:v>https://www.cmcashhomebuyers.com/</x:v>
      </x:c>
      <x:c r="N976" s="16" t="str">
        <x:v>$100K-$500K ticket not published / unconfirmed</x:v>
      </x:c>
      <x:c r="O976" s="20"/>
      <x:c r="P976" s="20"/>
      <x:c r="Q976" s="25" t="str">
        <x:v>No direct corporate-capital range established in checked source</x:v>
      </x:c>
      <x:c r="R976" s="25" t="str">
        <x:v>Property acquisition or investor activity makes this an operator-capital prospect for the signed trial. Confirm operating-company debt/equity appetite.</x:v>
      </x:c>
      <x:c r="S976" s="25"/>
      <x:c r="T976" s="25" t="str">
        <x:v>Ask the owner/investor whether they can allocate $100K-$500K to trial marketing and acquisitions, and confirm structure, timing and decision authority.</x:v>
      </x:c>
      <x:c r="U976" s="25" t="str">
        <x:v>https://www.cashhomebuyersdirectory.com/cash-home-buyers/washington/seattle</x:v>
      </x:c>
      <x:c r="V976" s="26" t="d">
        <x:v>2026-10-02T00:00:00.000Z</x:v>
      </x:c>
      <x:c r="W976" s="26" t="d">
        <x:v>2026-10-02T00:00:00.000Z</x:v>
      </x:c>
      <x:c r="X976" s="25" t="str">
        <x:v>CashHomeBuyersDirectory third-party business listing; first-party business activity not checked in this batch</x:v>
      </x:c>
      <x:c r="Y976" s="25"/>
      <x:c r="Z976" s="25" t="str">
        <x:v>https://www.cashhomebuyersdirectory.com/cash-home-buyers/washington/seattle</x:v>
      </x:c>
      <x:c r="AA976" s="25" t="str">
        <x:v>Public cash-home-buyer directory lists the business name, business phone/website where available and market. Operator role and corporate funding willingness require confirmation.</x:v>
      </x:c>
      <x:c r="AB976" s="3" t="str">
        <x:v>New public-source collection</x:v>
      </x:c>
      <x:c r="AC976" s="3" t="str">
        <x:v>unverified</x:v>
      </x:c>
      <x:c r="AD976" s="3" t="str">
        <x:v>Not contacted / unconfirmed</x:v>
      </x:c>
      <x:c r="AE976" s="3" t="str">
        <x:v>No</x:v>
      </x:c>
      <x:c r="AF976" s="3" t="str">
        <x:v>No</x:v>
      </x:c>
      <x:c r="AG976" s="3"/>
      <x:c r="AH976" s="3"/>
      <x:c r="AI976" s="18"/>
      <x:c r="AJ976" s="3" t="str">
        <x:v>CF2500-1EE6DEC403AB</x:v>
      </x:c>
      <x:c r="AK976" s="3" t="str">
        <x:v>real_estate_operator</x:v>
      </x:c>
      <x:c r="AL976" s="19" t="n">
        <x:v>100000</x:v>
      </x:c>
      <x:c r="AM976" s="19" t="n">
        <x:v>500000</x:v>
      </x:c>
      <x:c r="AN976" s="3" t="str">
        <x:v>https://www.cashhomebuyersdirectory.com/cash-home-buyers/washington/seattle</x:v>
      </x:c>
      <x:c r="AO976" s="3" t="str">
        <x:v>national_rest_directory_complete.jsonl</x:v>
      </x:c>
      <x:c r="AP976" s="19"/>
    </x:row>
    <x:row r="977" ht="36" customHeight="1">
      <x:c r="A977" s="23" t="n">
        <x:v>976</x:v>
      </x:c>
      <x:c r="B977" s="15" t="str">
        <x:v>CNY Home Buyer, LLC</x:v>
      </x:c>
      <x:c r="C977" s="15"/>
      <x:c r="D977" s="15" t="str">
        <x:v>Property investor / home-buying operator</x:v>
      </x:c>
      <x:c r="E977" s="15" t="str">
        <x:v>Property investor / operator inquiry</x:v>
      </x:c>
      <x:c r="F977" s="17" t="str">
        <x:v>New</x:v>
      </x:c>
      <x:c r="G977" s="24"/>
      <x:c r="H977" s="24" t="str">
        <x:v>+13154640406</x:v>
      </x:c>
      <x:c r="I977" s="24" t="str">
        <x:v>https://www.cnyhomebuyer.com/</x:v>
      </x:c>
      <x:c r="J977" s="16" t="str">
        <x:v>NY</x:v>
      </x:c>
      <x:c r="K977" s="16" t="str">
        <x:v>Syracuse</x:v>
      </x:c>
      <x:c r="L977" s="16" t="str">
        <x:v>Public property-business route; investor decision maker unconfirmed</x:v>
      </x:c>
      <x:c r="M977" s="16" t="str">
        <x:v>https://www.cnyhomebuyer.com/</x:v>
      </x:c>
      <x:c r="N977" s="16" t="str">
        <x:v>$100K-$500K ticket not published / unconfirmed</x:v>
      </x:c>
      <x:c r="O977" s="20"/>
      <x:c r="P977" s="20"/>
      <x:c r="Q977" s="25" t="str">
        <x:v>No direct corporate-capital range established in checked source</x:v>
      </x:c>
      <x:c r="R977" s="25" t="str">
        <x:v>Property acquisition or investor activity makes this an operator-capital prospect for the signed trial. Confirm operating-company debt/equity appetite.</x:v>
      </x:c>
      <x:c r="S977" s="25"/>
      <x:c r="T977" s="25" t="str">
        <x:v>Ask the owner/investor whether they can allocate $100K-$500K to trial marketing and acquisitions, and confirm structure, timing and decision authority.</x:v>
      </x:c>
      <x:c r="U977" s="25" t="str">
        <x:v>https://www.cashhomebuyersdirectory.com/cash-home-buyers/new-york/syracuse</x:v>
      </x:c>
      <x:c r="V977" s="26" t="d">
        <x:v>2026-10-02T00:00:00.000Z</x:v>
      </x:c>
      <x:c r="W977" s="26" t="d">
        <x:v>2026-10-02T00:00:00.000Z</x:v>
      </x:c>
      <x:c r="X977" s="25" t="str">
        <x:v>CashHomeBuyersDirectory third-party business listing; first-party business activity not checked in this batch</x:v>
      </x:c>
      <x:c r="Y977" s="25"/>
      <x:c r="Z977" s="25" t="str">
        <x:v>https://www.cashhomebuyersdirectory.com/cash-home-buyers/new-york/syracuse</x:v>
      </x:c>
      <x:c r="AA977" s="25" t="str">
        <x:v>Public cash-home-buyer directory lists the business name, business phone/website where available and market. Operator role and corporate funding willingness require confirmation.</x:v>
      </x:c>
      <x:c r="AB977" s="3" t="str">
        <x:v>New public-source collection</x:v>
      </x:c>
      <x:c r="AC977" s="3" t="str">
        <x:v>unverified</x:v>
      </x:c>
      <x:c r="AD977" s="3" t="str">
        <x:v>Not contacted / unconfirmed</x:v>
      </x:c>
      <x:c r="AE977" s="3" t="str">
        <x:v>No</x:v>
      </x:c>
      <x:c r="AF977" s="3" t="str">
        <x:v>No</x:v>
      </x:c>
      <x:c r="AG977" s="3"/>
      <x:c r="AH977" s="3"/>
      <x:c r="AI977" s="18"/>
      <x:c r="AJ977" s="3" t="str">
        <x:v>CF2500-3666100C3E04</x:v>
      </x:c>
      <x:c r="AK977" s="3" t="str">
        <x:v>real_estate_operator</x:v>
      </x:c>
      <x:c r="AL977" s="19" t="n">
        <x:v>100000</x:v>
      </x:c>
      <x:c r="AM977" s="19" t="n">
        <x:v>500000</x:v>
      </x:c>
      <x:c r="AN977" s="3" t="str">
        <x:v>https://www.cashhomebuyersdirectory.com/cash-home-buyers/new-york/syracuse</x:v>
      </x:c>
      <x:c r="AO977" s="3" t="str">
        <x:v>national_rest_directory_complete.jsonl</x:v>
      </x:c>
      <x:c r="AP977" s="19"/>
    </x:row>
    <x:row r="978" ht="36" customHeight="1">
      <x:c r="A978" s="23" t="n">
        <x:v>977</x:v>
      </x:c>
      <x:c r="B978" s="15" t="str">
        <x:v>CNY House Buyers</x:v>
      </x:c>
      <x:c r="C978" s="15"/>
      <x:c r="D978" s="15" t="str">
        <x:v>Property investor / home-buying operator</x:v>
      </x:c>
      <x:c r="E978" s="15" t="str">
        <x:v>Property investor / operator inquiry</x:v>
      </x:c>
      <x:c r="F978" s="17" t="str">
        <x:v>New</x:v>
      </x:c>
      <x:c r="G978" s="24"/>
      <x:c r="H978" s="24" t="str">
        <x:v>+13159601010</x:v>
      </x:c>
      <x:c r="I978" s="24" t="str">
        <x:v>http://cnyhousebuyers.com/</x:v>
      </x:c>
      <x:c r="J978" s="16" t="str">
        <x:v>NY</x:v>
      </x:c>
      <x:c r="K978" s="16" t="str">
        <x:v>Syracuse</x:v>
      </x:c>
      <x:c r="L978" s="16" t="str">
        <x:v>Public property-business route; investor decision maker unconfirmed</x:v>
      </x:c>
      <x:c r="M978" s="16" t="str">
        <x:v>http://cnyhousebuyers.com/</x:v>
      </x:c>
      <x:c r="N978" s="16" t="str">
        <x:v>$100K-$500K ticket not published / unconfirmed</x:v>
      </x:c>
      <x:c r="O978" s="20"/>
      <x:c r="P978" s="20"/>
      <x:c r="Q978" s="25" t="str">
        <x:v>No direct corporate-capital range established in checked source</x:v>
      </x:c>
      <x:c r="R978" s="25" t="str">
        <x:v>Property acquisition or investor activity makes this an operator-capital prospect for the signed trial. Confirm operating-company debt/equity appetite.</x:v>
      </x:c>
      <x:c r="S978" s="25"/>
      <x:c r="T978" s="25" t="str">
        <x:v>Ask the owner/investor whether they can allocate $100K-$500K to trial marketing and acquisitions, and confirm structure, timing and decision authority.</x:v>
      </x:c>
      <x:c r="U978" s="25" t="str">
        <x:v>https://www.cashhomebuyersdirectory.com/cash-home-buyers/new-york/syracuse</x:v>
      </x:c>
      <x:c r="V978" s="26" t="d">
        <x:v>2026-10-02T00:00:00.000Z</x:v>
      </x:c>
      <x:c r="W978" s="26" t="d">
        <x:v>2026-10-02T00:00:00.000Z</x:v>
      </x:c>
      <x:c r="X978" s="25" t="str">
        <x:v>CashHomeBuyersDirectory third-party business listing; first-party business activity not checked in this batch</x:v>
      </x:c>
      <x:c r="Y978" s="25"/>
      <x:c r="Z978" s="25" t="str">
        <x:v>https://www.cashhomebuyersdirectory.com/cash-home-buyers/new-york/syracuse</x:v>
      </x:c>
      <x:c r="AA978" s="25" t="str">
        <x:v>Public cash-home-buyer directory lists the business name, business phone/website where available and market. Operator role and corporate funding willingness require confirmation.</x:v>
      </x:c>
      <x:c r="AB978" s="3" t="str">
        <x:v>New public-source collection</x:v>
      </x:c>
      <x:c r="AC978" s="3" t="str">
        <x:v>unverified</x:v>
      </x:c>
      <x:c r="AD978" s="3" t="str">
        <x:v>Not contacted / unconfirmed</x:v>
      </x:c>
      <x:c r="AE978" s="3" t="str">
        <x:v>No</x:v>
      </x:c>
      <x:c r="AF978" s="3" t="str">
        <x:v>No</x:v>
      </x:c>
      <x:c r="AG978" s="3"/>
      <x:c r="AH978" s="3"/>
      <x:c r="AI978" s="18"/>
      <x:c r="AJ978" s="3" t="str">
        <x:v>CF2500-8143BC9F37F5</x:v>
      </x:c>
      <x:c r="AK978" s="3" t="str">
        <x:v>real_estate_operator</x:v>
      </x:c>
      <x:c r="AL978" s="19" t="n">
        <x:v>100000</x:v>
      </x:c>
      <x:c r="AM978" s="19" t="n">
        <x:v>500000</x:v>
      </x:c>
      <x:c r="AN978" s="3" t="str">
        <x:v>https://www.cashhomebuyersdirectory.com/cash-home-buyers/new-york/syracuse</x:v>
      </x:c>
      <x:c r="AO978" s="3" t="str">
        <x:v>national_rest_directory_complete.jsonl</x:v>
      </x:c>
      <x:c r="AP978" s="19"/>
    </x:row>
    <x:row r="979" ht="36" customHeight="1">
      <x:c r="A979" s="23" t="n">
        <x:v>978</x:v>
      </x:c>
      <x:c r="B979" s="15" t="str">
        <x:v>Coast Home Buyers</x:v>
      </x:c>
      <x:c r="C979" s="15"/>
      <x:c r="D979" s="15" t="str">
        <x:v>Property investor / home-buying operator</x:v>
      </x:c>
      <x:c r="E979" s="15" t="str">
        <x:v>Property investor / operator inquiry</x:v>
      </x:c>
      <x:c r="F979" s="17" t="str">
        <x:v>New</x:v>
      </x:c>
      <x:c r="G979" s="24"/>
      <x:c r="H979" s="24" t="str">
        <x:v>+12286781502</x:v>
      </x:c>
      <x:c r="I979" s="24" t="str">
        <x:v>http://www.coasthomebuyers.com/</x:v>
      </x:c>
      <x:c r="J979" s="16" t="str">
        <x:v>MS</x:v>
      </x:c>
      <x:c r="K979" s="16" t="str">
        <x:v>Gulfport</x:v>
      </x:c>
      <x:c r="L979" s="16" t="str">
        <x:v>Public property-business route; investor decision maker unconfirmed</x:v>
      </x:c>
      <x:c r="M979" s="16" t="str">
        <x:v>http://www.coasthomebuyers.com/</x:v>
      </x:c>
      <x:c r="N979" s="16" t="str">
        <x:v>$100K-$500K ticket not published / unconfirmed</x:v>
      </x:c>
      <x:c r="O979" s="20"/>
      <x:c r="P979" s="20"/>
      <x:c r="Q979" s="25" t="str">
        <x:v>No direct corporate-capital range established in checked source</x:v>
      </x:c>
      <x:c r="R979" s="25" t="str">
        <x:v>Property acquisition or investor activity makes this an operator-capital prospect for the signed trial. Confirm operating-company debt/equity appetite.</x:v>
      </x:c>
      <x:c r="S979" s="25"/>
      <x:c r="T979" s="25" t="str">
        <x:v>Ask the owner/investor whether they can allocate $100K-$500K to trial marketing and acquisitions, and confirm structure, timing and decision authority.</x:v>
      </x:c>
      <x:c r="U979" s="25" t="str">
        <x:v>https://www.cashhomebuyersdirectory.com/cash-home-buyers/mississippi/gulfport</x:v>
      </x:c>
      <x:c r="V979" s="26" t="d">
        <x:v>2026-10-02T00:00:00.000Z</x:v>
      </x:c>
      <x:c r="W979" s="26" t="d">
        <x:v>2026-10-02T00:00:00.000Z</x:v>
      </x:c>
      <x:c r="X979" s="25" t="str">
        <x:v>CashHomeBuyersDirectory third-party business listing; first-party business activity not checked in this batch</x:v>
      </x:c>
      <x:c r="Y979" s="25"/>
      <x:c r="Z979" s="25" t="str">
        <x:v>https://www.cashhomebuyersdirectory.com/cash-home-buyers/mississippi/gulfport</x:v>
      </x:c>
      <x:c r="AA979" s="25" t="str">
        <x:v>Public cash-home-buyer directory lists the business name, business phone/website where available and market. Operator role and corporate funding willingness require confirmation.</x:v>
      </x:c>
      <x:c r="AB979" s="3" t="str">
        <x:v>New public-source collection</x:v>
      </x:c>
      <x:c r="AC979" s="3" t="str">
        <x:v>unverified</x:v>
      </x:c>
      <x:c r="AD979" s="3" t="str">
        <x:v>Not contacted / unconfirmed</x:v>
      </x:c>
      <x:c r="AE979" s="3" t="str">
        <x:v>No</x:v>
      </x:c>
      <x:c r="AF979" s="3" t="str">
        <x:v>No</x:v>
      </x:c>
      <x:c r="AG979" s="3"/>
      <x:c r="AH979" s="3"/>
      <x:c r="AI979" s="18"/>
      <x:c r="AJ979" s="3" t="str">
        <x:v>CF2500-DB2742A3DAA7</x:v>
      </x:c>
      <x:c r="AK979" s="3" t="str">
        <x:v>real_estate_operator</x:v>
      </x:c>
      <x:c r="AL979" s="19" t="n">
        <x:v>100000</x:v>
      </x:c>
      <x:c r="AM979" s="19" t="n">
        <x:v>500000</x:v>
      </x:c>
      <x:c r="AN979" s="3" t="str">
        <x:v>https://www.cashhomebuyersdirectory.com/cash-home-buyers/mississippi/gulfport</x:v>
      </x:c>
      <x:c r="AO979" s="3" t="str">
        <x:v>national_rest_directory_complete.jsonl</x:v>
      </x:c>
      <x:c r="AP979" s="19"/>
    </x:row>
    <x:row r="980" ht="36" customHeight="1">
      <x:c r="A980" s="23" t="n">
        <x:v>979</x:v>
      </x:c>
      <x:c r="B980" s="15" t="str">
        <x:v>Coastal Edge Homebuyers</x:v>
      </x:c>
      <x:c r="C980" s="15"/>
      <x:c r="D980" s="15" t="str">
        <x:v>Property investor / home-buying operator</x:v>
      </x:c>
      <x:c r="E980" s="15" t="str">
        <x:v>Property investor / operator inquiry</x:v>
      </x:c>
      <x:c r="F980" s="17" t="str">
        <x:v>New</x:v>
      </x:c>
      <x:c r="G980" s="24"/>
      <x:c r="H980" s="24" t="str">
        <x:v>+17574147117</x:v>
      </x:c>
      <x:c r="I980" s="24" t="str">
        <x:v>https://www.coastaledgehomebuyers.com/i/f09X/</x:v>
      </x:c>
      <x:c r="J980" s="16" t="str">
        <x:v>VA</x:v>
      </x:c>
      <x:c r="K980" s="16" t="str">
        <x:v>Virginia Beach</x:v>
      </x:c>
      <x:c r="L980" s="16" t="str">
        <x:v>Public property-business route; investor decision maker unconfirmed</x:v>
      </x:c>
      <x:c r="M980" s="16" t="str">
        <x:v>https://www.coastaledgehomebuyers.com/i/f09X/</x:v>
      </x:c>
      <x:c r="N980" s="16" t="str">
        <x:v>$100K-$500K ticket not published / unconfirmed</x:v>
      </x:c>
      <x:c r="O980" s="20"/>
      <x:c r="P980" s="20"/>
      <x:c r="Q980" s="25" t="str">
        <x:v>No direct corporate-capital range established in checked source</x:v>
      </x:c>
      <x:c r="R980" s="25" t="str">
        <x:v>Property acquisition or investor activity makes this an operator-capital prospect for the signed trial. Confirm operating-company debt/equity appetite.</x:v>
      </x:c>
      <x:c r="S980" s="25"/>
      <x:c r="T980" s="25" t="str">
        <x:v>Ask the owner/investor whether they can allocate $100K-$500K to trial marketing and acquisitions, and confirm structure, timing and decision authority.</x:v>
      </x:c>
      <x:c r="U980" s="25" t="str">
        <x:v>https://www.cashhomebuyersdirectory.com/cash-home-buyers/virginia/virginia-beach</x:v>
      </x:c>
      <x:c r="V980" s="26" t="d">
        <x:v>2026-10-02T00:00:00.000Z</x:v>
      </x:c>
      <x:c r="W980" s="26" t="d">
        <x:v>2026-10-02T00:00:00.000Z</x:v>
      </x:c>
      <x:c r="X980" s="25" t="str">
        <x:v>CashHomeBuyersDirectory third-party business listing; first-party business activity not checked in this batch</x:v>
      </x:c>
      <x:c r="Y980" s="25"/>
      <x:c r="Z980" s="25" t="str">
        <x:v>https://www.cashhomebuyersdirectory.com/cash-home-buyers/virginia/virginia-beach</x:v>
      </x:c>
      <x:c r="AA980" s="25" t="str">
        <x:v>Public cash-home-buyer directory lists the business name, business phone/website where available and market. Operator role and corporate funding willingness require confirmation.</x:v>
      </x:c>
      <x:c r="AB980" s="3" t="str">
        <x:v>New public-source collection</x:v>
      </x:c>
      <x:c r="AC980" s="3" t="str">
        <x:v>unverified</x:v>
      </x:c>
      <x:c r="AD980" s="3" t="str">
        <x:v>Not contacted / unconfirmed</x:v>
      </x:c>
      <x:c r="AE980" s="3" t="str">
        <x:v>No</x:v>
      </x:c>
      <x:c r="AF980" s="3" t="str">
        <x:v>No</x:v>
      </x:c>
      <x:c r="AG980" s="3"/>
      <x:c r="AH980" s="3"/>
      <x:c r="AI980" s="18"/>
      <x:c r="AJ980" s="3" t="str">
        <x:v>CF2500-69749904DFE6</x:v>
      </x:c>
      <x:c r="AK980" s="3" t="str">
        <x:v>real_estate_operator</x:v>
      </x:c>
      <x:c r="AL980" s="19" t="n">
        <x:v>100000</x:v>
      </x:c>
      <x:c r="AM980" s="19" t="n">
        <x:v>500000</x:v>
      </x:c>
      <x:c r="AN980" s="3" t="str">
        <x:v>https://www.cashhomebuyersdirectory.com/cash-home-buyers/virginia/virginia-beach</x:v>
      </x:c>
      <x:c r="AO980" s="3" t="str">
        <x:v>national_rest_directory_complete.jsonl</x:v>
      </x:c>
      <x:c r="AP980" s="19"/>
    </x:row>
    <x:row r="981" ht="36" customHeight="1">
      <x:c r="A981" s="23" t="n">
        <x:v>980</x:v>
      </x:c>
      <x:c r="B981" s="15" t="str">
        <x:v>Coastline Homebuyers Virginia</x:v>
      </x:c>
      <x:c r="C981" s="15"/>
      <x:c r="D981" s="15" t="str">
        <x:v>Property investor / home-buying operator</x:v>
      </x:c>
      <x:c r="E981" s="15" t="str">
        <x:v>Property investor / operator inquiry</x:v>
      </x:c>
      <x:c r="F981" s="17" t="str">
        <x:v>New</x:v>
      </x:c>
      <x:c r="G981" s="24"/>
      <x:c r="H981" s="24" t="str">
        <x:v>+17573372236</x:v>
      </x:c>
      <x:c r="I981" s="24" t="str">
        <x:v>https://coastlinehomebuyersva.com/</x:v>
      </x:c>
      <x:c r="J981" s="16" t="str">
        <x:v>VA</x:v>
      </x:c>
      <x:c r="K981" s="16" t="str">
        <x:v>Virginia Beach</x:v>
      </x:c>
      <x:c r="L981" s="16" t="str">
        <x:v>Public property-business route; investor decision maker unconfirmed</x:v>
      </x:c>
      <x:c r="M981" s="16" t="str">
        <x:v>https://coastlinehomebuyersva.com/</x:v>
      </x:c>
      <x:c r="N981" s="16" t="str">
        <x:v>$100K-$500K ticket not published / unconfirmed</x:v>
      </x:c>
      <x:c r="O981" s="20"/>
      <x:c r="P981" s="20"/>
      <x:c r="Q981" s="25" t="str">
        <x:v>No direct corporate-capital range established in checked source</x:v>
      </x:c>
      <x:c r="R981" s="25" t="str">
        <x:v>Property acquisition or investor activity makes this an operator-capital prospect for the signed trial. Confirm operating-company debt/equity appetite.</x:v>
      </x:c>
      <x:c r="S981" s="25"/>
      <x:c r="T981" s="25" t="str">
        <x:v>Ask the owner/investor whether they can allocate $100K-$500K to trial marketing and acquisitions, and confirm structure, timing and decision authority.</x:v>
      </x:c>
      <x:c r="U981" s="25" t="str">
        <x:v>https://www.cashhomebuyersdirectory.com/cash-home-buyers/virginia/virginia-beach</x:v>
      </x:c>
      <x:c r="V981" s="26" t="d">
        <x:v>2026-10-02T00:00:00.000Z</x:v>
      </x:c>
      <x:c r="W981" s="26" t="d">
        <x:v>2026-10-02T00:00:00.000Z</x:v>
      </x:c>
      <x:c r="X981" s="25" t="str">
        <x:v>CashHomeBuyersDirectory third-party business listing; first-party business activity not checked in this batch</x:v>
      </x:c>
      <x:c r="Y981" s="25"/>
      <x:c r="Z981" s="25" t="str">
        <x:v>https://www.cashhomebuyersdirectory.com/cash-home-buyers/virginia/virginia-beach</x:v>
      </x:c>
      <x:c r="AA981" s="25" t="str">
        <x:v>Public cash-home-buyer directory lists the business name, business phone/website where available and market. Operator role and corporate funding willingness require confirmation.</x:v>
      </x:c>
      <x:c r="AB981" s="3" t="str">
        <x:v>New public-source collection</x:v>
      </x:c>
      <x:c r="AC981" s="3" t="str">
        <x:v>unverified</x:v>
      </x:c>
      <x:c r="AD981" s="3" t="str">
        <x:v>Not contacted / unconfirmed</x:v>
      </x:c>
      <x:c r="AE981" s="3" t="str">
        <x:v>No</x:v>
      </x:c>
      <x:c r="AF981" s="3" t="str">
        <x:v>No</x:v>
      </x:c>
      <x:c r="AG981" s="3"/>
      <x:c r="AH981" s="3"/>
      <x:c r="AI981" s="18"/>
      <x:c r="AJ981" s="3" t="str">
        <x:v>CF2500-7857C769421D</x:v>
      </x:c>
      <x:c r="AK981" s="3" t="str">
        <x:v>real_estate_operator</x:v>
      </x:c>
      <x:c r="AL981" s="19" t="n">
        <x:v>100000</x:v>
      </x:c>
      <x:c r="AM981" s="19" t="n">
        <x:v>500000</x:v>
      </x:c>
      <x:c r="AN981" s="3" t="str">
        <x:v>https://www.cashhomebuyersdirectory.com/cash-home-buyers/virginia/virginia-beach</x:v>
      </x:c>
      <x:c r="AO981" s="3" t="str">
        <x:v>national_rest_directory_complete.jsonl</x:v>
      </x:c>
      <x:c r="AP981" s="19"/>
    </x:row>
    <x:row r="982" ht="36" customHeight="1">
      <x:c r="A982" s="23" t="n">
        <x:v>981</x:v>
      </x:c>
      <x:c r="B982" s="15" t="str">
        <x:v>Connect Home Buyers</x:v>
      </x:c>
      <x:c r="C982" s="15"/>
      <x:c r="D982" s="15" t="str">
        <x:v>Property investor / home-buying operator</x:v>
      </x:c>
      <x:c r="E982" s="15" t="str">
        <x:v>Property investor / operator inquiry</x:v>
      </x:c>
      <x:c r="F982" s="17" t="str">
        <x:v>New</x:v>
      </x:c>
      <x:c r="G982" s="24"/>
      <x:c r="H982" s="24" t="str">
        <x:v>+12693597111</x:v>
      </x:c>
      <x:c r="I982" s="24" t="str">
        <x:v>https://www.connecthomebuyers.com/?utm_source=GMB</x:v>
      </x:c>
      <x:c r="J982" s="16" t="str">
        <x:v>MI</x:v>
      </x:c>
      <x:c r="K982" s="16" t="str">
        <x:v>Kalamazoo</x:v>
      </x:c>
      <x:c r="L982" s="16" t="str">
        <x:v>Public property-business route; investor decision maker unconfirmed</x:v>
      </x:c>
      <x:c r="M982" s="16" t="str">
        <x:v>https://www.connecthomebuyers.com/?utm_source=GMB</x:v>
      </x:c>
      <x:c r="N982" s="16" t="str">
        <x:v>$100K-$500K ticket not published / unconfirmed</x:v>
      </x:c>
      <x:c r="O982" s="20"/>
      <x:c r="P982" s="20"/>
      <x:c r="Q982" s="25" t="str">
        <x:v>No direct corporate-capital range established in checked source</x:v>
      </x:c>
      <x:c r="R982" s="25" t="str">
        <x:v>Property acquisition or investor activity makes this an operator-capital prospect for the signed trial. Confirm operating-company debt/equity appetite.</x:v>
      </x:c>
      <x:c r="S982" s="25"/>
      <x:c r="T982" s="25" t="str">
        <x:v>Ask the owner/investor whether they can allocate $100K-$500K to trial marketing and acquisitions, and confirm structure, timing and decision authority.</x:v>
      </x:c>
      <x:c r="U982" s="25" t="str">
        <x:v>https://www.cashhomebuyersdirectory.com/cash-home-buyers/michigan/kalamazoo</x:v>
      </x:c>
      <x:c r="V982" s="26" t="d">
        <x:v>2026-10-02T00:00:00.000Z</x:v>
      </x:c>
      <x:c r="W982" s="26" t="d">
        <x:v>2026-10-02T00:00:00.000Z</x:v>
      </x:c>
      <x:c r="X982" s="25" t="str">
        <x:v>CashHomeBuyersDirectory third-party business listing; first-party business activity not checked in this batch</x:v>
      </x:c>
      <x:c r="Y982" s="25"/>
      <x:c r="Z982" s="25" t="str">
        <x:v>https://www.cashhomebuyersdirectory.com/cash-home-buyers/michigan/kalamazoo</x:v>
      </x:c>
      <x:c r="AA982" s="25" t="str">
        <x:v>Public cash-home-buyer directory lists the business name, business phone/website where available and market. Operator role and corporate funding willingness require confirmation.</x:v>
      </x:c>
      <x:c r="AB982" s="3" t="str">
        <x:v>New public-source collection</x:v>
      </x:c>
      <x:c r="AC982" s="3" t="str">
        <x:v>unverified</x:v>
      </x:c>
      <x:c r="AD982" s="3" t="str">
        <x:v>Not contacted / unconfirmed</x:v>
      </x:c>
      <x:c r="AE982" s="3" t="str">
        <x:v>No</x:v>
      </x:c>
      <x:c r="AF982" s="3" t="str">
        <x:v>No</x:v>
      </x:c>
      <x:c r="AG982" s="3"/>
      <x:c r="AH982" s="3"/>
      <x:c r="AI982" s="18"/>
      <x:c r="AJ982" s="3" t="str">
        <x:v>CF2500-2A13A3B6966E</x:v>
      </x:c>
      <x:c r="AK982" s="3" t="str">
        <x:v>real_estate_operator</x:v>
      </x:c>
      <x:c r="AL982" s="19" t="n">
        <x:v>100000</x:v>
      </x:c>
      <x:c r="AM982" s="19" t="n">
        <x:v>500000</x:v>
      </x:c>
      <x:c r="AN982" s="3" t="str">
        <x:v>https://www.cashhomebuyersdirectory.com/cash-home-buyers/michigan/kalamazoo</x:v>
      </x:c>
      <x:c r="AO982" s="3" t="str">
        <x:v>national_rest_directory_complete.jsonl</x:v>
      </x:c>
      <x:c r="AP982" s="19"/>
    </x:row>
    <x:row r="983" ht="36" customHeight="1">
      <x:c r="A983" s="23" t="n">
        <x:v>982</x:v>
      </x:c>
      <x:c r="B983" s="15" t="str">
        <x:v>Connecticut Home Buyers</x:v>
      </x:c>
      <x:c r="C983" s="15"/>
      <x:c r="D983" s="15" t="str">
        <x:v>Property investor / home-buying operator</x:v>
      </x:c>
      <x:c r="E983" s="15" t="str">
        <x:v>Property investor / operator inquiry</x:v>
      </x:c>
      <x:c r="F983" s="17" t="str">
        <x:v>New</x:v>
      </x:c>
      <x:c r="G983" s="24"/>
      <x:c r="H983" s="24" t="str">
        <x:v>+18602662076</x:v>
      </x:c>
      <x:c r="I983" s="24" t="str">
        <x:v>https://www.cthomeoffers.com/</x:v>
      </x:c>
      <x:c r="J983" s="16" t="str">
        <x:v>CT</x:v>
      </x:c>
      <x:c r="K983" s="16" t="str">
        <x:v>Hartford</x:v>
      </x:c>
      <x:c r="L983" s="16" t="str">
        <x:v>Public property-business route; investor decision maker unconfirmed</x:v>
      </x:c>
      <x:c r="M983" s="16" t="str">
        <x:v>https://www.cthomeoffers.com/</x:v>
      </x:c>
      <x:c r="N983" s="16" t="str">
        <x:v>$100K-$500K ticket not published / unconfirmed</x:v>
      </x:c>
      <x:c r="O983" s="20"/>
      <x:c r="P983" s="20"/>
      <x:c r="Q983" s="25" t="str">
        <x:v>No direct corporate-capital range established in checked source</x:v>
      </x:c>
      <x:c r="R983" s="25" t="str">
        <x:v>Property acquisition or investor activity makes this an operator-capital prospect for the signed trial. Confirm operating-company debt/equity appetite.</x:v>
      </x:c>
      <x:c r="S983" s="25"/>
      <x:c r="T983" s="25" t="str">
        <x:v>Ask the owner/investor whether they can allocate $100K-$500K to trial marketing and acquisitions, and confirm structure, timing and decision authority.</x:v>
      </x:c>
      <x:c r="U983" s="25" t="str">
        <x:v>https://www.cashhomebuyersdirectory.com/cash-home-buyers/connecticut/hartford</x:v>
      </x:c>
      <x:c r="V983" s="26" t="d">
        <x:v>2026-10-02T00:00:00.000Z</x:v>
      </x:c>
      <x:c r="W983" s="26" t="d">
        <x:v>2026-10-02T00:00:00.000Z</x:v>
      </x:c>
      <x:c r="X983" s="25" t="str">
        <x:v>CashHomeBuyersDirectory third-party business listing; first-party business activity not checked in this batch</x:v>
      </x:c>
      <x:c r="Y983" s="25"/>
      <x:c r="Z983" s="25" t="str">
        <x:v>https://www.cashhomebuyersdirectory.com/cash-home-buyers/connecticut/hartford</x:v>
      </x:c>
      <x:c r="AA983" s="25" t="str">
        <x:v>Public cash-home-buyer directory lists the business name, business phone/website where available and market. Operator role and corporate funding willingness require confirmation.</x:v>
      </x:c>
      <x:c r="AB983" s="3" t="str">
        <x:v>New public-source collection</x:v>
      </x:c>
      <x:c r="AC983" s="3" t="str">
        <x:v>unverified</x:v>
      </x:c>
      <x:c r="AD983" s="3" t="str">
        <x:v>Not contacted / unconfirmed</x:v>
      </x:c>
      <x:c r="AE983" s="3" t="str">
        <x:v>No</x:v>
      </x:c>
      <x:c r="AF983" s="3" t="str">
        <x:v>No</x:v>
      </x:c>
      <x:c r="AG983" s="3"/>
      <x:c r="AH983" s="3"/>
      <x:c r="AI983" s="18"/>
      <x:c r="AJ983" s="3" t="str">
        <x:v>CF2500-3FAF8DA6A085</x:v>
      </x:c>
      <x:c r="AK983" s="3" t="str">
        <x:v>real_estate_operator</x:v>
      </x:c>
      <x:c r="AL983" s="19" t="n">
        <x:v>100000</x:v>
      </x:c>
      <x:c r="AM983" s="19" t="n">
        <x:v>500000</x:v>
      </x:c>
      <x:c r="AN983" s="3" t="str">
        <x:v>https://www.cashhomebuyersdirectory.com/cash-home-buyers/connecticut/hartford</x:v>
      </x:c>
      <x:c r="AO983" s="3" t="str">
        <x:v>national_rest_directory_complete.jsonl</x:v>
      </x:c>
      <x:c r="AP983" s="19"/>
    </x:row>
    <x:row r="984" ht="36" customHeight="1">
      <x:c r="A984" s="23" t="n">
        <x:v>983</x:v>
      </x:c>
      <x:c r="B984" s="15" t="str">
        <x:v>Connecticut Quick Cash Home Buyers, LLC</x:v>
      </x:c>
      <x:c r="C984" s="15"/>
      <x:c r="D984" s="15" t="str">
        <x:v>Property investor / home-buying operator</x:v>
      </x:c>
      <x:c r="E984" s="15" t="str">
        <x:v>Property investor / operator inquiry</x:v>
      </x:c>
      <x:c r="F984" s="17" t="str">
        <x:v>New</x:v>
      </x:c>
      <x:c r="G984" s="24"/>
      <x:c r="H984" s="24" t="str">
        <x:v>+12033623300</x:v>
      </x:c>
      <x:c r="I984" s="24" t="str">
        <x:v>http://connecticutquickcashhomebuyers.com/</x:v>
      </x:c>
      <x:c r="J984" s="16" t="str">
        <x:v>CT</x:v>
      </x:c>
      <x:c r="K984" s="16" t="str">
        <x:v>Hartford</x:v>
      </x:c>
      <x:c r="L984" s="16" t="str">
        <x:v>Public property-business route; investor decision maker unconfirmed</x:v>
      </x:c>
      <x:c r="M984" s="16" t="str">
        <x:v>http://connecticutquickcashhomebuyers.com/</x:v>
      </x:c>
      <x:c r="N984" s="16" t="str">
        <x:v>$100K-$500K ticket not published / unconfirmed</x:v>
      </x:c>
      <x:c r="O984" s="20"/>
      <x:c r="P984" s="20"/>
      <x:c r="Q984" s="25" t="str">
        <x:v>No direct corporate-capital range established in checked source</x:v>
      </x:c>
      <x:c r="R984" s="25" t="str">
        <x:v>Property acquisition or investor activity makes this an operator-capital prospect for the signed trial. Confirm operating-company debt/equity appetite.</x:v>
      </x:c>
      <x:c r="S984" s="25"/>
      <x:c r="T984" s="25" t="str">
        <x:v>Ask the owner/investor whether they can allocate $100K-$500K to trial marketing and acquisitions, and confirm structure, timing and decision authority.</x:v>
      </x:c>
      <x:c r="U984" s="25" t="str">
        <x:v>https://www.cashhomebuyersdirectory.com/cash-home-buyers/connecticut/hartford
https://www.cashhomebuyersdirectory.com/cash-home-buyers/connecticut/new-haven</x:v>
      </x:c>
      <x:c r="V984" s="26" t="d">
        <x:v>2026-10-02T00:00:00.000Z</x:v>
      </x:c>
      <x:c r="W984" s="26" t="d">
        <x:v>2026-10-02T00:00:00.000Z</x:v>
      </x:c>
      <x:c r="X984" s="25" t="str">
        <x:v>CashHomeBuyersDirectory third-party business listing; first-party business activity not checked in this batch</x:v>
      </x:c>
      <x:c r="Y984" s="25"/>
      <x:c r="Z984" s="25" t="str">
        <x:v>https://www.cashhomebuyersdirectory.com/cash-home-buyers/connecticut/hartford</x:v>
      </x:c>
      <x:c r="AA984" s="25" t="str">
        <x:v>Public cash-home-buyer directory lists the business name, business phone/website where available and market. Operator role and corporate funding willingness require confirmation.</x:v>
      </x:c>
      <x:c r="AB984" s="3" t="str">
        <x:v>New public-source collection</x:v>
      </x:c>
      <x:c r="AC984" s="3" t="str">
        <x:v>unverified</x:v>
      </x:c>
      <x:c r="AD984" s="3" t="str">
        <x:v>Not contacted / unconfirmed</x:v>
      </x:c>
      <x:c r="AE984" s="3" t="str">
        <x:v>No</x:v>
      </x:c>
      <x:c r="AF984" s="3" t="str">
        <x:v>No</x:v>
      </x:c>
      <x:c r="AG984" s="3"/>
      <x:c r="AH984" s="3" t="str">
        <x:v>Connecticut Quick Cash Home Buyers LLC</x:v>
      </x:c>
      <x:c r="AI984" s="18"/>
      <x:c r="AJ984" s="3" t="str">
        <x:v>CF2500-281AC498164A</x:v>
      </x:c>
      <x:c r="AK984" s="3" t="str">
        <x:v>real_estate_operator</x:v>
      </x:c>
      <x:c r="AL984" s="19" t="n">
        <x:v>100000</x:v>
      </x:c>
      <x:c r="AM984" s="19" t="n">
        <x:v>500000</x:v>
      </x:c>
      <x:c r="AN984" s="3" t="str">
        <x:v>https://www.cashhomebuyersdirectory.com/cash-home-buyers/connecticut/hartford</x:v>
      </x:c>
      <x:c r="AO984" s="3" t="str">
        <x:v>national_rest_directory_complete.jsonl</x:v>
      </x:c>
      <x:c r="AP984" s="19"/>
    </x:row>
    <x:row r="985" ht="36" customHeight="1">
      <x:c r="A985" s="23" t="n">
        <x:v>984</x:v>
      </x:c>
      <x:c r="B985" s="15" t="str">
        <x:v>Corey The Home Buyer</x:v>
      </x:c>
      <x:c r="C985" s="15"/>
      <x:c r="D985" s="15" t="str">
        <x:v>Property investor / home-buying operator</x:v>
      </x:c>
      <x:c r="E985" s="15" t="str">
        <x:v>Property investor / operator inquiry</x:v>
      </x:c>
      <x:c r="F985" s="17" t="str">
        <x:v>New</x:v>
      </x:c>
      <x:c r="G985" s="24"/>
      <x:c r="H985" s="24" t="str">
        <x:v>+15094630353</x:v>
      </x:c>
      <x:c r="I985" s="24" t="str">
        <x:v>https://www.coreythehomebuyer.com/?utm_source=GBP&amp;utm_medium=organic&amp;utm_campaign=SEO</x:v>
      </x:c>
      <x:c r="J985" s="16" t="str">
        <x:v>WA</x:v>
      </x:c>
      <x:c r="K985" s="16" t="str">
        <x:v>Spokane</x:v>
      </x:c>
      <x:c r="L985" s="16" t="str">
        <x:v>Public property-business route; investor decision maker unconfirmed</x:v>
      </x:c>
      <x:c r="M985" s="16" t="str">
        <x:v>https://www.coreythehomebuyer.com/?utm_source=GBP&amp;utm_medium=organic&amp;utm_campaign=SEO</x:v>
      </x:c>
      <x:c r="N985" s="16" t="str">
        <x:v>$100K-$500K ticket not published / unconfirmed</x:v>
      </x:c>
      <x:c r="O985" s="20"/>
      <x:c r="P985" s="20"/>
      <x:c r="Q985" s="25" t="str">
        <x:v>No direct corporate-capital range established in checked source</x:v>
      </x:c>
      <x:c r="R985" s="25" t="str">
        <x:v>Property acquisition or investor activity makes this an operator-capital prospect for the signed trial. Confirm operating-company debt/equity appetite.</x:v>
      </x:c>
      <x:c r="S985" s="25"/>
      <x:c r="T985" s="25" t="str">
        <x:v>Ask the owner/investor whether they can allocate $100K-$500K to trial marketing and acquisitions, and confirm structure, timing and decision authority.</x:v>
      </x:c>
      <x:c r="U985" s="25" t="str">
        <x:v>https://www.cashhomebuyersdirectory.com/cash-home-buyers/washington/spokane</x:v>
      </x:c>
      <x:c r="V985" s="26" t="d">
        <x:v>2026-10-02T00:00:00.000Z</x:v>
      </x:c>
      <x:c r="W985" s="26" t="d">
        <x:v>2026-10-02T00:00:00.000Z</x:v>
      </x:c>
      <x:c r="X985" s="25" t="str">
        <x:v>CashHomeBuyersDirectory third-party business listing; first-party business activity not checked in this batch</x:v>
      </x:c>
      <x:c r="Y985" s="25"/>
      <x:c r="Z985" s="25" t="str">
        <x:v>https://www.cashhomebuyersdirectory.com/cash-home-buyers/washington/spokane</x:v>
      </x:c>
      <x:c r="AA985" s="25" t="str">
        <x:v>Public cash-home-buyer directory lists the business name, business phone/website where available and market. Operator role and corporate funding willingness require confirmation.</x:v>
      </x:c>
      <x:c r="AB985" s="3" t="str">
        <x:v>New public-source collection</x:v>
      </x:c>
      <x:c r="AC985" s="3" t="str">
        <x:v>unverified</x:v>
      </x:c>
      <x:c r="AD985" s="3" t="str">
        <x:v>Not contacted / unconfirmed</x:v>
      </x:c>
      <x:c r="AE985" s="3" t="str">
        <x:v>No</x:v>
      </x:c>
      <x:c r="AF985" s="3" t="str">
        <x:v>No</x:v>
      </x:c>
      <x:c r="AG985" s="3"/>
      <x:c r="AH985" s="3"/>
      <x:c r="AI985" s="18"/>
      <x:c r="AJ985" s="3" t="str">
        <x:v>CF2500-7632507C327F</x:v>
      </x:c>
      <x:c r="AK985" s="3" t="str">
        <x:v>real_estate_operator</x:v>
      </x:c>
      <x:c r="AL985" s="19" t="n">
        <x:v>100000</x:v>
      </x:c>
      <x:c r="AM985" s="19" t="n">
        <x:v>500000</x:v>
      </x:c>
      <x:c r="AN985" s="3" t="str">
        <x:v>https://www.cashhomebuyersdirectory.com/cash-home-buyers/washington/spokane</x:v>
      </x:c>
      <x:c r="AO985" s="3" t="str">
        <x:v>national_rest_directory_complete.jsonl</x:v>
      </x:c>
      <x:c r="AP985" s="19"/>
    </x:row>
    <x:row r="986" ht="36" customHeight="1">
      <x:c r="A986" s="23" t="n">
        <x:v>985</x:v>
      </x:c>
      <x:c r="B986" s="15" t="str">
        <x:v>Covenant Home Buyers</x:v>
      </x:c>
      <x:c r="C986" s="15"/>
      <x:c r="D986" s="15" t="str">
        <x:v>Property investor / home-buying operator</x:v>
      </x:c>
      <x:c r="E986" s="15" t="str">
        <x:v>Property investor / operator inquiry</x:v>
      </x:c>
      <x:c r="F986" s="17" t="str">
        <x:v>New</x:v>
      </x:c>
      <x:c r="G986" s="24"/>
      <x:c r="H986" s="24" t="str">
        <x:v>+15029017839</x:v>
      </x:c>
      <x:c r="I986" s="24" t="str">
        <x:v>https://www.covenanthomebuyer.com/we-buy-houses-louisville-ky/</x:v>
      </x:c>
      <x:c r="J986" s="16" t="str">
        <x:v>KY</x:v>
      </x:c>
      <x:c r="K986" s="16" t="str">
        <x:v>Louisville</x:v>
      </x:c>
      <x:c r="L986" s="16" t="str">
        <x:v>Public property-business route; investor decision maker unconfirmed</x:v>
      </x:c>
      <x:c r="M986" s="16" t="str">
        <x:v>https://www.covenanthomebuyer.com/we-buy-houses-louisville-ky/</x:v>
      </x:c>
      <x:c r="N986" s="16" t="str">
        <x:v>$100K-$500K ticket not published / unconfirmed</x:v>
      </x:c>
      <x:c r="O986" s="20"/>
      <x:c r="P986" s="20"/>
      <x:c r="Q986" s="25" t="str">
        <x:v>No direct corporate-capital range established in checked source</x:v>
      </x:c>
      <x:c r="R986" s="25" t="str">
        <x:v>Property acquisition or investor activity makes this an operator-capital prospect for the signed trial. Confirm operating-company debt/equity appetite.</x:v>
      </x:c>
      <x:c r="S986" s="25"/>
      <x:c r="T986" s="25" t="str">
        <x:v>Ask the owner/investor whether they can allocate $100K-$500K to trial marketing and acquisitions, and confirm structure, timing and decision authority.</x:v>
      </x:c>
      <x:c r="U986" s="25" t="str">
        <x:v>https://www.cashhomebuyersdirectory.com/cash-home-buyers/kentucky/louisville</x:v>
      </x:c>
      <x:c r="V986" s="26" t="d">
        <x:v>2026-10-02T00:00:00.000Z</x:v>
      </x:c>
      <x:c r="W986" s="26" t="d">
        <x:v>2026-10-02T00:00:00.000Z</x:v>
      </x:c>
      <x:c r="X986" s="25" t="str">
        <x:v>CashHomeBuyersDirectory third-party business listing; first-party business activity not checked in this batch</x:v>
      </x:c>
      <x:c r="Y986" s="25"/>
      <x:c r="Z986" s="25" t="str">
        <x:v>https://www.cashhomebuyersdirectory.com/cash-home-buyers/kentucky/louisville</x:v>
      </x:c>
      <x:c r="AA986" s="25" t="str">
        <x:v>Public cash-home-buyer directory lists the business name, business phone/website where available and market. Operator role and corporate funding willingness require confirmation.</x:v>
      </x:c>
      <x:c r="AB986" s="3" t="str">
        <x:v>New public-source collection</x:v>
      </x:c>
      <x:c r="AC986" s="3" t="str">
        <x:v>unverified</x:v>
      </x:c>
      <x:c r="AD986" s="3" t="str">
        <x:v>Not contacted / unconfirmed</x:v>
      </x:c>
      <x:c r="AE986" s="3" t="str">
        <x:v>No</x:v>
      </x:c>
      <x:c r="AF986" s="3" t="str">
        <x:v>No</x:v>
      </x:c>
      <x:c r="AG986" s="3"/>
      <x:c r="AH986" s="3"/>
      <x:c r="AI986" s="18"/>
      <x:c r="AJ986" s="3" t="str">
        <x:v>CF2500-7C64C9AC11AB</x:v>
      </x:c>
      <x:c r="AK986" s="3" t="str">
        <x:v>real_estate_operator</x:v>
      </x:c>
      <x:c r="AL986" s="19" t="n">
        <x:v>100000</x:v>
      </x:c>
      <x:c r="AM986" s="19" t="n">
        <x:v>500000</x:v>
      </x:c>
      <x:c r="AN986" s="3" t="str">
        <x:v>https://www.cashhomebuyersdirectory.com/cash-home-buyers/kentucky/louisville</x:v>
      </x:c>
      <x:c r="AO986" s="3" t="str">
        <x:v>national_rest_directory_complete.jsonl</x:v>
      </x:c>
      <x:c r="AP986" s="19"/>
    </x:row>
    <x:row r="987" ht="36" customHeight="1">
      <x:c r="A987" s="23" t="n">
        <x:v>986</x:v>
      </x:c>
      <x:c r="B987" s="15" t="str">
        <x:v>CP Home Buyers, LLC</x:v>
      </x:c>
      <x:c r="C987" s="15"/>
      <x:c r="D987" s="15" t="str">
        <x:v>Property investor / home-buying operator</x:v>
      </x:c>
      <x:c r="E987" s="15" t="str">
        <x:v>Property investor / operator inquiry</x:v>
      </x:c>
      <x:c r="F987" s="17" t="str">
        <x:v>New</x:v>
      </x:c>
      <x:c r="G987" s="24"/>
      <x:c r="H987" s="24" t="str">
        <x:v>+14159933278</x:v>
      </x:c>
      <x:c r="I987" s="24" t="str">
        <x:v>http://www.cphomebuyers.com/</x:v>
      </x:c>
      <x:c r="J987" s="16" t="str">
        <x:v>CA</x:v>
      </x:c>
      <x:c r="K987" s="16" t="str">
        <x:v>San Francisco</x:v>
      </x:c>
      <x:c r="L987" s="16" t="str">
        <x:v>Public property-business route; investor decision maker unconfirmed</x:v>
      </x:c>
      <x:c r="M987" s="16" t="str">
        <x:v>http://www.cphomebuyers.com/</x:v>
      </x:c>
      <x:c r="N987" s="16" t="str">
        <x:v>$100K-$500K ticket not published / unconfirmed</x:v>
      </x:c>
      <x:c r="O987" s="20"/>
      <x:c r="P987" s="20"/>
      <x:c r="Q987" s="25" t="str">
        <x:v>No direct corporate-capital range established in checked source</x:v>
      </x:c>
      <x:c r="R987" s="25" t="str">
        <x:v>Property acquisition or investor activity makes this an operator-capital prospect for the signed trial. Confirm operating-company debt/equity appetite.</x:v>
      </x:c>
      <x:c r="S987" s="25"/>
      <x:c r="T987" s="25" t="str">
        <x:v>Ask the owner/investor whether they can allocate $100K-$500K to trial marketing and acquisitions, and confirm structure, timing and decision authority.</x:v>
      </x:c>
      <x:c r="U987" s="25" t="str">
        <x:v>https://www.cashhomebuyersdirectory.com/cash-home-buyers/california/san-francisco</x:v>
      </x:c>
      <x:c r="V987" s="26" t="d">
        <x:v>2026-10-02T00:00:00.000Z</x:v>
      </x:c>
      <x:c r="W987" s="26" t="d">
        <x:v>2026-10-02T00:00:00.000Z</x:v>
      </x:c>
      <x:c r="X987" s="25" t="str">
        <x:v>CashHomeBuyersDirectory third-party business listing; first-party business activity not checked in this batch</x:v>
      </x:c>
      <x:c r="Y987" s="25"/>
      <x:c r="Z987" s="25" t="str">
        <x:v>https://www.cashhomebuyersdirectory.com/cash-home-buyers/california/san-francisco</x:v>
      </x:c>
      <x:c r="AA987" s="25" t="str">
        <x:v>Public cash-home-buyer directory lists the business name, business phone/website where available and market. Operator role and corporate funding willingness require confirmation.</x:v>
      </x:c>
      <x:c r="AB987" s="3" t="str">
        <x:v>New public-source collection</x:v>
      </x:c>
      <x:c r="AC987" s="3" t="str">
        <x:v>unverified</x:v>
      </x:c>
      <x:c r="AD987" s="3" t="str">
        <x:v>Not contacted / unconfirmed</x:v>
      </x:c>
      <x:c r="AE987" s="3" t="str">
        <x:v>No</x:v>
      </x:c>
      <x:c r="AF987" s="3" t="str">
        <x:v>No</x:v>
      </x:c>
      <x:c r="AG987" s="3"/>
      <x:c r="AH987" s="3"/>
      <x:c r="AI987" s="18"/>
      <x:c r="AJ987" s="3" t="str">
        <x:v>CF2500-8E93B9C0113F</x:v>
      </x:c>
      <x:c r="AK987" s="3" t="str">
        <x:v>real_estate_operator</x:v>
      </x:c>
      <x:c r="AL987" s="19" t="n">
        <x:v>100000</x:v>
      </x:c>
      <x:c r="AM987" s="19" t="n">
        <x:v>500000</x:v>
      </x:c>
      <x:c r="AN987" s="3" t="str">
        <x:v>https://www.cashhomebuyersdirectory.com/cash-home-buyers/california/san-francisco</x:v>
      </x:c>
      <x:c r="AO987" s="3" t="str">
        <x:v>national_rest_directory_complete.jsonl</x:v>
      </x:c>
      <x:c r="AP987" s="19"/>
    </x:row>
    <x:row r="988" ht="36" customHeight="1">
      <x:c r="A988" s="23" t="n">
        <x:v>987</x:v>
      </x:c>
      <x:c r="B988" s="15" t="str">
        <x:v>Craben Home Buyers</x:v>
      </x:c>
      <x:c r="C988" s="15"/>
      <x:c r="D988" s="15" t="str">
        <x:v>Property investor / home-buying operator</x:v>
      </x:c>
      <x:c r="E988" s="15" t="str">
        <x:v>Property investor / operator inquiry</x:v>
      </x:c>
      <x:c r="F988" s="17" t="str">
        <x:v>New</x:v>
      </x:c>
      <x:c r="G988" s="24"/>
      <x:c r="H988" s="24" t="str">
        <x:v>+15022087644</x:v>
      </x:c>
      <x:c r="I988" s="24" t="str">
        <x:v>https://www.crabenhomebuyers.com/</x:v>
      </x:c>
      <x:c r="J988" s="16" t="str">
        <x:v>KY</x:v>
      </x:c>
      <x:c r="K988" s="16" t="str">
        <x:v>Louisville</x:v>
      </x:c>
      <x:c r="L988" s="16" t="str">
        <x:v>Public property-business route; investor decision maker unconfirmed</x:v>
      </x:c>
      <x:c r="M988" s="16" t="str">
        <x:v>https://www.crabenhomebuyers.com/</x:v>
      </x:c>
      <x:c r="N988" s="16" t="str">
        <x:v>$100K-$500K ticket not published / unconfirmed</x:v>
      </x:c>
      <x:c r="O988" s="20"/>
      <x:c r="P988" s="20"/>
      <x:c r="Q988" s="25" t="str">
        <x:v>No direct corporate-capital range established in checked source</x:v>
      </x:c>
      <x:c r="R988" s="25" t="str">
        <x:v>Property acquisition or investor activity makes this an operator-capital prospect for the signed trial. Confirm operating-company debt/equity appetite.</x:v>
      </x:c>
      <x:c r="S988" s="25"/>
      <x:c r="T988" s="25" t="str">
        <x:v>Ask the owner/investor whether they can allocate $100K-$500K to trial marketing and acquisitions, and confirm structure, timing and decision authority.</x:v>
      </x:c>
      <x:c r="U988" s="25" t="str">
        <x:v>https://www.cashhomebuyersdirectory.com/cash-home-buyers/kentucky/louisville</x:v>
      </x:c>
      <x:c r="V988" s="26" t="d">
        <x:v>2026-10-02T00:00:00.000Z</x:v>
      </x:c>
      <x:c r="W988" s="26" t="d">
        <x:v>2026-10-02T00:00:00.000Z</x:v>
      </x:c>
      <x:c r="X988" s="25" t="str">
        <x:v>CashHomeBuyersDirectory third-party business listing; first-party business activity not checked in this batch</x:v>
      </x:c>
      <x:c r="Y988" s="25"/>
      <x:c r="Z988" s="25" t="str">
        <x:v>https://www.cashhomebuyersdirectory.com/cash-home-buyers/kentucky/louisville</x:v>
      </x:c>
      <x:c r="AA988" s="25" t="str">
        <x:v>Public cash-home-buyer directory lists the business name, business phone/website where available and market. Operator role and corporate funding willingness require confirmation.</x:v>
      </x:c>
      <x:c r="AB988" s="3" t="str">
        <x:v>New public-source collection</x:v>
      </x:c>
      <x:c r="AC988" s="3" t="str">
        <x:v>unverified</x:v>
      </x:c>
      <x:c r="AD988" s="3" t="str">
        <x:v>Not contacted / unconfirmed</x:v>
      </x:c>
      <x:c r="AE988" s="3" t="str">
        <x:v>No</x:v>
      </x:c>
      <x:c r="AF988" s="3" t="str">
        <x:v>No</x:v>
      </x:c>
      <x:c r="AG988" s="3"/>
      <x:c r="AH988" s="3"/>
      <x:c r="AI988" s="18"/>
      <x:c r="AJ988" s="3" t="str">
        <x:v>CF2500-188BE67F6609</x:v>
      </x:c>
      <x:c r="AK988" s="3" t="str">
        <x:v>real_estate_operator</x:v>
      </x:c>
      <x:c r="AL988" s="19" t="n">
        <x:v>100000</x:v>
      </x:c>
      <x:c r="AM988" s="19" t="n">
        <x:v>500000</x:v>
      </x:c>
      <x:c r="AN988" s="3" t="str">
        <x:v>https://www.cashhomebuyersdirectory.com/cash-home-buyers/kentucky/louisville</x:v>
      </x:c>
      <x:c r="AO988" s="3" t="str">
        <x:v>national_rest_directory_complete.jsonl</x:v>
      </x:c>
      <x:c r="AP988" s="19"/>
    </x:row>
    <x:row r="989" ht="36" customHeight="1">
      <x:c r="A989" s="23" t="n">
        <x:v>988</x:v>
      </x:c>
      <x:c r="B989" s="15" t="str">
        <x:v>Cream City Home Buyers</x:v>
      </x:c>
      <x:c r="C989" s="15"/>
      <x:c r="D989" s="15" t="str">
        <x:v>Property investor / home-buying operator</x:v>
      </x:c>
      <x:c r="E989" s="15" t="str">
        <x:v>Property investor / operator inquiry</x:v>
      </x:c>
      <x:c r="F989" s="17" t="str">
        <x:v>New</x:v>
      </x:c>
      <x:c r="G989" s="24"/>
      <x:c r="H989" s="24" t="str">
        <x:v>+14144880082</x:v>
      </x:c>
      <x:c r="I989" s="24" t="str">
        <x:v>https://www.creamcityhomebuyers.com/?utm_source=gmb&amp;utm_medium=referral</x:v>
      </x:c>
      <x:c r="J989" s="16" t="str">
        <x:v>WI</x:v>
      </x:c>
      <x:c r="K989" s="16" t="str">
        <x:v>Milwaukee</x:v>
      </x:c>
      <x:c r="L989" s="16" t="str">
        <x:v>Public property-business route; investor decision maker unconfirmed</x:v>
      </x:c>
      <x:c r="M989" s="16" t="str">
        <x:v>https://www.creamcityhomebuyers.com/?utm_source=gmb&amp;utm_medium=referral</x:v>
      </x:c>
      <x:c r="N989" s="16" t="str">
        <x:v>$100K-$500K ticket not published / unconfirmed</x:v>
      </x:c>
      <x:c r="O989" s="20"/>
      <x:c r="P989" s="20"/>
      <x:c r="Q989" s="25" t="str">
        <x:v>No direct corporate-capital range established in checked source</x:v>
      </x:c>
      <x:c r="R989" s="25" t="str">
        <x:v>Property acquisition or investor activity makes this an operator-capital prospect for the signed trial. Confirm operating-company debt/equity appetite.</x:v>
      </x:c>
      <x:c r="S989" s="25"/>
      <x:c r="T989" s="25" t="str">
        <x:v>Ask the owner/investor whether they can allocate $100K-$500K to trial marketing and acquisitions, and confirm structure, timing and decision authority.</x:v>
      </x:c>
      <x:c r="U989" s="25" t="str">
        <x:v>https://www.cashhomebuyersdirectory.com/cash-home-buyers/wisconsin/milwaukee</x:v>
      </x:c>
      <x:c r="V989" s="26" t="d">
        <x:v>2026-10-02T00:00:00.000Z</x:v>
      </x:c>
      <x:c r="W989" s="26" t="d">
        <x:v>2026-10-02T00:00:00.000Z</x:v>
      </x:c>
      <x:c r="X989" s="25" t="str">
        <x:v>CashHomeBuyersDirectory third-party business listing; first-party business activity not checked in this batch</x:v>
      </x:c>
      <x:c r="Y989" s="25"/>
      <x:c r="Z989" s="25" t="str">
        <x:v>https://www.cashhomebuyersdirectory.com/cash-home-buyers/wisconsin/milwaukee</x:v>
      </x:c>
      <x:c r="AA989" s="25" t="str">
        <x:v>Public cash-home-buyer directory lists the business name, business phone/website where available and market. Operator role and corporate funding willingness require confirmation.</x:v>
      </x:c>
      <x:c r="AB989" s="3" t="str">
        <x:v>New public-source collection</x:v>
      </x:c>
      <x:c r="AC989" s="3" t="str">
        <x:v>unverified</x:v>
      </x:c>
      <x:c r="AD989" s="3" t="str">
        <x:v>Not contacted / unconfirmed</x:v>
      </x:c>
      <x:c r="AE989" s="3" t="str">
        <x:v>No</x:v>
      </x:c>
      <x:c r="AF989" s="3" t="str">
        <x:v>No</x:v>
      </x:c>
      <x:c r="AG989" s="3"/>
      <x:c r="AH989" s="3"/>
      <x:c r="AI989" s="18"/>
      <x:c r="AJ989" s="3" t="str">
        <x:v>CF2500-F2B1908CC959</x:v>
      </x:c>
      <x:c r="AK989" s="3" t="str">
        <x:v>real_estate_operator</x:v>
      </x:c>
      <x:c r="AL989" s="19" t="n">
        <x:v>100000</x:v>
      </x:c>
      <x:c r="AM989" s="19" t="n">
        <x:v>500000</x:v>
      </x:c>
      <x:c r="AN989" s="3" t="str">
        <x:v>https://www.cashhomebuyersdirectory.com/cash-home-buyers/wisconsin/milwaukee</x:v>
      </x:c>
      <x:c r="AO989" s="3" t="str">
        <x:v>national_rest_directory_complete.jsonl</x:v>
      </x:c>
      <x:c r="AP989" s="19"/>
    </x:row>
    <x:row r="990" ht="36" customHeight="1">
      <x:c r="A990" s="23" t="n">
        <x:v>989</x:v>
      </x:c>
      <x:c r="B990" s="15" t="str">
        <x:v>Credible Homebuyers</x:v>
      </x:c>
      <x:c r="C990" s="15"/>
      <x:c r="D990" s="15" t="str">
        <x:v>Property investor / home-buying operator</x:v>
      </x:c>
      <x:c r="E990" s="15" t="str">
        <x:v>Property investor / operator inquiry</x:v>
      </x:c>
      <x:c r="F990" s="17" t="str">
        <x:v>New</x:v>
      </x:c>
      <x:c r="G990" s="24"/>
      <x:c r="H990" s="24" t="str">
        <x:v>+14434488522</x:v>
      </x:c>
      <x:c r="I990" s="24" t="str">
        <x:v>https://www.thecrediblehomebuyers.com/</x:v>
      </x:c>
      <x:c r="J990" s="16" t="str">
        <x:v>MD</x:v>
      </x:c>
      <x:c r="K990" s="16" t="str">
        <x:v>Pasadena</x:v>
      </x:c>
      <x:c r="L990" s="16" t="str">
        <x:v>Public property-business route; investor decision maker unconfirmed</x:v>
      </x:c>
      <x:c r="M990" s="16" t="str">
        <x:v>https://www.thecrediblehomebuyers.com/</x:v>
      </x:c>
      <x:c r="N990" s="16" t="str">
        <x:v>$100K-$500K ticket not published / unconfirmed</x:v>
      </x:c>
      <x:c r="O990" s="20"/>
      <x:c r="P990" s="20"/>
      <x:c r="Q990" s="25" t="str">
        <x:v>No direct corporate-capital range established in checked source</x:v>
      </x:c>
      <x:c r="R990" s="25" t="str">
        <x:v>Property acquisition or investor activity makes this an operator-capital prospect for the signed trial. Confirm operating-company debt/equity appetite.</x:v>
      </x:c>
      <x:c r="S990" s="25"/>
      <x:c r="T990" s="25" t="str">
        <x:v>Ask the owner/investor whether they can allocate $100K-$500K to trial marketing and acquisitions, and confirm structure, timing and decision authority.</x:v>
      </x:c>
      <x:c r="U990" s="25" t="str">
        <x:v>https://www.cashhomebuyersdirectory.com/cash-home-buyers/maryland/pasadena</x:v>
      </x:c>
      <x:c r="V990" s="26" t="d">
        <x:v>2026-10-02T00:00:00.000Z</x:v>
      </x:c>
      <x:c r="W990" s="26" t="d">
        <x:v>2026-10-02T00:00:00.000Z</x:v>
      </x:c>
      <x:c r="X990" s="25" t="str">
        <x:v>CashHomeBuyersDirectory third-party business listing; first-party business activity not checked in this batch</x:v>
      </x:c>
      <x:c r="Y990" s="25"/>
      <x:c r="Z990" s="25" t="str">
        <x:v>https://www.cashhomebuyersdirectory.com/cash-home-buyers/maryland/pasadena</x:v>
      </x:c>
      <x:c r="AA990" s="25" t="str">
        <x:v>Public cash-home-buyer directory lists the business name, business phone/website where available and market. Operator role and corporate funding willingness require confirmation.</x:v>
      </x:c>
      <x:c r="AB990" s="3" t="str">
        <x:v>New public-source collection</x:v>
      </x:c>
      <x:c r="AC990" s="3" t="str">
        <x:v>unverified</x:v>
      </x:c>
      <x:c r="AD990" s="3" t="str">
        <x:v>Not contacted / unconfirmed</x:v>
      </x:c>
      <x:c r="AE990" s="3" t="str">
        <x:v>No</x:v>
      </x:c>
      <x:c r="AF990" s="3" t="str">
        <x:v>No</x:v>
      </x:c>
      <x:c r="AG990" s="3"/>
      <x:c r="AH990" s="3"/>
      <x:c r="AI990" s="18"/>
      <x:c r="AJ990" s="3" t="str">
        <x:v>CF2500-BF6ABDF8219E</x:v>
      </x:c>
      <x:c r="AK990" s="3" t="str">
        <x:v>real_estate_operator</x:v>
      </x:c>
      <x:c r="AL990" s="19" t="n">
        <x:v>100000</x:v>
      </x:c>
      <x:c r="AM990" s="19" t="n">
        <x:v>500000</x:v>
      </x:c>
      <x:c r="AN990" s="3" t="str">
        <x:v>https://www.cashhomebuyersdirectory.com/cash-home-buyers/maryland/pasadena</x:v>
      </x:c>
      <x:c r="AO990" s="3" t="str">
        <x:v>national_rest_directory_complete.jsonl</x:v>
      </x:c>
      <x:c r="AP990" s="19"/>
    </x:row>
    <x:row r="991" ht="36" customHeight="1">
      <x:c r="A991" s="23" t="n">
        <x:v>990</x:v>
      </x:c>
      <x:c r="B991" s="15" t="str">
        <x:v>Cuyahoga County Homebuyers</x:v>
      </x:c>
      <x:c r="C991" s="15"/>
      <x:c r="D991" s="15" t="str">
        <x:v>Property investor / home-buying operator</x:v>
      </x:c>
      <x:c r="E991" s="15" t="str">
        <x:v>Property investor / operator inquiry</x:v>
      </x:c>
      <x:c r="F991" s="17" t="str">
        <x:v>New</x:v>
      </x:c>
      <x:c r="G991" s="24"/>
      <x:c r="H991" s="24" t="str">
        <x:v>+14403791217</x:v>
      </x:c>
      <x:c r="I991" s="24" t="str">
        <x:v>http://www.cuyahogacountyhomebuyers.com/</x:v>
      </x:c>
      <x:c r="J991" s="16" t="str">
        <x:v>OH</x:v>
      </x:c>
      <x:c r="K991" s="16" t="str">
        <x:v>Middleburg Heights</x:v>
      </x:c>
      <x:c r="L991" s="16" t="str">
        <x:v>Public property-business route; investor decision maker unconfirmed</x:v>
      </x:c>
      <x:c r="M991" s="16" t="str">
        <x:v>http://www.cuyahogacountyhomebuyers.com/</x:v>
      </x:c>
      <x:c r="N991" s="16" t="str">
        <x:v>$100K-$500K ticket not published / unconfirmed</x:v>
      </x:c>
      <x:c r="O991" s="20"/>
      <x:c r="P991" s="20"/>
      <x:c r="Q991" s="25" t="str">
        <x:v>No direct corporate-capital range established in checked source</x:v>
      </x:c>
      <x:c r="R991" s="25" t="str">
        <x:v>Property acquisition or investor activity makes this an operator-capital prospect for the signed trial. Confirm operating-company debt/equity appetite.</x:v>
      </x:c>
      <x:c r="S991" s="25"/>
      <x:c r="T991" s="25" t="str">
        <x:v>Ask the owner/investor whether they can allocate $100K-$500K to trial marketing and acquisitions, and confirm structure, timing and decision authority.</x:v>
      </x:c>
      <x:c r="U991" s="25" t="str">
        <x:v>https://www.cashhomebuyersdirectory.com/cash-home-buyers/ohio/middleburg-heights</x:v>
      </x:c>
      <x:c r="V991" s="26" t="d">
        <x:v>2026-10-02T00:00:00.000Z</x:v>
      </x:c>
      <x:c r="W991" s="26" t="d">
        <x:v>2026-10-02T00:00:00.000Z</x:v>
      </x:c>
      <x:c r="X991" s="25" t="str">
        <x:v>CashHomeBuyersDirectory third-party business listing; first-party business activity not checked in this batch</x:v>
      </x:c>
      <x:c r="Y991" s="25"/>
      <x:c r="Z991" s="25" t="str">
        <x:v>https://www.cashhomebuyersdirectory.com/cash-home-buyers/ohio/middleburg-heights</x:v>
      </x:c>
      <x:c r="AA991" s="25" t="str">
        <x:v>Public cash-home-buyer directory lists the business name, business phone/website where available and market. Operator role and corporate funding willingness require confirmation.</x:v>
      </x:c>
      <x:c r="AB991" s="3" t="str">
        <x:v>New public-source collection</x:v>
      </x:c>
      <x:c r="AC991" s="3" t="str">
        <x:v>unverified</x:v>
      </x:c>
      <x:c r="AD991" s="3" t="str">
        <x:v>Not contacted / unconfirmed</x:v>
      </x:c>
      <x:c r="AE991" s="3" t="str">
        <x:v>No</x:v>
      </x:c>
      <x:c r="AF991" s="3" t="str">
        <x:v>No</x:v>
      </x:c>
      <x:c r="AG991" s="3"/>
      <x:c r="AH991" s="3"/>
      <x:c r="AI991" s="18"/>
      <x:c r="AJ991" s="3" t="str">
        <x:v>CF2500-F9CC5254058B</x:v>
      </x:c>
      <x:c r="AK991" s="3" t="str">
        <x:v>real_estate_operator</x:v>
      </x:c>
      <x:c r="AL991" s="19" t="n">
        <x:v>100000</x:v>
      </x:c>
      <x:c r="AM991" s="19" t="n">
        <x:v>500000</x:v>
      </x:c>
      <x:c r="AN991" s="3" t="str">
        <x:v>https://www.cashhomebuyersdirectory.com/cash-home-buyers/ohio/middleburg-heights</x:v>
      </x:c>
      <x:c r="AO991" s="3" t="str">
        <x:v>national_rest_directory_complete.jsonl</x:v>
      </x:c>
      <x:c r="AP991" s="19"/>
    </x:row>
    <x:row r="992" ht="36" customHeight="1">
      <x:c r="A992" s="23" t="n">
        <x:v>991</x:v>
      </x:c>
      <x:c r="B992" s="15" t="str">
        <x:v>Cyber Home Buyers</x:v>
      </x:c>
      <x:c r="C992" s="15"/>
      <x:c r="D992" s="15" t="str">
        <x:v>Property investor / home-buying operator</x:v>
      </x:c>
      <x:c r="E992" s="15" t="str">
        <x:v>Property investor / operator inquiry</x:v>
      </x:c>
      <x:c r="F992" s="17" t="str">
        <x:v>New</x:v>
      </x:c>
      <x:c r="G992" s="24"/>
      <x:c r="H992" s="24" t="str">
        <x:v>+19253967244</x:v>
      </x:c>
      <x:c r="I992" s="24" t="str">
        <x:v>https://cyberhomebuyers.com/</x:v>
      </x:c>
      <x:c r="J992" s="16" t="str">
        <x:v>CA</x:v>
      </x:c>
      <x:c r="K992" s="16" t="str">
        <x:v>Oakland</x:v>
      </x:c>
      <x:c r="L992" s="16" t="str">
        <x:v>Public property-business route; investor decision maker unconfirmed</x:v>
      </x:c>
      <x:c r="M992" s="16" t="str">
        <x:v>https://cyberhomebuyers.com/</x:v>
      </x:c>
      <x:c r="N992" s="16" t="str">
        <x:v>$100K-$500K ticket not published / unconfirmed</x:v>
      </x:c>
      <x:c r="O992" s="20"/>
      <x:c r="P992" s="20"/>
      <x:c r="Q992" s="25" t="str">
        <x:v>No direct corporate-capital range established in checked source</x:v>
      </x:c>
      <x:c r="R992" s="25" t="str">
        <x:v>Property acquisition or investor activity makes this an operator-capital prospect for the signed trial. Confirm operating-company debt/equity appetite.</x:v>
      </x:c>
      <x:c r="S992" s="25"/>
      <x:c r="T992" s="25" t="str">
        <x:v>Ask the owner/investor whether they can allocate $100K-$500K to trial marketing and acquisitions, and confirm structure, timing and decision authority.</x:v>
      </x:c>
      <x:c r="U992" s="25" t="str">
        <x:v>https://www.cashhomebuyersdirectory.com/cash-home-buyers/california/oakland</x:v>
      </x:c>
      <x:c r="V992" s="26" t="d">
        <x:v>2026-10-02T00:00:00.000Z</x:v>
      </x:c>
      <x:c r="W992" s="26" t="d">
        <x:v>2026-10-02T00:00:00.000Z</x:v>
      </x:c>
      <x:c r="X992" s="25" t="str">
        <x:v>CashHomeBuyersDirectory third-party business listing; first-party business activity not checked in this batch</x:v>
      </x:c>
      <x:c r="Y992" s="25"/>
      <x:c r="Z992" s="25" t="str">
        <x:v>https://www.cashhomebuyersdirectory.com/cash-home-buyers/california/oakland</x:v>
      </x:c>
      <x:c r="AA992" s="25" t="str">
        <x:v>Public cash-home-buyer directory lists the business name, business phone/website where available and market. Operator role and corporate funding willingness require confirmation.</x:v>
      </x:c>
      <x:c r="AB992" s="3" t="str">
        <x:v>New public-source collection</x:v>
      </x:c>
      <x:c r="AC992" s="3" t="str">
        <x:v>unverified</x:v>
      </x:c>
      <x:c r="AD992" s="3" t="str">
        <x:v>Not contacted / unconfirmed</x:v>
      </x:c>
      <x:c r="AE992" s="3" t="str">
        <x:v>No</x:v>
      </x:c>
      <x:c r="AF992" s="3" t="str">
        <x:v>No</x:v>
      </x:c>
      <x:c r="AG992" s="3"/>
      <x:c r="AH992" s="3"/>
      <x:c r="AI992" s="18"/>
      <x:c r="AJ992" s="3" t="str">
        <x:v>CF2500-88FC837021E2</x:v>
      </x:c>
      <x:c r="AK992" s="3" t="str">
        <x:v>real_estate_operator</x:v>
      </x:c>
      <x:c r="AL992" s="19" t="n">
        <x:v>100000</x:v>
      </x:c>
      <x:c r="AM992" s="19" t="n">
        <x:v>500000</x:v>
      </x:c>
      <x:c r="AN992" s="3" t="str">
        <x:v>https://www.cashhomebuyersdirectory.com/cash-home-buyers/california/oakland</x:v>
      </x:c>
      <x:c r="AO992" s="3" t="str">
        <x:v>national_rest_directory_complete.jsonl</x:v>
      </x:c>
      <x:c r="AP992" s="19"/>
    </x:row>
    <x:row r="993" ht="36" customHeight="1">
      <x:c r="A993" s="23" t="n">
        <x:v>992</x:v>
      </x:c>
      <x:c r="B993" s="15" t="str">
        <x:v>Dakota Home Buyers</x:v>
      </x:c>
      <x:c r="C993" s="15"/>
      <x:c r="D993" s="15" t="str">
        <x:v>Property investor / home-buying operator</x:v>
      </x:c>
      <x:c r="E993" s="15" t="str">
        <x:v>Property investor / operator inquiry</x:v>
      </x:c>
      <x:c r="F993" s="17" t="str">
        <x:v>New</x:v>
      </x:c>
      <x:c r="G993" s="24"/>
      <x:c r="H993" s="24" t="str">
        <x:v>+16053016038</x:v>
      </x:c>
      <x:c r="I993" s="24" t="str">
        <x:v>https://www.webuyhomessiouxfalls.com/</x:v>
      </x:c>
      <x:c r="J993" s="16" t="str">
        <x:v>SD</x:v>
      </x:c>
      <x:c r="K993" s="16" t="str">
        <x:v>Sioux Falls</x:v>
      </x:c>
      <x:c r="L993" s="16" t="str">
        <x:v>Public property-business route; investor decision maker unconfirmed</x:v>
      </x:c>
      <x:c r="M993" s="16" t="str">
        <x:v>https://www.webuyhomessiouxfalls.com/</x:v>
      </x:c>
      <x:c r="N993" s="16" t="str">
        <x:v>$100K-$500K ticket not published / unconfirmed</x:v>
      </x:c>
      <x:c r="O993" s="20"/>
      <x:c r="P993" s="20"/>
      <x:c r="Q993" s="25" t="str">
        <x:v>No direct corporate-capital range established in checked source</x:v>
      </x:c>
      <x:c r="R993" s="25" t="str">
        <x:v>Property acquisition or investor activity makes this an operator-capital prospect for the signed trial. Confirm operating-company debt/equity appetite.</x:v>
      </x:c>
      <x:c r="S993" s="25"/>
      <x:c r="T993" s="25" t="str">
        <x:v>Ask the owner/investor whether they can allocate $100K-$500K to trial marketing and acquisitions, and confirm structure, timing and decision authority.</x:v>
      </x:c>
      <x:c r="U993" s="25" t="str">
        <x:v>https://www.cashhomebuyersdirectory.com/cash-home-buyers/south-dakota/sioux-falls</x:v>
      </x:c>
      <x:c r="V993" s="26" t="d">
        <x:v>2026-10-02T00:00:00.000Z</x:v>
      </x:c>
      <x:c r="W993" s="26" t="d">
        <x:v>2026-10-02T00:00:00.000Z</x:v>
      </x:c>
      <x:c r="X993" s="25" t="str">
        <x:v>CashHomeBuyersDirectory third-party business listing; first-party business activity not checked in this batch</x:v>
      </x:c>
      <x:c r="Y993" s="25"/>
      <x:c r="Z993" s="25" t="str">
        <x:v>https://www.cashhomebuyersdirectory.com/cash-home-buyers/south-dakota/sioux-falls</x:v>
      </x:c>
      <x:c r="AA993" s="25" t="str">
        <x:v>Public cash-home-buyer directory lists the business name, business phone/website where available and market. Operator role and corporate funding willingness require confirmation.</x:v>
      </x:c>
      <x:c r="AB993" s="3" t="str">
        <x:v>New public-source collection</x:v>
      </x:c>
      <x:c r="AC993" s="3" t="str">
        <x:v>unverified</x:v>
      </x:c>
      <x:c r="AD993" s="3" t="str">
        <x:v>Not contacted / unconfirmed</x:v>
      </x:c>
      <x:c r="AE993" s="3" t="str">
        <x:v>No</x:v>
      </x:c>
      <x:c r="AF993" s="3" t="str">
        <x:v>No</x:v>
      </x:c>
      <x:c r="AG993" s="3"/>
      <x:c r="AH993" s="3"/>
      <x:c r="AI993" s="18"/>
      <x:c r="AJ993" s="3" t="str">
        <x:v>CF2500-25B4C8AB4570</x:v>
      </x:c>
      <x:c r="AK993" s="3" t="str">
        <x:v>real_estate_operator</x:v>
      </x:c>
      <x:c r="AL993" s="19" t="n">
        <x:v>100000</x:v>
      </x:c>
      <x:c r="AM993" s="19" t="n">
        <x:v>500000</x:v>
      </x:c>
      <x:c r="AN993" s="3" t="str">
        <x:v>https://www.cashhomebuyersdirectory.com/cash-home-buyers/south-dakota/sioux-falls</x:v>
      </x:c>
      <x:c r="AO993" s="3" t="str">
        <x:v>national_rest_directory_complete.jsonl</x:v>
      </x:c>
      <x:c r="AP993" s="19"/>
    </x:row>
    <x:row r="994" ht="36" customHeight="1">
      <x:c r="A994" s="23" t="n">
        <x:v>993</x:v>
      </x:c>
      <x:c r="B994" s="15" t="str">
        <x:v>DBC Home Buyers</x:v>
      </x:c>
      <x:c r="C994" s="15"/>
      <x:c r="D994" s="15" t="str">
        <x:v>Property investor / home-buying operator</x:v>
      </x:c>
      <x:c r="E994" s="15" t="str">
        <x:v>Property investor / operator inquiry</x:v>
      </x:c>
      <x:c r="F994" s="17" t="str">
        <x:v>New</x:v>
      </x:c>
      <x:c r="G994" s="24"/>
      <x:c r="H994" s="24" t="str">
        <x:v>+14104217710</x:v>
      </x:c>
      <x:c r="I994" s="24" t="str">
        <x:v>https://www.dbchomebuyers.com/</x:v>
      </x:c>
      <x:c r="J994" s="16" t="str">
        <x:v>MD</x:v>
      </x:c>
      <x:c r="K994" s="16" t="str">
        <x:v>Orchard Beach</x:v>
      </x:c>
      <x:c r="L994" s="16" t="str">
        <x:v>Public property-business route; investor decision maker unconfirmed</x:v>
      </x:c>
      <x:c r="M994" s="16" t="str">
        <x:v>https://www.dbchomebuyers.com/</x:v>
      </x:c>
      <x:c r="N994" s="16" t="str">
        <x:v>$100K-$500K ticket not published / unconfirmed</x:v>
      </x:c>
      <x:c r="O994" s="20"/>
      <x:c r="P994" s="20"/>
      <x:c r="Q994" s="25" t="str">
        <x:v>No direct corporate-capital range established in checked source</x:v>
      </x:c>
      <x:c r="R994" s="25" t="str">
        <x:v>Property acquisition or investor activity makes this an operator-capital prospect for the signed trial. Confirm operating-company debt/equity appetite.</x:v>
      </x:c>
      <x:c r="S994" s="25"/>
      <x:c r="T994" s="25" t="str">
        <x:v>Ask the owner/investor whether they can allocate $100K-$500K to trial marketing and acquisitions, and confirm structure, timing and decision authority.</x:v>
      </x:c>
      <x:c r="U994" s="25" t="str">
        <x:v>https://www.cashhomebuyersdirectory.com/cash-home-buyers/maryland/orchard-beach</x:v>
      </x:c>
      <x:c r="V994" s="26" t="d">
        <x:v>2026-10-02T00:00:00.000Z</x:v>
      </x:c>
      <x:c r="W994" s="26" t="d">
        <x:v>2026-10-02T00:00:00.000Z</x:v>
      </x:c>
      <x:c r="X994" s="25" t="str">
        <x:v>CashHomeBuyersDirectory third-party business listing; first-party business activity not checked in this batch</x:v>
      </x:c>
      <x:c r="Y994" s="25"/>
      <x:c r="Z994" s="25" t="str">
        <x:v>https://www.cashhomebuyersdirectory.com/cash-home-buyers/maryland/orchard-beach</x:v>
      </x:c>
      <x:c r="AA994" s="25" t="str">
        <x:v>Public cash-home-buyer directory lists the business name, business phone/website where available and market. Operator role and corporate funding willingness require confirmation.</x:v>
      </x:c>
      <x:c r="AB994" s="3" t="str">
        <x:v>New public-source collection</x:v>
      </x:c>
      <x:c r="AC994" s="3" t="str">
        <x:v>unverified</x:v>
      </x:c>
      <x:c r="AD994" s="3" t="str">
        <x:v>Not contacted / unconfirmed</x:v>
      </x:c>
      <x:c r="AE994" s="3" t="str">
        <x:v>No</x:v>
      </x:c>
      <x:c r="AF994" s="3" t="str">
        <x:v>No</x:v>
      </x:c>
      <x:c r="AG994" s="3"/>
      <x:c r="AH994" s="3"/>
      <x:c r="AI994" s="18"/>
      <x:c r="AJ994" s="3" t="str">
        <x:v>CF2500-EB5D51CE542A</x:v>
      </x:c>
      <x:c r="AK994" s="3" t="str">
        <x:v>real_estate_operator</x:v>
      </x:c>
      <x:c r="AL994" s="19" t="n">
        <x:v>100000</x:v>
      </x:c>
      <x:c r="AM994" s="19" t="n">
        <x:v>500000</x:v>
      </x:c>
      <x:c r="AN994" s="3" t="str">
        <x:v>https://www.cashhomebuyersdirectory.com/cash-home-buyers/maryland/orchard-beach</x:v>
      </x:c>
      <x:c r="AO994" s="3" t="str">
        <x:v>national_rest_directory_complete.jsonl</x:v>
      </x:c>
      <x:c r="AP994" s="19"/>
    </x:row>
    <x:row r="995" ht="36" customHeight="1">
      <x:c r="A995" s="23" t="n">
        <x:v>994</x:v>
      </x:c>
      <x:c r="B995" s="15" t="str">
        <x:v>DC Home Buyer</x:v>
      </x:c>
      <x:c r="C995" s="15"/>
      <x:c r="D995" s="15" t="str">
        <x:v>Property investor / home-buying operator</x:v>
      </x:c>
      <x:c r="E995" s="15" t="str">
        <x:v>Property investor / operator inquiry</x:v>
      </x:c>
      <x:c r="F995" s="17" t="str">
        <x:v>New</x:v>
      </x:c>
      <x:c r="G995" s="24"/>
      <x:c r="H995" s="24" t="str">
        <x:v>+12028889999</x:v>
      </x:c>
      <x:c r="I995" s="24" t="str">
        <x:v>http://www.dchomebuyer.com/</x:v>
      </x:c>
      <x:c r="J995" s="16" t="str">
        <x:v>DC</x:v>
      </x:c>
      <x:c r="K995" s="16" t="str">
        <x:v>Washington</x:v>
      </x:c>
      <x:c r="L995" s="16" t="str">
        <x:v>Public property-business route; investor decision maker unconfirmed</x:v>
      </x:c>
      <x:c r="M995" s="16" t="str">
        <x:v>http://www.dchomebuyer.com/</x:v>
      </x:c>
      <x:c r="N995" s="16" t="str">
        <x:v>$100K-$500K ticket not published / unconfirmed</x:v>
      </x:c>
      <x:c r="O995" s="20"/>
      <x:c r="P995" s="20"/>
      <x:c r="Q995" s="25" t="str">
        <x:v>No direct corporate-capital range established in checked source</x:v>
      </x:c>
      <x:c r="R995" s="25" t="str">
        <x:v>Property acquisition or investor activity makes this an operator-capital prospect for the signed trial. Confirm operating-company debt/equity appetite.</x:v>
      </x:c>
      <x:c r="S995" s="25"/>
      <x:c r="T995" s="25" t="str">
        <x:v>Ask the owner/investor whether they can allocate $100K-$500K to trial marketing and acquisitions, and confirm structure, timing and decision authority.</x:v>
      </x:c>
      <x:c r="U995" s="25" t="str">
        <x:v>https://www.cashhomebuyersdirectory.com/cash-home-buyers/district-of-columbia/washington</x:v>
      </x:c>
      <x:c r="V995" s="26" t="d">
        <x:v>2026-10-02T00:00:00.000Z</x:v>
      </x:c>
      <x:c r="W995" s="26" t="d">
        <x:v>2026-10-02T00:00:00.000Z</x:v>
      </x:c>
      <x:c r="X995" s="25" t="str">
        <x:v>CashHomeBuyersDirectory third-party business listing; first-party business activity not checked in this batch</x:v>
      </x:c>
      <x:c r="Y995" s="25"/>
      <x:c r="Z995" s="25" t="str">
        <x:v>https://www.cashhomebuyersdirectory.com/cash-home-buyers/district-of-columbia/washington</x:v>
      </x:c>
      <x:c r="AA995" s="25" t="str">
        <x:v>Public cash-home-buyer directory lists the business name, business phone/website where available and market. Operator role and corporate funding willingness require confirmation.</x:v>
      </x:c>
      <x:c r="AB995" s="3" t="str">
        <x:v>New public-source collection</x:v>
      </x:c>
      <x:c r="AC995" s="3" t="str">
        <x:v>unverified</x:v>
      </x:c>
      <x:c r="AD995" s="3" t="str">
        <x:v>Not contacted / unconfirmed</x:v>
      </x:c>
      <x:c r="AE995" s="3" t="str">
        <x:v>No</x:v>
      </x:c>
      <x:c r="AF995" s="3" t="str">
        <x:v>No</x:v>
      </x:c>
      <x:c r="AG995" s="3"/>
      <x:c r="AH995" s="3"/>
      <x:c r="AI995" s="18"/>
      <x:c r="AJ995" s="3" t="str">
        <x:v>CF2500-570ED5445339</x:v>
      </x:c>
      <x:c r="AK995" s="3" t="str">
        <x:v>real_estate_operator</x:v>
      </x:c>
      <x:c r="AL995" s="19" t="n">
        <x:v>100000</x:v>
      </x:c>
      <x:c r="AM995" s="19" t="n">
        <x:v>500000</x:v>
      </x:c>
      <x:c r="AN995" s="3" t="str">
        <x:v>https://www.cashhomebuyersdirectory.com/cash-home-buyers/district-of-columbia/washington</x:v>
      </x:c>
      <x:c r="AO995" s="3" t="str">
        <x:v>national_rest_directory_complete.jsonl</x:v>
      </x:c>
      <x:c r="AP995" s="19"/>
    </x:row>
    <x:row r="996" ht="36" customHeight="1">
      <x:c r="A996" s="23" t="n">
        <x:v>995</x:v>
      </x:c>
      <x:c r="B996" s="15" t="str">
        <x:v>Delaware Cash House Buyers</x:v>
      </x:c>
      <x:c r="C996" s="15"/>
      <x:c r="D996" s="15" t="str">
        <x:v>Property investor / home-buying operator</x:v>
      </x:c>
      <x:c r="E996" s="15" t="str">
        <x:v>Property investor / operator inquiry</x:v>
      </x:c>
      <x:c r="F996" s="17" t="str">
        <x:v>New</x:v>
      </x:c>
      <x:c r="G996" s="24"/>
      <x:c r="H996" s="24" t="str">
        <x:v>+13028980910</x:v>
      </x:c>
      <x:c r="I996" s="24" t="str">
        <x:v>https://www.delawarecashhousebuyers.com/</x:v>
      </x:c>
      <x:c r="J996" s="16" t="str">
        <x:v>DE</x:v>
      </x:c>
      <x:c r="K996" s="16"/>
      <x:c r="L996" s="16" t="str">
        <x:v>Public property-business route; investor decision maker unconfirmed</x:v>
      </x:c>
      <x:c r="M996" s="16" t="str">
        <x:v>https://www.delawarecashhousebuyers.com/</x:v>
      </x:c>
      <x:c r="N996" s="16" t="str">
        <x:v>$100K-$500K ticket not published / unconfirmed</x:v>
      </x:c>
      <x:c r="O996" s="20"/>
      <x:c r="P996" s="20"/>
      <x:c r="Q996" s="25" t="str">
        <x:v>No direct corporate-capital range established in checked source</x:v>
      </x:c>
      <x:c r="R996" s="25" t="str">
        <x:v>Property acquisition or investor activity makes this an operator-capital prospect for the signed trial. Confirm operating-company debt/equity appetite.</x:v>
      </x:c>
      <x:c r="S996" s="25"/>
      <x:c r="T996" s="25" t="str">
        <x:v>Ask the owner/investor whether they can allocate $100K-$500K to trial marketing and acquisitions, and confirm structure, timing and decision authority.</x:v>
      </x:c>
      <x:c r="U996" s="25" t="str">
        <x:v>https://www.cashhomebuyersdirectory.com/cash-home-buyers/delaware/wilmington</x:v>
      </x:c>
      <x:c r="V996" s="26" t="d">
        <x:v>2026-10-02T00:00:00.000Z</x:v>
      </x:c>
      <x:c r="W996" s="26" t="d">
        <x:v>2026-10-02T00:00:00.000Z</x:v>
      </x:c>
      <x:c r="X996" s="25" t="str">
        <x:v>CashHomeBuyersDirectory third-party business listing; first-party business activity not checked in this batch</x:v>
      </x:c>
      <x:c r="Y996" s="25"/>
      <x:c r="Z996" s="25" t="str">
        <x:v>https://www.cashhomebuyersdirectory.com/cash-home-buyers/delaware/wilmington</x:v>
      </x:c>
      <x:c r="AA996" s="25" t="str">
        <x:v>Public cash-home-buyer directory lists the business name, business phone/website where available and market. Operator role and corporate funding willingness require confirmation.</x:v>
      </x:c>
      <x:c r="AB996" s="3" t="str">
        <x:v>New public-source collection</x:v>
      </x:c>
      <x:c r="AC996" s="3" t="str">
        <x:v>unverified</x:v>
      </x:c>
      <x:c r="AD996" s="3" t="str">
        <x:v>Not contacted / unconfirmed</x:v>
      </x:c>
      <x:c r="AE996" s="3" t="str">
        <x:v>No</x:v>
      </x:c>
      <x:c r="AF996" s="3" t="str">
        <x:v>No</x:v>
      </x:c>
      <x:c r="AG996" s="3"/>
      <x:c r="AH996" s="3"/>
      <x:c r="AI996" s="18"/>
      <x:c r="AJ996" s="3" t="str">
        <x:v>CF2500-3642CB2AD571</x:v>
      </x:c>
      <x:c r="AK996" s="3" t="str">
        <x:v>real_estate_operator</x:v>
      </x:c>
      <x:c r="AL996" s="19" t="n">
        <x:v>100000</x:v>
      </x:c>
      <x:c r="AM996" s="19" t="n">
        <x:v>500000</x:v>
      </x:c>
      <x:c r="AN996" s="3" t="str">
        <x:v>https://www.cashhomebuyersdirectory.com/cash-home-buyers/delaware/wilmington</x:v>
      </x:c>
      <x:c r="AO996" s="3" t="str">
        <x:v>national_rest_directory_complete.jsonl</x:v>
      </x:c>
      <x:c r="AP996" s="19"/>
    </x:row>
    <x:row r="997" ht="36" customHeight="1">
      <x:c r="A997" s="23" t="n">
        <x:v>996</x:v>
      </x:c>
      <x:c r="B997" s="15" t="str">
        <x:v>Delaware Home Buyers</x:v>
      </x:c>
      <x:c r="C997" s="15"/>
      <x:c r="D997" s="15" t="str">
        <x:v>Property investor / home-buying operator</x:v>
      </x:c>
      <x:c r="E997" s="15" t="str">
        <x:v>Property investor / operator inquiry</x:v>
      </x:c>
      <x:c r="F997" s="17" t="str">
        <x:v>New</x:v>
      </x:c>
      <x:c r="G997" s="24"/>
      <x:c r="H997" s="24" t="str">
        <x:v>+13026002014</x:v>
      </x:c>
      <x:c r="I997" s="24" t="str">
        <x:v>https://www.delawarehomebuyers.com/?utm_source=google&amp;utm_medium=organic&amp;utm_campaign=gbp</x:v>
      </x:c>
      <x:c r="J997" s="16" t="str">
        <x:v>DE</x:v>
      </x:c>
      <x:c r="K997" s="16" t="str">
        <x:v>Wilmington</x:v>
      </x:c>
      <x:c r="L997" s="16" t="str">
        <x:v>Public property-business route; investor decision maker unconfirmed</x:v>
      </x:c>
      <x:c r="M997" s="16" t="str">
        <x:v>https://www.delawarehomebuyers.com/?utm_source=google&amp;utm_medium=organic&amp;utm_campaign=gbp</x:v>
      </x:c>
      <x:c r="N997" s="16" t="str">
        <x:v>$100K-$500K ticket not published / unconfirmed</x:v>
      </x:c>
      <x:c r="O997" s="20"/>
      <x:c r="P997" s="20"/>
      <x:c r="Q997" s="25" t="str">
        <x:v>No direct corporate-capital range established in checked source</x:v>
      </x:c>
      <x:c r="R997" s="25" t="str">
        <x:v>Property acquisition or investor activity makes this an operator-capital prospect for the signed trial. Confirm operating-company debt/equity appetite.</x:v>
      </x:c>
      <x:c r="S997" s="25"/>
      <x:c r="T997" s="25" t="str">
        <x:v>Ask the owner/investor whether they can allocate $100K-$500K to trial marketing and acquisitions, and confirm structure, timing and decision authority.</x:v>
      </x:c>
      <x:c r="U997" s="25" t="str">
        <x:v>https://www.cashhomebuyersdirectory.com/cash-home-buyers/delaware/wilmington</x:v>
      </x:c>
      <x:c r="V997" s="26" t="d">
        <x:v>2026-10-02T00:00:00.000Z</x:v>
      </x:c>
      <x:c r="W997" s="26" t="d">
        <x:v>2026-10-02T00:00:00.000Z</x:v>
      </x:c>
      <x:c r="X997" s="25" t="str">
        <x:v>CashHomeBuyersDirectory third-party business listing; first-party business activity not checked in this batch</x:v>
      </x:c>
      <x:c r="Y997" s="25"/>
      <x:c r="Z997" s="25" t="str">
        <x:v>https://www.cashhomebuyersdirectory.com/cash-home-buyers/delaware/wilmington</x:v>
      </x:c>
      <x:c r="AA997" s="25" t="str">
        <x:v>Public cash-home-buyer directory lists the business name, business phone/website where available and market. Operator role and corporate funding willingness require confirmation.</x:v>
      </x:c>
      <x:c r="AB997" s="3" t="str">
        <x:v>New public-source collection</x:v>
      </x:c>
      <x:c r="AC997" s="3" t="str">
        <x:v>unverified</x:v>
      </x:c>
      <x:c r="AD997" s="3" t="str">
        <x:v>Not contacted / unconfirmed</x:v>
      </x:c>
      <x:c r="AE997" s="3" t="str">
        <x:v>No</x:v>
      </x:c>
      <x:c r="AF997" s="3" t="str">
        <x:v>No</x:v>
      </x:c>
      <x:c r="AG997" s="3"/>
      <x:c r="AH997" s="3"/>
      <x:c r="AI997" s="18"/>
      <x:c r="AJ997" s="3" t="str">
        <x:v>CF2500-002FCD5DB296</x:v>
      </x:c>
      <x:c r="AK997" s="3" t="str">
        <x:v>real_estate_operator</x:v>
      </x:c>
      <x:c r="AL997" s="19" t="n">
        <x:v>100000</x:v>
      </x:c>
      <x:c r="AM997" s="19" t="n">
        <x:v>500000</x:v>
      </x:c>
      <x:c r="AN997" s="3" t="str">
        <x:v>https://www.cashhomebuyersdirectory.com/cash-home-buyers/delaware/wilmington</x:v>
      </x:c>
      <x:c r="AO997" s="3" t="str">
        <x:v>national_rest_directory_complete.jsonl</x:v>
      </x:c>
      <x:c r="AP997" s="19"/>
    </x:row>
    <x:row r="998" ht="36" customHeight="1">
      <x:c r="A998" s="23" t="n">
        <x:v>997</x:v>
      </x:c>
      <x:c r="B998" s="15" t="str">
        <x:v>Dennis Buys Houses – Cash Home Buyers in Metro Detroit</x:v>
      </x:c>
      <x:c r="C998" s="15"/>
      <x:c r="D998" s="15" t="str">
        <x:v>Property investor / home-buying operator</x:v>
      </x:c>
      <x:c r="E998" s="15" t="str">
        <x:v>Property investor / operator inquiry</x:v>
      </x:c>
      <x:c r="F998" s="17" t="str">
        <x:v>New</x:v>
      </x:c>
      <x:c r="G998" s="24"/>
      <x:c r="H998" s="24" t="str">
        <x:v>+17342245977</x:v>
      </x:c>
      <x:c r="I998" s="24" t="str">
        <x:v>https://dennisbuyshouses.com/</x:v>
      </x:c>
      <x:c r="J998" s="16" t="str">
        <x:v>MI</x:v>
      </x:c>
      <x:c r="K998" s="16"/>
      <x:c r="L998" s="16" t="str">
        <x:v>Public property-business route; investor decision maker unconfirmed</x:v>
      </x:c>
      <x:c r="M998" s="16" t="str">
        <x:v>https://dennisbuyshouses.com/</x:v>
      </x:c>
      <x:c r="N998" s="16" t="str">
        <x:v>$100K-$500K ticket not published / unconfirmed</x:v>
      </x:c>
      <x:c r="O998" s="20"/>
      <x:c r="P998" s="20"/>
      <x:c r="Q998" s="25" t="str">
        <x:v>No direct corporate-capital range established in checked source</x:v>
      </x:c>
      <x:c r="R998" s="25" t="str">
        <x:v>Property acquisition or investor activity makes this an operator-capital prospect for the signed trial. Confirm operating-company debt/equity appetite.</x:v>
      </x:c>
      <x:c r="S998" s="25"/>
      <x:c r="T998" s="25" t="str">
        <x:v>Ask the owner/investor whether they can allocate $100K-$500K to trial marketing and acquisitions, and confirm structure, timing and decision authority.</x:v>
      </x:c>
      <x:c r="U998" s="25" t="str">
        <x:v>https://www.cashhomebuyersdirectory.com/cash-home-buyers/michigan/lansing</x:v>
      </x:c>
      <x:c r="V998" s="26" t="d">
        <x:v>2026-10-02T00:00:00.000Z</x:v>
      </x:c>
      <x:c r="W998" s="26" t="d">
        <x:v>2026-10-02T00:00:00.000Z</x:v>
      </x:c>
      <x:c r="X998" s="25" t="str">
        <x:v>CashHomeBuyersDirectory third-party business listing; first-party business activity not checked in this batch</x:v>
      </x:c>
      <x:c r="Y998" s="25"/>
      <x:c r="Z998" s="25" t="str">
        <x:v>https://www.cashhomebuyersdirectory.com/cash-home-buyers/michigan/lansing</x:v>
      </x:c>
      <x:c r="AA998" s="25" t="str">
        <x:v>Public cash-home-buyer directory lists the business name, business phone/website where available and market. Operator role and corporate funding willingness require confirmation.</x:v>
      </x:c>
      <x:c r="AB998" s="3" t="str">
        <x:v>New public-source collection</x:v>
      </x:c>
      <x:c r="AC998" s="3" t="str">
        <x:v>unverified</x:v>
      </x:c>
      <x:c r="AD998" s="3" t="str">
        <x:v>Not contacted / unconfirmed</x:v>
      </x:c>
      <x:c r="AE998" s="3" t="str">
        <x:v>No</x:v>
      </x:c>
      <x:c r="AF998" s="3" t="str">
        <x:v>No</x:v>
      </x:c>
      <x:c r="AG998" s="3"/>
      <x:c r="AH998" s="3"/>
      <x:c r="AI998" s="18"/>
      <x:c r="AJ998" s="3" t="str">
        <x:v>CF2500-271B64A25D43</x:v>
      </x:c>
      <x:c r="AK998" s="3" t="str">
        <x:v>real_estate_operator</x:v>
      </x:c>
      <x:c r="AL998" s="19" t="n">
        <x:v>100000</x:v>
      </x:c>
      <x:c r="AM998" s="19" t="n">
        <x:v>500000</x:v>
      </x:c>
      <x:c r="AN998" s="3" t="str">
        <x:v>https://www.cashhomebuyersdirectory.com/cash-home-buyers/michigan/lansing</x:v>
      </x:c>
      <x:c r="AO998" s="3" t="str">
        <x:v>national_rest_directory_complete.jsonl</x:v>
      </x:c>
      <x:c r="AP998" s="19"/>
    </x:row>
    <x:row r="999" ht="36" customHeight="1">
      <x:c r="A999" s="23" t="n">
        <x:v>998</x:v>
      </x:c>
      <x:c r="B999" s="15" t="str">
        <x:v>Des Moines Home Buyers, LLC</x:v>
      </x:c>
      <x:c r="C999" s="15"/>
      <x:c r="D999" s="15" t="str">
        <x:v>Property investor / home-buying operator</x:v>
      </x:c>
      <x:c r="E999" s="15" t="str">
        <x:v>Property investor / operator inquiry</x:v>
      </x:c>
      <x:c r="F999" s="17" t="str">
        <x:v>New</x:v>
      </x:c>
      <x:c r="G999" s="24"/>
      <x:c r="H999" s="24" t="str">
        <x:v>+15153444341</x:v>
      </x:c>
      <x:c r="I999" s="24" t="str">
        <x:v>https://desmoineshomebuyers.net/?utm_source=google&amp;utm_medium=organic&amp;utm_campaign=gbp</x:v>
      </x:c>
      <x:c r="J999" s="16" t="str">
        <x:v>IA</x:v>
      </x:c>
      <x:c r="K999" s="16" t="str">
        <x:v>Des Moines</x:v>
      </x:c>
      <x:c r="L999" s="16" t="str">
        <x:v>Public property-business route; investor decision maker unconfirmed</x:v>
      </x:c>
      <x:c r="M999" s="16" t="str">
        <x:v>https://desmoineshomebuyers.net/?utm_source=google&amp;utm_medium=organic&amp;utm_campaign=gbp</x:v>
      </x:c>
      <x:c r="N999" s="16" t="str">
        <x:v>$100K-$500K ticket not published / unconfirmed</x:v>
      </x:c>
      <x:c r="O999" s="20"/>
      <x:c r="P999" s="20"/>
      <x:c r="Q999" s="25" t="str">
        <x:v>No direct corporate-capital range established in checked source</x:v>
      </x:c>
      <x:c r="R999" s="25" t="str">
        <x:v>Property acquisition or investor activity makes this an operator-capital prospect for the signed trial. Confirm operating-company debt/equity appetite.</x:v>
      </x:c>
      <x:c r="S999" s="25"/>
      <x:c r="T999" s="25" t="str">
        <x:v>Ask the owner/investor whether they can allocate $100K-$500K to trial marketing and acquisitions, and confirm structure, timing and decision authority.</x:v>
      </x:c>
      <x:c r="U999" s="25" t="str">
        <x:v>https://www.cashhomebuyersdirectory.com/cash-home-buyers/iowa/des-moines</x:v>
      </x:c>
      <x:c r="V999" s="26" t="d">
        <x:v>2026-10-02T00:00:00.000Z</x:v>
      </x:c>
      <x:c r="W999" s="26" t="d">
        <x:v>2026-10-02T00:00:00.000Z</x:v>
      </x:c>
      <x:c r="X999" s="25" t="str">
        <x:v>CashHomeBuyersDirectory third-party business listing; first-party business activity not checked in this batch</x:v>
      </x:c>
      <x:c r="Y999" s="25"/>
      <x:c r="Z999" s="25" t="str">
        <x:v>https://www.cashhomebuyersdirectory.com/cash-home-buyers/iowa/des-moines</x:v>
      </x:c>
      <x:c r="AA999" s="25" t="str">
        <x:v>Public cash-home-buyer directory lists the business name, business phone/website where available and market. Operator role and corporate funding willingness require confirmation.</x:v>
      </x:c>
      <x:c r="AB999" s="3" t="str">
        <x:v>New public-source collection</x:v>
      </x:c>
      <x:c r="AC999" s="3" t="str">
        <x:v>unverified</x:v>
      </x:c>
      <x:c r="AD999" s="3" t="str">
        <x:v>Not contacted / unconfirmed</x:v>
      </x:c>
      <x:c r="AE999" s="3" t="str">
        <x:v>No</x:v>
      </x:c>
      <x:c r="AF999" s="3" t="str">
        <x:v>No</x:v>
      </x:c>
      <x:c r="AG999" s="3"/>
      <x:c r="AH999" s="3"/>
      <x:c r="AI999" s="18"/>
      <x:c r="AJ999" s="3" t="str">
        <x:v>CF2500-F6BA8EE24C58</x:v>
      </x:c>
      <x:c r="AK999" s="3" t="str">
        <x:v>real_estate_operator</x:v>
      </x:c>
      <x:c r="AL999" s="19" t="n">
        <x:v>100000</x:v>
      </x:c>
      <x:c r="AM999" s="19" t="n">
        <x:v>500000</x:v>
      </x:c>
      <x:c r="AN999" s="3" t="str">
        <x:v>https://www.cashhomebuyersdirectory.com/cash-home-buyers/iowa/des-moines</x:v>
      </x:c>
      <x:c r="AO999" s="3" t="str">
        <x:v>national_rest_directory_complete.jsonl</x:v>
      </x:c>
      <x:c r="AP999" s="19"/>
    </x:row>
    <x:row r="1000" ht="36" customHeight="1">
      <x:c r="A1000" s="23" t="n">
        <x:v>999</x:v>
      </x:c>
      <x:c r="B1000" s="15" t="str">
        <x:v>Detroit Cash For Homes</x:v>
      </x:c>
      <x:c r="C1000" s="15"/>
      <x:c r="D1000" s="15" t="str">
        <x:v>Property investor / home-buying operator</x:v>
      </x:c>
      <x:c r="E1000" s="15" t="str">
        <x:v>Property investor / operator inquiry</x:v>
      </x:c>
      <x:c r="F1000" s="17" t="str">
        <x:v>New</x:v>
      </x:c>
      <x:c r="G1000" s="24"/>
      <x:c r="H1000" s="24" t="str">
        <x:v>+18777859801</x:v>
      </x:c>
      <x:c r="I1000" s="24" t="str">
        <x:v>http://www.detroitcashforhomes.com/</x:v>
      </x:c>
      <x:c r="J1000" s="16" t="str">
        <x:v>MI</x:v>
      </x:c>
      <x:c r="K1000" s="16" t="str">
        <x:v>Detroit</x:v>
      </x:c>
      <x:c r="L1000" s="16" t="str">
        <x:v>Public property-business route; investor decision maker unconfirmed</x:v>
      </x:c>
      <x:c r="M1000" s="16" t="str">
        <x:v>http://www.detroitcashforhomes.com/</x:v>
      </x:c>
      <x:c r="N1000" s="16" t="str">
        <x:v>$100K-$500K ticket not published / unconfirmed</x:v>
      </x:c>
      <x:c r="O1000" s="20"/>
      <x:c r="P1000" s="20"/>
      <x:c r="Q1000" s="25" t="str">
        <x:v>No direct corporate-capital range established in checked source</x:v>
      </x:c>
      <x:c r="R1000" s="25" t="str">
        <x:v>Property acquisition or investor activity makes this an operator-capital prospect for the signed trial. Confirm operating-company debt/equity appetite.</x:v>
      </x:c>
      <x:c r="S1000" s="25"/>
      <x:c r="T1000" s="25" t="str">
        <x:v>Ask the owner/investor whether they can allocate $100K-$500K to trial marketing and acquisitions, and confirm structure, timing and decision authority.</x:v>
      </x:c>
      <x:c r="U1000" s="25" t="str">
        <x:v>https://www.cashhomebuyersdirectory.com/cash-home-buyers/michigan/detroit</x:v>
      </x:c>
      <x:c r="V1000" s="26" t="d">
        <x:v>2026-10-02T00:00:00.000Z</x:v>
      </x:c>
      <x:c r="W1000" s="26" t="d">
        <x:v>2026-10-02T00:00:00.000Z</x:v>
      </x:c>
      <x:c r="X1000" s="25" t="str">
        <x:v>CashHomeBuyersDirectory third-party business listing; first-party business activity not checked in this batch</x:v>
      </x:c>
      <x:c r="Y1000" s="25"/>
      <x:c r="Z1000" s="25" t="str">
        <x:v>https://www.cashhomebuyersdirectory.com/cash-home-buyers/michigan/detroit</x:v>
      </x:c>
      <x:c r="AA1000" s="25" t="str">
        <x:v>Public cash-home-buyer directory lists the business name, business phone/website where available and market. Operator role and corporate funding willingness require confirmation.</x:v>
      </x:c>
      <x:c r="AB1000" s="3" t="str">
        <x:v>New public-source collection</x:v>
      </x:c>
      <x:c r="AC1000" s="3" t="str">
        <x:v>unverified</x:v>
      </x:c>
      <x:c r="AD1000" s="3" t="str">
        <x:v>Not contacted / unconfirmed</x:v>
      </x:c>
      <x:c r="AE1000" s="3" t="str">
        <x:v>No</x:v>
      </x:c>
      <x:c r="AF1000" s="3" t="str">
        <x:v>No</x:v>
      </x:c>
      <x:c r="AG1000" s="3"/>
      <x:c r="AH1000" s="3"/>
      <x:c r="AI1000" s="18"/>
      <x:c r="AJ1000" s="3" t="str">
        <x:v>CF2500-1924356DD2A9</x:v>
      </x:c>
      <x:c r="AK1000" s="3" t="str">
        <x:v>real_estate_operator</x:v>
      </x:c>
      <x:c r="AL1000" s="19" t="n">
        <x:v>100000</x:v>
      </x:c>
      <x:c r="AM1000" s="19" t="n">
        <x:v>500000</x:v>
      </x:c>
      <x:c r="AN1000" s="3" t="str">
        <x:v>https://www.cashhomebuyersdirectory.com/cash-home-buyers/michigan/detroit</x:v>
      </x:c>
      <x:c r="AO1000" s="3" t="str">
        <x:v>national_rest_directory_complete.jsonl</x:v>
      </x:c>
      <x:c r="AP1000" s="19"/>
    </x:row>
    <x:row r="1001" ht="36" customHeight="1">
      <x:c r="A1001" s="23" t="n">
        <x:v>1000</x:v>
      </x:c>
      <x:c r="B1001" s="15" t="str">
        <x:v>Direct Home Buyers</x:v>
      </x:c>
      <x:c r="C1001" s="15"/>
      <x:c r="D1001" s="15" t="str">
        <x:v>Property investor / home-buying operator</x:v>
      </x:c>
      <x:c r="E1001" s="15" t="str">
        <x:v>Property investor / operator inquiry</x:v>
      </x:c>
      <x:c r="F1001" s="17" t="str">
        <x:v>New</x:v>
      </x:c>
      <x:c r="G1001" s="24"/>
      <x:c r="H1001" s="24" t="str">
        <x:v>+15595204767</x:v>
      </x:c>
      <x:c r="I1001" s="24" t="str">
        <x:v>https://www.mydirecthomebuyers.com/</x:v>
      </x:c>
      <x:c r="J1001" s="16" t="str">
        <x:v>CA</x:v>
      </x:c>
      <x:c r="K1001" s="16" t="str">
        <x:v>Fresno</x:v>
      </x:c>
      <x:c r="L1001" s="16" t="str">
        <x:v>Public property-business route; investor decision maker unconfirmed</x:v>
      </x:c>
      <x:c r="M1001" s="16" t="str">
        <x:v>https://www.mydirecthomebuyers.com/</x:v>
      </x:c>
      <x:c r="N1001" s="16" t="str">
        <x:v>$100K-$500K ticket not published / unconfirmed</x:v>
      </x:c>
      <x:c r="O1001" s="20"/>
      <x:c r="P1001" s="20"/>
      <x:c r="Q1001" s="25" t="str">
        <x:v>No direct corporate-capital range established in checked source</x:v>
      </x:c>
      <x:c r="R1001" s="25" t="str">
        <x:v>Property acquisition or investor activity makes this an operator-capital prospect for the signed trial. Confirm operating-company debt/equity appetite.</x:v>
      </x:c>
      <x:c r="S1001" s="25"/>
      <x:c r="T1001" s="25" t="str">
        <x:v>Ask the owner/investor whether they can allocate $100K-$500K to trial marketing and acquisitions, and confirm structure, timing and decision authority.</x:v>
      </x:c>
      <x:c r="U1001" s="25" t="str">
        <x:v>https://www.cashhomebuyersdirectory.com/cash-home-buyers/california/fresno</x:v>
      </x:c>
      <x:c r="V1001" s="26" t="d">
        <x:v>2026-10-02T00:00:00.000Z</x:v>
      </x:c>
      <x:c r="W1001" s="26" t="d">
        <x:v>2026-10-02T00:00:00.000Z</x:v>
      </x:c>
      <x:c r="X1001" s="25" t="str">
        <x:v>CashHomeBuyersDirectory third-party business listing; first-party business activity not checked in this batch</x:v>
      </x:c>
      <x:c r="Y1001" s="25"/>
      <x:c r="Z1001" s="25" t="str">
        <x:v>https://www.cashhomebuyersdirectory.com/cash-home-buyers/california/fresno</x:v>
      </x:c>
      <x:c r="AA1001" s="25" t="str">
        <x:v>Public cash-home-buyer directory lists the business name, business phone/website where available and market. Operator role and corporate funding willingness require confirmation.</x:v>
      </x:c>
      <x:c r="AB1001" s="3" t="str">
        <x:v>New public-source collection</x:v>
      </x:c>
      <x:c r="AC1001" s="3" t="str">
        <x:v>unverified</x:v>
      </x:c>
      <x:c r="AD1001" s="3" t="str">
        <x:v>Not contacted / unconfirmed</x:v>
      </x:c>
      <x:c r="AE1001" s="3" t="str">
        <x:v>No</x:v>
      </x:c>
      <x:c r="AF1001" s="3" t="str">
        <x:v>No</x:v>
      </x:c>
      <x:c r="AG1001" s="3"/>
      <x:c r="AH1001" s="3"/>
      <x:c r="AI1001" s="18"/>
      <x:c r="AJ1001" s="3" t="str">
        <x:v>CF2500-A2DE6A154473</x:v>
      </x:c>
      <x:c r="AK1001" s="3" t="str">
        <x:v>real_estate_operator</x:v>
      </x:c>
      <x:c r="AL1001" s="19" t="n">
        <x:v>100000</x:v>
      </x:c>
      <x:c r="AM1001" s="19" t="n">
        <x:v>500000</x:v>
      </x:c>
      <x:c r="AN1001" s="3" t="str">
        <x:v>https://www.cashhomebuyersdirectory.com/cash-home-buyers/california/fresno</x:v>
      </x:c>
      <x:c r="AO1001" s="3" t="str">
        <x:v>national_rest_directory_complete.jsonl</x:v>
      </x:c>
      <x:c r="AP1001" s="19"/>
    </x:row>
    <x:row r="1002" ht="36" customHeight="1">
      <x:c r="A1002" s="23" t="n">
        <x:v>1001</x:v>
      </x:c>
      <x:c r="B1002" s="15" t="str">
        <x:v>Direct MD Cash Home Buyers</x:v>
      </x:c>
      <x:c r="C1002" s="15"/>
      <x:c r="D1002" s="15" t="str">
        <x:v>Property investor / home-buying operator</x:v>
      </x:c>
      <x:c r="E1002" s="15" t="str">
        <x:v>Property investor / operator inquiry</x:v>
      </x:c>
      <x:c r="F1002" s="17" t="str">
        <x:v>New</x:v>
      </x:c>
      <x:c r="G1002" s="24"/>
      <x:c r="H1002" s="24" t="str">
        <x:v>+14433917080</x:v>
      </x:c>
      <x:c r="I1002" s="24" t="str">
        <x:v>https://directmdcashbuyers.com/</x:v>
      </x:c>
      <x:c r="J1002" s="16" t="str">
        <x:v>MD</x:v>
      </x:c>
      <x:c r="K1002" s="16" t="str">
        <x:v>Lutherville</x:v>
      </x:c>
      <x:c r="L1002" s="16" t="str">
        <x:v>Public property-business route; investor decision maker unconfirmed</x:v>
      </x:c>
      <x:c r="M1002" s="16" t="str">
        <x:v>https://directmdcashbuyers.com/</x:v>
      </x:c>
      <x:c r="N1002" s="16" t="str">
        <x:v>$100K-$500K ticket not published / unconfirmed</x:v>
      </x:c>
      <x:c r="O1002" s="20"/>
      <x:c r="P1002" s="20"/>
      <x:c r="Q1002" s="25" t="str">
        <x:v>No direct corporate-capital range established in checked source</x:v>
      </x:c>
      <x:c r="R1002" s="25" t="str">
        <x:v>Property acquisition or investor activity makes this an operator-capital prospect for the signed trial. Confirm operating-company debt/equity appetite.</x:v>
      </x:c>
      <x:c r="S1002" s="25"/>
      <x:c r="T1002" s="25" t="str">
        <x:v>Ask the owner/investor whether they can allocate $100K-$500K to trial marketing and acquisitions, and confirm structure, timing and decision authority.</x:v>
      </x:c>
      <x:c r="U1002" s="25" t="str">
        <x:v>https://www.cashhomebuyersdirectory.com/cash-home-buyers/maryland/lutherville</x:v>
      </x:c>
      <x:c r="V1002" s="26" t="d">
        <x:v>2026-10-02T00:00:00.000Z</x:v>
      </x:c>
      <x:c r="W1002" s="26" t="d">
        <x:v>2026-10-02T00:00:00.000Z</x:v>
      </x:c>
      <x:c r="X1002" s="25" t="str">
        <x:v>CashHomeBuyersDirectory third-party business listing; first-party business activity not checked in this batch</x:v>
      </x:c>
      <x:c r="Y1002" s="25"/>
      <x:c r="Z1002" s="25" t="str">
        <x:v>https://www.cashhomebuyersdirectory.com/cash-home-buyers/maryland/lutherville</x:v>
      </x:c>
      <x:c r="AA1002" s="25" t="str">
        <x:v>Public cash-home-buyer directory lists the business name, business phone/website where available and market. Operator role and corporate funding willingness require confirmation.</x:v>
      </x:c>
      <x:c r="AB1002" s="3" t="str">
        <x:v>New public-source collection</x:v>
      </x:c>
      <x:c r="AC1002" s="3" t="str">
        <x:v>unverified</x:v>
      </x:c>
      <x:c r="AD1002" s="3" t="str">
        <x:v>Not contacted / unconfirmed</x:v>
      </x:c>
      <x:c r="AE1002" s="3" t="str">
        <x:v>No</x:v>
      </x:c>
      <x:c r="AF1002" s="3" t="str">
        <x:v>No</x:v>
      </x:c>
      <x:c r="AG1002" s="3"/>
      <x:c r="AH1002" s="3"/>
      <x:c r="AI1002" s="18"/>
      <x:c r="AJ1002" s="3" t="str">
        <x:v>CF2500-58B2CFBCFA10</x:v>
      </x:c>
      <x:c r="AK1002" s="3" t="str">
        <x:v>real_estate_operator</x:v>
      </x:c>
      <x:c r="AL1002" s="19" t="n">
        <x:v>100000</x:v>
      </x:c>
      <x:c r="AM1002" s="19" t="n">
        <x:v>500000</x:v>
      </x:c>
      <x:c r="AN1002" s="3" t="str">
        <x:v>https://www.cashhomebuyersdirectory.com/cash-home-buyers/maryland/lutherville</x:v>
      </x:c>
      <x:c r="AO1002" s="3" t="str">
        <x:v>national_rest_directory_complete.jsonl</x:v>
      </x:c>
      <x:c r="AP1002" s="19"/>
    </x:row>
    <x:row r="1003" ht="36" customHeight="1">
      <x:c r="A1003" s="23" t="n">
        <x:v>1002</x:v>
      </x:c>
      <x:c r="B1003" s="15" t="str">
        <x:v>DMV Premier Properties: Sell Your Home Fast for Cash</x:v>
      </x:c>
      <x:c r="C1003" s="15"/>
      <x:c r="D1003" s="15" t="str">
        <x:v>Property investor / home-buying operator</x:v>
      </x:c>
      <x:c r="E1003" s="15" t="str">
        <x:v>Property investor / operator inquiry</x:v>
      </x:c>
      <x:c r="F1003" s="17" t="str">
        <x:v>New</x:v>
      </x:c>
      <x:c r="G1003" s="24"/>
      <x:c r="H1003" s="24" t="str">
        <x:v>+14107010102</x:v>
      </x:c>
      <x:c r="I1003" s="24" t="str">
        <x:v>https://buysellurhomes.com/</x:v>
      </x:c>
      <x:c r="J1003" s="16" t="str">
        <x:v>MD</x:v>
      </x:c>
      <x:c r="K1003" s="16" t="str">
        <x:v>Brooklyn Park</x:v>
      </x:c>
      <x:c r="L1003" s="16" t="str">
        <x:v>Public property-business route; investor decision maker unconfirmed</x:v>
      </x:c>
      <x:c r="M1003" s="16" t="str">
        <x:v>https://buysellurhomes.com/</x:v>
      </x:c>
      <x:c r="N1003" s="16" t="str">
        <x:v>$100K-$500K ticket not published / unconfirmed</x:v>
      </x:c>
      <x:c r="O1003" s="20"/>
      <x:c r="P1003" s="20"/>
      <x:c r="Q1003" s="25" t="str">
        <x:v>No direct corporate-capital range established in checked source</x:v>
      </x:c>
      <x:c r="R1003" s="25" t="str">
        <x:v>Property acquisition or investor activity makes this an operator-capital prospect for the signed trial. Confirm operating-company debt/equity appetite.</x:v>
      </x:c>
      <x:c r="S1003" s="25"/>
      <x:c r="T1003" s="25" t="str">
        <x:v>Ask the owner/investor whether they can allocate $100K-$500K to trial marketing and acquisitions, and confirm structure, timing and decision authority.</x:v>
      </x:c>
      <x:c r="U1003" s="25" t="str">
        <x:v>https://www.cashhomebuyersdirectory.com/cash-home-buyers/maryland/brooklyn-park</x:v>
      </x:c>
      <x:c r="V1003" s="26" t="d">
        <x:v>2026-10-02T00:00:00.000Z</x:v>
      </x:c>
      <x:c r="W1003" s="26" t="d">
        <x:v>2026-10-02T00:00:00.000Z</x:v>
      </x:c>
      <x:c r="X1003" s="25" t="str">
        <x:v>CashHomeBuyersDirectory third-party business listing; first-party business activity not checked in this batch</x:v>
      </x:c>
      <x:c r="Y1003" s="25"/>
      <x:c r="Z1003" s="25" t="str">
        <x:v>https://www.cashhomebuyersdirectory.com/cash-home-buyers/maryland/brooklyn-park</x:v>
      </x:c>
      <x:c r="AA1003" s="25" t="str">
        <x:v>Public cash-home-buyer directory lists the business name, business phone/website where available and market. Operator role and corporate funding willingness require confirmation.</x:v>
      </x:c>
      <x:c r="AB1003" s="3" t="str">
        <x:v>New public-source collection</x:v>
      </x:c>
      <x:c r="AC1003" s="3" t="str">
        <x:v>unverified</x:v>
      </x:c>
      <x:c r="AD1003" s="3" t="str">
        <x:v>Not contacted / unconfirmed</x:v>
      </x:c>
      <x:c r="AE1003" s="3" t="str">
        <x:v>No</x:v>
      </x:c>
      <x:c r="AF1003" s="3" t="str">
        <x:v>No</x:v>
      </x:c>
      <x:c r="AG1003" s="3"/>
      <x:c r="AH1003" s="3"/>
      <x:c r="AI1003" s="18"/>
      <x:c r="AJ1003" s="3" t="str">
        <x:v>CF2500-1945DACBB008</x:v>
      </x:c>
      <x:c r="AK1003" s="3" t="str">
        <x:v>real_estate_operator</x:v>
      </x:c>
      <x:c r="AL1003" s="19" t="n">
        <x:v>100000</x:v>
      </x:c>
      <x:c r="AM1003" s="19" t="n">
        <x:v>500000</x:v>
      </x:c>
      <x:c r="AN1003" s="3" t="str">
        <x:v>https://www.cashhomebuyersdirectory.com/cash-home-buyers/maryland/brooklyn-park</x:v>
      </x:c>
      <x:c r="AO1003" s="3" t="str">
        <x:v>national_rest_directory_complete.jsonl</x:v>
      </x:c>
      <x:c r="AP1003" s="19"/>
    </x:row>
    <x:row r="1004" ht="36" customHeight="1">
      <x:c r="A1004" s="23" t="n">
        <x:v>1003</x:v>
      </x:c>
      <x:c r="B1004" s="15" t="str">
        <x:v>Dreams Home Buyers of America - Maryland #1 We Buy Houses Company</x:v>
      </x:c>
      <x:c r="C1004" s="15"/>
      <x:c r="D1004" s="15" t="str">
        <x:v>Property investor / home-buying operator</x:v>
      </x:c>
      <x:c r="E1004" s="15" t="str">
        <x:v>Property investor / operator inquiry</x:v>
      </x:c>
      <x:c r="F1004" s="17" t="str">
        <x:v>New</x:v>
      </x:c>
      <x:c r="G1004" s="24"/>
      <x:c r="H1004" s="24" t="str">
        <x:v>+12404779600</x:v>
      </x:c>
      <x:c r="I1004" s="24" t="str">
        <x:v>http://sevenquickdaystosold.com/</x:v>
      </x:c>
      <x:c r="J1004" s="16" t="str">
        <x:v>MD</x:v>
      </x:c>
      <x:c r="K1004" s="16" t="str">
        <x:v>Gaithersburg</x:v>
      </x:c>
      <x:c r="L1004" s="16" t="str">
        <x:v>Public property-business route; investor decision maker unconfirmed</x:v>
      </x:c>
      <x:c r="M1004" s="16" t="str">
        <x:v>http://sevenquickdaystosold.com/</x:v>
      </x:c>
      <x:c r="N1004" s="16" t="str">
        <x:v>$100K-$500K ticket not published / unconfirmed</x:v>
      </x:c>
      <x:c r="O1004" s="20"/>
      <x:c r="P1004" s="20"/>
      <x:c r="Q1004" s="25" t="str">
        <x:v>No direct corporate-capital range established in checked source</x:v>
      </x:c>
      <x:c r="R1004" s="25" t="str">
        <x:v>Property acquisition or investor activity makes this an operator-capital prospect for the signed trial. Confirm operating-company debt/equity appetite.</x:v>
      </x:c>
      <x:c r="S1004" s="25"/>
      <x:c r="T1004" s="25" t="str">
        <x:v>Ask the owner/investor whether they can allocate $100K-$500K to trial marketing and acquisitions, and confirm structure, timing and decision authority.</x:v>
      </x:c>
      <x:c r="U1004" s="25" t="str">
        <x:v>https://www.cashhomebuyersdirectory.com/cash-home-buyers/maryland/gaithersburg</x:v>
      </x:c>
      <x:c r="V1004" s="26" t="d">
        <x:v>2026-10-02T00:00:00.000Z</x:v>
      </x:c>
      <x:c r="W1004" s="26" t="d">
        <x:v>2026-10-02T00:00:00.000Z</x:v>
      </x:c>
      <x:c r="X1004" s="25" t="str">
        <x:v>CashHomeBuyersDirectory third-party business listing; first-party business activity not checked in this batch</x:v>
      </x:c>
      <x:c r="Y1004" s="25"/>
      <x:c r="Z1004" s="25" t="str">
        <x:v>https://www.cashhomebuyersdirectory.com/cash-home-buyers/maryland/gaithersburg</x:v>
      </x:c>
      <x:c r="AA1004" s="25" t="str">
        <x:v>Public cash-home-buyer directory lists the business name, business phone/website where available and market. Operator role and corporate funding willingness require confirmation.</x:v>
      </x:c>
      <x:c r="AB1004" s="3" t="str">
        <x:v>New public-source collection</x:v>
      </x:c>
      <x:c r="AC1004" s="3" t="str">
        <x:v>unverified</x:v>
      </x:c>
      <x:c r="AD1004" s="3" t="str">
        <x:v>Not contacted / unconfirmed</x:v>
      </x:c>
      <x:c r="AE1004" s="3" t="str">
        <x:v>No</x:v>
      </x:c>
      <x:c r="AF1004" s="3" t="str">
        <x:v>No</x:v>
      </x:c>
      <x:c r="AG1004" s="3"/>
      <x:c r="AH1004" s="3"/>
      <x:c r="AI1004" s="18"/>
      <x:c r="AJ1004" s="3" t="str">
        <x:v>CF2500-79675DA45ADB</x:v>
      </x:c>
      <x:c r="AK1004" s="3" t="str">
        <x:v>real_estate_operator</x:v>
      </x:c>
      <x:c r="AL1004" s="19" t="n">
        <x:v>100000</x:v>
      </x:c>
      <x:c r="AM1004" s="19" t="n">
        <x:v>500000</x:v>
      </x:c>
      <x:c r="AN1004" s="3" t="str">
        <x:v>https://www.cashhomebuyersdirectory.com/cash-home-buyers/maryland/gaithersburg</x:v>
      </x:c>
      <x:c r="AO1004" s="3" t="str">
        <x:v>national_rest_directory_complete.jsonl</x:v>
      </x:c>
      <x:c r="AP1004" s="19"/>
    </x:row>
    <x:row r="1005" ht="36" customHeight="1">
      <x:c r="A1005" s="23" t="n">
        <x:v>1004</x:v>
      </x:c>
      <x:c r="B1005" s="15" t="str">
        <x:v>Driven Cash Homebuyers</x:v>
      </x:c>
      <x:c r="C1005" s="15"/>
      <x:c r="D1005" s="15" t="str">
        <x:v>Property investor / home-buying operator</x:v>
      </x:c>
      <x:c r="E1005" s="15" t="str">
        <x:v>Property investor / operator inquiry</x:v>
      </x:c>
      <x:c r="F1005" s="17" t="str">
        <x:v>New</x:v>
      </x:c>
      <x:c r="G1005" s="24"/>
      <x:c r="H1005" s="24" t="str">
        <x:v>+14013299440</x:v>
      </x:c>
      <x:c r="I1005" s="24" t="str">
        <x:v>https://www.drivencashhomebuyers.com/?utm_source=GMB&amp;medium=organic</x:v>
      </x:c>
      <x:c r="J1005" s="16" t="str">
        <x:v>RI</x:v>
      </x:c>
      <x:c r="K1005" s="16" t="str">
        <x:v>Providence</x:v>
      </x:c>
      <x:c r="L1005" s="16" t="str">
        <x:v>Public property-business route; investor decision maker unconfirmed</x:v>
      </x:c>
      <x:c r="M1005" s="16" t="str">
        <x:v>https://www.drivencashhomebuyers.com/?utm_source=GMB&amp;medium=organic</x:v>
      </x:c>
      <x:c r="N1005" s="16" t="str">
        <x:v>$100K-$500K ticket not published / unconfirmed</x:v>
      </x:c>
      <x:c r="O1005" s="20"/>
      <x:c r="P1005" s="20"/>
      <x:c r="Q1005" s="25" t="str">
        <x:v>No direct corporate-capital range established in checked source</x:v>
      </x:c>
      <x:c r="R1005" s="25" t="str">
        <x:v>Property acquisition or investor activity makes this an operator-capital prospect for the signed trial. Confirm operating-company debt/equity appetite.</x:v>
      </x:c>
      <x:c r="S1005" s="25"/>
      <x:c r="T1005" s="25" t="str">
        <x:v>Ask the owner/investor whether they can allocate $100K-$500K to trial marketing and acquisitions, and confirm structure, timing and decision authority.</x:v>
      </x:c>
      <x:c r="U1005" s="25" t="str">
        <x:v>https://www.cashhomebuyersdirectory.com/cash-home-buyers/rhode-island/providence</x:v>
      </x:c>
      <x:c r="V1005" s="26" t="d">
        <x:v>2026-10-02T00:00:00.000Z</x:v>
      </x:c>
      <x:c r="W1005" s="26" t="d">
        <x:v>2026-10-02T00:00:00.000Z</x:v>
      </x:c>
      <x:c r="X1005" s="25" t="str">
        <x:v>CashHomeBuyersDirectory third-party business listing; first-party business activity not checked in this batch</x:v>
      </x:c>
      <x:c r="Y1005" s="25"/>
      <x:c r="Z1005" s="25" t="str">
        <x:v>https://www.cashhomebuyersdirectory.com/cash-home-buyers/rhode-island/providence</x:v>
      </x:c>
      <x:c r="AA1005" s="25" t="str">
        <x:v>Public cash-home-buyer directory lists the business name, business phone/website where available and market. Operator role and corporate funding willingness require confirmation.</x:v>
      </x:c>
      <x:c r="AB1005" s="3" t="str">
        <x:v>New public-source collection</x:v>
      </x:c>
      <x:c r="AC1005" s="3" t="str">
        <x:v>unverified</x:v>
      </x:c>
      <x:c r="AD1005" s="3" t="str">
        <x:v>Not contacted / unconfirmed</x:v>
      </x:c>
      <x:c r="AE1005" s="3" t="str">
        <x:v>No</x:v>
      </x:c>
      <x:c r="AF1005" s="3" t="str">
        <x:v>No</x:v>
      </x:c>
      <x:c r="AG1005" s="3"/>
      <x:c r="AH1005" s="3"/>
      <x:c r="AI1005" s="18"/>
      <x:c r="AJ1005" s="3" t="str">
        <x:v>CF2500-0FDB00ED30EB</x:v>
      </x:c>
      <x:c r="AK1005" s="3" t="str">
        <x:v>real_estate_operator</x:v>
      </x:c>
      <x:c r="AL1005" s="19" t="n">
        <x:v>100000</x:v>
      </x:c>
      <x:c r="AM1005" s="19" t="n">
        <x:v>500000</x:v>
      </x:c>
      <x:c r="AN1005" s="3" t="str">
        <x:v>https://www.cashhomebuyersdirectory.com/cash-home-buyers/rhode-island/providence</x:v>
      </x:c>
      <x:c r="AO1005" s="3" t="str">
        <x:v>national_rest_directory_complete.jsonl</x:v>
      </x:c>
      <x:c r="AP1005" s="19"/>
    </x:row>
    <x:row r="1006" ht="36" customHeight="1">
      <x:c r="A1006" s="23" t="n">
        <x:v>1005</x:v>
      </x:c>
      <x:c r="B1006" s="15" t="str">
        <x:v>Eagle Cash Buyers | Sell My House Fast for Cash Columbus</x:v>
      </x:c>
      <x:c r="C1006" s="15"/>
      <x:c r="D1006" s="15" t="str">
        <x:v>Property investor / home-buying operator</x:v>
      </x:c>
      <x:c r="E1006" s="15" t="str">
        <x:v>Property investor / operator inquiry</x:v>
      </x:c>
      <x:c r="F1006" s="17" t="str">
        <x:v>New</x:v>
      </x:c>
      <x:c r="G1006" s="24"/>
      <x:c r="H1006" s="24" t="str">
        <x:v>+18333301625</x:v>
      </x:c>
      <x:c r="I1006" s="24" t="str">
        <x:v>https://www.eaglecashbuyers.com/</x:v>
      </x:c>
      <x:c r="J1006" s="16" t="str">
        <x:v>OH</x:v>
      </x:c>
      <x:c r="K1006" s="16" t="str">
        <x:v>Columbus</x:v>
      </x:c>
      <x:c r="L1006" s="16" t="str">
        <x:v>Public property-business route; investor decision maker unconfirmed</x:v>
      </x:c>
      <x:c r="M1006" s="16" t="str">
        <x:v>https://www.eaglecashbuyers.com/</x:v>
      </x:c>
      <x:c r="N1006" s="16" t="str">
        <x:v>$100K-$500K ticket not published / unconfirmed</x:v>
      </x:c>
      <x:c r="O1006" s="20"/>
      <x:c r="P1006" s="20"/>
      <x:c r="Q1006" s="25" t="str">
        <x:v>No direct corporate-capital range established in checked source</x:v>
      </x:c>
      <x:c r="R1006" s="25" t="str">
        <x:v>Property acquisition or investor activity makes this an operator-capital prospect for the signed trial. Confirm operating-company debt/equity appetite.</x:v>
      </x:c>
      <x:c r="S1006" s="25"/>
      <x:c r="T1006" s="25" t="str">
        <x:v>Ask the owner/investor whether they can allocate $100K-$500K to trial marketing and acquisitions, and confirm structure, timing and decision authority.</x:v>
      </x:c>
      <x:c r="U1006" s="25" t="str">
        <x:v>https://www.cashhomebuyersdirectory.com/cash-home-buyers/ohio/columbus</x:v>
      </x:c>
      <x:c r="V1006" s="26" t="d">
        <x:v>2026-10-02T00:00:00.000Z</x:v>
      </x:c>
      <x:c r="W1006" s="26" t="d">
        <x:v>2026-10-02T00:00:00.000Z</x:v>
      </x:c>
      <x:c r="X1006" s="25" t="str">
        <x:v>CashHomeBuyersDirectory third-party business listing; first-party business activity not checked in this batch</x:v>
      </x:c>
      <x:c r="Y1006" s="25"/>
      <x:c r="Z1006" s="25" t="str">
        <x:v>https://www.cashhomebuyersdirectory.com/cash-home-buyers/ohio/columbus</x:v>
      </x:c>
      <x:c r="AA1006" s="25" t="str">
        <x:v>Public cash-home-buyer directory lists the business name, business phone/website where available and market. Operator role and corporate funding willingness require confirmation.</x:v>
      </x:c>
      <x:c r="AB1006" s="3" t="str">
        <x:v>New public-source collection</x:v>
      </x:c>
      <x:c r="AC1006" s="3" t="str">
        <x:v>unverified</x:v>
      </x:c>
      <x:c r="AD1006" s="3" t="str">
        <x:v>Not contacted / unconfirmed</x:v>
      </x:c>
      <x:c r="AE1006" s="3" t="str">
        <x:v>No</x:v>
      </x:c>
      <x:c r="AF1006" s="3" t="str">
        <x:v>No</x:v>
      </x:c>
      <x:c r="AG1006" s="3"/>
      <x:c r="AH1006" s="3"/>
      <x:c r="AI1006" s="18"/>
      <x:c r="AJ1006" s="3" t="str">
        <x:v>CF2500-9543536EDDDB</x:v>
      </x:c>
      <x:c r="AK1006" s="3" t="str">
        <x:v>real_estate_operator</x:v>
      </x:c>
      <x:c r="AL1006" s="19" t="n">
        <x:v>100000</x:v>
      </x:c>
      <x:c r="AM1006" s="19" t="n">
        <x:v>500000</x:v>
      </x:c>
      <x:c r="AN1006" s="3" t="str">
        <x:v>https://www.cashhomebuyersdirectory.com/cash-home-buyers/ohio/columbus</x:v>
      </x:c>
      <x:c r="AO1006" s="3" t="str">
        <x:v>national_rest_directory_complete.jsonl</x:v>
      </x:c>
      <x:c r="AP1006" s="19"/>
    </x:row>
    <x:row r="1007" ht="36" customHeight="1">
      <x:c r="A1007" s="23" t="n">
        <x:v>1006</x:v>
      </x:c>
      <x:c r="B1007" s="15" t="str">
        <x:v>Eastgate Home Buyers</x:v>
      </x:c>
      <x:c r="C1007" s="15"/>
      <x:c r="D1007" s="15" t="str">
        <x:v>Property investor / home-buying operator</x:v>
      </x:c>
      <x:c r="E1007" s="15" t="str">
        <x:v>Property investor / operator inquiry</x:v>
      </x:c>
      <x:c r="F1007" s="17" t="str">
        <x:v>New</x:v>
      </x:c>
      <x:c r="G1007" s="24"/>
      <x:c r="H1007" s="24" t="str">
        <x:v>+12068406003</x:v>
      </x:c>
      <x:c r="I1007" s="24" t="str">
        <x:v>https://eastgatehomebuyers.com/</x:v>
      </x:c>
      <x:c r="J1007" s="16" t="str">
        <x:v>WA</x:v>
      </x:c>
      <x:c r="K1007" s="16"/>
      <x:c r="L1007" s="16" t="str">
        <x:v>Public property-business route; investor decision maker unconfirmed</x:v>
      </x:c>
      <x:c r="M1007" s="16" t="str">
        <x:v>https://eastgatehomebuyers.com/</x:v>
      </x:c>
      <x:c r="N1007" s="16" t="str">
        <x:v>$100K-$500K ticket not published / unconfirmed</x:v>
      </x:c>
      <x:c r="O1007" s="20"/>
      <x:c r="P1007" s="20"/>
      <x:c r="Q1007" s="25" t="str">
        <x:v>No direct corporate-capital range established in checked source</x:v>
      </x:c>
      <x:c r="R1007" s="25" t="str">
        <x:v>Property acquisition or investor activity makes this an operator-capital prospect for the signed trial. Confirm operating-company debt/equity appetite.</x:v>
      </x:c>
      <x:c r="S1007" s="25"/>
      <x:c r="T1007" s="25" t="str">
        <x:v>Ask the owner/investor whether they can allocate $100K-$500K to trial marketing and acquisitions, and confirm structure, timing and decision authority.</x:v>
      </x:c>
      <x:c r="U1007" s="25" t="str">
        <x:v>https://www.cashhomebuyersdirectory.com/cash-home-buyers/washington/seattle</x:v>
      </x:c>
      <x:c r="V1007" s="26" t="d">
        <x:v>2026-10-02T00:00:00.000Z</x:v>
      </x:c>
      <x:c r="W1007" s="26" t="d">
        <x:v>2026-10-02T00:00:00.000Z</x:v>
      </x:c>
      <x:c r="X1007" s="25" t="str">
        <x:v>CashHomeBuyersDirectory third-party business listing; first-party business activity not checked in this batch</x:v>
      </x:c>
      <x:c r="Y1007" s="25"/>
      <x:c r="Z1007" s="25" t="str">
        <x:v>https://www.cashhomebuyersdirectory.com/cash-home-buyers/washington/seattle</x:v>
      </x:c>
      <x:c r="AA1007" s="25" t="str">
        <x:v>Public cash-home-buyer directory lists the business name, business phone/website where available and market. Operator role and corporate funding willingness require confirmation.</x:v>
      </x:c>
      <x:c r="AB1007" s="3" t="str">
        <x:v>New public-source collection</x:v>
      </x:c>
      <x:c r="AC1007" s="3" t="str">
        <x:v>unverified</x:v>
      </x:c>
      <x:c r="AD1007" s="3" t="str">
        <x:v>Not contacted / unconfirmed</x:v>
      </x:c>
      <x:c r="AE1007" s="3" t="str">
        <x:v>No</x:v>
      </x:c>
      <x:c r="AF1007" s="3" t="str">
        <x:v>No</x:v>
      </x:c>
      <x:c r="AG1007" s="3"/>
      <x:c r="AH1007" s="3"/>
      <x:c r="AI1007" s="18"/>
      <x:c r="AJ1007" s="3" t="str">
        <x:v>CF2500-F57296199168</x:v>
      </x:c>
      <x:c r="AK1007" s="3" t="str">
        <x:v>real_estate_operator</x:v>
      </x:c>
      <x:c r="AL1007" s="19" t="n">
        <x:v>100000</x:v>
      </x:c>
      <x:c r="AM1007" s="19" t="n">
        <x:v>500000</x:v>
      </x:c>
      <x:c r="AN1007" s="3" t="str">
        <x:v>https://www.cashhomebuyersdirectory.com/cash-home-buyers/washington/seattle</x:v>
      </x:c>
      <x:c r="AO1007" s="3" t="str">
        <x:v>national_rest_directory_complete.jsonl</x:v>
      </x:c>
      <x:c r="AP1007" s="19"/>
    </x:row>
    <x:row r="1008" ht="36" customHeight="1">
      <x:c r="A1008" s="23" t="n">
        <x:v>1007</x:v>
      </x:c>
      <x:c r="B1008" s="15" t="str">
        <x:v>Easton Buys Houses – Sell My House Fast | Cash Home Buyers Columbus, Ohio | Real Estate investors in Ohio</x:v>
      </x:c>
      <x:c r="C1008" s="15"/>
      <x:c r="D1008" s="15" t="str">
        <x:v>Property investor / home-buying operator</x:v>
      </x:c>
      <x:c r="E1008" s="15" t="str">
        <x:v>Property investor / operator inquiry</x:v>
      </x:c>
      <x:c r="F1008" s="17" t="str">
        <x:v>New</x:v>
      </x:c>
      <x:c r="G1008" s="24"/>
      <x:c r="H1008" s="24" t="str">
        <x:v>+16145044360</x:v>
      </x:c>
      <x:c r="I1008" s="24" t="str">
        <x:v>https://www.eastonbuyshouses.com/</x:v>
      </x:c>
      <x:c r="J1008" s="16" t="str">
        <x:v>OH</x:v>
      </x:c>
      <x:c r="K1008" s="16" t="str">
        <x:v>Columbus</x:v>
      </x:c>
      <x:c r="L1008" s="16" t="str">
        <x:v>Public property-business route; investor decision maker unconfirmed</x:v>
      </x:c>
      <x:c r="M1008" s="16" t="str">
        <x:v>https://www.eastonbuyshouses.com/</x:v>
      </x:c>
      <x:c r="N1008" s="16" t="str">
        <x:v>$100K-$500K ticket not published / unconfirmed</x:v>
      </x:c>
      <x:c r="O1008" s="20"/>
      <x:c r="P1008" s="20"/>
      <x:c r="Q1008" s="25" t="str">
        <x:v>No direct corporate-capital range established in checked source</x:v>
      </x:c>
      <x:c r="R1008" s="25" t="str">
        <x:v>Property acquisition or investor activity makes this an operator-capital prospect for the signed trial. Confirm operating-company debt/equity appetite.</x:v>
      </x:c>
      <x:c r="S1008" s="25"/>
      <x:c r="T1008" s="25" t="str">
        <x:v>Ask the owner/investor whether they can allocate $100K-$500K to trial marketing and acquisitions, and confirm structure, timing and decision authority.</x:v>
      </x:c>
      <x:c r="U1008" s="25" t="str">
        <x:v>https://www.cashhomebuyersdirectory.com/cash-home-buyers/ohio/columbus</x:v>
      </x:c>
      <x:c r="V1008" s="26" t="d">
        <x:v>2026-10-02T00:00:00.000Z</x:v>
      </x:c>
      <x:c r="W1008" s="26" t="d">
        <x:v>2026-10-02T00:00:00.000Z</x:v>
      </x:c>
      <x:c r="X1008" s="25" t="str">
        <x:v>CashHomeBuyersDirectory third-party business listing; first-party business activity not checked in this batch</x:v>
      </x:c>
      <x:c r="Y1008" s="25"/>
      <x:c r="Z1008" s="25" t="str">
        <x:v>https://www.cashhomebuyersdirectory.com/cash-home-buyers/ohio/columbus</x:v>
      </x:c>
      <x:c r="AA1008" s="25" t="str">
        <x:v>Public cash-home-buyer directory lists the business name, business phone/website where available and market. Operator role and corporate funding willingness require confirmation.</x:v>
      </x:c>
      <x:c r="AB1008" s="3" t="str">
        <x:v>New public-source collection</x:v>
      </x:c>
      <x:c r="AC1008" s="3" t="str">
        <x:v>unverified</x:v>
      </x:c>
      <x:c r="AD1008" s="3" t="str">
        <x:v>Not contacted / unconfirmed</x:v>
      </x:c>
      <x:c r="AE1008" s="3" t="str">
        <x:v>No</x:v>
      </x:c>
      <x:c r="AF1008" s="3" t="str">
        <x:v>No</x:v>
      </x:c>
      <x:c r="AG1008" s="3"/>
      <x:c r="AH1008" s="3"/>
      <x:c r="AI1008" s="18"/>
      <x:c r="AJ1008" s="3" t="str">
        <x:v>CF2500-CF9A22F920E6</x:v>
      </x:c>
      <x:c r="AK1008" s="3" t="str">
        <x:v>real_estate_operator</x:v>
      </x:c>
      <x:c r="AL1008" s="19" t="n">
        <x:v>100000</x:v>
      </x:c>
      <x:c r="AM1008" s="19" t="n">
        <x:v>500000</x:v>
      </x:c>
      <x:c r="AN1008" s="3" t="str">
        <x:v>https://www.cashhomebuyersdirectory.com/cash-home-buyers/ohio/columbus</x:v>
      </x:c>
      <x:c r="AO1008" s="3" t="str">
        <x:v>national_rest_directory_complete.jsonl</x:v>
      </x:c>
      <x:c r="AP1008" s="19"/>
    </x:row>
    <x:row r="1009" ht="36" customHeight="1">
      <x:c r="A1009" s="23" t="n">
        <x:v>1008</x:v>
      </x:c>
      <x:c r="B1009" s="15" t="str">
        <x:v>Easy House Buyers</x:v>
      </x:c>
      <x:c r="C1009" s="15"/>
      <x:c r="D1009" s="15" t="str">
        <x:v>Property investor / home-buying operator</x:v>
      </x:c>
      <x:c r="E1009" s="15" t="str">
        <x:v>Property investor / operator inquiry</x:v>
      </x:c>
      <x:c r="F1009" s="17" t="str">
        <x:v>New</x:v>
      </x:c>
      <x:c r="G1009" s="24"/>
      <x:c r="H1009" s="24" t="str">
        <x:v>+17174052500</x:v>
      </x:c>
      <x:c r="I1009" s="24" t="str">
        <x:v>http://www.easyhousebuyerspa.com/</x:v>
      </x:c>
      <x:c r="J1009" s="16" t="str">
        <x:v>PA</x:v>
      </x:c>
      <x:c r="K1009" s="16" t="str">
        <x:v>Lancaster</x:v>
      </x:c>
      <x:c r="L1009" s="16" t="str">
        <x:v>Public property-business route; investor decision maker unconfirmed</x:v>
      </x:c>
      <x:c r="M1009" s="16" t="str">
        <x:v>http://www.easyhousebuyerspa.com/</x:v>
      </x:c>
      <x:c r="N1009" s="16" t="str">
        <x:v>$100K-$500K ticket not published / unconfirmed</x:v>
      </x:c>
      <x:c r="O1009" s="20"/>
      <x:c r="P1009" s="20"/>
      <x:c r="Q1009" s="25" t="str">
        <x:v>No direct corporate-capital range established in checked source</x:v>
      </x:c>
      <x:c r="R1009" s="25" t="str">
        <x:v>Property acquisition or investor activity makes this an operator-capital prospect for the signed trial. Confirm operating-company debt/equity appetite.</x:v>
      </x:c>
      <x:c r="S1009" s="25"/>
      <x:c r="T1009" s="25" t="str">
        <x:v>Ask the owner/investor whether they can allocate $100K-$500K to trial marketing and acquisitions, and confirm structure, timing and decision authority.</x:v>
      </x:c>
      <x:c r="U1009" s="25" t="str">
        <x:v>https://www.cashhomebuyersdirectory.com/cash-home-buyers/pennsylvania/lancaster</x:v>
      </x:c>
      <x:c r="V1009" s="26" t="d">
        <x:v>2026-10-02T00:00:00.000Z</x:v>
      </x:c>
      <x:c r="W1009" s="26" t="d">
        <x:v>2026-10-02T00:00:00.000Z</x:v>
      </x:c>
      <x:c r="X1009" s="25" t="str">
        <x:v>CashHomeBuyersDirectory third-party business listing; first-party business activity not checked in this batch</x:v>
      </x:c>
      <x:c r="Y1009" s="25"/>
      <x:c r="Z1009" s="25" t="str">
        <x:v>https://www.cashhomebuyersdirectory.com/cash-home-buyers/pennsylvania/lancaster</x:v>
      </x:c>
      <x:c r="AA1009" s="25" t="str">
        <x:v>Public cash-home-buyer directory lists the business name, business phone/website where available and market. Operator role and corporate funding willingness require confirmation.</x:v>
      </x:c>
      <x:c r="AB1009" s="3" t="str">
        <x:v>New public-source collection</x:v>
      </x:c>
      <x:c r="AC1009" s="3" t="str">
        <x:v>unverified</x:v>
      </x:c>
      <x:c r="AD1009" s="3" t="str">
        <x:v>Not contacted / unconfirmed</x:v>
      </x:c>
      <x:c r="AE1009" s="3" t="str">
        <x:v>No</x:v>
      </x:c>
      <x:c r="AF1009" s="3" t="str">
        <x:v>No</x:v>
      </x:c>
      <x:c r="AG1009" s="3"/>
      <x:c r="AH1009" s="3"/>
      <x:c r="AI1009" s="18"/>
      <x:c r="AJ1009" s="3" t="str">
        <x:v>CF2500-B61748550852</x:v>
      </x:c>
      <x:c r="AK1009" s="3" t="str">
        <x:v>real_estate_operator</x:v>
      </x:c>
      <x:c r="AL1009" s="19" t="n">
        <x:v>100000</x:v>
      </x:c>
      <x:c r="AM1009" s="19" t="n">
        <x:v>500000</x:v>
      </x:c>
      <x:c r="AN1009" s="3" t="str">
        <x:v>https://www.cashhomebuyersdirectory.com/cash-home-buyers/pennsylvania/lancaster</x:v>
      </x:c>
      <x:c r="AO1009" s="3" t="str">
        <x:v>national_rest_directory_complete.jsonl</x:v>
      </x:c>
      <x:c r="AP1009" s="19"/>
    </x:row>
    <x:row r="1010" ht="36" customHeight="1">
      <x:c r="A1010" s="23" t="n">
        <x:v>1009</x:v>
      </x:c>
      <x:c r="B1010" s="15" t="str">
        <x:v>Easy Sale Homebuyer</x:v>
      </x:c>
      <x:c r="C1010" s="15"/>
      <x:c r="D1010" s="15" t="str">
        <x:v>Property investor / home-buying operator</x:v>
      </x:c>
      <x:c r="E1010" s="15" t="str">
        <x:v>Property investor / operator inquiry</x:v>
      </x:c>
      <x:c r="F1010" s="17" t="str">
        <x:v>New</x:v>
      </x:c>
      <x:c r="G1010" s="24"/>
      <x:c r="H1010" s="24" t="str">
        <x:v>+12166772175</x:v>
      </x:c>
      <x:c r="I1010" s="24" t="str">
        <x:v>http://www.easysalebuyer.com/</x:v>
      </x:c>
      <x:c r="J1010" s="16" t="str">
        <x:v>OH</x:v>
      </x:c>
      <x:c r="K1010" s="16" t="str">
        <x:v>North Royalton</x:v>
      </x:c>
      <x:c r="L1010" s="16" t="str">
        <x:v>Public property-business route; investor decision maker unconfirmed</x:v>
      </x:c>
      <x:c r="M1010" s="16" t="str">
        <x:v>http://www.easysalebuyer.com/</x:v>
      </x:c>
      <x:c r="N1010" s="16" t="str">
        <x:v>$100K-$500K ticket not published / unconfirmed</x:v>
      </x:c>
      <x:c r="O1010" s="20"/>
      <x:c r="P1010" s="20"/>
      <x:c r="Q1010" s="25" t="str">
        <x:v>No direct corporate-capital range established in checked source</x:v>
      </x:c>
      <x:c r="R1010" s="25" t="str">
        <x:v>Property acquisition or investor activity makes this an operator-capital prospect for the signed trial. Confirm operating-company debt/equity appetite.</x:v>
      </x:c>
      <x:c r="S1010" s="25"/>
      <x:c r="T1010" s="25" t="str">
        <x:v>Ask the owner/investor whether they can allocate $100K-$500K to trial marketing and acquisitions, and confirm structure, timing and decision authority.</x:v>
      </x:c>
      <x:c r="U1010" s="25" t="str">
        <x:v>https://www.cashhomebuyersdirectory.com/cash-home-buyers/ohio/north-royalton</x:v>
      </x:c>
      <x:c r="V1010" s="26" t="d">
        <x:v>2026-10-02T00:00:00.000Z</x:v>
      </x:c>
      <x:c r="W1010" s="26" t="d">
        <x:v>2026-10-02T00:00:00.000Z</x:v>
      </x:c>
      <x:c r="X1010" s="25" t="str">
        <x:v>CashHomeBuyersDirectory third-party business listing; first-party business activity not checked in this batch</x:v>
      </x:c>
      <x:c r="Y1010" s="25"/>
      <x:c r="Z1010" s="25" t="str">
        <x:v>https://www.cashhomebuyersdirectory.com/cash-home-buyers/ohio/north-royalton</x:v>
      </x:c>
      <x:c r="AA1010" s="25" t="str">
        <x:v>Public cash-home-buyer directory lists the business name, business phone/website where available and market. Operator role and corporate funding willingness require confirmation.</x:v>
      </x:c>
      <x:c r="AB1010" s="3" t="str">
        <x:v>New public-source collection</x:v>
      </x:c>
      <x:c r="AC1010" s="3" t="str">
        <x:v>unverified</x:v>
      </x:c>
      <x:c r="AD1010" s="3" t="str">
        <x:v>Not contacted / unconfirmed</x:v>
      </x:c>
      <x:c r="AE1010" s="3" t="str">
        <x:v>No</x:v>
      </x:c>
      <x:c r="AF1010" s="3" t="str">
        <x:v>No</x:v>
      </x:c>
      <x:c r="AG1010" s="3"/>
      <x:c r="AH1010" s="3"/>
      <x:c r="AI1010" s="18"/>
      <x:c r="AJ1010" s="3" t="str">
        <x:v>CF2500-261F59A60C4D</x:v>
      </x:c>
      <x:c r="AK1010" s="3" t="str">
        <x:v>real_estate_operator</x:v>
      </x:c>
      <x:c r="AL1010" s="19" t="n">
        <x:v>100000</x:v>
      </x:c>
      <x:c r="AM1010" s="19" t="n">
        <x:v>500000</x:v>
      </x:c>
      <x:c r="AN1010" s="3" t="str">
        <x:v>https://www.cashhomebuyersdirectory.com/cash-home-buyers/ohio/north-royalton</x:v>
      </x:c>
      <x:c r="AO1010" s="3" t="str">
        <x:v>national_rest_directory_complete.jsonl</x:v>
      </x:c>
      <x:c r="AP1010" s="19"/>
    </x:row>
    <x:row r="1011" ht="36" customHeight="1">
      <x:c r="A1011" s="23" t="n">
        <x:v>1010</x:v>
      </x:c>
      <x:c r="B1011" s="15" t="str">
        <x:v>EasyPath Home Buyers</x:v>
      </x:c>
      <x:c r="C1011" s="15"/>
      <x:c r="D1011" s="15" t="str">
        <x:v>Property investor / home-buying operator</x:v>
      </x:c>
      <x:c r="E1011" s="15" t="str">
        <x:v>Property investor / operator inquiry</x:v>
      </x:c>
      <x:c r="F1011" s="17" t="str">
        <x:v>New</x:v>
      </x:c>
      <x:c r="G1011" s="24"/>
      <x:c r="H1011" s="24" t="str">
        <x:v>+13193593306</x:v>
      </x:c>
      <x:c r="I1011" s="24" t="str">
        <x:v>http://easypathiowa.com/</x:v>
      </x:c>
      <x:c r="J1011" s="16" t="str">
        <x:v>IA</x:v>
      </x:c>
      <x:c r="K1011" s="16"/>
      <x:c r="L1011" s="16" t="str">
        <x:v>Public property-business route; investor decision maker unconfirmed</x:v>
      </x:c>
      <x:c r="M1011" s="16" t="str">
        <x:v>http://easypathiowa.com/</x:v>
      </x:c>
      <x:c r="N1011" s="16" t="str">
        <x:v>$100K-$500K ticket not published / unconfirmed</x:v>
      </x:c>
      <x:c r="O1011" s="20"/>
      <x:c r="P1011" s="20"/>
      <x:c r="Q1011" s="25" t="str">
        <x:v>No direct corporate-capital range established in checked source</x:v>
      </x:c>
      <x:c r="R1011" s="25" t="str">
        <x:v>Property acquisition or investor activity makes this an operator-capital prospect for the signed trial. Confirm operating-company debt/equity appetite.</x:v>
      </x:c>
      <x:c r="S1011" s="25"/>
      <x:c r="T1011" s="25" t="str">
        <x:v>Ask the owner/investor whether they can allocate $100K-$500K to trial marketing and acquisitions, and confirm structure, timing and decision authority.</x:v>
      </x:c>
      <x:c r="U1011" s="25" t="str">
        <x:v>https://www.cashhomebuyersdirectory.com/cash-home-buyers/iowa/davenport</x:v>
      </x:c>
      <x:c r="V1011" s="26" t="d">
        <x:v>2026-10-02T00:00:00.000Z</x:v>
      </x:c>
      <x:c r="W1011" s="26" t="d">
        <x:v>2026-10-02T00:00:00.000Z</x:v>
      </x:c>
      <x:c r="X1011" s="25" t="str">
        <x:v>CashHomeBuyersDirectory third-party business listing; first-party business activity not checked in this batch</x:v>
      </x:c>
      <x:c r="Y1011" s="25"/>
      <x:c r="Z1011" s="25" t="str">
        <x:v>https://www.cashhomebuyersdirectory.com/cash-home-buyers/iowa/davenport</x:v>
      </x:c>
      <x:c r="AA1011" s="25" t="str">
        <x:v>Public cash-home-buyer directory lists the business name, business phone/website where available and market. Operator role and corporate funding willingness require confirmation.</x:v>
      </x:c>
      <x:c r="AB1011" s="3" t="str">
        <x:v>New public-source collection</x:v>
      </x:c>
      <x:c r="AC1011" s="3" t="str">
        <x:v>unverified</x:v>
      </x:c>
      <x:c r="AD1011" s="3" t="str">
        <x:v>Not contacted / unconfirmed</x:v>
      </x:c>
      <x:c r="AE1011" s="3" t="str">
        <x:v>No</x:v>
      </x:c>
      <x:c r="AF1011" s="3" t="str">
        <x:v>No</x:v>
      </x:c>
      <x:c r="AG1011" s="3"/>
      <x:c r="AH1011" s="3"/>
      <x:c r="AI1011" s="18"/>
      <x:c r="AJ1011" s="3" t="str">
        <x:v>CF2500-8D9D498ABAB3</x:v>
      </x:c>
      <x:c r="AK1011" s="3" t="str">
        <x:v>real_estate_operator</x:v>
      </x:c>
      <x:c r="AL1011" s="19" t="n">
        <x:v>100000</x:v>
      </x:c>
      <x:c r="AM1011" s="19" t="n">
        <x:v>500000</x:v>
      </x:c>
      <x:c r="AN1011" s="3" t="str">
        <x:v>https://www.cashhomebuyersdirectory.com/cash-home-buyers/iowa/davenport</x:v>
      </x:c>
      <x:c r="AO1011" s="3" t="str">
        <x:v>national_rest_directory_complete.jsonl</x:v>
      </x:c>
      <x:c r="AP1011" s="19"/>
    </x:row>
    <x:row r="1012" ht="36" customHeight="1">
      <x:c r="A1012" s="23" t="n">
        <x:v>1011</x:v>
      </x:c>
      <x:c r="B1012" s="15" t="str">
        <x:v>EasySell Cash Homebuyers</x:v>
      </x:c>
      <x:c r="C1012" s="15"/>
      <x:c r="D1012" s="15" t="str">
        <x:v>Property investor / home-buying operator</x:v>
      </x:c>
      <x:c r="E1012" s="15" t="str">
        <x:v>Property investor / operator inquiry</x:v>
      </x:c>
      <x:c r="F1012" s="17" t="str">
        <x:v>New</x:v>
      </x:c>
      <x:c r="G1012" s="24"/>
      <x:c r="H1012" s="24" t="str">
        <x:v>+16149690624</x:v>
      </x:c>
      <x:c r="I1012" s="24" t="str">
        <x:v>https://webuyhousescashohio.com/</x:v>
      </x:c>
      <x:c r="J1012" s="16" t="str">
        <x:v>OH</x:v>
      </x:c>
      <x:c r="K1012" s="16" t="str">
        <x:v>Columbus</x:v>
      </x:c>
      <x:c r="L1012" s="16" t="str">
        <x:v>Public property-business route; investor decision maker unconfirmed</x:v>
      </x:c>
      <x:c r="M1012" s="16" t="str">
        <x:v>https://webuyhousescashohio.com/</x:v>
      </x:c>
      <x:c r="N1012" s="16" t="str">
        <x:v>$100K-$500K ticket not published / unconfirmed</x:v>
      </x:c>
      <x:c r="O1012" s="20"/>
      <x:c r="P1012" s="20"/>
      <x:c r="Q1012" s="25" t="str">
        <x:v>No direct corporate-capital range established in checked source</x:v>
      </x:c>
      <x:c r="R1012" s="25" t="str">
        <x:v>Property acquisition or investor activity makes this an operator-capital prospect for the signed trial. Confirm operating-company debt/equity appetite.</x:v>
      </x:c>
      <x:c r="S1012" s="25"/>
      <x:c r="T1012" s="25" t="str">
        <x:v>Ask the owner/investor whether they can allocate $100K-$500K to trial marketing and acquisitions, and confirm structure, timing and decision authority.</x:v>
      </x:c>
      <x:c r="U1012" s="25" t="str">
        <x:v>https://www.cashhomebuyersdirectory.com/cash-home-buyers/ohio/columbus</x:v>
      </x:c>
      <x:c r="V1012" s="26" t="d">
        <x:v>2026-10-02T00:00:00.000Z</x:v>
      </x:c>
      <x:c r="W1012" s="26" t="d">
        <x:v>2026-10-02T00:00:00.000Z</x:v>
      </x:c>
      <x:c r="X1012" s="25" t="str">
        <x:v>CashHomeBuyersDirectory third-party business listing; first-party business activity not checked in this batch</x:v>
      </x:c>
      <x:c r="Y1012" s="25"/>
      <x:c r="Z1012" s="25" t="str">
        <x:v>https://www.cashhomebuyersdirectory.com/cash-home-buyers/ohio/columbus</x:v>
      </x:c>
      <x:c r="AA1012" s="25" t="str">
        <x:v>Public cash-home-buyer directory lists the business name, business phone/website where available and market. Operator role and corporate funding willingness require confirmation.</x:v>
      </x:c>
      <x:c r="AB1012" s="3" t="str">
        <x:v>New public-source collection</x:v>
      </x:c>
      <x:c r="AC1012" s="3" t="str">
        <x:v>unverified</x:v>
      </x:c>
      <x:c r="AD1012" s="3" t="str">
        <x:v>Not contacted / unconfirmed</x:v>
      </x:c>
      <x:c r="AE1012" s="3" t="str">
        <x:v>No</x:v>
      </x:c>
      <x:c r="AF1012" s="3" t="str">
        <x:v>No</x:v>
      </x:c>
      <x:c r="AG1012" s="3"/>
      <x:c r="AH1012" s="3"/>
      <x:c r="AI1012" s="18"/>
      <x:c r="AJ1012" s="3" t="str">
        <x:v>CF2500-9112427C0F64</x:v>
      </x:c>
      <x:c r="AK1012" s="3" t="str">
        <x:v>real_estate_operator</x:v>
      </x:c>
      <x:c r="AL1012" s="19" t="n">
        <x:v>100000</x:v>
      </x:c>
      <x:c r="AM1012" s="19" t="n">
        <x:v>500000</x:v>
      </x:c>
      <x:c r="AN1012" s="3" t="str">
        <x:v>https://www.cashhomebuyersdirectory.com/cash-home-buyers/ohio/columbus</x:v>
      </x:c>
      <x:c r="AO1012" s="3" t="str">
        <x:v>national_rest_directory_complete.jsonl</x:v>
      </x:c>
      <x:c r="AP1012" s="19"/>
    </x:row>
    <x:row r="1013" ht="36" customHeight="1">
      <x:c r="A1013" s="23" t="n">
        <x:v>1012</x:v>
      </x:c>
      <x:c r="B1013" s="15" t="str">
        <x:v>Element Homebuyers - We Buy Houses</x:v>
      </x:c>
      <x:c r="C1013" s="15"/>
      <x:c r="D1013" s="15" t="str">
        <x:v>Property investor / home-buying operator</x:v>
      </x:c>
      <x:c r="E1013" s="15" t="str">
        <x:v>Property investor / operator inquiry</x:v>
      </x:c>
      <x:c r="F1013" s="17" t="str">
        <x:v>New</x:v>
      </x:c>
      <x:c r="G1013" s="24"/>
      <x:c r="H1013" s="24" t="str">
        <x:v>+14028107070</x:v>
      </x:c>
      <x:c r="I1013" s="24" t="str">
        <x:v>https://www.elementhomebuyers.com/lincoln/?utm_source=gmb&amp;utm_medium=referral</x:v>
      </x:c>
      <x:c r="J1013" s="16" t="str">
        <x:v>NE</x:v>
      </x:c>
      <x:c r="K1013" s="16" t="str">
        <x:v>Lincoln</x:v>
      </x:c>
      <x:c r="L1013" s="16" t="str">
        <x:v>Public property-business route; investor decision maker unconfirmed</x:v>
      </x:c>
      <x:c r="M1013" s="16" t="str">
        <x:v>https://www.elementhomebuyers.com/lincoln/?utm_source=gmb&amp;utm_medium=referral</x:v>
      </x:c>
      <x:c r="N1013" s="16" t="str">
        <x:v>$100K-$500K ticket not published / unconfirmed</x:v>
      </x:c>
      <x:c r="O1013" s="20"/>
      <x:c r="P1013" s="20"/>
      <x:c r="Q1013" s="25" t="str">
        <x:v>No direct corporate-capital range established in checked source</x:v>
      </x:c>
      <x:c r="R1013" s="25" t="str">
        <x:v>Property acquisition or investor activity makes this an operator-capital prospect for the signed trial. Confirm operating-company debt/equity appetite.</x:v>
      </x:c>
      <x:c r="S1013" s="25"/>
      <x:c r="T1013" s="25" t="str">
        <x:v>Ask the owner/investor whether they can allocate $100K-$500K to trial marketing and acquisitions, and confirm structure, timing and decision authority.</x:v>
      </x:c>
      <x:c r="U1013" s="25" t="str">
        <x:v>https://www.cashhomebuyersdirectory.com/cash-home-buyers/nebraska/lincoln</x:v>
      </x:c>
      <x:c r="V1013" s="26" t="d">
        <x:v>2026-10-02T00:00:00.000Z</x:v>
      </x:c>
      <x:c r="W1013" s="26" t="d">
        <x:v>2026-10-02T00:00:00.000Z</x:v>
      </x:c>
      <x:c r="X1013" s="25" t="str">
        <x:v>CashHomeBuyersDirectory third-party business listing; first-party business activity not checked in this batch</x:v>
      </x:c>
      <x:c r="Y1013" s="25"/>
      <x:c r="Z1013" s="25" t="str">
        <x:v>https://www.cashhomebuyersdirectory.com/cash-home-buyers/nebraska/lincoln</x:v>
      </x:c>
      <x:c r="AA1013" s="25" t="str">
        <x:v>Public cash-home-buyer directory lists the business name, business phone/website where available and market. Operator role and corporate funding willingness require confirmation.</x:v>
      </x:c>
      <x:c r="AB1013" s="3" t="str">
        <x:v>New public-source collection</x:v>
      </x:c>
      <x:c r="AC1013" s="3" t="str">
        <x:v>unverified</x:v>
      </x:c>
      <x:c r="AD1013" s="3" t="str">
        <x:v>Not contacted / unconfirmed</x:v>
      </x:c>
      <x:c r="AE1013" s="3" t="str">
        <x:v>No</x:v>
      </x:c>
      <x:c r="AF1013" s="3" t="str">
        <x:v>No</x:v>
      </x:c>
      <x:c r="AG1013" s="3"/>
      <x:c r="AH1013" s="3"/>
      <x:c r="AI1013" s="18"/>
      <x:c r="AJ1013" s="3" t="str">
        <x:v>CF2500-1A86FA0BAD0A</x:v>
      </x:c>
      <x:c r="AK1013" s="3" t="str">
        <x:v>real_estate_operator</x:v>
      </x:c>
      <x:c r="AL1013" s="19" t="n">
        <x:v>100000</x:v>
      </x:c>
      <x:c r="AM1013" s="19" t="n">
        <x:v>500000</x:v>
      </x:c>
      <x:c r="AN1013" s="3" t="str">
        <x:v>https://www.cashhomebuyersdirectory.com/cash-home-buyers/nebraska/lincoln</x:v>
      </x:c>
      <x:c r="AO1013" s="3" t="str">
        <x:v>national_rest_directory_complete.jsonl</x:v>
      </x:c>
      <x:c r="AP1013" s="19"/>
    </x:row>
    <x:row r="1014" ht="36" customHeight="1">
      <x:c r="A1014" s="23" t="n">
        <x:v>1013</x:v>
      </x:c>
      <x:c r="B1014" s="15" t="str">
        <x:v>Elevated Equity Home Buyers</x:v>
      </x:c>
      <x:c r="C1014" s="15"/>
      <x:c r="D1014" s="15" t="str">
        <x:v>Property investor / home-buying operator</x:v>
      </x:c>
      <x:c r="E1014" s="15" t="str">
        <x:v>Property investor / operator inquiry</x:v>
      </x:c>
      <x:c r="F1014" s="17" t="str">
        <x:v>New</x:v>
      </x:c>
      <x:c r="G1014" s="24"/>
      <x:c r="H1014" s="24" t="str">
        <x:v>+18084273784</x:v>
      </x:c>
      <x:c r="I1014" s="24" t="str">
        <x:v>https://elevatedequityhomes.com/</x:v>
      </x:c>
      <x:c r="J1014" s="16" t="str">
        <x:v>HI</x:v>
      </x:c>
      <x:c r="K1014" s="16"/>
      <x:c r="L1014" s="16" t="str">
        <x:v>Public property-business route; investor decision maker unconfirmed</x:v>
      </x:c>
      <x:c r="M1014" s="16" t="str">
        <x:v>https://elevatedequityhomes.com/</x:v>
      </x:c>
      <x:c r="N1014" s="16" t="str">
        <x:v>$100K-$500K ticket not published / unconfirmed</x:v>
      </x:c>
      <x:c r="O1014" s="20"/>
      <x:c r="P1014" s="20"/>
      <x:c r="Q1014" s="25" t="str">
        <x:v>No direct corporate-capital range established in checked source</x:v>
      </x:c>
      <x:c r="R1014" s="25" t="str">
        <x:v>Property acquisition or investor activity makes this an operator-capital prospect for the signed trial. Confirm operating-company debt/equity appetite.</x:v>
      </x:c>
      <x:c r="S1014" s="25"/>
      <x:c r="T1014" s="25" t="str">
        <x:v>Ask the owner/investor whether they can allocate $100K-$500K to trial marketing and acquisitions, and confirm structure, timing and decision authority.</x:v>
      </x:c>
      <x:c r="U1014" s="25" t="str">
        <x:v>https://www.cashhomebuyersdirectory.com/cash-home-buyers/hawaii/honolulu</x:v>
      </x:c>
      <x:c r="V1014" s="26" t="d">
        <x:v>2026-10-02T00:00:00.000Z</x:v>
      </x:c>
      <x:c r="W1014" s="26" t="d">
        <x:v>2026-10-02T00:00:00.000Z</x:v>
      </x:c>
      <x:c r="X1014" s="25" t="str">
        <x:v>CashHomeBuyersDirectory third-party business listing; first-party business activity not checked in this batch</x:v>
      </x:c>
      <x:c r="Y1014" s="25"/>
      <x:c r="Z1014" s="25" t="str">
        <x:v>https://www.cashhomebuyersdirectory.com/cash-home-buyers/hawaii/honolulu</x:v>
      </x:c>
      <x:c r="AA1014" s="25" t="str">
        <x:v>Public cash-home-buyer directory lists the business name, business phone/website where available and market. Operator role and corporate funding willingness require confirmation.</x:v>
      </x:c>
      <x:c r="AB1014" s="3" t="str">
        <x:v>New public-source collection</x:v>
      </x:c>
      <x:c r="AC1014" s="3" t="str">
        <x:v>unverified</x:v>
      </x:c>
      <x:c r="AD1014" s="3" t="str">
        <x:v>Not contacted / unconfirmed</x:v>
      </x:c>
      <x:c r="AE1014" s="3" t="str">
        <x:v>No</x:v>
      </x:c>
      <x:c r="AF1014" s="3" t="str">
        <x:v>No</x:v>
      </x:c>
      <x:c r="AG1014" s="3"/>
      <x:c r="AH1014" s="3"/>
      <x:c r="AI1014" s="18"/>
      <x:c r="AJ1014" s="3" t="str">
        <x:v>CF2500-7C4808DE5A55</x:v>
      </x:c>
      <x:c r="AK1014" s="3" t="str">
        <x:v>real_estate_operator</x:v>
      </x:c>
      <x:c r="AL1014" s="19" t="n">
        <x:v>100000</x:v>
      </x:c>
      <x:c r="AM1014" s="19" t="n">
        <x:v>500000</x:v>
      </x:c>
      <x:c r="AN1014" s="3" t="str">
        <x:v>https://www.cashhomebuyersdirectory.com/cash-home-buyers/hawaii/honolulu</x:v>
      </x:c>
      <x:c r="AO1014" s="3" t="str">
        <x:v>national_rest_directory_complete.jsonl</x:v>
      </x:c>
      <x:c r="AP1014" s="19"/>
    </x:row>
    <x:row r="1015" ht="36" customHeight="1">
      <x:c r="A1015" s="23" t="n">
        <x:v>1014</x:v>
      </x:c>
      <x:c r="B1015" s="15" t="str">
        <x:v>Elite Cash Homes</x:v>
      </x:c>
      <x:c r="C1015" s="15"/>
      <x:c r="D1015" s="15" t="str">
        <x:v>Property investor / home-buying operator</x:v>
      </x:c>
      <x:c r="E1015" s="15" t="str">
        <x:v>Property investor / operator inquiry</x:v>
      </x:c>
      <x:c r="F1015" s="17" t="str">
        <x:v>New</x:v>
      </x:c>
      <x:c r="G1015" s="24"/>
      <x:c r="H1015" s="24" t="str">
        <x:v>+12282022400</x:v>
      </x:c>
      <x:c r="I1015" s="24" t="str">
        <x:v>http://www.elitecashhomes.com/</x:v>
      </x:c>
      <x:c r="J1015" s="16" t="str">
        <x:v>MS</x:v>
      </x:c>
      <x:c r="K1015" s="16" t="str">
        <x:v>Gulfport</x:v>
      </x:c>
      <x:c r="L1015" s="16" t="str">
        <x:v>Public property-business route; investor decision maker unconfirmed</x:v>
      </x:c>
      <x:c r="M1015" s="16" t="str">
        <x:v>http://www.elitecashhomes.com/</x:v>
      </x:c>
      <x:c r="N1015" s="16" t="str">
        <x:v>$100K-$500K ticket not published / unconfirmed</x:v>
      </x:c>
      <x:c r="O1015" s="20"/>
      <x:c r="P1015" s="20"/>
      <x:c r="Q1015" s="25" t="str">
        <x:v>No direct corporate-capital range established in checked source</x:v>
      </x:c>
      <x:c r="R1015" s="25" t="str">
        <x:v>Property acquisition or investor activity makes this an operator-capital prospect for the signed trial. Confirm operating-company debt/equity appetite.</x:v>
      </x:c>
      <x:c r="S1015" s="25"/>
      <x:c r="T1015" s="25" t="str">
        <x:v>Ask the owner/investor whether they can allocate $100K-$500K to trial marketing and acquisitions, and confirm structure, timing and decision authority.</x:v>
      </x:c>
      <x:c r="U1015" s="25" t="str">
        <x:v>https://www.cashhomebuyersdirectory.com/cash-home-buyers/mississippi/gulfport</x:v>
      </x:c>
      <x:c r="V1015" s="26" t="d">
        <x:v>2026-10-02T00:00:00.000Z</x:v>
      </x:c>
      <x:c r="W1015" s="26" t="d">
        <x:v>2026-10-02T00:00:00.000Z</x:v>
      </x:c>
      <x:c r="X1015" s="25" t="str">
        <x:v>CashHomeBuyersDirectory third-party business listing; first-party business activity not checked in this batch</x:v>
      </x:c>
      <x:c r="Y1015" s="25"/>
      <x:c r="Z1015" s="25" t="str">
        <x:v>https://www.cashhomebuyersdirectory.com/cash-home-buyers/mississippi/gulfport</x:v>
      </x:c>
      <x:c r="AA1015" s="25" t="str">
        <x:v>Public cash-home-buyer directory lists the business name, business phone/website where available and market. Operator role and corporate funding willingness require confirmation.</x:v>
      </x:c>
      <x:c r="AB1015" s="3" t="str">
        <x:v>New public-source collection</x:v>
      </x:c>
      <x:c r="AC1015" s="3" t="str">
        <x:v>unverified</x:v>
      </x:c>
      <x:c r="AD1015" s="3" t="str">
        <x:v>Not contacted / unconfirmed</x:v>
      </x:c>
      <x:c r="AE1015" s="3" t="str">
        <x:v>No</x:v>
      </x:c>
      <x:c r="AF1015" s="3" t="str">
        <x:v>No</x:v>
      </x:c>
      <x:c r="AG1015" s="3"/>
      <x:c r="AH1015" s="3"/>
      <x:c r="AI1015" s="18"/>
      <x:c r="AJ1015" s="3" t="str">
        <x:v>CF2500-4603FDEBC9CE</x:v>
      </x:c>
      <x:c r="AK1015" s="3" t="str">
        <x:v>real_estate_operator</x:v>
      </x:c>
      <x:c r="AL1015" s="19" t="n">
        <x:v>100000</x:v>
      </x:c>
      <x:c r="AM1015" s="19" t="n">
        <x:v>500000</x:v>
      </x:c>
      <x:c r="AN1015" s="3" t="str">
        <x:v>https://www.cashhomebuyersdirectory.com/cash-home-buyers/mississippi/gulfport</x:v>
      </x:c>
      <x:c r="AO1015" s="3" t="str">
        <x:v>national_rest_directory_complete.jsonl</x:v>
      </x:c>
      <x:c r="AP1015" s="19"/>
    </x:row>
    <x:row r="1016" ht="36" customHeight="1">
      <x:c r="A1016" s="23" t="n">
        <x:v>1015</x:v>
      </x:c>
      <x:c r="B1016" s="15" t="str">
        <x:v>Erie Home Buyer</x:v>
      </x:c>
      <x:c r="C1016" s="15"/>
      <x:c r="D1016" s="15" t="str">
        <x:v>Property investor / home-buying operator</x:v>
      </x:c>
      <x:c r="E1016" s="15" t="str">
        <x:v>Property investor / operator inquiry</x:v>
      </x:c>
      <x:c r="F1016" s="17" t="str">
        <x:v>New</x:v>
      </x:c>
      <x:c r="G1016" s="24"/>
      <x:c r="H1016" s="24" t="str">
        <x:v>+18145805900</x:v>
      </x:c>
      <x:c r="I1016" s="24" t="str">
        <x:v>http://eriehomebuyer.com/</x:v>
      </x:c>
      <x:c r="J1016" s="16" t="str">
        <x:v>PA</x:v>
      </x:c>
      <x:c r="K1016" s="16" t="str">
        <x:v>Erie</x:v>
      </x:c>
      <x:c r="L1016" s="16" t="str">
        <x:v>Public property-business route; investor decision maker unconfirmed</x:v>
      </x:c>
      <x:c r="M1016" s="16" t="str">
        <x:v>http://eriehomebuyer.com/</x:v>
      </x:c>
      <x:c r="N1016" s="16" t="str">
        <x:v>$100K-$500K ticket not published / unconfirmed</x:v>
      </x:c>
      <x:c r="O1016" s="20"/>
      <x:c r="P1016" s="20"/>
      <x:c r="Q1016" s="25" t="str">
        <x:v>No direct corporate-capital range established in checked source</x:v>
      </x:c>
      <x:c r="R1016" s="25" t="str">
        <x:v>Property acquisition or investor activity makes this an operator-capital prospect for the signed trial. Confirm operating-company debt/equity appetite.</x:v>
      </x:c>
      <x:c r="S1016" s="25"/>
      <x:c r="T1016" s="25" t="str">
        <x:v>Ask the owner/investor whether they can allocate $100K-$500K to trial marketing and acquisitions, and confirm structure, timing and decision authority.</x:v>
      </x:c>
      <x:c r="U1016" s="25" t="str">
        <x:v>https://www.cashhomebuyersdirectory.com/cash-home-buyers/pennsylvania/erie</x:v>
      </x:c>
      <x:c r="V1016" s="26" t="d">
        <x:v>2026-10-02T00:00:00.000Z</x:v>
      </x:c>
      <x:c r="W1016" s="26" t="d">
        <x:v>2026-10-02T00:00:00.000Z</x:v>
      </x:c>
      <x:c r="X1016" s="25" t="str">
        <x:v>CashHomeBuyersDirectory third-party business listing; first-party business activity not checked in this batch</x:v>
      </x:c>
      <x:c r="Y1016" s="25"/>
      <x:c r="Z1016" s="25" t="str">
        <x:v>https://www.cashhomebuyersdirectory.com/cash-home-buyers/pennsylvania/erie</x:v>
      </x:c>
      <x:c r="AA1016" s="25" t="str">
        <x:v>Public cash-home-buyer directory lists the business name, business phone/website where available and market. Operator role and corporate funding willingness require confirmation.</x:v>
      </x:c>
      <x:c r="AB1016" s="3" t="str">
        <x:v>New public-source collection</x:v>
      </x:c>
      <x:c r="AC1016" s="3" t="str">
        <x:v>unverified</x:v>
      </x:c>
      <x:c r="AD1016" s="3" t="str">
        <x:v>Not contacted / unconfirmed</x:v>
      </x:c>
      <x:c r="AE1016" s="3" t="str">
        <x:v>No</x:v>
      </x:c>
      <x:c r="AF1016" s="3" t="str">
        <x:v>No</x:v>
      </x:c>
      <x:c r="AG1016" s="3"/>
      <x:c r="AH1016" s="3"/>
      <x:c r="AI1016" s="18"/>
      <x:c r="AJ1016" s="3" t="str">
        <x:v>CF2500-2F2B359F34F9</x:v>
      </x:c>
      <x:c r="AK1016" s="3" t="str">
        <x:v>real_estate_operator</x:v>
      </x:c>
      <x:c r="AL1016" s="19" t="n">
        <x:v>100000</x:v>
      </x:c>
      <x:c r="AM1016" s="19" t="n">
        <x:v>500000</x:v>
      </x:c>
      <x:c r="AN1016" s="3" t="str">
        <x:v>https://www.cashhomebuyersdirectory.com/cash-home-buyers/pennsylvania/erie</x:v>
      </x:c>
      <x:c r="AO1016" s="3" t="str">
        <x:v>national_rest_directory_complete.jsonl</x:v>
      </x:c>
      <x:c r="AP1016" s="19"/>
    </x:row>
    <x:row r="1017" ht="36" customHeight="1">
      <x:c r="A1017" s="23" t="n">
        <x:v>1016</x:v>
      </x:c>
      <x:c r="B1017" s="15" t="str">
        <x:v>Eugene Bay Area Home Buyers</x:v>
      </x:c>
      <x:c r="C1017" s="15"/>
      <x:c r="D1017" s="15" t="str">
        <x:v>Property investor / home-buying operator</x:v>
      </x:c>
      <x:c r="E1017" s="15" t="str">
        <x:v>Property investor / operator inquiry</x:v>
      </x:c>
      <x:c r="F1017" s="17" t="str">
        <x:v>New</x:v>
      </x:c>
      <x:c r="G1017" s="24"/>
      <x:c r="H1017" s="24" t="str">
        <x:v>+14087174505</x:v>
      </x:c>
      <x:c r="I1017" s="24" t="str">
        <x:v>https://eugenebayareahomebuyers.com/</x:v>
      </x:c>
      <x:c r="J1017" s="16" t="str">
        <x:v>CA</x:v>
      </x:c>
      <x:c r="K1017" s="16" t="str">
        <x:v>San Jose</x:v>
      </x:c>
      <x:c r="L1017" s="16" t="str">
        <x:v>Public property-business route; investor decision maker unconfirmed</x:v>
      </x:c>
      <x:c r="M1017" s="16" t="str">
        <x:v>https://eugenebayareahomebuyers.com/</x:v>
      </x:c>
      <x:c r="N1017" s="16" t="str">
        <x:v>$100K-$500K ticket not published / unconfirmed</x:v>
      </x:c>
      <x:c r="O1017" s="20"/>
      <x:c r="P1017" s="20"/>
      <x:c r="Q1017" s="25" t="str">
        <x:v>No direct corporate-capital range established in checked source</x:v>
      </x:c>
      <x:c r="R1017" s="25" t="str">
        <x:v>Property acquisition or investor activity makes this an operator-capital prospect for the signed trial. Confirm operating-company debt/equity appetite.</x:v>
      </x:c>
      <x:c r="S1017" s="25"/>
      <x:c r="T1017" s="25" t="str">
        <x:v>Ask the owner/investor whether they can allocate $100K-$500K to trial marketing and acquisitions, and confirm structure, timing and decision authority.</x:v>
      </x:c>
      <x:c r="U1017" s="25" t="str">
        <x:v>https://www.cashhomebuyersdirectory.com/cash-home-buyers/california/san-jose</x:v>
      </x:c>
      <x:c r="V1017" s="26" t="d">
        <x:v>2026-10-02T00:00:00.000Z</x:v>
      </x:c>
      <x:c r="W1017" s="26" t="d">
        <x:v>2026-10-02T00:00:00.000Z</x:v>
      </x:c>
      <x:c r="X1017" s="25" t="str">
        <x:v>CashHomeBuyersDirectory third-party business listing; first-party business activity not checked in this batch</x:v>
      </x:c>
      <x:c r="Y1017" s="25"/>
      <x:c r="Z1017" s="25" t="str">
        <x:v>https://www.cashhomebuyersdirectory.com/cash-home-buyers/california/san-jose</x:v>
      </x:c>
      <x:c r="AA1017" s="25" t="str">
        <x:v>Public cash-home-buyer directory lists the business name, business phone/website where available and market. Operator role and corporate funding willingness require confirmation.</x:v>
      </x:c>
      <x:c r="AB1017" s="3" t="str">
        <x:v>New public-source collection</x:v>
      </x:c>
      <x:c r="AC1017" s="3" t="str">
        <x:v>unverified</x:v>
      </x:c>
      <x:c r="AD1017" s="3" t="str">
        <x:v>Not contacted / unconfirmed</x:v>
      </x:c>
      <x:c r="AE1017" s="3" t="str">
        <x:v>No</x:v>
      </x:c>
      <x:c r="AF1017" s="3" t="str">
        <x:v>No</x:v>
      </x:c>
      <x:c r="AG1017" s="3"/>
      <x:c r="AH1017" s="3"/>
      <x:c r="AI1017" s="18"/>
      <x:c r="AJ1017" s="3" t="str">
        <x:v>CF2500-56F5F5C1CD0C</x:v>
      </x:c>
      <x:c r="AK1017" s="3" t="str">
        <x:v>real_estate_operator</x:v>
      </x:c>
      <x:c r="AL1017" s="19" t="n">
        <x:v>100000</x:v>
      </x:c>
      <x:c r="AM1017" s="19" t="n">
        <x:v>500000</x:v>
      </x:c>
      <x:c r="AN1017" s="3" t="str">
        <x:v>https://www.cashhomebuyersdirectory.com/cash-home-buyers/california/san-jose</x:v>
      </x:c>
      <x:c r="AO1017" s="3" t="str">
        <x:v>national_rest_directory_complete.jsonl</x:v>
      </x:c>
      <x:c r="AP1017" s="19"/>
    </x:row>
    <x:row r="1018" ht="36" customHeight="1">
      <x:c r="A1018" s="23" t="n">
        <x:v>1017</x:v>
      </x:c>
      <x:c r="B1018" s="15" t="str">
        <x:v>Everest Home Buyers</x:v>
      </x:c>
      <x:c r="C1018" s="15"/>
      <x:c r="D1018" s="15" t="str">
        <x:v>Property investor / home-buying operator</x:v>
      </x:c>
      <x:c r="E1018" s="15" t="str">
        <x:v>Property investor / operator inquiry</x:v>
      </x:c>
      <x:c r="F1018" s="17" t="str">
        <x:v>New</x:v>
      </x:c>
      <x:c r="G1018" s="24"/>
      <x:c r="H1018" s="24" t="str">
        <x:v>+12063161950</x:v>
      </x:c>
      <x:c r="I1018" s="24" t="str">
        <x:v>https://www.everesthomebuyers.com/</x:v>
      </x:c>
      <x:c r="J1018" s="16" t="str">
        <x:v>WA</x:v>
      </x:c>
      <x:c r="K1018" s="16"/>
      <x:c r="L1018" s="16" t="str">
        <x:v>Public property-business route; investor decision maker unconfirmed</x:v>
      </x:c>
      <x:c r="M1018" s="16" t="str">
        <x:v>https://www.everesthomebuyers.com/</x:v>
      </x:c>
      <x:c r="N1018" s="16" t="str">
        <x:v>$100K-$500K ticket not published / unconfirmed</x:v>
      </x:c>
      <x:c r="O1018" s="20"/>
      <x:c r="P1018" s="20"/>
      <x:c r="Q1018" s="25" t="str">
        <x:v>No direct corporate-capital range established in checked source</x:v>
      </x:c>
      <x:c r="R1018" s="25" t="str">
        <x:v>Property acquisition or investor activity makes this an operator-capital prospect for the signed trial. Confirm operating-company debt/equity appetite.</x:v>
      </x:c>
      <x:c r="S1018" s="25"/>
      <x:c r="T1018" s="25" t="str">
        <x:v>Ask the owner/investor whether they can allocate $100K-$500K to trial marketing and acquisitions, and confirm structure, timing and decision authority.</x:v>
      </x:c>
      <x:c r="U1018" s="25" t="str">
        <x:v>https://www.cashhomebuyersdirectory.com/cash-home-buyers/washington/seattle</x:v>
      </x:c>
      <x:c r="V1018" s="26" t="d">
        <x:v>2026-10-02T00:00:00.000Z</x:v>
      </x:c>
      <x:c r="W1018" s="26" t="d">
        <x:v>2026-10-02T00:00:00.000Z</x:v>
      </x:c>
      <x:c r="X1018" s="25" t="str">
        <x:v>CashHomeBuyersDirectory third-party business listing; first-party business activity not checked in this batch</x:v>
      </x:c>
      <x:c r="Y1018" s="25"/>
      <x:c r="Z1018" s="25" t="str">
        <x:v>https://www.cashhomebuyersdirectory.com/cash-home-buyers/washington/seattle</x:v>
      </x:c>
      <x:c r="AA1018" s="25" t="str">
        <x:v>Public cash-home-buyer directory lists the business name, business phone/website where available and market. Operator role and corporate funding willingness require confirmation.</x:v>
      </x:c>
      <x:c r="AB1018" s="3" t="str">
        <x:v>New public-source collection</x:v>
      </x:c>
      <x:c r="AC1018" s="3" t="str">
        <x:v>unverified</x:v>
      </x:c>
      <x:c r="AD1018" s="3" t="str">
        <x:v>Not contacted / unconfirmed</x:v>
      </x:c>
      <x:c r="AE1018" s="3" t="str">
        <x:v>No</x:v>
      </x:c>
      <x:c r="AF1018" s="3" t="str">
        <x:v>No</x:v>
      </x:c>
      <x:c r="AG1018" s="3"/>
      <x:c r="AH1018" s="3"/>
      <x:c r="AI1018" s="18"/>
      <x:c r="AJ1018" s="3" t="str">
        <x:v>CF2500-1176695A81D2</x:v>
      </x:c>
      <x:c r="AK1018" s="3" t="str">
        <x:v>real_estate_operator</x:v>
      </x:c>
      <x:c r="AL1018" s="19" t="n">
        <x:v>100000</x:v>
      </x:c>
      <x:c r="AM1018" s="19" t="n">
        <x:v>500000</x:v>
      </x:c>
      <x:c r="AN1018" s="3" t="str">
        <x:v>https://www.cashhomebuyersdirectory.com/cash-home-buyers/washington/seattle</x:v>
      </x:c>
      <x:c r="AO1018" s="3" t="str">
        <x:v>national_rest_directory_complete.jsonl</x:v>
      </x:c>
      <x:c r="AP1018" s="19"/>
    </x:row>
    <x:row r="1019" ht="36" customHeight="1">
      <x:c r="A1019" s="23" t="n">
        <x:v>1018</x:v>
      </x:c>
      <x:c r="B1019" s="15" t="str">
        <x:v>Expedia Home Buyers</x:v>
      </x:c>
      <x:c r="C1019" s="15"/>
      <x:c r="D1019" s="15" t="str">
        <x:v>Property investor / home-buying operator</x:v>
      </x:c>
      <x:c r="E1019" s="15" t="str">
        <x:v>Property investor / operator inquiry</x:v>
      </x:c>
      <x:c r="F1019" s="17" t="str">
        <x:v>New</x:v>
      </x:c>
      <x:c r="G1019" s="24"/>
      <x:c r="H1019" s="24" t="str">
        <x:v>+14109292850</x:v>
      </x:c>
      <x:c r="I1019" s="24" t="str">
        <x:v>https://www.expediahomebuyers.com/</x:v>
      </x:c>
      <x:c r="J1019" s="16" t="str">
        <x:v>MD</x:v>
      </x:c>
      <x:c r="K1019" s="16" t="str">
        <x:v>Fallston</x:v>
      </x:c>
      <x:c r="L1019" s="16" t="str">
        <x:v>Public property-business route; investor decision maker unconfirmed</x:v>
      </x:c>
      <x:c r="M1019" s="16" t="str">
        <x:v>https://www.expediahomebuyers.com/</x:v>
      </x:c>
      <x:c r="N1019" s="16" t="str">
        <x:v>$100K-$500K ticket not published / unconfirmed</x:v>
      </x:c>
      <x:c r="O1019" s="20"/>
      <x:c r="P1019" s="20"/>
      <x:c r="Q1019" s="25" t="str">
        <x:v>No direct corporate-capital range established in checked source</x:v>
      </x:c>
      <x:c r="R1019" s="25" t="str">
        <x:v>Property acquisition or investor activity makes this an operator-capital prospect for the signed trial. Confirm operating-company debt/equity appetite.</x:v>
      </x:c>
      <x:c r="S1019" s="25"/>
      <x:c r="T1019" s="25" t="str">
        <x:v>Ask the owner/investor whether they can allocate $100K-$500K to trial marketing and acquisitions, and confirm structure, timing and decision authority.</x:v>
      </x:c>
      <x:c r="U1019" s="25" t="str">
        <x:v>https://www.cashhomebuyersdirectory.com/cash-home-buyers/maryland/fallston</x:v>
      </x:c>
      <x:c r="V1019" s="26" t="d">
        <x:v>2026-10-02T00:00:00.000Z</x:v>
      </x:c>
      <x:c r="W1019" s="26" t="d">
        <x:v>2026-10-02T00:00:00.000Z</x:v>
      </x:c>
      <x:c r="X1019" s="25" t="str">
        <x:v>CashHomeBuyersDirectory third-party business listing; first-party business activity not checked in this batch</x:v>
      </x:c>
      <x:c r="Y1019" s="25"/>
      <x:c r="Z1019" s="25" t="str">
        <x:v>https://www.cashhomebuyersdirectory.com/cash-home-buyers/maryland/fallston</x:v>
      </x:c>
      <x:c r="AA1019" s="25" t="str">
        <x:v>Public cash-home-buyer directory lists the business name, business phone/website where available and market. Operator role and corporate funding willingness require confirmation.</x:v>
      </x:c>
      <x:c r="AB1019" s="3" t="str">
        <x:v>New public-source collection</x:v>
      </x:c>
      <x:c r="AC1019" s="3" t="str">
        <x:v>unverified</x:v>
      </x:c>
      <x:c r="AD1019" s="3" t="str">
        <x:v>Not contacted / unconfirmed</x:v>
      </x:c>
      <x:c r="AE1019" s="3" t="str">
        <x:v>No</x:v>
      </x:c>
      <x:c r="AF1019" s="3" t="str">
        <x:v>No</x:v>
      </x:c>
      <x:c r="AG1019" s="3"/>
      <x:c r="AH1019" s="3"/>
      <x:c r="AI1019" s="18"/>
      <x:c r="AJ1019" s="3" t="str">
        <x:v>CF2500-67EF96714E60</x:v>
      </x:c>
      <x:c r="AK1019" s="3" t="str">
        <x:v>real_estate_operator</x:v>
      </x:c>
      <x:c r="AL1019" s="19" t="n">
        <x:v>100000</x:v>
      </x:c>
      <x:c r="AM1019" s="19" t="n">
        <x:v>500000</x:v>
      </x:c>
      <x:c r="AN1019" s="3" t="str">
        <x:v>https://www.cashhomebuyersdirectory.com/cash-home-buyers/maryland/fallston</x:v>
      </x:c>
      <x:c r="AO1019" s="3" t="str">
        <x:v>national_rest_directory_complete.jsonl</x:v>
      </x:c>
      <x:c r="AP1019" s="19"/>
    </x:row>
    <x:row r="1020" ht="36" customHeight="1">
      <x:c r="A1020" s="23" t="n">
        <x:v>1019</x:v>
      </x:c>
      <x:c r="B1020" s="15" t="str">
        <x:v>Expert Home Buyer</x:v>
      </x:c>
      <x:c r="C1020" s="15"/>
      <x:c r="D1020" s="15" t="str">
        <x:v>Property investor / home-buying operator</x:v>
      </x:c>
      <x:c r="E1020" s="15" t="str">
        <x:v>Property investor / operator inquiry</x:v>
      </x:c>
      <x:c r="F1020" s="17" t="str">
        <x:v>New</x:v>
      </x:c>
      <x:c r="G1020" s="24"/>
      <x:c r="H1020" s="24" t="str">
        <x:v>+14434894559</x:v>
      </x:c>
      <x:c r="I1020" s="24" t="str">
        <x:v>https://experthomebuyer.net/?utm_source=GoogleBusinessProfile&amp;utm_medium=organic</x:v>
      </x:c>
      <x:c r="J1020" s="16" t="str">
        <x:v>MD</x:v>
      </x:c>
      <x:c r="K1020" s="16" t="str">
        <x:v>Salisbury</x:v>
      </x:c>
      <x:c r="L1020" s="16" t="str">
        <x:v>Public property-business route; investor decision maker unconfirmed</x:v>
      </x:c>
      <x:c r="M1020" s="16" t="str">
        <x:v>https://experthomebuyer.net/?utm_source=GoogleBusinessProfile&amp;utm_medium=organic</x:v>
      </x:c>
      <x:c r="N1020" s="16" t="str">
        <x:v>$100K-$500K ticket not published / unconfirmed</x:v>
      </x:c>
      <x:c r="O1020" s="20"/>
      <x:c r="P1020" s="20"/>
      <x:c r="Q1020" s="25" t="str">
        <x:v>No direct corporate-capital range established in checked source</x:v>
      </x:c>
      <x:c r="R1020" s="25" t="str">
        <x:v>Property acquisition or investor activity makes this an operator-capital prospect for the signed trial. Confirm operating-company debt/equity appetite.</x:v>
      </x:c>
      <x:c r="S1020" s="25"/>
      <x:c r="T1020" s="25" t="str">
        <x:v>Ask the owner/investor whether they can allocate $100K-$500K to trial marketing and acquisitions, and confirm structure, timing and decision authority.</x:v>
      </x:c>
      <x:c r="U1020" s="25" t="str">
        <x:v>https://www.cashhomebuyersdirectory.com/cash-home-buyers/maryland/salisbury</x:v>
      </x:c>
      <x:c r="V1020" s="26" t="d">
        <x:v>2026-10-02T00:00:00.000Z</x:v>
      </x:c>
      <x:c r="W1020" s="26" t="d">
        <x:v>2026-10-02T00:00:00.000Z</x:v>
      </x:c>
      <x:c r="X1020" s="25" t="str">
        <x:v>CashHomeBuyersDirectory third-party business listing; first-party business activity not checked in this batch</x:v>
      </x:c>
      <x:c r="Y1020" s="25"/>
      <x:c r="Z1020" s="25" t="str">
        <x:v>https://www.cashhomebuyersdirectory.com/cash-home-buyers/maryland/salisbury</x:v>
      </x:c>
      <x:c r="AA1020" s="25" t="str">
        <x:v>Public cash-home-buyer directory lists the business name, business phone/website where available and market. Operator role and corporate funding willingness require confirmation.</x:v>
      </x:c>
      <x:c r="AB1020" s="3" t="str">
        <x:v>New public-source collection</x:v>
      </x:c>
      <x:c r="AC1020" s="3" t="str">
        <x:v>unverified</x:v>
      </x:c>
      <x:c r="AD1020" s="3" t="str">
        <x:v>Not contacted / unconfirmed</x:v>
      </x:c>
      <x:c r="AE1020" s="3" t="str">
        <x:v>No</x:v>
      </x:c>
      <x:c r="AF1020" s="3" t="str">
        <x:v>No</x:v>
      </x:c>
      <x:c r="AG1020" s="3"/>
      <x:c r="AH1020" s="3"/>
      <x:c r="AI1020" s="18"/>
      <x:c r="AJ1020" s="3" t="str">
        <x:v>CF2500-1CFCB1C60AA4</x:v>
      </x:c>
      <x:c r="AK1020" s="3" t="str">
        <x:v>real_estate_operator</x:v>
      </x:c>
      <x:c r="AL1020" s="19" t="n">
        <x:v>100000</x:v>
      </x:c>
      <x:c r="AM1020" s="19" t="n">
        <x:v>500000</x:v>
      </x:c>
      <x:c r="AN1020" s="3" t="str">
        <x:v>https://www.cashhomebuyersdirectory.com/cash-home-buyers/maryland/salisbury</x:v>
      </x:c>
      <x:c r="AO1020" s="3" t="str">
        <x:v>national_rest_directory_complete.jsonl</x:v>
      </x:c>
      <x:c r="AP1020" s="19"/>
    </x:row>
    <x:row r="1021" ht="36" customHeight="1">
      <x:c r="A1021" s="23" t="n">
        <x:v>1020</x:v>
      </x:c>
      <x:c r="B1021" s="15" t="str">
        <x:v>EZ Homebuyers</x:v>
      </x:c>
      <x:c r="C1021" s="15"/>
      <x:c r="D1021" s="15" t="str">
        <x:v>Property investor / home-buying operator</x:v>
      </x:c>
      <x:c r="E1021" s="15" t="str">
        <x:v>Property investor / operator inquiry</x:v>
      </x:c>
      <x:c r="F1021" s="17" t="str">
        <x:v>New</x:v>
      </x:c>
      <x:c r="G1021" s="24"/>
      <x:c r="H1021" s="24" t="str">
        <x:v>+18773999938</x:v>
      </x:c>
      <x:c r="I1021" s="24" t="str">
        <x:v>http://www.ezhomebuyersllc.com/</x:v>
      </x:c>
      <x:c r="J1021" s="16" t="str">
        <x:v>MD</x:v>
      </x:c>
      <x:c r="K1021" s="16" t="str">
        <x:v>Rockville</x:v>
      </x:c>
      <x:c r="L1021" s="16" t="str">
        <x:v>Public property-business route; investor decision maker unconfirmed</x:v>
      </x:c>
      <x:c r="M1021" s="16" t="str">
        <x:v>http://www.ezhomebuyersllc.com/</x:v>
      </x:c>
      <x:c r="N1021" s="16" t="str">
        <x:v>$100K-$500K ticket not published / unconfirmed</x:v>
      </x:c>
      <x:c r="O1021" s="20"/>
      <x:c r="P1021" s="20"/>
      <x:c r="Q1021" s="25" t="str">
        <x:v>No direct corporate-capital range established in checked source</x:v>
      </x:c>
      <x:c r="R1021" s="25" t="str">
        <x:v>Property acquisition or investor activity makes this an operator-capital prospect for the signed trial. Confirm operating-company debt/equity appetite.</x:v>
      </x:c>
      <x:c r="S1021" s="25"/>
      <x:c r="T1021" s="25" t="str">
        <x:v>Ask the owner/investor whether they can allocate $100K-$500K to trial marketing and acquisitions, and confirm structure, timing and decision authority.</x:v>
      </x:c>
      <x:c r="U1021" s="25" t="str">
        <x:v>https://www.cashhomebuyersdirectory.com/cash-home-buyers/maryland/rockville</x:v>
      </x:c>
      <x:c r="V1021" s="26" t="d">
        <x:v>2026-10-02T00:00:00.000Z</x:v>
      </x:c>
      <x:c r="W1021" s="26" t="d">
        <x:v>2026-10-02T00:00:00.000Z</x:v>
      </x:c>
      <x:c r="X1021" s="25" t="str">
        <x:v>CashHomeBuyersDirectory third-party business listing; first-party business activity not checked in this batch</x:v>
      </x:c>
      <x:c r="Y1021" s="25"/>
      <x:c r="Z1021" s="25" t="str">
        <x:v>https://www.cashhomebuyersdirectory.com/cash-home-buyers/maryland/rockville</x:v>
      </x:c>
      <x:c r="AA1021" s="25" t="str">
        <x:v>Public cash-home-buyer directory lists the business name, business phone/website where available and market. Operator role and corporate funding willingness require confirmation.</x:v>
      </x:c>
      <x:c r="AB1021" s="3" t="str">
        <x:v>New public-source collection</x:v>
      </x:c>
      <x:c r="AC1021" s="3" t="str">
        <x:v>unverified</x:v>
      </x:c>
      <x:c r="AD1021" s="3" t="str">
        <x:v>Not contacted / unconfirmed</x:v>
      </x:c>
      <x:c r="AE1021" s="3" t="str">
        <x:v>No</x:v>
      </x:c>
      <x:c r="AF1021" s="3" t="str">
        <x:v>No</x:v>
      </x:c>
      <x:c r="AG1021" s="3"/>
      <x:c r="AH1021" s="3"/>
      <x:c r="AI1021" s="18"/>
      <x:c r="AJ1021" s="3" t="str">
        <x:v>CF2500-5872B18296ED</x:v>
      </x:c>
      <x:c r="AK1021" s="3" t="str">
        <x:v>real_estate_operator</x:v>
      </x:c>
      <x:c r="AL1021" s="19" t="n">
        <x:v>100000</x:v>
      </x:c>
      <x:c r="AM1021" s="19" t="n">
        <x:v>500000</x:v>
      </x:c>
      <x:c r="AN1021" s="3" t="str">
        <x:v>https://www.cashhomebuyersdirectory.com/cash-home-buyers/maryland/rockville</x:v>
      </x:c>
      <x:c r="AO1021" s="3" t="str">
        <x:v>national_rest_directory_complete.jsonl</x:v>
      </x:c>
      <x:c r="AP1021" s="19"/>
    </x:row>
    <x:row r="1022" ht="36" customHeight="1">
      <x:c r="A1022" s="23" t="n">
        <x:v>1021</x:v>
      </x:c>
      <x:c r="B1022" s="15" t="str">
        <x:v>EZ Sell Homebuyers</x:v>
      </x:c>
      <x:c r="C1022" s="15"/>
      <x:c r="D1022" s="15" t="str">
        <x:v>Property investor / home-buying operator</x:v>
      </x:c>
      <x:c r="E1022" s="15" t="str">
        <x:v>Property investor / operator inquiry</x:v>
      </x:c>
      <x:c r="F1022" s="17" t="str">
        <x:v>New</x:v>
      </x:c>
      <x:c r="G1022" s="24"/>
      <x:c r="H1022" s="24" t="str">
        <x:v>+19375982274</x:v>
      </x:c>
      <x:c r="I1022" s="24" t="str">
        <x:v>https://www.ezsellhomebuyers.com/</x:v>
      </x:c>
      <x:c r="J1022" s="16" t="str">
        <x:v>OH</x:v>
      </x:c>
      <x:c r="K1022" s="16" t="str">
        <x:v>Springboro</x:v>
      </x:c>
      <x:c r="L1022" s="16" t="str">
        <x:v>Public property-business route; investor decision maker unconfirmed</x:v>
      </x:c>
      <x:c r="M1022" s="16" t="str">
        <x:v>https://www.ezsellhomebuyers.com/</x:v>
      </x:c>
      <x:c r="N1022" s="16" t="str">
        <x:v>$100K-$500K ticket not published / unconfirmed</x:v>
      </x:c>
      <x:c r="O1022" s="20"/>
      <x:c r="P1022" s="20"/>
      <x:c r="Q1022" s="25" t="str">
        <x:v>No direct corporate-capital range established in checked source</x:v>
      </x:c>
      <x:c r="R1022" s="25" t="str">
        <x:v>Property acquisition or investor activity makes this an operator-capital prospect for the signed trial. Confirm operating-company debt/equity appetite.</x:v>
      </x:c>
      <x:c r="S1022" s="25"/>
      <x:c r="T1022" s="25" t="str">
        <x:v>Ask the owner/investor whether they can allocate $100K-$500K to trial marketing and acquisitions, and confirm structure, timing and decision authority.</x:v>
      </x:c>
      <x:c r="U1022" s="25" t="str">
        <x:v>https://www.cashhomebuyersdirectory.com/cash-home-buyers/ohio/springboro</x:v>
      </x:c>
      <x:c r="V1022" s="26" t="d">
        <x:v>2026-10-02T00:00:00.000Z</x:v>
      </x:c>
      <x:c r="W1022" s="26" t="d">
        <x:v>2026-10-02T00:00:00.000Z</x:v>
      </x:c>
      <x:c r="X1022" s="25" t="str">
        <x:v>CashHomeBuyersDirectory third-party business listing; first-party business activity not checked in this batch</x:v>
      </x:c>
      <x:c r="Y1022" s="25"/>
      <x:c r="Z1022" s="25" t="str">
        <x:v>https://www.cashhomebuyersdirectory.com/cash-home-buyers/ohio/springboro</x:v>
      </x:c>
      <x:c r="AA1022" s="25" t="str">
        <x:v>Public cash-home-buyer directory lists the business name, business phone/website where available and market. Operator role and corporate funding willingness require confirmation.</x:v>
      </x:c>
      <x:c r="AB1022" s="3" t="str">
        <x:v>New public-source collection</x:v>
      </x:c>
      <x:c r="AC1022" s="3" t="str">
        <x:v>unverified</x:v>
      </x:c>
      <x:c r="AD1022" s="3" t="str">
        <x:v>Not contacted / unconfirmed</x:v>
      </x:c>
      <x:c r="AE1022" s="3" t="str">
        <x:v>No</x:v>
      </x:c>
      <x:c r="AF1022" s="3" t="str">
        <x:v>No</x:v>
      </x:c>
      <x:c r="AG1022" s="3"/>
      <x:c r="AH1022" s="3"/>
      <x:c r="AI1022" s="18"/>
      <x:c r="AJ1022" s="3" t="str">
        <x:v>CF2500-5567F8A3986F</x:v>
      </x:c>
      <x:c r="AK1022" s="3" t="str">
        <x:v>real_estate_operator</x:v>
      </x:c>
      <x:c r="AL1022" s="19" t="n">
        <x:v>100000</x:v>
      </x:c>
      <x:c r="AM1022" s="19" t="n">
        <x:v>500000</x:v>
      </x:c>
      <x:c r="AN1022" s="3" t="str">
        <x:v>https://www.cashhomebuyersdirectory.com/cash-home-buyers/ohio/springboro</x:v>
      </x:c>
      <x:c r="AO1022" s="3" t="str">
        <x:v>national_rest_directory_complete.jsonl</x:v>
      </x:c>
      <x:c r="AP1022" s="19"/>
    </x:row>
    <x:row r="1023" ht="36" customHeight="1">
      <x:c r="A1023" s="23" t="n">
        <x:v>1022</x:v>
      </x:c>
      <x:c r="B1023" s="15" t="str">
        <x:v>FAIR CASH OFFERS: NJ Home Buyers</x:v>
      </x:c>
      <x:c r="C1023" s="15"/>
      <x:c r="D1023" s="15" t="str">
        <x:v>Property investor / home-buying operator</x:v>
      </x:c>
      <x:c r="E1023" s="15" t="str">
        <x:v>Property investor / operator inquiry</x:v>
      </x:c>
      <x:c r="F1023" s="17" t="str">
        <x:v>New</x:v>
      </x:c>
      <x:c r="G1023" s="24"/>
      <x:c r="H1023" s="24" t="str">
        <x:v>+19735069866</x:v>
      </x:c>
      <x:c r="I1023" s="24" t="str">
        <x:v>https://www.faircashoffers.com/</x:v>
      </x:c>
      <x:c r="J1023" s="16" t="str">
        <x:v>NJ</x:v>
      </x:c>
      <x:c r="K1023" s="16"/>
      <x:c r="L1023" s="16" t="str">
        <x:v>Public property-business route; investor decision maker unconfirmed</x:v>
      </x:c>
      <x:c r="M1023" s="16" t="str">
        <x:v>https://www.faircashoffers.com/</x:v>
      </x:c>
      <x:c r="N1023" s="16" t="str">
        <x:v>$100K-$500K ticket not published / unconfirmed</x:v>
      </x:c>
      <x:c r="O1023" s="20"/>
      <x:c r="P1023" s="20"/>
      <x:c r="Q1023" s="25" t="str">
        <x:v>No direct corporate-capital range established in checked source</x:v>
      </x:c>
      <x:c r="R1023" s="25" t="str">
        <x:v>Property acquisition or investor activity makes this an operator-capital prospect for the signed trial. Confirm operating-company debt/equity appetite.</x:v>
      </x:c>
      <x:c r="S1023" s="25"/>
      <x:c r="T1023" s="25" t="str">
        <x:v>Ask the owner/investor whether they can allocate $100K-$500K to trial marketing and acquisitions, and confirm structure, timing and decision authority.</x:v>
      </x:c>
      <x:c r="U1023" s="25" t="str">
        <x:v>https://www.cashhomebuyersdirectory.com/cash-home-buyers/new-jersey/jersey-city</x:v>
      </x:c>
      <x:c r="V1023" s="26" t="d">
        <x:v>2026-10-02T00:00:00.000Z</x:v>
      </x:c>
      <x:c r="W1023" s="26" t="d">
        <x:v>2026-10-02T00:00:00.000Z</x:v>
      </x:c>
      <x:c r="X1023" s="25" t="str">
        <x:v>CashHomeBuyersDirectory third-party business listing; first-party business activity not checked in this batch</x:v>
      </x:c>
      <x:c r="Y1023" s="25"/>
      <x:c r="Z1023" s="25" t="str">
        <x:v>https://www.cashhomebuyersdirectory.com/cash-home-buyers/new-jersey/jersey-city</x:v>
      </x:c>
      <x:c r="AA1023" s="25" t="str">
        <x:v>Public cash-home-buyer directory lists the business name, business phone/website where available and market. Operator role and corporate funding willingness require confirmation.</x:v>
      </x:c>
      <x:c r="AB1023" s="3" t="str">
        <x:v>New public-source collection</x:v>
      </x:c>
      <x:c r="AC1023" s="3" t="str">
        <x:v>unverified</x:v>
      </x:c>
      <x:c r="AD1023" s="3" t="str">
        <x:v>Not contacted / unconfirmed</x:v>
      </x:c>
      <x:c r="AE1023" s="3" t="str">
        <x:v>No</x:v>
      </x:c>
      <x:c r="AF1023" s="3" t="str">
        <x:v>No</x:v>
      </x:c>
      <x:c r="AG1023" s="3"/>
      <x:c r="AH1023" s="3"/>
      <x:c r="AI1023" s="18"/>
      <x:c r="AJ1023" s="3" t="str">
        <x:v>CF2500-09519E29F30E</x:v>
      </x:c>
      <x:c r="AK1023" s="3" t="str">
        <x:v>real_estate_operator</x:v>
      </x:c>
      <x:c r="AL1023" s="19" t="n">
        <x:v>100000</x:v>
      </x:c>
      <x:c r="AM1023" s="19" t="n">
        <x:v>500000</x:v>
      </x:c>
      <x:c r="AN1023" s="3" t="str">
        <x:v>https://www.cashhomebuyersdirectory.com/cash-home-buyers/new-jersey/jersey-city</x:v>
      </x:c>
      <x:c r="AO1023" s="3" t="str">
        <x:v>national_rest_directory_complete.jsonl</x:v>
      </x:c>
      <x:c r="AP1023" s="19"/>
    </x:row>
    <x:row r="1024" ht="36" customHeight="1">
      <x:c r="A1024" s="23" t="n">
        <x:v>1023</x:v>
      </x:c>
      <x:c r="B1024" s="15" t="str">
        <x:v>Fairview Home Buyers - Sell Fast For Cash</x:v>
      </x:c>
      <x:c r="C1024" s="15"/>
      <x:c r="D1024" s="15" t="str">
        <x:v>Property investor / home-buying operator</x:v>
      </x:c>
      <x:c r="E1024" s="15" t="str">
        <x:v>Property investor / operator inquiry</x:v>
      </x:c>
      <x:c r="F1024" s="17" t="str">
        <x:v>New</x:v>
      </x:c>
      <x:c r="G1024" s="24"/>
      <x:c r="H1024" s="24" t="str">
        <x:v>+19852027271</x:v>
      </x:c>
      <x:c r="I1024" s="24" t="str">
        <x:v>https://www.fairviewhomebuyers.com/</x:v>
      </x:c>
      <x:c r="J1024" s="16" t="str">
        <x:v>MS</x:v>
      </x:c>
      <x:c r="K1024" s="16"/>
      <x:c r="L1024" s="16" t="str">
        <x:v>Public property-business route; investor decision maker unconfirmed</x:v>
      </x:c>
      <x:c r="M1024" s="16" t="str">
        <x:v>https://www.fairviewhomebuyers.com/</x:v>
      </x:c>
      <x:c r="N1024" s="16" t="str">
        <x:v>$100K-$500K ticket not published / unconfirmed</x:v>
      </x:c>
      <x:c r="O1024" s="20"/>
      <x:c r="P1024" s="20"/>
      <x:c r="Q1024" s="25" t="str">
        <x:v>No direct corporate-capital range established in checked source</x:v>
      </x:c>
      <x:c r="R1024" s="25" t="str">
        <x:v>Property acquisition or investor activity makes this an operator-capital prospect for the signed trial. Confirm operating-company debt/equity appetite.</x:v>
      </x:c>
      <x:c r="S1024" s="25"/>
      <x:c r="T1024" s="25" t="str">
        <x:v>Ask the owner/investor whether they can allocate $100K-$500K to trial marketing and acquisitions, and confirm structure, timing and decision authority.</x:v>
      </x:c>
      <x:c r="U1024" s="25" t="str">
        <x:v>https://www.cashhomebuyersdirectory.com/cash-home-buyers/mississippi/gulfport</x:v>
      </x:c>
      <x:c r="V1024" s="26" t="d">
        <x:v>2026-10-02T00:00:00.000Z</x:v>
      </x:c>
      <x:c r="W1024" s="26" t="d">
        <x:v>2026-10-02T00:00:00.000Z</x:v>
      </x:c>
      <x:c r="X1024" s="25" t="str">
        <x:v>CashHomeBuyersDirectory third-party business listing; first-party business activity not checked in this batch</x:v>
      </x:c>
      <x:c r="Y1024" s="25"/>
      <x:c r="Z1024" s="25" t="str">
        <x:v>https://www.cashhomebuyersdirectory.com/cash-home-buyers/mississippi/gulfport</x:v>
      </x:c>
      <x:c r="AA1024" s="25" t="str">
        <x:v>Public cash-home-buyer directory lists the business name, business phone/website where available and market. Operator role and corporate funding willingness require confirmation.</x:v>
      </x:c>
      <x:c r="AB1024" s="3" t="str">
        <x:v>New public-source collection</x:v>
      </x:c>
      <x:c r="AC1024" s="3" t="str">
        <x:v>unverified</x:v>
      </x:c>
      <x:c r="AD1024" s="3" t="str">
        <x:v>Not contacted / unconfirmed</x:v>
      </x:c>
      <x:c r="AE1024" s="3" t="str">
        <x:v>No</x:v>
      </x:c>
      <x:c r="AF1024" s="3" t="str">
        <x:v>No</x:v>
      </x:c>
      <x:c r="AG1024" s="3"/>
      <x:c r="AH1024" s="3"/>
      <x:c r="AI1024" s="18"/>
      <x:c r="AJ1024" s="3" t="str">
        <x:v>CF2500-F5F6E9AF6744</x:v>
      </x:c>
      <x:c r="AK1024" s="3" t="str">
        <x:v>real_estate_operator</x:v>
      </x:c>
      <x:c r="AL1024" s="19" t="n">
        <x:v>100000</x:v>
      </x:c>
      <x:c r="AM1024" s="19" t="n">
        <x:v>500000</x:v>
      </x:c>
      <x:c r="AN1024" s="3" t="str">
        <x:v>https://www.cashhomebuyersdirectory.com/cash-home-buyers/mississippi/gulfport</x:v>
      </x:c>
      <x:c r="AO1024" s="3" t="str">
        <x:v>national_rest_directory_complete.jsonl</x:v>
      </x:c>
      <x:c r="AP1024" s="19"/>
    </x:row>
    <x:row r="1025" ht="36" customHeight="1">
      <x:c r="A1025" s="23" t="n">
        <x:v>1024</x:v>
      </x:c>
      <x:c r="B1025" s="15" t="str">
        <x:v>Fairway Home Buyers</x:v>
      </x:c>
      <x:c r="C1025" s="15"/>
      <x:c r="D1025" s="15" t="str">
        <x:v>Property investor / home-buying operator</x:v>
      </x:c>
      <x:c r="E1025" s="15" t="str">
        <x:v>Property investor / operator inquiry</x:v>
      </x:c>
      <x:c r="F1025" s="17" t="str">
        <x:v>New</x:v>
      </x:c>
      <x:c r="G1025" s="24"/>
      <x:c r="H1025" s="24" t="str">
        <x:v>+12539999432</x:v>
      </x:c>
      <x:c r="I1025" s="24" t="str">
        <x:v>https://www.soundhomebuyer.com/sell-your-house-fast-tacoma-washington/</x:v>
      </x:c>
      <x:c r="J1025" s="16" t="str">
        <x:v>WA</x:v>
      </x:c>
      <x:c r="K1025" s="16" t="str">
        <x:v>Tacoma</x:v>
      </x:c>
      <x:c r="L1025" s="16" t="str">
        <x:v>Public property-business route; investor decision maker unconfirmed</x:v>
      </x:c>
      <x:c r="M1025" s="16" t="str">
        <x:v>https://www.soundhomebuyer.com/sell-your-house-fast-tacoma-washington/</x:v>
      </x:c>
      <x:c r="N1025" s="16" t="str">
        <x:v>$100K-$500K ticket not published / unconfirmed</x:v>
      </x:c>
      <x:c r="O1025" s="20"/>
      <x:c r="P1025" s="20"/>
      <x:c r="Q1025" s="25" t="str">
        <x:v>No direct corporate-capital range established in checked source</x:v>
      </x:c>
      <x:c r="R1025" s="25" t="str">
        <x:v>Property acquisition or investor activity makes this an operator-capital prospect for the signed trial. Confirm operating-company debt/equity appetite.</x:v>
      </x:c>
      <x:c r="S1025" s="25"/>
      <x:c r="T1025" s="25" t="str">
        <x:v>Ask the owner/investor whether they can allocate $100K-$500K to trial marketing and acquisitions, and confirm structure, timing and decision authority.</x:v>
      </x:c>
      <x:c r="U1025" s="25" t="str">
        <x:v>https://www.cashhomebuyersdirectory.com/cash-home-buyers/washington/tacoma</x:v>
      </x:c>
      <x:c r="V1025" s="26" t="d">
        <x:v>2026-10-02T00:00:00.000Z</x:v>
      </x:c>
      <x:c r="W1025" s="26" t="d">
        <x:v>2026-10-02T00:00:00.000Z</x:v>
      </x:c>
      <x:c r="X1025" s="25" t="str">
        <x:v>CashHomeBuyersDirectory third-party business listing; first-party business activity not checked in this batch</x:v>
      </x:c>
      <x:c r="Y1025" s="25"/>
      <x:c r="Z1025" s="25" t="str">
        <x:v>https://www.cashhomebuyersdirectory.com/cash-home-buyers/washington/tacoma</x:v>
      </x:c>
      <x:c r="AA1025" s="25" t="str">
        <x:v>Public cash-home-buyer directory lists the business name, business phone/website where available and market. Operator role and corporate funding willingness require confirmation.</x:v>
      </x:c>
      <x:c r="AB1025" s="3" t="str">
        <x:v>New public-source collection</x:v>
      </x:c>
      <x:c r="AC1025" s="3" t="str">
        <x:v>unverified</x:v>
      </x:c>
      <x:c r="AD1025" s="3" t="str">
        <x:v>Not contacted / unconfirmed</x:v>
      </x:c>
      <x:c r="AE1025" s="3" t="str">
        <x:v>No</x:v>
      </x:c>
      <x:c r="AF1025" s="3" t="str">
        <x:v>No</x:v>
      </x:c>
      <x:c r="AG1025" s="3"/>
      <x:c r="AH1025" s="3"/>
      <x:c r="AI1025" s="18"/>
      <x:c r="AJ1025" s="3" t="str">
        <x:v>CF2500-6C274D3DD16C</x:v>
      </x:c>
      <x:c r="AK1025" s="3" t="str">
        <x:v>real_estate_operator</x:v>
      </x:c>
      <x:c r="AL1025" s="19" t="n">
        <x:v>100000</x:v>
      </x:c>
      <x:c r="AM1025" s="19" t="n">
        <x:v>500000</x:v>
      </x:c>
      <x:c r="AN1025" s="3" t="str">
        <x:v>https://www.cashhomebuyersdirectory.com/cash-home-buyers/washington/tacoma</x:v>
      </x:c>
      <x:c r="AO1025" s="3" t="str">
        <x:v>national_rest_directory_complete.jsonl</x:v>
      </x:c>
      <x:c r="AP1025" s="19"/>
    </x:row>
    <x:row r="1026" ht="36" customHeight="1">
      <x:c r="A1026" s="23" t="n">
        <x:v>1025</x:v>
      </x:c>
      <x:c r="B1026" s="15" t="str">
        <x:v>FAMILY OWNED HOME BUYERS</x:v>
      </x:c>
      <x:c r="C1026" s="15"/>
      <x:c r="D1026" s="15" t="str">
        <x:v>Property investor / home-buying operator</x:v>
      </x:c>
      <x:c r="E1026" s="15" t="str">
        <x:v>Property investor / operator inquiry</x:v>
      </x:c>
      <x:c r="F1026" s="17" t="str">
        <x:v>New</x:v>
      </x:c>
      <x:c r="G1026" s="24"/>
      <x:c r="H1026" s="24" t="str">
        <x:v>+13022512251</x:v>
      </x:c>
      <x:c r="I1026" s="24" t="str">
        <x:v>https://www.familyownedhomebuyers.com/?UTM_source=GBP_Listing&amp;UTM_medium=Organic</x:v>
      </x:c>
      <x:c r="J1026" s="16" t="str">
        <x:v>DE</x:v>
      </x:c>
      <x:c r="K1026" s="16"/>
      <x:c r="L1026" s="16" t="str">
        <x:v>Public property-business route; investor decision maker unconfirmed</x:v>
      </x:c>
      <x:c r="M1026" s="16" t="str">
        <x:v>https://www.familyownedhomebuyers.com/?UTM_source=GBP_Listing&amp;UTM_medium=Organic</x:v>
      </x:c>
      <x:c r="N1026" s="16" t="str">
        <x:v>$100K-$500K ticket not published / unconfirmed</x:v>
      </x:c>
      <x:c r="O1026" s="20"/>
      <x:c r="P1026" s="20"/>
      <x:c r="Q1026" s="25" t="str">
        <x:v>No direct corporate-capital range established in checked source</x:v>
      </x:c>
      <x:c r="R1026" s="25" t="str">
        <x:v>Property acquisition or investor activity makes this an operator-capital prospect for the signed trial. Confirm operating-company debt/equity appetite.</x:v>
      </x:c>
      <x:c r="S1026" s="25"/>
      <x:c r="T1026" s="25" t="str">
        <x:v>Ask the owner/investor whether they can allocate $100K-$500K to trial marketing and acquisitions, and confirm structure, timing and decision authority.</x:v>
      </x:c>
      <x:c r="U1026" s="25" t="str">
        <x:v>https://www.cashhomebuyersdirectory.com/cash-home-buyers/delaware/wilmington</x:v>
      </x:c>
      <x:c r="V1026" s="26" t="d">
        <x:v>2026-10-02T00:00:00.000Z</x:v>
      </x:c>
      <x:c r="W1026" s="26" t="d">
        <x:v>2026-10-02T00:00:00.000Z</x:v>
      </x:c>
      <x:c r="X1026" s="25" t="str">
        <x:v>CashHomeBuyersDirectory third-party business listing; first-party business activity not checked in this batch</x:v>
      </x:c>
      <x:c r="Y1026" s="25"/>
      <x:c r="Z1026" s="25" t="str">
        <x:v>https://www.cashhomebuyersdirectory.com/cash-home-buyers/delaware/wilmington</x:v>
      </x:c>
      <x:c r="AA1026" s="25" t="str">
        <x:v>Public cash-home-buyer directory lists the business name, business phone/website where available and market. Operator role and corporate funding willingness require confirmation.</x:v>
      </x:c>
      <x:c r="AB1026" s="3" t="str">
        <x:v>New public-source collection</x:v>
      </x:c>
      <x:c r="AC1026" s="3" t="str">
        <x:v>unverified</x:v>
      </x:c>
      <x:c r="AD1026" s="3" t="str">
        <x:v>Not contacted / unconfirmed</x:v>
      </x:c>
      <x:c r="AE1026" s="3" t="str">
        <x:v>No</x:v>
      </x:c>
      <x:c r="AF1026" s="3" t="str">
        <x:v>No</x:v>
      </x:c>
      <x:c r="AG1026" s="3"/>
      <x:c r="AH1026" s="3"/>
      <x:c r="AI1026" s="18"/>
      <x:c r="AJ1026" s="3" t="str">
        <x:v>CF2500-F0509F8B4F4A</x:v>
      </x:c>
      <x:c r="AK1026" s="3" t="str">
        <x:v>real_estate_operator</x:v>
      </x:c>
      <x:c r="AL1026" s="19" t="n">
        <x:v>100000</x:v>
      </x:c>
      <x:c r="AM1026" s="19" t="n">
        <x:v>500000</x:v>
      </x:c>
      <x:c r="AN1026" s="3" t="str">
        <x:v>https://www.cashhomebuyersdirectory.com/cash-home-buyers/delaware/wilmington</x:v>
      </x:c>
      <x:c r="AO1026" s="3" t="str">
        <x:v>national_rest_directory_complete.jsonl</x:v>
      </x:c>
      <x:c r="AP1026" s="19"/>
    </x:row>
    <x:row r="1027" ht="36" customHeight="1">
      <x:c r="A1027" s="23" t="n">
        <x:v>1026</x:v>
      </x:c>
      <x:c r="B1027" s="15" t="str">
        <x:v>Fargo Home Buyers</x:v>
      </x:c>
      <x:c r="C1027" s="15"/>
      <x:c r="D1027" s="15" t="str">
        <x:v>Property investor / home-buying operator</x:v>
      </x:c>
      <x:c r="E1027" s="15" t="str">
        <x:v>Property investor / operator inquiry</x:v>
      </x:c>
      <x:c r="F1027" s="17" t="str">
        <x:v>New</x:v>
      </x:c>
      <x:c r="G1027" s="24"/>
      <x:c r="H1027" s="24" t="str">
        <x:v>+17012055779</x:v>
      </x:c>
      <x:c r="I1027" s="24" t="str">
        <x:v>http://www.fargohomebuyers.com/</x:v>
      </x:c>
      <x:c r="J1027" s="16" t="str">
        <x:v>ND</x:v>
      </x:c>
      <x:c r="K1027" s="16" t="str">
        <x:v>Fargo</x:v>
      </x:c>
      <x:c r="L1027" s="16" t="str">
        <x:v>Public property-business route; investor decision maker unconfirmed</x:v>
      </x:c>
      <x:c r="M1027" s="16" t="str">
        <x:v>http://www.fargohomebuyers.com/</x:v>
      </x:c>
      <x:c r="N1027" s="16" t="str">
        <x:v>$100K-$500K ticket not published / unconfirmed</x:v>
      </x:c>
      <x:c r="O1027" s="20"/>
      <x:c r="P1027" s="20"/>
      <x:c r="Q1027" s="25" t="str">
        <x:v>No direct corporate-capital range established in checked source</x:v>
      </x:c>
      <x:c r="R1027" s="25" t="str">
        <x:v>Property acquisition or investor activity makes this an operator-capital prospect for the signed trial. Confirm operating-company debt/equity appetite.</x:v>
      </x:c>
      <x:c r="S1027" s="25"/>
      <x:c r="T1027" s="25" t="str">
        <x:v>Ask the owner/investor whether they can allocate $100K-$500K to trial marketing and acquisitions, and confirm structure, timing and decision authority.</x:v>
      </x:c>
      <x:c r="U1027" s="25" t="str">
        <x:v>https://www.cashhomebuyersdirectory.com/cash-home-buyers/north-dakota/fargo</x:v>
      </x:c>
      <x:c r="V1027" s="26" t="d">
        <x:v>2026-10-02T00:00:00.000Z</x:v>
      </x:c>
      <x:c r="W1027" s="26" t="d">
        <x:v>2026-10-02T00:00:00.000Z</x:v>
      </x:c>
      <x:c r="X1027" s="25" t="str">
        <x:v>CashHomeBuyersDirectory third-party business listing; first-party business activity not checked in this batch</x:v>
      </x:c>
      <x:c r="Y1027" s="25"/>
      <x:c r="Z1027" s="25" t="str">
        <x:v>https://www.cashhomebuyersdirectory.com/cash-home-buyers/north-dakota/fargo</x:v>
      </x:c>
      <x:c r="AA1027" s="25" t="str">
        <x:v>Public cash-home-buyer directory lists the business name, business phone/website where available and market. Operator role and corporate funding willingness require confirmation.</x:v>
      </x:c>
      <x:c r="AB1027" s="3" t="str">
        <x:v>New public-source collection</x:v>
      </x:c>
      <x:c r="AC1027" s="3" t="str">
        <x:v>unverified</x:v>
      </x:c>
      <x:c r="AD1027" s="3" t="str">
        <x:v>Not contacted / unconfirmed</x:v>
      </x:c>
      <x:c r="AE1027" s="3" t="str">
        <x:v>No</x:v>
      </x:c>
      <x:c r="AF1027" s="3" t="str">
        <x:v>No</x:v>
      </x:c>
      <x:c r="AG1027" s="3"/>
      <x:c r="AH1027" s="3"/>
      <x:c r="AI1027" s="18"/>
      <x:c r="AJ1027" s="3" t="str">
        <x:v>CF2500-DA3342101390</x:v>
      </x:c>
      <x:c r="AK1027" s="3" t="str">
        <x:v>real_estate_operator</x:v>
      </x:c>
      <x:c r="AL1027" s="19" t="n">
        <x:v>100000</x:v>
      </x:c>
      <x:c r="AM1027" s="19" t="n">
        <x:v>500000</x:v>
      </x:c>
      <x:c r="AN1027" s="3" t="str">
        <x:v>https://www.cashhomebuyersdirectory.com/cash-home-buyers/north-dakota/fargo</x:v>
      </x:c>
      <x:c r="AO1027" s="3" t="str">
        <x:v>national_rest_directory_complete.jsonl</x:v>
      </x:c>
      <x:c r="AP1027" s="19"/>
    </x:row>
    <x:row r="1028" ht="36" customHeight="1">
      <x:c r="A1028" s="23" t="n">
        <x:v>1027</x:v>
      </x:c>
      <x:c r="B1028" s="15" t="str">
        <x:v>Fast Home Buyer California</x:v>
      </x:c>
      <x:c r="C1028" s="15"/>
      <x:c r="D1028" s="15" t="str">
        <x:v>Property investor / home-buying operator</x:v>
      </x:c>
      <x:c r="E1028" s="15" t="str">
        <x:v>Property investor / operator inquiry</x:v>
      </x:c>
      <x:c r="F1028" s="17" t="str">
        <x:v>New</x:v>
      </x:c>
      <x:c r="G1028" s="24"/>
      <x:c r="H1028" s="24" t="str">
        <x:v>+19162353805</x:v>
      </x:c>
      <x:c r="I1028" s="24" t="str">
        <x:v>https://fasthomebuyercalifornia.com/sell-my-house-fast-sacramento</x:v>
      </x:c>
      <x:c r="J1028" s="16" t="str">
        <x:v>CA</x:v>
      </x:c>
      <x:c r="K1028" s="16" t="str">
        <x:v>Sacramento</x:v>
      </x:c>
      <x:c r="L1028" s="16" t="str">
        <x:v>Public property-business route; investor decision maker unconfirmed</x:v>
      </x:c>
      <x:c r="M1028" s="16" t="str">
        <x:v>https://fasthomebuyercalifornia.com/sell-my-house-fast-sacramento</x:v>
      </x:c>
      <x:c r="N1028" s="16" t="str">
        <x:v>$100K-$500K ticket not published / unconfirmed</x:v>
      </x:c>
      <x:c r="O1028" s="20"/>
      <x:c r="P1028" s="20"/>
      <x:c r="Q1028" s="25" t="str">
        <x:v>No direct corporate-capital range established in checked source</x:v>
      </x:c>
      <x:c r="R1028" s="25" t="str">
        <x:v>Property acquisition or investor activity makes this an operator-capital prospect for the signed trial. Confirm operating-company debt/equity appetite.</x:v>
      </x:c>
      <x:c r="S1028" s="25"/>
      <x:c r="T1028" s="25" t="str">
        <x:v>Ask the owner/investor whether they can allocate $100K-$500K to trial marketing and acquisitions, and confirm structure, timing and decision authority.</x:v>
      </x:c>
      <x:c r="U1028" s="25" t="str">
        <x:v>https://www.cashhomebuyersdirectory.com/cash-home-buyers/california/sacramento</x:v>
      </x:c>
      <x:c r="V1028" s="26" t="d">
        <x:v>2026-10-02T00:00:00.000Z</x:v>
      </x:c>
      <x:c r="W1028" s="26" t="d">
        <x:v>2026-10-02T00:00:00.000Z</x:v>
      </x:c>
      <x:c r="X1028" s="25" t="str">
        <x:v>CashHomeBuyersDirectory third-party business listing; first-party business activity not checked in this batch</x:v>
      </x:c>
      <x:c r="Y1028" s="25"/>
      <x:c r="Z1028" s="25" t="str">
        <x:v>https://www.cashhomebuyersdirectory.com/cash-home-buyers/california/sacramento</x:v>
      </x:c>
      <x:c r="AA1028" s="25" t="str">
        <x:v>Public cash-home-buyer directory lists the business name, business phone/website where available and market. Operator role and corporate funding willingness require confirmation.</x:v>
      </x:c>
      <x:c r="AB1028" s="3" t="str">
        <x:v>New public-source collection</x:v>
      </x:c>
      <x:c r="AC1028" s="3" t="str">
        <x:v>unverified</x:v>
      </x:c>
      <x:c r="AD1028" s="3" t="str">
        <x:v>Not contacted / unconfirmed</x:v>
      </x:c>
      <x:c r="AE1028" s="3" t="str">
        <x:v>No</x:v>
      </x:c>
      <x:c r="AF1028" s="3" t="str">
        <x:v>No</x:v>
      </x:c>
      <x:c r="AG1028" s="3"/>
      <x:c r="AH1028" s="3"/>
      <x:c r="AI1028" s="18"/>
      <x:c r="AJ1028" s="3" t="str">
        <x:v>CF2500-0535DC95A073</x:v>
      </x:c>
      <x:c r="AK1028" s="3" t="str">
        <x:v>real_estate_operator</x:v>
      </x:c>
      <x:c r="AL1028" s="19" t="n">
        <x:v>100000</x:v>
      </x:c>
      <x:c r="AM1028" s="19" t="n">
        <x:v>500000</x:v>
      </x:c>
      <x:c r="AN1028" s="3" t="str">
        <x:v>https://www.cashhomebuyersdirectory.com/cash-home-buyers/california/sacramento</x:v>
      </x:c>
      <x:c r="AO1028" s="3" t="str">
        <x:v>national_rest_directory_complete.jsonl</x:v>
      </x:c>
      <x:c r="AP1028" s="19"/>
    </x:row>
    <x:row r="1029" ht="36" customHeight="1">
      <x:c r="A1029" s="23" t="n">
        <x:v>1028</x:v>
      </x:c>
      <x:c r="B1029" s="15" t="str">
        <x:v>Fast Homebuyers</x:v>
      </x:c>
      <x:c r="C1029" s="15"/>
      <x:c r="D1029" s="15" t="str">
        <x:v>Property investor / home-buying operator</x:v>
      </x:c>
      <x:c r="E1029" s="15" t="str">
        <x:v>Property investor / operator inquiry</x:v>
      </x:c>
      <x:c r="F1029" s="17" t="str">
        <x:v>New</x:v>
      </x:c>
      <x:c r="G1029" s="24"/>
      <x:c r="H1029" s="24" t="str">
        <x:v>+12408445500</x:v>
      </x:c>
      <x:c r="I1029" s="24" t="str">
        <x:v>http://www.fasthomebuyers.com/</x:v>
      </x:c>
      <x:c r="J1029" s="16" t="str">
        <x:v>MD</x:v>
      </x:c>
      <x:c r="K1029" s="16" t="str">
        <x:v>Largo</x:v>
      </x:c>
      <x:c r="L1029" s="16" t="str">
        <x:v>Public property-business route; investor decision maker unconfirmed</x:v>
      </x:c>
      <x:c r="M1029" s="16" t="str">
        <x:v>http://www.fasthomebuyers.com/</x:v>
      </x:c>
      <x:c r="N1029" s="16" t="str">
        <x:v>$100K-$500K ticket not published / unconfirmed</x:v>
      </x:c>
      <x:c r="O1029" s="20"/>
      <x:c r="P1029" s="20"/>
      <x:c r="Q1029" s="25" t="str">
        <x:v>No direct corporate-capital range established in checked source</x:v>
      </x:c>
      <x:c r="R1029" s="25" t="str">
        <x:v>Property acquisition or investor activity makes this an operator-capital prospect for the signed trial. Confirm operating-company debt/equity appetite.</x:v>
      </x:c>
      <x:c r="S1029" s="25"/>
      <x:c r="T1029" s="25" t="str">
        <x:v>Ask the owner/investor whether they can allocate $100K-$500K to trial marketing and acquisitions, and confirm structure, timing and decision authority.</x:v>
      </x:c>
      <x:c r="U1029" s="25" t="str">
        <x:v>https://www.cashhomebuyersdirectory.com/cash-home-buyers/maryland/largo</x:v>
      </x:c>
      <x:c r="V1029" s="26" t="d">
        <x:v>2026-10-02T00:00:00.000Z</x:v>
      </x:c>
      <x:c r="W1029" s="26" t="d">
        <x:v>2026-10-02T00:00:00.000Z</x:v>
      </x:c>
      <x:c r="X1029" s="25" t="str">
        <x:v>CashHomeBuyersDirectory third-party business listing; first-party business activity not checked in this batch</x:v>
      </x:c>
      <x:c r="Y1029" s="25"/>
      <x:c r="Z1029" s="25" t="str">
        <x:v>https://www.cashhomebuyersdirectory.com/cash-home-buyers/maryland/largo</x:v>
      </x:c>
      <x:c r="AA1029" s="25" t="str">
        <x:v>Public cash-home-buyer directory lists the business name, business phone/website where available and market. Operator role and corporate funding willingness require confirmation.</x:v>
      </x:c>
      <x:c r="AB1029" s="3" t="str">
        <x:v>New public-source collection</x:v>
      </x:c>
      <x:c r="AC1029" s="3" t="str">
        <x:v>unverified</x:v>
      </x:c>
      <x:c r="AD1029" s="3" t="str">
        <x:v>Not contacted / unconfirmed</x:v>
      </x:c>
      <x:c r="AE1029" s="3" t="str">
        <x:v>No</x:v>
      </x:c>
      <x:c r="AF1029" s="3" t="str">
        <x:v>No</x:v>
      </x:c>
      <x:c r="AG1029" s="3"/>
      <x:c r="AH1029" s="3"/>
      <x:c r="AI1029" s="18"/>
      <x:c r="AJ1029" s="3" t="str">
        <x:v>CF2500-570613A52A8D</x:v>
      </x:c>
      <x:c r="AK1029" s="3" t="str">
        <x:v>real_estate_operator</x:v>
      </x:c>
      <x:c r="AL1029" s="19" t="n">
        <x:v>100000</x:v>
      </x:c>
      <x:c r="AM1029" s="19" t="n">
        <x:v>500000</x:v>
      </x:c>
      <x:c r="AN1029" s="3" t="str">
        <x:v>https://www.cashhomebuyersdirectory.com/cash-home-buyers/maryland/largo</x:v>
      </x:c>
      <x:c r="AO1029" s="3" t="str">
        <x:v>national_rest_directory_complete.jsonl</x:v>
      </x:c>
      <x:c r="AP1029" s="19"/>
    </x:row>
    <x:row r="1030" ht="36" customHeight="1">
      <x:c r="A1030" s="23" t="n">
        <x:v>1029</x:v>
      </x:c>
      <x:c r="B1030" s="15" t="str">
        <x:v>Fast Vegas Home Buyers</x:v>
      </x:c>
      <x:c r="C1030" s="15"/>
      <x:c r="D1030" s="15" t="str">
        <x:v>Property investor / home-buying operator</x:v>
      </x:c>
      <x:c r="E1030" s="15" t="str">
        <x:v>Property investor / operator inquiry</x:v>
      </x:c>
      <x:c r="F1030" s="17" t="str">
        <x:v>New</x:v>
      </x:c>
      <x:c r="G1030" s="24"/>
      <x:c r="H1030" s="24" t="str">
        <x:v>+17027457779</x:v>
      </x:c>
      <x:c r="I1030" s="24" t="str">
        <x:v>http://www.fastvegashomebuyers.com/i/jzDx/</x:v>
      </x:c>
      <x:c r="J1030" s="16" t="str">
        <x:v>NV</x:v>
      </x:c>
      <x:c r="K1030" s="16" t="str">
        <x:v>Las Vegas</x:v>
      </x:c>
      <x:c r="L1030" s="16" t="str">
        <x:v>Public property-business route; investor decision maker unconfirmed</x:v>
      </x:c>
      <x:c r="M1030" s="16" t="str">
        <x:v>http://www.fastvegashomebuyers.com/i/jzDx/</x:v>
      </x:c>
      <x:c r="N1030" s="16" t="str">
        <x:v>$100K-$500K ticket not published / unconfirmed</x:v>
      </x:c>
      <x:c r="O1030" s="20"/>
      <x:c r="P1030" s="20"/>
      <x:c r="Q1030" s="25" t="str">
        <x:v>No direct corporate-capital range established in checked source</x:v>
      </x:c>
      <x:c r="R1030" s="25" t="str">
        <x:v>Property acquisition or investor activity makes this an operator-capital prospect for the signed trial. Confirm operating-company debt/equity appetite.</x:v>
      </x:c>
      <x:c r="S1030" s="25"/>
      <x:c r="T1030" s="25" t="str">
        <x:v>Ask the owner/investor whether they can allocate $100K-$500K to trial marketing and acquisitions, and confirm structure, timing and decision authority.</x:v>
      </x:c>
      <x:c r="U1030" s="25" t="str">
        <x:v>https://www.cashhomebuyersdirectory.com/cash-home-buyers/nevada/las-vegas</x:v>
      </x:c>
      <x:c r="V1030" s="26" t="d">
        <x:v>2026-10-02T00:00:00.000Z</x:v>
      </x:c>
      <x:c r="W1030" s="26" t="d">
        <x:v>2026-10-02T00:00:00.000Z</x:v>
      </x:c>
      <x:c r="X1030" s="25" t="str">
        <x:v>CashHomeBuyersDirectory third-party business listing; first-party business activity not checked in this batch</x:v>
      </x:c>
      <x:c r="Y1030" s="25"/>
      <x:c r="Z1030" s="25" t="str">
        <x:v>https://www.cashhomebuyersdirectory.com/cash-home-buyers/nevada/las-vegas</x:v>
      </x:c>
      <x:c r="AA1030" s="25" t="str">
        <x:v>Public cash-home-buyer directory lists the business name, business phone/website where available and market. Operator role and corporate funding willingness require confirmation.</x:v>
      </x:c>
      <x:c r="AB1030" s="3" t="str">
        <x:v>New public-source collection</x:v>
      </x:c>
      <x:c r="AC1030" s="3" t="str">
        <x:v>unverified</x:v>
      </x:c>
      <x:c r="AD1030" s="3" t="str">
        <x:v>Not contacted / unconfirmed</x:v>
      </x:c>
      <x:c r="AE1030" s="3" t="str">
        <x:v>No</x:v>
      </x:c>
      <x:c r="AF1030" s="3" t="str">
        <x:v>No</x:v>
      </x:c>
      <x:c r="AG1030" s="3"/>
      <x:c r="AH1030" s="3"/>
      <x:c r="AI1030" s="18"/>
      <x:c r="AJ1030" s="3" t="str">
        <x:v>CF2500-0A64BEDDFCB8</x:v>
      </x:c>
      <x:c r="AK1030" s="3" t="str">
        <x:v>real_estate_operator</x:v>
      </x:c>
      <x:c r="AL1030" s="19" t="n">
        <x:v>100000</x:v>
      </x:c>
      <x:c r="AM1030" s="19" t="n">
        <x:v>500000</x:v>
      </x:c>
      <x:c r="AN1030" s="3" t="str">
        <x:v>https://www.cashhomebuyersdirectory.com/cash-home-buyers/nevada/las-vegas</x:v>
      </x:c>
      <x:c r="AO1030" s="3" t="str">
        <x:v>national_rest_directory_complete.jsonl</x:v>
      </x:c>
      <x:c r="AP1030" s="19"/>
    </x:row>
    <x:row r="1031" ht="36" customHeight="1">
      <x:c r="A1031" s="23" t="n">
        <x:v>1030</x:v>
      </x:c>
      <x:c r="B1031" s="15" t="str">
        <x:v>First Virginia Homebuyers</x:v>
      </x:c>
      <x:c r="C1031" s="15"/>
      <x:c r="D1031" s="15" t="str">
        <x:v>Property investor / home-buying operator</x:v>
      </x:c>
      <x:c r="E1031" s="15" t="str">
        <x:v>Property investor / operator inquiry</x:v>
      </x:c>
      <x:c r="F1031" s="17" t="str">
        <x:v>New</x:v>
      </x:c>
      <x:c r="G1031" s="24"/>
      <x:c r="H1031" s="24" t="str">
        <x:v>+17572356700</x:v>
      </x:c>
      <x:c r="I1031" s="24" t="str">
        <x:v>http://firstvirginiahomebuyers.com/</x:v>
      </x:c>
      <x:c r="J1031" s="16" t="str">
        <x:v>VA</x:v>
      </x:c>
      <x:c r="K1031" s="16" t="str">
        <x:v>Hampton</x:v>
      </x:c>
      <x:c r="L1031" s="16" t="str">
        <x:v>Public property-business route; investor decision maker unconfirmed</x:v>
      </x:c>
      <x:c r="M1031" s="16" t="str">
        <x:v>http://firstvirginiahomebuyers.com/</x:v>
      </x:c>
      <x:c r="N1031" s="16" t="str">
        <x:v>$100K-$500K ticket not published / unconfirmed</x:v>
      </x:c>
      <x:c r="O1031" s="20"/>
      <x:c r="P1031" s="20"/>
      <x:c r="Q1031" s="25" t="str">
        <x:v>No direct corporate-capital range established in checked source</x:v>
      </x:c>
      <x:c r="R1031" s="25" t="str">
        <x:v>Property acquisition or investor activity makes this an operator-capital prospect for the signed trial. Confirm operating-company debt/equity appetite.</x:v>
      </x:c>
      <x:c r="S1031" s="25"/>
      <x:c r="T1031" s="25" t="str">
        <x:v>Ask the owner/investor whether they can allocate $100K-$500K to trial marketing and acquisitions, and confirm structure, timing and decision authority.</x:v>
      </x:c>
      <x:c r="U1031" s="25" t="str">
        <x:v>https://www.cashhomebuyersdirectory.com/cash-home-buyers/virginia/hampton
https://www.cashhomebuyersdirectory.com/cash-home-buyers/virginia/virginia-beach</x:v>
      </x:c>
      <x:c r="V1031" s="26" t="d">
        <x:v>2026-10-02T00:00:00.000Z</x:v>
      </x:c>
      <x:c r="W1031" s="26" t="d">
        <x:v>2026-10-02T00:00:00.000Z</x:v>
      </x:c>
      <x:c r="X1031" s="25" t="str">
        <x:v>CashHomeBuyersDirectory third-party business listing; first-party business activity not checked in this batch</x:v>
      </x:c>
      <x:c r="Y1031" s="25"/>
      <x:c r="Z1031" s="25" t="str">
        <x:v>https://www.cashhomebuyersdirectory.com/cash-home-buyers/virginia/hampton</x:v>
      </x:c>
      <x:c r="AA1031" s="25" t="str">
        <x:v>Public cash-home-buyer directory lists the business name, business phone/website where available and market. Operator role and corporate funding willingness require confirmation.</x:v>
      </x:c>
      <x:c r="AB1031" s="3" t="str">
        <x:v>New public-source collection</x:v>
      </x:c>
      <x:c r="AC1031" s="3" t="str">
        <x:v>unverified</x:v>
      </x:c>
      <x:c r="AD1031" s="3" t="str">
        <x:v>Not contacted / unconfirmed</x:v>
      </x:c>
      <x:c r="AE1031" s="3" t="str">
        <x:v>No</x:v>
      </x:c>
      <x:c r="AF1031" s="3" t="str">
        <x:v>No</x:v>
      </x:c>
      <x:c r="AG1031" s="3"/>
      <x:c r="AH1031" s="3"/>
      <x:c r="AI1031" s="18"/>
      <x:c r="AJ1031" s="3" t="str">
        <x:v>CF2500-477D703E8625</x:v>
      </x:c>
      <x:c r="AK1031" s="3" t="str">
        <x:v>real_estate_operator</x:v>
      </x:c>
      <x:c r="AL1031" s="19" t="n">
        <x:v>100000</x:v>
      </x:c>
      <x:c r="AM1031" s="19" t="n">
        <x:v>500000</x:v>
      </x:c>
      <x:c r="AN1031" s="3" t="str">
        <x:v>https://www.cashhomebuyersdirectory.com/cash-home-buyers/virginia/hampton</x:v>
      </x:c>
      <x:c r="AO1031" s="3" t="str">
        <x:v>national_rest_directory_complete.jsonl</x:v>
      </x:c>
      <x:c r="AP1031" s="19"/>
    </x:row>
    <x:row r="1032" ht="36" customHeight="1">
      <x:c r="A1032" s="23" t="n">
        <x:v>1031</x:v>
      </x:c>
      <x:c r="B1032" s="15" t="str">
        <x:v>Fisher Property Solutions: we buy houses Chester County, Pennsylvania - sell my house fast for cash</x:v>
      </x:c>
      <x:c r="C1032" s="15"/>
      <x:c r="D1032" s="15" t="str">
        <x:v>Property investor / home-buying operator</x:v>
      </x:c>
      <x:c r="E1032" s="15" t="str">
        <x:v>Property investor / operator inquiry</x:v>
      </x:c>
      <x:c r="F1032" s="17" t="str">
        <x:v>New</x:v>
      </x:c>
      <x:c r="G1032" s="24"/>
      <x:c r="H1032" s="24" t="str">
        <x:v>+14843789379</x:v>
      </x:c>
      <x:c r="I1032" s="24" t="str">
        <x:v>http://www.sellmyhousefastchestercounty.com/</x:v>
      </x:c>
      <x:c r="J1032" s="16" t="str">
        <x:v>PA</x:v>
      </x:c>
      <x:c r="K1032" s="16" t="str">
        <x:v>Atglen</x:v>
      </x:c>
      <x:c r="L1032" s="16" t="str">
        <x:v>Public property-business route; investor decision maker unconfirmed</x:v>
      </x:c>
      <x:c r="M1032" s="16" t="str">
        <x:v>http://www.sellmyhousefastchestercounty.com/</x:v>
      </x:c>
      <x:c r="N1032" s="16" t="str">
        <x:v>$100K-$500K ticket not published / unconfirmed</x:v>
      </x:c>
      <x:c r="O1032" s="20"/>
      <x:c r="P1032" s="20"/>
      <x:c r="Q1032" s="25" t="str">
        <x:v>No direct corporate-capital range established in checked source</x:v>
      </x:c>
      <x:c r="R1032" s="25" t="str">
        <x:v>Property acquisition or investor activity makes this an operator-capital prospect for the signed trial. Confirm operating-company debt/equity appetite.</x:v>
      </x:c>
      <x:c r="S1032" s="25"/>
      <x:c r="T1032" s="25" t="str">
        <x:v>Ask the owner/investor whether they can allocate $100K-$500K to trial marketing and acquisitions, and confirm structure, timing and decision authority.</x:v>
      </x:c>
      <x:c r="U1032" s="25" t="str">
        <x:v>https://www.cashhomebuyersdirectory.com/cash-home-buyers/pennsylvania/atglen</x:v>
      </x:c>
      <x:c r="V1032" s="26" t="d">
        <x:v>2026-10-02T00:00:00.000Z</x:v>
      </x:c>
      <x:c r="W1032" s="26" t="d">
        <x:v>2026-10-02T00:00:00.000Z</x:v>
      </x:c>
      <x:c r="X1032" s="25" t="str">
        <x:v>CashHomeBuyersDirectory third-party business listing; first-party business activity not checked in this batch</x:v>
      </x:c>
      <x:c r="Y1032" s="25"/>
      <x:c r="Z1032" s="25" t="str">
        <x:v>https://www.cashhomebuyersdirectory.com/cash-home-buyers/pennsylvania/atglen</x:v>
      </x:c>
      <x:c r="AA1032" s="25" t="str">
        <x:v>Public cash-home-buyer directory lists the business name, business phone/website where available and market. Operator role and corporate funding willingness require confirmation.</x:v>
      </x:c>
      <x:c r="AB1032" s="3" t="str">
        <x:v>New public-source collection</x:v>
      </x:c>
      <x:c r="AC1032" s="3" t="str">
        <x:v>unverified</x:v>
      </x:c>
      <x:c r="AD1032" s="3" t="str">
        <x:v>Not contacted / unconfirmed</x:v>
      </x:c>
      <x:c r="AE1032" s="3" t="str">
        <x:v>No</x:v>
      </x:c>
      <x:c r="AF1032" s="3" t="str">
        <x:v>No</x:v>
      </x:c>
      <x:c r="AG1032" s="3"/>
      <x:c r="AH1032" s="3"/>
      <x:c r="AI1032" s="18"/>
      <x:c r="AJ1032" s="3" t="str">
        <x:v>CF2500-2D0B4869130C</x:v>
      </x:c>
      <x:c r="AK1032" s="3" t="str">
        <x:v>real_estate_operator</x:v>
      </x:c>
      <x:c r="AL1032" s="19" t="n">
        <x:v>100000</x:v>
      </x:c>
      <x:c r="AM1032" s="19" t="n">
        <x:v>500000</x:v>
      </x:c>
      <x:c r="AN1032" s="3" t="str">
        <x:v>https://www.cashhomebuyersdirectory.com/cash-home-buyers/pennsylvania/atglen</x:v>
      </x:c>
      <x:c r="AO1032" s="3" t="str">
        <x:v>national_rest_directory_complete.jsonl</x:v>
      </x:c>
      <x:c r="AP1032" s="19"/>
    </x:row>
    <x:row r="1033" ht="36" customHeight="1">
      <x:c r="A1033" s="23" t="n">
        <x:v>1032</x:v>
      </x:c>
      <x:c r="B1033" s="15" t="str">
        <x:v>Five Boro Home Buyers</x:v>
      </x:c>
      <x:c r="C1033" s="15"/>
      <x:c r="D1033" s="15" t="str">
        <x:v>Property investor / home-buying operator</x:v>
      </x:c>
      <x:c r="E1033" s="15" t="str">
        <x:v>Property investor / operator inquiry</x:v>
      </x:c>
      <x:c r="F1033" s="17" t="str">
        <x:v>New</x:v>
      </x:c>
      <x:c r="G1033" s="24"/>
      <x:c r="H1033" s="24" t="str">
        <x:v>+15168704462</x:v>
      </x:c>
      <x:c r="I1033" s="24" t="str">
        <x:v>https://newyorkhomesforcash.com/</x:v>
      </x:c>
      <x:c r="J1033" s="16" t="str">
        <x:v>NY</x:v>
      </x:c>
      <x:c r="K1033" s="16" t="str">
        <x:v>Albany</x:v>
      </x:c>
      <x:c r="L1033" s="16" t="str">
        <x:v>Public property-business route; investor decision maker unconfirmed</x:v>
      </x:c>
      <x:c r="M1033" s="16" t="str">
        <x:v>https://newyorkhomesforcash.com/</x:v>
      </x:c>
      <x:c r="N1033" s="16" t="str">
        <x:v>$100K-$500K ticket not published / unconfirmed</x:v>
      </x:c>
      <x:c r="O1033" s="20"/>
      <x:c r="P1033" s="20"/>
      <x:c r="Q1033" s="25" t="str">
        <x:v>No direct corporate-capital range established in checked source</x:v>
      </x:c>
      <x:c r="R1033" s="25" t="str">
        <x:v>Property acquisition or investor activity makes this an operator-capital prospect for the signed trial. Confirm operating-company debt/equity appetite.</x:v>
      </x:c>
      <x:c r="S1033" s="25"/>
      <x:c r="T1033" s="25" t="str">
        <x:v>Ask the owner/investor whether they can allocate $100K-$500K to trial marketing and acquisitions, and confirm structure, timing and decision authority.</x:v>
      </x:c>
      <x:c r="U1033" s="25" t="str">
        <x:v>https://www.cashhomebuyersdirectory.com/cash-home-buyers/new-york/albany
https://www.cashhomebuyersdirectory.com/cash-home-buyers/new-york/new-york</x:v>
      </x:c>
      <x:c r="V1033" s="26" t="d">
        <x:v>2026-10-02T00:00:00.000Z</x:v>
      </x:c>
      <x:c r="W1033" s="26" t="d">
        <x:v>2026-10-02T00:00:00.000Z</x:v>
      </x:c>
      <x:c r="X1033" s="25" t="str">
        <x:v>CashHomeBuyersDirectory third-party business listing; first-party business activity not checked in this batch</x:v>
      </x:c>
      <x:c r="Y1033" s="25"/>
      <x:c r="Z1033" s="25" t="str">
        <x:v>https://www.cashhomebuyersdirectory.com/cash-home-buyers/new-york/albany</x:v>
      </x:c>
      <x:c r="AA1033" s="25" t="str">
        <x:v>Public cash-home-buyer directory lists the business name, business phone/website where available and market. Operator role and corporate funding willingness require confirmation.</x:v>
      </x:c>
      <x:c r="AB1033" s="3" t="str">
        <x:v>New public-source collection</x:v>
      </x:c>
      <x:c r="AC1033" s="3" t="str">
        <x:v>unverified</x:v>
      </x:c>
      <x:c r="AD1033" s="3" t="str">
        <x:v>Not contacted / unconfirmed</x:v>
      </x:c>
      <x:c r="AE1033" s="3" t="str">
        <x:v>No</x:v>
      </x:c>
      <x:c r="AF1033" s="3" t="str">
        <x:v>No</x:v>
      </x:c>
      <x:c r="AG1033" s="3"/>
      <x:c r="AH1033" s="3"/>
      <x:c r="AI1033" s="18"/>
      <x:c r="AJ1033" s="3" t="str">
        <x:v>CF2500-8B82EF70C902</x:v>
      </x:c>
      <x:c r="AK1033" s="3" t="str">
        <x:v>real_estate_operator</x:v>
      </x:c>
      <x:c r="AL1033" s="19" t="n">
        <x:v>100000</x:v>
      </x:c>
      <x:c r="AM1033" s="19" t="n">
        <x:v>500000</x:v>
      </x:c>
      <x:c r="AN1033" s="3" t="str">
        <x:v>https://www.cashhomebuyersdirectory.com/cash-home-buyers/new-york/albany</x:v>
      </x:c>
      <x:c r="AO1033" s="3" t="str">
        <x:v>national_rest_directory_complete.jsonl</x:v>
      </x:c>
      <x:c r="AP1033" s="19"/>
    </x:row>
    <x:row r="1034" ht="36" customHeight="1">
      <x:c r="A1034" s="23" t="n">
        <x:v>1033</x:v>
      </x:c>
      <x:c r="B1034" s="15" t="str">
        <x:v>Flagship City Home Buyer - Erie Cash Home Buyer</x:v>
      </x:c>
      <x:c r="C1034" s="15"/>
      <x:c r="D1034" s="15" t="str">
        <x:v>Property investor / home-buying operator</x:v>
      </x:c>
      <x:c r="E1034" s="15" t="str">
        <x:v>Property investor / operator inquiry</x:v>
      </x:c>
      <x:c r="F1034" s="17" t="str">
        <x:v>New</x:v>
      </x:c>
      <x:c r="G1034" s="24"/>
      <x:c r="H1034" s="24" t="str">
        <x:v>+18149817355</x:v>
      </x:c>
      <x:c r="I1034" s="24" t="str">
        <x:v>https://sellnowerie.com/</x:v>
      </x:c>
      <x:c r="J1034" s="16" t="str">
        <x:v>PA</x:v>
      </x:c>
      <x:c r="K1034" s="16" t="str">
        <x:v>Erie</x:v>
      </x:c>
      <x:c r="L1034" s="16" t="str">
        <x:v>Public property-business route; investor decision maker unconfirmed</x:v>
      </x:c>
      <x:c r="M1034" s="16" t="str">
        <x:v>https://sellnowerie.com/</x:v>
      </x:c>
      <x:c r="N1034" s="16" t="str">
        <x:v>$100K-$500K ticket not published / unconfirmed</x:v>
      </x:c>
      <x:c r="O1034" s="20"/>
      <x:c r="P1034" s="20"/>
      <x:c r="Q1034" s="25" t="str">
        <x:v>No direct corporate-capital range established in checked source</x:v>
      </x:c>
      <x:c r="R1034" s="25" t="str">
        <x:v>Property acquisition or investor activity makes this an operator-capital prospect for the signed trial. Confirm operating-company debt/equity appetite.</x:v>
      </x:c>
      <x:c r="S1034" s="25"/>
      <x:c r="T1034" s="25" t="str">
        <x:v>Ask the owner/investor whether they can allocate $100K-$500K to trial marketing and acquisitions, and confirm structure, timing and decision authority.</x:v>
      </x:c>
      <x:c r="U1034" s="25" t="str">
        <x:v>https://www.cashhomebuyersdirectory.com/cash-home-buyers/pennsylvania/erie</x:v>
      </x:c>
      <x:c r="V1034" s="26" t="d">
        <x:v>2026-10-02T00:00:00.000Z</x:v>
      </x:c>
      <x:c r="W1034" s="26" t="d">
        <x:v>2026-10-02T00:00:00.000Z</x:v>
      </x:c>
      <x:c r="X1034" s="25" t="str">
        <x:v>CashHomeBuyersDirectory third-party business listing; first-party business activity not checked in this batch</x:v>
      </x:c>
      <x:c r="Y1034" s="25"/>
      <x:c r="Z1034" s="25" t="str">
        <x:v>https://www.cashhomebuyersdirectory.com/cash-home-buyers/pennsylvania/erie</x:v>
      </x:c>
      <x:c r="AA1034" s="25" t="str">
        <x:v>Public cash-home-buyer directory lists the business name, business phone/website where available and market. Operator role and corporate funding willingness require confirmation.</x:v>
      </x:c>
      <x:c r="AB1034" s="3" t="str">
        <x:v>New public-source collection</x:v>
      </x:c>
      <x:c r="AC1034" s="3" t="str">
        <x:v>unverified</x:v>
      </x:c>
      <x:c r="AD1034" s="3" t="str">
        <x:v>Not contacted / unconfirmed</x:v>
      </x:c>
      <x:c r="AE1034" s="3" t="str">
        <x:v>No</x:v>
      </x:c>
      <x:c r="AF1034" s="3" t="str">
        <x:v>No</x:v>
      </x:c>
      <x:c r="AG1034" s="3"/>
      <x:c r="AH1034" s="3"/>
      <x:c r="AI1034" s="18"/>
      <x:c r="AJ1034" s="3" t="str">
        <x:v>CF2500-77609E613B35</x:v>
      </x:c>
      <x:c r="AK1034" s="3" t="str">
        <x:v>real_estate_operator</x:v>
      </x:c>
      <x:c r="AL1034" s="19" t="n">
        <x:v>100000</x:v>
      </x:c>
      <x:c r="AM1034" s="19" t="n">
        <x:v>500000</x:v>
      </x:c>
      <x:c r="AN1034" s="3" t="str">
        <x:v>https://www.cashhomebuyersdirectory.com/cash-home-buyers/pennsylvania/erie</x:v>
      </x:c>
      <x:c r="AO1034" s="3" t="str">
        <x:v>national_rest_directory_complete.jsonl</x:v>
      </x:c>
      <x:c r="AP1034" s="19"/>
    </x:row>
    <x:row r="1035" ht="36" customHeight="1">
      <x:c r="A1035" s="23" t="n">
        <x:v>1034</x:v>
      </x:c>
      <x:c r="B1035" s="15" t="str">
        <x:v>Flower City House Buyers</x:v>
      </x:c>
      <x:c r="C1035" s="15"/>
      <x:c r="D1035" s="15" t="str">
        <x:v>Property investor / home-buying operator</x:v>
      </x:c>
      <x:c r="E1035" s="15" t="str">
        <x:v>Property investor / operator inquiry</x:v>
      </x:c>
      <x:c r="F1035" s="17" t="str">
        <x:v>New</x:v>
      </x:c>
      <x:c r="G1035" s="24"/>
      <x:c r="H1035" s="24" t="str">
        <x:v>+15856785050</x:v>
      </x:c>
      <x:c r="I1035" s="24" t="str">
        <x:v>http://flowercityhousebuyers.com/</x:v>
      </x:c>
      <x:c r="J1035" s="16" t="str">
        <x:v>NY</x:v>
      </x:c>
      <x:c r="K1035" s="16" t="str">
        <x:v>Rochester</x:v>
      </x:c>
      <x:c r="L1035" s="16" t="str">
        <x:v>Public property-business route; investor decision maker unconfirmed</x:v>
      </x:c>
      <x:c r="M1035" s="16" t="str">
        <x:v>http://flowercityhousebuyers.com/</x:v>
      </x:c>
      <x:c r="N1035" s="16" t="str">
        <x:v>$100K-$500K ticket not published / unconfirmed</x:v>
      </x:c>
      <x:c r="O1035" s="20"/>
      <x:c r="P1035" s="20"/>
      <x:c r="Q1035" s="25" t="str">
        <x:v>No direct corporate-capital range established in checked source</x:v>
      </x:c>
      <x:c r="R1035" s="25" t="str">
        <x:v>Property acquisition or investor activity makes this an operator-capital prospect for the signed trial. Confirm operating-company debt/equity appetite.</x:v>
      </x:c>
      <x:c r="S1035" s="25"/>
      <x:c r="T1035" s="25" t="str">
        <x:v>Ask the owner/investor whether they can allocate $100K-$500K to trial marketing and acquisitions, and confirm structure, timing and decision authority.</x:v>
      </x:c>
      <x:c r="U1035" s="25" t="str">
        <x:v>https://www.cashhomebuyersdirectory.com/cash-home-buyers/new-york/rochester</x:v>
      </x:c>
      <x:c r="V1035" s="26" t="d">
        <x:v>2026-10-02T00:00:00.000Z</x:v>
      </x:c>
      <x:c r="W1035" s="26" t="d">
        <x:v>2026-10-02T00:00:00.000Z</x:v>
      </x:c>
      <x:c r="X1035" s="25" t="str">
        <x:v>CashHomeBuyersDirectory third-party business listing; first-party business activity not checked in this batch</x:v>
      </x:c>
      <x:c r="Y1035" s="25"/>
      <x:c r="Z1035" s="25" t="str">
        <x:v>https://www.cashhomebuyersdirectory.com/cash-home-buyers/new-york/rochester</x:v>
      </x:c>
      <x:c r="AA1035" s="25" t="str">
        <x:v>Public cash-home-buyer directory lists the business name, business phone/website where available and market. Operator role and corporate funding willingness require confirmation.</x:v>
      </x:c>
      <x:c r="AB1035" s="3" t="str">
        <x:v>New public-source collection</x:v>
      </x:c>
      <x:c r="AC1035" s="3" t="str">
        <x:v>unverified</x:v>
      </x:c>
      <x:c r="AD1035" s="3" t="str">
        <x:v>Not contacted / unconfirmed</x:v>
      </x:c>
      <x:c r="AE1035" s="3" t="str">
        <x:v>No</x:v>
      </x:c>
      <x:c r="AF1035" s="3" t="str">
        <x:v>No</x:v>
      </x:c>
      <x:c r="AG1035" s="3"/>
      <x:c r="AH1035" s="3"/>
      <x:c r="AI1035" s="18"/>
      <x:c r="AJ1035" s="3" t="str">
        <x:v>CF2500-2E8AA16CFFED</x:v>
      </x:c>
      <x:c r="AK1035" s="3" t="str">
        <x:v>real_estate_operator</x:v>
      </x:c>
      <x:c r="AL1035" s="19" t="n">
        <x:v>100000</x:v>
      </x:c>
      <x:c r="AM1035" s="19" t="n">
        <x:v>500000</x:v>
      </x:c>
      <x:c r="AN1035" s="3" t="str">
        <x:v>https://www.cashhomebuyersdirectory.com/cash-home-buyers/new-york/rochester</x:v>
      </x:c>
      <x:c r="AO1035" s="3" t="str">
        <x:v>national_rest_directory_complete.jsonl</x:v>
      </x:c>
      <x:c r="AP1035" s="19"/>
    </x:row>
    <x:row r="1036" ht="36" customHeight="1">
      <x:c r="A1036" s="23" t="n">
        <x:v>1035</x:v>
      </x:c>
      <x:c r="B1036" s="15" t="str">
        <x:v>FRANK Home Buyers</x:v>
      </x:c>
      <x:c r="C1036" s="15"/>
      <x:c r="D1036" s="15" t="str">
        <x:v>Property investor / home-buying operator</x:v>
      </x:c>
      <x:c r="E1036" s="15" t="str">
        <x:v>Property investor / operator inquiry</x:v>
      </x:c>
      <x:c r="F1036" s="17" t="str">
        <x:v>New</x:v>
      </x:c>
      <x:c r="G1036" s="24"/>
      <x:c r="H1036" s="24" t="str">
        <x:v>+18773603965</x:v>
      </x:c>
      <x:c r="I1036" s="24" t="str">
        <x:v>https://frankhomebuyers.com/contact/</x:v>
      </x:c>
      <x:c r="J1036" s="16" t="str">
        <x:v>OH</x:v>
      </x:c>
      <x:c r="K1036" s="16" t="str">
        <x:v>Cincinnati</x:v>
      </x:c>
      <x:c r="L1036" s="16" t="str">
        <x:v>Public property-business route; investor decision maker unconfirmed</x:v>
      </x:c>
      <x:c r="M1036" s="16" t="str">
        <x:v>https://frankhomebuyers.com/contact/</x:v>
      </x:c>
      <x:c r="N1036" s="16" t="str">
        <x:v>$100K-$500K ticket not published / unconfirmed</x:v>
      </x:c>
      <x:c r="O1036" s="20"/>
      <x:c r="P1036" s="20"/>
      <x:c r="Q1036" s="25" t="str">
        <x:v>No direct corporate-capital range established in checked source</x:v>
      </x:c>
      <x:c r="R1036" s="25" t="str">
        <x:v>Property acquisition or investor activity makes this an operator-capital prospect for the signed trial. Confirm operating-company debt/equity appetite.</x:v>
      </x:c>
      <x:c r="S1036" s="25"/>
      <x:c r="T1036" s="25" t="str">
        <x:v>Ask the owner/investor whether they can allocate $100K-$500K to trial marketing and acquisitions, and confirm structure, timing and decision authority.</x:v>
      </x:c>
      <x:c r="U1036" s="25" t="str">
        <x:v>https://www.cashhomebuyersdirectory.com/cash-home-buyers/ohio/cincinnati</x:v>
      </x:c>
      <x:c r="V1036" s="26" t="d">
        <x:v>2026-10-02T00:00:00.000Z</x:v>
      </x:c>
      <x:c r="W1036" s="26" t="d">
        <x:v>2026-10-02T00:00:00.000Z</x:v>
      </x:c>
      <x:c r="X1036" s="25" t="str">
        <x:v>CashHomeBuyersDirectory third-party business listing; first-party business activity not checked in this batch</x:v>
      </x:c>
      <x:c r="Y1036" s="25"/>
      <x:c r="Z1036" s="25" t="str">
        <x:v>https://www.cashhomebuyersdirectory.com/cash-home-buyers/ohio/cincinnati</x:v>
      </x:c>
      <x:c r="AA1036" s="25" t="str">
        <x:v>Public cash-home-buyer directory lists the business name, business phone/website where available and market. Operator role and corporate funding willingness require confirmation.</x:v>
      </x:c>
      <x:c r="AB1036" s="3" t="str">
        <x:v>New public-source collection</x:v>
      </x:c>
      <x:c r="AC1036" s="3" t="str">
        <x:v>unverified</x:v>
      </x:c>
      <x:c r="AD1036" s="3" t="str">
        <x:v>Not contacted / unconfirmed</x:v>
      </x:c>
      <x:c r="AE1036" s="3" t="str">
        <x:v>No</x:v>
      </x:c>
      <x:c r="AF1036" s="3" t="str">
        <x:v>No</x:v>
      </x:c>
      <x:c r="AG1036" s="3"/>
      <x:c r="AH1036" s="3"/>
      <x:c r="AI1036" s="18"/>
      <x:c r="AJ1036" s="3" t="str">
        <x:v>CF2500-31353C60BB95</x:v>
      </x:c>
      <x:c r="AK1036" s="3" t="str">
        <x:v>real_estate_operator</x:v>
      </x:c>
      <x:c r="AL1036" s="19" t="n">
        <x:v>100000</x:v>
      </x:c>
      <x:c r="AM1036" s="19" t="n">
        <x:v>500000</x:v>
      </x:c>
      <x:c r="AN1036" s="3" t="str">
        <x:v>https://www.cashhomebuyersdirectory.com/cash-home-buyers/ohio/cincinnati</x:v>
      </x:c>
      <x:c r="AO1036" s="3" t="str">
        <x:v>national_rest_directory_complete.jsonl</x:v>
      </x:c>
      <x:c r="AP1036" s="19"/>
    </x:row>
    <x:row r="1037" ht="36" customHeight="1">
      <x:c r="A1037" s="23" t="n">
        <x:v>1036</x:v>
      </x:c>
      <x:c r="B1037" s="15" t="str">
        <x:v>Freedom Sky Real Estate- We Buy Houses &amp; Apartments in Erie PA!</x:v>
      </x:c>
      <x:c r="C1037" s="15"/>
      <x:c r="D1037" s="15" t="str">
        <x:v>Property investor / home-buying operator</x:v>
      </x:c>
      <x:c r="E1037" s="15" t="str">
        <x:v>Property investor / operator inquiry</x:v>
      </x:c>
      <x:c r="F1037" s="17" t="str">
        <x:v>New</x:v>
      </x:c>
      <x:c r="G1037" s="24"/>
      <x:c r="H1037" s="24" t="str">
        <x:v>+18142089894</x:v>
      </x:c>
      <x:c r="I1037" s="24" t="str">
        <x:v>https://www.freedomsky.com/contact-us/</x:v>
      </x:c>
      <x:c r="J1037" s="16" t="str">
        <x:v>PA</x:v>
      </x:c>
      <x:c r="K1037" s="16" t="str">
        <x:v>Erie</x:v>
      </x:c>
      <x:c r="L1037" s="16" t="str">
        <x:v>Public property-business route; investor decision maker unconfirmed</x:v>
      </x:c>
      <x:c r="M1037" s="16" t="str">
        <x:v>https://www.freedomsky.com/contact-us/</x:v>
      </x:c>
      <x:c r="N1037" s="16" t="str">
        <x:v>$100K-$500K ticket not published / unconfirmed</x:v>
      </x:c>
      <x:c r="O1037" s="20"/>
      <x:c r="P1037" s="20"/>
      <x:c r="Q1037" s="25" t="str">
        <x:v>No direct corporate-capital range established in checked source</x:v>
      </x:c>
      <x:c r="R1037" s="25" t="str">
        <x:v>Property acquisition or investor activity makes this an operator-capital prospect for the signed trial. Confirm operating-company debt/equity appetite.</x:v>
      </x:c>
      <x:c r="S1037" s="25"/>
      <x:c r="T1037" s="25" t="str">
        <x:v>Ask the owner/investor whether they can allocate $100K-$500K to trial marketing and acquisitions, and confirm structure, timing and decision authority.</x:v>
      </x:c>
      <x:c r="U1037" s="25" t="str">
        <x:v>https://www.cashhomebuyersdirectory.com/cash-home-buyers/pennsylvania/erie</x:v>
      </x:c>
      <x:c r="V1037" s="26" t="d">
        <x:v>2026-10-02T00:00:00.000Z</x:v>
      </x:c>
      <x:c r="W1037" s="26" t="d">
        <x:v>2026-10-02T00:00:00.000Z</x:v>
      </x:c>
      <x:c r="X1037" s="25" t="str">
        <x:v>CashHomeBuyersDirectory third-party business listing; first-party business activity not checked in this batch</x:v>
      </x:c>
      <x:c r="Y1037" s="25"/>
      <x:c r="Z1037" s="25" t="str">
        <x:v>https://www.cashhomebuyersdirectory.com/cash-home-buyers/pennsylvania/erie</x:v>
      </x:c>
      <x:c r="AA1037" s="25" t="str">
        <x:v>Public cash-home-buyer directory lists the business name, business phone/website where available and market. Operator role and corporate funding willingness require confirmation.</x:v>
      </x:c>
      <x:c r="AB1037" s="3" t="str">
        <x:v>New public-source collection</x:v>
      </x:c>
      <x:c r="AC1037" s="3" t="str">
        <x:v>unverified</x:v>
      </x:c>
      <x:c r="AD1037" s="3" t="str">
        <x:v>Not contacted / unconfirmed</x:v>
      </x:c>
      <x:c r="AE1037" s="3" t="str">
        <x:v>No</x:v>
      </x:c>
      <x:c r="AF1037" s="3" t="str">
        <x:v>No</x:v>
      </x:c>
      <x:c r="AG1037" s="3"/>
      <x:c r="AH1037" s="3"/>
      <x:c r="AI1037" s="18"/>
      <x:c r="AJ1037" s="3" t="str">
        <x:v>CF2500-DD4DE4AC5EA5</x:v>
      </x:c>
      <x:c r="AK1037" s="3" t="str">
        <x:v>real_estate_operator</x:v>
      </x:c>
      <x:c r="AL1037" s="19" t="n">
        <x:v>100000</x:v>
      </x:c>
      <x:c r="AM1037" s="19" t="n">
        <x:v>500000</x:v>
      </x:c>
      <x:c r="AN1037" s="3" t="str">
        <x:v>https://www.cashhomebuyersdirectory.com/cash-home-buyers/pennsylvania/erie</x:v>
      </x:c>
      <x:c r="AO1037" s="3" t="str">
        <x:v>national_rest_directory_complete.jsonl</x:v>
      </x:c>
      <x:c r="AP1037" s="19"/>
    </x:row>
    <x:row r="1038" ht="36" customHeight="1">
      <x:c r="A1038" s="23" t="n">
        <x:v>1037</x:v>
      </x:c>
      <x:c r="B1038" s="15" t="str">
        <x:v>Fresh Coast Home Buyers</x:v>
      </x:c>
      <x:c r="C1038" s="15"/>
      <x:c r="D1038" s="15" t="str">
        <x:v>Property investor / home-buying operator</x:v>
      </x:c>
      <x:c r="E1038" s="15" t="str">
        <x:v>Property investor / operator inquiry</x:v>
      </x:c>
      <x:c r="F1038" s="17" t="str">
        <x:v>New</x:v>
      </x:c>
      <x:c r="G1038" s="24"/>
      <x:c r="H1038" s="24" t="str">
        <x:v>+16162261921</x:v>
      </x:c>
      <x:c r="I1038" s="24" t="str">
        <x:v>http://www.selltofreshcoast.com/</x:v>
      </x:c>
      <x:c r="J1038" s="16" t="str">
        <x:v>MI</x:v>
      </x:c>
      <x:c r="K1038" s="16"/>
      <x:c r="L1038" s="16" t="str">
        <x:v>Public property-business route; investor decision maker unconfirmed</x:v>
      </x:c>
      <x:c r="M1038" s="16" t="str">
        <x:v>http://www.selltofreshcoast.com/</x:v>
      </x:c>
      <x:c r="N1038" s="16" t="str">
        <x:v>$100K-$500K ticket not published / unconfirmed</x:v>
      </x:c>
      <x:c r="O1038" s="20"/>
      <x:c r="P1038" s="20"/>
      <x:c r="Q1038" s="25" t="str">
        <x:v>No direct corporate-capital range established in checked source</x:v>
      </x:c>
      <x:c r="R1038" s="25" t="str">
        <x:v>Property acquisition or investor activity makes this an operator-capital prospect for the signed trial. Confirm operating-company debt/equity appetite.</x:v>
      </x:c>
      <x:c r="S1038" s="25"/>
      <x:c r="T1038" s="25" t="str">
        <x:v>Ask the owner/investor whether they can allocate $100K-$500K to trial marketing and acquisitions, and confirm structure, timing and decision authority.</x:v>
      </x:c>
      <x:c r="U1038" s="25" t="str">
        <x:v>https://www.cashhomebuyersdirectory.com/cash-home-buyers/michigan/grand-rapids</x:v>
      </x:c>
      <x:c r="V1038" s="26" t="d">
        <x:v>2026-10-02T00:00:00.000Z</x:v>
      </x:c>
      <x:c r="W1038" s="26" t="d">
        <x:v>2026-10-02T00:00:00.000Z</x:v>
      </x:c>
      <x:c r="X1038" s="25" t="str">
        <x:v>CashHomeBuyersDirectory third-party business listing; first-party business activity not checked in this batch</x:v>
      </x:c>
      <x:c r="Y1038" s="25"/>
      <x:c r="Z1038" s="25" t="str">
        <x:v>https://www.cashhomebuyersdirectory.com/cash-home-buyers/michigan/grand-rapids</x:v>
      </x:c>
      <x:c r="AA1038" s="25" t="str">
        <x:v>Public cash-home-buyer directory lists the business name, business phone/website where available and market. Operator role and corporate funding willingness require confirmation.</x:v>
      </x:c>
      <x:c r="AB1038" s="3" t="str">
        <x:v>New public-source collection</x:v>
      </x:c>
      <x:c r="AC1038" s="3" t="str">
        <x:v>unverified</x:v>
      </x:c>
      <x:c r="AD1038" s="3" t="str">
        <x:v>Not contacted / unconfirmed</x:v>
      </x:c>
      <x:c r="AE1038" s="3" t="str">
        <x:v>No</x:v>
      </x:c>
      <x:c r="AF1038" s="3" t="str">
        <x:v>No</x:v>
      </x:c>
      <x:c r="AG1038" s="3"/>
      <x:c r="AH1038" s="3"/>
      <x:c r="AI1038" s="18"/>
      <x:c r="AJ1038" s="3" t="str">
        <x:v>CF2500-ADE61F2663B9</x:v>
      </x:c>
      <x:c r="AK1038" s="3" t="str">
        <x:v>real_estate_operator</x:v>
      </x:c>
      <x:c r="AL1038" s="19" t="n">
        <x:v>100000</x:v>
      </x:c>
      <x:c r="AM1038" s="19" t="n">
        <x:v>500000</x:v>
      </x:c>
      <x:c r="AN1038" s="3" t="str">
        <x:v>https://www.cashhomebuyersdirectory.com/cash-home-buyers/michigan/grand-rapids</x:v>
      </x:c>
      <x:c r="AO1038" s="3" t="str">
        <x:v>national_rest_directory_complete.jsonl</x:v>
      </x:c>
      <x:c r="AP1038" s="19"/>
    </x:row>
    <x:row r="1039" ht="36" customHeight="1">
      <x:c r="A1039" s="23" t="n">
        <x:v>1038</x:v>
      </x:c>
      <x:c r="B1039" s="15" t="str">
        <x:v>Fresno Cash For Homes - HHG</x:v>
      </x:c>
      <x:c r="C1039" s="15"/>
      <x:c r="D1039" s="15" t="str">
        <x:v>Property investor / home-buying operator</x:v>
      </x:c>
      <x:c r="E1039" s="15" t="str">
        <x:v>Property investor / operator inquiry</x:v>
      </x:c>
      <x:c r="F1039" s="17" t="str">
        <x:v>New</x:v>
      </x:c>
      <x:c r="G1039" s="24"/>
      <x:c r="H1039" s="24" t="str">
        <x:v>+15599000064</x:v>
      </x:c>
      <x:c r="I1039" s="24" t="str">
        <x:v>https://www.homehelpersgroup.com/?UTM_source=GBP_Listing&amp;UTM_medium=Organic</x:v>
      </x:c>
      <x:c r="J1039" s="16" t="str">
        <x:v>CA</x:v>
      </x:c>
      <x:c r="K1039" s="16" t="str">
        <x:v>Fresno</x:v>
      </x:c>
      <x:c r="L1039" s="16" t="str">
        <x:v>Public property-business route; investor decision maker unconfirmed</x:v>
      </x:c>
      <x:c r="M1039" s="16" t="str">
        <x:v>https://www.homehelpersgroup.com/?UTM_source=GBP_Listing&amp;UTM_medium=Organic</x:v>
      </x:c>
      <x:c r="N1039" s="16" t="str">
        <x:v>$100K-$500K ticket not published / unconfirmed</x:v>
      </x:c>
      <x:c r="O1039" s="20"/>
      <x:c r="P1039" s="20"/>
      <x:c r="Q1039" s="25" t="str">
        <x:v>No direct corporate-capital range established in checked source</x:v>
      </x:c>
      <x:c r="R1039" s="25" t="str">
        <x:v>Property acquisition or investor activity makes this an operator-capital prospect for the signed trial. Confirm operating-company debt/equity appetite.</x:v>
      </x:c>
      <x:c r="S1039" s="25"/>
      <x:c r="T1039" s="25" t="str">
        <x:v>Ask the owner/investor whether they can allocate $100K-$500K to trial marketing and acquisitions, and confirm structure, timing and decision authority.</x:v>
      </x:c>
      <x:c r="U1039" s="25" t="str">
        <x:v>https://www.cashhomebuyersdirectory.com/cash-home-buyers/california/fresno</x:v>
      </x:c>
      <x:c r="V1039" s="26" t="d">
        <x:v>2026-10-02T00:00:00.000Z</x:v>
      </x:c>
      <x:c r="W1039" s="26" t="d">
        <x:v>2026-10-02T00:00:00.000Z</x:v>
      </x:c>
      <x:c r="X1039" s="25" t="str">
        <x:v>CashHomeBuyersDirectory third-party business listing; first-party business activity not checked in this batch</x:v>
      </x:c>
      <x:c r="Y1039" s="25"/>
      <x:c r="Z1039" s="25" t="str">
        <x:v>https://www.cashhomebuyersdirectory.com/cash-home-buyers/california/fresno</x:v>
      </x:c>
      <x:c r="AA1039" s="25" t="str">
        <x:v>Public cash-home-buyer directory lists the business name, business phone/website where available and market. Operator role and corporate funding willingness require confirmation.</x:v>
      </x:c>
      <x:c r="AB1039" s="3" t="str">
        <x:v>New public-source collection</x:v>
      </x:c>
      <x:c r="AC1039" s="3" t="str">
        <x:v>unverified</x:v>
      </x:c>
      <x:c r="AD1039" s="3" t="str">
        <x:v>Not contacted / unconfirmed</x:v>
      </x:c>
      <x:c r="AE1039" s="3" t="str">
        <x:v>No</x:v>
      </x:c>
      <x:c r="AF1039" s="3" t="str">
        <x:v>No</x:v>
      </x:c>
      <x:c r="AG1039" s="3"/>
      <x:c r="AH1039" s="3"/>
      <x:c r="AI1039" s="18"/>
      <x:c r="AJ1039" s="3" t="str">
        <x:v>CF2500-1375CAE24B4F</x:v>
      </x:c>
      <x:c r="AK1039" s="3" t="str">
        <x:v>real_estate_operator</x:v>
      </x:c>
      <x:c r="AL1039" s="19" t="n">
        <x:v>100000</x:v>
      </x:c>
      <x:c r="AM1039" s="19" t="n">
        <x:v>500000</x:v>
      </x:c>
      <x:c r="AN1039" s="3" t="str">
        <x:v>https://www.cashhomebuyersdirectory.com/cash-home-buyers/california/fresno</x:v>
      </x:c>
      <x:c r="AO1039" s="3" t="str">
        <x:v>national_rest_directory_complete.jsonl</x:v>
      </x:c>
      <x:c r="AP1039" s="19"/>
    </x:row>
    <x:row r="1040" ht="36" customHeight="1">
      <x:c r="A1040" s="23" t="n">
        <x:v>1039</x:v>
      </x:c>
      <x:c r="B1040" s="15" t="str">
        <x:v>Fusion Home Buyers</x:v>
      </x:c>
      <x:c r="C1040" s="15"/>
      <x:c r="D1040" s="15" t="str">
        <x:v>Property investor / home-buying operator</x:v>
      </x:c>
      <x:c r="E1040" s="15" t="str">
        <x:v>Property investor / operator inquiry</x:v>
      </x:c>
      <x:c r="F1040" s="17" t="str">
        <x:v>New</x:v>
      </x:c>
      <x:c r="G1040" s="24"/>
      <x:c r="H1040" s="24" t="str">
        <x:v>+19379303793</x:v>
      </x:c>
      <x:c r="I1040" s="24" t="str">
        <x:v>https://fusionhb.com/</x:v>
      </x:c>
      <x:c r="J1040" s="16" t="str">
        <x:v>OH</x:v>
      </x:c>
      <x:c r="K1040" s="16" t="str">
        <x:v>Washington Township</x:v>
      </x:c>
      <x:c r="L1040" s="16" t="str">
        <x:v>Public property-business route; investor decision maker unconfirmed</x:v>
      </x:c>
      <x:c r="M1040" s="16" t="str">
        <x:v>https://fusionhb.com/</x:v>
      </x:c>
      <x:c r="N1040" s="16" t="str">
        <x:v>$100K-$500K ticket not published / unconfirmed</x:v>
      </x:c>
      <x:c r="O1040" s="20"/>
      <x:c r="P1040" s="20"/>
      <x:c r="Q1040" s="25" t="str">
        <x:v>No direct corporate-capital range established in checked source</x:v>
      </x:c>
      <x:c r="R1040" s="25" t="str">
        <x:v>Property acquisition or investor activity makes this an operator-capital prospect for the signed trial. Confirm operating-company debt/equity appetite.</x:v>
      </x:c>
      <x:c r="S1040" s="25"/>
      <x:c r="T1040" s="25" t="str">
        <x:v>Ask the owner/investor whether they can allocate $100K-$500K to trial marketing and acquisitions, and confirm structure, timing and decision authority.</x:v>
      </x:c>
      <x:c r="U1040" s="25" t="str">
        <x:v>https://www.cashhomebuyersdirectory.com/cash-home-buyers/ohio/washington-township</x:v>
      </x:c>
      <x:c r="V1040" s="26" t="d">
        <x:v>2026-10-02T00:00:00.000Z</x:v>
      </x:c>
      <x:c r="W1040" s="26" t="d">
        <x:v>2026-10-02T00:00:00.000Z</x:v>
      </x:c>
      <x:c r="X1040" s="25" t="str">
        <x:v>CashHomeBuyersDirectory third-party business listing; first-party business activity not checked in this batch</x:v>
      </x:c>
      <x:c r="Y1040" s="25"/>
      <x:c r="Z1040" s="25" t="str">
        <x:v>https://www.cashhomebuyersdirectory.com/cash-home-buyers/ohio/washington-township</x:v>
      </x:c>
      <x:c r="AA1040" s="25" t="str">
        <x:v>Public cash-home-buyer directory lists the business name, business phone/website where available and market. Operator role and corporate funding willingness require confirmation.</x:v>
      </x:c>
      <x:c r="AB1040" s="3" t="str">
        <x:v>New public-source collection</x:v>
      </x:c>
      <x:c r="AC1040" s="3" t="str">
        <x:v>unverified</x:v>
      </x:c>
      <x:c r="AD1040" s="3" t="str">
        <x:v>Not contacted / unconfirmed</x:v>
      </x:c>
      <x:c r="AE1040" s="3" t="str">
        <x:v>No</x:v>
      </x:c>
      <x:c r="AF1040" s="3" t="str">
        <x:v>No</x:v>
      </x:c>
      <x:c r="AG1040" s="3"/>
      <x:c r="AH1040" s="3"/>
      <x:c r="AI1040" s="18"/>
      <x:c r="AJ1040" s="3" t="str">
        <x:v>CF2500-AF122806FA72</x:v>
      </x:c>
      <x:c r="AK1040" s="3" t="str">
        <x:v>real_estate_operator</x:v>
      </x:c>
      <x:c r="AL1040" s="19" t="n">
        <x:v>100000</x:v>
      </x:c>
      <x:c r="AM1040" s="19" t="n">
        <x:v>500000</x:v>
      </x:c>
      <x:c r="AN1040" s="3" t="str">
        <x:v>https://www.cashhomebuyersdirectory.com/cash-home-buyers/ohio/washington-township</x:v>
      </x:c>
      <x:c r="AO1040" s="3" t="str">
        <x:v>national_rest_directory_complete.jsonl</x:v>
      </x:c>
      <x:c r="AP1040" s="19"/>
    </x:row>
    <x:row r="1041" ht="36" customHeight="1">
      <x:c r="A1041" s="23" t="n">
        <x:v>1040</x:v>
      </x:c>
      <x:c r="B1041" s="15" t="str">
        <x:v>Garden State Cash Homes LLC</x:v>
      </x:c>
      <x:c r="C1041" s="15"/>
      <x:c r="D1041" s="15" t="str">
        <x:v>Property investor / home-buying operator</x:v>
      </x:c>
      <x:c r="E1041" s="15" t="str">
        <x:v>Property investor / operator inquiry</x:v>
      </x:c>
      <x:c r="F1041" s="17" t="str">
        <x:v>New</x:v>
      </x:c>
      <x:c r="G1041" s="24"/>
      <x:c r="H1041" s="24" t="str">
        <x:v>+17323720940</x:v>
      </x:c>
      <x:c r="I1041" s="24" t="str">
        <x:v>https://www.gardenstatecashhomes.com/</x:v>
      </x:c>
      <x:c r="J1041" s="16" t="str">
        <x:v>NJ</x:v>
      </x:c>
      <x:c r="K1041" s="16"/>
      <x:c r="L1041" s="16" t="str">
        <x:v>Public property-business route; investor decision maker unconfirmed</x:v>
      </x:c>
      <x:c r="M1041" s="16" t="str">
        <x:v>https://www.gardenstatecashhomes.com/</x:v>
      </x:c>
      <x:c r="N1041" s="16" t="str">
        <x:v>$100K-$500K ticket not published / unconfirmed</x:v>
      </x:c>
      <x:c r="O1041" s="20"/>
      <x:c r="P1041" s="20"/>
      <x:c r="Q1041" s="25" t="str">
        <x:v>No direct corporate-capital range established in checked source</x:v>
      </x:c>
      <x:c r="R1041" s="25" t="str">
        <x:v>Property acquisition or investor activity makes this an operator-capital prospect for the signed trial. Confirm operating-company debt/equity appetite.</x:v>
      </x:c>
      <x:c r="S1041" s="25"/>
      <x:c r="T1041" s="25" t="str">
        <x:v>Ask the owner/investor whether they can allocate $100K-$500K to trial marketing and acquisitions, and confirm structure, timing and decision authority.</x:v>
      </x:c>
      <x:c r="U1041" s="25" t="str">
        <x:v>https://www.cashhomebuyersdirectory.com/cash-home-buyers/new-jersey/jersey-city
https://www.cashhomebuyersdirectory.com/cash-home-buyers/new-jersey/trenton</x:v>
      </x:c>
      <x:c r="V1041" s="26" t="d">
        <x:v>2026-10-02T00:00:00.000Z</x:v>
      </x:c>
      <x:c r="W1041" s="26" t="d">
        <x:v>2026-10-02T00:00:00.000Z</x:v>
      </x:c>
      <x:c r="X1041" s="25" t="str">
        <x:v>CashHomeBuyersDirectory third-party business listing; first-party business activity not checked in this batch</x:v>
      </x:c>
      <x:c r="Y1041" s="25"/>
      <x:c r="Z1041" s="25" t="str">
        <x:v>https://www.cashhomebuyersdirectory.com/cash-home-buyers/new-jersey/jersey-city</x:v>
      </x:c>
      <x:c r="AA1041" s="25" t="str">
        <x:v>Public cash-home-buyer directory lists the business name, business phone/website where available and market. Operator role and corporate funding willingness require confirmation.</x:v>
      </x:c>
      <x:c r="AB1041" s="3" t="str">
        <x:v>New public-source collection</x:v>
      </x:c>
      <x:c r="AC1041" s="3" t="str">
        <x:v>unverified</x:v>
      </x:c>
      <x:c r="AD1041" s="3" t="str">
        <x:v>Not contacted / unconfirmed</x:v>
      </x:c>
      <x:c r="AE1041" s="3" t="str">
        <x:v>No</x:v>
      </x:c>
      <x:c r="AF1041" s="3" t="str">
        <x:v>No</x:v>
      </x:c>
      <x:c r="AG1041" s="3"/>
      <x:c r="AH1041" s="3"/>
      <x:c r="AI1041" s="18"/>
      <x:c r="AJ1041" s="3" t="str">
        <x:v>CF2500-0012CB227CF2</x:v>
      </x:c>
      <x:c r="AK1041" s="3" t="str">
        <x:v>real_estate_operator</x:v>
      </x:c>
      <x:c r="AL1041" s="19" t="n">
        <x:v>100000</x:v>
      </x:c>
      <x:c r="AM1041" s="19" t="n">
        <x:v>500000</x:v>
      </x:c>
      <x:c r="AN1041" s="3" t="str">
        <x:v>https://www.cashhomebuyersdirectory.com/cash-home-buyers/new-jersey/jersey-city</x:v>
      </x:c>
      <x:c r="AO1041" s="3" t="str">
        <x:v>national_rest_directory_complete.jsonl</x:v>
      </x:c>
      <x:c r="AP1041" s="19"/>
    </x:row>
    <x:row r="1042" ht="36" customHeight="1">
      <x:c r="A1042" s="23" t="n">
        <x:v>1041</x:v>
      </x:c>
      <x:c r="B1042" s="15" t="str">
        <x:v>Geaux Home Buyers LLC</x:v>
      </x:c>
      <x:c r="C1042" s="15"/>
      <x:c r="D1042" s="15" t="str">
        <x:v>Property investor / home-buying operator</x:v>
      </x:c>
      <x:c r="E1042" s="15" t="str">
        <x:v>Property investor / operator inquiry</x:v>
      </x:c>
      <x:c r="F1042" s="17" t="str">
        <x:v>New</x:v>
      </x:c>
      <x:c r="G1042" s="24"/>
      <x:c r="H1042" s="24" t="str">
        <x:v>+12253308416</x:v>
      </x:c>
      <x:c r="I1042" s="24" t="str">
        <x:v>https://www.geauxhomebuyers.com/</x:v>
      </x:c>
      <x:c r="J1042" s="16" t="str">
        <x:v>LA</x:v>
      </x:c>
      <x:c r="K1042" s="16" t="str">
        <x:v>Baton Rouge</x:v>
      </x:c>
      <x:c r="L1042" s="16" t="str">
        <x:v>Public property-business route; investor decision maker unconfirmed</x:v>
      </x:c>
      <x:c r="M1042" s="16" t="str">
        <x:v>https://www.geauxhomebuyers.com/</x:v>
      </x:c>
      <x:c r="N1042" s="16" t="str">
        <x:v>$100K-$500K ticket not published / unconfirmed</x:v>
      </x:c>
      <x:c r="O1042" s="20"/>
      <x:c r="P1042" s="20"/>
      <x:c r="Q1042" s="25" t="str">
        <x:v>No direct corporate-capital range established in checked source</x:v>
      </x:c>
      <x:c r="R1042" s="25" t="str">
        <x:v>Property acquisition or investor activity makes this an operator-capital prospect for the signed trial. Confirm operating-company debt/equity appetite.</x:v>
      </x:c>
      <x:c r="S1042" s="25"/>
      <x:c r="T1042" s="25" t="str">
        <x:v>Ask the owner/investor whether they can allocate $100K-$500K to trial marketing and acquisitions, and confirm structure, timing and decision authority.</x:v>
      </x:c>
      <x:c r="U1042" s="25" t="str">
        <x:v>https://www.cashhomebuyersdirectory.com/cash-home-buyers/louisiana/baton-rouge</x:v>
      </x:c>
      <x:c r="V1042" s="26" t="d">
        <x:v>2026-10-02T00:00:00.000Z</x:v>
      </x:c>
      <x:c r="W1042" s="26" t="d">
        <x:v>2026-10-02T00:00:00.000Z</x:v>
      </x:c>
      <x:c r="X1042" s="25" t="str">
        <x:v>CashHomeBuyersDirectory third-party business listing; first-party business activity not checked in this batch</x:v>
      </x:c>
      <x:c r="Y1042" s="25"/>
      <x:c r="Z1042" s="25" t="str">
        <x:v>https://www.cashhomebuyersdirectory.com/cash-home-buyers/louisiana/baton-rouge</x:v>
      </x:c>
      <x:c r="AA1042" s="25" t="str">
        <x:v>Public cash-home-buyer directory lists the business name, business phone/website where available and market. Operator role and corporate funding willingness require confirmation.</x:v>
      </x:c>
      <x:c r="AB1042" s="3" t="str">
        <x:v>New public-source collection</x:v>
      </x:c>
      <x:c r="AC1042" s="3" t="str">
        <x:v>unverified</x:v>
      </x:c>
      <x:c r="AD1042" s="3" t="str">
        <x:v>Not contacted / unconfirmed</x:v>
      </x:c>
      <x:c r="AE1042" s="3" t="str">
        <x:v>No</x:v>
      </x:c>
      <x:c r="AF1042" s="3" t="str">
        <x:v>No</x:v>
      </x:c>
      <x:c r="AG1042" s="3"/>
      <x:c r="AH1042" s="3"/>
      <x:c r="AI1042" s="18"/>
      <x:c r="AJ1042" s="3" t="str">
        <x:v>CF2500-EAD5ED91A1EF</x:v>
      </x:c>
      <x:c r="AK1042" s="3" t="str">
        <x:v>real_estate_operator</x:v>
      </x:c>
      <x:c r="AL1042" s="19" t="n">
        <x:v>100000</x:v>
      </x:c>
      <x:c r="AM1042" s="19" t="n">
        <x:v>500000</x:v>
      </x:c>
      <x:c r="AN1042" s="3" t="str">
        <x:v>https://www.cashhomebuyersdirectory.com/cash-home-buyers/louisiana/baton-rouge</x:v>
      </x:c>
      <x:c r="AO1042" s="3" t="str">
        <x:v>national_rest_directory_complete.jsonl</x:v>
      </x:c>
      <x:c r="AP1042" s="19"/>
    </x:row>
    <x:row r="1043" ht="36" customHeight="1">
      <x:c r="A1043" s="23" t="n">
        <x:v>1042</x:v>
      </x:c>
      <x:c r="B1043" s="15" t="str">
        <x:v>Gem State Cash Offer</x:v>
      </x:c>
      <x:c r="C1043" s="15"/>
      <x:c r="D1043" s="15" t="str">
        <x:v>Property investor / home-buying operator</x:v>
      </x:c>
      <x:c r="E1043" s="15" t="str">
        <x:v>Property investor / operator inquiry</x:v>
      </x:c>
      <x:c r="F1043" s="17" t="str">
        <x:v>New</x:v>
      </x:c>
      <x:c r="G1043" s="24"/>
      <x:c r="H1043" s="24" t="str">
        <x:v>+12089993396</x:v>
      </x:c>
      <x:c r="I1043" s="24" t="str">
        <x:v>https://www.gemstatecashoffer.com/?utm_source=gmb&amp;utm_medium=referral</x:v>
      </x:c>
      <x:c r="J1043" s="16" t="str">
        <x:v>ID</x:v>
      </x:c>
      <x:c r="K1043" s="16" t="str">
        <x:v>Boise</x:v>
      </x:c>
      <x:c r="L1043" s="16" t="str">
        <x:v>Public property-business route; investor decision maker unconfirmed</x:v>
      </x:c>
      <x:c r="M1043" s="16" t="str">
        <x:v>https://www.gemstatecashoffer.com/?utm_source=gmb&amp;utm_medium=referral</x:v>
      </x:c>
      <x:c r="N1043" s="16" t="str">
        <x:v>$100K-$500K ticket not published / unconfirmed</x:v>
      </x:c>
      <x:c r="O1043" s="20"/>
      <x:c r="P1043" s="20"/>
      <x:c r="Q1043" s="25" t="str">
        <x:v>No direct corporate-capital range established in checked source</x:v>
      </x:c>
      <x:c r="R1043" s="25" t="str">
        <x:v>Property acquisition or investor activity makes this an operator-capital prospect for the signed trial. Confirm operating-company debt/equity appetite.</x:v>
      </x:c>
      <x:c r="S1043" s="25"/>
      <x:c r="T1043" s="25" t="str">
        <x:v>Ask the owner/investor whether they can allocate $100K-$500K to trial marketing and acquisitions, and confirm structure, timing and decision authority.</x:v>
      </x:c>
      <x:c r="U1043" s="25" t="str">
        <x:v>https://www.cashhomebuyersdirectory.com/cash-home-buyers/idaho/boise</x:v>
      </x:c>
      <x:c r="V1043" s="26" t="d">
        <x:v>2026-10-02T00:00:00.000Z</x:v>
      </x:c>
      <x:c r="W1043" s="26" t="d">
        <x:v>2026-10-02T00:00:00.000Z</x:v>
      </x:c>
      <x:c r="X1043" s="25" t="str">
        <x:v>CashHomeBuyersDirectory third-party business listing; first-party business activity not checked in this batch</x:v>
      </x:c>
      <x:c r="Y1043" s="25"/>
      <x:c r="Z1043" s="25" t="str">
        <x:v>https://www.cashhomebuyersdirectory.com/cash-home-buyers/idaho/boise</x:v>
      </x:c>
      <x:c r="AA1043" s="25" t="str">
        <x:v>Public cash-home-buyer directory lists the business name, business phone/website where available and market. Operator role and corporate funding willingness require confirmation.</x:v>
      </x:c>
      <x:c r="AB1043" s="3" t="str">
        <x:v>New public-source collection</x:v>
      </x:c>
      <x:c r="AC1043" s="3" t="str">
        <x:v>unverified</x:v>
      </x:c>
      <x:c r="AD1043" s="3" t="str">
        <x:v>Not contacted / unconfirmed</x:v>
      </x:c>
      <x:c r="AE1043" s="3" t="str">
        <x:v>No</x:v>
      </x:c>
      <x:c r="AF1043" s="3" t="str">
        <x:v>No</x:v>
      </x:c>
      <x:c r="AG1043" s="3"/>
      <x:c r="AH1043" s="3"/>
      <x:c r="AI1043" s="18"/>
      <x:c r="AJ1043" s="3" t="str">
        <x:v>CF2500-9DFFF5424F5D</x:v>
      </x:c>
      <x:c r="AK1043" s="3" t="str">
        <x:v>real_estate_operator</x:v>
      </x:c>
      <x:c r="AL1043" s="19" t="n">
        <x:v>100000</x:v>
      </x:c>
      <x:c r="AM1043" s="19" t="n">
        <x:v>500000</x:v>
      </x:c>
      <x:c r="AN1043" s="3" t="str">
        <x:v>https://www.cashhomebuyersdirectory.com/cash-home-buyers/idaho/boise</x:v>
      </x:c>
      <x:c r="AO1043" s="3" t="str">
        <x:v>national_rest_directory_complete.jsonl</x:v>
      </x:c>
      <x:c r="AP1043" s="19"/>
    </x:row>
    <x:row r="1044" ht="36" customHeight="1">
      <x:c r="A1044" s="23" t="n">
        <x:v>1043</x:v>
      </x:c>
      <x:c r="B1044" s="15" t="str">
        <x:v>Genesee County Home Buyers</x:v>
      </x:c>
      <x:c r="C1044" s="15"/>
      <x:c r="D1044" s="15" t="str">
        <x:v>Property investor / home-buying operator</x:v>
      </x:c>
      <x:c r="E1044" s="15" t="str">
        <x:v>Property investor / operator inquiry</x:v>
      </x:c>
      <x:c r="F1044" s="17" t="str">
        <x:v>New</x:v>
      </x:c>
      <x:c r="G1044" s="24"/>
      <x:c r="H1044" s="24" t="str">
        <x:v>+18108932288</x:v>
      </x:c>
      <x:c r="I1044" s="24" t="str">
        <x:v>https://geneseecountyhomebuyers.com/</x:v>
      </x:c>
      <x:c r="J1044" s="16" t="str">
        <x:v>MI</x:v>
      </x:c>
      <x:c r="K1044" s="16" t="str">
        <x:v>Flint</x:v>
      </x:c>
      <x:c r="L1044" s="16" t="str">
        <x:v>Public property-business route; investor decision maker unconfirmed</x:v>
      </x:c>
      <x:c r="M1044" s="16" t="str">
        <x:v>https://geneseecountyhomebuyers.com/</x:v>
      </x:c>
      <x:c r="N1044" s="16" t="str">
        <x:v>$100K-$500K ticket not published / unconfirmed</x:v>
      </x:c>
      <x:c r="O1044" s="20"/>
      <x:c r="P1044" s="20"/>
      <x:c r="Q1044" s="25" t="str">
        <x:v>No direct corporate-capital range established in checked source</x:v>
      </x:c>
      <x:c r="R1044" s="25" t="str">
        <x:v>Property acquisition or investor activity makes this an operator-capital prospect for the signed trial. Confirm operating-company debt/equity appetite.</x:v>
      </x:c>
      <x:c r="S1044" s="25"/>
      <x:c r="T1044" s="25" t="str">
        <x:v>Ask the owner/investor whether they can allocate $100K-$500K to trial marketing and acquisitions, and confirm structure, timing and decision authority.</x:v>
      </x:c>
      <x:c r="U1044" s="25" t="str">
        <x:v>https://www.cashhomebuyersdirectory.com/cash-home-buyers/michigan/flint
https://www.cashhomebuyersdirectory.com/cash-home-buyers/michigan/lansing</x:v>
      </x:c>
      <x:c r="V1044" s="26" t="d">
        <x:v>2026-10-02T00:00:00.000Z</x:v>
      </x:c>
      <x:c r="W1044" s="26" t="d">
        <x:v>2026-10-02T00:00:00.000Z</x:v>
      </x:c>
      <x:c r="X1044" s="25" t="str">
        <x:v>CashHomeBuyersDirectory third-party business listing; first-party business activity not checked in this batch</x:v>
      </x:c>
      <x:c r="Y1044" s="25"/>
      <x:c r="Z1044" s="25" t="str">
        <x:v>https://www.cashhomebuyersdirectory.com/cash-home-buyers/michigan/flint</x:v>
      </x:c>
      <x:c r="AA1044" s="25" t="str">
        <x:v>Public cash-home-buyer directory lists the business name, business phone/website where available and market. Operator role and corporate funding willingness require confirmation.</x:v>
      </x:c>
      <x:c r="AB1044" s="3" t="str">
        <x:v>New public-source collection</x:v>
      </x:c>
      <x:c r="AC1044" s="3" t="str">
        <x:v>unverified</x:v>
      </x:c>
      <x:c r="AD1044" s="3" t="str">
        <x:v>Not contacted / unconfirmed</x:v>
      </x:c>
      <x:c r="AE1044" s="3" t="str">
        <x:v>No</x:v>
      </x:c>
      <x:c r="AF1044" s="3" t="str">
        <x:v>No</x:v>
      </x:c>
      <x:c r="AG1044" s="3"/>
      <x:c r="AH1044" s="3"/>
      <x:c r="AI1044" s="18"/>
      <x:c r="AJ1044" s="3" t="str">
        <x:v>CF2500-48514D9D0936</x:v>
      </x:c>
      <x:c r="AK1044" s="3" t="str">
        <x:v>real_estate_operator</x:v>
      </x:c>
      <x:c r="AL1044" s="19" t="n">
        <x:v>100000</x:v>
      </x:c>
      <x:c r="AM1044" s="19" t="n">
        <x:v>500000</x:v>
      </x:c>
      <x:c r="AN1044" s="3" t="str">
        <x:v>https://www.cashhomebuyersdirectory.com/cash-home-buyers/michigan/flint</x:v>
      </x:c>
      <x:c r="AO1044" s="3" t="str">
        <x:v>national_rest_directory_complete.jsonl</x:v>
      </x:c>
      <x:c r="AP1044" s="19"/>
    </x:row>
    <x:row r="1045" ht="36" customHeight="1">
      <x:c r="A1045" s="23" t="n">
        <x:v>1044</x:v>
      </x:c>
      <x:c r="B1045" s="15" t="str">
        <x:v>Genuine House Buyers</x:v>
      </x:c>
      <x:c r="C1045" s="15"/>
      <x:c r="D1045" s="15" t="str">
        <x:v>Property investor / home-buying operator</x:v>
      </x:c>
      <x:c r="E1045" s="15" t="str">
        <x:v>Property investor / operator inquiry</x:v>
      </x:c>
      <x:c r="F1045" s="17" t="str">
        <x:v>New</x:v>
      </x:c>
      <x:c r="G1045" s="24"/>
      <x:c r="H1045" s="24" t="str">
        <x:v>+14013135099</x:v>
      </x:c>
      <x:c r="I1045" s="24" t="str">
        <x:v>https://www.genuinehousebuyers.com/</x:v>
      </x:c>
      <x:c r="J1045" s="16" t="str">
        <x:v>RI</x:v>
      </x:c>
      <x:c r="K1045" s="16" t="str">
        <x:v>Providence</x:v>
      </x:c>
      <x:c r="L1045" s="16" t="str">
        <x:v>Public property-business route; investor decision maker unconfirmed</x:v>
      </x:c>
      <x:c r="M1045" s="16" t="str">
        <x:v>https://www.genuinehousebuyers.com/</x:v>
      </x:c>
      <x:c r="N1045" s="16" t="str">
        <x:v>$100K-$500K ticket not published / unconfirmed</x:v>
      </x:c>
      <x:c r="O1045" s="20"/>
      <x:c r="P1045" s="20"/>
      <x:c r="Q1045" s="25" t="str">
        <x:v>No direct corporate-capital range established in checked source</x:v>
      </x:c>
      <x:c r="R1045" s="25" t="str">
        <x:v>Property acquisition or investor activity makes this an operator-capital prospect for the signed trial. Confirm operating-company debt/equity appetite.</x:v>
      </x:c>
      <x:c r="S1045" s="25"/>
      <x:c r="T1045" s="25" t="str">
        <x:v>Ask the owner/investor whether they can allocate $100K-$500K to trial marketing and acquisitions, and confirm structure, timing and decision authority.</x:v>
      </x:c>
      <x:c r="U1045" s="25" t="str">
        <x:v>https://www.cashhomebuyersdirectory.com/cash-home-buyers/rhode-island/providence</x:v>
      </x:c>
      <x:c r="V1045" s="26" t="d">
        <x:v>2026-10-02T00:00:00.000Z</x:v>
      </x:c>
      <x:c r="W1045" s="26" t="d">
        <x:v>2026-10-02T00:00:00.000Z</x:v>
      </x:c>
      <x:c r="X1045" s="25" t="str">
        <x:v>CashHomeBuyersDirectory third-party business listing; first-party business activity not checked in this batch</x:v>
      </x:c>
      <x:c r="Y1045" s="25"/>
      <x:c r="Z1045" s="25" t="str">
        <x:v>https://www.cashhomebuyersdirectory.com/cash-home-buyers/rhode-island/providence</x:v>
      </x:c>
      <x:c r="AA1045" s="25" t="str">
        <x:v>Public cash-home-buyer directory lists the business name, business phone/website where available and market. Operator role and corporate funding willingness require confirmation.</x:v>
      </x:c>
      <x:c r="AB1045" s="3" t="str">
        <x:v>New public-source collection</x:v>
      </x:c>
      <x:c r="AC1045" s="3" t="str">
        <x:v>unverified</x:v>
      </x:c>
      <x:c r="AD1045" s="3" t="str">
        <x:v>Not contacted / unconfirmed</x:v>
      </x:c>
      <x:c r="AE1045" s="3" t="str">
        <x:v>No</x:v>
      </x:c>
      <x:c r="AF1045" s="3" t="str">
        <x:v>No</x:v>
      </x:c>
      <x:c r="AG1045" s="3"/>
      <x:c r="AH1045" s="3"/>
      <x:c r="AI1045" s="18"/>
      <x:c r="AJ1045" s="3" t="str">
        <x:v>CF2500-F06C5AA275E8</x:v>
      </x:c>
      <x:c r="AK1045" s="3" t="str">
        <x:v>real_estate_operator</x:v>
      </x:c>
      <x:c r="AL1045" s="19" t="n">
        <x:v>100000</x:v>
      </x:c>
      <x:c r="AM1045" s="19" t="n">
        <x:v>500000</x:v>
      </x:c>
      <x:c r="AN1045" s="3" t="str">
        <x:v>https://www.cashhomebuyersdirectory.com/cash-home-buyers/rhode-island/providence</x:v>
      </x:c>
      <x:c r="AO1045" s="3" t="str">
        <x:v>national_rest_directory_complete.jsonl</x:v>
      </x:c>
      <x:c r="AP1045" s="19"/>
    </x:row>
    <x:row r="1046" ht="36" customHeight="1">
      <x:c r="A1046" s="23" t="n">
        <x:v>1045</x:v>
      </x:c>
      <x:c r="B1046" s="15" t="str">
        <x:v>Good as Sold Home Buyers</x:v>
      </x:c>
      <x:c r="C1046" s="15"/>
      <x:c r="D1046" s="15" t="str">
        <x:v>Property investor / home-buying operator</x:v>
      </x:c>
      <x:c r="E1046" s="15" t="str">
        <x:v>Property investor / operator inquiry</x:v>
      </x:c>
      <x:c r="F1046" s="17" t="str">
        <x:v>New</x:v>
      </x:c>
      <x:c r="G1046" s="24"/>
      <x:c r="H1046" s="24" t="str">
        <x:v>+14253667574</x:v>
      </x:c>
      <x:c r="I1046" s="24" t="str">
        <x:v>http://www.goodassoldhomebuyers.com/</x:v>
      </x:c>
      <x:c r="J1046" s="16" t="str">
        <x:v>WA</x:v>
      </x:c>
      <x:c r="K1046" s="16"/>
      <x:c r="L1046" s="16" t="str">
        <x:v>Public property-business route; investor decision maker unconfirmed</x:v>
      </x:c>
      <x:c r="M1046" s="16" t="str">
        <x:v>http://www.goodassoldhomebuyers.com/</x:v>
      </x:c>
      <x:c r="N1046" s="16" t="str">
        <x:v>$100K-$500K ticket not published / unconfirmed</x:v>
      </x:c>
      <x:c r="O1046" s="20"/>
      <x:c r="P1046" s="20"/>
      <x:c r="Q1046" s="25" t="str">
        <x:v>No direct corporate-capital range established in checked source</x:v>
      </x:c>
      <x:c r="R1046" s="25" t="str">
        <x:v>Property acquisition or investor activity makes this an operator-capital prospect for the signed trial. Confirm operating-company debt/equity appetite.</x:v>
      </x:c>
      <x:c r="S1046" s="25"/>
      <x:c r="T1046" s="25" t="str">
        <x:v>Ask the owner/investor whether they can allocate $100K-$500K to trial marketing and acquisitions, and confirm structure, timing and decision authority.</x:v>
      </x:c>
      <x:c r="U1046" s="25" t="str">
        <x:v>https://www.cashhomebuyersdirectory.com/cash-home-buyers/washington/seattle</x:v>
      </x:c>
      <x:c r="V1046" s="26" t="d">
        <x:v>2026-10-02T00:00:00.000Z</x:v>
      </x:c>
      <x:c r="W1046" s="26" t="d">
        <x:v>2026-10-02T00:00:00.000Z</x:v>
      </x:c>
      <x:c r="X1046" s="25" t="str">
        <x:v>CashHomeBuyersDirectory third-party business listing; first-party business activity not checked in this batch</x:v>
      </x:c>
      <x:c r="Y1046" s="25"/>
      <x:c r="Z1046" s="25" t="str">
        <x:v>https://www.cashhomebuyersdirectory.com/cash-home-buyers/washington/seattle</x:v>
      </x:c>
      <x:c r="AA1046" s="25" t="str">
        <x:v>Public cash-home-buyer directory lists the business name, business phone/website where available and market. Operator role and corporate funding willingness require confirmation.</x:v>
      </x:c>
      <x:c r="AB1046" s="3" t="str">
        <x:v>New public-source collection</x:v>
      </x:c>
      <x:c r="AC1046" s="3" t="str">
        <x:v>unverified</x:v>
      </x:c>
      <x:c r="AD1046" s="3" t="str">
        <x:v>Not contacted / unconfirmed</x:v>
      </x:c>
      <x:c r="AE1046" s="3" t="str">
        <x:v>No</x:v>
      </x:c>
      <x:c r="AF1046" s="3" t="str">
        <x:v>No</x:v>
      </x:c>
      <x:c r="AG1046" s="3"/>
      <x:c r="AH1046" s="3"/>
      <x:c r="AI1046" s="18"/>
      <x:c r="AJ1046" s="3" t="str">
        <x:v>CF2500-10CEEE9E8AFE</x:v>
      </x:c>
      <x:c r="AK1046" s="3" t="str">
        <x:v>real_estate_operator</x:v>
      </x:c>
      <x:c r="AL1046" s="19" t="n">
        <x:v>100000</x:v>
      </x:c>
      <x:c r="AM1046" s="19" t="n">
        <x:v>500000</x:v>
      </x:c>
      <x:c r="AN1046" s="3" t="str">
        <x:v>https://www.cashhomebuyersdirectory.com/cash-home-buyers/washington/seattle</x:v>
      </x:c>
      <x:c r="AO1046" s="3" t="str">
        <x:v>national_rest_directory_complete.jsonl</x:v>
      </x:c>
      <x:c r="AP1046" s="19"/>
    </x:row>
    <x:row r="1047" ht="36" customHeight="1">
      <x:c r="A1047" s="23" t="n">
        <x:v>1046</x:v>
      </x:c>
      <x:c r="B1047" s="15" t="str">
        <x:v>Good Shepherd Home Buyers</x:v>
      </x:c>
      <x:c r="C1047" s="15"/>
      <x:c r="D1047" s="15" t="str">
        <x:v>Property investor / home-buying operator</x:v>
      </x:c>
      <x:c r="E1047" s="15" t="str">
        <x:v>Property investor / operator inquiry</x:v>
      </x:c>
      <x:c r="F1047" s="17" t="str">
        <x:v>New</x:v>
      </x:c>
      <x:c r="G1047" s="24"/>
      <x:c r="H1047" s="24" t="str">
        <x:v>+15043865442</x:v>
      </x:c>
      <x:c r="I1047" s="24" t="str">
        <x:v>https://www.gshomebuyers.com/</x:v>
      </x:c>
      <x:c r="J1047" s="16" t="str">
        <x:v>LA</x:v>
      </x:c>
      <x:c r="K1047" s="16"/>
      <x:c r="L1047" s="16" t="str">
        <x:v>Public property-business route; investor decision maker unconfirmed</x:v>
      </x:c>
      <x:c r="M1047" s="16" t="str">
        <x:v>https://www.gshomebuyers.com/</x:v>
      </x:c>
      <x:c r="N1047" s="16" t="str">
        <x:v>$100K-$500K ticket not published / unconfirmed</x:v>
      </x:c>
      <x:c r="O1047" s="20"/>
      <x:c r="P1047" s="20"/>
      <x:c r="Q1047" s="25" t="str">
        <x:v>No direct corporate-capital range established in checked source</x:v>
      </x:c>
      <x:c r="R1047" s="25" t="str">
        <x:v>Property acquisition or investor activity makes this an operator-capital prospect for the signed trial. Confirm operating-company debt/equity appetite.</x:v>
      </x:c>
      <x:c r="S1047" s="25"/>
      <x:c r="T1047" s="25" t="str">
        <x:v>Ask the owner/investor whether they can allocate $100K-$500K to trial marketing and acquisitions, and confirm structure, timing and decision authority.</x:v>
      </x:c>
      <x:c r="U1047" s="25" t="str">
        <x:v>https://www.cashhomebuyersdirectory.com/cash-home-buyers/louisiana/new-orleans</x:v>
      </x:c>
      <x:c r="V1047" s="26" t="d">
        <x:v>2026-10-02T00:00:00.000Z</x:v>
      </x:c>
      <x:c r="W1047" s="26" t="d">
        <x:v>2026-10-02T00:00:00.000Z</x:v>
      </x:c>
      <x:c r="X1047" s="25" t="str">
        <x:v>CashHomeBuyersDirectory third-party business listing; first-party business activity not checked in this batch</x:v>
      </x:c>
      <x:c r="Y1047" s="25"/>
      <x:c r="Z1047" s="25" t="str">
        <x:v>https://www.cashhomebuyersdirectory.com/cash-home-buyers/louisiana/new-orleans</x:v>
      </x:c>
      <x:c r="AA1047" s="25" t="str">
        <x:v>Public cash-home-buyer directory lists the business name, business phone/website where available and market. Operator role and corporate funding willingness require confirmation.</x:v>
      </x:c>
      <x:c r="AB1047" s="3" t="str">
        <x:v>New public-source collection</x:v>
      </x:c>
      <x:c r="AC1047" s="3" t="str">
        <x:v>unverified</x:v>
      </x:c>
      <x:c r="AD1047" s="3" t="str">
        <x:v>Not contacted / unconfirmed</x:v>
      </x:c>
      <x:c r="AE1047" s="3" t="str">
        <x:v>No</x:v>
      </x:c>
      <x:c r="AF1047" s="3" t="str">
        <x:v>No</x:v>
      </x:c>
      <x:c r="AG1047" s="3"/>
      <x:c r="AH1047" s="3"/>
      <x:c r="AI1047" s="18"/>
      <x:c r="AJ1047" s="3" t="str">
        <x:v>CF2500-CB14F30780AD</x:v>
      </x:c>
      <x:c r="AK1047" s="3" t="str">
        <x:v>real_estate_operator</x:v>
      </x:c>
      <x:c r="AL1047" s="19" t="n">
        <x:v>100000</x:v>
      </x:c>
      <x:c r="AM1047" s="19" t="n">
        <x:v>500000</x:v>
      </x:c>
      <x:c r="AN1047" s="3" t="str">
        <x:v>https://www.cashhomebuyersdirectory.com/cash-home-buyers/louisiana/new-orleans</x:v>
      </x:c>
      <x:c r="AO1047" s="3" t="str">
        <x:v>national_rest_directory_complete.jsonl</x:v>
      </x:c>
      <x:c r="AP1047" s="19"/>
    </x:row>
    <x:row r="1048" ht="36" customHeight="1">
      <x:c r="A1048" s="23" t="n">
        <x:v>1047</x:v>
      </x:c>
      <x:c r="B1048" s="15" t="str">
        <x:v>Greater Akron Home Buyers</x:v>
      </x:c>
      <x:c r="C1048" s="15"/>
      <x:c r="D1048" s="15" t="str">
        <x:v>Property investor / home-buying operator</x:v>
      </x:c>
      <x:c r="E1048" s="15" t="str">
        <x:v>Property investor / operator inquiry</x:v>
      </x:c>
      <x:c r="F1048" s="17" t="str">
        <x:v>New</x:v>
      </x:c>
      <x:c r="G1048" s="24"/>
      <x:c r="H1048" s="24" t="str">
        <x:v>+13306961807</x:v>
      </x:c>
      <x:c r="I1048" s="24" t="str">
        <x:v>https://www.greaterakronhomebuyers.com/</x:v>
      </x:c>
      <x:c r="J1048" s="16" t="str">
        <x:v>OH</x:v>
      </x:c>
      <x:c r="K1048" s="16" t="str">
        <x:v>Akron</x:v>
      </x:c>
      <x:c r="L1048" s="16" t="str">
        <x:v>Public property-business route; investor decision maker unconfirmed</x:v>
      </x:c>
      <x:c r="M1048" s="16" t="str">
        <x:v>https://www.greaterakronhomebuyers.com/</x:v>
      </x:c>
      <x:c r="N1048" s="16" t="str">
        <x:v>$100K-$500K ticket not published / unconfirmed</x:v>
      </x:c>
      <x:c r="O1048" s="20"/>
      <x:c r="P1048" s="20"/>
      <x:c r="Q1048" s="25" t="str">
        <x:v>No direct corporate-capital range established in checked source</x:v>
      </x:c>
      <x:c r="R1048" s="25" t="str">
        <x:v>Property acquisition or investor activity makes this an operator-capital prospect for the signed trial. Confirm operating-company debt/equity appetite.</x:v>
      </x:c>
      <x:c r="S1048" s="25"/>
      <x:c r="T1048" s="25" t="str">
        <x:v>Ask the owner/investor whether they can allocate $100K-$500K to trial marketing and acquisitions, and confirm structure, timing and decision authority.</x:v>
      </x:c>
      <x:c r="U1048" s="25" t="str">
        <x:v>https://www.cashhomebuyersdirectory.com/cash-home-buyers/ohio/akron</x:v>
      </x:c>
      <x:c r="V1048" s="26" t="d">
        <x:v>2026-10-02T00:00:00.000Z</x:v>
      </x:c>
      <x:c r="W1048" s="26" t="d">
        <x:v>2026-10-02T00:00:00.000Z</x:v>
      </x:c>
      <x:c r="X1048" s="25" t="str">
        <x:v>CashHomeBuyersDirectory third-party business listing; first-party business activity not checked in this batch</x:v>
      </x:c>
      <x:c r="Y1048" s="25"/>
      <x:c r="Z1048" s="25" t="str">
        <x:v>https://www.cashhomebuyersdirectory.com/cash-home-buyers/ohio/akron</x:v>
      </x:c>
      <x:c r="AA1048" s="25" t="str">
        <x:v>Public cash-home-buyer directory lists the business name, business phone/website where available and market. Operator role and corporate funding willingness require confirmation.</x:v>
      </x:c>
      <x:c r="AB1048" s="3" t="str">
        <x:v>New public-source collection</x:v>
      </x:c>
      <x:c r="AC1048" s="3" t="str">
        <x:v>unverified</x:v>
      </x:c>
      <x:c r="AD1048" s="3" t="str">
        <x:v>Not contacted / unconfirmed</x:v>
      </x:c>
      <x:c r="AE1048" s="3" t="str">
        <x:v>No</x:v>
      </x:c>
      <x:c r="AF1048" s="3" t="str">
        <x:v>No</x:v>
      </x:c>
      <x:c r="AG1048" s="3"/>
      <x:c r="AH1048" s="3"/>
      <x:c r="AI1048" s="18"/>
      <x:c r="AJ1048" s="3" t="str">
        <x:v>CF2500-F1B9630194F4</x:v>
      </x:c>
      <x:c r="AK1048" s="3" t="str">
        <x:v>real_estate_operator</x:v>
      </x:c>
      <x:c r="AL1048" s="19" t="n">
        <x:v>100000</x:v>
      </x:c>
      <x:c r="AM1048" s="19" t="n">
        <x:v>500000</x:v>
      </x:c>
      <x:c r="AN1048" s="3" t="str">
        <x:v>https://www.cashhomebuyersdirectory.com/cash-home-buyers/ohio/akron</x:v>
      </x:c>
      <x:c r="AO1048" s="3" t="str">
        <x:v>national_rest_directory_complete.jsonl</x:v>
      </x:c>
      <x:c r="AP1048" s="19"/>
    </x:row>
    <x:row r="1049" ht="36" customHeight="1">
      <x:c r="A1049" s="23" t="n">
        <x:v>1048</x:v>
      </x:c>
      <x:c r="B1049" s="15" t="str">
        <x:v>Greater Cleveland Homebuyers</x:v>
      </x:c>
      <x:c r="C1049" s="15"/>
      <x:c r="D1049" s="15" t="str">
        <x:v>Property investor / home-buying operator</x:v>
      </x:c>
      <x:c r="E1049" s="15" t="str">
        <x:v>Property investor / operator inquiry</x:v>
      </x:c>
      <x:c r="F1049" s="17" t="str">
        <x:v>New</x:v>
      </x:c>
      <x:c r="G1049" s="24"/>
      <x:c r="H1049" s="24" t="str">
        <x:v>+14406699201</x:v>
      </x:c>
      <x:c r="I1049" s="24" t="str">
        <x:v>http://www.greaterclevelandhomebuyers.com/</x:v>
      </x:c>
      <x:c r="J1049" s="16" t="str">
        <x:v>OH</x:v>
      </x:c>
      <x:c r="K1049" s="16" t="str">
        <x:v>Brunswick</x:v>
      </x:c>
      <x:c r="L1049" s="16" t="str">
        <x:v>Public property-business route; investor decision maker unconfirmed</x:v>
      </x:c>
      <x:c r="M1049" s="16" t="str">
        <x:v>http://www.greaterclevelandhomebuyers.com/</x:v>
      </x:c>
      <x:c r="N1049" s="16" t="str">
        <x:v>$100K-$500K ticket not published / unconfirmed</x:v>
      </x:c>
      <x:c r="O1049" s="20"/>
      <x:c r="P1049" s="20"/>
      <x:c r="Q1049" s="25" t="str">
        <x:v>No direct corporate-capital range established in checked source</x:v>
      </x:c>
      <x:c r="R1049" s="25" t="str">
        <x:v>Property acquisition or investor activity makes this an operator-capital prospect for the signed trial. Confirm operating-company debt/equity appetite.</x:v>
      </x:c>
      <x:c r="S1049" s="25"/>
      <x:c r="T1049" s="25" t="str">
        <x:v>Ask the owner/investor whether they can allocate $100K-$500K to trial marketing and acquisitions, and confirm structure, timing and decision authority.</x:v>
      </x:c>
      <x:c r="U1049" s="25" t="str">
        <x:v>https://www.cashhomebuyersdirectory.com/cash-home-buyers/ohio/brunswick</x:v>
      </x:c>
      <x:c r="V1049" s="26" t="d">
        <x:v>2026-10-02T00:00:00.000Z</x:v>
      </x:c>
      <x:c r="W1049" s="26" t="d">
        <x:v>2026-10-02T00:00:00.000Z</x:v>
      </x:c>
      <x:c r="X1049" s="25" t="str">
        <x:v>CashHomeBuyersDirectory third-party business listing; first-party business activity not checked in this batch</x:v>
      </x:c>
      <x:c r="Y1049" s="25"/>
      <x:c r="Z1049" s="25" t="str">
        <x:v>https://www.cashhomebuyersdirectory.com/cash-home-buyers/ohio/brunswick</x:v>
      </x:c>
      <x:c r="AA1049" s="25" t="str">
        <x:v>Public cash-home-buyer directory lists the business name, business phone/website where available and market. Operator role and corporate funding willingness require confirmation.</x:v>
      </x:c>
      <x:c r="AB1049" s="3" t="str">
        <x:v>New public-source collection</x:v>
      </x:c>
      <x:c r="AC1049" s="3" t="str">
        <x:v>unverified</x:v>
      </x:c>
      <x:c r="AD1049" s="3" t="str">
        <x:v>Not contacted / unconfirmed</x:v>
      </x:c>
      <x:c r="AE1049" s="3" t="str">
        <x:v>No</x:v>
      </x:c>
      <x:c r="AF1049" s="3" t="str">
        <x:v>No</x:v>
      </x:c>
      <x:c r="AG1049" s="3"/>
      <x:c r="AH1049" s="3"/>
      <x:c r="AI1049" s="18"/>
      <x:c r="AJ1049" s="3" t="str">
        <x:v>CF2500-456E000418E8</x:v>
      </x:c>
      <x:c r="AK1049" s="3" t="str">
        <x:v>real_estate_operator</x:v>
      </x:c>
      <x:c r="AL1049" s="19" t="n">
        <x:v>100000</x:v>
      </x:c>
      <x:c r="AM1049" s="19" t="n">
        <x:v>500000</x:v>
      </x:c>
      <x:c r="AN1049" s="3" t="str">
        <x:v>https://www.cashhomebuyersdirectory.com/cash-home-buyers/ohio/brunswick</x:v>
      </x:c>
      <x:c r="AO1049" s="3" t="str">
        <x:v>national_rest_directory_complete.jsonl</x:v>
      </x:c>
      <x:c r="AP1049" s="19"/>
    </x:row>
    <x:row r="1050" ht="36" customHeight="1">
      <x:c r="A1050" s="23" t="n">
        <x:v>1049</x:v>
      </x:c>
      <x:c r="B1050" s="15" t="str">
        <x:v>GREimagined Cash Home Buyers</x:v>
      </x:c>
      <x:c r="C1050" s="15"/>
      <x:c r="D1050" s="15" t="str">
        <x:v>Property investor / home-buying operator</x:v>
      </x:c>
      <x:c r="E1050" s="15" t="str">
        <x:v>Property investor / operator inquiry</x:v>
      </x:c>
      <x:c r="F1050" s="17" t="str">
        <x:v>New</x:v>
      </x:c>
      <x:c r="G1050" s="24"/>
      <x:c r="H1050" s="24" t="str">
        <x:v>+15598609105</x:v>
      </x:c>
      <x:c r="I1050" s="24" t="str">
        <x:v>https://greimagined.com/?utm_source=gbp&amp;utm_medium=organic</x:v>
      </x:c>
      <x:c r="J1050" s="16" t="str">
        <x:v>CA</x:v>
      </x:c>
      <x:c r="K1050" s="16" t="str">
        <x:v>Fresno</x:v>
      </x:c>
      <x:c r="L1050" s="16" t="str">
        <x:v>Public property-business route; investor decision maker unconfirmed</x:v>
      </x:c>
      <x:c r="M1050" s="16" t="str">
        <x:v>https://greimagined.com/?utm_source=gbp&amp;utm_medium=organic</x:v>
      </x:c>
      <x:c r="N1050" s="16" t="str">
        <x:v>$100K-$500K ticket not published / unconfirmed</x:v>
      </x:c>
      <x:c r="O1050" s="20"/>
      <x:c r="P1050" s="20"/>
      <x:c r="Q1050" s="25" t="str">
        <x:v>No direct corporate-capital range established in checked source</x:v>
      </x:c>
      <x:c r="R1050" s="25" t="str">
        <x:v>Property acquisition or investor activity makes this an operator-capital prospect for the signed trial. Confirm operating-company debt/equity appetite.</x:v>
      </x:c>
      <x:c r="S1050" s="25"/>
      <x:c r="T1050" s="25" t="str">
        <x:v>Ask the owner/investor whether they can allocate $100K-$500K to trial marketing and acquisitions, and confirm structure, timing and decision authority.</x:v>
      </x:c>
      <x:c r="U1050" s="25" t="str">
        <x:v>https://www.cashhomebuyersdirectory.com/cash-home-buyers/california/fresno</x:v>
      </x:c>
      <x:c r="V1050" s="26" t="d">
        <x:v>2026-10-02T00:00:00.000Z</x:v>
      </x:c>
      <x:c r="W1050" s="26" t="d">
        <x:v>2026-10-02T00:00:00.000Z</x:v>
      </x:c>
      <x:c r="X1050" s="25" t="str">
        <x:v>CashHomeBuyersDirectory third-party business listing; first-party business activity not checked in this batch</x:v>
      </x:c>
      <x:c r="Y1050" s="25"/>
      <x:c r="Z1050" s="25" t="str">
        <x:v>https://www.cashhomebuyersdirectory.com/cash-home-buyers/california/fresno</x:v>
      </x:c>
      <x:c r="AA1050" s="25" t="str">
        <x:v>Public cash-home-buyer directory lists the business name, business phone/website where available and market. Operator role and corporate funding willingness require confirmation.</x:v>
      </x:c>
      <x:c r="AB1050" s="3" t="str">
        <x:v>New public-source collection</x:v>
      </x:c>
      <x:c r="AC1050" s="3" t="str">
        <x:v>unverified</x:v>
      </x:c>
      <x:c r="AD1050" s="3" t="str">
        <x:v>Not contacted / unconfirmed</x:v>
      </x:c>
      <x:c r="AE1050" s="3" t="str">
        <x:v>No</x:v>
      </x:c>
      <x:c r="AF1050" s="3" t="str">
        <x:v>No</x:v>
      </x:c>
      <x:c r="AG1050" s="3"/>
      <x:c r="AH1050" s="3"/>
      <x:c r="AI1050" s="18"/>
      <x:c r="AJ1050" s="3" t="str">
        <x:v>CF2500-4349B3E90D45</x:v>
      </x:c>
      <x:c r="AK1050" s="3" t="str">
        <x:v>real_estate_operator</x:v>
      </x:c>
      <x:c r="AL1050" s="19" t="n">
        <x:v>100000</x:v>
      </x:c>
      <x:c r="AM1050" s="19" t="n">
        <x:v>500000</x:v>
      </x:c>
      <x:c r="AN1050" s="3" t="str">
        <x:v>https://www.cashhomebuyersdirectory.com/cash-home-buyers/california/fresno</x:v>
      </x:c>
      <x:c r="AO1050" s="3" t="str">
        <x:v>national_rest_directory_complete.jsonl</x:v>
      </x:c>
      <x:c r="AP1050" s="19"/>
    </x:row>
    <x:row r="1051" ht="36" customHeight="1">
      <x:c r="A1051" s="23" t="n">
        <x:v>1050</x:v>
      </x:c>
      <x:c r="B1051" s="15" t="str">
        <x:v>Hampden Homebuyers</x:v>
      </x:c>
      <x:c r="C1051" s="15"/>
      <x:c r="D1051" s="15" t="str">
        <x:v>Property investor / home-buying operator</x:v>
      </x:c>
      <x:c r="E1051" s="15" t="str">
        <x:v>Property investor / operator inquiry</x:v>
      </x:c>
      <x:c r="F1051" s="17" t="str">
        <x:v>New</x:v>
      </x:c>
      <x:c r="G1051" s="24"/>
      <x:c r="H1051" s="24" t="str">
        <x:v>+14132487355</x:v>
      </x:c>
      <x:c r="I1051" s="24" t="str">
        <x:v>http://www.hampdenhomebuyers.com/</x:v>
      </x:c>
      <x:c r="J1051" s="16" t="str">
        <x:v>MA</x:v>
      </x:c>
      <x:c r="K1051" s="16" t="str">
        <x:v>Springfield</x:v>
      </x:c>
      <x:c r="L1051" s="16" t="str">
        <x:v>Public property-business route; investor decision maker unconfirmed</x:v>
      </x:c>
      <x:c r="M1051" s="16" t="str">
        <x:v>http://www.hampdenhomebuyers.com/</x:v>
      </x:c>
      <x:c r="N1051" s="16" t="str">
        <x:v>$100K-$500K ticket not published / unconfirmed</x:v>
      </x:c>
      <x:c r="O1051" s="20"/>
      <x:c r="P1051" s="20"/>
      <x:c r="Q1051" s="25" t="str">
        <x:v>No direct corporate-capital range established in checked source</x:v>
      </x:c>
      <x:c r="R1051" s="25" t="str">
        <x:v>Property acquisition or investor activity makes this an operator-capital prospect for the signed trial. Confirm operating-company debt/equity appetite.</x:v>
      </x:c>
      <x:c r="S1051" s="25"/>
      <x:c r="T1051" s="25" t="str">
        <x:v>Ask the owner/investor whether they can allocate $100K-$500K to trial marketing and acquisitions, and confirm structure, timing and decision authority.</x:v>
      </x:c>
      <x:c r="U1051" s="25" t="str">
        <x:v>https://www.cashhomebuyersdirectory.com/cash-home-buyers/massachusetts/springfield</x:v>
      </x:c>
      <x:c r="V1051" s="26" t="d">
        <x:v>2026-10-02T00:00:00.000Z</x:v>
      </x:c>
      <x:c r="W1051" s="26" t="d">
        <x:v>2026-10-02T00:00:00.000Z</x:v>
      </x:c>
      <x:c r="X1051" s="25" t="str">
        <x:v>CashHomeBuyersDirectory third-party business listing; first-party business activity not checked in this batch</x:v>
      </x:c>
      <x:c r="Y1051" s="25"/>
      <x:c r="Z1051" s="25" t="str">
        <x:v>https://www.cashhomebuyersdirectory.com/cash-home-buyers/massachusetts/springfield</x:v>
      </x:c>
      <x:c r="AA1051" s="25" t="str">
        <x:v>Public cash-home-buyer directory lists the business name, business phone/website where available and market. Operator role and corporate funding willingness require confirmation.</x:v>
      </x:c>
      <x:c r="AB1051" s="3" t="str">
        <x:v>New public-source collection</x:v>
      </x:c>
      <x:c r="AC1051" s="3" t="str">
        <x:v>unverified</x:v>
      </x:c>
      <x:c r="AD1051" s="3" t="str">
        <x:v>Not contacted / unconfirmed</x:v>
      </x:c>
      <x:c r="AE1051" s="3" t="str">
        <x:v>No</x:v>
      </x:c>
      <x:c r="AF1051" s="3" t="str">
        <x:v>No</x:v>
      </x:c>
      <x:c r="AG1051" s="3"/>
      <x:c r="AH1051" s="3"/>
      <x:c r="AI1051" s="18"/>
      <x:c r="AJ1051" s="3" t="str">
        <x:v>CF2500-959AE8CD6FCC</x:v>
      </x:c>
      <x:c r="AK1051" s="3" t="str">
        <x:v>real_estate_operator</x:v>
      </x:c>
      <x:c r="AL1051" s="19" t="n">
        <x:v>100000</x:v>
      </x:c>
      <x:c r="AM1051" s="19" t="n">
        <x:v>500000</x:v>
      </x:c>
      <x:c r="AN1051" s="3" t="str">
        <x:v>https://www.cashhomebuyersdirectory.com/cash-home-buyers/massachusetts/springfield</x:v>
      </x:c>
      <x:c r="AO1051" s="3" t="str">
        <x:v>national_rest_directory_complete.jsonl</x:v>
      </x:c>
      <x:c r="AP1051" s="19"/>
    </x:row>
    <x:row r="1052" ht="36" customHeight="1">
      <x:c r="A1052" s="23" t="n">
        <x:v>1051</x:v>
      </x:c>
      <x:c r="B1052" s="15" t="str">
        <x:v>Hampton Roads House Buyers- We Buy &amp; Sell Houses For Cash</x:v>
      </x:c>
      <x:c r="C1052" s="15"/>
      <x:c r="D1052" s="15" t="str">
        <x:v>Property investor / home-buying operator</x:v>
      </x:c>
      <x:c r="E1052" s="15" t="str">
        <x:v>Property investor / operator inquiry</x:v>
      </x:c>
      <x:c r="F1052" s="17" t="str">
        <x:v>New</x:v>
      </x:c>
      <x:c r="G1052" s="24"/>
      <x:c r="H1052" s="24" t="str">
        <x:v>+17574982101</x:v>
      </x:c>
      <x:c r="I1052" s="24" t="str">
        <x:v>https://www.hamptonroadshousebuyers.com/</x:v>
      </x:c>
      <x:c r="J1052" s="16" t="str">
        <x:v>VA</x:v>
      </x:c>
      <x:c r="K1052" s="16" t="str">
        <x:v>Newport News</x:v>
      </x:c>
      <x:c r="L1052" s="16" t="str">
        <x:v>Public property-business route; investor decision maker unconfirmed</x:v>
      </x:c>
      <x:c r="M1052" s="16" t="str">
        <x:v>https://www.hamptonroadshousebuyers.com/</x:v>
      </x:c>
      <x:c r="N1052" s="16" t="str">
        <x:v>$100K-$500K ticket not published / unconfirmed</x:v>
      </x:c>
      <x:c r="O1052" s="20"/>
      <x:c r="P1052" s="20"/>
      <x:c r="Q1052" s="25" t="str">
        <x:v>No direct corporate-capital range established in checked source</x:v>
      </x:c>
      <x:c r="R1052" s="25" t="str">
        <x:v>Property acquisition or investor activity makes this an operator-capital prospect for the signed trial. Confirm operating-company debt/equity appetite.</x:v>
      </x:c>
      <x:c r="S1052" s="25"/>
      <x:c r="T1052" s="25" t="str">
        <x:v>Ask the owner/investor whether they can allocate $100K-$500K to trial marketing and acquisitions, and confirm structure, timing and decision authority.</x:v>
      </x:c>
      <x:c r="U1052" s="25" t="str">
        <x:v>https://www.cashhomebuyersdirectory.com/cash-home-buyers/virginia/newport-news</x:v>
      </x:c>
      <x:c r="V1052" s="26" t="d">
        <x:v>2026-10-02T00:00:00.000Z</x:v>
      </x:c>
      <x:c r="W1052" s="26" t="d">
        <x:v>2026-10-02T00:00:00.000Z</x:v>
      </x:c>
      <x:c r="X1052" s="25" t="str">
        <x:v>CashHomeBuyersDirectory third-party business listing; first-party business activity not checked in this batch</x:v>
      </x:c>
      <x:c r="Y1052" s="25"/>
      <x:c r="Z1052" s="25" t="str">
        <x:v>https://www.cashhomebuyersdirectory.com/cash-home-buyers/virginia/newport-news</x:v>
      </x:c>
      <x:c r="AA1052" s="25" t="str">
        <x:v>Public cash-home-buyer directory lists the business name, business phone/website where available and market. Operator role and corporate funding willingness require confirmation.</x:v>
      </x:c>
      <x:c r="AB1052" s="3" t="str">
        <x:v>New public-source collection</x:v>
      </x:c>
      <x:c r="AC1052" s="3" t="str">
        <x:v>unverified</x:v>
      </x:c>
      <x:c r="AD1052" s="3" t="str">
        <x:v>Not contacted / unconfirmed</x:v>
      </x:c>
      <x:c r="AE1052" s="3" t="str">
        <x:v>No</x:v>
      </x:c>
      <x:c r="AF1052" s="3" t="str">
        <x:v>No</x:v>
      </x:c>
      <x:c r="AG1052" s="3"/>
      <x:c r="AH1052" s="3"/>
      <x:c r="AI1052" s="18"/>
      <x:c r="AJ1052" s="3" t="str">
        <x:v>CF2500-8DB1B1EEFE0F</x:v>
      </x:c>
      <x:c r="AK1052" s="3" t="str">
        <x:v>real_estate_operator</x:v>
      </x:c>
      <x:c r="AL1052" s="19" t="n">
        <x:v>100000</x:v>
      </x:c>
      <x:c r="AM1052" s="19" t="n">
        <x:v>500000</x:v>
      </x:c>
      <x:c r="AN1052" s="3" t="str">
        <x:v>https://www.cashhomebuyersdirectory.com/cash-home-buyers/virginia/newport-news</x:v>
      </x:c>
      <x:c r="AO1052" s="3" t="str">
        <x:v>national_rest_directory_complete.jsonl</x:v>
      </x:c>
      <x:c r="AP1052" s="19"/>
    </x:row>
    <x:row r="1053" ht="36" customHeight="1">
      <x:c r="A1053" s="23" t="n">
        <x:v>1052</x:v>
      </x:c>
      <x:c r="B1053" s="15" t="str">
        <x:v>Hattiesburg Home Buyer</x:v>
      </x:c>
      <x:c r="C1053" s="15"/>
      <x:c r="D1053" s="15" t="str">
        <x:v>Property investor / home-buying operator</x:v>
      </x:c>
      <x:c r="E1053" s="15" t="str">
        <x:v>Property investor / operator inquiry</x:v>
      </x:c>
      <x:c r="F1053" s="17" t="str">
        <x:v>New</x:v>
      </x:c>
      <x:c r="G1053" s="24"/>
      <x:c r="H1053" s="24" t="str">
        <x:v>+16012056007</x:v>
      </x:c>
      <x:c r="I1053" s="24" t="str">
        <x:v>https://hattiesburghomebuyer.com/</x:v>
      </x:c>
      <x:c r="J1053" s="16" t="str">
        <x:v>MS</x:v>
      </x:c>
      <x:c r="K1053" s="16" t="str">
        <x:v>Hattiesburg</x:v>
      </x:c>
      <x:c r="L1053" s="16" t="str">
        <x:v>Public property-business route; investor decision maker unconfirmed</x:v>
      </x:c>
      <x:c r="M1053" s="16" t="str">
        <x:v>https://hattiesburghomebuyer.com/</x:v>
      </x:c>
      <x:c r="N1053" s="16" t="str">
        <x:v>$100K-$500K ticket not published / unconfirmed</x:v>
      </x:c>
      <x:c r="O1053" s="20"/>
      <x:c r="P1053" s="20"/>
      <x:c r="Q1053" s="25" t="str">
        <x:v>No direct corporate-capital range established in checked source</x:v>
      </x:c>
      <x:c r="R1053" s="25" t="str">
        <x:v>Property acquisition or investor activity makes this an operator-capital prospect for the signed trial. Confirm operating-company debt/equity appetite.</x:v>
      </x:c>
      <x:c r="S1053" s="25"/>
      <x:c r="T1053" s="25" t="str">
        <x:v>Ask the owner/investor whether they can allocate $100K-$500K to trial marketing and acquisitions, and confirm structure, timing and decision authority.</x:v>
      </x:c>
      <x:c r="U1053" s="25" t="str">
        <x:v>https://www.cashhomebuyersdirectory.com/cash-home-buyers/mississippi/hattiesburg</x:v>
      </x:c>
      <x:c r="V1053" s="26" t="d">
        <x:v>2026-10-02T00:00:00.000Z</x:v>
      </x:c>
      <x:c r="W1053" s="26" t="d">
        <x:v>2026-10-02T00:00:00.000Z</x:v>
      </x:c>
      <x:c r="X1053" s="25" t="str">
        <x:v>CashHomeBuyersDirectory third-party business listing; first-party business activity not checked in this batch</x:v>
      </x:c>
      <x:c r="Y1053" s="25"/>
      <x:c r="Z1053" s="25" t="str">
        <x:v>https://www.cashhomebuyersdirectory.com/cash-home-buyers/mississippi/hattiesburg</x:v>
      </x:c>
      <x:c r="AA1053" s="25" t="str">
        <x:v>Public cash-home-buyer directory lists the business name, business phone/website where available and market. Operator role and corporate funding willingness require confirmation.</x:v>
      </x:c>
      <x:c r="AB1053" s="3" t="str">
        <x:v>New public-source collection</x:v>
      </x:c>
      <x:c r="AC1053" s="3" t="str">
        <x:v>unverified</x:v>
      </x:c>
      <x:c r="AD1053" s="3" t="str">
        <x:v>Not contacted / unconfirmed</x:v>
      </x:c>
      <x:c r="AE1053" s="3" t="str">
        <x:v>No</x:v>
      </x:c>
      <x:c r="AF1053" s="3" t="str">
        <x:v>No</x:v>
      </x:c>
      <x:c r="AG1053" s="3"/>
      <x:c r="AH1053" s="3"/>
      <x:c r="AI1053" s="18"/>
      <x:c r="AJ1053" s="3" t="str">
        <x:v>CF2500-DEE4383D1A62</x:v>
      </x:c>
      <x:c r="AK1053" s="3" t="str">
        <x:v>real_estate_operator</x:v>
      </x:c>
      <x:c r="AL1053" s="19" t="n">
        <x:v>100000</x:v>
      </x:c>
      <x:c r="AM1053" s="19" t="n">
        <x:v>500000</x:v>
      </x:c>
      <x:c r="AN1053" s="3" t="str">
        <x:v>https://www.cashhomebuyersdirectory.com/cash-home-buyers/mississippi/hattiesburg</x:v>
      </x:c>
      <x:c r="AO1053" s="3" t="str">
        <x:v>national_rest_directory_complete.jsonl</x:v>
      </x:c>
      <x:c r="AP1053" s="19"/>
    </x:row>
    <x:row r="1054" ht="36" customHeight="1">
      <x:c r="A1054" s="23" t="n">
        <x:v>1053</x:v>
      </x:c>
      <x:c r="B1054" s="15" t="str">
        <x:v>Hawaii Home Buyers</x:v>
      </x:c>
      <x:c r="C1054" s="15"/>
      <x:c r="D1054" s="15" t="str">
        <x:v>Property investor / home-buying operator</x:v>
      </x:c>
      <x:c r="E1054" s="15" t="str">
        <x:v>Property investor / operator inquiry</x:v>
      </x:c>
      <x:c r="F1054" s="17" t="str">
        <x:v>New</x:v>
      </x:c>
      <x:c r="G1054" s="24"/>
      <x:c r="H1054" s="24" t="str">
        <x:v>+18082202060</x:v>
      </x:c>
      <x:c r="I1054" s="24" t="str">
        <x:v>https://clickforcashoffer.com/</x:v>
      </x:c>
      <x:c r="J1054" s="16" t="str">
        <x:v>HI</x:v>
      </x:c>
      <x:c r="K1054" s="16"/>
      <x:c r="L1054" s="16" t="str">
        <x:v>Public property-business route; investor decision maker unconfirmed</x:v>
      </x:c>
      <x:c r="M1054" s="16" t="str">
        <x:v>https://clickforcashoffer.com/</x:v>
      </x:c>
      <x:c r="N1054" s="16" t="str">
        <x:v>$100K-$500K ticket not published / unconfirmed</x:v>
      </x:c>
      <x:c r="O1054" s="20"/>
      <x:c r="P1054" s="20"/>
      <x:c r="Q1054" s="25" t="str">
        <x:v>No direct corporate-capital range established in checked source</x:v>
      </x:c>
      <x:c r="R1054" s="25" t="str">
        <x:v>Property acquisition or investor activity makes this an operator-capital prospect for the signed trial. Confirm operating-company debt/equity appetite.</x:v>
      </x:c>
      <x:c r="S1054" s="25"/>
      <x:c r="T1054" s="25" t="str">
        <x:v>Ask the owner/investor whether they can allocate $100K-$500K to trial marketing and acquisitions, and confirm structure, timing and decision authority.</x:v>
      </x:c>
      <x:c r="U1054" s="25" t="str">
        <x:v>https://www.cashhomebuyersdirectory.com/cash-home-buyers/hawaii/honolulu</x:v>
      </x:c>
      <x:c r="V1054" s="26" t="d">
        <x:v>2026-10-02T00:00:00.000Z</x:v>
      </x:c>
      <x:c r="W1054" s="26" t="d">
        <x:v>2026-10-02T00:00:00.000Z</x:v>
      </x:c>
      <x:c r="X1054" s="25" t="str">
        <x:v>CashHomeBuyersDirectory third-party business listing; first-party business activity not checked in this batch</x:v>
      </x:c>
      <x:c r="Y1054" s="25"/>
      <x:c r="Z1054" s="25" t="str">
        <x:v>https://www.cashhomebuyersdirectory.com/cash-home-buyers/hawaii/honolulu</x:v>
      </x:c>
      <x:c r="AA1054" s="25" t="str">
        <x:v>Public cash-home-buyer directory lists the business name, business phone/website where available and market. Operator role and corporate funding willingness require confirmation.</x:v>
      </x:c>
      <x:c r="AB1054" s="3" t="str">
        <x:v>New public-source collection</x:v>
      </x:c>
      <x:c r="AC1054" s="3" t="str">
        <x:v>unverified</x:v>
      </x:c>
      <x:c r="AD1054" s="3" t="str">
        <x:v>Not contacted / unconfirmed</x:v>
      </x:c>
      <x:c r="AE1054" s="3" t="str">
        <x:v>No</x:v>
      </x:c>
      <x:c r="AF1054" s="3" t="str">
        <x:v>No</x:v>
      </x:c>
      <x:c r="AG1054" s="3"/>
      <x:c r="AH1054" s="3" t="str">
        <x:v>Hawaii Home Buyers LLC</x:v>
      </x:c>
      <x:c r="AI1054" s="18"/>
      <x:c r="AJ1054" s="3" t="str">
        <x:v>CF2500-D3C2D460D43F</x:v>
      </x:c>
      <x:c r="AK1054" s="3" t="str">
        <x:v>real_estate_operator</x:v>
      </x:c>
      <x:c r="AL1054" s="19" t="n">
        <x:v>100000</x:v>
      </x:c>
      <x:c r="AM1054" s="19" t="n">
        <x:v>500000</x:v>
      </x:c>
      <x:c r="AN1054" s="3" t="str">
        <x:v>https://www.cashhomebuyersdirectory.com/cash-home-buyers/hawaii/honolulu</x:v>
      </x:c>
      <x:c r="AO1054" s="3" t="str">
        <x:v>national_rest_directory_complete.jsonl</x:v>
      </x:c>
      <x:c r="AP1054" s="19"/>
    </x:row>
    <x:row r="1055" ht="36" customHeight="1">
      <x:c r="A1055" s="23" t="n">
        <x:v>1054</x:v>
      </x:c>
      <x:c r="B1055" s="15" t="str">
        <x:v>Hawaii Home Buying Solutions</x:v>
      </x:c>
      <x:c r="C1055" s="15"/>
      <x:c r="D1055" s="15" t="str">
        <x:v>Property investor / home-buying operator</x:v>
      </x:c>
      <x:c r="E1055" s="15" t="str">
        <x:v>Property investor / operator inquiry</x:v>
      </x:c>
      <x:c r="F1055" s="17" t="str">
        <x:v>New</x:v>
      </x:c>
      <x:c r="G1055" s="24"/>
      <x:c r="H1055" s="24" t="str">
        <x:v>+18085820185</x:v>
      </x:c>
      <x:c r="I1055" s="24" t="str">
        <x:v>https://www.hihomebuyingsolutions.com/</x:v>
      </x:c>
      <x:c r="J1055" s="16" t="str">
        <x:v>HI</x:v>
      </x:c>
      <x:c r="K1055" s="16" t="str">
        <x:v>Honolulu</x:v>
      </x:c>
      <x:c r="L1055" s="16" t="str">
        <x:v>Public property-business route; investor decision maker unconfirmed</x:v>
      </x:c>
      <x:c r="M1055" s="16" t="str">
        <x:v>https://www.hihomebuyingsolutions.com/</x:v>
      </x:c>
      <x:c r="N1055" s="16" t="str">
        <x:v>$100K-$500K ticket not published / unconfirmed</x:v>
      </x:c>
      <x:c r="O1055" s="20"/>
      <x:c r="P1055" s="20"/>
      <x:c r="Q1055" s="25" t="str">
        <x:v>No direct corporate-capital range established in checked source</x:v>
      </x:c>
      <x:c r="R1055" s="25" t="str">
        <x:v>Property acquisition or investor activity makes this an operator-capital prospect for the signed trial. Confirm operating-company debt/equity appetite.</x:v>
      </x:c>
      <x:c r="S1055" s="25"/>
      <x:c r="T1055" s="25" t="str">
        <x:v>Ask the owner/investor whether they can allocate $100K-$500K to trial marketing and acquisitions, and confirm structure, timing and decision authority.</x:v>
      </x:c>
      <x:c r="U1055" s="25" t="str">
        <x:v>https://www.cashhomebuyersdirectory.com/cash-home-buyers/hawaii/honolulu</x:v>
      </x:c>
      <x:c r="V1055" s="26" t="d">
        <x:v>2026-10-02T00:00:00.000Z</x:v>
      </x:c>
      <x:c r="W1055" s="26" t="d">
        <x:v>2026-10-02T00:00:00.000Z</x:v>
      </x:c>
      <x:c r="X1055" s="25" t="str">
        <x:v>CashHomeBuyersDirectory third-party business listing; first-party business activity not checked in this batch</x:v>
      </x:c>
      <x:c r="Y1055" s="25"/>
      <x:c r="Z1055" s="25" t="str">
        <x:v>https://www.cashhomebuyersdirectory.com/cash-home-buyers/hawaii/honolulu</x:v>
      </x:c>
      <x:c r="AA1055" s="25" t="str">
        <x:v>Public cash-home-buyer directory lists the business name, business phone/website where available and market. Operator role and corporate funding willingness require confirmation.</x:v>
      </x:c>
      <x:c r="AB1055" s="3" t="str">
        <x:v>New public-source collection</x:v>
      </x:c>
      <x:c r="AC1055" s="3" t="str">
        <x:v>unverified</x:v>
      </x:c>
      <x:c r="AD1055" s="3" t="str">
        <x:v>Not contacted / unconfirmed</x:v>
      </x:c>
      <x:c r="AE1055" s="3" t="str">
        <x:v>No</x:v>
      </x:c>
      <x:c r="AF1055" s="3" t="str">
        <x:v>No</x:v>
      </x:c>
      <x:c r="AG1055" s="3"/>
      <x:c r="AH1055" s="3"/>
      <x:c r="AI1055" s="18"/>
      <x:c r="AJ1055" s="3" t="str">
        <x:v>CF2500-BB7E2C82E212</x:v>
      </x:c>
      <x:c r="AK1055" s="3" t="str">
        <x:v>real_estate_operator</x:v>
      </x:c>
      <x:c r="AL1055" s="19" t="n">
        <x:v>100000</x:v>
      </x:c>
      <x:c r="AM1055" s="19" t="n">
        <x:v>500000</x:v>
      </x:c>
      <x:c r="AN1055" s="3" t="str">
        <x:v>https://www.cashhomebuyersdirectory.com/cash-home-buyers/hawaii/honolulu</x:v>
      </x:c>
      <x:c r="AO1055" s="3" t="str">
        <x:v>national_rest_directory_complete.jsonl</x:v>
      </x:c>
      <x:c r="AP1055" s="19"/>
    </x:row>
    <x:row r="1056" ht="36" customHeight="1">
      <x:c r="A1056" s="23" t="n">
        <x:v>1055</x:v>
      </x:c>
      <x:c r="B1056" s="15" t="str">
        <x:v>Hawaii Property Buyers LLC</x:v>
      </x:c>
      <x:c r="C1056" s="15"/>
      <x:c r="D1056" s="15" t="str">
        <x:v>Property investor / home-buying operator</x:v>
      </x:c>
      <x:c r="E1056" s="15" t="str">
        <x:v>Property investor / operator inquiry</x:v>
      </x:c>
      <x:c r="F1056" s="17" t="str">
        <x:v>New</x:v>
      </x:c>
      <x:c r="G1056" s="24"/>
      <x:c r="H1056" s="24" t="str">
        <x:v>+18089403430</x:v>
      </x:c>
      <x:c r="I1056" s="24" t="str">
        <x:v>https://www.hawaiipropertybuyer.com/</x:v>
      </x:c>
      <x:c r="J1056" s="16" t="str">
        <x:v>HI</x:v>
      </x:c>
      <x:c r="K1056" s="16" t="str">
        <x:v>Honolulu</x:v>
      </x:c>
      <x:c r="L1056" s="16" t="str">
        <x:v>Public property-business route; investor decision maker unconfirmed</x:v>
      </x:c>
      <x:c r="M1056" s="16" t="str">
        <x:v>https://www.hawaiipropertybuyer.com/</x:v>
      </x:c>
      <x:c r="N1056" s="16" t="str">
        <x:v>$100K-$500K ticket not published / unconfirmed</x:v>
      </x:c>
      <x:c r="O1056" s="20"/>
      <x:c r="P1056" s="20"/>
      <x:c r="Q1056" s="25" t="str">
        <x:v>No direct corporate-capital range established in checked source</x:v>
      </x:c>
      <x:c r="R1056" s="25" t="str">
        <x:v>Property acquisition or investor activity makes this an operator-capital prospect for the signed trial. Confirm operating-company debt/equity appetite.</x:v>
      </x:c>
      <x:c r="S1056" s="25"/>
      <x:c r="T1056" s="25" t="str">
        <x:v>Ask the owner/investor whether they can allocate $100K-$500K to trial marketing and acquisitions, and confirm structure, timing and decision authority.</x:v>
      </x:c>
      <x:c r="U1056" s="25" t="str">
        <x:v>https://www.cashhomebuyersdirectory.com/cash-home-buyers/hawaii/honolulu</x:v>
      </x:c>
      <x:c r="V1056" s="26" t="d">
        <x:v>2026-10-02T00:00:00.000Z</x:v>
      </x:c>
      <x:c r="W1056" s="26" t="d">
        <x:v>2026-10-02T00:00:00.000Z</x:v>
      </x:c>
      <x:c r="X1056" s="25" t="str">
        <x:v>CashHomeBuyersDirectory third-party business listing; first-party business activity not checked in this batch</x:v>
      </x:c>
      <x:c r="Y1056" s="25"/>
      <x:c r="Z1056" s="25" t="str">
        <x:v>https://www.cashhomebuyersdirectory.com/cash-home-buyers/hawaii/honolulu</x:v>
      </x:c>
      <x:c r="AA1056" s="25" t="str">
        <x:v>Public cash-home-buyer directory lists the business name, business phone/website where available and market. Operator role and corporate funding willingness require confirmation.</x:v>
      </x:c>
      <x:c r="AB1056" s="3" t="str">
        <x:v>New public-source collection</x:v>
      </x:c>
      <x:c r="AC1056" s="3" t="str">
        <x:v>unverified</x:v>
      </x:c>
      <x:c r="AD1056" s="3" t="str">
        <x:v>Not contacted / unconfirmed</x:v>
      </x:c>
      <x:c r="AE1056" s="3" t="str">
        <x:v>No</x:v>
      </x:c>
      <x:c r="AF1056" s="3" t="str">
        <x:v>No</x:v>
      </x:c>
      <x:c r="AG1056" s="3"/>
      <x:c r="AH1056" s="3"/>
      <x:c r="AI1056" s="18"/>
      <x:c r="AJ1056" s="3" t="str">
        <x:v>CF2500-DBB4D1CA4311</x:v>
      </x:c>
      <x:c r="AK1056" s="3" t="str">
        <x:v>real_estate_operator</x:v>
      </x:c>
      <x:c r="AL1056" s="19" t="n">
        <x:v>100000</x:v>
      </x:c>
      <x:c r="AM1056" s="19" t="n">
        <x:v>500000</x:v>
      </x:c>
      <x:c r="AN1056" s="3" t="str">
        <x:v>https://www.cashhomebuyersdirectory.com/cash-home-buyers/hawaii/honolulu</x:v>
      </x:c>
      <x:c r="AO1056" s="3" t="str">
        <x:v>national_rest_directory_complete.jsonl</x:v>
      </x:c>
      <x:c r="AP1056" s="19"/>
    </x:row>
    <x:row r="1057" ht="36" customHeight="1">
      <x:c r="A1057" s="23" t="n">
        <x:v>1056</x:v>
      </x:c>
      <x:c r="B1057" s="15" t="str">
        <x:v>Hearth Home Buyers</x:v>
      </x:c>
      <x:c r="C1057" s="15"/>
      <x:c r="D1057" s="15" t="str">
        <x:v>Property investor / home-buying operator</x:v>
      </x:c>
      <x:c r="E1057" s="15" t="str">
        <x:v>Property investor / operator inquiry</x:v>
      </x:c>
      <x:c r="F1057" s="17" t="str">
        <x:v>New</x:v>
      </x:c>
      <x:c r="G1057" s="24"/>
      <x:c r="H1057" s="24" t="str">
        <x:v>+15094716195</x:v>
      </x:c>
      <x:c r="I1057" s="24" t="str">
        <x:v>http://hearthinvests.com/</x:v>
      </x:c>
      <x:c r="J1057" s="16" t="str">
        <x:v>WA</x:v>
      </x:c>
      <x:c r="K1057" s="16"/>
      <x:c r="L1057" s="16" t="str">
        <x:v>Public property-business route; investor decision maker unconfirmed</x:v>
      </x:c>
      <x:c r="M1057" s="16" t="str">
        <x:v>http://hearthinvests.com/</x:v>
      </x:c>
      <x:c r="N1057" s="16" t="str">
        <x:v>$100K-$500K ticket not published / unconfirmed</x:v>
      </x:c>
      <x:c r="O1057" s="20"/>
      <x:c r="P1057" s="20"/>
      <x:c r="Q1057" s="25" t="str">
        <x:v>No direct corporate-capital range established in checked source</x:v>
      </x:c>
      <x:c r="R1057" s="25" t="str">
        <x:v>Property acquisition or investor activity makes this an operator-capital prospect for the signed trial. Confirm operating-company debt/equity appetite.</x:v>
      </x:c>
      <x:c r="S1057" s="25"/>
      <x:c r="T1057" s="25" t="str">
        <x:v>Ask the owner/investor whether they can allocate $100K-$500K to trial marketing and acquisitions, and confirm structure, timing and decision authority.</x:v>
      </x:c>
      <x:c r="U1057" s="25" t="str">
        <x:v>https://www.cashhomebuyersdirectory.com/cash-home-buyers/washington/spokane</x:v>
      </x:c>
      <x:c r="V1057" s="26" t="d">
        <x:v>2026-10-02T00:00:00.000Z</x:v>
      </x:c>
      <x:c r="W1057" s="26" t="d">
        <x:v>2026-10-02T00:00:00.000Z</x:v>
      </x:c>
      <x:c r="X1057" s="25" t="str">
        <x:v>CashHomeBuyersDirectory third-party business listing; first-party business activity not checked in this batch</x:v>
      </x:c>
      <x:c r="Y1057" s="25"/>
      <x:c r="Z1057" s="25" t="str">
        <x:v>https://www.cashhomebuyersdirectory.com/cash-home-buyers/washington/spokane</x:v>
      </x:c>
      <x:c r="AA1057" s="25" t="str">
        <x:v>Public cash-home-buyer directory lists the business name, business phone/website where available and market. Operator role and corporate funding willingness require confirmation.</x:v>
      </x:c>
      <x:c r="AB1057" s="3" t="str">
        <x:v>New public-source collection</x:v>
      </x:c>
      <x:c r="AC1057" s="3" t="str">
        <x:v>unverified</x:v>
      </x:c>
      <x:c r="AD1057" s="3" t="str">
        <x:v>Not contacted / unconfirmed</x:v>
      </x:c>
      <x:c r="AE1057" s="3" t="str">
        <x:v>No</x:v>
      </x:c>
      <x:c r="AF1057" s="3" t="str">
        <x:v>No</x:v>
      </x:c>
      <x:c r="AG1057" s="3"/>
      <x:c r="AH1057" s="3"/>
      <x:c r="AI1057" s="18"/>
      <x:c r="AJ1057" s="3" t="str">
        <x:v>CF2500-F867A6CF25A0</x:v>
      </x:c>
      <x:c r="AK1057" s="3" t="str">
        <x:v>real_estate_operator</x:v>
      </x:c>
      <x:c r="AL1057" s="19" t="n">
        <x:v>100000</x:v>
      </x:c>
      <x:c r="AM1057" s="19" t="n">
        <x:v>500000</x:v>
      </x:c>
      <x:c r="AN1057" s="3" t="str">
        <x:v>https://www.cashhomebuyersdirectory.com/cash-home-buyers/washington/spokane</x:v>
      </x:c>
      <x:c r="AO1057" s="3" t="str">
        <x:v>national_rest_directory_complete.jsonl</x:v>
      </x:c>
      <x:c r="AP1057" s="19"/>
    </x:row>
    <x:row r="1058" ht="36" customHeight="1">
      <x:c r="A1058" s="23" t="n">
        <x:v>1057</x:v>
      </x:c>
      <x:c r="B1058" s="15" t="str">
        <x:v>Heartland Home Buyers</x:v>
      </x:c>
      <x:c r="C1058" s="15"/>
      <x:c r="D1058" s="15" t="str">
        <x:v>Property investor / home-buying operator</x:v>
      </x:c>
      <x:c r="E1058" s="15" t="str">
        <x:v>Property investor / operator inquiry</x:v>
      </x:c>
      <x:c r="F1058" s="17" t="str">
        <x:v>New</x:v>
      </x:c>
      <x:c r="G1058" s="24"/>
      <x:c r="H1058" s="24" t="str">
        <x:v>+17274332033</x:v>
      </x:c>
      <x:c r="I1058" s="24" t="str">
        <x:v>https://www.heartland-homebuyers.com/</x:v>
      </x:c>
      <x:c r="J1058" s="16" t="str">
        <x:v>OH</x:v>
      </x:c>
      <x:c r="K1058" s="16" t="str">
        <x:v>Dayton</x:v>
      </x:c>
      <x:c r="L1058" s="16" t="str">
        <x:v>Public property-business route; investor decision maker unconfirmed</x:v>
      </x:c>
      <x:c r="M1058" s="16" t="str">
        <x:v>https://www.heartland-homebuyers.com/</x:v>
      </x:c>
      <x:c r="N1058" s="16" t="str">
        <x:v>$100K-$500K ticket not published / unconfirmed</x:v>
      </x:c>
      <x:c r="O1058" s="20"/>
      <x:c r="P1058" s="20"/>
      <x:c r="Q1058" s="25" t="str">
        <x:v>No direct corporate-capital range established in checked source</x:v>
      </x:c>
      <x:c r="R1058" s="25" t="str">
        <x:v>Property acquisition or investor activity makes this an operator-capital prospect for the signed trial. Confirm operating-company debt/equity appetite.</x:v>
      </x:c>
      <x:c r="S1058" s="25"/>
      <x:c r="T1058" s="25" t="str">
        <x:v>Ask the owner/investor whether they can allocate $100K-$500K to trial marketing and acquisitions, and confirm structure, timing and decision authority.</x:v>
      </x:c>
      <x:c r="U1058" s="25" t="str">
        <x:v>https://www.cashhomebuyersdirectory.com/cash-home-buyers/ohio/dayton</x:v>
      </x:c>
      <x:c r="V1058" s="26" t="d">
        <x:v>2026-10-02T00:00:00.000Z</x:v>
      </x:c>
      <x:c r="W1058" s="26" t="d">
        <x:v>2026-10-02T00:00:00.000Z</x:v>
      </x:c>
      <x:c r="X1058" s="25" t="str">
        <x:v>CashHomeBuyersDirectory third-party business listing; first-party business activity not checked in this batch</x:v>
      </x:c>
      <x:c r="Y1058" s="25"/>
      <x:c r="Z1058" s="25" t="str">
        <x:v>https://www.cashhomebuyersdirectory.com/cash-home-buyers/ohio/dayton</x:v>
      </x:c>
      <x:c r="AA1058" s="25" t="str">
        <x:v>Public cash-home-buyer directory lists the business name, business phone/website where available and market. Operator role and corporate funding willingness require confirmation.</x:v>
      </x:c>
      <x:c r="AB1058" s="3" t="str">
        <x:v>New public-source collection</x:v>
      </x:c>
      <x:c r="AC1058" s="3" t="str">
        <x:v>unverified</x:v>
      </x:c>
      <x:c r="AD1058" s="3" t="str">
        <x:v>Not contacted / unconfirmed</x:v>
      </x:c>
      <x:c r="AE1058" s="3" t="str">
        <x:v>No</x:v>
      </x:c>
      <x:c r="AF1058" s="3" t="str">
        <x:v>No</x:v>
      </x:c>
      <x:c r="AG1058" s="3"/>
      <x:c r="AH1058" s="3"/>
      <x:c r="AI1058" s="18"/>
      <x:c r="AJ1058" s="3" t="str">
        <x:v>CF2500-3B3796193937</x:v>
      </x:c>
      <x:c r="AK1058" s="3" t="str">
        <x:v>real_estate_operator</x:v>
      </x:c>
      <x:c r="AL1058" s="19" t="n">
        <x:v>100000</x:v>
      </x:c>
      <x:c r="AM1058" s="19" t="n">
        <x:v>500000</x:v>
      </x:c>
      <x:c r="AN1058" s="3" t="str">
        <x:v>https://www.cashhomebuyersdirectory.com/cash-home-buyers/ohio/dayton</x:v>
      </x:c>
      <x:c r="AO1058" s="3" t="str">
        <x:v>national_rest_directory_complete.jsonl</x:v>
      </x:c>
      <x:c r="AP1058" s="19"/>
    </x:row>
    <x:row r="1059" ht="36" customHeight="1">
      <x:c r="A1059" s="23" t="n">
        <x:v>1058</x:v>
      </x:c>
      <x:c r="B1059" s="15" t="str">
        <x:v>Heartland Homebuyers</x:v>
      </x:c>
      <x:c r="C1059" s="15"/>
      <x:c r="D1059" s="15" t="str">
        <x:v>Property investor / home-buying operator</x:v>
      </x:c>
      <x:c r="E1059" s="15" t="str">
        <x:v>Property investor / operator inquiry</x:v>
      </x:c>
      <x:c r="F1059" s="17" t="str">
        <x:v>New</x:v>
      </x:c>
      <x:c r="G1059" s="24"/>
      <x:c r="H1059" s="24" t="str">
        <x:v>+14026236330</x:v>
      </x:c>
      <x:c r="I1059" s="24" t="str">
        <x:v>http://www.heartlandhomebuyersne.com/</x:v>
      </x:c>
      <x:c r="J1059" s="16" t="str">
        <x:v>NE</x:v>
      </x:c>
      <x:c r="K1059" s="16" t="str">
        <x:v>Omaha</x:v>
      </x:c>
      <x:c r="L1059" s="16" t="str">
        <x:v>Public property-business route; investor decision maker unconfirmed</x:v>
      </x:c>
      <x:c r="M1059" s="16" t="str">
        <x:v>http://www.heartlandhomebuyersne.com/</x:v>
      </x:c>
      <x:c r="N1059" s="16" t="str">
        <x:v>$100K-$500K ticket not published / unconfirmed</x:v>
      </x:c>
      <x:c r="O1059" s="20"/>
      <x:c r="P1059" s="20"/>
      <x:c r="Q1059" s="25" t="str">
        <x:v>No direct corporate-capital range established in checked source</x:v>
      </x:c>
      <x:c r="R1059" s="25" t="str">
        <x:v>Property acquisition or investor activity makes this an operator-capital prospect for the signed trial. Confirm operating-company debt/equity appetite.</x:v>
      </x:c>
      <x:c r="S1059" s="25"/>
      <x:c r="T1059" s="25" t="str">
        <x:v>Ask the owner/investor whether they can allocate $100K-$500K to trial marketing and acquisitions, and confirm structure, timing and decision authority.</x:v>
      </x:c>
      <x:c r="U1059" s="25" t="str">
        <x:v>https://www.cashhomebuyersdirectory.com/cash-home-buyers/nebraska/omaha</x:v>
      </x:c>
      <x:c r="V1059" s="26" t="d">
        <x:v>2026-10-02T00:00:00.000Z</x:v>
      </x:c>
      <x:c r="W1059" s="26" t="d">
        <x:v>2026-10-02T00:00:00.000Z</x:v>
      </x:c>
      <x:c r="X1059" s="25" t="str">
        <x:v>CashHomeBuyersDirectory third-party business listing; first-party business activity not checked in this batch</x:v>
      </x:c>
      <x:c r="Y1059" s="25"/>
      <x:c r="Z1059" s="25" t="str">
        <x:v>https://www.cashhomebuyersdirectory.com/cash-home-buyers/nebraska/omaha</x:v>
      </x:c>
      <x:c r="AA1059" s="25" t="str">
        <x:v>Public cash-home-buyer directory lists the business name, business phone/website where available and market. Operator role and corporate funding willingness require confirmation.</x:v>
      </x:c>
      <x:c r="AB1059" s="3" t="str">
        <x:v>New public-source collection</x:v>
      </x:c>
      <x:c r="AC1059" s="3" t="str">
        <x:v>unverified</x:v>
      </x:c>
      <x:c r="AD1059" s="3" t="str">
        <x:v>Not contacted / unconfirmed</x:v>
      </x:c>
      <x:c r="AE1059" s="3" t="str">
        <x:v>No</x:v>
      </x:c>
      <x:c r="AF1059" s="3" t="str">
        <x:v>No</x:v>
      </x:c>
      <x:c r="AG1059" s="3"/>
      <x:c r="AH1059" s="3"/>
      <x:c r="AI1059" s="18"/>
      <x:c r="AJ1059" s="3" t="str">
        <x:v>CF2500-40F75E258673</x:v>
      </x:c>
      <x:c r="AK1059" s="3" t="str">
        <x:v>real_estate_operator</x:v>
      </x:c>
      <x:c r="AL1059" s="19" t="n">
        <x:v>100000</x:v>
      </x:c>
      <x:c r="AM1059" s="19" t="n">
        <x:v>500000</x:v>
      </x:c>
      <x:c r="AN1059" s="3" t="str">
        <x:v>https://www.cashhomebuyersdirectory.com/cash-home-buyers/nebraska/omaha</x:v>
      </x:c>
      <x:c r="AO1059" s="3" t="str">
        <x:v>national_rest_directory_complete.jsonl</x:v>
      </x:c>
      <x:c r="AP1059" s="19"/>
    </x:row>
    <x:row r="1060" ht="36" customHeight="1">
      <x:c r="A1060" s="23" t="n">
        <x:v>1059</x:v>
      </x:c>
      <x:c r="B1060" s="15" t="str">
        <x:v>Heartwise Home Buyers LLC</x:v>
      </x:c>
      <x:c r="C1060" s="15"/>
      <x:c r="D1060" s="15" t="str">
        <x:v>Property investor / home-buying operator</x:v>
      </x:c>
      <x:c r="E1060" s="15" t="str">
        <x:v>Property investor / operator inquiry</x:v>
      </x:c>
      <x:c r="F1060" s="17" t="str">
        <x:v>New</x:v>
      </x:c>
      <x:c r="G1060" s="24"/>
      <x:c r="H1060" s="24" t="str">
        <x:v>+14406444048</x:v>
      </x:c>
      <x:c r="I1060" s="24" t="str">
        <x:v>http://www.heartwisehomebuyers.com/</x:v>
      </x:c>
      <x:c r="J1060" s="16" t="str">
        <x:v>OH</x:v>
      </x:c>
      <x:c r="K1060" s="16" t="str">
        <x:v>Fairview Park</x:v>
      </x:c>
      <x:c r="L1060" s="16" t="str">
        <x:v>Public property-business route; investor decision maker unconfirmed</x:v>
      </x:c>
      <x:c r="M1060" s="16" t="str">
        <x:v>http://www.heartwisehomebuyers.com/</x:v>
      </x:c>
      <x:c r="N1060" s="16" t="str">
        <x:v>$100K-$500K ticket not published / unconfirmed</x:v>
      </x:c>
      <x:c r="O1060" s="20"/>
      <x:c r="P1060" s="20"/>
      <x:c r="Q1060" s="25" t="str">
        <x:v>No direct corporate-capital range established in checked source</x:v>
      </x:c>
      <x:c r="R1060" s="25" t="str">
        <x:v>Property acquisition or investor activity makes this an operator-capital prospect for the signed trial. Confirm operating-company debt/equity appetite.</x:v>
      </x:c>
      <x:c r="S1060" s="25"/>
      <x:c r="T1060" s="25" t="str">
        <x:v>Ask the owner/investor whether they can allocate $100K-$500K to trial marketing and acquisitions, and confirm structure, timing and decision authority.</x:v>
      </x:c>
      <x:c r="U1060" s="25" t="str">
        <x:v>https://www.cashhomebuyersdirectory.com/cash-home-buyers/ohio/fairview-park</x:v>
      </x:c>
      <x:c r="V1060" s="26" t="d">
        <x:v>2026-10-02T00:00:00.000Z</x:v>
      </x:c>
      <x:c r="W1060" s="26" t="d">
        <x:v>2026-10-02T00:00:00.000Z</x:v>
      </x:c>
      <x:c r="X1060" s="25" t="str">
        <x:v>CashHomeBuyersDirectory third-party business listing; first-party business activity not checked in this batch</x:v>
      </x:c>
      <x:c r="Y1060" s="25"/>
      <x:c r="Z1060" s="25" t="str">
        <x:v>https://www.cashhomebuyersdirectory.com/cash-home-buyers/ohio/fairview-park</x:v>
      </x:c>
      <x:c r="AA1060" s="25" t="str">
        <x:v>Public cash-home-buyer directory lists the business name, business phone/website where available and market. Operator role and corporate funding willingness require confirmation.</x:v>
      </x:c>
      <x:c r="AB1060" s="3" t="str">
        <x:v>New public-source collection</x:v>
      </x:c>
      <x:c r="AC1060" s="3" t="str">
        <x:v>unverified</x:v>
      </x:c>
      <x:c r="AD1060" s="3" t="str">
        <x:v>Not contacted / unconfirmed</x:v>
      </x:c>
      <x:c r="AE1060" s="3" t="str">
        <x:v>No</x:v>
      </x:c>
      <x:c r="AF1060" s="3" t="str">
        <x:v>No</x:v>
      </x:c>
      <x:c r="AG1060" s="3"/>
      <x:c r="AH1060" s="3"/>
      <x:c r="AI1060" s="18"/>
      <x:c r="AJ1060" s="3" t="str">
        <x:v>CF2500-6B42E556E70F</x:v>
      </x:c>
      <x:c r="AK1060" s="3" t="str">
        <x:v>real_estate_operator</x:v>
      </x:c>
      <x:c r="AL1060" s="19" t="n">
        <x:v>100000</x:v>
      </x:c>
      <x:c r="AM1060" s="19" t="n">
        <x:v>500000</x:v>
      </x:c>
      <x:c r="AN1060" s="3" t="str">
        <x:v>https://www.cashhomebuyersdirectory.com/cash-home-buyers/ohio/fairview-park</x:v>
      </x:c>
      <x:c r="AO1060" s="3" t="str">
        <x:v>national_rest_directory_complete.jsonl</x:v>
      </x:c>
      <x:c r="AP1060" s="19"/>
    </x:row>
    <x:row r="1061" ht="36" customHeight="1">
      <x:c r="A1061" s="23" t="n">
        <x:v>1060</x:v>
      </x:c>
      <x:c r="B1061" s="15" t="str">
        <x:v>Henry Home Buyer</x:v>
      </x:c>
      <x:c r="C1061" s="15"/>
      <x:c r="D1061" s="15" t="str">
        <x:v>Property investor / home-buying operator</x:v>
      </x:c>
      <x:c r="E1061" s="15" t="str">
        <x:v>Property investor / operator inquiry</x:v>
      </x:c>
      <x:c r="F1061" s="17" t="str">
        <x:v>New</x:v>
      </x:c>
      <x:c r="G1061" s="24"/>
      <x:c r="H1061" s="24" t="str">
        <x:v>+16124308822</x:v>
      </x:c>
      <x:c r="I1061" s="24" t="str">
        <x:v>https://www.henryhomebuyer.com/</x:v>
      </x:c>
      <x:c r="J1061" s="16" t="str">
        <x:v>MN</x:v>
      </x:c>
      <x:c r="K1061" s="16" t="str">
        <x:v>St. Paul</x:v>
      </x:c>
      <x:c r="L1061" s="16" t="str">
        <x:v>Public property-business route; investor decision maker unconfirmed</x:v>
      </x:c>
      <x:c r="M1061" s="16" t="str">
        <x:v>https://www.henryhomebuyer.com/</x:v>
      </x:c>
      <x:c r="N1061" s="16" t="str">
        <x:v>$100K-$500K ticket not published / unconfirmed</x:v>
      </x:c>
      <x:c r="O1061" s="20"/>
      <x:c r="P1061" s="20"/>
      <x:c r="Q1061" s="25" t="str">
        <x:v>No direct corporate-capital range established in checked source</x:v>
      </x:c>
      <x:c r="R1061" s="25" t="str">
        <x:v>Property acquisition or investor activity makes this an operator-capital prospect for the signed trial. Confirm operating-company debt/equity appetite.</x:v>
      </x:c>
      <x:c r="S1061" s="25"/>
      <x:c r="T1061" s="25" t="str">
        <x:v>Ask the owner/investor whether they can allocate $100K-$500K to trial marketing and acquisitions, and confirm structure, timing and decision authority.</x:v>
      </x:c>
      <x:c r="U1061" s="25" t="str">
        <x:v>https://www.cashhomebuyersdirectory.com/cash-home-buyers/minnesota/st-paul</x:v>
      </x:c>
      <x:c r="V1061" s="26" t="d">
        <x:v>2026-10-02T00:00:00.000Z</x:v>
      </x:c>
      <x:c r="W1061" s="26" t="d">
        <x:v>2026-10-02T00:00:00.000Z</x:v>
      </x:c>
      <x:c r="X1061" s="25" t="str">
        <x:v>CashHomeBuyersDirectory third-party business listing; first-party business activity not checked in this batch</x:v>
      </x:c>
      <x:c r="Y1061" s="25"/>
      <x:c r="Z1061" s="25" t="str">
        <x:v>https://www.cashhomebuyersdirectory.com/cash-home-buyers/minnesota/st-paul</x:v>
      </x:c>
      <x:c r="AA1061" s="25" t="str">
        <x:v>Public cash-home-buyer directory lists the business name, business phone/website where available and market. Operator role and corporate funding willingness require confirmation.</x:v>
      </x:c>
      <x:c r="AB1061" s="3" t="str">
        <x:v>New public-source collection</x:v>
      </x:c>
      <x:c r="AC1061" s="3" t="str">
        <x:v>unverified</x:v>
      </x:c>
      <x:c r="AD1061" s="3" t="str">
        <x:v>Not contacted / unconfirmed</x:v>
      </x:c>
      <x:c r="AE1061" s="3" t="str">
        <x:v>No</x:v>
      </x:c>
      <x:c r="AF1061" s="3" t="str">
        <x:v>No</x:v>
      </x:c>
      <x:c r="AG1061" s="3"/>
      <x:c r="AH1061" s="3"/>
      <x:c r="AI1061" s="18"/>
      <x:c r="AJ1061" s="3" t="str">
        <x:v>CF2500-FB779CDADD04</x:v>
      </x:c>
      <x:c r="AK1061" s="3" t="str">
        <x:v>real_estate_operator</x:v>
      </x:c>
      <x:c r="AL1061" s="19" t="n">
        <x:v>100000</x:v>
      </x:c>
      <x:c r="AM1061" s="19" t="n">
        <x:v>500000</x:v>
      </x:c>
      <x:c r="AN1061" s="3" t="str">
        <x:v>https://www.cashhomebuyersdirectory.com/cash-home-buyers/minnesota/st-paul</x:v>
      </x:c>
      <x:c r="AO1061" s="3" t="str">
        <x:v>national_rest_directory_complete.jsonl</x:v>
      </x:c>
      <x:c r="AP1061" s="19"/>
    </x:row>
    <x:row r="1062" ht="36" customHeight="1">
      <x:c r="A1062" s="23" t="n">
        <x:v>1061</x:v>
      </x:c>
      <x:c r="B1062" s="15" t="str">
        <x:v>Hero Home Buyers</x:v>
      </x:c>
      <x:c r="C1062" s="15"/>
      <x:c r="D1062" s="15" t="str">
        <x:v>Property investor / home-buying operator</x:v>
      </x:c>
      <x:c r="E1062" s="15" t="str">
        <x:v>Property investor / operator inquiry</x:v>
      </x:c>
      <x:c r="F1062" s="17" t="str">
        <x:v>New</x:v>
      </x:c>
      <x:c r="G1062" s="24"/>
      <x:c r="H1062" s="24" t="str">
        <x:v>+12162942702</x:v>
      </x:c>
      <x:c r="I1062" s="24" t="str">
        <x:v>https://herohomebuyersohio.com/</x:v>
      </x:c>
      <x:c r="J1062" s="16" t="str">
        <x:v>OH</x:v>
      </x:c>
      <x:c r="K1062" s="16" t="str">
        <x:v>Cleveland</x:v>
      </x:c>
      <x:c r="L1062" s="16" t="str">
        <x:v>Public property-business route; investor decision maker unconfirmed</x:v>
      </x:c>
      <x:c r="M1062" s="16" t="str">
        <x:v>https://herohomebuyersohio.com/</x:v>
      </x:c>
      <x:c r="N1062" s="16" t="str">
        <x:v>$100K-$500K ticket not published / unconfirmed</x:v>
      </x:c>
      <x:c r="O1062" s="20"/>
      <x:c r="P1062" s="20"/>
      <x:c r="Q1062" s="25" t="str">
        <x:v>No direct corporate-capital range established in checked source</x:v>
      </x:c>
      <x:c r="R1062" s="25" t="str">
        <x:v>Property acquisition or investor activity makes this an operator-capital prospect for the signed trial. Confirm operating-company debt/equity appetite.</x:v>
      </x:c>
      <x:c r="S1062" s="25"/>
      <x:c r="T1062" s="25" t="str">
        <x:v>Ask the owner/investor whether they can allocate $100K-$500K to trial marketing and acquisitions, and confirm structure, timing and decision authority.</x:v>
      </x:c>
      <x:c r="U1062" s="25" t="str">
        <x:v>https://www.cashhomebuyersdirectory.com/cash-home-buyers/ohio/cleveland</x:v>
      </x:c>
      <x:c r="V1062" s="26" t="d">
        <x:v>2026-10-02T00:00:00.000Z</x:v>
      </x:c>
      <x:c r="W1062" s="26" t="d">
        <x:v>2026-10-02T00:00:00.000Z</x:v>
      </x:c>
      <x:c r="X1062" s="25" t="str">
        <x:v>CashHomeBuyersDirectory third-party business listing; first-party business activity not checked in this batch</x:v>
      </x:c>
      <x:c r="Y1062" s="25"/>
      <x:c r="Z1062" s="25" t="str">
        <x:v>https://www.cashhomebuyersdirectory.com/cash-home-buyers/ohio/cleveland</x:v>
      </x:c>
      <x:c r="AA1062" s="25" t="str">
        <x:v>Public cash-home-buyer directory lists the business name, business phone/website where available and market. Operator role and corporate funding willingness require confirmation.</x:v>
      </x:c>
      <x:c r="AB1062" s="3" t="str">
        <x:v>New public-source collection</x:v>
      </x:c>
      <x:c r="AC1062" s="3" t="str">
        <x:v>unverified</x:v>
      </x:c>
      <x:c r="AD1062" s="3" t="str">
        <x:v>Not contacted / unconfirmed</x:v>
      </x:c>
      <x:c r="AE1062" s="3" t="str">
        <x:v>No</x:v>
      </x:c>
      <x:c r="AF1062" s="3" t="str">
        <x:v>No</x:v>
      </x:c>
      <x:c r="AG1062" s="3"/>
      <x:c r="AH1062" s="3"/>
      <x:c r="AI1062" s="18"/>
      <x:c r="AJ1062" s="3" t="str">
        <x:v>CF2500-A415288048F1</x:v>
      </x:c>
      <x:c r="AK1062" s="3" t="str">
        <x:v>real_estate_operator</x:v>
      </x:c>
      <x:c r="AL1062" s="19" t="n">
        <x:v>100000</x:v>
      </x:c>
      <x:c r="AM1062" s="19" t="n">
        <x:v>500000</x:v>
      </x:c>
      <x:c r="AN1062" s="3" t="str">
        <x:v>https://www.cashhomebuyersdirectory.com/cash-home-buyers/ohio/cleveland</x:v>
      </x:c>
      <x:c r="AO1062" s="3" t="str">
        <x:v>national_rest_directory_complete.jsonl</x:v>
      </x:c>
      <x:c r="AP1062" s="19"/>
    </x:row>
    <x:row r="1063" ht="36" customHeight="1">
      <x:c r="A1063" s="23" t="n">
        <x:v>1062</x:v>
      </x:c>
      <x:c r="B1063" s="15" t="str">
        <x:v>Heyday Home Buyers</x:v>
      </x:c>
      <x:c r="C1063" s="15"/>
      <x:c r="D1063" s="15" t="str">
        <x:v>Property investor / home-buying operator</x:v>
      </x:c>
      <x:c r="E1063" s="15" t="str">
        <x:v>Property investor / operator inquiry</x:v>
      </x:c>
      <x:c r="F1063" s="17" t="str">
        <x:v>New</x:v>
      </x:c>
      <x:c r="G1063" s="24"/>
      <x:c r="H1063" s="24" t="str">
        <x:v>+19088458844</x:v>
      </x:c>
      <x:c r="I1063" s="24" t="str">
        <x:v>https://www.heydayhomebuyers.com/</x:v>
      </x:c>
      <x:c r="J1063" s="16" t="str">
        <x:v>NJ</x:v>
      </x:c>
      <x:c r="K1063" s="16"/>
      <x:c r="L1063" s="16" t="str">
        <x:v>Public property-business route; investor decision maker unconfirmed</x:v>
      </x:c>
      <x:c r="M1063" s="16" t="str">
        <x:v>https://www.heydayhomebuyers.com/</x:v>
      </x:c>
      <x:c r="N1063" s="16" t="str">
        <x:v>$100K-$500K ticket not published / unconfirmed</x:v>
      </x:c>
      <x:c r="O1063" s="20"/>
      <x:c r="P1063" s="20"/>
      <x:c r="Q1063" s="25" t="str">
        <x:v>No direct corporate-capital range established in checked source</x:v>
      </x:c>
      <x:c r="R1063" s="25" t="str">
        <x:v>Property acquisition or investor activity makes this an operator-capital prospect for the signed trial. Confirm operating-company debt/equity appetite.</x:v>
      </x:c>
      <x:c r="S1063" s="25"/>
      <x:c r="T1063" s="25" t="str">
        <x:v>Ask the owner/investor whether they can allocate $100K-$500K to trial marketing and acquisitions, and confirm structure, timing and decision authority.</x:v>
      </x:c>
      <x:c r="U1063" s="25" t="str">
        <x:v>https://www.cashhomebuyersdirectory.com/cash-home-buyers/new-jersey/jersey-city
https://www.cashhomebuyersdirectory.com/cash-home-buyers/new-york/new-york</x:v>
      </x:c>
      <x:c r="V1063" s="26" t="d">
        <x:v>2026-10-02T00:00:00.000Z</x:v>
      </x:c>
      <x:c r="W1063" s="26" t="d">
        <x:v>2026-10-02T00:00:00.000Z</x:v>
      </x:c>
      <x:c r="X1063" s="25" t="str">
        <x:v>CashHomeBuyersDirectory third-party business listing; first-party business activity not checked in this batch</x:v>
      </x:c>
      <x:c r="Y1063" s="25"/>
      <x:c r="Z1063" s="25" t="str">
        <x:v>https://www.cashhomebuyersdirectory.com/cash-home-buyers/new-jersey/jersey-city</x:v>
      </x:c>
      <x:c r="AA1063" s="25" t="str">
        <x:v>Public cash-home-buyer directory lists the business name, business phone/website where available and market. Operator role and corporate funding willingness require confirmation.</x:v>
      </x:c>
      <x:c r="AB1063" s="3" t="str">
        <x:v>New public-source collection</x:v>
      </x:c>
      <x:c r="AC1063" s="3" t="str">
        <x:v>unverified</x:v>
      </x:c>
      <x:c r="AD1063" s="3" t="str">
        <x:v>Not contacted / unconfirmed</x:v>
      </x:c>
      <x:c r="AE1063" s="3" t="str">
        <x:v>No</x:v>
      </x:c>
      <x:c r="AF1063" s="3" t="str">
        <x:v>No</x:v>
      </x:c>
      <x:c r="AG1063" s="3"/>
      <x:c r="AH1063" s="3"/>
      <x:c r="AI1063" s="18"/>
      <x:c r="AJ1063" s="3" t="str">
        <x:v>CF2500-757160A53A9C</x:v>
      </x:c>
      <x:c r="AK1063" s="3" t="str">
        <x:v>real_estate_operator</x:v>
      </x:c>
      <x:c r="AL1063" s="19" t="n">
        <x:v>100000</x:v>
      </x:c>
      <x:c r="AM1063" s="19" t="n">
        <x:v>500000</x:v>
      </x:c>
      <x:c r="AN1063" s="3" t="str">
        <x:v>https://www.cashhomebuyersdirectory.com/cash-home-buyers/new-jersey/jersey-city</x:v>
      </x:c>
      <x:c r="AO1063" s="3" t="str">
        <x:v>national_rest_directory_complete.jsonl</x:v>
      </x:c>
      <x:c r="AP1063" s="19"/>
    </x:row>
    <x:row r="1064" ht="36" customHeight="1">
      <x:c r="A1064" s="23" t="n">
        <x:v>1063</x:v>
      </x:c>
      <x:c r="B1064" s="15" t="str">
        <x:v>Hollins Housing Sell My House Fast Cash Baton Rouge New Orleans</x:v>
      </x:c>
      <x:c r="C1064" s="15"/>
      <x:c r="D1064" s="15" t="str">
        <x:v>Property investor / home-buying operator</x:v>
      </x:c>
      <x:c r="E1064" s="15" t="str">
        <x:v>Property investor / operator inquiry</x:v>
      </x:c>
      <x:c r="F1064" s="17" t="str">
        <x:v>New</x:v>
      </x:c>
      <x:c r="G1064" s="24"/>
      <x:c r="H1064" s="24" t="str">
        <x:v>+12253019800</x:v>
      </x:c>
      <x:c r="I1064" s="24" t="str">
        <x:v>https://www.hollinshousing.com/</x:v>
      </x:c>
      <x:c r="J1064" s="16" t="str">
        <x:v>LA</x:v>
      </x:c>
      <x:c r="K1064" s="16" t="str">
        <x:v>Baton Rouge</x:v>
      </x:c>
      <x:c r="L1064" s="16" t="str">
        <x:v>Public property-business route; investor decision maker unconfirmed</x:v>
      </x:c>
      <x:c r="M1064" s="16" t="str">
        <x:v>https://www.hollinshousing.com/</x:v>
      </x:c>
      <x:c r="N1064" s="16" t="str">
        <x:v>$100K-$500K ticket not published / unconfirmed</x:v>
      </x:c>
      <x:c r="O1064" s="20"/>
      <x:c r="P1064" s="20"/>
      <x:c r="Q1064" s="25" t="str">
        <x:v>No direct corporate-capital range established in checked source</x:v>
      </x:c>
      <x:c r="R1064" s="25" t="str">
        <x:v>Property acquisition or investor activity makes this an operator-capital prospect for the signed trial. Confirm operating-company debt/equity appetite.</x:v>
      </x:c>
      <x:c r="S1064" s="25"/>
      <x:c r="T1064" s="25" t="str">
        <x:v>Ask the owner/investor whether they can allocate $100K-$500K to trial marketing and acquisitions, and confirm structure, timing and decision authority.</x:v>
      </x:c>
      <x:c r="U1064" s="25" t="str">
        <x:v>https://www.cashhomebuyersdirectory.com/cash-home-buyers/louisiana/baton-rouge</x:v>
      </x:c>
      <x:c r="V1064" s="26" t="d">
        <x:v>2026-10-02T00:00:00.000Z</x:v>
      </x:c>
      <x:c r="W1064" s="26" t="d">
        <x:v>2026-10-02T00:00:00.000Z</x:v>
      </x:c>
      <x:c r="X1064" s="25" t="str">
        <x:v>CashHomeBuyersDirectory third-party business listing; first-party business activity not checked in this batch</x:v>
      </x:c>
      <x:c r="Y1064" s="25"/>
      <x:c r="Z1064" s="25" t="str">
        <x:v>https://www.cashhomebuyersdirectory.com/cash-home-buyers/louisiana/baton-rouge</x:v>
      </x:c>
      <x:c r="AA1064" s="25" t="str">
        <x:v>Public cash-home-buyer directory lists the business name, business phone/website where available and market. Operator role and corporate funding willingness require confirmation.</x:v>
      </x:c>
      <x:c r="AB1064" s="3" t="str">
        <x:v>New public-source collection</x:v>
      </x:c>
      <x:c r="AC1064" s="3" t="str">
        <x:v>unverified</x:v>
      </x:c>
      <x:c r="AD1064" s="3" t="str">
        <x:v>Not contacted / unconfirmed</x:v>
      </x:c>
      <x:c r="AE1064" s="3" t="str">
        <x:v>No</x:v>
      </x:c>
      <x:c r="AF1064" s="3" t="str">
        <x:v>No</x:v>
      </x:c>
      <x:c r="AG1064" s="3"/>
      <x:c r="AH1064" s="3"/>
      <x:c r="AI1064" s="18"/>
      <x:c r="AJ1064" s="3" t="str">
        <x:v>CF2500-42E14BC8088A</x:v>
      </x:c>
      <x:c r="AK1064" s="3" t="str">
        <x:v>real_estate_operator</x:v>
      </x:c>
      <x:c r="AL1064" s="19" t="n">
        <x:v>100000</x:v>
      </x:c>
      <x:c r="AM1064" s="19" t="n">
        <x:v>500000</x:v>
      </x:c>
      <x:c r="AN1064" s="3" t="str">
        <x:v>https://www.cashhomebuyersdirectory.com/cash-home-buyers/louisiana/baton-rouge</x:v>
      </x:c>
      <x:c r="AO1064" s="3" t="str">
        <x:v>national_rest_directory_complete.jsonl</x:v>
      </x:c>
      <x:c r="AP1064" s="19"/>
    </x:row>
    <x:row r="1065" ht="36" customHeight="1">
      <x:c r="A1065" s="23" t="n">
        <x:v>1064</x:v>
      </x:c>
      <x:c r="B1065" s="15" t="str">
        <x:v>Home Buyer Louisiana</x:v>
      </x:c>
      <x:c r="C1065" s="15"/>
      <x:c r="D1065" s="15" t="str">
        <x:v>Property investor / home-buying operator</x:v>
      </x:c>
      <x:c r="E1065" s="15" t="str">
        <x:v>Property investor / operator inquiry</x:v>
      </x:c>
      <x:c r="F1065" s="17" t="str">
        <x:v>New</x:v>
      </x:c>
      <x:c r="G1065" s="24"/>
      <x:c r="H1065" s="24" t="str">
        <x:v>+15043327676</x:v>
      </x:c>
      <x:c r="I1065" s="24" t="str">
        <x:v>https://homebuyerlouisiana.com/</x:v>
      </x:c>
      <x:c r="J1065" s="16" t="str">
        <x:v>LA</x:v>
      </x:c>
      <x:c r="K1065" s="16" t="str">
        <x:v>New Orleans</x:v>
      </x:c>
      <x:c r="L1065" s="16" t="str">
        <x:v>Public property-business route; investor decision maker unconfirmed</x:v>
      </x:c>
      <x:c r="M1065" s="16" t="str">
        <x:v>https://homebuyerlouisiana.com/</x:v>
      </x:c>
      <x:c r="N1065" s="16" t="str">
        <x:v>$100K-$500K ticket not published / unconfirmed</x:v>
      </x:c>
      <x:c r="O1065" s="20"/>
      <x:c r="P1065" s="20"/>
      <x:c r="Q1065" s="25" t="str">
        <x:v>No direct corporate-capital range established in checked source</x:v>
      </x:c>
      <x:c r="R1065" s="25" t="str">
        <x:v>Property acquisition or investor activity makes this an operator-capital prospect for the signed trial. Confirm operating-company debt/equity appetite.</x:v>
      </x:c>
      <x:c r="S1065" s="25"/>
      <x:c r="T1065" s="25" t="str">
        <x:v>Ask the owner/investor whether they can allocate $100K-$500K to trial marketing and acquisitions, and confirm structure, timing and decision authority.</x:v>
      </x:c>
      <x:c r="U1065" s="25" t="str">
        <x:v>https://www.cashhomebuyersdirectory.com/cash-home-buyers/louisiana/new-orleans</x:v>
      </x:c>
      <x:c r="V1065" s="26" t="d">
        <x:v>2026-10-02T00:00:00.000Z</x:v>
      </x:c>
      <x:c r="W1065" s="26" t="d">
        <x:v>2026-10-02T00:00:00.000Z</x:v>
      </x:c>
      <x:c r="X1065" s="25" t="str">
        <x:v>CashHomeBuyersDirectory third-party business listing; first-party business activity not checked in this batch</x:v>
      </x:c>
      <x:c r="Y1065" s="25"/>
      <x:c r="Z1065" s="25" t="str">
        <x:v>https://www.cashhomebuyersdirectory.com/cash-home-buyers/louisiana/new-orleans</x:v>
      </x:c>
      <x:c r="AA1065" s="25" t="str">
        <x:v>Public cash-home-buyer directory lists the business name, business phone/website where available and market. Operator role and corporate funding willingness require confirmation.</x:v>
      </x:c>
      <x:c r="AB1065" s="3" t="str">
        <x:v>New public-source collection</x:v>
      </x:c>
      <x:c r="AC1065" s="3" t="str">
        <x:v>unverified</x:v>
      </x:c>
      <x:c r="AD1065" s="3" t="str">
        <x:v>Not contacted / unconfirmed</x:v>
      </x:c>
      <x:c r="AE1065" s="3" t="str">
        <x:v>No</x:v>
      </x:c>
      <x:c r="AF1065" s="3" t="str">
        <x:v>No</x:v>
      </x:c>
      <x:c r="AG1065" s="3"/>
      <x:c r="AH1065" s="3"/>
      <x:c r="AI1065" s="18"/>
      <x:c r="AJ1065" s="3" t="str">
        <x:v>CF2500-9CA2546B83D3</x:v>
      </x:c>
      <x:c r="AK1065" s="3" t="str">
        <x:v>real_estate_operator</x:v>
      </x:c>
      <x:c r="AL1065" s="19" t="n">
        <x:v>100000</x:v>
      </x:c>
      <x:c r="AM1065" s="19" t="n">
        <x:v>500000</x:v>
      </x:c>
      <x:c r="AN1065" s="3" t="str">
        <x:v>https://www.cashhomebuyersdirectory.com/cash-home-buyers/louisiana/new-orleans</x:v>
      </x:c>
      <x:c r="AO1065" s="3" t="str">
        <x:v>national_rest_directory_complete.jsonl</x:v>
      </x:c>
      <x:c r="AP1065" s="19"/>
    </x:row>
    <x:row r="1066" ht="36" customHeight="1">
      <x:c r="A1066" s="23" t="n">
        <x:v>1065</x:v>
      </x:c>
      <x:c r="B1066" s="15" t="str">
        <x:v>Home Buyer Mississippi</x:v>
      </x:c>
      <x:c r="C1066" s="15"/>
      <x:c r="D1066" s="15" t="str">
        <x:v>Property investor / home-buying operator</x:v>
      </x:c>
      <x:c r="E1066" s="15" t="str">
        <x:v>Property investor / operator inquiry</x:v>
      </x:c>
      <x:c r="F1066" s="17" t="str">
        <x:v>New</x:v>
      </x:c>
      <x:c r="G1066" s="24"/>
      <x:c r="H1066" s="24" t="str">
        <x:v>+16015339305</x:v>
      </x:c>
      <x:c r="I1066" s="24" t="str">
        <x:v>https://homebuyermississippi.com/</x:v>
      </x:c>
      <x:c r="J1066" s="16" t="str">
        <x:v>MS</x:v>
      </x:c>
      <x:c r="K1066" s="16" t="str">
        <x:v>Gulfport</x:v>
      </x:c>
      <x:c r="L1066" s="16" t="str">
        <x:v>Public property-business route; investor decision maker unconfirmed</x:v>
      </x:c>
      <x:c r="M1066" s="16" t="str">
        <x:v>https://homebuyermississippi.com/</x:v>
      </x:c>
      <x:c r="N1066" s="16" t="str">
        <x:v>$100K-$500K ticket not published / unconfirmed</x:v>
      </x:c>
      <x:c r="O1066" s="20"/>
      <x:c r="P1066" s="20"/>
      <x:c r="Q1066" s="25" t="str">
        <x:v>No direct corporate-capital range established in checked source</x:v>
      </x:c>
      <x:c r="R1066" s="25" t="str">
        <x:v>Property acquisition or investor activity makes this an operator-capital prospect for the signed trial. Confirm operating-company debt/equity appetite.</x:v>
      </x:c>
      <x:c r="S1066" s="25"/>
      <x:c r="T1066" s="25" t="str">
        <x:v>Ask the owner/investor whether they can allocate $100K-$500K to trial marketing and acquisitions, and confirm structure, timing and decision authority.</x:v>
      </x:c>
      <x:c r="U1066" s="25" t="str">
        <x:v>https://www.cashhomebuyersdirectory.com/cash-home-buyers/mississippi/gulfport
https://www.cashhomebuyersdirectory.com/cash-home-buyers/mississippi/jackson</x:v>
      </x:c>
      <x:c r="V1066" s="26" t="d">
        <x:v>2026-10-02T00:00:00.000Z</x:v>
      </x:c>
      <x:c r="W1066" s="26" t="d">
        <x:v>2026-10-02T00:00:00.000Z</x:v>
      </x:c>
      <x:c r="X1066" s="25" t="str">
        <x:v>CashHomeBuyersDirectory third-party business listing; first-party business activity not checked in this batch</x:v>
      </x:c>
      <x:c r="Y1066" s="25"/>
      <x:c r="Z1066" s="25" t="str">
        <x:v>https://www.cashhomebuyersdirectory.com/cash-home-buyers/mississippi/gulfport</x:v>
      </x:c>
      <x:c r="AA1066" s="25" t="str">
        <x:v>Public cash-home-buyer directory lists the business name, business phone/website where available and market. Operator role and corporate funding willingness require confirmation.</x:v>
      </x:c>
      <x:c r="AB1066" s="3" t="str">
        <x:v>New public-source collection</x:v>
      </x:c>
      <x:c r="AC1066" s="3" t="str">
        <x:v>unverified</x:v>
      </x:c>
      <x:c r="AD1066" s="3" t="str">
        <x:v>Not contacted / unconfirmed</x:v>
      </x:c>
      <x:c r="AE1066" s="3" t="str">
        <x:v>No</x:v>
      </x:c>
      <x:c r="AF1066" s="3" t="str">
        <x:v>No</x:v>
      </x:c>
      <x:c r="AG1066" s="3"/>
      <x:c r="AH1066" s="3"/>
      <x:c r="AI1066" s="18"/>
      <x:c r="AJ1066" s="3" t="str">
        <x:v>CF2500-ABF4B04FB843</x:v>
      </x:c>
      <x:c r="AK1066" s="3" t="str">
        <x:v>real_estate_operator</x:v>
      </x:c>
      <x:c r="AL1066" s="19" t="n">
        <x:v>100000</x:v>
      </x:c>
      <x:c r="AM1066" s="19" t="n">
        <x:v>500000</x:v>
      </x:c>
      <x:c r="AN1066" s="3" t="str">
        <x:v>https://www.cashhomebuyersdirectory.com/cash-home-buyers/mississippi/gulfport</x:v>
      </x:c>
      <x:c r="AO1066" s="3" t="str">
        <x:v>national_rest_directory_complete.jsonl</x:v>
      </x:c>
      <x:c r="AP1066" s="19"/>
    </x:row>
    <x:row r="1067" ht="36" customHeight="1">
      <x:c r="A1067" s="23" t="n">
        <x:v>1066</x:v>
      </x:c>
      <x:c r="B1067" s="15" t="str">
        <x:v>Home Buyer Square</x:v>
      </x:c>
      <x:c r="C1067" s="15"/>
      <x:c r="D1067" s="15" t="str">
        <x:v>Property investor / home-buying operator</x:v>
      </x:c>
      <x:c r="E1067" s="15" t="str">
        <x:v>Property investor / operator inquiry</x:v>
      </x:c>
      <x:c r="F1067" s="17" t="str">
        <x:v>New</x:v>
      </x:c>
      <x:c r="G1067" s="24"/>
      <x:c r="H1067" s="24" t="str">
        <x:v>+12012989297</x:v>
      </x:c>
      <x:c r="I1067" s="24" t="str">
        <x:v>https://www.homebuyersquare.com/</x:v>
      </x:c>
      <x:c r="J1067" s="16" t="str">
        <x:v>NJ</x:v>
      </x:c>
      <x:c r="K1067" s="16"/>
      <x:c r="L1067" s="16" t="str">
        <x:v>Public property-business route; investor decision maker unconfirmed</x:v>
      </x:c>
      <x:c r="M1067" s="16" t="str">
        <x:v>https://www.homebuyersquare.com/</x:v>
      </x:c>
      <x:c r="N1067" s="16" t="str">
        <x:v>$100K-$500K ticket not published / unconfirmed</x:v>
      </x:c>
      <x:c r="O1067" s="20"/>
      <x:c r="P1067" s="20"/>
      <x:c r="Q1067" s="25" t="str">
        <x:v>No direct corporate-capital range established in checked source</x:v>
      </x:c>
      <x:c r="R1067" s="25" t="str">
        <x:v>Property acquisition or investor activity makes this an operator-capital prospect for the signed trial. Confirm operating-company debt/equity appetite.</x:v>
      </x:c>
      <x:c r="S1067" s="25"/>
      <x:c r="T1067" s="25" t="str">
        <x:v>Ask the owner/investor whether they can allocate $100K-$500K to trial marketing and acquisitions, and confirm structure, timing and decision authority.</x:v>
      </x:c>
      <x:c r="U1067" s="25" t="str">
        <x:v>https://www.cashhomebuyersdirectory.com/cash-home-buyers/new-jersey/jersey-city</x:v>
      </x:c>
      <x:c r="V1067" s="26" t="d">
        <x:v>2026-10-02T00:00:00.000Z</x:v>
      </x:c>
      <x:c r="W1067" s="26" t="d">
        <x:v>2026-10-02T00:00:00.000Z</x:v>
      </x:c>
      <x:c r="X1067" s="25" t="str">
        <x:v>CashHomeBuyersDirectory third-party business listing; first-party business activity not checked in this batch</x:v>
      </x:c>
      <x:c r="Y1067" s="25"/>
      <x:c r="Z1067" s="25" t="str">
        <x:v>https://www.cashhomebuyersdirectory.com/cash-home-buyers/new-jersey/jersey-city</x:v>
      </x:c>
      <x:c r="AA1067" s="25" t="str">
        <x:v>Public cash-home-buyer directory lists the business name, business phone/website where available and market. Operator role and corporate funding willingness require confirmation.</x:v>
      </x:c>
      <x:c r="AB1067" s="3" t="str">
        <x:v>New public-source collection</x:v>
      </x:c>
      <x:c r="AC1067" s="3" t="str">
        <x:v>unverified</x:v>
      </x:c>
      <x:c r="AD1067" s="3" t="str">
        <x:v>Not contacted / unconfirmed</x:v>
      </x:c>
      <x:c r="AE1067" s="3" t="str">
        <x:v>No</x:v>
      </x:c>
      <x:c r="AF1067" s="3" t="str">
        <x:v>No</x:v>
      </x:c>
      <x:c r="AG1067" s="3"/>
      <x:c r="AH1067" s="3"/>
      <x:c r="AI1067" s="18"/>
      <x:c r="AJ1067" s="3" t="str">
        <x:v>CF2500-243AD6A90DE9</x:v>
      </x:c>
      <x:c r="AK1067" s="3" t="str">
        <x:v>real_estate_operator</x:v>
      </x:c>
      <x:c r="AL1067" s="19" t="n">
        <x:v>100000</x:v>
      </x:c>
      <x:c r="AM1067" s="19" t="n">
        <x:v>500000</x:v>
      </x:c>
      <x:c r="AN1067" s="3" t="str">
        <x:v>https://www.cashhomebuyersdirectory.com/cash-home-buyers/new-jersey/jersey-city</x:v>
      </x:c>
      <x:c r="AO1067" s="3" t="str">
        <x:v>national_rest_directory_complete.jsonl</x:v>
      </x:c>
      <x:c r="AP1067" s="19"/>
    </x:row>
    <x:row r="1068" ht="36" customHeight="1">
      <x:c r="A1068" s="23" t="n">
        <x:v>1067</x:v>
      </x:c>
      <x:c r="B1068" s="15" t="str">
        <x:v>Home Buyers Eugene</x:v>
      </x:c>
      <x:c r="C1068" s="15"/>
      <x:c r="D1068" s="15" t="str">
        <x:v>Property investor / home-buying operator</x:v>
      </x:c>
      <x:c r="E1068" s="15" t="str">
        <x:v>Property investor / operator inquiry</x:v>
      </x:c>
      <x:c r="F1068" s="17" t="str">
        <x:v>New</x:v>
      </x:c>
      <x:c r="G1068" s="24"/>
      <x:c r="H1068" s="24" t="str">
        <x:v>+14582148737</x:v>
      </x:c>
      <x:c r="I1068" s="24" t="str">
        <x:v>https://homebuyerseugene.com/</x:v>
      </x:c>
      <x:c r="J1068" s="16" t="str">
        <x:v>OR</x:v>
      </x:c>
      <x:c r="K1068" s="16"/>
      <x:c r="L1068" s="16" t="str">
        <x:v>Public property-business route; investor decision maker unconfirmed</x:v>
      </x:c>
      <x:c r="M1068" s="16" t="str">
        <x:v>https://homebuyerseugene.com/</x:v>
      </x:c>
      <x:c r="N1068" s="16" t="str">
        <x:v>$100K-$500K ticket not published / unconfirmed</x:v>
      </x:c>
      <x:c r="O1068" s="20"/>
      <x:c r="P1068" s="20"/>
      <x:c r="Q1068" s="25" t="str">
        <x:v>No direct corporate-capital range established in checked source</x:v>
      </x:c>
      <x:c r="R1068" s="25" t="str">
        <x:v>Property acquisition or investor activity makes this an operator-capital prospect for the signed trial. Confirm operating-company debt/equity appetite.</x:v>
      </x:c>
      <x:c r="S1068" s="25"/>
      <x:c r="T1068" s="25" t="str">
        <x:v>Ask the owner/investor whether they can allocate $100K-$500K to trial marketing and acquisitions, and confirm structure, timing and decision authority.</x:v>
      </x:c>
      <x:c r="U1068" s="25" t="str">
        <x:v>https://www.cashhomebuyersdirectory.com/cash-home-buyers/oregon/eugene</x:v>
      </x:c>
      <x:c r="V1068" s="26" t="d">
        <x:v>2026-10-02T00:00:00.000Z</x:v>
      </x:c>
      <x:c r="W1068" s="26" t="d">
        <x:v>2026-10-02T00:00:00.000Z</x:v>
      </x:c>
      <x:c r="X1068" s="25" t="str">
        <x:v>CashHomeBuyersDirectory third-party business listing; first-party business activity not checked in this batch</x:v>
      </x:c>
      <x:c r="Y1068" s="25"/>
      <x:c r="Z1068" s="25" t="str">
        <x:v>https://www.cashhomebuyersdirectory.com/cash-home-buyers/oregon/eugene</x:v>
      </x:c>
      <x:c r="AA1068" s="25" t="str">
        <x:v>Public cash-home-buyer directory lists the business name, business phone/website where available and market. Operator role and corporate funding willingness require confirmation.</x:v>
      </x:c>
      <x:c r="AB1068" s="3" t="str">
        <x:v>New public-source collection</x:v>
      </x:c>
      <x:c r="AC1068" s="3" t="str">
        <x:v>unverified</x:v>
      </x:c>
      <x:c r="AD1068" s="3" t="str">
        <x:v>Not contacted / unconfirmed</x:v>
      </x:c>
      <x:c r="AE1068" s="3" t="str">
        <x:v>No</x:v>
      </x:c>
      <x:c r="AF1068" s="3" t="str">
        <x:v>No</x:v>
      </x:c>
      <x:c r="AG1068" s="3"/>
      <x:c r="AH1068" s="3"/>
      <x:c r="AI1068" s="18"/>
      <x:c r="AJ1068" s="3" t="str">
        <x:v>CF2500-0741D999290F</x:v>
      </x:c>
      <x:c r="AK1068" s="3" t="str">
        <x:v>real_estate_operator</x:v>
      </x:c>
      <x:c r="AL1068" s="19" t="n">
        <x:v>100000</x:v>
      </x:c>
      <x:c r="AM1068" s="19" t="n">
        <x:v>500000</x:v>
      </x:c>
      <x:c r="AN1068" s="3" t="str">
        <x:v>https://www.cashhomebuyersdirectory.com/cash-home-buyers/oregon/eugene</x:v>
      </x:c>
      <x:c r="AO1068" s="3" t="str">
        <x:v>national_rest_directory_complete.jsonl</x:v>
      </x:c>
      <x:c r="AP1068" s="19"/>
    </x:row>
    <x:row r="1069" ht="36" customHeight="1">
      <x:c r="A1069" s="23" t="n">
        <x:v>1068</x:v>
      </x:c>
      <x:c r="B1069" s="15" t="str">
        <x:v>Home Buyers Express</x:v>
      </x:c>
      <x:c r="C1069" s="15"/>
      <x:c r="D1069" s="15" t="str">
        <x:v>Property investor / home-buying operator</x:v>
      </x:c>
      <x:c r="E1069" s="15" t="str">
        <x:v>Property investor / operator inquiry</x:v>
      </x:c>
      <x:c r="F1069" s="17" t="str">
        <x:v>New</x:v>
      </x:c>
      <x:c r="G1069" s="24"/>
      <x:c r="H1069" s="24" t="str">
        <x:v>+14102749678</x:v>
      </x:c>
      <x:c r="I1069" s="24" t="str">
        <x:v>http://www.homebuyersexpress.com/</x:v>
      </x:c>
      <x:c r="J1069" s="16" t="str">
        <x:v>MD</x:v>
      </x:c>
      <x:c r="K1069" s="16" t="str">
        <x:v>Baltimore</x:v>
      </x:c>
      <x:c r="L1069" s="16" t="str">
        <x:v>Public property-business route; investor decision maker unconfirmed</x:v>
      </x:c>
      <x:c r="M1069" s="16" t="str">
        <x:v>http://www.homebuyersexpress.com/</x:v>
      </x:c>
      <x:c r="N1069" s="16" t="str">
        <x:v>$100K-$500K ticket not published / unconfirmed</x:v>
      </x:c>
      <x:c r="O1069" s="20"/>
      <x:c r="P1069" s="20"/>
      <x:c r="Q1069" s="25" t="str">
        <x:v>No direct corporate-capital range established in checked source</x:v>
      </x:c>
      <x:c r="R1069" s="25" t="str">
        <x:v>Property acquisition or investor activity makes this an operator-capital prospect for the signed trial. Confirm operating-company debt/equity appetite.</x:v>
      </x:c>
      <x:c r="S1069" s="25"/>
      <x:c r="T1069" s="25" t="str">
        <x:v>Ask the owner/investor whether they can allocate $100K-$500K to trial marketing and acquisitions, and confirm structure, timing and decision authority.</x:v>
      </x:c>
      <x:c r="U1069" s="25" t="str">
        <x:v>https://www.cashhomebuyersdirectory.com/cash-home-buyers/maryland/baltimore</x:v>
      </x:c>
      <x:c r="V1069" s="26" t="d">
        <x:v>2026-10-02T00:00:00.000Z</x:v>
      </x:c>
      <x:c r="W1069" s="26" t="d">
        <x:v>2026-10-02T00:00:00.000Z</x:v>
      </x:c>
      <x:c r="X1069" s="25" t="str">
        <x:v>CashHomeBuyersDirectory third-party business listing; first-party business activity not checked in this batch</x:v>
      </x:c>
      <x:c r="Y1069" s="25"/>
      <x:c r="Z1069" s="25" t="str">
        <x:v>https://www.cashhomebuyersdirectory.com/cash-home-buyers/maryland/baltimore</x:v>
      </x:c>
      <x:c r="AA1069" s="25" t="str">
        <x:v>Public cash-home-buyer directory lists the business name, business phone/website where available and market. Operator role and corporate funding willingness require confirmation.</x:v>
      </x:c>
      <x:c r="AB1069" s="3" t="str">
        <x:v>New public-source collection</x:v>
      </x:c>
      <x:c r="AC1069" s="3" t="str">
        <x:v>unverified</x:v>
      </x:c>
      <x:c r="AD1069" s="3" t="str">
        <x:v>Not contacted / unconfirmed</x:v>
      </x:c>
      <x:c r="AE1069" s="3" t="str">
        <x:v>No</x:v>
      </x:c>
      <x:c r="AF1069" s="3" t="str">
        <x:v>No</x:v>
      </x:c>
      <x:c r="AG1069" s="3"/>
      <x:c r="AH1069" s="3"/>
      <x:c r="AI1069" s="18"/>
      <x:c r="AJ1069" s="3" t="str">
        <x:v>CF2500-A80E16FDDB06</x:v>
      </x:c>
      <x:c r="AK1069" s="3" t="str">
        <x:v>real_estate_operator</x:v>
      </x:c>
      <x:c r="AL1069" s="19" t="n">
        <x:v>100000</x:v>
      </x:c>
      <x:c r="AM1069" s="19" t="n">
        <x:v>500000</x:v>
      </x:c>
      <x:c r="AN1069" s="3" t="str">
        <x:v>https://www.cashhomebuyersdirectory.com/cash-home-buyers/maryland/baltimore</x:v>
      </x:c>
      <x:c r="AO1069" s="3" t="str">
        <x:v>national_rest_directory_complete.jsonl</x:v>
      </x:c>
      <x:c r="AP1069" s="19"/>
    </x:row>
    <x:row r="1070" ht="36" customHeight="1">
      <x:c r="A1070" s="23" t="n">
        <x:v>1069</x:v>
      </x:c>
      <x:c r="B1070" s="15" t="str">
        <x:v>Home Buyers Group LLC</x:v>
      </x:c>
      <x:c r="C1070" s="15"/>
      <x:c r="D1070" s="15" t="str">
        <x:v>Property investor / home-buying operator</x:v>
      </x:c>
      <x:c r="E1070" s="15" t="str">
        <x:v>Property investor / operator inquiry</x:v>
      </x:c>
      <x:c r="F1070" s="17" t="str">
        <x:v>New</x:v>
      </x:c>
      <x:c r="G1070" s="24"/>
      <x:c r="H1070" s="24" t="str">
        <x:v>+17573000353</x:v>
      </x:c>
      <x:c r="I1070" s="24" t="str">
        <x:v>https://www.homebuyersgroupva.com/</x:v>
      </x:c>
      <x:c r="J1070" s="16" t="str">
        <x:v>VA</x:v>
      </x:c>
      <x:c r="K1070" s="16"/>
      <x:c r="L1070" s="16" t="str">
        <x:v>Public property-business route; investor decision maker unconfirmed</x:v>
      </x:c>
      <x:c r="M1070" s="16" t="str">
        <x:v>https://www.homebuyersgroupva.com/</x:v>
      </x:c>
      <x:c r="N1070" s="16" t="str">
        <x:v>$100K-$500K ticket not published / unconfirmed</x:v>
      </x:c>
      <x:c r="O1070" s="20"/>
      <x:c r="P1070" s="20"/>
      <x:c r="Q1070" s="25" t="str">
        <x:v>No direct corporate-capital range established in checked source</x:v>
      </x:c>
      <x:c r="R1070" s="25" t="str">
        <x:v>Property acquisition or investor activity makes this an operator-capital prospect for the signed trial. Confirm operating-company debt/equity appetite.</x:v>
      </x:c>
      <x:c r="S1070" s="25"/>
      <x:c r="T1070" s="25" t="str">
        <x:v>Ask the owner/investor whether they can allocate $100K-$500K to trial marketing and acquisitions, and confirm structure, timing and decision authority.</x:v>
      </x:c>
      <x:c r="U1070" s="25" t="str">
        <x:v>https://www.cashhomebuyersdirectory.com/cash-home-buyers/virginia/virginia-beach</x:v>
      </x:c>
      <x:c r="V1070" s="26" t="d">
        <x:v>2026-10-02T00:00:00.000Z</x:v>
      </x:c>
      <x:c r="W1070" s="26" t="d">
        <x:v>2026-10-02T00:00:00.000Z</x:v>
      </x:c>
      <x:c r="X1070" s="25" t="str">
        <x:v>CashHomeBuyersDirectory third-party business listing; first-party business activity not checked in this batch</x:v>
      </x:c>
      <x:c r="Y1070" s="25"/>
      <x:c r="Z1070" s="25" t="str">
        <x:v>https://www.cashhomebuyersdirectory.com/cash-home-buyers/virginia/virginia-beach</x:v>
      </x:c>
      <x:c r="AA1070" s="25" t="str">
        <x:v>Public cash-home-buyer directory lists the business name, business phone/website where available and market. Operator role and corporate funding willingness require confirmation.</x:v>
      </x:c>
      <x:c r="AB1070" s="3" t="str">
        <x:v>New public-source collection</x:v>
      </x:c>
      <x:c r="AC1070" s="3" t="str">
        <x:v>unverified</x:v>
      </x:c>
      <x:c r="AD1070" s="3" t="str">
        <x:v>Not contacted / unconfirmed</x:v>
      </x:c>
      <x:c r="AE1070" s="3" t="str">
        <x:v>No</x:v>
      </x:c>
      <x:c r="AF1070" s="3" t="str">
        <x:v>No</x:v>
      </x:c>
      <x:c r="AG1070" s="3"/>
      <x:c r="AH1070" s="3"/>
      <x:c r="AI1070" s="18"/>
      <x:c r="AJ1070" s="3" t="str">
        <x:v>CF2500-1ABBBBB9BF3C</x:v>
      </x:c>
      <x:c r="AK1070" s="3" t="str">
        <x:v>real_estate_operator</x:v>
      </x:c>
      <x:c r="AL1070" s="19" t="n">
        <x:v>100000</x:v>
      </x:c>
      <x:c r="AM1070" s="19" t="n">
        <x:v>500000</x:v>
      </x:c>
      <x:c r="AN1070" s="3" t="str">
        <x:v>https://www.cashhomebuyersdirectory.com/cash-home-buyers/virginia/virginia-beach</x:v>
      </x:c>
      <x:c r="AO1070" s="3" t="str">
        <x:v>national_rest_directory_complete.jsonl</x:v>
      </x:c>
      <x:c r="AP1070" s="19"/>
    </x:row>
    <x:row r="1071" ht="36" customHeight="1">
      <x:c r="A1071" s="23" t="n">
        <x:v>1070</x:v>
      </x:c>
      <x:c r="B1071" s="15" t="str">
        <x:v>Home Buyers Inventory</x:v>
      </x:c>
      <x:c r="C1071" s="15"/>
      <x:c r="D1071" s="15" t="str">
        <x:v>Property investor / home-buying operator</x:v>
      </x:c>
      <x:c r="E1071" s="15" t="str">
        <x:v>Property investor / operator inquiry</x:v>
      </x:c>
      <x:c r="F1071" s="17" t="str">
        <x:v>New</x:v>
      </x:c>
      <x:c r="G1071" s="24"/>
      <x:c r="H1071" s="24" t="str">
        <x:v>+13308864905</x:v>
      </x:c>
      <x:c r="I1071" s="24" t="str">
        <x:v>https://www.homebuyersinventory.com/</x:v>
      </x:c>
      <x:c r="J1071" s="16" t="str">
        <x:v>OH</x:v>
      </x:c>
      <x:c r="K1071" s="16" t="str">
        <x:v>Austintown</x:v>
      </x:c>
      <x:c r="L1071" s="16" t="str">
        <x:v>Public property-business route; investor decision maker unconfirmed</x:v>
      </x:c>
      <x:c r="M1071" s="16" t="str">
        <x:v>https://www.homebuyersinventory.com/</x:v>
      </x:c>
      <x:c r="N1071" s="16" t="str">
        <x:v>$100K-$500K ticket not published / unconfirmed</x:v>
      </x:c>
      <x:c r="O1071" s="20"/>
      <x:c r="P1071" s="20"/>
      <x:c r="Q1071" s="25" t="str">
        <x:v>No direct corporate-capital range established in checked source</x:v>
      </x:c>
      <x:c r="R1071" s="25" t="str">
        <x:v>Property acquisition or investor activity makes this an operator-capital prospect for the signed trial. Confirm operating-company debt/equity appetite.</x:v>
      </x:c>
      <x:c r="S1071" s="25"/>
      <x:c r="T1071" s="25" t="str">
        <x:v>Ask the owner/investor whether they can allocate $100K-$500K to trial marketing and acquisitions, and confirm structure, timing and decision authority.</x:v>
      </x:c>
      <x:c r="U1071" s="25" t="str">
        <x:v>https://www.cashhomebuyersdirectory.com/cash-home-buyers/ohio/austintown</x:v>
      </x:c>
      <x:c r="V1071" s="26" t="d">
        <x:v>2026-10-02T00:00:00.000Z</x:v>
      </x:c>
      <x:c r="W1071" s="26" t="d">
        <x:v>2026-10-02T00:00:00.000Z</x:v>
      </x:c>
      <x:c r="X1071" s="25" t="str">
        <x:v>CashHomeBuyersDirectory third-party business listing; first-party business activity not checked in this batch</x:v>
      </x:c>
      <x:c r="Y1071" s="25"/>
      <x:c r="Z1071" s="25" t="str">
        <x:v>https://www.cashhomebuyersdirectory.com/cash-home-buyers/ohio/austintown</x:v>
      </x:c>
      <x:c r="AA1071" s="25" t="str">
        <x:v>Public cash-home-buyer directory lists the business name, business phone/website where available and market. Operator role and corporate funding willingness require confirmation.</x:v>
      </x:c>
      <x:c r="AB1071" s="3" t="str">
        <x:v>New public-source collection</x:v>
      </x:c>
      <x:c r="AC1071" s="3" t="str">
        <x:v>unverified</x:v>
      </x:c>
      <x:c r="AD1071" s="3" t="str">
        <x:v>Not contacted / unconfirmed</x:v>
      </x:c>
      <x:c r="AE1071" s="3" t="str">
        <x:v>No</x:v>
      </x:c>
      <x:c r="AF1071" s="3" t="str">
        <x:v>No</x:v>
      </x:c>
      <x:c r="AG1071" s="3"/>
      <x:c r="AH1071" s="3"/>
      <x:c r="AI1071" s="18"/>
      <x:c r="AJ1071" s="3" t="str">
        <x:v>CF2500-88C4AE514134</x:v>
      </x:c>
      <x:c r="AK1071" s="3" t="str">
        <x:v>real_estate_operator</x:v>
      </x:c>
      <x:c r="AL1071" s="19" t="n">
        <x:v>100000</x:v>
      </x:c>
      <x:c r="AM1071" s="19" t="n">
        <x:v>500000</x:v>
      </x:c>
      <x:c r="AN1071" s="3" t="str">
        <x:v>https://www.cashhomebuyersdirectory.com/cash-home-buyers/ohio/austintown</x:v>
      </x:c>
      <x:c r="AO1071" s="3" t="str">
        <x:v>national_rest_directory_complete.jsonl</x:v>
      </x:c>
      <x:c r="AP1071" s="19"/>
    </x:row>
    <x:row r="1072" ht="36" customHeight="1">
      <x:c r="A1072" s="23" t="n">
        <x:v>1071</x:v>
      </x:c>
      <x:c r="B1072" s="15" t="str">
        <x:v>Home Buyers Of Hawaii</x:v>
      </x:c>
      <x:c r="C1072" s="15"/>
      <x:c r="D1072" s="15" t="str">
        <x:v>Property investor / home-buying operator</x:v>
      </x:c>
      <x:c r="E1072" s="15" t="str">
        <x:v>Property investor / operator inquiry</x:v>
      </x:c>
      <x:c r="F1072" s="17" t="str">
        <x:v>New</x:v>
      </x:c>
      <x:c r="G1072" s="24"/>
      <x:c r="H1072" s="24" t="str">
        <x:v>+18086646632</x:v>
      </x:c>
      <x:c r="I1072" s="24" t="str">
        <x:v>https://homebuyersofhawaii.com/</x:v>
      </x:c>
      <x:c r="J1072" s="16" t="str">
        <x:v>HI</x:v>
      </x:c>
      <x:c r="K1072" s="16" t="str">
        <x:v>Honolulu</x:v>
      </x:c>
      <x:c r="L1072" s="16" t="str">
        <x:v>Public property-business route; investor decision maker unconfirmed</x:v>
      </x:c>
      <x:c r="M1072" s="16" t="str">
        <x:v>https://homebuyersofhawaii.com/</x:v>
      </x:c>
      <x:c r="N1072" s="16" t="str">
        <x:v>$100K-$500K ticket not published / unconfirmed</x:v>
      </x:c>
      <x:c r="O1072" s="20"/>
      <x:c r="P1072" s="20"/>
      <x:c r="Q1072" s="25" t="str">
        <x:v>No direct corporate-capital range established in checked source</x:v>
      </x:c>
      <x:c r="R1072" s="25" t="str">
        <x:v>Property acquisition or investor activity makes this an operator-capital prospect for the signed trial. Confirm operating-company debt/equity appetite.</x:v>
      </x:c>
      <x:c r="S1072" s="25"/>
      <x:c r="T1072" s="25" t="str">
        <x:v>Ask the owner/investor whether they can allocate $100K-$500K to trial marketing and acquisitions, and confirm structure, timing and decision authority.</x:v>
      </x:c>
      <x:c r="U1072" s="25" t="str">
        <x:v>https://www.cashhomebuyersdirectory.com/cash-home-buyers/hawaii/honolulu</x:v>
      </x:c>
      <x:c r="V1072" s="26" t="d">
        <x:v>2026-10-02T00:00:00.000Z</x:v>
      </x:c>
      <x:c r="W1072" s="26" t="d">
        <x:v>2026-10-02T00:00:00.000Z</x:v>
      </x:c>
      <x:c r="X1072" s="25" t="str">
        <x:v>CashHomeBuyersDirectory third-party business listing; first-party business activity not checked in this batch</x:v>
      </x:c>
      <x:c r="Y1072" s="25"/>
      <x:c r="Z1072" s="25" t="str">
        <x:v>https://www.cashhomebuyersdirectory.com/cash-home-buyers/hawaii/honolulu</x:v>
      </x:c>
      <x:c r="AA1072" s="25" t="str">
        <x:v>Public cash-home-buyer directory lists the business name, business phone/website where available and market. Operator role and corporate funding willingness require confirmation.</x:v>
      </x:c>
      <x:c r="AB1072" s="3" t="str">
        <x:v>New public-source collection</x:v>
      </x:c>
      <x:c r="AC1072" s="3" t="str">
        <x:v>unverified</x:v>
      </x:c>
      <x:c r="AD1072" s="3" t="str">
        <x:v>Not contacted / unconfirmed</x:v>
      </x:c>
      <x:c r="AE1072" s="3" t="str">
        <x:v>No</x:v>
      </x:c>
      <x:c r="AF1072" s="3" t="str">
        <x:v>No</x:v>
      </x:c>
      <x:c r="AG1072" s="3"/>
      <x:c r="AH1072" s="3"/>
      <x:c r="AI1072" s="18"/>
      <x:c r="AJ1072" s="3" t="str">
        <x:v>CF2500-4DAB3A007D73</x:v>
      </x:c>
      <x:c r="AK1072" s="3" t="str">
        <x:v>real_estate_operator</x:v>
      </x:c>
      <x:c r="AL1072" s="19" t="n">
        <x:v>100000</x:v>
      </x:c>
      <x:c r="AM1072" s="19" t="n">
        <x:v>500000</x:v>
      </x:c>
      <x:c r="AN1072" s="3" t="str">
        <x:v>https://www.cashhomebuyersdirectory.com/cash-home-buyers/hawaii/honolulu</x:v>
      </x:c>
      <x:c r="AO1072" s="3" t="str">
        <x:v>national_rest_directory_complete.jsonl</x:v>
      </x:c>
      <x:c r="AP1072" s="19"/>
    </x:row>
    <x:row r="1073" ht="36" customHeight="1">
      <x:c r="A1073" s="23" t="n">
        <x:v>1072</x:v>
      </x:c>
      <x:c r="B1073" s="15" t="str">
        <x:v>Home Buyers of New Orleans</x:v>
      </x:c>
      <x:c r="C1073" s="15"/>
      <x:c r="D1073" s="15" t="str">
        <x:v>Property investor / home-buying operator</x:v>
      </x:c>
      <x:c r="E1073" s="15" t="str">
        <x:v>Property investor / operator inquiry</x:v>
      </x:c>
      <x:c r="F1073" s="17" t="str">
        <x:v>New</x:v>
      </x:c>
      <x:c r="G1073" s="24"/>
      <x:c r="H1073" s="24" t="str">
        <x:v>+15042987777</x:v>
      </x:c>
      <x:c r="I1073" s="24" t="str">
        <x:v>http://www.homebuyersneworleans.com/</x:v>
      </x:c>
      <x:c r="J1073" s="16" t="str">
        <x:v>LA</x:v>
      </x:c>
      <x:c r="K1073" s="16"/>
      <x:c r="L1073" s="16" t="str">
        <x:v>Public property-business route; investor decision maker unconfirmed</x:v>
      </x:c>
      <x:c r="M1073" s="16" t="str">
        <x:v>http://www.homebuyersneworleans.com/</x:v>
      </x:c>
      <x:c r="N1073" s="16" t="str">
        <x:v>$100K-$500K ticket not published / unconfirmed</x:v>
      </x:c>
      <x:c r="O1073" s="20"/>
      <x:c r="P1073" s="20"/>
      <x:c r="Q1073" s="25" t="str">
        <x:v>No direct corporate-capital range established in checked source</x:v>
      </x:c>
      <x:c r="R1073" s="25" t="str">
        <x:v>Property acquisition or investor activity makes this an operator-capital prospect for the signed trial. Confirm operating-company debt/equity appetite.</x:v>
      </x:c>
      <x:c r="S1073" s="25"/>
      <x:c r="T1073" s="25" t="str">
        <x:v>Ask the owner/investor whether they can allocate $100K-$500K to trial marketing and acquisitions, and confirm structure, timing and decision authority.</x:v>
      </x:c>
      <x:c r="U1073" s="25" t="str">
        <x:v>https://www.cashhomebuyersdirectory.com/cash-home-buyers/louisiana/new-orleans</x:v>
      </x:c>
      <x:c r="V1073" s="26" t="d">
        <x:v>2026-10-02T00:00:00.000Z</x:v>
      </x:c>
      <x:c r="W1073" s="26" t="d">
        <x:v>2026-10-02T00:00:00.000Z</x:v>
      </x:c>
      <x:c r="X1073" s="25" t="str">
        <x:v>CashHomeBuyersDirectory third-party business listing; first-party business activity not checked in this batch</x:v>
      </x:c>
      <x:c r="Y1073" s="25"/>
      <x:c r="Z1073" s="25" t="str">
        <x:v>https://www.cashhomebuyersdirectory.com/cash-home-buyers/louisiana/new-orleans</x:v>
      </x:c>
      <x:c r="AA1073" s="25" t="str">
        <x:v>Public cash-home-buyer directory lists the business name, business phone/website where available and market. Operator role and corporate funding willingness require confirmation.</x:v>
      </x:c>
      <x:c r="AB1073" s="3" t="str">
        <x:v>New public-source collection</x:v>
      </x:c>
      <x:c r="AC1073" s="3" t="str">
        <x:v>unverified</x:v>
      </x:c>
      <x:c r="AD1073" s="3" t="str">
        <x:v>Not contacted / unconfirmed</x:v>
      </x:c>
      <x:c r="AE1073" s="3" t="str">
        <x:v>No</x:v>
      </x:c>
      <x:c r="AF1073" s="3" t="str">
        <x:v>No</x:v>
      </x:c>
      <x:c r="AG1073" s="3"/>
      <x:c r="AH1073" s="3"/>
      <x:c r="AI1073" s="18"/>
      <x:c r="AJ1073" s="3" t="str">
        <x:v>CF2500-A57E2C83AE36</x:v>
      </x:c>
      <x:c r="AK1073" s="3" t="str">
        <x:v>real_estate_operator</x:v>
      </x:c>
      <x:c r="AL1073" s="19" t="n">
        <x:v>100000</x:v>
      </x:c>
      <x:c r="AM1073" s="19" t="n">
        <x:v>500000</x:v>
      </x:c>
      <x:c r="AN1073" s="3" t="str">
        <x:v>https://www.cashhomebuyersdirectory.com/cash-home-buyers/louisiana/new-orleans</x:v>
      </x:c>
      <x:c r="AO1073" s="3" t="str">
        <x:v>national_rest_directory_complete.jsonl</x:v>
      </x:c>
      <x:c r="AP1073" s="19"/>
    </x:row>
    <x:row r="1074" ht="36" customHeight="1">
      <x:c r="A1074" s="23" t="n">
        <x:v>1073</x:v>
      </x:c>
      <x:c r="B1074" s="15" t="str">
        <x:v>Home Buyers Sioux Falls</x:v>
      </x:c>
      <x:c r="C1074" s="15"/>
      <x:c r="D1074" s="15" t="str">
        <x:v>Property investor / home-buying operator</x:v>
      </x:c>
      <x:c r="E1074" s="15" t="str">
        <x:v>Property investor / operator inquiry</x:v>
      </x:c>
      <x:c r="F1074" s="17" t="str">
        <x:v>New</x:v>
      </x:c>
      <x:c r="G1074" s="24"/>
      <x:c r="H1074" s="24" t="str">
        <x:v>+16053515249</x:v>
      </x:c>
      <x:c r="I1074" s="24" t="str">
        <x:v>http://www.homebuyerssiouxfalls.com/</x:v>
      </x:c>
      <x:c r="J1074" s="16" t="str">
        <x:v>SD</x:v>
      </x:c>
      <x:c r="K1074" s="16"/>
      <x:c r="L1074" s="16" t="str">
        <x:v>Public property-business route; investor decision maker unconfirmed</x:v>
      </x:c>
      <x:c r="M1074" s="16" t="str">
        <x:v>http://www.homebuyerssiouxfalls.com/</x:v>
      </x:c>
      <x:c r="N1074" s="16" t="str">
        <x:v>$100K-$500K ticket not published / unconfirmed</x:v>
      </x:c>
      <x:c r="O1074" s="20"/>
      <x:c r="P1074" s="20"/>
      <x:c r="Q1074" s="25" t="str">
        <x:v>No direct corporate-capital range established in checked source</x:v>
      </x:c>
      <x:c r="R1074" s="25" t="str">
        <x:v>Property acquisition or investor activity makes this an operator-capital prospect for the signed trial. Confirm operating-company debt/equity appetite.</x:v>
      </x:c>
      <x:c r="S1074" s="25"/>
      <x:c r="T1074" s="25" t="str">
        <x:v>Ask the owner/investor whether they can allocate $100K-$500K to trial marketing and acquisitions, and confirm structure, timing and decision authority.</x:v>
      </x:c>
      <x:c r="U1074" s="25" t="str">
        <x:v>https://www.cashhomebuyersdirectory.com/cash-home-buyers/south-dakota/sioux-falls</x:v>
      </x:c>
      <x:c r="V1074" s="26" t="d">
        <x:v>2026-10-02T00:00:00.000Z</x:v>
      </x:c>
      <x:c r="W1074" s="26" t="d">
        <x:v>2026-10-02T00:00:00.000Z</x:v>
      </x:c>
      <x:c r="X1074" s="25" t="str">
        <x:v>CashHomeBuyersDirectory third-party business listing; first-party business activity not checked in this batch</x:v>
      </x:c>
      <x:c r="Y1074" s="25"/>
      <x:c r="Z1074" s="25" t="str">
        <x:v>https://www.cashhomebuyersdirectory.com/cash-home-buyers/south-dakota/sioux-falls</x:v>
      </x:c>
      <x:c r="AA1074" s="25" t="str">
        <x:v>Public cash-home-buyer directory lists the business name, business phone/website where available and market. Operator role and corporate funding willingness require confirmation.</x:v>
      </x:c>
      <x:c r="AB1074" s="3" t="str">
        <x:v>New public-source collection</x:v>
      </x:c>
      <x:c r="AC1074" s="3" t="str">
        <x:v>unverified</x:v>
      </x:c>
      <x:c r="AD1074" s="3" t="str">
        <x:v>Not contacted / unconfirmed</x:v>
      </x:c>
      <x:c r="AE1074" s="3" t="str">
        <x:v>No</x:v>
      </x:c>
      <x:c r="AF1074" s="3" t="str">
        <x:v>No</x:v>
      </x:c>
      <x:c r="AG1074" s="3"/>
      <x:c r="AH1074" s="3"/>
      <x:c r="AI1074" s="18"/>
      <x:c r="AJ1074" s="3" t="str">
        <x:v>CF2500-14ED73F5F3CB</x:v>
      </x:c>
      <x:c r="AK1074" s="3" t="str">
        <x:v>real_estate_operator</x:v>
      </x:c>
      <x:c r="AL1074" s="19" t="n">
        <x:v>100000</x:v>
      </x:c>
      <x:c r="AM1074" s="19" t="n">
        <x:v>500000</x:v>
      </x:c>
      <x:c r="AN1074" s="3" t="str">
        <x:v>https://www.cashhomebuyersdirectory.com/cash-home-buyers/south-dakota/sioux-falls</x:v>
      </x:c>
      <x:c r="AO1074" s="3" t="str">
        <x:v>national_rest_directory_complete.jsonl</x:v>
      </x:c>
      <x:c r="AP1074" s="19"/>
    </x:row>
    <x:row r="1075" ht="36" customHeight="1">
      <x:c r="A1075" s="23" t="n">
        <x:v>1074</x:v>
      </x:c>
      <x:c r="B1075" s="15" t="str">
        <x:v>Home Buying Enterprise</x:v>
      </x:c>
      <x:c r="C1075" s="15"/>
      <x:c r="D1075" s="15" t="str">
        <x:v>Property investor / home-buying operator</x:v>
      </x:c>
      <x:c r="E1075" s="15" t="str">
        <x:v>Property investor / operator inquiry</x:v>
      </x:c>
      <x:c r="F1075" s="17" t="str">
        <x:v>New</x:v>
      </x:c>
      <x:c r="G1075" s="24"/>
      <x:c r="H1075" s="24" t="str">
        <x:v>+12019570170</x:v>
      </x:c>
      <x:c r="I1075" s="24" t="str">
        <x:v>https://homebuyingenterprise.com/about-us/</x:v>
      </x:c>
      <x:c r="J1075" s="16" t="str">
        <x:v>NJ</x:v>
      </x:c>
      <x:c r="K1075" s="16" t="str">
        <x:v>Jersey City</x:v>
      </x:c>
      <x:c r="L1075" s="16" t="str">
        <x:v>Public property-business route; investor decision maker unconfirmed</x:v>
      </x:c>
      <x:c r="M1075" s="16" t="str">
        <x:v>https://homebuyingenterprise.com/about-us/</x:v>
      </x:c>
      <x:c r="N1075" s="16" t="str">
        <x:v>$100K-$500K ticket not published / unconfirmed</x:v>
      </x:c>
      <x:c r="O1075" s="20"/>
      <x:c r="P1075" s="20"/>
      <x:c r="Q1075" s="25" t="str">
        <x:v>No direct corporate-capital range established in checked source</x:v>
      </x:c>
      <x:c r="R1075" s="25" t="str">
        <x:v>Property acquisition or investor activity makes this an operator-capital prospect for the signed trial. Confirm operating-company debt/equity appetite.</x:v>
      </x:c>
      <x:c r="S1075" s="25"/>
      <x:c r="T1075" s="25" t="str">
        <x:v>Ask the owner/investor whether they can allocate $100K-$500K to trial marketing and acquisitions, and confirm structure, timing and decision authority.</x:v>
      </x:c>
      <x:c r="U1075" s="25" t="str">
        <x:v>https://www.cashhomebuyersdirectory.com/cash-home-buyers/new-jersey/jersey-city</x:v>
      </x:c>
      <x:c r="V1075" s="26" t="d">
        <x:v>2026-10-02T00:00:00.000Z</x:v>
      </x:c>
      <x:c r="W1075" s="26" t="d">
        <x:v>2026-10-02T00:00:00.000Z</x:v>
      </x:c>
      <x:c r="X1075" s="25" t="str">
        <x:v>CashHomeBuyersDirectory third-party business listing; first-party business activity not checked in this batch</x:v>
      </x:c>
      <x:c r="Y1075" s="25"/>
      <x:c r="Z1075" s="25" t="str">
        <x:v>https://www.cashhomebuyersdirectory.com/cash-home-buyers/new-jersey/jersey-city</x:v>
      </x:c>
      <x:c r="AA1075" s="25" t="str">
        <x:v>Public cash-home-buyer directory lists the business name, business phone/website where available and market. Operator role and corporate funding willingness require confirmation.</x:v>
      </x:c>
      <x:c r="AB1075" s="3" t="str">
        <x:v>New public-source collection</x:v>
      </x:c>
      <x:c r="AC1075" s="3" t="str">
        <x:v>unverified</x:v>
      </x:c>
      <x:c r="AD1075" s="3" t="str">
        <x:v>Not contacted / unconfirmed</x:v>
      </x:c>
      <x:c r="AE1075" s="3" t="str">
        <x:v>No</x:v>
      </x:c>
      <x:c r="AF1075" s="3" t="str">
        <x:v>No</x:v>
      </x:c>
      <x:c r="AG1075" s="3"/>
      <x:c r="AH1075" s="3"/>
      <x:c r="AI1075" s="18"/>
      <x:c r="AJ1075" s="3" t="str">
        <x:v>CF2500-6C6512F96901</x:v>
      </x:c>
      <x:c r="AK1075" s="3" t="str">
        <x:v>real_estate_operator</x:v>
      </x:c>
      <x:c r="AL1075" s="19" t="n">
        <x:v>100000</x:v>
      </x:c>
      <x:c r="AM1075" s="19" t="n">
        <x:v>500000</x:v>
      </x:c>
      <x:c r="AN1075" s="3" t="str">
        <x:v>https://www.cashhomebuyersdirectory.com/cash-home-buyers/new-jersey/jersey-city</x:v>
      </x:c>
      <x:c r="AO1075" s="3" t="str">
        <x:v>national_rest_directory_complete.jsonl</x:v>
      </x:c>
      <x:c r="AP1075" s="19"/>
    </x:row>
    <x:row r="1076" ht="36" customHeight="1">
      <x:c r="A1076" s="23" t="n">
        <x:v>1075</x:v>
      </x:c>
      <x:c r="B1076" s="15" t="str">
        <x:v>Homebuyer Wallet</x:v>
      </x:c>
      <x:c r="C1076" s="15"/>
      <x:c r="D1076" s="15" t="str">
        <x:v>Property investor / home-buying operator</x:v>
      </x:c>
      <x:c r="E1076" s="15" t="str">
        <x:v>Property investor / operator inquiry</x:v>
      </x:c>
      <x:c r="F1076" s="17" t="str">
        <x:v>New</x:v>
      </x:c>
      <x:c r="G1076" s="24"/>
      <x:c r="H1076" s="24" t="str">
        <x:v>+12028075559</x:v>
      </x:c>
      <x:c r="I1076" s="24" t="str">
        <x:v>https://homebuyerwallet.com/</x:v>
      </x:c>
      <x:c r="J1076" s="16" t="str">
        <x:v>DC</x:v>
      </x:c>
      <x:c r="K1076" s="16" t="str">
        <x:v>Washington</x:v>
      </x:c>
      <x:c r="L1076" s="16" t="str">
        <x:v>Public property-business route; investor decision maker unconfirmed</x:v>
      </x:c>
      <x:c r="M1076" s="16" t="str">
        <x:v>https://homebuyerwallet.com/</x:v>
      </x:c>
      <x:c r="N1076" s="16" t="str">
        <x:v>$100K-$500K ticket not published / unconfirmed</x:v>
      </x:c>
      <x:c r="O1076" s="20"/>
      <x:c r="P1076" s="20"/>
      <x:c r="Q1076" s="25" t="str">
        <x:v>No direct corporate-capital range established in checked source</x:v>
      </x:c>
      <x:c r="R1076" s="25" t="str">
        <x:v>Property acquisition or investor activity makes this an operator-capital prospect for the signed trial. Confirm operating-company debt/equity appetite.</x:v>
      </x:c>
      <x:c r="S1076" s="25"/>
      <x:c r="T1076" s="25" t="str">
        <x:v>Ask the owner/investor whether they can allocate $100K-$500K to trial marketing and acquisitions, and confirm structure, timing and decision authority.</x:v>
      </x:c>
      <x:c r="U1076" s="25" t="str">
        <x:v>https://www.cashhomebuyersdirectory.com/cash-home-buyers/district-of-columbia/washington</x:v>
      </x:c>
      <x:c r="V1076" s="26" t="d">
        <x:v>2026-10-02T00:00:00.000Z</x:v>
      </x:c>
      <x:c r="W1076" s="26" t="d">
        <x:v>2026-10-02T00:00:00.000Z</x:v>
      </x:c>
      <x:c r="X1076" s="25" t="str">
        <x:v>CashHomeBuyersDirectory third-party business listing; first-party business activity not checked in this batch</x:v>
      </x:c>
      <x:c r="Y1076" s="25"/>
      <x:c r="Z1076" s="25" t="str">
        <x:v>https://www.cashhomebuyersdirectory.com/cash-home-buyers/district-of-columbia/washington</x:v>
      </x:c>
      <x:c r="AA1076" s="25" t="str">
        <x:v>Public cash-home-buyer directory lists the business name, business phone/website where available and market. Operator role and corporate funding willingness require confirmation.</x:v>
      </x:c>
      <x:c r="AB1076" s="3" t="str">
        <x:v>New public-source collection</x:v>
      </x:c>
      <x:c r="AC1076" s="3" t="str">
        <x:v>unverified</x:v>
      </x:c>
      <x:c r="AD1076" s="3" t="str">
        <x:v>Not contacted / unconfirmed</x:v>
      </x:c>
      <x:c r="AE1076" s="3" t="str">
        <x:v>No</x:v>
      </x:c>
      <x:c r="AF1076" s="3" t="str">
        <x:v>No</x:v>
      </x:c>
      <x:c r="AG1076" s="3"/>
      <x:c r="AH1076" s="3"/>
      <x:c r="AI1076" s="18"/>
      <x:c r="AJ1076" s="3" t="str">
        <x:v>CF2500-E36D4A43719B</x:v>
      </x:c>
      <x:c r="AK1076" s="3" t="str">
        <x:v>real_estate_operator</x:v>
      </x:c>
      <x:c r="AL1076" s="19" t="n">
        <x:v>100000</x:v>
      </x:c>
      <x:c r="AM1076" s="19" t="n">
        <x:v>500000</x:v>
      </x:c>
      <x:c r="AN1076" s="3" t="str">
        <x:v>https://www.cashhomebuyersdirectory.com/cash-home-buyers/district-of-columbia/washington</x:v>
      </x:c>
      <x:c r="AO1076" s="3" t="str">
        <x:v>national_rest_directory_complete.jsonl</x:v>
      </x:c>
      <x:c r="AP1076" s="19"/>
    </x:row>
    <x:row r="1077" ht="36" customHeight="1">
      <x:c r="A1077" s="23" t="n">
        <x:v>1076</x:v>
      </x:c>
      <x:c r="B1077" s="15" t="str">
        <x:v>Homebuyers Acadiana</x:v>
      </x:c>
      <x:c r="C1077" s="15"/>
      <x:c r="D1077" s="15" t="str">
        <x:v>Property investor / home-buying operator</x:v>
      </x:c>
      <x:c r="E1077" s="15" t="str">
        <x:v>Property investor / operator inquiry</x:v>
      </x:c>
      <x:c r="F1077" s="17" t="str">
        <x:v>New</x:v>
      </x:c>
      <x:c r="G1077" s="24"/>
      <x:c r="H1077" s="24" t="str">
        <x:v>+13372451650</x:v>
      </x:c>
      <x:c r="I1077" s="24" t="str">
        <x:v>https://www.homebuyersacadiana.com/</x:v>
      </x:c>
      <x:c r="J1077" s="16" t="str">
        <x:v>LA</x:v>
      </x:c>
      <x:c r="K1077" s="16" t="str">
        <x:v>Lafayette</x:v>
      </x:c>
      <x:c r="L1077" s="16" t="str">
        <x:v>Public property-business route; investor decision maker unconfirmed</x:v>
      </x:c>
      <x:c r="M1077" s="16" t="str">
        <x:v>https://www.homebuyersacadiana.com/</x:v>
      </x:c>
      <x:c r="N1077" s="16" t="str">
        <x:v>$100K-$500K ticket not published / unconfirmed</x:v>
      </x:c>
      <x:c r="O1077" s="20"/>
      <x:c r="P1077" s="20"/>
      <x:c r="Q1077" s="25" t="str">
        <x:v>No direct corporate-capital range established in checked source</x:v>
      </x:c>
      <x:c r="R1077" s="25" t="str">
        <x:v>Property acquisition or investor activity makes this an operator-capital prospect for the signed trial. Confirm operating-company debt/equity appetite.</x:v>
      </x:c>
      <x:c r="S1077" s="25"/>
      <x:c r="T1077" s="25" t="str">
        <x:v>Ask the owner/investor whether they can allocate $100K-$500K to trial marketing and acquisitions, and confirm structure, timing and decision authority.</x:v>
      </x:c>
      <x:c r="U1077" s="25" t="str">
        <x:v>https://www.cashhomebuyersdirectory.com/cash-home-buyers/louisiana/lafayette</x:v>
      </x:c>
      <x:c r="V1077" s="26" t="d">
        <x:v>2026-10-02T00:00:00.000Z</x:v>
      </x:c>
      <x:c r="W1077" s="26" t="d">
        <x:v>2026-10-02T00:00:00.000Z</x:v>
      </x:c>
      <x:c r="X1077" s="25" t="str">
        <x:v>CashHomeBuyersDirectory third-party business listing; first-party business activity not checked in this batch</x:v>
      </x:c>
      <x:c r="Y1077" s="25"/>
      <x:c r="Z1077" s="25" t="str">
        <x:v>https://www.cashhomebuyersdirectory.com/cash-home-buyers/louisiana/lafayette</x:v>
      </x:c>
      <x:c r="AA1077" s="25" t="str">
        <x:v>Public cash-home-buyer directory lists the business name, business phone/website where available and market. Operator role and corporate funding willingness require confirmation.</x:v>
      </x:c>
      <x:c r="AB1077" s="3" t="str">
        <x:v>New public-source collection</x:v>
      </x:c>
      <x:c r="AC1077" s="3" t="str">
        <x:v>unverified</x:v>
      </x:c>
      <x:c r="AD1077" s="3" t="str">
        <x:v>Not contacted / unconfirmed</x:v>
      </x:c>
      <x:c r="AE1077" s="3" t="str">
        <x:v>No</x:v>
      </x:c>
      <x:c r="AF1077" s="3" t="str">
        <x:v>No</x:v>
      </x:c>
      <x:c r="AG1077" s="3"/>
      <x:c r="AH1077" s="3"/>
      <x:c r="AI1077" s="18"/>
      <x:c r="AJ1077" s="3" t="str">
        <x:v>CF2500-5233D3303D57</x:v>
      </x:c>
      <x:c r="AK1077" s="3" t="str">
        <x:v>real_estate_operator</x:v>
      </x:c>
      <x:c r="AL1077" s="19" t="n">
        <x:v>100000</x:v>
      </x:c>
      <x:c r="AM1077" s="19" t="n">
        <x:v>500000</x:v>
      </x:c>
      <x:c r="AN1077" s="3" t="str">
        <x:v>https://www.cashhomebuyersdirectory.com/cash-home-buyers/louisiana/lafayette</x:v>
      </x:c>
      <x:c r="AO1077" s="3" t="str">
        <x:v>national_rest_directory_complete.jsonl</x:v>
      </x:c>
      <x:c r="AP1077" s="19"/>
    </x:row>
    <x:row r="1078" ht="36" customHeight="1">
      <x:c r="A1078" s="23" t="n">
        <x:v>1077</x:v>
      </x:c>
      <x:c r="B1078" s="15" t="str">
        <x:v>HomeBuyers of America</x:v>
      </x:c>
      <x:c r="C1078" s="15"/>
      <x:c r="D1078" s="15" t="str">
        <x:v>Property investor / home-buying operator</x:v>
      </x:c>
      <x:c r="E1078" s="15" t="str">
        <x:v>Property investor / operator inquiry</x:v>
      </x:c>
      <x:c r="F1078" s="17" t="str">
        <x:v>New</x:v>
      </x:c>
      <x:c r="G1078" s="24"/>
      <x:c r="H1078" s="24" t="str">
        <x:v>+14017247253</x:v>
      </x:c>
      <x:c r="I1078" s="24" t="str">
        <x:v>https://hboa.com/</x:v>
      </x:c>
      <x:c r="J1078" s="16" t="str">
        <x:v>RI</x:v>
      </x:c>
      <x:c r="K1078" s="16" t="str">
        <x:v>Providence</x:v>
      </x:c>
      <x:c r="L1078" s="16" t="str">
        <x:v>Public property-business route; investor decision maker unconfirmed</x:v>
      </x:c>
      <x:c r="M1078" s="16" t="str">
        <x:v>https://hboa.com/</x:v>
      </x:c>
      <x:c r="N1078" s="16" t="str">
        <x:v>$100K-$500K ticket not published / unconfirmed</x:v>
      </x:c>
      <x:c r="O1078" s="20"/>
      <x:c r="P1078" s="20"/>
      <x:c r="Q1078" s="25" t="str">
        <x:v>No direct corporate-capital range established in checked source</x:v>
      </x:c>
      <x:c r="R1078" s="25" t="str">
        <x:v>Property acquisition or investor activity makes this an operator-capital prospect for the signed trial. Confirm operating-company debt/equity appetite.</x:v>
      </x:c>
      <x:c r="S1078" s="25"/>
      <x:c r="T1078" s="25" t="str">
        <x:v>Ask the owner/investor whether they can allocate $100K-$500K to trial marketing and acquisitions, and confirm structure, timing and decision authority.</x:v>
      </x:c>
      <x:c r="U1078" s="25" t="str">
        <x:v>https://www.cashhomebuyersdirectory.com/cash-home-buyers/rhode-island/providence</x:v>
      </x:c>
      <x:c r="V1078" s="26" t="d">
        <x:v>2026-10-02T00:00:00.000Z</x:v>
      </x:c>
      <x:c r="W1078" s="26" t="d">
        <x:v>2026-10-02T00:00:00.000Z</x:v>
      </x:c>
      <x:c r="X1078" s="25" t="str">
        <x:v>CashHomeBuyersDirectory third-party business listing; first-party business activity not checked in this batch</x:v>
      </x:c>
      <x:c r="Y1078" s="25"/>
      <x:c r="Z1078" s="25" t="str">
        <x:v>https://www.cashhomebuyersdirectory.com/cash-home-buyers/rhode-island/providence</x:v>
      </x:c>
      <x:c r="AA1078" s="25" t="str">
        <x:v>Public cash-home-buyer directory lists the business name, business phone/website where available and market. Operator role and corporate funding willingness require confirmation.</x:v>
      </x:c>
      <x:c r="AB1078" s="3" t="str">
        <x:v>New public-source collection</x:v>
      </x:c>
      <x:c r="AC1078" s="3" t="str">
        <x:v>unverified</x:v>
      </x:c>
      <x:c r="AD1078" s="3" t="str">
        <x:v>Not contacted / unconfirmed</x:v>
      </x:c>
      <x:c r="AE1078" s="3" t="str">
        <x:v>No</x:v>
      </x:c>
      <x:c r="AF1078" s="3" t="str">
        <x:v>No</x:v>
      </x:c>
      <x:c r="AG1078" s="3"/>
      <x:c r="AH1078" s="3"/>
      <x:c r="AI1078" s="18"/>
      <x:c r="AJ1078" s="3" t="str">
        <x:v>CF2500-38ED945D45D4</x:v>
      </x:c>
      <x:c r="AK1078" s="3" t="str">
        <x:v>real_estate_operator</x:v>
      </x:c>
      <x:c r="AL1078" s="19" t="n">
        <x:v>100000</x:v>
      </x:c>
      <x:c r="AM1078" s="19" t="n">
        <x:v>500000</x:v>
      </x:c>
      <x:c r="AN1078" s="3" t="str">
        <x:v>https://www.cashhomebuyersdirectory.com/cash-home-buyers/rhode-island/providence</x:v>
      </x:c>
      <x:c r="AO1078" s="3" t="str">
        <x:v>national_rest_directory_complete.jsonl</x:v>
      </x:c>
      <x:c r="AP1078" s="19"/>
    </x:row>
    <x:row r="1079" ht="36" customHeight="1">
      <x:c r="A1079" s="23" t="n">
        <x:v>1078</x:v>
      </x:c>
      <x:c r="B1079" s="15" t="str">
        <x:v>Homefield Homebuyers</x:v>
      </x:c>
      <x:c r="C1079" s="15"/>
      <x:c r="D1079" s="15" t="str">
        <x:v>Property investor / home-buying operator</x:v>
      </x:c>
      <x:c r="E1079" s="15" t="str">
        <x:v>Property investor / operator inquiry</x:v>
      </x:c>
      <x:c r="F1079" s="17" t="str">
        <x:v>New</x:v>
      </x:c>
      <x:c r="G1079" s="24"/>
      <x:c r="H1079" s="24" t="str">
        <x:v>+16123548048</x:v>
      </x:c>
      <x:c r="I1079" s="24" t="str">
        <x:v>https://homefieldhomebuyers.com/</x:v>
      </x:c>
      <x:c r="J1079" s="16" t="str">
        <x:v>MN</x:v>
      </x:c>
      <x:c r="K1079" s="16" t="str">
        <x:v>Minneapolis</x:v>
      </x:c>
      <x:c r="L1079" s="16" t="str">
        <x:v>Public property-business route; investor decision maker unconfirmed</x:v>
      </x:c>
      <x:c r="M1079" s="16" t="str">
        <x:v>https://homefieldhomebuyers.com/</x:v>
      </x:c>
      <x:c r="N1079" s="16" t="str">
        <x:v>$100K-$500K ticket not published / unconfirmed</x:v>
      </x:c>
      <x:c r="O1079" s="20"/>
      <x:c r="P1079" s="20"/>
      <x:c r="Q1079" s="25" t="str">
        <x:v>No direct corporate-capital range established in checked source</x:v>
      </x:c>
      <x:c r="R1079" s="25" t="str">
        <x:v>Property acquisition or investor activity makes this an operator-capital prospect for the signed trial. Confirm operating-company debt/equity appetite.</x:v>
      </x:c>
      <x:c r="S1079" s="25"/>
      <x:c r="T1079" s="25" t="str">
        <x:v>Ask the owner/investor whether they can allocate $100K-$500K to trial marketing and acquisitions, and confirm structure, timing and decision authority.</x:v>
      </x:c>
      <x:c r="U1079" s="25" t="str">
        <x:v>https://www.cashhomebuyersdirectory.com/cash-home-buyers/minnesota/minneapolis</x:v>
      </x:c>
      <x:c r="V1079" s="26" t="d">
        <x:v>2026-10-02T00:00:00.000Z</x:v>
      </x:c>
      <x:c r="W1079" s="26" t="d">
        <x:v>2026-10-02T00:00:00.000Z</x:v>
      </x:c>
      <x:c r="X1079" s="25" t="str">
        <x:v>CashHomeBuyersDirectory third-party business listing; first-party business activity not checked in this batch</x:v>
      </x:c>
      <x:c r="Y1079" s="25"/>
      <x:c r="Z1079" s="25" t="str">
        <x:v>https://www.cashhomebuyersdirectory.com/cash-home-buyers/minnesota/minneapolis</x:v>
      </x:c>
      <x:c r="AA1079" s="25" t="str">
        <x:v>Public cash-home-buyer directory lists the business name, business phone/website where available and market. Operator role and corporate funding willingness require confirmation.</x:v>
      </x:c>
      <x:c r="AB1079" s="3" t="str">
        <x:v>New public-source collection</x:v>
      </x:c>
      <x:c r="AC1079" s="3" t="str">
        <x:v>unverified</x:v>
      </x:c>
      <x:c r="AD1079" s="3" t="str">
        <x:v>Not contacted / unconfirmed</x:v>
      </x:c>
      <x:c r="AE1079" s="3" t="str">
        <x:v>No</x:v>
      </x:c>
      <x:c r="AF1079" s="3" t="str">
        <x:v>No</x:v>
      </x:c>
      <x:c r="AG1079" s="3"/>
      <x:c r="AH1079" s="3"/>
      <x:c r="AI1079" s="18"/>
      <x:c r="AJ1079" s="3" t="str">
        <x:v>CF2500-7373702A2D13</x:v>
      </x:c>
      <x:c r="AK1079" s="3" t="str">
        <x:v>real_estate_operator</x:v>
      </x:c>
      <x:c r="AL1079" s="19" t="n">
        <x:v>100000</x:v>
      </x:c>
      <x:c r="AM1079" s="19" t="n">
        <x:v>500000</x:v>
      </x:c>
      <x:c r="AN1079" s="3" t="str">
        <x:v>https://www.cashhomebuyersdirectory.com/cash-home-buyers/minnesota/minneapolis</x:v>
      </x:c>
      <x:c r="AO1079" s="3" t="str">
        <x:v>national_rest_directory_complete.jsonl</x:v>
      </x:c>
      <x:c r="AP1079" s="19"/>
    </x:row>
    <x:row r="1080" ht="36" customHeight="1">
      <x:c r="A1080" s="23" t="n">
        <x:v>1079</x:v>
      </x:c>
      <x:c r="B1080" s="15" t="str">
        <x:v>HomeFront Home Buyers</x:v>
      </x:c>
      <x:c r="C1080" s="15"/>
      <x:c r="D1080" s="15" t="str">
        <x:v>Property investor / home-buying operator</x:v>
      </x:c>
      <x:c r="E1080" s="15" t="str">
        <x:v>Property investor / operator inquiry</x:v>
      </x:c>
      <x:c r="F1080" s="17" t="str">
        <x:v>New</x:v>
      </x:c>
      <x:c r="G1080" s="24"/>
      <x:c r="H1080" s="24" t="str">
        <x:v>+19377043707</x:v>
      </x:c>
      <x:c r="I1080" s="24" t="str">
        <x:v>https://homefronthomebuyers.com/</x:v>
      </x:c>
      <x:c r="J1080" s="16" t="str">
        <x:v>OH</x:v>
      </x:c>
      <x:c r="K1080" s="16" t="str">
        <x:v>Springboro</x:v>
      </x:c>
      <x:c r="L1080" s="16" t="str">
        <x:v>Public property-business route; investor decision maker unconfirmed</x:v>
      </x:c>
      <x:c r="M1080" s="16" t="str">
        <x:v>https://homefronthomebuyers.com/</x:v>
      </x:c>
      <x:c r="N1080" s="16" t="str">
        <x:v>$100K-$500K ticket not published / unconfirmed</x:v>
      </x:c>
      <x:c r="O1080" s="20"/>
      <x:c r="P1080" s="20"/>
      <x:c r="Q1080" s="25" t="str">
        <x:v>No direct corporate-capital range established in checked source</x:v>
      </x:c>
      <x:c r="R1080" s="25" t="str">
        <x:v>Property acquisition or investor activity makes this an operator-capital prospect for the signed trial. Confirm operating-company debt/equity appetite.</x:v>
      </x:c>
      <x:c r="S1080" s="25"/>
      <x:c r="T1080" s="25" t="str">
        <x:v>Ask the owner/investor whether they can allocate $100K-$500K to trial marketing and acquisitions, and confirm structure, timing and decision authority.</x:v>
      </x:c>
      <x:c r="U1080" s="25" t="str">
        <x:v>https://www.cashhomebuyersdirectory.com/cash-home-buyers/ohio/springboro</x:v>
      </x:c>
      <x:c r="V1080" s="26" t="d">
        <x:v>2026-10-02T00:00:00.000Z</x:v>
      </x:c>
      <x:c r="W1080" s="26" t="d">
        <x:v>2026-10-02T00:00:00.000Z</x:v>
      </x:c>
      <x:c r="X1080" s="25" t="str">
        <x:v>CashHomeBuyersDirectory third-party business listing; first-party business activity not checked in this batch</x:v>
      </x:c>
      <x:c r="Y1080" s="25"/>
      <x:c r="Z1080" s="25" t="str">
        <x:v>https://www.cashhomebuyersdirectory.com/cash-home-buyers/ohio/springboro</x:v>
      </x:c>
      <x:c r="AA1080" s="25" t="str">
        <x:v>Public cash-home-buyer directory lists the business name, business phone/website where available and market. Operator role and corporate funding willingness require confirmation.</x:v>
      </x:c>
      <x:c r="AB1080" s="3" t="str">
        <x:v>New public-source collection</x:v>
      </x:c>
      <x:c r="AC1080" s="3" t="str">
        <x:v>unverified</x:v>
      </x:c>
      <x:c r="AD1080" s="3" t="str">
        <x:v>Not contacted / unconfirmed</x:v>
      </x:c>
      <x:c r="AE1080" s="3" t="str">
        <x:v>No</x:v>
      </x:c>
      <x:c r="AF1080" s="3" t="str">
        <x:v>No</x:v>
      </x:c>
      <x:c r="AG1080" s="3"/>
      <x:c r="AH1080" s="3"/>
      <x:c r="AI1080" s="18"/>
      <x:c r="AJ1080" s="3" t="str">
        <x:v>CF2500-78AB80C16FBF</x:v>
      </x:c>
      <x:c r="AK1080" s="3" t="str">
        <x:v>real_estate_operator</x:v>
      </x:c>
      <x:c r="AL1080" s="19" t="n">
        <x:v>100000</x:v>
      </x:c>
      <x:c r="AM1080" s="19" t="n">
        <x:v>500000</x:v>
      </x:c>
      <x:c r="AN1080" s="3" t="str">
        <x:v>https://www.cashhomebuyersdirectory.com/cash-home-buyers/ohio/springboro</x:v>
      </x:c>
      <x:c r="AO1080" s="3" t="str">
        <x:v>national_rest_directory_complete.jsonl</x:v>
      </x:c>
      <x:c r="AP1080" s="19"/>
    </x:row>
    <x:row r="1081" ht="36" customHeight="1">
      <x:c r="A1081" s="23" t="n">
        <x:v>1080</x:v>
      </x:c>
      <x:c r="B1081" s="15" t="str">
        <x:v>House Buyer For Cash - Brighton MI</x:v>
      </x:c>
      <x:c r="C1081" s="15"/>
      <x:c r="D1081" s="15" t="str">
        <x:v>Property investor / home-buying operator</x:v>
      </x:c>
      <x:c r="E1081" s="15" t="str">
        <x:v>Property investor / operator inquiry</x:v>
      </x:c>
      <x:c r="F1081" s="17" t="str">
        <x:v>New</x:v>
      </x:c>
      <x:c r="G1081" s="24"/>
      <x:c r="H1081" s="24" t="str">
        <x:v>+12486924144</x:v>
      </x:c>
      <x:c r="I1081" s="24" t="str">
        <x:v>https://www.housebuyerforcash.com/we-buy-houses-in-brighton-michigan/</x:v>
      </x:c>
      <x:c r="J1081" s="16" t="str">
        <x:v>MI</x:v>
      </x:c>
      <x:c r="K1081" s="16"/>
      <x:c r="L1081" s="16" t="str">
        <x:v>Public property-business route; investor decision maker unconfirmed</x:v>
      </x:c>
      <x:c r="M1081" s="16" t="str">
        <x:v>https://www.housebuyerforcash.com/we-buy-houses-in-brighton-michigan/</x:v>
      </x:c>
      <x:c r="N1081" s="16" t="str">
        <x:v>$100K-$500K ticket not published / unconfirmed</x:v>
      </x:c>
      <x:c r="O1081" s="20"/>
      <x:c r="P1081" s="20"/>
      <x:c r="Q1081" s="25" t="str">
        <x:v>No direct corporate-capital range established in checked source</x:v>
      </x:c>
      <x:c r="R1081" s="25" t="str">
        <x:v>Property acquisition or investor activity makes this an operator-capital prospect for the signed trial. Confirm operating-company debt/equity appetite.</x:v>
      </x:c>
      <x:c r="S1081" s="25"/>
      <x:c r="T1081" s="25" t="str">
        <x:v>Ask the owner/investor whether they can allocate $100K-$500K to trial marketing and acquisitions, and confirm structure, timing and decision authority.</x:v>
      </x:c>
      <x:c r="U1081" s="25" t="str">
        <x:v>https://www.cashhomebuyersdirectory.com/cash-home-buyers/michigan/lansing
https://www.cashhomebuyersdirectory.com/cash-home-buyers/ohio/toledo</x:v>
      </x:c>
      <x:c r="V1081" s="26" t="d">
        <x:v>2026-10-02T00:00:00.000Z</x:v>
      </x:c>
      <x:c r="W1081" s="26" t="d">
        <x:v>2026-10-02T00:00:00.000Z</x:v>
      </x:c>
      <x:c r="X1081" s="25" t="str">
        <x:v>CashHomeBuyersDirectory third-party business listing; first-party business activity not checked in this batch</x:v>
      </x:c>
      <x:c r="Y1081" s="25"/>
      <x:c r="Z1081" s="25" t="str">
        <x:v>https://www.cashhomebuyersdirectory.com/cash-home-buyers/michigan/lansing</x:v>
      </x:c>
      <x:c r="AA1081" s="25" t="str">
        <x:v>Public cash-home-buyer directory lists the business name, business phone/website where available and market. Operator role and corporate funding willingness require confirmation.</x:v>
      </x:c>
      <x:c r="AB1081" s="3" t="str">
        <x:v>New public-source collection</x:v>
      </x:c>
      <x:c r="AC1081" s="3" t="str">
        <x:v>unverified</x:v>
      </x:c>
      <x:c r="AD1081" s="3" t="str">
        <x:v>Not contacted / unconfirmed</x:v>
      </x:c>
      <x:c r="AE1081" s="3" t="str">
        <x:v>No</x:v>
      </x:c>
      <x:c r="AF1081" s="3" t="str">
        <x:v>No</x:v>
      </x:c>
      <x:c r="AG1081" s="3"/>
      <x:c r="AH1081" s="3" t="str">
        <x:v>We Buy Houses Toledo - Sell Your House Fast!</x:v>
      </x:c>
      <x:c r="AI1081" s="18"/>
      <x:c r="AJ1081" s="3" t="str">
        <x:v>CF2500-E6AD28A51C9A</x:v>
      </x:c>
      <x:c r="AK1081" s="3" t="str">
        <x:v>real_estate_operator</x:v>
      </x:c>
      <x:c r="AL1081" s="19" t="n">
        <x:v>100000</x:v>
      </x:c>
      <x:c r="AM1081" s="19" t="n">
        <x:v>500000</x:v>
      </x:c>
      <x:c r="AN1081" s="3" t="str">
        <x:v>https://www.cashhomebuyersdirectory.com/cash-home-buyers/michigan/lansing</x:v>
      </x:c>
      <x:c r="AO1081" s="3" t="str">
        <x:v>national_rest_directory_complete.jsonl</x:v>
      </x:c>
      <x:c r="AP1081" s="19"/>
    </x:row>
    <x:row r="1082" ht="36" customHeight="1">
      <x:c r="A1082" s="23" t="n">
        <x:v>1081</x:v>
      </x:c>
      <x:c r="B1082" s="15" t="str">
        <x:v>House Buyers DC</x:v>
      </x:c>
      <x:c r="C1082" s="15"/>
      <x:c r="D1082" s="15" t="str">
        <x:v>Property investor / home-buying operator</x:v>
      </x:c>
      <x:c r="E1082" s="15" t="str">
        <x:v>Property investor / operator inquiry</x:v>
      </x:c>
      <x:c r="F1082" s="17" t="str">
        <x:v>New</x:v>
      </x:c>
      <x:c r="G1082" s="24"/>
      <x:c r="H1082" s="24" t="str">
        <x:v>+17036253369</x:v>
      </x:c>
      <x:c r="I1082" s="24" t="str">
        <x:v>http://www.housebuyersdc.com/</x:v>
      </x:c>
      <x:c r="J1082" s="16" t="str">
        <x:v>DC</x:v>
      </x:c>
      <x:c r="K1082" s="16"/>
      <x:c r="L1082" s="16" t="str">
        <x:v>Public property-business route; investor decision maker unconfirmed</x:v>
      </x:c>
      <x:c r="M1082" s="16" t="str">
        <x:v>http://www.housebuyersdc.com/</x:v>
      </x:c>
      <x:c r="N1082" s="16" t="str">
        <x:v>$100K-$500K ticket not published / unconfirmed</x:v>
      </x:c>
      <x:c r="O1082" s="20"/>
      <x:c r="P1082" s="20"/>
      <x:c r="Q1082" s="25" t="str">
        <x:v>No direct corporate-capital range established in checked source</x:v>
      </x:c>
      <x:c r="R1082" s="25" t="str">
        <x:v>Property acquisition or investor activity makes this an operator-capital prospect for the signed trial. Confirm operating-company debt/equity appetite.</x:v>
      </x:c>
      <x:c r="S1082" s="25"/>
      <x:c r="T1082" s="25" t="str">
        <x:v>Ask the owner/investor whether they can allocate $100K-$500K to trial marketing and acquisitions, and confirm structure, timing and decision authority.</x:v>
      </x:c>
      <x:c r="U1082" s="25" t="str">
        <x:v>https://www.cashhomebuyersdirectory.com/cash-home-buyers/district-of-columbia/washington</x:v>
      </x:c>
      <x:c r="V1082" s="26" t="d">
        <x:v>2026-10-02T00:00:00.000Z</x:v>
      </x:c>
      <x:c r="W1082" s="26" t="d">
        <x:v>2026-10-02T00:00:00.000Z</x:v>
      </x:c>
      <x:c r="X1082" s="25" t="str">
        <x:v>CashHomeBuyersDirectory third-party business listing; first-party business activity not checked in this batch</x:v>
      </x:c>
      <x:c r="Y1082" s="25"/>
      <x:c r="Z1082" s="25" t="str">
        <x:v>https://www.cashhomebuyersdirectory.com/cash-home-buyers/district-of-columbia/washington</x:v>
      </x:c>
      <x:c r="AA1082" s="25" t="str">
        <x:v>Public cash-home-buyer directory lists the business name, business phone/website where available and market. Operator role and corporate funding willingness require confirmation.</x:v>
      </x:c>
      <x:c r="AB1082" s="3" t="str">
        <x:v>New public-source collection</x:v>
      </x:c>
      <x:c r="AC1082" s="3" t="str">
        <x:v>unverified</x:v>
      </x:c>
      <x:c r="AD1082" s="3" t="str">
        <x:v>Not contacted / unconfirmed</x:v>
      </x:c>
      <x:c r="AE1082" s="3" t="str">
        <x:v>No</x:v>
      </x:c>
      <x:c r="AF1082" s="3" t="str">
        <x:v>No</x:v>
      </x:c>
      <x:c r="AG1082" s="3"/>
      <x:c r="AH1082" s="3"/>
      <x:c r="AI1082" s="18"/>
      <x:c r="AJ1082" s="3" t="str">
        <x:v>CF2500-73C61A84F2EE</x:v>
      </x:c>
      <x:c r="AK1082" s="3" t="str">
        <x:v>real_estate_operator</x:v>
      </x:c>
      <x:c r="AL1082" s="19" t="n">
        <x:v>100000</x:v>
      </x:c>
      <x:c r="AM1082" s="19" t="n">
        <x:v>500000</x:v>
      </x:c>
      <x:c r="AN1082" s="3" t="str">
        <x:v>https://www.cashhomebuyersdirectory.com/cash-home-buyers/district-of-columbia/washington</x:v>
      </x:c>
      <x:c r="AO1082" s="3" t="str">
        <x:v>national_rest_directory_complete.jsonl</x:v>
      </x:c>
      <x:c r="AP1082" s="19"/>
    </x:row>
    <x:row r="1083" ht="36" customHeight="1">
      <x:c r="A1083" s="23" t="n">
        <x:v>1082</x:v>
      </x:c>
      <x:c r="B1083" s="15" t="str">
        <x:v>House Buyers Hawaii</x:v>
      </x:c>
      <x:c r="C1083" s="15"/>
      <x:c r="D1083" s="15" t="str">
        <x:v>Property investor / home-buying operator</x:v>
      </x:c>
      <x:c r="E1083" s="15" t="str">
        <x:v>Property investor / operator inquiry</x:v>
      </x:c>
      <x:c r="F1083" s="17" t="str">
        <x:v>New</x:v>
      </x:c>
      <x:c r="G1083" s="24"/>
      <x:c r="H1083" s="24" t="str">
        <x:v>+18083931303</x:v>
      </x:c>
      <x:c r="I1083" s="24" t="str">
        <x:v>http://www.housebuyershawaii.com/</x:v>
      </x:c>
      <x:c r="J1083" s="16" t="str">
        <x:v>HI</x:v>
      </x:c>
      <x:c r="K1083" s="16" t="str">
        <x:v>Honolulu</x:v>
      </x:c>
      <x:c r="L1083" s="16" t="str">
        <x:v>Public property-business route; investor decision maker unconfirmed</x:v>
      </x:c>
      <x:c r="M1083" s="16" t="str">
        <x:v>http://www.housebuyershawaii.com/</x:v>
      </x:c>
      <x:c r="N1083" s="16" t="str">
        <x:v>$100K-$500K ticket not published / unconfirmed</x:v>
      </x:c>
      <x:c r="O1083" s="20"/>
      <x:c r="P1083" s="20"/>
      <x:c r="Q1083" s="25" t="str">
        <x:v>No direct corporate-capital range established in checked source</x:v>
      </x:c>
      <x:c r="R1083" s="25" t="str">
        <x:v>Property acquisition or investor activity makes this an operator-capital prospect for the signed trial. Confirm operating-company debt/equity appetite.</x:v>
      </x:c>
      <x:c r="S1083" s="25"/>
      <x:c r="T1083" s="25" t="str">
        <x:v>Ask the owner/investor whether they can allocate $100K-$500K to trial marketing and acquisitions, and confirm structure, timing and decision authority.</x:v>
      </x:c>
      <x:c r="U1083" s="25" t="str">
        <x:v>https://www.cashhomebuyersdirectory.com/cash-home-buyers/hawaii/honolulu</x:v>
      </x:c>
      <x:c r="V1083" s="26" t="d">
        <x:v>2026-10-02T00:00:00.000Z</x:v>
      </x:c>
      <x:c r="W1083" s="26" t="d">
        <x:v>2026-10-02T00:00:00.000Z</x:v>
      </x:c>
      <x:c r="X1083" s="25" t="str">
        <x:v>CashHomeBuyersDirectory third-party business listing; first-party business activity not checked in this batch</x:v>
      </x:c>
      <x:c r="Y1083" s="25"/>
      <x:c r="Z1083" s="25" t="str">
        <x:v>https://www.cashhomebuyersdirectory.com/cash-home-buyers/hawaii/honolulu</x:v>
      </x:c>
      <x:c r="AA1083" s="25" t="str">
        <x:v>Public cash-home-buyer directory lists the business name, business phone/website where available and market. Operator role and corporate funding willingness require confirmation.</x:v>
      </x:c>
      <x:c r="AB1083" s="3" t="str">
        <x:v>New public-source collection</x:v>
      </x:c>
      <x:c r="AC1083" s="3" t="str">
        <x:v>unverified</x:v>
      </x:c>
      <x:c r="AD1083" s="3" t="str">
        <x:v>Not contacted / unconfirmed</x:v>
      </x:c>
      <x:c r="AE1083" s="3" t="str">
        <x:v>No</x:v>
      </x:c>
      <x:c r="AF1083" s="3" t="str">
        <x:v>No</x:v>
      </x:c>
      <x:c r="AG1083" s="3"/>
      <x:c r="AH1083" s="3"/>
      <x:c r="AI1083" s="18"/>
      <x:c r="AJ1083" s="3" t="str">
        <x:v>CF2500-F00B58BC4661</x:v>
      </x:c>
      <x:c r="AK1083" s="3" t="str">
        <x:v>real_estate_operator</x:v>
      </x:c>
      <x:c r="AL1083" s="19" t="n">
        <x:v>100000</x:v>
      </x:c>
      <x:c r="AM1083" s="19" t="n">
        <x:v>500000</x:v>
      </x:c>
      <x:c r="AN1083" s="3" t="str">
        <x:v>https://www.cashhomebuyersdirectory.com/cash-home-buyers/hawaii/honolulu</x:v>
      </x:c>
      <x:c r="AO1083" s="3" t="str">
        <x:v>national_rest_directory_complete.jsonl</x:v>
      </x:c>
      <x:c r="AP1083" s="19"/>
    </x:row>
    <x:row r="1084" ht="36" customHeight="1">
      <x:c r="A1084" s="23" t="n">
        <x:v>1083</x:v>
      </x:c>
      <x:c r="B1084" s="15" t="str">
        <x:v>House Buyers of Cheyenne</x:v>
      </x:c>
      <x:c r="C1084" s="15"/>
      <x:c r="D1084" s="15" t="str">
        <x:v>Property investor / home-buying operator</x:v>
      </x:c>
      <x:c r="E1084" s="15" t="str">
        <x:v>Property investor / operator inquiry</x:v>
      </x:c>
      <x:c r="F1084" s="17" t="str">
        <x:v>New</x:v>
      </x:c>
      <x:c r="G1084" s="24"/>
      <x:c r="H1084" s="24" t="str">
        <x:v>+13072746014</x:v>
      </x:c>
      <x:c r="I1084" s="24" t="str">
        <x:v>http://housebuyersofcheyenne.com/</x:v>
      </x:c>
      <x:c r="J1084" s="16" t="str">
        <x:v>WY</x:v>
      </x:c>
      <x:c r="K1084" s="16" t="str">
        <x:v>Cheyenne</x:v>
      </x:c>
      <x:c r="L1084" s="16" t="str">
        <x:v>Public property-business route; investor decision maker unconfirmed</x:v>
      </x:c>
      <x:c r="M1084" s="16" t="str">
        <x:v>http://housebuyersofcheyenne.com/</x:v>
      </x:c>
      <x:c r="N1084" s="16" t="str">
        <x:v>$100K-$500K ticket not published / unconfirmed</x:v>
      </x:c>
      <x:c r="O1084" s="20"/>
      <x:c r="P1084" s="20"/>
      <x:c r="Q1084" s="25" t="str">
        <x:v>No direct corporate-capital range established in checked source</x:v>
      </x:c>
      <x:c r="R1084" s="25" t="str">
        <x:v>Property acquisition or investor activity makes this an operator-capital prospect for the signed trial. Confirm operating-company debt/equity appetite.</x:v>
      </x:c>
      <x:c r="S1084" s="25"/>
      <x:c r="T1084" s="25" t="str">
        <x:v>Ask the owner/investor whether they can allocate $100K-$500K to trial marketing and acquisitions, and confirm structure, timing and decision authority.</x:v>
      </x:c>
      <x:c r="U1084" s="25" t="str">
        <x:v>https://www.cashhomebuyersdirectory.com/cash-home-buyers/wyoming/cheyenne</x:v>
      </x:c>
      <x:c r="V1084" s="26" t="d">
        <x:v>2026-10-02T00:00:00.000Z</x:v>
      </x:c>
      <x:c r="W1084" s="26" t="d">
        <x:v>2026-10-02T00:00:00.000Z</x:v>
      </x:c>
      <x:c r="X1084" s="25" t="str">
        <x:v>CashHomeBuyersDirectory third-party business listing; first-party business activity not checked in this batch</x:v>
      </x:c>
      <x:c r="Y1084" s="25"/>
      <x:c r="Z1084" s="25" t="str">
        <x:v>https://www.cashhomebuyersdirectory.com/cash-home-buyers/wyoming/cheyenne</x:v>
      </x:c>
      <x:c r="AA1084" s="25" t="str">
        <x:v>Public cash-home-buyer directory lists the business name, business phone/website where available and market. Operator role and corporate funding willingness require confirmation.</x:v>
      </x:c>
      <x:c r="AB1084" s="3" t="str">
        <x:v>New public-source collection</x:v>
      </x:c>
      <x:c r="AC1084" s="3" t="str">
        <x:v>unverified</x:v>
      </x:c>
      <x:c r="AD1084" s="3" t="str">
        <x:v>Not contacted / unconfirmed</x:v>
      </x:c>
      <x:c r="AE1084" s="3" t="str">
        <x:v>No</x:v>
      </x:c>
      <x:c r="AF1084" s="3" t="str">
        <x:v>No</x:v>
      </x:c>
      <x:c r="AG1084" s="3"/>
      <x:c r="AH1084" s="3"/>
      <x:c r="AI1084" s="18"/>
      <x:c r="AJ1084" s="3" t="str">
        <x:v>CF2500-A362FA1FBE85</x:v>
      </x:c>
      <x:c r="AK1084" s="3" t="str">
        <x:v>real_estate_operator</x:v>
      </x:c>
      <x:c r="AL1084" s="19" t="n">
        <x:v>100000</x:v>
      </x:c>
      <x:c r="AM1084" s="19" t="n">
        <x:v>500000</x:v>
      </x:c>
      <x:c r="AN1084" s="3" t="str">
        <x:v>https://www.cashhomebuyersdirectory.com/cash-home-buyers/wyoming/cheyenne</x:v>
      </x:c>
      <x:c r="AO1084" s="3" t="str">
        <x:v>national_rest_directory_complete.jsonl</x:v>
      </x:c>
      <x:c r="AP1084" s="19"/>
    </x:row>
    <x:row r="1085" ht="36" customHeight="1">
      <x:c r="A1085" s="23" t="n">
        <x:v>1084</x:v>
      </x:c>
      <x:c r="B1085" s="15" t="str">
        <x:v>House Buyers of Greater New Orleans</x:v>
      </x:c>
      <x:c r="C1085" s="15"/>
      <x:c r="D1085" s="15" t="str">
        <x:v>Property investor / home-buying operator</x:v>
      </x:c>
      <x:c r="E1085" s="15" t="str">
        <x:v>Property investor / operator inquiry</x:v>
      </x:c>
      <x:c r="F1085" s="17" t="str">
        <x:v>New</x:v>
      </x:c>
      <x:c r="G1085" s="24"/>
      <x:c r="H1085" s="24" t="str">
        <x:v>+15042641722</x:v>
      </x:c>
      <x:c r="I1085" s="24" t="str">
        <x:v>https://housebuyersgno.com/i/KPyh/</x:v>
      </x:c>
      <x:c r="J1085" s="16" t="str">
        <x:v>LA</x:v>
      </x:c>
      <x:c r="K1085" s="16" t="str">
        <x:v>New Orleans</x:v>
      </x:c>
      <x:c r="L1085" s="16" t="str">
        <x:v>Public property-business route; investor decision maker unconfirmed</x:v>
      </x:c>
      <x:c r="M1085" s="16" t="str">
        <x:v>https://housebuyersgno.com/i/KPyh/</x:v>
      </x:c>
      <x:c r="N1085" s="16" t="str">
        <x:v>$100K-$500K ticket not published / unconfirmed</x:v>
      </x:c>
      <x:c r="O1085" s="20"/>
      <x:c r="P1085" s="20"/>
      <x:c r="Q1085" s="25" t="str">
        <x:v>No direct corporate-capital range established in checked source</x:v>
      </x:c>
      <x:c r="R1085" s="25" t="str">
        <x:v>Property acquisition or investor activity makes this an operator-capital prospect for the signed trial. Confirm operating-company debt/equity appetite.</x:v>
      </x:c>
      <x:c r="S1085" s="25"/>
      <x:c r="T1085" s="25" t="str">
        <x:v>Ask the owner/investor whether they can allocate $100K-$500K to trial marketing and acquisitions, and confirm structure, timing and decision authority.</x:v>
      </x:c>
      <x:c r="U1085" s="25" t="str">
        <x:v>https://www.cashhomebuyersdirectory.com/cash-home-buyers/louisiana/new-orleans</x:v>
      </x:c>
      <x:c r="V1085" s="26" t="d">
        <x:v>2026-10-02T00:00:00.000Z</x:v>
      </x:c>
      <x:c r="W1085" s="26" t="d">
        <x:v>2026-10-02T00:00:00.000Z</x:v>
      </x:c>
      <x:c r="X1085" s="25" t="str">
        <x:v>CashHomeBuyersDirectory third-party business listing; first-party business activity not checked in this batch</x:v>
      </x:c>
      <x:c r="Y1085" s="25"/>
      <x:c r="Z1085" s="25" t="str">
        <x:v>https://www.cashhomebuyersdirectory.com/cash-home-buyers/louisiana/new-orleans</x:v>
      </x:c>
      <x:c r="AA1085" s="25" t="str">
        <x:v>Public cash-home-buyer directory lists the business name, business phone/website where available and market. Operator role and corporate funding willingness require confirmation.</x:v>
      </x:c>
      <x:c r="AB1085" s="3" t="str">
        <x:v>New public-source collection</x:v>
      </x:c>
      <x:c r="AC1085" s="3" t="str">
        <x:v>unverified</x:v>
      </x:c>
      <x:c r="AD1085" s="3" t="str">
        <x:v>Not contacted / unconfirmed</x:v>
      </x:c>
      <x:c r="AE1085" s="3" t="str">
        <x:v>No</x:v>
      </x:c>
      <x:c r="AF1085" s="3" t="str">
        <x:v>No</x:v>
      </x:c>
      <x:c r="AG1085" s="3"/>
      <x:c r="AH1085" s="3"/>
      <x:c r="AI1085" s="18"/>
      <x:c r="AJ1085" s="3" t="str">
        <x:v>CF2500-A567489982A9</x:v>
      </x:c>
      <x:c r="AK1085" s="3" t="str">
        <x:v>real_estate_operator</x:v>
      </x:c>
      <x:c r="AL1085" s="19" t="n">
        <x:v>100000</x:v>
      </x:c>
      <x:c r="AM1085" s="19" t="n">
        <x:v>500000</x:v>
      </x:c>
      <x:c r="AN1085" s="3" t="str">
        <x:v>https://www.cashhomebuyersdirectory.com/cash-home-buyers/louisiana/new-orleans</x:v>
      </x:c>
      <x:c r="AO1085" s="3" t="str">
        <x:v>national_rest_directory_complete.jsonl</x:v>
      </x:c>
      <x:c r="AP1085" s="19"/>
    </x:row>
    <x:row r="1086" ht="36" customHeight="1">
      <x:c r="A1086" s="23" t="n">
        <x:v>1085</x:v>
      </x:c>
      <x:c r="B1086" s="15" t="str">
        <x:v>House Buyers Southern California</x:v>
      </x:c>
      <x:c r="C1086" s="15"/>
      <x:c r="D1086" s="15" t="str">
        <x:v>Property investor / home-buying operator</x:v>
      </x:c>
      <x:c r="E1086" s="15" t="str">
        <x:v>Property investor / operator inquiry</x:v>
      </x:c>
      <x:c r="F1086" s="17" t="str">
        <x:v>New</x:v>
      </x:c>
      <x:c r="G1086" s="24"/>
      <x:c r="H1086" s="24" t="str">
        <x:v>+15626093660</x:v>
      </x:c>
      <x:c r="I1086" s="24" t="str">
        <x:v>https://www.housebuyerssoutherncalifornia.com/?utm_source=google&amp;utm_medium=organic&amp;utm_campaign=gmb&amp;utm_content=listing</x:v>
      </x:c>
      <x:c r="J1086" s="16" t="str">
        <x:v>CA</x:v>
      </x:c>
      <x:c r="K1086" s="16"/>
      <x:c r="L1086" s="16" t="str">
        <x:v>Public property-business route; investor decision maker unconfirmed</x:v>
      </x:c>
      <x:c r="M1086" s="16" t="str">
        <x:v>https://www.housebuyerssoutherncalifornia.com/?utm_source=google&amp;utm_medium=organic&amp;utm_campaign=gmb&amp;utm_content=listing</x:v>
      </x:c>
      <x:c r="N1086" s="16" t="str">
        <x:v>$100K-$500K ticket not published / unconfirmed</x:v>
      </x:c>
      <x:c r="O1086" s="20"/>
      <x:c r="P1086" s="20"/>
      <x:c r="Q1086" s="25" t="str">
        <x:v>No direct corporate-capital range established in checked source</x:v>
      </x:c>
      <x:c r="R1086" s="25" t="str">
        <x:v>Property acquisition or investor activity makes this an operator-capital prospect for the signed trial. Confirm operating-company debt/equity appetite.</x:v>
      </x:c>
      <x:c r="S1086" s="25"/>
      <x:c r="T1086" s="25" t="str">
        <x:v>Ask the owner/investor whether they can allocate $100K-$500K to trial marketing and acquisitions, and confirm structure, timing and decision authority.</x:v>
      </x:c>
      <x:c r="U1086" s="25" t="str">
        <x:v>https://www.cashhomebuyersdirectory.com/cash-home-buyers/california/los-angeles</x:v>
      </x:c>
      <x:c r="V1086" s="26" t="d">
        <x:v>2026-10-02T00:00:00.000Z</x:v>
      </x:c>
      <x:c r="W1086" s="26" t="d">
        <x:v>2026-10-02T00:00:00.000Z</x:v>
      </x:c>
      <x:c r="X1086" s="25" t="str">
        <x:v>CashHomeBuyersDirectory third-party business listing; first-party business activity not checked in this batch</x:v>
      </x:c>
      <x:c r="Y1086" s="25"/>
      <x:c r="Z1086" s="25" t="str">
        <x:v>https://www.cashhomebuyersdirectory.com/cash-home-buyers/california/los-angeles</x:v>
      </x:c>
      <x:c r="AA1086" s="25" t="str">
        <x:v>Public cash-home-buyer directory lists the business name, business phone/website where available and market. Operator role and corporate funding willingness require confirmation.</x:v>
      </x:c>
      <x:c r="AB1086" s="3" t="str">
        <x:v>New public-source collection</x:v>
      </x:c>
      <x:c r="AC1086" s="3" t="str">
        <x:v>unverified</x:v>
      </x:c>
      <x:c r="AD1086" s="3" t="str">
        <x:v>Not contacted / unconfirmed</x:v>
      </x:c>
      <x:c r="AE1086" s="3" t="str">
        <x:v>No</x:v>
      </x:c>
      <x:c r="AF1086" s="3" t="str">
        <x:v>No</x:v>
      </x:c>
      <x:c r="AG1086" s="3"/>
      <x:c r="AH1086" s="3"/>
      <x:c r="AI1086" s="18"/>
      <x:c r="AJ1086" s="3" t="str">
        <x:v>CF2500-64B0EB25C78B</x:v>
      </x:c>
      <x:c r="AK1086" s="3" t="str">
        <x:v>real_estate_operator</x:v>
      </x:c>
      <x:c r="AL1086" s="19" t="n">
        <x:v>100000</x:v>
      </x:c>
      <x:c r="AM1086" s="19" t="n">
        <x:v>500000</x:v>
      </x:c>
      <x:c r="AN1086" s="3" t="str">
        <x:v>https://www.cashhomebuyersdirectory.com/cash-home-buyers/california/los-angeles</x:v>
      </x:c>
      <x:c r="AO1086" s="3" t="str">
        <x:v>national_rest_directory_complete.jsonl</x:v>
      </x:c>
      <x:c r="AP1086" s="19"/>
    </x:row>
    <x:row r="1087" ht="36" customHeight="1">
      <x:c r="A1087" s="23" t="n">
        <x:v>1086</x:v>
      </x:c>
      <x:c r="B1087" s="15" t="str">
        <x:v>HOW Homebuyers - We Buy Houses Fast</x:v>
      </x:c>
      <x:c r="C1087" s="15"/>
      <x:c r="D1087" s="15" t="str">
        <x:v>Property investor / home-buying operator</x:v>
      </x:c>
      <x:c r="E1087" s="15" t="str">
        <x:v>Property investor / operator inquiry</x:v>
      </x:c>
      <x:c r="F1087" s="17" t="str">
        <x:v>New</x:v>
      </x:c>
      <x:c r="G1087" s="24"/>
      <x:c r="H1087" s="24" t="str">
        <x:v>+14029367333</x:v>
      </x:c>
      <x:c r="I1087" s="24" t="str">
        <x:v>https://selltohow.com/where-we-buy/lincoln-ne/</x:v>
      </x:c>
      <x:c r="J1087" s="16" t="str">
        <x:v>NE</x:v>
      </x:c>
      <x:c r="K1087" s="16" t="str">
        <x:v>Lincoln</x:v>
      </x:c>
      <x:c r="L1087" s="16" t="str">
        <x:v>Public property-business route; investor decision maker unconfirmed</x:v>
      </x:c>
      <x:c r="M1087" s="16" t="str">
        <x:v>https://selltohow.com/where-we-buy/lincoln-ne/</x:v>
      </x:c>
      <x:c r="N1087" s="16" t="str">
        <x:v>$100K-$500K ticket not published / unconfirmed</x:v>
      </x:c>
      <x:c r="O1087" s="20"/>
      <x:c r="P1087" s="20"/>
      <x:c r="Q1087" s="25" t="str">
        <x:v>No direct corporate-capital range established in checked source</x:v>
      </x:c>
      <x:c r="R1087" s="25" t="str">
        <x:v>Property acquisition or investor activity makes this an operator-capital prospect for the signed trial. Confirm operating-company debt/equity appetite.</x:v>
      </x:c>
      <x:c r="S1087" s="25"/>
      <x:c r="T1087" s="25" t="str">
        <x:v>Ask the owner/investor whether they can allocate $100K-$500K to trial marketing and acquisitions, and confirm structure, timing and decision authority.</x:v>
      </x:c>
      <x:c r="U1087" s="25" t="str">
        <x:v>https://www.cashhomebuyersdirectory.com/cash-home-buyers/nebraska/lincoln
https://www.cashhomebuyersdirectory.com/cash-home-buyers/nebraska/omaha</x:v>
      </x:c>
      <x:c r="V1087" s="26" t="d">
        <x:v>2026-10-02T00:00:00.000Z</x:v>
      </x:c>
      <x:c r="W1087" s="26" t="d">
        <x:v>2026-10-02T00:00:00.000Z</x:v>
      </x:c>
      <x:c r="X1087" s="25" t="str">
        <x:v>CashHomeBuyersDirectory third-party business listing; first-party business activity not checked in this batch</x:v>
      </x:c>
      <x:c r="Y1087" s="25"/>
      <x:c r="Z1087" s="25" t="str">
        <x:v>https://www.cashhomebuyersdirectory.com/cash-home-buyers/nebraska/lincoln</x:v>
      </x:c>
      <x:c r="AA1087" s="25" t="str">
        <x:v>Public cash-home-buyer directory lists the business name, business phone/website where available and market. Operator role and corporate funding willingness require confirmation.</x:v>
      </x:c>
      <x:c r="AB1087" s="3" t="str">
        <x:v>New public-source collection</x:v>
      </x:c>
      <x:c r="AC1087" s="3" t="str">
        <x:v>unverified</x:v>
      </x:c>
      <x:c r="AD1087" s="3" t="str">
        <x:v>Not contacted / unconfirmed</x:v>
      </x:c>
      <x:c r="AE1087" s="3" t="str">
        <x:v>No</x:v>
      </x:c>
      <x:c r="AF1087" s="3" t="str">
        <x:v>No</x:v>
      </x:c>
      <x:c r="AG1087" s="3"/>
      <x:c r="AH1087" s="3"/>
      <x:c r="AI1087" s="18"/>
      <x:c r="AJ1087" s="3" t="str">
        <x:v>CF2500-38DAC64E11D7</x:v>
      </x:c>
      <x:c r="AK1087" s="3" t="str">
        <x:v>real_estate_operator</x:v>
      </x:c>
      <x:c r="AL1087" s="19" t="n">
        <x:v>100000</x:v>
      </x:c>
      <x:c r="AM1087" s="19" t="n">
        <x:v>500000</x:v>
      </x:c>
      <x:c r="AN1087" s="3" t="str">
        <x:v>https://www.cashhomebuyersdirectory.com/cash-home-buyers/nebraska/lincoln</x:v>
      </x:c>
      <x:c r="AO1087" s="3" t="str">
        <x:v>national_rest_directory_complete.jsonl</x:v>
      </x:c>
      <x:c r="AP1087" s="19"/>
    </x:row>
    <x:row r="1088" ht="36" customHeight="1">
      <x:c r="A1088" s="23" t="n">
        <x:v>1087</x:v>
      </x:c>
      <x:c r="B1088" s="15" t="str">
        <x:v>Howard Home Buyers</x:v>
      </x:c>
      <x:c r="C1088" s="15"/>
      <x:c r="D1088" s="15" t="str">
        <x:v>Property investor / home-buying operator</x:v>
      </x:c>
      <x:c r="E1088" s="15" t="str">
        <x:v>Property investor / operator inquiry</x:v>
      </x:c>
      <x:c r="F1088" s="17" t="str">
        <x:v>New</x:v>
      </x:c>
      <x:c r="G1088" s="24"/>
      <x:c r="H1088" s="24" t="str">
        <x:v>+17178991125</x:v>
      </x:c>
      <x:c r="I1088" s="24" t="str">
        <x:v>https://howardhomebuyers.com/</x:v>
      </x:c>
      <x:c r="J1088" s="16" t="str">
        <x:v>PA</x:v>
      </x:c>
      <x:c r="K1088" s="16" t="str">
        <x:v>Dallastown</x:v>
      </x:c>
      <x:c r="L1088" s="16" t="str">
        <x:v>Public property-business route; investor decision maker unconfirmed</x:v>
      </x:c>
      <x:c r="M1088" s="16" t="str">
        <x:v>https://howardhomebuyers.com/</x:v>
      </x:c>
      <x:c r="N1088" s="16" t="str">
        <x:v>$100K-$500K ticket not published / unconfirmed</x:v>
      </x:c>
      <x:c r="O1088" s="20"/>
      <x:c r="P1088" s="20"/>
      <x:c r="Q1088" s="25" t="str">
        <x:v>No direct corporate-capital range established in checked source</x:v>
      </x:c>
      <x:c r="R1088" s="25" t="str">
        <x:v>Property acquisition or investor activity makes this an operator-capital prospect for the signed trial. Confirm operating-company debt/equity appetite.</x:v>
      </x:c>
      <x:c r="S1088" s="25"/>
      <x:c r="T1088" s="25" t="str">
        <x:v>Ask the owner/investor whether they can allocate $100K-$500K to trial marketing and acquisitions, and confirm structure, timing and decision authority.</x:v>
      </x:c>
      <x:c r="U1088" s="25" t="str">
        <x:v>https://www.cashhomebuyersdirectory.com/cash-home-buyers/pennsylvania/dallastown</x:v>
      </x:c>
      <x:c r="V1088" s="26" t="d">
        <x:v>2026-10-02T00:00:00.000Z</x:v>
      </x:c>
      <x:c r="W1088" s="26" t="d">
        <x:v>2026-10-02T00:00:00.000Z</x:v>
      </x:c>
      <x:c r="X1088" s="25" t="str">
        <x:v>CashHomeBuyersDirectory third-party business listing; first-party business activity not checked in this batch</x:v>
      </x:c>
      <x:c r="Y1088" s="25"/>
      <x:c r="Z1088" s="25" t="str">
        <x:v>https://www.cashhomebuyersdirectory.com/cash-home-buyers/pennsylvania/dallastown</x:v>
      </x:c>
      <x:c r="AA1088" s="25" t="str">
        <x:v>Public cash-home-buyer directory lists the business name, business phone/website where available and market. Operator role and corporate funding willingness require confirmation.</x:v>
      </x:c>
      <x:c r="AB1088" s="3" t="str">
        <x:v>New public-source collection</x:v>
      </x:c>
      <x:c r="AC1088" s="3" t="str">
        <x:v>unverified</x:v>
      </x:c>
      <x:c r="AD1088" s="3" t="str">
        <x:v>Not contacted / unconfirmed</x:v>
      </x:c>
      <x:c r="AE1088" s="3" t="str">
        <x:v>No</x:v>
      </x:c>
      <x:c r="AF1088" s="3" t="str">
        <x:v>No</x:v>
      </x:c>
      <x:c r="AG1088" s="3"/>
      <x:c r="AH1088" s="3"/>
      <x:c r="AI1088" s="18"/>
      <x:c r="AJ1088" s="3" t="str">
        <x:v>CF2500-35742C84F5D9</x:v>
      </x:c>
      <x:c r="AK1088" s="3" t="str">
        <x:v>real_estate_operator</x:v>
      </x:c>
      <x:c r="AL1088" s="19" t="n">
        <x:v>100000</x:v>
      </x:c>
      <x:c r="AM1088" s="19" t="n">
        <x:v>500000</x:v>
      </x:c>
      <x:c r="AN1088" s="3" t="str">
        <x:v>https://www.cashhomebuyersdirectory.com/cash-home-buyers/pennsylvania/dallastown</x:v>
      </x:c>
      <x:c r="AO1088" s="3" t="str">
        <x:v>national_rest_directory_complete.jsonl</x:v>
      </x:c>
      <x:c r="AP1088" s="19"/>
    </x:row>
    <x:row r="1089" ht="36" customHeight="1">
      <x:c r="A1089" s="23" t="n">
        <x:v>1088</x:v>
      </x:c>
      <x:c r="B1089" s="15" t="str">
        <x:v>Hughes Home Buyers</x:v>
      </x:c>
      <x:c r="C1089" s="15"/>
      <x:c r="D1089" s="15" t="str">
        <x:v>Property investor / home-buying operator</x:v>
      </x:c>
      <x:c r="E1089" s="15" t="str">
        <x:v>Property investor / operator inquiry</x:v>
      </x:c>
      <x:c r="F1089" s="17" t="str">
        <x:v>New</x:v>
      </x:c>
      <x:c r="G1089" s="24"/>
      <x:c r="H1089" s="24" t="str">
        <x:v>+17328897079</x:v>
      </x:c>
      <x:c r="I1089" s="24" t="str">
        <x:v>http://www.hugheshomebuyers.com/</x:v>
      </x:c>
      <x:c r="J1089" s="16" t="str">
        <x:v>NJ</x:v>
      </x:c>
      <x:c r="K1089" s="16" t="str">
        <x:v>Jersey City</x:v>
      </x:c>
      <x:c r="L1089" s="16" t="str">
        <x:v>Public property-business route; investor decision maker unconfirmed</x:v>
      </x:c>
      <x:c r="M1089" s="16" t="str">
        <x:v>http://www.hugheshomebuyers.com/</x:v>
      </x:c>
      <x:c r="N1089" s="16" t="str">
        <x:v>$100K-$500K ticket not published / unconfirmed</x:v>
      </x:c>
      <x:c r="O1089" s="20"/>
      <x:c r="P1089" s="20"/>
      <x:c r="Q1089" s="25" t="str">
        <x:v>No direct corporate-capital range established in checked source</x:v>
      </x:c>
      <x:c r="R1089" s="25" t="str">
        <x:v>Property acquisition or investor activity makes this an operator-capital prospect for the signed trial. Confirm operating-company debt/equity appetite.</x:v>
      </x:c>
      <x:c r="S1089" s="25"/>
      <x:c r="T1089" s="25" t="str">
        <x:v>Ask the owner/investor whether they can allocate $100K-$500K to trial marketing and acquisitions, and confirm structure, timing and decision authority.</x:v>
      </x:c>
      <x:c r="U1089" s="25" t="str">
        <x:v>https://www.cashhomebuyersdirectory.com/cash-home-buyers/new-jersey/jersey-city</x:v>
      </x:c>
      <x:c r="V1089" s="26" t="d">
        <x:v>2026-10-02T00:00:00.000Z</x:v>
      </x:c>
      <x:c r="W1089" s="26" t="d">
        <x:v>2026-10-02T00:00:00.000Z</x:v>
      </x:c>
      <x:c r="X1089" s="25" t="str">
        <x:v>CashHomeBuyersDirectory third-party business listing; first-party business activity not checked in this batch</x:v>
      </x:c>
      <x:c r="Y1089" s="25"/>
      <x:c r="Z1089" s="25" t="str">
        <x:v>https://www.cashhomebuyersdirectory.com/cash-home-buyers/new-jersey/jersey-city</x:v>
      </x:c>
      <x:c r="AA1089" s="25" t="str">
        <x:v>Public cash-home-buyer directory lists the business name, business phone/website where available and market. Operator role and corporate funding willingness require confirmation.</x:v>
      </x:c>
      <x:c r="AB1089" s="3" t="str">
        <x:v>New public-source collection</x:v>
      </x:c>
      <x:c r="AC1089" s="3" t="str">
        <x:v>unverified</x:v>
      </x:c>
      <x:c r="AD1089" s="3" t="str">
        <x:v>Not contacted / unconfirmed</x:v>
      </x:c>
      <x:c r="AE1089" s="3" t="str">
        <x:v>No</x:v>
      </x:c>
      <x:c r="AF1089" s="3" t="str">
        <x:v>No</x:v>
      </x:c>
      <x:c r="AG1089" s="3"/>
      <x:c r="AH1089" s="3"/>
      <x:c r="AI1089" s="18"/>
      <x:c r="AJ1089" s="3" t="str">
        <x:v>CF2500-EDBD093950C5</x:v>
      </x:c>
      <x:c r="AK1089" s="3" t="str">
        <x:v>real_estate_operator</x:v>
      </x:c>
      <x:c r="AL1089" s="19" t="n">
        <x:v>100000</x:v>
      </x:c>
      <x:c r="AM1089" s="19" t="n">
        <x:v>500000</x:v>
      </x:c>
      <x:c r="AN1089" s="3" t="str">
        <x:v>https://www.cashhomebuyersdirectory.com/cash-home-buyers/new-jersey/jersey-city</x:v>
      </x:c>
      <x:c r="AO1089" s="3" t="str">
        <x:v>national_rest_directory_complete.jsonl</x:v>
      </x:c>
      <x:c r="AP1089" s="19"/>
    </x:row>
    <x:row r="1090" ht="36" customHeight="1">
      <x:c r="A1090" s="23" t="n">
        <x:v>1089</x:v>
      </x:c>
      <x:c r="B1090" s="15" t="str">
        <x:v>I AM Connected Home Buyers</x:v>
      </x:c>
      <x:c r="C1090" s="15"/>
      <x:c r="D1090" s="15" t="str">
        <x:v>Property investor / home-buying operator</x:v>
      </x:c>
      <x:c r="E1090" s="15" t="str">
        <x:v>Property investor / operator inquiry</x:v>
      </x:c>
      <x:c r="F1090" s="17" t="str">
        <x:v>New</x:v>
      </x:c>
      <x:c r="G1090" s="24"/>
      <x:c r="H1090" s="24" t="str">
        <x:v>+19168004624</x:v>
      </x:c>
      <x:c r="I1090" s="24" t="str">
        <x:v>https://iamconnectedlegacy.com/sell</x:v>
      </x:c>
      <x:c r="J1090" s="16" t="str">
        <x:v>CA</x:v>
      </x:c>
      <x:c r="K1090" s="16" t="str">
        <x:v>Sacramento</x:v>
      </x:c>
      <x:c r="L1090" s="16" t="str">
        <x:v>Public property-business route; investor decision maker unconfirmed</x:v>
      </x:c>
      <x:c r="M1090" s="16" t="str">
        <x:v>https://iamconnectedlegacy.com/sell</x:v>
      </x:c>
      <x:c r="N1090" s="16" t="str">
        <x:v>$100K-$500K ticket not published / unconfirmed</x:v>
      </x:c>
      <x:c r="O1090" s="20"/>
      <x:c r="P1090" s="20"/>
      <x:c r="Q1090" s="25" t="str">
        <x:v>No direct corporate-capital range established in checked source</x:v>
      </x:c>
      <x:c r="R1090" s="25" t="str">
        <x:v>Property acquisition or investor activity makes this an operator-capital prospect for the signed trial. Confirm operating-company debt/equity appetite.</x:v>
      </x:c>
      <x:c r="S1090" s="25"/>
      <x:c r="T1090" s="25" t="str">
        <x:v>Ask the owner/investor whether they can allocate $100K-$500K to trial marketing and acquisitions, and confirm structure, timing and decision authority.</x:v>
      </x:c>
      <x:c r="U1090" s="25" t="str">
        <x:v>https://www.cashhomebuyersdirectory.com/cash-home-buyers/california/sacramento</x:v>
      </x:c>
      <x:c r="V1090" s="26" t="d">
        <x:v>2026-10-02T00:00:00.000Z</x:v>
      </x:c>
      <x:c r="W1090" s="26" t="d">
        <x:v>2026-10-02T00:00:00.000Z</x:v>
      </x:c>
      <x:c r="X1090" s="25" t="str">
        <x:v>CashHomeBuyersDirectory third-party business listing; first-party business activity not checked in this batch</x:v>
      </x:c>
      <x:c r="Y1090" s="25"/>
      <x:c r="Z1090" s="25" t="str">
        <x:v>https://www.cashhomebuyersdirectory.com/cash-home-buyers/california/sacramento</x:v>
      </x:c>
      <x:c r="AA1090" s="25" t="str">
        <x:v>Public cash-home-buyer directory lists the business name, business phone/website where available and market. Operator role and corporate funding willingness require confirmation.</x:v>
      </x:c>
      <x:c r="AB1090" s="3" t="str">
        <x:v>New public-source collection</x:v>
      </x:c>
      <x:c r="AC1090" s="3" t="str">
        <x:v>unverified</x:v>
      </x:c>
      <x:c r="AD1090" s="3" t="str">
        <x:v>Not contacted / unconfirmed</x:v>
      </x:c>
      <x:c r="AE1090" s="3" t="str">
        <x:v>No</x:v>
      </x:c>
      <x:c r="AF1090" s="3" t="str">
        <x:v>No</x:v>
      </x:c>
      <x:c r="AG1090" s="3"/>
      <x:c r="AH1090" s="3"/>
      <x:c r="AI1090" s="18"/>
      <x:c r="AJ1090" s="3" t="str">
        <x:v>CF2500-E8360F5BE2F8</x:v>
      </x:c>
      <x:c r="AK1090" s="3" t="str">
        <x:v>real_estate_operator</x:v>
      </x:c>
      <x:c r="AL1090" s="19" t="n">
        <x:v>100000</x:v>
      </x:c>
      <x:c r="AM1090" s="19" t="n">
        <x:v>500000</x:v>
      </x:c>
      <x:c r="AN1090" s="3" t="str">
        <x:v>https://www.cashhomebuyersdirectory.com/cash-home-buyers/california/sacramento</x:v>
      </x:c>
      <x:c r="AO1090" s="3" t="str">
        <x:v>national_rest_directory_complete.jsonl</x:v>
      </x:c>
      <x:c r="AP1090" s="19"/>
    </x:row>
    <x:row r="1091" ht="36" customHeight="1">
      <x:c r="A1091" s="23" t="n">
        <x:v>1090</x:v>
      </x:c>
      <x:c r="B1091" s="15" t="str">
        <x:v>I Buy Houses Columbus</x:v>
      </x:c>
      <x:c r="C1091" s="15"/>
      <x:c r="D1091" s="15" t="str">
        <x:v>Property investor / home-buying operator</x:v>
      </x:c>
      <x:c r="E1091" s="15" t="str">
        <x:v>Property investor / operator inquiry</x:v>
      </x:c>
      <x:c r="F1091" s="17" t="str">
        <x:v>New</x:v>
      </x:c>
      <x:c r="G1091" s="24"/>
      <x:c r="H1091" s="24" t="str">
        <x:v>+16149292399</x:v>
      </x:c>
      <x:c r="I1091" s="24" t="str">
        <x:v>https://www.ibuyhousescolumbus.com/</x:v>
      </x:c>
      <x:c r="J1091" s="16" t="str">
        <x:v>OH</x:v>
      </x:c>
      <x:c r="K1091" s="16" t="str">
        <x:v>Columbus</x:v>
      </x:c>
      <x:c r="L1091" s="16" t="str">
        <x:v>Public property-business route; investor decision maker unconfirmed</x:v>
      </x:c>
      <x:c r="M1091" s="16" t="str">
        <x:v>https://www.ibuyhousescolumbus.com/</x:v>
      </x:c>
      <x:c r="N1091" s="16" t="str">
        <x:v>$100K-$500K ticket not published / unconfirmed</x:v>
      </x:c>
      <x:c r="O1091" s="20"/>
      <x:c r="P1091" s="20"/>
      <x:c r="Q1091" s="25" t="str">
        <x:v>No direct corporate-capital range established in checked source</x:v>
      </x:c>
      <x:c r="R1091" s="25" t="str">
        <x:v>Property acquisition or investor activity makes this an operator-capital prospect for the signed trial. Confirm operating-company debt/equity appetite.</x:v>
      </x:c>
      <x:c r="S1091" s="25"/>
      <x:c r="T1091" s="25" t="str">
        <x:v>Ask the owner/investor whether they can allocate $100K-$500K to trial marketing and acquisitions, and confirm structure, timing and decision authority.</x:v>
      </x:c>
      <x:c r="U1091" s="25" t="str">
        <x:v>https://www.cashhomebuyersdirectory.com/cash-home-buyers/ohio/columbus</x:v>
      </x:c>
      <x:c r="V1091" s="26" t="d">
        <x:v>2026-10-02T00:00:00.000Z</x:v>
      </x:c>
      <x:c r="W1091" s="26" t="d">
        <x:v>2026-10-02T00:00:00.000Z</x:v>
      </x:c>
      <x:c r="X1091" s="25" t="str">
        <x:v>CashHomeBuyersDirectory third-party business listing; first-party business activity not checked in this batch</x:v>
      </x:c>
      <x:c r="Y1091" s="25"/>
      <x:c r="Z1091" s="25" t="str">
        <x:v>https://www.cashhomebuyersdirectory.com/cash-home-buyers/ohio/columbus</x:v>
      </x:c>
      <x:c r="AA1091" s="25" t="str">
        <x:v>Public cash-home-buyer directory lists the business name, business phone/website where available and market. Operator role and corporate funding willingness require confirmation.</x:v>
      </x:c>
      <x:c r="AB1091" s="3" t="str">
        <x:v>New public-source collection</x:v>
      </x:c>
      <x:c r="AC1091" s="3" t="str">
        <x:v>unverified</x:v>
      </x:c>
      <x:c r="AD1091" s="3" t="str">
        <x:v>Not contacted / unconfirmed</x:v>
      </x:c>
      <x:c r="AE1091" s="3" t="str">
        <x:v>No</x:v>
      </x:c>
      <x:c r="AF1091" s="3" t="str">
        <x:v>No</x:v>
      </x:c>
      <x:c r="AG1091" s="3"/>
      <x:c r="AH1091" s="3"/>
      <x:c r="AI1091" s="18"/>
      <x:c r="AJ1091" s="3" t="str">
        <x:v>CF2500-8825E87614ED</x:v>
      </x:c>
      <x:c r="AK1091" s="3" t="str">
        <x:v>real_estate_operator</x:v>
      </x:c>
      <x:c r="AL1091" s="19" t="n">
        <x:v>100000</x:v>
      </x:c>
      <x:c r="AM1091" s="19" t="n">
        <x:v>500000</x:v>
      </x:c>
      <x:c r="AN1091" s="3" t="str">
        <x:v>https://www.cashhomebuyersdirectory.com/cash-home-buyers/ohio/columbus</x:v>
      </x:c>
      <x:c r="AO1091" s="3" t="str">
        <x:v>national_rest_directory_complete.jsonl</x:v>
      </x:c>
      <x:c r="AP1091" s="19"/>
    </x:row>
    <x:row r="1092" ht="36" customHeight="1">
      <x:c r="A1092" s="23" t="n">
        <x:v>1091</x:v>
      </x:c>
      <x:c r="B1092" s="15" t="str">
        <x:v>Iannotti Realty Solutions Inc - Butler's We Buy Houses</x:v>
      </x:c>
      <x:c r="C1092" s="15"/>
      <x:c r="D1092" s="15" t="str">
        <x:v>Property investor / home-buying operator</x:v>
      </x:c>
      <x:c r="E1092" s="15" t="str">
        <x:v>Property investor / operator inquiry</x:v>
      </x:c>
      <x:c r="F1092" s="17" t="str">
        <x:v>New</x:v>
      </x:c>
      <x:c r="G1092" s="24"/>
      <x:c r="H1092" s="24" t="str">
        <x:v>+17242835021</x:v>
      </x:c>
      <x:c r="I1092" s="24" t="str">
        <x:v>http://www.butlerswebuyhouses.com/</x:v>
      </x:c>
      <x:c r="J1092" s="16" t="str">
        <x:v>PA</x:v>
      </x:c>
      <x:c r="K1092" s="16" t="str">
        <x:v>Lyndora</x:v>
      </x:c>
      <x:c r="L1092" s="16" t="str">
        <x:v>Public property-business route; investor decision maker unconfirmed</x:v>
      </x:c>
      <x:c r="M1092" s="16" t="str">
        <x:v>http://www.butlerswebuyhouses.com/</x:v>
      </x:c>
      <x:c r="N1092" s="16" t="str">
        <x:v>$100K-$500K ticket not published / unconfirmed</x:v>
      </x:c>
      <x:c r="O1092" s="20"/>
      <x:c r="P1092" s="20"/>
      <x:c r="Q1092" s="25" t="str">
        <x:v>No direct corporate-capital range established in checked source</x:v>
      </x:c>
      <x:c r="R1092" s="25" t="str">
        <x:v>Property acquisition or investor activity makes this an operator-capital prospect for the signed trial. Confirm operating-company debt/equity appetite.</x:v>
      </x:c>
      <x:c r="S1092" s="25"/>
      <x:c r="T1092" s="25" t="str">
        <x:v>Ask the owner/investor whether they can allocate $100K-$500K to trial marketing and acquisitions, and confirm structure, timing and decision authority.</x:v>
      </x:c>
      <x:c r="U1092" s="25" t="str">
        <x:v>https://www.cashhomebuyersdirectory.com/cash-home-buyers/pennsylvania/lyndora</x:v>
      </x:c>
      <x:c r="V1092" s="26" t="d">
        <x:v>2026-10-02T00:00:00.000Z</x:v>
      </x:c>
      <x:c r="W1092" s="26" t="d">
        <x:v>2026-10-02T00:00:00.000Z</x:v>
      </x:c>
      <x:c r="X1092" s="25" t="str">
        <x:v>CashHomeBuyersDirectory third-party business listing; first-party business activity not checked in this batch</x:v>
      </x:c>
      <x:c r="Y1092" s="25"/>
      <x:c r="Z1092" s="25" t="str">
        <x:v>https://www.cashhomebuyersdirectory.com/cash-home-buyers/pennsylvania/lyndora</x:v>
      </x:c>
      <x:c r="AA1092" s="25" t="str">
        <x:v>Public cash-home-buyer directory lists the business name, business phone/website where available and market. Operator role and corporate funding willingness require confirmation.</x:v>
      </x:c>
      <x:c r="AB1092" s="3" t="str">
        <x:v>New public-source collection</x:v>
      </x:c>
      <x:c r="AC1092" s="3" t="str">
        <x:v>unverified</x:v>
      </x:c>
      <x:c r="AD1092" s="3" t="str">
        <x:v>Not contacted / unconfirmed</x:v>
      </x:c>
      <x:c r="AE1092" s="3" t="str">
        <x:v>No</x:v>
      </x:c>
      <x:c r="AF1092" s="3" t="str">
        <x:v>No</x:v>
      </x:c>
      <x:c r="AG1092" s="3"/>
      <x:c r="AH1092" s="3"/>
      <x:c r="AI1092" s="18"/>
      <x:c r="AJ1092" s="3" t="str">
        <x:v>CF2500-B44466F76AAE</x:v>
      </x:c>
      <x:c r="AK1092" s="3" t="str">
        <x:v>real_estate_operator</x:v>
      </x:c>
      <x:c r="AL1092" s="19" t="n">
        <x:v>100000</x:v>
      </x:c>
      <x:c r="AM1092" s="19" t="n">
        <x:v>500000</x:v>
      </x:c>
      <x:c r="AN1092" s="3" t="str">
        <x:v>https://www.cashhomebuyersdirectory.com/cash-home-buyers/pennsylvania/lyndora</x:v>
      </x:c>
      <x:c r="AO1092" s="3" t="str">
        <x:v>national_rest_directory_complete.jsonl</x:v>
      </x:c>
      <x:c r="AP1092" s="19"/>
    </x:row>
    <x:row r="1093" ht="36" customHeight="1">
      <x:c r="A1093" s="23" t="n">
        <x:v>1092</x:v>
      </x:c>
      <x:c r="B1093" s="15" t="str">
        <x:v>Infinite Cash Home Buyers</x:v>
      </x:c>
      <x:c r="C1093" s="15"/>
      <x:c r="D1093" s="15" t="str">
        <x:v>Property investor / home-buying operator</x:v>
      </x:c>
      <x:c r="E1093" s="15" t="str">
        <x:v>Property investor / operator inquiry</x:v>
      </x:c>
      <x:c r="F1093" s="17" t="str">
        <x:v>New</x:v>
      </x:c>
      <x:c r="G1093" s="24"/>
      <x:c r="H1093" s="24" t="str">
        <x:v>+15592723893</x:v>
      </x:c>
      <x:c r="I1093" s="24" t="str">
        <x:v>https://infinitecashhomebuyers.com/</x:v>
      </x:c>
      <x:c r="J1093" s="16" t="str">
        <x:v>CA</x:v>
      </x:c>
      <x:c r="K1093" s="16" t="str">
        <x:v>Fresno</x:v>
      </x:c>
      <x:c r="L1093" s="16" t="str">
        <x:v>Public property-business route; investor decision maker unconfirmed</x:v>
      </x:c>
      <x:c r="M1093" s="16" t="str">
        <x:v>https://infinitecashhomebuyers.com/</x:v>
      </x:c>
      <x:c r="N1093" s="16" t="str">
        <x:v>$100K-$500K ticket not published / unconfirmed</x:v>
      </x:c>
      <x:c r="O1093" s="20"/>
      <x:c r="P1093" s="20"/>
      <x:c r="Q1093" s="25" t="str">
        <x:v>No direct corporate-capital range established in checked source</x:v>
      </x:c>
      <x:c r="R1093" s="25" t="str">
        <x:v>Property acquisition or investor activity makes this an operator-capital prospect for the signed trial. Confirm operating-company debt/equity appetite.</x:v>
      </x:c>
      <x:c r="S1093" s="25"/>
      <x:c r="T1093" s="25" t="str">
        <x:v>Ask the owner/investor whether they can allocate $100K-$500K to trial marketing and acquisitions, and confirm structure, timing and decision authority.</x:v>
      </x:c>
      <x:c r="U1093" s="25" t="str">
        <x:v>https://www.cashhomebuyersdirectory.com/cash-home-buyers/california/fresno</x:v>
      </x:c>
      <x:c r="V1093" s="26" t="d">
        <x:v>2026-10-02T00:00:00.000Z</x:v>
      </x:c>
      <x:c r="W1093" s="26" t="d">
        <x:v>2026-10-02T00:00:00.000Z</x:v>
      </x:c>
      <x:c r="X1093" s="25" t="str">
        <x:v>CashHomeBuyersDirectory third-party business listing; first-party business activity not checked in this batch</x:v>
      </x:c>
      <x:c r="Y1093" s="25"/>
      <x:c r="Z1093" s="25" t="str">
        <x:v>https://www.cashhomebuyersdirectory.com/cash-home-buyers/california/fresno</x:v>
      </x:c>
      <x:c r="AA1093" s="25" t="str">
        <x:v>Public cash-home-buyer directory lists the business name, business phone/website where available and market. Operator role and corporate funding willingness require confirmation.</x:v>
      </x:c>
      <x:c r="AB1093" s="3" t="str">
        <x:v>New public-source collection</x:v>
      </x:c>
      <x:c r="AC1093" s="3" t="str">
        <x:v>unverified</x:v>
      </x:c>
      <x:c r="AD1093" s="3" t="str">
        <x:v>Not contacted / unconfirmed</x:v>
      </x:c>
      <x:c r="AE1093" s="3" t="str">
        <x:v>No</x:v>
      </x:c>
      <x:c r="AF1093" s="3" t="str">
        <x:v>No</x:v>
      </x:c>
      <x:c r="AG1093" s="3"/>
      <x:c r="AH1093" s="3"/>
      <x:c r="AI1093" s="18"/>
      <x:c r="AJ1093" s="3" t="str">
        <x:v>CF2500-5A36E045CFE0</x:v>
      </x:c>
      <x:c r="AK1093" s="3" t="str">
        <x:v>real_estate_operator</x:v>
      </x:c>
      <x:c r="AL1093" s="19" t="n">
        <x:v>100000</x:v>
      </x:c>
      <x:c r="AM1093" s="19" t="n">
        <x:v>500000</x:v>
      </x:c>
      <x:c r="AN1093" s="3" t="str">
        <x:v>https://www.cashhomebuyersdirectory.com/cash-home-buyers/california/fresno</x:v>
      </x:c>
      <x:c r="AO1093" s="3" t="str">
        <x:v>national_rest_directory_complete.jsonl</x:v>
      </x:c>
      <x:c r="AP1093" s="19"/>
    </x:row>
    <x:row r="1094" ht="36" customHeight="1">
      <x:c r="A1094" s="23" t="n">
        <x:v>1093</x:v>
      </x:c>
      <x:c r="B1094" s="15" t="str">
        <x:v>Inland Home Buyers</x:v>
      </x:c>
      <x:c r="C1094" s="15"/>
      <x:c r="D1094" s="15" t="str">
        <x:v>Property investor / home-buying operator</x:v>
      </x:c>
      <x:c r="E1094" s="15" t="str">
        <x:v>Property investor / operator inquiry</x:v>
      </x:c>
      <x:c r="F1094" s="17" t="str">
        <x:v>New</x:v>
      </x:c>
      <x:c r="G1094" s="24"/>
      <x:c r="H1094" s="24" t="str">
        <x:v>+15099035122</x:v>
      </x:c>
      <x:c r="I1094" s="24" t="str">
        <x:v>https://inlandeasyhomebuyer.com/</x:v>
      </x:c>
      <x:c r="J1094" s="16" t="str">
        <x:v>WA</x:v>
      </x:c>
      <x:c r="K1094" s="16" t="str">
        <x:v>Spokane</x:v>
      </x:c>
      <x:c r="L1094" s="16" t="str">
        <x:v>Public property-business route; investor decision maker unconfirmed</x:v>
      </x:c>
      <x:c r="M1094" s="16" t="str">
        <x:v>https://inlandeasyhomebuyer.com/</x:v>
      </x:c>
      <x:c r="N1094" s="16" t="str">
        <x:v>$100K-$500K ticket not published / unconfirmed</x:v>
      </x:c>
      <x:c r="O1094" s="20"/>
      <x:c r="P1094" s="20"/>
      <x:c r="Q1094" s="25" t="str">
        <x:v>No direct corporate-capital range established in checked source</x:v>
      </x:c>
      <x:c r="R1094" s="25" t="str">
        <x:v>Property acquisition or investor activity makes this an operator-capital prospect for the signed trial. Confirm operating-company debt/equity appetite.</x:v>
      </x:c>
      <x:c r="S1094" s="25"/>
      <x:c r="T1094" s="25" t="str">
        <x:v>Ask the owner/investor whether they can allocate $100K-$500K to trial marketing and acquisitions, and confirm structure, timing and decision authority.</x:v>
      </x:c>
      <x:c r="U1094" s="25" t="str">
        <x:v>https://www.cashhomebuyersdirectory.com/cash-home-buyers/washington/spokane</x:v>
      </x:c>
      <x:c r="V1094" s="26" t="d">
        <x:v>2026-10-02T00:00:00.000Z</x:v>
      </x:c>
      <x:c r="W1094" s="26" t="d">
        <x:v>2026-10-02T00:00:00.000Z</x:v>
      </x:c>
      <x:c r="X1094" s="25" t="str">
        <x:v>CashHomeBuyersDirectory third-party business listing; first-party business activity not checked in this batch</x:v>
      </x:c>
      <x:c r="Y1094" s="25"/>
      <x:c r="Z1094" s="25" t="str">
        <x:v>https://www.cashhomebuyersdirectory.com/cash-home-buyers/washington/spokane</x:v>
      </x:c>
      <x:c r="AA1094" s="25" t="str">
        <x:v>Public cash-home-buyer directory lists the business name, business phone/website where available and market. Operator role and corporate funding willingness require confirmation.</x:v>
      </x:c>
      <x:c r="AB1094" s="3" t="str">
        <x:v>New public-source collection</x:v>
      </x:c>
      <x:c r="AC1094" s="3" t="str">
        <x:v>unverified</x:v>
      </x:c>
      <x:c r="AD1094" s="3" t="str">
        <x:v>Not contacted / unconfirmed</x:v>
      </x:c>
      <x:c r="AE1094" s="3" t="str">
        <x:v>No</x:v>
      </x:c>
      <x:c r="AF1094" s="3" t="str">
        <x:v>No</x:v>
      </x:c>
      <x:c r="AG1094" s="3"/>
      <x:c r="AH1094" s="3"/>
      <x:c r="AI1094" s="18"/>
      <x:c r="AJ1094" s="3" t="str">
        <x:v>CF2500-BE5B7A1E8F53</x:v>
      </x:c>
      <x:c r="AK1094" s="3" t="str">
        <x:v>real_estate_operator</x:v>
      </x:c>
      <x:c r="AL1094" s="19" t="n">
        <x:v>100000</x:v>
      </x:c>
      <x:c r="AM1094" s="19" t="n">
        <x:v>500000</x:v>
      </x:c>
      <x:c r="AN1094" s="3" t="str">
        <x:v>https://www.cashhomebuyersdirectory.com/cash-home-buyers/washington/spokane</x:v>
      </x:c>
      <x:c r="AO1094" s="3" t="str">
        <x:v>national_rest_directory_complete.jsonl</x:v>
      </x:c>
      <x:c r="AP1094" s="19"/>
    </x:row>
    <x:row r="1095" ht="36" customHeight="1">
      <x:c r="A1095" s="23" t="n">
        <x:v>1094</x:v>
      </x:c>
      <x:c r="B1095" s="15" t="str">
        <x:v>Innovative Home Buyers of Virginia</x:v>
      </x:c>
      <x:c r="C1095" s="15"/>
      <x:c r="D1095" s="15" t="str">
        <x:v>Property investor / home-buying operator</x:v>
      </x:c>
      <x:c r="E1095" s="15" t="str">
        <x:v>Property investor / operator inquiry</x:v>
      </x:c>
      <x:c r="F1095" s="17" t="str">
        <x:v>New</x:v>
      </x:c>
      <x:c r="G1095" s="24"/>
      <x:c r="H1095" s="24" t="str">
        <x:v>+17576817210</x:v>
      </x:c>
      <x:c r="I1095" s="24" t="str">
        <x:v>http://www.innovativehomebuyersva.com/</x:v>
      </x:c>
      <x:c r="J1095" s="16" t="str">
        <x:v>VA</x:v>
      </x:c>
      <x:c r="K1095" s="16"/>
      <x:c r="L1095" s="16" t="str">
        <x:v>Public property-business route; investor decision maker unconfirmed</x:v>
      </x:c>
      <x:c r="M1095" s="16" t="str">
        <x:v>http://www.innovativehomebuyersva.com/</x:v>
      </x:c>
      <x:c r="N1095" s="16" t="str">
        <x:v>$100K-$500K ticket not published / unconfirmed</x:v>
      </x:c>
      <x:c r="O1095" s="20"/>
      <x:c r="P1095" s="20"/>
      <x:c r="Q1095" s="25" t="str">
        <x:v>No direct corporate-capital range established in checked source</x:v>
      </x:c>
      <x:c r="R1095" s="25" t="str">
        <x:v>Property acquisition or investor activity makes this an operator-capital prospect for the signed trial. Confirm operating-company debt/equity appetite.</x:v>
      </x:c>
      <x:c r="S1095" s="25"/>
      <x:c r="T1095" s="25" t="str">
        <x:v>Ask the owner/investor whether they can allocate $100K-$500K to trial marketing and acquisitions, and confirm structure, timing and decision authority.</x:v>
      </x:c>
      <x:c r="U1095" s="25" t="str">
        <x:v>https://www.cashhomebuyersdirectory.com/cash-home-buyers/virginia/virginia-beach</x:v>
      </x:c>
      <x:c r="V1095" s="26" t="d">
        <x:v>2026-10-02T00:00:00.000Z</x:v>
      </x:c>
      <x:c r="W1095" s="26" t="d">
        <x:v>2026-10-02T00:00:00.000Z</x:v>
      </x:c>
      <x:c r="X1095" s="25" t="str">
        <x:v>CashHomeBuyersDirectory third-party business listing; first-party business activity not checked in this batch</x:v>
      </x:c>
      <x:c r="Y1095" s="25"/>
      <x:c r="Z1095" s="25" t="str">
        <x:v>https://www.cashhomebuyersdirectory.com/cash-home-buyers/virginia/virginia-beach</x:v>
      </x:c>
      <x:c r="AA1095" s="25" t="str">
        <x:v>Public cash-home-buyer directory lists the business name, business phone/website where available and market. Operator role and corporate funding willingness require confirmation.</x:v>
      </x:c>
      <x:c r="AB1095" s="3" t="str">
        <x:v>New public-source collection</x:v>
      </x:c>
      <x:c r="AC1095" s="3" t="str">
        <x:v>unverified</x:v>
      </x:c>
      <x:c r="AD1095" s="3" t="str">
        <x:v>Not contacted / unconfirmed</x:v>
      </x:c>
      <x:c r="AE1095" s="3" t="str">
        <x:v>No</x:v>
      </x:c>
      <x:c r="AF1095" s="3" t="str">
        <x:v>No</x:v>
      </x:c>
      <x:c r="AG1095" s="3"/>
      <x:c r="AH1095" s="3"/>
      <x:c r="AI1095" s="18"/>
      <x:c r="AJ1095" s="3" t="str">
        <x:v>CF2500-1728EF3AF56E</x:v>
      </x:c>
      <x:c r="AK1095" s="3" t="str">
        <x:v>real_estate_operator</x:v>
      </x:c>
      <x:c r="AL1095" s="19" t="n">
        <x:v>100000</x:v>
      </x:c>
      <x:c r="AM1095" s="19" t="n">
        <x:v>500000</x:v>
      </x:c>
      <x:c r="AN1095" s="3" t="str">
        <x:v>https://www.cashhomebuyersdirectory.com/cash-home-buyers/virginia/virginia-beach</x:v>
      </x:c>
      <x:c r="AO1095" s="3" t="str">
        <x:v>national_rest_directory_complete.jsonl</x:v>
      </x:c>
      <x:c r="AP1095" s="19"/>
    </x:row>
    <x:row r="1096" ht="36" customHeight="1">
      <x:c r="A1096" s="23" t="n">
        <x:v>1095</x:v>
      </x:c>
      <x:c r="B1096" s="15" t="str">
        <x:v>Integrity Cash Home Buyers</x:v>
      </x:c>
      <x:c r="C1096" s="15"/>
      <x:c r="D1096" s="15" t="str">
        <x:v>Property investor / home-buying operator</x:v>
      </x:c>
      <x:c r="E1096" s="15" t="str">
        <x:v>Property investor / operator inquiry</x:v>
      </x:c>
      <x:c r="F1096" s="17" t="str">
        <x:v>New</x:v>
      </x:c>
      <x:c r="G1096" s="24"/>
      <x:c r="H1096" s="24" t="str">
        <x:v>+17576304411</x:v>
      </x:c>
      <x:c r="I1096" s="24" t="str">
        <x:v>https://integritycashhomebuyers.com/?utm_source=google&amp;utm_medium=organic&amp;utm_campaign=gbp</x:v>
      </x:c>
      <x:c r="J1096" s="16" t="str">
        <x:v>VA</x:v>
      </x:c>
      <x:c r="K1096" s="16" t="str">
        <x:v>Newport News</x:v>
      </x:c>
      <x:c r="L1096" s="16" t="str">
        <x:v>Public property-business route; investor decision maker unconfirmed</x:v>
      </x:c>
      <x:c r="M1096" s="16" t="str">
        <x:v>https://integritycashhomebuyers.com/?utm_source=google&amp;utm_medium=organic&amp;utm_campaign=gbp</x:v>
      </x:c>
      <x:c r="N1096" s="16" t="str">
        <x:v>$100K-$500K ticket not published / unconfirmed</x:v>
      </x:c>
      <x:c r="O1096" s="20"/>
      <x:c r="P1096" s="20"/>
      <x:c r="Q1096" s="25" t="str">
        <x:v>No direct corporate-capital range established in checked source</x:v>
      </x:c>
      <x:c r="R1096" s="25" t="str">
        <x:v>Property acquisition or investor activity makes this an operator-capital prospect for the signed trial. Confirm operating-company debt/equity appetite.</x:v>
      </x:c>
      <x:c r="S1096" s="25"/>
      <x:c r="T1096" s="25" t="str">
        <x:v>Ask the owner/investor whether they can allocate $100K-$500K to trial marketing and acquisitions, and confirm structure, timing and decision authority.</x:v>
      </x:c>
      <x:c r="U1096" s="25" t="str">
        <x:v>https://www.cashhomebuyersdirectory.com/cash-home-buyers/virginia/newport-news
https://www.cashhomebuyersdirectory.com/cash-home-buyers/virginia/norfolk</x:v>
      </x:c>
      <x:c r="V1096" s="26" t="d">
        <x:v>2026-10-02T00:00:00.000Z</x:v>
      </x:c>
      <x:c r="W1096" s="26" t="d">
        <x:v>2026-10-02T00:00:00.000Z</x:v>
      </x:c>
      <x:c r="X1096" s="25" t="str">
        <x:v>CashHomeBuyersDirectory third-party business listing; first-party business activity not checked in this batch</x:v>
      </x:c>
      <x:c r="Y1096" s="25"/>
      <x:c r="Z1096" s="25" t="str">
        <x:v>https://www.cashhomebuyersdirectory.com/cash-home-buyers/virginia/newport-news</x:v>
      </x:c>
      <x:c r="AA1096" s="25" t="str">
        <x:v>Public cash-home-buyer directory lists the business name, business phone/website where available and market. Operator role and corporate funding willingness require confirmation.</x:v>
      </x:c>
      <x:c r="AB1096" s="3" t="str">
        <x:v>New public-source collection</x:v>
      </x:c>
      <x:c r="AC1096" s="3" t="str">
        <x:v>unverified</x:v>
      </x:c>
      <x:c r="AD1096" s="3" t="str">
        <x:v>Not contacted / unconfirmed</x:v>
      </x:c>
      <x:c r="AE1096" s="3" t="str">
        <x:v>No</x:v>
      </x:c>
      <x:c r="AF1096" s="3" t="str">
        <x:v>No</x:v>
      </x:c>
      <x:c r="AG1096" s="3"/>
      <x:c r="AH1096" s="3"/>
      <x:c r="AI1096" s="18"/>
      <x:c r="AJ1096" s="3" t="str">
        <x:v>CF2500-5F01E6A6C888</x:v>
      </x:c>
      <x:c r="AK1096" s="3" t="str">
        <x:v>real_estate_operator</x:v>
      </x:c>
      <x:c r="AL1096" s="19" t="n">
        <x:v>100000</x:v>
      </x:c>
      <x:c r="AM1096" s="19" t="n">
        <x:v>500000</x:v>
      </x:c>
      <x:c r="AN1096" s="3" t="str">
        <x:v>https://www.cashhomebuyersdirectory.com/cash-home-buyers/virginia/newport-news</x:v>
      </x:c>
      <x:c r="AO1096" s="3" t="str">
        <x:v>national_rest_directory_complete.jsonl</x:v>
      </x:c>
      <x:c r="AP1096" s="19"/>
    </x:row>
    <x:row r="1097" ht="36" customHeight="1">
      <x:c r="A1097" s="23" t="n">
        <x:v>1096</x:v>
      </x:c>
      <x:c r="B1097" s="15" t="str">
        <x:v>Integrity Homebuyers</x:v>
      </x:c>
      <x:c r="C1097" s="15"/>
      <x:c r="D1097" s="15" t="str">
        <x:v>Property investor / home-buying operator</x:v>
      </x:c>
      <x:c r="E1097" s="15" t="str">
        <x:v>Property investor / operator inquiry</x:v>
      </x:c>
      <x:c r="F1097" s="17" t="str">
        <x:v>New</x:v>
      </x:c>
      <x:c r="G1097" s="24"/>
      <x:c r="H1097" s="24" t="str">
        <x:v>+18008184145</x:v>
      </x:c>
      <x:c r="I1097" s="24" t="str">
        <x:v>http://www.integrityhomebuyers.net/</x:v>
      </x:c>
      <x:c r="J1097" s="16" t="str">
        <x:v>MD</x:v>
      </x:c>
      <x:c r="K1097" s="16" t="str">
        <x:v>Cockeysville</x:v>
      </x:c>
      <x:c r="L1097" s="16" t="str">
        <x:v>Public property-business route; investor decision maker unconfirmed</x:v>
      </x:c>
      <x:c r="M1097" s="16" t="str">
        <x:v>http://www.integrityhomebuyers.net/</x:v>
      </x:c>
      <x:c r="N1097" s="16" t="str">
        <x:v>$100K-$500K ticket not published / unconfirmed</x:v>
      </x:c>
      <x:c r="O1097" s="20"/>
      <x:c r="P1097" s="20"/>
      <x:c r="Q1097" s="25" t="str">
        <x:v>No direct corporate-capital range established in checked source</x:v>
      </x:c>
      <x:c r="R1097" s="25" t="str">
        <x:v>Property acquisition or investor activity makes this an operator-capital prospect for the signed trial. Confirm operating-company debt/equity appetite.</x:v>
      </x:c>
      <x:c r="S1097" s="25"/>
      <x:c r="T1097" s="25" t="str">
        <x:v>Ask the owner/investor whether they can allocate $100K-$500K to trial marketing and acquisitions, and confirm structure, timing and decision authority.</x:v>
      </x:c>
      <x:c r="U1097" s="25" t="str">
        <x:v>https://www.cashhomebuyersdirectory.com/cash-home-buyers/maryland/cockeysville</x:v>
      </x:c>
      <x:c r="V1097" s="26" t="d">
        <x:v>2026-10-02T00:00:00.000Z</x:v>
      </x:c>
      <x:c r="W1097" s="26" t="d">
        <x:v>2026-10-02T00:00:00.000Z</x:v>
      </x:c>
      <x:c r="X1097" s="25" t="str">
        <x:v>CashHomeBuyersDirectory third-party business listing; first-party business activity not checked in this batch</x:v>
      </x:c>
      <x:c r="Y1097" s="25"/>
      <x:c r="Z1097" s="25" t="str">
        <x:v>https://www.cashhomebuyersdirectory.com/cash-home-buyers/maryland/cockeysville</x:v>
      </x:c>
      <x:c r="AA1097" s="25" t="str">
        <x:v>Public cash-home-buyer directory lists the business name, business phone/website where available and market. Operator role and corporate funding willingness require confirmation.</x:v>
      </x:c>
      <x:c r="AB1097" s="3" t="str">
        <x:v>New public-source collection</x:v>
      </x:c>
      <x:c r="AC1097" s="3" t="str">
        <x:v>unverified</x:v>
      </x:c>
      <x:c r="AD1097" s="3" t="str">
        <x:v>Not contacted / unconfirmed</x:v>
      </x:c>
      <x:c r="AE1097" s="3" t="str">
        <x:v>No</x:v>
      </x:c>
      <x:c r="AF1097" s="3" t="str">
        <x:v>No</x:v>
      </x:c>
      <x:c r="AG1097" s="3"/>
      <x:c r="AH1097" s="3"/>
      <x:c r="AI1097" s="18"/>
      <x:c r="AJ1097" s="3" t="str">
        <x:v>CF2500-9B8191202F7D</x:v>
      </x:c>
      <x:c r="AK1097" s="3" t="str">
        <x:v>real_estate_operator</x:v>
      </x:c>
      <x:c r="AL1097" s="19" t="n">
        <x:v>100000</x:v>
      </x:c>
      <x:c r="AM1097" s="19" t="n">
        <x:v>500000</x:v>
      </x:c>
      <x:c r="AN1097" s="3" t="str">
        <x:v>https://www.cashhomebuyersdirectory.com/cash-home-buyers/maryland/cockeysville</x:v>
      </x:c>
      <x:c r="AO1097" s="3" t="str">
        <x:v>national_rest_directory_complete.jsonl</x:v>
      </x:c>
      <x:c r="AP1097" s="19"/>
    </x:row>
    <x:row r="1098" ht="36" customHeight="1">
      <x:c r="A1098" s="23" t="n">
        <x:v>1097</x:v>
      </x:c>
      <x:c r="B1098" s="15" t="str">
        <x:v>Integrity property solutions ; Cash home buyers; quick sale.</x:v>
      </x:c>
      <x:c r="C1098" s="15"/>
      <x:c r="D1098" s="15" t="str">
        <x:v>Property investor / home-buying operator</x:v>
      </x:c>
      <x:c r="E1098" s="15" t="str">
        <x:v>Property investor / operator inquiry</x:v>
      </x:c>
      <x:c r="F1098" s="17" t="str">
        <x:v>New</x:v>
      </x:c>
      <x:c r="G1098" s="24"/>
      <x:c r="H1098" s="24" t="str">
        <x:v>+13023331060</x:v>
      </x:c>
      <x:c r="I1098" s="24" t="str">
        <x:v>https://integritypsolutions.com/</x:v>
      </x:c>
      <x:c r="J1098" s="16" t="str">
        <x:v>DE</x:v>
      </x:c>
      <x:c r="K1098" s="16" t="str">
        <x:v>Wilmington</x:v>
      </x:c>
      <x:c r="L1098" s="16" t="str">
        <x:v>Public property-business route; investor decision maker unconfirmed</x:v>
      </x:c>
      <x:c r="M1098" s="16" t="str">
        <x:v>https://integritypsolutions.com/</x:v>
      </x:c>
      <x:c r="N1098" s="16" t="str">
        <x:v>$100K-$500K ticket not published / unconfirmed</x:v>
      </x:c>
      <x:c r="O1098" s="20"/>
      <x:c r="P1098" s="20"/>
      <x:c r="Q1098" s="25" t="str">
        <x:v>No direct corporate-capital range established in checked source</x:v>
      </x:c>
      <x:c r="R1098" s="25" t="str">
        <x:v>Property acquisition or investor activity makes this an operator-capital prospect for the signed trial. Confirm operating-company debt/equity appetite.</x:v>
      </x:c>
      <x:c r="S1098" s="25"/>
      <x:c r="T1098" s="25" t="str">
        <x:v>Ask the owner/investor whether they can allocate $100K-$500K to trial marketing and acquisitions, and confirm structure, timing and decision authority.</x:v>
      </x:c>
      <x:c r="U1098" s="25" t="str">
        <x:v>https://www.cashhomebuyersdirectory.com/cash-home-buyers/delaware/wilmington</x:v>
      </x:c>
      <x:c r="V1098" s="26" t="d">
        <x:v>2026-10-02T00:00:00.000Z</x:v>
      </x:c>
      <x:c r="W1098" s="26" t="d">
        <x:v>2026-10-02T00:00:00.000Z</x:v>
      </x:c>
      <x:c r="X1098" s="25" t="str">
        <x:v>CashHomeBuyersDirectory third-party business listing; first-party business activity not checked in this batch</x:v>
      </x:c>
      <x:c r="Y1098" s="25"/>
      <x:c r="Z1098" s="25" t="str">
        <x:v>https://www.cashhomebuyersdirectory.com/cash-home-buyers/delaware/wilmington</x:v>
      </x:c>
      <x:c r="AA1098" s="25" t="str">
        <x:v>Public cash-home-buyer directory lists the business name, business phone/website where available and market. Operator role and corporate funding willingness require confirmation.</x:v>
      </x:c>
      <x:c r="AB1098" s="3" t="str">
        <x:v>New public-source collection</x:v>
      </x:c>
      <x:c r="AC1098" s="3" t="str">
        <x:v>unverified</x:v>
      </x:c>
      <x:c r="AD1098" s="3" t="str">
        <x:v>Not contacted / unconfirmed</x:v>
      </x:c>
      <x:c r="AE1098" s="3" t="str">
        <x:v>No</x:v>
      </x:c>
      <x:c r="AF1098" s="3" t="str">
        <x:v>No</x:v>
      </x:c>
      <x:c r="AG1098" s="3"/>
      <x:c r="AH1098" s="3"/>
      <x:c r="AI1098" s="18"/>
      <x:c r="AJ1098" s="3" t="str">
        <x:v>CF2500-6C31BAD18BB7</x:v>
      </x:c>
      <x:c r="AK1098" s="3" t="str">
        <x:v>real_estate_operator</x:v>
      </x:c>
      <x:c r="AL1098" s="19" t="n">
        <x:v>100000</x:v>
      </x:c>
      <x:c r="AM1098" s="19" t="n">
        <x:v>500000</x:v>
      </x:c>
      <x:c r="AN1098" s="3" t="str">
        <x:v>https://www.cashhomebuyersdirectory.com/cash-home-buyers/delaware/wilmington</x:v>
      </x:c>
      <x:c r="AO1098" s="3" t="str">
        <x:v>national_rest_directory_complete.jsonl</x:v>
      </x:c>
      <x:c r="AP1098" s="19"/>
    </x:row>
    <x:row r="1099" ht="36" customHeight="1">
      <x:c r="A1099" s="23" t="n">
        <x:v>1098</x:v>
      </x:c>
      <x:c r="B1099" s="15" t="str">
        <x:v>Invest West Buys Houses</x:v>
      </x:c>
      <x:c r="C1099" s="15"/>
      <x:c r="D1099" s="15" t="str">
        <x:v>Property investor / home-buying operator</x:v>
      </x:c>
      <x:c r="E1099" s="15" t="str">
        <x:v>Property investor / operator inquiry</x:v>
      </x:c>
      <x:c r="F1099" s="17" t="str">
        <x:v>New</x:v>
      </x:c>
      <x:c r="G1099" s="24"/>
      <x:c r="H1099" s="24" t="str">
        <x:v>+13076328222</x:v>
      </x:c>
      <x:c r="I1099" s="24" t="str">
        <x:v>https://investwestbuyshouses.com/</x:v>
      </x:c>
      <x:c r="J1099" s="16" t="str">
        <x:v>WY</x:v>
      </x:c>
      <x:c r="K1099" s="16" t="str">
        <x:v>Cheyenne</x:v>
      </x:c>
      <x:c r="L1099" s="16" t="str">
        <x:v>Public property-business route; investor decision maker unconfirmed</x:v>
      </x:c>
      <x:c r="M1099" s="16" t="str">
        <x:v>https://investwestbuyshouses.com/</x:v>
      </x:c>
      <x:c r="N1099" s="16" t="str">
        <x:v>$100K-$500K ticket not published / unconfirmed</x:v>
      </x:c>
      <x:c r="O1099" s="20"/>
      <x:c r="P1099" s="20"/>
      <x:c r="Q1099" s="25" t="str">
        <x:v>No direct corporate-capital range established in checked source</x:v>
      </x:c>
      <x:c r="R1099" s="25" t="str">
        <x:v>Property acquisition or investor activity makes this an operator-capital prospect for the signed trial. Confirm operating-company debt/equity appetite.</x:v>
      </x:c>
      <x:c r="S1099" s="25"/>
      <x:c r="T1099" s="25" t="str">
        <x:v>Ask the owner/investor whether they can allocate $100K-$500K to trial marketing and acquisitions, and confirm structure, timing and decision authority.</x:v>
      </x:c>
      <x:c r="U1099" s="25" t="str">
        <x:v>https://www.cashhomebuyersdirectory.com/cash-home-buyers/wyoming/cheyenne</x:v>
      </x:c>
      <x:c r="V1099" s="26" t="d">
        <x:v>2026-10-02T00:00:00.000Z</x:v>
      </x:c>
      <x:c r="W1099" s="26" t="d">
        <x:v>2026-10-02T00:00:00.000Z</x:v>
      </x:c>
      <x:c r="X1099" s="25" t="str">
        <x:v>CashHomeBuyersDirectory third-party business listing; first-party business activity not checked in this batch</x:v>
      </x:c>
      <x:c r="Y1099" s="25"/>
      <x:c r="Z1099" s="25" t="str">
        <x:v>https://www.cashhomebuyersdirectory.com/cash-home-buyers/wyoming/cheyenne</x:v>
      </x:c>
      <x:c r="AA1099" s="25" t="str">
        <x:v>Public cash-home-buyer directory lists the business name, business phone/website where available and market. Operator role and corporate funding willingness require confirmation.</x:v>
      </x:c>
      <x:c r="AB1099" s="3" t="str">
        <x:v>New public-source collection</x:v>
      </x:c>
      <x:c r="AC1099" s="3" t="str">
        <x:v>unverified</x:v>
      </x:c>
      <x:c r="AD1099" s="3" t="str">
        <x:v>Not contacted / unconfirmed</x:v>
      </x:c>
      <x:c r="AE1099" s="3" t="str">
        <x:v>No</x:v>
      </x:c>
      <x:c r="AF1099" s="3" t="str">
        <x:v>No</x:v>
      </x:c>
      <x:c r="AG1099" s="3"/>
      <x:c r="AH1099" s="3"/>
      <x:c r="AI1099" s="18"/>
      <x:c r="AJ1099" s="3" t="str">
        <x:v>CF2500-A27A059B2BDC</x:v>
      </x:c>
      <x:c r="AK1099" s="3" t="str">
        <x:v>real_estate_operator</x:v>
      </x:c>
      <x:c r="AL1099" s="19" t="n">
        <x:v>100000</x:v>
      </x:c>
      <x:c r="AM1099" s="19" t="n">
        <x:v>500000</x:v>
      </x:c>
      <x:c r="AN1099" s="3" t="str">
        <x:v>https://www.cashhomebuyersdirectory.com/cash-home-buyers/wyoming/cheyenne</x:v>
      </x:c>
      <x:c r="AO1099" s="3" t="str">
        <x:v>national_rest_directory_complete.jsonl</x:v>
      </x:c>
      <x:c r="AP1099" s="19"/>
    </x:row>
    <x:row r="1100" ht="36" customHeight="1">
      <x:c r="A1100" s="23" t="n">
        <x:v>1099</x:v>
      </x:c>
      <x:c r="B1100" s="15" t="str">
        <x:v>Island Property Buyers</x:v>
      </x:c>
      <x:c r="C1100" s="15"/>
      <x:c r="D1100" s="15" t="str">
        <x:v>Property investor / home-buying operator</x:v>
      </x:c>
      <x:c r="E1100" s="15" t="str">
        <x:v>Property investor / operator inquiry</x:v>
      </x:c>
      <x:c r="F1100" s="17" t="str">
        <x:v>New</x:v>
      </x:c>
      <x:c r="G1100" s="24"/>
      <x:c r="H1100" s="24" t="str">
        <x:v>+18084989182</x:v>
      </x:c>
      <x:c r="I1100" s="24" t="str">
        <x:v>https://www.islandpropertybuyers.com/</x:v>
      </x:c>
      <x:c r="J1100" s="16" t="str">
        <x:v>HI</x:v>
      </x:c>
      <x:c r="K1100" s="16" t="str">
        <x:v>Honolulu</x:v>
      </x:c>
      <x:c r="L1100" s="16" t="str">
        <x:v>Public property-business route; investor decision maker unconfirmed</x:v>
      </x:c>
      <x:c r="M1100" s="16" t="str">
        <x:v>https://www.islandpropertybuyers.com/</x:v>
      </x:c>
      <x:c r="N1100" s="16" t="str">
        <x:v>$100K-$500K ticket not published / unconfirmed</x:v>
      </x:c>
      <x:c r="O1100" s="20"/>
      <x:c r="P1100" s="20"/>
      <x:c r="Q1100" s="25" t="str">
        <x:v>No direct corporate-capital range established in checked source</x:v>
      </x:c>
      <x:c r="R1100" s="25" t="str">
        <x:v>Property acquisition or investor activity makes this an operator-capital prospect for the signed trial. Confirm operating-company debt/equity appetite.</x:v>
      </x:c>
      <x:c r="S1100" s="25"/>
      <x:c r="T1100" s="25" t="str">
        <x:v>Ask the owner/investor whether they can allocate $100K-$500K to trial marketing and acquisitions, and confirm structure, timing and decision authority.</x:v>
      </x:c>
      <x:c r="U1100" s="25" t="str">
        <x:v>https://www.cashhomebuyersdirectory.com/cash-home-buyers/hawaii/honolulu</x:v>
      </x:c>
      <x:c r="V1100" s="26" t="d">
        <x:v>2026-10-02T00:00:00.000Z</x:v>
      </x:c>
      <x:c r="W1100" s="26" t="d">
        <x:v>2026-10-02T00:00:00.000Z</x:v>
      </x:c>
      <x:c r="X1100" s="25" t="str">
        <x:v>CashHomeBuyersDirectory third-party business listing; first-party business activity not checked in this batch</x:v>
      </x:c>
      <x:c r="Y1100" s="25"/>
      <x:c r="Z1100" s="25" t="str">
        <x:v>https://www.cashhomebuyersdirectory.com/cash-home-buyers/hawaii/honolulu</x:v>
      </x:c>
      <x:c r="AA1100" s="25" t="str">
        <x:v>Public cash-home-buyer directory lists the business name, business phone/website where available and market. Operator role and corporate funding willingness require confirmation.</x:v>
      </x:c>
      <x:c r="AB1100" s="3" t="str">
        <x:v>New public-source collection</x:v>
      </x:c>
      <x:c r="AC1100" s="3" t="str">
        <x:v>unverified</x:v>
      </x:c>
      <x:c r="AD1100" s="3" t="str">
        <x:v>Not contacted / unconfirmed</x:v>
      </x:c>
      <x:c r="AE1100" s="3" t="str">
        <x:v>No</x:v>
      </x:c>
      <x:c r="AF1100" s="3" t="str">
        <x:v>No</x:v>
      </x:c>
      <x:c r="AG1100" s="3"/>
      <x:c r="AH1100" s="3"/>
      <x:c r="AI1100" s="18"/>
      <x:c r="AJ1100" s="3" t="str">
        <x:v>CF2500-A5993EC94AC2</x:v>
      </x:c>
      <x:c r="AK1100" s="3" t="str">
        <x:v>real_estate_operator</x:v>
      </x:c>
      <x:c r="AL1100" s="19" t="n">
        <x:v>100000</x:v>
      </x:c>
      <x:c r="AM1100" s="19" t="n">
        <x:v>500000</x:v>
      </x:c>
      <x:c r="AN1100" s="3" t="str">
        <x:v>https://www.cashhomebuyersdirectory.com/cash-home-buyers/hawaii/honolulu</x:v>
      </x:c>
      <x:c r="AO1100" s="3" t="str">
        <x:v>national_rest_directory_complete.jsonl</x:v>
      </x:c>
      <x:c r="AP1100" s="19"/>
    </x:row>
    <x:row r="1101" ht="36" customHeight="1">
      <x:c r="A1101" s="23" t="n">
        <x:v>1100</x:v>
      </x:c>
      <x:c r="B1101" s="15" t="str">
        <x:v>Joe Home Buyer Of Hampton Roads</x:v>
      </x:c>
      <x:c r="C1101" s="15"/>
      <x:c r="D1101" s="15" t="str">
        <x:v>Property investor / home-buying operator</x:v>
      </x:c>
      <x:c r="E1101" s="15" t="str">
        <x:v>Property investor / operator inquiry</x:v>
      </x:c>
      <x:c r="F1101" s="17" t="str">
        <x:v>New</x:v>
      </x:c>
      <x:c r="G1101" s="24"/>
      <x:c r="H1101" s="24" t="str">
        <x:v>+17572866985</x:v>
      </x:c>
      <x:c r="I1101" s="24" t="str">
        <x:v>https://joehomebuyer.com/hamptonroads/</x:v>
      </x:c>
      <x:c r="J1101" s="16" t="str">
        <x:v>VA</x:v>
      </x:c>
      <x:c r="K1101" s="16"/>
      <x:c r="L1101" s="16" t="str">
        <x:v>Public property-business route; investor decision maker unconfirmed</x:v>
      </x:c>
      <x:c r="M1101" s="16" t="str">
        <x:v>https://joehomebuyer.com/hamptonroads/</x:v>
      </x:c>
      <x:c r="N1101" s="16" t="str">
        <x:v>$100K-$500K ticket not published / unconfirmed</x:v>
      </x:c>
      <x:c r="O1101" s="20"/>
      <x:c r="P1101" s="20"/>
      <x:c r="Q1101" s="25" t="str">
        <x:v>No direct corporate-capital range established in checked source</x:v>
      </x:c>
      <x:c r="R1101" s="25" t="str">
        <x:v>Property acquisition or investor activity makes this an operator-capital prospect for the signed trial. Confirm operating-company debt/equity appetite.</x:v>
      </x:c>
      <x:c r="S1101" s="25"/>
      <x:c r="T1101" s="25" t="str">
        <x:v>Ask the owner/investor whether they can allocate $100K-$500K to trial marketing and acquisitions, and confirm structure, timing and decision authority.</x:v>
      </x:c>
      <x:c r="U1101" s="25" t="str">
        <x:v>https://www.cashhomebuyersdirectory.com/cash-home-buyers/virginia/hampton
https://www.cashhomebuyersdirectory.com/cash-home-buyers/massachusetts/springfield</x:v>
      </x:c>
      <x:c r="V1101" s="26" t="d">
        <x:v>2026-10-02T00:00:00.000Z</x:v>
      </x:c>
      <x:c r="W1101" s="26" t="d">
        <x:v>2026-10-02T00:00:00.000Z</x:v>
      </x:c>
      <x:c r="X1101" s="25" t="str">
        <x:v>CashHomeBuyersDirectory third-party business listing; first-party business activity not checked in this batch</x:v>
      </x:c>
      <x:c r="Y1101" s="25"/>
      <x:c r="Z1101" s="25" t="str">
        <x:v>https://www.cashhomebuyersdirectory.com/cash-home-buyers/virginia/hampton</x:v>
      </x:c>
      <x:c r="AA1101" s="25" t="str">
        <x:v>Public cash-home-buyer directory lists the business name, business phone/website where available and market. Operator role and corporate funding willingness require confirmation.</x:v>
      </x:c>
      <x:c r="AB1101" s="3" t="str">
        <x:v>New public-source collection</x:v>
      </x:c>
      <x:c r="AC1101" s="3" t="str">
        <x:v>unverified</x:v>
      </x:c>
      <x:c r="AD1101" s="3" t="str">
        <x:v>Not contacted / unconfirmed</x:v>
      </x:c>
      <x:c r="AE1101" s="3" t="str">
        <x:v>No</x:v>
      </x:c>
      <x:c r="AF1101" s="3" t="str">
        <x:v>No</x:v>
      </x:c>
      <x:c r="AG1101" s="3"/>
      <x:c r="AH1101" s="3" t="str">
        <x:v>Joe Homebuyer Western MA</x:v>
      </x:c>
      <x:c r="AI1101" s="18"/>
      <x:c r="AJ1101" s="3" t="str">
        <x:v>CF2500-E9A87FA84CA2</x:v>
      </x:c>
      <x:c r="AK1101" s="3" t="str">
        <x:v>real_estate_operator</x:v>
      </x:c>
      <x:c r="AL1101" s="19" t="n">
        <x:v>100000</x:v>
      </x:c>
      <x:c r="AM1101" s="19" t="n">
        <x:v>500000</x:v>
      </x:c>
      <x:c r="AN1101" s="3" t="str">
        <x:v>https://www.cashhomebuyersdirectory.com/cash-home-buyers/virginia/hampton</x:v>
      </x:c>
      <x:c r="AO1101" s="3" t="str">
        <x:v>national_rest_directory_complete.jsonl</x:v>
      </x:c>
      <x:c r="AP1101" s="19"/>
    </x:row>
    <x:row r="1102" ht="36" customHeight="1">
      <x:c r="A1102" s="23" t="n">
        <x:v>1101</x:v>
      </x:c>
      <x:c r="B1102" s="15" t="str">
        <x:v>Joe Home Buyer of SE Michigan</x:v>
      </x:c>
      <x:c r="C1102" s="15"/>
      <x:c r="D1102" s="15" t="str">
        <x:v>Property investor / home-buying operator</x:v>
      </x:c>
      <x:c r="E1102" s="15" t="str">
        <x:v>Property investor / operator inquiry</x:v>
      </x:c>
      <x:c r="F1102" s="17" t="str">
        <x:v>New</x:v>
      </x:c>
      <x:c r="G1102" s="24"/>
      <x:c r="H1102" s="24" t="str">
        <x:v>+12489492309</x:v>
      </x:c>
      <x:c r="I1102" s="24" t="str">
        <x:v>https://www.joehomebuyerofsemichigan.com/</x:v>
      </x:c>
      <x:c r="J1102" s="16" t="str">
        <x:v>MI</x:v>
      </x:c>
      <x:c r="K1102" s="16"/>
      <x:c r="L1102" s="16" t="str">
        <x:v>Public property-business route; investor decision maker unconfirmed</x:v>
      </x:c>
      <x:c r="M1102" s="16" t="str">
        <x:v>https://www.joehomebuyerofsemichigan.com/</x:v>
      </x:c>
      <x:c r="N1102" s="16" t="str">
        <x:v>$100K-$500K ticket not published / unconfirmed</x:v>
      </x:c>
      <x:c r="O1102" s="20"/>
      <x:c r="P1102" s="20"/>
      <x:c r="Q1102" s="25" t="str">
        <x:v>No direct corporate-capital range established in checked source</x:v>
      </x:c>
      <x:c r="R1102" s="25" t="str">
        <x:v>Property acquisition or investor activity makes this an operator-capital prospect for the signed trial. Confirm operating-company debt/equity appetite.</x:v>
      </x:c>
      <x:c r="S1102" s="25"/>
      <x:c r="T1102" s="25" t="str">
        <x:v>Ask the owner/investor whether they can allocate $100K-$500K to trial marketing and acquisitions, and confirm structure, timing and decision authority.</x:v>
      </x:c>
      <x:c r="U1102" s="25" t="str">
        <x:v>https://www.cashhomebuyersdirectory.com/cash-home-buyers/michigan/flint
https://www.cashhomebuyersdirectory.com/cash-home-buyers/michigan/lansing
https://www.cashhomebuyersdirectory.com/cash-home-buyers/michigan/saginaw</x:v>
      </x:c>
      <x:c r="V1102" s="26" t="d">
        <x:v>2026-10-02T00:00:00.000Z</x:v>
      </x:c>
      <x:c r="W1102" s="26" t="d">
        <x:v>2026-10-02T00:00:00.000Z</x:v>
      </x:c>
      <x:c r="X1102" s="25" t="str">
        <x:v>CashHomeBuyersDirectory third-party business listing; first-party business activity not checked in this batch</x:v>
      </x:c>
      <x:c r="Y1102" s="25"/>
      <x:c r="Z1102" s="25" t="str">
        <x:v>https://www.cashhomebuyersdirectory.com/cash-home-buyers/michigan/flint</x:v>
      </x:c>
      <x:c r="AA1102" s="25" t="str">
        <x:v>Public cash-home-buyer directory lists the business name, business phone/website where available and market. Operator role and corporate funding willingness require confirmation.</x:v>
      </x:c>
      <x:c r="AB1102" s="3" t="str">
        <x:v>New public-source collection</x:v>
      </x:c>
      <x:c r="AC1102" s="3" t="str">
        <x:v>unverified</x:v>
      </x:c>
      <x:c r="AD1102" s="3" t="str">
        <x:v>Not contacted / unconfirmed</x:v>
      </x:c>
      <x:c r="AE1102" s="3" t="str">
        <x:v>No</x:v>
      </x:c>
      <x:c r="AF1102" s="3" t="str">
        <x:v>No</x:v>
      </x:c>
      <x:c r="AG1102" s="3"/>
      <x:c r="AH1102" s="3"/>
      <x:c r="AI1102" s="18"/>
      <x:c r="AJ1102" s="3" t="str">
        <x:v>CF2500-A87F100CE4AC</x:v>
      </x:c>
      <x:c r="AK1102" s="3" t="str">
        <x:v>real_estate_operator</x:v>
      </x:c>
      <x:c r="AL1102" s="19" t="n">
        <x:v>100000</x:v>
      </x:c>
      <x:c r="AM1102" s="19" t="n">
        <x:v>500000</x:v>
      </x:c>
      <x:c r="AN1102" s="3" t="str">
        <x:v>https://www.cashhomebuyersdirectory.com/cash-home-buyers/michigan/flint</x:v>
      </x:c>
      <x:c r="AO1102" s="3" t="str">
        <x:v>national_rest_directory_complete.jsonl</x:v>
      </x:c>
      <x:c r="AP1102" s="19"/>
    </x:row>
    <x:row r="1103" ht="36" customHeight="1">
      <x:c r="A1103" s="23" t="n">
        <x:v>1102</x:v>
      </x:c>
      <x:c r="B1103" s="15" t="str">
        <x:v>Joe Homebuyer Greater Richmond</x:v>
      </x:c>
      <x:c r="C1103" s="15"/>
      <x:c r="D1103" s="15" t="str">
        <x:v>Property investor / home-buying operator</x:v>
      </x:c>
      <x:c r="E1103" s="15" t="str">
        <x:v>Property investor / operator inquiry</x:v>
      </x:c>
      <x:c r="F1103" s="17" t="str">
        <x:v>New</x:v>
      </x:c>
      <x:c r="G1103" s="24"/>
      <x:c r="H1103" s="24" t="str">
        <x:v>+18043910955</x:v>
      </x:c>
      <x:c r="I1103" s="24" t="str">
        <x:v>https://www.joehomebuyerva.com/?utm_source=GoogleBusinessProfile&amp;utm_medium=organic</x:v>
      </x:c>
      <x:c r="J1103" s="16" t="str">
        <x:v>VA</x:v>
      </x:c>
      <x:c r="K1103" s="16"/>
      <x:c r="L1103" s="16" t="str">
        <x:v>Public property-business route; investor decision maker unconfirmed</x:v>
      </x:c>
      <x:c r="M1103" s="16" t="str">
        <x:v>https://www.joehomebuyerva.com/?utm_source=GoogleBusinessProfile&amp;utm_medium=organic</x:v>
      </x:c>
      <x:c r="N1103" s="16" t="str">
        <x:v>$100K-$500K ticket not published / unconfirmed</x:v>
      </x:c>
      <x:c r="O1103" s="20"/>
      <x:c r="P1103" s="20"/>
      <x:c r="Q1103" s="25" t="str">
        <x:v>No direct corporate-capital range established in checked source</x:v>
      </x:c>
      <x:c r="R1103" s="25" t="str">
        <x:v>Property acquisition or investor activity makes this an operator-capital prospect for the signed trial. Confirm operating-company debt/equity appetite.</x:v>
      </x:c>
      <x:c r="S1103" s="25"/>
      <x:c r="T1103" s="25" t="str">
        <x:v>Ask the owner/investor whether they can allocate $100K-$500K to trial marketing and acquisitions, and confirm structure, timing and decision authority.</x:v>
      </x:c>
      <x:c r="U1103" s="25" t="str">
        <x:v>https://www.cashhomebuyersdirectory.com/cash-home-buyers/virginia/richmond</x:v>
      </x:c>
      <x:c r="V1103" s="26" t="d">
        <x:v>2026-10-02T00:00:00.000Z</x:v>
      </x:c>
      <x:c r="W1103" s="26" t="d">
        <x:v>2026-10-02T00:00:00.000Z</x:v>
      </x:c>
      <x:c r="X1103" s="25" t="str">
        <x:v>CashHomeBuyersDirectory third-party business listing; first-party business activity not checked in this batch</x:v>
      </x:c>
      <x:c r="Y1103" s="25"/>
      <x:c r="Z1103" s="25" t="str">
        <x:v>https://www.cashhomebuyersdirectory.com/cash-home-buyers/virginia/richmond</x:v>
      </x:c>
      <x:c r="AA1103" s="25" t="str">
        <x:v>Public cash-home-buyer directory lists the business name, business phone/website where available and market. Operator role and corporate funding willingness require confirmation.</x:v>
      </x:c>
      <x:c r="AB1103" s="3" t="str">
        <x:v>New public-source collection</x:v>
      </x:c>
      <x:c r="AC1103" s="3" t="str">
        <x:v>unverified</x:v>
      </x:c>
      <x:c r="AD1103" s="3" t="str">
        <x:v>Not contacted / unconfirmed</x:v>
      </x:c>
      <x:c r="AE1103" s="3" t="str">
        <x:v>No</x:v>
      </x:c>
      <x:c r="AF1103" s="3" t="str">
        <x:v>No</x:v>
      </x:c>
      <x:c r="AG1103" s="3"/>
      <x:c r="AH1103" s="3"/>
      <x:c r="AI1103" s="18"/>
      <x:c r="AJ1103" s="3" t="str">
        <x:v>CF2500-77D084921B40</x:v>
      </x:c>
      <x:c r="AK1103" s="3" t="str">
        <x:v>real_estate_operator</x:v>
      </x:c>
      <x:c r="AL1103" s="19" t="n">
        <x:v>100000</x:v>
      </x:c>
      <x:c r="AM1103" s="19" t="n">
        <x:v>500000</x:v>
      </x:c>
      <x:c r="AN1103" s="3" t="str">
        <x:v>https://www.cashhomebuyersdirectory.com/cash-home-buyers/virginia/richmond</x:v>
      </x:c>
      <x:c r="AO1103" s="3" t="str">
        <x:v>national_rest_directory_complete.jsonl</x:v>
      </x:c>
      <x:c r="AP1103" s="19"/>
    </x:row>
    <x:row r="1104" ht="36" customHeight="1">
      <x:c r="A1104" s="23" t="n">
        <x:v>1103</x:v>
      </x:c>
      <x:c r="B1104" s="15" t="str">
        <x:v>Joe Homebuyer Kentucky</x:v>
      </x:c>
      <x:c r="C1104" s="15"/>
      <x:c r="D1104" s="15" t="str">
        <x:v>Property investor / home-buying operator</x:v>
      </x:c>
      <x:c r="E1104" s="15" t="str">
        <x:v>Property investor / operator inquiry</x:v>
      </x:c>
      <x:c r="F1104" s="17" t="str">
        <x:v>New</x:v>
      </x:c>
      <x:c r="G1104" s="24"/>
      <x:c r="H1104" s="24" t="str">
        <x:v>+15022085474</x:v>
      </x:c>
      <x:c r="I1104" s="24" t="str">
        <x:v>https://www.joehomebuyerkentucky.com/?utm_source=gbp_listing&amp;utm_medium=organic</x:v>
      </x:c>
      <x:c r="J1104" s="16" t="str">
        <x:v>KY</x:v>
      </x:c>
      <x:c r="K1104" s="16" t="str">
        <x:v>Louisville</x:v>
      </x:c>
      <x:c r="L1104" s="16" t="str">
        <x:v>Public property-business route; investor decision maker unconfirmed</x:v>
      </x:c>
      <x:c r="M1104" s="16" t="str">
        <x:v>https://www.joehomebuyerkentucky.com/?utm_source=gbp_listing&amp;utm_medium=organic</x:v>
      </x:c>
      <x:c r="N1104" s="16" t="str">
        <x:v>$100K-$500K ticket not published / unconfirmed</x:v>
      </x:c>
      <x:c r="O1104" s="20"/>
      <x:c r="P1104" s="20"/>
      <x:c r="Q1104" s="25" t="str">
        <x:v>No direct corporate-capital range established in checked source</x:v>
      </x:c>
      <x:c r="R1104" s="25" t="str">
        <x:v>Property acquisition or investor activity makes this an operator-capital prospect for the signed trial. Confirm operating-company debt/equity appetite.</x:v>
      </x:c>
      <x:c r="S1104" s="25"/>
      <x:c r="T1104" s="25" t="str">
        <x:v>Ask the owner/investor whether they can allocate $100K-$500K to trial marketing and acquisitions, and confirm structure, timing and decision authority.</x:v>
      </x:c>
      <x:c r="U1104" s="25" t="str">
        <x:v>https://www.cashhomebuyersdirectory.com/cash-home-buyers/kentucky/louisville</x:v>
      </x:c>
      <x:c r="V1104" s="26" t="d">
        <x:v>2026-10-02T00:00:00.000Z</x:v>
      </x:c>
      <x:c r="W1104" s="26" t="d">
        <x:v>2026-10-02T00:00:00.000Z</x:v>
      </x:c>
      <x:c r="X1104" s="25" t="str">
        <x:v>CashHomeBuyersDirectory third-party business listing; first-party business activity not checked in this batch</x:v>
      </x:c>
      <x:c r="Y1104" s="25"/>
      <x:c r="Z1104" s="25" t="str">
        <x:v>https://www.cashhomebuyersdirectory.com/cash-home-buyers/kentucky/louisville</x:v>
      </x:c>
      <x:c r="AA1104" s="25" t="str">
        <x:v>Public cash-home-buyer directory lists the business name, business phone/website where available and market. Operator role and corporate funding willingness require confirmation.</x:v>
      </x:c>
      <x:c r="AB1104" s="3" t="str">
        <x:v>New public-source collection</x:v>
      </x:c>
      <x:c r="AC1104" s="3" t="str">
        <x:v>unverified</x:v>
      </x:c>
      <x:c r="AD1104" s="3" t="str">
        <x:v>Not contacted / unconfirmed</x:v>
      </x:c>
      <x:c r="AE1104" s="3" t="str">
        <x:v>No</x:v>
      </x:c>
      <x:c r="AF1104" s="3" t="str">
        <x:v>No</x:v>
      </x:c>
      <x:c r="AG1104" s="3"/>
      <x:c r="AH1104" s="3"/>
      <x:c r="AI1104" s="18"/>
      <x:c r="AJ1104" s="3" t="str">
        <x:v>CF2500-7D10FF26350A</x:v>
      </x:c>
      <x:c r="AK1104" s="3" t="str">
        <x:v>real_estate_operator</x:v>
      </x:c>
      <x:c r="AL1104" s="19" t="n">
        <x:v>100000</x:v>
      </x:c>
      <x:c r="AM1104" s="19" t="n">
        <x:v>500000</x:v>
      </x:c>
      <x:c r="AN1104" s="3" t="str">
        <x:v>https://www.cashhomebuyersdirectory.com/cash-home-buyers/kentucky/louisville</x:v>
      </x:c>
      <x:c r="AO1104" s="3" t="str">
        <x:v>national_rest_directory_complete.jsonl</x:v>
      </x:c>
      <x:c r="AP1104" s="19"/>
    </x:row>
    <x:row r="1105" ht="36" customHeight="1">
      <x:c r="A1105" s="23" t="n">
        <x:v>1104</x:v>
      </x:c>
      <x:c r="B1105" s="15" t="str">
        <x:v>Joe Homebuyer RVA</x:v>
      </x:c>
      <x:c r="C1105" s="15"/>
      <x:c r="D1105" s="15" t="str">
        <x:v>Property investor / home-buying operator</x:v>
      </x:c>
      <x:c r="E1105" s="15" t="str">
        <x:v>Property investor / operator inquiry</x:v>
      </x:c>
      <x:c r="F1105" s="17" t="str">
        <x:v>New</x:v>
      </x:c>
      <x:c r="G1105" s="24"/>
      <x:c r="H1105" s="24" t="str">
        <x:v>+18044084718</x:v>
      </x:c>
      <x:c r="I1105" s="24" t="str">
        <x:v>https://www.joehomebuyerrva.com/?utm_campaign=gmb</x:v>
      </x:c>
      <x:c r="J1105" s="16" t="str">
        <x:v>VA</x:v>
      </x:c>
      <x:c r="K1105" s="16" t="str">
        <x:v>Richmond</x:v>
      </x:c>
      <x:c r="L1105" s="16" t="str">
        <x:v>Public property-business route; investor decision maker unconfirmed</x:v>
      </x:c>
      <x:c r="M1105" s="16" t="str">
        <x:v>https://www.joehomebuyerrva.com/?utm_campaign=gmb</x:v>
      </x:c>
      <x:c r="N1105" s="16" t="str">
        <x:v>$100K-$500K ticket not published / unconfirmed</x:v>
      </x:c>
      <x:c r="O1105" s="20"/>
      <x:c r="P1105" s="20"/>
      <x:c r="Q1105" s="25" t="str">
        <x:v>No direct corporate-capital range established in checked source</x:v>
      </x:c>
      <x:c r="R1105" s="25" t="str">
        <x:v>Property acquisition or investor activity makes this an operator-capital prospect for the signed trial. Confirm operating-company debt/equity appetite.</x:v>
      </x:c>
      <x:c r="S1105" s="25"/>
      <x:c r="T1105" s="25" t="str">
        <x:v>Ask the owner/investor whether they can allocate $100K-$500K to trial marketing and acquisitions, and confirm structure, timing and decision authority.</x:v>
      </x:c>
      <x:c r="U1105" s="25" t="str">
        <x:v>https://www.cashhomebuyersdirectory.com/cash-home-buyers/virginia/richmond</x:v>
      </x:c>
      <x:c r="V1105" s="26" t="d">
        <x:v>2026-10-02T00:00:00.000Z</x:v>
      </x:c>
      <x:c r="W1105" s="26" t="d">
        <x:v>2026-10-02T00:00:00.000Z</x:v>
      </x:c>
      <x:c r="X1105" s="25" t="str">
        <x:v>CashHomeBuyersDirectory third-party business listing; first-party business activity not checked in this batch</x:v>
      </x:c>
      <x:c r="Y1105" s="25"/>
      <x:c r="Z1105" s="25" t="str">
        <x:v>https://www.cashhomebuyersdirectory.com/cash-home-buyers/virginia/richmond</x:v>
      </x:c>
      <x:c r="AA1105" s="25" t="str">
        <x:v>Public cash-home-buyer directory lists the business name, business phone/website where available and market. Operator role and corporate funding willingness require confirmation.</x:v>
      </x:c>
      <x:c r="AB1105" s="3" t="str">
        <x:v>New public-source collection</x:v>
      </x:c>
      <x:c r="AC1105" s="3" t="str">
        <x:v>unverified</x:v>
      </x:c>
      <x:c r="AD1105" s="3" t="str">
        <x:v>Not contacted / unconfirmed</x:v>
      </x:c>
      <x:c r="AE1105" s="3" t="str">
        <x:v>No</x:v>
      </x:c>
      <x:c r="AF1105" s="3" t="str">
        <x:v>No</x:v>
      </x:c>
      <x:c r="AG1105" s="3"/>
      <x:c r="AH1105" s="3"/>
      <x:c r="AI1105" s="18"/>
      <x:c r="AJ1105" s="3" t="str">
        <x:v>CF2500-B5077DD7A19A</x:v>
      </x:c>
      <x:c r="AK1105" s="3" t="str">
        <x:v>real_estate_operator</x:v>
      </x:c>
      <x:c r="AL1105" s="19" t="n">
        <x:v>100000</x:v>
      </x:c>
      <x:c r="AM1105" s="19" t="n">
        <x:v>500000</x:v>
      </x:c>
      <x:c r="AN1105" s="3" t="str">
        <x:v>https://www.cashhomebuyersdirectory.com/cash-home-buyers/virginia/richmond</x:v>
      </x:c>
      <x:c r="AO1105" s="3" t="str">
        <x:v>national_rest_directory_complete.jsonl</x:v>
      </x:c>
      <x:c r="AP1105" s="19"/>
    </x:row>
    <x:row r="1106" ht="36" customHeight="1">
      <x:c r="A1106" s="23" t="n">
        <x:v>1105</x:v>
      </x:c>
      <x:c r="B1106" s="15" t="str">
        <x:v>Joe Homebuyer Sacramento</x:v>
      </x:c>
      <x:c r="C1106" s="15"/>
      <x:c r="D1106" s="15" t="str">
        <x:v>Property investor / home-buying operator</x:v>
      </x:c>
      <x:c r="E1106" s="15" t="str">
        <x:v>Property investor / operator inquiry</x:v>
      </x:c>
      <x:c r="F1106" s="17" t="str">
        <x:v>New</x:v>
      </x:c>
      <x:c r="G1106" s="24"/>
      <x:c r="H1106" s="24" t="str">
        <x:v>+19166024103</x:v>
      </x:c>
      <x:c r="I1106" s="24" t="str">
        <x:v>https://www.joehomebuyersacramentoarea.com/?UTM_source=GBP_Listing&amp;UTM_medium=Organic</x:v>
      </x:c>
      <x:c r="J1106" s="16" t="str">
        <x:v>CA</x:v>
      </x:c>
      <x:c r="K1106" s="16" t="str">
        <x:v>Sacramento</x:v>
      </x:c>
      <x:c r="L1106" s="16" t="str">
        <x:v>Public property-business route; investor decision maker unconfirmed</x:v>
      </x:c>
      <x:c r="M1106" s="16" t="str">
        <x:v>https://www.joehomebuyersacramentoarea.com/?UTM_source=GBP_Listing&amp;UTM_medium=Organic</x:v>
      </x:c>
      <x:c r="N1106" s="16" t="str">
        <x:v>$100K-$500K ticket not published / unconfirmed</x:v>
      </x:c>
      <x:c r="O1106" s="20"/>
      <x:c r="P1106" s="20"/>
      <x:c r="Q1106" s="25" t="str">
        <x:v>No direct corporate-capital range established in checked source</x:v>
      </x:c>
      <x:c r="R1106" s="25" t="str">
        <x:v>Property acquisition or investor activity makes this an operator-capital prospect for the signed trial. Confirm operating-company debt/equity appetite.</x:v>
      </x:c>
      <x:c r="S1106" s="25"/>
      <x:c r="T1106" s="25" t="str">
        <x:v>Ask the owner/investor whether they can allocate $100K-$500K to trial marketing and acquisitions, and confirm structure, timing and decision authority.</x:v>
      </x:c>
      <x:c r="U1106" s="25" t="str">
        <x:v>https://www.cashhomebuyersdirectory.com/cash-home-buyers/california/sacramento</x:v>
      </x:c>
      <x:c r="V1106" s="26" t="d">
        <x:v>2026-10-02T00:00:00.000Z</x:v>
      </x:c>
      <x:c r="W1106" s="26" t="d">
        <x:v>2026-10-02T00:00:00.000Z</x:v>
      </x:c>
      <x:c r="X1106" s="25" t="str">
        <x:v>CashHomeBuyersDirectory third-party business listing; first-party business activity not checked in this batch</x:v>
      </x:c>
      <x:c r="Y1106" s="25"/>
      <x:c r="Z1106" s="25" t="str">
        <x:v>https://www.cashhomebuyersdirectory.com/cash-home-buyers/california/sacramento</x:v>
      </x:c>
      <x:c r="AA1106" s="25" t="str">
        <x:v>Public cash-home-buyer directory lists the business name, business phone/website where available and market. Operator role and corporate funding willingness require confirmation.</x:v>
      </x:c>
      <x:c r="AB1106" s="3" t="str">
        <x:v>New public-source collection</x:v>
      </x:c>
      <x:c r="AC1106" s="3" t="str">
        <x:v>unverified</x:v>
      </x:c>
      <x:c r="AD1106" s="3" t="str">
        <x:v>Not contacted / unconfirmed</x:v>
      </x:c>
      <x:c r="AE1106" s="3" t="str">
        <x:v>No</x:v>
      </x:c>
      <x:c r="AF1106" s="3" t="str">
        <x:v>No</x:v>
      </x:c>
      <x:c r="AG1106" s="3"/>
      <x:c r="AH1106" s="3"/>
      <x:c r="AI1106" s="18"/>
      <x:c r="AJ1106" s="3" t="str">
        <x:v>CF2500-BE976CE25D91</x:v>
      </x:c>
      <x:c r="AK1106" s="3" t="str">
        <x:v>real_estate_operator</x:v>
      </x:c>
      <x:c r="AL1106" s="19" t="n">
        <x:v>100000</x:v>
      </x:c>
      <x:c r="AM1106" s="19" t="n">
        <x:v>500000</x:v>
      </x:c>
      <x:c r="AN1106" s="3" t="str">
        <x:v>https://www.cashhomebuyersdirectory.com/cash-home-buyers/california/sacramento</x:v>
      </x:c>
      <x:c r="AO1106" s="3" t="str">
        <x:v>national_rest_directory_complete.jsonl</x:v>
      </x:c>
      <x:c r="AP1106" s="19"/>
    </x:row>
    <x:row r="1107" ht="36" customHeight="1">
      <x:c r="A1107" s="23" t="n">
        <x:v>1106</x:v>
      </x:c>
      <x:c r="B1107" s="15" t="str">
        <x:v>John and Spence - We Buy Houses</x:v>
      </x:c>
      <x:c r="C1107" s="15"/>
      <x:c r="D1107" s="15" t="str">
        <x:v>Property investor / home-buying operator</x:v>
      </x:c>
      <x:c r="E1107" s="15" t="str">
        <x:v>Property investor / operator inquiry</x:v>
      </x:c>
      <x:c r="F1107" s="17" t="str">
        <x:v>New</x:v>
      </x:c>
      <x:c r="G1107" s="24"/>
      <x:c r="H1107" s="24" t="str">
        <x:v>+12403324071</x:v>
      </x:c>
      <x:c r="I1107" s="24" t="str">
        <x:v>https://www.johnandspence.com/</x:v>
      </x:c>
      <x:c r="J1107" s="16" t="str">
        <x:v>MD</x:v>
      </x:c>
      <x:c r="K1107" s="16" t="str">
        <x:v>Bethesda</x:v>
      </x:c>
      <x:c r="L1107" s="16" t="str">
        <x:v>Public property-business route; investor decision maker unconfirmed</x:v>
      </x:c>
      <x:c r="M1107" s="16" t="str">
        <x:v>https://www.johnandspence.com/</x:v>
      </x:c>
      <x:c r="N1107" s="16" t="str">
        <x:v>$100K-$500K ticket not published / unconfirmed</x:v>
      </x:c>
      <x:c r="O1107" s="20"/>
      <x:c r="P1107" s="20"/>
      <x:c r="Q1107" s="25" t="str">
        <x:v>No direct corporate-capital range established in checked source</x:v>
      </x:c>
      <x:c r="R1107" s="25" t="str">
        <x:v>Property acquisition or investor activity makes this an operator-capital prospect for the signed trial. Confirm operating-company debt/equity appetite.</x:v>
      </x:c>
      <x:c r="S1107" s="25"/>
      <x:c r="T1107" s="25" t="str">
        <x:v>Ask the owner/investor whether they can allocate $100K-$500K to trial marketing and acquisitions, and confirm structure, timing and decision authority.</x:v>
      </x:c>
      <x:c r="U1107" s="25" t="str">
        <x:v>https://www.cashhomebuyersdirectory.com/cash-home-buyers/maryland/bethesda</x:v>
      </x:c>
      <x:c r="V1107" s="26" t="d">
        <x:v>2026-10-02T00:00:00.000Z</x:v>
      </x:c>
      <x:c r="W1107" s="26" t="d">
        <x:v>2026-10-02T00:00:00.000Z</x:v>
      </x:c>
      <x:c r="X1107" s="25" t="str">
        <x:v>CashHomeBuyersDirectory third-party business listing; first-party business activity not checked in this batch</x:v>
      </x:c>
      <x:c r="Y1107" s="25"/>
      <x:c r="Z1107" s="25" t="str">
        <x:v>https://www.cashhomebuyersdirectory.com/cash-home-buyers/maryland/bethesda</x:v>
      </x:c>
      <x:c r="AA1107" s="25" t="str">
        <x:v>Public cash-home-buyer directory lists the business name, business phone/website where available and market. Operator role and corporate funding willingness require confirmation.</x:v>
      </x:c>
      <x:c r="AB1107" s="3" t="str">
        <x:v>New public-source collection</x:v>
      </x:c>
      <x:c r="AC1107" s="3" t="str">
        <x:v>unverified</x:v>
      </x:c>
      <x:c r="AD1107" s="3" t="str">
        <x:v>Not contacted / unconfirmed</x:v>
      </x:c>
      <x:c r="AE1107" s="3" t="str">
        <x:v>No</x:v>
      </x:c>
      <x:c r="AF1107" s="3" t="str">
        <x:v>No</x:v>
      </x:c>
      <x:c r="AG1107" s="3"/>
      <x:c r="AH1107" s="3"/>
      <x:c r="AI1107" s="18"/>
      <x:c r="AJ1107" s="3" t="str">
        <x:v>CF2500-8CC629C329E5</x:v>
      </x:c>
      <x:c r="AK1107" s="3" t="str">
        <x:v>real_estate_operator</x:v>
      </x:c>
      <x:c r="AL1107" s="19" t="n">
        <x:v>100000</x:v>
      </x:c>
      <x:c r="AM1107" s="19" t="n">
        <x:v>500000</x:v>
      </x:c>
      <x:c r="AN1107" s="3" t="str">
        <x:v>https://www.cashhomebuyersdirectory.com/cash-home-buyers/maryland/bethesda</x:v>
      </x:c>
      <x:c r="AO1107" s="3" t="str">
        <x:v>national_rest_directory_complete.jsonl</x:v>
      </x:c>
      <x:c r="AP1107" s="19"/>
    </x:row>
    <x:row r="1108" ht="36" customHeight="1">
      <x:c r="A1108" s="23" t="n">
        <x:v>1107</x:v>
      </x:c>
      <x:c r="B1108" s="15" t="str">
        <x:v>Jones Street Homebuyers</x:v>
      </x:c>
      <x:c r="C1108" s="15"/>
      <x:c r="D1108" s="15" t="str">
        <x:v>Property investor / home-buying operator</x:v>
      </x:c>
      <x:c r="E1108" s="15" t="str">
        <x:v>Property investor / operator inquiry</x:v>
      </x:c>
      <x:c r="F1108" s="17" t="str">
        <x:v>New</x:v>
      </x:c>
      <x:c r="G1108" s="24"/>
      <x:c r="H1108" s="24" t="str">
        <x:v>+18445037355</x:v>
      </x:c>
      <x:c r="I1108" s="24" t="str">
        <x:v>http://www.jonesstreethomebuyers.com/</x:v>
      </x:c>
      <x:c r="J1108" s="16" t="str">
        <x:v>NV</x:v>
      </x:c>
      <x:c r="K1108" s="16" t="str">
        <x:v>Las Vegas</x:v>
      </x:c>
      <x:c r="L1108" s="16" t="str">
        <x:v>Public property-business route; investor decision maker unconfirmed</x:v>
      </x:c>
      <x:c r="M1108" s="16" t="str">
        <x:v>http://www.jonesstreethomebuyers.com/</x:v>
      </x:c>
      <x:c r="N1108" s="16" t="str">
        <x:v>$100K-$500K ticket not published / unconfirmed</x:v>
      </x:c>
      <x:c r="O1108" s="20"/>
      <x:c r="P1108" s="20"/>
      <x:c r="Q1108" s="25" t="str">
        <x:v>No direct corporate-capital range established in checked source</x:v>
      </x:c>
      <x:c r="R1108" s="25" t="str">
        <x:v>Property acquisition or investor activity makes this an operator-capital prospect for the signed trial. Confirm operating-company debt/equity appetite.</x:v>
      </x:c>
      <x:c r="S1108" s="25"/>
      <x:c r="T1108" s="25" t="str">
        <x:v>Ask the owner/investor whether they can allocate $100K-$500K to trial marketing and acquisitions, and confirm structure, timing and decision authority.</x:v>
      </x:c>
      <x:c r="U1108" s="25" t="str">
        <x:v>https://www.cashhomebuyersdirectory.com/cash-home-buyers/nevada/las-vegas</x:v>
      </x:c>
      <x:c r="V1108" s="26" t="d">
        <x:v>2026-10-02T00:00:00.000Z</x:v>
      </x:c>
      <x:c r="W1108" s="26" t="d">
        <x:v>2026-10-02T00:00:00.000Z</x:v>
      </x:c>
      <x:c r="X1108" s="25" t="str">
        <x:v>CashHomeBuyersDirectory third-party business listing; first-party business activity not checked in this batch</x:v>
      </x:c>
      <x:c r="Y1108" s="25"/>
      <x:c r="Z1108" s="25" t="str">
        <x:v>https://www.cashhomebuyersdirectory.com/cash-home-buyers/nevada/las-vegas</x:v>
      </x:c>
      <x:c r="AA1108" s="25" t="str">
        <x:v>Public cash-home-buyer directory lists the business name, business phone/website where available and market. Operator role and corporate funding willingness require confirmation.</x:v>
      </x:c>
      <x:c r="AB1108" s="3" t="str">
        <x:v>New public-source collection</x:v>
      </x:c>
      <x:c r="AC1108" s="3" t="str">
        <x:v>unverified</x:v>
      </x:c>
      <x:c r="AD1108" s="3" t="str">
        <x:v>Not contacted / unconfirmed</x:v>
      </x:c>
      <x:c r="AE1108" s="3" t="str">
        <x:v>No</x:v>
      </x:c>
      <x:c r="AF1108" s="3" t="str">
        <x:v>No</x:v>
      </x:c>
      <x:c r="AG1108" s="3"/>
      <x:c r="AH1108" s="3"/>
      <x:c r="AI1108" s="18"/>
      <x:c r="AJ1108" s="3" t="str">
        <x:v>CF2500-30E0AB127FE7</x:v>
      </x:c>
      <x:c r="AK1108" s="3" t="str">
        <x:v>real_estate_operator</x:v>
      </x:c>
      <x:c r="AL1108" s="19" t="n">
        <x:v>100000</x:v>
      </x:c>
      <x:c r="AM1108" s="19" t="n">
        <x:v>500000</x:v>
      </x:c>
      <x:c r="AN1108" s="3" t="str">
        <x:v>https://www.cashhomebuyersdirectory.com/cash-home-buyers/nevada/las-vegas</x:v>
      </x:c>
      <x:c r="AO1108" s="3" t="str">
        <x:v>national_rest_directory_complete.jsonl</x:v>
      </x:c>
      <x:c r="AP1108" s="19"/>
    </x:row>
    <x:row r="1109" ht="36" customHeight="1">
      <x:c r="A1109" s="23" t="n">
        <x:v>1108</x:v>
      </x:c>
      <x:c r="B1109" s="15" t="str">
        <x:v>Journey Home Buyers</x:v>
      </x:c>
      <x:c r="C1109" s="15"/>
      <x:c r="D1109" s="15" t="str">
        <x:v>Property investor / home-buying operator</x:v>
      </x:c>
      <x:c r="E1109" s="15" t="str">
        <x:v>Property investor / operator inquiry</x:v>
      </x:c>
      <x:c r="F1109" s="17" t="str">
        <x:v>New</x:v>
      </x:c>
      <x:c r="G1109" s="24"/>
      <x:c r="H1109" s="24" t="str">
        <x:v>+15402962607</x:v>
      </x:c>
      <x:c r="I1109" s="24" t="str">
        <x:v>http://www.journeyhomebuyers.com/</x:v>
      </x:c>
      <x:c r="J1109" s="16" t="str">
        <x:v>VA</x:v>
      </x:c>
      <x:c r="K1109" s="16" t="str">
        <x:v>Roanoke</x:v>
      </x:c>
      <x:c r="L1109" s="16" t="str">
        <x:v>Public property-business route; investor decision maker unconfirmed</x:v>
      </x:c>
      <x:c r="M1109" s="16" t="str">
        <x:v>http://www.journeyhomebuyers.com/</x:v>
      </x:c>
      <x:c r="N1109" s="16" t="str">
        <x:v>$100K-$500K ticket not published / unconfirmed</x:v>
      </x:c>
      <x:c r="O1109" s="20"/>
      <x:c r="P1109" s="20"/>
      <x:c r="Q1109" s="25" t="str">
        <x:v>No direct corporate-capital range established in checked source</x:v>
      </x:c>
      <x:c r="R1109" s="25" t="str">
        <x:v>Property acquisition or investor activity makes this an operator-capital prospect for the signed trial. Confirm operating-company debt/equity appetite.</x:v>
      </x:c>
      <x:c r="S1109" s="25"/>
      <x:c r="T1109" s="25" t="str">
        <x:v>Ask the owner/investor whether they can allocate $100K-$500K to trial marketing and acquisitions, and confirm structure, timing and decision authority.</x:v>
      </x:c>
      <x:c r="U1109" s="25" t="str">
        <x:v>https://www.cashhomebuyersdirectory.com/cash-home-buyers/virginia/roanoke</x:v>
      </x:c>
      <x:c r="V1109" s="26" t="d">
        <x:v>2026-10-02T00:00:00.000Z</x:v>
      </x:c>
      <x:c r="W1109" s="26" t="d">
        <x:v>2026-10-02T00:00:00.000Z</x:v>
      </x:c>
      <x:c r="X1109" s="25" t="str">
        <x:v>CashHomeBuyersDirectory third-party business listing; first-party business activity not checked in this batch</x:v>
      </x:c>
      <x:c r="Y1109" s="25"/>
      <x:c r="Z1109" s="25" t="str">
        <x:v>https://www.cashhomebuyersdirectory.com/cash-home-buyers/virginia/roanoke</x:v>
      </x:c>
      <x:c r="AA1109" s="25" t="str">
        <x:v>Public cash-home-buyer directory lists the business name, business phone/website where available and market. Operator role and corporate funding willingness require confirmation.</x:v>
      </x:c>
      <x:c r="AB1109" s="3" t="str">
        <x:v>New public-source collection</x:v>
      </x:c>
      <x:c r="AC1109" s="3" t="str">
        <x:v>unverified</x:v>
      </x:c>
      <x:c r="AD1109" s="3" t="str">
        <x:v>Not contacted / unconfirmed</x:v>
      </x:c>
      <x:c r="AE1109" s="3" t="str">
        <x:v>No</x:v>
      </x:c>
      <x:c r="AF1109" s="3" t="str">
        <x:v>No</x:v>
      </x:c>
      <x:c r="AG1109" s="3"/>
      <x:c r="AH1109" s="3"/>
      <x:c r="AI1109" s="18"/>
      <x:c r="AJ1109" s="3" t="str">
        <x:v>CF2500-65FCDF774B82</x:v>
      </x:c>
      <x:c r="AK1109" s="3" t="str">
        <x:v>real_estate_operator</x:v>
      </x:c>
      <x:c r="AL1109" s="19" t="n">
        <x:v>100000</x:v>
      </x:c>
      <x:c r="AM1109" s="19" t="n">
        <x:v>500000</x:v>
      </x:c>
      <x:c r="AN1109" s="3" t="str">
        <x:v>https://www.cashhomebuyersdirectory.com/cash-home-buyers/virginia/roanoke</x:v>
      </x:c>
      <x:c r="AO1109" s="3" t="str">
        <x:v>national_rest_directory_complete.jsonl</x:v>
      </x:c>
      <x:c r="AP1109" s="19"/>
    </x:row>
    <x:row r="1110" ht="36" customHeight="1">
      <x:c r="A1110" s="23" t="n">
        <x:v>1109</x:v>
      </x:c>
      <x:c r="B1110" s="15" t="str">
        <x:v>Keen Home Buyers</x:v>
      </x:c>
      <x:c r="C1110" s="15"/>
      <x:c r="D1110" s="15" t="str">
        <x:v>Property investor / home-buying operator</x:v>
      </x:c>
      <x:c r="E1110" s="15" t="str">
        <x:v>Property investor / operator inquiry</x:v>
      </x:c>
      <x:c r="F1110" s="17" t="str">
        <x:v>New</x:v>
      </x:c>
      <x:c r="G1110" s="24"/>
      <x:c r="H1110" s="24" t="str">
        <x:v>+16017068585</x:v>
      </x:c>
      <x:c r="I1110" s="24" t="str">
        <x:v>http://www.keenhomebuyers.com/</x:v>
      </x:c>
      <x:c r="J1110" s="16" t="str">
        <x:v>MS</x:v>
      </x:c>
      <x:c r="K1110" s="16"/>
      <x:c r="L1110" s="16" t="str">
        <x:v>Public property-business route; investor decision maker unconfirmed</x:v>
      </x:c>
      <x:c r="M1110" s="16" t="str">
        <x:v>http://www.keenhomebuyers.com/</x:v>
      </x:c>
      <x:c r="N1110" s="16" t="str">
        <x:v>$100K-$500K ticket not published / unconfirmed</x:v>
      </x:c>
      <x:c r="O1110" s="20"/>
      <x:c r="P1110" s="20"/>
      <x:c r="Q1110" s="25" t="str">
        <x:v>No direct corporate-capital range established in checked source</x:v>
      </x:c>
      <x:c r="R1110" s="25" t="str">
        <x:v>Property acquisition or investor activity makes this an operator-capital prospect for the signed trial. Confirm operating-company debt/equity appetite.</x:v>
      </x:c>
      <x:c r="S1110" s="25"/>
      <x:c r="T1110" s="25" t="str">
        <x:v>Ask the owner/investor whether they can allocate $100K-$500K to trial marketing and acquisitions, and confirm structure, timing and decision authority.</x:v>
      </x:c>
      <x:c r="U1110" s="25" t="str">
        <x:v>https://www.cashhomebuyersdirectory.com/cash-home-buyers/mississippi/jackson</x:v>
      </x:c>
      <x:c r="V1110" s="26" t="d">
        <x:v>2026-10-02T00:00:00.000Z</x:v>
      </x:c>
      <x:c r="W1110" s="26" t="d">
        <x:v>2026-10-02T00:00:00.000Z</x:v>
      </x:c>
      <x:c r="X1110" s="25" t="str">
        <x:v>CashHomeBuyersDirectory third-party business listing; first-party business activity not checked in this batch</x:v>
      </x:c>
      <x:c r="Y1110" s="25"/>
      <x:c r="Z1110" s="25" t="str">
        <x:v>https://www.cashhomebuyersdirectory.com/cash-home-buyers/mississippi/jackson</x:v>
      </x:c>
      <x:c r="AA1110" s="25" t="str">
        <x:v>Public cash-home-buyer directory lists the business name, business phone/website where available and market. Operator role and corporate funding willingness require confirmation.</x:v>
      </x:c>
      <x:c r="AB1110" s="3" t="str">
        <x:v>New public-source collection</x:v>
      </x:c>
      <x:c r="AC1110" s="3" t="str">
        <x:v>unverified</x:v>
      </x:c>
      <x:c r="AD1110" s="3" t="str">
        <x:v>Not contacted / unconfirmed</x:v>
      </x:c>
      <x:c r="AE1110" s="3" t="str">
        <x:v>No</x:v>
      </x:c>
      <x:c r="AF1110" s="3" t="str">
        <x:v>No</x:v>
      </x:c>
      <x:c r="AG1110" s="3"/>
      <x:c r="AH1110" s="3"/>
      <x:c r="AI1110" s="18"/>
      <x:c r="AJ1110" s="3" t="str">
        <x:v>CF2500-0DD2585BF15A</x:v>
      </x:c>
      <x:c r="AK1110" s="3" t="str">
        <x:v>real_estate_operator</x:v>
      </x:c>
      <x:c r="AL1110" s="19" t="n">
        <x:v>100000</x:v>
      </x:c>
      <x:c r="AM1110" s="19" t="n">
        <x:v>500000</x:v>
      </x:c>
      <x:c r="AN1110" s="3" t="str">
        <x:v>https://www.cashhomebuyersdirectory.com/cash-home-buyers/mississippi/jackson</x:v>
      </x:c>
      <x:c r="AO1110" s="3" t="str">
        <x:v>national_rest_directory_complete.jsonl</x:v>
      </x:c>
      <x:c r="AP1110" s="19"/>
    </x:row>
    <x:row r="1111" ht="36" customHeight="1">
      <x:c r="A1111" s="23" t="n">
        <x:v>1110</x:v>
      </x:c>
      <x:c r="B1111" s="15" t="str">
        <x:v>Kelvery House Buyers</x:v>
      </x:c>
      <x:c r="C1111" s="15"/>
      <x:c r="D1111" s="15" t="str">
        <x:v>Property investor / home-buying operator</x:v>
      </x:c>
      <x:c r="E1111" s="15" t="str">
        <x:v>Property investor / operator inquiry</x:v>
      </x:c>
      <x:c r="F1111" s="17" t="str">
        <x:v>New</x:v>
      </x:c>
      <x:c r="G1111" s="24"/>
      <x:c r="H1111" s="24" t="str">
        <x:v>+13197750407</x:v>
      </x:c>
      <x:c r="I1111" s="24" t="str">
        <x:v>http://www.kelveryhousebuyers.com/</x:v>
      </x:c>
      <x:c r="J1111" s="16" t="str">
        <x:v>IA</x:v>
      </x:c>
      <x:c r="K1111" s="16" t="str">
        <x:v>Cedar Rapids</x:v>
      </x:c>
      <x:c r="L1111" s="16" t="str">
        <x:v>Public property-business route; investor decision maker unconfirmed</x:v>
      </x:c>
      <x:c r="M1111" s="16" t="str">
        <x:v>http://www.kelveryhousebuyers.com/</x:v>
      </x:c>
      <x:c r="N1111" s="16" t="str">
        <x:v>$100K-$500K ticket not published / unconfirmed</x:v>
      </x:c>
      <x:c r="O1111" s="20"/>
      <x:c r="P1111" s="20"/>
      <x:c r="Q1111" s="25" t="str">
        <x:v>No direct corporate-capital range established in checked source</x:v>
      </x:c>
      <x:c r="R1111" s="25" t="str">
        <x:v>Property acquisition or investor activity makes this an operator-capital prospect for the signed trial. Confirm operating-company debt/equity appetite.</x:v>
      </x:c>
      <x:c r="S1111" s="25"/>
      <x:c r="T1111" s="25" t="str">
        <x:v>Ask the owner/investor whether they can allocate $100K-$500K to trial marketing and acquisitions, and confirm structure, timing and decision authority.</x:v>
      </x:c>
      <x:c r="U1111" s="25" t="str">
        <x:v>https://www.cashhomebuyersdirectory.com/cash-home-buyers/iowa/cedar-rapids</x:v>
      </x:c>
      <x:c r="V1111" s="26" t="d">
        <x:v>2026-10-02T00:00:00.000Z</x:v>
      </x:c>
      <x:c r="W1111" s="26" t="d">
        <x:v>2026-10-02T00:00:00.000Z</x:v>
      </x:c>
      <x:c r="X1111" s="25" t="str">
        <x:v>CashHomeBuyersDirectory third-party business listing; first-party business activity not checked in this batch</x:v>
      </x:c>
      <x:c r="Y1111" s="25"/>
      <x:c r="Z1111" s="25" t="str">
        <x:v>https://www.cashhomebuyersdirectory.com/cash-home-buyers/iowa/cedar-rapids</x:v>
      </x:c>
      <x:c r="AA1111" s="25" t="str">
        <x:v>Public cash-home-buyer directory lists the business name, business phone/website where available and market. Operator role and corporate funding willingness require confirmation.</x:v>
      </x:c>
      <x:c r="AB1111" s="3" t="str">
        <x:v>New public-source collection</x:v>
      </x:c>
      <x:c r="AC1111" s="3" t="str">
        <x:v>unverified</x:v>
      </x:c>
      <x:c r="AD1111" s="3" t="str">
        <x:v>Not contacted / unconfirmed</x:v>
      </x:c>
      <x:c r="AE1111" s="3" t="str">
        <x:v>No</x:v>
      </x:c>
      <x:c r="AF1111" s="3" t="str">
        <x:v>No</x:v>
      </x:c>
      <x:c r="AG1111" s="3"/>
      <x:c r="AH1111" s="3"/>
      <x:c r="AI1111" s="18"/>
      <x:c r="AJ1111" s="3" t="str">
        <x:v>CF2500-DB315464C60B</x:v>
      </x:c>
      <x:c r="AK1111" s="3" t="str">
        <x:v>real_estate_operator</x:v>
      </x:c>
      <x:c r="AL1111" s="19" t="n">
        <x:v>100000</x:v>
      </x:c>
      <x:c r="AM1111" s="19" t="n">
        <x:v>500000</x:v>
      </x:c>
      <x:c r="AN1111" s="3" t="str">
        <x:v>https://www.cashhomebuyersdirectory.com/cash-home-buyers/iowa/cedar-rapids</x:v>
      </x:c>
      <x:c r="AO1111" s="3" t="str">
        <x:v>national_rest_directory_complete.jsonl</x:v>
      </x:c>
      <x:c r="AP1111" s="19"/>
    </x:row>
    <x:row r="1112" ht="36" customHeight="1">
      <x:c r="A1112" s="23" t="n">
        <x:v>1111</x:v>
      </x:c>
      <x:c r="B1112" s="15" t="str">
        <x:v>Key House Buyers</x:v>
      </x:c>
      <x:c r="C1112" s="15"/>
      <x:c r="D1112" s="15" t="str">
        <x:v>Property investor / home-buying operator</x:v>
      </x:c>
      <x:c r="E1112" s="15" t="str">
        <x:v>Property investor / operator inquiry</x:v>
      </x:c>
      <x:c r="F1112" s="17" t="str">
        <x:v>New</x:v>
      </x:c>
      <x:c r="G1112" s="24"/>
      <x:c r="H1112" s="24" t="str">
        <x:v>+12483573333</x:v>
      </x:c>
      <x:c r="I1112" s="24" t="str">
        <x:v>https://keyhousebuyers.com/?utm_campaign=gmb</x:v>
      </x:c>
      <x:c r="J1112" s="16" t="str">
        <x:v>MI</x:v>
      </x:c>
      <x:c r="K1112" s="16" t="str">
        <x:v>Highland Park</x:v>
      </x:c>
      <x:c r="L1112" s="16" t="str">
        <x:v>Public property-business route; investor decision maker unconfirmed</x:v>
      </x:c>
      <x:c r="M1112" s="16" t="str">
        <x:v>https://keyhousebuyers.com/?utm_campaign=gmb</x:v>
      </x:c>
      <x:c r="N1112" s="16" t="str">
        <x:v>$100K-$500K ticket not published / unconfirmed</x:v>
      </x:c>
      <x:c r="O1112" s="20"/>
      <x:c r="P1112" s="20"/>
      <x:c r="Q1112" s="25" t="str">
        <x:v>No direct corporate-capital range established in checked source</x:v>
      </x:c>
      <x:c r="R1112" s="25" t="str">
        <x:v>Property acquisition or investor activity makes this an operator-capital prospect for the signed trial. Confirm operating-company debt/equity appetite.</x:v>
      </x:c>
      <x:c r="S1112" s="25"/>
      <x:c r="T1112" s="25" t="str">
        <x:v>Ask the owner/investor whether they can allocate $100K-$500K to trial marketing and acquisitions, and confirm structure, timing and decision authority.</x:v>
      </x:c>
      <x:c r="U1112" s="25" t="str">
        <x:v>https://www.cashhomebuyersdirectory.com/cash-home-buyers/michigan/highland-park</x:v>
      </x:c>
      <x:c r="V1112" s="26" t="d">
        <x:v>2026-10-02T00:00:00.000Z</x:v>
      </x:c>
      <x:c r="W1112" s="26" t="d">
        <x:v>2026-10-02T00:00:00.000Z</x:v>
      </x:c>
      <x:c r="X1112" s="25" t="str">
        <x:v>CashHomeBuyersDirectory third-party business listing; first-party business activity not checked in this batch</x:v>
      </x:c>
      <x:c r="Y1112" s="25"/>
      <x:c r="Z1112" s="25" t="str">
        <x:v>https://www.cashhomebuyersdirectory.com/cash-home-buyers/michigan/highland-park</x:v>
      </x:c>
      <x:c r="AA1112" s="25" t="str">
        <x:v>Public cash-home-buyer directory lists the business name, business phone/website where available and market. Operator role and corporate funding willingness require confirmation.</x:v>
      </x:c>
      <x:c r="AB1112" s="3" t="str">
        <x:v>New public-source collection</x:v>
      </x:c>
      <x:c r="AC1112" s="3" t="str">
        <x:v>unverified</x:v>
      </x:c>
      <x:c r="AD1112" s="3" t="str">
        <x:v>Not contacted / unconfirmed</x:v>
      </x:c>
      <x:c r="AE1112" s="3" t="str">
        <x:v>No</x:v>
      </x:c>
      <x:c r="AF1112" s="3" t="str">
        <x:v>No</x:v>
      </x:c>
      <x:c r="AG1112" s="3"/>
      <x:c r="AH1112" s="3"/>
      <x:c r="AI1112" s="18"/>
      <x:c r="AJ1112" s="3" t="str">
        <x:v>CF2500-2737ADFBA732</x:v>
      </x:c>
      <x:c r="AK1112" s="3" t="str">
        <x:v>real_estate_operator</x:v>
      </x:c>
      <x:c r="AL1112" s="19" t="n">
        <x:v>100000</x:v>
      </x:c>
      <x:c r="AM1112" s="19" t="n">
        <x:v>500000</x:v>
      </x:c>
      <x:c r="AN1112" s="3" t="str">
        <x:v>https://www.cashhomebuyersdirectory.com/cash-home-buyers/michigan/highland-park</x:v>
      </x:c>
      <x:c r="AO1112" s="3" t="str">
        <x:v>national_rest_directory_complete.jsonl</x:v>
      </x:c>
      <x:c r="AP1112" s="19"/>
    </x:row>
    <x:row r="1113" ht="36" customHeight="1">
      <x:c r="A1113" s="23" t="n">
        <x:v>1112</x:v>
      </x:c>
      <x:c r="B1113" s="15" t="str">
        <x:v>Kind House Buyers</x:v>
      </x:c>
      <x:c r="C1113" s="15"/>
      <x:c r="D1113" s="15" t="str">
        <x:v>Property investor / home-buying operator</x:v>
      </x:c>
      <x:c r="E1113" s="15" t="str">
        <x:v>Property investor / operator inquiry</x:v>
      </x:c>
      <x:c r="F1113" s="17" t="str">
        <x:v>New</x:v>
      </x:c>
      <x:c r="G1113" s="24"/>
      <x:c r="H1113" s="24" t="str">
        <x:v>+12532162497</x:v>
      </x:c>
      <x:c r="I1113" s="24" t="str">
        <x:v>https://www.kindhousebuyers.com/</x:v>
      </x:c>
      <x:c r="J1113" s="16" t="str">
        <x:v>WA</x:v>
      </x:c>
      <x:c r="K1113" s="16" t="str">
        <x:v>Tacoma</x:v>
      </x:c>
      <x:c r="L1113" s="16" t="str">
        <x:v>Public property-business route; investor decision maker unconfirmed</x:v>
      </x:c>
      <x:c r="M1113" s="16" t="str">
        <x:v>https://www.kindhousebuyers.com/</x:v>
      </x:c>
      <x:c r="N1113" s="16" t="str">
        <x:v>$100K-$500K ticket not published / unconfirmed</x:v>
      </x:c>
      <x:c r="O1113" s="20"/>
      <x:c r="P1113" s="20"/>
      <x:c r="Q1113" s="25" t="str">
        <x:v>No direct corporate-capital range established in checked source</x:v>
      </x:c>
      <x:c r="R1113" s="25" t="str">
        <x:v>Property acquisition or investor activity makes this an operator-capital prospect for the signed trial. Confirm operating-company debt/equity appetite.</x:v>
      </x:c>
      <x:c r="S1113" s="25"/>
      <x:c r="T1113" s="25" t="str">
        <x:v>Ask the owner/investor whether they can allocate $100K-$500K to trial marketing and acquisitions, and confirm structure, timing and decision authority.</x:v>
      </x:c>
      <x:c r="U1113" s="25" t="str">
        <x:v>https://www.cashhomebuyersdirectory.com/cash-home-buyers/washington/tacoma</x:v>
      </x:c>
      <x:c r="V1113" s="26" t="d">
        <x:v>2026-10-02T00:00:00.000Z</x:v>
      </x:c>
      <x:c r="W1113" s="26" t="d">
        <x:v>2026-10-02T00:00:00.000Z</x:v>
      </x:c>
      <x:c r="X1113" s="25" t="str">
        <x:v>CashHomeBuyersDirectory third-party business listing; first-party business activity not checked in this batch</x:v>
      </x:c>
      <x:c r="Y1113" s="25"/>
      <x:c r="Z1113" s="25" t="str">
        <x:v>https://www.cashhomebuyersdirectory.com/cash-home-buyers/washington/tacoma</x:v>
      </x:c>
      <x:c r="AA1113" s="25" t="str">
        <x:v>Public cash-home-buyer directory lists the business name, business phone/website where available and market. Operator role and corporate funding willingness require confirmation.</x:v>
      </x:c>
      <x:c r="AB1113" s="3" t="str">
        <x:v>New public-source collection</x:v>
      </x:c>
      <x:c r="AC1113" s="3" t="str">
        <x:v>unverified</x:v>
      </x:c>
      <x:c r="AD1113" s="3" t="str">
        <x:v>Not contacted / unconfirmed</x:v>
      </x:c>
      <x:c r="AE1113" s="3" t="str">
        <x:v>No</x:v>
      </x:c>
      <x:c r="AF1113" s="3" t="str">
        <x:v>No</x:v>
      </x:c>
      <x:c r="AG1113" s="3"/>
      <x:c r="AH1113" s="3"/>
      <x:c r="AI1113" s="18"/>
      <x:c r="AJ1113" s="3" t="str">
        <x:v>CF2500-D35FCEBAE2BE</x:v>
      </x:c>
      <x:c r="AK1113" s="3" t="str">
        <x:v>real_estate_operator</x:v>
      </x:c>
      <x:c r="AL1113" s="19" t="n">
        <x:v>100000</x:v>
      </x:c>
      <x:c r="AM1113" s="19" t="n">
        <x:v>500000</x:v>
      </x:c>
      <x:c r="AN1113" s="3" t="str">
        <x:v>https://www.cashhomebuyersdirectory.com/cash-home-buyers/washington/tacoma</x:v>
      </x:c>
      <x:c r="AO1113" s="3" t="str">
        <x:v>national_rest_directory_complete.jsonl</x:v>
      </x:c>
      <x:c r="AP1113" s="19"/>
    </x:row>
    <x:row r="1114" ht="36" customHeight="1">
      <x:c r="A1114" s="23" t="n">
        <x:v>1113</x:v>
      </x:c>
      <x:c r="B1114" s="15" t="str">
        <x:v>Kitsap Home Pro - Tacoma House Buyers</x:v>
      </x:c>
      <x:c r="C1114" s="15"/>
      <x:c r="D1114" s="15" t="str">
        <x:v>Property investor / home-buying operator</x:v>
      </x:c>
      <x:c r="E1114" s="15" t="str">
        <x:v>Property investor / operator inquiry</x:v>
      </x:c>
      <x:c r="F1114" s="17" t="str">
        <x:v>New</x:v>
      </x:c>
      <x:c r="G1114" s="24"/>
      <x:c r="H1114" s="24" t="str">
        <x:v>+13603294331</x:v>
      </x:c>
      <x:c r="I1114" s="24" t="str">
        <x:v>http://www.kitsaphomepro.com/i/nyX8/</x:v>
      </x:c>
      <x:c r="J1114" s="16" t="str">
        <x:v>WA</x:v>
      </x:c>
      <x:c r="K1114" s="16" t="str">
        <x:v>Tacoma</x:v>
      </x:c>
      <x:c r="L1114" s="16" t="str">
        <x:v>Public property-business route; investor decision maker unconfirmed</x:v>
      </x:c>
      <x:c r="M1114" s="16" t="str">
        <x:v>http://www.kitsaphomepro.com/i/nyX8/</x:v>
      </x:c>
      <x:c r="N1114" s="16" t="str">
        <x:v>$100K-$500K ticket not published / unconfirmed</x:v>
      </x:c>
      <x:c r="O1114" s="20"/>
      <x:c r="P1114" s="20"/>
      <x:c r="Q1114" s="25" t="str">
        <x:v>No direct corporate-capital range established in checked source</x:v>
      </x:c>
      <x:c r="R1114" s="25" t="str">
        <x:v>Property acquisition or investor activity makes this an operator-capital prospect for the signed trial. Confirm operating-company debt/equity appetite.</x:v>
      </x:c>
      <x:c r="S1114" s="25"/>
      <x:c r="T1114" s="25" t="str">
        <x:v>Ask the owner/investor whether they can allocate $100K-$500K to trial marketing and acquisitions, and confirm structure, timing and decision authority.</x:v>
      </x:c>
      <x:c r="U1114" s="25" t="str">
        <x:v>https://www.cashhomebuyersdirectory.com/cash-home-buyers/washington/tacoma</x:v>
      </x:c>
      <x:c r="V1114" s="26" t="d">
        <x:v>2026-10-02T00:00:00.000Z</x:v>
      </x:c>
      <x:c r="W1114" s="26" t="d">
        <x:v>2026-10-02T00:00:00.000Z</x:v>
      </x:c>
      <x:c r="X1114" s="25" t="str">
        <x:v>CashHomeBuyersDirectory third-party business listing; first-party business activity not checked in this batch</x:v>
      </x:c>
      <x:c r="Y1114" s="25"/>
      <x:c r="Z1114" s="25" t="str">
        <x:v>https://www.cashhomebuyersdirectory.com/cash-home-buyers/washington/tacoma</x:v>
      </x:c>
      <x:c r="AA1114" s="25" t="str">
        <x:v>Public cash-home-buyer directory lists the business name, business phone/website where available and market. Operator role and corporate funding willingness require confirmation.</x:v>
      </x:c>
      <x:c r="AB1114" s="3" t="str">
        <x:v>New public-source collection</x:v>
      </x:c>
      <x:c r="AC1114" s="3" t="str">
        <x:v>unverified</x:v>
      </x:c>
      <x:c r="AD1114" s="3" t="str">
        <x:v>Not contacted / unconfirmed</x:v>
      </x:c>
      <x:c r="AE1114" s="3" t="str">
        <x:v>No</x:v>
      </x:c>
      <x:c r="AF1114" s="3" t="str">
        <x:v>No</x:v>
      </x:c>
      <x:c r="AG1114" s="3"/>
      <x:c r="AH1114" s="3"/>
      <x:c r="AI1114" s="18"/>
      <x:c r="AJ1114" s="3" t="str">
        <x:v>CF2500-FA9D64A85EA1</x:v>
      </x:c>
      <x:c r="AK1114" s="3" t="str">
        <x:v>real_estate_operator</x:v>
      </x:c>
      <x:c r="AL1114" s="19" t="n">
        <x:v>100000</x:v>
      </x:c>
      <x:c r="AM1114" s="19" t="n">
        <x:v>500000</x:v>
      </x:c>
      <x:c r="AN1114" s="3" t="str">
        <x:v>https://www.cashhomebuyersdirectory.com/cash-home-buyers/washington/tacoma</x:v>
      </x:c>
      <x:c r="AO1114" s="3" t="str">
        <x:v>national_rest_directory_complete.jsonl</x:v>
      </x:c>
      <x:c r="AP1114" s="19"/>
    </x:row>
    <x:row r="1115" ht="36" customHeight="1">
      <x:c r="A1115" s="23" t="n">
        <x:v>1114</x:v>
      </x:c>
      <x:c r="B1115" s="15" t="str">
        <x:v>KO DEVELOPMENT INC | SELL YOUR HOUSE FAST IN FRESNO</x:v>
      </x:c>
      <x:c r="C1115" s="15"/>
      <x:c r="D1115" s="15" t="str">
        <x:v>Property investor / home-buying operator</x:v>
      </x:c>
      <x:c r="E1115" s="15" t="str">
        <x:v>Property investor / operator inquiry</x:v>
      </x:c>
      <x:c r="F1115" s="17" t="str">
        <x:v>New</x:v>
      </x:c>
      <x:c r="G1115" s="24"/>
      <x:c r="H1115" s="24" t="str">
        <x:v>+15598261716</x:v>
      </x:c>
      <x:c r="I1115" s="24" t="str">
        <x:v>https://www.kodevelopmentinc.com/</x:v>
      </x:c>
      <x:c r="J1115" s="16" t="str">
        <x:v>CA</x:v>
      </x:c>
      <x:c r="K1115" s="16"/>
      <x:c r="L1115" s="16" t="str">
        <x:v>Public property-business route; investor decision maker unconfirmed</x:v>
      </x:c>
      <x:c r="M1115" s="16" t="str">
        <x:v>https://www.kodevelopmentinc.com/</x:v>
      </x:c>
      <x:c r="N1115" s="16" t="str">
        <x:v>$100K-$500K ticket not published / unconfirmed</x:v>
      </x:c>
      <x:c r="O1115" s="20"/>
      <x:c r="P1115" s="20"/>
      <x:c r="Q1115" s="25" t="str">
        <x:v>No direct corporate-capital range established in checked source</x:v>
      </x:c>
      <x:c r="R1115" s="25" t="str">
        <x:v>Property acquisition or investor activity makes this an operator-capital prospect for the signed trial. Confirm operating-company debt/equity appetite.</x:v>
      </x:c>
      <x:c r="S1115" s="25"/>
      <x:c r="T1115" s="25" t="str">
        <x:v>Ask the owner/investor whether they can allocate $100K-$500K to trial marketing and acquisitions, and confirm structure, timing and decision authority.</x:v>
      </x:c>
      <x:c r="U1115" s="25" t="str">
        <x:v>https://www.cashhomebuyersdirectory.com/cash-home-buyers/california/fresno</x:v>
      </x:c>
      <x:c r="V1115" s="26" t="d">
        <x:v>2026-10-02T00:00:00.000Z</x:v>
      </x:c>
      <x:c r="W1115" s="26" t="d">
        <x:v>2026-10-02T00:00:00.000Z</x:v>
      </x:c>
      <x:c r="X1115" s="25" t="str">
        <x:v>CashHomeBuyersDirectory third-party business listing; first-party business activity not checked in this batch</x:v>
      </x:c>
      <x:c r="Y1115" s="25"/>
      <x:c r="Z1115" s="25" t="str">
        <x:v>https://www.cashhomebuyersdirectory.com/cash-home-buyers/california/fresno</x:v>
      </x:c>
      <x:c r="AA1115" s="25" t="str">
        <x:v>Public cash-home-buyer directory lists the business name, business phone/website where available and market. Operator role and corporate funding willingness require confirmation.</x:v>
      </x:c>
      <x:c r="AB1115" s="3" t="str">
        <x:v>New public-source collection</x:v>
      </x:c>
      <x:c r="AC1115" s="3" t="str">
        <x:v>unverified</x:v>
      </x:c>
      <x:c r="AD1115" s="3" t="str">
        <x:v>Not contacted / unconfirmed</x:v>
      </x:c>
      <x:c r="AE1115" s="3" t="str">
        <x:v>No</x:v>
      </x:c>
      <x:c r="AF1115" s="3" t="str">
        <x:v>No</x:v>
      </x:c>
      <x:c r="AG1115" s="3"/>
      <x:c r="AH1115" s="3"/>
      <x:c r="AI1115" s="18"/>
      <x:c r="AJ1115" s="3" t="str">
        <x:v>CF2500-30E687EB0D27</x:v>
      </x:c>
      <x:c r="AK1115" s="3" t="str">
        <x:v>real_estate_operator</x:v>
      </x:c>
      <x:c r="AL1115" s="19" t="n">
        <x:v>100000</x:v>
      </x:c>
      <x:c r="AM1115" s="19" t="n">
        <x:v>500000</x:v>
      </x:c>
      <x:c r="AN1115" s="3" t="str">
        <x:v>https://www.cashhomebuyersdirectory.com/cash-home-buyers/california/fresno</x:v>
      </x:c>
      <x:c r="AO1115" s="3" t="str">
        <x:v>national_rest_directory_complete.jsonl</x:v>
      </x:c>
      <x:c r="AP1115" s="19"/>
    </x:row>
    <x:row r="1116" ht="36" customHeight="1">
      <x:c r="A1116" s="23" t="n">
        <x:v>1115</x:v>
      </x:c>
      <x:c r="B1116" s="15" t="str">
        <x:v>Lafayette Cash Home Buyers</x:v>
      </x:c>
      <x:c r="C1116" s="15"/>
      <x:c r="D1116" s="15" t="str">
        <x:v>Property investor / home-buying operator</x:v>
      </x:c>
      <x:c r="E1116" s="15" t="str">
        <x:v>Property investor / operator inquiry</x:v>
      </x:c>
      <x:c r="F1116" s="17" t="str">
        <x:v>New</x:v>
      </x:c>
      <x:c r="G1116" s="24"/>
      <x:c r="H1116" s="24" t="str">
        <x:v>+13373660230</x:v>
      </x:c>
      <x:c r="I1116" s="24" t="str">
        <x:v>http://www.lafayettecashhomebuyers.com/</x:v>
      </x:c>
      <x:c r="J1116" s="16" t="str">
        <x:v>LA</x:v>
      </x:c>
      <x:c r="K1116" s="16" t="str">
        <x:v>Lafayette</x:v>
      </x:c>
      <x:c r="L1116" s="16" t="str">
        <x:v>Public property-business route; investor decision maker unconfirmed</x:v>
      </x:c>
      <x:c r="M1116" s="16" t="str">
        <x:v>http://www.lafayettecashhomebuyers.com/</x:v>
      </x:c>
      <x:c r="N1116" s="16" t="str">
        <x:v>$100K-$500K ticket not published / unconfirmed</x:v>
      </x:c>
      <x:c r="O1116" s="20"/>
      <x:c r="P1116" s="20"/>
      <x:c r="Q1116" s="25" t="str">
        <x:v>No direct corporate-capital range established in checked source</x:v>
      </x:c>
      <x:c r="R1116" s="25" t="str">
        <x:v>Property acquisition or investor activity makes this an operator-capital prospect for the signed trial. Confirm operating-company debt/equity appetite.</x:v>
      </x:c>
      <x:c r="S1116" s="25"/>
      <x:c r="T1116" s="25" t="str">
        <x:v>Ask the owner/investor whether they can allocate $100K-$500K to trial marketing and acquisitions, and confirm structure, timing and decision authority.</x:v>
      </x:c>
      <x:c r="U1116" s="25" t="str">
        <x:v>https://www.cashhomebuyersdirectory.com/cash-home-buyers/louisiana/lafayette</x:v>
      </x:c>
      <x:c r="V1116" s="26" t="d">
        <x:v>2026-10-02T00:00:00.000Z</x:v>
      </x:c>
      <x:c r="W1116" s="26" t="d">
        <x:v>2026-10-02T00:00:00.000Z</x:v>
      </x:c>
      <x:c r="X1116" s="25" t="str">
        <x:v>CashHomeBuyersDirectory third-party business listing; first-party business activity not checked in this batch</x:v>
      </x:c>
      <x:c r="Y1116" s="25"/>
      <x:c r="Z1116" s="25" t="str">
        <x:v>https://www.cashhomebuyersdirectory.com/cash-home-buyers/louisiana/lafayette</x:v>
      </x:c>
      <x:c r="AA1116" s="25" t="str">
        <x:v>Public cash-home-buyer directory lists the business name, business phone/website where available and market. Operator role and corporate funding willingness require confirmation.</x:v>
      </x:c>
      <x:c r="AB1116" s="3" t="str">
        <x:v>New public-source collection</x:v>
      </x:c>
      <x:c r="AC1116" s="3" t="str">
        <x:v>unverified</x:v>
      </x:c>
      <x:c r="AD1116" s="3" t="str">
        <x:v>Not contacted / unconfirmed</x:v>
      </x:c>
      <x:c r="AE1116" s="3" t="str">
        <x:v>No</x:v>
      </x:c>
      <x:c r="AF1116" s="3" t="str">
        <x:v>No</x:v>
      </x:c>
      <x:c r="AG1116" s="3"/>
      <x:c r="AH1116" s="3"/>
      <x:c r="AI1116" s="18"/>
      <x:c r="AJ1116" s="3" t="str">
        <x:v>CF2500-923573975821</x:v>
      </x:c>
      <x:c r="AK1116" s="3" t="str">
        <x:v>real_estate_operator</x:v>
      </x:c>
      <x:c r="AL1116" s="19" t="n">
        <x:v>100000</x:v>
      </x:c>
      <x:c r="AM1116" s="19" t="n">
        <x:v>500000</x:v>
      </x:c>
      <x:c r="AN1116" s="3" t="str">
        <x:v>https://www.cashhomebuyersdirectory.com/cash-home-buyers/louisiana/lafayette</x:v>
      </x:c>
      <x:c r="AO1116" s="3" t="str">
        <x:v>national_rest_directory_complete.jsonl</x:v>
      </x:c>
      <x:c r="AP1116" s="19"/>
    </x:row>
    <x:row r="1117" ht="36" customHeight="1">
      <x:c r="A1117" s="23" t="n">
        <x:v>1116</x:v>
      </x:c>
      <x:c r="B1117" s="15" t="str">
        <x:v>Lake Street Home Buyers</x:v>
      </x:c>
      <x:c r="C1117" s="15"/>
      <x:c r="D1117" s="15" t="str">
        <x:v>Property investor / home-buying operator</x:v>
      </x:c>
      <x:c r="E1117" s="15" t="str">
        <x:v>Property investor / operator inquiry</x:v>
      </x:c>
      <x:c r="F1117" s="17" t="str">
        <x:v>New</x:v>
      </x:c>
      <x:c r="G1117" s="24"/>
      <x:c r="H1117" s="24" t="str">
        <x:v>+18022103959</x:v>
      </x:c>
      <x:c r="I1117" s="24" t="str">
        <x:v>https://sell2lakestreet.com/</x:v>
      </x:c>
      <x:c r="J1117" s="16" t="str">
        <x:v>VT</x:v>
      </x:c>
      <x:c r="K1117" s="16" t="str">
        <x:v>Burlington</x:v>
      </x:c>
      <x:c r="L1117" s="16" t="str">
        <x:v>Public property-business route; investor decision maker unconfirmed</x:v>
      </x:c>
      <x:c r="M1117" s="16" t="str">
        <x:v>https://sell2lakestreet.com/</x:v>
      </x:c>
      <x:c r="N1117" s="16" t="str">
        <x:v>$100K-$500K ticket not published / unconfirmed</x:v>
      </x:c>
      <x:c r="O1117" s="20"/>
      <x:c r="P1117" s="20"/>
      <x:c r="Q1117" s="25" t="str">
        <x:v>No direct corporate-capital range established in checked source</x:v>
      </x:c>
      <x:c r="R1117" s="25" t="str">
        <x:v>Property acquisition or investor activity makes this an operator-capital prospect for the signed trial. Confirm operating-company debt/equity appetite.</x:v>
      </x:c>
      <x:c r="S1117" s="25"/>
      <x:c r="T1117" s="25" t="str">
        <x:v>Ask the owner/investor whether they can allocate $100K-$500K to trial marketing and acquisitions, and confirm structure, timing and decision authority.</x:v>
      </x:c>
      <x:c r="U1117" s="25" t="str">
        <x:v>https://www.cashhomebuyersdirectory.com/cash-home-buyers/vermont/burlington</x:v>
      </x:c>
      <x:c r="V1117" s="26" t="d">
        <x:v>2026-10-02T00:00:00.000Z</x:v>
      </x:c>
      <x:c r="W1117" s="26" t="d">
        <x:v>2026-10-02T00:00:00.000Z</x:v>
      </x:c>
      <x:c r="X1117" s="25" t="str">
        <x:v>CashHomeBuyersDirectory third-party business listing; first-party business activity not checked in this batch</x:v>
      </x:c>
      <x:c r="Y1117" s="25"/>
      <x:c r="Z1117" s="25" t="str">
        <x:v>https://www.cashhomebuyersdirectory.com/cash-home-buyers/vermont/burlington</x:v>
      </x:c>
      <x:c r="AA1117" s="25" t="str">
        <x:v>Public cash-home-buyer directory lists the business name, business phone/website where available and market. Operator role and corporate funding willingness require confirmation.</x:v>
      </x:c>
      <x:c r="AB1117" s="3" t="str">
        <x:v>New public-source collection</x:v>
      </x:c>
      <x:c r="AC1117" s="3" t="str">
        <x:v>unverified</x:v>
      </x:c>
      <x:c r="AD1117" s="3" t="str">
        <x:v>Not contacted / unconfirmed</x:v>
      </x:c>
      <x:c r="AE1117" s="3" t="str">
        <x:v>No</x:v>
      </x:c>
      <x:c r="AF1117" s="3" t="str">
        <x:v>No</x:v>
      </x:c>
      <x:c r="AG1117" s="3"/>
      <x:c r="AH1117" s="3"/>
      <x:c r="AI1117" s="18"/>
      <x:c r="AJ1117" s="3" t="str">
        <x:v>CF2500-FE03DFD75590</x:v>
      </x:c>
      <x:c r="AK1117" s="3" t="str">
        <x:v>real_estate_operator</x:v>
      </x:c>
      <x:c r="AL1117" s="19" t="n">
        <x:v>100000</x:v>
      </x:c>
      <x:c r="AM1117" s="19" t="n">
        <x:v>500000</x:v>
      </x:c>
      <x:c r="AN1117" s="3" t="str">
        <x:v>https://www.cashhomebuyersdirectory.com/cash-home-buyers/vermont/burlington</x:v>
      </x:c>
      <x:c r="AO1117" s="3" t="str">
        <x:v>national_rest_directory_complete.jsonl</x:v>
      </x:c>
      <x:c r="AP1117" s="19"/>
    </x:row>
    <x:row r="1118" ht="36" customHeight="1">
      <x:c r="A1118" s="23" t="n">
        <x:v>1117</x:v>
      </x:c>
      <x:c r="B1118" s="15" t="str">
        <x:v>Lakeshore Home Buyer</x:v>
      </x:c>
      <x:c r="C1118" s="15"/>
      <x:c r="D1118" s="15" t="str">
        <x:v>Property investor / home-buying operator</x:v>
      </x:c>
      <x:c r="E1118" s="15" t="str">
        <x:v>Property investor / operator inquiry</x:v>
      </x:c>
      <x:c r="F1118" s="17" t="str">
        <x:v>New</x:v>
      </x:c>
      <x:c r="G1118" s="24"/>
      <x:c r="H1118" s="24" t="str">
        <x:v>+16162026498</x:v>
      </x:c>
      <x:c r="I1118" s="24" t="str">
        <x:v>http://www.lakeshorehomebuyer.com/</x:v>
      </x:c>
      <x:c r="J1118" s="16" t="str">
        <x:v>MI</x:v>
      </x:c>
      <x:c r="K1118" s="16" t="str">
        <x:v>Grand Rapids</x:v>
      </x:c>
      <x:c r="L1118" s="16" t="str">
        <x:v>Public property-business route; investor decision maker unconfirmed</x:v>
      </x:c>
      <x:c r="M1118" s="16" t="str">
        <x:v>http://www.lakeshorehomebuyer.com/</x:v>
      </x:c>
      <x:c r="N1118" s="16" t="str">
        <x:v>$100K-$500K ticket not published / unconfirmed</x:v>
      </x:c>
      <x:c r="O1118" s="20"/>
      <x:c r="P1118" s="20"/>
      <x:c r="Q1118" s="25" t="str">
        <x:v>No direct corporate-capital range established in checked source</x:v>
      </x:c>
      <x:c r="R1118" s="25" t="str">
        <x:v>Property acquisition or investor activity makes this an operator-capital prospect for the signed trial. Confirm operating-company debt/equity appetite.</x:v>
      </x:c>
      <x:c r="S1118" s="25"/>
      <x:c r="T1118" s="25" t="str">
        <x:v>Ask the owner/investor whether they can allocate $100K-$500K to trial marketing and acquisitions, and confirm structure, timing and decision authority.</x:v>
      </x:c>
      <x:c r="U1118" s="25" t="str">
        <x:v>https://www.cashhomebuyersdirectory.com/cash-home-buyers/michigan/grand-rapids
https://www.cashhomebuyersdirectory.com/cash-home-buyers/michigan/lansing</x:v>
      </x:c>
      <x:c r="V1118" s="26" t="d">
        <x:v>2026-10-02T00:00:00.000Z</x:v>
      </x:c>
      <x:c r="W1118" s="26" t="d">
        <x:v>2026-10-02T00:00:00.000Z</x:v>
      </x:c>
      <x:c r="X1118" s="25" t="str">
        <x:v>CashHomeBuyersDirectory third-party business listing; first-party business activity not checked in this batch</x:v>
      </x:c>
      <x:c r="Y1118" s="25"/>
      <x:c r="Z1118" s="25" t="str">
        <x:v>https://www.cashhomebuyersdirectory.com/cash-home-buyers/michigan/grand-rapids</x:v>
      </x:c>
      <x:c r="AA1118" s="25" t="str">
        <x:v>Public cash-home-buyer directory lists the business name, business phone/website where available and market. Operator role and corporate funding willingness require confirmation.</x:v>
      </x:c>
      <x:c r="AB1118" s="3" t="str">
        <x:v>New public-source collection</x:v>
      </x:c>
      <x:c r="AC1118" s="3" t="str">
        <x:v>unverified</x:v>
      </x:c>
      <x:c r="AD1118" s="3" t="str">
        <x:v>Not contacted / unconfirmed</x:v>
      </x:c>
      <x:c r="AE1118" s="3" t="str">
        <x:v>No</x:v>
      </x:c>
      <x:c r="AF1118" s="3" t="str">
        <x:v>No</x:v>
      </x:c>
      <x:c r="AG1118" s="3"/>
      <x:c r="AH1118" s="3"/>
      <x:c r="AI1118" s="18"/>
      <x:c r="AJ1118" s="3" t="str">
        <x:v>CF2500-8BBE6FB0818B</x:v>
      </x:c>
      <x:c r="AK1118" s="3" t="str">
        <x:v>real_estate_operator</x:v>
      </x:c>
      <x:c r="AL1118" s="19" t="n">
        <x:v>100000</x:v>
      </x:c>
      <x:c r="AM1118" s="19" t="n">
        <x:v>500000</x:v>
      </x:c>
      <x:c r="AN1118" s="3" t="str">
        <x:v>https://www.cashhomebuyersdirectory.com/cash-home-buyers/michigan/grand-rapids</x:v>
      </x:c>
      <x:c r="AO1118" s="3" t="str">
        <x:v>national_rest_directory_complete.jsonl</x:v>
      </x:c>
      <x:c r="AP1118" s="19"/>
    </x:row>
    <x:row r="1119" ht="36" customHeight="1">
      <x:c r="A1119" s="23" t="n">
        <x:v>1118</x:v>
      </x:c>
      <x:c r="B1119" s="15" t="str">
        <x:v>Last Frontier Home Buyers</x:v>
      </x:c>
      <x:c r="C1119" s="15"/>
      <x:c r="D1119" s="15" t="str">
        <x:v>Property investor / home-buying operator</x:v>
      </x:c>
      <x:c r="E1119" s="15" t="str">
        <x:v>Property investor / operator inquiry</x:v>
      </x:c>
      <x:c r="F1119" s="17" t="str">
        <x:v>New</x:v>
      </x:c>
      <x:c r="G1119" s="24"/>
      <x:c r="H1119" s="24" t="str">
        <x:v>+19073223267</x:v>
      </x:c>
      <x:c r="I1119" s="24" t="str">
        <x:v>https://anchoragehomeoffers.com/</x:v>
      </x:c>
      <x:c r="J1119" s="16" t="str">
        <x:v>AK</x:v>
      </x:c>
      <x:c r="K1119" s="16"/>
      <x:c r="L1119" s="16" t="str">
        <x:v>Public property-business route; investor decision maker unconfirmed</x:v>
      </x:c>
      <x:c r="M1119" s="16" t="str">
        <x:v>https://anchoragehomeoffers.com/</x:v>
      </x:c>
      <x:c r="N1119" s="16" t="str">
        <x:v>$100K-$500K ticket not published / unconfirmed</x:v>
      </x:c>
      <x:c r="O1119" s="20"/>
      <x:c r="P1119" s="20"/>
      <x:c r="Q1119" s="25" t="str">
        <x:v>No direct corporate-capital range established in checked source</x:v>
      </x:c>
      <x:c r="R1119" s="25" t="str">
        <x:v>Property acquisition or investor activity makes this an operator-capital prospect for the signed trial. Confirm operating-company debt/equity appetite.</x:v>
      </x:c>
      <x:c r="S1119" s="25"/>
      <x:c r="T1119" s="25" t="str">
        <x:v>Ask the owner/investor whether they can allocate $100K-$500K to trial marketing and acquisitions, and confirm structure, timing and decision authority.</x:v>
      </x:c>
      <x:c r="U1119" s="25" t="str">
        <x:v>https://www.cashhomebuyersdirectory.com/cash-home-buyers/alaska/anchorage</x:v>
      </x:c>
      <x:c r="V1119" s="26" t="d">
        <x:v>2026-10-02T00:00:00.000Z</x:v>
      </x:c>
      <x:c r="W1119" s="26" t="d">
        <x:v>2026-10-02T00:00:00.000Z</x:v>
      </x:c>
      <x:c r="X1119" s="25" t="str">
        <x:v>CashHomeBuyersDirectory third-party business listing; first-party business activity not checked in this batch</x:v>
      </x:c>
      <x:c r="Y1119" s="25"/>
      <x:c r="Z1119" s="25" t="str">
        <x:v>https://www.cashhomebuyersdirectory.com/cash-home-buyers/alaska/anchorage</x:v>
      </x:c>
      <x:c r="AA1119" s="25" t="str">
        <x:v>Public cash-home-buyer directory lists the business name, business phone/website where available and market. Operator role and corporate funding willingness require confirmation.</x:v>
      </x:c>
      <x:c r="AB1119" s="3" t="str">
        <x:v>New public-source collection</x:v>
      </x:c>
      <x:c r="AC1119" s="3" t="str">
        <x:v>unverified</x:v>
      </x:c>
      <x:c r="AD1119" s="3" t="str">
        <x:v>Not contacted / unconfirmed</x:v>
      </x:c>
      <x:c r="AE1119" s="3" t="str">
        <x:v>No</x:v>
      </x:c>
      <x:c r="AF1119" s="3" t="str">
        <x:v>No</x:v>
      </x:c>
      <x:c r="AG1119" s="3"/>
      <x:c r="AH1119" s="3"/>
      <x:c r="AI1119" s="18"/>
      <x:c r="AJ1119" s="3" t="str">
        <x:v>CF2500-267C3E038CDF</x:v>
      </x:c>
      <x:c r="AK1119" s="3" t="str">
        <x:v>real_estate_operator</x:v>
      </x:c>
      <x:c r="AL1119" s="19" t="n">
        <x:v>100000</x:v>
      </x:c>
      <x:c r="AM1119" s="19" t="n">
        <x:v>500000</x:v>
      </x:c>
      <x:c r="AN1119" s="3" t="str">
        <x:v>https://www.cashhomebuyersdirectory.com/cash-home-buyers/alaska/anchorage</x:v>
      </x:c>
      <x:c r="AO1119" s="3" t="str">
        <x:v>national_rest_directory_complete.jsonl</x:v>
      </x:c>
      <x:c r="AP1119" s="19"/>
    </x:row>
    <x:row r="1120" ht="36" customHeight="1">
      <x:c r="A1120" s="23" t="n">
        <x:v>1119</x:v>
      </x:c>
      <x:c r="B1120" s="15" t="str">
        <x:v>Launch Homebuyers</x:v>
      </x:c>
      <x:c r="C1120" s="15"/>
      <x:c r="D1120" s="15" t="str">
        <x:v>Property investor / home-buying operator</x:v>
      </x:c>
      <x:c r="E1120" s="15" t="str">
        <x:v>Property investor / operator inquiry</x:v>
      </x:c>
      <x:c r="F1120" s="17" t="str">
        <x:v>New</x:v>
      </x:c>
      <x:c r="G1120" s="24"/>
      <x:c r="H1120" s="24" t="str">
        <x:v>+14024130424</x:v>
      </x:c>
      <x:c r="I1120" s="24" t="str">
        <x:v>https://www.launchhomebuyers.com/</x:v>
      </x:c>
      <x:c r="J1120" s="16" t="str">
        <x:v>NE</x:v>
      </x:c>
      <x:c r="K1120" s="16" t="str">
        <x:v>Lincoln</x:v>
      </x:c>
      <x:c r="L1120" s="16" t="str">
        <x:v>Public property-business route; investor decision maker unconfirmed</x:v>
      </x:c>
      <x:c r="M1120" s="16" t="str">
        <x:v>https://www.launchhomebuyers.com/</x:v>
      </x:c>
      <x:c r="N1120" s="16" t="str">
        <x:v>$100K-$500K ticket not published / unconfirmed</x:v>
      </x:c>
      <x:c r="O1120" s="20"/>
      <x:c r="P1120" s="20"/>
      <x:c r="Q1120" s="25" t="str">
        <x:v>No direct corporate-capital range established in checked source</x:v>
      </x:c>
      <x:c r="R1120" s="25" t="str">
        <x:v>Property acquisition or investor activity makes this an operator-capital prospect for the signed trial. Confirm operating-company debt/equity appetite.</x:v>
      </x:c>
      <x:c r="S1120" s="25"/>
      <x:c r="T1120" s="25" t="str">
        <x:v>Ask the owner/investor whether they can allocate $100K-$500K to trial marketing and acquisitions, and confirm structure, timing and decision authority.</x:v>
      </x:c>
      <x:c r="U1120" s="25" t="str">
        <x:v>https://www.cashhomebuyersdirectory.com/cash-home-buyers/nebraska/lincoln
https://www.cashhomebuyersdirectory.com/cash-home-buyers/nebraska/omaha</x:v>
      </x:c>
      <x:c r="V1120" s="26" t="d">
        <x:v>2026-10-02T00:00:00.000Z</x:v>
      </x:c>
      <x:c r="W1120" s="26" t="d">
        <x:v>2026-10-02T00:00:00.000Z</x:v>
      </x:c>
      <x:c r="X1120" s="25" t="str">
        <x:v>CashHomeBuyersDirectory third-party business listing; first-party business activity not checked in this batch</x:v>
      </x:c>
      <x:c r="Y1120" s="25"/>
      <x:c r="Z1120" s="25" t="str">
        <x:v>https://www.cashhomebuyersdirectory.com/cash-home-buyers/nebraska/lincoln</x:v>
      </x:c>
      <x:c r="AA1120" s="25" t="str">
        <x:v>Public cash-home-buyer directory lists the business name, business phone/website where available and market. Operator role and corporate funding willingness require confirmation.</x:v>
      </x:c>
      <x:c r="AB1120" s="3" t="str">
        <x:v>New public-source collection</x:v>
      </x:c>
      <x:c r="AC1120" s="3" t="str">
        <x:v>unverified</x:v>
      </x:c>
      <x:c r="AD1120" s="3" t="str">
        <x:v>Not contacted / unconfirmed</x:v>
      </x:c>
      <x:c r="AE1120" s="3" t="str">
        <x:v>No</x:v>
      </x:c>
      <x:c r="AF1120" s="3" t="str">
        <x:v>No</x:v>
      </x:c>
      <x:c r="AG1120" s="3"/>
      <x:c r="AH1120" s="3"/>
      <x:c r="AI1120" s="18"/>
      <x:c r="AJ1120" s="3" t="str">
        <x:v>CF2500-613F501CE245</x:v>
      </x:c>
      <x:c r="AK1120" s="3" t="str">
        <x:v>real_estate_operator</x:v>
      </x:c>
      <x:c r="AL1120" s="19" t="n">
        <x:v>100000</x:v>
      </x:c>
      <x:c r="AM1120" s="19" t="n">
        <x:v>500000</x:v>
      </x:c>
      <x:c r="AN1120" s="3" t="str">
        <x:v>https://www.cashhomebuyersdirectory.com/cash-home-buyers/nebraska/lincoln</x:v>
      </x:c>
      <x:c r="AO1120" s="3" t="str">
        <x:v>national_rest_directory_complete.jsonl</x:v>
      </x:c>
      <x:c r="AP1120" s="19"/>
    </x:row>
    <x:row r="1121" ht="36" customHeight="1">
      <x:c r="A1121" s="23" t="n">
        <x:v>1120</x:v>
      </x:c>
      <x:c r="B1121" s="15" t="str">
        <x:v>Laura Moreno - The Smart Homebuyer Coach</x:v>
      </x:c>
      <x:c r="C1121" s="15"/>
      <x:c r="D1121" s="15" t="str">
        <x:v>Property investor / home-buying operator</x:v>
      </x:c>
      <x:c r="E1121" s="15" t="str">
        <x:v>Property investor / operator inquiry</x:v>
      </x:c>
      <x:c r="F1121" s="17" t="str">
        <x:v>New</x:v>
      </x:c>
      <x:c r="G1121" s="24"/>
      <x:c r="H1121" s="24" t="str">
        <x:v>+13474409582</x:v>
      </x:c>
      <x:c r="I1121" s="24" t="str">
        <x:v>https://lauramoreno.com/</x:v>
      </x:c>
      <x:c r="J1121" s="16" t="str">
        <x:v>NY</x:v>
      </x:c>
      <x:c r="K1121" s="16" t="str">
        <x:v>New York</x:v>
      </x:c>
      <x:c r="L1121" s="16" t="str">
        <x:v>Public property-business route; investor decision maker unconfirmed</x:v>
      </x:c>
      <x:c r="M1121" s="16" t="str">
        <x:v>https://lauramoreno.com/</x:v>
      </x:c>
      <x:c r="N1121" s="16" t="str">
        <x:v>$100K-$500K ticket not published / unconfirmed</x:v>
      </x:c>
      <x:c r="O1121" s="20"/>
      <x:c r="P1121" s="20"/>
      <x:c r="Q1121" s="25" t="str">
        <x:v>No direct corporate-capital range established in checked source</x:v>
      </x:c>
      <x:c r="R1121" s="25" t="str">
        <x:v>Property acquisition or investor activity makes this an operator-capital prospect for the signed trial. Confirm operating-company debt/equity appetite.</x:v>
      </x:c>
      <x:c r="S1121" s="25"/>
      <x:c r="T1121" s="25" t="str">
        <x:v>Ask the owner/investor whether they can allocate $100K-$500K to trial marketing and acquisitions, and confirm structure, timing and decision authority.</x:v>
      </x:c>
      <x:c r="U1121" s="25" t="str">
        <x:v>https://www.cashhomebuyersdirectory.com/cash-home-buyers/new-york/new-york</x:v>
      </x:c>
      <x:c r="V1121" s="26" t="d">
        <x:v>2026-10-02T00:00:00.000Z</x:v>
      </x:c>
      <x:c r="W1121" s="26" t="d">
        <x:v>2026-10-02T00:00:00.000Z</x:v>
      </x:c>
      <x:c r="X1121" s="25" t="str">
        <x:v>CashHomeBuyersDirectory third-party business listing; first-party business activity not checked in this batch</x:v>
      </x:c>
      <x:c r="Y1121" s="25"/>
      <x:c r="Z1121" s="25" t="str">
        <x:v>https://www.cashhomebuyersdirectory.com/cash-home-buyers/new-york/new-york</x:v>
      </x:c>
      <x:c r="AA1121" s="25" t="str">
        <x:v>Public cash-home-buyer directory lists the business name, business phone/website where available and market. Operator role and corporate funding willingness require confirmation.</x:v>
      </x:c>
      <x:c r="AB1121" s="3" t="str">
        <x:v>New public-source collection</x:v>
      </x:c>
      <x:c r="AC1121" s="3" t="str">
        <x:v>unverified</x:v>
      </x:c>
      <x:c r="AD1121" s="3" t="str">
        <x:v>Not contacted / unconfirmed</x:v>
      </x:c>
      <x:c r="AE1121" s="3" t="str">
        <x:v>No</x:v>
      </x:c>
      <x:c r="AF1121" s="3" t="str">
        <x:v>No</x:v>
      </x:c>
      <x:c r="AG1121" s="3"/>
      <x:c r="AH1121" s="3"/>
      <x:c r="AI1121" s="18"/>
      <x:c r="AJ1121" s="3" t="str">
        <x:v>CF2500-35369BF7E994</x:v>
      </x:c>
      <x:c r="AK1121" s="3" t="str">
        <x:v>real_estate_operator</x:v>
      </x:c>
      <x:c r="AL1121" s="19" t="n">
        <x:v>100000</x:v>
      </x:c>
      <x:c r="AM1121" s="19" t="n">
        <x:v>500000</x:v>
      </x:c>
      <x:c r="AN1121" s="3" t="str">
        <x:v>https://www.cashhomebuyersdirectory.com/cash-home-buyers/new-york/new-york</x:v>
      </x:c>
      <x:c r="AO1121" s="3" t="str">
        <x:v>national_rest_directory_complete.jsonl</x:v>
      </x:c>
      <x:c r="AP1121" s="19"/>
    </x:row>
    <x:row r="1122" ht="36" customHeight="1">
      <x:c r="A1122" s="23" t="n">
        <x:v>1121</x:v>
      </x:c>
      <x:c r="B1122" s="15" t="str">
        <x:v>Leave The Key Homebuyers</x:v>
      </x:c>
      <x:c r="C1122" s="15"/>
      <x:c r="D1122" s="15" t="str">
        <x:v>Property investor / home-buying operator</x:v>
      </x:c>
      <x:c r="E1122" s="15" t="str">
        <x:v>Property investor / operator inquiry</x:v>
      </x:c>
      <x:c r="F1122" s="17" t="str">
        <x:v>New</x:v>
      </x:c>
      <x:c r="G1122" s="24"/>
      <x:c r="H1122" s="24" t="str">
        <x:v>+16313887771</x:v>
      </x:c>
      <x:c r="I1122" s="24" t="str">
        <x:v>https://leavethekey.com/long-island/?utm_campaign=gmb</x:v>
      </x:c>
      <x:c r="J1122" s="16" t="str">
        <x:v>NY</x:v>
      </x:c>
      <x:c r="K1122" s="16" t="str">
        <x:v>Albany</x:v>
      </x:c>
      <x:c r="L1122" s="16" t="str">
        <x:v>Public property-business route; investor decision maker unconfirmed</x:v>
      </x:c>
      <x:c r="M1122" s="16" t="str">
        <x:v>https://leavethekey.com/long-island/?utm_campaign=gmb</x:v>
      </x:c>
      <x:c r="N1122" s="16" t="str">
        <x:v>$100K-$500K ticket not published / unconfirmed</x:v>
      </x:c>
      <x:c r="O1122" s="20"/>
      <x:c r="P1122" s="20"/>
      <x:c r="Q1122" s="25" t="str">
        <x:v>No direct corporate-capital range established in checked source</x:v>
      </x:c>
      <x:c r="R1122" s="25" t="str">
        <x:v>Property acquisition or investor activity makes this an operator-capital prospect for the signed trial. Confirm operating-company debt/equity appetite.</x:v>
      </x:c>
      <x:c r="S1122" s="25"/>
      <x:c r="T1122" s="25" t="str">
        <x:v>Ask the owner/investor whether they can allocate $100K-$500K to trial marketing and acquisitions, and confirm structure, timing and decision authority.</x:v>
      </x:c>
      <x:c r="U1122" s="25" t="str">
        <x:v>https://www.cashhomebuyersdirectory.com/cash-home-buyers/new-york/albany</x:v>
      </x:c>
      <x:c r="V1122" s="26" t="d">
        <x:v>2026-10-02T00:00:00.000Z</x:v>
      </x:c>
      <x:c r="W1122" s="26" t="d">
        <x:v>2026-10-02T00:00:00.000Z</x:v>
      </x:c>
      <x:c r="X1122" s="25" t="str">
        <x:v>CashHomeBuyersDirectory third-party business listing; first-party business activity not checked in this batch</x:v>
      </x:c>
      <x:c r="Y1122" s="25"/>
      <x:c r="Z1122" s="25" t="str">
        <x:v>https://www.cashhomebuyersdirectory.com/cash-home-buyers/new-york/albany</x:v>
      </x:c>
      <x:c r="AA1122" s="25" t="str">
        <x:v>Public cash-home-buyer directory lists the business name, business phone/website where available and market. Operator role and corporate funding willingness require confirmation.</x:v>
      </x:c>
      <x:c r="AB1122" s="3" t="str">
        <x:v>New public-source collection</x:v>
      </x:c>
      <x:c r="AC1122" s="3" t="str">
        <x:v>unverified</x:v>
      </x:c>
      <x:c r="AD1122" s="3" t="str">
        <x:v>Not contacted / unconfirmed</x:v>
      </x:c>
      <x:c r="AE1122" s="3" t="str">
        <x:v>No</x:v>
      </x:c>
      <x:c r="AF1122" s="3" t="str">
        <x:v>No</x:v>
      </x:c>
      <x:c r="AG1122" s="3"/>
      <x:c r="AH1122" s="3"/>
      <x:c r="AI1122" s="18"/>
      <x:c r="AJ1122" s="3" t="str">
        <x:v>CF2500-361889E6910C</x:v>
      </x:c>
      <x:c r="AK1122" s="3" t="str">
        <x:v>real_estate_operator</x:v>
      </x:c>
      <x:c r="AL1122" s="19" t="n">
        <x:v>100000</x:v>
      </x:c>
      <x:c r="AM1122" s="19" t="n">
        <x:v>500000</x:v>
      </x:c>
      <x:c r="AN1122" s="3" t="str">
        <x:v>https://www.cashhomebuyersdirectory.com/cash-home-buyers/new-york/albany</x:v>
      </x:c>
      <x:c r="AO1122" s="3" t="str">
        <x:v>national_rest_directory_complete.jsonl</x:v>
      </x:c>
      <x:c r="AP1122" s="19"/>
    </x:row>
    <x:row r="1123" ht="36" customHeight="1">
      <x:c r="A1123" s="23" t="n">
        <x:v>1122</x:v>
      </x:c>
      <x:c r="B1123" s="15" t="str">
        <x:v>Lemon House Home Buyers</x:v>
      </x:c>
      <x:c r="C1123" s="15"/>
      <x:c r="D1123" s="15" t="str">
        <x:v>Property investor / home-buying operator</x:v>
      </x:c>
      <x:c r="E1123" s="15" t="str">
        <x:v>Property investor / operator inquiry</x:v>
      </x:c>
      <x:c r="F1123" s="17" t="str">
        <x:v>New</x:v>
      </x:c>
      <x:c r="G1123" s="24"/>
      <x:c r="H1123" s="24" t="str">
        <x:v>+14012035302</x:v>
      </x:c>
      <x:c r="I1123" s="24" t="str">
        <x:v>http://www.lemonbuyers.com/</x:v>
      </x:c>
      <x:c r="J1123" s="16" t="str">
        <x:v>RI</x:v>
      </x:c>
      <x:c r="K1123" s="16"/>
      <x:c r="L1123" s="16" t="str">
        <x:v>Public property-business route; investor decision maker unconfirmed</x:v>
      </x:c>
      <x:c r="M1123" s="16" t="str">
        <x:v>http://www.lemonbuyers.com/</x:v>
      </x:c>
      <x:c r="N1123" s="16" t="str">
        <x:v>$100K-$500K ticket not published / unconfirmed</x:v>
      </x:c>
      <x:c r="O1123" s="20"/>
      <x:c r="P1123" s="20"/>
      <x:c r="Q1123" s="25" t="str">
        <x:v>No direct corporate-capital range established in checked source</x:v>
      </x:c>
      <x:c r="R1123" s="25" t="str">
        <x:v>Property acquisition or investor activity makes this an operator-capital prospect for the signed trial. Confirm operating-company debt/equity appetite.</x:v>
      </x:c>
      <x:c r="S1123" s="25"/>
      <x:c r="T1123" s="25" t="str">
        <x:v>Ask the owner/investor whether they can allocate $100K-$500K to trial marketing and acquisitions, and confirm structure, timing and decision authority.</x:v>
      </x:c>
      <x:c r="U1123" s="25" t="str">
        <x:v>https://www.cashhomebuyersdirectory.com/cash-home-buyers/rhode-island/providence</x:v>
      </x:c>
      <x:c r="V1123" s="26" t="d">
        <x:v>2026-10-02T00:00:00.000Z</x:v>
      </x:c>
      <x:c r="W1123" s="26" t="d">
        <x:v>2026-10-02T00:00:00.000Z</x:v>
      </x:c>
      <x:c r="X1123" s="25" t="str">
        <x:v>CashHomeBuyersDirectory third-party business listing; first-party business activity not checked in this batch</x:v>
      </x:c>
      <x:c r="Y1123" s="25"/>
      <x:c r="Z1123" s="25" t="str">
        <x:v>https://www.cashhomebuyersdirectory.com/cash-home-buyers/rhode-island/providence</x:v>
      </x:c>
      <x:c r="AA1123" s="25" t="str">
        <x:v>Public cash-home-buyer directory lists the business name, business phone/website where available and market. Operator role and corporate funding willingness require confirmation.</x:v>
      </x:c>
      <x:c r="AB1123" s="3" t="str">
        <x:v>New public-source collection</x:v>
      </x:c>
      <x:c r="AC1123" s="3" t="str">
        <x:v>unverified</x:v>
      </x:c>
      <x:c r="AD1123" s="3" t="str">
        <x:v>Not contacted / unconfirmed</x:v>
      </x:c>
      <x:c r="AE1123" s="3" t="str">
        <x:v>No</x:v>
      </x:c>
      <x:c r="AF1123" s="3" t="str">
        <x:v>No</x:v>
      </x:c>
      <x:c r="AG1123" s="3"/>
      <x:c r="AH1123" s="3"/>
      <x:c r="AI1123" s="18"/>
      <x:c r="AJ1123" s="3" t="str">
        <x:v>CF2500-F9F5410ADFAB</x:v>
      </x:c>
      <x:c r="AK1123" s="3" t="str">
        <x:v>real_estate_operator</x:v>
      </x:c>
      <x:c r="AL1123" s="19" t="n">
        <x:v>100000</x:v>
      </x:c>
      <x:c r="AM1123" s="19" t="n">
        <x:v>500000</x:v>
      </x:c>
      <x:c r="AN1123" s="3" t="str">
        <x:v>https://www.cashhomebuyersdirectory.com/cash-home-buyers/rhode-island/providence</x:v>
      </x:c>
      <x:c r="AO1123" s="3" t="str">
        <x:v>national_rest_directory_complete.jsonl</x:v>
      </x:c>
      <x:c r="AP1123" s="19"/>
    </x:row>
    <x:row r="1124" ht="36" customHeight="1">
      <x:c r="A1124" s="23" t="n">
        <x:v>1123</x:v>
      </x:c>
      <x:c r="B1124" s="15" t="str">
        <x:v>Lex House Buyers</x:v>
      </x:c>
      <x:c r="C1124" s="15"/>
      <x:c r="D1124" s="15" t="str">
        <x:v>Property investor / home-buying operator</x:v>
      </x:c>
      <x:c r="E1124" s="15" t="str">
        <x:v>Property investor / operator inquiry</x:v>
      </x:c>
      <x:c r="F1124" s="17" t="str">
        <x:v>New</x:v>
      </x:c>
      <x:c r="G1124" s="24"/>
      <x:c r="H1124" s="24" t="str">
        <x:v>+18594292158</x:v>
      </x:c>
      <x:c r="I1124" s="24" t="str">
        <x:v>https://www.lexhousebuyers.com/</x:v>
      </x:c>
      <x:c r="J1124" s="16" t="str">
        <x:v>KY</x:v>
      </x:c>
      <x:c r="K1124" s="16" t="str">
        <x:v>Lexington</x:v>
      </x:c>
      <x:c r="L1124" s="16" t="str">
        <x:v>Public property-business route; investor decision maker unconfirmed</x:v>
      </x:c>
      <x:c r="M1124" s="16" t="str">
        <x:v>https://www.lexhousebuyers.com/</x:v>
      </x:c>
      <x:c r="N1124" s="16" t="str">
        <x:v>$100K-$500K ticket not published / unconfirmed</x:v>
      </x:c>
      <x:c r="O1124" s="20"/>
      <x:c r="P1124" s="20"/>
      <x:c r="Q1124" s="25" t="str">
        <x:v>No direct corporate-capital range established in checked source</x:v>
      </x:c>
      <x:c r="R1124" s="25" t="str">
        <x:v>Property acquisition or investor activity makes this an operator-capital prospect for the signed trial. Confirm operating-company debt/equity appetite.</x:v>
      </x:c>
      <x:c r="S1124" s="25"/>
      <x:c r="T1124" s="25" t="str">
        <x:v>Ask the owner/investor whether they can allocate $100K-$500K to trial marketing and acquisitions, and confirm structure, timing and decision authority.</x:v>
      </x:c>
      <x:c r="U1124" s="25" t="str">
        <x:v>https://www.cashhomebuyersdirectory.com/cash-home-buyers/kentucky/lexington</x:v>
      </x:c>
      <x:c r="V1124" s="26" t="d">
        <x:v>2026-10-02T00:00:00.000Z</x:v>
      </x:c>
      <x:c r="W1124" s="26" t="d">
        <x:v>2026-10-02T00:00:00.000Z</x:v>
      </x:c>
      <x:c r="X1124" s="25" t="str">
        <x:v>CashHomeBuyersDirectory third-party business listing; first-party business activity not checked in this batch</x:v>
      </x:c>
      <x:c r="Y1124" s="25"/>
      <x:c r="Z1124" s="25" t="str">
        <x:v>https://www.cashhomebuyersdirectory.com/cash-home-buyers/kentucky/lexington</x:v>
      </x:c>
      <x:c r="AA1124" s="25" t="str">
        <x:v>Public cash-home-buyer directory lists the business name, business phone/website where available and market. Operator role and corporate funding willingness require confirmation.</x:v>
      </x:c>
      <x:c r="AB1124" s="3" t="str">
        <x:v>New public-source collection</x:v>
      </x:c>
      <x:c r="AC1124" s="3" t="str">
        <x:v>unverified</x:v>
      </x:c>
      <x:c r="AD1124" s="3" t="str">
        <x:v>Not contacted / unconfirmed</x:v>
      </x:c>
      <x:c r="AE1124" s="3" t="str">
        <x:v>No</x:v>
      </x:c>
      <x:c r="AF1124" s="3" t="str">
        <x:v>No</x:v>
      </x:c>
      <x:c r="AG1124" s="3"/>
      <x:c r="AH1124" s="3"/>
      <x:c r="AI1124" s="18"/>
      <x:c r="AJ1124" s="3" t="str">
        <x:v>CF2500-222C2ABFCDCB</x:v>
      </x:c>
      <x:c r="AK1124" s="3" t="str">
        <x:v>real_estate_operator</x:v>
      </x:c>
      <x:c r="AL1124" s="19" t="n">
        <x:v>100000</x:v>
      </x:c>
      <x:c r="AM1124" s="19" t="n">
        <x:v>500000</x:v>
      </x:c>
      <x:c r="AN1124" s="3" t="str">
        <x:v>https://www.cashhomebuyersdirectory.com/cash-home-buyers/kentucky/lexington</x:v>
      </x:c>
      <x:c r="AO1124" s="3" t="str">
        <x:v>national_rest_directory_complete.jsonl</x:v>
      </x:c>
      <x:c r="AP1124" s="19"/>
    </x:row>
    <x:row r="1125" ht="36" customHeight="1">
      <x:c r="A1125" s="23" t="n">
        <x:v>1124</x:v>
      </x:c>
      <x:c r="B1125" s="15" t="str">
        <x:v>Liberty Cash Home Buyers</x:v>
      </x:c>
      <x:c r="C1125" s="15"/>
      <x:c r="D1125" s="15" t="str">
        <x:v>Property investor / home-buying operator</x:v>
      </x:c>
      <x:c r="E1125" s="15" t="str">
        <x:v>Property investor / operator inquiry</x:v>
      </x:c>
      <x:c r="F1125" s="17" t="str">
        <x:v>New</x:v>
      </x:c>
      <x:c r="G1125" s="24"/>
      <x:c r="H1125" s="24" t="str">
        <x:v>+14016813332</x:v>
      </x:c>
      <x:c r="I1125" s="24" t="str">
        <x:v>https://libertycashhomebuyers.com/</x:v>
      </x:c>
      <x:c r="J1125" s="16" t="str">
        <x:v>RI</x:v>
      </x:c>
      <x:c r="K1125" s="16"/>
      <x:c r="L1125" s="16" t="str">
        <x:v>Public property-business route; investor decision maker unconfirmed</x:v>
      </x:c>
      <x:c r="M1125" s="16" t="str">
        <x:v>https://libertycashhomebuyers.com/</x:v>
      </x:c>
      <x:c r="N1125" s="16" t="str">
        <x:v>$100K-$500K ticket not published / unconfirmed</x:v>
      </x:c>
      <x:c r="O1125" s="20"/>
      <x:c r="P1125" s="20"/>
      <x:c r="Q1125" s="25" t="str">
        <x:v>No direct corporate-capital range established in checked source</x:v>
      </x:c>
      <x:c r="R1125" s="25" t="str">
        <x:v>Property acquisition or investor activity makes this an operator-capital prospect for the signed trial. Confirm operating-company debt/equity appetite.</x:v>
      </x:c>
      <x:c r="S1125" s="25"/>
      <x:c r="T1125" s="25" t="str">
        <x:v>Ask the owner/investor whether they can allocate $100K-$500K to trial marketing and acquisitions, and confirm structure, timing and decision authority.</x:v>
      </x:c>
      <x:c r="U1125" s="25" t="str">
        <x:v>https://www.cashhomebuyersdirectory.com/cash-home-buyers/rhode-island/providence</x:v>
      </x:c>
      <x:c r="V1125" s="26" t="d">
        <x:v>2026-10-02T00:00:00.000Z</x:v>
      </x:c>
      <x:c r="W1125" s="26" t="d">
        <x:v>2026-10-02T00:00:00.000Z</x:v>
      </x:c>
      <x:c r="X1125" s="25" t="str">
        <x:v>CashHomeBuyersDirectory third-party business listing; first-party business activity not checked in this batch</x:v>
      </x:c>
      <x:c r="Y1125" s="25"/>
      <x:c r="Z1125" s="25" t="str">
        <x:v>https://www.cashhomebuyersdirectory.com/cash-home-buyers/rhode-island/providence</x:v>
      </x:c>
      <x:c r="AA1125" s="25" t="str">
        <x:v>Public cash-home-buyer directory lists the business name, business phone/website where available and market. Operator role and corporate funding willingness require confirmation.</x:v>
      </x:c>
      <x:c r="AB1125" s="3" t="str">
        <x:v>New public-source collection</x:v>
      </x:c>
      <x:c r="AC1125" s="3" t="str">
        <x:v>unverified</x:v>
      </x:c>
      <x:c r="AD1125" s="3" t="str">
        <x:v>Not contacted / unconfirmed</x:v>
      </x:c>
      <x:c r="AE1125" s="3" t="str">
        <x:v>No</x:v>
      </x:c>
      <x:c r="AF1125" s="3" t="str">
        <x:v>No</x:v>
      </x:c>
      <x:c r="AG1125" s="3"/>
      <x:c r="AH1125" s="3"/>
      <x:c r="AI1125" s="18"/>
      <x:c r="AJ1125" s="3" t="str">
        <x:v>CF2500-329AA01093C2</x:v>
      </x:c>
      <x:c r="AK1125" s="3" t="str">
        <x:v>real_estate_operator</x:v>
      </x:c>
      <x:c r="AL1125" s="19" t="n">
        <x:v>100000</x:v>
      </x:c>
      <x:c r="AM1125" s="19" t="n">
        <x:v>500000</x:v>
      </x:c>
      <x:c r="AN1125" s="3" t="str">
        <x:v>https://www.cashhomebuyersdirectory.com/cash-home-buyers/rhode-island/providence</x:v>
      </x:c>
      <x:c r="AO1125" s="3" t="str">
        <x:v>national_rest_directory_complete.jsonl</x:v>
      </x:c>
      <x:c r="AP1125" s="19"/>
    </x:row>
    <x:row r="1126" ht="36" customHeight="1">
      <x:c r="A1126" s="23" t="n">
        <x:v>1125</x:v>
      </x:c>
      <x:c r="B1126" s="15" t="str">
        <x:v>Lima Home Buyer</x:v>
      </x:c>
      <x:c r="C1126" s="15"/>
      <x:c r="D1126" s="15" t="str">
        <x:v>Property investor / home-buying operator</x:v>
      </x:c>
      <x:c r="E1126" s="15" t="str">
        <x:v>Property investor / operator inquiry</x:v>
      </x:c>
      <x:c r="F1126" s="17" t="str">
        <x:v>New</x:v>
      </x:c>
      <x:c r="G1126" s="24"/>
      <x:c r="H1126" s="24" t="str">
        <x:v>+14199090690</x:v>
      </x:c>
      <x:c r="I1126" s="24" t="str">
        <x:v>https://limahomebuyer.com/</x:v>
      </x:c>
      <x:c r="J1126" s="16" t="str">
        <x:v>OH</x:v>
      </x:c>
      <x:c r="K1126" s="16" t="str">
        <x:v>Lima</x:v>
      </x:c>
      <x:c r="L1126" s="16" t="str">
        <x:v>Public property-business route; investor decision maker unconfirmed</x:v>
      </x:c>
      <x:c r="M1126" s="16" t="str">
        <x:v>https://limahomebuyer.com/</x:v>
      </x:c>
      <x:c r="N1126" s="16" t="str">
        <x:v>$100K-$500K ticket not published / unconfirmed</x:v>
      </x:c>
      <x:c r="O1126" s="20"/>
      <x:c r="P1126" s="20"/>
      <x:c r="Q1126" s="25" t="str">
        <x:v>No direct corporate-capital range established in checked source</x:v>
      </x:c>
      <x:c r="R1126" s="25" t="str">
        <x:v>Property acquisition or investor activity makes this an operator-capital prospect for the signed trial. Confirm operating-company debt/equity appetite.</x:v>
      </x:c>
      <x:c r="S1126" s="25"/>
      <x:c r="T1126" s="25" t="str">
        <x:v>Ask the owner/investor whether they can allocate $100K-$500K to trial marketing and acquisitions, and confirm structure, timing and decision authority.</x:v>
      </x:c>
      <x:c r="U1126" s="25" t="str">
        <x:v>https://www.cashhomebuyersdirectory.com/cash-home-buyers/ohio/lima</x:v>
      </x:c>
      <x:c r="V1126" s="26" t="d">
        <x:v>2026-10-02T00:00:00.000Z</x:v>
      </x:c>
      <x:c r="W1126" s="26" t="d">
        <x:v>2026-10-02T00:00:00.000Z</x:v>
      </x:c>
      <x:c r="X1126" s="25" t="str">
        <x:v>CashHomeBuyersDirectory third-party business listing; first-party business activity not checked in this batch</x:v>
      </x:c>
      <x:c r="Y1126" s="25"/>
      <x:c r="Z1126" s="25" t="str">
        <x:v>https://www.cashhomebuyersdirectory.com/cash-home-buyers/ohio/lima</x:v>
      </x:c>
      <x:c r="AA1126" s="25" t="str">
        <x:v>Public cash-home-buyer directory lists the business name, business phone/website where available and market. Operator role and corporate funding willingness require confirmation.</x:v>
      </x:c>
      <x:c r="AB1126" s="3" t="str">
        <x:v>New public-source collection</x:v>
      </x:c>
      <x:c r="AC1126" s="3" t="str">
        <x:v>unverified</x:v>
      </x:c>
      <x:c r="AD1126" s="3" t="str">
        <x:v>Not contacted / unconfirmed</x:v>
      </x:c>
      <x:c r="AE1126" s="3" t="str">
        <x:v>No</x:v>
      </x:c>
      <x:c r="AF1126" s="3" t="str">
        <x:v>No</x:v>
      </x:c>
      <x:c r="AG1126" s="3"/>
      <x:c r="AH1126" s="3"/>
      <x:c r="AI1126" s="18"/>
      <x:c r="AJ1126" s="3" t="str">
        <x:v>CF2500-63EEC571070E</x:v>
      </x:c>
      <x:c r="AK1126" s="3" t="str">
        <x:v>real_estate_operator</x:v>
      </x:c>
      <x:c r="AL1126" s="19" t="n">
        <x:v>100000</x:v>
      </x:c>
      <x:c r="AM1126" s="19" t="n">
        <x:v>500000</x:v>
      </x:c>
      <x:c r="AN1126" s="3" t="str">
        <x:v>https://www.cashhomebuyersdirectory.com/cash-home-buyers/ohio/lima</x:v>
      </x:c>
      <x:c r="AO1126" s="3" t="str">
        <x:v>national_rest_directory_complete.jsonl</x:v>
      </x:c>
      <x:c r="AP1126" s="19"/>
    </x:row>
    <x:row r="1127" ht="36" customHeight="1">
      <x:c r="A1127" s="23" t="n">
        <x:v>1126</x:v>
      </x:c>
      <x:c r="B1127" s="15" t="str">
        <x:v>Limitless Home Buyers LLC</x:v>
      </x:c>
      <x:c r="C1127" s="15"/>
      <x:c r="D1127" s="15" t="str">
        <x:v>Property investor / home-buying operator</x:v>
      </x:c>
      <x:c r="E1127" s="15" t="str">
        <x:v>Property investor / operator inquiry</x:v>
      </x:c>
      <x:c r="F1127" s="17" t="str">
        <x:v>New</x:v>
      </x:c>
      <x:c r="G1127" s="24"/>
      <x:c r="H1127" s="24" t="str">
        <x:v>+13022686489</x:v>
      </x:c>
      <x:c r="I1127" s="24" t="str">
        <x:v>http://limitlesshomebuyer.com/</x:v>
      </x:c>
      <x:c r="J1127" s="16" t="str">
        <x:v>DE</x:v>
      </x:c>
      <x:c r="K1127" s="16" t="str">
        <x:v>Wilmington</x:v>
      </x:c>
      <x:c r="L1127" s="16" t="str">
        <x:v>Public property-business route; investor decision maker unconfirmed</x:v>
      </x:c>
      <x:c r="M1127" s="16" t="str">
        <x:v>http://limitlesshomebuyer.com/</x:v>
      </x:c>
      <x:c r="N1127" s="16" t="str">
        <x:v>$100K-$500K ticket not published / unconfirmed</x:v>
      </x:c>
      <x:c r="O1127" s="20"/>
      <x:c r="P1127" s="20"/>
      <x:c r="Q1127" s="25" t="str">
        <x:v>No direct corporate-capital range established in checked source</x:v>
      </x:c>
      <x:c r="R1127" s="25" t="str">
        <x:v>Property acquisition or investor activity makes this an operator-capital prospect for the signed trial. Confirm operating-company debt/equity appetite.</x:v>
      </x:c>
      <x:c r="S1127" s="25"/>
      <x:c r="T1127" s="25" t="str">
        <x:v>Ask the owner/investor whether they can allocate $100K-$500K to trial marketing and acquisitions, and confirm structure, timing and decision authority.</x:v>
      </x:c>
      <x:c r="U1127" s="25" t="str">
        <x:v>https://www.cashhomebuyersdirectory.com/cash-home-buyers/delaware/wilmington</x:v>
      </x:c>
      <x:c r="V1127" s="26" t="d">
        <x:v>2026-10-02T00:00:00.000Z</x:v>
      </x:c>
      <x:c r="W1127" s="26" t="d">
        <x:v>2026-10-02T00:00:00.000Z</x:v>
      </x:c>
      <x:c r="X1127" s="25" t="str">
        <x:v>CashHomeBuyersDirectory third-party business listing; first-party business activity not checked in this batch</x:v>
      </x:c>
      <x:c r="Y1127" s="25"/>
      <x:c r="Z1127" s="25" t="str">
        <x:v>https://www.cashhomebuyersdirectory.com/cash-home-buyers/delaware/wilmington</x:v>
      </x:c>
      <x:c r="AA1127" s="25" t="str">
        <x:v>Public cash-home-buyer directory lists the business name, business phone/website where available and market. Operator role and corporate funding willingness require confirmation.</x:v>
      </x:c>
      <x:c r="AB1127" s="3" t="str">
        <x:v>New public-source collection</x:v>
      </x:c>
      <x:c r="AC1127" s="3" t="str">
        <x:v>unverified</x:v>
      </x:c>
      <x:c r="AD1127" s="3" t="str">
        <x:v>Not contacted / unconfirmed</x:v>
      </x:c>
      <x:c r="AE1127" s="3" t="str">
        <x:v>No</x:v>
      </x:c>
      <x:c r="AF1127" s="3" t="str">
        <x:v>No</x:v>
      </x:c>
      <x:c r="AG1127" s="3"/>
      <x:c r="AH1127" s="3"/>
      <x:c r="AI1127" s="18"/>
      <x:c r="AJ1127" s="3" t="str">
        <x:v>CF2500-FEDE0DB958E8</x:v>
      </x:c>
      <x:c r="AK1127" s="3" t="str">
        <x:v>real_estate_operator</x:v>
      </x:c>
      <x:c r="AL1127" s="19" t="n">
        <x:v>100000</x:v>
      </x:c>
      <x:c r="AM1127" s="19" t="n">
        <x:v>500000</x:v>
      </x:c>
      <x:c r="AN1127" s="3" t="str">
        <x:v>https://www.cashhomebuyersdirectory.com/cash-home-buyers/delaware/wilmington</x:v>
      </x:c>
      <x:c r="AO1127" s="3" t="str">
        <x:v>national_rest_directory_complete.jsonl</x:v>
      </x:c>
      <x:c r="AP1127" s="19"/>
    </x:row>
    <x:row r="1128" ht="36" customHeight="1">
      <x:c r="A1128" s="23" t="n">
        <x:v>1127</x:v>
      </x:c>
      <x:c r="B1128" s="15" t="str">
        <x:v>Little Rock Property Buyers</x:v>
      </x:c>
      <x:c r="C1128" s="15"/>
      <x:c r="D1128" s="15" t="str">
        <x:v>Property investor / home-buying operator</x:v>
      </x:c>
      <x:c r="E1128" s="15" t="str">
        <x:v>Property investor / operator inquiry</x:v>
      </x:c>
      <x:c r="F1128" s="17" t="str">
        <x:v>New</x:v>
      </x:c>
      <x:c r="G1128" s="24"/>
      <x:c r="H1128" s="24" t="str">
        <x:v>+15013817493</x:v>
      </x:c>
      <x:c r="I1128" s="24" t="str">
        <x:v>https://propertybuyersar.com/</x:v>
      </x:c>
      <x:c r="J1128" s="16" t="str">
        <x:v>AR</x:v>
      </x:c>
      <x:c r="K1128" s="16"/>
      <x:c r="L1128" s="16" t="str">
        <x:v>Public property-business route; investor decision maker unconfirmed</x:v>
      </x:c>
      <x:c r="M1128" s="16" t="str">
        <x:v>https://propertybuyersar.com/</x:v>
      </x:c>
      <x:c r="N1128" s="16" t="str">
        <x:v>$100K-$500K ticket not published / unconfirmed</x:v>
      </x:c>
      <x:c r="O1128" s="20"/>
      <x:c r="P1128" s="20"/>
      <x:c r="Q1128" s="25" t="str">
        <x:v>No direct corporate-capital range established in checked source</x:v>
      </x:c>
      <x:c r="R1128" s="25" t="str">
        <x:v>Property acquisition or investor activity makes this an operator-capital prospect for the signed trial. Confirm operating-company debt/equity appetite.</x:v>
      </x:c>
      <x:c r="S1128" s="25"/>
      <x:c r="T1128" s="25" t="str">
        <x:v>Ask the owner/investor whether they can allocate $100K-$500K to trial marketing and acquisitions, and confirm structure, timing and decision authority.</x:v>
      </x:c>
      <x:c r="U1128" s="25" t="str">
        <x:v>https://www.cashhomebuyersdirectory.com/cash-home-buyers/arkansas/little-rock</x:v>
      </x:c>
      <x:c r="V1128" s="26" t="d">
        <x:v>2026-10-02T00:00:00.000Z</x:v>
      </x:c>
      <x:c r="W1128" s="26" t="d">
        <x:v>2026-10-02T00:00:00.000Z</x:v>
      </x:c>
      <x:c r="X1128" s="25" t="str">
        <x:v>CashHomeBuyersDirectory third-party business listing; first-party business activity not checked in this batch</x:v>
      </x:c>
      <x:c r="Y1128" s="25"/>
      <x:c r="Z1128" s="25" t="str">
        <x:v>https://www.cashhomebuyersdirectory.com/cash-home-buyers/arkansas/little-rock</x:v>
      </x:c>
      <x:c r="AA1128" s="25" t="str">
        <x:v>Public cash-home-buyer directory lists the business name, business phone/website where available and market. Operator role and corporate funding willingness require confirmation.</x:v>
      </x:c>
      <x:c r="AB1128" s="3" t="str">
        <x:v>New public-source collection</x:v>
      </x:c>
      <x:c r="AC1128" s="3" t="str">
        <x:v>unverified</x:v>
      </x:c>
      <x:c r="AD1128" s="3" t="str">
        <x:v>Not contacted / unconfirmed</x:v>
      </x:c>
      <x:c r="AE1128" s="3" t="str">
        <x:v>No</x:v>
      </x:c>
      <x:c r="AF1128" s="3" t="str">
        <x:v>No</x:v>
      </x:c>
      <x:c r="AG1128" s="3"/>
      <x:c r="AH1128" s="3"/>
      <x:c r="AI1128" s="18"/>
      <x:c r="AJ1128" s="3" t="str">
        <x:v>CF2500-1B7D73706433</x:v>
      </x:c>
      <x:c r="AK1128" s="3" t="str">
        <x:v>real_estate_operator</x:v>
      </x:c>
      <x:c r="AL1128" s="19" t="n">
        <x:v>100000</x:v>
      </x:c>
      <x:c r="AM1128" s="19" t="n">
        <x:v>500000</x:v>
      </x:c>
      <x:c r="AN1128" s="3" t="str">
        <x:v>https://www.cashhomebuyersdirectory.com/cash-home-buyers/arkansas/little-rock</x:v>
      </x:c>
      <x:c r="AO1128" s="3" t="str">
        <x:v>national_rest_directory_complete.jsonl</x:v>
      </x:c>
      <x:c r="AP1128" s="19"/>
    </x:row>
    <x:row r="1129" ht="36" customHeight="1">
      <x:c r="A1129" s="23" t="n">
        <x:v>1128</x:v>
      </x:c>
      <x:c r="B1129" s="15" t="str">
        <x:v>Livli Home Buyers</x:v>
      </x:c>
      <x:c r="C1129" s="15"/>
      <x:c r="D1129" s="15" t="str">
        <x:v>Property investor / home-buying operator</x:v>
      </x:c>
      <x:c r="E1129" s="15" t="str">
        <x:v>Property investor / operator inquiry</x:v>
      </x:c>
      <x:c r="F1129" s="17" t="str">
        <x:v>New</x:v>
      </x:c>
      <x:c r="G1129" s="24"/>
      <x:c r="H1129" s="24" t="str">
        <x:v>+16513834590</x:v>
      </x:c>
      <x:c r="I1129" s="24" t="str">
        <x:v>https://livlihomes.com/?utm_source=google&amp;utm_medium=organic&amp;utm_campaign=google_business_profile&amp;utm_content=website</x:v>
      </x:c>
      <x:c r="J1129" s="16" t="str">
        <x:v>MN</x:v>
      </x:c>
      <x:c r="K1129" s="16" t="str">
        <x:v>St. Paul</x:v>
      </x:c>
      <x:c r="L1129" s="16" t="str">
        <x:v>Public property-business route; investor decision maker unconfirmed</x:v>
      </x:c>
      <x:c r="M1129" s="16" t="str">
        <x:v>https://livlihomes.com/?utm_source=google&amp;utm_medium=organic&amp;utm_campaign=google_business_profile&amp;utm_content=website</x:v>
      </x:c>
      <x:c r="N1129" s="16" t="str">
        <x:v>$100K-$500K ticket not published / unconfirmed</x:v>
      </x:c>
      <x:c r="O1129" s="20"/>
      <x:c r="P1129" s="20"/>
      <x:c r="Q1129" s="25" t="str">
        <x:v>No direct corporate-capital range established in checked source</x:v>
      </x:c>
      <x:c r="R1129" s="25" t="str">
        <x:v>Property acquisition or investor activity makes this an operator-capital prospect for the signed trial. Confirm operating-company debt/equity appetite.</x:v>
      </x:c>
      <x:c r="S1129" s="25"/>
      <x:c r="T1129" s="25" t="str">
        <x:v>Ask the owner/investor whether they can allocate $100K-$500K to trial marketing and acquisitions, and confirm structure, timing and decision authority.</x:v>
      </x:c>
      <x:c r="U1129" s="25" t="str">
        <x:v>https://www.cashhomebuyersdirectory.com/cash-home-buyers/minnesota/st-paul</x:v>
      </x:c>
      <x:c r="V1129" s="26" t="d">
        <x:v>2026-10-02T00:00:00.000Z</x:v>
      </x:c>
      <x:c r="W1129" s="26" t="d">
        <x:v>2026-10-02T00:00:00.000Z</x:v>
      </x:c>
      <x:c r="X1129" s="25" t="str">
        <x:v>CashHomeBuyersDirectory third-party business listing; first-party business activity not checked in this batch</x:v>
      </x:c>
      <x:c r="Y1129" s="25"/>
      <x:c r="Z1129" s="25" t="str">
        <x:v>https://www.cashhomebuyersdirectory.com/cash-home-buyers/minnesota/st-paul</x:v>
      </x:c>
      <x:c r="AA1129" s="25" t="str">
        <x:v>Public cash-home-buyer directory lists the business name, business phone/website where available and market. Operator role and corporate funding willingness require confirmation.</x:v>
      </x:c>
      <x:c r="AB1129" s="3" t="str">
        <x:v>New public-source collection</x:v>
      </x:c>
      <x:c r="AC1129" s="3" t="str">
        <x:v>unverified</x:v>
      </x:c>
      <x:c r="AD1129" s="3" t="str">
        <x:v>Not contacted / unconfirmed</x:v>
      </x:c>
      <x:c r="AE1129" s="3" t="str">
        <x:v>No</x:v>
      </x:c>
      <x:c r="AF1129" s="3" t="str">
        <x:v>No</x:v>
      </x:c>
      <x:c r="AG1129" s="3"/>
      <x:c r="AH1129" s="3"/>
      <x:c r="AI1129" s="18"/>
      <x:c r="AJ1129" s="3" t="str">
        <x:v>CF2500-D0244033BC7D</x:v>
      </x:c>
      <x:c r="AK1129" s="3" t="str">
        <x:v>real_estate_operator</x:v>
      </x:c>
      <x:c r="AL1129" s="19" t="n">
        <x:v>100000</x:v>
      </x:c>
      <x:c r="AM1129" s="19" t="n">
        <x:v>500000</x:v>
      </x:c>
      <x:c r="AN1129" s="3" t="str">
        <x:v>https://www.cashhomebuyersdirectory.com/cash-home-buyers/minnesota/st-paul</x:v>
      </x:c>
      <x:c r="AO1129" s="3" t="str">
        <x:v>national_rest_directory_complete.jsonl</x:v>
      </x:c>
      <x:c r="AP1129" s="19"/>
    </x:row>
    <x:row r="1130" ht="36" customHeight="1">
      <x:c r="A1130" s="23" t="n">
        <x:v>1129</x:v>
      </x:c>
      <x:c r="B1130" s="15" t="str">
        <x:v>Local Home Buyers Sioux Falls</x:v>
      </x:c>
      <x:c r="C1130" s="15"/>
      <x:c r="D1130" s="15" t="str">
        <x:v>Property investor / home-buying operator</x:v>
      </x:c>
      <x:c r="E1130" s="15" t="str">
        <x:v>Property investor / operator inquiry</x:v>
      </x:c>
      <x:c r="F1130" s="17" t="str">
        <x:v>New</x:v>
      </x:c>
      <x:c r="G1130" s="24"/>
      <x:c r="H1130" s="24" t="str">
        <x:v>+16053492217</x:v>
      </x:c>
      <x:c r="I1130" s="24" t="str">
        <x:v>http://localhomebuyerssiouxfalls.com/</x:v>
      </x:c>
      <x:c r="J1130" s="16" t="str">
        <x:v>SD</x:v>
      </x:c>
      <x:c r="K1130" s="16" t="str">
        <x:v>Sioux Falls</x:v>
      </x:c>
      <x:c r="L1130" s="16" t="str">
        <x:v>Public property-business route; investor decision maker unconfirmed</x:v>
      </x:c>
      <x:c r="M1130" s="16" t="str">
        <x:v>http://localhomebuyerssiouxfalls.com/</x:v>
      </x:c>
      <x:c r="N1130" s="16" t="str">
        <x:v>$100K-$500K ticket not published / unconfirmed</x:v>
      </x:c>
      <x:c r="O1130" s="20"/>
      <x:c r="P1130" s="20"/>
      <x:c r="Q1130" s="25" t="str">
        <x:v>No direct corporate-capital range established in checked source</x:v>
      </x:c>
      <x:c r="R1130" s="25" t="str">
        <x:v>Property acquisition or investor activity makes this an operator-capital prospect for the signed trial. Confirm operating-company debt/equity appetite.</x:v>
      </x:c>
      <x:c r="S1130" s="25"/>
      <x:c r="T1130" s="25" t="str">
        <x:v>Ask the owner/investor whether they can allocate $100K-$500K to trial marketing and acquisitions, and confirm structure, timing and decision authority.</x:v>
      </x:c>
      <x:c r="U1130" s="25" t="str">
        <x:v>https://www.cashhomebuyersdirectory.com/cash-home-buyers/south-dakota/sioux-falls</x:v>
      </x:c>
      <x:c r="V1130" s="26" t="d">
        <x:v>2026-10-02T00:00:00.000Z</x:v>
      </x:c>
      <x:c r="W1130" s="26" t="d">
        <x:v>2026-10-02T00:00:00.000Z</x:v>
      </x:c>
      <x:c r="X1130" s="25" t="str">
        <x:v>CashHomeBuyersDirectory third-party business listing; first-party business activity not checked in this batch</x:v>
      </x:c>
      <x:c r="Y1130" s="25"/>
      <x:c r="Z1130" s="25" t="str">
        <x:v>https://www.cashhomebuyersdirectory.com/cash-home-buyers/south-dakota/sioux-falls</x:v>
      </x:c>
      <x:c r="AA1130" s="25" t="str">
        <x:v>Public cash-home-buyer directory lists the business name, business phone/website where available and market. Operator role and corporate funding willingness require confirmation.</x:v>
      </x:c>
      <x:c r="AB1130" s="3" t="str">
        <x:v>New public-source collection</x:v>
      </x:c>
      <x:c r="AC1130" s="3" t="str">
        <x:v>unverified</x:v>
      </x:c>
      <x:c r="AD1130" s="3" t="str">
        <x:v>Not contacted / unconfirmed</x:v>
      </x:c>
      <x:c r="AE1130" s="3" t="str">
        <x:v>No</x:v>
      </x:c>
      <x:c r="AF1130" s="3" t="str">
        <x:v>No</x:v>
      </x:c>
      <x:c r="AG1130" s="3"/>
      <x:c r="AH1130" s="3"/>
      <x:c r="AI1130" s="18"/>
      <x:c r="AJ1130" s="3" t="str">
        <x:v>CF2500-A5D2BEF232B3</x:v>
      </x:c>
      <x:c r="AK1130" s="3" t="str">
        <x:v>real_estate_operator</x:v>
      </x:c>
      <x:c r="AL1130" s="19" t="n">
        <x:v>100000</x:v>
      </x:c>
      <x:c r="AM1130" s="19" t="n">
        <x:v>500000</x:v>
      </x:c>
      <x:c r="AN1130" s="3" t="str">
        <x:v>https://www.cashhomebuyersdirectory.com/cash-home-buyers/south-dakota/sioux-falls</x:v>
      </x:c>
      <x:c r="AO1130" s="3" t="str">
        <x:v>national_rest_directory_complete.jsonl</x:v>
      </x:c>
      <x:c r="AP1130" s="19"/>
    </x:row>
    <x:row r="1131" ht="36" customHeight="1">
      <x:c r="A1131" s="23" t="n">
        <x:v>1130</x:v>
      </x:c>
      <x:c r="B1131" s="15" t="str">
        <x:v>Local Home Buyers USA Powered by PropTechUSA.ai</x:v>
      </x:c>
      <x:c r="C1131" s="15"/>
      <x:c r="D1131" s="15" t="str">
        <x:v>Property investor / home-buying operator</x:v>
      </x:c>
      <x:c r="E1131" s="15" t="str">
        <x:v>Property investor / operator inquiry</x:v>
      </x:c>
      <x:c r="F1131" s="17" t="str">
        <x:v>New</x:v>
      </x:c>
      <x:c r="G1131" s="24"/>
      <x:c r="H1131" s="24" t="str">
        <x:v>+18008580588</x:v>
      </x:c>
      <x:c r="I1131" s="24" t="str">
        <x:v>https://localhomebuyersusa.com/</x:v>
      </x:c>
      <x:c r="J1131" s="16" t="str">
        <x:v>MN</x:v>
      </x:c>
      <x:c r="K1131" s="16"/>
      <x:c r="L1131" s="16" t="str">
        <x:v>Public property-business route; investor decision maker unconfirmed</x:v>
      </x:c>
      <x:c r="M1131" s="16" t="str">
        <x:v>https://localhomebuyersusa.com/</x:v>
      </x:c>
      <x:c r="N1131" s="16" t="str">
        <x:v>$100K-$500K ticket not published / unconfirmed</x:v>
      </x:c>
      <x:c r="O1131" s="20"/>
      <x:c r="P1131" s="20"/>
      <x:c r="Q1131" s="25" t="str">
        <x:v>No direct corporate-capital range established in checked source</x:v>
      </x:c>
      <x:c r="R1131" s="25" t="str">
        <x:v>Property acquisition or investor activity makes this an operator-capital prospect for the signed trial. Confirm operating-company debt/equity appetite.</x:v>
      </x:c>
      <x:c r="S1131" s="25"/>
      <x:c r="T1131" s="25" t="str">
        <x:v>Ask the owner/investor whether they can allocate $100K-$500K to trial marketing and acquisitions, and confirm structure, timing and decision authority.</x:v>
      </x:c>
      <x:c r="U1131" s="25" t="str">
        <x:v>https://www.cashhomebuyersdirectory.com/cash-home-buyers/minnesota/st-paul</x:v>
      </x:c>
      <x:c r="V1131" s="26" t="d">
        <x:v>2026-10-02T00:00:00.000Z</x:v>
      </x:c>
      <x:c r="W1131" s="26" t="d">
        <x:v>2026-10-02T00:00:00.000Z</x:v>
      </x:c>
      <x:c r="X1131" s="25" t="str">
        <x:v>CashHomeBuyersDirectory third-party business listing; first-party business activity not checked in this batch</x:v>
      </x:c>
      <x:c r="Y1131" s="25"/>
      <x:c r="Z1131" s="25" t="str">
        <x:v>https://www.cashhomebuyersdirectory.com/cash-home-buyers/minnesota/st-paul</x:v>
      </x:c>
      <x:c r="AA1131" s="25" t="str">
        <x:v>Public cash-home-buyer directory lists the business name, business phone/website where available and market. Operator role and corporate funding willingness require confirmation.</x:v>
      </x:c>
      <x:c r="AB1131" s="3" t="str">
        <x:v>New public-source collection</x:v>
      </x:c>
      <x:c r="AC1131" s="3" t="str">
        <x:v>unverified</x:v>
      </x:c>
      <x:c r="AD1131" s="3" t="str">
        <x:v>Not contacted / unconfirmed</x:v>
      </x:c>
      <x:c r="AE1131" s="3" t="str">
        <x:v>No</x:v>
      </x:c>
      <x:c r="AF1131" s="3" t="str">
        <x:v>No</x:v>
      </x:c>
      <x:c r="AG1131" s="3"/>
      <x:c r="AH1131" s="3"/>
      <x:c r="AI1131" s="18"/>
      <x:c r="AJ1131" s="3" t="str">
        <x:v>CF2500-4090BC9F7451</x:v>
      </x:c>
      <x:c r="AK1131" s="3" t="str">
        <x:v>real_estate_operator</x:v>
      </x:c>
      <x:c r="AL1131" s="19" t="n">
        <x:v>100000</x:v>
      </x:c>
      <x:c r="AM1131" s="19" t="n">
        <x:v>500000</x:v>
      </x:c>
      <x:c r="AN1131" s="3" t="str">
        <x:v>https://www.cashhomebuyersdirectory.com/cash-home-buyers/minnesota/st-paul</x:v>
      </x:c>
      <x:c r="AO1131" s="3" t="str">
        <x:v>national_rest_directory_complete.jsonl</x:v>
      </x:c>
      <x:c r="AP1131" s="19"/>
    </x:row>
    <x:row r="1132" ht="36" customHeight="1">
      <x:c r="A1132" s="23" t="n">
        <x:v>1131</x:v>
      </x:c>
      <x:c r="B1132" s="15" t="str">
        <x:v>Locust Investments | Buying Homes Cash</x:v>
      </x:c>
      <x:c r="C1132" s="15"/>
      <x:c r="D1132" s="15" t="str">
        <x:v>Property investor / home-buying operator</x:v>
      </x:c>
      <x:c r="E1132" s="15" t="str">
        <x:v>Property investor / operator inquiry</x:v>
      </x:c>
      <x:c r="F1132" s="17" t="str">
        <x:v>New</x:v>
      </x:c>
      <x:c r="G1132" s="24"/>
      <x:c r="H1132" s="24" t="str">
        <x:v>+14147663769</x:v>
      </x:c>
      <x:c r="I1132" s="24" t="str">
        <x:v>http://www.locustinvestments.com/</x:v>
      </x:c>
      <x:c r="J1132" s="16" t="str">
        <x:v>WI</x:v>
      </x:c>
      <x:c r="K1132" s="16" t="str">
        <x:v>Milwaukee</x:v>
      </x:c>
      <x:c r="L1132" s="16" t="str">
        <x:v>Public property-business route; investor decision maker unconfirmed</x:v>
      </x:c>
      <x:c r="M1132" s="16" t="str">
        <x:v>http://www.locustinvestments.com/</x:v>
      </x:c>
      <x:c r="N1132" s="16" t="str">
        <x:v>$100K-$500K ticket not published / unconfirmed</x:v>
      </x:c>
      <x:c r="O1132" s="20"/>
      <x:c r="P1132" s="20"/>
      <x:c r="Q1132" s="25" t="str">
        <x:v>No direct corporate-capital range established in checked source</x:v>
      </x:c>
      <x:c r="R1132" s="25" t="str">
        <x:v>Property acquisition or investor activity makes this an operator-capital prospect for the signed trial. Confirm operating-company debt/equity appetite.</x:v>
      </x:c>
      <x:c r="S1132" s="25"/>
      <x:c r="T1132" s="25" t="str">
        <x:v>Ask the owner/investor whether they can allocate $100K-$500K to trial marketing and acquisitions, and confirm structure, timing and decision authority.</x:v>
      </x:c>
      <x:c r="U1132" s="25" t="str">
        <x:v>https://www.cashhomebuyersdirectory.com/cash-home-buyers/wisconsin/milwaukee</x:v>
      </x:c>
      <x:c r="V1132" s="26" t="d">
        <x:v>2026-10-02T00:00:00.000Z</x:v>
      </x:c>
      <x:c r="W1132" s="26" t="d">
        <x:v>2026-10-02T00:00:00.000Z</x:v>
      </x:c>
      <x:c r="X1132" s="25" t="str">
        <x:v>CashHomeBuyersDirectory third-party business listing; first-party business activity not checked in this batch</x:v>
      </x:c>
      <x:c r="Y1132" s="25"/>
      <x:c r="Z1132" s="25" t="str">
        <x:v>https://www.cashhomebuyersdirectory.com/cash-home-buyers/wisconsin/milwaukee</x:v>
      </x:c>
      <x:c r="AA1132" s="25" t="str">
        <x:v>Public cash-home-buyer directory lists the business name, business phone/website where available and market. Operator role and corporate funding willingness require confirmation.</x:v>
      </x:c>
      <x:c r="AB1132" s="3" t="str">
        <x:v>New public-source collection</x:v>
      </x:c>
      <x:c r="AC1132" s="3" t="str">
        <x:v>unverified</x:v>
      </x:c>
      <x:c r="AD1132" s="3" t="str">
        <x:v>Not contacted / unconfirmed</x:v>
      </x:c>
      <x:c r="AE1132" s="3" t="str">
        <x:v>No</x:v>
      </x:c>
      <x:c r="AF1132" s="3" t="str">
        <x:v>No</x:v>
      </x:c>
      <x:c r="AG1132" s="3"/>
      <x:c r="AH1132" s="3"/>
      <x:c r="AI1132" s="18"/>
      <x:c r="AJ1132" s="3" t="str">
        <x:v>CF2500-9E636206FA6C</x:v>
      </x:c>
      <x:c r="AK1132" s="3" t="str">
        <x:v>real_estate_operator</x:v>
      </x:c>
      <x:c r="AL1132" s="19" t="n">
        <x:v>100000</x:v>
      </x:c>
      <x:c r="AM1132" s="19" t="n">
        <x:v>500000</x:v>
      </x:c>
      <x:c r="AN1132" s="3" t="str">
        <x:v>https://www.cashhomebuyersdirectory.com/cash-home-buyers/wisconsin/milwaukee</x:v>
      </x:c>
      <x:c r="AO1132" s="3" t="str">
        <x:v>national_rest_directory_complete.jsonl</x:v>
      </x:c>
      <x:c r="AP1132" s="19"/>
    </x:row>
    <x:row r="1133" ht="36" customHeight="1">
      <x:c r="A1133" s="23" t="n">
        <x:v>1132</x:v>
      </x:c>
      <x:c r="B1133" s="15" t="str">
        <x:v>Long Beach Cash Home Buyers</x:v>
      </x:c>
      <x:c r="C1133" s="15"/>
      <x:c r="D1133" s="15" t="str">
        <x:v>Property investor / home-buying operator</x:v>
      </x:c>
      <x:c r="E1133" s="15" t="str">
        <x:v>Property investor / operator inquiry</x:v>
      </x:c>
      <x:c r="F1133" s="17" t="str">
        <x:v>New</x:v>
      </x:c>
      <x:c r="G1133" s="24"/>
      <x:c r="H1133" s="24" t="str">
        <x:v>+15625453775</x:v>
      </x:c>
      <x:c r="I1133" s="24" t="str">
        <x:v>https://longbeachcashhomebuyers.com/</x:v>
      </x:c>
      <x:c r="J1133" s="16" t="str">
        <x:v>CA</x:v>
      </x:c>
      <x:c r="K1133" s="16"/>
      <x:c r="L1133" s="16" t="str">
        <x:v>Public property-business route; investor decision maker unconfirmed</x:v>
      </x:c>
      <x:c r="M1133" s="16" t="str">
        <x:v>https://longbeachcashhomebuyers.com/</x:v>
      </x:c>
      <x:c r="N1133" s="16" t="str">
        <x:v>$100K-$500K ticket not published / unconfirmed</x:v>
      </x:c>
      <x:c r="O1133" s="20"/>
      <x:c r="P1133" s="20"/>
      <x:c r="Q1133" s="25" t="str">
        <x:v>No direct corporate-capital range established in checked source</x:v>
      </x:c>
      <x:c r="R1133" s="25" t="str">
        <x:v>Property acquisition or investor activity makes this an operator-capital prospect for the signed trial. Confirm operating-company debt/equity appetite.</x:v>
      </x:c>
      <x:c r="S1133" s="25"/>
      <x:c r="T1133" s="25" t="str">
        <x:v>Ask the owner/investor whether they can allocate $100K-$500K to trial marketing and acquisitions, and confirm structure, timing and decision authority.</x:v>
      </x:c>
      <x:c r="U1133" s="25" t="str">
        <x:v>https://www.cashhomebuyersdirectory.com/cash-home-buyers/california/long-beach</x:v>
      </x:c>
      <x:c r="V1133" s="26" t="d">
        <x:v>2026-10-02T00:00:00.000Z</x:v>
      </x:c>
      <x:c r="W1133" s="26" t="d">
        <x:v>2026-10-02T00:00:00.000Z</x:v>
      </x:c>
      <x:c r="X1133" s="25" t="str">
        <x:v>CashHomeBuyersDirectory third-party business listing; first-party business activity not checked in this batch</x:v>
      </x:c>
      <x:c r="Y1133" s="25"/>
      <x:c r="Z1133" s="25" t="str">
        <x:v>https://www.cashhomebuyersdirectory.com/cash-home-buyers/california/long-beach</x:v>
      </x:c>
      <x:c r="AA1133" s="25" t="str">
        <x:v>Public cash-home-buyer directory lists the business name, business phone/website where available and market. Operator role and corporate funding willingness require confirmation.</x:v>
      </x:c>
      <x:c r="AB1133" s="3" t="str">
        <x:v>New public-source collection</x:v>
      </x:c>
      <x:c r="AC1133" s="3" t="str">
        <x:v>unverified</x:v>
      </x:c>
      <x:c r="AD1133" s="3" t="str">
        <x:v>Not contacted / unconfirmed</x:v>
      </x:c>
      <x:c r="AE1133" s="3" t="str">
        <x:v>No</x:v>
      </x:c>
      <x:c r="AF1133" s="3" t="str">
        <x:v>No</x:v>
      </x:c>
      <x:c r="AG1133" s="3"/>
      <x:c r="AH1133" s="3"/>
      <x:c r="AI1133" s="18"/>
      <x:c r="AJ1133" s="3" t="str">
        <x:v>CF2500-42CF968D423D</x:v>
      </x:c>
      <x:c r="AK1133" s="3" t="str">
        <x:v>real_estate_operator</x:v>
      </x:c>
      <x:c r="AL1133" s="19" t="n">
        <x:v>100000</x:v>
      </x:c>
      <x:c r="AM1133" s="19" t="n">
        <x:v>500000</x:v>
      </x:c>
      <x:c r="AN1133" s="3" t="str">
        <x:v>https://www.cashhomebuyersdirectory.com/cash-home-buyers/california/long-beach</x:v>
      </x:c>
      <x:c r="AO1133" s="3" t="str">
        <x:v>national_rest_directory_complete.jsonl</x:v>
      </x:c>
      <x:c r="AP1133" s="19"/>
    </x:row>
    <x:row r="1134" ht="36" customHeight="1">
      <x:c r="A1134" s="23" t="n">
        <x:v>1133</x:v>
      </x:c>
      <x:c r="B1134" s="15" t="str">
        <x:v>Long Island Cash For Homes - We Buy Houses</x:v>
      </x:c>
      <x:c r="C1134" s="15"/>
      <x:c r="D1134" s="15" t="str">
        <x:v>Property investor / home-buying operator</x:v>
      </x:c>
      <x:c r="E1134" s="15" t="str">
        <x:v>Property investor / operator inquiry</x:v>
      </x:c>
      <x:c r="F1134" s="17" t="str">
        <x:v>New</x:v>
      </x:c>
      <x:c r="G1134" s="24"/>
      <x:c r="H1134" s="24" t="str">
        <x:v>+15163887727</x:v>
      </x:c>
      <x:c r="I1134" s="24" t="str">
        <x:v>https://www.longislandcashforhomes.com/</x:v>
      </x:c>
      <x:c r="J1134" s="16" t="str">
        <x:v>NY</x:v>
      </x:c>
      <x:c r="K1134" s="16" t="str">
        <x:v>Albany</x:v>
      </x:c>
      <x:c r="L1134" s="16" t="str">
        <x:v>Public property-business route; investor decision maker unconfirmed</x:v>
      </x:c>
      <x:c r="M1134" s="16" t="str">
        <x:v>https://www.longislandcashforhomes.com/</x:v>
      </x:c>
      <x:c r="N1134" s="16" t="str">
        <x:v>$100K-$500K ticket not published / unconfirmed</x:v>
      </x:c>
      <x:c r="O1134" s="20"/>
      <x:c r="P1134" s="20"/>
      <x:c r="Q1134" s="25" t="str">
        <x:v>No direct corporate-capital range established in checked source</x:v>
      </x:c>
      <x:c r="R1134" s="25" t="str">
        <x:v>Property acquisition or investor activity makes this an operator-capital prospect for the signed trial. Confirm operating-company debt/equity appetite.</x:v>
      </x:c>
      <x:c r="S1134" s="25"/>
      <x:c r="T1134" s="25" t="str">
        <x:v>Ask the owner/investor whether they can allocate $100K-$500K to trial marketing and acquisitions, and confirm structure, timing and decision authority.</x:v>
      </x:c>
      <x:c r="U1134" s="25" t="str">
        <x:v>https://www.cashhomebuyersdirectory.com/cash-home-buyers/new-york/albany</x:v>
      </x:c>
      <x:c r="V1134" s="26" t="d">
        <x:v>2026-10-02T00:00:00.000Z</x:v>
      </x:c>
      <x:c r="W1134" s="26" t="d">
        <x:v>2026-10-02T00:00:00.000Z</x:v>
      </x:c>
      <x:c r="X1134" s="25" t="str">
        <x:v>CashHomeBuyersDirectory third-party business listing; first-party business activity not checked in this batch</x:v>
      </x:c>
      <x:c r="Y1134" s="25"/>
      <x:c r="Z1134" s="25" t="str">
        <x:v>https://www.cashhomebuyersdirectory.com/cash-home-buyers/new-york/albany</x:v>
      </x:c>
      <x:c r="AA1134" s="25" t="str">
        <x:v>Public cash-home-buyer directory lists the business name, business phone/website where available and market. Operator role and corporate funding willingness require confirmation.</x:v>
      </x:c>
      <x:c r="AB1134" s="3" t="str">
        <x:v>New public-source collection</x:v>
      </x:c>
      <x:c r="AC1134" s="3" t="str">
        <x:v>unverified</x:v>
      </x:c>
      <x:c r="AD1134" s="3" t="str">
        <x:v>Not contacted / unconfirmed</x:v>
      </x:c>
      <x:c r="AE1134" s="3" t="str">
        <x:v>No</x:v>
      </x:c>
      <x:c r="AF1134" s="3" t="str">
        <x:v>No</x:v>
      </x:c>
      <x:c r="AG1134" s="3"/>
      <x:c r="AH1134" s="3"/>
      <x:c r="AI1134" s="18"/>
      <x:c r="AJ1134" s="3" t="str">
        <x:v>CF2500-CFF9034962C3</x:v>
      </x:c>
      <x:c r="AK1134" s="3" t="str">
        <x:v>real_estate_operator</x:v>
      </x:c>
      <x:c r="AL1134" s="19" t="n">
        <x:v>100000</x:v>
      </x:c>
      <x:c r="AM1134" s="19" t="n">
        <x:v>500000</x:v>
      </x:c>
      <x:c r="AN1134" s="3" t="str">
        <x:v>https://www.cashhomebuyersdirectory.com/cash-home-buyers/new-york/albany</x:v>
      </x:c>
      <x:c r="AO1134" s="3" t="str">
        <x:v>national_rest_directory_complete.jsonl</x:v>
      </x:c>
      <x:c r="AP1134" s="19"/>
    </x:row>
    <x:row r="1135" ht="36" customHeight="1">
      <x:c r="A1135" s="23" t="n">
        <x:v>1134</x:v>
      </x:c>
      <x:c r="B1135" s="15" t="str">
        <x:v>Longfellow Home Buyers</x:v>
      </x:c>
      <x:c r="C1135" s="15"/>
      <x:c r="D1135" s="15" t="str">
        <x:v>Property investor / home-buying operator</x:v>
      </x:c>
      <x:c r="E1135" s="15" t="str">
        <x:v>Property investor / operator inquiry</x:v>
      </x:c>
      <x:c r="F1135" s="17" t="str">
        <x:v>New</x:v>
      </x:c>
      <x:c r="G1135" s="24"/>
      <x:c r="H1135" s="24" t="str">
        <x:v>+16127877653</x:v>
      </x:c>
      <x:c r="I1135" s="24" t="str">
        <x:v>https://longfellowhomebuyers.com/</x:v>
      </x:c>
      <x:c r="J1135" s="16" t="str">
        <x:v>MN</x:v>
      </x:c>
      <x:c r="K1135" s="16" t="str">
        <x:v>Minneapolis</x:v>
      </x:c>
      <x:c r="L1135" s="16" t="str">
        <x:v>Public property-business route; investor decision maker unconfirmed</x:v>
      </x:c>
      <x:c r="M1135" s="16" t="str">
        <x:v>https://longfellowhomebuyers.com/</x:v>
      </x:c>
      <x:c r="N1135" s="16" t="str">
        <x:v>$100K-$500K ticket not published / unconfirmed</x:v>
      </x:c>
      <x:c r="O1135" s="20"/>
      <x:c r="P1135" s="20"/>
      <x:c r="Q1135" s="25" t="str">
        <x:v>No direct corporate-capital range established in checked source</x:v>
      </x:c>
      <x:c r="R1135" s="25" t="str">
        <x:v>Property acquisition or investor activity makes this an operator-capital prospect for the signed trial. Confirm operating-company debt/equity appetite.</x:v>
      </x:c>
      <x:c r="S1135" s="25"/>
      <x:c r="T1135" s="25" t="str">
        <x:v>Ask the owner/investor whether they can allocate $100K-$500K to trial marketing and acquisitions, and confirm structure, timing and decision authority.</x:v>
      </x:c>
      <x:c r="U1135" s="25" t="str">
        <x:v>https://www.cashhomebuyersdirectory.com/cash-home-buyers/minnesota/minneapolis</x:v>
      </x:c>
      <x:c r="V1135" s="26" t="d">
        <x:v>2026-10-02T00:00:00.000Z</x:v>
      </x:c>
      <x:c r="W1135" s="26" t="d">
        <x:v>2026-10-02T00:00:00.000Z</x:v>
      </x:c>
      <x:c r="X1135" s="25" t="str">
        <x:v>CashHomeBuyersDirectory third-party business listing; first-party business activity not checked in this batch</x:v>
      </x:c>
      <x:c r="Y1135" s="25"/>
      <x:c r="Z1135" s="25" t="str">
        <x:v>https://www.cashhomebuyersdirectory.com/cash-home-buyers/minnesota/minneapolis</x:v>
      </x:c>
      <x:c r="AA1135" s="25" t="str">
        <x:v>Public cash-home-buyer directory lists the business name, business phone/website where available and market. Operator role and corporate funding willingness require confirmation.</x:v>
      </x:c>
      <x:c r="AB1135" s="3" t="str">
        <x:v>New public-source collection</x:v>
      </x:c>
      <x:c r="AC1135" s="3" t="str">
        <x:v>unverified</x:v>
      </x:c>
      <x:c r="AD1135" s="3" t="str">
        <x:v>Not contacted / unconfirmed</x:v>
      </x:c>
      <x:c r="AE1135" s="3" t="str">
        <x:v>No</x:v>
      </x:c>
      <x:c r="AF1135" s="3" t="str">
        <x:v>No</x:v>
      </x:c>
      <x:c r="AG1135" s="3"/>
      <x:c r="AH1135" s="3"/>
      <x:c r="AI1135" s="18"/>
      <x:c r="AJ1135" s="3" t="str">
        <x:v>CF2500-194F3A8CA8A9</x:v>
      </x:c>
      <x:c r="AK1135" s="3" t="str">
        <x:v>real_estate_operator</x:v>
      </x:c>
      <x:c r="AL1135" s="19" t="n">
        <x:v>100000</x:v>
      </x:c>
      <x:c r="AM1135" s="19" t="n">
        <x:v>500000</x:v>
      </x:c>
      <x:c r="AN1135" s="3" t="str">
        <x:v>https://www.cashhomebuyersdirectory.com/cash-home-buyers/minnesota/minneapolis</x:v>
      </x:c>
      <x:c r="AO1135" s="3" t="str">
        <x:v>national_rest_directory_complete.jsonl</x:v>
      </x:c>
      <x:c r="AP1135" s="19"/>
    </x:row>
    <x:row r="1136" ht="36" customHeight="1">
      <x:c r="A1136" s="23" t="n">
        <x:v>1135</x:v>
      </x:c>
      <x:c r="B1136" s="15" t="str">
        <x:v>Los Angeles Cash Home Buyers</x:v>
      </x:c>
      <x:c r="C1136" s="15"/>
      <x:c r="D1136" s="15" t="str">
        <x:v>Property investor / home-buying operator</x:v>
      </x:c>
      <x:c r="E1136" s="15" t="str">
        <x:v>Property investor / operator inquiry</x:v>
      </x:c>
      <x:c r="F1136" s="17" t="str">
        <x:v>New</x:v>
      </x:c>
      <x:c r="G1136" s="24"/>
      <x:c r="H1136" s="24" t="str">
        <x:v>+12134447907</x:v>
      </x:c>
      <x:c r="I1136" s="24" t="str">
        <x:v>https://losangelescashhomebuyers.com/</x:v>
      </x:c>
      <x:c r="J1136" s="16" t="str">
        <x:v>CA</x:v>
      </x:c>
      <x:c r="K1136" s="16" t="str">
        <x:v>Los Angeles</x:v>
      </x:c>
      <x:c r="L1136" s="16" t="str">
        <x:v>Public property-business route; investor decision maker unconfirmed</x:v>
      </x:c>
      <x:c r="M1136" s="16" t="str">
        <x:v>https://losangelescashhomebuyers.com/</x:v>
      </x:c>
      <x:c r="N1136" s="16" t="str">
        <x:v>$100K-$500K ticket not published / unconfirmed</x:v>
      </x:c>
      <x:c r="O1136" s="20"/>
      <x:c r="P1136" s="20"/>
      <x:c r="Q1136" s="25" t="str">
        <x:v>No direct corporate-capital range established in checked source</x:v>
      </x:c>
      <x:c r="R1136" s="25" t="str">
        <x:v>Property acquisition or investor activity makes this an operator-capital prospect for the signed trial. Confirm operating-company debt/equity appetite.</x:v>
      </x:c>
      <x:c r="S1136" s="25"/>
      <x:c r="T1136" s="25" t="str">
        <x:v>Ask the owner/investor whether they can allocate $100K-$500K to trial marketing and acquisitions, and confirm structure, timing and decision authority.</x:v>
      </x:c>
      <x:c r="U1136" s="25" t="str">
        <x:v>https://www.cashhomebuyersdirectory.com/cash-home-buyers/california/los-angeles</x:v>
      </x:c>
      <x:c r="V1136" s="26" t="d">
        <x:v>2026-10-02T00:00:00.000Z</x:v>
      </x:c>
      <x:c r="W1136" s="26" t="d">
        <x:v>2026-10-02T00:00:00.000Z</x:v>
      </x:c>
      <x:c r="X1136" s="25" t="str">
        <x:v>CashHomeBuyersDirectory third-party business listing; first-party business activity not checked in this batch</x:v>
      </x:c>
      <x:c r="Y1136" s="25"/>
      <x:c r="Z1136" s="25" t="str">
        <x:v>https://www.cashhomebuyersdirectory.com/cash-home-buyers/california/los-angeles</x:v>
      </x:c>
      <x:c r="AA1136" s="25" t="str">
        <x:v>Public cash-home-buyer directory lists the business name, business phone/website where available and market. Operator role and corporate funding willingness require confirmation.</x:v>
      </x:c>
      <x:c r="AB1136" s="3" t="str">
        <x:v>New public-source collection</x:v>
      </x:c>
      <x:c r="AC1136" s="3" t="str">
        <x:v>unverified</x:v>
      </x:c>
      <x:c r="AD1136" s="3" t="str">
        <x:v>Not contacted / unconfirmed</x:v>
      </x:c>
      <x:c r="AE1136" s="3" t="str">
        <x:v>No</x:v>
      </x:c>
      <x:c r="AF1136" s="3" t="str">
        <x:v>No</x:v>
      </x:c>
      <x:c r="AG1136" s="3"/>
      <x:c r="AH1136" s="3"/>
      <x:c r="AI1136" s="18"/>
      <x:c r="AJ1136" s="3" t="str">
        <x:v>CF2500-25C25A2C3DA4</x:v>
      </x:c>
      <x:c r="AK1136" s="3" t="str">
        <x:v>real_estate_operator</x:v>
      </x:c>
      <x:c r="AL1136" s="19" t="n">
        <x:v>100000</x:v>
      </x:c>
      <x:c r="AM1136" s="19" t="n">
        <x:v>500000</x:v>
      </x:c>
      <x:c r="AN1136" s="3" t="str">
        <x:v>https://www.cashhomebuyersdirectory.com/cash-home-buyers/california/los-angeles</x:v>
      </x:c>
      <x:c r="AO1136" s="3" t="str">
        <x:v>national_rest_directory_complete.jsonl</x:v>
      </x:c>
      <x:c r="AP1136" s="19"/>
    </x:row>
    <x:row r="1137" ht="36" customHeight="1">
      <x:c r="A1137" s="23" t="n">
        <x:v>1136</x:v>
      </x:c>
      <x:c r="B1137" s="15" t="str">
        <x:v>Los Angeles Cash House Buyer</x:v>
      </x:c>
      <x:c r="C1137" s="15"/>
      <x:c r="D1137" s="15" t="str">
        <x:v>Property investor / home-buying operator</x:v>
      </x:c>
      <x:c r="E1137" s="15" t="str">
        <x:v>Property investor / operator inquiry</x:v>
      </x:c>
      <x:c r="F1137" s="17" t="str">
        <x:v>New</x:v>
      </x:c>
      <x:c r="G1137" s="24"/>
      <x:c r="H1137" s="24" t="str">
        <x:v>+13103407363</x:v>
      </x:c>
      <x:c r="I1137" s="24" t="str">
        <x:v>https://losangelescashhousebuyer.com/?utm_source=GMB&amp;utm_medium=Website-Button</x:v>
      </x:c>
      <x:c r="J1137" s="16" t="str">
        <x:v>CA</x:v>
      </x:c>
      <x:c r="K1137" s="16"/>
      <x:c r="L1137" s="16" t="str">
        <x:v>Public property-business route; investor decision maker unconfirmed</x:v>
      </x:c>
      <x:c r="M1137" s="16" t="str">
        <x:v>https://losangelescashhousebuyer.com/?utm_source=GMB&amp;utm_medium=Website-Button</x:v>
      </x:c>
      <x:c r="N1137" s="16" t="str">
        <x:v>$100K-$500K ticket not published / unconfirmed</x:v>
      </x:c>
      <x:c r="O1137" s="20"/>
      <x:c r="P1137" s="20"/>
      <x:c r="Q1137" s="25" t="str">
        <x:v>No direct corporate-capital range established in checked source</x:v>
      </x:c>
      <x:c r="R1137" s="25" t="str">
        <x:v>Property acquisition or investor activity makes this an operator-capital prospect for the signed trial. Confirm operating-company debt/equity appetite.</x:v>
      </x:c>
      <x:c r="S1137" s="25"/>
      <x:c r="T1137" s="25" t="str">
        <x:v>Ask the owner/investor whether they can allocate $100K-$500K to trial marketing and acquisitions, and confirm structure, timing and decision authority.</x:v>
      </x:c>
      <x:c r="U1137" s="25" t="str">
        <x:v>https://www.cashhomebuyersdirectory.com/cash-home-buyers/california/los-angeles</x:v>
      </x:c>
      <x:c r="V1137" s="26" t="d">
        <x:v>2026-10-02T00:00:00.000Z</x:v>
      </x:c>
      <x:c r="W1137" s="26" t="d">
        <x:v>2026-10-02T00:00:00.000Z</x:v>
      </x:c>
      <x:c r="X1137" s="25" t="str">
        <x:v>CashHomeBuyersDirectory third-party business listing; first-party business activity not checked in this batch</x:v>
      </x:c>
      <x:c r="Y1137" s="25"/>
      <x:c r="Z1137" s="25" t="str">
        <x:v>https://www.cashhomebuyersdirectory.com/cash-home-buyers/california/los-angeles</x:v>
      </x:c>
      <x:c r="AA1137" s="25" t="str">
        <x:v>Public cash-home-buyer directory lists the business name, business phone/website where available and market. Operator role and corporate funding willingness require confirmation.</x:v>
      </x:c>
      <x:c r="AB1137" s="3" t="str">
        <x:v>New public-source collection</x:v>
      </x:c>
      <x:c r="AC1137" s="3" t="str">
        <x:v>unverified</x:v>
      </x:c>
      <x:c r="AD1137" s="3" t="str">
        <x:v>Not contacted / unconfirmed</x:v>
      </x:c>
      <x:c r="AE1137" s="3" t="str">
        <x:v>No</x:v>
      </x:c>
      <x:c r="AF1137" s="3" t="str">
        <x:v>No</x:v>
      </x:c>
      <x:c r="AG1137" s="3"/>
      <x:c r="AH1137" s="3"/>
      <x:c r="AI1137" s="18"/>
      <x:c r="AJ1137" s="3" t="str">
        <x:v>CF2500-375CB8CA46AC</x:v>
      </x:c>
      <x:c r="AK1137" s="3" t="str">
        <x:v>real_estate_operator</x:v>
      </x:c>
      <x:c r="AL1137" s="19" t="n">
        <x:v>100000</x:v>
      </x:c>
      <x:c r="AM1137" s="19" t="n">
        <x:v>500000</x:v>
      </x:c>
      <x:c r="AN1137" s="3" t="str">
        <x:v>https://www.cashhomebuyersdirectory.com/cash-home-buyers/california/los-angeles</x:v>
      </x:c>
      <x:c r="AO1137" s="3" t="str">
        <x:v>national_rest_directory_complete.jsonl</x:v>
      </x:c>
      <x:c r="AP1137" s="19"/>
    </x:row>
    <x:row r="1138" ht="36" customHeight="1">
      <x:c r="A1138" s="23" t="n">
        <x:v>1137</x:v>
      </x:c>
      <x:c r="B1138" s="15" t="str">
        <x:v>Louisiana Cash Home Buyer</x:v>
      </x:c>
      <x:c r="C1138" s="15"/>
      <x:c r="D1138" s="15" t="str">
        <x:v>Property investor / home-buying operator</x:v>
      </x:c>
      <x:c r="E1138" s="15" t="str">
        <x:v>Property investor / operator inquiry</x:v>
      </x:c>
      <x:c r="F1138" s="17" t="str">
        <x:v>New</x:v>
      </x:c>
      <x:c r="G1138" s="24"/>
      <x:c r="H1138" s="24" t="str">
        <x:v>+13374427031</x:v>
      </x:c>
      <x:c r="I1138" s="24" t="str">
        <x:v>https://www.louisianacashhomebuyer.com/contact-us/</x:v>
      </x:c>
      <x:c r="J1138" s="16" t="str">
        <x:v>LA</x:v>
      </x:c>
      <x:c r="K1138" s="16" t="str">
        <x:v>Lake Charles</x:v>
      </x:c>
      <x:c r="L1138" s="16" t="str">
        <x:v>Public property-business route; investor decision maker unconfirmed</x:v>
      </x:c>
      <x:c r="M1138" s="16" t="str">
        <x:v>https://www.louisianacashhomebuyer.com/contact-us/</x:v>
      </x:c>
      <x:c r="N1138" s="16" t="str">
        <x:v>$100K-$500K ticket not published / unconfirmed</x:v>
      </x:c>
      <x:c r="O1138" s="20"/>
      <x:c r="P1138" s="20"/>
      <x:c r="Q1138" s="25" t="str">
        <x:v>No direct corporate-capital range established in checked source</x:v>
      </x:c>
      <x:c r="R1138" s="25" t="str">
        <x:v>Property acquisition or investor activity makes this an operator-capital prospect for the signed trial. Confirm operating-company debt/equity appetite.</x:v>
      </x:c>
      <x:c r="S1138" s="25"/>
      <x:c r="T1138" s="25" t="str">
        <x:v>Ask the owner/investor whether they can allocate $100K-$500K to trial marketing and acquisitions, and confirm structure, timing and decision authority.</x:v>
      </x:c>
      <x:c r="U1138" s="25" t="str">
        <x:v>https://www.cashhomebuyersdirectory.com/cash-home-buyers/louisiana/lake-charles</x:v>
      </x:c>
      <x:c r="V1138" s="26" t="d">
        <x:v>2026-10-02T00:00:00.000Z</x:v>
      </x:c>
      <x:c r="W1138" s="26" t="d">
        <x:v>2026-10-02T00:00:00.000Z</x:v>
      </x:c>
      <x:c r="X1138" s="25" t="str">
        <x:v>CashHomeBuyersDirectory third-party business listing; first-party business activity not checked in this batch</x:v>
      </x:c>
      <x:c r="Y1138" s="25"/>
      <x:c r="Z1138" s="25" t="str">
        <x:v>https://www.cashhomebuyersdirectory.com/cash-home-buyers/louisiana/lake-charles</x:v>
      </x:c>
      <x:c r="AA1138" s="25" t="str">
        <x:v>Public cash-home-buyer directory lists the business name, business phone/website where available and market. Operator role and corporate funding willingness require confirmation.</x:v>
      </x:c>
      <x:c r="AB1138" s="3" t="str">
        <x:v>New public-source collection</x:v>
      </x:c>
      <x:c r="AC1138" s="3" t="str">
        <x:v>unverified</x:v>
      </x:c>
      <x:c r="AD1138" s="3" t="str">
        <x:v>Not contacted / unconfirmed</x:v>
      </x:c>
      <x:c r="AE1138" s="3" t="str">
        <x:v>No</x:v>
      </x:c>
      <x:c r="AF1138" s="3" t="str">
        <x:v>No</x:v>
      </x:c>
      <x:c r="AG1138" s="3"/>
      <x:c r="AH1138" s="3"/>
      <x:c r="AI1138" s="18"/>
      <x:c r="AJ1138" s="3" t="str">
        <x:v>CF2500-9DDCD50A0275</x:v>
      </x:c>
      <x:c r="AK1138" s="3" t="str">
        <x:v>real_estate_operator</x:v>
      </x:c>
      <x:c r="AL1138" s="19" t="n">
        <x:v>100000</x:v>
      </x:c>
      <x:c r="AM1138" s="19" t="n">
        <x:v>500000</x:v>
      </x:c>
      <x:c r="AN1138" s="3" t="str">
        <x:v>https://www.cashhomebuyersdirectory.com/cash-home-buyers/louisiana/lake-charles</x:v>
      </x:c>
      <x:c r="AO1138" s="3" t="str">
        <x:v>national_rest_directory_complete.jsonl</x:v>
      </x:c>
      <x:c r="AP1138" s="19"/>
    </x:row>
    <x:row r="1139" ht="36" customHeight="1">
      <x:c r="A1139" s="23" t="n">
        <x:v>1138</x:v>
      </x:c>
      <x:c r="B1139" s="15" t="str">
        <x:v>Lucky Home Buyers</x:v>
      </x:c>
      <x:c r="C1139" s="15"/>
      <x:c r="D1139" s="15" t="str">
        <x:v>Property investor / home-buying operator</x:v>
      </x:c>
      <x:c r="E1139" s="15" t="str">
        <x:v>Property investor / operator inquiry</x:v>
      </x:c>
      <x:c r="F1139" s="17" t="str">
        <x:v>New</x:v>
      </x:c>
      <x:c r="G1139" s="24"/>
      <x:c r="H1139" s="24" t="str">
        <x:v>+14108768765</x:v>
      </x:c>
      <x:c r="I1139" s="24" t="str">
        <x:v>http://www.luckyhomebuyersmd.com/</x:v>
      </x:c>
      <x:c r="J1139" s="16" t="str">
        <x:v>MD</x:v>
      </x:c>
      <x:c r="K1139" s="16" t="str">
        <x:v>Towson</x:v>
      </x:c>
      <x:c r="L1139" s="16" t="str">
        <x:v>Public property-business route; investor decision maker unconfirmed</x:v>
      </x:c>
      <x:c r="M1139" s="16" t="str">
        <x:v>http://www.luckyhomebuyersmd.com/</x:v>
      </x:c>
      <x:c r="N1139" s="16" t="str">
        <x:v>$100K-$500K ticket not published / unconfirmed</x:v>
      </x:c>
      <x:c r="O1139" s="20"/>
      <x:c r="P1139" s="20"/>
      <x:c r="Q1139" s="25" t="str">
        <x:v>No direct corporate-capital range established in checked source</x:v>
      </x:c>
      <x:c r="R1139" s="25" t="str">
        <x:v>Property acquisition or investor activity makes this an operator-capital prospect for the signed trial. Confirm operating-company debt/equity appetite.</x:v>
      </x:c>
      <x:c r="S1139" s="25"/>
      <x:c r="T1139" s="25" t="str">
        <x:v>Ask the owner/investor whether they can allocate $100K-$500K to trial marketing and acquisitions, and confirm structure, timing and decision authority.</x:v>
      </x:c>
      <x:c r="U1139" s="25" t="str">
        <x:v>https://www.cashhomebuyersdirectory.com/cash-home-buyers/maryland/towson</x:v>
      </x:c>
      <x:c r="V1139" s="26" t="d">
        <x:v>2026-10-02T00:00:00.000Z</x:v>
      </x:c>
      <x:c r="W1139" s="26" t="d">
        <x:v>2026-10-02T00:00:00.000Z</x:v>
      </x:c>
      <x:c r="X1139" s="25" t="str">
        <x:v>CashHomeBuyersDirectory third-party business listing; first-party business activity not checked in this batch</x:v>
      </x:c>
      <x:c r="Y1139" s="25"/>
      <x:c r="Z1139" s="25" t="str">
        <x:v>https://www.cashhomebuyersdirectory.com/cash-home-buyers/maryland/towson</x:v>
      </x:c>
      <x:c r="AA1139" s="25" t="str">
        <x:v>Public cash-home-buyer directory lists the business name, business phone/website where available and market. Operator role and corporate funding willingness require confirmation.</x:v>
      </x:c>
      <x:c r="AB1139" s="3" t="str">
        <x:v>New public-source collection</x:v>
      </x:c>
      <x:c r="AC1139" s="3" t="str">
        <x:v>unverified</x:v>
      </x:c>
      <x:c r="AD1139" s="3" t="str">
        <x:v>Not contacted / unconfirmed</x:v>
      </x:c>
      <x:c r="AE1139" s="3" t="str">
        <x:v>No</x:v>
      </x:c>
      <x:c r="AF1139" s="3" t="str">
        <x:v>No</x:v>
      </x:c>
      <x:c r="AG1139" s="3"/>
      <x:c r="AH1139" s="3"/>
      <x:c r="AI1139" s="18"/>
      <x:c r="AJ1139" s="3" t="str">
        <x:v>CF2500-8A18E7C83D4A</x:v>
      </x:c>
      <x:c r="AK1139" s="3" t="str">
        <x:v>real_estate_operator</x:v>
      </x:c>
      <x:c r="AL1139" s="19" t="n">
        <x:v>100000</x:v>
      </x:c>
      <x:c r="AM1139" s="19" t="n">
        <x:v>500000</x:v>
      </x:c>
      <x:c r="AN1139" s="3" t="str">
        <x:v>https://www.cashhomebuyersdirectory.com/cash-home-buyers/maryland/towson</x:v>
      </x:c>
      <x:c r="AO1139" s="3" t="str">
        <x:v>national_rest_directory_complete.jsonl</x:v>
      </x:c>
      <x:c r="AP1139" s="19"/>
    </x:row>
    <x:row r="1140" ht="36" customHeight="1">
      <x:c r="A1140" s="23" t="n">
        <x:v>1139</x:v>
      </x:c>
      <x:c r="B1140" s="15" t="str">
        <x:v>M1 Home Buyers | Sell My House Fast - We Buy Houses For Cash</x:v>
      </x:c>
      <x:c r="C1140" s="15"/>
      <x:c r="D1140" s="15" t="str">
        <x:v>Property investor / home-buying operator</x:v>
      </x:c>
      <x:c r="E1140" s="15" t="str">
        <x:v>Property investor / operator inquiry</x:v>
      </x:c>
      <x:c r="F1140" s="17" t="str">
        <x:v>New</x:v>
      </x:c>
      <x:c r="G1140" s="24"/>
      <x:c r="H1140" s="24" t="str">
        <x:v>+12489701051</x:v>
      </x:c>
      <x:c r="I1140" s="24" t="str">
        <x:v>https://www.m1homebuyers.com/sell-your-house/</x:v>
      </x:c>
      <x:c r="J1140" s="16" t="str">
        <x:v>MI</x:v>
      </x:c>
      <x:c r="K1140" s="16" t="str">
        <x:v>Lansing</x:v>
      </x:c>
      <x:c r="L1140" s="16" t="str">
        <x:v>Public property-business route; investor decision maker unconfirmed</x:v>
      </x:c>
      <x:c r="M1140" s="16" t="str">
        <x:v>https://www.m1homebuyers.com/sell-your-house/</x:v>
      </x:c>
      <x:c r="N1140" s="16" t="str">
        <x:v>$100K-$500K ticket not published / unconfirmed</x:v>
      </x:c>
      <x:c r="O1140" s="20"/>
      <x:c r="P1140" s="20"/>
      <x:c r="Q1140" s="25" t="str">
        <x:v>No direct corporate-capital range established in checked source</x:v>
      </x:c>
      <x:c r="R1140" s="25" t="str">
        <x:v>Property acquisition or investor activity makes this an operator-capital prospect for the signed trial. Confirm operating-company debt/equity appetite.</x:v>
      </x:c>
      <x:c r="S1140" s="25"/>
      <x:c r="T1140" s="25" t="str">
        <x:v>Ask the owner/investor whether they can allocate $100K-$500K to trial marketing and acquisitions, and confirm structure, timing and decision authority.</x:v>
      </x:c>
      <x:c r="U1140" s="25" t="str">
        <x:v>https://www.cashhomebuyersdirectory.com/cash-home-buyers/michigan/lansing</x:v>
      </x:c>
      <x:c r="V1140" s="26" t="d">
        <x:v>2026-10-02T00:00:00.000Z</x:v>
      </x:c>
      <x:c r="W1140" s="26" t="d">
        <x:v>2026-10-02T00:00:00.000Z</x:v>
      </x:c>
      <x:c r="X1140" s="25" t="str">
        <x:v>CashHomeBuyersDirectory third-party business listing; first-party business activity not checked in this batch</x:v>
      </x:c>
      <x:c r="Y1140" s="25"/>
      <x:c r="Z1140" s="25" t="str">
        <x:v>https://www.cashhomebuyersdirectory.com/cash-home-buyers/michigan/lansing</x:v>
      </x:c>
      <x:c r="AA1140" s="25" t="str">
        <x:v>Public cash-home-buyer directory lists the business name, business phone/website where available and market. Operator role and corporate funding willingness require confirmation.</x:v>
      </x:c>
      <x:c r="AB1140" s="3" t="str">
        <x:v>New public-source collection</x:v>
      </x:c>
      <x:c r="AC1140" s="3" t="str">
        <x:v>unverified</x:v>
      </x:c>
      <x:c r="AD1140" s="3" t="str">
        <x:v>Not contacted / unconfirmed</x:v>
      </x:c>
      <x:c r="AE1140" s="3" t="str">
        <x:v>No</x:v>
      </x:c>
      <x:c r="AF1140" s="3" t="str">
        <x:v>No</x:v>
      </x:c>
      <x:c r="AG1140" s="3"/>
      <x:c r="AH1140" s="3"/>
      <x:c r="AI1140" s="18"/>
      <x:c r="AJ1140" s="3" t="str">
        <x:v>CF2500-29709919648F</x:v>
      </x:c>
      <x:c r="AK1140" s="3" t="str">
        <x:v>real_estate_operator</x:v>
      </x:c>
      <x:c r="AL1140" s="19" t="n">
        <x:v>100000</x:v>
      </x:c>
      <x:c r="AM1140" s="19" t="n">
        <x:v>500000</x:v>
      </x:c>
      <x:c r="AN1140" s="3" t="str">
        <x:v>https://www.cashhomebuyersdirectory.com/cash-home-buyers/michigan/lansing</x:v>
      </x:c>
      <x:c r="AO1140" s="3" t="str">
        <x:v>national_rest_directory_complete.jsonl</x:v>
      </x:c>
      <x:c r="AP1140" s="19"/>
    </x:row>
    <x:row r="1141" ht="36" customHeight="1">
      <x:c r="A1141" s="23" t="n">
        <x:v>1140</x:v>
      </x:c>
      <x:c r="B1141" s="15" t="str">
        <x:v>Manifesting Home Buyers</x:v>
      </x:c>
      <x:c r="C1141" s="15"/>
      <x:c r="D1141" s="15" t="str">
        <x:v>Property investor / home-buying operator</x:v>
      </x:c>
      <x:c r="E1141" s="15" t="str">
        <x:v>Property investor / operator inquiry</x:v>
      </x:c>
      <x:c r="F1141" s="17" t="str">
        <x:v>New</x:v>
      </x:c>
      <x:c r="G1141" s="24"/>
      <x:c r="H1141" s="24" t="str">
        <x:v>+12165051081</x:v>
      </x:c>
      <x:c r="I1141" s="24" t="str">
        <x:v>http://manifestinghomebuyers.com/</x:v>
      </x:c>
      <x:c r="J1141" s="16" t="str">
        <x:v>OH</x:v>
      </x:c>
      <x:c r="K1141" s="16" t="str">
        <x:v>Cleveland</x:v>
      </x:c>
      <x:c r="L1141" s="16" t="str">
        <x:v>Public property-business route; investor decision maker unconfirmed</x:v>
      </x:c>
      <x:c r="M1141" s="16" t="str">
        <x:v>http://manifestinghomebuyers.com/</x:v>
      </x:c>
      <x:c r="N1141" s="16" t="str">
        <x:v>$100K-$500K ticket not published / unconfirmed</x:v>
      </x:c>
      <x:c r="O1141" s="20"/>
      <x:c r="P1141" s="20"/>
      <x:c r="Q1141" s="25" t="str">
        <x:v>No direct corporate-capital range established in checked source</x:v>
      </x:c>
      <x:c r="R1141" s="25" t="str">
        <x:v>Property acquisition or investor activity makes this an operator-capital prospect for the signed trial. Confirm operating-company debt/equity appetite.</x:v>
      </x:c>
      <x:c r="S1141" s="25"/>
      <x:c r="T1141" s="25" t="str">
        <x:v>Ask the owner/investor whether they can allocate $100K-$500K to trial marketing and acquisitions, and confirm structure, timing and decision authority.</x:v>
      </x:c>
      <x:c r="U1141" s="25" t="str">
        <x:v>https://www.cashhomebuyersdirectory.com/cash-home-buyers/ohio/cleveland</x:v>
      </x:c>
      <x:c r="V1141" s="26" t="d">
        <x:v>2026-10-02T00:00:00.000Z</x:v>
      </x:c>
      <x:c r="W1141" s="26" t="d">
        <x:v>2026-10-02T00:00:00.000Z</x:v>
      </x:c>
      <x:c r="X1141" s="25" t="str">
        <x:v>CashHomeBuyersDirectory third-party business listing; first-party business activity not checked in this batch</x:v>
      </x:c>
      <x:c r="Y1141" s="25"/>
      <x:c r="Z1141" s="25" t="str">
        <x:v>https://www.cashhomebuyersdirectory.com/cash-home-buyers/ohio/cleveland</x:v>
      </x:c>
      <x:c r="AA1141" s="25" t="str">
        <x:v>Public cash-home-buyer directory lists the business name, business phone/website where available and market. Operator role and corporate funding willingness require confirmation.</x:v>
      </x:c>
      <x:c r="AB1141" s="3" t="str">
        <x:v>New public-source collection</x:v>
      </x:c>
      <x:c r="AC1141" s="3" t="str">
        <x:v>unverified</x:v>
      </x:c>
      <x:c r="AD1141" s="3" t="str">
        <x:v>Not contacted / unconfirmed</x:v>
      </x:c>
      <x:c r="AE1141" s="3" t="str">
        <x:v>No</x:v>
      </x:c>
      <x:c r="AF1141" s="3" t="str">
        <x:v>No</x:v>
      </x:c>
      <x:c r="AG1141" s="3"/>
      <x:c r="AH1141" s="3"/>
      <x:c r="AI1141" s="18"/>
      <x:c r="AJ1141" s="3" t="str">
        <x:v>CF2500-0F9F274FC9E8</x:v>
      </x:c>
      <x:c r="AK1141" s="3" t="str">
        <x:v>real_estate_operator</x:v>
      </x:c>
      <x:c r="AL1141" s="19" t="n">
        <x:v>100000</x:v>
      </x:c>
      <x:c r="AM1141" s="19" t="n">
        <x:v>500000</x:v>
      </x:c>
      <x:c r="AN1141" s="3" t="str">
        <x:v>https://www.cashhomebuyersdirectory.com/cash-home-buyers/ohio/cleveland</x:v>
      </x:c>
      <x:c r="AO1141" s="3" t="str">
        <x:v>national_rest_directory_complete.jsonl</x:v>
      </x:c>
      <x:c r="AP1141" s="19"/>
    </x:row>
    <x:row r="1142" ht="36" customHeight="1">
      <x:c r="A1142" s="23" t="n">
        <x:v>1141</x:v>
      </x:c>
      <x:c r="B1142" s="15" t="str">
        <x:v>Maple Home Buyers</x:v>
      </x:c>
      <x:c r="C1142" s="15"/>
      <x:c r="D1142" s="15" t="str">
        <x:v>Property investor / home-buying operator</x:v>
      </x:c>
      <x:c r="E1142" s="15" t="str">
        <x:v>Property investor / operator inquiry</x:v>
      </x:c>
      <x:c r="F1142" s="17" t="str">
        <x:v>New</x:v>
      </x:c>
      <x:c r="G1142" s="24"/>
      <x:c r="H1142" s="24" t="str">
        <x:v>+16506434849</x:v>
      </x:c>
      <x:c r="I1142" s="24" t="str">
        <x:v>https://www.maplehomebuyers.com/?utm_campaign=gmb&amp;utm_medium=organic&amp;utm_source=google</x:v>
      </x:c>
      <x:c r="J1142" s="16" t="str">
        <x:v>CA</x:v>
      </x:c>
      <x:c r="K1142" s="16" t="str">
        <x:v>Oakland</x:v>
      </x:c>
      <x:c r="L1142" s="16" t="str">
        <x:v>Public property-business route; investor decision maker unconfirmed</x:v>
      </x:c>
      <x:c r="M1142" s="16" t="str">
        <x:v>https://www.maplehomebuyers.com/?utm_campaign=gmb&amp;utm_medium=organic&amp;utm_source=google</x:v>
      </x:c>
      <x:c r="N1142" s="16" t="str">
        <x:v>$100K-$500K ticket not published / unconfirmed</x:v>
      </x:c>
      <x:c r="O1142" s="20"/>
      <x:c r="P1142" s="20"/>
      <x:c r="Q1142" s="25" t="str">
        <x:v>No direct corporate-capital range established in checked source</x:v>
      </x:c>
      <x:c r="R1142" s="25" t="str">
        <x:v>Property acquisition or investor activity makes this an operator-capital prospect for the signed trial. Confirm operating-company debt/equity appetite.</x:v>
      </x:c>
      <x:c r="S1142" s="25"/>
      <x:c r="T1142" s="25" t="str">
        <x:v>Ask the owner/investor whether they can allocate $100K-$500K to trial marketing and acquisitions, and confirm structure, timing and decision authority.</x:v>
      </x:c>
      <x:c r="U1142" s="25" t="str">
        <x:v>https://www.cashhomebuyersdirectory.com/cash-home-buyers/california/oakland</x:v>
      </x:c>
      <x:c r="V1142" s="26" t="d">
        <x:v>2026-10-02T00:00:00.000Z</x:v>
      </x:c>
      <x:c r="W1142" s="26" t="d">
        <x:v>2026-10-02T00:00:00.000Z</x:v>
      </x:c>
      <x:c r="X1142" s="25" t="str">
        <x:v>CashHomeBuyersDirectory third-party business listing; first-party business activity not checked in this batch</x:v>
      </x:c>
      <x:c r="Y1142" s="25"/>
      <x:c r="Z1142" s="25" t="str">
        <x:v>https://www.cashhomebuyersdirectory.com/cash-home-buyers/california/oakland</x:v>
      </x:c>
      <x:c r="AA1142" s="25" t="str">
        <x:v>Public cash-home-buyer directory lists the business name, business phone/website where available and market. Operator role and corporate funding willingness require confirmation.</x:v>
      </x:c>
      <x:c r="AB1142" s="3" t="str">
        <x:v>New public-source collection</x:v>
      </x:c>
      <x:c r="AC1142" s="3" t="str">
        <x:v>unverified</x:v>
      </x:c>
      <x:c r="AD1142" s="3" t="str">
        <x:v>Not contacted / unconfirmed</x:v>
      </x:c>
      <x:c r="AE1142" s="3" t="str">
        <x:v>No</x:v>
      </x:c>
      <x:c r="AF1142" s="3" t="str">
        <x:v>No</x:v>
      </x:c>
      <x:c r="AG1142" s="3"/>
      <x:c r="AH1142" s="3"/>
      <x:c r="AI1142" s="18"/>
      <x:c r="AJ1142" s="3" t="str">
        <x:v>CF2500-2821DFB2EEB6</x:v>
      </x:c>
      <x:c r="AK1142" s="3" t="str">
        <x:v>real_estate_operator</x:v>
      </x:c>
      <x:c r="AL1142" s="19" t="n">
        <x:v>100000</x:v>
      </x:c>
      <x:c r="AM1142" s="19" t="n">
        <x:v>500000</x:v>
      </x:c>
      <x:c r="AN1142" s="3" t="str">
        <x:v>https://www.cashhomebuyersdirectory.com/cash-home-buyers/california/oakland</x:v>
      </x:c>
      <x:c r="AO1142" s="3" t="str">
        <x:v>national_rest_directory_complete.jsonl</x:v>
      </x:c>
      <x:c r="AP1142" s="19"/>
    </x:row>
    <x:row r="1143" ht="36" customHeight="1">
      <x:c r="A1143" s="23" t="n">
        <x:v>1142</x:v>
      </x:c>
      <x:c r="B1143" s="15" t="str">
        <x:v>MarketPro Homebuyers</x:v>
      </x:c>
      <x:c r="C1143" s="15"/>
      <x:c r="D1143" s="15" t="str">
        <x:v>Property investor / home-buying operator</x:v>
      </x:c>
      <x:c r="E1143" s="15" t="str">
        <x:v>Property investor / operator inquiry</x:v>
      </x:c>
      <x:c r="F1143" s="17" t="str">
        <x:v>New</x:v>
      </x:c>
      <x:c r="G1143" s="24"/>
      <x:c r="H1143" s="24" t="str">
        <x:v>+13019947355</x:v>
      </x:c>
      <x:c r="I1143" s="24" t="str">
        <x:v>https://www.marketprohomebuyers.com/</x:v>
      </x:c>
      <x:c r="J1143" s="16" t="str">
        <x:v>MD</x:v>
      </x:c>
      <x:c r="K1143" s="16" t="str">
        <x:v>Rockville</x:v>
      </x:c>
      <x:c r="L1143" s="16" t="str">
        <x:v>Public property-business route; investor decision maker unconfirmed</x:v>
      </x:c>
      <x:c r="M1143" s="16" t="str">
        <x:v>https://www.marketprohomebuyers.com/</x:v>
      </x:c>
      <x:c r="N1143" s="16" t="str">
        <x:v>$100K-$500K ticket not published / unconfirmed</x:v>
      </x:c>
      <x:c r="O1143" s="20"/>
      <x:c r="P1143" s="20"/>
      <x:c r="Q1143" s="25" t="str">
        <x:v>No direct corporate-capital range established in checked source</x:v>
      </x:c>
      <x:c r="R1143" s="25" t="str">
        <x:v>Property acquisition or investor activity makes this an operator-capital prospect for the signed trial. Confirm operating-company debt/equity appetite.</x:v>
      </x:c>
      <x:c r="S1143" s="25"/>
      <x:c r="T1143" s="25" t="str">
        <x:v>Ask the owner/investor whether they can allocate $100K-$500K to trial marketing and acquisitions, and confirm structure, timing and decision authority.</x:v>
      </x:c>
      <x:c r="U1143" s="25" t="str">
        <x:v>https://www.cashhomebuyersdirectory.com/cash-home-buyers/maryland/rockville</x:v>
      </x:c>
      <x:c r="V1143" s="26" t="d">
        <x:v>2026-10-02T00:00:00.000Z</x:v>
      </x:c>
      <x:c r="W1143" s="26" t="d">
        <x:v>2026-10-02T00:00:00.000Z</x:v>
      </x:c>
      <x:c r="X1143" s="25" t="str">
        <x:v>CashHomeBuyersDirectory third-party business listing; first-party business activity not checked in this batch</x:v>
      </x:c>
      <x:c r="Y1143" s="25"/>
      <x:c r="Z1143" s="25" t="str">
        <x:v>https://www.cashhomebuyersdirectory.com/cash-home-buyers/maryland/rockville</x:v>
      </x:c>
      <x:c r="AA1143" s="25" t="str">
        <x:v>Public cash-home-buyer directory lists the business name, business phone/website where available and market. Operator role and corporate funding willingness require confirmation.</x:v>
      </x:c>
      <x:c r="AB1143" s="3" t="str">
        <x:v>New public-source collection</x:v>
      </x:c>
      <x:c r="AC1143" s="3" t="str">
        <x:v>unverified</x:v>
      </x:c>
      <x:c r="AD1143" s="3" t="str">
        <x:v>Not contacted / unconfirmed</x:v>
      </x:c>
      <x:c r="AE1143" s="3" t="str">
        <x:v>No</x:v>
      </x:c>
      <x:c r="AF1143" s="3" t="str">
        <x:v>No</x:v>
      </x:c>
      <x:c r="AG1143" s="3"/>
      <x:c r="AH1143" s="3"/>
      <x:c r="AI1143" s="18"/>
      <x:c r="AJ1143" s="3" t="str">
        <x:v>CF2500-8BFF90A66568</x:v>
      </x:c>
      <x:c r="AK1143" s="3" t="str">
        <x:v>real_estate_operator</x:v>
      </x:c>
      <x:c r="AL1143" s="19" t="n">
        <x:v>100000</x:v>
      </x:c>
      <x:c r="AM1143" s="19" t="n">
        <x:v>500000</x:v>
      </x:c>
      <x:c r="AN1143" s="3" t="str">
        <x:v>https://www.cashhomebuyersdirectory.com/cash-home-buyers/maryland/rockville</x:v>
      </x:c>
      <x:c r="AO1143" s="3" t="str">
        <x:v>national_rest_directory_complete.jsonl</x:v>
      </x:c>
      <x:c r="AP1143" s="19"/>
    </x:row>
    <x:row r="1144" ht="36" customHeight="1">
      <x:c r="A1144" s="23" t="n">
        <x:v>1143</x:v>
      </x:c>
      <x:c r="B1144" s="15" t="str">
        <x:v>Marshall Home Buyers</x:v>
      </x:c>
      <x:c r="C1144" s="15"/>
      <x:c r="D1144" s="15" t="str">
        <x:v>Property investor / home-buying operator</x:v>
      </x:c>
      <x:c r="E1144" s="15" t="str">
        <x:v>Property investor / operator inquiry</x:v>
      </x:c>
      <x:c r="F1144" s="17" t="str">
        <x:v>New</x:v>
      </x:c>
      <x:c r="G1144" s="24"/>
      <x:c r="H1144" s="24" t="str">
        <x:v>+14106572670</x:v>
      </x:c>
      <x:c r="I1144" s="24" t="str">
        <x:v>https://www.marshallhomeoffers.com/</x:v>
      </x:c>
      <x:c r="J1144" s="16" t="str">
        <x:v>MD</x:v>
      </x:c>
      <x:c r="K1144" s="16" t="str">
        <x:v>Baltimore</x:v>
      </x:c>
      <x:c r="L1144" s="16" t="str">
        <x:v>Public property-business route; investor decision maker unconfirmed</x:v>
      </x:c>
      <x:c r="M1144" s="16" t="str">
        <x:v>https://www.marshallhomeoffers.com/</x:v>
      </x:c>
      <x:c r="N1144" s="16" t="str">
        <x:v>$100K-$500K ticket not published / unconfirmed</x:v>
      </x:c>
      <x:c r="O1144" s="20"/>
      <x:c r="P1144" s="20"/>
      <x:c r="Q1144" s="25" t="str">
        <x:v>No direct corporate-capital range established in checked source</x:v>
      </x:c>
      <x:c r="R1144" s="25" t="str">
        <x:v>Property acquisition or investor activity makes this an operator-capital prospect for the signed trial. Confirm operating-company debt/equity appetite.</x:v>
      </x:c>
      <x:c r="S1144" s="25"/>
      <x:c r="T1144" s="25" t="str">
        <x:v>Ask the owner/investor whether they can allocate $100K-$500K to trial marketing and acquisitions, and confirm structure, timing and decision authority.</x:v>
      </x:c>
      <x:c r="U1144" s="25" t="str">
        <x:v>https://www.cashhomebuyersdirectory.com/cash-home-buyers/maryland/baltimore</x:v>
      </x:c>
      <x:c r="V1144" s="26" t="d">
        <x:v>2026-10-02T00:00:00.000Z</x:v>
      </x:c>
      <x:c r="W1144" s="26" t="d">
        <x:v>2026-10-02T00:00:00.000Z</x:v>
      </x:c>
      <x:c r="X1144" s="25" t="str">
        <x:v>CashHomeBuyersDirectory third-party business listing; first-party business activity not checked in this batch</x:v>
      </x:c>
      <x:c r="Y1144" s="25"/>
      <x:c r="Z1144" s="25" t="str">
        <x:v>https://www.cashhomebuyersdirectory.com/cash-home-buyers/maryland/baltimore</x:v>
      </x:c>
      <x:c r="AA1144" s="25" t="str">
        <x:v>Public cash-home-buyer directory lists the business name, business phone/website where available and market. Operator role and corporate funding willingness require confirmation.</x:v>
      </x:c>
      <x:c r="AB1144" s="3" t="str">
        <x:v>New public-source collection</x:v>
      </x:c>
      <x:c r="AC1144" s="3" t="str">
        <x:v>unverified</x:v>
      </x:c>
      <x:c r="AD1144" s="3" t="str">
        <x:v>Not contacted / unconfirmed</x:v>
      </x:c>
      <x:c r="AE1144" s="3" t="str">
        <x:v>No</x:v>
      </x:c>
      <x:c r="AF1144" s="3" t="str">
        <x:v>No</x:v>
      </x:c>
      <x:c r="AG1144" s="3"/>
      <x:c r="AH1144" s="3"/>
      <x:c r="AI1144" s="18"/>
      <x:c r="AJ1144" s="3" t="str">
        <x:v>CF2500-F28DA9E0623A</x:v>
      </x:c>
      <x:c r="AK1144" s="3" t="str">
        <x:v>real_estate_operator</x:v>
      </x:c>
      <x:c r="AL1144" s="19" t="n">
        <x:v>100000</x:v>
      </x:c>
      <x:c r="AM1144" s="19" t="n">
        <x:v>500000</x:v>
      </x:c>
      <x:c r="AN1144" s="3" t="str">
        <x:v>https://www.cashhomebuyersdirectory.com/cash-home-buyers/maryland/baltimore</x:v>
      </x:c>
      <x:c r="AO1144" s="3" t="str">
        <x:v>national_rest_directory_complete.jsonl</x:v>
      </x:c>
      <x:c r="AP1144" s="19"/>
    </x:row>
    <x:row r="1145" ht="36" customHeight="1">
      <x:c r="A1145" s="23" t="n">
        <x:v>1144</x:v>
      </x:c>
      <x:c r="B1145" s="15" t="str">
        <x:v>Maryland Home Buyers</x:v>
      </x:c>
      <x:c r="C1145" s="15"/>
      <x:c r="D1145" s="15" t="str">
        <x:v>Property investor / home-buying operator</x:v>
      </x:c>
      <x:c r="E1145" s="15" t="str">
        <x:v>Property investor / operator inquiry</x:v>
      </x:c>
      <x:c r="F1145" s="17" t="str">
        <x:v>New</x:v>
      </x:c>
      <x:c r="G1145" s="24"/>
      <x:c r="H1145" s="24" t="str">
        <x:v>+14106572523</x:v>
      </x:c>
      <x:c r="I1145" s="24" t="str">
        <x:v>https://www.homebuyersmd.com/</x:v>
      </x:c>
      <x:c r="J1145" s="16" t="str">
        <x:v>MD</x:v>
      </x:c>
      <x:c r="K1145" s="16" t="str">
        <x:v>Abingdon</x:v>
      </x:c>
      <x:c r="L1145" s="16" t="str">
        <x:v>Public property-business route; investor decision maker unconfirmed</x:v>
      </x:c>
      <x:c r="M1145" s="16" t="str">
        <x:v>https://www.homebuyersmd.com/</x:v>
      </x:c>
      <x:c r="N1145" s="16" t="str">
        <x:v>$100K-$500K ticket not published / unconfirmed</x:v>
      </x:c>
      <x:c r="O1145" s="20"/>
      <x:c r="P1145" s="20"/>
      <x:c r="Q1145" s="25" t="str">
        <x:v>No direct corporate-capital range established in checked source</x:v>
      </x:c>
      <x:c r="R1145" s="25" t="str">
        <x:v>Property acquisition or investor activity makes this an operator-capital prospect for the signed trial. Confirm operating-company debt/equity appetite.</x:v>
      </x:c>
      <x:c r="S1145" s="25"/>
      <x:c r="T1145" s="25" t="str">
        <x:v>Ask the owner/investor whether they can allocate $100K-$500K to trial marketing and acquisitions, and confirm structure, timing and decision authority.</x:v>
      </x:c>
      <x:c r="U1145" s="25" t="str">
        <x:v>https://www.cashhomebuyersdirectory.com/cash-home-buyers/maryland/abingdon
https://www.cashhomebuyersdirectory.com/cash-home-buyers/maryland/timonium</x:v>
      </x:c>
      <x:c r="V1145" s="26" t="d">
        <x:v>2026-10-02T00:00:00.000Z</x:v>
      </x:c>
      <x:c r="W1145" s="26" t="d">
        <x:v>2026-10-02T00:00:00.000Z</x:v>
      </x:c>
      <x:c r="X1145" s="25" t="str">
        <x:v>CashHomeBuyersDirectory third-party business listing; first-party business activity not checked in this batch</x:v>
      </x:c>
      <x:c r="Y1145" s="25"/>
      <x:c r="Z1145" s="25" t="str">
        <x:v>https://www.cashhomebuyersdirectory.com/cash-home-buyers/maryland/abingdon</x:v>
      </x:c>
      <x:c r="AA1145" s="25" t="str">
        <x:v>Public cash-home-buyer directory lists the business name, business phone/website where available and market. Operator role and corporate funding willingness require confirmation.</x:v>
      </x:c>
      <x:c r="AB1145" s="3" t="str">
        <x:v>New public-source collection</x:v>
      </x:c>
      <x:c r="AC1145" s="3" t="str">
        <x:v>unverified</x:v>
      </x:c>
      <x:c r="AD1145" s="3" t="str">
        <x:v>Not contacted / unconfirmed</x:v>
      </x:c>
      <x:c r="AE1145" s="3" t="str">
        <x:v>No</x:v>
      </x:c>
      <x:c r="AF1145" s="3" t="str">
        <x:v>No</x:v>
      </x:c>
      <x:c r="AG1145" s="3"/>
      <x:c r="AH1145" s="3"/>
      <x:c r="AI1145" s="18"/>
      <x:c r="AJ1145" s="3" t="str">
        <x:v>CF2500-05CBF4FDB6DD</x:v>
      </x:c>
      <x:c r="AK1145" s="3" t="str">
        <x:v>real_estate_operator</x:v>
      </x:c>
      <x:c r="AL1145" s="19" t="n">
        <x:v>100000</x:v>
      </x:c>
      <x:c r="AM1145" s="19" t="n">
        <x:v>500000</x:v>
      </x:c>
      <x:c r="AN1145" s="3" t="str">
        <x:v>https://www.cashhomebuyersdirectory.com/cash-home-buyers/maryland/abingdon</x:v>
      </x:c>
      <x:c r="AO1145" s="3" t="str">
        <x:v>national_rest_directory_complete.jsonl</x:v>
      </x:c>
      <x:c r="AP1145" s="19"/>
    </x:row>
    <x:row r="1146" ht="36" customHeight="1">
      <x:c r="A1146" s="23" t="n">
        <x:v>1145</x:v>
      </x:c>
      <x:c r="B1146" s="15" t="str">
        <x:v>Mason Dixon Home Buyers, LLC</x:v>
      </x:c>
      <x:c r="C1146" s="15"/>
      <x:c r="D1146" s="15" t="str">
        <x:v>Property investor / home-buying operator</x:v>
      </x:c>
      <x:c r="E1146" s="15" t="str">
        <x:v>Property investor / operator inquiry</x:v>
      </x:c>
      <x:c r="F1146" s="17" t="str">
        <x:v>New</x:v>
      </x:c>
      <x:c r="G1146" s="24"/>
      <x:c r="H1146" s="24" t="str">
        <x:v>+17177885121</x:v>
      </x:c>
      <x:c r="I1146" s="24" t="str">
        <x:v>http://masondixonhomebuyers.com/</x:v>
      </x:c>
      <x:c r="J1146" s="16" t="str">
        <x:v>PA</x:v>
      </x:c>
      <x:c r="K1146" s="16" t="str">
        <x:v>Chambersburg</x:v>
      </x:c>
      <x:c r="L1146" s="16" t="str">
        <x:v>Public property-business route; investor decision maker unconfirmed</x:v>
      </x:c>
      <x:c r="M1146" s="16" t="str">
        <x:v>http://masondixonhomebuyers.com/</x:v>
      </x:c>
      <x:c r="N1146" s="16" t="str">
        <x:v>$100K-$500K ticket not published / unconfirmed</x:v>
      </x:c>
      <x:c r="O1146" s="20"/>
      <x:c r="P1146" s="20"/>
      <x:c r="Q1146" s="25" t="str">
        <x:v>No direct corporate-capital range established in checked source</x:v>
      </x:c>
      <x:c r="R1146" s="25" t="str">
        <x:v>Property acquisition or investor activity makes this an operator-capital prospect for the signed trial. Confirm operating-company debt/equity appetite.</x:v>
      </x:c>
      <x:c r="S1146" s="25"/>
      <x:c r="T1146" s="25" t="str">
        <x:v>Ask the owner/investor whether they can allocate $100K-$500K to trial marketing and acquisitions, and confirm structure, timing and decision authority.</x:v>
      </x:c>
      <x:c r="U1146" s="25" t="str">
        <x:v>https://www.cashhomebuyersdirectory.com/cash-home-buyers/pennsylvania/chambersburg</x:v>
      </x:c>
      <x:c r="V1146" s="26" t="d">
        <x:v>2026-10-02T00:00:00.000Z</x:v>
      </x:c>
      <x:c r="W1146" s="26" t="d">
        <x:v>2026-10-02T00:00:00.000Z</x:v>
      </x:c>
      <x:c r="X1146" s="25" t="str">
        <x:v>CashHomeBuyersDirectory third-party business listing; first-party business activity not checked in this batch</x:v>
      </x:c>
      <x:c r="Y1146" s="25"/>
      <x:c r="Z1146" s="25" t="str">
        <x:v>https://www.cashhomebuyersdirectory.com/cash-home-buyers/pennsylvania/chambersburg</x:v>
      </x:c>
      <x:c r="AA1146" s="25" t="str">
        <x:v>Public cash-home-buyer directory lists the business name, business phone/website where available and market. Operator role and corporate funding willingness require confirmation.</x:v>
      </x:c>
      <x:c r="AB1146" s="3" t="str">
        <x:v>New public-source collection</x:v>
      </x:c>
      <x:c r="AC1146" s="3" t="str">
        <x:v>unverified</x:v>
      </x:c>
      <x:c r="AD1146" s="3" t="str">
        <x:v>Not contacted / unconfirmed</x:v>
      </x:c>
      <x:c r="AE1146" s="3" t="str">
        <x:v>No</x:v>
      </x:c>
      <x:c r="AF1146" s="3" t="str">
        <x:v>No</x:v>
      </x:c>
      <x:c r="AG1146" s="3"/>
      <x:c r="AH1146" s="3"/>
      <x:c r="AI1146" s="18"/>
      <x:c r="AJ1146" s="3" t="str">
        <x:v>CF2500-7DC9FE5E23AF</x:v>
      </x:c>
      <x:c r="AK1146" s="3" t="str">
        <x:v>real_estate_operator</x:v>
      </x:c>
      <x:c r="AL1146" s="19" t="n">
        <x:v>100000</x:v>
      </x:c>
      <x:c r="AM1146" s="19" t="n">
        <x:v>500000</x:v>
      </x:c>
      <x:c r="AN1146" s="3" t="str">
        <x:v>https://www.cashhomebuyersdirectory.com/cash-home-buyers/pennsylvania/chambersburg</x:v>
      </x:c>
      <x:c r="AO1146" s="3" t="str">
        <x:v>national_rest_directory_complete.jsonl</x:v>
      </x:c>
      <x:c r="AP1146" s="19"/>
    </x:row>
    <x:row r="1147" ht="36" customHeight="1">
      <x:c r="A1147" s="23" t="n">
        <x:v>1146</x:v>
      </x:c>
      <x:c r="B1147" s="15" t="str">
        <x:v>Mass Property Buyers</x:v>
      </x:c>
      <x:c r="C1147" s="15"/>
      <x:c r="D1147" s="15" t="str">
        <x:v>Property investor / home-buying operator</x:v>
      </x:c>
      <x:c r="E1147" s="15" t="str">
        <x:v>Property investor / operator inquiry</x:v>
      </x:c>
      <x:c r="F1147" s="17" t="str">
        <x:v>New</x:v>
      </x:c>
      <x:c r="G1147" s="24"/>
      <x:c r="H1147" s="24" t="str">
        <x:v>+14134550008</x:v>
      </x:c>
      <x:c r="I1147" s="24" t="str">
        <x:v>https://www.masspropertybuyers.com/</x:v>
      </x:c>
      <x:c r="J1147" s="16" t="str">
        <x:v>MA</x:v>
      </x:c>
      <x:c r="K1147" s="16" t="str">
        <x:v>Springfield</x:v>
      </x:c>
      <x:c r="L1147" s="16" t="str">
        <x:v>Public property-business route; investor decision maker unconfirmed</x:v>
      </x:c>
      <x:c r="M1147" s="16" t="str">
        <x:v>https://www.masspropertybuyers.com/</x:v>
      </x:c>
      <x:c r="N1147" s="16" t="str">
        <x:v>$100K-$500K ticket not published / unconfirmed</x:v>
      </x:c>
      <x:c r="O1147" s="20"/>
      <x:c r="P1147" s="20"/>
      <x:c r="Q1147" s="25" t="str">
        <x:v>No direct corporate-capital range established in checked source</x:v>
      </x:c>
      <x:c r="R1147" s="25" t="str">
        <x:v>Property acquisition or investor activity makes this an operator-capital prospect for the signed trial. Confirm operating-company debt/equity appetite.</x:v>
      </x:c>
      <x:c r="S1147" s="25"/>
      <x:c r="T1147" s="25" t="str">
        <x:v>Ask the owner/investor whether they can allocate $100K-$500K to trial marketing and acquisitions, and confirm structure, timing and decision authority.</x:v>
      </x:c>
      <x:c r="U1147" s="25" t="str">
        <x:v>https://www.cashhomebuyersdirectory.com/cash-home-buyers/massachusetts/springfield</x:v>
      </x:c>
      <x:c r="V1147" s="26" t="d">
        <x:v>2026-10-02T00:00:00.000Z</x:v>
      </x:c>
      <x:c r="W1147" s="26" t="d">
        <x:v>2026-10-02T00:00:00.000Z</x:v>
      </x:c>
      <x:c r="X1147" s="25" t="str">
        <x:v>CashHomeBuyersDirectory third-party business listing; first-party business activity not checked in this batch</x:v>
      </x:c>
      <x:c r="Y1147" s="25"/>
      <x:c r="Z1147" s="25" t="str">
        <x:v>https://www.cashhomebuyersdirectory.com/cash-home-buyers/massachusetts/springfield</x:v>
      </x:c>
      <x:c r="AA1147" s="25" t="str">
        <x:v>Public cash-home-buyer directory lists the business name, business phone/website where available and market. Operator role and corporate funding willingness require confirmation.</x:v>
      </x:c>
      <x:c r="AB1147" s="3" t="str">
        <x:v>New public-source collection</x:v>
      </x:c>
      <x:c r="AC1147" s="3" t="str">
        <x:v>unverified</x:v>
      </x:c>
      <x:c r="AD1147" s="3" t="str">
        <x:v>Not contacted / unconfirmed</x:v>
      </x:c>
      <x:c r="AE1147" s="3" t="str">
        <x:v>No</x:v>
      </x:c>
      <x:c r="AF1147" s="3" t="str">
        <x:v>No</x:v>
      </x:c>
      <x:c r="AG1147" s="3"/>
      <x:c r="AH1147" s="3"/>
      <x:c r="AI1147" s="18"/>
      <x:c r="AJ1147" s="3" t="str">
        <x:v>CF2500-B5D38AE62B3E</x:v>
      </x:c>
      <x:c r="AK1147" s="3" t="str">
        <x:v>real_estate_operator</x:v>
      </x:c>
      <x:c r="AL1147" s="19" t="n">
        <x:v>100000</x:v>
      </x:c>
      <x:c r="AM1147" s="19" t="n">
        <x:v>500000</x:v>
      </x:c>
      <x:c r="AN1147" s="3" t="str">
        <x:v>https://www.cashhomebuyersdirectory.com/cash-home-buyers/massachusetts/springfield</x:v>
      </x:c>
      <x:c r="AO1147" s="3" t="str">
        <x:v>national_rest_directory_complete.jsonl</x:v>
      </x:c>
      <x:c r="AP1147" s="19"/>
    </x:row>
    <x:row r="1148" ht="36" customHeight="1">
      <x:c r="A1148" s="23" t="n">
        <x:v>1147</x:v>
      </x:c>
      <x:c r="B1148" s="15" t="str">
        <x:v>Metacuse Real Estate | we buy houses Utica | sell my house fast Utica |</x:v>
      </x:c>
      <x:c r="C1148" s="15"/>
      <x:c r="D1148" s="15" t="str">
        <x:v>Property investor / home-buying operator</x:v>
      </x:c>
      <x:c r="E1148" s="15" t="str">
        <x:v>Property investor / operator inquiry</x:v>
      </x:c>
      <x:c r="F1148" s="17" t="str">
        <x:v>New</x:v>
      </x:c>
      <x:c r="G1148" s="24"/>
      <x:c r="H1148" s="24" t="str">
        <x:v>+13155703929</x:v>
      </x:c>
      <x:c r="I1148" s="24" t="str">
        <x:v>https://www.metacuse.com/</x:v>
      </x:c>
      <x:c r="J1148" s="16" t="str">
        <x:v>NY</x:v>
      </x:c>
      <x:c r="K1148" s="16" t="str">
        <x:v>Utica</x:v>
      </x:c>
      <x:c r="L1148" s="16" t="str">
        <x:v>Public property-business route; investor decision maker unconfirmed</x:v>
      </x:c>
      <x:c r="M1148" s="16" t="str">
        <x:v>https://www.metacuse.com/</x:v>
      </x:c>
      <x:c r="N1148" s="16" t="str">
        <x:v>$100K-$500K ticket not published / unconfirmed</x:v>
      </x:c>
      <x:c r="O1148" s="20"/>
      <x:c r="P1148" s="20"/>
      <x:c r="Q1148" s="25" t="str">
        <x:v>No direct corporate-capital range established in checked source</x:v>
      </x:c>
      <x:c r="R1148" s="25" t="str">
        <x:v>Property acquisition or investor activity makes this an operator-capital prospect for the signed trial. Confirm operating-company debt/equity appetite.</x:v>
      </x:c>
      <x:c r="S1148" s="25"/>
      <x:c r="T1148" s="25" t="str">
        <x:v>Ask the owner/investor whether they can allocate $100K-$500K to trial marketing and acquisitions, and confirm structure, timing and decision authority.</x:v>
      </x:c>
      <x:c r="U1148" s="25" t="str">
        <x:v>https://www.cashhomebuyersdirectory.com/cash-home-buyers/new-york/utica</x:v>
      </x:c>
      <x:c r="V1148" s="26" t="d">
        <x:v>2026-10-02T00:00:00.000Z</x:v>
      </x:c>
      <x:c r="W1148" s="26" t="d">
        <x:v>2026-10-02T00:00:00.000Z</x:v>
      </x:c>
      <x:c r="X1148" s="25" t="str">
        <x:v>CashHomeBuyersDirectory third-party business listing; first-party business activity not checked in this batch</x:v>
      </x:c>
      <x:c r="Y1148" s="25"/>
      <x:c r="Z1148" s="25" t="str">
        <x:v>https://www.cashhomebuyersdirectory.com/cash-home-buyers/new-york/utica</x:v>
      </x:c>
      <x:c r="AA1148" s="25" t="str">
        <x:v>Public cash-home-buyer directory lists the business name, business phone/website where available and market. Operator role and corporate funding willingness require confirmation.</x:v>
      </x:c>
      <x:c r="AB1148" s="3" t="str">
        <x:v>New public-source collection</x:v>
      </x:c>
      <x:c r="AC1148" s="3" t="str">
        <x:v>unverified</x:v>
      </x:c>
      <x:c r="AD1148" s="3" t="str">
        <x:v>Not contacted / unconfirmed</x:v>
      </x:c>
      <x:c r="AE1148" s="3" t="str">
        <x:v>No</x:v>
      </x:c>
      <x:c r="AF1148" s="3" t="str">
        <x:v>No</x:v>
      </x:c>
      <x:c r="AG1148" s="3"/>
      <x:c r="AH1148" s="3"/>
      <x:c r="AI1148" s="18"/>
      <x:c r="AJ1148" s="3" t="str">
        <x:v>CF2500-95B6DF2691E0</x:v>
      </x:c>
      <x:c r="AK1148" s="3" t="str">
        <x:v>real_estate_operator</x:v>
      </x:c>
      <x:c r="AL1148" s="19" t="n">
        <x:v>100000</x:v>
      </x:c>
      <x:c r="AM1148" s="19" t="n">
        <x:v>500000</x:v>
      </x:c>
      <x:c r="AN1148" s="3" t="str">
        <x:v>https://www.cashhomebuyersdirectory.com/cash-home-buyers/new-york/utica</x:v>
      </x:c>
      <x:c r="AO1148" s="3" t="str">
        <x:v>national_rest_directory_complete.jsonl</x:v>
      </x:c>
      <x:c r="AP1148" s="19"/>
    </x:row>
    <x:row r="1149" ht="36" customHeight="1">
      <x:c r="A1149" s="23" t="n">
        <x:v>1148</x:v>
      </x:c>
      <x:c r="B1149" s="15" t="str">
        <x:v>Metro Detroit Home Buyers</x:v>
      </x:c>
      <x:c r="C1149" s="15"/>
      <x:c r="D1149" s="15" t="str">
        <x:v>Property investor / home-buying operator</x:v>
      </x:c>
      <x:c r="E1149" s="15" t="str">
        <x:v>Property investor / operator inquiry</x:v>
      </x:c>
      <x:c r="F1149" s="17" t="str">
        <x:v>New</x:v>
      </x:c>
      <x:c r="G1149" s="24"/>
      <x:c r="H1149" s="24" t="str">
        <x:v>+13132099696</x:v>
      </x:c>
      <x:c r="I1149" s="24" t="str">
        <x:v>http://www.metrodetroithomebuyers.com/</x:v>
      </x:c>
      <x:c r="J1149" s="16" t="str">
        <x:v>MI</x:v>
      </x:c>
      <x:c r="K1149" s="16" t="str">
        <x:v>Detroit</x:v>
      </x:c>
      <x:c r="L1149" s="16" t="str">
        <x:v>Public property-business route; investor decision maker unconfirmed</x:v>
      </x:c>
      <x:c r="M1149" s="16" t="str">
        <x:v>http://www.metrodetroithomebuyers.com/</x:v>
      </x:c>
      <x:c r="N1149" s="16" t="str">
        <x:v>$100K-$500K ticket not published / unconfirmed</x:v>
      </x:c>
      <x:c r="O1149" s="20"/>
      <x:c r="P1149" s="20"/>
      <x:c r="Q1149" s="25" t="str">
        <x:v>No direct corporate-capital range established in checked source</x:v>
      </x:c>
      <x:c r="R1149" s="25" t="str">
        <x:v>Property acquisition or investor activity makes this an operator-capital prospect for the signed trial. Confirm operating-company debt/equity appetite.</x:v>
      </x:c>
      <x:c r="S1149" s="25"/>
      <x:c r="T1149" s="25" t="str">
        <x:v>Ask the owner/investor whether they can allocate $100K-$500K to trial marketing and acquisitions, and confirm structure, timing and decision authority.</x:v>
      </x:c>
      <x:c r="U1149" s="25" t="str">
        <x:v>https://www.cashhomebuyersdirectory.com/cash-home-buyers/michigan/detroit</x:v>
      </x:c>
      <x:c r="V1149" s="26" t="d">
        <x:v>2026-10-02T00:00:00.000Z</x:v>
      </x:c>
      <x:c r="W1149" s="26" t="d">
        <x:v>2026-10-02T00:00:00.000Z</x:v>
      </x:c>
      <x:c r="X1149" s="25" t="str">
        <x:v>CashHomeBuyersDirectory third-party business listing; first-party business activity not checked in this batch</x:v>
      </x:c>
      <x:c r="Y1149" s="25"/>
      <x:c r="Z1149" s="25" t="str">
        <x:v>https://www.cashhomebuyersdirectory.com/cash-home-buyers/michigan/detroit</x:v>
      </x:c>
      <x:c r="AA1149" s="25" t="str">
        <x:v>Public cash-home-buyer directory lists the business name, business phone/website where available and market. Operator role and corporate funding willingness require confirmation.</x:v>
      </x:c>
      <x:c r="AB1149" s="3" t="str">
        <x:v>New public-source collection</x:v>
      </x:c>
      <x:c r="AC1149" s="3" t="str">
        <x:v>unverified</x:v>
      </x:c>
      <x:c r="AD1149" s="3" t="str">
        <x:v>Not contacted / unconfirmed</x:v>
      </x:c>
      <x:c r="AE1149" s="3" t="str">
        <x:v>No</x:v>
      </x:c>
      <x:c r="AF1149" s="3" t="str">
        <x:v>No</x:v>
      </x:c>
      <x:c r="AG1149" s="3"/>
      <x:c r="AH1149" s="3"/>
      <x:c r="AI1149" s="18"/>
      <x:c r="AJ1149" s="3" t="str">
        <x:v>CF2500-13D8AEFF4AD9</x:v>
      </x:c>
      <x:c r="AK1149" s="3" t="str">
        <x:v>real_estate_operator</x:v>
      </x:c>
      <x:c r="AL1149" s="19" t="n">
        <x:v>100000</x:v>
      </x:c>
      <x:c r="AM1149" s="19" t="n">
        <x:v>500000</x:v>
      </x:c>
      <x:c r="AN1149" s="3" t="str">
        <x:v>https://www.cashhomebuyersdirectory.com/cash-home-buyers/michigan/detroit</x:v>
      </x:c>
      <x:c r="AO1149" s="3" t="str">
        <x:v>national_rest_directory_complete.jsonl</x:v>
      </x:c>
      <x:c r="AP1149" s="19"/>
    </x:row>
    <x:row r="1150" ht="36" customHeight="1">
      <x:c r="A1150" s="23" t="n">
        <x:v>1149</x:v>
      </x:c>
      <x:c r="B1150" s="15" t="str">
        <x:v>Metro Home Buyers</x:v>
      </x:c>
      <x:c r="C1150" s="15"/>
      <x:c r="D1150" s="15" t="str">
        <x:v>Property investor / home-buying operator</x:v>
      </x:c>
      <x:c r="E1150" s="15" t="str">
        <x:v>Property investor / operator inquiry</x:v>
      </x:c>
      <x:c r="F1150" s="17" t="str">
        <x:v>New</x:v>
      </x:c>
      <x:c r="G1150" s="24"/>
      <x:c r="H1150" s="24" t="str">
        <x:v>+16517056405</x:v>
      </x:c>
      <x:c r="I1150" s="24" t="str">
        <x:v>http://www.mhbuyers.com/</x:v>
      </x:c>
      <x:c r="J1150" s="16" t="str">
        <x:v>MN</x:v>
      </x:c>
      <x:c r="K1150" s="16" t="str">
        <x:v>St. Paul</x:v>
      </x:c>
      <x:c r="L1150" s="16" t="str">
        <x:v>Public property-business route; investor decision maker unconfirmed</x:v>
      </x:c>
      <x:c r="M1150" s="16" t="str">
        <x:v>http://www.mhbuyers.com/</x:v>
      </x:c>
      <x:c r="N1150" s="16" t="str">
        <x:v>$100K-$500K ticket not published / unconfirmed</x:v>
      </x:c>
      <x:c r="O1150" s="20"/>
      <x:c r="P1150" s="20"/>
      <x:c r="Q1150" s="25" t="str">
        <x:v>No direct corporate-capital range established in checked source</x:v>
      </x:c>
      <x:c r="R1150" s="25" t="str">
        <x:v>Property acquisition or investor activity makes this an operator-capital prospect for the signed trial. Confirm operating-company debt/equity appetite.</x:v>
      </x:c>
      <x:c r="S1150" s="25"/>
      <x:c r="T1150" s="25" t="str">
        <x:v>Ask the owner/investor whether they can allocate $100K-$500K to trial marketing and acquisitions, and confirm structure, timing and decision authority.</x:v>
      </x:c>
      <x:c r="U1150" s="25" t="str">
        <x:v>https://www.cashhomebuyersdirectory.com/cash-home-buyers/minnesota/st-paul</x:v>
      </x:c>
      <x:c r="V1150" s="26" t="d">
        <x:v>2026-10-02T00:00:00.000Z</x:v>
      </x:c>
      <x:c r="W1150" s="26" t="d">
        <x:v>2026-10-02T00:00:00.000Z</x:v>
      </x:c>
      <x:c r="X1150" s="25" t="str">
        <x:v>CashHomeBuyersDirectory third-party business listing; first-party business activity not checked in this batch</x:v>
      </x:c>
      <x:c r="Y1150" s="25"/>
      <x:c r="Z1150" s="25" t="str">
        <x:v>https://www.cashhomebuyersdirectory.com/cash-home-buyers/minnesota/st-paul</x:v>
      </x:c>
      <x:c r="AA1150" s="25" t="str">
        <x:v>Public cash-home-buyer directory lists the business name, business phone/website where available and market. Operator role and corporate funding willingness require confirmation.</x:v>
      </x:c>
      <x:c r="AB1150" s="3" t="str">
        <x:v>New public-source collection</x:v>
      </x:c>
      <x:c r="AC1150" s="3" t="str">
        <x:v>unverified</x:v>
      </x:c>
      <x:c r="AD1150" s="3" t="str">
        <x:v>Not contacted / unconfirmed</x:v>
      </x:c>
      <x:c r="AE1150" s="3" t="str">
        <x:v>No</x:v>
      </x:c>
      <x:c r="AF1150" s="3" t="str">
        <x:v>No</x:v>
      </x:c>
      <x:c r="AG1150" s="3"/>
      <x:c r="AH1150" s="3"/>
      <x:c r="AI1150" s="18"/>
      <x:c r="AJ1150" s="3" t="str">
        <x:v>CF2500-D0142D995285</x:v>
      </x:c>
      <x:c r="AK1150" s="3" t="str">
        <x:v>real_estate_operator</x:v>
      </x:c>
      <x:c r="AL1150" s="19" t="n">
        <x:v>100000</x:v>
      </x:c>
      <x:c r="AM1150" s="19" t="n">
        <x:v>500000</x:v>
      </x:c>
      <x:c r="AN1150" s="3" t="str">
        <x:v>https://www.cashhomebuyersdirectory.com/cash-home-buyers/minnesota/st-paul</x:v>
      </x:c>
      <x:c r="AO1150" s="3" t="str">
        <x:v>national_rest_directory_complete.jsonl</x:v>
      </x:c>
      <x:c r="AP1150" s="19"/>
    </x:row>
    <x:row r="1151" ht="36" customHeight="1">
      <x:c r="A1151" s="23" t="n">
        <x:v>1150</x:v>
      </x:c>
      <x:c r="B1151" s="15" t="str">
        <x:v>Metro Milwaukee Home Buyer</x:v>
      </x:c>
      <x:c r="C1151" s="15"/>
      <x:c r="D1151" s="15" t="str">
        <x:v>Property investor / home-buying operator</x:v>
      </x:c>
      <x:c r="E1151" s="15" t="str">
        <x:v>Property investor / operator inquiry</x:v>
      </x:c>
      <x:c r="F1151" s="17" t="str">
        <x:v>New</x:v>
      </x:c>
      <x:c r="G1151" s="24"/>
      <x:c r="H1151" s="24" t="str">
        <x:v>+14144352888</x:v>
      </x:c>
      <x:c r="I1151" s="24" t="str">
        <x:v>https://metromilwaukeehomebuyer.com/</x:v>
      </x:c>
      <x:c r="J1151" s="16" t="str">
        <x:v>WI</x:v>
      </x:c>
      <x:c r="K1151" s="16" t="str">
        <x:v>Milwaukee</x:v>
      </x:c>
      <x:c r="L1151" s="16" t="str">
        <x:v>Public property-business route; investor decision maker unconfirmed</x:v>
      </x:c>
      <x:c r="M1151" s="16" t="str">
        <x:v>https://metromilwaukeehomebuyer.com/</x:v>
      </x:c>
      <x:c r="N1151" s="16" t="str">
        <x:v>$100K-$500K ticket not published / unconfirmed</x:v>
      </x:c>
      <x:c r="O1151" s="20"/>
      <x:c r="P1151" s="20"/>
      <x:c r="Q1151" s="25" t="str">
        <x:v>No direct corporate-capital range established in checked source</x:v>
      </x:c>
      <x:c r="R1151" s="25" t="str">
        <x:v>Property acquisition or investor activity makes this an operator-capital prospect for the signed trial. Confirm operating-company debt/equity appetite.</x:v>
      </x:c>
      <x:c r="S1151" s="25"/>
      <x:c r="T1151" s="25" t="str">
        <x:v>Ask the owner/investor whether they can allocate $100K-$500K to trial marketing and acquisitions, and confirm structure, timing and decision authority.</x:v>
      </x:c>
      <x:c r="U1151" s="25" t="str">
        <x:v>https://www.cashhomebuyersdirectory.com/cash-home-buyers/wisconsin/milwaukee</x:v>
      </x:c>
      <x:c r="V1151" s="26" t="d">
        <x:v>2026-10-02T00:00:00.000Z</x:v>
      </x:c>
      <x:c r="W1151" s="26" t="d">
        <x:v>2026-10-02T00:00:00.000Z</x:v>
      </x:c>
      <x:c r="X1151" s="25" t="str">
        <x:v>CashHomeBuyersDirectory third-party business listing; first-party business activity not checked in this batch</x:v>
      </x:c>
      <x:c r="Y1151" s="25"/>
      <x:c r="Z1151" s="25" t="str">
        <x:v>https://www.cashhomebuyersdirectory.com/cash-home-buyers/wisconsin/milwaukee</x:v>
      </x:c>
      <x:c r="AA1151" s="25" t="str">
        <x:v>Public cash-home-buyer directory lists the business name, business phone/website where available and market. Operator role and corporate funding willingness require confirmation.</x:v>
      </x:c>
      <x:c r="AB1151" s="3" t="str">
        <x:v>New public-source collection</x:v>
      </x:c>
      <x:c r="AC1151" s="3" t="str">
        <x:v>unverified</x:v>
      </x:c>
      <x:c r="AD1151" s="3" t="str">
        <x:v>Not contacted / unconfirmed</x:v>
      </x:c>
      <x:c r="AE1151" s="3" t="str">
        <x:v>No</x:v>
      </x:c>
      <x:c r="AF1151" s="3" t="str">
        <x:v>No</x:v>
      </x:c>
      <x:c r="AG1151" s="3"/>
      <x:c r="AH1151" s="3"/>
      <x:c r="AI1151" s="18"/>
      <x:c r="AJ1151" s="3" t="str">
        <x:v>CF2500-67659FC951FB</x:v>
      </x:c>
      <x:c r="AK1151" s="3" t="str">
        <x:v>real_estate_operator</x:v>
      </x:c>
      <x:c r="AL1151" s="19" t="n">
        <x:v>100000</x:v>
      </x:c>
      <x:c r="AM1151" s="19" t="n">
        <x:v>500000</x:v>
      </x:c>
      <x:c r="AN1151" s="3" t="str">
        <x:v>https://www.cashhomebuyersdirectory.com/cash-home-buyers/wisconsin/milwaukee</x:v>
      </x:c>
      <x:c r="AO1151" s="3" t="str">
        <x:v>national_rest_directory_complete.jsonl</x:v>
      </x:c>
      <x:c r="AP1151" s="19"/>
    </x:row>
    <x:row r="1152" ht="36" customHeight="1">
      <x:c r="A1152" s="23" t="n">
        <x:v>1151</x:v>
      </x:c>
      <x:c r="B1152" s="15" t="str">
        <x:v>Michigan Trusted Homebuyers</x:v>
      </x:c>
      <x:c r="C1152" s="15"/>
      <x:c r="D1152" s="15" t="str">
        <x:v>Property investor / home-buying operator</x:v>
      </x:c>
      <x:c r="E1152" s="15" t="str">
        <x:v>Property investor / operator inquiry</x:v>
      </x:c>
      <x:c r="F1152" s="17" t="str">
        <x:v>New</x:v>
      </x:c>
      <x:c r="G1152" s="24"/>
      <x:c r="H1152" s="24" t="str">
        <x:v>+16168832831</x:v>
      </x:c>
      <x:c r="I1152" s="24" t="str">
        <x:v>https://mitrustedhomebuyers.com/</x:v>
      </x:c>
      <x:c r="J1152" s="16" t="str">
        <x:v>MI</x:v>
      </x:c>
      <x:c r="K1152" s="16"/>
      <x:c r="L1152" s="16" t="str">
        <x:v>Public property-business route; investor decision maker unconfirmed</x:v>
      </x:c>
      <x:c r="M1152" s="16" t="str">
        <x:v>https://mitrustedhomebuyers.com/</x:v>
      </x:c>
      <x:c r="N1152" s="16" t="str">
        <x:v>$100K-$500K ticket not published / unconfirmed</x:v>
      </x:c>
      <x:c r="O1152" s="20"/>
      <x:c r="P1152" s="20"/>
      <x:c r="Q1152" s="25" t="str">
        <x:v>No direct corporate-capital range established in checked source</x:v>
      </x:c>
      <x:c r="R1152" s="25" t="str">
        <x:v>Property acquisition or investor activity makes this an operator-capital prospect for the signed trial. Confirm operating-company debt/equity appetite.</x:v>
      </x:c>
      <x:c r="S1152" s="25"/>
      <x:c r="T1152" s="25" t="str">
        <x:v>Ask the owner/investor whether they can allocate $100K-$500K to trial marketing and acquisitions, and confirm structure, timing and decision authority.</x:v>
      </x:c>
      <x:c r="U1152" s="25" t="str">
        <x:v>https://www.cashhomebuyersdirectory.com/cash-home-buyers/michigan/lansing</x:v>
      </x:c>
      <x:c r="V1152" s="26" t="d">
        <x:v>2026-10-02T00:00:00.000Z</x:v>
      </x:c>
      <x:c r="W1152" s="26" t="d">
        <x:v>2026-10-02T00:00:00.000Z</x:v>
      </x:c>
      <x:c r="X1152" s="25" t="str">
        <x:v>CashHomeBuyersDirectory third-party business listing; first-party business activity not checked in this batch</x:v>
      </x:c>
      <x:c r="Y1152" s="25"/>
      <x:c r="Z1152" s="25" t="str">
        <x:v>https://www.cashhomebuyersdirectory.com/cash-home-buyers/michigan/lansing</x:v>
      </x:c>
      <x:c r="AA1152" s="25" t="str">
        <x:v>Public cash-home-buyer directory lists the business name, business phone/website where available and market. Operator role and corporate funding willingness require confirmation.</x:v>
      </x:c>
      <x:c r="AB1152" s="3" t="str">
        <x:v>New public-source collection</x:v>
      </x:c>
      <x:c r="AC1152" s="3" t="str">
        <x:v>unverified</x:v>
      </x:c>
      <x:c r="AD1152" s="3" t="str">
        <x:v>Not contacted / unconfirmed</x:v>
      </x:c>
      <x:c r="AE1152" s="3" t="str">
        <x:v>No</x:v>
      </x:c>
      <x:c r="AF1152" s="3" t="str">
        <x:v>No</x:v>
      </x:c>
      <x:c r="AG1152" s="3"/>
      <x:c r="AH1152" s="3"/>
      <x:c r="AI1152" s="18"/>
      <x:c r="AJ1152" s="3" t="str">
        <x:v>CF2500-2B480BC29FC5</x:v>
      </x:c>
      <x:c r="AK1152" s="3" t="str">
        <x:v>real_estate_operator</x:v>
      </x:c>
      <x:c r="AL1152" s="19" t="n">
        <x:v>100000</x:v>
      </x:c>
      <x:c r="AM1152" s="19" t="n">
        <x:v>500000</x:v>
      </x:c>
      <x:c r="AN1152" s="3" t="str">
        <x:v>https://www.cashhomebuyersdirectory.com/cash-home-buyers/michigan/lansing</x:v>
      </x:c>
      <x:c r="AO1152" s="3" t="str">
        <x:v>national_rest_directory_complete.jsonl</x:v>
      </x:c>
      <x:c r="AP1152" s="19"/>
    </x:row>
    <x:row r="1153" ht="36" customHeight="1">
      <x:c r="A1153" s="23" t="n">
        <x:v>1152</x:v>
      </x:c>
      <x:c r="B1153" s="15" t="str">
        <x:v>Mike Buys Houses™ | We Buy Houses Right Now ®</x:v>
      </x:c>
      <x:c r="C1153" s="15"/>
      <x:c r="D1153" s="15" t="str">
        <x:v>Property investor / home-buying operator</x:v>
      </x:c>
      <x:c r="E1153" s="15" t="str">
        <x:v>Property investor / operator inquiry</x:v>
      </x:c>
      <x:c r="F1153" s="17" t="str">
        <x:v>New</x:v>
      </x:c>
      <x:c r="G1153" s="24"/>
      <x:c r="H1153" s="24" t="str">
        <x:v>+12485090414</x:v>
      </x:c>
      <x:c r="I1153" s="24" t="str">
        <x:v>https://www.webuyhousesrightnow.com/</x:v>
      </x:c>
      <x:c r="J1153" s="16" t="str">
        <x:v>MI</x:v>
      </x:c>
      <x:c r="K1153" s="16" t="str">
        <x:v>Detroit</x:v>
      </x:c>
      <x:c r="L1153" s="16" t="str">
        <x:v>Public property-business route; investor decision maker unconfirmed</x:v>
      </x:c>
      <x:c r="M1153" s="16" t="str">
        <x:v>https://www.webuyhousesrightnow.com/</x:v>
      </x:c>
      <x:c r="N1153" s="16" t="str">
        <x:v>$100K-$500K ticket not published / unconfirmed</x:v>
      </x:c>
      <x:c r="O1153" s="20"/>
      <x:c r="P1153" s="20"/>
      <x:c r="Q1153" s="25" t="str">
        <x:v>No direct corporate-capital range established in checked source</x:v>
      </x:c>
      <x:c r="R1153" s="25" t="str">
        <x:v>Property acquisition or investor activity makes this an operator-capital prospect for the signed trial. Confirm operating-company debt/equity appetite.</x:v>
      </x:c>
      <x:c r="S1153" s="25"/>
      <x:c r="T1153" s="25" t="str">
        <x:v>Ask the owner/investor whether they can allocate $100K-$500K to trial marketing and acquisitions, and confirm structure, timing and decision authority.</x:v>
      </x:c>
      <x:c r="U1153" s="25" t="str">
        <x:v>https://www.cashhomebuyersdirectory.com/cash-home-buyers/michigan/detroit</x:v>
      </x:c>
      <x:c r="V1153" s="26" t="d">
        <x:v>2026-10-02T00:00:00.000Z</x:v>
      </x:c>
      <x:c r="W1153" s="26" t="d">
        <x:v>2026-10-02T00:00:00.000Z</x:v>
      </x:c>
      <x:c r="X1153" s="25" t="str">
        <x:v>CashHomeBuyersDirectory third-party business listing; first-party business activity not checked in this batch</x:v>
      </x:c>
      <x:c r="Y1153" s="25"/>
      <x:c r="Z1153" s="25" t="str">
        <x:v>https://www.cashhomebuyersdirectory.com/cash-home-buyers/michigan/detroit</x:v>
      </x:c>
      <x:c r="AA1153" s="25" t="str">
        <x:v>Public cash-home-buyer directory lists the business name, business phone/website where available and market. Operator role and corporate funding willingness require confirmation.</x:v>
      </x:c>
      <x:c r="AB1153" s="3" t="str">
        <x:v>New public-source collection</x:v>
      </x:c>
      <x:c r="AC1153" s="3" t="str">
        <x:v>unverified</x:v>
      </x:c>
      <x:c r="AD1153" s="3" t="str">
        <x:v>Not contacted / unconfirmed</x:v>
      </x:c>
      <x:c r="AE1153" s="3" t="str">
        <x:v>No</x:v>
      </x:c>
      <x:c r="AF1153" s="3" t="str">
        <x:v>No</x:v>
      </x:c>
      <x:c r="AG1153" s="3"/>
      <x:c r="AH1153" s="3"/>
      <x:c r="AI1153" s="18"/>
      <x:c r="AJ1153" s="3" t="str">
        <x:v>CF2500-C11C6F2B436F</x:v>
      </x:c>
      <x:c r="AK1153" s="3" t="str">
        <x:v>real_estate_operator</x:v>
      </x:c>
      <x:c r="AL1153" s="19" t="n">
        <x:v>100000</x:v>
      </x:c>
      <x:c r="AM1153" s="19" t="n">
        <x:v>500000</x:v>
      </x:c>
      <x:c r="AN1153" s="3" t="str">
        <x:v>https://www.cashhomebuyersdirectory.com/cash-home-buyers/michigan/detroit</x:v>
      </x:c>
      <x:c r="AO1153" s="3" t="str">
        <x:v>national_rest_directory_complete.jsonl</x:v>
      </x:c>
      <x:c r="AP1153" s="19"/>
    </x:row>
    <x:row r="1154" ht="36" customHeight="1">
      <x:c r="A1154" s="23" t="n">
        <x:v>1153</x:v>
      </x:c>
      <x:c r="B1154" s="15" t="str">
        <x:v>Miracle Home Buyers</x:v>
      </x:c>
      <x:c r="C1154" s="15"/>
      <x:c r="D1154" s="15" t="str">
        <x:v>Property investor / home-buying operator</x:v>
      </x:c>
      <x:c r="E1154" s="15" t="str">
        <x:v>Property investor / operator inquiry</x:v>
      </x:c>
      <x:c r="F1154" s="17" t="str">
        <x:v>New</x:v>
      </x:c>
      <x:c r="G1154" s="24"/>
      <x:c r="H1154" s="24" t="str">
        <x:v>+17574704385</x:v>
      </x:c>
      <x:c r="I1154" s="24" t="str">
        <x:v>https://www.miraclehomesbuyers.com/</x:v>
      </x:c>
      <x:c r="J1154" s="16" t="str">
        <x:v>VA</x:v>
      </x:c>
      <x:c r="K1154" s="16"/>
      <x:c r="L1154" s="16" t="str">
        <x:v>Public property-business route; investor decision maker unconfirmed</x:v>
      </x:c>
      <x:c r="M1154" s="16" t="str">
        <x:v>https://www.miraclehomesbuyers.com/</x:v>
      </x:c>
      <x:c r="N1154" s="16" t="str">
        <x:v>$100K-$500K ticket not published / unconfirmed</x:v>
      </x:c>
      <x:c r="O1154" s="20"/>
      <x:c r="P1154" s="20"/>
      <x:c r="Q1154" s="25" t="str">
        <x:v>No direct corporate-capital range established in checked source</x:v>
      </x:c>
      <x:c r="R1154" s="25" t="str">
        <x:v>Property acquisition or investor activity makes this an operator-capital prospect for the signed trial. Confirm operating-company debt/equity appetite.</x:v>
      </x:c>
      <x:c r="S1154" s="25"/>
      <x:c r="T1154" s="25" t="str">
        <x:v>Ask the owner/investor whether they can allocate $100K-$500K to trial marketing and acquisitions, and confirm structure, timing and decision authority.</x:v>
      </x:c>
      <x:c r="U1154" s="25" t="str">
        <x:v>https://www.cashhomebuyersdirectory.com/cash-home-buyers/virginia/virginia-beach</x:v>
      </x:c>
      <x:c r="V1154" s="26" t="d">
        <x:v>2026-10-02T00:00:00.000Z</x:v>
      </x:c>
      <x:c r="W1154" s="26" t="d">
        <x:v>2026-10-02T00:00:00.000Z</x:v>
      </x:c>
      <x:c r="X1154" s="25" t="str">
        <x:v>CashHomeBuyersDirectory third-party business listing; first-party business activity not checked in this batch</x:v>
      </x:c>
      <x:c r="Y1154" s="25"/>
      <x:c r="Z1154" s="25" t="str">
        <x:v>https://www.cashhomebuyersdirectory.com/cash-home-buyers/virginia/virginia-beach</x:v>
      </x:c>
      <x:c r="AA1154" s="25" t="str">
        <x:v>Public cash-home-buyer directory lists the business name, business phone/website where available and market. Operator role and corporate funding willingness require confirmation.</x:v>
      </x:c>
      <x:c r="AB1154" s="3" t="str">
        <x:v>New public-source collection</x:v>
      </x:c>
      <x:c r="AC1154" s="3" t="str">
        <x:v>unverified</x:v>
      </x:c>
      <x:c r="AD1154" s="3" t="str">
        <x:v>Not contacted / unconfirmed</x:v>
      </x:c>
      <x:c r="AE1154" s="3" t="str">
        <x:v>No</x:v>
      </x:c>
      <x:c r="AF1154" s="3" t="str">
        <x:v>No</x:v>
      </x:c>
      <x:c r="AG1154" s="3"/>
      <x:c r="AH1154" s="3"/>
      <x:c r="AI1154" s="18"/>
      <x:c r="AJ1154" s="3" t="str">
        <x:v>CF2500-43DB2A9B36E3</x:v>
      </x:c>
      <x:c r="AK1154" s="3" t="str">
        <x:v>real_estate_operator</x:v>
      </x:c>
      <x:c r="AL1154" s="19" t="n">
        <x:v>100000</x:v>
      </x:c>
      <x:c r="AM1154" s="19" t="n">
        <x:v>500000</x:v>
      </x:c>
      <x:c r="AN1154" s="3" t="str">
        <x:v>https://www.cashhomebuyersdirectory.com/cash-home-buyers/virginia/virginia-beach</x:v>
      </x:c>
      <x:c r="AO1154" s="3" t="str">
        <x:v>national_rest_directory_complete.jsonl</x:v>
      </x:c>
      <x:c r="AP1154" s="19"/>
    </x:row>
    <x:row r="1155" ht="36" customHeight="1">
      <x:c r="A1155" s="23" t="n">
        <x:v>1154</x:v>
      </x:c>
      <x:c r="B1155" s="15" t="str">
        <x:v>Mitten Home Buyer</x:v>
      </x:c>
      <x:c r="C1155" s="15"/>
      <x:c r="D1155" s="15" t="str">
        <x:v>Property investor / home-buying operator</x:v>
      </x:c>
      <x:c r="E1155" s="15" t="str">
        <x:v>Property investor / operator inquiry</x:v>
      </x:c>
      <x:c r="F1155" s="17" t="str">
        <x:v>New</x:v>
      </x:c>
      <x:c r="G1155" s="24"/>
      <x:c r="H1155" s="24" t="str">
        <x:v>+16162754335</x:v>
      </x:c>
      <x:c r="I1155" s="24" t="str">
        <x:v>https://www.mittenhomebuyer.com/</x:v>
      </x:c>
      <x:c r="J1155" s="16" t="str">
        <x:v>MI</x:v>
      </x:c>
      <x:c r="K1155" s="16"/>
      <x:c r="L1155" s="16" t="str">
        <x:v>Public property-business route; investor decision maker unconfirmed</x:v>
      </x:c>
      <x:c r="M1155" s="16" t="str">
        <x:v>https://www.mittenhomebuyer.com/</x:v>
      </x:c>
      <x:c r="N1155" s="16" t="str">
        <x:v>$100K-$500K ticket not published / unconfirmed</x:v>
      </x:c>
      <x:c r="O1155" s="20"/>
      <x:c r="P1155" s="20"/>
      <x:c r="Q1155" s="25" t="str">
        <x:v>No direct corporate-capital range established in checked source</x:v>
      </x:c>
      <x:c r="R1155" s="25" t="str">
        <x:v>Property acquisition or investor activity makes this an operator-capital prospect for the signed trial. Confirm operating-company debt/equity appetite.</x:v>
      </x:c>
      <x:c r="S1155" s="25"/>
      <x:c r="T1155" s="25" t="str">
        <x:v>Ask the owner/investor whether they can allocate $100K-$500K to trial marketing and acquisitions, and confirm structure, timing and decision authority.</x:v>
      </x:c>
      <x:c r="U1155" s="25" t="str">
        <x:v>https://www.cashhomebuyersdirectory.com/cash-home-buyers/michigan/grand-rapids</x:v>
      </x:c>
      <x:c r="V1155" s="26" t="d">
        <x:v>2026-10-02T00:00:00.000Z</x:v>
      </x:c>
      <x:c r="W1155" s="26" t="d">
        <x:v>2026-10-02T00:00:00.000Z</x:v>
      </x:c>
      <x:c r="X1155" s="25" t="str">
        <x:v>CashHomeBuyersDirectory third-party business listing; first-party business activity not checked in this batch</x:v>
      </x:c>
      <x:c r="Y1155" s="25"/>
      <x:c r="Z1155" s="25" t="str">
        <x:v>https://www.cashhomebuyersdirectory.com/cash-home-buyers/michigan/grand-rapids</x:v>
      </x:c>
      <x:c r="AA1155" s="25" t="str">
        <x:v>Public cash-home-buyer directory lists the business name, business phone/website where available and market. Operator role and corporate funding willingness require confirmation.</x:v>
      </x:c>
      <x:c r="AB1155" s="3" t="str">
        <x:v>New public-source collection</x:v>
      </x:c>
      <x:c r="AC1155" s="3" t="str">
        <x:v>unverified</x:v>
      </x:c>
      <x:c r="AD1155" s="3" t="str">
        <x:v>Not contacted / unconfirmed</x:v>
      </x:c>
      <x:c r="AE1155" s="3" t="str">
        <x:v>No</x:v>
      </x:c>
      <x:c r="AF1155" s="3" t="str">
        <x:v>No</x:v>
      </x:c>
      <x:c r="AG1155" s="3"/>
      <x:c r="AH1155" s="3"/>
      <x:c r="AI1155" s="18"/>
      <x:c r="AJ1155" s="3" t="str">
        <x:v>CF2500-8E648289F015</x:v>
      </x:c>
      <x:c r="AK1155" s="3" t="str">
        <x:v>real_estate_operator</x:v>
      </x:c>
      <x:c r="AL1155" s="19" t="n">
        <x:v>100000</x:v>
      </x:c>
      <x:c r="AM1155" s="19" t="n">
        <x:v>500000</x:v>
      </x:c>
      <x:c r="AN1155" s="3" t="str">
        <x:v>https://www.cashhomebuyersdirectory.com/cash-home-buyers/michigan/grand-rapids</x:v>
      </x:c>
      <x:c r="AO1155" s="3" t="str">
        <x:v>national_rest_directory_complete.jsonl</x:v>
      </x:c>
      <x:c r="AP1155" s="19"/>
    </x:row>
    <x:row r="1156" ht="36" customHeight="1">
      <x:c r="A1156" s="23" t="n">
        <x:v>1155</x:v>
      </x:c>
      <x:c r="B1156" s="15" t="str">
        <x:v>MN Nice Home Buyers Inc</x:v>
      </x:c>
      <x:c r="C1156" s="15"/>
      <x:c r="D1156" s="15" t="str">
        <x:v>Property investor / home-buying operator</x:v>
      </x:c>
      <x:c r="E1156" s="15" t="str">
        <x:v>Property investor / operator inquiry</x:v>
      </x:c>
      <x:c r="F1156" s="17" t="str">
        <x:v>New</x:v>
      </x:c>
      <x:c r="G1156" s="24"/>
      <x:c r="H1156" s="24" t="str">
        <x:v>+16129302000</x:v>
      </x:c>
      <x:c r="I1156" s="24" t="str">
        <x:v>http://www.mnnice.com/</x:v>
      </x:c>
      <x:c r="J1156" s="16" t="str">
        <x:v>MN</x:v>
      </x:c>
      <x:c r="K1156" s="16" t="str">
        <x:v>St. Paul</x:v>
      </x:c>
      <x:c r="L1156" s="16" t="str">
        <x:v>Public property-business route; investor decision maker unconfirmed</x:v>
      </x:c>
      <x:c r="M1156" s="16" t="str">
        <x:v>http://www.mnnice.com/</x:v>
      </x:c>
      <x:c r="N1156" s="16" t="str">
        <x:v>$100K-$500K ticket not published / unconfirmed</x:v>
      </x:c>
      <x:c r="O1156" s="20"/>
      <x:c r="P1156" s="20"/>
      <x:c r="Q1156" s="25" t="str">
        <x:v>No direct corporate-capital range established in checked source</x:v>
      </x:c>
      <x:c r="R1156" s="25" t="str">
        <x:v>Property acquisition or investor activity makes this an operator-capital prospect for the signed trial. Confirm operating-company debt/equity appetite.</x:v>
      </x:c>
      <x:c r="S1156" s="25"/>
      <x:c r="T1156" s="25" t="str">
        <x:v>Ask the owner/investor whether they can allocate $100K-$500K to trial marketing and acquisitions, and confirm structure, timing and decision authority.</x:v>
      </x:c>
      <x:c r="U1156" s="25" t="str">
        <x:v>https://www.cashhomebuyersdirectory.com/cash-home-buyers/minnesota/st-paul</x:v>
      </x:c>
      <x:c r="V1156" s="26" t="d">
        <x:v>2026-10-02T00:00:00.000Z</x:v>
      </x:c>
      <x:c r="W1156" s="26" t="d">
        <x:v>2026-10-02T00:00:00.000Z</x:v>
      </x:c>
      <x:c r="X1156" s="25" t="str">
        <x:v>CashHomeBuyersDirectory third-party business listing; first-party business activity not checked in this batch</x:v>
      </x:c>
      <x:c r="Y1156" s="25"/>
      <x:c r="Z1156" s="25" t="str">
        <x:v>https://www.cashhomebuyersdirectory.com/cash-home-buyers/minnesota/st-paul</x:v>
      </x:c>
      <x:c r="AA1156" s="25" t="str">
        <x:v>Public cash-home-buyer directory lists the business name, business phone/website where available and market. Operator role and corporate funding willingness require confirmation.</x:v>
      </x:c>
      <x:c r="AB1156" s="3" t="str">
        <x:v>New public-source collection</x:v>
      </x:c>
      <x:c r="AC1156" s="3" t="str">
        <x:v>unverified</x:v>
      </x:c>
      <x:c r="AD1156" s="3" t="str">
        <x:v>Not contacted / unconfirmed</x:v>
      </x:c>
      <x:c r="AE1156" s="3" t="str">
        <x:v>No</x:v>
      </x:c>
      <x:c r="AF1156" s="3" t="str">
        <x:v>No</x:v>
      </x:c>
      <x:c r="AG1156" s="3"/>
      <x:c r="AH1156" s="3"/>
      <x:c r="AI1156" s="18"/>
      <x:c r="AJ1156" s="3" t="str">
        <x:v>CF2500-C3480E6DE6B9</x:v>
      </x:c>
      <x:c r="AK1156" s="3" t="str">
        <x:v>real_estate_operator</x:v>
      </x:c>
      <x:c r="AL1156" s="19" t="n">
        <x:v>100000</x:v>
      </x:c>
      <x:c r="AM1156" s="19" t="n">
        <x:v>500000</x:v>
      </x:c>
      <x:c r="AN1156" s="3" t="str">
        <x:v>https://www.cashhomebuyersdirectory.com/cash-home-buyers/minnesota/st-paul</x:v>
      </x:c>
      <x:c r="AO1156" s="3" t="str">
        <x:v>national_rest_directory_complete.jsonl</x:v>
      </x:c>
      <x:c r="AP1156" s="19"/>
    </x:row>
    <x:row r="1157" ht="36" customHeight="1">
      <x:c r="A1157" s="23" t="n">
        <x:v>1156</x:v>
      </x:c>
      <x:c r="B1157" s="15" t="str">
        <x:v>Momentum Acquisitions</x:v>
      </x:c>
      <x:c r="C1157" s="15"/>
      <x:c r="D1157" s="15" t="str">
        <x:v>Property investor / home-buying operator</x:v>
      </x:c>
      <x:c r="E1157" s="15" t="str">
        <x:v>Property investor / operator inquiry</x:v>
      </x:c>
      <x:c r="F1157" s="17" t="str">
        <x:v>New</x:v>
      </x:c>
      <x:c r="G1157" s="24"/>
      <x:c r="H1157" s="24" t="str">
        <x:v>+16144121827</x:v>
      </x:c>
      <x:c r="I1157" s="24" t="str">
        <x:v>https://momentumacquisitions.com/?utm_source=gmb</x:v>
      </x:c>
      <x:c r="J1157" s="16" t="str">
        <x:v>OH</x:v>
      </x:c>
      <x:c r="K1157" s="16" t="str">
        <x:v>Columbus</x:v>
      </x:c>
      <x:c r="L1157" s="16" t="str">
        <x:v>Public property-business route; investor decision maker unconfirmed</x:v>
      </x:c>
      <x:c r="M1157" s="16" t="str">
        <x:v>https://momentumacquisitions.com/?utm_source=gmb</x:v>
      </x:c>
      <x:c r="N1157" s="16" t="str">
        <x:v>$100K-$500K ticket not published / unconfirmed</x:v>
      </x:c>
      <x:c r="O1157" s="20"/>
      <x:c r="P1157" s="20"/>
      <x:c r="Q1157" s="25" t="str">
        <x:v>No direct corporate-capital range established in checked source</x:v>
      </x:c>
      <x:c r="R1157" s="25" t="str">
        <x:v>Property acquisition or investor activity makes this an operator-capital prospect for the signed trial. Confirm operating-company debt/equity appetite.</x:v>
      </x:c>
      <x:c r="S1157" s="25"/>
      <x:c r="T1157" s="25" t="str">
        <x:v>Ask the owner/investor whether they can allocate $100K-$500K to trial marketing and acquisitions, and confirm structure, timing and decision authority.</x:v>
      </x:c>
      <x:c r="U1157" s="25" t="str">
        <x:v>https://www.cashhomebuyersdirectory.com/cash-home-buyers/ohio/columbus</x:v>
      </x:c>
      <x:c r="V1157" s="26" t="d">
        <x:v>2026-10-02T00:00:00.000Z</x:v>
      </x:c>
      <x:c r="W1157" s="26" t="d">
        <x:v>2026-10-02T00:00:00.000Z</x:v>
      </x:c>
      <x:c r="X1157" s="25" t="str">
        <x:v>CashHomeBuyersDirectory third-party business listing; first-party business activity not checked in this batch</x:v>
      </x:c>
      <x:c r="Y1157" s="25"/>
      <x:c r="Z1157" s="25" t="str">
        <x:v>https://www.cashhomebuyersdirectory.com/cash-home-buyers/ohio/columbus</x:v>
      </x:c>
      <x:c r="AA1157" s="25" t="str">
        <x:v>Public cash-home-buyer directory lists the business name, business phone/website where available and market. Operator role and corporate funding willingness require confirmation.</x:v>
      </x:c>
      <x:c r="AB1157" s="3" t="str">
        <x:v>New public-source collection</x:v>
      </x:c>
      <x:c r="AC1157" s="3" t="str">
        <x:v>unverified</x:v>
      </x:c>
      <x:c r="AD1157" s="3" t="str">
        <x:v>Not contacted / unconfirmed</x:v>
      </x:c>
      <x:c r="AE1157" s="3" t="str">
        <x:v>No</x:v>
      </x:c>
      <x:c r="AF1157" s="3" t="str">
        <x:v>No</x:v>
      </x:c>
      <x:c r="AG1157" s="3"/>
      <x:c r="AH1157" s="3"/>
      <x:c r="AI1157" s="18"/>
      <x:c r="AJ1157" s="3" t="str">
        <x:v>CF2500-0B327F3DA9AE</x:v>
      </x:c>
      <x:c r="AK1157" s="3" t="str">
        <x:v>real_estate_operator</x:v>
      </x:c>
      <x:c r="AL1157" s="19" t="n">
        <x:v>100000</x:v>
      </x:c>
      <x:c r="AM1157" s="19" t="n">
        <x:v>500000</x:v>
      </x:c>
      <x:c r="AN1157" s="3" t="str">
        <x:v>https://www.cashhomebuyersdirectory.com/cash-home-buyers/ohio/columbus</x:v>
      </x:c>
      <x:c r="AO1157" s="3" t="str">
        <x:v>national_rest_directory_complete.jsonl</x:v>
      </x:c>
      <x:c r="AP1157" s="19"/>
    </x:row>
    <x:row r="1158" ht="36" customHeight="1">
      <x:c r="A1158" s="23" t="n">
        <x:v>1157</x:v>
      </x:c>
      <x:c r="B1158" s="15" t="str">
        <x:v>Move On Cash Home Buyers</x:v>
      </x:c>
      <x:c r="C1158" s="15"/>
      <x:c r="D1158" s="15" t="str">
        <x:v>Property investor / home-buying operator</x:v>
      </x:c>
      <x:c r="E1158" s="15" t="str">
        <x:v>Property investor / operator inquiry</x:v>
      </x:c>
      <x:c r="F1158" s="17" t="str">
        <x:v>New</x:v>
      </x:c>
      <x:c r="G1158" s="24"/>
      <x:c r="H1158" s="24" t="str">
        <x:v>+15043568000</x:v>
      </x:c>
      <x:c r="I1158" s="24" t="str">
        <x:v>https://moveoncashhomebuyers.com/</x:v>
      </x:c>
      <x:c r="J1158" s="16" t="str">
        <x:v>LA</x:v>
      </x:c>
      <x:c r="K1158" s="16" t="str">
        <x:v>New Orleans</x:v>
      </x:c>
      <x:c r="L1158" s="16" t="str">
        <x:v>Public property-business route; investor decision maker unconfirmed</x:v>
      </x:c>
      <x:c r="M1158" s="16" t="str">
        <x:v>https://moveoncashhomebuyers.com/</x:v>
      </x:c>
      <x:c r="N1158" s="16" t="str">
        <x:v>$100K-$500K ticket not published / unconfirmed</x:v>
      </x:c>
      <x:c r="O1158" s="20"/>
      <x:c r="P1158" s="20"/>
      <x:c r="Q1158" s="25" t="str">
        <x:v>No direct corporate-capital range established in checked source</x:v>
      </x:c>
      <x:c r="R1158" s="25" t="str">
        <x:v>Property acquisition or investor activity makes this an operator-capital prospect for the signed trial. Confirm operating-company debt/equity appetite.</x:v>
      </x:c>
      <x:c r="S1158" s="25"/>
      <x:c r="T1158" s="25" t="str">
        <x:v>Ask the owner/investor whether they can allocate $100K-$500K to trial marketing and acquisitions, and confirm structure, timing and decision authority.</x:v>
      </x:c>
      <x:c r="U1158" s="25" t="str">
        <x:v>https://www.cashhomebuyersdirectory.com/cash-home-buyers/louisiana/new-orleans</x:v>
      </x:c>
      <x:c r="V1158" s="26" t="d">
        <x:v>2026-10-02T00:00:00.000Z</x:v>
      </x:c>
      <x:c r="W1158" s="26" t="d">
        <x:v>2026-10-02T00:00:00.000Z</x:v>
      </x:c>
      <x:c r="X1158" s="25" t="str">
        <x:v>CashHomeBuyersDirectory third-party business listing; first-party business activity not checked in this batch</x:v>
      </x:c>
      <x:c r="Y1158" s="25"/>
      <x:c r="Z1158" s="25" t="str">
        <x:v>https://www.cashhomebuyersdirectory.com/cash-home-buyers/louisiana/new-orleans</x:v>
      </x:c>
      <x:c r="AA1158" s="25" t="str">
        <x:v>Public cash-home-buyer directory lists the business name, business phone/website where available and market. Operator role and corporate funding willingness require confirmation.</x:v>
      </x:c>
      <x:c r="AB1158" s="3" t="str">
        <x:v>New public-source collection</x:v>
      </x:c>
      <x:c r="AC1158" s="3" t="str">
        <x:v>unverified</x:v>
      </x:c>
      <x:c r="AD1158" s="3" t="str">
        <x:v>Not contacted / unconfirmed</x:v>
      </x:c>
      <x:c r="AE1158" s="3" t="str">
        <x:v>No</x:v>
      </x:c>
      <x:c r="AF1158" s="3" t="str">
        <x:v>No</x:v>
      </x:c>
      <x:c r="AG1158" s="3"/>
      <x:c r="AH1158" s="3"/>
      <x:c r="AI1158" s="18"/>
      <x:c r="AJ1158" s="3" t="str">
        <x:v>CF2500-62B220020738</x:v>
      </x:c>
      <x:c r="AK1158" s="3" t="str">
        <x:v>real_estate_operator</x:v>
      </x:c>
      <x:c r="AL1158" s="19" t="n">
        <x:v>100000</x:v>
      </x:c>
      <x:c r="AM1158" s="19" t="n">
        <x:v>500000</x:v>
      </x:c>
      <x:c r="AN1158" s="3" t="str">
        <x:v>https://www.cashhomebuyersdirectory.com/cash-home-buyers/louisiana/new-orleans</x:v>
      </x:c>
      <x:c r="AO1158" s="3" t="str">
        <x:v>national_rest_directory_complete.jsonl</x:v>
      </x:c>
      <x:c r="AP1158" s="19"/>
    </x:row>
    <x:row r="1159" ht="36" customHeight="1">
      <x:c r="A1159" s="23" t="n">
        <x:v>1158</x:v>
      </x:c>
      <x:c r="B1159" s="15" t="str">
        <x:v>MoveUp HomeBuyers LLC</x:v>
      </x:c>
      <x:c r="C1159" s="15"/>
      <x:c r="D1159" s="15" t="str">
        <x:v>Property investor / home-buying operator</x:v>
      </x:c>
      <x:c r="E1159" s="15" t="str">
        <x:v>Property investor / operator inquiry</x:v>
      </x:c>
      <x:c r="F1159" s="17" t="str">
        <x:v>New</x:v>
      </x:c>
      <x:c r="G1159" s="24"/>
      <x:c r="H1159" s="24" t="str">
        <x:v>+12028049787</x:v>
      </x:c>
      <x:c r="I1159" s="24" t="str">
        <x:v>https://www.moveuphomebuyers.com/</x:v>
      </x:c>
      <x:c r="J1159" s="16" t="str">
        <x:v>DC</x:v>
      </x:c>
      <x:c r="K1159" s="16" t="str">
        <x:v>Washington</x:v>
      </x:c>
      <x:c r="L1159" s="16" t="str">
        <x:v>Public property-business route; investor decision maker unconfirmed</x:v>
      </x:c>
      <x:c r="M1159" s="16" t="str">
        <x:v>https://www.moveuphomebuyers.com/</x:v>
      </x:c>
      <x:c r="N1159" s="16" t="str">
        <x:v>$100K-$500K ticket not published / unconfirmed</x:v>
      </x:c>
      <x:c r="O1159" s="20"/>
      <x:c r="P1159" s="20"/>
      <x:c r="Q1159" s="25" t="str">
        <x:v>No direct corporate-capital range established in checked source</x:v>
      </x:c>
      <x:c r="R1159" s="25" t="str">
        <x:v>Property acquisition or investor activity makes this an operator-capital prospect for the signed trial. Confirm operating-company debt/equity appetite.</x:v>
      </x:c>
      <x:c r="S1159" s="25"/>
      <x:c r="T1159" s="25" t="str">
        <x:v>Ask the owner/investor whether they can allocate $100K-$500K to trial marketing and acquisitions, and confirm structure, timing and decision authority.</x:v>
      </x:c>
      <x:c r="U1159" s="25" t="str">
        <x:v>https://www.cashhomebuyersdirectory.com/cash-home-buyers/district-of-columbia/washington</x:v>
      </x:c>
      <x:c r="V1159" s="26" t="d">
        <x:v>2026-10-02T00:00:00.000Z</x:v>
      </x:c>
      <x:c r="W1159" s="26" t="d">
        <x:v>2026-10-02T00:00:00.000Z</x:v>
      </x:c>
      <x:c r="X1159" s="25" t="str">
        <x:v>CashHomeBuyersDirectory third-party business listing; first-party business activity not checked in this batch</x:v>
      </x:c>
      <x:c r="Y1159" s="25"/>
      <x:c r="Z1159" s="25" t="str">
        <x:v>https://www.cashhomebuyersdirectory.com/cash-home-buyers/district-of-columbia/washington</x:v>
      </x:c>
      <x:c r="AA1159" s="25" t="str">
        <x:v>Public cash-home-buyer directory lists the business name, business phone/website where available and market. Operator role and corporate funding willingness require confirmation.</x:v>
      </x:c>
      <x:c r="AB1159" s="3" t="str">
        <x:v>New public-source collection</x:v>
      </x:c>
      <x:c r="AC1159" s="3" t="str">
        <x:v>unverified</x:v>
      </x:c>
      <x:c r="AD1159" s="3" t="str">
        <x:v>Not contacted / unconfirmed</x:v>
      </x:c>
      <x:c r="AE1159" s="3" t="str">
        <x:v>No</x:v>
      </x:c>
      <x:c r="AF1159" s="3" t="str">
        <x:v>No</x:v>
      </x:c>
      <x:c r="AG1159" s="3"/>
      <x:c r="AH1159" s="3"/>
      <x:c r="AI1159" s="18"/>
      <x:c r="AJ1159" s="3" t="str">
        <x:v>CF2500-6518412B8C63</x:v>
      </x:c>
      <x:c r="AK1159" s="3" t="str">
        <x:v>real_estate_operator</x:v>
      </x:c>
      <x:c r="AL1159" s="19" t="n">
        <x:v>100000</x:v>
      </x:c>
      <x:c r="AM1159" s="19" t="n">
        <x:v>500000</x:v>
      </x:c>
      <x:c r="AN1159" s="3" t="str">
        <x:v>https://www.cashhomebuyersdirectory.com/cash-home-buyers/district-of-columbia/washington</x:v>
      </x:c>
      <x:c r="AO1159" s="3" t="str">
        <x:v>national_rest_directory_complete.jsonl</x:v>
      </x:c>
      <x:c r="AP1159" s="19"/>
    </x:row>
    <x:row r="1160" ht="36" customHeight="1">
      <x:c r="A1160" s="23" t="n">
        <x:v>1159</x:v>
      </x:c>
      <x:c r="B1160" s="15" t="str">
        <x:v>MS Home Buyers</x:v>
      </x:c>
      <x:c r="C1160" s="15"/>
      <x:c r="D1160" s="15" t="str">
        <x:v>Property investor / home-buying operator</x:v>
      </x:c>
      <x:c r="E1160" s="15" t="str">
        <x:v>Property investor / operator inquiry</x:v>
      </x:c>
      <x:c r="F1160" s="17" t="str">
        <x:v>New</x:v>
      </x:c>
      <x:c r="G1160" s="24"/>
      <x:c r="H1160" s="24" t="str">
        <x:v>+16013361835</x:v>
      </x:c>
      <x:c r="I1160" s="24" t="str">
        <x:v>http://www.cashhomesms.com/contact-us/</x:v>
      </x:c>
      <x:c r="J1160" s="16" t="str">
        <x:v>MS</x:v>
      </x:c>
      <x:c r="K1160" s="16" t="str">
        <x:v>Hattiesburg</x:v>
      </x:c>
      <x:c r="L1160" s="16" t="str">
        <x:v>Public property-business route; investor decision maker unconfirmed</x:v>
      </x:c>
      <x:c r="M1160" s="16" t="str">
        <x:v>http://www.cashhomesms.com/contact-us/</x:v>
      </x:c>
      <x:c r="N1160" s="16" t="str">
        <x:v>$100K-$500K ticket not published / unconfirmed</x:v>
      </x:c>
      <x:c r="O1160" s="20"/>
      <x:c r="P1160" s="20"/>
      <x:c r="Q1160" s="25" t="str">
        <x:v>No direct corporate-capital range established in checked source</x:v>
      </x:c>
      <x:c r="R1160" s="25" t="str">
        <x:v>Property acquisition or investor activity makes this an operator-capital prospect for the signed trial. Confirm operating-company debt/equity appetite.</x:v>
      </x:c>
      <x:c r="S1160" s="25"/>
      <x:c r="T1160" s="25" t="str">
        <x:v>Ask the owner/investor whether they can allocate $100K-$500K to trial marketing and acquisitions, and confirm structure, timing and decision authority.</x:v>
      </x:c>
      <x:c r="U1160" s="25" t="str">
        <x:v>https://www.cashhomebuyersdirectory.com/cash-home-buyers/mississippi/hattiesburg</x:v>
      </x:c>
      <x:c r="V1160" s="26" t="d">
        <x:v>2026-10-02T00:00:00.000Z</x:v>
      </x:c>
      <x:c r="W1160" s="26" t="d">
        <x:v>2026-10-02T00:00:00.000Z</x:v>
      </x:c>
      <x:c r="X1160" s="25" t="str">
        <x:v>CashHomeBuyersDirectory third-party business listing; first-party business activity not checked in this batch</x:v>
      </x:c>
      <x:c r="Y1160" s="25"/>
      <x:c r="Z1160" s="25" t="str">
        <x:v>https://www.cashhomebuyersdirectory.com/cash-home-buyers/mississippi/hattiesburg</x:v>
      </x:c>
      <x:c r="AA1160" s="25" t="str">
        <x:v>Public cash-home-buyer directory lists the business name, business phone/website where available and market. Operator role and corporate funding willingness require confirmation.</x:v>
      </x:c>
      <x:c r="AB1160" s="3" t="str">
        <x:v>New public-source collection</x:v>
      </x:c>
      <x:c r="AC1160" s="3" t="str">
        <x:v>unverified</x:v>
      </x:c>
      <x:c r="AD1160" s="3" t="str">
        <x:v>Not contacted / unconfirmed</x:v>
      </x:c>
      <x:c r="AE1160" s="3" t="str">
        <x:v>No</x:v>
      </x:c>
      <x:c r="AF1160" s="3" t="str">
        <x:v>No</x:v>
      </x:c>
      <x:c r="AG1160" s="3"/>
      <x:c r="AH1160" s="3"/>
      <x:c r="AI1160" s="18"/>
      <x:c r="AJ1160" s="3" t="str">
        <x:v>CF2500-B64656B98922</x:v>
      </x:c>
      <x:c r="AK1160" s="3" t="str">
        <x:v>real_estate_operator</x:v>
      </x:c>
      <x:c r="AL1160" s="19" t="n">
        <x:v>100000</x:v>
      </x:c>
      <x:c r="AM1160" s="19" t="n">
        <x:v>500000</x:v>
      </x:c>
      <x:c r="AN1160" s="3" t="str">
        <x:v>https://www.cashhomebuyersdirectory.com/cash-home-buyers/mississippi/hattiesburg</x:v>
      </x:c>
      <x:c r="AO1160" s="3" t="str">
        <x:v>national_rest_directory_complete.jsonl</x:v>
      </x:c>
      <x:c r="AP1160" s="19"/>
    </x:row>
    <x:row r="1161" ht="36" customHeight="1">
      <x:c r="A1161" s="23" t="n">
        <x:v>1160</x:v>
      </x:c>
      <x:c r="B1161" s="15" t="str">
        <x:v>My Vegas Home Buyer</x:v>
      </x:c>
      <x:c r="C1161" s="15"/>
      <x:c r="D1161" s="15" t="str">
        <x:v>Property investor / home-buying operator</x:v>
      </x:c>
      <x:c r="E1161" s="15" t="str">
        <x:v>Property investor / operator inquiry</x:v>
      </x:c>
      <x:c r="F1161" s="17" t="str">
        <x:v>New</x:v>
      </x:c>
      <x:c r="G1161" s="24"/>
      <x:c r="H1161" s="24" t="str">
        <x:v>+17027232829</x:v>
      </x:c>
      <x:c r="I1161" s="24" t="str">
        <x:v>https://myvegashomebuyer.com/</x:v>
      </x:c>
      <x:c r="J1161" s="16" t="str">
        <x:v>NV</x:v>
      </x:c>
      <x:c r="K1161" s="16" t="str">
        <x:v>Las Vegas</x:v>
      </x:c>
      <x:c r="L1161" s="16" t="str">
        <x:v>Public property-business route; investor decision maker unconfirmed</x:v>
      </x:c>
      <x:c r="M1161" s="16" t="str">
        <x:v>https://myvegashomebuyer.com/</x:v>
      </x:c>
      <x:c r="N1161" s="16" t="str">
        <x:v>$100K-$500K ticket not published / unconfirmed</x:v>
      </x:c>
      <x:c r="O1161" s="20"/>
      <x:c r="P1161" s="20"/>
      <x:c r="Q1161" s="25" t="str">
        <x:v>No direct corporate-capital range established in checked source</x:v>
      </x:c>
      <x:c r="R1161" s="25" t="str">
        <x:v>Property acquisition or investor activity makes this an operator-capital prospect for the signed trial. Confirm operating-company debt/equity appetite.</x:v>
      </x:c>
      <x:c r="S1161" s="25"/>
      <x:c r="T1161" s="25" t="str">
        <x:v>Ask the owner/investor whether they can allocate $100K-$500K to trial marketing and acquisitions, and confirm structure, timing and decision authority.</x:v>
      </x:c>
      <x:c r="U1161" s="25" t="str">
        <x:v>https://www.cashhomebuyersdirectory.com/cash-home-buyers/nevada/las-vegas</x:v>
      </x:c>
      <x:c r="V1161" s="26" t="d">
        <x:v>2026-10-02T00:00:00.000Z</x:v>
      </x:c>
      <x:c r="W1161" s="26" t="d">
        <x:v>2026-10-02T00:00:00.000Z</x:v>
      </x:c>
      <x:c r="X1161" s="25" t="str">
        <x:v>CashHomeBuyersDirectory third-party business listing; first-party business activity not checked in this batch</x:v>
      </x:c>
      <x:c r="Y1161" s="25"/>
      <x:c r="Z1161" s="25" t="str">
        <x:v>https://www.cashhomebuyersdirectory.com/cash-home-buyers/nevada/las-vegas</x:v>
      </x:c>
      <x:c r="AA1161" s="25" t="str">
        <x:v>Public cash-home-buyer directory lists the business name, business phone/website where available and market. Operator role and corporate funding willingness require confirmation.</x:v>
      </x:c>
      <x:c r="AB1161" s="3" t="str">
        <x:v>New public-source collection</x:v>
      </x:c>
      <x:c r="AC1161" s="3" t="str">
        <x:v>unverified</x:v>
      </x:c>
      <x:c r="AD1161" s="3" t="str">
        <x:v>Not contacted / unconfirmed</x:v>
      </x:c>
      <x:c r="AE1161" s="3" t="str">
        <x:v>No</x:v>
      </x:c>
      <x:c r="AF1161" s="3" t="str">
        <x:v>No</x:v>
      </x:c>
      <x:c r="AG1161" s="3"/>
      <x:c r="AH1161" s="3"/>
      <x:c r="AI1161" s="18"/>
      <x:c r="AJ1161" s="3" t="str">
        <x:v>CF2500-73CEA98C1574</x:v>
      </x:c>
      <x:c r="AK1161" s="3" t="str">
        <x:v>real_estate_operator</x:v>
      </x:c>
      <x:c r="AL1161" s="19" t="n">
        <x:v>100000</x:v>
      </x:c>
      <x:c r="AM1161" s="19" t="n">
        <x:v>500000</x:v>
      </x:c>
      <x:c r="AN1161" s="3" t="str">
        <x:v>https://www.cashhomebuyersdirectory.com/cash-home-buyers/nevada/las-vegas</x:v>
      </x:c>
      <x:c r="AO1161" s="3" t="str">
        <x:v>national_rest_directory_complete.jsonl</x:v>
      </x:c>
      <x:c r="AP1161" s="19"/>
    </x:row>
    <x:row r="1162" ht="36" customHeight="1">
      <x:c r="A1162" s="23" t="n">
        <x:v>1161</x:v>
      </x:c>
      <x:c r="B1162" s="15" t="str">
        <x:v>Naples Home Buyers</x:v>
      </x:c>
      <x:c r="C1162" s="15"/>
      <x:c r="D1162" s="15" t="str">
        <x:v>Property investor / home-buying operator</x:v>
      </x:c>
      <x:c r="E1162" s="15" t="str">
        <x:v>Property investor / operator inquiry</x:v>
      </x:c>
      <x:c r="F1162" s="17" t="str">
        <x:v>New</x:v>
      </x:c>
      <x:c r="G1162" s="24"/>
      <x:c r="H1162" s="24" t="str">
        <x:v>+14133316060</x:v>
      </x:c>
      <x:c r="I1162" s="24" t="str">
        <x:v>https://www.naples-group.com/</x:v>
      </x:c>
      <x:c r="J1162" s="16" t="str">
        <x:v>MA</x:v>
      </x:c>
      <x:c r="K1162" s="16" t="str">
        <x:v>Springfield</x:v>
      </x:c>
      <x:c r="L1162" s="16" t="str">
        <x:v>Public property-business route; investor decision maker unconfirmed</x:v>
      </x:c>
      <x:c r="M1162" s="16" t="str">
        <x:v>https://www.naples-group.com/</x:v>
      </x:c>
      <x:c r="N1162" s="16" t="str">
        <x:v>$100K-$500K ticket not published / unconfirmed</x:v>
      </x:c>
      <x:c r="O1162" s="20"/>
      <x:c r="P1162" s="20"/>
      <x:c r="Q1162" s="25" t="str">
        <x:v>No direct corporate-capital range established in checked source</x:v>
      </x:c>
      <x:c r="R1162" s="25" t="str">
        <x:v>Property acquisition or investor activity makes this an operator-capital prospect for the signed trial. Confirm operating-company debt/equity appetite.</x:v>
      </x:c>
      <x:c r="S1162" s="25"/>
      <x:c r="T1162" s="25" t="str">
        <x:v>Ask the owner/investor whether they can allocate $100K-$500K to trial marketing and acquisitions, and confirm structure, timing and decision authority.</x:v>
      </x:c>
      <x:c r="U1162" s="25" t="str">
        <x:v>https://www.cashhomebuyersdirectory.com/cash-home-buyers/massachusetts/springfield</x:v>
      </x:c>
      <x:c r="V1162" s="26" t="d">
        <x:v>2026-10-02T00:00:00.000Z</x:v>
      </x:c>
      <x:c r="W1162" s="26" t="d">
        <x:v>2026-10-02T00:00:00.000Z</x:v>
      </x:c>
      <x:c r="X1162" s="25" t="str">
        <x:v>CashHomeBuyersDirectory third-party business listing; first-party business activity not checked in this batch</x:v>
      </x:c>
      <x:c r="Y1162" s="25"/>
      <x:c r="Z1162" s="25" t="str">
        <x:v>https://www.cashhomebuyersdirectory.com/cash-home-buyers/massachusetts/springfield</x:v>
      </x:c>
      <x:c r="AA1162" s="25" t="str">
        <x:v>Public cash-home-buyer directory lists the business name, business phone/website where available and market. Operator role and corporate funding willingness require confirmation.</x:v>
      </x:c>
      <x:c r="AB1162" s="3" t="str">
        <x:v>New public-source collection</x:v>
      </x:c>
      <x:c r="AC1162" s="3" t="str">
        <x:v>unverified</x:v>
      </x:c>
      <x:c r="AD1162" s="3" t="str">
        <x:v>Not contacted / unconfirmed</x:v>
      </x:c>
      <x:c r="AE1162" s="3" t="str">
        <x:v>No</x:v>
      </x:c>
      <x:c r="AF1162" s="3" t="str">
        <x:v>No</x:v>
      </x:c>
      <x:c r="AG1162" s="3"/>
      <x:c r="AH1162" s="3"/>
      <x:c r="AI1162" s="18"/>
      <x:c r="AJ1162" s="3" t="str">
        <x:v>CF2500-4FC7F6255B1C</x:v>
      </x:c>
      <x:c r="AK1162" s="3" t="str">
        <x:v>real_estate_operator</x:v>
      </x:c>
      <x:c r="AL1162" s="19" t="n">
        <x:v>100000</x:v>
      </x:c>
      <x:c r="AM1162" s="19" t="n">
        <x:v>500000</x:v>
      </x:c>
      <x:c r="AN1162" s="3" t="str">
        <x:v>https://www.cashhomebuyersdirectory.com/cash-home-buyers/massachusetts/springfield</x:v>
      </x:c>
      <x:c r="AO1162" s="3" t="str">
        <x:v>national_rest_directory_complete.jsonl</x:v>
      </x:c>
      <x:c r="AP1162" s="19"/>
    </x:row>
    <x:row r="1163" ht="36" customHeight="1">
      <x:c r="A1163" s="23" t="n">
        <x:v>1162</x:v>
      </x:c>
      <x:c r="B1163" s="15" t="str">
        <x:v>Nebraska Homebuyers</x:v>
      </x:c>
      <x:c r="C1163" s="15"/>
      <x:c r="D1163" s="15" t="str">
        <x:v>Property investor / home-buying operator</x:v>
      </x:c>
      <x:c r="E1163" s="15" t="str">
        <x:v>Property investor / operator inquiry</x:v>
      </x:c>
      <x:c r="F1163" s="17" t="str">
        <x:v>New</x:v>
      </x:c>
      <x:c r="G1163" s="24"/>
      <x:c r="H1163" s="24" t="str">
        <x:v>+14023145140</x:v>
      </x:c>
      <x:c r="I1163" s="24" t="str">
        <x:v>http://www.nebraskahomebuyersllc.com/</x:v>
      </x:c>
      <x:c r="J1163" s="16" t="str">
        <x:v>NE</x:v>
      </x:c>
      <x:c r="K1163" s="16"/>
      <x:c r="L1163" s="16" t="str">
        <x:v>Public property-business route; investor decision maker unconfirmed</x:v>
      </x:c>
      <x:c r="M1163" s="16" t="str">
        <x:v>http://www.nebraskahomebuyersllc.com/</x:v>
      </x:c>
      <x:c r="N1163" s="16" t="str">
        <x:v>$100K-$500K ticket not published / unconfirmed</x:v>
      </x:c>
      <x:c r="O1163" s="20"/>
      <x:c r="P1163" s="20"/>
      <x:c r="Q1163" s="25" t="str">
        <x:v>No direct corporate-capital range established in checked source</x:v>
      </x:c>
      <x:c r="R1163" s="25" t="str">
        <x:v>Property acquisition or investor activity makes this an operator-capital prospect for the signed trial. Confirm operating-company debt/equity appetite.</x:v>
      </x:c>
      <x:c r="S1163" s="25"/>
      <x:c r="T1163" s="25" t="str">
        <x:v>Ask the owner/investor whether they can allocate $100K-$500K to trial marketing and acquisitions, and confirm structure, timing and decision authority.</x:v>
      </x:c>
      <x:c r="U1163" s="25" t="str">
        <x:v>https://www.cashhomebuyersdirectory.com/cash-home-buyers/nebraska/lincoln</x:v>
      </x:c>
      <x:c r="V1163" s="26" t="d">
        <x:v>2026-10-02T00:00:00.000Z</x:v>
      </x:c>
      <x:c r="W1163" s="26" t="d">
        <x:v>2026-10-02T00:00:00.000Z</x:v>
      </x:c>
      <x:c r="X1163" s="25" t="str">
        <x:v>CashHomeBuyersDirectory third-party business listing; first-party business activity not checked in this batch</x:v>
      </x:c>
      <x:c r="Y1163" s="25"/>
      <x:c r="Z1163" s="25" t="str">
        <x:v>https://www.cashhomebuyersdirectory.com/cash-home-buyers/nebraska/lincoln</x:v>
      </x:c>
      <x:c r="AA1163" s="25" t="str">
        <x:v>Public cash-home-buyer directory lists the business name, business phone/website where available and market. Operator role and corporate funding willingness require confirmation.</x:v>
      </x:c>
      <x:c r="AB1163" s="3" t="str">
        <x:v>New public-source collection</x:v>
      </x:c>
      <x:c r="AC1163" s="3" t="str">
        <x:v>unverified</x:v>
      </x:c>
      <x:c r="AD1163" s="3" t="str">
        <x:v>Not contacted / unconfirmed</x:v>
      </x:c>
      <x:c r="AE1163" s="3" t="str">
        <x:v>No</x:v>
      </x:c>
      <x:c r="AF1163" s="3" t="str">
        <x:v>No</x:v>
      </x:c>
      <x:c r="AG1163" s="3"/>
      <x:c r="AH1163" s="3"/>
      <x:c r="AI1163" s="18"/>
      <x:c r="AJ1163" s="3" t="str">
        <x:v>CF2500-E384988E9917</x:v>
      </x:c>
      <x:c r="AK1163" s="3" t="str">
        <x:v>real_estate_operator</x:v>
      </x:c>
      <x:c r="AL1163" s="19" t="n">
        <x:v>100000</x:v>
      </x:c>
      <x:c r="AM1163" s="19" t="n">
        <x:v>500000</x:v>
      </x:c>
      <x:c r="AN1163" s="3" t="str">
        <x:v>https://www.cashhomebuyersdirectory.com/cash-home-buyers/nebraska/lincoln</x:v>
      </x:c>
      <x:c r="AO1163" s="3" t="str">
        <x:v>national_rest_directory_complete.jsonl</x:v>
      </x:c>
      <x:c r="AP1163" s="19"/>
    </x:row>
    <x:row r="1164" ht="36" customHeight="1">
      <x:c r="A1164" s="23" t="n">
        <x:v>1163</x:v>
      </x:c>
      <x:c r="B1164" s="15" t="str">
        <x:v>New Jersey Cash Offer</x:v>
      </x:c>
      <x:c r="C1164" s="15"/>
      <x:c r="D1164" s="15" t="str">
        <x:v>Property investor / home-buying operator</x:v>
      </x:c>
      <x:c r="E1164" s="15" t="str">
        <x:v>Property investor / operator inquiry</x:v>
      </x:c>
      <x:c r="F1164" s="17" t="str">
        <x:v>New</x:v>
      </x:c>
      <x:c r="G1164" s="24"/>
      <x:c r="H1164" s="24" t="str">
        <x:v>+18489990099</x:v>
      </x:c>
      <x:c r="I1164" s="24" t="str">
        <x:v>https://newjerseycashoffer.com/</x:v>
      </x:c>
      <x:c r="J1164" s="16" t="str">
        <x:v>NJ</x:v>
      </x:c>
      <x:c r="K1164" s="16" t="str">
        <x:v>Trenton</x:v>
      </x:c>
      <x:c r="L1164" s="16" t="str">
        <x:v>Public property-business route; investor decision maker unconfirmed</x:v>
      </x:c>
      <x:c r="M1164" s="16" t="str">
        <x:v>https://newjerseycashoffer.com/</x:v>
      </x:c>
      <x:c r="N1164" s="16" t="str">
        <x:v>$100K-$500K ticket not published / unconfirmed</x:v>
      </x:c>
      <x:c r="O1164" s="20"/>
      <x:c r="P1164" s="20"/>
      <x:c r="Q1164" s="25" t="str">
        <x:v>No direct corporate-capital range established in checked source</x:v>
      </x:c>
      <x:c r="R1164" s="25" t="str">
        <x:v>Property acquisition or investor activity makes this an operator-capital prospect for the signed trial. Confirm operating-company debt/equity appetite.</x:v>
      </x:c>
      <x:c r="S1164" s="25"/>
      <x:c r="T1164" s="25" t="str">
        <x:v>Ask the owner/investor whether they can allocate $100K-$500K to trial marketing and acquisitions, and confirm structure, timing and decision authority.</x:v>
      </x:c>
      <x:c r="U1164" s="25" t="str">
        <x:v>https://www.cashhomebuyersdirectory.com/cash-home-buyers/new-jersey/trenton</x:v>
      </x:c>
      <x:c r="V1164" s="26" t="d">
        <x:v>2026-10-02T00:00:00.000Z</x:v>
      </x:c>
      <x:c r="W1164" s="26" t="d">
        <x:v>2026-10-02T00:00:00.000Z</x:v>
      </x:c>
      <x:c r="X1164" s="25" t="str">
        <x:v>CashHomeBuyersDirectory third-party business listing; first-party business activity not checked in this batch</x:v>
      </x:c>
      <x:c r="Y1164" s="25"/>
      <x:c r="Z1164" s="25" t="str">
        <x:v>https://www.cashhomebuyersdirectory.com/cash-home-buyers/new-jersey/trenton</x:v>
      </x:c>
      <x:c r="AA1164" s="25" t="str">
        <x:v>Public cash-home-buyer directory lists the business name, business phone/website where available and market. Operator role and corporate funding willingness require confirmation.</x:v>
      </x:c>
      <x:c r="AB1164" s="3" t="str">
        <x:v>New public-source collection</x:v>
      </x:c>
      <x:c r="AC1164" s="3" t="str">
        <x:v>unverified</x:v>
      </x:c>
      <x:c r="AD1164" s="3" t="str">
        <x:v>Not contacted / unconfirmed</x:v>
      </x:c>
      <x:c r="AE1164" s="3" t="str">
        <x:v>No</x:v>
      </x:c>
      <x:c r="AF1164" s="3" t="str">
        <x:v>No</x:v>
      </x:c>
      <x:c r="AG1164" s="3"/>
      <x:c r="AH1164" s="3"/>
      <x:c r="AI1164" s="18"/>
      <x:c r="AJ1164" s="3" t="str">
        <x:v>CF2500-043849352708</x:v>
      </x:c>
      <x:c r="AK1164" s="3" t="str">
        <x:v>real_estate_operator</x:v>
      </x:c>
      <x:c r="AL1164" s="19" t="n">
        <x:v>100000</x:v>
      </x:c>
      <x:c r="AM1164" s="19" t="n">
        <x:v>500000</x:v>
      </x:c>
      <x:c r="AN1164" s="3" t="str">
        <x:v>https://www.cashhomebuyersdirectory.com/cash-home-buyers/new-jersey/trenton</x:v>
      </x:c>
      <x:c r="AO1164" s="3" t="str">
        <x:v>national_rest_directory_complete.jsonl</x:v>
      </x:c>
      <x:c r="AP1164" s="19"/>
    </x:row>
    <x:row r="1165" ht="36" customHeight="1">
      <x:c r="A1165" s="23" t="n">
        <x:v>1164</x:v>
      </x:c>
      <x:c r="B1165" s="15" t="str">
        <x:v>New Jersey Fast Homebuyers</x:v>
      </x:c>
      <x:c r="C1165" s="15"/>
      <x:c r="D1165" s="15" t="str">
        <x:v>Property investor / home-buying operator</x:v>
      </x:c>
      <x:c r="E1165" s="15" t="str">
        <x:v>Property investor / operator inquiry</x:v>
      </x:c>
      <x:c r="F1165" s="17" t="str">
        <x:v>New</x:v>
      </x:c>
      <x:c r="G1165" s="24"/>
      <x:c r="H1165" s="24" t="str">
        <x:v>+19733632448</x:v>
      </x:c>
      <x:c r="I1165" s="24" t="str">
        <x:v>https://njfasthomebuyers.com/?utm_campaign=gmb</x:v>
      </x:c>
      <x:c r="J1165" s="16" t="str">
        <x:v>NJ</x:v>
      </x:c>
      <x:c r="K1165" s="16"/>
      <x:c r="L1165" s="16" t="str">
        <x:v>Public property-business route; investor decision maker unconfirmed</x:v>
      </x:c>
      <x:c r="M1165" s="16" t="str">
        <x:v>https://njfasthomebuyers.com/?utm_campaign=gmb</x:v>
      </x:c>
      <x:c r="N1165" s="16" t="str">
        <x:v>$100K-$500K ticket not published / unconfirmed</x:v>
      </x:c>
      <x:c r="O1165" s="20"/>
      <x:c r="P1165" s="20"/>
      <x:c r="Q1165" s="25" t="str">
        <x:v>No direct corporate-capital range established in checked source</x:v>
      </x:c>
      <x:c r="R1165" s="25" t="str">
        <x:v>Property acquisition or investor activity makes this an operator-capital prospect for the signed trial. Confirm operating-company debt/equity appetite.</x:v>
      </x:c>
      <x:c r="S1165" s="25"/>
      <x:c r="T1165" s="25" t="str">
        <x:v>Ask the owner/investor whether they can allocate $100K-$500K to trial marketing and acquisitions, and confirm structure, timing and decision authority.</x:v>
      </x:c>
      <x:c r="U1165" s="25" t="str">
        <x:v>https://www.cashhomebuyersdirectory.com/cash-home-buyers/new-jersey/newark</x:v>
      </x:c>
      <x:c r="V1165" s="26" t="d">
        <x:v>2026-10-02T00:00:00.000Z</x:v>
      </x:c>
      <x:c r="W1165" s="26" t="d">
        <x:v>2026-10-02T00:00:00.000Z</x:v>
      </x:c>
      <x:c r="X1165" s="25" t="str">
        <x:v>CashHomeBuyersDirectory third-party business listing; first-party business activity not checked in this batch</x:v>
      </x:c>
      <x:c r="Y1165" s="25"/>
      <x:c r="Z1165" s="25" t="str">
        <x:v>https://www.cashhomebuyersdirectory.com/cash-home-buyers/new-jersey/newark</x:v>
      </x:c>
      <x:c r="AA1165" s="25" t="str">
        <x:v>Public cash-home-buyer directory lists the business name, business phone/website where available and market. Operator role and corporate funding willingness require confirmation.</x:v>
      </x:c>
      <x:c r="AB1165" s="3" t="str">
        <x:v>New public-source collection</x:v>
      </x:c>
      <x:c r="AC1165" s="3" t="str">
        <x:v>unverified</x:v>
      </x:c>
      <x:c r="AD1165" s="3" t="str">
        <x:v>Not contacted / unconfirmed</x:v>
      </x:c>
      <x:c r="AE1165" s="3" t="str">
        <x:v>No</x:v>
      </x:c>
      <x:c r="AF1165" s="3" t="str">
        <x:v>No</x:v>
      </x:c>
      <x:c r="AG1165" s="3"/>
      <x:c r="AH1165" s="3"/>
      <x:c r="AI1165" s="18"/>
      <x:c r="AJ1165" s="3" t="str">
        <x:v>CF2500-7C713E429BC1</x:v>
      </x:c>
      <x:c r="AK1165" s="3" t="str">
        <x:v>real_estate_operator</x:v>
      </x:c>
      <x:c r="AL1165" s="19" t="n">
        <x:v>100000</x:v>
      </x:c>
      <x:c r="AM1165" s="19" t="n">
        <x:v>500000</x:v>
      </x:c>
      <x:c r="AN1165" s="3" t="str">
        <x:v>https://www.cashhomebuyersdirectory.com/cash-home-buyers/new-jersey/newark</x:v>
      </x:c>
      <x:c r="AO1165" s="3" t="str">
        <x:v>national_rest_directory_complete.jsonl</x:v>
      </x:c>
      <x:c r="AP1165" s="19"/>
    </x:row>
    <x:row r="1166" ht="36" customHeight="1">
      <x:c r="A1166" s="23" t="n">
        <x:v>1165</x:v>
      </x:c>
      <x:c r="B1166" s="15" t="str">
        <x:v>New Leaf Homebuyers</x:v>
      </x:c>
      <x:c r="C1166" s="15"/>
      <x:c r="D1166" s="15" t="str">
        <x:v>Property investor / home-buying operator</x:v>
      </x:c>
      <x:c r="E1166" s="15" t="str">
        <x:v>Property investor / operator inquiry</x:v>
      </x:c>
      <x:c r="F1166" s="17" t="str">
        <x:v>New</x:v>
      </x:c>
      <x:c r="G1166" s="24"/>
      <x:c r="H1166" s="24" t="str">
        <x:v>+12255232086</x:v>
      </x:c>
      <x:c r="I1166" s="24" t="str">
        <x:v>http://www.selltonl.com/</x:v>
      </x:c>
      <x:c r="J1166" s="16" t="str">
        <x:v>LA</x:v>
      </x:c>
      <x:c r="K1166" s="16"/>
      <x:c r="L1166" s="16" t="str">
        <x:v>Public property-business route; investor decision maker unconfirmed</x:v>
      </x:c>
      <x:c r="M1166" s="16" t="str">
        <x:v>http://www.selltonl.com/</x:v>
      </x:c>
      <x:c r="N1166" s="16" t="str">
        <x:v>$100K-$500K ticket not published / unconfirmed</x:v>
      </x:c>
      <x:c r="O1166" s="20"/>
      <x:c r="P1166" s="20"/>
      <x:c r="Q1166" s="25" t="str">
        <x:v>No direct corporate-capital range established in checked source</x:v>
      </x:c>
      <x:c r="R1166" s="25" t="str">
        <x:v>Property acquisition or investor activity makes this an operator-capital prospect for the signed trial. Confirm operating-company debt/equity appetite.</x:v>
      </x:c>
      <x:c r="S1166" s="25"/>
      <x:c r="T1166" s="25" t="str">
        <x:v>Ask the owner/investor whether they can allocate $100K-$500K to trial marketing and acquisitions, and confirm structure, timing and decision authority.</x:v>
      </x:c>
      <x:c r="U1166" s="25" t="str">
        <x:v>https://www.cashhomebuyersdirectory.com/cash-home-buyers/louisiana/baton-rouge</x:v>
      </x:c>
      <x:c r="V1166" s="26" t="d">
        <x:v>2026-10-02T00:00:00.000Z</x:v>
      </x:c>
      <x:c r="W1166" s="26" t="d">
        <x:v>2026-10-02T00:00:00.000Z</x:v>
      </x:c>
      <x:c r="X1166" s="25" t="str">
        <x:v>CashHomeBuyersDirectory third-party business listing; first-party business activity not checked in this batch</x:v>
      </x:c>
      <x:c r="Y1166" s="25"/>
      <x:c r="Z1166" s="25" t="str">
        <x:v>https://www.cashhomebuyersdirectory.com/cash-home-buyers/louisiana/baton-rouge</x:v>
      </x:c>
      <x:c r="AA1166" s="25" t="str">
        <x:v>Public cash-home-buyer directory lists the business name, business phone/website where available and market. Operator role and corporate funding willingness require confirmation.</x:v>
      </x:c>
      <x:c r="AB1166" s="3" t="str">
        <x:v>New public-source collection</x:v>
      </x:c>
      <x:c r="AC1166" s="3" t="str">
        <x:v>unverified</x:v>
      </x:c>
      <x:c r="AD1166" s="3" t="str">
        <x:v>Not contacted / unconfirmed</x:v>
      </x:c>
      <x:c r="AE1166" s="3" t="str">
        <x:v>No</x:v>
      </x:c>
      <x:c r="AF1166" s="3" t="str">
        <x:v>No</x:v>
      </x:c>
      <x:c r="AG1166" s="3"/>
      <x:c r="AH1166" s="3"/>
      <x:c r="AI1166" s="18"/>
      <x:c r="AJ1166" s="3" t="str">
        <x:v>CF2500-3DF084C45C69</x:v>
      </x:c>
      <x:c r="AK1166" s="3" t="str">
        <x:v>real_estate_operator</x:v>
      </x:c>
      <x:c r="AL1166" s="19" t="n">
        <x:v>100000</x:v>
      </x:c>
      <x:c r="AM1166" s="19" t="n">
        <x:v>500000</x:v>
      </x:c>
      <x:c r="AN1166" s="3" t="str">
        <x:v>https://www.cashhomebuyersdirectory.com/cash-home-buyers/louisiana/baton-rouge</x:v>
      </x:c>
      <x:c r="AO1166" s="3" t="str">
        <x:v>national_rest_directory_complete.jsonl</x:v>
      </x:c>
      <x:c r="AP1166" s="19"/>
    </x:row>
    <x:row r="1167" ht="36" customHeight="1">
      <x:c r="A1167" s="23" t="n">
        <x:v>1166</x:v>
      </x:c>
      <x:c r="B1167" s="15" t="str">
        <x:v>New Life House Buyers</x:v>
      </x:c>
      <x:c r="C1167" s="15"/>
      <x:c r="D1167" s="15" t="str">
        <x:v>Property investor / home-buying operator</x:v>
      </x:c>
      <x:c r="E1167" s="15" t="str">
        <x:v>Property investor / operator inquiry</x:v>
      </x:c>
      <x:c r="F1167" s="17" t="str">
        <x:v>New</x:v>
      </x:c>
      <x:c r="G1167" s="24"/>
      <x:c r="H1167" s="24" t="str">
        <x:v>+17577689784</x:v>
      </x:c>
      <x:c r="I1167" s="24" t="str">
        <x:v>http://www.buyvaproperty.com/</x:v>
      </x:c>
      <x:c r="J1167" s="16" t="str">
        <x:v>VA</x:v>
      </x:c>
      <x:c r="K1167" s="16" t="str">
        <x:v>Hampton</x:v>
      </x:c>
      <x:c r="L1167" s="16" t="str">
        <x:v>Public property-business route; investor decision maker unconfirmed</x:v>
      </x:c>
      <x:c r="M1167" s="16" t="str">
        <x:v>http://www.buyvaproperty.com/</x:v>
      </x:c>
      <x:c r="N1167" s="16" t="str">
        <x:v>$100K-$500K ticket not published / unconfirmed</x:v>
      </x:c>
      <x:c r="O1167" s="20"/>
      <x:c r="P1167" s="20"/>
      <x:c r="Q1167" s="25" t="str">
        <x:v>No direct corporate-capital range established in checked source</x:v>
      </x:c>
      <x:c r="R1167" s="25" t="str">
        <x:v>Property acquisition or investor activity makes this an operator-capital prospect for the signed trial. Confirm operating-company debt/equity appetite.</x:v>
      </x:c>
      <x:c r="S1167" s="25"/>
      <x:c r="T1167" s="25" t="str">
        <x:v>Ask the owner/investor whether they can allocate $100K-$500K to trial marketing and acquisitions, and confirm structure, timing and decision authority.</x:v>
      </x:c>
      <x:c r="U1167" s="25" t="str">
        <x:v>https://www.cashhomebuyersdirectory.com/cash-home-buyers/virginia/hampton</x:v>
      </x:c>
      <x:c r="V1167" s="26" t="d">
        <x:v>2026-10-02T00:00:00.000Z</x:v>
      </x:c>
      <x:c r="W1167" s="26" t="d">
        <x:v>2026-10-02T00:00:00.000Z</x:v>
      </x:c>
      <x:c r="X1167" s="25" t="str">
        <x:v>CashHomeBuyersDirectory third-party business listing; first-party business activity not checked in this batch</x:v>
      </x:c>
      <x:c r="Y1167" s="25"/>
      <x:c r="Z1167" s="25" t="str">
        <x:v>https://www.cashhomebuyersdirectory.com/cash-home-buyers/virginia/hampton</x:v>
      </x:c>
      <x:c r="AA1167" s="25" t="str">
        <x:v>Public cash-home-buyer directory lists the business name, business phone/website where available and market. Operator role and corporate funding willingness require confirmation.</x:v>
      </x:c>
      <x:c r="AB1167" s="3" t="str">
        <x:v>New public-source collection</x:v>
      </x:c>
      <x:c r="AC1167" s="3" t="str">
        <x:v>unverified</x:v>
      </x:c>
      <x:c r="AD1167" s="3" t="str">
        <x:v>Not contacted / unconfirmed</x:v>
      </x:c>
      <x:c r="AE1167" s="3" t="str">
        <x:v>No</x:v>
      </x:c>
      <x:c r="AF1167" s="3" t="str">
        <x:v>No</x:v>
      </x:c>
      <x:c r="AG1167" s="3"/>
      <x:c r="AH1167" s="3"/>
      <x:c r="AI1167" s="18"/>
      <x:c r="AJ1167" s="3" t="str">
        <x:v>CF2500-6D0B57EEC19F</x:v>
      </x:c>
      <x:c r="AK1167" s="3" t="str">
        <x:v>real_estate_operator</x:v>
      </x:c>
      <x:c r="AL1167" s="19" t="n">
        <x:v>100000</x:v>
      </x:c>
      <x:c r="AM1167" s="19" t="n">
        <x:v>500000</x:v>
      </x:c>
      <x:c r="AN1167" s="3" t="str">
        <x:v>https://www.cashhomebuyersdirectory.com/cash-home-buyers/virginia/hampton</x:v>
      </x:c>
      <x:c r="AO1167" s="3" t="str">
        <x:v>national_rest_directory_complete.jsonl</x:v>
      </x:c>
      <x:c r="AP1167" s="19"/>
    </x:row>
    <x:row r="1168" ht="36" customHeight="1">
      <x:c r="A1168" s="23" t="n">
        <x:v>1167</x:v>
      </x:c>
      <x:c r="B1168" s="15" t="str">
        <x:v>New Path Home Buyers</x:v>
      </x:c>
      <x:c r="C1168" s="15"/>
      <x:c r="D1168" s="15" t="str">
        <x:v>Property investor / home-buying operator</x:v>
      </x:c>
      <x:c r="E1168" s="15" t="str">
        <x:v>Property investor / operator inquiry</x:v>
      </x:c>
      <x:c r="F1168" s="17" t="str">
        <x:v>New</x:v>
      </x:c>
      <x:c r="G1168" s="24"/>
      <x:c r="H1168" s="24" t="str">
        <x:v>+15037190515</x:v>
      </x:c>
      <x:c r="I1168" s="24" t="str">
        <x:v>https://www.newpathhomebuyers.com/</x:v>
      </x:c>
      <x:c r="J1168" s="16" t="str">
        <x:v>OR</x:v>
      </x:c>
      <x:c r="K1168" s="16"/>
      <x:c r="L1168" s="16" t="str">
        <x:v>Public property-business route; investor decision maker unconfirmed</x:v>
      </x:c>
      <x:c r="M1168" s="16" t="str">
        <x:v>https://www.newpathhomebuyers.com/</x:v>
      </x:c>
      <x:c r="N1168" s="16" t="str">
        <x:v>$100K-$500K ticket not published / unconfirmed</x:v>
      </x:c>
      <x:c r="O1168" s="20"/>
      <x:c r="P1168" s="20"/>
      <x:c r="Q1168" s="25" t="str">
        <x:v>No direct corporate-capital range established in checked source</x:v>
      </x:c>
      <x:c r="R1168" s="25" t="str">
        <x:v>Property acquisition or investor activity makes this an operator-capital prospect for the signed trial. Confirm operating-company debt/equity appetite.</x:v>
      </x:c>
      <x:c r="S1168" s="25"/>
      <x:c r="T1168" s="25" t="str">
        <x:v>Ask the owner/investor whether they can allocate $100K-$500K to trial marketing and acquisitions, and confirm structure, timing and decision authority.</x:v>
      </x:c>
      <x:c r="U1168" s="25" t="str">
        <x:v>https://www.cashhomebuyersdirectory.com/cash-home-buyers/oregon/portland</x:v>
      </x:c>
      <x:c r="V1168" s="26" t="d">
        <x:v>2026-10-02T00:00:00.000Z</x:v>
      </x:c>
      <x:c r="W1168" s="26" t="d">
        <x:v>2026-10-02T00:00:00.000Z</x:v>
      </x:c>
      <x:c r="X1168" s="25" t="str">
        <x:v>CashHomeBuyersDirectory third-party business listing; first-party business activity not checked in this batch</x:v>
      </x:c>
      <x:c r="Y1168" s="25"/>
      <x:c r="Z1168" s="25" t="str">
        <x:v>https://www.cashhomebuyersdirectory.com/cash-home-buyers/oregon/portland</x:v>
      </x:c>
      <x:c r="AA1168" s="25" t="str">
        <x:v>Public cash-home-buyer directory lists the business name, business phone/website where available and market. Operator role and corporate funding willingness require confirmation.</x:v>
      </x:c>
      <x:c r="AB1168" s="3" t="str">
        <x:v>New public-source collection</x:v>
      </x:c>
      <x:c r="AC1168" s="3" t="str">
        <x:v>unverified</x:v>
      </x:c>
      <x:c r="AD1168" s="3" t="str">
        <x:v>Not contacted / unconfirmed</x:v>
      </x:c>
      <x:c r="AE1168" s="3" t="str">
        <x:v>No</x:v>
      </x:c>
      <x:c r="AF1168" s="3" t="str">
        <x:v>No</x:v>
      </x:c>
      <x:c r="AG1168" s="3"/>
      <x:c r="AH1168" s="3"/>
      <x:c r="AI1168" s="18"/>
      <x:c r="AJ1168" s="3" t="str">
        <x:v>CF2500-16C2453309CE</x:v>
      </x:c>
      <x:c r="AK1168" s="3" t="str">
        <x:v>real_estate_operator</x:v>
      </x:c>
      <x:c r="AL1168" s="19" t="n">
        <x:v>100000</x:v>
      </x:c>
      <x:c r="AM1168" s="19" t="n">
        <x:v>500000</x:v>
      </x:c>
      <x:c r="AN1168" s="3" t="str">
        <x:v>https://www.cashhomebuyersdirectory.com/cash-home-buyers/oregon/portland</x:v>
      </x:c>
      <x:c r="AO1168" s="3" t="str">
        <x:v>national_rest_directory_complete.jsonl</x:v>
      </x:c>
      <x:c r="AP1168" s="19"/>
    </x:row>
    <x:row r="1169" ht="36" customHeight="1">
      <x:c r="A1169" s="23" t="n">
        <x:v>1168</x:v>
      </x:c>
      <x:c r="B1169" s="15" t="str">
        <x:v>Nice Price Home Buyers</x:v>
      </x:c>
      <x:c r="C1169" s="15"/>
      <x:c r="D1169" s="15" t="str">
        <x:v>Property investor / home-buying operator</x:v>
      </x:c>
      <x:c r="E1169" s="15" t="str">
        <x:v>Property investor / operator inquiry</x:v>
      </x:c>
      <x:c r="F1169" s="17" t="str">
        <x:v>New</x:v>
      </x:c>
      <x:c r="G1169" s="24"/>
      <x:c r="H1169" s="24" t="str">
        <x:v>+14406888869</x:v>
      </x:c>
      <x:c r="I1169" s="24" t="str">
        <x:v>https://nicepriceproperties.com/</x:v>
      </x:c>
      <x:c r="J1169" s="16" t="str">
        <x:v>OH</x:v>
      </x:c>
      <x:c r="K1169" s="16" t="str">
        <x:v>Chesterland</x:v>
      </x:c>
      <x:c r="L1169" s="16" t="str">
        <x:v>Public property-business route; investor decision maker unconfirmed</x:v>
      </x:c>
      <x:c r="M1169" s="16" t="str">
        <x:v>https://nicepriceproperties.com/</x:v>
      </x:c>
      <x:c r="N1169" s="16" t="str">
        <x:v>$100K-$500K ticket not published / unconfirmed</x:v>
      </x:c>
      <x:c r="O1169" s="20"/>
      <x:c r="P1169" s="20"/>
      <x:c r="Q1169" s="25" t="str">
        <x:v>No direct corporate-capital range established in checked source</x:v>
      </x:c>
      <x:c r="R1169" s="25" t="str">
        <x:v>Property acquisition or investor activity makes this an operator-capital prospect for the signed trial. Confirm operating-company debt/equity appetite.</x:v>
      </x:c>
      <x:c r="S1169" s="25"/>
      <x:c r="T1169" s="25" t="str">
        <x:v>Ask the owner/investor whether they can allocate $100K-$500K to trial marketing and acquisitions, and confirm structure, timing and decision authority.</x:v>
      </x:c>
      <x:c r="U1169" s="25" t="str">
        <x:v>https://www.cashhomebuyersdirectory.com/cash-home-buyers/ohio/chesterland</x:v>
      </x:c>
      <x:c r="V1169" s="26" t="d">
        <x:v>2026-10-02T00:00:00.000Z</x:v>
      </x:c>
      <x:c r="W1169" s="26" t="d">
        <x:v>2026-10-02T00:00:00.000Z</x:v>
      </x:c>
      <x:c r="X1169" s="25" t="str">
        <x:v>CashHomeBuyersDirectory third-party business listing; first-party business activity not checked in this batch</x:v>
      </x:c>
      <x:c r="Y1169" s="25"/>
      <x:c r="Z1169" s="25" t="str">
        <x:v>https://www.cashhomebuyersdirectory.com/cash-home-buyers/ohio/chesterland</x:v>
      </x:c>
      <x:c r="AA1169" s="25" t="str">
        <x:v>Public cash-home-buyer directory lists the business name, business phone/website where available and market. Operator role and corporate funding willingness require confirmation.</x:v>
      </x:c>
      <x:c r="AB1169" s="3" t="str">
        <x:v>New public-source collection</x:v>
      </x:c>
      <x:c r="AC1169" s="3" t="str">
        <x:v>unverified</x:v>
      </x:c>
      <x:c r="AD1169" s="3" t="str">
        <x:v>Not contacted / unconfirmed</x:v>
      </x:c>
      <x:c r="AE1169" s="3" t="str">
        <x:v>No</x:v>
      </x:c>
      <x:c r="AF1169" s="3" t="str">
        <x:v>No</x:v>
      </x:c>
      <x:c r="AG1169" s="3"/>
      <x:c r="AH1169" s="3"/>
      <x:c r="AI1169" s="18"/>
      <x:c r="AJ1169" s="3" t="str">
        <x:v>CF2500-A7B74A60551A</x:v>
      </x:c>
      <x:c r="AK1169" s="3" t="str">
        <x:v>real_estate_operator</x:v>
      </x:c>
      <x:c r="AL1169" s="19" t="n">
        <x:v>100000</x:v>
      </x:c>
      <x:c r="AM1169" s="19" t="n">
        <x:v>500000</x:v>
      </x:c>
      <x:c r="AN1169" s="3" t="str">
        <x:v>https://www.cashhomebuyersdirectory.com/cash-home-buyers/ohio/chesterland</x:v>
      </x:c>
      <x:c r="AO1169" s="3" t="str">
        <x:v>national_rest_directory_complete.jsonl</x:v>
      </x:c>
      <x:c r="AP1169" s="19"/>
    </x:row>
    <x:row r="1170" ht="36" customHeight="1">
      <x:c r="A1170" s="23" t="n">
        <x:v>1169</x:v>
      </x:c>
      <x:c r="B1170" s="15" t="str">
        <x:v>Nickel City Buyers, LLC - We Buy Houses for Cash</x:v>
      </x:c>
      <x:c r="C1170" s="15"/>
      <x:c r="D1170" s="15" t="str">
        <x:v>Property investor / home-buying operator</x:v>
      </x:c>
      <x:c r="E1170" s="15" t="str">
        <x:v>Property investor / operator inquiry</x:v>
      </x:c>
      <x:c r="F1170" s="17" t="str">
        <x:v>New</x:v>
      </x:c>
      <x:c r="G1170" s="24"/>
      <x:c r="H1170" s="24" t="str">
        <x:v>+17165577005</x:v>
      </x:c>
      <x:c r="I1170" s="24" t="str">
        <x:v>http://www.nickelcitybuyers.com/</x:v>
      </x:c>
      <x:c r="J1170" s="16" t="str">
        <x:v>NY</x:v>
      </x:c>
      <x:c r="K1170" s="16" t="str">
        <x:v>Buffalo</x:v>
      </x:c>
      <x:c r="L1170" s="16" t="str">
        <x:v>Public property-business route; investor decision maker unconfirmed</x:v>
      </x:c>
      <x:c r="M1170" s="16" t="str">
        <x:v>http://www.nickelcitybuyers.com/</x:v>
      </x:c>
      <x:c r="N1170" s="16" t="str">
        <x:v>$100K-$500K ticket not published / unconfirmed</x:v>
      </x:c>
      <x:c r="O1170" s="20"/>
      <x:c r="P1170" s="20"/>
      <x:c r="Q1170" s="25" t="str">
        <x:v>No direct corporate-capital range established in checked source</x:v>
      </x:c>
      <x:c r="R1170" s="25" t="str">
        <x:v>Property acquisition or investor activity makes this an operator-capital prospect for the signed trial. Confirm operating-company debt/equity appetite.</x:v>
      </x:c>
      <x:c r="S1170" s="25"/>
      <x:c r="T1170" s="25" t="str">
        <x:v>Ask the owner/investor whether they can allocate $100K-$500K to trial marketing and acquisitions, and confirm structure, timing and decision authority.</x:v>
      </x:c>
      <x:c r="U1170" s="25" t="str">
        <x:v>https://www.cashhomebuyersdirectory.com/cash-home-buyers/new-york/buffalo</x:v>
      </x:c>
      <x:c r="V1170" s="26" t="d">
        <x:v>2026-10-02T00:00:00.000Z</x:v>
      </x:c>
      <x:c r="W1170" s="26" t="d">
        <x:v>2026-10-02T00:00:00.000Z</x:v>
      </x:c>
      <x:c r="X1170" s="25" t="str">
        <x:v>CashHomeBuyersDirectory third-party business listing; first-party business activity not checked in this batch</x:v>
      </x:c>
      <x:c r="Y1170" s="25"/>
      <x:c r="Z1170" s="25" t="str">
        <x:v>https://www.cashhomebuyersdirectory.com/cash-home-buyers/new-york/buffalo</x:v>
      </x:c>
      <x:c r="AA1170" s="25" t="str">
        <x:v>Public cash-home-buyer directory lists the business name, business phone/website where available and market. Operator role and corporate funding willingness require confirmation.</x:v>
      </x:c>
      <x:c r="AB1170" s="3" t="str">
        <x:v>New public-source collection</x:v>
      </x:c>
      <x:c r="AC1170" s="3" t="str">
        <x:v>unverified</x:v>
      </x:c>
      <x:c r="AD1170" s="3" t="str">
        <x:v>Not contacted / unconfirmed</x:v>
      </x:c>
      <x:c r="AE1170" s="3" t="str">
        <x:v>No</x:v>
      </x:c>
      <x:c r="AF1170" s="3" t="str">
        <x:v>No</x:v>
      </x:c>
      <x:c r="AG1170" s="3"/>
      <x:c r="AH1170" s="3"/>
      <x:c r="AI1170" s="18"/>
      <x:c r="AJ1170" s="3" t="str">
        <x:v>CF2500-DF8B128AFD9B</x:v>
      </x:c>
      <x:c r="AK1170" s="3" t="str">
        <x:v>real_estate_operator</x:v>
      </x:c>
      <x:c r="AL1170" s="19" t="n">
        <x:v>100000</x:v>
      </x:c>
      <x:c r="AM1170" s="19" t="n">
        <x:v>500000</x:v>
      </x:c>
      <x:c r="AN1170" s="3" t="str">
        <x:v>https://www.cashhomebuyersdirectory.com/cash-home-buyers/new-york/buffalo</x:v>
      </x:c>
      <x:c r="AO1170" s="3" t="str">
        <x:v>national_rest_directory_complete.jsonl</x:v>
      </x:c>
      <x:c r="AP1170" s="19"/>
    </x:row>
    <x:row r="1171" ht="36" customHeight="1">
      <x:c r="A1171" s="23" t="n">
        <x:v>1170</x:v>
      </x:c>
      <x:c r="B1171" s="15" t="str">
        <x:v>NJ Direct Property Buyers</x:v>
      </x:c>
      <x:c r="C1171" s="15"/>
      <x:c r="D1171" s="15" t="str">
        <x:v>Property investor / home-buying operator</x:v>
      </x:c>
      <x:c r="E1171" s="15" t="str">
        <x:v>Property investor / operator inquiry</x:v>
      </x:c>
      <x:c r="F1171" s="17" t="str">
        <x:v>New</x:v>
      </x:c>
      <x:c r="G1171" s="24"/>
      <x:c r="H1171" s="24" t="str">
        <x:v>+12016300008</x:v>
      </x:c>
      <x:c r="I1171" s="24" t="str">
        <x:v>https://www.njdirectpropertybuyers.com/</x:v>
      </x:c>
      <x:c r="J1171" s="16" t="str">
        <x:v>NJ</x:v>
      </x:c>
      <x:c r="K1171" s="16" t="str">
        <x:v>Trenton</x:v>
      </x:c>
      <x:c r="L1171" s="16" t="str">
        <x:v>Public property-business route; investor decision maker unconfirmed</x:v>
      </x:c>
      <x:c r="M1171" s="16" t="str">
        <x:v>https://www.njdirectpropertybuyers.com/</x:v>
      </x:c>
      <x:c r="N1171" s="16" t="str">
        <x:v>$100K-$500K ticket not published / unconfirmed</x:v>
      </x:c>
      <x:c r="O1171" s="20"/>
      <x:c r="P1171" s="20"/>
      <x:c r="Q1171" s="25" t="str">
        <x:v>No direct corporate-capital range established in checked source</x:v>
      </x:c>
      <x:c r="R1171" s="25" t="str">
        <x:v>Property acquisition or investor activity makes this an operator-capital prospect for the signed trial. Confirm operating-company debt/equity appetite.</x:v>
      </x:c>
      <x:c r="S1171" s="25"/>
      <x:c r="T1171" s="25" t="str">
        <x:v>Ask the owner/investor whether they can allocate $100K-$500K to trial marketing and acquisitions, and confirm structure, timing and decision authority.</x:v>
      </x:c>
      <x:c r="U1171" s="25" t="str">
        <x:v>https://www.cashhomebuyersdirectory.com/cash-home-buyers/new-jersey/trenton</x:v>
      </x:c>
      <x:c r="V1171" s="26" t="d">
        <x:v>2026-10-02T00:00:00.000Z</x:v>
      </x:c>
      <x:c r="W1171" s="26" t="d">
        <x:v>2026-10-02T00:00:00.000Z</x:v>
      </x:c>
      <x:c r="X1171" s="25" t="str">
        <x:v>CashHomeBuyersDirectory third-party business listing; first-party business activity not checked in this batch</x:v>
      </x:c>
      <x:c r="Y1171" s="25"/>
      <x:c r="Z1171" s="25" t="str">
        <x:v>https://www.cashhomebuyersdirectory.com/cash-home-buyers/new-jersey/trenton</x:v>
      </x:c>
      <x:c r="AA1171" s="25" t="str">
        <x:v>Public cash-home-buyer directory lists the business name, business phone/website where available and market. Operator role and corporate funding willingness require confirmation.</x:v>
      </x:c>
      <x:c r="AB1171" s="3" t="str">
        <x:v>New public-source collection</x:v>
      </x:c>
      <x:c r="AC1171" s="3" t="str">
        <x:v>unverified</x:v>
      </x:c>
      <x:c r="AD1171" s="3" t="str">
        <x:v>Not contacted / unconfirmed</x:v>
      </x:c>
      <x:c r="AE1171" s="3" t="str">
        <x:v>No</x:v>
      </x:c>
      <x:c r="AF1171" s="3" t="str">
        <x:v>No</x:v>
      </x:c>
      <x:c r="AG1171" s="3"/>
      <x:c r="AH1171" s="3"/>
      <x:c r="AI1171" s="18"/>
      <x:c r="AJ1171" s="3" t="str">
        <x:v>CF2500-966722392EF9</x:v>
      </x:c>
      <x:c r="AK1171" s="3" t="str">
        <x:v>real_estate_operator</x:v>
      </x:c>
      <x:c r="AL1171" s="19" t="n">
        <x:v>100000</x:v>
      </x:c>
      <x:c r="AM1171" s="19" t="n">
        <x:v>500000</x:v>
      </x:c>
      <x:c r="AN1171" s="3" t="str">
        <x:v>https://www.cashhomebuyersdirectory.com/cash-home-buyers/new-jersey/trenton</x:v>
      </x:c>
      <x:c r="AO1171" s="3" t="str">
        <x:v>national_rest_directory_complete.jsonl</x:v>
      </x:c>
      <x:c r="AP1171" s="19"/>
    </x:row>
    <x:row r="1172" ht="36" customHeight="1">
      <x:c r="A1172" s="23" t="n">
        <x:v>1171</x:v>
      </x:c>
      <x:c r="B1172" s="15" t="str">
        <x:v>NJiBuyers | Sell My House Fast - We Buy Houses For Cash NJ</x:v>
      </x:c>
      <x:c r="C1172" s="15"/>
      <x:c r="D1172" s="15" t="str">
        <x:v>Property investor / home-buying operator</x:v>
      </x:c>
      <x:c r="E1172" s="15" t="str">
        <x:v>Property investor / operator inquiry</x:v>
      </x:c>
      <x:c r="F1172" s="17" t="str">
        <x:v>New</x:v>
      </x:c>
      <x:c r="G1172" s="24"/>
      <x:c r="H1172" s="24" t="str">
        <x:v>+12015002817</x:v>
      </x:c>
      <x:c r="I1172" s="24" t="str">
        <x:v>https://njibuyers.com/?utm_source=GBP&amp;utm_medium=organic&amp;utm_campaign=SEO</x:v>
      </x:c>
      <x:c r="J1172" s="16" t="str">
        <x:v>NJ</x:v>
      </x:c>
      <x:c r="K1172" s="16" t="str">
        <x:v>Trenton</x:v>
      </x:c>
      <x:c r="L1172" s="16" t="str">
        <x:v>Public property-business route; investor decision maker unconfirmed</x:v>
      </x:c>
      <x:c r="M1172" s="16" t="str">
        <x:v>https://njibuyers.com/?utm_source=GBP&amp;utm_medium=organic&amp;utm_campaign=SEO</x:v>
      </x:c>
      <x:c r="N1172" s="16" t="str">
        <x:v>$100K-$500K ticket not published / unconfirmed</x:v>
      </x:c>
      <x:c r="O1172" s="20"/>
      <x:c r="P1172" s="20"/>
      <x:c r="Q1172" s="25" t="str">
        <x:v>No direct corporate-capital range established in checked source</x:v>
      </x:c>
      <x:c r="R1172" s="25" t="str">
        <x:v>Property acquisition or investor activity makes this an operator-capital prospect for the signed trial. Confirm operating-company debt/equity appetite.</x:v>
      </x:c>
      <x:c r="S1172" s="25"/>
      <x:c r="T1172" s="25" t="str">
        <x:v>Ask the owner/investor whether they can allocate $100K-$500K to trial marketing and acquisitions, and confirm structure, timing and decision authority.</x:v>
      </x:c>
      <x:c r="U1172" s="25" t="str">
        <x:v>https://www.cashhomebuyersdirectory.com/cash-home-buyers/new-jersey/trenton</x:v>
      </x:c>
      <x:c r="V1172" s="26" t="d">
        <x:v>2026-10-02T00:00:00.000Z</x:v>
      </x:c>
      <x:c r="W1172" s="26" t="d">
        <x:v>2026-10-02T00:00:00.000Z</x:v>
      </x:c>
      <x:c r="X1172" s="25" t="str">
        <x:v>CashHomeBuyersDirectory third-party business listing; first-party business activity not checked in this batch</x:v>
      </x:c>
      <x:c r="Y1172" s="25"/>
      <x:c r="Z1172" s="25" t="str">
        <x:v>https://www.cashhomebuyersdirectory.com/cash-home-buyers/new-jersey/trenton</x:v>
      </x:c>
      <x:c r="AA1172" s="25" t="str">
        <x:v>Public cash-home-buyer directory lists the business name, business phone/website where available and market. Operator role and corporate funding willingness require confirmation.</x:v>
      </x:c>
      <x:c r="AB1172" s="3" t="str">
        <x:v>New public-source collection</x:v>
      </x:c>
      <x:c r="AC1172" s="3" t="str">
        <x:v>unverified</x:v>
      </x:c>
      <x:c r="AD1172" s="3" t="str">
        <x:v>Not contacted / unconfirmed</x:v>
      </x:c>
      <x:c r="AE1172" s="3" t="str">
        <x:v>No</x:v>
      </x:c>
      <x:c r="AF1172" s="3" t="str">
        <x:v>No</x:v>
      </x:c>
      <x:c r="AG1172" s="3"/>
      <x:c r="AH1172" s="3"/>
      <x:c r="AI1172" s="18"/>
      <x:c r="AJ1172" s="3" t="str">
        <x:v>CF2500-755591DC96B6</x:v>
      </x:c>
      <x:c r="AK1172" s="3" t="str">
        <x:v>real_estate_operator</x:v>
      </x:c>
      <x:c r="AL1172" s="19" t="n">
        <x:v>100000</x:v>
      </x:c>
      <x:c r="AM1172" s="19" t="n">
        <x:v>500000</x:v>
      </x:c>
      <x:c r="AN1172" s="3" t="str">
        <x:v>https://www.cashhomebuyersdirectory.com/cash-home-buyers/new-jersey/trenton</x:v>
      </x:c>
      <x:c r="AO1172" s="3" t="str">
        <x:v>national_rest_directory_complete.jsonl</x:v>
      </x:c>
      <x:c r="AP1172" s="19"/>
    </x:row>
    <x:row r="1173" ht="36" customHeight="1">
      <x:c r="A1173" s="23" t="n">
        <x:v>1172</x:v>
      </x:c>
      <x:c r="B1173" s="15" t="str">
        <x:v>NM Cash Offer LLC</x:v>
      </x:c>
      <x:c r="C1173" s="15"/>
      <x:c r="D1173" s="15" t="str">
        <x:v>Property investor / home-buying operator</x:v>
      </x:c>
      <x:c r="E1173" s="15" t="str">
        <x:v>Property investor / operator inquiry</x:v>
      </x:c>
      <x:c r="F1173" s="17" t="str">
        <x:v>New</x:v>
      </x:c>
      <x:c r="G1173" s="24"/>
      <x:c r="H1173" s="24" t="str">
        <x:v>+15053002560</x:v>
      </x:c>
      <x:c r="I1173" s="24" t="str">
        <x:v>https://nmcashofferllc.com/</x:v>
      </x:c>
      <x:c r="J1173" s="16" t="str">
        <x:v>NM</x:v>
      </x:c>
      <x:c r="K1173" s="16"/>
      <x:c r="L1173" s="16" t="str">
        <x:v>Public property-business route; investor decision maker unconfirmed</x:v>
      </x:c>
      <x:c r="M1173" s="16" t="str">
        <x:v>https://nmcashofferllc.com/</x:v>
      </x:c>
      <x:c r="N1173" s="16" t="str">
        <x:v>$100K-$500K ticket not published / unconfirmed</x:v>
      </x:c>
      <x:c r="O1173" s="20"/>
      <x:c r="P1173" s="20"/>
      <x:c r="Q1173" s="25" t="str">
        <x:v>No direct corporate-capital range established in checked source</x:v>
      </x:c>
      <x:c r="R1173" s="25" t="str">
        <x:v>Property acquisition or investor activity makes this an operator-capital prospect for the signed trial. Confirm operating-company debt/equity appetite.</x:v>
      </x:c>
      <x:c r="S1173" s="25"/>
      <x:c r="T1173" s="25" t="str">
        <x:v>Ask the owner/investor whether they can allocate $100K-$500K to trial marketing and acquisitions, and confirm structure, timing and decision authority.</x:v>
      </x:c>
      <x:c r="U1173" s="25" t="str">
        <x:v>https://www.cashhomebuyersdirectory.com/cash-home-buyers/new-mexico/albuquerque</x:v>
      </x:c>
      <x:c r="V1173" s="26" t="d">
        <x:v>2026-10-02T00:00:00.000Z</x:v>
      </x:c>
      <x:c r="W1173" s="26" t="d">
        <x:v>2026-10-02T00:00:00.000Z</x:v>
      </x:c>
      <x:c r="X1173" s="25" t="str">
        <x:v>CashHomeBuyersDirectory third-party business listing; first-party business activity not checked in this batch</x:v>
      </x:c>
      <x:c r="Y1173" s="25"/>
      <x:c r="Z1173" s="25" t="str">
        <x:v>https://www.cashhomebuyersdirectory.com/cash-home-buyers/new-mexico/albuquerque</x:v>
      </x:c>
      <x:c r="AA1173" s="25" t="str">
        <x:v>Public cash-home-buyer directory lists the business name, business phone/website where available and market. Operator role and corporate funding willingness require confirmation.</x:v>
      </x:c>
      <x:c r="AB1173" s="3" t="str">
        <x:v>New public-source collection</x:v>
      </x:c>
      <x:c r="AC1173" s="3" t="str">
        <x:v>unverified</x:v>
      </x:c>
      <x:c r="AD1173" s="3" t="str">
        <x:v>Not contacted / unconfirmed</x:v>
      </x:c>
      <x:c r="AE1173" s="3" t="str">
        <x:v>No</x:v>
      </x:c>
      <x:c r="AF1173" s="3" t="str">
        <x:v>No</x:v>
      </x:c>
      <x:c r="AG1173" s="3"/>
      <x:c r="AH1173" s="3"/>
      <x:c r="AI1173" s="18"/>
      <x:c r="AJ1173" s="3" t="str">
        <x:v>CF2500-23BBB8AC6CA0</x:v>
      </x:c>
      <x:c r="AK1173" s="3" t="str">
        <x:v>real_estate_operator</x:v>
      </x:c>
      <x:c r="AL1173" s="19" t="n">
        <x:v>100000</x:v>
      </x:c>
      <x:c r="AM1173" s="19" t="n">
        <x:v>500000</x:v>
      </x:c>
      <x:c r="AN1173" s="3" t="str">
        <x:v>https://www.cashhomebuyersdirectory.com/cash-home-buyers/new-mexico/albuquerque</x:v>
      </x:c>
      <x:c r="AO1173" s="3" t="str">
        <x:v>national_rest_directory_complete.jsonl</x:v>
      </x:c>
      <x:c r="AP1173" s="19"/>
    </x:row>
    <x:row r="1174" ht="36" customHeight="1">
      <x:c r="A1174" s="23" t="n">
        <x:v>1173</x:v>
      </x:c>
      <x:c r="B1174" s="15" t="str">
        <x:v>NM Home Buyers</x:v>
      </x:c>
      <x:c r="C1174" s="15"/>
      <x:c r="D1174" s="15" t="str">
        <x:v>Property investor / home-buying operator</x:v>
      </x:c>
      <x:c r="E1174" s="15" t="str">
        <x:v>Property investor / operator inquiry</x:v>
      </x:c>
      <x:c r="F1174" s="17" t="str">
        <x:v>New</x:v>
      </x:c>
      <x:c r="G1174" s="24"/>
      <x:c r="H1174" s="24" t="str">
        <x:v>+15054055556</x:v>
      </x:c>
      <x:c r="I1174" s="24" t="str">
        <x:v>https://www.nmhomebuyers.com/</x:v>
      </x:c>
      <x:c r="J1174" s="16" t="str">
        <x:v>NM</x:v>
      </x:c>
      <x:c r="K1174" s="16"/>
      <x:c r="L1174" s="16" t="str">
        <x:v>Public property-business route; investor decision maker unconfirmed</x:v>
      </x:c>
      <x:c r="M1174" s="16" t="str">
        <x:v>https://www.nmhomebuyers.com/</x:v>
      </x:c>
      <x:c r="N1174" s="16" t="str">
        <x:v>$100K-$500K ticket not published / unconfirmed</x:v>
      </x:c>
      <x:c r="O1174" s="20"/>
      <x:c r="P1174" s="20"/>
      <x:c r="Q1174" s="25" t="str">
        <x:v>No direct corporate-capital range established in checked source</x:v>
      </x:c>
      <x:c r="R1174" s="25" t="str">
        <x:v>Property acquisition or investor activity makes this an operator-capital prospect for the signed trial. Confirm operating-company debt/equity appetite.</x:v>
      </x:c>
      <x:c r="S1174" s="25"/>
      <x:c r="T1174" s="25" t="str">
        <x:v>Ask the owner/investor whether they can allocate $100K-$500K to trial marketing and acquisitions, and confirm structure, timing and decision authority.</x:v>
      </x:c>
      <x:c r="U1174" s="25" t="str">
        <x:v>https://www.cashhomebuyersdirectory.com/cash-home-buyers/new-mexico/albuquerque</x:v>
      </x:c>
      <x:c r="V1174" s="26" t="d">
        <x:v>2026-10-02T00:00:00.000Z</x:v>
      </x:c>
      <x:c r="W1174" s="26" t="d">
        <x:v>2026-10-02T00:00:00.000Z</x:v>
      </x:c>
      <x:c r="X1174" s="25" t="str">
        <x:v>CashHomeBuyersDirectory third-party business listing; first-party business activity not checked in this batch</x:v>
      </x:c>
      <x:c r="Y1174" s="25"/>
      <x:c r="Z1174" s="25" t="str">
        <x:v>https://www.cashhomebuyersdirectory.com/cash-home-buyers/new-mexico/albuquerque</x:v>
      </x:c>
      <x:c r="AA1174" s="25" t="str">
        <x:v>Public cash-home-buyer directory lists the business name, business phone/website where available and market. Operator role and corporate funding willingness require confirmation.</x:v>
      </x:c>
      <x:c r="AB1174" s="3" t="str">
        <x:v>New public-source collection</x:v>
      </x:c>
      <x:c r="AC1174" s="3" t="str">
        <x:v>unverified</x:v>
      </x:c>
      <x:c r="AD1174" s="3" t="str">
        <x:v>Not contacted / unconfirmed</x:v>
      </x:c>
      <x:c r="AE1174" s="3" t="str">
        <x:v>No</x:v>
      </x:c>
      <x:c r="AF1174" s="3" t="str">
        <x:v>No</x:v>
      </x:c>
      <x:c r="AG1174" s="3"/>
      <x:c r="AH1174" s="3"/>
      <x:c r="AI1174" s="18"/>
      <x:c r="AJ1174" s="3" t="str">
        <x:v>CF2500-45C9DB024D89</x:v>
      </x:c>
      <x:c r="AK1174" s="3" t="str">
        <x:v>real_estate_operator</x:v>
      </x:c>
      <x:c r="AL1174" s="19" t="n">
        <x:v>100000</x:v>
      </x:c>
      <x:c r="AM1174" s="19" t="n">
        <x:v>500000</x:v>
      </x:c>
      <x:c r="AN1174" s="3" t="str">
        <x:v>https://www.cashhomebuyersdirectory.com/cash-home-buyers/new-mexico/albuquerque</x:v>
      </x:c>
      <x:c r="AO1174" s="3" t="str">
        <x:v>national_rest_directory_complete.jsonl</x:v>
      </x:c>
      <x:c r="AP1174" s="19"/>
    </x:row>
    <x:row r="1175" ht="36" customHeight="1">
      <x:c r="A1175" s="23" t="n">
        <x:v>1174</x:v>
      </x:c>
      <x:c r="B1175" s="15" t="str">
        <x:v>Noble Home Buyer 2</x:v>
      </x:c>
      <x:c r="C1175" s="15"/>
      <x:c r="D1175" s="15" t="str">
        <x:v>Property investor / home-buying operator</x:v>
      </x:c>
      <x:c r="E1175" s="15" t="str">
        <x:v>Property investor / operator inquiry</x:v>
      </x:c>
      <x:c r="F1175" s="17" t="str">
        <x:v>New</x:v>
      </x:c>
      <x:c r="G1175" s="24"/>
      <x:c r="H1175" s="24" t="str">
        <x:v>+14632932239</x:v>
      </x:c>
      <x:c r="I1175" s="24" t="str">
        <x:v>https://noblecashhomebuyers.com/</x:v>
      </x:c>
      <x:c r="J1175" s="16" t="str">
        <x:v>HI</x:v>
      </x:c>
      <x:c r="K1175" s="16"/>
      <x:c r="L1175" s="16" t="str">
        <x:v>Public property-business route; investor decision maker unconfirmed</x:v>
      </x:c>
      <x:c r="M1175" s="16" t="str">
        <x:v>https://noblecashhomebuyers.com/</x:v>
      </x:c>
      <x:c r="N1175" s="16" t="str">
        <x:v>$100K-$500K ticket not published / unconfirmed</x:v>
      </x:c>
      <x:c r="O1175" s="20"/>
      <x:c r="P1175" s="20"/>
      <x:c r="Q1175" s="25" t="str">
        <x:v>No direct corporate-capital range established in checked source</x:v>
      </x:c>
      <x:c r="R1175" s="25" t="str">
        <x:v>Property acquisition or investor activity makes this an operator-capital prospect for the signed trial. Confirm operating-company debt/equity appetite.</x:v>
      </x:c>
      <x:c r="S1175" s="25"/>
      <x:c r="T1175" s="25" t="str">
        <x:v>Ask the owner/investor whether they can allocate $100K-$500K to trial marketing and acquisitions, and confirm structure, timing and decision authority.</x:v>
      </x:c>
      <x:c r="U1175" s="25" t="str">
        <x:v>https://www.cashhomebuyersdirectory.com/cash-home-buyers/hawaii/honolulu</x:v>
      </x:c>
      <x:c r="V1175" s="26" t="d">
        <x:v>2026-10-02T00:00:00.000Z</x:v>
      </x:c>
      <x:c r="W1175" s="26" t="d">
        <x:v>2026-10-02T00:00:00.000Z</x:v>
      </x:c>
      <x:c r="X1175" s="25" t="str">
        <x:v>CashHomeBuyersDirectory third-party business listing; first-party business activity not checked in this batch</x:v>
      </x:c>
      <x:c r="Y1175" s="25"/>
      <x:c r="Z1175" s="25" t="str">
        <x:v>https://www.cashhomebuyersdirectory.com/cash-home-buyers/hawaii/honolulu</x:v>
      </x:c>
      <x:c r="AA1175" s="25" t="str">
        <x:v>Public cash-home-buyer directory lists the business name, business phone/website where available and market. Operator role and corporate funding willingness require confirmation.</x:v>
      </x:c>
      <x:c r="AB1175" s="3" t="str">
        <x:v>New public-source collection</x:v>
      </x:c>
      <x:c r="AC1175" s="3" t="str">
        <x:v>unverified</x:v>
      </x:c>
      <x:c r="AD1175" s="3" t="str">
        <x:v>Not contacted / unconfirmed</x:v>
      </x:c>
      <x:c r="AE1175" s="3" t="str">
        <x:v>No</x:v>
      </x:c>
      <x:c r="AF1175" s="3" t="str">
        <x:v>No</x:v>
      </x:c>
      <x:c r="AG1175" s="3"/>
      <x:c r="AH1175" s="3"/>
      <x:c r="AI1175" s="18"/>
      <x:c r="AJ1175" s="3" t="str">
        <x:v>CF2500-146DA9F97045</x:v>
      </x:c>
      <x:c r="AK1175" s="3" t="str">
        <x:v>real_estate_operator</x:v>
      </x:c>
      <x:c r="AL1175" s="19" t="n">
        <x:v>100000</x:v>
      </x:c>
      <x:c r="AM1175" s="19" t="n">
        <x:v>500000</x:v>
      </x:c>
      <x:c r="AN1175" s="3" t="str">
        <x:v>https://www.cashhomebuyersdirectory.com/cash-home-buyers/hawaii/honolulu</x:v>
      </x:c>
      <x:c r="AO1175" s="3" t="str">
        <x:v>national_rest_directory_complete.jsonl</x:v>
      </x:c>
      <x:c r="AP1175" s="19"/>
    </x:row>
    <x:row r="1176" ht="36" customHeight="1">
      <x:c r="A1176" s="23" t="n">
        <x:v>1175</x:v>
      </x:c>
      <x:c r="B1176" s="15" t="str">
        <x:v>NOLA Direct Home Buyer</x:v>
      </x:c>
      <x:c r="C1176" s="15"/>
      <x:c r="D1176" s="15" t="str">
        <x:v>Property investor / home-buying operator</x:v>
      </x:c>
      <x:c r="E1176" s="15" t="str">
        <x:v>Property investor / operator inquiry</x:v>
      </x:c>
      <x:c r="F1176" s="17" t="str">
        <x:v>New</x:v>
      </x:c>
      <x:c r="G1176" s="24"/>
      <x:c r="H1176" s="24" t="str">
        <x:v>+19859994244</x:v>
      </x:c>
      <x:c r="I1176" s="24" t="str">
        <x:v>http://www.noladirecthomebuyer.com/</x:v>
      </x:c>
      <x:c r="J1176" s="16" t="str">
        <x:v>LA</x:v>
      </x:c>
      <x:c r="K1176" s="16" t="str">
        <x:v>New Orleans</x:v>
      </x:c>
      <x:c r="L1176" s="16" t="str">
        <x:v>Public property-business route; investor decision maker unconfirmed</x:v>
      </x:c>
      <x:c r="M1176" s="16" t="str">
        <x:v>http://www.noladirecthomebuyer.com/</x:v>
      </x:c>
      <x:c r="N1176" s="16" t="str">
        <x:v>$100K-$500K ticket not published / unconfirmed</x:v>
      </x:c>
      <x:c r="O1176" s="20"/>
      <x:c r="P1176" s="20"/>
      <x:c r="Q1176" s="25" t="str">
        <x:v>No direct corporate-capital range established in checked source</x:v>
      </x:c>
      <x:c r="R1176" s="25" t="str">
        <x:v>Property acquisition or investor activity makes this an operator-capital prospect for the signed trial. Confirm operating-company debt/equity appetite.</x:v>
      </x:c>
      <x:c r="S1176" s="25"/>
      <x:c r="T1176" s="25" t="str">
        <x:v>Ask the owner/investor whether they can allocate $100K-$500K to trial marketing and acquisitions, and confirm structure, timing and decision authority.</x:v>
      </x:c>
      <x:c r="U1176" s="25" t="str">
        <x:v>https://www.cashhomebuyersdirectory.com/cash-home-buyers/louisiana/new-orleans</x:v>
      </x:c>
      <x:c r="V1176" s="26" t="d">
        <x:v>2026-10-02T00:00:00.000Z</x:v>
      </x:c>
      <x:c r="W1176" s="26" t="d">
        <x:v>2026-10-02T00:00:00.000Z</x:v>
      </x:c>
      <x:c r="X1176" s="25" t="str">
        <x:v>CashHomeBuyersDirectory third-party business listing; first-party business activity not checked in this batch</x:v>
      </x:c>
      <x:c r="Y1176" s="25"/>
      <x:c r="Z1176" s="25" t="str">
        <x:v>https://www.cashhomebuyersdirectory.com/cash-home-buyers/louisiana/new-orleans</x:v>
      </x:c>
      <x:c r="AA1176" s="25" t="str">
        <x:v>Public cash-home-buyer directory lists the business name, business phone/website where available and market. Operator role and corporate funding willingness require confirmation.</x:v>
      </x:c>
      <x:c r="AB1176" s="3" t="str">
        <x:v>New public-source collection</x:v>
      </x:c>
      <x:c r="AC1176" s="3" t="str">
        <x:v>unverified</x:v>
      </x:c>
      <x:c r="AD1176" s="3" t="str">
        <x:v>Not contacted / unconfirmed</x:v>
      </x:c>
      <x:c r="AE1176" s="3" t="str">
        <x:v>No</x:v>
      </x:c>
      <x:c r="AF1176" s="3" t="str">
        <x:v>No</x:v>
      </x:c>
      <x:c r="AG1176" s="3"/>
      <x:c r="AH1176" s="3"/>
      <x:c r="AI1176" s="18"/>
      <x:c r="AJ1176" s="3" t="str">
        <x:v>CF2500-FCBA65731ECE</x:v>
      </x:c>
      <x:c r="AK1176" s="3" t="str">
        <x:v>real_estate_operator</x:v>
      </x:c>
      <x:c r="AL1176" s="19" t="n">
        <x:v>100000</x:v>
      </x:c>
      <x:c r="AM1176" s="19" t="n">
        <x:v>500000</x:v>
      </x:c>
      <x:c r="AN1176" s="3" t="str">
        <x:v>https://www.cashhomebuyersdirectory.com/cash-home-buyers/louisiana/new-orleans</x:v>
      </x:c>
      <x:c r="AO1176" s="3" t="str">
        <x:v>national_rest_directory_complete.jsonl</x:v>
      </x:c>
      <x:c r="AP1176" s="19"/>
    </x:row>
    <x:row r="1177" ht="36" customHeight="1">
      <x:c r="A1177" s="23" t="n">
        <x:v>1176</x:v>
      </x:c>
      <x:c r="B1177" s="15" t="str">
        <x:v>North Bound Home Buyers</x:v>
      </x:c>
      <x:c r="C1177" s="15"/>
      <x:c r="D1177" s="15" t="str">
        <x:v>Property investor / home-buying operator</x:v>
      </x:c>
      <x:c r="E1177" s="15" t="str">
        <x:v>Property investor / operator inquiry</x:v>
      </x:c>
      <x:c r="F1177" s="17" t="str">
        <x:v>New</x:v>
      </x:c>
      <x:c r="G1177" s="24"/>
      <x:c r="H1177" s="24" t="str">
        <x:v>+18562264289</x:v>
      </x:c>
      <x:c r="I1177" s="24" t="str">
        <x:v>https://northboundhomebuyers.com/</x:v>
      </x:c>
      <x:c r="J1177" s="16" t="str">
        <x:v>DE</x:v>
      </x:c>
      <x:c r="K1177" s="16" t="str">
        <x:v>Wilmington</x:v>
      </x:c>
      <x:c r="L1177" s="16" t="str">
        <x:v>Public property-business route; investor decision maker unconfirmed</x:v>
      </x:c>
      <x:c r="M1177" s="16" t="str">
        <x:v>https://northboundhomebuyers.com/</x:v>
      </x:c>
      <x:c r="N1177" s="16" t="str">
        <x:v>$100K-$500K ticket not published / unconfirmed</x:v>
      </x:c>
      <x:c r="O1177" s="20"/>
      <x:c r="P1177" s="20"/>
      <x:c r="Q1177" s="25" t="str">
        <x:v>No direct corporate-capital range established in checked source</x:v>
      </x:c>
      <x:c r="R1177" s="25" t="str">
        <x:v>Property acquisition or investor activity makes this an operator-capital prospect for the signed trial. Confirm operating-company debt/equity appetite.</x:v>
      </x:c>
      <x:c r="S1177" s="25"/>
      <x:c r="T1177" s="25" t="str">
        <x:v>Ask the owner/investor whether they can allocate $100K-$500K to trial marketing and acquisitions, and confirm structure, timing and decision authority.</x:v>
      </x:c>
      <x:c r="U1177" s="25" t="str">
        <x:v>https://www.cashhomebuyersdirectory.com/cash-home-buyers/delaware/wilmington</x:v>
      </x:c>
      <x:c r="V1177" s="26" t="d">
        <x:v>2026-10-02T00:00:00.000Z</x:v>
      </x:c>
      <x:c r="W1177" s="26" t="d">
        <x:v>2026-10-02T00:00:00.000Z</x:v>
      </x:c>
      <x:c r="X1177" s="25" t="str">
        <x:v>CashHomeBuyersDirectory third-party business listing; first-party business activity not checked in this batch</x:v>
      </x:c>
      <x:c r="Y1177" s="25"/>
      <x:c r="Z1177" s="25" t="str">
        <x:v>https://www.cashhomebuyersdirectory.com/cash-home-buyers/delaware/wilmington</x:v>
      </x:c>
      <x:c r="AA1177" s="25" t="str">
        <x:v>Public cash-home-buyer directory lists the business name, business phone/website where available and market. Operator role and corporate funding willingness require confirmation.</x:v>
      </x:c>
      <x:c r="AB1177" s="3" t="str">
        <x:v>New public-source collection</x:v>
      </x:c>
      <x:c r="AC1177" s="3" t="str">
        <x:v>unverified</x:v>
      </x:c>
      <x:c r="AD1177" s="3" t="str">
        <x:v>Not contacted / unconfirmed</x:v>
      </x:c>
      <x:c r="AE1177" s="3" t="str">
        <x:v>No</x:v>
      </x:c>
      <x:c r="AF1177" s="3" t="str">
        <x:v>No</x:v>
      </x:c>
      <x:c r="AG1177" s="3"/>
      <x:c r="AH1177" s="3"/>
      <x:c r="AI1177" s="18"/>
      <x:c r="AJ1177" s="3" t="str">
        <x:v>CF2500-6D769E99CA09</x:v>
      </x:c>
      <x:c r="AK1177" s="3" t="str">
        <x:v>real_estate_operator</x:v>
      </x:c>
      <x:c r="AL1177" s="19" t="n">
        <x:v>100000</x:v>
      </x:c>
      <x:c r="AM1177" s="19" t="n">
        <x:v>500000</x:v>
      </x:c>
      <x:c r="AN1177" s="3" t="str">
        <x:v>https://www.cashhomebuyersdirectory.com/cash-home-buyers/delaware/wilmington</x:v>
      </x:c>
      <x:c r="AO1177" s="3" t="str">
        <x:v>national_rest_directory_complete.jsonl</x:v>
      </x:c>
      <x:c r="AP1177" s="19"/>
    </x:row>
    <x:row r="1178" ht="36" customHeight="1">
      <x:c r="A1178" s="23" t="n">
        <x:v>1177</x:v>
      </x:c>
      <x:c r="B1178" s="15" t="str">
        <x:v>North Valley Home Buyers</x:v>
      </x:c>
      <x:c r="C1178" s="15"/>
      <x:c r="D1178" s="15" t="str">
        <x:v>Property investor / home-buying operator</x:v>
      </x:c>
      <x:c r="E1178" s="15" t="str">
        <x:v>Property investor / operator inquiry</x:v>
      </x:c>
      <x:c r="F1178" s="17" t="str">
        <x:v>New</x:v>
      </x:c>
      <x:c r="G1178" s="24"/>
      <x:c r="H1178" s="24" t="str">
        <x:v>+19165007355</x:v>
      </x:c>
      <x:c r="I1178" s="24" t="str">
        <x:v>http://www.northvalleyhomebuyers.com/</x:v>
      </x:c>
      <x:c r="J1178" s="16" t="str">
        <x:v>CA</x:v>
      </x:c>
      <x:c r="K1178" s="16" t="str">
        <x:v>Sacramento</x:v>
      </x:c>
      <x:c r="L1178" s="16" t="str">
        <x:v>Public property-business route; investor decision maker unconfirmed</x:v>
      </x:c>
      <x:c r="M1178" s="16" t="str">
        <x:v>http://www.northvalleyhomebuyers.com/</x:v>
      </x:c>
      <x:c r="N1178" s="16" t="str">
        <x:v>$100K-$500K ticket not published / unconfirmed</x:v>
      </x:c>
      <x:c r="O1178" s="20"/>
      <x:c r="P1178" s="20"/>
      <x:c r="Q1178" s="25" t="str">
        <x:v>No direct corporate-capital range established in checked source</x:v>
      </x:c>
      <x:c r="R1178" s="25" t="str">
        <x:v>Property acquisition or investor activity makes this an operator-capital prospect for the signed trial. Confirm operating-company debt/equity appetite.</x:v>
      </x:c>
      <x:c r="S1178" s="25"/>
      <x:c r="T1178" s="25" t="str">
        <x:v>Ask the owner/investor whether they can allocate $100K-$500K to trial marketing and acquisitions, and confirm structure, timing and decision authority.</x:v>
      </x:c>
      <x:c r="U1178" s="25" t="str">
        <x:v>https://www.cashhomebuyersdirectory.com/cash-home-buyers/california/sacramento</x:v>
      </x:c>
      <x:c r="V1178" s="26" t="d">
        <x:v>2026-10-02T00:00:00.000Z</x:v>
      </x:c>
      <x:c r="W1178" s="26" t="d">
        <x:v>2026-10-02T00:00:00.000Z</x:v>
      </x:c>
      <x:c r="X1178" s="25" t="str">
        <x:v>CashHomeBuyersDirectory third-party business listing; first-party business activity not checked in this batch</x:v>
      </x:c>
      <x:c r="Y1178" s="25"/>
      <x:c r="Z1178" s="25" t="str">
        <x:v>https://www.cashhomebuyersdirectory.com/cash-home-buyers/california/sacramento</x:v>
      </x:c>
      <x:c r="AA1178" s="25" t="str">
        <x:v>Public cash-home-buyer directory lists the business name, business phone/website where available and market. Operator role and corporate funding willingness require confirmation.</x:v>
      </x:c>
      <x:c r="AB1178" s="3" t="str">
        <x:v>New public-source collection</x:v>
      </x:c>
      <x:c r="AC1178" s="3" t="str">
        <x:v>unverified</x:v>
      </x:c>
      <x:c r="AD1178" s="3" t="str">
        <x:v>Not contacted / unconfirmed</x:v>
      </x:c>
      <x:c r="AE1178" s="3" t="str">
        <x:v>No</x:v>
      </x:c>
      <x:c r="AF1178" s="3" t="str">
        <x:v>No</x:v>
      </x:c>
      <x:c r="AG1178" s="3"/>
      <x:c r="AH1178" s="3"/>
      <x:c r="AI1178" s="18"/>
      <x:c r="AJ1178" s="3" t="str">
        <x:v>CF2500-9613BE39D74E</x:v>
      </x:c>
      <x:c r="AK1178" s="3" t="str">
        <x:v>real_estate_operator</x:v>
      </x:c>
      <x:c r="AL1178" s="19" t="n">
        <x:v>100000</x:v>
      </x:c>
      <x:c r="AM1178" s="19" t="n">
        <x:v>500000</x:v>
      </x:c>
      <x:c r="AN1178" s="3" t="str">
        <x:v>https://www.cashhomebuyersdirectory.com/cash-home-buyers/california/sacramento</x:v>
      </x:c>
      <x:c r="AO1178" s="3" t="str">
        <x:v>national_rest_directory_complete.jsonl</x:v>
      </x:c>
      <x:c r="AP1178" s="19"/>
    </x:row>
    <x:row r="1179" ht="36" customHeight="1">
      <x:c r="A1179" s="23" t="n">
        <x:v>1178</x:v>
      </x:c>
      <x:c r="B1179" s="15" t="str">
        <x:v>Northeast Ohio Home Buyers</x:v>
      </x:c>
      <x:c r="C1179" s="15"/>
      <x:c r="D1179" s="15" t="str">
        <x:v>Property investor / home-buying operator</x:v>
      </x:c>
      <x:c r="E1179" s="15" t="str">
        <x:v>Property investor / operator inquiry</x:v>
      </x:c>
      <x:c r="F1179" s="17" t="str">
        <x:v>New</x:v>
      </x:c>
      <x:c r="G1179" s="24"/>
      <x:c r="H1179" s="24" t="str">
        <x:v>+13303591378</x:v>
      </x:c>
      <x:c r="I1179" s="24" t="str">
        <x:v>https://northeastohiohomebuyers.com/</x:v>
      </x:c>
      <x:c r="J1179" s="16" t="str">
        <x:v>OH</x:v>
      </x:c>
      <x:c r="K1179" s="16" t="str">
        <x:v>Canton</x:v>
      </x:c>
      <x:c r="L1179" s="16" t="str">
        <x:v>Public property-business route; investor decision maker unconfirmed</x:v>
      </x:c>
      <x:c r="M1179" s="16" t="str">
        <x:v>https://northeastohiohomebuyers.com/</x:v>
      </x:c>
      <x:c r="N1179" s="16" t="str">
        <x:v>$100K-$500K ticket not published / unconfirmed</x:v>
      </x:c>
      <x:c r="O1179" s="20"/>
      <x:c r="P1179" s="20"/>
      <x:c r="Q1179" s="25" t="str">
        <x:v>No direct corporate-capital range established in checked source</x:v>
      </x:c>
      <x:c r="R1179" s="25" t="str">
        <x:v>Property acquisition or investor activity makes this an operator-capital prospect for the signed trial. Confirm operating-company debt/equity appetite.</x:v>
      </x:c>
      <x:c r="S1179" s="25"/>
      <x:c r="T1179" s="25" t="str">
        <x:v>Ask the owner/investor whether they can allocate $100K-$500K to trial marketing and acquisitions, and confirm structure, timing and decision authority.</x:v>
      </x:c>
      <x:c r="U1179" s="25" t="str">
        <x:v>https://www.cashhomebuyersdirectory.com/cash-home-buyers/ohio/canton</x:v>
      </x:c>
      <x:c r="V1179" s="26" t="d">
        <x:v>2026-10-02T00:00:00.000Z</x:v>
      </x:c>
      <x:c r="W1179" s="26" t="d">
        <x:v>2026-10-02T00:00:00.000Z</x:v>
      </x:c>
      <x:c r="X1179" s="25" t="str">
        <x:v>CashHomeBuyersDirectory third-party business listing; first-party business activity not checked in this batch</x:v>
      </x:c>
      <x:c r="Y1179" s="25"/>
      <x:c r="Z1179" s="25" t="str">
        <x:v>https://www.cashhomebuyersdirectory.com/cash-home-buyers/ohio/canton</x:v>
      </x:c>
      <x:c r="AA1179" s="25" t="str">
        <x:v>Public cash-home-buyer directory lists the business name, business phone/website where available and market. Operator role and corporate funding willingness require confirmation.</x:v>
      </x:c>
      <x:c r="AB1179" s="3" t="str">
        <x:v>New public-source collection</x:v>
      </x:c>
      <x:c r="AC1179" s="3" t="str">
        <x:v>unverified</x:v>
      </x:c>
      <x:c r="AD1179" s="3" t="str">
        <x:v>Not contacted / unconfirmed</x:v>
      </x:c>
      <x:c r="AE1179" s="3" t="str">
        <x:v>No</x:v>
      </x:c>
      <x:c r="AF1179" s="3" t="str">
        <x:v>No</x:v>
      </x:c>
      <x:c r="AG1179" s="3"/>
      <x:c r="AH1179" s="3"/>
      <x:c r="AI1179" s="18"/>
      <x:c r="AJ1179" s="3" t="str">
        <x:v>CF2500-4034F2745A00</x:v>
      </x:c>
      <x:c r="AK1179" s="3" t="str">
        <x:v>real_estate_operator</x:v>
      </x:c>
      <x:c r="AL1179" s="19" t="n">
        <x:v>100000</x:v>
      </x:c>
      <x:c r="AM1179" s="19" t="n">
        <x:v>500000</x:v>
      </x:c>
      <x:c r="AN1179" s="3" t="str">
        <x:v>https://www.cashhomebuyersdirectory.com/cash-home-buyers/ohio/canton</x:v>
      </x:c>
      <x:c r="AO1179" s="3" t="str">
        <x:v>national_rest_directory_complete.jsonl</x:v>
      </x:c>
      <x:c r="AP1179" s="19"/>
    </x:row>
    <x:row r="1180" ht="36" customHeight="1">
      <x:c r="A1180" s="23" t="n">
        <x:v>1179</x:v>
      </x:c>
      <x:c r="B1180" s="15" t="str">
        <x:v>Northern Nevada Home Buyers</x:v>
      </x:c>
      <x:c r="C1180" s="15"/>
      <x:c r="D1180" s="15" t="str">
        <x:v>Property investor / home-buying operator</x:v>
      </x:c>
      <x:c r="E1180" s="15" t="str">
        <x:v>Property investor / operator inquiry</x:v>
      </x:c>
      <x:c r="F1180" s="17" t="str">
        <x:v>New</x:v>
      </x:c>
      <x:c r="G1180" s="24"/>
      <x:c r="H1180" s="24" t="str">
        <x:v>+17753821075</x:v>
      </x:c>
      <x:c r="I1180" s="24" t="str">
        <x:v>https://www.nnvhomebuyers.com/</x:v>
      </x:c>
      <x:c r="J1180" s="16" t="str">
        <x:v>NV</x:v>
      </x:c>
      <x:c r="K1180" s="16"/>
      <x:c r="L1180" s="16" t="str">
        <x:v>Public property-business route; investor decision maker unconfirmed</x:v>
      </x:c>
      <x:c r="M1180" s="16" t="str">
        <x:v>https://www.nnvhomebuyers.com/</x:v>
      </x:c>
      <x:c r="N1180" s="16" t="str">
        <x:v>$100K-$500K ticket not published / unconfirmed</x:v>
      </x:c>
      <x:c r="O1180" s="20"/>
      <x:c r="P1180" s="20"/>
      <x:c r="Q1180" s="25" t="str">
        <x:v>No direct corporate-capital range established in checked source</x:v>
      </x:c>
      <x:c r="R1180" s="25" t="str">
        <x:v>Property acquisition or investor activity makes this an operator-capital prospect for the signed trial. Confirm operating-company debt/equity appetite.</x:v>
      </x:c>
      <x:c r="S1180" s="25"/>
      <x:c r="T1180" s="25" t="str">
        <x:v>Ask the owner/investor whether they can allocate $100K-$500K to trial marketing and acquisitions, and confirm structure, timing and decision authority.</x:v>
      </x:c>
      <x:c r="U1180" s="25" t="str">
        <x:v>https://www.cashhomebuyersdirectory.com/cash-home-buyers/nevada/reno</x:v>
      </x:c>
      <x:c r="V1180" s="26" t="d">
        <x:v>2026-10-02T00:00:00.000Z</x:v>
      </x:c>
      <x:c r="W1180" s="26" t="d">
        <x:v>2026-10-02T00:00:00.000Z</x:v>
      </x:c>
      <x:c r="X1180" s="25" t="str">
        <x:v>CashHomeBuyersDirectory third-party business listing; first-party business activity not checked in this batch</x:v>
      </x:c>
      <x:c r="Y1180" s="25"/>
      <x:c r="Z1180" s="25" t="str">
        <x:v>https://www.cashhomebuyersdirectory.com/cash-home-buyers/nevada/reno</x:v>
      </x:c>
      <x:c r="AA1180" s="25" t="str">
        <x:v>Public cash-home-buyer directory lists the business name, business phone/website where available and market. Operator role and corporate funding willingness require confirmation.</x:v>
      </x:c>
      <x:c r="AB1180" s="3" t="str">
        <x:v>New public-source collection</x:v>
      </x:c>
      <x:c r="AC1180" s="3" t="str">
        <x:v>unverified</x:v>
      </x:c>
      <x:c r="AD1180" s="3" t="str">
        <x:v>Not contacted / unconfirmed</x:v>
      </x:c>
      <x:c r="AE1180" s="3" t="str">
        <x:v>No</x:v>
      </x:c>
      <x:c r="AF1180" s="3" t="str">
        <x:v>No</x:v>
      </x:c>
      <x:c r="AG1180" s="3"/>
      <x:c r="AH1180" s="3"/>
      <x:c r="AI1180" s="18"/>
      <x:c r="AJ1180" s="3" t="str">
        <x:v>CF2500-8079CD0769DE</x:v>
      </x:c>
      <x:c r="AK1180" s="3" t="str">
        <x:v>real_estate_operator</x:v>
      </x:c>
      <x:c r="AL1180" s="19" t="n">
        <x:v>100000</x:v>
      </x:c>
      <x:c r="AM1180" s="19" t="n">
        <x:v>500000</x:v>
      </x:c>
      <x:c r="AN1180" s="3" t="str">
        <x:v>https://www.cashhomebuyersdirectory.com/cash-home-buyers/nevada/reno</x:v>
      </x:c>
      <x:c r="AO1180" s="3" t="str">
        <x:v>national_rest_directory_complete.jsonl</x:v>
      </x:c>
      <x:c r="AP1180" s="19"/>
    </x:row>
    <x:row r="1181" ht="36" customHeight="1">
      <x:c r="A1181" s="23" t="n">
        <x:v>1180</x:v>
      </x:c>
      <x:c r="B1181" s="15" t="str">
        <x:v>Nunley Home Buyers</x:v>
      </x:c>
      <x:c r="C1181" s="15"/>
      <x:c r="D1181" s="15" t="str">
        <x:v>Property investor / home-buying operator</x:v>
      </x:c>
      <x:c r="E1181" s="15" t="str">
        <x:v>Property investor / operator inquiry</x:v>
      </x:c>
      <x:c r="F1181" s="17" t="str">
        <x:v>New</x:v>
      </x:c>
      <x:c r="G1181" s="24"/>
      <x:c r="H1181" s="24" t="str">
        <x:v>+14132248294</x:v>
      </x:c>
      <x:c r="I1181" s="24" t="str">
        <x:v>https://www.nunleyhomebuyers.com/</x:v>
      </x:c>
      <x:c r="J1181" s="16" t="str">
        <x:v>MA</x:v>
      </x:c>
      <x:c r="K1181" s="16" t="str">
        <x:v>Springfield</x:v>
      </x:c>
      <x:c r="L1181" s="16" t="str">
        <x:v>Public property-business route; investor decision maker unconfirmed</x:v>
      </x:c>
      <x:c r="M1181" s="16" t="str">
        <x:v>https://www.nunleyhomebuyers.com/</x:v>
      </x:c>
      <x:c r="N1181" s="16" t="str">
        <x:v>$100K-$500K ticket not published / unconfirmed</x:v>
      </x:c>
      <x:c r="O1181" s="20"/>
      <x:c r="P1181" s="20"/>
      <x:c r="Q1181" s="25" t="str">
        <x:v>No direct corporate-capital range established in checked source</x:v>
      </x:c>
      <x:c r="R1181" s="25" t="str">
        <x:v>Property acquisition or investor activity makes this an operator-capital prospect for the signed trial. Confirm operating-company debt/equity appetite.</x:v>
      </x:c>
      <x:c r="S1181" s="25"/>
      <x:c r="T1181" s="25" t="str">
        <x:v>Ask the owner/investor whether they can allocate $100K-$500K to trial marketing and acquisitions, and confirm structure, timing and decision authority.</x:v>
      </x:c>
      <x:c r="U1181" s="25" t="str">
        <x:v>https://www.cashhomebuyersdirectory.com/cash-home-buyers/massachusetts/springfield</x:v>
      </x:c>
      <x:c r="V1181" s="26" t="d">
        <x:v>2026-10-02T00:00:00.000Z</x:v>
      </x:c>
      <x:c r="W1181" s="26" t="d">
        <x:v>2026-10-02T00:00:00.000Z</x:v>
      </x:c>
      <x:c r="X1181" s="25" t="str">
        <x:v>CashHomeBuyersDirectory third-party business listing; first-party business activity not checked in this batch</x:v>
      </x:c>
      <x:c r="Y1181" s="25"/>
      <x:c r="Z1181" s="25" t="str">
        <x:v>https://www.cashhomebuyersdirectory.com/cash-home-buyers/massachusetts/springfield</x:v>
      </x:c>
      <x:c r="AA1181" s="25" t="str">
        <x:v>Public cash-home-buyer directory lists the business name, business phone/website where available and market. Operator role and corporate funding willingness require confirmation.</x:v>
      </x:c>
      <x:c r="AB1181" s="3" t="str">
        <x:v>New public-source collection</x:v>
      </x:c>
      <x:c r="AC1181" s="3" t="str">
        <x:v>unverified</x:v>
      </x:c>
      <x:c r="AD1181" s="3" t="str">
        <x:v>Not contacted / unconfirmed</x:v>
      </x:c>
      <x:c r="AE1181" s="3" t="str">
        <x:v>No</x:v>
      </x:c>
      <x:c r="AF1181" s="3" t="str">
        <x:v>No</x:v>
      </x:c>
      <x:c r="AG1181" s="3"/>
      <x:c r="AH1181" s="3"/>
      <x:c r="AI1181" s="18"/>
      <x:c r="AJ1181" s="3" t="str">
        <x:v>CF2500-C19218E2B9DC</x:v>
      </x:c>
      <x:c r="AK1181" s="3" t="str">
        <x:v>real_estate_operator</x:v>
      </x:c>
      <x:c r="AL1181" s="19" t="n">
        <x:v>100000</x:v>
      </x:c>
      <x:c r="AM1181" s="19" t="n">
        <x:v>500000</x:v>
      </x:c>
      <x:c r="AN1181" s="3" t="str">
        <x:v>https://www.cashhomebuyersdirectory.com/cash-home-buyers/massachusetts/springfield</x:v>
      </x:c>
      <x:c r="AO1181" s="3" t="str">
        <x:v>national_rest_directory_complete.jsonl</x:v>
      </x:c>
      <x:c r="AP1181" s="19"/>
    </x:row>
    <x:row r="1182" ht="36" customHeight="1">
      <x:c r="A1182" s="23" t="n">
        <x:v>1181</x:v>
      </x:c>
      <x:c r="B1182" s="15" t="str">
        <x:v>NW HomeBuyers.net LLC</x:v>
      </x:c>
      <x:c r="C1182" s="15"/>
      <x:c r="D1182" s="15" t="str">
        <x:v>Property investor / home-buying operator</x:v>
      </x:c>
      <x:c r="E1182" s="15" t="str">
        <x:v>Property investor / operator inquiry</x:v>
      </x:c>
      <x:c r="F1182" s="17" t="str">
        <x:v>New</x:v>
      </x:c>
      <x:c r="G1182" s="24"/>
      <x:c r="H1182" s="24" t="str">
        <x:v>+18887621915</x:v>
      </x:c>
      <x:c r="I1182" s="24" t="str">
        <x:v>http://www.nwhomebuyers.net/homes-for-sale/</x:v>
      </x:c>
      <x:c r="J1182" s="16" t="str">
        <x:v>OR</x:v>
      </x:c>
      <x:c r="K1182" s="16" t="str">
        <x:v>Portland</x:v>
      </x:c>
      <x:c r="L1182" s="16" t="str">
        <x:v>Public property-business route; investor decision maker unconfirmed</x:v>
      </x:c>
      <x:c r="M1182" s="16" t="str">
        <x:v>http://www.nwhomebuyers.net/homes-for-sale/</x:v>
      </x:c>
      <x:c r="N1182" s="16" t="str">
        <x:v>$100K-$500K ticket not published / unconfirmed</x:v>
      </x:c>
      <x:c r="O1182" s="20"/>
      <x:c r="P1182" s="20"/>
      <x:c r="Q1182" s="25" t="str">
        <x:v>No direct corporate-capital range established in checked source</x:v>
      </x:c>
      <x:c r="R1182" s="25" t="str">
        <x:v>Property acquisition or investor activity makes this an operator-capital prospect for the signed trial. Confirm operating-company debt/equity appetite.</x:v>
      </x:c>
      <x:c r="S1182" s="25"/>
      <x:c r="T1182" s="25" t="str">
        <x:v>Ask the owner/investor whether they can allocate $100K-$500K to trial marketing and acquisitions, and confirm structure, timing and decision authority.</x:v>
      </x:c>
      <x:c r="U1182" s="25" t="str">
        <x:v>https://www.cashhomebuyersdirectory.com/cash-home-buyers/oregon/portland</x:v>
      </x:c>
      <x:c r="V1182" s="26" t="d">
        <x:v>2026-10-02T00:00:00.000Z</x:v>
      </x:c>
      <x:c r="W1182" s="26" t="d">
        <x:v>2026-10-02T00:00:00.000Z</x:v>
      </x:c>
      <x:c r="X1182" s="25" t="str">
        <x:v>CashHomeBuyersDirectory third-party business listing; first-party business activity not checked in this batch</x:v>
      </x:c>
      <x:c r="Y1182" s="25"/>
      <x:c r="Z1182" s="25" t="str">
        <x:v>https://www.cashhomebuyersdirectory.com/cash-home-buyers/oregon/portland</x:v>
      </x:c>
      <x:c r="AA1182" s="25" t="str">
        <x:v>Public cash-home-buyer directory lists the business name, business phone/website where available and market. Operator role and corporate funding willingness require confirmation.</x:v>
      </x:c>
      <x:c r="AB1182" s="3" t="str">
        <x:v>New public-source collection</x:v>
      </x:c>
      <x:c r="AC1182" s="3" t="str">
        <x:v>unverified</x:v>
      </x:c>
      <x:c r="AD1182" s="3" t="str">
        <x:v>Not contacted / unconfirmed</x:v>
      </x:c>
      <x:c r="AE1182" s="3" t="str">
        <x:v>No</x:v>
      </x:c>
      <x:c r="AF1182" s="3" t="str">
        <x:v>No</x:v>
      </x:c>
      <x:c r="AG1182" s="3"/>
      <x:c r="AH1182" s="3"/>
      <x:c r="AI1182" s="18"/>
      <x:c r="AJ1182" s="3" t="str">
        <x:v>CF2500-7EB4BCB22E0A</x:v>
      </x:c>
      <x:c r="AK1182" s="3" t="str">
        <x:v>real_estate_operator</x:v>
      </x:c>
      <x:c r="AL1182" s="19" t="n">
        <x:v>100000</x:v>
      </x:c>
      <x:c r="AM1182" s="19" t="n">
        <x:v>500000</x:v>
      </x:c>
      <x:c r="AN1182" s="3" t="str">
        <x:v>https://www.cashhomebuyersdirectory.com/cash-home-buyers/oregon/portland</x:v>
      </x:c>
      <x:c r="AO1182" s="3" t="str">
        <x:v>national_rest_directory_complete.jsonl</x:v>
      </x:c>
      <x:c r="AP1182" s="19"/>
    </x:row>
    <x:row r="1183" ht="36" customHeight="1">
      <x:c r="A1183" s="23" t="n">
        <x:v>1182</x:v>
      </x:c>
      <x:c r="B1183" s="15" t="str">
        <x:v>O'Neill Home Buyers</x:v>
      </x:c>
      <x:c r="C1183" s="15"/>
      <x:c r="D1183" s="15" t="str">
        <x:v>Property investor / home-buying operator</x:v>
      </x:c>
      <x:c r="E1183" s="15" t="str">
        <x:v>Property investor / operator inquiry</x:v>
      </x:c>
      <x:c r="F1183" s="17" t="str">
        <x:v>New</x:v>
      </x:c>
      <x:c r="G1183" s="24"/>
      <x:c r="H1183" s="24" t="str">
        <x:v>+17575781214</x:v>
      </x:c>
      <x:c r="I1183" s="24" t="str">
        <x:v>http://www.oneillhomebuyers.com/</x:v>
      </x:c>
      <x:c r="J1183" s="16" t="str">
        <x:v>VA</x:v>
      </x:c>
      <x:c r="K1183" s="16" t="str">
        <x:v>Chesapeake</x:v>
      </x:c>
      <x:c r="L1183" s="16" t="str">
        <x:v>Public property-business route; investor decision maker unconfirmed</x:v>
      </x:c>
      <x:c r="M1183" s="16" t="str">
        <x:v>http://www.oneillhomebuyers.com/</x:v>
      </x:c>
      <x:c r="N1183" s="16" t="str">
        <x:v>$100K-$500K ticket not published / unconfirmed</x:v>
      </x:c>
      <x:c r="O1183" s="20"/>
      <x:c r="P1183" s="20"/>
      <x:c r="Q1183" s="25" t="str">
        <x:v>No direct corporate-capital range established in checked source</x:v>
      </x:c>
      <x:c r="R1183" s="25" t="str">
        <x:v>Property acquisition or investor activity makes this an operator-capital prospect for the signed trial. Confirm operating-company debt/equity appetite.</x:v>
      </x:c>
      <x:c r="S1183" s="25"/>
      <x:c r="T1183" s="25" t="str">
        <x:v>Ask the owner/investor whether they can allocate $100K-$500K to trial marketing and acquisitions, and confirm structure, timing and decision authority.</x:v>
      </x:c>
      <x:c r="U1183" s="25" t="str">
        <x:v>https://www.cashhomebuyersdirectory.com/cash-home-buyers/virginia/chesapeake
https://www.cashhomebuyersdirectory.com/cash-home-buyers/virginia/norfolk</x:v>
      </x:c>
      <x:c r="V1183" s="26" t="d">
        <x:v>2026-10-02T00:00:00.000Z</x:v>
      </x:c>
      <x:c r="W1183" s="26" t="d">
        <x:v>2026-10-02T00:00:00.000Z</x:v>
      </x:c>
      <x:c r="X1183" s="25" t="str">
        <x:v>CashHomeBuyersDirectory third-party business listing; first-party business activity not checked in this batch</x:v>
      </x:c>
      <x:c r="Y1183" s="25"/>
      <x:c r="Z1183" s="25" t="str">
        <x:v>https://www.cashhomebuyersdirectory.com/cash-home-buyers/virginia/chesapeake</x:v>
      </x:c>
      <x:c r="AA1183" s="25" t="str">
        <x:v>Public cash-home-buyer directory lists the business name, business phone/website where available and market. Operator role and corporate funding willingness require confirmation.</x:v>
      </x:c>
      <x:c r="AB1183" s="3" t="str">
        <x:v>New public-source collection</x:v>
      </x:c>
      <x:c r="AC1183" s="3" t="str">
        <x:v>unverified</x:v>
      </x:c>
      <x:c r="AD1183" s="3" t="str">
        <x:v>Not contacted / unconfirmed</x:v>
      </x:c>
      <x:c r="AE1183" s="3" t="str">
        <x:v>No</x:v>
      </x:c>
      <x:c r="AF1183" s="3" t="str">
        <x:v>No</x:v>
      </x:c>
      <x:c r="AG1183" s="3"/>
      <x:c r="AH1183" s="3"/>
      <x:c r="AI1183" s="18"/>
      <x:c r="AJ1183" s="3" t="str">
        <x:v>CF2500-DDB80337888E</x:v>
      </x:c>
      <x:c r="AK1183" s="3" t="str">
        <x:v>real_estate_operator</x:v>
      </x:c>
      <x:c r="AL1183" s="19" t="n">
        <x:v>100000</x:v>
      </x:c>
      <x:c r="AM1183" s="19" t="n">
        <x:v>500000</x:v>
      </x:c>
      <x:c r="AN1183" s="3" t="str">
        <x:v>https://www.cashhomebuyersdirectory.com/cash-home-buyers/virginia/chesapeake</x:v>
      </x:c>
      <x:c r="AO1183" s="3" t="str">
        <x:v>national_rest_directory_complete.jsonl</x:v>
      </x:c>
      <x:c r="AP1183" s="19"/>
    </x:row>
    <x:row r="1184" ht="36" customHeight="1">
      <x:c r="A1184" s="23" t="n">
        <x:v>1183</x:v>
      </x:c>
      <x:c r="B1184" s="15" t="str">
        <x:v>Oahu Home Buyers</x:v>
      </x:c>
      <x:c r="C1184" s="15"/>
      <x:c r="D1184" s="15" t="str">
        <x:v>Property investor / home-buying operator</x:v>
      </x:c>
      <x:c r="E1184" s="15" t="str">
        <x:v>Property investor / operator inquiry</x:v>
      </x:c>
      <x:c r="F1184" s="17" t="str">
        <x:v>New</x:v>
      </x:c>
      <x:c r="G1184" s="24"/>
      <x:c r="H1184" s="24" t="str">
        <x:v>+18083333677</x:v>
      </x:c>
      <x:c r="I1184" s="24" t="str">
        <x:v>https://www.oahuhomebuyers.com/</x:v>
      </x:c>
      <x:c r="J1184" s="16" t="str">
        <x:v>HI</x:v>
      </x:c>
      <x:c r="K1184" s="16"/>
      <x:c r="L1184" s="16" t="str">
        <x:v>Public property-business route; investor decision maker unconfirmed</x:v>
      </x:c>
      <x:c r="M1184" s="16" t="str">
        <x:v>https://www.oahuhomebuyers.com/</x:v>
      </x:c>
      <x:c r="N1184" s="16" t="str">
        <x:v>$100K-$500K ticket not published / unconfirmed</x:v>
      </x:c>
      <x:c r="O1184" s="20"/>
      <x:c r="P1184" s="20"/>
      <x:c r="Q1184" s="25" t="str">
        <x:v>No direct corporate-capital range established in checked source</x:v>
      </x:c>
      <x:c r="R1184" s="25" t="str">
        <x:v>Property acquisition or investor activity makes this an operator-capital prospect for the signed trial. Confirm operating-company debt/equity appetite.</x:v>
      </x:c>
      <x:c r="S1184" s="25"/>
      <x:c r="T1184" s="25" t="str">
        <x:v>Ask the owner/investor whether they can allocate $100K-$500K to trial marketing and acquisitions, and confirm structure, timing and decision authority.</x:v>
      </x:c>
      <x:c r="U1184" s="25" t="str">
        <x:v>https://www.cashhomebuyersdirectory.com/cash-home-buyers/hawaii/honolulu</x:v>
      </x:c>
      <x:c r="V1184" s="26" t="d">
        <x:v>2026-10-02T00:00:00.000Z</x:v>
      </x:c>
      <x:c r="W1184" s="26" t="d">
        <x:v>2026-10-02T00:00:00.000Z</x:v>
      </x:c>
      <x:c r="X1184" s="25" t="str">
        <x:v>CashHomeBuyersDirectory third-party business listing; first-party business activity not checked in this batch</x:v>
      </x:c>
      <x:c r="Y1184" s="25"/>
      <x:c r="Z1184" s="25" t="str">
        <x:v>https://www.cashhomebuyersdirectory.com/cash-home-buyers/hawaii/honolulu</x:v>
      </x:c>
      <x:c r="AA1184" s="25" t="str">
        <x:v>Public cash-home-buyer directory lists the business name, business phone/website where available and market. Operator role and corporate funding willingness require confirmation.</x:v>
      </x:c>
      <x:c r="AB1184" s="3" t="str">
        <x:v>New public-source collection</x:v>
      </x:c>
      <x:c r="AC1184" s="3" t="str">
        <x:v>unverified</x:v>
      </x:c>
      <x:c r="AD1184" s="3" t="str">
        <x:v>Not contacted / unconfirmed</x:v>
      </x:c>
      <x:c r="AE1184" s="3" t="str">
        <x:v>No</x:v>
      </x:c>
      <x:c r="AF1184" s="3" t="str">
        <x:v>No</x:v>
      </x:c>
      <x:c r="AG1184" s="3"/>
      <x:c r="AH1184" s="3"/>
      <x:c r="AI1184" s="18"/>
      <x:c r="AJ1184" s="3" t="str">
        <x:v>CF2500-8A065DE136F2</x:v>
      </x:c>
      <x:c r="AK1184" s="3" t="str">
        <x:v>real_estate_operator</x:v>
      </x:c>
      <x:c r="AL1184" s="19" t="n">
        <x:v>100000</x:v>
      </x:c>
      <x:c r="AM1184" s="19" t="n">
        <x:v>500000</x:v>
      </x:c>
      <x:c r="AN1184" s="3" t="str">
        <x:v>https://www.cashhomebuyersdirectory.com/cash-home-buyers/hawaii/honolulu</x:v>
      </x:c>
      <x:c r="AO1184" s="3" t="str">
        <x:v>national_rest_directory_complete.jsonl</x:v>
      </x:c>
      <x:c r="AP1184" s="19"/>
    </x:row>
    <x:row r="1185" ht="36" customHeight="1">
      <x:c r="A1185" s="23" t="n">
        <x:v>1184</x:v>
      </x:c>
      <x:c r="B1185" s="15" t="str">
        <x:v>Oasis Home Buyers</x:v>
      </x:c>
      <x:c r="C1185" s="15"/>
      <x:c r="D1185" s="15" t="str">
        <x:v>Property investor / home-buying operator</x:v>
      </x:c>
      <x:c r="E1185" s="15" t="str">
        <x:v>Property investor / operator inquiry</x:v>
      </x:c>
      <x:c r="F1185" s="17" t="str">
        <x:v>New</x:v>
      </x:c>
      <x:c r="G1185" s="24"/>
      <x:c r="H1185" s="24" t="str">
        <x:v>+16145026474</x:v>
      </x:c>
      <x:c r="I1185" s="24" t="str">
        <x:v>https://www.oasisbuys.com/?UTM_source=GBP_Listing&amp;UTM_medium=Organic</x:v>
      </x:c>
      <x:c r="J1185" s="16" t="str">
        <x:v>OH</x:v>
      </x:c>
      <x:c r="K1185" s="16" t="str">
        <x:v>Dublin</x:v>
      </x:c>
      <x:c r="L1185" s="16" t="str">
        <x:v>Public property-business route; investor decision maker unconfirmed</x:v>
      </x:c>
      <x:c r="M1185" s="16" t="str">
        <x:v>https://www.oasisbuys.com/?UTM_source=GBP_Listing&amp;UTM_medium=Organic</x:v>
      </x:c>
      <x:c r="N1185" s="16" t="str">
        <x:v>$100K-$500K ticket not published / unconfirmed</x:v>
      </x:c>
      <x:c r="O1185" s="20"/>
      <x:c r="P1185" s="20"/>
      <x:c r="Q1185" s="25" t="str">
        <x:v>No direct corporate-capital range established in checked source</x:v>
      </x:c>
      <x:c r="R1185" s="25" t="str">
        <x:v>Property acquisition or investor activity makes this an operator-capital prospect for the signed trial. Confirm operating-company debt/equity appetite.</x:v>
      </x:c>
      <x:c r="S1185" s="25"/>
      <x:c r="T1185" s="25" t="str">
        <x:v>Ask the owner/investor whether they can allocate $100K-$500K to trial marketing and acquisitions, and confirm structure, timing and decision authority.</x:v>
      </x:c>
      <x:c r="U1185" s="25" t="str">
        <x:v>https://www.cashhomebuyersdirectory.com/cash-home-buyers/ohio/dublin</x:v>
      </x:c>
      <x:c r="V1185" s="26" t="d">
        <x:v>2026-10-02T00:00:00.000Z</x:v>
      </x:c>
      <x:c r="W1185" s="26" t="d">
        <x:v>2026-10-02T00:00:00.000Z</x:v>
      </x:c>
      <x:c r="X1185" s="25" t="str">
        <x:v>CashHomeBuyersDirectory third-party business listing; first-party business activity not checked in this batch</x:v>
      </x:c>
      <x:c r="Y1185" s="25"/>
      <x:c r="Z1185" s="25" t="str">
        <x:v>https://www.cashhomebuyersdirectory.com/cash-home-buyers/ohio/dublin</x:v>
      </x:c>
      <x:c r="AA1185" s="25" t="str">
        <x:v>Public cash-home-buyer directory lists the business name, business phone/website where available and market. Operator role and corporate funding willingness require confirmation.</x:v>
      </x:c>
      <x:c r="AB1185" s="3" t="str">
        <x:v>New public-source collection</x:v>
      </x:c>
      <x:c r="AC1185" s="3" t="str">
        <x:v>unverified</x:v>
      </x:c>
      <x:c r="AD1185" s="3" t="str">
        <x:v>Not contacted / unconfirmed</x:v>
      </x:c>
      <x:c r="AE1185" s="3" t="str">
        <x:v>No</x:v>
      </x:c>
      <x:c r="AF1185" s="3" t="str">
        <x:v>No</x:v>
      </x:c>
      <x:c r="AG1185" s="3"/>
      <x:c r="AH1185" s="3"/>
      <x:c r="AI1185" s="18"/>
      <x:c r="AJ1185" s="3" t="str">
        <x:v>CF2500-4591A7E1CA3E</x:v>
      </x:c>
      <x:c r="AK1185" s="3" t="str">
        <x:v>real_estate_operator</x:v>
      </x:c>
      <x:c r="AL1185" s="19" t="n">
        <x:v>100000</x:v>
      </x:c>
      <x:c r="AM1185" s="19" t="n">
        <x:v>500000</x:v>
      </x:c>
      <x:c r="AN1185" s="3" t="str">
        <x:v>https://www.cashhomebuyersdirectory.com/cash-home-buyers/ohio/dublin</x:v>
      </x:c>
      <x:c r="AO1185" s="3" t="str">
        <x:v>national_rest_directory_complete.jsonl</x:v>
      </x:c>
      <x:c r="AP1185" s="19"/>
    </x:row>
    <x:row r="1186" ht="36" customHeight="1">
      <x:c r="A1186" s="23" t="n">
        <x:v>1185</x:v>
      </x:c>
      <x:c r="B1186" s="15" t="str">
        <x:v>Offer Pledge Home Buyers</x:v>
      </x:c>
      <x:c r="C1186" s="15"/>
      <x:c r="D1186" s="15" t="str">
        <x:v>Property investor / home-buying operator</x:v>
      </x:c>
      <x:c r="E1186" s="15" t="str">
        <x:v>Property investor / operator inquiry</x:v>
      </x:c>
      <x:c r="F1186" s="17" t="str">
        <x:v>New</x:v>
      </x:c>
      <x:c r="G1186" s="24"/>
      <x:c r="H1186" s="24" t="str">
        <x:v>+14243243305</x:v>
      </x:c>
      <x:c r="I1186" s="24" t="str">
        <x:v>https://www.offerpledgehomebuyers.com/</x:v>
      </x:c>
      <x:c r="J1186" s="16" t="str">
        <x:v>CA</x:v>
      </x:c>
      <x:c r="K1186" s="16"/>
      <x:c r="L1186" s="16" t="str">
        <x:v>Public property-business route; investor decision maker unconfirmed</x:v>
      </x:c>
      <x:c r="M1186" s="16" t="str">
        <x:v>https://www.offerpledgehomebuyers.com/</x:v>
      </x:c>
      <x:c r="N1186" s="16" t="str">
        <x:v>$100K-$500K ticket not published / unconfirmed</x:v>
      </x:c>
      <x:c r="O1186" s="20"/>
      <x:c r="P1186" s="20"/>
      <x:c r="Q1186" s="25" t="str">
        <x:v>No direct corporate-capital range established in checked source</x:v>
      </x:c>
      <x:c r="R1186" s="25" t="str">
        <x:v>Property acquisition or investor activity makes this an operator-capital prospect for the signed trial. Confirm operating-company debt/equity appetite.</x:v>
      </x:c>
      <x:c r="S1186" s="25"/>
      <x:c r="T1186" s="25" t="str">
        <x:v>Ask the owner/investor whether they can allocate $100K-$500K to trial marketing and acquisitions, and confirm structure, timing and decision authority.</x:v>
      </x:c>
      <x:c r="U1186" s="25" t="str">
        <x:v>https://www.cashhomebuyersdirectory.com/cash-home-buyers/california/los-angeles</x:v>
      </x:c>
      <x:c r="V1186" s="26" t="d">
        <x:v>2026-10-02T00:00:00.000Z</x:v>
      </x:c>
      <x:c r="W1186" s="26" t="d">
        <x:v>2026-10-02T00:00:00.000Z</x:v>
      </x:c>
      <x:c r="X1186" s="25" t="str">
        <x:v>CashHomeBuyersDirectory third-party business listing; first-party business activity not checked in this batch</x:v>
      </x:c>
      <x:c r="Y1186" s="25"/>
      <x:c r="Z1186" s="25" t="str">
        <x:v>https://www.cashhomebuyersdirectory.com/cash-home-buyers/california/los-angeles</x:v>
      </x:c>
      <x:c r="AA1186" s="25" t="str">
        <x:v>Public cash-home-buyer directory lists the business name, business phone/website where available and market. Operator role and corporate funding willingness require confirmation.</x:v>
      </x:c>
      <x:c r="AB1186" s="3" t="str">
        <x:v>New public-source collection</x:v>
      </x:c>
      <x:c r="AC1186" s="3" t="str">
        <x:v>unverified</x:v>
      </x:c>
      <x:c r="AD1186" s="3" t="str">
        <x:v>Not contacted / unconfirmed</x:v>
      </x:c>
      <x:c r="AE1186" s="3" t="str">
        <x:v>No</x:v>
      </x:c>
      <x:c r="AF1186" s="3" t="str">
        <x:v>No</x:v>
      </x:c>
      <x:c r="AG1186" s="3"/>
      <x:c r="AH1186" s="3"/>
      <x:c r="AI1186" s="18"/>
      <x:c r="AJ1186" s="3" t="str">
        <x:v>CF2500-D473DCD2872E</x:v>
      </x:c>
      <x:c r="AK1186" s="3" t="str">
        <x:v>real_estate_operator</x:v>
      </x:c>
      <x:c r="AL1186" s="19" t="n">
        <x:v>100000</x:v>
      </x:c>
      <x:c r="AM1186" s="19" t="n">
        <x:v>500000</x:v>
      </x:c>
      <x:c r="AN1186" s="3" t="str">
        <x:v>https://www.cashhomebuyersdirectory.com/cash-home-buyers/california/los-angeles</x:v>
      </x:c>
      <x:c r="AO1186" s="3" t="str">
        <x:v>national_rest_directory_complete.jsonl</x:v>
      </x:c>
      <x:c r="AP1186" s="19"/>
    </x:row>
    <x:row r="1187" ht="36" customHeight="1">
      <x:c r="A1187" s="23" t="n">
        <x:v>1186</x:v>
      </x:c>
      <x:c r="B1187" s="15" t="str">
        <x:v>Omaha Homebuyers</x:v>
      </x:c>
      <x:c r="C1187" s="15"/>
      <x:c r="D1187" s="15" t="str">
        <x:v>Property investor / home-buying operator</x:v>
      </x:c>
      <x:c r="E1187" s="15" t="str">
        <x:v>Property investor / operator inquiry</x:v>
      </x:c>
      <x:c r="F1187" s="17" t="str">
        <x:v>New</x:v>
      </x:c>
      <x:c r="G1187" s="24"/>
      <x:c r="H1187" s="24" t="str">
        <x:v>+14022685092</x:v>
      </x:c>
      <x:c r="I1187" s="24" t="str">
        <x:v>https://402buyers.com/</x:v>
      </x:c>
      <x:c r="J1187" s="16" t="str">
        <x:v>NE</x:v>
      </x:c>
      <x:c r="K1187" s="16" t="str">
        <x:v>Omaha</x:v>
      </x:c>
      <x:c r="L1187" s="16" t="str">
        <x:v>Public property-business route; investor decision maker unconfirmed</x:v>
      </x:c>
      <x:c r="M1187" s="16" t="str">
        <x:v>https://402buyers.com/</x:v>
      </x:c>
      <x:c r="N1187" s="16" t="str">
        <x:v>$100K-$500K ticket not published / unconfirmed</x:v>
      </x:c>
      <x:c r="O1187" s="20"/>
      <x:c r="P1187" s="20"/>
      <x:c r="Q1187" s="25" t="str">
        <x:v>No direct corporate-capital range established in checked source</x:v>
      </x:c>
      <x:c r="R1187" s="25" t="str">
        <x:v>Property acquisition or investor activity makes this an operator-capital prospect for the signed trial. Confirm operating-company debt/equity appetite.</x:v>
      </x:c>
      <x:c r="S1187" s="25"/>
      <x:c r="T1187" s="25" t="str">
        <x:v>Ask the owner/investor whether they can allocate $100K-$500K to trial marketing and acquisitions, and confirm structure, timing and decision authority.</x:v>
      </x:c>
      <x:c r="U1187" s="25" t="str">
        <x:v>https://www.cashhomebuyersdirectory.com/cash-home-buyers/nebraska/omaha</x:v>
      </x:c>
      <x:c r="V1187" s="26" t="d">
        <x:v>2026-10-02T00:00:00.000Z</x:v>
      </x:c>
      <x:c r="W1187" s="26" t="d">
        <x:v>2026-10-02T00:00:00.000Z</x:v>
      </x:c>
      <x:c r="X1187" s="25" t="str">
        <x:v>CashHomeBuyersDirectory third-party business listing; first-party business activity not checked in this batch</x:v>
      </x:c>
      <x:c r="Y1187" s="25"/>
      <x:c r="Z1187" s="25" t="str">
        <x:v>https://www.cashhomebuyersdirectory.com/cash-home-buyers/nebraska/omaha</x:v>
      </x:c>
      <x:c r="AA1187" s="25" t="str">
        <x:v>Public cash-home-buyer directory lists the business name, business phone/website where available and market. Operator role and corporate funding willingness require confirmation.</x:v>
      </x:c>
      <x:c r="AB1187" s="3" t="str">
        <x:v>New public-source collection</x:v>
      </x:c>
      <x:c r="AC1187" s="3" t="str">
        <x:v>unverified</x:v>
      </x:c>
      <x:c r="AD1187" s="3" t="str">
        <x:v>Not contacted / unconfirmed</x:v>
      </x:c>
      <x:c r="AE1187" s="3" t="str">
        <x:v>No</x:v>
      </x:c>
      <x:c r="AF1187" s="3" t="str">
        <x:v>No</x:v>
      </x:c>
      <x:c r="AG1187" s="3"/>
      <x:c r="AH1187" s="3"/>
      <x:c r="AI1187" s="18"/>
      <x:c r="AJ1187" s="3" t="str">
        <x:v>CF2500-1560146D297C</x:v>
      </x:c>
      <x:c r="AK1187" s="3" t="str">
        <x:v>real_estate_operator</x:v>
      </x:c>
      <x:c r="AL1187" s="19" t="n">
        <x:v>100000</x:v>
      </x:c>
      <x:c r="AM1187" s="19" t="n">
        <x:v>500000</x:v>
      </x:c>
      <x:c r="AN1187" s="3" t="str">
        <x:v>https://www.cashhomebuyersdirectory.com/cash-home-buyers/nebraska/omaha</x:v>
      </x:c>
      <x:c r="AO1187" s="3" t="str">
        <x:v>national_rest_directory_complete.jsonl</x:v>
      </x:c>
      <x:c r="AP1187" s="19"/>
    </x:row>
    <x:row r="1188" ht="36" customHeight="1">
      <x:c r="A1188" s="23" t="n">
        <x:v>1187</x:v>
      </x:c>
      <x:c r="B1188" s="15" t="str">
        <x:v>OR Home Buyers</x:v>
      </x:c>
      <x:c r="C1188" s="15"/>
      <x:c r="D1188" s="15" t="str">
        <x:v>Property investor / home-buying operator</x:v>
      </x:c>
      <x:c r="E1188" s="15" t="str">
        <x:v>Property investor / operator inquiry</x:v>
      </x:c>
      <x:c r="F1188" s="17" t="str">
        <x:v>New</x:v>
      </x:c>
      <x:c r="G1188" s="24"/>
      <x:c r="H1188" s="24" t="str">
        <x:v>+15417222000</x:v>
      </x:c>
      <x:c r="I1188" s="24" t="str">
        <x:v>https://www.orhomebuyers.com/</x:v>
      </x:c>
      <x:c r="J1188" s="16" t="str">
        <x:v>OR</x:v>
      </x:c>
      <x:c r="K1188" s="16" t="str">
        <x:v>Eugene</x:v>
      </x:c>
      <x:c r="L1188" s="16" t="str">
        <x:v>Public property-business route; investor decision maker unconfirmed</x:v>
      </x:c>
      <x:c r="M1188" s="16" t="str">
        <x:v>https://www.orhomebuyers.com/</x:v>
      </x:c>
      <x:c r="N1188" s="16" t="str">
        <x:v>$100K-$500K ticket not published / unconfirmed</x:v>
      </x:c>
      <x:c r="O1188" s="20"/>
      <x:c r="P1188" s="20"/>
      <x:c r="Q1188" s="25" t="str">
        <x:v>No direct corporate-capital range established in checked source</x:v>
      </x:c>
      <x:c r="R1188" s="25" t="str">
        <x:v>Property acquisition or investor activity makes this an operator-capital prospect for the signed trial. Confirm operating-company debt/equity appetite.</x:v>
      </x:c>
      <x:c r="S1188" s="25"/>
      <x:c r="T1188" s="25" t="str">
        <x:v>Ask the owner/investor whether they can allocate $100K-$500K to trial marketing and acquisitions, and confirm structure, timing and decision authority.</x:v>
      </x:c>
      <x:c r="U1188" s="25" t="str">
        <x:v>https://www.cashhomebuyersdirectory.com/cash-home-buyers/oregon/eugene</x:v>
      </x:c>
      <x:c r="V1188" s="26" t="d">
        <x:v>2026-10-02T00:00:00.000Z</x:v>
      </x:c>
      <x:c r="W1188" s="26" t="d">
        <x:v>2026-10-02T00:00:00.000Z</x:v>
      </x:c>
      <x:c r="X1188" s="25" t="str">
        <x:v>CashHomeBuyersDirectory third-party business listing; first-party business activity not checked in this batch</x:v>
      </x:c>
      <x:c r="Y1188" s="25"/>
      <x:c r="Z1188" s="25" t="str">
        <x:v>https://www.cashhomebuyersdirectory.com/cash-home-buyers/oregon/eugene</x:v>
      </x:c>
      <x:c r="AA1188" s="25" t="str">
        <x:v>Public cash-home-buyer directory lists the business name, business phone/website where available and market. Operator role and corporate funding willingness require confirmation.</x:v>
      </x:c>
      <x:c r="AB1188" s="3" t="str">
        <x:v>New public-source collection</x:v>
      </x:c>
      <x:c r="AC1188" s="3" t="str">
        <x:v>unverified</x:v>
      </x:c>
      <x:c r="AD1188" s="3" t="str">
        <x:v>Not contacted / unconfirmed</x:v>
      </x:c>
      <x:c r="AE1188" s="3" t="str">
        <x:v>No</x:v>
      </x:c>
      <x:c r="AF1188" s="3" t="str">
        <x:v>No</x:v>
      </x:c>
      <x:c r="AG1188" s="3"/>
      <x:c r="AH1188" s="3"/>
      <x:c r="AI1188" s="18"/>
      <x:c r="AJ1188" s="3" t="str">
        <x:v>CF2500-8C678DDFB2CC</x:v>
      </x:c>
      <x:c r="AK1188" s="3" t="str">
        <x:v>real_estate_operator</x:v>
      </x:c>
      <x:c r="AL1188" s="19" t="n">
        <x:v>100000</x:v>
      </x:c>
      <x:c r="AM1188" s="19" t="n">
        <x:v>500000</x:v>
      </x:c>
      <x:c r="AN1188" s="3" t="str">
        <x:v>https://www.cashhomebuyersdirectory.com/cash-home-buyers/oregon/eugene</x:v>
      </x:c>
      <x:c r="AO1188" s="3" t="str">
        <x:v>national_rest_directory_complete.jsonl</x:v>
      </x:c>
      <x:c r="AP1188" s="19"/>
    </x:row>
    <x:row r="1189" ht="36" customHeight="1">
      <x:c r="A1189" s="23" t="n">
        <x:v>1188</x:v>
      </x:c>
      <x:c r="B1189" s="15" t="str">
        <x:v>Oregon Cash For Homes</x:v>
      </x:c>
      <x:c r="C1189" s="15"/>
      <x:c r="D1189" s="15" t="str">
        <x:v>Property investor / home-buying operator</x:v>
      </x:c>
      <x:c r="E1189" s="15" t="str">
        <x:v>Property investor / operator inquiry</x:v>
      </x:c>
      <x:c r="F1189" s="17" t="str">
        <x:v>New</x:v>
      </x:c>
      <x:c r="G1189" s="24"/>
      <x:c r="H1189" s="24" t="str">
        <x:v>+15419131284</x:v>
      </x:c>
      <x:c r="I1189" s="24" t="str">
        <x:v>https://www.oregoncashforhomes.com/</x:v>
      </x:c>
      <x:c r="J1189" s="16" t="str">
        <x:v>OR</x:v>
      </x:c>
      <x:c r="K1189" s="16"/>
      <x:c r="L1189" s="16" t="str">
        <x:v>Public property-business route; investor decision maker unconfirmed</x:v>
      </x:c>
      <x:c r="M1189" s="16" t="str">
        <x:v>https://www.oregoncashforhomes.com/</x:v>
      </x:c>
      <x:c r="N1189" s="16" t="str">
        <x:v>$100K-$500K ticket not published / unconfirmed</x:v>
      </x:c>
      <x:c r="O1189" s="20"/>
      <x:c r="P1189" s="20"/>
      <x:c r="Q1189" s="25" t="str">
        <x:v>No direct corporate-capital range established in checked source</x:v>
      </x:c>
      <x:c r="R1189" s="25" t="str">
        <x:v>Property acquisition or investor activity makes this an operator-capital prospect for the signed trial. Confirm operating-company debt/equity appetite.</x:v>
      </x:c>
      <x:c r="S1189" s="25"/>
      <x:c r="T1189" s="25" t="str">
        <x:v>Ask the owner/investor whether they can allocate $100K-$500K to trial marketing and acquisitions, and confirm structure, timing and decision authority.</x:v>
      </x:c>
      <x:c r="U1189" s="25" t="str">
        <x:v>https://www.cashhomebuyersdirectory.com/cash-home-buyers/oregon/eugene</x:v>
      </x:c>
      <x:c r="V1189" s="26" t="d">
        <x:v>2026-10-02T00:00:00.000Z</x:v>
      </x:c>
      <x:c r="W1189" s="26" t="d">
        <x:v>2026-10-02T00:00:00.000Z</x:v>
      </x:c>
      <x:c r="X1189" s="25" t="str">
        <x:v>CashHomeBuyersDirectory third-party business listing; first-party business activity not checked in this batch</x:v>
      </x:c>
      <x:c r="Y1189" s="25"/>
      <x:c r="Z1189" s="25" t="str">
        <x:v>https://www.cashhomebuyersdirectory.com/cash-home-buyers/oregon/eugene</x:v>
      </x:c>
      <x:c r="AA1189" s="25" t="str">
        <x:v>Public cash-home-buyer directory lists the business name, business phone/website where available and market. Operator role and corporate funding willingness require confirmation.</x:v>
      </x:c>
      <x:c r="AB1189" s="3" t="str">
        <x:v>New public-source collection</x:v>
      </x:c>
      <x:c r="AC1189" s="3" t="str">
        <x:v>unverified</x:v>
      </x:c>
      <x:c r="AD1189" s="3" t="str">
        <x:v>Not contacted / unconfirmed</x:v>
      </x:c>
      <x:c r="AE1189" s="3" t="str">
        <x:v>No</x:v>
      </x:c>
      <x:c r="AF1189" s="3" t="str">
        <x:v>No</x:v>
      </x:c>
      <x:c r="AG1189" s="3"/>
      <x:c r="AH1189" s="3"/>
      <x:c r="AI1189" s="18"/>
      <x:c r="AJ1189" s="3" t="str">
        <x:v>CF2500-5CAED2D218EB</x:v>
      </x:c>
      <x:c r="AK1189" s="3" t="str">
        <x:v>real_estate_operator</x:v>
      </x:c>
      <x:c r="AL1189" s="19" t="n">
        <x:v>100000</x:v>
      </x:c>
      <x:c r="AM1189" s="19" t="n">
        <x:v>500000</x:v>
      </x:c>
      <x:c r="AN1189" s="3" t="str">
        <x:v>https://www.cashhomebuyersdirectory.com/cash-home-buyers/oregon/eugene</x:v>
      </x:c>
      <x:c r="AO1189" s="3" t="str">
        <x:v>national_rest_directory_complete.jsonl</x:v>
      </x:c>
      <x:c r="AP1189" s="19"/>
    </x:row>
    <x:row r="1190" ht="36" customHeight="1">
      <x:c r="A1190" s="23" t="n">
        <x:v>1189</x:v>
      </x:c>
      <x:c r="B1190" s="15" t="str">
        <x:v>Orleans Home Buyers</x:v>
      </x:c>
      <x:c r="C1190" s="15"/>
      <x:c r="D1190" s="15" t="str">
        <x:v>Property investor / home-buying operator</x:v>
      </x:c>
      <x:c r="E1190" s="15" t="str">
        <x:v>Property investor / operator inquiry</x:v>
      </x:c>
      <x:c r="F1190" s="17" t="str">
        <x:v>New</x:v>
      </x:c>
      <x:c r="G1190" s="24"/>
      <x:c r="H1190" s="24" t="str">
        <x:v>+15045354289</x:v>
      </x:c>
      <x:c r="I1190" s="24" t="str">
        <x:v>http://orleanshomebuyers.com/</x:v>
      </x:c>
      <x:c r="J1190" s="16" t="str">
        <x:v>LA</x:v>
      </x:c>
      <x:c r="K1190" s="16" t="str">
        <x:v>New Orleans</x:v>
      </x:c>
      <x:c r="L1190" s="16" t="str">
        <x:v>Public property-business route; investor decision maker unconfirmed</x:v>
      </x:c>
      <x:c r="M1190" s="16" t="str">
        <x:v>http://orleanshomebuyers.com/</x:v>
      </x:c>
      <x:c r="N1190" s="16" t="str">
        <x:v>$100K-$500K ticket not published / unconfirmed</x:v>
      </x:c>
      <x:c r="O1190" s="20"/>
      <x:c r="P1190" s="20"/>
      <x:c r="Q1190" s="25" t="str">
        <x:v>No direct corporate-capital range established in checked source</x:v>
      </x:c>
      <x:c r="R1190" s="25" t="str">
        <x:v>Property acquisition or investor activity makes this an operator-capital prospect for the signed trial. Confirm operating-company debt/equity appetite.</x:v>
      </x:c>
      <x:c r="S1190" s="25"/>
      <x:c r="T1190" s="25" t="str">
        <x:v>Ask the owner/investor whether they can allocate $100K-$500K to trial marketing and acquisitions, and confirm structure, timing and decision authority.</x:v>
      </x:c>
      <x:c r="U1190" s="25" t="str">
        <x:v>https://www.cashhomebuyersdirectory.com/cash-home-buyers/louisiana/new-orleans</x:v>
      </x:c>
      <x:c r="V1190" s="26" t="d">
        <x:v>2026-10-02T00:00:00.000Z</x:v>
      </x:c>
      <x:c r="W1190" s="26" t="d">
        <x:v>2026-10-02T00:00:00.000Z</x:v>
      </x:c>
      <x:c r="X1190" s="25" t="str">
        <x:v>CashHomeBuyersDirectory third-party business listing; first-party business activity not checked in this batch</x:v>
      </x:c>
      <x:c r="Y1190" s="25"/>
      <x:c r="Z1190" s="25" t="str">
        <x:v>https://www.cashhomebuyersdirectory.com/cash-home-buyers/louisiana/new-orleans</x:v>
      </x:c>
      <x:c r="AA1190" s="25" t="str">
        <x:v>Public cash-home-buyer directory lists the business name, business phone/website where available and market. Operator role and corporate funding willingness require confirmation.</x:v>
      </x:c>
      <x:c r="AB1190" s="3" t="str">
        <x:v>New public-source collection</x:v>
      </x:c>
      <x:c r="AC1190" s="3" t="str">
        <x:v>unverified</x:v>
      </x:c>
      <x:c r="AD1190" s="3" t="str">
        <x:v>Not contacted / unconfirmed</x:v>
      </x:c>
      <x:c r="AE1190" s="3" t="str">
        <x:v>No</x:v>
      </x:c>
      <x:c r="AF1190" s="3" t="str">
        <x:v>No</x:v>
      </x:c>
      <x:c r="AG1190" s="3"/>
      <x:c r="AH1190" s="3"/>
      <x:c r="AI1190" s="18"/>
      <x:c r="AJ1190" s="3" t="str">
        <x:v>CF2500-E67F31DBF85A</x:v>
      </x:c>
      <x:c r="AK1190" s="3" t="str">
        <x:v>real_estate_operator</x:v>
      </x:c>
      <x:c r="AL1190" s="19" t="n">
        <x:v>100000</x:v>
      </x:c>
      <x:c r="AM1190" s="19" t="n">
        <x:v>500000</x:v>
      </x:c>
      <x:c r="AN1190" s="3" t="str">
        <x:v>https://www.cashhomebuyersdirectory.com/cash-home-buyers/louisiana/new-orleans</x:v>
      </x:c>
      <x:c r="AO1190" s="3" t="str">
        <x:v>national_rest_directory_complete.jsonl</x:v>
      </x:c>
      <x:c r="AP1190" s="19"/>
    </x:row>
    <x:row r="1191" ht="36" customHeight="1">
      <x:c r="A1191" s="23" t="n">
        <x:v>1190</x:v>
      </x:c>
      <x:c r="B1191" s="15" t="str">
        <x:v>Panda Pro Home Buyers</x:v>
      </x:c>
      <x:c r="C1191" s="15"/>
      <x:c r="D1191" s="15" t="str">
        <x:v>Property investor / home-buying operator</x:v>
      </x:c>
      <x:c r="E1191" s="15" t="str">
        <x:v>Property investor / operator inquiry</x:v>
      </x:c>
      <x:c r="F1191" s="17" t="str">
        <x:v>New</x:v>
      </x:c>
      <x:c r="G1191" s="24"/>
      <x:c r="H1191" s="24" t="str">
        <x:v>+14107758558</x:v>
      </x:c>
      <x:c r="I1191" s="24" t="str">
        <x:v>https://pandaprohomebuyers.com/</x:v>
      </x:c>
      <x:c r="J1191" s="16" t="str">
        <x:v>MD</x:v>
      </x:c>
      <x:c r="K1191" s="16" t="str">
        <x:v>Baltimore</x:v>
      </x:c>
      <x:c r="L1191" s="16" t="str">
        <x:v>Public property-business route; investor decision maker unconfirmed</x:v>
      </x:c>
      <x:c r="M1191" s="16" t="str">
        <x:v>https://pandaprohomebuyers.com/</x:v>
      </x:c>
      <x:c r="N1191" s="16" t="str">
        <x:v>$100K-$500K ticket not published / unconfirmed</x:v>
      </x:c>
      <x:c r="O1191" s="20"/>
      <x:c r="P1191" s="20"/>
      <x:c r="Q1191" s="25" t="str">
        <x:v>No direct corporate-capital range established in checked source</x:v>
      </x:c>
      <x:c r="R1191" s="25" t="str">
        <x:v>Property acquisition or investor activity makes this an operator-capital prospect for the signed trial. Confirm operating-company debt/equity appetite.</x:v>
      </x:c>
      <x:c r="S1191" s="25"/>
      <x:c r="T1191" s="25" t="str">
        <x:v>Ask the owner/investor whether they can allocate $100K-$500K to trial marketing and acquisitions, and confirm structure, timing and decision authority.</x:v>
      </x:c>
      <x:c r="U1191" s="25" t="str">
        <x:v>https://www.cashhomebuyersdirectory.com/cash-home-buyers/maryland/baltimore</x:v>
      </x:c>
      <x:c r="V1191" s="26" t="d">
        <x:v>2026-10-02T00:00:00.000Z</x:v>
      </x:c>
      <x:c r="W1191" s="26" t="d">
        <x:v>2026-10-02T00:00:00.000Z</x:v>
      </x:c>
      <x:c r="X1191" s="25" t="str">
        <x:v>CashHomeBuyersDirectory third-party business listing; first-party business activity not checked in this batch</x:v>
      </x:c>
      <x:c r="Y1191" s="25"/>
      <x:c r="Z1191" s="25" t="str">
        <x:v>https://www.cashhomebuyersdirectory.com/cash-home-buyers/maryland/baltimore</x:v>
      </x:c>
      <x:c r="AA1191" s="25" t="str">
        <x:v>Public cash-home-buyer directory lists the business name, business phone/website where available and market. Operator role and corporate funding willingness require confirmation.</x:v>
      </x:c>
      <x:c r="AB1191" s="3" t="str">
        <x:v>New public-source collection</x:v>
      </x:c>
      <x:c r="AC1191" s="3" t="str">
        <x:v>unverified</x:v>
      </x:c>
      <x:c r="AD1191" s="3" t="str">
        <x:v>Not contacted / unconfirmed</x:v>
      </x:c>
      <x:c r="AE1191" s="3" t="str">
        <x:v>No</x:v>
      </x:c>
      <x:c r="AF1191" s="3" t="str">
        <x:v>No</x:v>
      </x:c>
      <x:c r="AG1191" s="3"/>
      <x:c r="AH1191" s="3"/>
      <x:c r="AI1191" s="18"/>
      <x:c r="AJ1191" s="3" t="str">
        <x:v>CF2500-DEE363BE2D85</x:v>
      </x:c>
      <x:c r="AK1191" s="3" t="str">
        <x:v>real_estate_operator</x:v>
      </x:c>
      <x:c r="AL1191" s="19" t="n">
        <x:v>100000</x:v>
      </x:c>
      <x:c r="AM1191" s="19" t="n">
        <x:v>500000</x:v>
      </x:c>
      <x:c r="AN1191" s="3" t="str">
        <x:v>https://www.cashhomebuyersdirectory.com/cash-home-buyers/maryland/baltimore</x:v>
      </x:c>
      <x:c r="AO1191" s="3" t="str">
        <x:v>national_rest_directory_complete.jsonl</x:v>
      </x:c>
      <x:c r="AP1191" s="19"/>
    </x:row>
    <x:row r="1192" ht="36" customHeight="1">
      <x:c r="A1192" s="23" t="n">
        <x:v>1191</x:v>
      </x:c>
      <x:c r="B1192" s="15" t="str">
        <x:v>Patriot Home Buyers</x:v>
      </x:c>
      <x:c r="C1192" s="15"/>
      <x:c r="D1192" s="15" t="str">
        <x:v>Property investor / home-buying operator</x:v>
      </x:c>
      <x:c r="E1192" s="15" t="str">
        <x:v>Property investor / operator inquiry</x:v>
      </x:c>
      <x:c r="F1192" s="17" t="str">
        <x:v>New</x:v>
      </x:c>
      <x:c r="G1192" s="24"/>
      <x:c r="H1192" s="24" t="str">
        <x:v>+14014140268</x:v>
      </x:c>
      <x:c r="I1192" s="24" t="str">
        <x:v>https://sell.thepatriothomebuyer.com/</x:v>
      </x:c>
      <x:c r="J1192" s="16" t="str">
        <x:v>RI</x:v>
      </x:c>
      <x:c r="K1192" s="16" t="str">
        <x:v>Providence</x:v>
      </x:c>
      <x:c r="L1192" s="16" t="str">
        <x:v>Public property-business route; investor decision maker unconfirmed</x:v>
      </x:c>
      <x:c r="M1192" s="16" t="str">
        <x:v>https://sell.thepatriothomebuyer.com/</x:v>
      </x:c>
      <x:c r="N1192" s="16" t="str">
        <x:v>$100K-$500K ticket not published / unconfirmed</x:v>
      </x:c>
      <x:c r="O1192" s="20"/>
      <x:c r="P1192" s="20"/>
      <x:c r="Q1192" s="25" t="str">
        <x:v>No direct corporate-capital range established in checked source</x:v>
      </x:c>
      <x:c r="R1192" s="25" t="str">
        <x:v>Property acquisition or investor activity makes this an operator-capital prospect for the signed trial. Confirm operating-company debt/equity appetite.</x:v>
      </x:c>
      <x:c r="S1192" s="25"/>
      <x:c r="T1192" s="25" t="str">
        <x:v>Ask the owner/investor whether they can allocate $100K-$500K to trial marketing and acquisitions, and confirm structure, timing and decision authority.</x:v>
      </x:c>
      <x:c r="U1192" s="25" t="str">
        <x:v>https://www.cashhomebuyersdirectory.com/cash-home-buyers/rhode-island/providence</x:v>
      </x:c>
      <x:c r="V1192" s="26" t="d">
        <x:v>2026-10-02T00:00:00.000Z</x:v>
      </x:c>
      <x:c r="W1192" s="26" t="d">
        <x:v>2026-10-02T00:00:00.000Z</x:v>
      </x:c>
      <x:c r="X1192" s="25" t="str">
        <x:v>CashHomeBuyersDirectory third-party business listing; first-party business activity not checked in this batch</x:v>
      </x:c>
      <x:c r="Y1192" s="25"/>
      <x:c r="Z1192" s="25" t="str">
        <x:v>https://www.cashhomebuyersdirectory.com/cash-home-buyers/rhode-island/providence</x:v>
      </x:c>
      <x:c r="AA1192" s="25" t="str">
        <x:v>Public cash-home-buyer directory lists the business name, business phone/website where available and market. Operator role and corporate funding willingness require confirmation.</x:v>
      </x:c>
      <x:c r="AB1192" s="3" t="str">
        <x:v>New public-source collection</x:v>
      </x:c>
      <x:c r="AC1192" s="3" t="str">
        <x:v>unverified</x:v>
      </x:c>
      <x:c r="AD1192" s="3" t="str">
        <x:v>Not contacted / unconfirmed</x:v>
      </x:c>
      <x:c r="AE1192" s="3" t="str">
        <x:v>No</x:v>
      </x:c>
      <x:c r="AF1192" s="3" t="str">
        <x:v>No</x:v>
      </x:c>
      <x:c r="AG1192" s="3"/>
      <x:c r="AH1192" s="3"/>
      <x:c r="AI1192" s="18"/>
      <x:c r="AJ1192" s="3" t="str">
        <x:v>CF2500-A1B3AC485E5A</x:v>
      </x:c>
      <x:c r="AK1192" s="3" t="str">
        <x:v>real_estate_operator</x:v>
      </x:c>
      <x:c r="AL1192" s="19" t="n">
        <x:v>100000</x:v>
      </x:c>
      <x:c r="AM1192" s="19" t="n">
        <x:v>500000</x:v>
      </x:c>
      <x:c r="AN1192" s="3" t="str">
        <x:v>https://www.cashhomebuyersdirectory.com/cash-home-buyers/rhode-island/providence</x:v>
      </x:c>
      <x:c r="AO1192" s="3" t="str">
        <x:v>national_rest_directory_complete.jsonl</x:v>
      </x:c>
      <x:c r="AP1192" s="19"/>
    </x:row>
    <x:row r="1193" ht="36" customHeight="1">
      <x:c r="A1193" s="23" t="n">
        <x:v>1192</x:v>
      </x:c>
      <x:c r="B1193" s="15" t="str">
        <x:v>Pavel Buys Houses | Sell My House Fast For Cash</x:v>
      </x:c>
      <x:c r="C1193" s="15"/>
      <x:c r="D1193" s="15" t="str">
        <x:v>Property investor / home-buying operator</x:v>
      </x:c>
      <x:c r="E1193" s="15" t="str">
        <x:v>Property investor / operator inquiry</x:v>
      </x:c>
      <x:c r="F1193" s="17" t="str">
        <x:v>New</x:v>
      </x:c>
      <x:c r="G1193" s="24"/>
      <x:c r="H1193" s="24" t="str">
        <x:v>+16178572857</x:v>
      </x:c>
      <x:c r="I1193" s="24" t="str">
        <x:v>https://www.pavelbuyshouses.com/</x:v>
      </x:c>
      <x:c r="J1193" s="16" t="str">
        <x:v>MA</x:v>
      </x:c>
      <x:c r="K1193" s="16" t="str">
        <x:v>Boston</x:v>
      </x:c>
      <x:c r="L1193" s="16" t="str">
        <x:v>Public property-business route; investor decision maker unconfirmed</x:v>
      </x:c>
      <x:c r="M1193" s="16" t="str">
        <x:v>https://www.pavelbuyshouses.com/</x:v>
      </x:c>
      <x:c r="N1193" s="16" t="str">
        <x:v>$100K-$500K ticket not published / unconfirmed</x:v>
      </x:c>
      <x:c r="O1193" s="20"/>
      <x:c r="P1193" s="20"/>
      <x:c r="Q1193" s="25" t="str">
        <x:v>No direct corporate-capital range established in checked source</x:v>
      </x:c>
      <x:c r="R1193" s="25" t="str">
        <x:v>Property acquisition or investor activity makes this an operator-capital prospect for the signed trial. Confirm operating-company debt/equity appetite.</x:v>
      </x:c>
      <x:c r="S1193" s="25"/>
      <x:c r="T1193" s="25" t="str">
        <x:v>Ask the owner/investor whether they can allocate $100K-$500K to trial marketing and acquisitions, and confirm structure, timing and decision authority.</x:v>
      </x:c>
      <x:c r="U1193" s="25" t="str">
        <x:v>https://www.cashhomebuyersdirectory.com/cash-home-buyers/massachusetts/boston</x:v>
      </x:c>
      <x:c r="V1193" s="26" t="d">
        <x:v>2026-10-02T00:00:00.000Z</x:v>
      </x:c>
      <x:c r="W1193" s="26" t="d">
        <x:v>2026-10-02T00:00:00.000Z</x:v>
      </x:c>
      <x:c r="X1193" s="25" t="str">
        <x:v>CashHomeBuyersDirectory third-party business listing; first-party business activity not checked in this batch</x:v>
      </x:c>
      <x:c r="Y1193" s="25"/>
      <x:c r="Z1193" s="25" t="str">
        <x:v>https://www.cashhomebuyersdirectory.com/cash-home-buyers/massachusetts/boston</x:v>
      </x:c>
      <x:c r="AA1193" s="25" t="str">
        <x:v>Public cash-home-buyer directory lists the business name, business phone/website where available and market. Operator role and corporate funding willingness require confirmation.</x:v>
      </x:c>
      <x:c r="AB1193" s="3" t="str">
        <x:v>New public-source collection</x:v>
      </x:c>
      <x:c r="AC1193" s="3" t="str">
        <x:v>unverified</x:v>
      </x:c>
      <x:c r="AD1193" s="3" t="str">
        <x:v>Not contacted / unconfirmed</x:v>
      </x:c>
      <x:c r="AE1193" s="3" t="str">
        <x:v>No</x:v>
      </x:c>
      <x:c r="AF1193" s="3" t="str">
        <x:v>No</x:v>
      </x:c>
      <x:c r="AG1193" s="3"/>
      <x:c r="AH1193" s="3"/>
      <x:c r="AI1193" s="18"/>
      <x:c r="AJ1193" s="3" t="str">
        <x:v>CF2500-9CD5E0E42AD8</x:v>
      </x:c>
      <x:c r="AK1193" s="3" t="str">
        <x:v>real_estate_operator</x:v>
      </x:c>
      <x:c r="AL1193" s="19" t="n">
        <x:v>100000</x:v>
      </x:c>
      <x:c r="AM1193" s="19" t="n">
        <x:v>500000</x:v>
      </x:c>
      <x:c r="AN1193" s="3" t="str">
        <x:v>https://www.cashhomebuyersdirectory.com/cash-home-buyers/massachusetts/boston</x:v>
      </x:c>
      <x:c r="AO1193" s="3" t="str">
        <x:v>national_rest_directory_complete.jsonl</x:v>
      </x:c>
      <x:c r="AP1193" s="19"/>
    </x:row>
    <x:row r="1194" ht="36" customHeight="1">
      <x:c r="A1194" s="23" t="n">
        <x:v>1193</x:v>
      </x:c>
      <x:c r="B1194" s="15" t="str">
        <x:v>PDX Renovations LLC - Portland OR-| Cash Home Buyer</x:v>
      </x:c>
      <x:c r="C1194" s="15"/>
      <x:c r="D1194" s="15" t="str">
        <x:v>Property investor / home-buying operator</x:v>
      </x:c>
      <x:c r="E1194" s="15" t="str">
        <x:v>Property investor / operator inquiry</x:v>
      </x:c>
      <x:c r="F1194" s="17" t="str">
        <x:v>New</x:v>
      </x:c>
      <x:c r="G1194" s="24"/>
      <x:c r="H1194" s="24" t="str">
        <x:v>+15035606620</x:v>
      </x:c>
      <x:c r="I1194" s="24" t="str">
        <x:v>https://pdxrenovations.com/</x:v>
      </x:c>
      <x:c r="J1194" s="16" t="str">
        <x:v>OR</x:v>
      </x:c>
      <x:c r="K1194" s="16"/>
      <x:c r="L1194" s="16" t="str">
        <x:v>Public property-business route; investor decision maker unconfirmed</x:v>
      </x:c>
      <x:c r="M1194" s="16" t="str">
        <x:v>https://pdxrenovations.com/</x:v>
      </x:c>
      <x:c r="N1194" s="16" t="str">
        <x:v>$100K-$500K ticket not published / unconfirmed</x:v>
      </x:c>
      <x:c r="O1194" s="20"/>
      <x:c r="P1194" s="20"/>
      <x:c r="Q1194" s="25" t="str">
        <x:v>No direct corporate-capital range established in checked source</x:v>
      </x:c>
      <x:c r="R1194" s="25" t="str">
        <x:v>Property acquisition or investor activity makes this an operator-capital prospect for the signed trial. Confirm operating-company debt/equity appetite.</x:v>
      </x:c>
      <x:c r="S1194" s="25"/>
      <x:c r="T1194" s="25" t="str">
        <x:v>Ask the owner/investor whether they can allocate $100K-$500K to trial marketing and acquisitions, and confirm structure, timing and decision authority.</x:v>
      </x:c>
      <x:c r="U1194" s="25" t="str">
        <x:v>https://www.cashhomebuyersdirectory.com/cash-home-buyers/oregon/portland</x:v>
      </x:c>
      <x:c r="V1194" s="26" t="d">
        <x:v>2026-10-02T00:00:00.000Z</x:v>
      </x:c>
      <x:c r="W1194" s="26" t="d">
        <x:v>2026-10-02T00:00:00.000Z</x:v>
      </x:c>
      <x:c r="X1194" s="25" t="str">
        <x:v>CashHomeBuyersDirectory third-party business listing; first-party business activity not checked in this batch</x:v>
      </x:c>
      <x:c r="Y1194" s="25"/>
      <x:c r="Z1194" s="25" t="str">
        <x:v>https://www.cashhomebuyersdirectory.com/cash-home-buyers/oregon/portland</x:v>
      </x:c>
      <x:c r="AA1194" s="25" t="str">
        <x:v>Public cash-home-buyer directory lists the business name, business phone/website where available and market. Operator role and corporate funding willingness require confirmation.</x:v>
      </x:c>
      <x:c r="AB1194" s="3" t="str">
        <x:v>New public-source collection</x:v>
      </x:c>
      <x:c r="AC1194" s="3" t="str">
        <x:v>unverified</x:v>
      </x:c>
      <x:c r="AD1194" s="3" t="str">
        <x:v>Not contacted / unconfirmed</x:v>
      </x:c>
      <x:c r="AE1194" s="3" t="str">
        <x:v>No</x:v>
      </x:c>
      <x:c r="AF1194" s="3" t="str">
        <x:v>No</x:v>
      </x:c>
      <x:c r="AG1194" s="3"/>
      <x:c r="AH1194" s="3"/>
      <x:c r="AI1194" s="18"/>
      <x:c r="AJ1194" s="3" t="str">
        <x:v>CF2500-610BB8893E8A</x:v>
      </x:c>
      <x:c r="AK1194" s="3" t="str">
        <x:v>real_estate_operator</x:v>
      </x:c>
      <x:c r="AL1194" s="19" t="n">
        <x:v>100000</x:v>
      </x:c>
      <x:c r="AM1194" s="19" t="n">
        <x:v>500000</x:v>
      </x:c>
      <x:c r="AN1194" s="3" t="str">
        <x:v>https://www.cashhomebuyersdirectory.com/cash-home-buyers/oregon/portland</x:v>
      </x:c>
      <x:c r="AO1194" s="3" t="str">
        <x:v>national_rest_directory_complete.jsonl</x:v>
      </x:c>
      <x:c r="AP1194" s="19"/>
    </x:row>
    <x:row r="1195" ht="36" customHeight="1">
      <x:c r="A1195" s="23" t="n">
        <x:v>1194</x:v>
      </x:c>
      <x:c r="B1195" s="15" t="str">
        <x:v>Peninsula Home Buyers</x:v>
      </x:c>
      <x:c r="C1195" s="15"/>
      <x:c r="D1195" s="15" t="str">
        <x:v>Property investor / home-buying operator</x:v>
      </x:c>
      <x:c r="E1195" s="15" t="str">
        <x:v>Property investor / operator inquiry</x:v>
      </x:c>
      <x:c r="F1195" s="17" t="str">
        <x:v>New</x:v>
      </x:c>
      <x:c r="G1195" s="24"/>
      <x:c r="H1195" s="24" t="str">
        <x:v>+14105872109</x:v>
      </x:c>
      <x:c r="I1195" s="24" t="str">
        <x:v>https://www.peninsulahb.com/</x:v>
      </x:c>
      <x:c r="J1195" s="16" t="str">
        <x:v>MD</x:v>
      </x:c>
      <x:c r="K1195" s="16" t="str">
        <x:v>Severna Park</x:v>
      </x:c>
      <x:c r="L1195" s="16" t="str">
        <x:v>Public property-business route; investor decision maker unconfirmed</x:v>
      </x:c>
      <x:c r="M1195" s="16" t="str">
        <x:v>https://www.peninsulahb.com/</x:v>
      </x:c>
      <x:c r="N1195" s="16" t="str">
        <x:v>$100K-$500K ticket not published / unconfirmed</x:v>
      </x:c>
      <x:c r="O1195" s="20"/>
      <x:c r="P1195" s="20"/>
      <x:c r="Q1195" s="25" t="str">
        <x:v>No direct corporate-capital range established in checked source</x:v>
      </x:c>
      <x:c r="R1195" s="25" t="str">
        <x:v>Property acquisition or investor activity makes this an operator-capital prospect for the signed trial. Confirm operating-company debt/equity appetite.</x:v>
      </x:c>
      <x:c r="S1195" s="25"/>
      <x:c r="T1195" s="25" t="str">
        <x:v>Ask the owner/investor whether they can allocate $100K-$500K to trial marketing and acquisitions, and confirm structure, timing and decision authority.</x:v>
      </x:c>
      <x:c r="U1195" s="25" t="str">
        <x:v>https://www.cashhomebuyersdirectory.com/cash-home-buyers/maryland/severna-park</x:v>
      </x:c>
      <x:c r="V1195" s="26" t="d">
        <x:v>2026-10-02T00:00:00.000Z</x:v>
      </x:c>
      <x:c r="W1195" s="26" t="d">
        <x:v>2026-10-02T00:00:00.000Z</x:v>
      </x:c>
      <x:c r="X1195" s="25" t="str">
        <x:v>CashHomeBuyersDirectory third-party business listing; first-party business activity not checked in this batch</x:v>
      </x:c>
      <x:c r="Y1195" s="25"/>
      <x:c r="Z1195" s="25" t="str">
        <x:v>https://www.cashhomebuyersdirectory.com/cash-home-buyers/maryland/severna-park</x:v>
      </x:c>
      <x:c r="AA1195" s="25" t="str">
        <x:v>Public cash-home-buyer directory lists the business name, business phone/website where available and market. Operator role and corporate funding willingness require confirmation.</x:v>
      </x:c>
      <x:c r="AB1195" s="3" t="str">
        <x:v>New public-source collection</x:v>
      </x:c>
      <x:c r="AC1195" s="3" t="str">
        <x:v>unverified</x:v>
      </x:c>
      <x:c r="AD1195" s="3" t="str">
        <x:v>Not contacted / unconfirmed</x:v>
      </x:c>
      <x:c r="AE1195" s="3" t="str">
        <x:v>No</x:v>
      </x:c>
      <x:c r="AF1195" s="3" t="str">
        <x:v>No</x:v>
      </x:c>
      <x:c r="AG1195" s="3"/>
      <x:c r="AH1195" s="3"/>
      <x:c r="AI1195" s="18"/>
      <x:c r="AJ1195" s="3" t="str">
        <x:v>CF2500-F9CD3F39A733</x:v>
      </x:c>
      <x:c r="AK1195" s="3" t="str">
        <x:v>real_estate_operator</x:v>
      </x:c>
      <x:c r="AL1195" s="19" t="n">
        <x:v>100000</x:v>
      </x:c>
      <x:c r="AM1195" s="19" t="n">
        <x:v>500000</x:v>
      </x:c>
      <x:c r="AN1195" s="3" t="str">
        <x:v>https://www.cashhomebuyersdirectory.com/cash-home-buyers/maryland/severna-park</x:v>
      </x:c>
      <x:c r="AO1195" s="3" t="str">
        <x:v>national_rest_directory_complete.jsonl</x:v>
      </x:c>
      <x:c r="AP1195" s="19"/>
    </x:row>
    <x:row r="1196" ht="36" customHeight="1">
      <x:c r="A1196" s="23" t="n">
        <x:v>1195</x:v>
      </x:c>
      <x:c r="B1196" s="15" t="str">
        <x:v>Philly We Buy Houses LLC</x:v>
      </x:c>
      <x:c r="C1196" s="15"/>
      <x:c r="D1196" s="15" t="str">
        <x:v>Property investor / home-buying operator</x:v>
      </x:c>
      <x:c r="E1196" s="15" t="str">
        <x:v>Property investor / operator inquiry</x:v>
      </x:c>
      <x:c r="F1196" s="17" t="str">
        <x:v>New</x:v>
      </x:c>
      <x:c r="G1196" s="24"/>
      <x:c r="H1196" s="24" t="str">
        <x:v>+12154370637</x:v>
      </x:c>
      <x:c r="I1196" s="24" t="str">
        <x:v>https://www.phillywebuyhouses.com/contact-us-we-buy-houses-philadelphia/</x:v>
      </x:c>
      <x:c r="J1196" s="16" t="str">
        <x:v>PA</x:v>
      </x:c>
      <x:c r="K1196" s="16" t="str">
        <x:v>Trevose</x:v>
      </x:c>
      <x:c r="L1196" s="16" t="str">
        <x:v>Public property-business route; investor decision maker unconfirmed</x:v>
      </x:c>
      <x:c r="M1196" s="16" t="str">
        <x:v>https://www.phillywebuyhouses.com/contact-us-we-buy-houses-philadelphia/</x:v>
      </x:c>
      <x:c r="N1196" s="16" t="str">
        <x:v>$100K-$500K ticket not published / unconfirmed</x:v>
      </x:c>
      <x:c r="O1196" s="20"/>
      <x:c r="P1196" s="20"/>
      <x:c r="Q1196" s="25" t="str">
        <x:v>No direct corporate-capital range established in checked source</x:v>
      </x:c>
      <x:c r="R1196" s="25" t="str">
        <x:v>Property acquisition or investor activity makes this an operator-capital prospect for the signed trial. Confirm operating-company debt/equity appetite.</x:v>
      </x:c>
      <x:c r="S1196" s="25"/>
      <x:c r="T1196" s="25" t="str">
        <x:v>Ask the owner/investor whether they can allocate $100K-$500K to trial marketing and acquisitions, and confirm structure, timing and decision authority.</x:v>
      </x:c>
      <x:c r="U1196" s="25" t="str">
        <x:v>https://www.cashhomebuyersdirectory.com/cash-home-buyers/pennsylvania/trevose</x:v>
      </x:c>
      <x:c r="V1196" s="26" t="d">
        <x:v>2026-10-02T00:00:00.000Z</x:v>
      </x:c>
      <x:c r="W1196" s="26" t="d">
        <x:v>2026-10-02T00:00:00.000Z</x:v>
      </x:c>
      <x:c r="X1196" s="25" t="str">
        <x:v>CashHomeBuyersDirectory third-party business listing; first-party business activity not checked in this batch</x:v>
      </x:c>
      <x:c r="Y1196" s="25"/>
      <x:c r="Z1196" s="25" t="str">
        <x:v>https://www.cashhomebuyersdirectory.com/cash-home-buyers/pennsylvania/trevose</x:v>
      </x:c>
      <x:c r="AA1196" s="25" t="str">
        <x:v>Public cash-home-buyer directory lists the business name, business phone/website where available and market. Operator role and corporate funding willingness require confirmation.</x:v>
      </x:c>
      <x:c r="AB1196" s="3" t="str">
        <x:v>New public-source collection</x:v>
      </x:c>
      <x:c r="AC1196" s="3" t="str">
        <x:v>unverified</x:v>
      </x:c>
      <x:c r="AD1196" s="3" t="str">
        <x:v>Not contacted / unconfirmed</x:v>
      </x:c>
      <x:c r="AE1196" s="3" t="str">
        <x:v>No</x:v>
      </x:c>
      <x:c r="AF1196" s="3" t="str">
        <x:v>No</x:v>
      </x:c>
      <x:c r="AG1196" s="3"/>
      <x:c r="AH1196" s="3"/>
      <x:c r="AI1196" s="18"/>
      <x:c r="AJ1196" s="3" t="str">
        <x:v>CF2500-B8F7A19EE979</x:v>
      </x:c>
      <x:c r="AK1196" s="3" t="str">
        <x:v>real_estate_operator</x:v>
      </x:c>
      <x:c r="AL1196" s="19" t="n">
        <x:v>100000</x:v>
      </x:c>
      <x:c r="AM1196" s="19" t="n">
        <x:v>500000</x:v>
      </x:c>
      <x:c r="AN1196" s="3" t="str">
        <x:v>https://www.cashhomebuyersdirectory.com/cash-home-buyers/pennsylvania/trevose</x:v>
      </x:c>
      <x:c r="AO1196" s="3" t="str">
        <x:v>national_rest_directory_complete.jsonl</x:v>
      </x:c>
      <x:c r="AP1196" s="19"/>
    </x:row>
    <x:row r="1197" ht="36" customHeight="1">
      <x:c r="A1197" s="23" t="n">
        <x:v>1196</x:v>
      </x:c>
      <x:c r="B1197" s="15" t="str">
        <x:v>Platinum Home Buyers</x:v>
      </x:c>
      <x:c r="C1197" s="15"/>
      <x:c r="D1197" s="15" t="str">
        <x:v>Property investor / home-buying operator</x:v>
      </x:c>
      <x:c r="E1197" s="15" t="str">
        <x:v>Property investor / operator inquiry</x:v>
      </x:c>
      <x:c r="F1197" s="17" t="str">
        <x:v>New</x:v>
      </x:c>
      <x:c r="G1197" s="24"/>
      <x:c r="H1197" s="24" t="str">
        <x:v>+17328897874</x:v>
      </x:c>
      <x:c r="I1197" s="24" t="str">
        <x:v>https://www.platinumhomebuyers.com/</x:v>
      </x:c>
      <x:c r="J1197" s="16" t="str">
        <x:v>NJ</x:v>
      </x:c>
      <x:c r="K1197" s="16"/>
      <x:c r="L1197" s="16" t="str">
        <x:v>Public property-business route; investor decision maker unconfirmed</x:v>
      </x:c>
      <x:c r="M1197" s="16" t="str">
        <x:v>https://www.platinumhomebuyers.com/</x:v>
      </x:c>
      <x:c r="N1197" s="16" t="str">
        <x:v>$100K-$500K ticket not published / unconfirmed</x:v>
      </x:c>
      <x:c r="O1197" s="20"/>
      <x:c r="P1197" s="20"/>
      <x:c r="Q1197" s="25" t="str">
        <x:v>No direct corporate-capital range established in checked source</x:v>
      </x:c>
      <x:c r="R1197" s="25" t="str">
        <x:v>Property acquisition or investor activity makes this an operator-capital prospect for the signed trial. Confirm operating-company debt/equity appetite.</x:v>
      </x:c>
      <x:c r="S1197" s="25"/>
      <x:c r="T1197" s="25" t="str">
        <x:v>Ask the owner/investor whether they can allocate $100K-$500K to trial marketing and acquisitions, and confirm structure, timing and decision authority.</x:v>
      </x:c>
      <x:c r="U1197" s="25" t="str">
        <x:v>https://www.cashhomebuyersdirectory.com/cash-home-buyers/new-jersey/jersey-city</x:v>
      </x:c>
      <x:c r="V1197" s="26" t="d">
        <x:v>2026-10-02T00:00:00.000Z</x:v>
      </x:c>
      <x:c r="W1197" s="26" t="d">
        <x:v>2026-10-02T00:00:00.000Z</x:v>
      </x:c>
      <x:c r="X1197" s="25" t="str">
        <x:v>CashHomeBuyersDirectory third-party business listing; first-party business activity not checked in this batch</x:v>
      </x:c>
      <x:c r="Y1197" s="25"/>
      <x:c r="Z1197" s="25" t="str">
        <x:v>https://www.cashhomebuyersdirectory.com/cash-home-buyers/new-jersey/jersey-city</x:v>
      </x:c>
      <x:c r="AA1197" s="25" t="str">
        <x:v>Public cash-home-buyer directory lists the business name, business phone/website where available and market. Operator role and corporate funding willingness require confirmation.</x:v>
      </x:c>
      <x:c r="AB1197" s="3" t="str">
        <x:v>New public-source collection</x:v>
      </x:c>
      <x:c r="AC1197" s="3" t="str">
        <x:v>unverified</x:v>
      </x:c>
      <x:c r="AD1197" s="3" t="str">
        <x:v>Not contacted / unconfirmed</x:v>
      </x:c>
      <x:c r="AE1197" s="3" t="str">
        <x:v>No</x:v>
      </x:c>
      <x:c r="AF1197" s="3" t="str">
        <x:v>No</x:v>
      </x:c>
      <x:c r="AG1197" s="3"/>
      <x:c r="AH1197" s="3"/>
      <x:c r="AI1197" s="18"/>
      <x:c r="AJ1197" s="3" t="str">
        <x:v>CF2500-4C18D620C85D</x:v>
      </x:c>
      <x:c r="AK1197" s="3" t="str">
        <x:v>real_estate_operator</x:v>
      </x:c>
      <x:c r="AL1197" s="19" t="n">
        <x:v>100000</x:v>
      </x:c>
      <x:c r="AM1197" s="19" t="n">
        <x:v>500000</x:v>
      </x:c>
      <x:c r="AN1197" s="3" t="str">
        <x:v>https://www.cashhomebuyersdirectory.com/cash-home-buyers/new-jersey/jersey-city</x:v>
      </x:c>
      <x:c r="AO1197" s="3" t="str">
        <x:v>national_rest_directory_complete.jsonl</x:v>
      </x:c>
      <x:c r="AP1197" s="19"/>
    </x:row>
    <x:row r="1198" ht="36" customHeight="1">
      <x:c r="A1198" s="23" t="n">
        <x:v>1197</x:v>
      </x:c>
      <x:c r="B1198" s="15" t="str">
        <x:v>PNW Home Buyers LLC</x:v>
      </x:c>
      <x:c r="C1198" s="15"/>
      <x:c r="D1198" s="15" t="str">
        <x:v>Property investor / home-buying operator</x:v>
      </x:c>
      <x:c r="E1198" s="15" t="str">
        <x:v>Property investor / operator inquiry</x:v>
      </x:c>
      <x:c r="F1198" s="17" t="str">
        <x:v>New</x:v>
      </x:c>
      <x:c r="G1198" s="24"/>
      <x:c r="H1198" s="24" t="str">
        <x:v>+14255854338</x:v>
      </x:c>
      <x:c r="I1198" s="24" t="str">
        <x:v>https://www.pnwhb.com/</x:v>
      </x:c>
      <x:c r="J1198" s="16" t="str">
        <x:v>WA</x:v>
      </x:c>
      <x:c r="K1198" s="16" t="str">
        <x:v>Seattle</x:v>
      </x:c>
      <x:c r="L1198" s="16" t="str">
        <x:v>Public property-business route; investor decision maker unconfirmed</x:v>
      </x:c>
      <x:c r="M1198" s="16" t="str">
        <x:v>https://www.pnwhb.com/</x:v>
      </x:c>
      <x:c r="N1198" s="16" t="str">
        <x:v>$100K-$500K ticket not published / unconfirmed</x:v>
      </x:c>
      <x:c r="O1198" s="20"/>
      <x:c r="P1198" s="20"/>
      <x:c r="Q1198" s="25" t="str">
        <x:v>No direct corporate-capital range established in checked source</x:v>
      </x:c>
      <x:c r="R1198" s="25" t="str">
        <x:v>Property acquisition or investor activity makes this an operator-capital prospect for the signed trial. Confirm operating-company debt/equity appetite.</x:v>
      </x:c>
      <x:c r="S1198" s="25"/>
      <x:c r="T1198" s="25" t="str">
        <x:v>Ask the owner/investor whether they can allocate $100K-$500K to trial marketing and acquisitions, and confirm structure, timing and decision authority.</x:v>
      </x:c>
      <x:c r="U1198" s="25" t="str">
        <x:v>https://www.cashhomebuyersdirectory.com/cash-home-buyers/washington/seattle</x:v>
      </x:c>
      <x:c r="V1198" s="26" t="d">
        <x:v>2026-10-02T00:00:00.000Z</x:v>
      </x:c>
      <x:c r="W1198" s="26" t="d">
        <x:v>2026-10-02T00:00:00.000Z</x:v>
      </x:c>
      <x:c r="X1198" s="25" t="str">
        <x:v>CashHomeBuyersDirectory third-party business listing; first-party business activity not checked in this batch</x:v>
      </x:c>
      <x:c r="Y1198" s="25"/>
      <x:c r="Z1198" s="25" t="str">
        <x:v>https://www.cashhomebuyersdirectory.com/cash-home-buyers/washington/seattle</x:v>
      </x:c>
      <x:c r="AA1198" s="25" t="str">
        <x:v>Public cash-home-buyer directory lists the business name, business phone/website where available and market. Operator role and corporate funding willingness require confirmation.</x:v>
      </x:c>
      <x:c r="AB1198" s="3" t="str">
        <x:v>New public-source collection</x:v>
      </x:c>
      <x:c r="AC1198" s="3" t="str">
        <x:v>unverified</x:v>
      </x:c>
      <x:c r="AD1198" s="3" t="str">
        <x:v>Not contacted / unconfirmed</x:v>
      </x:c>
      <x:c r="AE1198" s="3" t="str">
        <x:v>No</x:v>
      </x:c>
      <x:c r="AF1198" s="3" t="str">
        <x:v>No</x:v>
      </x:c>
      <x:c r="AG1198" s="3"/>
      <x:c r="AH1198" s="3"/>
      <x:c r="AI1198" s="18"/>
      <x:c r="AJ1198" s="3" t="str">
        <x:v>CF2500-0A5550C520E2</x:v>
      </x:c>
      <x:c r="AK1198" s="3" t="str">
        <x:v>real_estate_operator</x:v>
      </x:c>
      <x:c r="AL1198" s="19" t="n">
        <x:v>100000</x:v>
      </x:c>
      <x:c r="AM1198" s="19" t="n">
        <x:v>500000</x:v>
      </x:c>
      <x:c r="AN1198" s="3" t="str">
        <x:v>https://www.cashhomebuyersdirectory.com/cash-home-buyers/washington/seattle</x:v>
      </x:c>
      <x:c r="AO1198" s="3" t="str">
        <x:v>national_rest_directory_complete.jsonl</x:v>
      </x:c>
      <x:c r="AP1198" s="19"/>
    </x:row>
    <x:row r="1199" ht="36" customHeight="1">
      <x:c r="A1199" s="23" t="n">
        <x:v>1198</x:v>
      </x:c>
      <x:c r="B1199" s="15" t="str">
        <x:v>Pocono Cash Home Buyers LLC</x:v>
      </x:c>
      <x:c r="C1199" s="15"/>
      <x:c r="D1199" s="15" t="str">
        <x:v>Property investor / home-buying operator</x:v>
      </x:c>
      <x:c r="E1199" s="15" t="str">
        <x:v>Property investor / operator inquiry</x:v>
      </x:c>
      <x:c r="F1199" s="17" t="str">
        <x:v>New</x:v>
      </x:c>
      <x:c r="G1199" s="24"/>
      <x:c r="H1199" s="24" t="str">
        <x:v>+15703004887</x:v>
      </x:c>
      <x:c r="I1199" s="24" t="str">
        <x:v>https://www.poconocashhomebuyers.com/</x:v>
      </x:c>
      <x:c r="J1199" s="16" t="str">
        <x:v>PA</x:v>
      </x:c>
      <x:c r="K1199" s="16" t="str">
        <x:v>Mt Pocono</x:v>
      </x:c>
      <x:c r="L1199" s="16" t="str">
        <x:v>Public property-business route; investor decision maker unconfirmed</x:v>
      </x:c>
      <x:c r="M1199" s="16" t="str">
        <x:v>https://www.poconocashhomebuyers.com/</x:v>
      </x:c>
      <x:c r="N1199" s="16" t="str">
        <x:v>$100K-$500K ticket not published / unconfirmed</x:v>
      </x:c>
      <x:c r="O1199" s="20"/>
      <x:c r="P1199" s="20"/>
      <x:c r="Q1199" s="25" t="str">
        <x:v>No direct corporate-capital range established in checked source</x:v>
      </x:c>
      <x:c r="R1199" s="25" t="str">
        <x:v>Property acquisition or investor activity makes this an operator-capital prospect for the signed trial. Confirm operating-company debt/equity appetite.</x:v>
      </x:c>
      <x:c r="S1199" s="25"/>
      <x:c r="T1199" s="25" t="str">
        <x:v>Ask the owner/investor whether they can allocate $100K-$500K to trial marketing and acquisitions, and confirm structure, timing and decision authority.</x:v>
      </x:c>
      <x:c r="U1199" s="25" t="str">
        <x:v>https://www.cashhomebuyersdirectory.com/cash-home-buyers/pennsylvania/mt-pocono</x:v>
      </x:c>
      <x:c r="V1199" s="26" t="d">
        <x:v>2026-10-02T00:00:00.000Z</x:v>
      </x:c>
      <x:c r="W1199" s="26" t="d">
        <x:v>2026-10-02T00:00:00.000Z</x:v>
      </x:c>
      <x:c r="X1199" s="25" t="str">
        <x:v>CashHomeBuyersDirectory third-party business listing; first-party business activity not checked in this batch</x:v>
      </x:c>
      <x:c r="Y1199" s="25"/>
      <x:c r="Z1199" s="25" t="str">
        <x:v>https://www.cashhomebuyersdirectory.com/cash-home-buyers/pennsylvania/mt-pocono</x:v>
      </x:c>
      <x:c r="AA1199" s="25" t="str">
        <x:v>Public cash-home-buyer directory lists the business name, business phone/website where available and market. Operator role and corporate funding willingness require confirmation.</x:v>
      </x:c>
      <x:c r="AB1199" s="3" t="str">
        <x:v>New public-source collection</x:v>
      </x:c>
      <x:c r="AC1199" s="3" t="str">
        <x:v>unverified</x:v>
      </x:c>
      <x:c r="AD1199" s="3" t="str">
        <x:v>Not contacted / unconfirmed</x:v>
      </x:c>
      <x:c r="AE1199" s="3" t="str">
        <x:v>No</x:v>
      </x:c>
      <x:c r="AF1199" s="3" t="str">
        <x:v>No</x:v>
      </x:c>
      <x:c r="AG1199" s="3"/>
      <x:c r="AH1199" s="3"/>
      <x:c r="AI1199" s="18"/>
      <x:c r="AJ1199" s="3" t="str">
        <x:v>CF2500-061F59EDBBF8</x:v>
      </x:c>
      <x:c r="AK1199" s="3" t="str">
        <x:v>real_estate_operator</x:v>
      </x:c>
      <x:c r="AL1199" s="19" t="n">
        <x:v>100000</x:v>
      </x:c>
      <x:c r="AM1199" s="19" t="n">
        <x:v>500000</x:v>
      </x:c>
      <x:c r="AN1199" s="3" t="str">
        <x:v>https://www.cashhomebuyersdirectory.com/cash-home-buyers/pennsylvania/mt-pocono</x:v>
      </x:c>
      <x:c r="AO1199" s="3" t="str">
        <x:v>national_rest_directory_complete.jsonl</x:v>
      </x:c>
      <x:c r="AP1199" s="19"/>
    </x:row>
    <x:row r="1200" ht="36" customHeight="1">
      <x:c r="A1200" s="23" t="n">
        <x:v>1199</x:v>
      </x:c>
      <x:c r="B1200" s="15" t="str">
        <x:v>Precision Property Buyers</x:v>
      </x:c>
      <x:c r="C1200" s="15"/>
      <x:c r="D1200" s="15" t="str">
        <x:v>Property investor / home-buying operator</x:v>
      </x:c>
      <x:c r="E1200" s="15" t="str">
        <x:v>Property investor / operator inquiry</x:v>
      </x:c>
      <x:c r="F1200" s="17" t="str">
        <x:v>New</x:v>
      </x:c>
      <x:c r="G1200" s="24"/>
      <x:c r="H1200" s="24" t="str">
        <x:v>+15095658834</x:v>
      </x:c>
      <x:c r="I1200" s="24" t="str">
        <x:v>http://www.sellhousefastspokane.com/</x:v>
      </x:c>
      <x:c r="J1200" s="16" t="str">
        <x:v>WA</x:v>
      </x:c>
      <x:c r="K1200" s="16"/>
      <x:c r="L1200" s="16" t="str">
        <x:v>Public property-business route; investor decision maker unconfirmed</x:v>
      </x:c>
      <x:c r="M1200" s="16" t="str">
        <x:v>http://www.sellhousefastspokane.com/</x:v>
      </x:c>
      <x:c r="N1200" s="16" t="str">
        <x:v>$100K-$500K ticket not published / unconfirmed</x:v>
      </x:c>
      <x:c r="O1200" s="20"/>
      <x:c r="P1200" s="20"/>
      <x:c r="Q1200" s="25" t="str">
        <x:v>No direct corporate-capital range established in checked source</x:v>
      </x:c>
      <x:c r="R1200" s="25" t="str">
        <x:v>Property acquisition or investor activity makes this an operator-capital prospect for the signed trial. Confirm operating-company debt/equity appetite.</x:v>
      </x:c>
      <x:c r="S1200" s="25"/>
      <x:c r="T1200" s="25" t="str">
        <x:v>Ask the owner/investor whether they can allocate $100K-$500K to trial marketing and acquisitions, and confirm structure, timing and decision authority.</x:v>
      </x:c>
      <x:c r="U1200" s="25" t="str">
        <x:v>https://www.cashhomebuyersdirectory.com/cash-home-buyers/washington/spokane</x:v>
      </x:c>
      <x:c r="V1200" s="26" t="d">
        <x:v>2026-10-02T00:00:00.000Z</x:v>
      </x:c>
      <x:c r="W1200" s="26" t="d">
        <x:v>2026-10-02T00:00:00.000Z</x:v>
      </x:c>
      <x:c r="X1200" s="25" t="str">
        <x:v>CashHomeBuyersDirectory third-party business listing; first-party business activity not checked in this batch</x:v>
      </x:c>
      <x:c r="Y1200" s="25"/>
      <x:c r="Z1200" s="25" t="str">
        <x:v>https://www.cashhomebuyersdirectory.com/cash-home-buyers/washington/spokane</x:v>
      </x:c>
      <x:c r="AA1200" s="25" t="str">
        <x:v>Public cash-home-buyer directory lists the business name, business phone/website where available and market. Operator role and corporate funding willingness require confirmation.</x:v>
      </x:c>
      <x:c r="AB1200" s="3" t="str">
        <x:v>New public-source collection</x:v>
      </x:c>
      <x:c r="AC1200" s="3" t="str">
        <x:v>unverified</x:v>
      </x:c>
      <x:c r="AD1200" s="3" t="str">
        <x:v>Not contacted / unconfirmed</x:v>
      </x:c>
      <x:c r="AE1200" s="3" t="str">
        <x:v>No</x:v>
      </x:c>
      <x:c r="AF1200" s="3" t="str">
        <x:v>No</x:v>
      </x:c>
      <x:c r="AG1200" s="3"/>
      <x:c r="AH1200" s="3"/>
      <x:c r="AI1200" s="18"/>
      <x:c r="AJ1200" s="3" t="str">
        <x:v>CF2500-A82721F00B62</x:v>
      </x:c>
      <x:c r="AK1200" s="3" t="str">
        <x:v>real_estate_operator</x:v>
      </x:c>
      <x:c r="AL1200" s="19" t="n">
        <x:v>100000</x:v>
      </x:c>
      <x:c r="AM1200" s="19" t="n">
        <x:v>500000</x:v>
      </x:c>
      <x:c r="AN1200" s="3" t="str">
        <x:v>https://www.cashhomebuyersdirectory.com/cash-home-buyers/washington/spokane</x:v>
      </x:c>
      <x:c r="AO1200" s="3" t="str">
        <x:v>national_rest_directory_complete.jsonl</x:v>
      </x:c>
      <x:c r="AP1200" s="19"/>
    </x:row>
    <x:row r="1201" ht="36" customHeight="1">
      <x:c r="A1201" s="23" t="n">
        <x:v>1200</x:v>
      </x:c>
      <x:c r="B1201" s="15" t="str">
        <x:v>Premier Home Buyers USA</x:v>
      </x:c>
      <x:c r="C1201" s="15"/>
      <x:c r="D1201" s="15" t="str">
        <x:v>Property investor / home-buying operator</x:v>
      </x:c>
      <x:c r="E1201" s="15" t="str">
        <x:v>Property investor / operator inquiry</x:v>
      </x:c>
      <x:c r="F1201" s="17" t="str">
        <x:v>New</x:v>
      </x:c>
      <x:c r="G1201" s="24"/>
      <x:c r="H1201" s="24" t="str">
        <x:v>+18884321620</x:v>
      </x:c>
      <x:c r="I1201" s="24" t="str">
        <x:v>https://www.premierhomebuyersusa.com/</x:v>
      </x:c>
      <x:c r="J1201" s="16" t="str">
        <x:v>MD</x:v>
      </x:c>
      <x:c r="K1201" s="16" t="str">
        <x:v>Hughesville</x:v>
      </x:c>
      <x:c r="L1201" s="16" t="str">
        <x:v>Public property-business route; investor decision maker unconfirmed</x:v>
      </x:c>
      <x:c r="M1201" s="16" t="str">
        <x:v>https://www.premierhomebuyersusa.com/</x:v>
      </x:c>
      <x:c r="N1201" s="16" t="str">
        <x:v>$100K-$500K ticket not published / unconfirmed</x:v>
      </x:c>
      <x:c r="O1201" s="20"/>
      <x:c r="P1201" s="20"/>
      <x:c r="Q1201" s="25" t="str">
        <x:v>No direct corporate-capital range established in checked source</x:v>
      </x:c>
      <x:c r="R1201" s="25" t="str">
        <x:v>Property acquisition or investor activity makes this an operator-capital prospect for the signed trial. Confirm operating-company debt/equity appetite.</x:v>
      </x:c>
      <x:c r="S1201" s="25"/>
      <x:c r="T1201" s="25" t="str">
        <x:v>Ask the owner/investor whether they can allocate $100K-$500K to trial marketing and acquisitions, and confirm structure, timing and decision authority.</x:v>
      </x:c>
      <x:c r="U1201" s="25" t="str">
        <x:v>https://www.cashhomebuyersdirectory.com/cash-home-buyers/maryland/hughesville</x:v>
      </x:c>
      <x:c r="V1201" s="26" t="d">
        <x:v>2026-10-02T00:00:00.000Z</x:v>
      </x:c>
      <x:c r="W1201" s="26" t="d">
        <x:v>2026-10-02T00:00:00.000Z</x:v>
      </x:c>
      <x:c r="X1201" s="25" t="str">
        <x:v>CashHomeBuyersDirectory third-party business listing; first-party business activity not checked in this batch</x:v>
      </x:c>
      <x:c r="Y1201" s="25"/>
      <x:c r="Z1201" s="25" t="str">
        <x:v>https://www.cashhomebuyersdirectory.com/cash-home-buyers/maryland/hughesville</x:v>
      </x:c>
      <x:c r="AA1201" s="25" t="str">
        <x:v>Public cash-home-buyer directory lists the business name, business phone/website where available and market. Operator role and corporate funding willingness require confirmation.</x:v>
      </x:c>
      <x:c r="AB1201" s="3" t="str">
        <x:v>New public-source collection</x:v>
      </x:c>
      <x:c r="AC1201" s="3" t="str">
        <x:v>unverified</x:v>
      </x:c>
      <x:c r="AD1201" s="3" t="str">
        <x:v>Not contacted / unconfirmed</x:v>
      </x:c>
      <x:c r="AE1201" s="3" t="str">
        <x:v>No</x:v>
      </x:c>
      <x:c r="AF1201" s="3" t="str">
        <x:v>No</x:v>
      </x:c>
      <x:c r="AG1201" s="3"/>
      <x:c r="AH1201" s="3"/>
      <x:c r="AI1201" s="18"/>
      <x:c r="AJ1201" s="3" t="str">
        <x:v>CF2500-70BC6CA0A832</x:v>
      </x:c>
      <x:c r="AK1201" s="3" t="str">
        <x:v>real_estate_operator</x:v>
      </x:c>
      <x:c r="AL1201" s="19" t="n">
        <x:v>100000</x:v>
      </x:c>
      <x:c r="AM1201" s="19" t="n">
        <x:v>500000</x:v>
      </x:c>
      <x:c r="AN1201" s="3" t="str">
        <x:v>https://www.cashhomebuyersdirectory.com/cash-home-buyers/maryland/hughesville</x:v>
      </x:c>
      <x:c r="AO1201" s="3" t="str">
        <x:v>national_rest_directory_complete.jsonl</x:v>
      </x:c>
      <x:c r="AP1201" s="19"/>
    </x:row>
    <x:row r="1202" ht="36" customHeight="1">
      <x:c r="A1202" s="23" t="n">
        <x:v>1201</x:v>
      </x:c>
      <x:c r="B1202" s="15" t="str">
        <x:v>Prime Home Buyers</x:v>
      </x:c>
      <x:c r="C1202" s="15"/>
      <x:c r="D1202" s="15" t="str">
        <x:v>Property investor / home-buying operator</x:v>
      </x:c>
      <x:c r="E1202" s="15" t="str">
        <x:v>Property investor / operator inquiry</x:v>
      </x:c>
      <x:c r="F1202" s="17" t="str">
        <x:v>New</x:v>
      </x:c>
      <x:c r="G1202" s="24"/>
      <x:c r="H1202" s="24" t="str">
        <x:v>+15404405939</x:v>
      </x:c>
      <x:c r="I1202" s="24" t="str">
        <x:v>http://www.primehomebuyers.net/</x:v>
      </x:c>
      <x:c r="J1202" s="16" t="str">
        <x:v>VA</x:v>
      </x:c>
      <x:c r="K1202" s="16" t="str">
        <x:v>Roanoke</x:v>
      </x:c>
      <x:c r="L1202" s="16" t="str">
        <x:v>Public property-business route; investor decision maker unconfirmed</x:v>
      </x:c>
      <x:c r="M1202" s="16" t="str">
        <x:v>http://www.primehomebuyers.net/</x:v>
      </x:c>
      <x:c r="N1202" s="16" t="str">
        <x:v>$100K-$500K ticket not published / unconfirmed</x:v>
      </x:c>
      <x:c r="O1202" s="20"/>
      <x:c r="P1202" s="20"/>
      <x:c r="Q1202" s="25" t="str">
        <x:v>No direct corporate-capital range established in checked source</x:v>
      </x:c>
      <x:c r="R1202" s="25" t="str">
        <x:v>Property acquisition or investor activity makes this an operator-capital prospect for the signed trial. Confirm operating-company debt/equity appetite.</x:v>
      </x:c>
      <x:c r="S1202" s="25"/>
      <x:c r="T1202" s="25" t="str">
        <x:v>Ask the owner/investor whether they can allocate $100K-$500K to trial marketing and acquisitions, and confirm structure, timing and decision authority.</x:v>
      </x:c>
      <x:c r="U1202" s="25" t="str">
        <x:v>https://www.cashhomebuyersdirectory.com/cash-home-buyers/virginia/roanoke</x:v>
      </x:c>
      <x:c r="V1202" s="26" t="d">
        <x:v>2026-10-02T00:00:00.000Z</x:v>
      </x:c>
      <x:c r="W1202" s="26" t="d">
        <x:v>2026-10-02T00:00:00.000Z</x:v>
      </x:c>
      <x:c r="X1202" s="25" t="str">
        <x:v>CashHomeBuyersDirectory third-party business listing; first-party business activity not checked in this batch</x:v>
      </x:c>
      <x:c r="Y1202" s="25"/>
      <x:c r="Z1202" s="25" t="str">
        <x:v>https://www.cashhomebuyersdirectory.com/cash-home-buyers/virginia/roanoke</x:v>
      </x:c>
      <x:c r="AA1202" s="25" t="str">
        <x:v>Public cash-home-buyer directory lists the business name, business phone/website where available and market. Operator role and corporate funding willingness require confirmation.</x:v>
      </x:c>
      <x:c r="AB1202" s="3" t="str">
        <x:v>New public-source collection</x:v>
      </x:c>
      <x:c r="AC1202" s="3" t="str">
        <x:v>unverified</x:v>
      </x:c>
      <x:c r="AD1202" s="3" t="str">
        <x:v>Not contacted / unconfirmed</x:v>
      </x:c>
      <x:c r="AE1202" s="3" t="str">
        <x:v>No</x:v>
      </x:c>
      <x:c r="AF1202" s="3" t="str">
        <x:v>No</x:v>
      </x:c>
      <x:c r="AG1202" s="3"/>
      <x:c r="AH1202" s="3"/>
      <x:c r="AI1202" s="18"/>
      <x:c r="AJ1202" s="3" t="str">
        <x:v>CF2500-E7A6B0573594</x:v>
      </x:c>
      <x:c r="AK1202" s="3" t="str">
        <x:v>real_estate_operator</x:v>
      </x:c>
      <x:c r="AL1202" s="19" t="n">
        <x:v>100000</x:v>
      </x:c>
      <x:c r="AM1202" s="19" t="n">
        <x:v>500000</x:v>
      </x:c>
      <x:c r="AN1202" s="3" t="str">
        <x:v>https://www.cashhomebuyersdirectory.com/cash-home-buyers/virginia/roanoke</x:v>
      </x:c>
      <x:c r="AO1202" s="3" t="str">
        <x:v>national_rest_directory_complete.jsonl</x:v>
      </x:c>
      <x:c r="AP1202" s="19"/>
    </x:row>
    <x:row r="1203" ht="36" customHeight="1">
      <x:c r="A1203" s="23" t="n">
        <x:v>1202</x:v>
      </x:c>
      <x:c r="B1203" s="15" t="str">
        <x:v>Pro Cash Home Buyers</x:v>
      </x:c>
      <x:c r="C1203" s="15"/>
      <x:c r="D1203" s="15" t="str">
        <x:v>Property investor / home-buying operator</x:v>
      </x:c>
      <x:c r="E1203" s="15" t="str">
        <x:v>Property investor / operator inquiry</x:v>
      </x:c>
      <x:c r="F1203" s="17" t="str">
        <x:v>New</x:v>
      </x:c>
      <x:c r="G1203" s="24"/>
      <x:c r="H1203" s="24" t="str">
        <x:v>+12137704885</x:v>
      </x:c>
      <x:c r="I1203" s="24" t="str">
        <x:v>https://www.procashhomebuyers.com/</x:v>
      </x:c>
      <x:c r="J1203" s="16" t="str">
        <x:v>CA</x:v>
      </x:c>
      <x:c r="K1203" s="16" t="str">
        <x:v>Los Angeles</x:v>
      </x:c>
      <x:c r="L1203" s="16" t="str">
        <x:v>Public property-business route; investor decision maker unconfirmed</x:v>
      </x:c>
      <x:c r="M1203" s="16" t="str">
        <x:v>https://www.procashhomebuyers.com/</x:v>
      </x:c>
      <x:c r="N1203" s="16" t="str">
        <x:v>$100K-$500K ticket not published / unconfirmed</x:v>
      </x:c>
      <x:c r="O1203" s="20"/>
      <x:c r="P1203" s="20"/>
      <x:c r="Q1203" s="25" t="str">
        <x:v>No direct corporate-capital range established in checked source</x:v>
      </x:c>
      <x:c r="R1203" s="25" t="str">
        <x:v>Property acquisition or investor activity makes this an operator-capital prospect for the signed trial. Confirm operating-company debt/equity appetite.</x:v>
      </x:c>
      <x:c r="S1203" s="25"/>
      <x:c r="T1203" s="25" t="str">
        <x:v>Ask the owner/investor whether they can allocate $100K-$500K to trial marketing and acquisitions, and confirm structure, timing and decision authority.</x:v>
      </x:c>
      <x:c r="U1203" s="25" t="str">
        <x:v>https://www.cashhomebuyersdirectory.com/cash-home-buyers/california/los-angeles
https://www.cashhomebuyersdirectory.com/cash-home-buyers/maryland/severna-park</x:v>
      </x:c>
      <x:c r="V1203" s="26" t="d">
        <x:v>2026-10-02T00:00:00.000Z</x:v>
      </x:c>
      <x:c r="W1203" s="26" t="d">
        <x:v>2026-10-02T00:00:00.000Z</x:v>
      </x:c>
      <x:c r="X1203" s="25" t="str">
        <x:v>CashHomeBuyersDirectory third-party business listing; first-party business activity not checked in this batch</x:v>
      </x:c>
      <x:c r="Y1203" s="25"/>
      <x:c r="Z1203" s="25" t="str">
        <x:v>https://www.cashhomebuyersdirectory.com/cash-home-buyers/california/los-angeles</x:v>
      </x:c>
      <x:c r="AA1203" s="25" t="str">
        <x:v>Public cash-home-buyer directory lists the business name, business phone/website where available and market. Operator role and corporate funding willingness require confirmation.</x:v>
      </x:c>
      <x:c r="AB1203" s="3" t="str">
        <x:v>New public-source collection</x:v>
      </x:c>
      <x:c r="AC1203" s="3" t="str">
        <x:v>unverified</x:v>
      </x:c>
      <x:c r="AD1203" s="3" t="str">
        <x:v>Not contacted / unconfirmed</x:v>
      </x:c>
      <x:c r="AE1203" s="3" t="str">
        <x:v>No</x:v>
      </x:c>
      <x:c r="AF1203" s="3" t="str">
        <x:v>No</x:v>
      </x:c>
      <x:c r="AG1203" s="3"/>
      <x:c r="AH1203" s="3"/>
      <x:c r="AI1203" s="18"/>
      <x:c r="AJ1203" s="3" t="str">
        <x:v>CF2500-23F3C85BBAEC</x:v>
      </x:c>
      <x:c r="AK1203" s="3" t="str">
        <x:v>real_estate_operator</x:v>
      </x:c>
      <x:c r="AL1203" s="19" t="n">
        <x:v>100000</x:v>
      </x:c>
      <x:c r="AM1203" s="19" t="n">
        <x:v>500000</x:v>
      </x:c>
      <x:c r="AN1203" s="3" t="str">
        <x:v>https://www.cashhomebuyersdirectory.com/cash-home-buyers/california/los-angeles</x:v>
      </x:c>
      <x:c r="AO1203" s="3" t="str">
        <x:v>national_rest_directory_complete.jsonl</x:v>
      </x:c>
      <x:c r="AP1203" s="19"/>
    </x:row>
    <x:row r="1204" ht="36" customHeight="1">
      <x:c r="A1204" s="23" t="n">
        <x:v>1203</x:v>
      </x:c>
      <x:c r="B1204" s="15" t="str">
        <x:v>Prolific Home Buyers LLC</x:v>
      </x:c>
      <x:c r="C1204" s="15"/>
      <x:c r="D1204" s="15" t="str">
        <x:v>Property investor / home-buying operator</x:v>
      </x:c>
      <x:c r="E1204" s="15" t="str">
        <x:v>Property investor / operator inquiry</x:v>
      </x:c>
      <x:c r="F1204" s="17" t="str">
        <x:v>New</x:v>
      </x:c>
      <x:c r="G1204" s="24"/>
      <x:c r="H1204" s="24" t="str">
        <x:v>+15592154904</x:v>
      </x:c>
      <x:c r="I1204" s="24" t="str">
        <x:v>http://prolifichomebuyerss.com/</x:v>
      </x:c>
      <x:c r="J1204" s="16" t="str">
        <x:v>CA</x:v>
      </x:c>
      <x:c r="K1204" s="16"/>
      <x:c r="L1204" s="16" t="str">
        <x:v>Public property-business route; investor decision maker unconfirmed</x:v>
      </x:c>
      <x:c r="M1204" s="16" t="str">
        <x:v>http://prolifichomebuyerss.com/</x:v>
      </x:c>
      <x:c r="N1204" s="16" t="str">
        <x:v>$100K-$500K ticket not published / unconfirmed</x:v>
      </x:c>
      <x:c r="O1204" s="20"/>
      <x:c r="P1204" s="20"/>
      <x:c r="Q1204" s="25" t="str">
        <x:v>No direct corporate-capital range established in checked source</x:v>
      </x:c>
      <x:c r="R1204" s="25" t="str">
        <x:v>Property acquisition or investor activity makes this an operator-capital prospect for the signed trial. Confirm operating-company debt/equity appetite.</x:v>
      </x:c>
      <x:c r="S1204" s="25"/>
      <x:c r="T1204" s="25" t="str">
        <x:v>Ask the owner/investor whether they can allocate $100K-$500K to trial marketing and acquisitions, and confirm structure, timing and decision authority.</x:v>
      </x:c>
      <x:c r="U1204" s="25" t="str">
        <x:v>https://www.cashhomebuyersdirectory.com/cash-home-buyers/california/fresno</x:v>
      </x:c>
      <x:c r="V1204" s="26" t="d">
        <x:v>2026-10-02T00:00:00.000Z</x:v>
      </x:c>
      <x:c r="W1204" s="26" t="d">
        <x:v>2026-10-02T00:00:00.000Z</x:v>
      </x:c>
      <x:c r="X1204" s="25" t="str">
        <x:v>CashHomeBuyersDirectory third-party business listing; first-party business activity not checked in this batch</x:v>
      </x:c>
      <x:c r="Y1204" s="25"/>
      <x:c r="Z1204" s="25" t="str">
        <x:v>https://www.cashhomebuyersdirectory.com/cash-home-buyers/california/fresno</x:v>
      </x:c>
      <x:c r="AA1204" s="25" t="str">
        <x:v>Public cash-home-buyer directory lists the business name, business phone/website where available and market. Operator role and corporate funding willingness require confirmation.</x:v>
      </x:c>
      <x:c r="AB1204" s="3" t="str">
        <x:v>New public-source collection</x:v>
      </x:c>
      <x:c r="AC1204" s="3" t="str">
        <x:v>unverified</x:v>
      </x:c>
      <x:c r="AD1204" s="3" t="str">
        <x:v>Not contacted / unconfirmed</x:v>
      </x:c>
      <x:c r="AE1204" s="3" t="str">
        <x:v>No</x:v>
      </x:c>
      <x:c r="AF1204" s="3" t="str">
        <x:v>No</x:v>
      </x:c>
      <x:c r="AG1204" s="3"/>
      <x:c r="AH1204" s="3"/>
      <x:c r="AI1204" s="18"/>
      <x:c r="AJ1204" s="3" t="str">
        <x:v>CF2500-9BF33F7ADB19</x:v>
      </x:c>
      <x:c r="AK1204" s="3" t="str">
        <x:v>real_estate_operator</x:v>
      </x:c>
      <x:c r="AL1204" s="19" t="n">
        <x:v>100000</x:v>
      </x:c>
      <x:c r="AM1204" s="19" t="n">
        <x:v>500000</x:v>
      </x:c>
      <x:c r="AN1204" s="3" t="str">
        <x:v>https://www.cashhomebuyersdirectory.com/cash-home-buyers/california/fresno</x:v>
      </x:c>
      <x:c r="AO1204" s="3" t="str">
        <x:v>national_rest_directory_complete.jsonl</x:v>
      </x:c>
      <x:c r="AP1204" s="19"/>
    </x:row>
    <x:row r="1205" ht="36" customHeight="1">
      <x:c r="A1205" s="23" t="n">
        <x:v>1204</x:v>
      </x:c>
      <x:c r="B1205" s="15" t="str">
        <x:v>Property Buyers NJ: Trusted ASAP Cash Home Buyers &amp; Real Estate Investors in NJ | We Buy Houses NJ</x:v>
      </x:c>
      <x:c r="C1205" s="15"/>
      <x:c r="D1205" s="15" t="str">
        <x:v>Property investor / home-buying operator</x:v>
      </x:c>
      <x:c r="E1205" s="15" t="str">
        <x:v>Property investor / operator inquiry</x:v>
      </x:c>
      <x:c r="F1205" s="17" t="str">
        <x:v>New</x:v>
      </x:c>
      <x:c r="G1205" s="24"/>
      <x:c r="H1205" s="24" t="str">
        <x:v>+19178561612</x:v>
      </x:c>
      <x:c r="I1205" s="24" t="str">
        <x:v>https://propertybuyernj.com/</x:v>
      </x:c>
      <x:c r="J1205" s="16" t="str">
        <x:v>NJ</x:v>
      </x:c>
      <x:c r="K1205" s="16" t="str">
        <x:v>Trenton</x:v>
      </x:c>
      <x:c r="L1205" s="16" t="str">
        <x:v>Public property-business route; investor decision maker unconfirmed</x:v>
      </x:c>
      <x:c r="M1205" s="16" t="str">
        <x:v>https://propertybuyernj.com/</x:v>
      </x:c>
      <x:c r="N1205" s="16" t="str">
        <x:v>$100K-$500K ticket not published / unconfirmed</x:v>
      </x:c>
      <x:c r="O1205" s="20"/>
      <x:c r="P1205" s="20"/>
      <x:c r="Q1205" s="25" t="str">
        <x:v>No direct corporate-capital range established in checked source</x:v>
      </x:c>
      <x:c r="R1205" s="25" t="str">
        <x:v>Property acquisition or investor activity makes this an operator-capital prospect for the signed trial. Confirm operating-company debt/equity appetite.</x:v>
      </x:c>
      <x:c r="S1205" s="25"/>
      <x:c r="T1205" s="25" t="str">
        <x:v>Ask the owner/investor whether they can allocate $100K-$500K to trial marketing and acquisitions, and confirm structure, timing and decision authority.</x:v>
      </x:c>
      <x:c r="U1205" s="25" t="str">
        <x:v>https://www.cashhomebuyersdirectory.com/cash-home-buyers/new-jersey/trenton</x:v>
      </x:c>
      <x:c r="V1205" s="26" t="d">
        <x:v>2026-10-02T00:00:00.000Z</x:v>
      </x:c>
      <x:c r="W1205" s="26" t="d">
        <x:v>2026-10-02T00:00:00.000Z</x:v>
      </x:c>
      <x:c r="X1205" s="25" t="str">
        <x:v>CashHomeBuyersDirectory third-party business listing; first-party business activity not checked in this batch</x:v>
      </x:c>
      <x:c r="Y1205" s="25"/>
      <x:c r="Z1205" s="25" t="str">
        <x:v>https://www.cashhomebuyersdirectory.com/cash-home-buyers/new-jersey/trenton</x:v>
      </x:c>
      <x:c r="AA1205" s="25" t="str">
        <x:v>Public cash-home-buyer directory lists the business name, business phone/website where available and market. Operator role and corporate funding willingness require confirmation.</x:v>
      </x:c>
      <x:c r="AB1205" s="3" t="str">
        <x:v>New public-source collection</x:v>
      </x:c>
      <x:c r="AC1205" s="3" t="str">
        <x:v>unverified</x:v>
      </x:c>
      <x:c r="AD1205" s="3" t="str">
        <x:v>Not contacted / unconfirmed</x:v>
      </x:c>
      <x:c r="AE1205" s="3" t="str">
        <x:v>No</x:v>
      </x:c>
      <x:c r="AF1205" s="3" t="str">
        <x:v>No</x:v>
      </x:c>
      <x:c r="AG1205" s="3"/>
      <x:c r="AH1205" s="3"/>
      <x:c r="AI1205" s="18"/>
      <x:c r="AJ1205" s="3" t="str">
        <x:v>CF2500-E3A7970D15F7</x:v>
      </x:c>
      <x:c r="AK1205" s="3" t="str">
        <x:v>real_estate_operator</x:v>
      </x:c>
      <x:c r="AL1205" s="19" t="n">
        <x:v>100000</x:v>
      </x:c>
      <x:c r="AM1205" s="19" t="n">
        <x:v>500000</x:v>
      </x:c>
      <x:c r="AN1205" s="3" t="str">
        <x:v>https://www.cashhomebuyersdirectory.com/cash-home-buyers/new-jersey/trenton</x:v>
      </x:c>
      <x:c r="AO1205" s="3" t="str">
        <x:v>national_rest_directory_complete.jsonl</x:v>
      </x:c>
      <x:c r="AP1205" s="19"/>
    </x:row>
    <x:row r="1206" ht="36" customHeight="1">
      <x:c r="A1206" s="23" t="n">
        <x:v>1205</x:v>
      </x:c>
      <x:c r="B1206" s="15" t="str">
        <x:v>Property Homebuyers San Jose - We Buy Houses - Sell My House Fast</x:v>
      </x:c>
      <x:c r="C1206" s="15"/>
      <x:c r="D1206" s="15" t="str">
        <x:v>Property investor / home-buying operator</x:v>
      </x:c>
      <x:c r="E1206" s="15" t="str">
        <x:v>Property investor / operator inquiry</x:v>
      </x:c>
      <x:c r="F1206" s="17" t="str">
        <x:v>New</x:v>
      </x:c>
      <x:c r="G1206" s="24"/>
      <x:c r="H1206" s="24" t="str">
        <x:v>+14083859874</x:v>
      </x:c>
      <x:c r="I1206" s="24" t="str">
        <x:v>https://www.propertyhomebuyersca.com/sell-your-house-fast/</x:v>
      </x:c>
      <x:c r="J1206" s="16" t="str">
        <x:v>CA</x:v>
      </x:c>
      <x:c r="K1206" s="16" t="str">
        <x:v>San Jose</x:v>
      </x:c>
      <x:c r="L1206" s="16" t="str">
        <x:v>Public property-business route; investor decision maker unconfirmed</x:v>
      </x:c>
      <x:c r="M1206" s="16" t="str">
        <x:v>https://www.propertyhomebuyersca.com/sell-your-house-fast/</x:v>
      </x:c>
      <x:c r="N1206" s="16" t="str">
        <x:v>$100K-$500K ticket not published / unconfirmed</x:v>
      </x:c>
      <x:c r="O1206" s="20"/>
      <x:c r="P1206" s="20"/>
      <x:c r="Q1206" s="25" t="str">
        <x:v>No direct corporate-capital range established in checked source</x:v>
      </x:c>
      <x:c r="R1206" s="25" t="str">
        <x:v>Property acquisition or investor activity makes this an operator-capital prospect for the signed trial. Confirm operating-company debt/equity appetite.</x:v>
      </x:c>
      <x:c r="S1206" s="25"/>
      <x:c r="T1206" s="25" t="str">
        <x:v>Ask the owner/investor whether they can allocate $100K-$500K to trial marketing and acquisitions, and confirm structure, timing and decision authority.</x:v>
      </x:c>
      <x:c r="U1206" s="25" t="str">
        <x:v>https://www.cashhomebuyersdirectory.com/cash-home-buyers/california/san-jose</x:v>
      </x:c>
      <x:c r="V1206" s="26" t="d">
        <x:v>2026-10-02T00:00:00.000Z</x:v>
      </x:c>
      <x:c r="W1206" s="26" t="d">
        <x:v>2026-10-02T00:00:00.000Z</x:v>
      </x:c>
      <x:c r="X1206" s="25" t="str">
        <x:v>CashHomeBuyersDirectory third-party business listing; first-party business activity not checked in this batch</x:v>
      </x:c>
      <x:c r="Y1206" s="25"/>
      <x:c r="Z1206" s="25" t="str">
        <x:v>https://www.cashhomebuyersdirectory.com/cash-home-buyers/california/san-jose</x:v>
      </x:c>
      <x:c r="AA1206" s="25" t="str">
        <x:v>Public cash-home-buyer directory lists the business name, business phone/website where available and market. Operator role and corporate funding willingness require confirmation.</x:v>
      </x:c>
      <x:c r="AB1206" s="3" t="str">
        <x:v>New public-source collection</x:v>
      </x:c>
      <x:c r="AC1206" s="3" t="str">
        <x:v>unverified</x:v>
      </x:c>
      <x:c r="AD1206" s="3" t="str">
        <x:v>Not contacted / unconfirmed</x:v>
      </x:c>
      <x:c r="AE1206" s="3" t="str">
        <x:v>No</x:v>
      </x:c>
      <x:c r="AF1206" s="3" t="str">
        <x:v>No</x:v>
      </x:c>
      <x:c r="AG1206" s="3"/>
      <x:c r="AH1206" s="3"/>
      <x:c r="AI1206" s="18"/>
      <x:c r="AJ1206" s="3" t="str">
        <x:v>CF2500-D2B4565F22B8</x:v>
      </x:c>
      <x:c r="AK1206" s="3" t="str">
        <x:v>real_estate_operator</x:v>
      </x:c>
      <x:c r="AL1206" s="19" t="n">
        <x:v>100000</x:v>
      </x:c>
      <x:c r="AM1206" s="19" t="n">
        <x:v>500000</x:v>
      </x:c>
      <x:c r="AN1206" s="3" t="str">
        <x:v>https://www.cashhomebuyersdirectory.com/cash-home-buyers/california/san-jose</x:v>
      </x:c>
      <x:c r="AO1206" s="3" t="str">
        <x:v>national_rest_directory_complete.jsonl</x:v>
      </x:c>
      <x:c r="AP1206" s="19"/>
    </x:row>
    <x:row r="1207" ht="36" customHeight="1">
      <x:c r="A1207" s="23" t="n">
        <x:v>1206</x:v>
      </x:c>
      <x:c r="B1207" s="15" t="str">
        <x:v>Property Sales Group - Sell My House Fast for Cash, Fast, Fair, Stress-Free</x:v>
      </x:c>
      <x:c r="C1207" s="15"/>
      <x:c r="D1207" s="15" t="str">
        <x:v>Property investor / home-buying operator</x:v>
      </x:c>
      <x:c r="E1207" s="15" t="str">
        <x:v>Property investor / operator inquiry</x:v>
      </x:c>
      <x:c r="F1207" s="17" t="str">
        <x:v>New</x:v>
      </x:c>
      <x:c r="G1207" s="24"/>
      <x:c r="H1207" s="24" t="str">
        <x:v>+19169907376</x:v>
      </x:c>
      <x:c r="I1207" s="24" t="str">
        <x:v>https://www.propertysalesgroup.com/</x:v>
      </x:c>
      <x:c r="J1207" s="16" t="str">
        <x:v>HI</x:v>
      </x:c>
      <x:c r="K1207" s="16"/>
      <x:c r="L1207" s="16" t="str">
        <x:v>Public property-business route; investor decision maker unconfirmed</x:v>
      </x:c>
      <x:c r="M1207" s="16" t="str">
        <x:v>https://www.propertysalesgroup.com/</x:v>
      </x:c>
      <x:c r="N1207" s="16" t="str">
        <x:v>$100K-$500K ticket not published / unconfirmed</x:v>
      </x:c>
      <x:c r="O1207" s="20"/>
      <x:c r="P1207" s="20"/>
      <x:c r="Q1207" s="25" t="str">
        <x:v>No direct corporate-capital range established in checked source</x:v>
      </x:c>
      <x:c r="R1207" s="25" t="str">
        <x:v>Property acquisition or investor activity makes this an operator-capital prospect for the signed trial. Confirm operating-company debt/equity appetite.</x:v>
      </x:c>
      <x:c r="S1207" s="25"/>
      <x:c r="T1207" s="25" t="str">
        <x:v>Ask the owner/investor whether they can allocate $100K-$500K to trial marketing and acquisitions, and confirm structure, timing and decision authority.</x:v>
      </x:c>
      <x:c r="U1207" s="25" t="str">
        <x:v>https://www.cashhomebuyersdirectory.com/cash-home-buyers/hawaii/honolulu
https://www.cashhomebuyersdirectory.com/cash-home-buyers/california/sacramento</x:v>
      </x:c>
      <x:c r="V1207" s="26" t="d">
        <x:v>2026-10-02T00:00:00.000Z</x:v>
      </x:c>
      <x:c r="W1207" s="26" t="d">
        <x:v>2026-10-02T00:00:00.000Z</x:v>
      </x:c>
      <x:c r="X1207" s="25" t="str">
        <x:v>CashHomeBuyersDirectory third-party business listing; first-party business activity not checked in this batch</x:v>
      </x:c>
      <x:c r="Y1207" s="25"/>
      <x:c r="Z1207" s="25" t="str">
        <x:v>https://www.cashhomebuyersdirectory.com/cash-home-buyers/hawaii/honolulu</x:v>
      </x:c>
      <x:c r="AA1207" s="25" t="str">
        <x:v>Public cash-home-buyer directory lists the business name, business phone/website where available and market. Operator role and corporate funding willingness require confirmation.</x:v>
      </x:c>
      <x:c r="AB1207" s="3" t="str">
        <x:v>New public-source collection</x:v>
      </x:c>
      <x:c r="AC1207" s="3" t="str">
        <x:v>unverified</x:v>
      </x:c>
      <x:c r="AD1207" s="3" t="str">
        <x:v>Not contacted / unconfirmed</x:v>
      </x:c>
      <x:c r="AE1207" s="3" t="str">
        <x:v>No</x:v>
      </x:c>
      <x:c r="AF1207" s="3" t="str">
        <x:v>No</x:v>
      </x:c>
      <x:c r="AG1207" s="3"/>
      <x:c r="AH1207" s="3" t="str">
        <x:v>Property Sales Group | Sell My House Fast Sacramento</x:v>
      </x:c>
      <x:c r="AI1207" s="18"/>
      <x:c r="AJ1207" s="3" t="str">
        <x:v>CF2500-99DFA055C9F3</x:v>
      </x:c>
      <x:c r="AK1207" s="3" t="str">
        <x:v>real_estate_operator</x:v>
      </x:c>
      <x:c r="AL1207" s="19" t="n">
        <x:v>100000</x:v>
      </x:c>
      <x:c r="AM1207" s="19" t="n">
        <x:v>500000</x:v>
      </x:c>
      <x:c r="AN1207" s="3" t="str">
        <x:v>https://www.cashhomebuyersdirectory.com/cash-home-buyers/hawaii/honolulu</x:v>
      </x:c>
      <x:c r="AO1207" s="3" t="str">
        <x:v>national_rest_directory_complete.jsonl</x:v>
      </x:c>
      <x:c r="AP1207" s="19"/>
    </x:row>
    <x:row r="1208" ht="36" customHeight="1">
      <x:c r="A1208" s="23" t="n">
        <x:v>1207</x:v>
      </x:c>
      <x:c r="B1208" s="15" t="str">
        <x:v>Providence Home Buyers, LLC</x:v>
      </x:c>
      <x:c r="C1208" s="15"/>
      <x:c r="D1208" s="15" t="str">
        <x:v>Property investor / home-buying operator</x:v>
      </x:c>
      <x:c r="E1208" s="15" t="str">
        <x:v>Property investor / operator inquiry</x:v>
      </x:c>
      <x:c r="F1208" s="17" t="str">
        <x:v>New</x:v>
      </x:c>
      <x:c r="G1208" s="24"/>
      <x:c r="H1208" s="24" t="str">
        <x:v>+14012982525</x:v>
      </x:c>
      <x:c r="I1208" s="24" t="str">
        <x:v>https://providencehomebuyers.net/</x:v>
      </x:c>
      <x:c r="J1208" s="16" t="str">
        <x:v>RI</x:v>
      </x:c>
      <x:c r="K1208" s="16"/>
      <x:c r="L1208" s="16" t="str">
        <x:v>Public property-business route; investor decision maker unconfirmed</x:v>
      </x:c>
      <x:c r="M1208" s="16" t="str">
        <x:v>https://providencehomebuyers.net/</x:v>
      </x:c>
      <x:c r="N1208" s="16" t="str">
        <x:v>$100K-$500K ticket not published / unconfirmed</x:v>
      </x:c>
      <x:c r="O1208" s="20"/>
      <x:c r="P1208" s="20"/>
      <x:c r="Q1208" s="25" t="str">
        <x:v>No direct corporate-capital range established in checked source</x:v>
      </x:c>
      <x:c r="R1208" s="25" t="str">
        <x:v>Property acquisition or investor activity makes this an operator-capital prospect for the signed trial. Confirm operating-company debt/equity appetite.</x:v>
      </x:c>
      <x:c r="S1208" s="25"/>
      <x:c r="T1208" s="25" t="str">
        <x:v>Ask the owner/investor whether they can allocate $100K-$500K to trial marketing and acquisitions, and confirm structure, timing and decision authority.</x:v>
      </x:c>
      <x:c r="U1208" s="25" t="str">
        <x:v>https://www.cashhomebuyersdirectory.com/cash-home-buyers/rhode-island/providence</x:v>
      </x:c>
      <x:c r="V1208" s="26" t="d">
        <x:v>2026-10-02T00:00:00.000Z</x:v>
      </x:c>
      <x:c r="W1208" s="26" t="d">
        <x:v>2026-10-02T00:00:00.000Z</x:v>
      </x:c>
      <x:c r="X1208" s="25" t="str">
        <x:v>CashHomeBuyersDirectory third-party business listing; first-party business activity not checked in this batch</x:v>
      </x:c>
      <x:c r="Y1208" s="25"/>
      <x:c r="Z1208" s="25" t="str">
        <x:v>https://www.cashhomebuyersdirectory.com/cash-home-buyers/rhode-island/providence</x:v>
      </x:c>
      <x:c r="AA1208" s="25" t="str">
        <x:v>Public cash-home-buyer directory lists the business name, business phone/website where available and market. Operator role and corporate funding willingness require confirmation.</x:v>
      </x:c>
      <x:c r="AB1208" s="3" t="str">
        <x:v>New public-source collection</x:v>
      </x:c>
      <x:c r="AC1208" s="3" t="str">
        <x:v>unverified</x:v>
      </x:c>
      <x:c r="AD1208" s="3" t="str">
        <x:v>Not contacted / unconfirmed</x:v>
      </x:c>
      <x:c r="AE1208" s="3" t="str">
        <x:v>No</x:v>
      </x:c>
      <x:c r="AF1208" s="3" t="str">
        <x:v>No</x:v>
      </x:c>
      <x:c r="AG1208" s="3"/>
      <x:c r="AH1208" s="3"/>
      <x:c r="AI1208" s="18"/>
      <x:c r="AJ1208" s="3" t="str">
        <x:v>CF2500-D8E83E8C452E</x:v>
      </x:c>
      <x:c r="AK1208" s="3" t="str">
        <x:v>real_estate_operator</x:v>
      </x:c>
      <x:c r="AL1208" s="19" t="n">
        <x:v>100000</x:v>
      </x:c>
      <x:c r="AM1208" s="19" t="n">
        <x:v>500000</x:v>
      </x:c>
      <x:c r="AN1208" s="3" t="str">
        <x:v>https://www.cashhomebuyersdirectory.com/cash-home-buyers/rhode-island/providence</x:v>
      </x:c>
      <x:c r="AO1208" s="3" t="str">
        <x:v>national_rest_directory_complete.jsonl</x:v>
      </x:c>
      <x:c r="AP1208" s="19"/>
    </x:row>
    <x:row r="1209" ht="36" customHeight="1">
      <x:c r="A1209" s="23" t="n">
        <x:v>1208</x:v>
      </x:c>
      <x:c r="B1209" s="15" t="str">
        <x:v>Puget Sound Home Buyers</x:v>
      </x:c>
      <x:c r="C1209" s="15"/>
      <x:c r="D1209" s="15" t="str">
        <x:v>Property investor / home-buying operator</x:v>
      </x:c>
      <x:c r="E1209" s="15" t="str">
        <x:v>Property investor / operator inquiry</x:v>
      </x:c>
      <x:c r="F1209" s="17" t="str">
        <x:v>New</x:v>
      </x:c>
      <x:c r="G1209" s="24"/>
      <x:c r="H1209" s="24" t="str">
        <x:v>+14258942489</x:v>
      </x:c>
      <x:c r="I1209" s="24" t="str">
        <x:v>http://www.ibuypugetsoundhomes.com/</x:v>
      </x:c>
      <x:c r="J1209" s="16" t="str">
        <x:v>WA</x:v>
      </x:c>
      <x:c r="K1209" s="16"/>
      <x:c r="L1209" s="16" t="str">
        <x:v>Public property-business route; investor decision maker unconfirmed</x:v>
      </x:c>
      <x:c r="M1209" s="16" t="str">
        <x:v>http://www.ibuypugetsoundhomes.com/</x:v>
      </x:c>
      <x:c r="N1209" s="16" t="str">
        <x:v>$100K-$500K ticket not published / unconfirmed</x:v>
      </x:c>
      <x:c r="O1209" s="20"/>
      <x:c r="P1209" s="20"/>
      <x:c r="Q1209" s="25" t="str">
        <x:v>No direct corporate-capital range established in checked source</x:v>
      </x:c>
      <x:c r="R1209" s="25" t="str">
        <x:v>Property acquisition or investor activity makes this an operator-capital prospect for the signed trial. Confirm operating-company debt/equity appetite.</x:v>
      </x:c>
      <x:c r="S1209" s="25"/>
      <x:c r="T1209" s="25" t="str">
        <x:v>Ask the owner/investor whether they can allocate $100K-$500K to trial marketing and acquisitions, and confirm structure, timing and decision authority.</x:v>
      </x:c>
      <x:c r="U1209" s="25" t="str">
        <x:v>https://www.cashhomebuyersdirectory.com/cash-home-buyers/washington/seattle</x:v>
      </x:c>
      <x:c r="V1209" s="26" t="d">
        <x:v>2026-10-02T00:00:00.000Z</x:v>
      </x:c>
      <x:c r="W1209" s="26" t="d">
        <x:v>2026-10-02T00:00:00.000Z</x:v>
      </x:c>
      <x:c r="X1209" s="25" t="str">
        <x:v>CashHomeBuyersDirectory third-party business listing; first-party business activity not checked in this batch</x:v>
      </x:c>
      <x:c r="Y1209" s="25"/>
      <x:c r="Z1209" s="25" t="str">
        <x:v>https://www.cashhomebuyersdirectory.com/cash-home-buyers/washington/seattle</x:v>
      </x:c>
      <x:c r="AA1209" s="25" t="str">
        <x:v>Public cash-home-buyer directory lists the business name, business phone/website where available and market. Operator role and corporate funding willingness require confirmation.</x:v>
      </x:c>
      <x:c r="AB1209" s="3" t="str">
        <x:v>New public-source collection</x:v>
      </x:c>
      <x:c r="AC1209" s="3" t="str">
        <x:v>unverified</x:v>
      </x:c>
      <x:c r="AD1209" s="3" t="str">
        <x:v>Not contacted / unconfirmed</x:v>
      </x:c>
      <x:c r="AE1209" s="3" t="str">
        <x:v>No</x:v>
      </x:c>
      <x:c r="AF1209" s="3" t="str">
        <x:v>No</x:v>
      </x:c>
      <x:c r="AG1209" s="3"/>
      <x:c r="AH1209" s="3"/>
      <x:c r="AI1209" s="18"/>
      <x:c r="AJ1209" s="3" t="str">
        <x:v>CF2500-07F27F6CA4D9</x:v>
      </x:c>
      <x:c r="AK1209" s="3" t="str">
        <x:v>real_estate_operator</x:v>
      </x:c>
      <x:c r="AL1209" s="19" t="n">
        <x:v>100000</x:v>
      </x:c>
      <x:c r="AM1209" s="19" t="n">
        <x:v>500000</x:v>
      </x:c>
      <x:c r="AN1209" s="3" t="str">
        <x:v>https://www.cashhomebuyersdirectory.com/cash-home-buyers/washington/seattle</x:v>
      </x:c>
      <x:c r="AO1209" s="3" t="str">
        <x:v>national_rest_directory_complete.jsonl</x:v>
      </x:c>
      <x:c r="AP1209" s="19"/>
    </x:row>
    <x:row r="1210" ht="36" customHeight="1">
      <x:c r="A1210" s="23" t="n">
        <x:v>1209</x:v>
      </x:c>
      <x:c r="B1210" s="15" t="str">
        <x:v>PVD Acquisitions | Cash Home Buyers | We Buy Houses NJ</x:v>
      </x:c>
      <x:c r="C1210" s="15"/>
      <x:c r="D1210" s="15" t="str">
        <x:v>Property investor / home-buying operator</x:v>
      </x:c>
      <x:c r="E1210" s="15" t="str">
        <x:v>Property investor / operator inquiry</x:v>
      </x:c>
      <x:c r="F1210" s="17" t="str">
        <x:v>New</x:v>
      </x:c>
      <x:c r="G1210" s="24"/>
      <x:c r="H1210" s="24" t="str">
        <x:v>+17186124632</x:v>
      </x:c>
      <x:c r="I1210" s="24" t="str">
        <x:v>http://cashhomebuyersnynj.com/</x:v>
      </x:c>
      <x:c r="J1210" s="16" t="str">
        <x:v>NY</x:v>
      </x:c>
      <x:c r="K1210" s="16" t="str">
        <x:v>New York</x:v>
      </x:c>
      <x:c r="L1210" s="16" t="str">
        <x:v>Public property-business route; investor decision maker unconfirmed</x:v>
      </x:c>
      <x:c r="M1210" s="16" t="str">
        <x:v>http://cashhomebuyersnynj.com/</x:v>
      </x:c>
      <x:c r="N1210" s="16" t="str">
        <x:v>$100K-$500K ticket not published / unconfirmed</x:v>
      </x:c>
      <x:c r="O1210" s="20"/>
      <x:c r="P1210" s="20"/>
      <x:c r="Q1210" s="25" t="str">
        <x:v>No direct corporate-capital range established in checked source</x:v>
      </x:c>
      <x:c r="R1210" s="25" t="str">
        <x:v>Property acquisition or investor activity makes this an operator-capital prospect for the signed trial. Confirm operating-company debt/equity appetite.</x:v>
      </x:c>
      <x:c r="S1210" s="25"/>
      <x:c r="T1210" s="25" t="str">
        <x:v>Ask the owner/investor whether they can allocate $100K-$500K to trial marketing and acquisitions, and confirm structure, timing and decision authority.</x:v>
      </x:c>
      <x:c r="U1210" s="25" t="str">
        <x:v>https://www.cashhomebuyersdirectory.com/cash-home-buyers/new-york/new-york</x:v>
      </x:c>
      <x:c r="V1210" s="26" t="d">
        <x:v>2026-10-02T00:00:00.000Z</x:v>
      </x:c>
      <x:c r="W1210" s="26" t="d">
        <x:v>2026-10-02T00:00:00.000Z</x:v>
      </x:c>
      <x:c r="X1210" s="25" t="str">
        <x:v>CashHomeBuyersDirectory third-party business listing; first-party business activity not checked in this batch</x:v>
      </x:c>
      <x:c r="Y1210" s="25"/>
      <x:c r="Z1210" s="25" t="str">
        <x:v>https://www.cashhomebuyersdirectory.com/cash-home-buyers/new-york/new-york</x:v>
      </x:c>
      <x:c r="AA1210" s="25" t="str">
        <x:v>Public cash-home-buyer directory lists the business name, business phone/website where available and market. Operator role and corporate funding willingness require confirmation.</x:v>
      </x:c>
      <x:c r="AB1210" s="3" t="str">
        <x:v>New public-source collection</x:v>
      </x:c>
      <x:c r="AC1210" s="3" t="str">
        <x:v>unverified</x:v>
      </x:c>
      <x:c r="AD1210" s="3" t="str">
        <x:v>Not contacted / unconfirmed</x:v>
      </x:c>
      <x:c r="AE1210" s="3" t="str">
        <x:v>No</x:v>
      </x:c>
      <x:c r="AF1210" s="3" t="str">
        <x:v>No</x:v>
      </x:c>
      <x:c r="AG1210" s="3"/>
      <x:c r="AH1210" s="3"/>
      <x:c r="AI1210" s="18"/>
      <x:c r="AJ1210" s="3" t="str">
        <x:v>CF2500-D6C2D174D5EA</x:v>
      </x:c>
      <x:c r="AK1210" s="3" t="str">
        <x:v>real_estate_operator</x:v>
      </x:c>
      <x:c r="AL1210" s="19" t="n">
        <x:v>100000</x:v>
      </x:c>
      <x:c r="AM1210" s="19" t="n">
        <x:v>500000</x:v>
      </x:c>
      <x:c r="AN1210" s="3" t="str">
        <x:v>https://www.cashhomebuyersdirectory.com/cash-home-buyers/new-york/new-york</x:v>
      </x:c>
      <x:c r="AO1210" s="3" t="str">
        <x:v>national_rest_directory_complete.jsonl</x:v>
      </x:c>
      <x:c r="AP1210" s="19"/>
    </x:row>
    <x:row r="1211" ht="36" customHeight="1">
      <x:c r="A1211" s="23" t="n">
        <x:v>1210</x:v>
      </x:c>
      <x:c r="B1211" s="15" t="str">
        <x:v>QC RES Homebuyers</x:v>
      </x:c>
      <x:c r="C1211" s="15"/>
      <x:c r="D1211" s="15" t="str">
        <x:v>Property investor / home-buying operator</x:v>
      </x:c>
      <x:c r="E1211" s="15" t="str">
        <x:v>Property investor / operator inquiry</x:v>
      </x:c>
      <x:c r="F1211" s="17" t="str">
        <x:v>New</x:v>
      </x:c>
      <x:c r="G1211" s="24"/>
      <x:c r="H1211" s="24" t="str">
        <x:v>+15632651846</x:v>
      </x:c>
      <x:c r="I1211" s="24" t="str">
        <x:v>https://www.qcreshomebuyers.com/</x:v>
      </x:c>
      <x:c r="J1211" s="16" t="str">
        <x:v>IA</x:v>
      </x:c>
      <x:c r="K1211" s="16"/>
      <x:c r="L1211" s="16" t="str">
        <x:v>Public property-business route; investor decision maker unconfirmed</x:v>
      </x:c>
      <x:c r="M1211" s="16" t="str">
        <x:v>https://www.qcreshomebuyers.com/</x:v>
      </x:c>
      <x:c r="N1211" s="16" t="str">
        <x:v>$100K-$500K ticket not published / unconfirmed</x:v>
      </x:c>
      <x:c r="O1211" s="20"/>
      <x:c r="P1211" s="20"/>
      <x:c r="Q1211" s="25" t="str">
        <x:v>No direct corporate-capital range established in checked source</x:v>
      </x:c>
      <x:c r="R1211" s="25" t="str">
        <x:v>Property acquisition or investor activity makes this an operator-capital prospect for the signed trial. Confirm operating-company debt/equity appetite.</x:v>
      </x:c>
      <x:c r="S1211" s="25"/>
      <x:c r="T1211" s="25" t="str">
        <x:v>Ask the owner/investor whether they can allocate $100K-$500K to trial marketing and acquisitions, and confirm structure, timing and decision authority.</x:v>
      </x:c>
      <x:c r="U1211" s="25" t="str">
        <x:v>https://www.cashhomebuyersdirectory.com/cash-home-buyers/iowa/davenport</x:v>
      </x:c>
      <x:c r="V1211" s="26" t="d">
        <x:v>2026-10-02T00:00:00.000Z</x:v>
      </x:c>
      <x:c r="W1211" s="26" t="d">
        <x:v>2026-10-02T00:00:00.000Z</x:v>
      </x:c>
      <x:c r="X1211" s="25" t="str">
        <x:v>CashHomeBuyersDirectory third-party business listing; first-party business activity not checked in this batch</x:v>
      </x:c>
      <x:c r="Y1211" s="25"/>
      <x:c r="Z1211" s="25" t="str">
        <x:v>https://www.cashhomebuyersdirectory.com/cash-home-buyers/iowa/davenport</x:v>
      </x:c>
      <x:c r="AA1211" s="25" t="str">
        <x:v>Public cash-home-buyer directory lists the business name, business phone/website where available and market. Operator role and corporate funding willingness require confirmation.</x:v>
      </x:c>
      <x:c r="AB1211" s="3" t="str">
        <x:v>New public-source collection</x:v>
      </x:c>
      <x:c r="AC1211" s="3" t="str">
        <x:v>unverified</x:v>
      </x:c>
      <x:c r="AD1211" s="3" t="str">
        <x:v>Not contacted / unconfirmed</x:v>
      </x:c>
      <x:c r="AE1211" s="3" t="str">
        <x:v>No</x:v>
      </x:c>
      <x:c r="AF1211" s="3" t="str">
        <x:v>No</x:v>
      </x:c>
      <x:c r="AG1211" s="3"/>
      <x:c r="AH1211" s="3"/>
      <x:c r="AI1211" s="18"/>
      <x:c r="AJ1211" s="3" t="str">
        <x:v>CF2500-72565BB61DEE</x:v>
      </x:c>
      <x:c r="AK1211" s="3" t="str">
        <x:v>real_estate_operator</x:v>
      </x:c>
      <x:c r="AL1211" s="19" t="n">
        <x:v>100000</x:v>
      </x:c>
      <x:c r="AM1211" s="19" t="n">
        <x:v>500000</x:v>
      </x:c>
      <x:c r="AN1211" s="3" t="str">
        <x:v>https://www.cashhomebuyersdirectory.com/cash-home-buyers/iowa/davenport</x:v>
      </x:c>
      <x:c r="AO1211" s="3" t="str">
        <x:v>national_rest_directory_complete.jsonl</x:v>
      </x:c>
      <x:c r="AP1211" s="19"/>
    </x:row>
    <x:row r="1212" ht="36" customHeight="1">
      <x:c r="A1212" s="23" t="n">
        <x:v>1211</x:v>
      </x:c>
      <x:c r="B1212" s="15" t="str">
        <x:v>Quick Cash For Your Home Now - Sell My House Fast in Flint, Michigan</x:v>
      </x:c>
      <x:c r="C1212" s="15"/>
      <x:c r="D1212" s="15" t="str">
        <x:v>Property investor / home-buying operator</x:v>
      </x:c>
      <x:c r="E1212" s="15" t="str">
        <x:v>Property investor / operator inquiry</x:v>
      </x:c>
      <x:c r="F1212" s="17" t="str">
        <x:v>New</x:v>
      </x:c>
      <x:c r="G1212" s="24"/>
      <x:c r="H1212" s="24" t="str">
        <x:v>+18778346160</x:v>
      </x:c>
      <x:c r="I1212" s="24" t="str">
        <x:v>https://quickcashforyourhomenow.com/service-areas/mi/genesee/sell-my-house-fast-flint-mi/</x:v>
      </x:c>
      <x:c r="J1212" s="16" t="str">
        <x:v>MI</x:v>
      </x:c>
      <x:c r="K1212" s="16"/>
      <x:c r="L1212" s="16" t="str">
        <x:v>Public property-business route; investor decision maker unconfirmed</x:v>
      </x:c>
      <x:c r="M1212" s="16" t="str">
        <x:v>https://quickcashforyourhomenow.com/service-areas/mi/genesee/sell-my-house-fast-flint-mi/</x:v>
      </x:c>
      <x:c r="N1212" s="16" t="str">
        <x:v>$100K-$500K ticket not published / unconfirmed</x:v>
      </x:c>
      <x:c r="O1212" s="20"/>
      <x:c r="P1212" s="20"/>
      <x:c r="Q1212" s="25" t="str">
        <x:v>No direct corporate-capital range established in checked source</x:v>
      </x:c>
      <x:c r="R1212" s="25" t="str">
        <x:v>Property acquisition or investor activity makes this an operator-capital prospect for the signed trial. Confirm operating-company debt/equity appetite.</x:v>
      </x:c>
      <x:c r="S1212" s="25"/>
      <x:c r="T1212" s="25" t="str">
        <x:v>Ask the owner/investor whether they can allocate $100K-$500K to trial marketing and acquisitions, and confirm structure, timing and decision authority.</x:v>
      </x:c>
      <x:c r="U1212" s="25" t="str">
        <x:v>https://www.cashhomebuyersdirectory.com/cash-home-buyers/michigan/flint
https://www.cashhomebuyersdirectory.com/cash-home-buyers/michigan/lansing</x:v>
      </x:c>
      <x:c r="V1212" s="26" t="d">
        <x:v>2026-10-02T00:00:00.000Z</x:v>
      </x:c>
      <x:c r="W1212" s="26" t="d">
        <x:v>2026-10-02T00:00:00.000Z</x:v>
      </x:c>
      <x:c r="X1212" s="25" t="str">
        <x:v>CashHomeBuyersDirectory third-party business listing; first-party business activity not checked in this batch</x:v>
      </x:c>
      <x:c r="Y1212" s="25"/>
      <x:c r="Z1212" s="25" t="str">
        <x:v>https://www.cashhomebuyersdirectory.com/cash-home-buyers/michigan/flint</x:v>
      </x:c>
      <x:c r="AA1212" s="25" t="str">
        <x:v>Public cash-home-buyer directory lists the business name, business phone/website where available and market. Operator role and corporate funding willingness require confirmation.</x:v>
      </x:c>
      <x:c r="AB1212" s="3" t="str">
        <x:v>New public-source collection</x:v>
      </x:c>
      <x:c r="AC1212" s="3" t="str">
        <x:v>unverified</x:v>
      </x:c>
      <x:c r="AD1212" s="3" t="str">
        <x:v>Not contacted / unconfirmed</x:v>
      </x:c>
      <x:c r="AE1212" s="3" t="str">
        <x:v>No</x:v>
      </x:c>
      <x:c r="AF1212" s="3" t="str">
        <x:v>No</x:v>
      </x:c>
      <x:c r="AG1212" s="3"/>
      <x:c r="AH1212" s="3"/>
      <x:c r="AI1212" s="18"/>
      <x:c r="AJ1212" s="3" t="str">
        <x:v>CF2500-E759DFBF6A03</x:v>
      </x:c>
      <x:c r="AK1212" s="3" t="str">
        <x:v>real_estate_operator</x:v>
      </x:c>
      <x:c r="AL1212" s="19" t="n">
        <x:v>100000</x:v>
      </x:c>
      <x:c r="AM1212" s="19" t="n">
        <x:v>500000</x:v>
      </x:c>
      <x:c r="AN1212" s="3" t="str">
        <x:v>https://www.cashhomebuyersdirectory.com/cash-home-buyers/michigan/flint</x:v>
      </x:c>
      <x:c r="AO1212" s="3" t="str">
        <x:v>national_rest_directory_complete.jsonl</x:v>
      </x:c>
      <x:c r="AP1212" s="19"/>
    </x:row>
    <x:row r="1213" ht="36" customHeight="1">
      <x:c r="A1213" s="23" t="n">
        <x:v>1212</x:v>
      </x:c>
      <x:c r="B1213" s="15" t="str">
        <x:v>Quick Close Home Buyers</x:v>
      </x:c>
      <x:c r="C1213" s="15"/>
      <x:c r="D1213" s="15" t="str">
        <x:v>Property investor / home-buying operator</x:v>
      </x:c>
      <x:c r="E1213" s="15" t="str">
        <x:v>Property investor / operator inquiry</x:v>
      </x:c>
      <x:c r="F1213" s="17" t="str">
        <x:v>New</x:v>
      </x:c>
      <x:c r="G1213" s="24"/>
      <x:c r="H1213" s="24" t="str">
        <x:v>+15716045873</x:v>
      </x:c>
      <x:c r="I1213" s="24" t="str">
        <x:v>https://quickclosehomeoffers.net/</x:v>
      </x:c>
      <x:c r="J1213" s="16" t="str">
        <x:v>DC</x:v>
      </x:c>
      <x:c r="K1213" s="16"/>
      <x:c r="L1213" s="16" t="str">
        <x:v>Public property-business route; investor decision maker unconfirmed</x:v>
      </x:c>
      <x:c r="M1213" s="16" t="str">
        <x:v>https://quickclosehomeoffers.net/</x:v>
      </x:c>
      <x:c r="N1213" s="16" t="str">
        <x:v>$100K-$500K ticket not published / unconfirmed</x:v>
      </x:c>
      <x:c r="O1213" s="20"/>
      <x:c r="P1213" s="20"/>
      <x:c r="Q1213" s="25" t="str">
        <x:v>No direct corporate-capital range established in checked source</x:v>
      </x:c>
      <x:c r="R1213" s="25" t="str">
        <x:v>Property acquisition or investor activity makes this an operator-capital prospect for the signed trial. Confirm operating-company debt/equity appetite.</x:v>
      </x:c>
      <x:c r="S1213" s="25"/>
      <x:c r="T1213" s="25" t="str">
        <x:v>Ask the owner/investor whether they can allocate $100K-$500K to trial marketing and acquisitions, and confirm structure, timing and decision authority.</x:v>
      </x:c>
      <x:c r="U1213" s="25" t="str">
        <x:v>https://www.cashhomebuyersdirectory.com/cash-home-buyers/district-of-columbia/washington</x:v>
      </x:c>
      <x:c r="V1213" s="26" t="d">
        <x:v>2026-10-02T00:00:00.000Z</x:v>
      </x:c>
      <x:c r="W1213" s="26" t="d">
        <x:v>2026-10-02T00:00:00.000Z</x:v>
      </x:c>
      <x:c r="X1213" s="25" t="str">
        <x:v>CashHomeBuyersDirectory third-party business listing; first-party business activity not checked in this batch</x:v>
      </x:c>
      <x:c r="Y1213" s="25"/>
      <x:c r="Z1213" s="25" t="str">
        <x:v>https://www.cashhomebuyersdirectory.com/cash-home-buyers/district-of-columbia/washington</x:v>
      </x:c>
      <x:c r="AA1213" s="25" t="str">
        <x:v>Public cash-home-buyer directory lists the business name, business phone/website where available and market. Operator role and corporate funding willingness require confirmation.</x:v>
      </x:c>
      <x:c r="AB1213" s="3" t="str">
        <x:v>New public-source collection</x:v>
      </x:c>
      <x:c r="AC1213" s="3" t="str">
        <x:v>unverified</x:v>
      </x:c>
      <x:c r="AD1213" s="3" t="str">
        <x:v>Not contacted / unconfirmed</x:v>
      </x:c>
      <x:c r="AE1213" s="3" t="str">
        <x:v>No</x:v>
      </x:c>
      <x:c r="AF1213" s="3" t="str">
        <x:v>No</x:v>
      </x:c>
      <x:c r="AG1213" s="3"/>
      <x:c r="AH1213" s="3"/>
      <x:c r="AI1213" s="18"/>
      <x:c r="AJ1213" s="3" t="str">
        <x:v>CF2500-C6C685609146</x:v>
      </x:c>
      <x:c r="AK1213" s="3" t="str">
        <x:v>real_estate_operator</x:v>
      </x:c>
      <x:c r="AL1213" s="19" t="n">
        <x:v>100000</x:v>
      </x:c>
      <x:c r="AM1213" s="19" t="n">
        <x:v>500000</x:v>
      </x:c>
      <x:c r="AN1213" s="3" t="str">
        <x:v>https://www.cashhomebuyersdirectory.com/cash-home-buyers/district-of-columbia/washington</x:v>
      </x:c>
      <x:c r="AO1213" s="3" t="str">
        <x:v>national_rest_directory_complete.jsonl</x:v>
      </x:c>
      <x:c r="AP1213" s="19"/>
    </x:row>
    <x:row r="1214" ht="36" customHeight="1">
      <x:c r="A1214" s="23" t="n">
        <x:v>1213</x:v>
      </x:c>
      <x:c r="B1214" s="15" t="str">
        <x:v>R&amp;H Distressed Properties | Sell My House Fast Sacramento | We Buy Houses Sacramento</x:v>
      </x:c>
      <x:c r="C1214" s="15"/>
      <x:c r="D1214" s="15" t="str">
        <x:v>Property investor / home-buying operator</x:v>
      </x:c>
      <x:c r="E1214" s="15" t="str">
        <x:v>Property investor / operator inquiry</x:v>
      </x:c>
      <x:c r="F1214" s="17" t="str">
        <x:v>New</x:v>
      </x:c>
      <x:c r="G1214" s="24"/>
      <x:c r="H1214" s="24" t="str">
        <x:v>+19164367460</x:v>
      </x:c>
      <x:c r="I1214" s="24" t="str">
        <x:v>https://www.rhdistressed.com/</x:v>
      </x:c>
      <x:c r="J1214" s="16" t="str">
        <x:v>CA</x:v>
      </x:c>
      <x:c r="K1214" s="16" t="str">
        <x:v>Sacramento</x:v>
      </x:c>
      <x:c r="L1214" s="16" t="str">
        <x:v>Public property-business route; investor decision maker unconfirmed</x:v>
      </x:c>
      <x:c r="M1214" s="16" t="str">
        <x:v>https://www.rhdistressed.com/</x:v>
      </x:c>
      <x:c r="N1214" s="16" t="str">
        <x:v>$100K-$500K ticket not published / unconfirmed</x:v>
      </x:c>
      <x:c r="O1214" s="20"/>
      <x:c r="P1214" s="20"/>
      <x:c r="Q1214" s="25" t="str">
        <x:v>No direct corporate-capital range established in checked source</x:v>
      </x:c>
      <x:c r="R1214" s="25" t="str">
        <x:v>Property acquisition or investor activity makes this an operator-capital prospect for the signed trial. Confirm operating-company debt/equity appetite.</x:v>
      </x:c>
      <x:c r="S1214" s="25"/>
      <x:c r="T1214" s="25" t="str">
        <x:v>Ask the owner/investor whether they can allocate $100K-$500K to trial marketing and acquisitions, and confirm structure, timing and decision authority.</x:v>
      </x:c>
      <x:c r="U1214" s="25" t="str">
        <x:v>https://www.cashhomebuyersdirectory.com/cash-home-buyers/california/sacramento
https://www.cashhomebuyersdirectory.com/cash-home-buyers/california/san-jose</x:v>
      </x:c>
      <x:c r="V1214" s="26" t="d">
        <x:v>2026-10-02T00:00:00.000Z</x:v>
      </x:c>
      <x:c r="W1214" s="26" t="d">
        <x:v>2026-10-02T00:00:00.000Z</x:v>
      </x:c>
      <x:c r="X1214" s="25" t="str">
        <x:v>CashHomeBuyersDirectory third-party business listing; first-party business activity not checked in this batch</x:v>
      </x:c>
      <x:c r="Y1214" s="25"/>
      <x:c r="Z1214" s="25" t="str">
        <x:v>https://www.cashhomebuyersdirectory.com/cash-home-buyers/california/sacramento</x:v>
      </x:c>
      <x:c r="AA1214" s="25" t="str">
        <x:v>Public cash-home-buyer directory lists the business name, business phone/website where available and market. Operator role and corporate funding willingness require confirmation.</x:v>
      </x:c>
      <x:c r="AB1214" s="3" t="str">
        <x:v>New public-source collection</x:v>
      </x:c>
      <x:c r="AC1214" s="3" t="str">
        <x:v>unverified</x:v>
      </x:c>
      <x:c r="AD1214" s="3" t="str">
        <x:v>Not contacted / unconfirmed</x:v>
      </x:c>
      <x:c r="AE1214" s="3" t="str">
        <x:v>No</x:v>
      </x:c>
      <x:c r="AF1214" s="3" t="str">
        <x:v>No</x:v>
      </x:c>
      <x:c r="AG1214" s="3"/>
      <x:c r="AH1214" s="3" t="str">
        <x:v>R&amp;H Distressed Properties | Sell My House Fast San Jose | We Buy Houses San Jose</x:v>
      </x:c>
      <x:c r="AI1214" s="18"/>
      <x:c r="AJ1214" s="3" t="str">
        <x:v>CF2500-6DFCD5A09A22</x:v>
      </x:c>
      <x:c r="AK1214" s="3" t="str">
        <x:v>real_estate_operator</x:v>
      </x:c>
      <x:c r="AL1214" s="19" t="n">
        <x:v>100000</x:v>
      </x:c>
      <x:c r="AM1214" s="19" t="n">
        <x:v>500000</x:v>
      </x:c>
      <x:c r="AN1214" s="3" t="str">
        <x:v>https://www.cashhomebuyersdirectory.com/cash-home-buyers/california/sacramento</x:v>
      </x:c>
      <x:c r="AO1214" s="3" t="str">
        <x:v>national_rest_directory_complete.jsonl</x:v>
      </x:c>
      <x:c r="AP1214" s="19"/>
    </x:row>
    <x:row r="1215" ht="36" customHeight="1">
      <x:c r="A1215" s="23" t="n">
        <x:v>1214</x:v>
      </x:c>
      <x:c r="B1215" s="15" t="str">
        <x:v>Rally Home Buyers LLC</x:v>
      </x:c>
      <x:c r="C1215" s="15"/>
      <x:c r="D1215" s="15" t="str">
        <x:v>Property investor / home-buying operator</x:v>
      </x:c>
      <x:c r="E1215" s="15" t="str">
        <x:v>Property investor / operator inquiry</x:v>
      </x:c>
      <x:c r="F1215" s="17" t="str">
        <x:v>New</x:v>
      </x:c>
      <x:c r="G1215" s="24"/>
      <x:c r="H1215" s="24" t="str">
        <x:v>+12252501028</x:v>
      </x:c>
      <x:c r="I1215" s="24" t="str">
        <x:v>https://www.rallyhomebuyers.com/</x:v>
      </x:c>
      <x:c r="J1215" s="16" t="str">
        <x:v>LA</x:v>
      </x:c>
      <x:c r="K1215" s="16" t="str">
        <x:v>Baton Rouge</x:v>
      </x:c>
      <x:c r="L1215" s="16" t="str">
        <x:v>Public property-business route; investor decision maker unconfirmed</x:v>
      </x:c>
      <x:c r="M1215" s="16" t="str">
        <x:v>https://www.rallyhomebuyers.com/</x:v>
      </x:c>
      <x:c r="N1215" s="16" t="str">
        <x:v>$100K-$500K ticket not published / unconfirmed</x:v>
      </x:c>
      <x:c r="O1215" s="20"/>
      <x:c r="P1215" s="20"/>
      <x:c r="Q1215" s="25" t="str">
        <x:v>No direct corporate-capital range established in checked source</x:v>
      </x:c>
      <x:c r="R1215" s="25" t="str">
        <x:v>Property acquisition or investor activity makes this an operator-capital prospect for the signed trial. Confirm operating-company debt/equity appetite.</x:v>
      </x:c>
      <x:c r="S1215" s="25"/>
      <x:c r="T1215" s="25" t="str">
        <x:v>Ask the owner/investor whether they can allocate $100K-$500K to trial marketing and acquisitions, and confirm structure, timing and decision authority.</x:v>
      </x:c>
      <x:c r="U1215" s="25" t="str">
        <x:v>https://www.cashhomebuyersdirectory.com/cash-home-buyers/louisiana/baton-rouge</x:v>
      </x:c>
      <x:c r="V1215" s="26" t="d">
        <x:v>2026-10-02T00:00:00.000Z</x:v>
      </x:c>
      <x:c r="W1215" s="26" t="d">
        <x:v>2026-10-02T00:00:00.000Z</x:v>
      </x:c>
      <x:c r="X1215" s="25" t="str">
        <x:v>CashHomeBuyersDirectory third-party business listing; first-party business activity not checked in this batch</x:v>
      </x:c>
      <x:c r="Y1215" s="25"/>
      <x:c r="Z1215" s="25" t="str">
        <x:v>https://www.cashhomebuyersdirectory.com/cash-home-buyers/louisiana/baton-rouge</x:v>
      </x:c>
      <x:c r="AA1215" s="25" t="str">
        <x:v>Public cash-home-buyer directory lists the business name, business phone/website where available and market. Operator role and corporate funding willingness require confirmation.</x:v>
      </x:c>
      <x:c r="AB1215" s="3" t="str">
        <x:v>New public-source collection</x:v>
      </x:c>
      <x:c r="AC1215" s="3" t="str">
        <x:v>unverified</x:v>
      </x:c>
      <x:c r="AD1215" s="3" t="str">
        <x:v>Not contacted / unconfirmed</x:v>
      </x:c>
      <x:c r="AE1215" s="3" t="str">
        <x:v>No</x:v>
      </x:c>
      <x:c r="AF1215" s="3" t="str">
        <x:v>No</x:v>
      </x:c>
      <x:c r="AG1215" s="3"/>
      <x:c r="AH1215" s="3"/>
      <x:c r="AI1215" s="18"/>
      <x:c r="AJ1215" s="3" t="str">
        <x:v>CF2500-92FE292053F2</x:v>
      </x:c>
      <x:c r="AK1215" s="3" t="str">
        <x:v>real_estate_operator</x:v>
      </x:c>
      <x:c r="AL1215" s="19" t="n">
        <x:v>100000</x:v>
      </x:c>
      <x:c r="AM1215" s="19" t="n">
        <x:v>500000</x:v>
      </x:c>
      <x:c r="AN1215" s="3" t="str">
        <x:v>https://www.cashhomebuyersdirectory.com/cash-home-buyers/louisiana/baton-rouge</x:v>
      </x:c>
      <x:c r="AO1215" s="3" t="str">
        <x:v>national_rest_directory_complete.jsonl</x:v>
      </x:c>
      <x:c r="AP1215" s="19"/>
    </x:row>
    <x:row r="1216" ht="36" customHeight="1">
      <x:c r="A1216" s="23" t="n">
        <x:v>1215</x:v>
      </x:c>
      <x:c r="B1216" s="15" t="str">
        <x:v>RAMM Home Buyers</x:v>
      </x:c>
      <x:c r="C1216" s="15"/>
      <x:c r="D1216" s="15" t="str">
        <x:v>Property investor / home-buying operator</x:v>
      </x:c>
      <x:c r="E1216" s="15" t="str">
        <x:v>Property investor / operator inquiry</x:v>
      </x:c>
      <x:c r="F1216" s="17" t="str">
        <x:v>New</x:v>
      </x:c>
      <x:c r="G1216" s="24"/>
      <x:c r="H1216" s="24" t="str">
        <x:v>+13302037131</x:v>
      </x:c>
      <x:c r="I1216" s="24" t="str">
        <x:v>https://rammhomebuyers.com/</x:v>
      </x:c>
      <x:c r="J1216" s="16" t="str">
        <x:v>OH</x:v>
      </x:c>
      <x:c r="K1216" s="16" t="str">
        <x:v>Clinton</x:v>
      </x:c>
      <x:c r="L1216" s="16" t="str">
        <x:v>Public property-business route; investor decision maker unconfirmed</x:v>
      </x:c>
      <x:c r="M1216" s="16" t="str">
        <x:v>https://rammhomebuyers.com/</x:v>
      </x:c>
      <x:c r="N1216" s="16" t="str">
        <x:v>$100K-$500K ticket not published / unconfirmed</x:v>
      </x:c>
      <x:c r="O1216" s="20"/>
      <x:c r="P1216" s="20"/>
      <x:c r="Q1216" s="25" t="str">
        <x:v>No direct corporate-capital range established in checked source</x:v>
      </x:c>
      <x:c r="R1216" s="25" t="str">
        <x:v>Property acquisition or investor activity makes this an operator-capital prospect for the signed trial. Confirm operating-company debt/equity appetite.</x:v>
      </x:c>
      <x:c r="S1216" s="25"/>
      <x:c r="T1216" s="25" t="str">
        <x:v>Ask the owner/investor whether they can allocate $100K-$500K to trial marketing and acquisitions, and confirm structure, timing and decision authority.</x:v>
      </x:c>
      <x:c r="U1216" s="25" t="str">
        <x:v>https://www.cashhomebuyersdirectory.com/cash-home-buyers/ohio/clinton</x:v>
      </x:c>
      <x:c r="V1216" s="26" t="d">
        <x:v>2026-10-02T00:00:00.000Z</x:v>
      </x:c>
      <x:c r="W1216" s="26" t="d">
        <x:v>2026-10-02T00:00:00.000Z</x:v>
      </x:c>
      <x:c r="X1216" s="25" t="str">
        <x:v>CashHomeBuyersDirectory third-party business listing; first-party business activity not checked in this batch</x:v>
      </x:c>
      <x:c r="Y1216" s="25"/>
      <x:c r="Z1216" s="25" t="str">
        <x:v>https://www.cashhomebuyersdirectory.com/cash-home-buyers/ohio/clinton</x:v>
      </x:c>
      <x:c r="AA1216" s="25" t="str">
        <x:v>Public cash-home-buyer directory lists the business name, business phone/website where available and market. Operator role and corporate funding willingness require confirmation.</x:v>
      </x:c>
      <x:c r="AB1216" s="3" t="str">
        <x:v>New public-source collection</x:v>
      </x:c>
      <x:c r="AC1216" s="3" t="str">
        <x:v>unverified</x:v>
      </x:c>
      <x:c r="AD1216" s="3" t="str">
        <x:v>Not contacted / unconfirmed</x:v>
      </x:c>
      <x:c r="AE1216" s="3" t="str">
        <x:v>No</x:v>
      </x:c>
      <x:c r="AF1216" s="3" t="str">
        <x:v>No</x:v>
      </x:c>
      <x:c r="AG1216" s="3"/>
      <x:c r="AH1216" s="3"/>
      <x:c r="AI1216" s="18"/>
      <x:c r="AJ1216" s="3" t="str">
        <x:v>CF2500-8D5EBD0E4B0A</x:v>
      </x:c>
      <x:c r="AK1216" s="3" t="str">
        <x:v>real_estate_operator</x:v>
      </x:c>
      <x:c r="AL1216" s="19" t="n">
        <x:v>100000</x:v>
      </x:c>
      <x:c r="AM1216" s="19" t="n">
        <x:v>500000</x:v>
      </x:c>
      <x:c r="AN1216" s="3" t="str">
        <x:v>https://www.cashhomebuyersdirectory.com/cash-home-buyers/ohio/clinton</x:v>
      </x:c>
      <x:c r="AO1216" s="3" t="str">
        <x:v>national_rest_directory_complete.jsonl</x:v>
      </x:c>
      <x:c r="AP1216" s="19"/>
    </x:row>
    <x:row r="1217" ht="36" customHeight="1">
      <x:c r="A1217" s="23" t="n">
        <x:v>1216</x:v>
      </x:c>
      <x:c r="B1217" s="15" t="str">
        <x:v>RC Home Buyers</x:v>
      </x:c>
      <x:c r="C1217" s="15"/>
      <x:c r="D1217" s="15" t="str">
        <x:v>Property investor / home-buying operator</x:v>
      </x:c>
      <x:c r="E1217" s="15" t="str">
        <x:v>Property investor / operator inquiry</x:v>
      </x:c>
      <x:c r="F1217" s="17" t="str">
        <x:v>New</x:v>
      </x:c>
      <x:c r="G1217" s="24"/>
      <x:c r="H1217" s="24" t="str">
        <x:v>+16143248120</x:v>
      </x:c>
      <x:c r="I1217" s="24" t="str">
        <x:v>https://rchomebuyers.cash/</x:v>
      </x:c>
      <x:c r="J1217" s="16" t="str">
        <x:v>OH</x:v>
      </x:c>
      <x:c r="K1217" s="16" t="str">
        <x:v>Canal Winchester</x:v>
      </x:c>
      <x:c r="L1217" s="16" t="str">
        <x:v>Public property-business route; investor decision maker unconfirmed</x:v>
      </x:c>
      <x:c r="M1217" s="16" t="str">
        <x:v>https://rchomebuyers.cash/</x:v>
      </x:c>
      <x:c r="N1217" s="16" t="str">
        <x:v>$100K-$500K ticket not published / unconfirmed</x:v>
      </x:c>
      <x:c r="O1217" s="20"/>
      <x:c r="P1217" s="20"/>
      <x:c r="Q1217" s="25" t="str">
        <x:v>No direct corporate-capital range established in checked source</x:v>
      </x:c>
      <x:c r="R1217" s="25" t="str">
        <x:v>Property acquisition or investor activity makes this an operator-capital prospect for the signed trial. Confirm operating-company debt/equity appetite.</x:v>
      </x:c>
      <x:c r="S1217" s="25"/>
      <x:c r="T1217" s="25" t="str">
        <x:v>Ask the owner/investor whether they can allocate $100K-$500K to trial marketing and acquisitions, and confirm structure, timing and decision authority.</x:v>
      </x:c>
      <x:c r="U1217" s="25" t="str">
        <x:v>https://www.cashhomebuyersdirectory.com/cash-home-buyers/ohio/canal-winchester
https://www.cashhomebuyersdirectory.com/cash-home-buyers/ohio/columbus</x:v>
      </x:c>
      <x:c r="V1217" s="26" t="d">
        <x:v>2026-10-02T00:00:00.000Z</x:v>
      </x:c>
      <x:c r="W1217" s="26" t="d">
        <x:v>2026-10-02T00:00:00.000Z</x:v>
      </x:c>
      <x:c r="X1217" s="25" t="str">
        <x:v>CashHomeBuyersDirectory third-party business listing; first-party business activity not checked in this batch</x:v>
      </x:c>
      <x:c r="Y1217" s="25"/>
      <x:c r="Z1217" s="25" t="str">
        <x:v>https://www.cashhomebuyersdirectory.com/cash-home-buyers/ohio/canal-winchester</x:v>
      </x:c>
      <x:c r="AA1217" s="25" t="str">
        <x:v>Public cash-home-buyer directory lists the business name, business phone/website where available and market. Operator role and corporate funding willingness require confirmation.</x:v>
      </x:c>
      <x:c r="AB1217" s="3" t="str">
        <x:v>New public-source collection</x:v>
      </x:c>
      <x:c r="AC1217" s="3" t="str">
        <x:v>unverified</x:v>
      </x:c>
      <x:c r="AD1217" s="3" t="str">
        <x:v>Not contacted / unconfirmed</x:v>
      </x:c>
      <x:c r="AE1217" s="3" t="str">
        <x:v>No</x:v>
      </x:c>
      <x:c r="AF1217" s="3" t="str">
        <x:v>No</x:v>
      </x:c>
      <x:c r="AG1217" s="3"/>
      <x:c r="AH1217" s="3" t="str">
        <x:v>RC Home Buyers - Columbus, OH</x:v>
      </x:c>
      <x:c r="AI1217" s="18"/>
      <x:c r="AJ1217" s="3" t="str">
        <x:v>CF2500-89AECE1B532F</x:v>
      </x:c>
      <x:c r="AK1217" s="3" t="str">
        <x:v>real_estate_operator</x:v>
      </x:c>
      <x:c r="AL1217" s="19" t="n">
        <x:v>100000</x:v>
      </x:c>
      <x:c r="AM1217" s="19" t="n">
        <x:v>500000</x:v>
      </x:c>
      <x:c r="AN1217" s="3" t="str">
        <x:v>https://www.cashhomebuyersdirectory.com/cash-home-buyers/ohio/canal-winchester</x:v>
      </x:c>
      <x:c r="AO1217" s="3" t="str">
        <x:v>national_rest_directory_complete.jsonl</x:v>
      </x:c>
      <x:c r="AP1217" s="19"/>
    </x:row>
    <x:row r="1218" ht="36" customHeight="1">
      <x:c r="A1218" s="23" t="n">
        <x:v>1217</x:v>
      </x:c>
      <x:c r="B1218" s="15" t="str">
        <x:v>Real property home buyers LLC</x:v>
      </x:c>
      <x:c r="C1218" s="15"/>
      <x:c r="D1218" s="15" t="str">
        <x:v>Property investor / home-buying operator</x:v>
      </x:c>
      <x:c r="E1218" s="15" t="str">
        <x:v>Property investor / operator inquiry</x:v>
      </x:c>
      <x:c r="F1218" s="17" t="str">
        <x:v>New</x:v>
      </x:c>
      <x:c r="G1218" s="24"/>
      <x:c r="H1218" s="24" t="str">
        <x:v>+18889989252</x:v>
      </x:c>
      <x:c r="I1218" s="24" t="str">
        <x:v>https://realpropertyhomebuyers.com/</x:v>
      </x:c>
      <x:c r="J1218" s="16" t="str">
        <x:v>MD</x:v>
      </x:c>
      <x:c r="K1218" s="16" t="str">
        <x:v>Lanham</x:v>
      </x:c>
      <x:c r="L1218" s="16" t="str">
        <x:v>Public property-business route; investor decision maker unconfirmed</x:v>
      </x:c>
      <x:c r="M1218" s="16" t="str">
        <x:v>https://realpropertyhomebuyers.com/</x:v>
      </x:c>
      <x:c r="N1218" s="16" t="str">
        <x:v>$100K-$500K ticket not published / unconfirmed</x:v>
      </x:c>
      <x:c r="O1218" s="20"/>
      <x:c r="P1218" s="20"/>
      <x:c r="Q1218" s="25" t="str">
        <x:v>No direct corporate-capital range established in checked source</x:v>
      </x:c>
      <x:c r="R1218" s="25" t="str">
        <x:v>Property acquisition or investor activity makes this an operator-capital prospect for the signed trial. Confirm operating-company debt/equity appetite.</x:v>
      </x:c>
      <x:c r="S1218" s="25"/>
      <x:c r="T1218" s="25" t="str">
        <x:v>Ask the owner/investor whether they can allocate $100K-$500K to trial marketing and acquisitions, and confirm structure, timing and decision authority.</x:v>
      </x:c>
      <x:c r="U1218" s="25" t="str">
        <x:v>https://www.cashhomebuyersdirectory.com/cash-home-buyers/maryland/lanham</x:v>
      </x:c>
      <x:c r="V1218" s="26" t="d">
        <x:v>2026-10-02T00:00:00.000Z</x:v>
      </x:c>
      <x:c r="W1218" s="26" t="d">
        <x:v>2026-10-02T00:00:00.000Z</x:v>
      </x:c>
      <x:c r="X1218" s="25" t="str">
        <x:v>CashHomeBuyersDirectory third-party business listing; first-party business activity not checked in this batch</x:v>
      </x:c>
      <x:c r="Y1218" s="25"/>
      <x:c r="Z1218" s="25" t="str">
        <x:v>https://www.cashhomebuyersdirectory.com/cash-home-buyers/maryland/lanham</x:v>
      </x:c>
      <x:c r="AA1218" s="25" t="str">
        <x:v>Public cash-home-buyer directory lists the business name, business phone/website where available and market. Operator role and corporate funding willingness require confirmation.</x:v>
      </x:c>
      <x:c r="AB1218" s="3" t="str">
        <x:v>New public-source collection</x:v>
      </x:c>
      <x:c r="AC1218" s="3" t="str">
        <x:v>unverified</x:v>
      </x:c>
      <x:c r="AD1218" s="3" t="str">
        <x:v>Not contacted / unconfirmed</x:v>
      </x:c>
      <x:c r="AE1218" s="3" t="str">
        <x:v>No</x:v>
      </x:c>
      <x:c r="AF1218" s="3" t="str">
        <x:v>No</x:v>
      </x:c>
      <x:c r="AG1218" s="3"/>
      <x:c r="AH1218" s="3"/>
      <x:c r="AI1218" s="18"/>
      <x:c r="AJ1218" s="3" t="str">
        <x:v>CF2500-CD0FF4DF8078</x:v>
      </x:c>
      <x:c r="AK1218" s="3" t="str">
        <x:v>real_estate_operator</x:v>
      </x:c>
      <x:c r="AL1218" s="19" t="n">
        <x:v>100000</x:v>
      </x:c>
      <x:c r="AM1218" s="19" t="n">
        <x:v>500000</x:v>
      </x:c>
      <x:c r="AN1218" s="3" t="str">
        <x:v>https://www.cashhomebuyersdirectory.com/cash-home-buyers/maryland/lanham</x:v>
      </x:c>
      <x:c r="AO1218" s="3" t="str">
        <x:v>national_rest_directory_complete.jsonl</x:v>
      </x:c>
      <x:c r="AP1218" s="19"/>
    </x:row>
    <x:row r="1219" ht="36" customHeight="1">
      <x:c r="A1219" s="23" t="n">
        <x:v>1218</x:v>
      </x:c>
      <x:c r="B1219" s="15" t="str">
        <x:v>Real Time Home Buyers Metro Detroit</x:v>
      </x:c>
      <x:c r="C1219" s="15"/>
      <x:c r="D1219" s="15" t="str">
        <x:v>Property investor / home-buying operator</x:v>
      </x:c>
      <x:c r="E1219" s="15" t="str">
        <x:v>Property investor / operator inquiry</x:v>
      </x:c>
      <x:c r="F1219" s="17" t="str">
        <x:v>New</x:v>
      </x:c>
      <x:c r="G1219" s="24"/>
      <x:c r="H1219" s="24" t="str">
        <x:v>+12482969132</x:v>
      </x:c>
      <x:c r="I1219" s="24" t="str">
        <x:v>https://www.realhomebuyersnow.com/</x:v>
      </x:c>
      <x:c r="J1219" s="16" t="str">
        <x:v>MI</x:v>
      </x:c>
      <x:c r="K1219" s="16"/>
      <x:c r="L1219" s="16" t="str">
        <x:v>Public property-business route; investor decision maker unconfirmed</x:v>
      </x:c>
      <x:c r="M1219" s="16" t="str">
        <x:v>https://www.realhomebuyersnow.com/</x:v>
      </x:c>
      <x:c r="N1219" s="16" t="str">
        <x:v>$100K-$500K ticket not published / unconfirmed</x:v>
      </x:c>
      <x:c r="O1219" s="20"/>
      <x:c r="P1219" s="20"/>
      <x:c r="Q1219" s="25" t="str">
        <x:v>No direct corporate-capital range established in checked source</x:v>
      </x:c>
      <x:c r="R1219" s="25" t="str">
        <x:v>Property acquisition or investor activity makes this an operator-capital prospect for the signed trial. Confirm operating-company debt/equity appetite.</x:v>
      </x:c>
      <x:c r="S1219" s="25"/>
      <x:c r="T1219" s="25" t="str">
        <x:v>Ask the owner/investor whether they can allocate $100K-$500K to trial marketing and acquisitions, and confirm structure, timing and decision authority.</x:v>
      </x:c>
      <x:c r="U1219" s="25" t="str">
        <x:v>https://www.cashhomebuyersdirectory.com/cash-home-buyers/michigan/detroit</x:v>
      </x:c>
      <x:c r="V1219" s="26" t="d">
        <x:v>2026-10-02T00:00:00.000Z</x:v>
      </x:c>
      <x:c r="W1219" s="26" t="d">
        <x:v>2026-10-02T00:00:00.000Z</x:v>
      </x:c>
      <x:c r="X1219" s="25" t="str">
        <x:v>CashHomeBuyersDirectory third-party business listing; first-party business activity not checked in this batch</x:v>
      </x:c>
      <x:c r="Y1219" s="25"/>
      <x:c r="Z1219" s="25" t="str">
        <x:v>https://www.cashhomebuyersdirectory.com/cash-home-buyers/michigan/detroit</x:v>
      </x:c>
      <x:c r="AA1219" s="25" t="str">
        <x:v>Public cash-home-buyer directory lists the business name, business phone/website where available and market. Operator role and corporate funding willingness require confirmation.</x:v>
      </x:c>
      <x:c r="AB1219" s="3" t="str">
        <x:v>New public-source collection</x:v>
      </x:c>
      <x:c r="AC1219" s="3" t="str">
        <x:v>unverified</x:v>
      </x:c>
      <x:c r="AD1219" s="3" t="str">
        <x:v>Not contacted / unconfirmed</x:v>
      </x:c>
      <x:c r="AE1219" s="3" t="str">
        <x:v>No</x:v>
      </x:c>
      <x:c r="AF1219" s="3" t="str">
        <x:v>No</x:v>
      </x:c>
      <x:c r="AG1219" s="3"/>
      <x:c r="AH1219" s="3"/>
      <x:c r="AI1219" s="18"/>
      <x:c r="AJ1219" s="3" t="str">
        <x:v>CF2500-ACC4A5FABC23</x:v>
      </x:c>
      <x:c r="AK1219" s="3" t="str">
        <x:v>real_estate_operator</x:v>
      </x:c>
      <x:c r="AL1219" s="19" t="n">
        <x:v>100000</x:v>
      </x:c>
      <x:c r="AM1219" s="19" t="n">
        <x:v>500000</x:v>
      </x:c>
      <x:c r="AN1219" s="3" t="str">
        <x:v>https://www.cashhomebuyersdirectory.com/cash-home-buyers/michigan/detroit</x:v>
      </x:c>
      <x:c r="AO1219" s="3" t="str">
        <x:v>national_rest_directory_complete.jsonl</x:v>
      </x:c>
      <x:c r="AP1219" s="19"/>
    </x:row>
    <x:row r="1220" ht="36" customHeight="1">
      <x:c r="A1220" s="23" t="n">
        <x:v>1219</x:v>
      </x:c>
      <x:c r="B1220" s="15" t="str">
        <x:v>Recommended Home Buyers</x:v>
      </x:c>
      <x:c r="C1220" s="15"/>
      <x:c r="D1220" s="15" t="str">
        <x:v>Property investor / home-buying operator</x:v>
      </x:c>
      <x:c r="E1220" s="15" t="str">
        <x:v>Property investor / operator inquiry</x:v>
      </x:c>
      <x:c r="F1220" s="17" t="str">
        <x:v>New</x:v>
      </x:c>
      <x:c r="G1220" s="24"/>
      <x:c r="H1220" s="24" t="str">
        <x:v>+12625875262</x:v>
      </x:c>
      <x:c r="I1220" s="24" t="str">
        <x:v>https://www.recommendedhomebuyers.com/we-buy-houses-wisconsin/</x:v>
      </x:c>
      <x:c r="J1220" s="16" t="str">
        <x:v>WI</x:v>
      </x:c>
      <x:c r="K1220" s="16" t="str">
        <x:v>Madison</x:v>
      </x:c>
      <x:c r="L1220" s="16" t="str">
        <x:v>Public property-business route; investor decision maker unconfirmed</x:v>
      </x:c>
      <x:c r="M1220" s="16" t="str">
        <x:v>https://www.recommendedhomebuyers.com/we-buy-houses-wisconsin/</x:v>
      </x:c>
      <x:c r="N1220" s="16" t="str">
        <x:v>$100K-$500K ticket not published / unconfirmed</x:v>
      </x:c>
      <x:c r="O1220" s="20"/>
      <x:c r="P1220" s="20"/>
      <x:c r="Q1220" s="25" t="str">
        <x:v>No direct corporate-capital range established in checked source</x:v>
      </x:c>
      <x:c r="R1220" s="25" t="str">
        <x:v>Property acquisition or investor activity makes this an operator-capital prospect for the signed trial. Confirm operating-company debt/equity appetite.</x:v>
      </x:c>
      <x:c r="S1220" s="25"/>
      <x:c r="T1220" s="25" t="str">
        <x:v>Ask the owner/investor whether they can allocate $100K-$500K to trial marketing and acquisitions, and confirm structure, timing and decision authority.</x:v>
      </x:c>
      <x:c r="U1220" s="25" t="str">
        <x:v>https://www.cashhomebuyersdirectory.com/cash-home-buyers/wisconsin/madison</x:v>
      </x:c>
      <x:c r="V1220" s="26" t="d">
        <x:v>2026-10-02T00:00:00.000Z</x:v>
      </x:c>
      <x:c r="W1220" s="26" t="d">
        <x:v>2026-10-02T00:00:00.000Z</x:v>
      </x:c>
      <x:c r="X1220" s="25" t="str">
        <x:v>CashHomeBuyersDirectory third-party business listing; first-party business activity not checked in this batch</x:v>
      </x:c>
      <x:c r="Y1220" s="25"/>
      <x:c r="Z1220" s="25" t="str">
        <x:v>https://www.cashhomebuyersdirectory.com/cash-home-buyers/wisconsin/madison</x:v>
      </x:c>
      <x:c r="AA1220" s="25" t="str">
        <x:v>Public cash-home-buyer directory lists the business name, business phone/website where available and market. Operator role and corporate funding willingness require confirmation.</x:v>
      </x:c>
      <x:c r="AB1220" s="3" t="str">
        <x:v>New public-source collection</x:v>
      </x:c>
      <x:c r="AC1220" s="3" t="str">
        <x:v>unverified</x:v>
      </x:c>
      <x:c r="AD1220" s="3" t="str">
        <x:v>Not contacted / unconfirmed</x:v>
      </x:c>
      <x:c r="AE1220" s="3" t="str">
        <x:v>No</x:v>
      </x:c>
      <x:c r="AF1220" s="3" t="str">
        <x:v>No</x:v>
      </x:c>
      <x:c r="AG1220" s="3"/>
      <x:c r="AH1220" s="3"/>
      <x:c r="AI1220" s="18"/>
      <x:c r="AJ1220" s="3" t="str">
        <x:v>CF2500-C0462A93466D</x:v>
      </x:c>
      <x:c r="AK1220" s="3" t="str">
        <x:v>real_estate_operator</x:v>
      </x:c>
      <x:c r="AL1220" s="19" t="n">
        <x:v>100000</x:v>
      </x:c>
      <x:c r="AM1220" s="19" t="n">
        <x:v>500000</x:v>
      </x:c>
      <x:c r="AN1220" s="3" t="str">
        <x:v>https://www.cashhomebuyersdirectory.com/cash-home-buyers/wisconsin/madison</x:v>
      </x:c>
      <x:c r="AO1220" s="3" t="str">
        <x:v>national_rest_directory_complete.jsonl</x:v>
      </x:c>
      <x:c r="AP1220" s="19"/>
    </x:row>
    <x:row r="1221" ht="36" customHeight="1">
      <x:c r="A1221" s="23" t="n">
        <x:v>1220</x:v>
      </x:c>
      <x:c r="B1221" s="15" t="str">
        <x:v>Red Royal House Buyers</x:v>
      </x:c>
      <x:c r="C1221" s="15"/>
      <x:c r="D1221" s="15" t="str">
        <x:v>Property investor / home-buying operator</x:v>
      </x:c>
      <x:c r="E1221" s="15" t="str">
        <x:v>Property investor / operator inquiry</x:v>
      </x:c>
      <x:c r="F1221" s="17" t="str">
        <x:v>New</x:v>
      </x:c>
      <x:c r="G1221" s="24"/>
      <x:c r="H1221" s="24" t="str">
        <x:v>+12253040071</x:v>
      </x:c>
      <x:c r="I1221" s="24" t="str">
        <x:v>http://redroyalhousebuyers.com/</x:v>
      </x:c>
      <x:c r="J1221" s="16" t="str">
        <x:v>LA</x:v>
      </x:c>
      <x:c r="K1221" s="16"/>
      <x:c r="L1221" s="16" t="str">
        <x:v>Public property-business route; investor decision maker unconfirmed</x:v>
      </x:c>
      <x:c r="M1221" s="16" t="str">
        <x:v>http://redroyalhousebuyers.com/</x:v>
      </x:c>
      <x:c r="N1221" s="16" t="str">
        <x:v>$100K-$500K ticket not published / unconfirmed</x:v>
      </x:c>
      <x:c r="O1221" s="20"/>
      <x:c r="P1221" s="20"/>
      <x:c r="Q1221" s="25" t="str">
        <x:v>No direct corporate-capital range established in checked source</x:v>
      </x:c>
      <x:c r="R1221" s="25" t="str">
        <x:v>Property acquisition or investor activity makes this an operator-capital prospect for the signed trial. Confirm operating-company debt/equity appetite.</x:v>
      </x:c>
      <x:c r="S1221" s="25"/>
      <x:c r="T1221" s="25" t="str">
        <x:v>Ask the owner/investor whether they can allocate $100K-$500K to trial marketing and acquisitions, and confirm structure, timing and decision authority.</x:v>
      </x:c>
      <x:c r="U1221" s="25" t="str">
        <x:v>https://www.cashhomebuyersdirectory.com/cash-home-buyers/louisiana/baton-rouge</x:v>
      </x:c>
      <x:c r="V1221" s="26" t="d">
        <x:v>2026-10-02T00:00:00.000Z</x:v>
      </x:c>
      <x:c r="W1221" s="26" t="d">
        <x:v>2026-10-02T00:00:00.000Z</x:v>
      </x:c>
      <x:c r="X1221" s="25" t="str">
        <x:v>CashHomeBuyersDirectory third-party business listing; first-party business activity not checked in this batch</x:v>
      </x:c>
      <x:c r="Y1221" s="25"/>
      <x:c r="Z1221" s="25" t="str">
        <x:v>https://www.cashhomebuyersdirectory.com/cash-home-buyers/louisiana/baton-rouge</x:v>
      </x:c>
      <x:c r="AA1221" s="25" t="str">
        <x:v>Public cash-home-buyer directory lists the business name, business phone/website where available and market. Operator role and corporate funding willingness require confirmation.</x:v>
      </x:c>
      <x:c r="AB1221" s="3" t="str">
        <x:v>New public-source collection</x:v>
      </x:c>
      <x:c r="AC1221" s="3" t="str">
        <x:v>unverified</x:v>
      </x:c>
      <x:c r="AD1221" s="3" t="str">
        <x:v>Not contacted / unconfirmed</x:v>
      </x:c>
      <x:c r="AE1221" s="3" t="str">
        <x:v>No</x:v>
      </x:c>
      <x:c r="AF1221" s="3" t="str">
        <x:v>No</x:v>
      </x:c>
      <x:c r="AG1221" s="3"/>
      <x:c r="AH1221" s="3"/>
      <x:c r="AI1221" s="18"/>
      <x:c r="AJ1221" s="3" t="str">
        <x:v>CF2500-9EA9988B2322</x:v>
      </x:c>
      <x:c r="AK1221" s="3" t="str">
        <x:v>real_estate_operator</x:v>
      </x:c>
      <x:c r="AL1221" s="19" t="n">
        <x:v>100000</x:v>
      </x:c>
      <x:c r="AM1221" s="19" t="n">
        <x:v>500000</x:v>
      </x:c>
      <x:c r="AN1221" s="3" t="str">
        <x:v>https://www.cashhomebuyersdirectory.com/cash-home-buyers/louisiana/baton-rouge</x:v>
      </x:c>
      <x:c r="AO1221" s="3" t="str">
        <x:v>national_rest_directory_complete.jsonl</x:v>
      </x:c>
      <x:c r="AP1221" s="19"/>
    </x:row>
    <x:row r="1222" ht="36" customHeight="1">
      <x:c r="A1222" s="23" t="n">
        <x:v>1221</x:v>
      </x:c>
      <x:c r="B1222" s="15" t="str">
        <x:v>Redemptive Home Buyers</x:v>
      </x:c>
      <x:c r="C1222" s="15"/>
      <x:c r="D1222" s="15" t="str">
        <x:v>Property investor / home-buying operator</x:v>
      </x:c>
      <x:c r="E1222" s="15" t="str">
        <x:v>Property investor / operator inquiry</x:v>
      </x:c>
      <x:c r="F1222" s="17" t="str">
        <x:v>New</x:v>
      </x:c>
      <x:c r="G1222" s="24"/>
      <x:c r="H1222" s="24" t="str">
        <x:v>+13372522444</x:v>
      </x:c>
      <x:c r="I1222" s="24" t="str">
        <x:v>https://ibuyhomeslafayette.com/</x:v>
      </x:c>
      <x:c r="J1222" s="16" t="str">
        <x:v>LA</x:v>
      </x:c>
      <x:c r="K1222" s="16" t="str">
        <x:v>Lafayette</x:v>
      </x:c>
      <x:c r="L1222" s="16" t="str">
        <x:v>Public property-business route; investor decision maker unconfirmed</x:v>
      </x:c>
      <x:c r="M1222" s="16" t="str">
        <x:v>https://ibuyhomeslafayette.com/</x:v>
      </x:c>
      <x:c r="N1222" s="16" t="str">
        <x:v>$100K-$500K ticket not published / unconfirmed</x:v>
      </x:c>
      <x:c r="O1222" s="20"/>
      <x:c r="P1222" s="20"/>
      <x:c r="Q1222" s="25" t="str">
        <x:v>No direct corporate-capital range established in checked source</x:v>
      </x:c>
      <x:c r="R1222" s="25" t="str">
        <x:v>Property acquisition or investor activity makes this an operator-capital prospect for the signed trial. Confirm operating-company debt/equity appetite.</x:v>
      </x:c>
      <x:c r="S1222" s="25"/>
      <x:c r="T1222" s="25" t="str">
        <x:v>Ask the owner/investor whether they can allocate $100K-$500K to trial marketing and acquisitions, and confirm structure, timing and decision authority.</x:v>
      </x:c>
      <x:c r="U1222" s="25" t="str">
        <x:v>https://www.cashhomebuyersdirectory.com/cash-home-buyers/louisiana/lafayette</x:v>
      </x:c>
      <x:c r="V1222" s="26" t="d">
        <x:v>2026-10-02T00:00:00.000Z</x:v>
      </x:c>
      <x:c r="W1222" s="26" t="d">
        <x:v>2026-10-02T00:00:00.000Z</x:v>
      </x:c>
      <x:c r="X1222" s="25" t="str">
        <x:v>CashHomeBuyersDirectory third-party business listing; first-party business activity not checked in this batch</x:v>
      </x:c>
      <x:c r="Y1222" s="25"/>
      <x:c r="Z1222" s="25" t="str">
        <x:v>https://www.cashhomebuyersdirectory.com/cash-home-buyers/louisiana/lafayette</x:v>
      </x:c>
      <x:c r="AA1222" s="25" t="str">
        <x:v>Public cash-home-buyer directory lists the business name, business phone/website where available and market. Operator role and corporate funding willingness require confirmation.</x:v>
      </x:c>
      <x:c r="AB1222" s="3" t="str">
        <x:v>New public-source collection</x:v>
      </x:c>
      <x:c r="AC1222" s="3" t="str">
        <x:v>unverified</x:v>
      </x:c>
      <x:c r="AD1222" s="3" t="str">
        <x:v>Not contacted / unconfirmed</x:v>
      </x:c>
      <x:c r="AE1222" s="3" t="str">
        <x:v>No</x:v>
      </x:c>
      <x:c r="AF1222" s="3" t="str">
        <x:v>No</x:v>
      </x:c>
      <x:c r="AG1222" s="3"/>
      <x:c r="AH1222" s="3"/>
      <x:c r="AI1222" s="18"/>
      <x:c r="AJ1222" s="3" t="str">
        <x:v>CF2500-E6884A62F861</x:v>
      </x:c>
      <x:c r="AK1222" s="3" t="str">
        <x:v>real_estate_operator</x:v>
      </x:c>
      <x:c r="AL1222" s="19" t="n">
        <x:v>100000</x:v>
      </x:c>
      <x:c r="AM1222" s="19" t="n">
        <x:v>500000</x:v>
      </x:c>
      <x:c r="AN1222" s="3" t="str">
        <x:v>https://www.cashhomebuyersdirectory.com/cash-home-buyers/louisiana/lafayette</x:v>
      </x:c>
      <x:c r="AO1222" s="3" t="str">
        <x:v>national_rest_directory_complete.jsonl</x:v>
      </x:c>
      <x:c r="AP1222" s="19"/>
    </x:row>
    <x:row r="1223" ht="36" customHeight="1">
      <x:c r="A1223" s="23" t="n">
        <x:v>1222</x:v>
      </x:c>
      <x:c r="B1223" s="15" t="str">
        <x:v>Rehab Home Buyers</x:v>
      </x:c>
      <x:c r="C1223" s="15"/>
      <x:c r="D1223" s="15" t="str">
        <x:v>Property investor / home-buying operator</x:v>
      </x:c>
      <x:c r="E1223" s="15" t="str">
        <x:v>Property investor / operator inquiry</x:v>
      </x:c>
      <x:c r="F1223" s="17" t="str">
        <x:v>New</x:v>
      </x:c>
      <x:c r="G1223" s="24"/>
      <x:c r="H1223" s="24" t="str">
        <x:v>+14133209979</x:v>
      </x:c>
      <x:c r="I1223" s="24" t="str">
        <x:v>https://www.rehab-homebuyers.com/</x:v>
      </x:c>
      <x:c r="J1223" s="16" t="str">
        <x:v>MA</x:v>
      </x:c>
      <x:c r="K1223" s="16" t="str">
        <x:v>Springfield</x:v>
      </x:c>
      <x:c r="L1223" s="16" t="str">
        <x:v>Public property-business route; investor decision maker unconfirmed</x:v>
      </x:c>
      <x:c r="M1223" s="16" t="str">
        <x:v>https://www.rehab-homebuyers.com/</x:v>
      </x:c>
      <x:c r="N1223" s="16" t="str">
        <x:v>$100K-$500K ticket not published / unconfirmed</x:v>
      </x:c>
      <x:c r="O1223" s="20"/>
      <x:c r="P1223" s="20"/>
      <x:c r="Q1223" s="25" t="str">
        <x:v>No direct corporate-capital range established in checked source</x:v>
      </x:c>
      <x:c r="R1223" s="25" t="str">
        <x:v>Property acquisition or investor activity makes this an operator-capital prospect for the signed trial. Confirm operating-company debt/equity appetite.</x:v>
      </x:c>
      <x:c r="S1223" s="25"/>
      <x:c r="T1223" s="25" t="str">
        <x:v>Ask the owner/investor whether they can allocate $100K-$500K to trial marketing and acquisitions, and confirm structure, timing and decision authority.</x:v>
      </x:c>
      <x:c r="U1223" s="25" t="str">
        <x:v>https://www.cashhomebuyersdirectory.com/cash-home-buyers/massachusetts/springfield</x:v>
      </x:c>
      <x:c r="V1223" s="26" t="d">
        <x:v>2026-10-02T00:00:00.000Z</x:v>
      </x:c>
      <x:c r="W1223" s="26" t="d">
        <x:v>2026-10-02T00:00:00.000Z</x:v>
      </x:c>
      <x:c r="X1223" s="25" t="str">
        <x:v>CashHomeBuyersDirectory third-party business listing; first-party business activity not checked in this batch</x:v>
      </x:c>
      <x:c r="Y1223" s="25"/>
      <x:c r="Z1223" s="25" t="str">
        <x:v>https://www.cashhomebuyersdirectory.com/cash-home-buyers/massachusetts/springfield</x:v>
      </x:c>
      <x:c r="AA1223" s="25" t="str">
        <x:v>Public cash-home-buyer directory lists the business name, business phone/website where available and market. Operator role and corporate funding willingness require confirmation.</x:v>
      </x:c>
      <x:c r="AB1223" s="3" t="str">
        <x:v>New public-source collection</x:v>
      </x:c>
      <x:c r="AC1223" s="3" t="str">
        <x:v>unverified</x:v>
      </x:c>
      <x:c r="AD1223" s="3" t="str">
        <x:v>Not contacted / unconfirmed</x:v>
      </x:c>
      <x:c r="AE1223" s="3" t="str">
        <x:v>No</x:v>
      </x:c>
      <x:c r="AF1223" s="3" t="str">
        <x:v>No</x:v>
      </x:c>
      <x:c r="AG1223" s="3"/>
      <x:c r="AH1223" s="3"/>
      <x:c r="AI1223" s="18"/>
      <x:c r="AJ1223" s="3" t="str">
        <x:v>CF2500-C62F0B753163</x:v>
      </x:c>
      <x:c r="AK1223" s="3" t="str">
        <x:v>real_estate_operator</x:v>
      </x:c>
      <x:c r="AL1223" s="19" t="n">
        <x:v>100000</x:v>
      </x:c>
      <x:c r="AM1223" s="19" t="n">
        <x:v>500000</x:v>
      </x:c>
      <x:c r="AN1223" s="3" t="str">
        <x:v>https://www.cashhomebuyersdirectory.com/cash-home-buyers/massachusetts/springfield</x:v>
      </x:c>
      <x:c r="AO1223" s="3" t="str">
        <x:v>national_rest_directory_complete.jsonl</x:v>
      </x:c>
      <x:c r="AP1223" s="19"/>
    </x:row>
    <x:row r="1224" ht="36" customHeight="1">
      <x:c r="A1224" s="23" t="n">
        <x:v>1223</x:v>
      </x:c>
      <x:c r="B1224" s="15" t="str">
        <x:v>REI Branded Home Buyer</x:v>
      </x:c>
      <x:c r="C1224" s="15"/>
      <x:c r="D1224" s="15" t="str">
        <x:v>Property investor / home-buying operator</x:v>
      </x:c>
      <x:c r="E1224" s="15" t="str">
        <x:v>Property investor / operator inquiry</x:v>
      </x:c>
      <x:c r="F1224" s="17" t="str">
        <x:v>New</x:v>
      </x:c>
      <x:c r="G1224" s="24"/>
      <x:c r="H1224" s="24" t="str">
        <x:v>+15097693439</x:v>
      </x:c>
      <x:c r="I1224" s="24" t="str">
        <x:v>https://www.reibrandedhomebuyer.com/</x:v>
      </x:c>
      <x:c r="J1224" s="16" t="str">
        <x:v>WA</x:v>
      </x:c>
      <x:c r="K1224" s="16"/>
      <x:c r="L1224" s="16" t="str">
        <x:v>Public property-business route; investor decision maker unconfirmed</x:v>
      </x:c>
      <x:c r="M1224" s="16" t="str">
        <x:v>https://www.reibrandedhomebuyer.com/</x:v>
      </x:c>
      <x:c r="N1224" s="16" t="str">
        <x:v>$100K-$500K ticket not published / unconfirmed</x:v>
      </x:c>
      <x:c r="O1224" s="20"/>
      <x:c r="P1224" s="20"/>
      <x:c r="Q1224" s="25" t="str">
        <x:v>No direct corporate-capital range established in checked source</x:v>
      </x:c>
      <x:c r="R1224" s="25" t="str">
        <x:v>Property acquisition or investor activity makes this an operator-capital prospect for the signed trial. Confirm operating-company debt/equity appetite.</x:v>
      </x:c>
      <x:c r="S1224" s="25"/>
      <x:c r="T1224" s="25" t="str">
        <x:v>Ask the owner/investor whether they can allocate $100K-$500K to trial marketing and acquisitions, and confirm structure, timing and decision authority.</x:v>
      </x:c>
      <x:c r="U1224" s="25" t="str">
        <x:v>https://www.cashhomebuyersdirectory.com/cash-home-buyers/washington/spokane</x:v>
      </x:c>
      <x:c r="V1224" s="26" t="d">
        <x:v>2026-10-02T00:00:00.000Z</x:v>
      </x:c>
      <x:c r="W1224" s="26" t="d">
        <x:v>2026-10-02T00:00:00.000Z</x:v>
      </x:c>
      <x:c r="X1224" s="25" t="str">
        <x:v>CashHomeBuyersDirectory third-party business listing; first-party business activity not checked in this batch</x:v>
      </x:c>
      <x:c r="Y1224" s="25"/>
      <x:c r="Z1224" s="25" t="str">
        <x:v>https://www.cashhomebuyersdirectory.com/cash-home-buyers/washington/spokane</x:v>
      </x:c>
      <x:c r="AA1224" s="25" t="str">
        <x:v>Public cash-home-buyer directory lists the business name, business phone/website where available and market. Operator role and corporate funding willingness require confirmation.</x:v>
      </x:c>
      <x:c r="AB1224" s="3" t="str">
        <x:v>New public-source collection</x:v>
      </x:c>
      <x:c r="AC1224" s="3" t="str">
        <x:v>unverified</x:v>
      </x:c>
      <x:c r="AD1224" s="3" t="str">
        <x:v>Not contacted / unconfirmed</x:v>
      </x:c>
      <x:c r="AE1224" s="3" t="str">
        <x:v>No</x:v>
      </x:c>
      <x:c r="AF1224" s="3" t="str">
        <x:v>No</x:v>
      </x:c>
      <x:c r="AG1224" s="3"/>
      <x:c r="AH1224" s="3"/>
      <x:c r="AI1224" s="18"/>
      <x:c r="AJ1224" s="3" t="str">
        <x:v>CF2500-4DC6784AA1D9</x:v>
      </x:c>
      <x:c r="AK1224" s="3" t="str">
        <x:v>real_estate_operator</x:v>
      </x:c>
      <x:c r="AL1224" s="19" t="n">
        <x:v>100000</x:v>
      </x:c>
      <x:c r="AM1224" s="19" t="n">
        <x:v>500000</x:v>
      </x:c>
      <x:c r="AN1224" s="3" t="str">
        <x:v>https://www.cashhomebuyersdirectory.com/cash-home-buyers/washington/spokane</x:v>
      </x:c>
      <x:c r="AO1224" s="3" t="str">
        <x:v>national_rest_directory_complete.jsonl</x:v>
      </x:c>
      <x:c r="AP1224" s="19"/>
    </x:row>
    <x:row r="1225" ht="36" customHeight="1">
      <x:c r="A1225" s="23" t="n">
        <x:v>1224</x:v>
      </x:c>
      <x:c r="B1225" s="15" t="str">
        <x:v>Reno Area Home Buyers</x:v>
      </x:c>
      <x:c r="C1225" s="15"/>
      <x:c r="D1225" s="15" t="str">
        <x:v>Property investor / home-buying operator</x:v>
      </x:c>
      <x:c r="E1225" s="15" t="str">
        <x:v>Property investor / operator inquiry</x:v>
      </x:c>
      <x:c r="F1225" s="17" t="str">
        <x:v>New</x:v>
      </x:c>
      <x:c r="G1225" s="24"/>
      <x:c r="H1225" s="24" t="str">
        <x:v>+17753149534</x:v>
      </x:c>
      <x:c r="I1225" s="24" t="str">
        <x:v>https://www.renoareahomebuyers.com/?utm_source=gbp</x:v>
      </x:c>
      <x:c r="J1225" s="16" t="str">
        <x:v>NV</x:v>
      </x:c>
      <x:c r="K1225" s="16" t="str">
        <x:v>Reno</x:v>
      </x:c>
      <x:c r="L1225" s="16" t="str">
        <x:v>Public property-business route; investor decision maker unconfirmed</x:v>
      </x:c>
      <x:c r="M1225" s="16" t="str">
        <x:v>https://www.renoareahomebuyers.com/?utm_source=gbp</x:v>
      </x:c>
      <x:c r="N1225" s="16" t="str">
        <x:v>$100K-$500K ticket not published / unconfirmed</x:v>
      </x:c>
      <x:c r="O1225" s="20"/>
      <x:c r="P1225" s="20"/>
      <x:c r="Q1225" s="25" t="str">
        <x:v>No direct corporate-capital range established in checked source</x:v>
      </x:c>
      <x:c r="R1225" s="25" t="str">
        <x:v>Property acquisition or investor activity makes this an operator-capital prospect for the signed trial. Confirm operating-company debt/equity appetite.</x:v>
      </x:c>
      <x:c r="S1225" s="25"/>
      <x:c r="T1225" s="25" t="str">
        <x:v>Ask the owner/investor whether they can allocate $100K-$500K to trial marketing and acquisitions, and confirm structure, timing and decision authority.</x:v>
      </x:c>
      <x:c r="U1225" s="25" t="str">
        <x:v>https://www.cashhomebuyersdirectory.com/cash-home-buyers/nevada/reno</x:v>
      </x:c>
      <x:c r="V1225" s="26" t="d">
        <x:v>2026-10-02T00:00:00.000Z</x:v>
      </x:c>
      <x:c r="W1225" s="26" t="d">
        <x:v>2026-10-02T00:00:00.000Z</x:v>
      </x:c>
      <x:c r="X1225" s="25" t="str">
        <x:v>CashHomeBuyersDirectory third-party business listing; first-party business activity not checked in this batch</x:v>
      </x:c>
      <x:c r="Y1225" s="25"/>
      <x:c r="Z1225" s="25" t="str">
        <x:v>https://www.cashhomebuyersdirectory.com/cash-home-buyers/nevada/reno</x:v>
      </x:c>
      <x:c r="AA1225" s="25" t="str">
        <x:v>Public cash-home-buyer directory lists the business name, business phone/website where available and market. Operator role and corporate funding willingness require confirmation.</x:v>
      </x:c>
      <x:c r="AB1225" s="3" t="str">
        <x:v>New public-source collection</x:v>
      </x:c>
      <x:c r="AC1225" s="3" t="str">
        <x:v>unverified</x:v>
      </x:c>
      <x:c r="AD1225" s="3" t="str">
        <x:v>Not contacted / unconfirmed</x:v>
      </x:c>
      <x:c r="AE1225" s="3" t="str">
        <x:v>No</x:v>
      </x:c>
      <x:c r="AF1225" s="3" t="str">
        <x:v>No</x:v>
      </x:c>
      <x:c r="AG1225" s="3"/>
      <x:c r="AH1225" s="3"/>
      <x:c r="AI1225" s="18"/>
      <x:c r="AJ1225" s="3" t="str">
        <x:v>CF2500-0C9C0E0560E3</x:v>
      </x:c>
      <x:c r="AK1225" s="3" t="str">
        <x:v>real_estate_operator</x:v>
      </x:c>
      <x:c r="AL1225" s="19" t="n">
        <x:v>100000</x:v>
      </x:c>
      <x:c r="AM1225" s="19" t="n">
        <x:v>500000</x:v>
      </x:c>
      <x:c r="AN1225" s="3" t="str">
        <x:v>https://www.cashhomebuyersdirectory.com/cash-home-buyers/nevada/reno</x:v>
      </x:c>
      <x:c r="AO1225" s="3" t="str">
        <x:v>national_rest_directory_complete.jsonl</x:v>
      </x:c>
      <x:c r="AP1225" s="19"/>
    </x:row>
    <x:row r="1226" ht="36" customHeight="1">
      <x:c r="A1226" s="23" t="n">
        <x:v>1225</x:v>
      </x:c>
      <x:c r="B1226" s="15" t="str">
        <x:v>RESCUE HOME BUYERS</x:v>
      </x:c>
      <x:c r="C1226" s="15"/>
      <x:c r="D1226" s="15" t="str">
        <x:v>Property investor / home-buying operator</x:v>
      </x:c>
      <x:c r="E1226" s="15" t="str">
        <x:v>Property investor / operator inquiry</x:v>
      </x:c>
      <x:c r="F1226" s="17" t="str">
        <x:v>New</x:v>
      </x:c>
      <x:c r="G1226" s="24"/>
      <x:c r="H1226" s="24" t="str">
        <x:v>+17579439705</x:v>
      </x:c>
      <x:c r="I1226" s="24" t="str">
        <x:v>http://www.rescuehomebuyersva.com/</x:v>
      </x:c>
      <x:c r="J1226" s="16" t="str">
        <x:v>VA</x:v>
      </x:c>
      <x:c r="K1226" s="16" t="str">
        <x:v>Virginia Beach</x:v>
      </x:c>
      <x:c r="L1226" s="16" t="str">
        <x:v>Public property-business route; investor decision maker unconfirmed</x:v>
      </x:c>
      <x:c r="M1226" s="16" t="str">
        <x:v>http://www.rescuehomebuyersva.com/</x:v>
      </x:c>
      <x:c r="N1226" s="16" t="str">
        <x:v>$100K-$500K ticket not published / unconfirmed</x:v>
      </x:c>
      <x:c r="O1226" s="20"/>
      <x:c r="P1226" s="20"/>
      <x:c r="Q1226" s="25" t="str">
        <x:v>No direct corporate-capital range established in checked source</x:v>
      </x:c>
      <x:c r="R1226" s="25" t="str">
        <x:v>Property acquisition or investor activity makes this an operator-capital prospect for the signed trial. Confirm operating-company debt/equity appetite.</x:v>
      </x:c>
      <x:c r="S1226" s="25"/>
      <x:c r="T1226" s="25" t="str">
        <x:v>Ask the owner/investor whether they can allocate $100K-$500K to trial marketing and acquisitions, and confirm structure, timing and decision authority.</x:v>
      </x:c>
      <x:c r="U1226" s="25" t="str">
        <x:v>https://www.cashhomebuyersdirectory.com/cash-home-buyers/virginia/virginia-beach</x:v>
      </x:c>
      <x:c r="V1226" s="26" t="d">
        <x:v>2026-10-02T00:00:00.000Z</x:v>
      </x:c>
      <x:c r="W1226" s="26" t="d">
        <x:v>2026-10-02T00:00:00.000Z</x:v>
      </x:c>
      <x:c r="X1226" s="25" t="str">
        <x:v>CashHomeBuyersDirectory third-party business listing; first-party business activity not checked in this batch</x:v>
      </x:c>
      <x:c r="Y1226" s="25"/>
      <x:c r="Z1226" s="25" t="str">
        <x:v>https://www.cashhomebuyersdirectory.com/cash-home-buyers/virginia/virginia-beach</x:v>
      </x:c>
      <x:c r="AA1226" s="25" t="str">
        <x:v>Public cash-home-buyer directory lists the business name, business phone/website where available and market. Operator role and corporate funding willingness require confirmation.</x:v>
      </x:c>
      <x:c r="AB1226" s="3" t="str">
        <x:v>New public-source collection</x:v>
      </x:c>
      <x:c r="AC1226" s="3" t="str">
        <x:v>unverified</x:v>
      </x:c>
      <x:c r="AD1226" s="3" t="str">
        <x:v>Not contacted / unconfirmed</x:v>
      </x:c>
      <x:c r="AE1226" s="3" t="str">
        <x:v>No</x:v>
      </x:c>
      <x:c r="AF1226" s="3" t="str">
        <x:v>No</x:v>
      </x:c>
      <x:c r="AG1226" s="3"/>
      <x:c r="AH1226" s="3"/>
      <x:c r="AI1226" s="18"/>
      <x:c r="AJ1226" s="3" t="str">
        <x:v>CF2500-123098905635</x:v>
      </x:c>
      <x:c r="AK1226" s="3" t="str">
        <x:v>real_estate_operator</x:v>
      </x:c>
      <x:c r="AL1226" s="19" t="n">
        <x:v>100000</x:v>
      </x:c>
      <x:c r="AM1226" s="19" t="n">
        <x:v>500000</x:v>
      </x:c>
      <x:c r="AN1226" s="3" t="str">
        <x:v>https://www.cashhomebuyersdirectory.com/cash-home-buyers/virginia/virginia-beach</x:v>
      </x:c>
      <x:c r="AO1226" s="3" t="str">
        <x:v>national_rest_directory_complete.jsonl</x:v>
      </x:c>
      <x:c r="AP1226" s="19"/>
    </x:row>
    <x:row r="1227" ht="36" customHeight="1">
      <x:c r="A1227" s="23" t="n">
        <x:v>1226</x:v>
      </x:c>
      <x:c r="B1227" s="15" t="str">
        <x:v>Resolution Home Buyers</x:v>
      </x:c>
      <x:c r="C1227" s="15"/>
      <x:c r="D1227" s="15" t="str">
        <x:v>Property investor / home-buying operator</x:v>
      </x:c>
      <x:c r="E1227" s="15" t="str">
        <x:v>Property investor / operator inquiry</x:v>
      </x:c>
      <x:c r="F1227" s="17" t="str">
        <x:v>New</x:v>
      </x:c>
      <x:c r="G1227" s="24"/>
      <x:c r="H1227" s="24" t="str">
        <x:v>+16122946005</x:v>
      </x:c>
      <x:c r="I1227" s="24" t="str">
        <x:v>https://www.sellmyplacenow.com/</x:v>
      </x:c>
      <x:c r="J1227" s="16" t="str">
        <x:v>MN</x:v>
      </x:c>
      <x:c r="K1227" s="16" t="str">
        <x:v>Minneapolis</x:v>
      </x:c>
      <x:c r="L1227" s="16" t="str">
        <x:v>Public property-business route; investor decision maker unconfirmed</x:v>
      </x:c>
      <x:c r="M1227" s="16" t="str">
        <x:v>https://www.sellmyplacenow.com/</x:v>
      </x:c>
      <x:c r="N1227" s="16" t="str">
        <x:v>$100K-$500K ticket not published / unconfirmed</x:v>
      </x:c>
      <x:c r="O1227" s="20"/>
      <x:c r="P1227" s="20"/>
      <x:c r="Q1227" s="25" t="str">
        <x:v>No direct corporate-capital range established in checked source</x:v>
      </x:c>
      <x:c r="R1227" s="25" t="str">
        <x:v>Property acquisition or investor activity makes this an operator-capital prospect for the signed trial. Confirm operating-company debt/equity appetite.</x:v>
      </x:c>
      <x:c r="S1227" s="25"/>
      <x:c r="T1227" s="25" t="str">
        <x:v>Ask the owner/investor whether they can allocate $100K-$500K to trial marketing and acquisitions, and confirm structure, timing and decision authority.</x:v>
      </x:c>
      <x:c r="U1227" s="25" t="str">
        <x:v>https://www.cashhomebuyersdirectory.com/cash-home-buyers/minnesota/minneapolis</x:v>
      </x:c>
      <x:c r="V1227" s="26" t="d">
        <x:v>2026-10-02T00:00:00.000Z</x:v>
      </x:c>
      <x:c r="W1227" s="26" t="d">
        <x:v>2026-10-02T00:00:00.000Z</x:v>
      </x:c>
      <x:c r="X1227" s="25" t="str">
        <x:v>CashHomeBuyersDirectory third-party business listing; first-party business activity not checked in this batch</x:v>
      </x:c>
      <x:c r="Y1227" s="25"/>
      <x:c r="Z1227" s="25" t="str">
        <x:v>https://www.cashhomebuyersdirectory.com/cash-home-buyers/minnesota/minneapolis</x:v>
      </x:c>
      <x:c r="AA1227" s="25" t="str">
        <x:v>Public cash-home-buyer directory lists the business name, business phone/website where available and market. Operator role and corporate funding willingness require confirmation.</x:v>
      </x:c>
      <x:c r="AB1227" s="3" t="str">
        <x:v>New public-source collection</x:v>
      </x:c>
      <x:c r="AC1227" s="3" t="str">
        <x:v>unverified</x:v>
      </x:c>
      <x:c r="AD1227" s="3" t="str">
        <x:v>Not contacted / unconfirmed</x:v>
      </x:c>
      <x:c r="AE1227" s="3" t="str">
        <x:v>No</x:v>
      </x:c>
      <x:c r="AF1227" s="3" t="str">
        <x:v>No</x:v>
      </x:c>
      <x:c r="AG1227" s="3"/>
      <x:c r="AH1227" s="3"/>
      <x:c r="AI1227" s="18"/>
      <x:c r="AJ1227" s="3" t="str">
        <x:v>CF2500-1B829FD65D2C</x:v>
      </x:c>
      <x:c r="AK1227" s="3" t="str">
        <x:v>real_estate_operator</x:v>
      </x:c>
      <x:c r="AL1227" s="19" t="n">
        <x:v>100000</x:v>
      </x:c>
      <x:c r="AM1227" s="19" t="n">
        <x:v>500000</x:v>
      </x:c>
      <x:c r="AN1227" s="3" t="str">
        <x:v>https://www.cashhomebuyersdirectory.com/cash-home-buyers/minnesota/minneapolis</x:v>
      </x:c>
      <x:c r="AO1227" s="3" t="str">
        <x:v>national_rest_directory_complete.jsonl</x:v>
      </x:c>
      <x:c r="AP1227" s="19"/>
    </x:row>
    <x:row r="1228" ht="36" customHeight="1">
      <x:c r="A1228" s="23" t="n">
        <x:v>1227</x:v>
      </x:c>
      <x:c r="B1228" s="15" t="str">
        <x:v>Results Homebuyers</x:v>
      </x:c>
      <x:c r="C1228" s="15"/>
      <x:c r="D1228" s="15" t="str">
        <x:v>Property investor / home-buying operator</x:v>
      </x:c>
      <x:c r="E1228" s="15" t="str">
        <x:v>Property investor / operator inquiry</x:v>
      </x:c>
      <x:c r="F1228" s="17" t="str">
        <x:v>New</x:v>
      </x:c>
      <x:c r="G1228" s="24"/>
      <x:c r="H1228" s="24" t="str">
        <x:v>+14847600872</x:v>
      </x:c>
      <x:c r="I1228" s="24" t="str">
        <x:v>https://resultshomebuyers.com/</x:v>
      </x:c>
      <x:c r="J1228" s="16" t="str">
        <x:v>PA</x:v>
      </x:c>
      <x:c r="K1228" s="16" t="str">
        <x:v>Whitehall Township</x:v>
      </x:c>
      <x:c r="L1228" s="16" t="str">
        <x:v>Public property-business route; investor decision maker unconfirmed</x:v>
      </x:c>
      <x:c r="M1228" s="16" t="str">
        <x:v>https://resultshomebuyers.com/</x:v>
      </x:c>
      <x:c r="N1228" s="16" t="str">
        <x:v>$100K-$500K ticket not published / unconfirmed</x:v>
      </x:c>
      <x:c r="O1228" s="20"/>
      <x:c r="P1228" s="20"/>
      <x:c r="Q1228" s="25" t="str">
        <x:v>No direct corporate-capital range established in checked source</x:v>
      </x:c>
      <x:c r="R1228" s="25" t="str">
        <x:v>Property acquisition or investor activity makes this an operator-capital prospect for the signed trial. Confirm operating-company debt/equity appetite.</x:v>
      </x:c>
      <x:c r="S1228" s="25"/>
      <x:c r="T1228" s="25" t="str">
        <x:v>Ask the owner/investor whether they can allocate $100K-$500K to trial marketing and acquisitions, and confirm structure, timing and decision authority.</x:v>
      </x:c>
      <x:c r="U1228" s="25" t="str">
        <x:v>https://www.cashhomebuyersdirectory.com/cash-home-buyers/pennsylvania/whitehall-township</x:v>
      </x:c>
      <x:c r="V1228" s="26" t="d">
        <x:v>2026-10-02T00:00:00.000Z</x:v>
      </x:c>
      <x:c r="W1228" s="26" t="d">
        <x:v>2026-10-02T00:00:00.000Z</x:v>
      </x:c>
      <x:c r="X1228" s="25" t="str">
        <x:v>CashHomeBuyersDirectory third-party business listing; first-party business activity not checked in this batch</x:v>
      </x:c>
      <x:c r="Y1228" s="25"/>
      <x:c r="Z1228" s="25" t="str">
        <x:v>https://www.cashhomebuyersdirectory.com/cash-home-buyers/pennsylvania/whitehall-township</x:v>
      </x:c>
      <x:c r="AA1228" s="25" t="str">
        <x:v>Public cash-home-buyer directory lists the business name, business phone/website where available and market. Operator role and corporate funding willingness require confirmation.</x:v>
      </x:c>
      <x:c r="AB1228" s="3" t="str">
        <x:v>New public-source collection</x:v>
      </x:c>
      <x:c r="AC1228" s="3" t="str">
        <x:v>unverified</x:v>
      </x:c>
      <x:c r="AD1228" s="3" t="str">
        <x:v>Not contacted / unconfirmed</x:v>
      </x:c>
      <x:c r="AE1228" s="3" t="str">
        <x:v>No</x:v>
      </x:c>
      <x:c r="AF1228" s="3" t="str">
        <x:v>No</x:v>
      </x:c>
      <x:c r="AG1228" s="3"/>
      <x:c r="AH1228" s="3"/>
      <x:c r="AI1228" s="18"/>
      <x:c r="AJ1228" s="3" t="str">
        <x:v>CF2500-EDAD495EFD39</x:v>
      </x:c>
      <x:c r="AK1228" s="3" t="str">
        <x:v>real_estate_operator</x:v>
      </x:c>
      <x:c r="AL1228" s="19" t="n">
        <x:v>100000</x:v>
      </x:c>
      <x:c r="AM1228" s="19" t="n">
        <x:v>500000</x:v>
      </x:c>
      <x:c r="AN1228" s="3" t="str">
        <x:v>https://www.cashhomebuyersdirectory.com/cash-home-buyers/pennsylvania/whitehall-township</x:v>
      </x:c>
      <x:c r="AO1228" s="3" t="str">
        <x:v>national_rest_directory_complete.jsonl</x:v>
      </x:c>
      <x:c r="AP1228" s="19"/>
    </x:row>
    <x:row r="1229" ht="36" customHeight="1">
      <x:c r="A1229" s="23" t="n">
        <x:v>1228</x:v>
      </x:c>
      <x:c r="B1229" s="15" t="str">
        <x:v>Revival Homebuyers - We Buy Houses Springfield</x:v>
      </x:c>
      <x:c r="C1229" s="15"/>
      <x:c r="D1229" s="15" t="str">
        <x:v>Property investor / home-buying operator</x:v>
      </x:c>
      <x:c r="E1229" s="15" t="str">
        <x:v>Property investor / operator inquiry</x:v>
      </x:c>
      <x:c r="F1229" s="17" t="str">
        <x:v>New</x:v>
      </x:c>
      <x:c r="G1229" s="24"/>
      <x:c r="H1229" s="24" t="str">
        <x:v>+14132715985</x:v>
      </x:c>
      <x:c r="I1229" s="24" t="str">
        <x:v>https://www.revivalhomebuyers.com/</x:v>
      </x:c>
      <x:c r="J1229" s="16" t="str">
        <x:v>MA</x:v>
      </x:c>
      <x:c r="K1229" s="16" t="str">
        <x:v>Springfield</x:v>
      </x:c>
      <x:c r="L1229" s="16" t="str">
        <x:v>Public property-business route; investor decision maker unconfirmed</x:v>
      </x:c>
      <x:c r="M1229" s="16" t="str">
        <x:v>https://www.revivalhomebuyers.com/</x:v>
      </x:c>
      <x:c r="N1229" s="16" t="str">
        <x:v>$100K-$500K ticket not published / unconfirmed</x:v>
      </x:c>
      <x:c r="O1229" s="20"/>
      <x:c r="P1229" s="20"/>
      <x:c r="Q1229" s="25" t="str">
        <x:v>No direct corporate-capital range established in checked source</x:v>
      </x:c>
      <x:c r="R1229" s="25" t="str">
        <x:v>Property acquisition or investor activity makes this an operator-capital prospect for the signed trial. Confirm operating-company debt/equity appetite.</x:v>
      </x:c>
      <x:c r="S1229" s="25"/>
      <x:c r="T1229" s="25" t="str">
        <x:v>Ask the owner/investor whether they can allocate $100K-$500K to trial marketing and acquisitions, and confirm structure, timing and decision authority.</x:v>
      </x:c>
      <x:c r="U1229" s="25" t="str">
        <x:v>https://www.cashhomebuyersdirectory.com/cash-home-buyers/massachusetts/springfield</x:v>
      </x:c>
      <x:c r="V1229" s="26" t="d">
        <x:v>2026-10-02T00:00:00.000Z</x:v>
      </x:c>
      <x:c r="W1229" s="26" t="d">
        <x:v>2026-10-02T00:00:00.000Z</x:v>
      </x:c>
      <x:c r="X1229" s="25" t="str">
        <x:v>CashHomeBuyersDirectory third-party business listing; first-party business activity not checked in this batch</x:v>
      </x:c>
      <x:c r="Y1229" s="25"/>
      <x:c r="Z1229" s="25" t="str">
        <x:v>https://www.cashhomebuyersdirectory.com/cash-home-buyers/massachusetts/springfield</x:v>
      </x:c>
      <x:c r="AA1229" s="25" t="str">
        <x:v>Public cash-home-buyer directory lists the business name, business phone/website where available and market. Operator role and corporate funding willingness require confirmation.</x:v>
      </x:c>
      <x:c r="AB1229" s="3" t="str">
        <x:v>New public-source collection</x:v>
      </x:c>
      <x:c r="AC1229" s="3" t="str">
        <x:v>unverified</x:v>
      </x:c>
      <x:c r="AD1229" s="3" t="str">
        <x:v>Not contacted / unconfirmed</x:v>
      </x:c>
      <x:c r="AE1229" s="3" t="str">
        <x:v>No</x:v>
      </x:c>
      <x:c r="AF1229" s="3" t="str">
        <x:v>No</x:v>
      </x:c>
      <x:c r="AG1229" s="3"/>
      <x:c r="AH1229" s="3"/>
      <x:c r="AI1229" s="18"/>
      <x:c r="AJ1229" s="3" t="str">
        <x:v>CF2500-4BB76F7E1CA4</x:v>
      </x:c>
      <x:c r="AK1229" s="3" t="str">
        <x:v>real_estate_operator</x:v>
      </x:c>
      <x:c r="AL1229" s="19" t="n">
        <x:v>100000</x:v>
      </x:c>
      <x:c r="AM1229" s="19" t="n">
        <x:v>500000</x:v>
      </x:c>
      <x:c r="AN1229" s="3" t="str">
        <x:v>https://www.cashhomebuyersdirectory.com/cash-home-buyers/massachusetts/springfield</x:v>
      </x:c>
      <x:c r="AO1229" s="3" t="str">
        <x:v>national_rest_directory_complete.jsonl</x:v>
      </x:c>
      <x:c r="AP1229" s="19"/>
    </x:row>
    <x:row r="1230" ht="36" customHeight="1">
      <x:c r="A1230" s="23" t="n">
        <x:v>1229</x:v>
      </x:c>
      <x:c r="B1230" s="15" t="str">
        <x:v>Rework Cash Offers | Sell My House Fast!</x:v>
      </x:c>
      <x:c r="C1230" s="15"/>
      <x:c r="D1230" s="15" t="str">
        <x:v>Property investor / home-buying operator</x:v>
      </x:c>
      <x:c r="E1230" s="15" t="str">
        <x:v>Property investor / operator inquiry</x:v>
      </x:c>
      <x:c r="F1230" s="17" t="str">
        <x:v>New</x:v>
      </x:c>
      <x:c r="G1230" s="24"/>
      <x:c r="H1230" s="24" t="str">
        <x:v>+19169434642</x:v>
      </x:c>
      <x:c r="I1230" s="24" t="str">
        <x:v>https://www.reworkcashoffers.com/?utm_source=gmb&amp;utm_medium=organic&amp;utm_campaign=gbp</x:v>
      </x:c>
      <x:c r="J1230" s="16" t="str">
        <x:v>CA</x:v>
      </x:c>
      <x:c r="K1230" s="16" t="str">
        <x:v>Sacramento</x:v>
      </x:c>
      <x:c r="L1230" s="16" t="str">
        <x:v>Public property-business route; investor decision maker unconfirmed</x:v>
      </x:c>
      <x:c r="M1230" s="16" t="str">
        <x:v>https://www.reworkcashoffers.com/?utm_source=gmb&amp;utm_medium=organic&amp;utm_campaign=gbp</x:v>
      </x:c>
      <x:c r="N1230" s="16" t="str">
        <x:v>$100K-$500K ticket not published / unconfirmed</x:v>
      </x:c>
      <x:c r="O1230" s="20"/>
      <x:c r="P1230" s="20"/>
      <x:c r="Q1230" s="25" t="str">
        <x:v>No direct corporate-capital range established in checked source</x:v>
      </x:c>
      <x:c r="R1230" s="25" t="str">
        <x:v>Property acquisition or investor activity makes this an operator-capital prospect for the signed trial. Confirm operating-company debt/equity appetite.</x:v>
      </x:c>
      <x:c r="S1230" s="25"/>
      <x:c r="T1230" s="25" t="str">
        <x:v>Ask the owner/investor whether they can allocate $100K-$500K to trial marketing and acquisitions, and confirm structure, timing and decision authority.</x:v>
      </x:c>
      <x:c r="U1230" s="25" t="str">
        <x:v>https://www.cashhomebuyersdirectory.com/cash-home-buyers/california/sacramento</x:v>
      </x:c>
      <x:c r="V1230" s="26" t="d">
        <x:v>2026-10-02T00:00:00.000Z</x:v>
      </x:c>
      <x:c r="W1230" s="26" t="d">
        <x:v>2026-10-02T00:00:00.000Z</x:v>
      </x:c>
      <x:c r="X1230" s="25" t="str">
        <x:v>CashHomeBuyersDirectory third-party business listing; first-party business activity not checked in this batch</x:v>
      </x:c>
      <x:c r="Y1230" s="25"/>
      <x:c r="Z1230" s="25" t="str">
        <x:v>https://www.cashhomebuyersdirectory.com/cash-home-buyers/california/sacramento</x:v>
      </x:c>
      <x:c r="AA1230" s="25" t="str">
        <x:v>Public cash-home-buyer directory lists the business name, business phone/website where available and market. Operator role and corporate funding willingness require confirmation.</x:v>
      </x:c>
      <x:c r="AB1230" s="3" t="str">
        <x:v>New public-source collection</x:v>
      </x:c>
      <x:c r="AC1230" s="3" t="str">
        <x:v>unverified</x:v>
      </x:c>
      <x:c r="AD1230" s="3" t="str">
        <x:v>Not contacted / unconfirmed</x:v>
      </x:c>
      <x:c r="AE1230" s="3" t="str">
        <x:v>No</x:v>
      </x:c>
      <x:c r="AF1230" s="3" t="str">
        <x:v>No</x:v>
      </x:c>
      <x:c r="AG1230" s="3"/>
      <x:c r="AH1230" s="3"/>
      <x:c r="AI1230" s="18"/>
      <x:c r="AJ1230" s="3" t="str">
        <x:v>CF2500-5259BF7A3E8B</x:v>
      </x:c>
      <x:c r="AK1230" s="3" t="str">
        <x:v>real_estate_operator</x:v>
      </x:c>
      <x:c r="AL1230" s="19" t="n">
        <x:v>100000</x:v>
      </x:c>
      <x:c r="AM1230" s="19" t="n">
        <x:v>500000</x:v>
      </x:c>
      <x:c r="AN1230" s="3" t="str">
        <x:v>https://www.cashhomebuyersdirectory.com/cash-home-buyers/california/sacramento</x:v>
      </x:c>
      <x:c r="AO1230" s="3" t="str">
        <x:v>national_rest_directory_complete.jsonl</x:v>
      </x:c>
      <x:c r="AP1230" s="19"/>
    </x:row>
    <x:row r="1231" ht="36" customHeight="1">
      <x:c r="A1231" s="23" t="n">
        <x:v>1230</x:v>
      </x:c>
      <x:c r="B1231" s="15" t="str">
        <x:v>Rhody Home Buyer</x:v>
      </x:c>
      <x:c r="C1231" s="15"/>
      <x:c r="D1231" s="15" t="str">
        <x:v>Property investor / home-buying operator</x:v>
      </x:c>
      <x:c r="E1231" s="15" t="str">
        <x:v>Property investor / operator inquiry</x:v>
      </x:c>
      <x:c r="F1231" s="17" t="str">
        <x:v>New</x:v>
      </x:c>
      <x:c r="G1231" s="24"/>
      <x:c r="H1231" s="24" t="str">
        <x:v>+14013869117</x:v>
      </x:c>
      <x:c r="I1231" s="24" t="str">
        <x:v>https://rhodyhomebuyer.com/</x:v>
      </x:c>
      <x:c r="J1231" s="16" t="str">
        <x:v>RI</x:v>
      </x:c>
      <x:c r="K1231" s="16"/>
      <x:c r="L1231" s="16" t="str">
        <x:v>Public property-business route; investor decision maker unconfirmed</x:v>
      </x:c>
      <x:c r="M1231" s="16" t="str">
        <x:v>https://rhodyhomebuyer.com/</x:v>
      </x:c>
      <x:c r="N1231" s="16" t="str">
        <x:v>$100K-$500K ticket not published / unconfirmed</x:v>
      </x:c>
      <x:c r="O1231" s="20"/>
      <x:c r="P1231" s="20"/>
      <x:c r="Q1231" s="25" t="str">
        <x:v>No direct corporate-capital range established in checked source</x:v>
      </x:c>
      <x:c r="R1231" s="25" t="str">
        <x:v>Property acquisition or investor activity makes this an operator-capital prospect for the signed trial. Confirm operating-company debt/equity appetite.</x:v>
      </x:c>
      <x:c r="S1231" s="25"/>
      <x:c r="T1231" s="25" t="str">
        <x:v>Ask the owner/investor whether they can allocate $100K-$500K to trial marketing and acquisitions, and confirm structure, timing and decision authority.</x:v>
      </x:c>
      <x:c r="U1231" s="25" t="str">
        <x:v>https://www.cashhomebuyersdirectory.com/cash-home-buyers/rhode-island/providence</x:v>
      </x:c>
      <x:c r="V1231" s="26" t="d">
        <x:v>2026-10-02T00:00:00.000Z</x:v>
      </x:c>
      <x:c r="W1231" s="26" t="d">
        <x:v>2026-10-02T00:00:00.000Z</x:v>
      </x:c>
      <x:c r="X1231" s="25" t="str">
        <x:v>CashHomeBuyersDirectory third-party business listing; first-party business activity not checked in this batch</x:v>
      </x:c>
      <x:c r="Y1231" s="25"/>
      <x:c r="Z1231" s="25" t="str">
        <x:v>https://www.cashhomebuyersdirectory.com/cash-home-buyers/rhode-island/providence</x:v>
      </x:c>
      <x:c r="AA1231" s="25" t="str">
        <x:v>Public cash-home-buyer directory lists the business name, business phone/website where available and market. Operator role and corporate funding willingness require confirmation.</x:v>
      </x:c>
      <x:c r="AB1231" s="3" t="str">
        <x:v>New public-source collection</x:v>
      </x:c>
      <x:c r="AC1231" s="3" t="str">
        <x:v>unverified</x:v>
      </x:c>
      <x:c r="AD1231" s="3" t="str">
        <x:v>Not contacted / unconfirmed</x:v>
      </x:c>
      <x:c r="AE1231" s="3" t="str">
        <x:v>No</x:v>
      </x:c>
      <x:c r="AF1231" s="3" t="str">
        <x:v>No</x:v>
      </x:c>
      <x:c r="AG1231" s="3"/>
      <x:c r="AH1231" s="3"/>
      <x:c r="AI1231" s="18"/>
      <x:c r="AJ1231" s="3" t="str">
        <x:v>CF2500-1EE7C4B36CA7</x:v>
      </x:c>
      <x:c r="AK1231" s="3" t="str">
        <x:v>real_estate_operator</x:v>
      </x:c>
      <x:c r="AL1231" s="19" t="n">
        <x:v>100000</x:v>
      </x:c>
      <x:c r="AM1231" s="19" t="n">
        <x:v>500000</x:v>
      </x:c>
      <x:c r="AN1231" s="3" t="str">
        <x:v>https://www.cashhomebuyersdirectory.com/cash-home-buyers/rhode-island/providence</x:v>
      </x:c>
      <x:c r="AO1231" s="3" t="str">
        <x:v>national_rest_directory_complete.jsonl</x:v>
      </x:c>
      <x:c r="AP1231" s="19"/>
    </x:row>
    <x:row r="1232" ht="36" customHeight="1">
      <x:c r="A1232" s="23" t="n">
        <x:v>1231</x:v>
      </x:c>
      <x:c r="B1232" s="15" t="str">
        <x:v>RI Home Buyers</x:v>
      </x:c>
      <x:c r="C1232" s="15"/>
      <x:c r="D1232" s="15" t="str">
        <x:v>Property investor / home-buying operator</x:v>
      </x:c>
      <x:c r="E1232" s="15" t="str">
        <x:v>Property investor / operator inquiry</x:v>
      </x:c>
      <x:c r="F1232" s="17" t="str">
        <x:v>New</x:v>
      </x:c>
      <x:c r="G1232" s="24"/>
      <x:c r="H1232" s="24" t="str">
        <x:v>+14012404663</x:v>
      </x:c>
      <x:c r="I1232" s="24" t="str">
        <x:v>https://www.rihomebuyers.com/</x:v>
      </x:c>
      <x:c r="J1232" s="16" t="str">
        <x:v>RI</x:v>
      </x:c>
      <x:c r="K1232" s="16" t="str">
        <x:v>Providence</x:v>
      </x:c>
      <x:c r="L1232" s="16" t="str">
        <x:v>Public property-business route; investor decision maker unconfirmed</x:v>
      </x:c>
      <x:c r="M1232" s="16" t="str">
        <x:v>https://www.rihomebuyers.com/</x:v>
      </x:c>
      <x:c r="N1232" s="16" t="str">
        <x:v>$100K-$500K ticket not published / unconfirmed</x:v>
      </x:c>
      <x:c r="O1232" s="20"/>
      <x:c r="P1232" s="20"/>
      <x:c r="Q1232" s="25" t="str">
        <x:v>No direct corporate-capital range established in checked source</x:v>
      </x:c>
      <x:c r="R1232" s="25" t="str">
        <x:v>Property acquisition or investor activity makes this an operator-capital prospect for the signed trial. Confirm operating-company debt/equity appetite.</x:v>
      </x:c>
      <x:c r="S1232" s="25"/>
      <x:c r="T1232" s="25" t="str">
        <x:v>Ask the owner/investor whether they can allocate $100K-$500K to trial marketing and acquisitions, and confirm structure, timing and decision authority.</x:v>
      </x:c>
      <x:c r="U1232" s="25" t="str">
        <x:v>https://www.cashhomebuyersdirectory.com/cash-home-buyers/rhode-island/providence</x:v>
      </x:c>
      <x:c r="V1232" s="26" t="d">
        <x:v>2026-10-02T00:00:00.000Z</x:v>
      </x:c>
      <x:c r="W1232" s="26" t="d">
        <x:v>2026-10-02T00:00:00.000Z</x:v>
      </x:c>
      <x:c r="X1232" s="25" t="str">
        <x:v>CashHomeBuyersDirectory third-party business listing; first-party business activity not checked in this batch</x:v>
      </x:c>
      <x:c r="Y1232" s="25"/>
      <x:c r="Z1232" s="25" t="str">
        <x:v>https://www.cashhomebuyersdirectory.com/cash-home-buyers/rhode-island/providence</x:v>
      </x:c>
      <x:c r="AA1232" s="25" t="str">
        <x:v>Public cash-home-buyer directory lists the business name, business phone/website where available and market. Operator role and corporate funding willingness require confirmation.</x:v>
      </x:c>
      <x:c r="AB1232" s="3" t="str">
        <x:v>New public-source collection</x:v>
      </x:c>
      <x:c r="AC1232" s="3" t="str">
        <x:v>unverified</x:v>
      </x:c>
      <x:c r="AD1232" s="3" t="str">
        <x:v>Not contacted / unconfirmed</x:v>
      </x:c>
      <x:c r="AE1232" s="3" t="str">
        <x:v>No</x:v>
      </x:c>
      <x:c r="AF1232" s="3" t="str">
        <x:v>No</x:v>
      </x:c>
      <x:c r="AG1232" s="3"/>
      <x:c r="AH1232" s="3"/>
      <x:c r="AI1232" s="18"/>
      <x:c r="AJ1232" s="3" t="str">
        <x:v>CF2500-493C73B4F63E</x:v>
      </x:c>
      <x:c r="AK1232" s="3" t="str">
        <x:v>real_estate_operator</x:v>
      </x:c>
      <x:c r="AL1232" s="19" t="n">
        <x:v>100000</x:v>
      </x:c>
      <x:c r="AM1232" s="19" t="n">
        <x:v>500000</x:v>
      </x:c>
      <x:c r="AN1232" s="3" t="str">
        <x:v>https://www.cashhomebuyersdirectory.com/cash-home-buyers/rhode-island/providence</x:v>
      </x:c>
      <x:c r="AO1232" s="3" t="str">
        <x:v>national_rest_directory_complete.jsonl</x:v>
      </x:c>
      <x:c r="AP1232" s="19"/>
    </x:row>
    <x:row r="1233" ht="36" customHeight="1">
      <x:c r="A1233" s="23" t="n">
        <x:v>1232</x:v>
      </x:c>
      <x:c r="B1233" s="15" t="str">
        <x:v>Richland County Home Buyers</x:v>
      </x:c>
      <x:c r="C1233" s="15"/>
      <x:c r="D1233" s="15" t="str">
        <x:v>Property investor / home-buying operator</x:v>
      </x:c>
      <x:c r="E1233" s="15" t="str">
        <x:v>Property investor / operator inquiry</x:v>
      </x:c>
      <x:c r="F1233" s="17" t="str">
        <x:v>New</x:v>
      </x:c>
      <x:c r="G1233" s="24"/>
      <x:c r="H1233" s="24" t="str">
        <x:v>+15675604798</x:v>
      </x:c>
      <x:c r="I1233" s="24" t="str">
        <x:v>http://www.richlandcountyhomebuyers.com/</x:v>
      </x:c>
      <x:c r="J1233" s="16" t="str">
        <x:v>OH</x:v>
      </x:c>
      <x:c r="K1233" s="16" t="str">
        <x:v>Mansfield</x:v>
      </x:c>
      <x:c r="L1233" s="16" t="str">
        <x:v>Public property-business route; investor decision maker unconfirmed</x:v>
      </x:c>
      <x:c r="M1233" s="16" t="str">
        <x:v>http://www.richlandcountyhomebuyers.com/</x:v>
      </x:c>
      <x:c r="N1233" s="16" t="str">
        <x:v>$100K-$500K ticket not published / unconfirmed</x:v>
      </x:c>
      <x:c r="O1233" s="20"/>
      <x:c r="P1233" s="20"/>
      <x:c r="Q1233" s="25" t="str">
        <x:v>No direct corporate-capital range established in checked source</x:v>
      </x:c>
      <x:c r="R1233" s="25" t="str">
        <x:v>Property acquisition or investor activity makes this an operator-capital prospect for the signed trial. Confirm operating-company debt/equity appetite.</x:v>
      </x:c>
      <x:c r="S1233" s="25"/>
      <x:c r="T1233" s="25" t="str">
        <x:v>Ask the owner/investor whether they can allocate $100K-$500K to trial marketing and acquisitions, and confirm structure, timing and decision authority.</x:v>
      </x:c>
      <x:c r="U1233" s="25" t="str">
        <x:v>https://www.cashhomebuyersdirectory.com/cash-home-buyers/ohio/mansfield</x:v>
      </x:c>
      <x:c r="V1233" s="26" t="d">
        <x:v>2026-10-02T00:00:00.000Z</x:v>
      </x:c>
      <x:c r="W1233" s="26" t="d">
        <x:v>2026-10-02T00:00:00.000Z</x:v>
      </x:c>
      <x:c r="X1233" s="25" t="str">
        <x:v>CashHomeBuyersDirectory third-party business listing; first-party business activity not checked in this batch</x:v>
      </x:c>
      <x:c r="Y1233" s="25"/>
      <x:c r="Z1233" s="25" t="str">
        <x:v>https://www.cashhomebuyersdirectory.com/cash-home-buyers/ohio/mansfield</x:v>
      </x:c>
      <x:c r="AA1233" s="25" t="str">
        <x:v>Public cash-home-buyer directory lists the business name, business phone/website where available and market. Operator role and corporate funding willingness require confirmation.</x:v>
      </x:c>
      <x:c r="AB1233" s="3" t="str">
        <x:v>New public-source collection</x:v>
      </x:c>
      <x:c r="AC1233" s="3" t="str">
        <x:v>unverified</x:v>
      </x:c>
      <x:c r="AD1233" s="3" t="str">
        <x:v>Not contacted / unconfirmed</x:v>
      </x:c>
      <x:c r="AE1233" s="3" t="str">
        <x:v>No</x:v>
      </x:c>
      <x:c r="AF1233" s="3" t="str">
        <x:v>No</x:v>
      </x:c>
      <x:c r="AG1233" s="3"/>
      <x:c r="AH1233" s="3"/>
      <x:c r="AI1233" s="18"/>
      <x:c r="AJ1233" s="3" t="str">
        <x:v>CF2500-05C0485160A4</x:v>
      </x:c>
      <x:c r="AK1233" s="3" t="str">
        <x:v>real_estate_operator</x:v>
      </x:c>
      <x:c r="AL1233" s="19" t="n">
        <x:v>100000</x:v>
      </x:c>
      <x:c r="AM1233" s="19" t="n">
        <x:v>500000</x:v>
      </x:c>
      <x:c r="AN1233" s="3" t="str">
        <x:v>https://www.cashhomebuyersdirectory.com/cash-home-buyers/ohio/mansfield</x:v>
      </x:c>
      <x:c r="AO1233" s="3" t="str">
        <x:v>national_rest_directory_complete.jsonl</x:v>
      </x:c>
      <x:c r="AP1233" s="19"/>
    </x:row>
    <x:row r="1234" ht="36" customHeight="1">
      <x:c r="A1234" s="23" t="n">
        <x:v>1233</x:v>
      </x:c>
      <x:c r="B1234" s="15" t="str">
        <x:v>Richmond Property Buyers</x:v>
      </x:c>
      <x:c r="C1234" s="15"/>
      <x:c r="D1234" s="15" t="str">
        <x:v>Property investor / home-buying operator</x:v>
      </x:c>
      <x:c r="E1234" s="15" t="str">
        <x:v>Property investor / operator inquiry</x:v>
      </x:c>
      <x:c r="F1234" s="17" t="str">
        <x:v>New</x:v>
      </x:c>
      <x:c r="G1234" s="24"/>
      <x:c r="H1234" s="24" t="str">
        <x:v>+18042930208</x:v>
      </x:c>
      <x:c r="I1234" s="24" t="str">
        <x:v>http://www.richmondpropertybuyers.com/</x:v>
      </x:c>
      <x:c r="J1234" s="16" t="str">
        <x:v>VA</x:v>
      </x:c>
      <x:c r="K1234" s="16"/>
      <x:c r="L1234" s="16" t="str">
        <x:v>Public property-business route; investor decision maker unconfirmed</x:v>
      </x:c>
      <x:c r="M1234" s="16" t="str">
        <x:v>http://www.richmondpropertybuyers.com/</x:v>
      </x:c>
      <x:c r="N1234" s="16" t="str">
        <x:v>$100K-$500K ticket not published / unconfirmed</x:v>
      </x:c>
      <x:c r="O1234" s="20"/>
      <x:c r="P1234" s="20"/>
      <x:c r="Q1234" s="25" t="str">
        <x:v>No direct corporate-capital range established in checked source</x:v>
      </x:c>
      <x:c r="R1234" s="25" t="str">
        <x:v>Property acquisition or investor activity makes this an operator-capital prospect for the signed trial. Confirm operating-company debt/equity appetite.</x:v>
      </x:c>
      <x:c r="S1234" s="25"/>
      <x:c r="T1234" s="25" t="str">
        <x:v>Ask the owner/investor whether they can allocate $100K-$500K to trial marketing and acquisitions, and confirm structure, timing and decision authority.</x:v>
      </x:c>
      <x:c r="U1234" s="25" t="str">
        <x:v>https://www.cashhomebuyersdirectory.com/cash-home-buyers/virginia/richmond</x:v>
      </x:c>
      <x:c r="V1234" s="26" t="d">
        <x:v>2026-10-02T00:00:00.000Z</x:v>
      </x:c>
      <x:c r="W1234" s="26" t="d">
        <x:v>2026-10-02T00:00:00.000Z</x:v>
      </x:c>
      <x:c r="X1234" s="25" t="str">
        <x:v>CashHomeBuyersDirectory third-party business listing; first-party business activity not checked in this batch</x:v>
      </x:c>
      <x:c r="Y1234" s="25"/>
      <x:c r="Z1234" s="25" t="str">
        <x:v>https://www.cashhomebuyersdirectory.com/cash-home-buyers/virginia/richmond</x:v>
      </x:c>
      <x:c r="AA1234" s="25" t="str">
        <x:v>Public cash-home-buyer directory lists the business name, business phone/website where available and market. Operator role and corporate funding willingness require confirmation.</x:v>
      </x:c>
      <x:c r="AB1234" s="3" t="str">
        <x:v>New public-source collection</x:v>
      </x:c>
      <x:c r="AC1234" s="3" t="str">
        <x:v>unverified</x:v>
      </x:c>
      <x:c r="AD1234" s="3" t="str">
        <x:v>Not contacted / unconfirmed</x:v>
      </x:c>
      <x:c r="AE1234" s="3" t="str">
        <x:v>No</x:v>
      </x:c>
      <x:c r="AF1234" s="3" t="str">
        <x:v>No</x:v>
      </x:c>
      <x:c r="AG1234" s="3"/>
      <x:c r="AH1234" s="3"/>
      <x:c r="AI1234" s="18"/>
      <x:c r="AJ1234" s="3" t="str">
        <x:v>CF2500-9FA0393511BD</x:v>
      </x:c>
      <x:c r="AK1234" s="3" t="str">
        <x:v>real_estate_operator</x:v>
      </x:c>
      <x:c r="AL1234" s="19" t="n">
        <x:v>100000</x:v>
      </x:c>
      <x:c r="AM1234" s="19" t="n">
        <x:v>500000</x:v>
      </x:c>
      <x:c r="AN1234" s="3" t="str">
        <x:v>https://www.cashhomebuyersdirectory.com/cash-home-buyers/virginia/richmond</x:v>
      </x:c>
      <x:c r="AO1234" s="3" t="str">
        <x:v>national_rest_directory_complete.jsonl</x:v>
      </x:c>
      <x:c r="AP1234" s="19"/>
    </x:row>
    <x:row r="1235" ht="36" customHeight="1">
      <x:c r="A1235" s="23" t="n">
        <x:v>1234</x:v>
      </x:c>
      <x:c r="B1235" s="15" t="str">
        <x:v>Roanoke home buyers</x:v>
      </x:c>
      <x:c r="C1235" s="15"/>
      <x:c r="D1235" s="15" t="str">
        <x:v>Property investor / home-buying operator</x:v>
      </x:c>
      <x:c r="E1235" s="15" t="str">
        <x:v>Property investor / operator inquiry</x:v>
      </x:c>
      <x:c r="F1235" s="17" t="str">
        <x:v>New</x:v>
      </x:c>
      <x:c r="G1235" s="24"/>
      <x:c r="H1235" s="24" t="str">
        <x:v>+15402041648</x:v>
      </x:c>
      <x:c r="I1235" s="24" t="str">
        <x:v>https://roanokehomebuyers.com/</x:v>
      </x:c>
      <x:c r="J1235" s="16" t="str">
        <x:v>VA</x:v>
      </x:c>
      <x:c r="K1235" s="16" t="str">
        <x:v>Roanoke</x:v>
      </x:c>
      <x:c r="L1235" s="16" t="str">
        <x:v>Public property-business route; investor decision maker unconfirmed</x:v>
      </x:c>
      <x:c r="M1235" s="16" t="str">
        <x:v>https://roanokehomebuyers.com/</x:v>
      </x:c>
      <x:c r="N1235" s="16" t="str">
        <x:v>$100K-$500K ticket not published / unconfirmed</x:v>
      </x:c>
      <x:c r="O1235" s="20"/>
      <x:c r="P1235" s="20"/>
      <x:c r="Q1235" s="25" t="str">
        <x:v>No direct corporate-capital range established in checked source</x:v>
      </x:c>
      <x:c r="R1235" s="25" t="str">
        <x:v>Property acquisition or investor activity makes this an operator-capital prospect for the signed trial. Confirm operating-company debt/equity appetite.</x:v>
      </x:c>
      <x:c r="S1235" s="25"/>
      <x:c r="T1235" s="25" t="str">
        <x:v>Ask the owner/investor whether they can allocate $100K-$500K to trial marketing and acquisitions, and confirm structure, timing and decision authority.</x:v>
      </x:c>
      <x:c r="U1235" s="25" t="str">
        <x:v>https://www.cashhomebuyersdirectory.com/cash-home-buyers/virginia/roanoke</x:v>
      </x:c>
      <x:c r="V1235" s="26" t="d">
        <x:v>2026-10-02T00:00:00.000Z</x:v>
      </x:c>
      <x:c r="W1235" s="26" t="d">
        <x:v>2026-10-02T00:00:00.000Z</x:v>
      </x:c>
      <x:c r="X1235" s="25" t="str">
        <x:v>CashHomeBuyersDirectory third-party business listing; first-party business activity not checked in this batch</x:v>
      </x:c>
      <x:c r="Y1235" s="25"/>
      <x:c r="Z1235" s="25" t="str">
        <x:v>https://www.cashhomebuyersdirectory.com/cash-home-buyers/virginia/roanoke</x:v>
      </x:c>
      <x:c r="AA1235" s="25" t="str">
        <x:v>Public cash-home-buyer directory lists the business name, business phone/website where available and market. Operator role and corporate funding willingness require confirmation.</x:v>
      </x:c>
      <x:c r="AB1235" s="3" t="str">
        <x:v>New public-source collection</x:v>
      </x:c>
      <x:c r="AC1235" s="3" t="str">
        <x:v>unverified</x:v>
      </x:c>
      <x:c r="AD1235" s="3" t="str">
        <x:v>Not contacted / unconfirmed</x:v>
      </x:c>
      <x:c r="AE1235" s="3" t="str">
        <x:v>No</x:v>
      </x:c>
      <x:c r="AF1235" s="3" t="str">
        <x:v>No</x:v>
      </x:c>
      <x:c r="AG1235" s="3"/>
      <x:c r="AH1235" s="3"/>
      <x:c r="AI1235" s="18"/>
      <x:c r="AJ1235" s="3" t="str">
        <x:v>CF2500-7D1DB7A2FB8A</x:v>
      </x:c>
      <x:c r="AK1235" s="3" t="str">
        <x:v>real_estate_operator</x:v>
      </x:c>
      <x:c r="AL1235" s="19" t="n">
        <x:v>100000</x:v>
      </x:c>
      <x:c r="AM1235" s="19" t="n">
        <x:v>500000</x:v>
      </x:c>
      <x:c r="AN1235" s="3" t="str">
        <x:v>https://www.cashhomebuyersdirectory.com/cash-home-buyers/virginia/roanoke</x:v>
      </x:c>
      <x:c r="AO1235" s="3" t="str">
        <x:v>national_rest_directory_complete.jsonl</x:v>
      </x:c>
      <x:c r="AP1235" s="19"/>
    </x:row>
    <x:row r="1236" ht="36" customHeight="1">
      <x:c r="A1236" s="23" t="n">
        <x:v>1235</x:v>
      </x:c>
      <x:c r="B1236" s="15" t="str">
        <x:v>Robin Hood Home Buyers</x:v>
      </x:c>
      <x:c r="C1236" s="15"/>
      <x:c r="D1236" s="15" t="str">
        <x:v>Property investor / home-buying operator</x:v>
      </x:c>
      <x:c r="E1236" s="15" t="str">
        <x:v>Property investor / operator inquiry</x:v>
      </x:c>
      <x:c r="F1236" s="17" t="str">
        <x:v>New</x:v>
      </x:c>
      <x:c r="G1236" s="24"/>
      <x:c r="H1236" s="24" t="str">
        <x:v>+18049338777</x:v>
      </x:c>
      <x:c r="I1236" s="24" t="str">
        <x:v>https://robinhoodva.com/</x:v>
      </x:c>
      <x:c r="J1236" s="16" t="str">
        <x:v>VA</x:v>
      </x:c>
      <x:c r="K1236" s="16" t="str">
        <x:v>Richmond</x:v>
      </x:c>
      <x:c r="L1236" s="16" t="str">
        <x:v>Public property-business route; investor decision maker unconfirmed</x:v>
      </x:c>
      <x:c r="M1236" s="16" t="str">
        <x:v>https://robinhoodva.com/</x:v>
      </x:c>
      <x:c r="N1236" s="16" t="str">
        <x:v>$100K-$500K ticket not published / unconfirmed</x:v>
      </x:c>
      <x:c r="O1236" s="20"/>
      <x:c r="P1236" s="20"/>
      <x:c r="Q1236" s="25" t="str">
        <x:v>No direct corporate-capital range established in checked source</x:v>
      </x:c>
      <x:c r="R1236" s="25" t="str">
        <x:v>Property acquisition or investor activity makes this an operator-capital prospect for the signed trial. Confirm operating-company debt/equity appetite.</x:v>
      </x:c>
      <x:c r="S1236" s="25"/>
      <x:c r="T1236" s="25" t="str">
        <x:v>Ask the owner/investor whether they can allocate $100K-$500K to trial marketing and acquisitions, and confirm structure, timing and decision authority.</x:v>
      </x:c>
      <x:c r="U1236" s="25" t="str">
        <x:v>https://www.cashhomebuyersdirectory.com/cash-home-buyers/virginia/richmond</x:v>
      </x:c>
      <x:c r="V1236" s="26" t="d">
        <x:v>2026-10-02T00:00:00.000Z</x:v>
      </x:c>
      <x:c r="W1236" s="26" t="d">
        <x:v>2026-10-02T00:00:00.000Z</x:v>
      </x:c>
      <x:c r="X1236" s="25" t="str">
        <x:v>CashHomeBuyersDirectory third-party business listing; first-party business activity not checked in this batch</x:v>
      </x:c>
      <x:c r="Y1236" s="25"/>
      <x:c r="Z1236" s="25" t="str">
        <x:v>https://www.cashhomebuyersdirectory.com/cash-home-buyers/virginia/richmond</x:v>
      </x:c>
      <x:c r="AA1236" s="25" t="str">
        <x:v>Public cash-home-buyer directory lists the business name, business phone/website where available and market. Operator role and corporate funding willingness require confirmation.</x:v>
      </x:c>
      <x:c r="AB1236" s="3" t="str">
        <x:v>New public-source collection</x:v>
      </x:c>
      <x:c r="AC1236" s="3" t="str">
        <x:v>unverified</x:v>
      </x:c>
      <x:c r="AD1236" s="3" t="str">
        <x:v>Not contacted / unconfirmed</x:v>
      </x:c>
      <x:c r="AE1236" s="3" t="str">
        <x:v>No</x:v>
      </x:c>
      <x:c r="AF1236" s="3" t="str">
        <x:v>No</x:v>
      </x:c>
      <x:c r="AG1236" s="3"/>
      <x:c r="AH1236" s="3"/>
      <x:c r="AI1236" s="18"/>
      <x:c r="AJ1236" s="3" t="str">
        <x:v>CF2500-09C94776A6B3</x:v>
      </x:c>
      <x:c r="AK1236" s="3" t="str">
        <x:v>real_estate_operator</x:v>
      </x:c>
      <x:c r="AL1236" s="19" t="n">
        <x:v>100000</x:v>
      </x:c>
      <x:c r="AM1236" s="19" t="n">
        <x:v>500000</x:v>
      </x:c>
      <x:c r="AN1236" s="3" t="str">
        <x:v>https://www.cashhomebuyersdirectory.com/cash-home-buyers/virginia/richmond</x:v>
      </x:c>
      <x:c r="AO1236" s="3" t="str">
        <x:v>national_rest_directory_complete.jsonl</x:v>
      </x:c>
      <x:c r="AP1236" s="19"/>
    </x:row>
    <x:row r="1237" ht="36" customHeight="1">
      <x:c r="A1237" s="23" t="n">
        <x:v>1236</x:v>
      </x:c>
      <x:c r="B1237" s="15" t="str">
        <x:v>Rosario’s Homes – We Buy Houses for Cash</x:v>
      </x:c>
      <x:c r="C1237" s="15"/>
      <x:c r="D1237" s="15" t="str">
        <x:v>Property investor / home-buying operator</x:v>
      </x:c>
      <x:c r="E1237" s="15" t="str">
        <x:v>Property investor / operator inquiry</x:v>
      </x:c>
      <x:c r="F1237" s="17" t="str">
        <x:v>New</x:v>
      </x:c>
      <x:c r="G1237" s="24"/>
      <x:c r="H1237" s="24" t="str">
        <x:v>+12038739890</x:v>
      </x:c>
      <x:c r="I1237" s="24" t="str">
        <x:v>http://rosario-homes.com/</x:v>
      </x:c>
      <x:c r="J1237" s="16" t="str">
        <x:v>CT</x:v>
      </x:c>
      <x:c r="K1237" s="16" t="str">
        <x:v>Bridgeport</x:v>
      </x:c>
      <x:c r="L1237" s="16" t="str">
        <x:v>Public property-business route; investor decision maker unconfirmed</x:v>
      </x:c>
      <x:c r="M1237" s="16" t="str">
        <x:v>http://rosario-homes.com/</x:v>
      </x:c>
      <x:c r="N1237" s="16" t="str">
        <x:v>$100K-$500K ticket not published / unconfirmed</x:v>
      </x:c>
      <x:c r="O1237" s="20"/>
      <x:c r="P1237" s="20"/>
      <x:c r="Q1237" s="25" t="str">
        <x:v>No direct corporate-capital range established in checked source</x:v>
      </x:c>
      <x:c r="R1237" s="25" t="str">
        <x:v>Property acquisition or investor activity makes this an operator-capital prospect for the signed trial. Confirm operating-company debt/equity appetite.</x:v>
      </x:c>
      <x:c r="S1237" s="25"/>
      <x:c r="T1237" s="25" t="str">
        <x:v>Ask the owner/investor whether they can allocate $100K-$500K to trial marketing and acquisitions, and confirm structure, timing and decision authority.</x:v>
      </x:c>
      <x:c r="U1237" s="25" t="str">
        <x:v>https://www.cashhomebuyersdirectory.com/cash-home-buyers/connecticut/bridgeport</x:v>
      </x:c>
      <x:c r="V1237" s="26" t="d">
        <x:v>2026-10-02T00:00:00.000Z</x:v>
      </x:c>
      <x:c r="W1237" s="26" t="d">
        <x:v>2026-10-02T00:00:00.000Z</x:v>
      </x:c>
      <x:c r="X1237" s="25" t="str">
        <x:v>CashHomeBuyersDirectory third-party business listing; first-party business activity not checked in this batch</x:v>
      </x:c>
      <x:c r="Y1237" s="25"/>
      <x:c r="Z1237" s="25" t="str">
        <x:v>https://www.cashhomebuyersdirectory.com/cash-home-buyers/connecticut/bridgeport</x:v>
      </x:c>
      <x:c r="AA1237" s="25" t="str">
        <x:v>Public cash-home-buyer directory lists the business name, business phone/website where available and market. Operator role and corporate funding willingness require confirmation.</x:v>
      </x:c>
      <x:c r="AB1237" s="3" t="str">
        <x:v>New public-source collection</x:v>
      </x:c>
      <x:c r="AC1237" s="3" t="str">
        <x:v>unverified</x:v>
      </x:c>
      <x:c r="AD1237" s="3" t="str">
        <x:v>Not contacted / unconfirmed</x:v>
      </x:c>
      <x:c r="AE1237" s="3" t="str">
        <x:v>No</x:v>
      </x:c>
      <x:c r="AF1237" s="3" t="str">
        <x:v>No</x:v>
      </x:c>
      <x:c r="AG1237" s="3"/>
      <x:c r="AH1237" s="3"/>
      <x:c r="AI1237" s="18"/>
      <x:c r="AJ1237" s="3" t="str">
        <x:v>CF2500-968804A468D8</x:v>
      </x:c>
      <x:c r="AK1237" s="3" t="str">
        <x:v>real_estate_operator</x:v>
      </x:c>
      <x:c r="AL1237" s="19" t="n">
        <x:v>100000</x:v>
      </x:c>
      <x:c r="AM1237" s="19" t="n">
        <x:v>500000</x:v>
      </x:c>
      <x:c r="AN1237" s="3" t="str">
        <x:v>https://www.cashhomebuyersdirectory.com/cash-home-buyers/connecticut/bridgeport</x:v>
      </x:c>
      <x:c r="AO1237" s="3" t="str">
        <x:v>national_rest_directory_complete.jsonl</x:v>
      </x:c>
      <x:c r="AP1237" s="19"/>
    </x:row>
    <x:row r="1238" ht="36" customHeight="1">
      <x:c r="A1238" s="23" t="n">
        <x:v>1237</x:v>
      </x:c>
      <x:c r="B1238" s="15" t="str">
        <x:v>RVA Home Buyers LLC</x:v>
      </x:c>
      <x:c r="C1238" s="15"/>
      <x:c r="D1238" s="15" t="str">
        <x:v>Property investor / home-buying operator</x:v>
      </x:c>
      <x:c r="E1238" s="15" t="str">
        <x:v>Property investor / operator inquiry</x:v>
      </x:c>
      <x:c r="F1238" s="17" t="str">
        <x:v>New</x:v>
      </x:c>
      <x:c r="G1238" s="24"/>
      <x:c r="H1238" s="24" t="str">
        <x:v>+18044208515</x:v>
      </x:c>
      <x:c r="I1238" s="24" t="str">
        <x:v>https://www.rvahomebuyers.com/</x:v>
      </x:c>
      <x:c r="J1238" s="16" t="str">
        <x:v>VA</x:v>
      </x:c>
      <x:c r="K1238" s="16" t="str">
        <x:v>Richmond</x:v>
      </x:c>
      <x:c r="L1238" s="16" t="str">
        <x:v>Public property-business route; investor decision maker unconfirmed</x:v>
      </x:c>
      <x:c r="M1238" s="16" t="str">
        <x:v>https://www.rvahomebuyers.com/</x:v>
      </x:c>
      <x:c r="N1238" s="16" t="str">
        <x:v>$100K-$500K ticket not published / unconfirmed</x:v>
      </x:c>
      <x:c r="O1238" s="20"/>
      <x:c r="P1238" s="20"/>
      <x:c r="Q1238" s="25" t="str">
        <x:v>No direct corporate-capital range established in checked source</x:v>
      </x:c>
      <x:c r="R1238" s="25" t="str">
        <x:v>Property acquisition or investor activity makes this an operator-capital prospect for the signed trial. Confirm operating-company debt/equity appetite.</x:v>
      </x:c>
      <x:c r="S1238" s="25"/>
      <x:c r="T1238" s="25" t="str">
        <x:v>Ask the owner/investor whether they can allocate $100K-$500K to trial marketing and acquisitions, and confirm structure, timing and decision authority.</x:v>
      </x:c>
      <x:c r="U1238" s="25" t="str">
        <x:v>https://www.cashhomebuyersdirectory.com/cash-home-buyers/virginia/richmond</x:v>
      </x:c>
      <x:c r="V1238" s="26" t="d">
        <x:v>2026-10-02T00:00:00.000Z</x:v>
      </x:c>
      <x:c r="W1238" s="26" t="d">
        <x:v>2026-10-02T00:00:00.000Z</x:v>
      </x:c>
      <x:c r="X1238" s="25" t="str">
        <x:v>CashHomeBuyersDirectory third-party business listing; first-party business activity not checked in this batch</x:v>
      </x:c>
      <x:c r="Y1238" s="25"/>
      <x:c r="Z1238" s="25" t="str">
        <x:v>https://www.cashhomebuyersdirectory.com/cash-home-buyers/virginia/richmond</x:v>
      </x:c>
      <x:c r="AA1238" s="25" t="str">
        <x:v>Public cash-home-buyer directory lists the business name, business phone/website where available and market. Operator role and corporate funding willingness require confirmation.</x:v>
      </x:c>
      <x:c r="AB1238" s="3" t="str">
        <x:v>New public-source collection</x:v>
      </x:c>
      <x:c r="AC1238" s="3" t="str">
        <x:v>unverified</x:v>
      </x:c>
      <x:c r="AD1238" s="3" t="str">
        <x:v>Not contacted / unconfirmed</x:v>
      </x:c>
      <x:c r="AE1238" s="3" t="str">
        <x:v>No</x:v>
      </x:c>
      <x:c r="AF1238" s="3" t="str">
        <x:v>No</x:v>
      </x:c>
      <x:c r="AG1238" s="3"/>
      <x:c r="AH1238" s="3"/>
      <x:c r="AI1238" s="18"/>
      <x:c r="AJ1238" s="3" t="str">
        <x:v>CF2500-99E37BAC2117</x:v>
      </x:c>
      <x:c r="AK1238" s="3" t="str">
        <x:v>real_estate_operator</x:v>
      </x:c>
      <x:c r="AL1238" s="19" t="n">
        <x:v>100000</x:v>
      </x:c>
      <x:c r="AM1238" s="19" t="n">
        <x:v>500000</x:v>
      </x:c>
      <x:c r="AN1238" s="3" t="str">
        <x:v>https://www.cashhomebuyersdirectory.com/cash-home-buyers/virginia/richmond</x:v>
      </x:c>
      <x:c r="AO1238" s="3" t="str">
        <x:v>national_rest_directory_complete.jsonl</x:v>
      </x:c>
      <x:c r="AP1238" s="19"/>
    </x:row>
    <x:row r="1239" ht="36" customHeight="1">
      <x:c r="A1239" s="23" t="n">
        <x:v>1238</x:v>
      </x:c>
      <x:c r="B1239" s="15" t="str">
        <x:v>Safe Home Buyers New Jersey</x:v>
      </x:c>
      <x:c r="C1239" s="15"/>
      <x:c r="D1239" s="15" t="str">
        <x:v>Property investor / home-buying operator</x:v>
      </x:c>
      <x:c r="E1239" s="15" t="str">
        <x:v>Property investor / operator inquiry</x:v>
      </x:c>
      <x:c r="F1239" s="17" t="str">
        <x:v>New</x:v>
      </x:c>
      <x:c r="G1239" s="24"/>
      <x:c r="H1239" s="24" t="str">
        <x:v>+19732727695</x:v>
      </x:c>
      <x:c r="I1239" s="24" t="str">
        <x:v>http://www.safehomebuyersnewjersey.com/</x:v>
      </x:c>
      <x:c r="J1239" s="16" t="str">
        <x:v>NJ</x:v>
      </x:c>
      <x:c r="K1239" s="16" t="str">
        <x:v>Jersey City</x:v>
      </x:c>
      <x:c r="L1239" s="16" t="str">
        <x:v>Public property-business route; investor decision maker unconfirmed</x:v>
      </x:c>
      <x:c r="M1239" s="16" t="str">
        <x:v>http://www.safehomebuyersnewjersey.com/</x:v>
      </x:c>
      <x:c r="N1239" s="16" t="str">
        <x:v>$100K-$500K ticket not published / unconfirmed</x:v>
      </x:c>
      <x:c r="O1239" s="20"/>
      <x:c r="P1239" s="20"/>
      <x:c r="Q1239" s="25" t="str">
        <x:v>No direct corporate-capital range established in checked source</x:v>
      </x:c>
      <x:c r="R1239" s="25" t="str">
        <x:v>Property acquisition or investor activity makes this an operator-capital prospect for the signed trial. Confirm operating-company debt/equity appetite.</x:v>
      </x:c>
      <x:c r="S1239" s="25"/>
      <x:c r="T1239" s="25" t="str">
        <x:v>Ask the owner/investor whether they can allocate $100K-$500K to trial marketing and acquisitions, and confirm structure, timing and decision authority.</x:v>
      </x:c>
      <x:c r="U1239" s="25" t="str">
        <x:v>https://www.cashhomebuyersdirectory.com/cash-home-buyers/new-jersey/jersey-city</x:v>
      </x:c>
      <x:c r="V1239" s="26" t="d">
        <x:v>2026-10-02T00:00:00.000Z</x:v>
      </x:c>
      <x:c r="W1239" s="26" t="d">
        <x:v>2026-10-02T00:00:00.000Z</x:v>
      </x:c>
      <x:c r="X1239" s="25" t="str">
        <x:v>CashHomeBuyersDirectory third-party business listing; first-party business activity not checked in this batch</x:v>
      </x:c>
      <x:c r="Y1239" s="25"/>
      <x:c r="Z1239" s="25" t="str">
        <x:v>https://www.cashhomebuyersdirectory.com/cash-home-buyers/new-jersey/jersey-city</x:v>
      </x:c>
      <x:c r="AA1239" s="25" t="str">
        <x:v>Public cash-home-buyer directory lists the business name, business phone/website where available and market. Operator role and corporate funding willingness require confirmation.</x:v>
      </x:c>
      <x:c r="AB1239" s="3" t="str">
        <x:v>New public-source collection</x:v>
      </x:c>
      <x:c r="AC1239" s="3" t="str">
        <x:v>unverified</x:v>
      </x:c>
      <x:c r="AD1239" s="3" t="str">
        <x:v>Not contacted / unconfirmed</x:v>
      </x:c>
      <x:c r="AE1239" s="3" t="str">
        <x:v>No</x:v>
      </x:c>
      <x:c r="AF1239" s="3" t="str">
        <x:v>No</x:v>
      </x:c>
      <x:c r="AG1239" s="3"/>
      <x:c r="AH1239" s="3"/>
      <x:c r="AI1239" s="18"/>
      <x:c r="AJ1239" s="3" t="str">
        <x:v>CF2500-5497A2AE72EA</x:v>
      </x:c>
      <x:c r="AK1239" s="3" t="str">
        <x:v>real_estate_operator</x:v>
      </x:c>
      <x:c r="AL1239" s="19" t="n">
        <x:v>100000</x:v>
      </x:c>
      <x:c r="AM1239" s="19" t="n">
        <x:v>500000</x:v>
      </x:c>
      <x:c r="AN1239" s="3" t="str">
        <x:v>https://www.cashhomebuyersdirectory.com/cash-home-buyers/new-jersey/jersey-city</x:v>
      </x:c>
      <x:c r="AO1239" s="3" t="str">
        <x:v>national_rest_directory_complete.jsonl</x:v>
      </x:c>
      <x:c r="AP1239" s="19"/>
    </x:row>
    <x:row r="1240" ht="36" customHeight="1">
      <x:c r="A1240" s="23" t="n">
        <x:v>1239</x:v>
      </x:c>
      <x:c r="B1240" s="15" t="str">
        <x:v>SafeStep Home Buyers</x:v>
      </x:c>
      <x:c r="C1240" s="15"/>
      <x:c r="D1240" s="15" t="str">
        <x:v>Property investor / home-buying operator</x:v>
      </x:c>
      <x:c r="E1240" s="15" t="str">
        <x:v>Property investor / operator inquiry</x:v>
      </x:c>
      <x:c r="F1240" s="17" t="str">
        <x:v>New</x:v>
      </x:c>
      <x:c r="G1240" s="24"/>
      <x:c r="H1240" s="24" t="str">
        <x:v>+12677629688</x:v>
      </x:c>
      <x:c r="I1240" s="24" t="str">
        <x:v>https://www.safestephomebuyers.com/</x:v>
      </x:c>
      <x:c r="J1240" s="16" t="str">
        <x:v>PA</x:v>
      </x:c>
      <x:c r="K1240" s="16" t="str">
        <x:v>Media</x:v>
      </x:c>
      <x:c r="L1240" s="16" t="str">
        <x:v>Public property-business route; investor decision maker unconfirmed</x:v>
      </x:c>
      <x:c r="M1240" s="16" t="str">
        <x:v>https://www.safestephomebuyers.com/</x:v>
      </x:c>
      <x:c r="N1240" s="16" t="str">
        <x:v>$100K-$500K ticket not published / unconfirmed</x:v>
      </x:c>
      <x:c r="O1240" s="20"/>
      <x:c r="P1240" s="20"/>
      <x:c r="Q1240" s="25" t="str">
        <x:v>No direct corporate-capital range established in checked source</x:v>
      </x:c>
      <x:c r="R1240" s="25" t="str">
        <x:v>Property acquisition or investor activity makes this an operator-capital prospect for the signed trial. Confirm operating-company debt/equity appetite.</x:v>
      </x:c>
      <x:c r="S1240" s="25"/>
      <x:c r="T1240" s="25" t="str">
        <x:v>Ask the owner/investor whether they can allocate $100K-$500K to trial marketing and acquisitions, and confirm structure, timing and decision authority.</x:v>
      </x:c>
      <x:c r="U1240" s="25" t="str">
        <x:v>https://www.cashhomebuyersdirectory.com/cash-home-buyers/pennsylvania/media</x:v>
      </x:c>
      <x:c r="V1240" s="26" t="d">
        <x:v>2026-10-02T00:00:00.000Z</x:v>
      </x:c>
      <x:c r="W1240" s="26" t="d">
        <x:v>2026-10-02T00:00:00.000Z</x:v>
      </x:c>
      <x:c r="X1240" s="25" t="str">
        <x:v>CashHomeBuyersDirectory third-party business listing; first-party business activity not checked in this batch</x:v>
      </x:c>
      <x:c r="Y1240" s="25"/>
      <x:c r="Z1240" s="25" t="str">
        <x:v>https://www.cashhomebuyersdirectory.com/cash-home-buyers/pennsylvania/media</x:v>
      </x:c>
      <x:c r="AA1240" s="25" t="str">
        <x:v>Public cash-home-buyer directory lists the business name, business phone/website where available and market. Operator role and corporate funding willingness require confirmation.</x:v>
      </x:c>
      <x:c r="AB1240" s="3" t="str">
        <x:v>New public-source collection</x:v>
      </x:c>
      <x:c r="AC1240" s="3" t="str">
        <x:v>unverified</x:v>
      </x:c>
      <x:c r="AD1240" s="3" t="str">
        <x:v>Not contacted / unconfirmed</x:v>
      </x:c>
      <x:c r="AE1240" s="3" t="str">
        <x:v>No</x:v>
      </x:c>
      <x:c r="AF1240" s="3" t="str">
        <x:v>No</x:v>
      </x:c>
      <x:c r="AG1240" s="3"/>
      <x:c r="AH1240" s="3"/>
      <x:c r="AI1240" s="18"/>
      <x:c r="AJ1240" s="3" t="str">
        <x:v>CF2500-3AE36BCFEEA3</x:v>
      </x:c>
      <x:c r="AK1240" s="3" t="str">
        <x:v>real_estate_operator</x:v>
      </x:c>
      <x:c r="AL1240" s="19" t="n">
        <x:v>100000</x:v>
      </x:c>
      <x:c r="AM1240" s="19" t="n">
        <x:v>500000</x:v>
      </x:c>
      <x:c r="AN1240" s="3" t="str">
        <x:v>https://www.cashhomebuyersdirectory.com/cash-home-buyers/pennsylvania/media</x:v>
      </x:c>
      <x:c r="AO1240" s="3" t="str">
        <x:v>national_rest_directory_complete.jsonl</x:v>
      </x:c>
      <x:c r="AP1240" s="19"/>
    </x:row>
    <x:row r="1241" ht="36" customHeight="1">
      <x:c r="A1241" s="23" t="n">
        <x:v>1240</x:v>
      </x:c>
      <x:c r="B1241" s="15" t="str">
        <x:v>San Diego Cash Home Buyers | Seller's Advantage</x:v>
      </x:c>
      <x:c r="C1241" s="15"/>
      <x:c r="D1241" s="15" t="str">
        <x:v>Property investor / home-buying operator</x:v>
      </x:c>
      <x:c r="E1241" s="15" t="str">
        <x:v>Property investor / operator inquiry</x:v>
      </x:c>
      <x:c r="F1241" s="17" t="str">
        <x:v>New</x:v>
      </x:c>
      <x:c r="G1241" s="24"/>
      <x:c r="H1241" s="24" t="str">
        <x:v>+16196505312</x:v>
      </x:c>
      <x:c r="I1241" s="24" t="str">
        <x:v>https://www.sellersadvantage.com/ca/sell-my-house-fast-san-diego-ca/?utm_campaign=gmb&amp;utm_medium=organic&amp;utm_source=gbp-san-diego</x:v>
      </x:c>
      <x:c r="J1241" s="16" t="str">
        <x:v>CA</x:v>
      </x:c>
      <x:c r="K1241" s="16" t="str">
        <x:v>San Diego</x:v>
      </x:c>
      <x:c r="L1241" s="16" t="str">
        <x:v>Public property-business route; investor decision maker unconfirmed</x:v>
      </x:c>
      <x:c r="M1241" s="16" t="str">
        <x:v>https://www.sellersadvantage.com/ca/sell-my-house-fast-san-diego-ca/?utm_campaign=gmb&amp;utm_medium=organic&amp;utm_source=gbp-san-diego</x:v>
      </x:c>
      <x:c r="N1241" s="16" t="str">
        <x:v>$100K-$500K ticket not published / unconfirmed</x:v>
      </x:c>
      <x:c r="O1241" s="20"/>
      <x:c r="P1241" s="20"/>
      <x:c r="Q1241" s="25" t="str">
        <x:v>No direct corporate-capital range established in checked source</x:v>
      </x:c>
      <x:c r="R1241" s="25" t="str">
        <x:v>Property acquisition or investor activity makes this an operator-capital prospect for the signed trial. Confirm operating-company debt/equity appetite.</x:v>
      </x:c>
      <x:c r="S1241" s="25"/>
      <x:c r="T1241" s="25" t="str">
        <x:v>Ask the owner/investor whether they can allocate $100K-$500K to trial marketing and acquisitions, and confirm structure, timing and decision authority.</x:v>
      </x:c>
      <x:c r="U1241" s="25" t="str">
        <x:v>https://www.cashhomebuyersdirectory.com/cash-home-buyers/california/san-diego</x:v>
      </x:c>
      <x:c r="V1241" s="26" t="d">
        <x:v>2026-10-02T00:00:00.000Z</x:v>
      </x:c>
      <x:c r="W1241" s="26" t="d">
        <x:v>2026-10-02T00:00:00.000Z</x:v>
      </x:c>
      <x:c r="X1241" s="25" t="str">
        <x:v>CashHomeBuyersDirectory third-party business listing; first-party business activity not checked in this batch</x:v>
      </x:c>
      <x:c r="Y1241" s="25"/>
      <x:c r="Z1241" s="25" t="str">
        <x:v>https://www.cashhomebuyersdirectory.com/cash-home-buyers/california/san-diego</x:v>
      </x:c>
      <x:c r="AA1241" s="25" t="str">
        <x:v>Public cash-home-buyer directory lists the business name, business phone/website where available and market. Operator role and corporate funding willingness require confirmation.</x:v>
      </x:c>
      <x:c r="AB1241" s="3" t="str">
        <x:v>New public-source collection</x:v>
      </x:c>
      <x:c r="AC1241" s="3" t="str">
        <x:v>unverified</x:v>
      </x:c>
      <x:c r="AD1241" s="3" t="str">
        <x:v>Not contacted / unconfirmed</x:v>
      </x:c>
      <x:c r="AE1241" s="3" t="str">
        <x:v>No</x:v>
      </x:c>
      <x:c r="AF1241" s="3" t="str">
        <x:v>No</x:v>
      </x:c>
      <x:c r="AG1241" s="3"/>
      <x:c r="AH1241" s="3"/>
      <x:c r="AI1241" s="18"/>
      <x:c r="AJ1241" s="3" t="str">
        <x:v>CF2500-E09BA752C36C</x:v>
      </x:c>
      <x:c r="AK1241" s="3" t="str">
        <x:v>real_estate_operator</x:v>
      </x:c>
      <x:c r="AL1241" s="19" t="n">
        <x:v>100000</x:v>
      </x:c>
      <x:c r="AM1241" s="19" t="n">
        <x:v>500000</x:v>
      </x:c>
      <x:c r="AN1241" s="3" t="str">
        <x:v>https://www.cashhomebuyersdirectory.com/cash-home-buyers/california/san-diego</x:v>
      </x:c>
      <x:c r="AO1241" s="3" t="str">
        <x:v>national_rest_directory_complete.jsonl</x:v>
      </x:c>
      <x:c r="AP1241" s="19"/>
    </x:row>
    <x:row r="1242" ht="36" customHeight="1">
      <x:c r="A1242" s="23" t="n">
        <x:v>1241</x:v>
      </x:c>
      <x:c r="B1242" s="15" t="str">
        <x:v>San Diego Fast Cash Offers</x:v>
      </x:c>
      <x:c r="C1242" s="15"/>
      <x:c r="D1242" s="15" t="str">
        <x:v>Property investor / home-buying operator</x:v>
      </x:c>
      <x:c r="E1242" s="15" t="str">
        <x:v>Property investor / operator inquiry</x:v>
      </x:c>
      <x:c r="F1242" s="17" t="str">
        <x:v>New</x:v>
      </x:c>
      <x:c r="G1242" s="24"/>
      <x:c r="H1242" s="24" t="str">
        <x:v>+16194904521</x:v>
      </x:c>
      <x:c r="I1242" s="24" t="str">
        <x:v>https://www.sandiegofastcashoffers.com/</x:v>
      </x:c>
      <x:c r="J1242" s="16" t="str">
        <x:v>CA</x:v>
      </x:c>
      <x:c r="K1242" s="16" t="str">
        <x:v>San Diego</x:v>
      </x:c>
      <x:c r="L1242" s="16" t="str">
        <x:v>Public property-business route; investor decision maker unconfirmed</x:v>
      </x:c>
      <x:c r="M1242" s="16" t="str">
        <x:v>https://www.sandiegofastcashoffers.com/</x:v>
      </x:c>
      <x:c r="N1242" s="16" t="str">
        <x:v>$100K-$500K ticket not published / unconfirmed</x:v>
      </x:c>
      <x:c r="O1242" s="20"/>
      <x:c r="P1242" s="20"/>
      <x:c r="Q1242" s="25" t="str">
        <x:v>No direct corporate-capital range established in checked source</x:v>
      </x:c>
      <x:c r="R1242" s="25" t="str">
        <x:v>Property acquisition or investor activity makes this an operator-capital prospect for the signed trial. Confirm operating-company debt/equity appetite.</x:v>
      </x:c>
      <x:c r="S1242" s="25"/>
      <x:c r="T1242" s="25" t="str">
        <x:v>Ask the owner/investor whether they can allocate $100K-$500K to trial marketing and acquisitions, and confirm structure, timing and decision authority.</x:v>
      </x:c>
      <x:c r="U1242" s="25" t="str">
        <x:v>https://www.cashhomebuyersdirectory.com/cash-home-buyers/california/san-diego</x:v>
      </x:c>
      <x:c r="V1242" s="26" t="d">
        <x:v>2026-10-02T00:00:00.000Z</x:v>
      </x:c>
      <x:c r="W1242" s="26" t="d">
        <x:v>2026-10-02T00:00:00.000Z</x:v>
      </x:c>
      <x:c r="X1242" s="25" t="str">
        <x:v>CashHomeBuyersDirectory third-party business listing; first-party business activity not checked in this batch</x:v>
      </x:c>
      <x:c r="Y1242" s="25"/>
      <x:c r="Z1242" s="25" t="str">
        <x:v>https://www.cashhomebuyersdirectory.com/cash-home-buyers/california/san-diego</x:v>
      </x:c>
      <x:c r="AA1242" s="25" t="str">
        <x:v>Public cash-home-buyer directory lists the business name, business phone/website where available and market. Operator role and corporate funding willingness require confirmation.</x:v>
      </x:c>
      <x:c r="AB1242" s="3" t="str">
        <x:v>New public-source collection</x:v>
      </x:c>
      <x:c r="AC1242" s="3" t="str">
        <x:v>unverified</x:v>
      </x:c>
      <x:c r="AD1242" s="3" t="str">
        <x:v>Not contacted / unconfirmed</x:v>
      </x:c>
      <x:c r="AE1242" s="3" t="str">
        <x:v>No</x:v>
      </x:c>
      <x:c r="AF1242" s="3" t="str">
        <x:v>No</x:v>
      </x:c>
      <x:c r="AG1242" s="3"/>
      <x:c r="AH1242" s="3"/>
      <x:c r="AI1242" s="18"/>
      <x:c r="AJ1242" s="3" t="str">
        <x:v>CF2500-EAD5FBE700CF</x:v>
      </x:c>
      <x:c r="AK1242" s="3" t="str">
        <x:v>real_estate_operator</x:v>
      </x:c>
      <x:c r="AL1242" s="19" t="n">
        <x:v>100000</x:v>
      </x:c>
      <x:c r="AM1242" s="19" t="n">
        <x:v>500000</x:v>
      </x:c>
      <x:c r="AN1242" s="3" t="str">
        <x:v>https://www.cashhomebuyersdirectory.com/cash-home-buyers/california/san-diego</x:v>
      </x:c>
      <x:c r="AO1242" s="3" t="str">
        <x:v>national_rest_directory_complete.jsonl</x:v>
      </x:c>
      <x:c r="AP1242" s="19"/>
    </x:row>
    <x:row r="1243" ht="36" customHeight="1">
      <x:c r="A1243" s="23" t="n">
        <x:v>1242</x:v>
      </x:c>
      <x:c r="B1243" s="15" t="str">
        <x:v>Sandia Home Buyers</x:v>
      </x:c>
      <x:c r="C1243" s="15"/>
      <x:c r="D1243" s="15" t="str">
        <x:v>Property investor / home-buying operator</x:v>
      </x:c>
      <x:c r="E1243" s="15" t="str">
        <x:v>Property investor / operator inquiry</x:v>
      </x:c>
      <x:c r="F1243" s="17" t="str">
        <x:v>New</x:v>
      </x:c>
      <x:c r="G1243" s="24"/>
      <x:c r="H1243" s="24" t="str">
        <x:v>+15055964747</x:v>
      </x:c>
      <x:c r="I1243" s="24" t="str">
        <x:v>https://www.sandiahomebuyers.com/</x:v>
      </x:c>
      <x:c r="J1243" s="16" t="str">
        <x:v>NM</x:v>
      </x:c>
      <x:c r="K1243" s="16" t="str">
        <x:v>Albuquerque</x:v>
      </x:c>
      <x:c r="L1243" s="16" t="str">
        <x:v>Public property-business route; investor decision maker unconfirmed</x:v>
      </x:c>
      <x:c r="M1243" s="16" t="str">
        <x:v>https://www.sandiahomebuyers.com/</x:v>
      </x:c>
      <x:c r="N1243" s="16" t="str">
        <x:v>$100K-$500K ticket not published / unconfirmed</x:v>
      </x:c>
      <x:c r="O1243" s="20"/>
      <x:c r="P1243" s="20"/>
      <x:c r="Q1243" s="25" t="str">
        <x:v>No direct corporate-capital range established in checked source</x:v>
      </x:c>
      <x:c r="R1243" s="25" t="str">
        <x:v>Property acquisition or investor activity makes this an operator-capital prospect for the signed trial. Confirm operating-company debt/equity appetite.</x:v>
      </x:c>
      <x:c r="S1243" s="25"/>
      <x:c r="T1243" s="25" t="str">
        <x:v>Ask the owner/investor whether they can allocate $100K-$500K to trial marketing and acquisitions, and confirm structure, timing and decision authority.</x:v>
      </x:c>
      <x:c r="U1243" s="25" t="str">
        <x:v>https://www.cashhomebuyersdirectory.com/cash-home-buyers/new-mexico/albuquerque</x:v>
      </x:c>
      <x:c r="V1243" s="26" t="d">
        <x:v>2026-10-02T00:00:00.000Z</x:v>
      </x:c>
      <x:c r="W1243" s="26" t="d">
        <x:v>2026-10-02T00:00:00.000Z</x:v>
      </x:c>
      <x:c r="X1243" s="25" t="str">
        <x:v>CashHomeBuyersDirectory third-party business listing; first-party business activity not checked in this batch</x:v>
      </x:c>
      <x:c r="Y1243" s="25"/>
      <x:c r="Z1243" s="25" t="str">
        <x:v>https://www.cashhomebuyersdirectory.com/cash-home-buyers/new-mexico/albuquerque</x:v>
      </x:c>
      <x:c r="AA1243" s="25" t="str">
        <x:v>Public cash-home-buyer directory lists the business name, business phone/website where available and market. Operator role and corporate funding willingness require confirmation.</x:v>
      </x:c>
      <x:c r="AB1243" s="3" t="str">
        <x:v>New public-source collection</x:v>
      </x:c>
      <x:c r="AC1243" s="3" t="str">
        <x:v>unverified</x:v>
      </x:c>
      <x:c r="AD1243" s="3" t="str">
        <x:v>Not contacted / unconfirmed</x:v>
      </x:c>
      <x:c r="AE1243" s="3" t="str">
        <x:v>No</x:v>
      </x:c>
      <x:c r="AF1243" s="3" t="str">
        <x:v>No</x:v>
      </x:c>
      <x:c r="AG1243" s="3"/>
      <x:c r="AH1243" s="3"/>
      <x:c r="AI1243" s="18"/>
      <x:c r="AJ1243" s="3" t="str">
        <x:v>CF2500-8F6B14E7CE60</x:v>
      </x:c>
      <x:c r="AK1243" s="3" t="str">
        <x:v>real_estate_operator</x:v>
      </x:c>
      <x:c r="AL1243" s="19" t="n">
        <x:v>100000</x:v>
      </x:c>
      <x:c r="AM1243" s="19" t="n">
        <x:v>500000</x:v>
      </x:c>
      <x:c r="AN1243" s="3" t="str">
        <x:v>https://www.cashhomebuyersdirectory.com/cash-home-buyers/new-mexico/albuquerque</x:v>
      </x:c>
      <x:c r="AO1243" s="3" t="str">
        <x:v>national_rest_directory_complete.jsonl</x:v>
      </x:c>
      <x:c r="AP1243" s="19"/>
    </x:row>
    <x:row r="1244" ht="36" customHeight="1">
      <x:c r="A1244" s="23" t="n">
        <x:v>1243</x:v>
      </x:c>
      <x:c r="B1244" s="15" t="str">
        <x:v>Seamless Homebuyers</x:v>
      </x:c>
      <x:c r="C1244" s="15"/>
      <x:c r="D1244" s="15" t="str">
        <x:v>Property investor / home-buying operator</x:v>
      </x:c>
      <x:c r="E1244" s="15" t="str">
        <x:v>Property investor / operator inquiry</x:v>
      </x:c>
      <x:c r="F1244" s="17" t="str">
        <x:v>New</x:v>
      </x:c>
      <x:c r="G1244" s="24"/>
      <x:c r="H1244" s="24" t="str">
        <x:v>+14025139314</x:v>
      </x:c>
      <x:c r="I1244" s="24" t="str">
        <x:v>https://seamlesshomebuyersllc.com/</x:v>
      </x:c>
      <x:c r="J1244" s="16" t="str">
        <x:v>NE</x:v>
      </x:c>
      <x:c r="K1244" s="16"/>
      <x:c r="L1244" s="16" t="str">
        <x:v>Public property-business route; investor decision maker unconfirmed</x:v>
      </x:c>
      <x:c r="M1244" s="16" t="str">
        <x:v>https://seamlesshomebuyersllc.com/</x:v>
      </x:c>
      <x:c r="N1244" s="16" t="str">
        <x:v>$100K-$500K ticket not published / unconfirmed</x:v>
      </x:c>
      <x:c r="O1244" s="20"/>
      <x:c r="P1244" s="20"/>
      <x:c r="Q1244" s="25" t="str">
        <x:v>No direct corporate-capital range established in checked source</x:v>
      </x:c>
      <x:c r="R1244" s="25" t="str">
        <x:v>Property acquisition or investor activity makes this an operator-capital prospect for the signed trial. Confirm operating-company debt/equity appetite.</x:v>
      </x:c>
      <x:c r="S1244" s="25"/>
      <x:c r="T1244" s="25" t="str">
        <x:v>Ask the owner/investor whether they can allocate $100K-$500K to trial marketing and acquisitions, and confirm structure, timing and decision authority.</x:v>
      </x:c>
      <x:c r="U1244" s="25" t="str">
        <x:v>https://www.cashhomebuyersdirectory.com/cash-home-buyers/nebraska/omaha</x:v>
      </x:c>
      <x:c r="V1244" s="26" t="d">
        <x:v>2026-10-02T00:00:00.000Z</x:v>
      </x:c>
      <x:c r="W1244" s="26" t="d">
        <x:v>2026-10-02T00:00:00.000Z</x:v>
      </x:c>
      <x:c r="X1244" s="25" t="str">
        <x:v>CashHomeBuyersDirectory third-party business listing; first-party business activity not checked in this batch</x:v>
      </x:c>
      <x:c r="Y1244" s="25"/>
      <x:c r="Z1244" s="25" t="str">
        <x:v>https://www.cashhomebuyersdirectory.com/cash-home-buyers/nebraska/omaha</x:v>
      </x:c>
      <x:c r="AA1244" s="25" t="str">
        <x:v>Public cash-home-buyer directory lists the business name, business phone/website where available and market. Operator role and corporate funding willingness require confirmation.</x:v>
      </x:c>
      <x:c r="AB1244" s="3" t="str">
        <x:v>New public-source collection</x:v>
      </x:c>
      <x:c r="AC1244" s="3" t="str">
        <x:v>unverified</x:v>
      </x:c>
      <x:c r="AD1244" s="3" t="str">
        <x:v>Not contacted / unconfirmed</x:v>
      </x:c>
      <x:c r="AE1244" s="3" t="str">
        <x:v>No</x:v>
      </x:c>
      <x:c r="AF1244" s="3" t="str">
        <x:v>No</x:v>
      </x:c>
      <x:c r="AG1244" s="3"/>
      <x:c r="AH1244" s="3"/>
      <x:c r="AI1244" s="18"/>
      <x:c r="AJ1244" s="3" t="str">
        <x:v>CF2500-CE58C3174DFA</x:v>
      </x:c>
      <x:c r="AK1244" s="3" t="str">
        <x:v>real_estate_operator</x:v>
      </x:c>
      <x:c r="AL1244" s="19" t="n">
        <x:v>100000</x:v>
      </x:c>
      <x:c r="AM1244" s="19" t="n">
        <x:v>500000</x:v>
      </x:c>
      <x:c r="AN1244" s="3" t="str">
        <x:v>https://www.cashhomebuyersdirectory.com/cash-home-buyers/nebraska/omaha</x:v>
      </x:c>
      <x:c r="AO1244" s="3" t="str">
        <x:v>national_rest_directory_complete.jsonl</x:v>
      </x:c>
      <x:c r="AP1244" s="19"/>
    </x:row>
    <x:row r="1245" ht="36" customHeight="1">
      <x:c r="A1245" s="23" t="n">
        <x:v>1244</x:v>
      </x:c>
      <x:c r="B1245" s="15" t="str">
        <x:v>Sell 2 Us - Connecticut Cash Homebuyers</x:v>
      </x:c>
      <x:c r="C1245" s="15"/>
      <x:c r="D1245" s="15" t="str">
        <x:v>Property investor / home-buying operator</x:v>
      </x:c>
      <x:c r="E1245" s="15" t="str">
        <x:v>Property investor / operator inquiry</x:v>
      </x:c>
      <x:c r="F1245" s="17" t="str">
        <x:v>New</x:v>
      </x:c>
      <x:c r="G1245" s="24"/>
      <x:c r="H1245" s="24" t="str">
        <x:v>+18602883536</x:v>
      </x:c>
      <x:c r="I1245" s="24" t="str">
        <x:v>https://sellmyhousefastcashhomebuyers.com/</x:v>
      </x:c>
      <x:c r="J1245" s="16" t="str">
        <x:v>CT</x:v>
      </x:c>
      <x:c r="K1245" s="16" t="str">
        <x:v>Hartford</x:v>
      </x:c>
      <x:c r="L1245" s="16" t="str">
        <x:v>Public property-business route; investor decision maker unconfirmed</x:v>
      </x:c>
      <x:c r="M1245" s="16" t="str">
        <x:v>https://sellmyhousefastcashhomebuyers.com/</x:v>
      </x:c>
      <x:c r="N1245" s="16" t="str">
        <x:v>$100K-$500K ticket not published / unconfirmed</x:v>
      </x:c>
      <x:c r="O1245" s="20"/>
      <x:c r="P1245" s="20"/>
      <x:c r="Q1245" s="25" t="str">
        <x:v>No direct corporate-capital range established in checked source</x:v>
      </x:c>
      <x:c r="R1245" s="25" t="str">
        <x:v>Property acquisition or investor activity makes this an operator-capital prospect for the signed trial. Confirm operating-company debt/equity appetite.</x:v>
      </x:c>
      <x:c r="S1245" s="25"/>
      <x:c r="T1245" s="25" t="str">
        <x:v>Ask the owner/investor whether they can allocate $100K-$500K to trial marketing and acquisitions, and confirm structure, timing and decision authority.</x:v>
      </x:c>
      <x:c r="U1245" s="25" t="str">
        <x:v>https://www.cashhomebuyersdirectory.com/cash-home-buyers/connecticut/hartford</x:v>
      </x:c>
      <x:c r="V1245" s="26" t="d">
        <x:v>2026-10-02T00:00:00.000Z</x:v>
      </x:c>
      <x:c r="W1245" s="26" t="d">
        <x:v>2026-10-02T00:00:00.000Z</x:v>
      </x:c>
      <x:c r="X1245" s="25" t="str">
        <x:v>CashHomeBuyersDirectory third-party business listing; first-party business activity not checked in this batch</x:v>
      </x:c>
      <x:c r="Y1245" s="25"/>
      <x:c r="Z1245" s="25" t="str">
        <x:v>https://www.cashhomebuyersdirectory.com/cash-home-buyers/connecticut/hartford</x:v>
      </x:c>
      <x:c r="AA1245" s="25" t="str">
        <x:v>Public cash-home-buyer directory lists the business name, business phone/website where available and market. Operator role and corporate funding willingness require confirmation.</x:v>
      </x:c>
      <x:c r="AB1245" s="3" t="str">
        <x:v>New public-source collection</x:v>
      </x:c>
      <x:c r="AC1245" s="3" t="str">
        <x:v>unverified</x:v>
      </x:c>
      <x:c r="AD1245" s="3" t="str">
        <x:v>Not contacted / unconfirmed</x:v>
      </x:c>
      <x:c r="AE1245" s="3" t="str">
        <x:v>No</x:v>
      </x:c>
      <x:c r="AF1245" s="3" t="str">
        <x:v>No</x:v>
      </x:c>
      <x:c r="AG1245" s="3"/>
      <x:c r="AH1245" s="3"/>
      <x:c r="AI1245" s="18"/>
      <x:c r="AJ1245" s="3" t="str">
        <x:v>CF2500-BA6049EC5EC3</x:v>
      </x:c>
      <x:c r="AK1245" s="3" t="str">
        <x:v>real_estate_operator</x:v>
      </x:c>
      <x:c r="AL1245" s="19" t="n">
        <x:v>100000</x:v>
      </x:c>
      <x:c r="AM1245" s="19" t="n">
        <x:v>500000</x:v>
      </x:c>
      <x:c r="AN1245" s="3" t="str">
        <x:v>https://www.cashhomebuyersdirectory.com/cash-home-buyers/connecticut/hartford</x:v>
      </x:c>
      <x:c r="AO1245" s="3" t="str">
        <x:v>national_rest_directory_complete.jsonl</x:v>
      </x:c>
      <x:c r="AP1245" s="19"/>
    </x:row>
    <x:row r="1246" ht="36" customHeight="1">
      <x:c r="A1246" s="23" t="n">
        <x:v>1245</x:v>
      </x:c>
      <x:c r="B1246" s="15" t="str">
        <x:v>Sell House Columbus Ohio | Sell My House Fast in Columbus</x:v>
      </x:c>
      <x:c r="C1246" s="15"/>
      <x:c r="D1246" s="15" t="str">
        <x:v>Property investor / home-buying operator</x:v>
      </x:c>
      <x:c r="E1246" s="15" t="str">
        <x:v>Property investor / operator inquiry</x:v>
      </x:c>
      <x:c r="F1246" s="17" t="str">
        <x:v>New</x:v>
      </x:c>
      <x:c r="G1246" s="24"/>
      <x:c r="H1246" s="24" t="str">
        <x:v>+16143502881</x:v>
      </x:c>
      <x:c r="I1246" s="24" t="str">
        <x:v>https://sellhousecolumbusohio.com/?utm_source=gbp</x:v>
      </x:c>
      <x:c r="J1246" s="16" t="str">
        <x:v>OH</x:v>
      </x:c>
      <x:c r="K1246" s="16" t="str">
        <x:v>Columbus</x:v>
      </x:c>
      <x:c r="L1246" s="16" t="str">
        <x:v>Public property-business route; investor decision maker unconfirmed</x:v>
      </x:c>
      <x:c r="M1246" s="16" t="str">
        <x:v>https://sellhousecolumbusohio.com/?utm_source=gbp</x:v>
      </x:c>
      <x:c r="N1246" s="16" t="str">
        <x:v>$100K-$500K ticket not published / unconfirmed</x:v>
      </x:c>
      <x:c r="O1246" s="20"/>
      <x:c r="P1246" s="20"/>
      <x:c r="Q1246" s="25" t="str">
        <x:v>No direct corporate-capital range established in checked source</x:v>
      </x:c>
      <x:c r="R1246" s="25" t="str">
        <x:v>Property acquisition or investor activity makes this an operator-capital prospect for the signed trial. Confirm operating-company debt/equity appetite.</x:v>
      </x:c>
      <x:c r="S1246" s="25"/>
      <x:c r="T1246" s="25" t="str">
        <x:v>Ask the owner/investor whether they can allocate $100K-$500K to trial marketing and acquisitions, and confirm structure, timing and decision authority.</x:v>
      </x:c>
      <x:c r="U1246" s="25" t="str">
        <x:v>https://www.cashhomebuyersdirectory.com/cash-home-buyers/ohio/columbus</x:v>
      </x:c>
      <x:c r="V1246" s="26" t="d">
        <x:v>2026-10-02T00:00:00.000Z</x:v>
      </x:c>
      <x:c r="W1246" s="26" t="d">
        <x:v>2026-10-02T00:00:00.000Z</x:v>
      </x:c>
      <x:c r="X1246" s="25" t="str">
        <x:v>CashHomeBuyersDirectory third-party business listing; first-party business activity not checked in this batch</x:v>
      </x:c>
      <x:c r="Y1246" s="25"/>
      <x:c r="Z1246" s="25" t="str">
        <x:v>https://www.cashhomebuyersdirectory.com/cash-home-buyers/ohio/columbus</x:v>
      </x:c>
      <x:c r="AA1246" s="25" t="str">
        <x:v>Public cash-home-buyer directory lists the business name, business phone/website where available and market. Operator role and corporate funding willingness require confirmation.</x:v>
      </x:c>
      <x:c r="AB1246" s="3" t="str">
        <x:v>New public-source collection</x:v>
      </x:c>
      <x:c r="AC1246" s="3" t="str">
        <x:v>unverified</x:v>
      </x:c>
      <x:c r="AD1246" s="3" t="str">
        <x:v>Not contacted / unconfirmed</x:v>
      </x:c>
      <x:c r="AE1246" s="3" t="str">
        <x:v>No</x:v>
      </x:c>
      <x:c r="AF1246" s="3" t="str">
        <x:v>No</x:v>
      </x:c>
      <x:c r="AG1246" s="3"/>
      <x:c r="AH1246" s="3"/>
      <x:c r="AI1246" s="18"/>
      <x:c r="AJ1246" s="3" t="str">
        <x:v>CF2500-E41BE24377CD</x:v>
      </x:c>
      <x:c r="AK1246" s="3" t="str">
        <x:v>real_estate_operator</x:v>
      </x:c>
      <x:c r="AL1246" s="19" t="n">
        <x:v>100000</x:v>
      </x:c>
      <x:c r="AM1246" s="19" t="n">
        <x:v>500000</x:v>
      </x:c>
      <x:c r="AN1246" s="3" t="str">
        <x:v>https://www.cashhomebuyersdirectory.com/cash-home-buyers/ohio/columbus</x:v>
      </x:c>
      <x:c r="AO1246" s="3" t="str">
        <x:v>national_rest_directory_complete.jsonl</x:v>
      </x:c>
      <x:c r="AP1246" s="19"/>
    </x:row>
    <x:row r="1247" ht="36" customHeight="1">
      <x:c r="A1247" s="23" t="n">
        <x:v>1246</x:v>
      </x:c>
      <x:c r="B1247" s="15" t="str">
        <x:v>Sell in York - We Buy Houses for Cash, Fast</x:v>
      </x:c>
      <x:c r="C1247" s="15"/>
      <x:c r="D1247" s="15" t="str">
        <x:v>Property investor / home-buying operator</x:v>
      </x:c>
      <x:c r="E1247" s="15" t="str">
        <x:v>Property investor / operator inquiry</x:v>
      </x:c>
      <x:c r="F1247" s="17" t="str">
        <x:v>New</x:v>
      </x:c>
      <x:c r="G1247" s="24"/>
      <x:c r="H1247" s="24" t="str">
        <x:v>+12156452534</x:v>
      </x:c>
      <x:c r="I1247" s="24" t="str">
        <x:v>https://sell-in-york-we-buy-houses-for-cash-fast.ueniweb.com/?utm_campaign=gmb</x:v>
      </x:c>
      <x:c r="J1247" s="16" t="str">
        <x:v>PA</x:v>
      </x:c>
      <x:c r="K1247" s="16" t="str">
        <x:v>York</x:v>
      </x:c>
      <x:c r="L1247" s="16" t="str">
        <x:v>Public property-business route; investor decision maker unconfirmed</x:v>
      </x:c>
      <x:c r="M1247" s="16" t="str">
        <x:v>https://sell-in-york-we-buy-houses-for-cash-fast.ueniweb.com/?utm_campaign=gmb</x:v>
      </x:c>
      <x:c r="N1247" s="16" t="str">
        <x:v>$100K-$500K ticket not published / unconfirmed</x:v>
      </x:c>
      <x:c r="O1247" s="20"/>
      <x:c r="P1247" s="20"/>
      <x:c r="Q1247" s="25" t="str">
        <x:v>No direct corporate-capital range established in checked source</x:v>
      </x:c>
      <x:c r="R1247" s="25" t="str">
        <x:v>Property acquisition or investor activity makes this an operator-capital prospect for the signed trial. Confirm operating-company debt/equity appetite.</x:v>
      </x:c>
      <x:c r="S1247" s="25"/>
      <x:c r="T1247" s="25" t="str">
        <x:v>Ask the owner/investor whether they can allocate $100K-$500K to trial marketing and acquisitions, and confirm structure, timing and decision authority.</x:v>
      </x:c>
      <x:c r="U1247" s="25" t="str">
        <x:v>https://www.cashhomebuyersdirectory.com/cash-home-buyers/pennsylvania/york
https://www.cashhomebuyersdirectory.com/cash-home-buyers/oregon/portland</x:v>
      </x:c>
      <x:c r="V1247" s="26" t="d">
        <x:v>2026-10-02T00:00:00.000Z</x:v>
      </x:c>
      <x:c r="W1247" s="26" t="d">
        <x:v>2026-10-02T00:00:00.000Z</x:v>
      </x:c>
      <x:c r="X1247" s="25" t="str">
        <x:v>CashHomeBuyersDirectory third-party business listing; first-party business activity not checked in this batch</x:v>
      </x:c>
      <x:c r="Y1247" s="25"/>
      <x:c r="Z1247" s="25" t="str">
        <x:v>https://www.cashhomebuyersdirectory.com/cash-home-buyers/pennsylvania/york</x:v>
      </x:c>
      <x:c r="AA1247" s="25" t="str">
        <x:v>Public cash-home-buyer directory lists the business name, business phone/website where available and market. Operator role and corporate funding willingness require confirmation.</x:v>
      </x:c>
      <x:c r="AB1247" s="3" t="str">
        <x:v>New public-source collection</x:v>
      </x:c>
      <x:c r="AC1247" s="3" t="str">
        <x:v>unverified</x:v>
      </x:c>
      <x:c r="AD1247" s="3" t="str">
        <x:v>Not contacted / unconfirmed</x:v>
      </x:c>
      <x:c r="AE1247" s="3" t="str">
        <x:v>No</x:v>
      </x:c>
      <x:c r="AF1247" s="3" t="str">
        <x:v>No</x:v>
      </x:c>
      <x:c r="AG1247" s="3"/>
      <x:c r="AH1247" s="3" t="str">
        <x:v>York Home Buyers</x:v>
      </x:c>
      <x:c r="AI1247" s="18"/>
      <x:c r="AJ1247" s="3" t="str">
        <x:v>CF2500-DA142EEBD4AA</x:v>
      </x:c>
      <x:c r="AK1247" s="3" t="str">
        <x:v>real_estate_operator</x:v>
      </x:c>
      <x:c r="AL1247" s="19" t="n">
        <x:v>100000</x:v>
      </x:c>
      <x:c r="AM1247" s="19" t="n">
        <x:v>500000</x:v>
      </x:c>
      <x:c r="AN1247" s="3" t="str">
        <x:v>https://www.cashhomebuyersdirectory.com/cash-home-buyers/pennsylvania/york</x:v>
      </x:c>
      <x:c r="AO1247" s="3" t="str">
        <x:v>national_rest_directory_complete.jsonl</x:v>
      </x:c>
      <x:c r="AP1247" s="19"/>
    </x:row>
    <x:row r="1248" ht="36" customHeight="1">
      <x:c r="A1248" s="23" t="n">
        <x:v>1247</x:v>
      </x:c>
      <x:c r="B1248" s="15" t="str">
        <x:v>Sell My Home PA | Sell Your House Fast for Cash</x:v>
      </x:c>
      <x:c r="C1248" s="15"/>
      <x:c r="D1248" s="15" t="str">
        <x:v>Property investor / home-buying operator</x:v>
      </x:c>
      <x:c r="E1248" s="15" t="str">
        <x:v>Property investor / operator inquiry</x:v>
      </x:c>
      <x:c r="F1248" s="17" t="str">
        <x:v>New</x:v>
      </x:c>
      <x:c r="G1248" s="24"/>
      <x:c r="H1248" s="24" t="str">
        <x:v>+17175003070</x:v>
      </x:c>
      <x:c r="I1248" s="24" t="str">
        <x:v>https://www.sellmyhomepa.com/</x:v>
      </x:c>
      <x:c r="J1248" s="16" t="str">
        <x:v>PA</x:v>
      </x:c>
      <x:c r="K1248" s="16" t="str">
        <x:v>Harrisburg</x:v>
      </x:c>
      <x:c r="L1248" s="16" t="str">
        <x:v>Public property-business route; investor decision maker unconfirmed</x:v>
      </x:c>
      <x:c r="M1248" s="16" t="str">
        <x:v>https://www.sellmyhomepa.com/</x:v>
      </x:c>
      <x:c r="N1248" s="16" t="str">
        <x:v>$100K-$500K ticket not published / unconfirmed</x:v>
      </x:c>
      <x:c r="O1248" s="20"/>
      <x:c r="P1248" s="20"/>
      <x:c r="Q1248" s="25" t="str">
        <x:v>No direct corporate-capital range established in checked source</x:v>
      </x:c>
      <x:c r="R1248" s="25" t="str">
        <x:v>Property acquisition or investor activity makes this an operator-capital prospect for the signed trial. Confirm operating-company debt/equity appetite.</x:v>
      </x:c>
      <x:c r="S1248" s="25"/>
      <x:c r="T1248" s="25" t="str">
        <x:v>Ask the owner/investor whether they can allocate $100K-$500K to trial marketing and acquisitions, and confirm structure, timing and decision authority.</x:v>
      </x:c>
      <x:c r="U1248" s="25" t="str">
        <x:v>https://www.cashhomebuyersdirectory.com/cash-home-buyers/pennsylvania/harrisburg</x:v>
      </x:c>
      <x:c r="V1248" s="26" t="d">
        <x:v>2026-10-02T00:00:00.000Z</x:v>
      </x:c>
      <x:c r="W1248" s="26" t="d">
        <x:v>2026-10-02T00:00:00.000Z</x:v>
      </x:c>
      <x:c r="X1248" s="25" t="str">
        <x:v>CashHomeBuyersDirectory third-party business listing; first-party business activity not checked in this batch</x:v>
      </x:c>
      <x:c r="Y1248" s="25"/>
      <x:c r="Z1248" s="25" t="str">
        <x:v>https://www.cashhomebuyersdirectory.com/cash-home-buyers/pennsylvania/harrisburg</x:v>
      </x:c>
      <x:c r="AA1248" s="25" t="str">
        <x:v>Public cash-home-buyer directory lists the business name, business phone/website where available and market. Operator role and corporate funding willingness require confirmation.</x:v>
      </x:c>
      <x:c r="AB1248" s="3" t="str">
        <x:v>New public-source collection</x:v>
      </x:c>
      <x:c r="AC1248" s="3" t="str">
        <x:v>unverified</x:v>
      </x:c>
      <x:c r="AD1248" s="3" t="str">
        <x:v>Not contacted / unconfirmed</x:v>
      </x:c>
      <x:c r="AE1248" s="3" t="str">
        <x:v>No</x:v>
      </x:c>
      <x:c r="AF1248" s="3" t="str">
        <x:v>No</x:v>
      </x:c>
      <x:c r="AG1248" s="3"/>
      <x:c r="AH1248" s="3"/>
      <x:c r="AI1248" s="18"/>
      <x:c r="AJ1248" s="3" t="str">
        <x:v>CF2500-80A735BE3D8B</x:v>
      </x:c>
      <x:c r="AK1248" s="3" t="str">
        <x:v>real_estate_operator</x:v>
      </x:c>
      <x:c r="AL1248" s="19" t="n">
        <x:v>100000</x:v>
      </x:c>
      <x:c r="AM1248" s="19" t="n">
        <x:v>500000</x:v>
      </x:c>
      <x:c r="AN1248" s="3" t="str">
        <x:v>https://www.cashhomebuyersdirectory.com/cash-home-buyers/pennsylvania/harrisburg</x:v>
      </x:c>
      <x:c r="AO1248" s="3" t="str">
        <x:v>national_rest_directory_complete.jsonl</x:v>
      </x:c>
      <x:c r="AP1248" s="19"/>
    </x:row>
    <x:row r="1249" ht="36" customHeight="1">
      <x:c r="A1249" s="23" t="n">
        <x:v>1248</x:v>
      </x:c>
      <x:c r="B1249" s="15" t="str">
        <x:v>Sell My Home With Dustin Sonico</x:v>
      </x:c>
      <x:c r="C1249" s="15"/>
      <x:c r="D1249" s="15" t="str">
        <x:v>Property investor / home-buying operator</x:v>
      </x:c>
      <x:c r="E1249" s="15" t="str">
        <x:v>Property investor / operator inquiry</x:v>
      </x:c>
      <x:c r="F1249" s="17" t="str">
        <x:v>New</x:v>
      </x:c>
      <x:c r="G1249" s="24"/>
      <x:c r="H1249" s="24" t="str">
        <x:v>+18083899776</x:v>
      </x:c>
      <x:c r="I1249" s="24" t="str">
        <x:v>https://sellwithsonico.com/</x:v>
      </x:c>
      <x:c r="J1249" s="16" t="str">
        <x:v>HI</x:v>
      </x:c>
      <x:c r="K1249" s="16" t="str">
        <x:v>Honolulu</x:v>
      </x:c>
      <x:c r="L1249" s="16" t="str">
        <x:v>Public property-business route; investor decision maker unconfirmed</x:v>
      </x:c>
      <x:c r="M1249" s="16" t="str">
        <x:v>https://sellwithsonico.com/</x:v>
      </x:c>
      <x:c r="N1249" s="16" t="str">
        <x:v>$100K-$500K ticket not published / unconfirmed</x:v>
      </x:c>
      <x:c r="O1249" s="20"/>
      <x:c r="P1249" s="20"/>
      <x:c r="Q1249" s="25" t="str">
        <x:v>No direct corporate-capital range established in checked source</x:v>
      </x:c>
      <x:c r="R1249" s="25" t="str">
        <x:v>Property acquisition or investor activity makes this an operator-capital prospect for the signed trial. Confirm operating-company debt/equity appetite.</x:v>
      </x:c>
      <x:c r="S1249" s="25"/>
      <x:c r="T1249" s="25" t="str">
        <x:v>Ask the owner/investor whether they can allocate $100K-$500K to trial marketing and acquisitions, and confirm structure, timing and decision authority.</x:v>
      </x:c>
      <x:c r="U1249" s="25" t="str">
        <x:v>https://www.cashhomebuyersdirectory.com/cash-home-buyers/hawaii/honolulu</x:v>
      </x:c>
      <x:c r="V1249" s="26" t="d">
        <x:v>2026-10-02T00:00:00.000Z</x:v>
      </x:c>
      <x:c r="W1249" s="26" t="d">
        <x:v>2026-10-02T00:00:00.000Z</x:v>
      </x:c>
      <x:c r="X1249" s="25" t="str">
        <x:v>CashHomeBuyersDirectory third-party business listing; first-party business activity not checked in this batch</x:v>
      </x:c>
      <x:c r="Y1249" s="25"/>
      <x:c r="Z1249" s="25" t="str">
        <x:v>https://www.cashhomebuyersdirectory.com/cash-home-buyers/hawaii/honolulu</x:v>
      </x:c>
      <x:c r="AA1249" s="25" t="str">
        <x:v>Public cash-home-buyer directory lists the business name, business phone/website where available and market. Operator role and corporate funding willingness require confirmation.</x:v>
      </x:c>
      <x:c r="AB1249" s="3" t="str">
        <x:v>New public-source collection</x:v>
      </x:c>
      <x:c r="AC1249" s="3" t="str">
        <x:v>unverified</x:v>
      </x:c>
      <x:c r="AD1249" s="3" t="str">
        <x:v>Not contacted / unconfirmed</x:v>
      </x:c>
      <x:c r="AE1249" s="3" t="str">
        <x:v>No</x:v>
      </x:c>
      <x:c r="AF1249" s="3" t="str">
        <x:v>No</x:v>
      </x:c>
      <x:c r="AG1249" s="3"/>
      <x:c r="AH1249" s="3"/>
      <x:c r="AI1249" s="18"/>
      <x:c r="AJ1249" s="3" t="str">
        <x:v>CF2500-4AB7E92BC1D6</x:v>
      </x:c>
      <x:c r="AK1249" s="3" t="str">
        <x:v>real_estate_operator</x:v>
      </x:c>
      <x:c r="AL1249" s="19" t="n">
        <x:v>100000</x:v>
      </x:c>
      <x:c r="AM1249" s="19" t="n">
        <x:v>500000</x:v>
      </x:c>
      <x:c r="AN1249" s="3" t="str">
        <x:v>https://www.cashhomebuyersdirectory.com/cash-home-buyers/hawaii/honolulu</x:v>
      </x:c>
      <x:c r="AO1249" s="3" t="str">
        <x:v>national_rest_directory_complete.jsonl</x:v>
      </x:c>
      <x:c r="AP1249" s="19"/>
    </x:row>
    <x:row r="1250" ht="36" customHeight="1">
      <x:c r="A1250" s="23" t="n">
        <x:v>1249</x:v>
      </x:c>
      <x:c r="B1250" s="15" t="str">
        <x:v>Sell My House</x:v>
      </x:c>
      <x:c r="C1250" s="15"/>
      <x:c r="D1250" s="15" t="str">
        <x:v>Property investor / home-buying operator</x:v>
      </x:c>
      <x:c r="E1250" s="15" t="str">
        <x:v>Property investor / operator inquiry</x:v>
      </x:c>
      <x:c r="F1250" s="17" t="str">
        <x:v>New</x:v>
      </x:c>
      <x:c r="G1250" s="24"/>
      <x:c r="H1250" s="24" t="str">
        <x:v>+12532893773</x:v>
      </x:c>
      <x:c r="I1250" s="24" t="str">
        <x:v>https://www.sellmyhousecompany.com/</x:v>
      </x:c>
      <x:c r="J1250" s="16" t="str">
        <x:v>WA</x:v>
      </x:c>
      <x:c r="K1250" s="16" t="str">
        <x:v>Tacoma</x:v>
      </x:c>
      <x:c r="L1250" s="16" t="str">
        <x:v>Public property-business route; investor decision maker unconfirmed</x:v>
      </x:c>
      <x:c r="M1250" s="16" t="str">
        <x:v>https://www.sellmyhousecompany.com/</x:v>
      </x:c>
      <x:c r="N1250" s="16" t="str">
        <x:v>$100K-$500K ticket not published / unconfirmed</x:v>
      </x:c>
      <x:c r="O1250" s="20"/>
      <x:c r="P1250" s="20"/>
      <x:c r="Q1250" s="25" t="str">
        <x:v>No direct corporate-capital range established in checked source</x:v>
      </x:c>
      <x:c r="R1250" s="25" t="str">
        <x:v>Property acquisition or investor activity makes this an operator-capital prospect for the signed trial. Confirm operating-company debt/equity appetite.</x:v>
      </x:c>
      <x:c r="S1250" s="25"/>
      <x:c r="T1250" s="25" t="str">
        <x:v>Ask the owner/investor whether they can allocate $100K-$500K to trial marketing and acquisitions, and confirm structure, timing and decision authority.</x:v>
      </x:c>
      <x:c r="U1250" s="25" t="str">
        <x:v>https://www.cashhomebuyersdirectory.com/cash-home-buyers/washington/tacoma</x:v>
      </x:c>
      <x:c r="V1250" s="26" t="d">
        <x:v>2026-10-02T00:00:00.000Z</x:v>
      </x:c>
      <x:c r="W1250" s="26" t="d">
        <x:v>2026-10-02T00:00:00.000Z</x:v>
      </x:c>
      <x:c r="X1250" s="25" t="str">
        <x:v>CashHomeBuyersDirectory third-party business listing; first-party business activity not checked in this batch</x:v>
      </x:c>
      <x:c r="Y1250" s="25"/>
      <x:c r="Z1250" s="25" t="str">
        <x:v>https://www.cashhomebuyersdirectory.com/cash-home-buyers/washington/tacoma</x:v>
      </x:c>
      <x:c r="AA1250" s="25" t="str">
        <x:v>Public cash-home-buyer directory lists the business name, business phone/website where available and market. Operator role and corporate funding willingness require confirmation.</x:v>
      </x:c>
      <x:c r="AB1250" s="3" t="str">
        <x:v>New public-source collection</x:v>
      </x:c>
      <x:c r="AC1250" s="3" t="str">
        <x:v>unverified</x:v>
      </x:c>
      <x:c r="AD1250" s="3" t="str">
        <x:v>Not contacted / unconfirmed</x:v>
      </x:c>
      <x:c r="AE1250" s="3" t="str">
        <x:v>No</x:v>
      </x:c>
      <x:c r="AF1250" s="3" t="str">
        <x:v>No</x:v>
      </x:c>
      <x:c r="AG1250" s="3"/>
      <x:c r="AH1250" s="3"/>
      <x:c r="AI1250" s="18"/>
      <x:c r="AJ1250" s="3" t="str">
        <x:v>CF2500-524977416525</x:v>
      </x:c>
      <x:c r="AK1250" s="3" t="str">
        <x:v>real_estate_operator</x:v>
      </x:c>
      <x:c r="AL1250" s="19" t="n">
        <x:v>100000</x:v>
      </x:c>
      <x:c r="AM1250" s="19" t="n">
        <x:v>500000</x:v>
      </x:c>
      <x:c r="AN1250" s="3" t="str">
        <x:v>https://www.cashhomebuyersdirectory.com/cash-home-buyers/washington/tacoma</x:v>
      </x:c>
      <x:c r="AO1250" s="3" t="str">
        <x:v>national_rest_directory_complete.jsonl</x:v>
      </x:c>
      <x:c r="AP1250" s="19"/>
    </x:row>
    <x:row r="1251" ht="36" customHeight="1">
      <x:c r="A1251" s="23" t="n">
        <x:v>1250</x:v>
      </x:c>
      <x:c r="B1251" s="15" t="str">
        <x:v>Sell My House Baton Rouge</x:v>
      </x:c>
      <x:c r="C1251" s="15"/>
      <x:c r="D1251" s="15" t="str">
        <x:v>Property investor / home-buying operator</x:v>
      </x:c>
      <x:c r="E1251" s="15" t="str">
        <x:v>Property investor / operator inquiry</x:v>
      </x:c>
      <x:c r="F1251" s="17" t="str">
        <x:v>New</x:v>
      </x:c>
      <x:c r="G1251" s="24"/>
      <x:c r="H1251" s="24" t="str">
        <x:v>+12252381100</x:v>
      </x:c>
      <x:c r="I1251" s="24" t="str">
        <x:v>http://www.sellmyhousebatonrouge.com/</x:v>
      </x:c>
      <x:c r="J1251" s="16" t="str">
        <x:v>LA</x:v>
      </x:c>
      <x:c r="K1251" s="16" t="str">
        <x:v>Baton Rouge</x:v>
      </x:c>
      <x:c r="L1251" s="16" t="str">
        <x:v>Public property-business route; investor decision maker unconfirmed</x:v>
      </x:c>
      <x:c r="M1251" s="16" t="str">
        <x:v>http://www.sellmyhousebatonrouge.com/</x:v>
      </x:c>
      <x:c r="N1251" s="16" t="str">
        <x:v>$100K-$500K ticket not published / unconfirmed</x:v>
      </x:c>
      <x:c r="O1251" s="20"/>
      <x:c r="P1251" s="20"/>
      <x:c r="Q1251" s="25" t="str">
        <x:v>No direct corporate-capital range established in checked source</x:v>
      </x:c>
      <x:c r="R1251" s="25" t="str">
        <x:v>Property acquisition or investor activity makes this an operator-capital prospect for the signed trial. Confirm operating-company debt/equity appetite.</x:v>
      </x:c>
      <x:c r="S1251" s="25"/>
      <x:c r="T1251" s="25" t="str">
        <x:v>Ask the owner/investor whether they can allocate $100K-$500K to trial marketing and acquisitions, and confirm structure, timing and decision authority.</x:v>
      </x:c>
      <x:c r="U1251" s="25" t="str">
        <x:v>https://www.cashhomebuyersdirectory.com/cash-home-buyers/louisiana/baton-rouge</x:v>
      </x:c>
      <x:c r="V1251" s="26" t="d">
        <x:v>2026-10-02T00:00:00.000Z</x:v>
      </x:c>
      <x:c r="W1251" s="26" t="d">
        <x:v>2026-10-02T00:00:00.000Z</x:v>
      </x:c>
      <x:c r="X1251" s="25" t="str">
        <x:v>CashHomeBuyersDirectory third-party business listing; first-party business activity not checked in this batch</x:v>
      </x:c>
      <x:c r="Y1251" s="25"/>
      <x:c r="Z1251" s="25" t="str">
        <x:v>https://www.cashhomebuyersdirectory.com/cash-home-buyers/louisiana/baton-rouge</x:v>
      </x:c>
      <x:c r="AA1251" s="25" t="str">
        <x:v>Public cash-home-buyer directory lists the business name, business phone/website where available and market. Operator role and corporate funding willingness require confirmation.</x:v>
      </x:c>
      <x:c r="AB1251" s="3" t="str">
        <x:v>New public-source collection</x:v>
      </x:c>
      <x:c r="AC1251" s="3" t="str">
        <x:v>unverified</x:v>
      </x:c>
      <x:c r="AD1251" s="3" t="str">
        <x:v>Not contacted / unconfirmed</x:v>
      </x:c>
      <x:c r="AE1251" s="3" t="str">
        <x:v>No</x:v>
      </x:c>
      <x:c r="AF1251" s="3" t="str">
        <x:v>No</x:v>
      </x:c>
      <x:c r="AG1251" s="3"/>
      <x:c r="AH1251" s="3"/>
      <x:c r="AI1251" s="18"/>
      <x:c r="AJ1251" s="3" t="str">
        <x:v>CF2500-25915F1D2F3B</x:v>
      </x:c>
      <x:c r="AK1251" s="3" t="str">
        <x:v>real_estate_operator</x:v>
      </x:c>
      <x:c r="AL1251" s="19" t="n">
        <x:v>100000</x:v>
      </x:c>
      <x:c r="AM1251" s="19" t="n">
        <x:v>500000</x:v>
      </x:c>
      <x:c r="AN1251" s="3" t="str">
        <x:v>https://www.cashhomebuyersdirectory.com/cash-home-buyers/louisiana/baton-rouge</x:v>
      </x:c>
      <x:c r="AO1251" s="3" t="str">
        <x:v>national_rest_directory_complete.jsonl</x:v>
      </x:c>
      <x:c r="AP1251" s="19"/>
    </x:row>
    <x:row r="1252" ht="36" customHeight="1">
      <x:c r="A1252" s="23" t="n">
        <x:v>1251</x:v>
      </x:c>
      <x:c r="B1252" s="15" t="str">
        <x:v>Sell My House Cash Las Cruces</x:v>
      </x:c>
      <x:c r="C1252" s="15"/>
      <x:c r="D1252" s="15" t="str">
        <x:v>Property investor / home-buying operator</x:v>
      </x:c>
      <x:c r="E1252" s="15" t="str">
        <x:v>Property investor / operator inquiry</x:v>
      </x:c>
      <x:c r="F1252" s="17" t="str">
        <x:v>New</x:v>
      </x:c>
      <x:c r="G1252" s="24"/>
      <x:c r="H1252" s="24" t="str">
        <x:v>+15756800506</x:v>
      </x:c>
      <x:c r="I1252" s="24" t="str">
        <x:v>http://sellmyhousecashlascruces.com/</x:v>
      </x:c>
      <x:c r="J1252" s="16" t="str">
        <x:v>NM</x:v>
      </x:c>
      <x:c r="K1252" s="16"/>
      <x:c r="L1252" s="16" t="str">
        <x:v>Public property-business route; investor decision maker unconfirmed</x:v>
      </x:c>
      <x:c r="M1252" s="16" t="str">
        <x:v>http://sellmyhousecashlascruces.com/</x:v>
      </x:c>
      <x:c r="N1252" s="16" t="str">
        <x:v>$100K-$500K ticket not published / unconfirmed</x:v>
      </x:c>
      <x:c r="O1252" s="20"/>
      <x:c r="P1252" s="20"/>
      <x:c r="Q1252" s="25" t="str">
        <x:v>No direct corporate-capital range established in checked source</x:v>
      </x:c>
      <x:c r="R1252" s="25" t="str">
        <x:v>Property acquisition or investor activity makes this an operator-capital prospect for the signed trial. Confirm operating-company debt/equity appetite.</x:v>
      </x:c>
      <x:c r="S1252" s="25"/>
      <x:c r="T1252" s="25" t="str">
        <x:v>Ask the owner/investor whether they can allocate $100K-$500K to trial marketing and acquisitions, and confirm structure, timing and decision authority.</x:v>
      </x:c>
      <x:c r="U1252" s="25" t="str">
        <x:v>https://www.cashhomebuyersdirectory.com/cash-home-buyers/new-mexico/las-cruces</x:v>
      </x:c>
      <x:c r="V1252" s="26" t="d">
        <x:v>2026-10-02T00:00:00.000Z</x:v>
      </x:c>
      <x:c r="W1252" s="26" t="d">
        <x:v>2026-10-02T00:00:00.000Z</x:v>
      </x:c>
      <x:c r="X1252" s="25" t="str">
        <x:v>CashHomeBuyersDirectory third-party business listing; first-party business activity not checked in this batch</x:v>
      </x:c>
      <x:c r="Y1252" s="25"/>
      <x:c r="Z1252" s="25" t="str">
        <x:v>https://www.cashhomebuyersdirectory.com/cash-home-buyers/new-mexico/las-cruces</x:v>
      </x:c>
      <x:c r="AA1252" s="25" t="str">
        <x:v>Public cash-home-buyer directory lists the business name, business phone/website where available and market. Operator role and corporate funding willingness require confirmation.</x:v>
      </x:c>
      <x:c r="AB1252" s="3" t="str">
        <x:v>New public-source collection</x:v>
      </x:c>
      <x:c r="AC1252" s="3" t="str">
        <x:v>unverified</x:v>
      </x:c>
      <x:c r="AD1252" s="3" t="str">
        <x:v>Not contacted / unconfirmed</x:v>
      </x:c>
      <x:c r="AE1252" s="3" t="str">
        <x:v>No</x:v>
      </x:c>
      <x:c r="AF1252" s="3" t="str">
        <x:v>No</x:v>
      </x:c>
      <x:c r="AG1252" s="3"/>
      <x:c r="AH1252" s="3"/>
      <x:c r="AI1252" s="18"/>
      <x:c r="AJ1252" s="3" t="str">
        <x:v>CF2500-36374F5241B8</x:v>
      </x:c>
      <x:c r="AK1252" s="3" t="str">
        <x:v>real_estate_operator</x:v>
      </x:c>
      <x:c r="AL1252" s="19" t="n">
        <x:v>100000</x:v>
      </x:c>
      <x:c r="AM1252" s="19" t="n">
        <x:v>500000</x:v>
      </x:c>
      <x:c r="AN1252" s="3" t="str">
        <x:v>https://www.cashhomebuyersdirectory.com/cash-home-buyers/new-mexico/las-cruces</x:v>
      </x:c>
      <x:c r="AO1252" s="3" t="str">
        <x:v>national_rest_directory_complete.jsonl</x:v>
      </x:c>
      <x:c r="AP1252" s="19"/>
    </x:row>
    <x:row r="1253" ht="36" customHeight="1">
      <x:c r="A1253" s="23" t="n">
        <x:v>1252</x:v>
      </x:c>
      <x:c r="B1253" s="15" t="str">
        <x:v>Sell My House Fast 2 Tim Milwaukee</x:v>
      </x:c>
      <x:c r="C1253" s="15"/>
      <x:c r="D1253" s="15" t="str">
        <x:v>Property investor / home-buying operator</x:v>
      </x:c>
      <x:c r="E1253" s="15" t="str">
        <x:v>Property investor / operator inquiry</x:v>
      </x:c>
      <x:c r="F1253" s="17" t="str">
        <x:v>New</x:v>
      </x:c>
      <x:c r="G1253" s="24"/>
      <x:c r="H1253" s="24" t="str">
        <x:v>+14143777347</x:v>
      </x:c>
      <x:c r="I1253" s="24" t="str">
        <x:v>https://sellmyhousefast2timmilwaukee.com/</x:v>
      </x:c>
      <x:c r="J1253" s="16" t="str">
        <x:v>WI</x:v>
      </x:c>
      <x:c r="K1253" s="16" t="str">
        <x:v>Milwaukee</x:v>
      </x:c>
      <x:c r="L1253" s="16" t="str">
        <x:v>Public property-business route; investor decision maker unconfirmed</x:v>
      </x:c>
      <x:c r="M1253" s="16" t="str">
        <x:v>https://sellmyhousefast2timmilwaukee.com/</x:v>
      </x:c>
      <x:c r="N1253" s="16" t="str">
        <x:v>$100K-$500K ticket not published / unconfirmed</x:v>
      </x:c>
      <x:c r="O1253" s="20"/>
      <x:c r="P1253" s="20"/>
      <x:c r="Q1253" s="25" t="str">
        <x:v>No direct corporate-capital range established in checked source</x:v>
      </x:c>
      <x:c r="R1253" s="25" t="str">
        <x:v>Property acquisition or investor activity makes this an operator-capital prospect for the signed trial. Confirm operating-company debt/equity appetite.</x:v>
      </x:c>
      <x:c r="S1253" s="25"/>
      <x:c r="T1253" s="25" t="str">
        <x:v>Ask the owner/investor whether they can allocate $100K-$500K to trial marketing and acquisitions, and confirm structure, timing and decision authority.</x:v>
      </x:c>
      <x:c r="U1253" s="25" t="str">
        <x:v>https://www.cashhomebuyersdirectory.com/cash-home-buyers/wisconsin/milwaukee</x:v>
      </x:c>
      <x:c r="V1253" s="26" t="d">
        <x:v>2026-10-02T00:00:00.000Z</x:v>
      </x:c>
      <x:c r="W1253" s="26" t="d">
        <x:v>2026-10-02T00:00:00.000Z</x:v>
      </x:c>
      <x:c r="X1253" s="25" t="str">
        <x:v>CashHomeBuyersDirectory third-party business listing; first-party business activity not checked in this batch</x:v>
      </x:c>
      <x:c r="Y1253" s="25"/>
      <x:c r="Z1253" s="25" t="str">
        <x:v>https://www.cashhomebuyersdirectory.com/cash-home-buyers/wisconsin/milwaukee</x:v>
      </x:c>
      <x:c r="AA1253" s="25" t="str">
        <x:v>Public cash-home-buyer directory lists the business name, business phone/website where available and market. Operator role and corporate funding willingness require confirmation.</x:v>
      </x:c>
      <x:c r="AB1253" s="3" t="str">
        <x:v>New public-source collection</x:v>
      </x:c>
      <x:c r="AC1253" s="3" t="str">
        <x:v>unverified</x:v>
      </x:c>
      <x:c r="AD1253" s="3" t="str">
        <x:v>Not contacted / unconfirmed</x:v>
      </x:c>
      <x:c r="AE1253" s="3" t="str">
        <x:v>No</x:v>
      </x:c>
      <x:c r="AF1253" s="3" t="str">
        <x:v>No</x:v>
      </x:c>
      <x:c r="AG1253" s="3"/>
      <x:c r="AH1253" s="3"/>
      <x:c r="AI1253" s="18"/>
      <x:c r="AJ1253" s="3" t="str">
        <x:v>CF2500-CD6F41D5A568</x:v>
      </x:c>
      <x:c r="AK1253" s="3" t="str">
        <x:v>real_estate_operator</x:v>
      </x:c>
      <x:c r="AL1253" s="19" t="n">
        <x:v>100000</x:v>
      </x:c>
      <x:c r="AM1253" s="19" t="n">
        <x:v>500000</x:v>
      </x:c>
      <x:c r="AN1253" s="3" t="str">
        <x:v>https://www.cashhomebuyersdirectory.com/cash-home-buyers/wisconsin/milwaukee</x:v>
      </x:c>
      <x:c r="AO1253" s="3" t="str">
        <x:v>national_rest_directory_complete.jsonl</x:v>
      </x:c>
      <x:c r="AP1253" s="19"/>
    </x:row>
    <x:row r="1254" ht="36" customHeight="1">
      <x:c r="A1254" s="23" t="n">
        <x:v>1253</x:v>
      </x:c>
      <x:c r="B1254" s="15" t="str">
        <x:v>Sell my house fast Bay Area | Peachtree Homes</x:v>
      </x:c>
      <x:c r="C1254" s="15"/>
      <x:c r="D1254" s="15" t="str">
        <x:v>Property investor / home-buying operator</x:v>
      </x:c>
      <x:c r="E1254" s="15" t="str">
        <x:v>Property investor / operator inquiry</x:v>
      </x:c>
      <x:c r="F1254" s="17" t="str">
        <x:v>New</x:v>
      </x:c>
      <x:c r="G1254" s="24"/>
      <x:c r="H1254" s="24" t="str">
        <x:v>+14085497183</x:v>
      </x:c>
      <x:c r="I1254" s="24" t="str">
        <x:v>https://www.peachtreehomes.org/</x:v>
      </x:c>
      <x:c r="J1254" s="16" t="str">
        <x:v>CA</x:v>
      </x:c>
      <x:c r="K1254" s="16" t="str">
        <x:v>San Jose</x:v>
      </x:c>
      <x:c r="L1254" s="16" t="str">
        <x:v>Public property-business route; investor decision maker unconfirmed</x:v>
      </x:c>
      <x:c r="M1254" s="16" t="str">
        <x:v>https://www.peachtreehomes.org/</x:v>
      </x:c>
      <x:c r="N1254" s="16" t="str">
        <x:v>$100K-$500K ticket not published / unconfirmed</x:v>
      </x:c>
      <x:c r="O1254" s="20"/>
      <x:c r="P1254" s="20"/>
      <x:c r="Q1254" s="25" t="str">
        <x:v>No direct corporate-capital range established in checked source</x:v>
      </x:c>
      <x:c r="R1254" s="25" t="str">
        <x:v>Property acquisition or investor activity makes this an operator-capital prospect for the signed trial. Confirm operating-company debt/equity appetite.</x:v>
      </x:c>
      <x:c r="S1254" s="25"/>
      <x:c r="T1254" s="25" t="str">
        <x:v>Ask the owner/investor whether they can allocate $100K-$500K to trial marketing and acquisitions, and confirm structure, timing and decision authority.</x:v>
      </x:c>
      <x:c r="U1254" s="25" t="str">
        <x:v>https://www.cashhomebuyersdirectory.com/cash-home-buyers/california/san-jose</x:v>
      </x:c>
      <x:c r="V1254" s="26" t="d">
        <x:v>2026-10-02T00:00:00.000Z</x:v>
      </x:c>
      <x:c r="W1254" s="26" t="d">
        <x:v>2026-10-02T00:00:00.000Z</x:v>
      </x:c>
      <x:c r="X1254" s="25" t="str">
        <x:v>CashHomeBuyersDirectory third-party business listing; first-party business activity not checked in this batch</x:v>
      </x:c>
      <x:c r="Y1254" s="25"/>
      <x:c r="Z1254" s="25" t="str">
        <x:v>https://www.cashhomebuyersdirectory.com/cash-home-buyers/california/san-jose</x:v>
      </x:c>
      <x:c r="AA1254" s="25" t="str">
        <x:v>Public cash-home-buyer directory lists the business name, business phone/website where available and market. Operator role and corporate funding willingness require confirmation.</x:v>
      </x:c>
      <x:c r="AB1254" s="3" t="str">
        <x:v>New public-source collection</x:v>
      </x:c>
      <x:c r="AC1254" s="3" t="str">
        <x:v>unverified</x:v>
      </x:c>
      <x:c r="AD1254" s="3" t="str">
        <x:v>Not contacted / unconfirmed</x:v>
      </x:c>
      <x:c r="AE1254" s="3" t="str">
        <x:v>No</x:v>
      </x:c>
      <x:c r="AF1254" s="3" t="str">
        <x:v>No</x:v>
      </x:c>
      <x:c r="AG1254" s="3"/>
      <x:c r="AH1254" s="3"/>
      <x:c r="AI1254" s="18"/>
      <x:c r="AJ1254" s="3" t="str">
        <x:v>CF2500-6A0062A2001A</x:v>
      </x:c>
      <x:c r="AK1254" s="3" t="str">
        <x:v>real_estate_operator</x:v>
      </x:c>
      <x:c r="AL1254" s="19" t="n">
        <x:v>100000</x:v>
      </x:c>
      <x:c r="AM1254" s="19" t="n">
        <x:v>500000</x:v>
      </x:c>
      <x:c r="AN1254" s="3" t="str">
        <x:v>https://www.cashhomebuyersdirectory.com/cash-home-buyers/california/san-jose</x:v>
      </x:c>
      <x:c r="AO1254" s="3" t="str">
        <x:v>national_rest_directory_complete.jsonl</x:v>
      </x:c>
      <x:c r="AP1254" s="19"/>
    </x:row>
    <x:row r="1255" ht="36" customHeight="1">
      <x:c r="A1255" s="23" t="n">
        <x:v>1254</x:v>
      </x:c>
      <x:c r="B1255" s="15" t="str">
        <x:v>Sell My House Fast Buffalo</x:v>
      </x:c>
      <x:c r="C1255" s="15"/>
      <x:c r="D1255" s="15" t="str">
        <x:v>Property investor / home-buying operator</x:v>
      </x:c>
      <x:c r="E1255" s="15" t="str">
        <x:v>Property investor / operator inquiry</x:v>
      </x:c>
      <x:c r="F1255" s="17" t="str">
        <x:v>New</x:v>
      </x:c>
      <x:c r="G1255" s="24"/>
      <x:c r="H1255" s="24" t="str">
        <x:v>+17165624202</x:v>
      </x:c>
      <x:c r="I1255" s="24" t="str">
        <x:v>https://www.sellmyhousefastbuffalo.com/</x:v>
      </x:c>
      <x:c r="J1255" s="16" t="str">
        <x:v>NY</x:v>
      </x:c>
      <x:c r="K1255" s="16" t="str">
        <x:v>Buffalo</x:v>
      </x:c>
      <x:c r="L1255" s="16" t="str">
        <x:v>Public property-business route; investor decision maker unconfirmed</x:v>
      </x:c>
      <x:c r="M1255" s="16" t="str">
        <x:v>https://www.sellmyhousefastbuffalo.com/</x:v>
      </x:c>
      <x:c r="N1255" s="16" t="str">
        <x:v>$100K-$500K ticket not published / unconfirmed</x:v>
      </x:c>
      <x:c r="O1255" s="20"/>
      <x:c r="P1255" s="20"/>
      <x:c r="Q1255" s="25" t="str">
        <x:v>No direct corporate-capital range established in checked source</x:v>
      </x:c>
      <x:c r="R1255" s="25" t="str">
        <x:v>Property acquisition or investor activity makes this an operator-capital prospect for the signed trial. Confirm operating-company debt/equity appetite.</x:v>
      </x:c>
      <x:c r="S1255" s="25"/>
      <x:c r="T1255" s="25" t="str">
        <x:v>Ask the owner/investor whether they can allocate $100K-$500K to trial marketing and acquisitions, and confirm structure, timing and decision authority.</x:v>
      </x:c>
      <x:c r="U1255" s="25" t="str">
        <x:v>https://www.cashhomebuyersdirectory.com/cash-home-buyers/new-york/buffalo</x:v>
      </x:c>
      <x:c r="V1255" s="26" t="d">
        <x:v>2026-10-02T00:00:00.000Z</x:v>
      </x:c>
      <x:c r="W1255" s="26" t="d">
        <x:v>2026-10-02T00:00:00.000Z</x:v>
      </x:c>
      <x:c r="X1255" s="25" t="str">
        <x:v>CashHomeBuyersDirectory third-party business listing; first-party business activity not checked in this batch</x:v>
      </x:c>
      <x:c r="Y1255" s="25"/>
      <x:c r="Z1255" s="25" t="str">
        <x:v>https://www.cashhomebuyersdirectory.com/cash-home-buyers/new-york/buffalo</x:v>
      </x:c>
      <x:c r="AA1255" s="25" t="str">
        <x:v>Public cash-home-buyer directory lists the business name, business phone/website where available and market. Operator role and corporate funding willingness require confirmation.</x:v>
      </x:c>
      <x:c r="AB1255" s="3" t="str">
        <x:v>New public-source collection</x:v>
      </x:c>
      <x:c r="AC1255" s="3" t="str">
        <x:v>unverified</x:v>
      </x:c>
      <x:c r="AD1255" s="3" t="str">
        <x:v>Not contacted / unconfirmed</x:v>
      </x:c>
      <x:c r="AE1255" s="3" t="str">
        <x:v>No</x:v>
      </x:c>
      <x:c r="AF1255" s="3" t="str">
        <x:v>No</x:v>
      </x:c>
      <x:c r="AG1255" s="3"/>
      <x:c r="AH1255" s="3"/>
      <x:c r="AI1255" s="18"/>
      <x:c r="AJ1255" s="3" t="str">
        <x:v>CF2500-F06EB5E9FEF0</x:v>
      </x:c>
      <x:c r="AK1255" s="3" t="str">
        <x:v>real_estate_operator</x:v>
      </x:c>
      <x:c r="AL1255" s="19" t="n">
        <x:v>100000</x:v>
      </x:c>
      <x:c r="AM1255" s="19" t="n">
        <x:v>500000</x:v>
      </x:c>
      <x:c r="AN1255" s="3" t="str">
        <x:v>https://www.cashhomebuyersdirectory.com/cash-home-buyers/new-york/buffalo</x:v>
      </x:c>
      <x:c r="AO1255" s="3" t="str">
        <x:v>national_rest_directory_complete.jsonl</x:v>
      </x:c>
      <x:c r="AP1255" s="19"/>
    </x:row>
    <x:row r="1256" ht="36" customHeight="1">
      <x:c r="A1256" s="23" t="n">
        <x:v>1255</x:v>
      </x:c>
      <x:c r="B1256" s="15" t="str">
        <x:v>Sell My House Fast California | As Is Cash Home Buyers Fresno</x:v>
      </x:c>
      <x:c r="C1256" s="15"/>
      <x:c r="D1256" s="15" t="str">
        <x:v>Property investor / home-buying operator</x:v>
      </x:c>
      <x:c r="E1256" s="15" t="str">
        <x:v>Property investor / operator inquiry</x:v>
      </x:c>
      <x:c r="F1256" s="17" t="str">
        <x:v>New</x:v>
      </x:c>
      <x:c r="G1256" s="24"/>
      <x:c r="H1256" s="24" t="str">
        <x:v>+15592492999</x:v>
      </x:c>
      <x:c r="I1256" s="24" t="str">
        <x:v>https://sellmyhousefastca.com/as-is-cash-home-buyers-fresno-california/</x:v>
      </x:c>
      <x:c r="J1256" s="16" t="str">
        <x:v>CA</x:v>
      </x:c>
      <x:c r="K1256" s="16" t="str">
        <x:v>Fresno</x:v>
      </x:c>
      <x:c r="L1256" s="16" t="str">
        <x:v>Public property-business route; investor decision maker unconfirmed</x:v>
      </x:c>
      <x:c r="M1256" s="16" t="str">
        <x:v>https://sellmyhousefastca.com/as-is-cash-home-buyers-fresno-california/</x:v>
      </x:c>
      <x:c r="N1256" s="16" t="str">
        <x:v>$100K-$500K ticket not published / unconfirmed</x:v>
      </x:c>
      <x:c r="O1256" s="20"/>
      <x:c r="P1256" s="20"/>
      <x:c r="Q1256" s="25" t="str">
        <x:v>No direct corporate-capital range established in checked source</x:v>
      </x:c>
      <x:c r="R1256" s="25" t="str">
        <x:v>Property acquisition or investor activity makes this an operator-capital prospect for the signed trial. Confirm operating-company debt/equity appetite.</x:v>
      </x:c>
      <x:c r="S1256" s="25"/>
      <x:c r="T1256" s="25" t="str">
        <x:v>Ask the owner/investor whether they can allocate $100K-$500K to trial marketing and acquisitions, and confirm structure, timing and decision authority.</x:v>
      </x:c>
      <x:c r="U1256" s="25" t="str">
        <x:v>https://www.cashhomebuyersdirectory.com/cash-home-buyers/california/fresno
https://www.cashhomebuyersdirectory.com/cash-home-buyers/california/long-beach
https://www.cashhomebuyersdirectory.com/cash-home-buyers/california/los-angeles</x:v>
      </x:c>
      <x:c r="V1256" s="26" t="d">
        <x:v>2026-10-02T00:00:00.000Z</x:v>
      </x:c>
      <x:c r="W1256" s="26" t="d">
        <x:v>2026-10-02T00:00:00.000Z</x:v>
      </x:c>
      <x:c r="X1256" s="25" t="str">
        <x:v>CashHomeBuyersDirectory third-party business listing; first-party business activity not checked in this batch</x:v>
      </x:c>
      <x:c r="Y1256" s="25"/>
      <x:c r="Z1256" s="25" t="str">
        <x:v>https://www.cashhomebuyersdirectory.com/cash-home-buyers/california/fresno</x:v>
      </x:c>
      <x:c r="AA1256" s="25" t="str">
        <x:v>Public cash-home-buyer directory lists the business name, business phone/website where available and market. Operator role and corporate funding willingness require confirmation.</x:v>
      </x:c>
      <x:c r="AB1256" s="3" t="str">
        <x:v>New public-source collection</x:v>
      </x:c>
      <x:c r="AC1256" s="3" t="str">
        <x:v>unverified</x:v>
      </x:c>
      <x:c r="AD1256" s="3" t="str">
        <x:v>Not contacted / unconfirmed</x:v>
      </x:c>
      <x:c r="AE1256" s="3" t="str">
        <x:v>No</x:v>
      </x:c>
      <x:c r="AF1256" s="3" t="str">
        <x:v>No</x:v>
      </x:c>
      <x:c r="AG1256" s="3"/>
      <x:c r="AH1256" s="3" t="str">
        <x:v>Sell My House Fast California | As Is Cash Home Buyers Long Beach; Sell My House Fast California | As Is Cash Home Buyers Los Angeles</x:v>
      </x:c>
      <x:c r="AI1256" s="18"/>
      <x:c r="AJ1256" s="3" t="str">
        <x:v>CF2500-179876FAD13C</x:v>
      </x:c>
      <x:c r="AK1256" s="3" t="str">
        <x:v>real_estate_operator</x:v>
      </x:c>
      <x:c r="AL1256" s="19" t="n">
        <x:v>100000</x:v>
      </x:c>
      <x:c r="AM1256" s="19" t="n">
        <x:v>500000</x:v>
      </x:c>
      <x:c r="AN1256" s="3" t="str">
        <x:v>https://www.cashhomebuyersdirectory.com/cash-home-buyers/california/fresno</x:v>
      </x:c>
      <x:c r="AO1256" s="3" t="str">
        <x:v>national_rest_directory_complete.jsonl</x:v>
      </x:c>
      <x:c r="AP1256" s="19"/>
    </x:row>
    <x:row r="1257" ht="36" customHeight="1">
      <x:c r="A1257" s="23" t="n">
        <x:v>1256</x:v>
      </x:c>
      <x:c r="B1257" s="15" t="str">
        <x:v>Sell My House Fast DC | We Buy Houses for Cash Glen Burnie</x:v>
      </x:c>
      <x:c r="C1257" s="15"/>
      <x:c r="D1257" s="15" t="str">
        <x:v>Property investor / home-buying operator</x:v>
      </x:c>
      <x:c r="E1257" s="15" t="str">
        <x:v>Property investor / operator inquiry</x:v>
      </x:c>
      <x:c r="F1257" s="17" t="str">
        <x:v>New</x:v>
      </x:c>
      <x:c r="G1257" s="24"/>
      <x:c r="H1257" s="24" t="str">
        <x:v>+14432643699</x:v>
      </x:c>
      <x:c r="I1257" s="24" t="str">
        <x:v>https://www.sellhousefastdc.com/we-buy-houses-cash-glen-burnie-maryland/</x:v>
      </x:c>
      <x:c r="J1257" s="16" t="str">
        <x:v>MD</x:v>
      </x:c>
      <x:c r="K1257" s="16" t="str">
        <x:v>Glen Burnie</x:v>
      </x:c>
      <x:c r="L1257" s="16" t="str">
        <x:v>Public property-business route; investor decision maker unconfirmed</x:v>
      </x:c>
      <x:c r="M1257" s="16" t="str">
        <x:v>https://www.sellhousefastdc.com/we-buy-houses-cash-glen-burnie-maryland/</x:v>
      </x:c>
      <x:c r="N1257" s="16" t="str">
        <x:v>$100K-$500K ticket not published / unconfirmed</x:v>
      </x:c>
      <x:c r="O1257" s="20"/>
      <x:c r="P1257" s="20"/>
      <x:c r="Q1257" s="25" t="str">
        <x:v>No direct corporate-capital range established in checked source</x:v>
      </x:c>
      <x:c r="R1257" s="25" t="str">
        <x:v>Property acquisition or investor activity makes this an operator-capital prospect for the signed trial. Confirm operating-company debt/equity appetite.</x:v>
      </x:c>
      <x:c r="S1257" s="25"/>
      <x:c r="T1257" s="25" t="str">
        <x:v>Ask the owner/investor whether they can allocate $100K-$500K to trial marketing and acquisitions, and confirm structure, timing and decision authority.</x:v>
      </x:c>
      <x:c r="U1257" s="25" t="str">
        <x:v>https://www.cashhomebuyersdirectory.com/cash-home-buyers/maryland/glen-burnie
https://www.cashhomebuyersdirectory.com/cash-home-buyers/maryland/hyattsville
https://www.cashhomebuyersdirectory.com/cash-home-buyers/maryland/laurel
https://www.cashhomebuyersdirectory.com/cash-home-buyers/maryland/rockville
https://www.cashhomebuyersdirectory.com/cash-home-buyers/maryland/silver-spring
https://www.cashhomebuyersdirectory.com/cash-home-buyers/maryland/baltimore
https://www.cashhomebuyersdirectory.com/cash-home-buyers/district-of-columbia/washington</x:v>
      </x:c>
      <x:c r="V1257" s="26" t="d">
        <x:v>2026-10-02T00:00:00.000Z</x:v>
      </x:c>
      <x:c r="W1257" s="26" t="d">
        <x:v>2026-10-02T00:00:00.000Z</x:v>
      </x:c>
      <x:c r="X1257" s="25" t="str">
        <x:v>CashHomeBuyersDirectory third-party business listing; first-party business activity not checked in this batch</x:v>
      </x:c>
      <x:c r="Y1257" s="25"/>
      <x:c r="Z1257" s="25" t="str">
        <x:v>https://www.cashhomebuyersdirectory.com/cash-home-buyers/maryland/glen-burnie</x:v>
      </x:c>
      <x:c r="AA1257" s="25" t="str">
        <x:v>Public cash-home-buyer directory lists the business name, business phone/website where available and market. Operator role and corporate funding willingness require confirmation.</x:v>
      </x:c>
      <x:c r="AB1257" s="3" t="str">
        <x:v>New public-source collection</x:v>
      </x:c>
      <x:c r="AC1257" s="3" t="str">
        <x:v>unverified</x:v>
      </x:c>
      <x:c r="AD1257" s="3" t="str">
        <x:v>Not contacted / unconfirmed</x:v>
      </x:c>
      <x:c r="AE1257" s="3" t="str">
        <x:v>No</x:v>
      </x:c>
      <x:c r="AF1257" s="3" t="str">
        <x:v>No</x:v>
      </x:c>
      <x:c r="AG1257" s="3"/>
      <x:c r="AH1257" s="3" t="str">
        <x:v>Sell My House Fast DC | We Buy Houses for Cash Hyattsville; Sell My House Fast DC | We Buy Houses for Cash Laurel; Sell My House Fast DC | We Buy Houses for Cash Rockville; Sell My House Fast DC | We Buy Houses for Cash Silver Spring; Sell My House Fast DC | We Buy Houses for Cash Towson; Sell My House Fast DC | We Buy Houses for Cash Washington DC</x:v>
      </x:c>
      <x:c r="AI1257" s="18"/>
      <x:c r="AJ1257" s="3" t="str">
        <x:v>CF2500-93B59914E261</x:v>
      </x:c>
      <x:c r="AK1257" s="3" t="str">
        <x:v>real_estate_operator</x:v>
      </x:c>
      <x:c r="AL1257" s="19" t="n">
        <x:v>100000</x:v>
      </x:c>
      <x:c r="AM1257" s="19" t="n">
        <x:v>500000</x:v>
      </x:c>
      <x:c r="AN1257" s="3" t="str">
        <x:v>https://www.cashhomebuyersdirectory.com/cash-home-buyers/maryland/glen-burnie</x:v>
      </x:c>
      <x:c r="AO1257" s="3" t="str">
        <x:v>national_rest_directory_complete.jsonl</x:v>
      </x:c>
      <x:c r="AP1257" s="19"/>
    </x:row>
    <x:row r="1258" ht="36" customHeight="1">
      <x:c r="A1258" s="23" t="n">
        <x:v>1257</x:v>
      </x:c>
      <x:c r="B1258" s="15" t="str">
        <x:v>Sell My House Fast Delaware | As Is Cash Home Buyers Wilmington</x:v>
      </x:c>
      <x:c r="C1258" s="15"/>
      <x:c r="D1258" s="15" t="str">
        <x:v>Property investor / home-buying operator</x:v>
      </x:c>
      <x:c r="E1258" s="15" t="str">
        <x:v>Property investor / operator inquiry</x:v>
      </x:c>
      <x:c r="F1258" s="17" t="str">
        <x:v>New</x:v>
      </x:c>
      <x:c r="G1258" s="24"/>
      <x:c r="H1258" s="24" t="str">
        <x:v>+13025343809</x:v>
      </x:c>
      <x:c r="I1258" s="24" t="str">
        <x:v>https://sellmyhousefastde.com/as-is-cash-home-buyers-wilmington-delaware/</x:v>
      </x:c>
      <x:c r="J1258" s="16" t="str">
        <x:v>DE</x:v>
      </x:c>
      <x:c r="K1258" s="16" t="str">
        <x:v>Wilmington</x:v>
      </x:c>
      <x:c r="L1258" s="16" t="str">
        <x:v>Public property-business route; investor decision maker unconfirmed</x:v>
      </x:c>
      <x:c r="M1258" s="16" t="str">
        <x:v>https://sellmyhousefastde.com/as-is-cash-home-buyers-wilmington-delaware/</x:v>
      </x:c>
      <x:c r="N1258" s="16" t="str">
        <x:v>$100K-$500K ticket not published / unconfirmed</x:v>
      </x:c>
      <x:c r="O1258" s="20"/>
      <x:c r="P1258" s="20"/>
      <x:c r="Q1258" s="25" t="str">
        <x:v>No direct corporate-capital range established in checked source</x:v>
      </x:c>
      <x:c r="R1258" s="25" t="str">
        <x:v>Property acquisition or investor activity makes this an operator-capital prospect for the signed trial. Confirm operating-company debt/equity appetite.</x:v>
      </x:c>
      <x:c r="S1258" s="25"/>
      <x:c r="T1258" s="25" t="str">
        <x:v>Ask the owner/investor whether they can allocate $100K-$500K to trial marketing and acquisitions, and confirm structure, timing and decision authority.</x:v>
      </x:c>
      <x:c r="U1258" s="25" t="str">
        <x:v>https://www.cashhomebuyersdirectory.com/cash-home-buyers/delaware/wilmington</x:v>
      </x:c>
      <x:c r="V1258" s="26" t="d">
        <x:v>2026-10-02T00:00:00.000Z</x:v>
      </x:c>
      <x:c r="W1258" s="26" t="d">
        <x:v>2026-10-02T00:00:00.000Z</x:v>
      </x:c>
      <x:c r="X1258" s="25" t="str">
        <x:v>CashHomeBuyersDirectory third-party business listing; first-party business activity not checked in this batch</x:v>
      </x:c>
      <x:c r="Y1258" s="25"/>
      <x:c r="Z1258" s="25" t="str">
        <x:v>https://www.cashhomebuyersdirectory.com/cash-home-buyers/delaware/wilmington</x:v>
      </x:c>
      <x:c r="AA1258" s="25" t="str">
        <x:v>Public cash-home-buyer directory lists the business name, business phone/website where available and market. Operator role and corporate funding willingness require confirmation.</x:v>
      </x:c>
      <x:c r="AB1258" s="3" t="str">
        <x:v>New public-source collection</x:v>
      </x:c>
      <x:c r="AC1258" s="3" t="str">
        <x:v>unverified</x:v>
      </x:c>
      <x:c r="AD1258" s="3" t="str">
        <x:v>Not contacted / unconfirmed</x:v>
      </x:c>
      <x:c r="AE1258" s="3" t="str">
        <x:v>No</x:v>
      </x:c>
      <x:c r="AF1258" s="3" t="str">
        <x:v>No</x:v>
      </x:c>
      <x:c r="AG1258" s="3"/>
      <x:c r="AH1258" s="3"/>
      <x:c r="AI1258" s="18"/>
      <x:c r="AJ1258" s="3" t="str">
        <x:v>CF2500-D35AC487FA9E</x:v>
      </x:c>
      <x:c r="AK1258" s="3" t="str">
        <x:v>real_estate_operator</x:v>
      </x:c>
      <x:c r="AL1258" s="19" t="n">
        <x:v>100000</x:v>
      </x:c>
      <x:c r="AM1258" s="19" t="n">
        <x:v>500000</x:v>
      </x:c>
      <x:c r="AN1258" s="3" t="str">
        <x:v>https://www.cashhomebuyersdirectory.com/cash-home-buyers/delaware/wilmington</x:v>
      </x:c>
      <x:c r="AO1258" s="3" t="str">
        <x:v>national_rest_directory_complete.jsonl</x:v>
      </x:c>
      <x:c r="AP1258" s="19"/>
    </x:row>
    <x:row r="1259" ht="36" customHeight="1">
      <x:c r="A1259" s="23" t="n">
        <x:v>1258</x:v>
      </x:c>
      <x:c r="B1259" s="15" t="str">
        <x:v>Sell My House Fast For Cash</x:v>
      </x:c>
      <x:c r="C1259" s="15"/>
      <x:c r="D1259" s="15" t="str">
        <x:v>Property investor / home-buying operator</x:v>
      </x:c>
      <x:c r="E1259" s="15" t="str">
        <x:v>Property investor / operator inquiry</x:v>
      </x:c>
      <x:c r="F1259" s="17" t="str">
        <x:v>New</x:v>
      </x:c>
      <x:c r="G1259" s="24"/>
      <x:c r="H1259" s="24" t="str">
        <x:v>+12532939789</x:v>
      </x:c>
      <x:c r="I1259" s="24" t="str">
        <x:v>https://www.sellmyhousefastforcash.com/</x:v>
      </x:c>
      <x:c r="J1259" s="16" t="str">
        <x:v>WA</x:v>
      </x:c>
      <x:c r="K1259" s="16" t="str">
        <x:v>Seattle</x:v>
      </x:c>
      <x:c r="L1259" s="16" t="str">
        <x:v>Public property-business route; investor decision maker unconfirmed</x:v>
      </x:c>
      <x:c r="M1259" s="16" t="str">
        <x:v>https://www.sellmyhousefastforcash.com/</x:v>
      </x:c>
      <x:c r="N1259" s="16" t="str">
        <x:v>$100K-$500K ticket not published / unconfirmed</x:v>
      </x:c>
      <x:c r="O1259" s="20"/>
      <x:c r="P1259" s="20"/>
      <x:c r="Q1259" s="25" t="str">
        <x:v>No direct corporate-capital range established in checked source</x:v>
      </x:c>
      <x:c r="R1259" s="25" t="str">
        <x:v>Property acquisition or investor activity makes this an operator-capital prospect for the signed trial. Confirm operating-company debt/equity appetite.</x:v>
      </x:c>
      <x:c r="S1259" s="25"/>
      <x:c r="T1259" s="25" t="str">
        <x:v>Ask the owner/investor whether they can allocate $100K-$500K to trial marketing and acquisitions, and confirm structure, timing and decision authority.</x:v>
      </x:c>
      <x:c r="U1259" s="25" t="str">
        <x:v>https://www.cashhomebuyersdirectory.com/cash-home-buyers/washington/seattle</x:v>
      </x:c>
      <x:c r="V1259" s="26" t="d">
        <x:v>2026-10-02T00:00:00.000Z</x:v>
      </x:c>
      <x:c r="W1259" s="26" t="d">
        <x:v>2026-10-02T00:00:00.000Z</x:v>
      </x:c>
      <x:c r="X1259" s="25" t="str">
        <x:v>CashHomeBuyersDirectory third-party business listing; first-party business activity not checked in this batch</x:v>
      </x:c>
      <x:c r="Y1259" s="25"/>
      <x:c r="Z1259" s="25" t="str">
        <x:v>https://www.cashhomebuyersdirectory.com/cash-home-buyers/washington/seattle</x:v>
      </x:c>
      <x:c r="AA1259" s="25" t="str">
        <x:v>Public cash-home-buyer directory lists the business name, business phone/website where available and market. Operator role and corporate funding willingness require confirmation.</x:v>
      </x:c>
      <x:c r="AB1259" s="3" t="str">
        <x:v>New public-source collection</x:v>
      </x:c>
      <x:c r="AC1259" s="3" t="str">
        <x:v>unverified</x:v>
      </x:c>
      <x:c r="AD1259" s="3" t="str">
        <x:v>Not contacted / unconfirmed</x:v>
      </x:c>
      <x:c r="AE1259" s="3" t="str">
        <x:v>No</x:v>
      </x:c>
      <x:c r="AF1259" s="3" t="str">
        <x:v>No</x:v>
      </x:c>
      <x:c r="AG1259" s="3"/>
      <x:c r="AH1259" s="3"/>
      <x:c r="AI1259" s="18"/>
      <x:c r="AJ1259" s="3" t="str">
        <x:v>CF2500-989325C356F9</x:v>
      </x:c>
      <x:c r="AK1259" s="3" t="str">
        <x:v>real_estate_operator</x:v>
      </x:c>
      <x:c r="AL1259" s="19" t="n">
        <x:v>100000</x:v>
      </x:c>
      <x:c r="AM1259" s="19" t="n">
        <x:v>500000</x:v>
      </x:c>
      <x:c r="AN1259" s="3" t="str">
        <x:v>https://www.cashhomebuyersdirectory.com/cash-home-buyers/washington/seattle</x:v>
      </x:c>
      <x:c r="AO1259" s="3" t="str">
        <x:v>national_rest_directory_complete.jsonl</x:v>
      </x:c>
      <x:c r="AP1259" s="19"/>
    </x:row>
    <x:row r="1260" ht="36" customHeight="1">
      <x:c r="A1260" s="23" t="n">
        <x:v>1259</x:v>
      </x:c>
      <x:c r="B1260" s="15" t="str">
        <x:v>Sell My House Fast for Cash Richmond | Cy Buys Houses Richmond</x:v>
      </x:c>
      <x:c r="C1260" s="15"/>
      <x:c r="D1260" s="15" t="str">
        <x:v>Property investor / home-buying operator</x:v>
      </x:c>
      <x:c r="E1260" s="15" t="str">
        <x:v>Property investor / operator inquiry</x:v>
      </x:c>
      <x:c r="F1260" s="17" t="str">
        <x:v>New</x:v>
      </x:c>
      <x:c r="G1260" s="24"/>
      <x:c r="H1260" s="24" t="str">
        <x:v>+18042987555</x:v>
      </x:c>
      <x:c r="I1260" s="24" t="str">
        <x:v>https://cybuysrichmondhouses.com/</x:v>
      </x:c>
      <x:c r="J1260" s="16" t="str">
        <x:v>VA</x:v>
      </x:c>
      <x:c r="K1260" s="16" t="str">
        <x:v>Richmond</x:v>
      </x:c>
      <x:c r="L1260" s="16" t="str">
        <x:v>Public property-business route; investor decision maker unconfirmed</x:v>
      </x:c>
      <x:c r="M1260" s="16" t="str">
        <x:v>https://cybuysrichmondhouses.com/</x:v>
      </x:c>
      <x:c r="N1260" s="16" t="str">
        <x:v>$100K-$500K ticket not published / unconfirmed</x:v>
      </x:c>
      <x:c r="O1260" s="20"/>
      <x:c r="P1260" s="20"/>
      <x:c r="Q1260" s="25" t="str">
        <x:v>No direct corporate-capital range established in checked source</x:v>
      </x:c>
      <x:c r="R1260" s="25" t="str">
        <x:v>Property acquisition or investor activity makes this an operator-capital prospect for the signed trial. Confirm operating-company debt/equity appetite.</x:v>
      </x:c>
      <x:c r="S1260" s="25"/>
      <x:c r="T1260" s="25" t="str">
        <x:v>Ask the owner/investor whether they can allocate $100K-$500K to trial marketing and acquisitions, and confirm structure, timing and decision authority.</x:v>
      </x:c>
      <x:c r="U1260" s="25" t="str">
        <x:v>https://www.cashhomebuyersdirectory.com/cash-home-buyers/virginia/richmond</x:v>
      </x:c>
      <x:c r="V1260" s="26" t="d">
        <x:v>2026-10-02T00:00:00.000Z</x:v>
      </x:c>
      <x:c r="W1260" s="26" t="d">
        <x:v>2026-10-02T00:00:00.000Z</x:v>
      </x:c>
      <x:c r="X1260" s="25" t="str">
        <x:v>CashHomeBuyersDirectory third-party business listing; first-party business activity not checked in this batch</x:v>
      </x:c>
      <x:c r="Y1260" s="25"/>
      <x:c r="Z1260" s="25" t="str">
        <x:v>https://www.cashhomebuyersdirectory.com/cash-home-buyers/virginia/richmond</x:v>
      </x:c>
      <x:c r="AA1260" s="25" t="str">
        <x:v>Public cash-home-buyer directory lists the business name, business phone/website where available and market. Operator role and corporate funding willingness require confirmation.</x:v>
      </x:c>
      <x:c r="AB1260" s="3" t="str">
        <x:v>New public-source collection</x:v>
      </x:c>
      <x:c r="AC1260" s="3" t="str">
        <x:v>unverified</x:v>
      </x:c>
      <x:c r="AD1260" s="3" t="str">
        <x:v>Not contacted / unconfirmed</x:v>
      </x:c>
      <x:c r="AE1260" s="3" t="str">
        <x:v>No</x:v>
      </x:c>
      <x:c r="AF1260" s="3" t="str">
        <x:v>No</x:v>
      </x:c>
      <x:c r="AG1260" s="3"/>
      <x:c r="AH1260" s="3"/>
      <x:c r="AI1260" s="18"/>
      <x:c r="AJ1260" s="3" t="str">
        <x:v>CF2500-C73617B59166</x:v>
      </x:c>
      <x:c r="AK1260" s="3" t="str">
        <x:v>real_estate_operator</x:v>
      </x:c>
      <x:c r="AL1260" s="19" t="n">
        <x:v>100000</x:v>
      </x:c>
      <x:c r="AM1260" s="19" t="n">
        <x:v>500000</x:v>
      </x:c>
      <x:c r="AN1260" s="3" t="str">
        <x:v>https://www.cashhomebuyersdirectory.com/cash-home-buyers/virginia/richmond</x:v>
      </x:c>
      <x:c r="AO1260" s="3" t="str">
        <x:v>national_rest_directory_complete.jsonl</x:v>
      </x:c>
      <x:c r="AP1260" s="19"/>
    </x:row>
    <x:row r="1261" ht="36" customHeight="1">
      <x:c r="A1261" s="23" t="n">
        <x:v>1260</x:v>
      </x:c>
      <x:c r="B1261" s="15" t="str">
        <x:v>Sell My House Fast In Shreveport-Bossier | Local "As Is" House Buyers</x:v>
      </x:c>
      <x:c r="C1261" s="15"/>
      <x:c r="D1261" s="15" t="str">
        <x:v>Property investor / home-buying operator</x:v>
      </x:c>
      <x:c r="E1261" s="15" t="str">
        <x:v>Property investor / operator inquiry</x:v>
      </x:c>
      <x:c r="F1261" s="17" t="str">
        <x:v>New</x:v>
      </x:c>
      <x:c r="G1261" s="24"/>
      <x:c r="H1261" s="24" t="str">
        <x:v>+13182332800</x:v>
      </x:c>
      <x:c r="I1261" s="24" t="str">
        <x:v>http://www.sellmyhousefastshreveportbossier.com/contact-us/</x:v>
      </x:c>
      <x:c r="J1261" s="16" t="str">
        <x:v>LA</x:v>
      </x:c>
      <x:c r="K1261" s="16" t="str">
        <x:v>Shreveport</x:v>
      </x:c>
      <x:c r="L1261" s="16" t="str">
        <x:v>Public property-business route; investor decision maker unconfirmed</x:v>
      </x:c>
      <x:c r="M1261" s="16" t="str">
        <x:v>http://www.sellmyhousefastshreveportbossier.com/contact-us/</x:v>
      </x:c>
      <x:c r="N1261" s="16" t="str">
        <x:v>$100K-$500K ticket not published / unconfirmed</x:v>
      </x:c>
      <x:c r="O1261" s="20"/>
      <x:c r="P1261" s="20"/>
      <x:c r="Q1261" s="25" t="str">
        <x:v>No direct corporate-capital range established in checked source</x:v>
      </x:c>
      <x:c r="R1261" s="25" t="str">
        <x:v>Property acquisition or investor activity makes this an operator-capital prospect for the signed trial. Confirm operating-company debt/equity appetite.</x:v>
      </x:c>
      <x:c r="S1261" s="25"/>
      <x:c r="T1261" s="25" t="str">
        <x:v>Ask the owner/investor whether they can allocate $100K-$500K to trial marketing and acquisitions, and confirm structure, timing and decision authority.</x:v>
      </x:c>
      <x:c r="U1261" s="25" t="str">
        <x:v>https://www.cashhomebuyersdirectory.com/cash-home-buyers/louisiana/shreveport</x:v>
      </x:c>
      <x:c r="V1261" s="26" t="d">
        <x:v>2026-10-02T00:00:00.000Z</x:v>
      </x:c>
      <x:c r="W1261" s="26" t="d">
        <x:v>2026-10-02T00:00:00.000Z</x:v>
      </x:c>
      <x:c r="X1261" s="25" t="str">
        <x:v>CashHomeBuyersDirectory third-party business listing; first-party business activity not checked in this batch</x:v>
      </x:c>
      <x:c r="Y1261" s="25"/>
      <x:c r="Z1261" s="25" t="str">
        <x:v>https://www.cashhomebuyersdirectory.com/cash-home-buyers/louisiana/shreveport</x:v>
      </x:c>
      <x:c r="AA1261" s="25" t="str">
        <x:v>Public cash-home-buyer directory lists the business name, business phone/website where available and market. Operator role and corporate funding willingness require confirmation.</x:v>
      </x:c>
      <x:c r="AB1261" s="3" t="str">
        <x:v>New public-source collection</x:v>
      </x:c>
      <x:c r="AC1261" s="3" t="str">
        <x:v>unverified</x:v>
      </x:c>
      <x:c r="AD1261" s="3" t="str">
        <x:v>Not contacted / unconfirmed</x:v>
      </x:c>
      <x:c r="AE1261" s="3" t="str">
        <x:v>No</x:v>
      </x:c>
      <x:c r="AF1261" s="3" t="str">
        <x:v>No</x:v>
      </x:c>
      <x:c r="AG1261" s="3"/>
      <x:c r="AH1261" s="3"/>
      <x:c r="AI1261" s="18"/>
      <x:c r="AJ1261" s="3" t="str">
        <x:v>CF2500-5D8BCAA75FE6</x:v>
      </x:c>
      <x:c r="AK1261" s="3" t="str">
        <x:v>real_estate_operator</x:v>
      </x:c>
      <x:c r="AL1261" s="19" t="n">
        <x:v>100000</x:v>
      </x:c>
      <x:c r="AM1261" s="19" t="n">
        <x:v>500000</x:v>
      </x:c>
      <x:c r="AN1261" s="3" t="str">
        <x:v>https://www.cashhomebuyersdirectory.com/cash-home-buyers/louisiana/shreveport</x:v>
      </x:c>
      <x:c r="AO1261" s="3" t="str">
        <x:v>national_rest_directory_complete.jsonl</x:v>
      </x:c>
      <x:c r="AP1261" s="19"/>
    </x:row>
    <x:row r="1262" ht="36" customHeight="1">
      <x:c r="A1262" s="23" t="n">
        <x:v>1261</x:v>
      </x:c>
      <x:c r="B1262" s="15" t="str">
        <x:v>Sell My House Fast Long Island | As Is Cash Home Buyers Flushing</x:v>
      </x:c>
      <x:c r="C1262" s="15"/>
      <x:c r="D1262" s="15" t="str">
        <x:v>Property investor / home-buying operator</x:v>
      </x:c>
      <x:c r="E1262" s="15" t="str">
        <x:v>Property investor / operator inquiry</x:v>
      </x:c>
      <x:c r="F1262" s="17" t="str">
        <x:v>New</x:v>
      </x:c>
      <x:c r="G1262" s="24"/>
      <x:c r="H1262" s="24" t="str">
        <x:v>+17186634239</x:v>
      </x:c>
      <x:c r="I1262" s="24" t="str">
        <x:v>https://sellmyhousefastli.com/as-is-cash-home-buyers-flushing-new-york/</x:v>
      </x:c>
      <x:c r="J1262" s="16" t="str">
        <x:v>NY</x:v>
      </x:c>
      <x:c r="K1262" s="16" t="str">
        <x:v>New York</x:v>
      </x:c>
      <x:c r="L1262" s="16" t="str">
        <x:v>Public property-business route; investor decision maker unconfirmed</x:v>
      </x:c>
      <x:c r="M1262" s="16" t="str">
        <x:v>https://sellmyhousefastli.com/as-is-cash-home-buyers-flushing-new-york/</x:v>
      </x:c>
      <x:c r="N1262" s="16" t="str">
        <x:v>$100K-$500K ticket not published / unconfirmed</x:v>
      </x:c>
      <x:c r="O1262" s="20"/>
      <x:c r="P1262" s="20"/>
      <x:c r="Q1262" s="25" t="str">
        <x:v>No direct corporate-capital range established in checked source</x:v>
      </x:c>
      <x:c r="R1262" s="25" t="str">
        <x:v>Property acquisition or investor activity makes this an operator-capital prospect for the signed trial. Confirm operating-company debt/equity appetite.</x:v>
      </x:c>
      <x:c r="S1262" s="25"/>
      <x:c r="T1262" s="25" t="str">
        <x:v>Ask the owner/investor whether they can allocate $100K-$500K to trial marketing and acquisitions, and confirm structure, timing and decision authority.</x:v>
      </x:c>
      <x:c r="U1262" s="25" t="str">
        <x:v>https://www.cashhomebuyersdirectory.com/cash-home-buyers/new-york/new-york</x:v>
      </x:c>
      <x:c r="V1262" s="26" t="d">
        <x:v>2026-10-02T00:00:00.000Z</x:v>
      </x:c>
      <x:c r="W1262" s="26" t="d">
        <x:v>2026-10-02T00:00:00.000Z</x:v>
      </x:c>
      <x:c r="X1262" s="25" t="str">
        <x:v>CashHomeBuyersDirectory third-party business listing; first-party business activity not checked in this batch</x:v>
      </x:c>
      <x:c r="Y1262" s="25"/>
      <x:c r="Z1262" s="25" t="str">
        <x:v>https://www.cashhomebuyersdirectory.com/cash-home-buyers/new-york/new-york</x:v>
      </x:c>
      <x:c r="AA1262" s="25" t="str">
        <x:v>Public cash-home-buyer directory lists the business name, business phone/website where available and market. Operator role and corporate funding willingness require confirmation.</x:v>
      </x:c>
      <x:c r="AB1262" s="3" t="str">
        <x:v>New public-source collection</x:v>
      </x:c>
      <x:c r="AC1262" s="3" t="str">
        <x:v>unverified</x:v>
      </x:c>
      <x:c r="AD1262" s="3" t="str">
        <x:v>Not contacted / unconfirmed</x:v>
      </x:c>
      <x:c r="AE1262" s="3" t="str">
        <x:v>No</x:v>
      </x:c>
      <x:c r="AF1262" s="3" t="str">
        <x:v>No</x:v>
      </x:c>
      <x:c r="AG1262" s="3"/>
      <x:c r="AH1262" s="3"/>
      <x:c r="AI1262" s="18"/>
      <x:c r="AJ1262" s="3" t="str">
        <x:v>CF2500-927F5DC047A9</x:v>
      </x:c>
      <x:c r="AK1262" s="3" t="str">
        <x:v>real_estate_operator</x:v>
      </x:c>
      <x:c r="AL1262" s="19" t="n">
        <x:v>100000</x:v>
      </x:c>
      <x:c r="AM1262" s="19" t="n">
        <x:v>500000</x:v>
      </x:c>
      <x:c r="AN1262" s="3" t="str">
        <x:v>https://www.cashhomebuyersdirectory.com/cash-home-buyers/new-york/new-york</x:v>
      </x:c>
      <x:c r="AO1262" s="3" t="str">
        <x:v>national_rest_directory_complete.jsonl</x:v>
      </x:c>
      <x:c r="AP1262" s="19"/>
    </x:row>
    <x:row r="1263" ht="36" customHeight="1">
      <x:c r="A1263" s="23" t="n">
        <x:v>1262</x:v>
      </x:c>
      <x:c r="B1263" s="15" t="str">
        <x:v>Sell My House Fast Maryland | As Is Cash Home Buyers Annapolis</x:v>
      </x:c>
      <x:c r="C1263" s="15"/>
      <x:c r="D1263" s="15" t="str">
        <x:v>Property investor / home-buying operator</x:v>
      </x:c>
      <x:c r="E1263" s="15" t="str">
        <x:v>Property investor / operator inquiry</x:v>
      </x:c>
      <x:c r="F1263" s="17" t="str">
        <x:v>New</x:v>
      </x:c>
      <x:c r="G1263" s="24"/>
      <x:c r="H1263" s="24" t="str">
        <x:v>+14437477109</x:v>
      </x:c>
      <x:c r="I1263" s="24" t="str">
        <x:v>https://sellmyhousefastmaryland.com/as-is-cash-home-buyers-annapolis-md/</x:v>
      </x:c>
      <x:c r="J1263" s="16" t="str">
        <x:v>MD</x:v>
      </x:c>
      <x:c r="K1263" s="16" t="str">
        <x:v>Annapolis</x:v>
      </x:c>
      <x:c r="L1263" s="16" t="str">
        <x:v>Public property-business route; investor decision maker unconfirmed</x:v>
      </x:c>
      <x:c r="M1263" s="16" t="str">
        <x:v>https://sellmyhousefastmaryland.com/as-is-cash-home-buyers-annapolis-md/</x:v>
      </x:c>
      <x:c r="N1263" s="16" t="str">
        <x:v>$100K-$500K ticket not published / unconfirmed</x:v>
      </x:c>
      <x:c r="O1263" s="20"/>
      <x:c r="P1263" s="20"/>
      <x:c r="Q1263" s="25" t="str">
        <x:v>No direct corporate-capital range established in checked source</x:v>
      </x:c>
      <x:c r="R1263" s="25" t="str">
        <x:v>Property acquisition or investor activity makes this an operator-capital prospect for the signed trial. Confirm operating-company debt/equity appetite.</x:v>
      </x:c>
      <x:c r="S1263" s="25"/>
      <x:c r="T1263" s="25" t="str">
        <x:v>Ask the owner/investor whether they can allocate $100K-$500K to trial marketing and acquisitions, and confirm structure, timing and decision authority.</x:v>
      </x:c>
      <x:c r="U1263" s="25" t="str">
        <x:v>https://www.cashhomebuyersdirectory.com/cash-home-buyers/maryland/annapolis
https://www.cashhomebuyersdirectory.com/cash-home-buyers/maryland/baltimore
https://www.cashhomebuyersdirectory.com/cash-home-buyers/maryland/columbia
https://www.cashhomebuyersdirectory.com/cash-home-buyers/maryland/frederick
https://www.cashhomebuyersdirectory.com/cash-home-buyers/maryland/gaithersburg
https://www.cashhomebuyersdirectory.com/cash-home-buyers/maryland/germantown
https://www.cashhomebuyersdirectory.com/cash-home-buyers/maryland/hagerstown
https://www.cashhomebuyersdirectory.com/cash-home-buyers/maryland/rockville
https://www.cashhomebuyersdirectory.com/cash-home-buyers/maryland/silver-spring
https://www.cashhomebuyersdirectory.com/cash-home-buyers/maryland/waldorf</x:v>
      </x:c>
      <x:c r="V1263" s="26" t="d">
        <x:v>2026-10-02T00:00:00.000Z</x:v>
      </x:c>
      <x:c r="W1263" s="26" t="d">
        <x:v>2026-10-02T00:00:00.000Z</x:v>
      </x:c>
      <x:c r="X1263" s="25" t="str">
        <x:v>CashHomeBuyersDirectory third-party business listing; first-party business activity not checked in this batch</x:v>
      </x:c>
      <x:c r="Y1263" s="25"/>
      <x:c r="Z1263" s="25" t="str">
        <x:v>https://www.cashhomebuyersdirectory.com/cash-home-buyers/maryland/annapolis</x:v>
      </x:c>
      <x:c r="AA1263" s="25" t="str">
        <x:v>Public cash-home-buyer directory lists the business name, business phone/website where available and market. Operator role and corporate funding willingness require confirmation.</x:v>
      </x:c>
      <x:c r="AB1263" s="3" t="str">
        <x:v>New public-source collection</x:v>
      </x:c>
      <x:c r="AC1263" s="3" t="str">
        <x:v>unverified</x:v>
      </x:c>
      <x:c r="AD1263" s="3" t="str">
        <x:v>Not contacted / unconfirmed</x:v>
      </x:c>
      <x:c r="AE1263" s="3" t="str">
        <x:v>No</x:v>
      </x:c>
      <x:c r="AF1263" s="3" t="str">
        <x:v>No</x:v>
      </x:c>
      <x:c r="AG1263" s="3"/>
      <x:c r="AH1263" s="3" t="str">
        <x:v>Sell My House Fast Maryland | As Is Cash Home Buyers Baltimore; Sell My House Fast Maryland | As Is Cash Home Buyers Columbia; Sell My House Fast Maryland | As Is Cash Home Buyers Frederick; Sell My House Fast Maryland | As Is Cash Home Buyers Gaithersburg; Sell My House Fast Maryland | As Is Cash Home Buyers Germantown; Sell My House Fast Maryland | As Is Cash Home Buyers Hagerstown; Sell My House Fast Maryland | As Is Cash Home Buyers Rockville; Sell My House Fast Maryland | As Is Cash Home Buyers Silver Spring; Sell My House Fast Maryland | As Is Cash Home Buyers Waldorf</x:v>
      </x:c>
      <x:c r="AI1263" s="18"/>
      <x:c r="AJ1263" s="3" t="str">
        <x:v>CF2500-275FAB4E6E90</x:v>
      </x:c>
      <x:c r="AK1263" s="3" t="str">
        <x:v>real_estate_operator</x:v>
      </x:c>
      <x:c r="AL1263" s="19" t="n">
        <x:v>100000</x:v>
      </x:c>
      <x:c r="AM1263" s="19" t="n">
        <x:v>500000</x:v>
      </x:c>
      <x:c r="AN1263" s="3" t="str">
        <x:v>https://www.cashhomebuyersdirectory.com/cash-home-buyers/maryland/annapolis</x:v>
      </x:c>
      <x:c r="AO1263" s="3" t="str">
        <x:v>national_rest_directory_complete.jsonl</x:v>
      </x:c>
      <x:c r="AP1263" s="19"/>
    </x:row>
    <x:row r="1264" ht="36" customHeight="1">
      <x:c r="A1264" s="23" t="n">
        <x:v>1263</x:v>
      </x:c>
      <x:c r="B1264" s="15" t="str">
        <x:v>Sell My House Fast Mass | As Is Cash Home Buyers Boston</x:v>
      </x:c>
      <x:c r="C1264" s="15"/>
      <x:c r="D1264" s="15" t="str">
        <x:v>Property investor / home-buying operator</x:v>
      </x:c>
      <x:c r="E1264" s="15" t="str">
        <x:v>Property investor / operator inquiry</x:v>
      </x:c>
      <x:c r="F1264" s="17" t="str">
        <x:v>New</x:v>
      </x:c>
      <x:c r="G1264" s="24"/>
      <x:c r="H1264" s="24" t="str">
        <x:v>+16174407879</x:v>
      </x:c>
      <x:c r="I1264" s="24" t="str">
        <x:v>https://sellmyhousefastinma.com/as-is-cash-home-buyers-boston-massachusetts/</x:v>
      </x:c>
      <x:c r="J1264" s="16" t="str">
        <x:v>MA</x:v>
      </x:c>
      <x:c r="K1264" s="16" t="str">
        <x:v>Boston</x:v>
      </x:c>
      <x:c r="L1264" s="16" t="str">
        <x:v>Public property-business route; investor decision maker unconfirmed</x:v>
      </x:c>
      <x:c r="M1264" s="16" t="str">
        <x:v>https://sellmyhousefastinma.com/as-is-cash-home-buyers-boston-massachusetts/</x:v>
      </x:c>
      <x:c r="N1264" s="16" t="str">
        <x:v>$100K-$500K ticket not published / unconfirmed</x:v>
      </x:c>
      <x:c r="O1264" s="20"/>
      <x:c r="P1264" s="20"/>
      <x:c r="Q1264" s="25" t="str">
        <x:v>No direct corporate-capital range established in checked source</x:v>
      </x:c>
      <x:c r="R1264" s="25" t="str">
        <x:v>Property acquisition or investor activity makes this an operator-capital prospect for the signed trial. Confirm operating-company debt/equity appetite.</x:v>
      </x:c>
      <x:c r="S1264" s="25"/>
      <x:c r="T1264" s="25" t="str">
        <x:v>Ask the owner/investor whether they can allocate $100K-$500K to trial marketing and acquisitions, and confirm structure, timing and decision authority.</x:v>
      </x:c>
      <x:c r="U1264" s="25" t="str">
        <x:v>https://www.cashhomebuyersdirectory.com/cash-home-buyers/massachusetts/boston
https://www.cashhomebuyersdirectory.com/cash-home-buyers/massachusetts/springfield
https://www.cashhomebuyersdirectory.com/cash-home-buyers/massachusetts/worcester</x:v>
      </x:c>
      <x:c r="V1264" s="26" t="d">
        <x:v>2026-10-02T00:00:00.000Z</x:v>
      </x:c>
      <x:c r="W1264" s="26" t="d">
        <x:v>2026-10-02T00:00:00.000Z</x:v>
      </x:c>
      <x:c r="X1264" s="25" t="str">
        <x:v>CashHomeBuyersDirectory third-party business listing; first-party business activity not checked in this batch</x:v>
      </x:c>
      <x:c r="Y1264" s="25"/>
      <x:c r="Z1264" s="25" t="str">
        <x:v>https://www.cashhomebuyersdirectory.com/cash-home-buyers/massachusetts/boston</x:v>
      </x:c>
      <x:c r="AA1264" s="25" t="str">
        <x:v>Public cash-home-buyer directory lists the business name, business phone/website where available and market. Operator role and corporate funding willingness require confirmation.</x:v>
      </x:c>
      <x:c r="AB1264" s="3" t="str">
        <x:v>New public-source collection</x:v>
      </x:c>
      <x:c r="AC1264" s="3" t="str">
        <x:v>unverified</x:v>
      </x:c>
      <x:c r="AD1264" s="3" t="str">
        <x:v>Not contacted / unconfirmed</x:v>
      </x:c>
      <x:c r="AE1264" s="3" t="str">
        <x:v>No</x:v>
      </x:c>
      <x:c r="AF1264" s="3" t="str">
        <x:v>No</x:v>
      </x:c>
      <x:c r="AG1264" s="3"/>
      <x:c r="AH1264" s="3" t="str">
        <x:v>Sell My House Fast Mass | As Is Cash Home Buyers Springfield; Sell My House Fast Mass | As Is Cash Home Buyers Worcester</x:v>
      </x:c>
      <x:c r="AI1264" s="18"/>
      <x:c r="AJ1264" s="3" t="str">
        <x:v>CF2500-5D88AA6C690E</x:v>
      </x:c>
      <x:c r="AK1264" s="3" t="str">
        <x:v>real_estate_operator</x:v>
      </x:c>
      <x:c r="AL1264" s="19" t="n">
        <x:v>100000</x:v>
      </x:c>
      <x:c r="AM1264" s="19" t="n">
        <x:v>500000</x:v>
      </x:c>
      <x:c r="AN1264" s="3" t="str">
        <x:v>https://www.cashhomebuyersdirectory.com/cash-home-buyers/massachusetts/boston</x:v>
      </x:c>
      <x:c r="AO1264" s="3" t="str">
        <x:v>national_rest_directory_complete.jsonl</x:v>
      </x:c>
      <x:c r="AP1264" s="19"/>
    </x:row>
    <x:row r="1265" ht="36" customHeight="1">
      <x:c r="A1265" s="23" t="n">
        <x:v>1264</x:v>
      </x:c>
      <x:c r="B1265" s="15" t="str">
        <x:v>Sell My House Fast Milwaukee | Good Land Home Buyers</x:v>
      </x:c>
      <x:c r="C1265" s="15"/>
      <x:c r="D1265" s="15" t="str">
        <x:v>Property investor / home-buying operator</x:v>
      </x:c>
      <x:c r="E1265" s="15" t="str">
        <x:v>Property investor / operator inquiry</x:v>
      </x:c>
      <x:c r="F1265" s="17" t="str">
        <x:v>New</x:v>
      </x:c>
      <x:c r="G1265" s="24"/>
      <x:c r="H1265" s="24" t="str">
        <x:v>+14148929991</x:v>
      </x:c>
      <x:c r="I1265" s="24" t="str">
        <x:v>http://www.goodlandhomebuyers.com/</x:v>
      </x:c>
      <x:c r="J1265" s="16" t="str">
        <x:v>WI</x:v>
      </x:c>
      <x:c r="K1265" s="16" t="str">
        <x:v>Milwaukee</x:v>
      </x:c>
      <x:c r="L1265" s="16" t="str">
        <x:v>Public property-business route; investor decision maker unconfirmed</x:v>
      </x:c>
      <x:c r="M1265" s="16" t="str">
        <x:v>http://www.goodlandhomebuyers.com/</x:v>
      </x:c>
      <x:c r="N1265" s="16" t="str">
        <x:v>$100K-$500K ticket not published / unconfirmed</x:v>
      </x:c>
      <x:c r="O1265" s="20"/>
      <x:c r="P1265" s="20"/>
      <x:c r="Q1265" s="25" t="str">
        <x:v>No direct corporate-capital range established in checked source</x:v>
      </x:c>
      <x:c r="R1265" s="25" t="str">
        <x:v>Property acquisition or investor activity makes this an operator-capital prospect for the signed trial. Confirm operating-company debt/equity appetite.</x:v>
      </x:c>
      <x:c r="S1265" s="25"/>
      <x:c r="T1265" s="25" t="str">
        <x:v>Ask the owner/investor whether they can allocate $100K-$500K to trial marketing and acquisitions, and confirm structure, timing and decision authority.</x:v>
      </x:c>
      <x:c r="U1265" s="25" t="str">
        <x:v>https://www.cashhomebuyersdirectory.com/cash-home-buyers/wisconsin/milwaukee</x:v>
      </x:c>
      <x:c r="V1265" s="26" t="d">
        <x:v>2026-10-02T00:00:00.000Z</x:v>
      </x:c>
      <x:c r="W1265" s="26" t="d">
        <x:v>2026-10-02T00:00:00.000Z</x:v>
      </x:c>
      <x:c r="X1265" s="25" t="str">
        <x:v>CashHomeBuyersDirectory third-party business listing; first-party business activity not checked in this batch</x:v>
      </x:c>
      <x:c r="Y1265" s="25"/>
      <x:c r="Z1265" s="25" t="str">
        <x:v>https://www.cashhomebuyersdirectory.com/cash-home-buyers/wisconsin/milwaukee</x:v>
      </x:c>
      <x:c r="AA1265" s="25" t="str">
        <x:v>Public cash-home-buyer directory lists the business name, business phone/website where available and market. Operator role and corporate funding willingness require confirmation.</x:v>
      </x:c>
      <x:c r="AB1265" s="3" t="str">
        <x:v>New public-source collection</x:v>
      </x:c>
      <x:c r="AC1265" s="3" t="str">
        <x:v>unverified</x:v>
      </x:c>
      <x:c r="AD1265" s="3" t="str">
        <x:v>Not contacted / unconfirmed</x:v>
      </x:c>
      <x:c r="AE1265" s="3" t="str">
        <x:v>No</x:v>
      </x:c>
      <x:c r="AF1265" s="3" t="str">
        <x:v>No</x:v>
      </x:c>
      <x:c r="AG1265" s="3"/>
      <x:c r="AH1265" s="3"/>
      <x:c r="AI1265" s="18"/>
      <x:c r="AJ1265" s="3" t="str">
        <x:v>CF2500-C3C6BB6BC72E</x:v>
      </x:c>
      <x:c r="AK1265" s="3" t="str">
        <x:v>real_estate_operator</x:v>
      </x:c>
      <x:c r="AL1265" s="19" t="n">
        <x:v>100000</x:v>
      </x:c>
      <x:c r="AM1265" s="19" t="n">
        <x:v>500000</x:v>
      </x:c>
      <x:c r="AN1265" s="3" t="str">
        <x:v>https://www.cashhomebuyersdirectory.com/cash-home-buyers/wisconsin/milwaukee</x:v>
      </x:c>
      <x:c r="AO1265" s="3" t="str">
        <x:v>national_rest_directory_complete.jsonl</x:v>
      </x:c>
      <x:c r="AP1265" s="19"/>
    </x:row>
    <x:row r="1266" ht="36" customHeight="1">
      <x:c r="A1266" s="23" t="n">
        <x:v>1265</x:v>
      </x:c>
      <x:c r="B1266" s="15" t="str">
        <x:v>Sell My House Fast New Hampshire</x:v>
      </x:c>
      <x:c r="C1266" s="15"/>
      <x:c r="D1266" s="15" t="str">
        <x:v>Property investor / home-buying operator</x:v>
      </x:c>
      <x:c r="E1266" s="15" t="str">
        <x:v>Property investor / operator inquiry</x:v>
      </x:c>
      <x:c r="F1266" s="17" t="str">
        <x:v>New</x:v>
      </x:c>
      <x:c r="G1266" s="24"/>
      <x:c r="H1266" s="24" t="str">
        <x:v>+16038598689</x:v>
      </x:c>
      <x:c r="I1266" s="24" t="str">
        <x:v>https://sellmyhousefastnewhampshire.com/as-is-cash-home-buyers-manchester-nh/</x:v>
      </x:c>
      <x:c r="J1266" s="16" t="str">
        <x:v>NH</x:v>
      </x:c>
      <x:c r="K1266" s="16" t="str">
        <x:v>Manchester</x:v>
      </x:c>
      <x:c r="L1266" s="16" t="str">
        <x:v>Public property-business route; investor decision maker unconfirmed</x:v>
      </x:c>
      <x:c r="M1266" s="16" t="str">
        <x:v>https://sellmyhousefastnewhampshire.com/as-is-cash-home-buyers-manchester-nh/</x:v>
      </x:c>
      <x:c r="N1266" s="16" t="str">
        <x:v>$100K-$500K ticket not published / unconfirmed</x:v>
      </x:c>
      <x:c r="O1266" s="20"/>
      <x:c r="P1266" s="20"/>
      <x:c r="Q1266" s="25" t="str">
        <x:v>No direct corporate-capital range established in checked source</x:v>
      </x:c>
      <x:c r="R1266" s="25" t="str">
        <x:v>Property acquisition or investor activity makes this an operator-capital prospect for the signed trial. Confirm operating-company debt/equity appetite.</x:v>
      </x:c>
      <x:c r="S1266" s="25"/>
      <x:c r="T1266" s="25" t="str">
        <x:v>Ask the owner/investor whether they can allocate $100K-$500K to trial marketing and acquisitions, and confirm structure, timing and decision authority.</x:v>
      </x:c>
      <x:c r="U1266" s="25" t="str">
        <x:v>https://www.cashhomebuyersdirectory.com/cash-home-buyers/new-hampshire/manchester</x:v>
      </x:c>
      <x:c r="V1266" s="26" t="d">
        <x:v>2026-10-02T00:00:00.000Z</x:v>
      </x:c>
      <x:c r="W1266" s="26" t="d">
        <x:v>2026-10-02T00:00:00.000Z</x:v>
      </x:c>
      <x:c r="X1266" s="25" t="str">
        <x:v>CashHomeBuyersDirectory third-party business listing; first-party business activity not checked in this batch</x:v>
      </x:c>
      <x:c r="Y1266" s="25"/>
      <x:c r="Z1266" s="25" t="str">
        <x:v>https://www.cashhomebuyersdirectory.com/cash-home-buyers/new-hampshire/manchester</x:v>
      </x:c>
      <x:c r="AA1266" s="25" t="str">
        <x:v>Public cash-home-buyer directory lists the business name, business phone/website where available and market. Operator role and corporate funding willingness require confirmation.</x:v>
      </x:c>
      <x:c r="AB1266" s="3" t="str">
        <x:v>New public-source collection</x:v>
      </x:c>
      <x:c r="AC1266" s="3" t="str">
        <x:v>unverified</x:v>
      </x:c>
      <x:c r="AD1266" s="3" t="str">
        <x:v>Not contacted / unconfirmed</x:v>
      </x:c>
      <x:c r="AE1266" s="3" t="str">
        <x:v>No</x:v>
      </x:c>
      <x:c r="AF1266" s="3" t="str">
        <x:v>No</x:v>
      </x:c>
      <x:c r="AG1266" s="3"/>
      <x:c r="AH1266" s="3"/>
      <x:c r="AI1266" s="18"/>
      <x:c r="AJ1266" s="3" t="str">
        <x:v>CF2500-3042ECEFD796</x:v>
      </x:c>
      <x:c r="AK1266" s="3" t="str">
        <x:v>real_estate_operator</x:v>
      </x:c>
      <x:c r="AL1266" s="19" t="n">
        <x:v>100000</x:v>
      </x:c>
      <x:c r="AM1266" s="19" t="n">
        <x:v>500000</x:v>
      </x:c>
      <x:c r="AN1266" s="3" t="str">
        <x:v>https://www.cashhomebuyersdirectory.com/cash-home-buyers/new-hampshire/manchester</x:v>
      </x:c>
      <x:c r="AO1266" s="3" t="str">
        <x:v>national_rest_directory_complete.jsonl</x:v>
      </x:c>
      <x:c r="AP1266" s="19"/>
    </x:row>
    <x:row r="1267" ht="36" customHeight="1">
      <x:c r="A1267" s="23" t="n">
        <x:v>1266</x:v>
      </x:c>
      <x:c r="B1267" s="15" t="str">
        <x:v>Sell My House Fast Ohio | As Is Cash Home Buyers Akron</x:v>
      </x:c>
      <x:c r="C1267" s="15"/>
      <x:c r="D1267" s="15" t="str">
        <x:v>Property investor / home-buying operator</x:v>
      </x:c>
      <x:c r="E1267" s="15" t="str">
        <x:v>Property investor / operator inquiry</x:v>
      </x:c>
      <x:c r="F1267" s="17" t="str">
        <x:v>New</x:v>
      </x:c>
      <x:c r="G1267" s="24"/>
      <x:c r="H1267" s="24" t="str">
        <x:v>+13305879989</x:v>
      </x:c>
      <x:c r="I1267" s="24" t="str">
        <x:v>https://sellmyhousefastoh.com/as-is-cash-home-buyers-akron-ohio/</x:v>
      </x:c>
      <x:c r="J1267" s="16" t="str">
        <x:v>OH</x:v>
      </x:c>
      <x:c r="K1267" s="16" t="str">
        <x:v>Akron</x:v>
      </x:c>
      <x:c r="L1267" s="16" t="str">
        <x:v>Public property-business route; investor decision maker unconfirmed</x:v>
      </x:c>
      <x:c r="M1267" s="16" t="str">
        <x:v>https://sellmyhousefastoh.com/as-is-cash-home-buyers-akron-ohio/</x:v>
      </x:c>
      <x:c r="N1267" s="16" t="str">
        <x:v>$100K-$500K ticket not published / unconfirmed</x:v>
      </x:c>
      <x:c r="O1267" s="20"/>
      <x:c r="P1267" s="20"/>
      <x:c r="Q1267" s="25" t="str">
        <x:v>No direct corporate-capital range established in checked source</x:v>
      </x:c>
      <x:c r="R1267" s="25" t="str">
        <x:v>Property acquisition or investor activity makes this an operator-capital prospect for the signed trial. Confirm operating-company debt/equity appetite.</x:v>
      </x:c>
      <x:c r="S1267" s="25"/>
      <x:c r="T1267" s="25" t="str">
        <x:v>Ask the owner/investor whether they can allocate $100K-$500K to trial marketing and acquisitions, and confirm structure, timing and decision authority.</x:v>
      </x:c>
      <x:c r="U1267" s="25" t="str">
        <x:v>https://www.cashhomebuyersdirectory.com/cash-home-buyers/ohio/akron
https://www.cashhomebuyersdirectory.com/cash-home-buyers/ohio/canton
https://www.cashhomebuyersdirectory.com/cash-home-buyers/ohio/cincinnati
https://www.cashhomebuyersdirectory.com/cash-home-buyers/ohio/cleveland
https://www.cashhomebuyersdirectory.com/cash-home-buyers/ohio/columbus
https://www.cashhomebuyersdirectory.com/cash-home-buyers/ohio/dublin
https://www.cashhomebuyersdirectory.com/cash-home-buyers/ohio/mansfield
https://www.cashhomebuyersdirectory.com/cash-home-buyers/ohio/springfield
https://www.cashhomebuyersdirectory.com/cash-home-buyers/ohio/toledo
https://www.cashhomebuyersdirectory.com/cash-home-buyers/ohio/youngstown</x:v>
      </x:c>
      <x:c r="V1267" s="26" t="d">
        <x:v>2026-10-02T00:00:00.000Z</x:v>
      </x:c>
      <x:c r="W1267" s="26" t="d">
        <x:v>2026-10-02T00:00:00.000Z</x:v>
      </x:c>
      <x:c r="X1267" s="25" t="str">
        <x:v>CashHomeBuyersDirectory third-party business listing; first-party business activity not checked in this batch</x:v>
      </x:c>
      <x:c r="Y1267" s="25"/>
      <x:c r="Z1267" s="25" t="str">
        <x:v>https://www.cashhomebuyersdirectory.com/cash-home-buyers/ohio/akron</x:v>
      </x:c>
      <x:c r="AA1267" s="25" t="str">
        <x:v>Public cash-home-buyer directory lists the business name, business phone/website where available and market. Operator role and corporate funding willingness require confirmation.</x:v>
      </x:c>
      <x:c r="AB1267" s="3" t="str">
        <x:v>New public-source collection</x:v>
      </x:c>
      <x:c r="AC1267" s="3" t="str">
        <x:v>unverified</x:v>
      </x:c>
      <x:c r="AD1267" s="3" t="str">
        <x:v>Not contacted / unconfirmed</x:v>
      </x:c>
      <x:c r="AE1267" s="3" t="str">
        <x:v>No</x:v>
      </x:c>
      <x:c r="AF1267" s="3" t="str">
        <x:v>No</x:v>
      </x:c>
      <x:c r="AG1267" s="3"/>
      <x:c r="AH1267" s="3" t="str">
        <x:v>Sell My House Fast Ohio | As Is Cash Home Buyers Canton; Sell My House Fast Ohio | As Is Cash Home Buyers Cincinnati; Sell My House Fast Ohio | As Is Cash Home Buyers Cleveland; Sell My House Fast Ohio | As Is Cash Home Buyers Columbus; Sell My House Fast Ohio | As Is Cash Home Buyers Dublin; Sell My House Fast Ohio | As Is Cash Home Buyers Mansfield; Sell My House Fast Ohio | As Is Cash Home Buyers Springfield; Sell My House Fast Ohio | As Is Cash Home Buyers Toledo; Sell My House Fast Ohio | As Is Cash Home Buyers Youngstown</x:v>
      </x:c>
      <x:c r="AI1267" s="18"/>
      <x:c r="AJ1267" s="3" t="str">
        <x:v>CF2500-381DC5A5E33D</x:v>
      </x:c>
      <x:c r="AK1267" s="3" t="str">
        <x:v>real_estate_operator</x:v>
      </x:c>
      <x:c r="AL1267" s="19" t="n">
        <x:v>100000</x:v>
      </x:c>
      <x:c r="AM1267" s="19" t="n">
        <x:v>500000</x:v>
      </x:c>
      <x:c r="AN1267" s="3" t="str">
        <x:v>https://www.cashhomebuyersdirectory.com/cash-home-buyers/ohio/akron</x:v>
      </x:c>
      <x:c r="AO1267" s="3" t="str">
        <x:v>national_rest_directory_complete.jsonl</x:v>
      </x:c>
      <x:c r="AP1267" s="19"/>
    </x:row>
    <x:row r="1268" ht="36" customHeight="1">
      <x:c r="A1268" s="23" t="n">
        <x:v>1267</x:v>
      </x:c>
      <x:c r="B1268" s="15" t="str">
        <x:v>Sell My House Fast Portland Oregon</x:v>
      </x:c>
      <x:c r="C1268" s="15"/>
      <x:c r="D1268" s="15" t="str">
        <x:v>Property investor / home-buying operator</x:v>
      </x:c>
      <x:c r="E1268" s="15" t="str">
        <x:v>Property investor / operator inquiry</x:v>
      </x:c>
      <x:c r="F1268" s="17" t="str">
        <x:v>New</x:v>
      </x:c>
      <x:c r="G1268" s="24"/>
      <x:c r="H1268" s="24" t="str">
        <x:v>+15038502565</x:v>
      </x:c>
      <x:c r="I1268" s="24" t="str">
        <x:v>https://sellmyhousefastportland.com/</x:v>
      </x:c>
      <x:c r="J1268" s="16" t="str">
        <x:v>OR</x:v>
      </x:c>
      <x:c r="K1268" s="16" t="str">
        <x:v>Portland</x:v>
      </x:c>
      <x:c r="L1268" s="16" t="str">
        <x:v>Public property-business route; investor decision maker unconfirmed</x:v>
      </x:c>
      <x:c r="M1268" s="16" t="str">
        <x:v>https://sellmyhousefastportland.com/</x:v>
      </x:c>
      <x:c r="N1268" s="16" t="str">
        <x:v>$100K-$500K ticket not published / unconfirmed</x:v>
      </x:c>
      <x:c r="O1268" s="20"/>
      <x:c r="P1268" s="20"/>
      <x:c r="Q1268" s="25" t="str">
        <x:v>No direct corporate-capital range established in checked source</x:v>
      </x:c>
      <x:c r="R1268" s="25" t="str">
        <x:v>Property acquisition or investor activity makes this an operator-capital prospect for the signed trial. Confirm operating-company debt/equity appetite.</x:v>
      </x:c>
      <x:c r="S1268" s="25"/>
      <x:c r="T1268" s="25" t="str">
        <x:v>Ask the owner/investor whether they can allocate $100K-$500K to trial marketing and acquisitions, and confirm structure, timing and decision authority.</x:v>
      </x:c>
      <x:c r="U1268" s="25" t="str">
        <x:v>https://www.cashhomebuyersdirectory.com/cash-home-buyers/oregon/portland</x:v>
      </x:c>
      <x:c r="V1268" s="26" t="d">
        <x:v>2026-10-02T00:00:00.000Z</x:v>
      </x:c>
      <x:c r="W1268" s="26" t="d">
        <x:v>2026-10-02T00:00:00.000Z</x:v>
      </x:c>
      <x:c r="X1268" s="25" t="str">
        <x:v>CashHomeBuyersDirectory third-party business listing; first-party business activity not checked in this batch</x:v>
      </x:c>
      <x:c r="Y1268" s="25"/>
      <x:c r="Z1268" s="25" t="str">
        <x:v>https://www.cashhomebuyersdirectory.com/cash-home-buyers/oregon/portland</x:v>
      </x:c>
      <x:c r="AA1268" s="25" t="str">
        <x:v>Public cash-home-buyer directory lists the business name, business phone/website where available and market. Operator role and corporate funding willingness require confirmation.</x:v>
      </x:c>
      <x:c r="AB1268" s="3" t="str">
        <x:v>New public-source collection</x:v>
      </x:c>
      <x:c r="AC1268" s="3" t="str">
        <x:v>unverified</x:v>
      </x:c>
      <x:c r="AD1268" s="3" t="str">
        <x:v>Not contacted / unconfirmed</x:v>
      </x:c>
      <x:c r="AE1268" s="3" t="str">
        <x:v>No</x:v>
      </x:c>
      <x:c r="AF1268" s="3" t="str">
        <x:v>No</x:v>
      </x:c>
      <x:c r="AG1268" s="3"/>
      <x:c r="AH1268" s="3"/>
      <x:c r="AI1268" s="18"/>
      <x:c r="AJ1268" s="3" t="str">
        <x:v>CF2500-165A0D34B860</x:v>
      </x:c>
      <x:c r="AK1268" s="3" t="str">
        <x:v>real_estate_operator</x:v>
      </x:c>
      <x:c r="AL1268" s="19" t="n">
        <x:v>100000</x:v>
      </x:c>
      <x:c r="AM1268" s="19" t="n">
        <x:v>500000</x:v>
      </x:c>
      <x:c r="AN1268" s="3" t="str">
        <x:v>https://www.cashhomebuyersdirectory.com/cash-home-buyers/oregon/portland</x:v>
      </x:c>
      <x:c r="AO1268" s="3" t="str">
        <x:v>national_rest_directory_complete.jsonl</x:v>
      </x:c>
      <x:c r="AP1268" s="19"/>
    </x:row>
    <x:row r="1269" ht="36" customHeight="1">
      <x:c r="A1269" s="23" t="n">
        <x:v>1268</x:v>
      </x:c>
      <x:c r="B1269" s="15" t="str">
        <x:v>Sell My House Fast Providence | As Is Cash Home Buyers East Providence</x:v>
      </x:c>
      <x:c r="C1269" s="15"/>
      <x:c r="D1269" s="15" t="str">
        <x:v>Property investor / home-buying operator</x:v>
      </x:c>
      <x:c r="E1269" s="15" t="str">
        <x:v>Property investor / operator inquiry</x:v>
      </x:c>
      <x:c r="F1269" s="17" t="str">
        <x:v>New</x:v>
      </x:c>
      <x:c r="G1269" s="24"/>
      <x:c r="H1269" s="24" t="str">
        <x:v>+14013884279</x:v>
      </x:c>
      <x:c r="I1269" s="24" t="str">
        <x:v>https://sellmyhousefastpvd.com/as-is-cash-home-buyers-east-providence-rhode-island/</x:v>
      </x:c>
      <x:c r="J1269" s="16" t="str">
        <x:v>RI</x:v>
      </x:c>
      <x:c r="K1269" s="16" t="str">
        <x:v>Providence</x:v>
      </x:c>
      <x:c r="L1269" s="16" t="str">
        <x:v>Public property-business route; investor decision maker unconfirmed</x:v>
      </x:c>
      <x:c r="M1269" s="16" t="str">
        <x:v>https://sellmyhousefastpvd.com/as-is-cash-home-buyers-east-providence-rhode-island/</x:v>
      </x:c>
      <x:c r="N1269" s="16" t="str">
        <x:v>$100K-$500K ticket not published / unconfirmed</x:v>
      </x:c>
      <x:c r="O1269" s="20"/>
      <x:c r="P1269" s="20"/>
      <x:c r="Q1269" s="25" t="str">
        <x:v>No direct corporate-capital range established in checked source</x:v>
      </x:c>
      <x:c r="R1269" s="25" t="str">
        <x:v>Property acquisition or investor activity makes this an operator-capital prospect for the signed trial. Confirm operating-company debt/equity appetite.</x:v>
      </x:c>
      <x:c r="S1269" s="25"/>
      <x:c r="T1269" s="25" t="str">
        <x:v>Ask the owner/investor whether they can allocate $100K-$500K to trial marketing and acquisitions, and confirm structure, timing and decision authority.</x:v>
      </x:c>
      <x:c r="U1269" s="25" t="str">
        <x:v>https://www.cashhomebuyersdirectory.com/cash-home-buyers/rhode-island/providence</x:v>
      </x:c>
      <x:c r="V1269" s="26" t="d">
        <x:v>2026-10-02T00:00:00.000Z</x:v>
      </x:c>
      <x:c r="W1269" s="26" t="d">
        <x:v>2026-10-02T00:00:00.000Z</x:v>
      </x:c>
      <x:c r="X1269" s="25" t="str">
        <x:v>CashHomeBuyersDirectory third-party business listing; first-party business activity not checked in this batch</x:v>
      </x:c>
      <x:c r="Y1269" s="25"/>
      <x:c r="Z1269" s="25" t="str">
        <x:v>https://www.cashhomebuyersdirectory.com/cash-home-buyers/rhode-island/providence</x:v>
      </x:c>
      <x:c r="AA1269" s="25" t="str">
        <x:v>Public cash-home-buyer directory lists the business name, business phone/website where available and market. Operator role and corporate funding willingness require confirmation.</x:v>
      </x:c>
      <x:c r="AB1269" s="3" t="str">
        <x:v>New public-source collection</x:v>
      </x:c>
      <x:c r="AC1269" s="3" t="str">
        <x:v>unverified</x:v>
      </x:c>
      <x:c r="AD1269" s="3" t="str">
        <x:v>Not contacted / unconfirmed</x:v>
      </x:c>
      <x:c r="AE1269" s="3" t="str">
        <x:v>No</x:v>
      </x:c>
      <x:c r="AF1269" s="3" t="str">
        <x:v>No</x:v>
      </x:c>
      <x:c r="AG1269" s="3"/>
      <x:c r="AH1269" s="3"/>
      <x:c r="AI1269" s="18"/>
      <x:c r="AJ1269" s="3" t="str">
        <x:v>CF2500-3D03F2736E87</x:v>
      </x:c>
      <x:c r="AK1269" s="3" t="str">
        <x:v>real_estate_operator</x:v>
      </x:c>
      <x:c r="AL1269" s="19" t="n">
        <x:v>100000</x:v>
      </x:c>
      <x:c r="AM1269" s="19" t="n">
        <x:v>500000</x:v>
      </x:c>
      <x:c r="AN1269" s="3" t="str">
        <x:v>https://www.cashhomebuyersdirectory.com/cash-home-buyers/rhode-island/providence</x:v>
      </x:c>
      <x:c r="AO1269" s="3" t="str">
        <x:v>national_rest_directory_complete.jsonl</x:v>
      </x:c>
      <x:c r="AP1269" s="19"/>
    </x:row>
    <x:row r="1270" ht="36" customHeight="1">
      <x:c r="A1270" s="23" t="n">
        <x:v>1269</x:v>
      </x:c>
      <x:c r="B1270" s="15" t="str">
        <x:v>Sell My House Fast Sacramento | InsightfulREI</x:v>
      </x:c>
      <x:c r="C1270" s="15"/>
      <x:c r="D1270" s="15" t="str">
        <x:v>Property investor / home-buying operator</x:v>
      </x:c>
      <x:c r="E1270" s="15" t="str">
        <x:v>Property investor / operator inquiry</x:v>
      </x:c>
      <x:c r="F1270" s="17" t="str">
        <x:v>New</x:v>
      </x:c>
      <x:c r="G1270" s="24"/>
      <x:c r="H1270" s="24" t="str">
        <x:v>+19165072502</x:v>
      </x:c>
      <x:c r="I1270" s="24" t="str">
        <x:v>https://www.insightfulreibuyhouses.com/</x:v>
      </x:c>
      <x:c r="J1270" s="16" t="str">
        <x:v>CA</x:v>
      </x:c>
      <x:c r="K1270" s="16" t="str">
        <x:v>Sacramento</x:v>
      </x:c>
      <x:c r="L1270" s="16" t="str">
        <x:v>Public property-business route; investor decision maker unconfirmed</x:v>
      </x:c>
      <x:c r="M1270" s="16" t="str">
        <x:v>https://www.insightfulreibuyhouses.com/</x:v>
      </x:c>
      <x:c r="N1270" s="16" t="str">
        <x:v>$100K-$500K ticket not published / unconfirmed</x:v>
      </x:c>
      <x:c r="O1270" s="20"/>
      <x:c r="P1270" s="20"/>
      <x:c r="Q1270" s="25" t="str">
        <x:v>No direct corporate-capital range established in checked source</x:v>
      </x:c>
      <x:c r="R1270" s="25" t="str">
        <x:v>Property acquisition or investor activity makes this an operator-capital prospect for the signed trial. Confirm operating-company debt/equity appetite.</x:v>
      </x:c>
      <x:c r="S1270" s="25"/>
      <x:c r="T1270" s="25" t="str">
        <x:v>Ask the owner/investor whether they can allocate $100K-$500K to trial marketing and acquisitions, and confirm structure, timing and decision authority.</x:v>
      </x:c>
      <x:c r="U1270" s="25" t="str">
        <x:v>https://www.cashhomebuyersdirectory.com/cash-home-buyers/california/sacramento</x:v>
      </x:c>
      <x:c r="V1270" s="26" t="d">
        <x:v>2026-10-02T00:00:00.000Z</x:v>
      </x:c>
      <x:c r="W1270" s="26" t="d">
        <x:v>2026-10-02T00:00:00.000Z</x:v>
      </x:c>
      <x:c r="X1270" s="25" t="str">
        <x:v>CashHomeBuyersDirectory third-party business listing; first-party business activity not checked in this batch</x:v>
      </x:c>
      <x:c r="Y1270" s="25"/>
      <x:c r="Z1270" s="25" t="str">
        <x:v>https://www.cashhomebuyersdirectory.com/cash-home-buyers/california/sacramento</x:v>
      </x:c>
      <x:c r="AA1270" s="25" t="str">
        <x:v>Public cash-home-buyer directory lists the business name, business phone/website where available and market. Operator role and corporate funding willingness require confirmation.</x:v>
      </x:c>
      <x:c r="AB1270" s="3" t="str">
        <x:v>New public-source collection</x:v>
      </x:c>
      <x:c r="AC1270" s="3" t="str">
        <x:v>unverified</x:v>
      </x:c>
      <x:c r="AD1270" s="3" t="str">
        <x:v>Not contacted / unconfirmed</x:v>
      </x:c>
      <x:c r="AE1270" s="3" t="str">
        <x:v>No</x:v>
      </x:c>
      <x:c r="AF1270" s="3" t="str">
        <x:v>No</x:v>
      </x:c>
      <x:c r="AG1270" s="3"/>
      <x:c r="AH1270" s="3"/>
      <x:c r="AI1270" s="18"/>
      <x:c r="AJ1270" s="3" t="str">
        <x:v>CF2500-1B47EAB9F4DB</x:v>
      </x:c>
      <x:c r="AK1270" s="3" t="str">
        <x:v>real_estate_operator</x:v>
      </x:c>
      <x:c r="AL1270" s="19" t="n">
        <x:v>100000</x:v>
      </x:c>
      <x:c r="AM1270" s="19" t="n">
        <x:v>500000</x:v>
      </x:c>
      <x:c r="AN1270" s="3" t="str">
        <x:v>https://www.cashhomebuyersdirectory.com/cash-home-buyers/california/sacramento</x:v>
      </x:c>
      <x:c r="AO1270" s="3" t="str">
        <x:v>national_rest_directory_complete.jsonl</x:v>
      </x:c>
      <x:c r="AP1270" s="19"/>
    </x:row>
    <x:row r="1271" ht="36" customHeight="1">
      <x:c r="A1271" s="23" t="n">
        <x:v>1270</x:v>
      </x:c>
      <x:c r="B1271" s="15" t="str">
        <x:v>Sell My House Fast Virginia | As Is Cash Home Buyers Chesapeake</x:v>
      </x:c>
      <x:c r="C1271" s="15"/>
      <x:c r="D1271" s="15" t="str">
        <x:v>Property investor / home-buying operator</x:v>
      </x:c>
      <x:c r="E1271" s="15" t="str">
        <x:v>Property investor / operator inquiry</x:v>
      </x:c>
      <x:c r="F1271" s="17" t="str">
        <x:v>New</x:v>
      </x:c>
      <x:c r="G1271" s="24"/>
      <x:c r="H1271" s="24" t="str">
        <x:v>+17576959399</x:v>
      </x:c>
      <x:c r="I1271" s="24" t="str">
        <x:v>https://sellmyhousefastva.com/as-is-cash-home-buyers-chesapeake-virginia/</x:v>
      </x:c>
      <x:c r="J1271" s="16" t="str">
        <x:v>VA</x:v>
      </x:c>
      <x:c r="K1271" s="16" t="str">
        <x:v>Chesapeake</x:v>
      </x:c>
      <x:c r="L1271" s="16" t="str">
        <x:v>Public property-business route; investor decision maker unconfirmed</x:v>
      </x:c>
      <x:c r="M1271" s="16" t="str">
        <x:v>https://sellmyhousefastva.com/as-is-cash-home-buyers-chesapeake-virginia/</x:v>
      </x:c>
      <x:c r="N1271" s="16" t="str">
        <x:v>$100K-$500K ticket not published / unconfirmed</x:v>
      </x:c>
      <x:c r="O1271" s="20"/>
      <x:c r="P1271" s="20"/>
      <x:c r="Q1271" s="25" t="str">
        <x:v>No direct corporate-capital range established in checked source</x:v>
      </x:c>
      <x:c r="R1271" s="25" t="str">
        <x:v>Property acquisition or investor activity makes this an operator-capital prospect for the signed trial. Confirm operating-company debt/equity appetite.</x:v>
      </x:c>
      <x:c r="S1271" s="25"/>
      <x:c r="T1271" s="25" t="str">
        <x:v>Ask the owner/investor whether they can allocate $100K-$500K to trial marketing and acquisitions, and confirm structure, timing and decision authority.</x:v>
      </x:c>
      <x:c r="U1271" s="25" t="str">
        <x:v>https://www.cashhomebuyersdirectory.com/cash-home-buyers/virginia/chesapeake
https://www.cashhomebuyersdirectory.com/cash-home-buyers/virginia/hampton
https://www.cashhomebuyersdirectory.com/cash-home-buyers/virginia/newport-news
https://www.cashhomebuyersdirectory.com/cash-home-buyers/virginia/richmond
https://www.cashhomebuyersdirectory.com/cash-home-buyers/virginia/roanoke
https://www.cashhomebuyersdirectory.com/cash-home-buyers/virginia/virginia-beach</x:v>
      </x:c>
      <x:c r="V1271" s="26" t="d">
        <x:v>2026-10-02T00:00:00.000Z</x:v>
      </x:c>
      <x:c r="W1271" s="26" t="d">
        <x:v>2026-10-02T00:00:00.000Z</x:v>
      </x:c>
      <x:c r="X1271" s="25" t="str">
        <x:v>CashHomeBuyersDirectory third-party business listing; first-party business activity not checked in this batch</x:v>
      </x:c>
      <x:c r="Y1271" s="25"/>
      <x:c r="Z1271" s="25" t="str">
        <x:v>https://www.cashhomebuyersdirectory.com/cash-home-buyers/virginia/chesapeake</x:v>
      </x:c>
      <x:c r="AA1271" s="25" t="str">
        <x:v>Public cash-home-buyer directory lists the business name, business phone/website where available and market. Operator role and corporate funding willingness require confirmation.</x:v>
      </x:c>
      <x:c r="AB1271" s="3" t="str">
        <x:v>New public-source collection</x:v>
      </x:c>
      <x:c r="AC1271" s="3" t="str">
        <x:v>unverified</x:v>
      </x:c>
      <x:c r="AD1271" s="3" t="str">
        <x:v>Not contacted / unconfirmed</x:v>
      </x:c>
      <x:c r="AE1271" s="3" t="str">
        <x:v>No</x:v>
      </x:c>
      <x:c r="AF1271" s="3" t="str">
        <x:v>No</x:v>
      </x:c>
      <x:c r="AG1271" s="3"/>
      <x:c r="AH1271" s="3" t="str">
        <x:v>Sell My House Fast Virginia | As Is Cash Home Buyers Hampton; Sell My House Fast Virginia | As Is Cash Home Buyers Newport News; Sell My House Fast Virginia | As Is Cash Home Buyers Richmond; Sell My House Fast Virginia | As Is Cash Home Buyers Roanoke; Sell My House Fast Virginia | As Is Cash Home Buyers Virginia Beach</x:v>
      </x:c>
      <x:c r="AI1271" s="18"/>
      <x:c r="AJ1271" s="3" t="str">
        <x:v>CF2500-A325A2841E48</x:v>
      </x:c>
      <x:c r="AK1271" s="3" t="str">
        <x:v>real_estate_operator</x:v>
      </x:c>
      <x:c r="AL1271" s="19" t="n">
        <x:v>100000</x:v>
      </x:c>
      <x:c r="AM1271" s="19" t="n">
        <x:v>500000</x:v>
      </x:c>
      <x:c r="AN1271" s="3" t="str">
        <x:v>https://www.cashhomebuyersdirectory.com/cash-home-buyers/virginia/chesapeake</x:v>
      </x:c>
      <x:c r="AO1271" s="3" t="str">
        <x:v>national_rest_directory_complete.jsonl</x:v>
      </x:c>
      <x:c r="AP1271" s="19"/>
    </x:row>
    <x:row r="1272" ht="36" customHeight="1">
      <x:c r="A1272" s="23" t="n">
        <x:v>1271</x:v>
      </x:c>
      <x:c r="B1272" s="15" t="str">
        <x:v>Sell My House Fast Wisconsin</x:v>
      </x:c>
      <x:c r="C1272" s="15"/>
      <x:c r="D1272" s="15" t="str">
        <x:v>Property investor / home-buying operator</x:v>
      </x:c>
      <x:c r="E1272" s="15" t="str">
        <x:v>Property investor / operator inquiry</x:v>
      </x:c>
      <x:c r="F1272" s="17" t="str">
        <x:v>New</x:v>
      </x:c>
      <x:c r="G1272" s="24"/>
      <x:c r="H1272" s="24" t="str">
        <x:v>+14142404299</x:v>
      </x:c>
      <x:c r="I1272" s="24" t="str">
        <x:v>https://sellmyhousefastinwisconsin.com/as-is-cash-home-buyers-milwaukee-wi/</x:v>
      </x:c>
      <x:c r="J1272" s="16" t="str">
        <x:v>WI</x:v>
      </x:c>
      <x:c r="K1272" s="16" t="str">
        <x:v>Milwaukee</x:v>
      </x:c>
      <x:c r="L1272" s="16" t="str">
        <x:v>Public property-business route; investor decision maker unconfirmed</x:v>
      </x:c>
      <x:c r="M1272" s="16" t="str">
        <x:v>https://sellmyhousefastinwisconsin.com/as-is-cash-home-buyers-milwaukee-wi/</x:v>
      </x:c>
      <x:c r="N1272" s="16" t="str">
        <x:v>$100K-$500K ticket not published / unconfirmed</x:v>
      </x:c>
      <x:c r="O1272" s="20"/>
      <x:c r="P1272" s="20"/>
      <x:c r="Q1272" s="25" t="str">
        <x:v>No direct corporate-capital range established in checked source</x:v>
      </x:c>
      <x:c r="R1272" s="25" t="str">
        <x:v>Property acquisition or investor activity makes this an operator-capital prospect for the signed trial. Confirm operating-company debt/equity appetite.</x:v>
      </x:c>
      <x:c r="S1272" s="25"/>
      <x:c r="T1272" s="25" t="str">
        <x:v>Ask the owner/investor whether they can allocate $100K-$500K to trial marketing and acquisitions, and confirm structure, timing and decision authority.</x:v>
      </x:c>
      <x:c r="U1272" s="25" t="str">
        <x:v>https://www.cashhomebuyersdirectory.com/cash-home-buyers/wisconsin/milwaukee
https://www.cashhomebuyersdirectory.com/cash-home-buyers/wisconsin/madison</x:v>
      </x:c>
      <x:c r="V1272" s="26" t="d">
        <x:v>2026-10-02T00:00:00.000Z</x:v>
      </x:c>
      <x:c r="W1272" s="26" t="d">
        <x:v>2026-10-02T00:00:00.000Z</x:v>
      </x:c>
      <x:c r="X1272" s="25" t="str">
        <x:v>CashHomeBuyersDirectory third-party business listing; first-party business activity not checked in this batch</x:v>
      </x:c>
      <x:c r="Y1272" s="25"/>
      <x:c r="Z1272" s="25" t="str">
        <x:v>https://www.cashhomebuyersdirectory.com/cash-home-buyers/wisconsin/milwaukee</x:v>
      </x:c>
      <x:c r="AA1272" s="25" t="str">
        <x:v>Public cash-home-buyer directory lists the business name, business phone/website where available and market. Operator role and corporate funding willingness require confirmation.</x:v>
      </x:c>
      <x:c r="AB1272" s="3" t="str">
        <x:v>New public-source collection</x:v>
      </x:c>
      <x:c r="AC1272" s="3" t="str">
        <x:v>unverified</x:v>
      </x:c>
      <x:c r="AD1272" s="3" t="str">
        <x:v>Not contacted / unconfirmed</x:v>
      </x:c>
      <x:c r="AE1272" s="3" t="str">
        <x:v>No</x:v>
      </x:c>
      <x:c r="AF1272" s="3" t="str">
        <x:v>No</x:v>
      </x:c>
      <x:c r="AG1272" s="3"/>
      <x:c r="AH1272" s="3" t="str">
        <x:v>Sell My House Fast Wisconsin | As Is Cash Home Buyers Madison</x:v>
      </x:c>
      <x:c r="AI1272" s="18"/>
      <x:c r="AJ1272" s="3" t="str">
        <x:v>CF2500-5B45BD9F6781</x:v>
      </x:c>
      <x:c r="AK1272" s="3" t="str">
        <x:v>real_estate_operator</x:v>
      </x:c>
      <x:c r="AL1272" s="19" t="n">
        <x:v>100000</x:v>
      </x:c>
      <x:c r="AM1272" s="19" t="n">
        <x:v>500000</x:v>
      </x:c>
      <x:c r="AN1272" s="3" t="str">
        <x:v>https://www.cashhomebuyersdirectory.com/cash-home-buyers/wisconsin/milwaukee</x:v>
      </x:c>
      <x:c r="AO1272" s="3" t="str">
        <x:v>national_rest_directory_complete.jsonl</x:v>
      </x:c>
      <x:c r="AP1272" s="19"/>
    </x:row>
    <x:row r="1273" ht="36" customHeight="1">
      <x:c r="A1273" s="23" t="n">
        <x:v>1272</x:v>
      </x:c>
      <x:c r="B1273" s="15" t="str">
        <x:v>Sell My House Idaho</x:v>
      </x:c>
      <x:c r="C1273" s="15"/>
      <x:c r="D1273" s="15" t="str">
        <x:v>Property investor / home-buying operator</x:v>
      </x:c>
      <x:c r="E1273" s="15" t="str">
        <x:v>Property investor / operator inquiry</x:v>
      </x:c>
      <x:c r="F1273" s="17" t="str">
        <x:v>New</x:v>
      </x:c>
      <x:c r="G1273" s="24"/>
      <x:c r="H1273" s="24" t="str">
        <x:v>+12082062772</x:v>
      </x:c>
      <x:c r="I1273" s="24" t="str">
        <x:v>https://www.sellmyhousefastid.com/</x:v>
      </x:c>
      <x:c r="J1273" s="16" t="str">
        <x:v>ID</x:v>
      </x:c>
      <x:c r="K1273" s="16"/>
      <x:c r="L1273" s="16" t="str">
        <x:v>Public property-business route; investor decision maker unconfirmed</x:v>
      </x:c>
      <x:c r="M1273" s="16" t="str">
        <x:v>https://www.sellmyhousefastid.com/</x:v>
      </x:c>
      <x:c r="N1273" s="16" t="str">
        <x:v>$100K-$500K ticket not published / unconfirmed</x:v>
      </x:c>
      <x:c r="O1273" s="20"/>
      <x:c r="P1273" s="20"/>
      <x:c r="Q1273" s="25" t="str">
        <x:v>No direct corporate-capital range established in checked source</x:v>
      </x:c>
      <x:c r="R1273" s="25" t="str">
        <x:v>Property acquisition or investor activity makes this an operator-capital prospect for the signed trial. Confirm operating-company debt/equity appetite.</x:v>
      </x:c>
      <x:c r="S1273" s="25"/>
      <x:c r="T1273" s="25" t="str">
        <x:v>Ask the owner/investor whether they can allocate $100K-$500K to trial marketing and acquisitions, and confirm structure, timing and decision authority.</x:v>
      </x:c>
      <x:c r="U1273" s="25" t="str">
        <x:v>https://www.cashhomebuyersdirectory.com/cash-home-buyers/idaho/boise</x:v>
      </x:c>
      <x:c r="V1273" s="26" t="d">
        <x:v>2026-10-02T00:00:00.000Z</x:v>
      </x:c>
      <x:c r="W1273" s="26" t="d">
        <x:v>2026-10-02T00:00:00.000Z</x:v>
      </x:c>
      <x:c r="X1273" s="25" t="str">
        <x:v>CashHomeBuyersDirectory third-party business listing; first-party business activity not checked in this batch</x:v>
      </x:c>
      <x:c r="Y1273" s="25"/>
      <x:c r="Z1273" s="25" t="str">
        <x:v>https://www.cashhomebuyersdirectory.com/cash-home-buyers/idaho/boise</x:v>
      </x:c>
      <x:c r="AA1273" s="25" t="str">
        <x:v>Public cash-home-buyer directory lists the business name, business phone/website where available and market. Operator role and corporate funding willingness require confirmation.</x:v>
      </x:c>
      <x:c r="AB1273" s="3" t="str">
        <x:v>New public-source collection</x:v>
      </x:c>
      <x:c r="AC1273" s="3" t="str">
        <x:v>unverified</x:v>
      </x:c>
      <x:c r="AD1273" s="3" t="str">
        <x:v>Not contacted / unconfirmed</x:v>
      </x:c>
      <x:c r="AE1273" s="3" t="str">
        <x:v>No</x:v>
      </x:c>
      <x:c r="AF1273" s="3" t="str">
        <x:v>No</x:v>
      </x:c>
      <x:c r="AG1273" s="3"/>
      <x:c r="AH1273" s="3"/>
      <x:c r="AI1273" s="18"/>
      <x:c r="AJ1273" s="3" t="str">
        <x:v>CF2500-590FF8D23A30</x:v>
      </x:c>
      <x:c r="AK1273" s="3" t="str">
        <x:v>real_estate_operator</x:v>
      </x:c>
      <x:c r="AL1273" s="19" t="n">
        <x:v>100000</x:v>
      </x:c>
      <x:c r="AM1273" s="19" t="n">
        <x:v>500000</x:v>
      </x:c>
      <x:c r="AN1273" s="3" t="str">
        <x:v>https://www.cashhomebuyersdirectory.com/cash-home-buyers/idaho/boise</x:v>
      </x:c>
      <x:c r="AO1273" s="3" t="str">
        <x:v>national_rest_directory_complete.jsonl</x:v>
      </x:c>
      <x:c r="AP1273" s="19"/>
    </x:row>
    <x:row r="1274" ht="36" customHeight="1">
      <x:c r="A1274" s="23" t="n">
        <x:v>1273</x:v>
      </x:c>
      <x:c r="B1274" s="15" t="str">
        <x:v>Sell My House Maine</x:v>
      </x:c>
      <x:c r="C1274" s="15"/>
      <x:c r="D1274" s="15" t="str">
        <x:v>Property investor / home-buying operator</x:v>
      </x:c>
      <x:c r="E1274" s="15" t="str">
        <x:v>Property investor / operator inquiry</x:v>
      </x:c>
      <x:c r="F1274" s="17" t="str">
        <x:v>New</x:v>
      </x:c>
      <x:c r="G1274" s="24"/>
      <x:c r="H1274" s="24" t="str">
        <x:v>+12074368207</x:v>
      </x:c>
      <x:c r="I1274" s="24" t="str">
        <x:v>https://www.sellmyhousemaine.com/</x:v>
      </x:c>
      <x:c r="J1274" s="16" t="str">
        <x:v>ME</x:v>
      </x:c>
      <x:c r="K1274" s="16"/>
      <x:c r="L1274" s="16" t="str">
        <x:v>Public property-business route; investor decision maker unconfirmed</x:v>
      </x:c>
      <x:c r="M1274" s="16" t="str">
        <x:v>https://www.sellmyhousemaine.com/</x:v>
      </x:c>
      <x:c r="N1274" s="16" t="str">
        <x:v>$100K-$500K ticket not published / unconfirmed</x:v>
      </x:c>
      <x:c r="O1274" s="20"/>
      <x:c r="P1274" s="20"/>
      <x:c r="Q1274" s="25" t="str">
        <x:v>No direct corporate-capital range established in checked source</x:v>
      </x:c>
      <x:c r="R1274" s="25" t="str">
        <x:v>Property acquisition or investor activity makes this an operator-capital prospect for the signed trial. Confirm operating-company debt/equity appetite.</x:v>
      </x:c>
      <x:c r="S1274" s="25"/>
      <x:c r="T1274" s="25" t="str">
        <x:v>Ask the owner/investor whether they can allocate $100K-$500K to trial marketing and acquisitions, and confirm structure, timing and decision authority.</x:v>
      </x:c>
      <x:c r="U1274" s="25" t="str">
        <x:v>https://www.cashhomebuyersdirectory.com/cash-home-buyers/maine/portland</x:v>
      </x:c>
      <x:c r="V1274" s="26" t="d">
        <x:v>2026-10-02T00:00:00.000Z</x:v>
      </x:c>
      <x:c r="W1274" s="26" t="d">
        <x:v>2026-10-02T00:00:00.000Z</x:v>
      </x:c>
      <x:c r="X1274" s="25" t="str">
        <x:v>CashHomeBuyersDirectory third-party business listing; first-party business activity not checked in this batch</x:v>
      </x:c>
      <x:c r="Y1274" s="25"/>
      <x:c r="Z1274" s="25" t="str">
        <x:v>https://www.cashhomebuyersdirectory.com/cash-home-buyers/maine/portland</x:v>
      </x:c>
      <x:c r="AA1274" s="25" t="str">
        <x:v>Public cash-home-buyer directory lists the business name, business phone/website where available and market. Operator role and corporate funding willingness require confirmation.</x:v>
      </x:c>
      <x:c r="AB1274" s="3" t="str">
        <x:v>New public-source collection</x:v>
      </x:c>
      <x:c r="AC1274" s="3" t="str">
        <x:v>unverified</x:v>
      </x:c>
      <x:c r="AD1274" s="3" t="str">
        <x:v>Not contacted / unconfirmed</x:v>
      </x:c>
      <x:c r="AE1274" s="3" t="str">
        <x:v>No</x:v>
      </x:c>
      <x:c r="AF1274" s="3" t="str">
        <x:v>No</x:v>
      </x:c>
      <x:c r="AG1274" s="3"/>
      <x:c r="AH1274" s="3"/>
      <x:c r="AI1274" s="18"/>
      <x:c r="AJ1274" s="3" t="str">
        <x:v>CF2500-1E463261281D</x:v>
      </x:c>
      <x:c r="AK1274" s="3" t="str">
        <x:v>real_estate_operator</x:v>
      </x:c>
      <x:c r="AL1274" s="19" t="n">
        <x:v>100000</x:v>
      </x:c>
      <x:c r="AM1274" s="19" t="n">
        <x:v>500000</x:v>
      </x:c>
      <x:c r="AN1274" s="3" t="str">
        <x:v>https://www.cashhomebuyersdirectory.com/cash-home-buyers/maine/portland</x:v>
      </x:c>
      <x:c r="AO1274" s="3" t="str">
        <x:v>national_rest_directory_complete.jsonl</x:v>
      </x:c>
      <x:c r="AP1274" s="19"/>
    </x:row>
    <x:row r="1275" ht="36" customHeight="1">
      <x:c r="A1275" s="23" t="n">
        <x:v>1274</x:v>
      </x:c>
      <x:c r="B1275" s="15" t="str">
        <x:v>Sell My House NM</x:v>
      </x:c>
      <x:c r="C1275" s="15"/>
      <x:c r="D1275" s="15" t="str">
        <x:v>Property investor / home-buying operator</x:v>
      </x:c>
      <x:c r="E1275" s="15" t="str">
        <x:v>Property investor / operator inquiry</x:v>
      </x:c>
      <x:c r="F1275" s="17" t="str">
        <x:v>New</x:v>
      </x:c>
      <x:c r="G1275" s="24"/>
      <x:c r="H1275" s="24" t="str">
        <x:v>+15055327171</x:v>
      </x:c>
      <x:c r="I1275" s="24" t="str">
        <x:v>https://www.sellmyhousenm.com/?utm_source=google&amp;utm_medium=organic&amp;utm_campaign=gbp</x:v>
      </x:c>
      <x:c r="J1275" s="16" t="str">
        <x:v>NM</x:v>
      </x:c>
      <x:c r="K1275" s="16" t="str">
        <x:v>Albuquerque</x:v>
      </x:c>
      <x:c r="L1275" s="16" t="str">
        <x:v>Public property-business route; investor decision maker unconfirmed</x:v>
      </x:c>
      <x:c r="M1275" s="16" t="str">
        <x:v>https://www.sellmyhousenm.com/?utm_source=google&amp;utm_medium=organic&amp;utm_campaign=gbp</x:v>
      </x:c>
      <x:c r="N1275" s="16" t="str">
        <x:v>$100K-$500K ticket not published / unconfirmed</x:v>
      </x:c>
      <x:c r="O1275" s="20"/>
      <x:c r="P1275" s="20"/>
      <x:c r="Q1275" s="25" t="str">
        <x:v>No direct corporate-capital range established in checked source</x:v>
      </x:c>
      <x:c r="R1275" s="25" t="str">
        <x:v>Property acquisition or investor activity makes this an operator-capital prospect for the signed trial. Confirm operating-company debt/equity appetite.</x:v>
      </x:c>
      <x:c r="S1275" s="25"/>
      <x:c r="T1275" s="25" t="str">
        <x:v>Ask the owner/investor whether they can allocate $100K-$500K to trial marketing and acquisitions, and confirm structure, timing and decision authority.</x:v>
      </x:c>
      <x:c r="U1275" s="25" t="str">
        <x:v>https://www.cashhomebuyersdirectory.com/cash-home-buyers/new-mexico/albuquerque</x:v>
      </x:c>
      <x:c r="V1275" s="26" t="d">
        <x:v>2026-10-02T00:00:00.000Z</x:v>
      </x:c>
      <x:c r="W1275" s="26" t="d">
        <x:v>2026-10-02T00:00:00.000Z</x:v>
      </x:c>
      <x:c r="X1275" s="25" t="str">
        <x:v>CashHomeBuyersDirectory third-party business listing; first-party business activity not checked in this batch</x:v>
      </x:c>
      <x:c r="Y1275" s="25"/>
      <x:c r="Z1275" s="25" t="str">
        <x:v>https://www.cashhomebuyersdirectory.com/cash-home-buyers/new-mexico/albuquerque</x:v>
      </x:c>
      <x:c r="AA1275" s="25" t="str">
        <x:v>Public cash-home-buyer directory lists the business name, business phone/website where available and market. Operator role and corporate funding willingness require confirmation.</x:v>
      </x:c>
      <x:c r="AB1275" s="3" t="str">
        <x:v>New public-source collection</x:v>
      </x:c>
      <x:c r="AC1275" s="3" t="str">
        <x:v>unverified</x:v>
      </x:c>
      <x:c r="AD1275" s="3" t="str">
        <x:v>Not contacted / unconfirmed</x:v>
      </x:c>
      <x:c r="AE1275" s="3" t="str">
        <x:v>No</x:v>
      </x:c>
      <x:c r="AF1275" s="3" t="str">
        <x:v>No</x:v>
      </x:c>
      <x:c r="AG1275" s="3"/>
      <x:c r="AH1275" s="3"/>
      <x:c r="AI1275" s="18"/>
      <x:c r="AJ1275" s="3" t="str">
        <x:v>CF2500-F1B069769B9E</x:v>
      </x:c>
      <x:c r="AK1275" s="3" t="str">
        <x:v>real_estate_operator</x:v>
      </x:c>
      <x:c r="AL1275" s="19" t="n">
        <x:v>100000</x:v>
      </x:c>
      <x:c r="AM1275" s="19" t="n">
        <x:v>500000</x:v>
      </x:c>
      <x:c r="AN1275" s="3" t="str">
        <x:v>https://www.cashhomebuyersdirectory.com/cash-home-buyers/new-mexico/albuquerque</x:v>
      </x:c>
      <x:c r="AO1275" s="3" t="str">
        <x:v>national_rest_directory_complete.jsonl</x:v>
      </x:c>
      <x:c r="AP1275" s="19"/>
    </x:row>
    <x:row r="1276" ht="36" customHeight="1">
      <x:c r="A1276" s="23" t="n">
        <x:v>1275</x:v>
      </x:c>
      <x:c r="B1276" s="15" t="str">
        <x:v>Sell My House Now</x:v>
      </x:c>
      <x:c r="C1276" s="15"/>
      <x:c r="D1276" s="15" t="str">
        <x:v>Property investor / home-buying operator</x:v>
      </x:c>
      <x:c r="E1276" s="15" t="str">
        <x:v>Property investor / operator inquiry</x:v>
      </x:c>
      <x:c r="F1276" s="17" t="str">
        <x:v>New</x:v>
      </x:c>
      <x:c r="G1276" s="24"/>
      <x:c r="H1276" s="24" t="str">
        <x:v>+14104413485</x:v>
      </x:c>
      <x:c r="I1276" s="24" t="str">
        <x:v>https://sellmyhousenowmd.com/?utm_source=google&amp;utm_medium=organic&amp;utm_content=main_button&amp;utm_campaign=gmb</x:v>
      </x:c>
      <x:c r="J1276" s="16" t="str">
        <x:v>MD</x:v>
      </x:c>
      <x:c r="K1276" s="16" t="str">
        <x:v>Baltimore</x:v>
      </x:c>
      <x:c r="L1276" s="16" t="str">
        <x:v>Public property-business route; investor decision maker unconfirmed</x:v>
      </x:c>
      <x:c r="M1276" s="16" t="str">
        <x:v>https://sellmyhousenowmd.com/?utm_source=google&amp;utm_medium=organic&amp;utm_content=main_button&amp;utm_campaign=gmb</x:v>
      </x:c>
      <x:c r="N1276" s="16" t="str">
        <x:v>$100K-$500K ticket not published / unconfirmed</x:v>
      </x:c>
      <x:c r="O1276" s="20"/>
      <x:c r="P1276" s="20"/>
      <x:c r="Q1276" s="25" t="str">
        <x:v>No direct corporate-capital range established in checked source</x:v>
      </x:c>
      <x:c r="R1276" s="25" t="str">
        <x:v>Property acquisition or investor activity makes this an operator-capital prospect for the signed trial. Confirm operating-company debt/equity appetite.</x:v>
      </x:c>
      <x:c r="S1276" s="25"/>
      <x:c r="T1276" s="25" t="str">
        <x:v>Ask the owner/investor whether they can allocate $100K-$500K to trial marketing and acquisitions, and confirm structure, timing and decision authority.</x:v>
      </x:c>
      <x:c r="U1276" s="25" t="str">
        <x:v>https://www.cashhomebuyersdirectory.com/cash-home-buyers/maryland/baltimore</x:v>
      </x:c>
      <x:c r="V1276" s="26" t="d">
        <x:v>2026-10-02T00:00:00.000Z</x:v>
      </x:c>
      <x:c r="W1276" s="26" t="d">
        <x:v>2026-10-02T00:00:00.000Z</x:v>
      </x:c>
      <x:c r="X1276" s="25" t="str">
        <x:v>CashHomeBuyersDirectory third-party business listing; first-party business activity not checked in this batch</x:v>
      </x:c>
      <x:c r="Y1276" s="25"/>
      <x:c r="Z1276" s="25" t="str">
        <x:v>https://www.cashhomebuyersdirectory.com/cash-home-buyers/maryland/baltimore</x:v>
      </x:c>
      <x:c r="AA1276" s="25" t="str">
        <x:v>Public cash-home-buyer directory lists the business name, business phone/website where available and market. Operator role and corporate funding willingness require confirmation.</x:v>
      </x:c>
      <x:c r="AB1276" s="3" t="str">
        <x:v>New public-source collection</x:v>
      </x:c>
      <x:c r="AC1276" s="3" t="str">
        <x:v>unverified</x:v>
      </x:c>
      <x:c r="AD1276" s="3" t="str">
        <x:v>Not contacted / unconfirmed</x:v>
      </x:c>
      <x:c r="AE1276" s="3" t="str">
        <x:v>No</x:v>
      </x:c>
      <x:c r="AF1276" s="3" t="str">
        <x:v>No</x:v>
      </x:c>
      <x:c r="AG1276" s="3"/>
      <x:c r="AH1276" s="3"/>
      <x:c r="AI1276" s="18"/>
      <x:c r="AJ1276" s="3" t="str">
        <x:v>CF2500-B16A8BE152F5</x:v>
      </x:c>
      <x:c r="AK1276" s="3" t="str">
        <x:v>real_estate_operator</x:v>
      </x:c>
      <x:c r="AL1276" s="19" t="n">
        <x:v>100000</x:v>
      </x:c>
      <x:c r="AM1276" s="19" t="n">
        <x:v>500000</x:v>
      </x:c>
      <x:c r="AN1276" s="3" t="str">
        <x:v>https://www.cashhomebuyersdirectory.com/cash-home-buyers/maryland/baltimore</x:v>
      </x:c>
      <x:c r="AO1276" s="3" t="str">
        <x:v>national_rest_directory_complete.jsonl</x:v>
      </x:c>
      <x:c r="AP1276" s="19"/>
    </x:row>
    <x:row r="1277" ht="36" customHeight="1">
      <x:c r="A1277" s="23" t="n">
        <x:v>1276</x:v>
      </x:c>
      <x:c r="B1277" s="15" t="str">
        <x:v>Sell My House Now SD</x:v>
      </x:c>
      <x:c r="C1277" s="15"/>
      <x:c r="D1277" s="15" t="str">
        <x:v>Property investor / home-buying operator</x:v>
      </x:c>
      <x:c r="E1277" s="15" t="str">
        <x:v>Property investor / operator inquiry</x:v>
      </x:c>
      <x:c r="F1277" s="17" t="str">
        <x:v>New</x:v>
      </x:c>
      <x:c r="G1277" s="24"/>
      <x:c r="H1277" s="24" t="str">
        <x:v>+16194391349</x:v>
      </x:c>
      <x:c r="I1277" s="24" t="str">
        <x:v>https://www.sellmyhousenowsd.com/</x:v>
      </x:c>
      <x:c r="J1277" s="16" t="str">
        <x:v>CA</x:v>
      </x:c>
      <x:c r="K1277" s="16"/>
      <x:c r="L1277" s="16" t="str">
        <x:v>Public property-business route; investor decision maker unconfirmed</x:v>
      </x:c>
      <x:c r="M1277" s="16" t="str">
        <x:v>https://www.sellmyhousenowsd.com/</x:v>
      </x:c>
      <x:c r="N1277" s="16" t="str">
        <x:v>$100K-$500K ticket not published / unconfirmed</x:v>
      </x:c>
      <x:c r="O1277" s="20"/>
      <x:c r="P1277" s="20"/>
      <x:c r="Q1277" s="25" t="str">
        <x:v>No direct corporate-capital range established in checked source</x:v>
      </x:c>
      <x:c r="R1277" s="25" t="str">
        <x:v>Property acquisition or investor activity makes this an operator-capital prospect for the signed trial. Confirm operating-company debt/equity appetite.</x:v>
      </x:c>
      <x:c r="S1277" s="25"/>
      <x:c r="T1277" s="25" t="str">
        <x:v>Ask the owner/investor whether they can allocate $100K-$500K to trial marketing and acquisitions, and confirm structure, timing and decision authority.</x:v>
      </x:c>
      <x:c r="U1277" s="25" t="str">
        <x:v>https://www.cashhomebuyersdirectory.com/cash-home-buyers/california/san-diego</x:v>
      </x:c>
      <x:c r="V1277" s="26" t="d">
        <x:v>2026-10-02T00:00:00.000Z</x:v>
      </x:c>
      <x:c r="W1277" s="26" t="d">
        <x:v>2026-10-02T00:00:00.000Z</x:v>
      </x:c>
      <x:c r="X1277" s="25" t="str">
        <x:v>CashHomeBuyersDirectory third-party business listing; first-party business activity not checked in this batch</x:v>
      </x:c>
      <x:c r="Y1277" s="25"/>
      <x:c r="Z1277" s="25" t="str">
        <x:v>https://www.cashhomebuyersdirectory.com/cash-home-buyers/california/san-diego</x:v>
      </x:c>
      <x:c r="AA1277" s="25" t="str">
        <x:v>Public cash-home-buyer directory lists the business name, business phone/website where available and market. Operator role and corporate funding willingness require confirmation.</x:v>
      </x:c>
      <x:c r="AB1277" s="3" t="str">
        <x:v>New public-source collection</x:v>
      </x:c>
      <x:c r="AC1277" s="3" t="str">
        <x:v>unverified</x:v>
      </x:c>
      <x:c r="AD1277" s="3" t="str">
        <x:v>Not contacted / unconfirmed</x:v>
      </x:c>
      <x:c r="AE1277" s="3" t="str">
        <x:v>No</x:v>
      </x:c>
      <x:c r="AF1277" s="3" t="str">
        <x:v>No</x:v>
      </x:c>
      <x:c r="AG1277" s="3"/>
      <x:c r="AH1277" s="3"/>
      <x:c r="AI1277" s="18"/>
      <x:c r="AJ1277" s="3" t="str">
        <x:v>CF2500-137309073D74</x:v>
      </x:c>
      <x:c r="AK1277" s="3" t="str">
        <x:v>real_estate_operator</x:v>
      </x:c>
      <x:c r="AL1277" s="19" t="n">
        <x:v>100000</x:v>
      </x:c>
      <x:c r="AM1277" s="19" t="n">
        <x:v>500000</x:v>
      </x:c>
      <x:c r="AN1277" s="3" t="str">
        <x:v>https://www.cashhomebuyersdirectory.com/cash-home-buyers/california/san-diego</x:v>
      </x:c>
      <x:c r="AO1277" s="3" t="str">
        <x:v>national_rest_directory_complete.jsonl</x:v>
      </x:c>
      <x:c r="AP1277" s="19"/>
    </x:row>
    <x:row r="1278" ht="36" customHeight="1">
      <x:c r="A1278" s="23" t="n">
        <x:v>1277</x:v>
      </x:c>
      <x:c r="B1278" s="15" t="str">
        <x:v>Sell My House Pro</x:v>
      </x:c>
      <x:c r="C1278" s="15"/>
      <x:c r="D1278" s="15" t="str">
        <x:v>Property investor / home-buying operator</x:v>
      </x:c>
      <x:c r="E1278" s="15" t="str">
        <x:v>Property investor / operator inquiry</x:v>
      </x:c>
      <x:c r="F1278" s="17" t="str">
        <x:v>New</x:v>
      </x:c>
      <x:c r="G1278" s="24"/>
      <x:c r="H1278" s="24" t="str">
        <x:v>+18778003187</x:v>
      </x:c>
      <x:c r="I1278" s="24" t="str">
        <x:v>https://sellmyhousepro.com/</x:v>
      </x:c>
      <x:c r="J1278" s="16" t="str">
        <x:v>NV</x:v>
      </x:c>
      <x:c r="K1278" s="16" t="str">
        <x:v>Henderson</x:v>
      </x:c>
      <x:c r="L1278" s="16" t="str">
        <x:v>Public property-business route; investor decision maker unconfirmed</x:v>
      </x:c>
      <x:c r="M1278" s="16" t="str">
        <x:v>https://sellmyhousepro.com/</x:v>
      </x:c>
      <x:c r="N1278" s="16" t="str">
        <x:v>$100K-$500K ticket not published / unconfirmed</x:v>
      </x:c>
      <x:c r="O1278" s="20"/>
      <x:c r="P1278" s="20"/>
      <x:c r="Q1278" s="25" t="str">
        <x:v>No direct corporate-capital range established in checked source</x:v>
      </x:c>
      <x:c r="R1278" s="25" t="str">
        <x:v>Property acquisition or investor activity makes this an operator-capital prospect for the signed trial. Confirm operating-company debt/equity appetite.</x:v>
      </x:c>
      <x:c r="S1278" s="25"/>
      <x:c r="T1278" s="25" t="str">
        <x:v>Ask the owner/investor whether they can allocate $100K-$500K to trial marketing and acquisitions, and confirm structure, timing and decision authority.</x:v>
      </x:c>
      <x:c r="U1278" s="25" t="str">
        <x:v>https://www.cashhomebuyersdirectory.com/cash-home-buyers/nevada/henderson</x:v>
      </x:c>
      <x:c r="V1278" s="26" t="d">
        <x:v>2026-10-02T00:00:00.000Z</x:v>
      </x:c>
      <x:c r="W1278" s="26" t="d">
        <x:v>2026-10-02T00:00:00.000Z</x:v>
      </x:c>
      <x:c r="X1278" s="25" t="str">
        <x:v>CashHomeBuyersDirectory third-party business listing; first-party business activity not checked in this batch</x:v>
      </x:c>
      <x:c r="Y1278" s="25"/>
      <x:c r="Z1278" s="25" t="str">
        <x:v>https://www.cashhomebuyersdirectory.com/cash-home-buyers/nevada/henderson</x:v>
      </x:c>
      <x:c r="AA1278" s="25" t="str">
        <x:v>Public cash-home-buyer directory lists the business name, business phone/website where available and market. Operator role and corporate funding willingness require confirmation.</x:v>
      </x:c>
      <x:c r="AB1278" s="3" t="str">
        <x:v>New public-source collection</x:v>
      </x:c>
      <x:c r="AC1278" s="3" t="str">
        <x:v>unverified</x:v>
      </x:c>
      <x:c r="AD1278" s="3" t="str">
        <x:v>Not contacted / unconfirmed</x:v>
      </x:c>
      <x:c r="AE1278" s="3" t="str">
        <x:v>No</x:v>
      </x:c>
      <x:c r="AF1278" s="3" t="str">
        <x:v>No</x:v>
      </x:c>
      <x:c r="AG1278" s="3"/>
      <x:c r="AH1278" s="3"/>
      <x:c r="AI1278" s="18"/>
      <x:c r="AJ1278" s="3" t="str">
        <x:v>CF2500-E2701AB4C677</x:v>
      </x:c>
      <x:c r="AK1278" s="3" t="str">
        <x:v>real_estate_operator</x:v>
      </x:c>
      <x:c r="AL1278" s="19" t="n">
        <x:v>100000</x:v>
      </x:c>
      <x:c r="AM1278" s="19" t="n">
        <x:v>500000</x:v>
      </x:c>
      <x:c r="AN1278" s="3" t="str">
        <x:v>https://www.cashhomebuyersdirectory.com/cash-home-buyers/nevada/henderson</x:v>
      </x:c>
      <x:c r="AO1278" s="3" t="str">
        <x:v>national_rest_directory_complete.jsonl</x:v>
      </x:c>
      <x:c r="AP1278" s="19"/>
    </x:row>
    <x:row r="1279" ht="36" customHeight="1">
      <x:c r="A1279" s="23" t="n">
        <x:v>1278</x:v>
      </x:c>
      <x:c r="B1279" s="15" t="str">
        <x:v>Sell My House Rochester NY | Fast &amp; Cash Home Buyers</x:v>
      </x:c>
      <x:c r="C1279" s="15"/>
      <x:c r="D1279" s="15" t="str">
        <x:v>Property investor / home-buying operator</x:v>
      </x:c>
      <x:c r="E1279" s="15" t="str">
        <x:v>Property investor / operator inquiry</x:v>
      </x:c>
      <x:c r="F1279" s="17" t="str">
        <x:v>New</x:v>
      </x:c>
      <x:c r="G1279" s="24"/>
      <x:c r="H1279" s="24" t="str">
        <x:v>+15856393317</x:v>
      </x:c>
      <x:c r="I1279" s="24" t="str">
        <x:v>https://www.sellmyhouserochesterny.com/</x:v>
      </x:c>
      <x:c r="J1279" s="16" t="str">
        <x:v>NY</x:v>
      </x:c>
      <x:c r="K1279" s="16" t="str">
        <x:v>Rochester</x:v>
      </x:c>
      <x:c r="L1279" s="16" t="str">
        <x:v>Public property-business route; investor decision maker unconfirmed</x:v>
      </x:c>
      <x:c r="M1279" s="16" t="str">
        <x:v>https://www.sellmyhouserochesterny.com/</x:v>
      </x:c>
      <x:c r="N1279" s="16" t="str">
        <x:v>$100K-$500K ticket not published / unconfirmed</x:v>
      </x:c>
      <x:c r="O1279" s="20"/>
      <x:c r="P1279" s="20"/>
      <x:c r="Q1279" s="25" t="str">
        <x:v>No direct corporate-capital range established in checked source</x:v>
      </x:c>
      <x:c r="R1279" s="25" t="str">
        <x:v>Property acquisition or investor activity makes this an operator-capital prospect for the signed trial. Confirm operating-company debt/equity appetite.</x:v>
      </x:c>
      <x:c r="S1279" s="25"/>
      <x:c r="T1279" s="25" t="str">
        <x:v>Ask the owner/investor whether they can allocate $100K-$500K to trial marketing and acquisitions, and confirm structure, timing and decision authority.</x:v>
      </x:c>
      <x:c r="U1279" s="25" t="str">
        <x:v>https://www.cashhomebuyersdirectory.com/cash-home-buyers/new-york/rochester</x:v>
      </x:c>
      <x:c r="V1279" s="26" t="d">
        <x:v>2026-10-02T00:00:00.000Z</x:v>
      </x:c>
      <x:c r="W1279" s="26" t="d">
        <x:v>2026-10-02T00:00:00.000Z</x:v>
      </x:c>
      <x:c r="X1279" s="25" t="str">
        <x:v>CashHomeBuyersDirectory third-party business listing; first-party business activity not checked in this batch</x:v>
      </x:c>
      <x:c r="Y1279" s="25"/>
      <x:c r="Z1279" s="25" t="str">
        <x:v>https://www.cashhomebuyersdirectory.com/cash-home-buyers/new-york/rochester</x:v>
      </x:c>
      <x:c r="AA1279" s="25" t="str">
        <x:v>Public cash-home-buyer directory lists the business name, business phone/website where available and market. Operator role and corporate funding willingness require confirmation.</x:v>
      </x:c>
      <x:c r="AB1279" s="3" t="str">
        <x:v>New public-source collection</x:v>
      </x:c>
      <x:c r="AC1279" s="3" t="str">
        <x:v>unverified</x:v>
      </x:c>
      <x:c r="AD1279" s="3" t="str">
        <x:v>Not contacted / unconfirmed</x:v>
      </x:c>
      <x:c r="AE1279" s="3" t="str">
        <x:v>No</x:v>
      </x:c>
      <x:c r="AF1279" s="3" t="str">
        <x:v>No</x:v>
      </x:c>
      <x:c r="AG1279" s="3"/>
      <x:c r="AH1279" s="3"/>
      <x:c r="AI1279" s="18"/>
      <x:c r="AJ1279" s="3" t="str">
        <x:v>CF2500-9987DB86B7E2</x:v>
      </x:c>
      <x:c r="AK1279" s="3" t="str">
        <x:v>real_estate_operator</x:v>
      </x:c>
      <x:c r="AL1279" s="19" t="n">
        <x:v>100000</x:v>
      </x:c>
      <x:c r="AM1279" s="19" t="n">
        <x:v>500000</x:v>
      </x:c>
      <x:c r="AN1279" s="3" t="str">
        <x:v>https://www.cashhomebuyersdirectory.com/cash-home-buyers/new-york/rochester</x:v>
      </x:c>
      <x:c r="AO1279" s="3" t="str">
        <x:v>national_rest_directory_complete.jsonl</x:v>
      </x:c>
      <x:c r="AP1279" s="19"/>
    </x:row>
    <x:row r="1280" ht="36" customHeight="1">
      <x:c r="A1280" s="23" t="n">
        <x:v>1279</x:v>
      </x:c>
      <x:c r="B1280" s="15" t="str">
        <x:v>Sell my house Western Mass Cash Home Buyers | We Buy Houses Hampden County</x:v>
      </x:c>
      <x:c r="C1280" s="15"/>
      <x:c r="D1280" s="15" t="str">
        <x:v>Property investor / home-buying operator</x:v>
      </x:c>
      <x:c r="E1280" s="15" t="str">
        <x:v>Property investor / operator inquiry</x:v>
      </x:c>
      <x:c r="F1280" s="17" t="str">
        <x:v>New</x:v>
      </x:c>
      <x:c r="G1280" s="24"/>
      <x:c r="H1280" s="24" t="str">
        <x:v>+14132884889</x:v>
      </x:c>
      <x:c r="I1280" s="24" t="str">
        <x:v>https://westernmasscashhomebuyers.com/</x:v>
      </x:c>
      <x:c r="J1280" s="16" t="str">
        <x:v>MA</x:v>
      </x:c>
      <x:c r="K1280" s="16" t="str">
        <x:v>Boston</x:v>
      </x:c>
      <x:c r="L1280" s="16" t="str">
        <x:v>Public property-business route; investor decision maker unconfirmed</x:v>
      </x:c>
      <x:c r="M1280" s="16" t="str">
        <x:v>https://westernmasscashhomebuyers.com/</x:v>
      </x:c>
      <x:c r="N1280" s="16" t="str">
        <x:v>$100K-$500K ticket not published / unconfirmed</x:v>
      </x:c>
      <x:c r="O1280" s="20"/>
      <x:c r="P1280" s="20"/>
      <x:c r="Q1280" s="25" t="str">
        <x:v>No direct corporate-capital range established in checked source</x:v>
      </x:c>
      <x:c r="R1280" s="25" t="str">
        <x:v>Property acquisition or investor activity makes this an operator-capital prospect for the signed trial. Confirm operating-company debt/equity appetite.</x:v>
      </x:c>
      <x:c r="S1280" s="25"/>
      <x:c r="T1280" s="25" t="str">
        <x:v>Ask the owner/investor whether they can allocate $100K-$500K to trial marketing and acquisitions, and confirm structure, timing and decision authority.</x:v>
      </x:c>
      <x:c r="U1280" s="25" t="str">
        <x:v>https://www.cashhomebuyersdirectory.com/cash-home-buyers/massachusetts/boston
https://www.cashhomebuyersdirectory.com/cash-home-buyers/massachusetts/springfield</x:v>
      </x:c>
      <x:c r="V1280" s="26" t="d">
        <x:v>2026-10-02T00:00:00.000Z</x:v>
      </x:c>
      <x:c r="W1280" s="26" t="d">
        <x:v>2026-10-02T00:00:00.000Z</x:v>
      </x:c>
      <x:c r="X1280" s="25" t="str">
        <x:v>CashHomeBuyersDirectory third-party business listing; first-party business activity not checked in this batch</x:v>
      </x:c>
      <x:c r="Y1280" s="25"/>
      <x:c r="Z1280" s="25" t="str">
        <x:v>https://www.cashhomebuyersdirectory.com/cash-home-buyers/massachusetts/boston</x:v>
      </x:c>
      <x:c r="AA1280" s="25" t="str">
        <x:v>Public cash-home-buyer directory lists the business name, business phone/website where available and market. Operator role and corporate funding willingness require confirmation.</x:v>
      </x:c>
      <x:c r="AB1280" s="3" t="str">
        <x:v>New public-source collection</x:v>
      </x:c>
      <x:c r="AC1280" s="3" t="str">
        <x:v>unverified</x:v>
      </x:c>
      <x:c r="AD1280" s="3" t="str">
        <x:v>Not contacted / unconfirmed</x:v>
      </x:c>
      <x:c r="AE1280" s="3" t="str">
        <x:v>No</x:v>
      </x:c>
      <x:c r="AF1280" s="3" t="str">
        <x:v>No</x:v>
      </x:c>
      <x:c r="AG1280" s="3"/>
      <x:c r="AH1280" s="3"/>
      <x:c r="AI1280" s="18"/>
      <x:c r="AJ1280" s="3" t="str">
        <x:v>CF2500-B7DF966C8438</x:v>
      </x:c>
      <x:c r="AK1280" s="3" t="str">
        <x:v>real_estate_operator</x:v>
      </x:c>
      <x:c r="AL1280" s="19" t="n">
        <x:v>100000</x:v>
      </x:c>
      <x:c r="AM1280" s="19" t="n">
        <x:v>500000</x:v>
      </x:c>
      <x:c r="AN1280" s="3" t="str">
        <x:v>https://www.cashhomebuyersdirectory.com/cash-home-buyers/massachusetts/boston</x:v>
      </x:c>
      <x:c r="AO1280" s="3" t="str">
        <x:v>national_rest_directory_complete.jsonl</x:v>
      </x:c>
      <x:c r="AP1280" s="19"/>
    </x:row>
    <x:row r="1281" ht="36" customHeight="1">
      <x:c r="A1281" s="23" t="n">
        <x:v>1280</x:v>
      </x:c>
      <x:c r="B1281" s="15" t="str">
        <x:v>Sell Your Home For Cash Sacramento</x:v>
      </x:c>
      <x:c r="C1281" s="15"/>
      <x:c r="D1281" s="15" t="str">
        <x:v>Property investor / home-buying operator</x:v>
      </x:c>
      <x:c r="E1281" s="15" t="str">
        <x:v>Property investor / operator inquiry</x:v>
      </x:c>
      <x:c r="F1281" s="17" t="str">
        <x:v>New</x:v>
      </x:c>
      <x:c r="G1281" s="24"/>
      <x:c r="H1281" s="24" t="str">
        <x:v>+19162379457</x:v>
      </x:c>
      <x:c r="I1281" s="24" t="str">
        <x:v>https://www.sellingyourhomesacramento.com/?utm_source=google&amp;utm_medium=local&amp;utm_campaign=sac</x:v>
      </x:c>
      <x:c r="J1281" s="16" t="str">
        <x:v>CA</x:v>
      </x:c>
      <x:c r="K1281" s="16" t="str">
        <x:v>Sacramento</x:v>
      </x:c>
      <x:c r="L1281" s="16" t="str">
        <x:v>Public property-business route; investor decision maker unconfirmed</x:v>
      </x:c>
      <x:c r="M1281" s="16" t="str">
        <x:v>https://www.sellingyourhomesacramento.com/?utm_source=google&amp;utm_medium=local&amp;utm_campaign=sac</x:v>
      </x:c>
      <x:c r="N1281" s="16" t="str">
        <x:v>$100K-$500K ticket not published / unconfirmed</x:v>
      </x:c>
      <x:c r="O1281" s="20"/>
      <x:c r="P1281" s="20"/>
      <x:c r="Q1281" s="25" t="str">
        <x:v>No direct corporate-capital range established in checked source</x:v>
      </x:c>
      <x:c r="R1281" s="25" t="str">
        <x:v>Property acquisition or investor activity makes this an operator-capital prospect for the signed trial. Confirm operating-company debt/equity appetite.</x:v>
      </x:c>
      <x:c r="S1281" s="25"/>
      <x:c r="T1281" s="25" t="str">
        <x:v>Ask the owner/investor whether they can allocate $100K-$500K to trial marketing and acquisitions, and confirm structure, timing and decision authority.</x:v>
      </x:c>
      <x:c r="U1281" s="25" t="str">
        <x:v>https://www.cashhomebuyersdirectory.com/cash-home-buyers/california/sacramento</x:v>
      </x:c>
      <x:c r="V1281" s="26" t="d">
        <x:v>2026-10-02T00:00:00.000Z</x:v>
      </x:c>
      <x:c r="W1281" s="26" t="d">
        <x:v>2026-10-02T00:00:00.000Z</x:v>
      </x:c>
      <x:c r="X1281" s="25" t="str">
        <x:v>CashHomeBuyersDirectory third-party business listing; first-party business activity not checked in this batch</x:v>
      </x:c>
      <x:c r="Y1281" s="25"/>
      <x:c r="Z1281" s="25" t="str">
        <x:v>https://www.cashhomebuyersdirectory.com/cash-home-buyers/california/sacramento</x:v>
      </x:c>
      <x:c r="AA1281" s="25" t="str">
        <x:v>Public cash-home-buyer directory lists the business name, business phone/website where available and market. Operator role and corporate funding willingness require confirmation.</x:v>
      </x:c>
      <x:c r="AB1281" s="3" t="str">
        <x:v>New public-source collection</x:v>
      </x:c>
      <x:c r="AC1281" s="3" t="str">
        <x:v>unverified</x:v>
      </x:c>
      <x:c r="AD1281" s="3" t="str">
        <x:v>Not contacted / unconfirmed</x:v>
      </x:c>
      <x:c r="AE1281" s="3" t="str">
        <x:v>No</x:v>
      </x:c>
      <x:c r="AF1281" s="3" t="str">
        <x:v>No</x:v>
      </x:c>
      <x:c r="AG1281" s="3"/>
      <x:c r="AH1281" s="3"/>
      <x:c r="AI1281" s="18"/>
      <x:c r="AJ1281" s="3" t="str">
        <x:v>CF2500-0E5FBB202B58</x:v>
      </x:c>
      <x:c r="AK1281" s="3" t="str">
        <x:v>real_estate_operator</x:v>
      </x:c>
      <x:c r="AL1281" s="19" t="n">
        <x:v>100000</x:v>
      </x:c>
      <x:c r="AM1281" s="19" t="n">
        <x:v>500000</x:v>
      </x:c>
      <x:c r="AN1281" s="3" t="str">
        <x:v>https://www.cashhomebuyersdirectory.com/cash-home-buyers/california/sacramento</x:v>
      </x:c>
      <x:c r="AO1281" s="3" t="str">
        <x:v>national_rest_directory_complete.jsonl</x:v>
      </x:c>
      <x:c r="AP1281" s="19"/>
    </x:row>
    <x:row r="1282" ht="36" customHeight="1">
      <x:c r="A1282" s="23" t="n">
        <x:v>1281</x:v>
      </x:c>
      <x:c r="B1282" s="15" t="str">
        <x:v>Sell Your Home Sacramento</x:v>
      </x:c>
      <x:c r="C1282" s="15"/>
      <x:c r="D1282" s="15" t="str">
        <x:v>Property investor / home-buying operator</x:v>
      </x:c>
      <x:c r="E1282" s="15" t="str">
        <x:v>Property investor / operator inquiry</x:v>
      </x:c>
      <x:c r="F1282" s="17" t="str">
        <x:v>New</x:v>
      </x:c>
      <x:c r="G1282" s="24"/>
      <x:c r="H1282" s="24" t="str">
        <x:v>+19167563599</x:v>
      </x:c>
      <x:c r="I1282" s="24" t="str">
        <x:v>https://www.sellyourhomesacramento.com/</x:v>
      </x:c>
      <x:c r="J1282" s="16" t="str">
        <x:v>CA</x:v>
      </x:c>
      <x:c r="K1282" s="16" t="str">
        <x:v>Sacramento</x:v>
      </x:c>
      <x:c r="L1282" s="16" t="str">
        <x:v>Public property-business route; investor decision maker unconfirmed</x:v>
      </x:c>
      <x:c r="M1282" s="16" t="str">
        <x:v>https://www.sellyourhomesacramento.com/</x:v>
      </x:c>
      <x:c r="N1282" s="16" t="str">
        <x:v>$100K-$500K ticket not published / unconfirmed</x:v>
      </x:c>
      <x:c r="O1282" s="20"/>
      <x:c r="P1282" s="20"/>
      <x:c r="Q1282" s="25" t="str">
        <x:v>No direct corporate-capital range established in checked source</x:v>
      </x:c>
      <x:c r="R1282" s="25" t="str">
        <x:v>Property acquisition or investor activity makes this an operator-capital prospect for the signed trial. Confirm operating-company debt/equity appetite.</x:v>
      </x:c>
      <x:c r="S1282" s="25"/>
      <x:c r="T1282" s="25" t="str">
        <x:v>Ask the owner/investor whether they can allocate $100K-$500K to trial marketing and acquisitions, and confirm structure, timing and decision authority.</x:v>
      </x:c>
      <x:c r="U1282" s="25" t="str">
        <x:v>https://www.cashhomebuyersdirectory.com/cash-home-buyers/california/sacramento</x:v>
      </x:c>
      <x:c r="V1282" s="26" t="d">
        <x:v>2026-10-02T00:00:00.000Z</x:v>
      </x:c>
      <x:c r="W1282" s="26" t="d">
        <x:v>2026-10-02T00:00:00.000Z</x:v>
      </x:c>
      <x:c r="X1282" s="25" t="str">
        <x:v>CashHomeBuyersDirectory third-party business listing; first-party business activity not checked in this batch</x:v>
      </x:c>
      <x:c r="Y1282" s="25"/>
      <x:c r="Z1282" s="25" t="str">
        <x:v>https://www.cashhomebuyersdirectory.com/cash-home-buyers/california/sacramento</x:v>
      </x:c>
      <x:c r="AA1282" s="25" t="str">
        <x:v>Public cash-home-buyer directory lists the business name, business phone/website where available and market. Operator role and corporate funding willingness require confirmation.</x:v>
      </x:c>
      <x:c r="AB1282" s="3" t="str">
        <x:v>New public-source collection</x:v>
      </x:c>
      <x:c r="AC1282" s="3" t="str">
        <x:v>unverified</x:v>
      </x:c>
      <x:c r="AD1282" s="3" t="str">
        <x:v>Not contacted / unconfirmed</x:v>
      </x:c>
      <x:c r="AE1282" s="3" t="str">
        <x:v>No</x:v>
      </x:c>
      <x:c r="AF1282" s="3" t="str">
        <x:v>No</x:v>
      </x:c>
      <x:c r="AG1282" s="3"/>
      <x:c r="AH1282" s="3"/>
      <x:c r="AI1282" s="18"/>
      <x:c r="AJ1282" s="3" t="str">
        <x:v>CF2500-66FB326BCDE1</x:v>
      </x:c>
      <x:c r="AK1282" s="3" t="str">
        <x:v>real_estate_operator</x:v>
      </x:c>
      <x:c r="AL1282" s="19" t="n">
        <x:v>100000</x:v>
      </x:c>
      <x:c r="AM1282" s="19" t="n">
        <x:v>500000</x:v>
      </x:c>
      <x:c r="AN1282" s="3" t="str">
        <x:v>https://www.cashhomebuyersdirectory.com/cash-home-buyers/california/sacramento</x:v>
      </x:c>
      <x:c r="AO1282" s="3" t="str">
        <x:v>national_rest_directory_complete.jsonl</x:v>
      </x:c>
      <x:c r="AP1282" s="19"/>
    </x:row>
    <x:row r="1283" ht="36" customHeight="1">
      <x:c r="A1283" s="23" t="n">
        <x:v>1282</x:v>
      </x:c>
      <x:c r="B1283" s="15" t="str">
        <x:v>Sell Your House Fast</x:v>
      </x:c>
      <x:c r="C1283" s="15"/>
      <x:c r="D1283" s="15" t="str">
        <x:v>Property investor / home-buying operator</x:v>
      </x:c>
      <x:c r="E1283" s="15" t="str">
        <x:v>Property investor / operator inquiry</x:v>
      </x:c>
      <x:c r="F1283" s="17" t="str">
        <x:v>New</x:v>
      </x:c>
      <x:c r="G1283" s="24"/>
      <x:c r="H1283" s="24" t="str">
        <x:v>+14408283278</x:v>
      </x:c>
      <x:c r="I1283" s="24" t="str">
        <x:v>https://sellyourhousefast.com/</x:v>
      </x:c>
      <x:c r="J1283" s="16" t="str">
        <x:v>OH</x:v>
      </x:c>
      <x:c r="K1283" s="16" t="str">
        <x:v>Berea</x:v>
      </x:c>
      <x:c r="L1283" s="16" t="str">
        <x:v>Public property-business route; investor decision maker unconfirmed</x:v>
      </x:c>
      <x:c r="M1283" s="16" t="str">
        <x:v>https://sellyourhousefast.com/</x:v>
      </x:c>
      <x:c r="N1283" s="16" t="str">
        <x:v>$100K-$500K ticket not published / unconfirmed</x:v>
      </x:c>
      <x:c r="O1283" s="20"/>
      <x:c r="P1283" s="20"/>
      <x:c r="Q1283" s="25" t="str">
        <x:v>No direct corporate-capital range established in checked source</x:v>
      </x:c>
      <x:c r="R1283" s="25" t="str">
        <x:v>Property acquisition or investor activity makes this an operator-capital prospect for the signed trial. Confirm operating-company debt/equity appetite.</x:v>
      </x:c>
      <x:c r="S1283" s="25"/>
      <x:c r="T1283" s="25" t="str">
        <x:v>Ask the owner/investor whether they can allocate $100K-$500K to trial marketing and acquisitions, and confirm structure, timing and decision authority.</x:v>
      </x:c>
      <x:c r="U1283" s="25" t="str">
        <x:v>https://www.cashhomebuyersdirectory.com/cash-home-buyers/ohio/berea</x:v>
      </x:c>
      <x:c r="V1283" s="26" t="d">
        <x:v>2026-10-02T00:00:00.000Z</x:v>
      </x:c>
      <x:c r="W1283" s="26" t="d">
        <x:v>2026-10-02T00:00:00.000Z</x:v>
      </x:c>
      <x:c r="X1283" s="25" t="str">
        <x:v>CashHomeBuyersDirectory third-party business listing; first-party business activity not checked in this batch</x:v>
      </x:c>
      <x:c r="Y1283" s="25"/>
      <x:c r="Z1283" s="25" t="str">
        <x:v>https://www.cashhomebuyersdirectory.com/cash-home-buyers/ohio/berea</x:v>
      </x:c>
      <x:c r="AA1283" s="25" t="str">
        <x:v>Public cash-home-buyer directory lists the business name, business phone/website where available and market. Operator role and corporate funding willingness require confirmation.</x:v>
      </x:c>
      <x:c r="AB1283" s="3" t="str">
        <x:v>New public-source collection</x:v>
      </x:c>
      <x:c r="AC1283" s="3" t="str">
        <x:v>unverified</x:v>
      </x:c>
      <x:c r="AD1283" s="3" t="str">
        <x:v>Not contacted / unconfirmed</x:v>
      </x:c>
      <x:c r="AE1283" s="3" t="str">
        <x:v>No</x:v>
      </x:c>
      <x:c r="AF1283" s="3" t="str">
        <x:v>No</x:v>
      </x:c>
      <x:c r="AG1283" s="3"/>
      <x:c r="AH1283" s="3"/>
      <x:c r="AI1283" s="18"/>
      <x:c r="AJ1283" s="3" t="str">
        <x:v>CF2500-D1AFFD18CDBD</x:v>
      </x:c>
      <x:c r="AK1283" s="3" t="str">
        <x:v>real_estate_operator</x:v>
      </x:c>
      <x:c r="AL1283" s="19" t="n">
        <x:v>100000</x:v>
      </x:c>
      <x:c r="AM1283" s="19" t="n">
        <x:v>500000</x:v>
      </x:c>
      <x:c r="AN1283" s="3" t="str">
        <x:v>https://www.cashhomebuyersdirectory.com/cash-home-buyers/ohio/berea</x:v>
      </x:c>
      <x:c r="AO1283" s="3" t="str">
        <x:v>national_rest_directory_complete.jsonl</x:v>
      </x:c>
      <x:c r="AP1283" s="19"/>
    </x:row>
    <x:row r="1284" ht="36" customHeight="1">
      <x:c r="A1284" s="23" t="n">
        <x:v>1283</x:v>
      </x:c>
      <x:c r="B1284" s="15" t="str">
        <x:v>Sell Your House Fast Los Angeles LLC</x:v>
      </x:c>
      <x:c r="C1284" s="15"/>
      <x:c r="D1284" s="15" t="str">
        <x:v>Property investor / home-buying operator</x:v>
      </x:c>
      <x:c r="E1284" s="15" t="str">
        <x:v>Property investor / operator inquiry</x:v>
      </x:c>
      <x:c r="F1284" s="17" t="str">
        <x:v>New</x:v>
      </x:c>
      <x:c r="G1284" s="24"/>
      <x:c r="H1284" s="24" t="str">
        <x:v>+13102951818</x:v>
      </x:c>
      <x:c r="I1284" s="24" t="str">
        <x:v>https://sellyourhousefastla.com/</x:v>
      </x:c>
      <x:c r="J1284" s="16" t="str">
        <x:v>CA</x:v>
      </x:c>
      <x:c r="K1284" s="16" t="str">
        <x:v>Los Angeles</x:v>
      </x:c>
      <x:c r="L1284" s="16" t="str">
        <x:v>Public property-business route; investor decision maker unconfirmed</x:v>
      </x:c>
      <x:c r="M1284" s="16" t="str">
        <x:v>https://sellyourhousefastla.com/</x:v>
      </x:c>
      <x:c r="N1284" s="16" t="str">
        <x:v>$100K-$500K ticket not published / unconfirmed</x:v>
      </x:c>
      <x:c r="O1284" s="20"/>
      <x:c r="P1284" s="20"/>
      <x:c r="Q1284" s="25" t="str">
        <x:v>No direct corporate-capital range established in checked source</x:v>
      </x:c>
      <x:c r="R1284" s="25" t="str">
        <x:v>Property acquisition or investor activity makes this an operator-capital prospect for the signed trial. Confirm operating-company debt/equity appetite.</x:v>
      </x:c>
      <x:c r="S1284" s="25"/>
      <x:c r="T1284" s="25" t="str">
        <x:v>Ask the owner/investor whether they can allocate $100K-$500K to trial marketing and acquisitions, and confirm structure, timing and decision authority.</x:v>
      </x:c>
      <x:c r="U1284" s="25" t="str">
        <x:v>https://www.cashhomebuyersdirectory.com/cash-home-buyers/california/los-angeles</x:v>
      </x:c>
      <x:c r="V1284" s="26" t="d">
        <x:v>2026-10-02T00:00:00.000Z</x:v>
      </x:c>
      <x:c r="W1284" s="26" t="d">
        <x:v>2026-10-02T00:00:00.000Z</x:v>
      </x:c>
      <x:c r="X1284" s="25" t="str">
        <x:v>CashHomeBuyersDirectory third-party business listing; first-party business activity not checked in this batch</x:v>
      </x:c>
      <x:c r="Y1284" s="25"/>
      <x:c r="Z1284" s="25" t="str">
        <x:v>https://www.cashhomebuyersdirectory.com/cash-home-buyers/california/los-angeles</x:v>
      </x:c>
      <x:c r="AA1284" s="25" t="str">
        <x:v>Public cash-home-buyer directory lists the business name, business phone/website where available and market. Operator role and corporate funding willingness require confirmation.</x:v>
      </x:c>
      <x:c r="AB1284" s="3" t="str">
        <x:v>New public-source collection</x:v>
      </x:c>
      <x:c r="AC1284" s="3" t="str">
        <x:v>unverified</x:v>
      </x:c>
      <x:c r="AD1284" s="3" t="str">
        <x:v>Not contacted / unconfirmed</x:v>
      </x:c>
      <x:c r="AE1284" s="3" t="str">
        <x:v>No</x:v>
      </x:c>
      <x:c r="AF1284" s="3" t="str">
        <x:v>No</x:v>
      </x:c>
      <x:c r="AG1284" s="3"/>
      <x:c r="AH1284" s="3"/>
      <x:c r="AI1284" s="18"/>
      <x:c r="AJ1284" s="3" t="str">
        <x:v>CF2500-D15D0C63CE00</x:v>
      </x:c>
      <x:c r="AK1284" s="3" t="str">
        <x:v>real_estate_operator</x:v>
      </x:c>
      <x:c r="AL1284" s="19" t="n">
        <x:v>100000</x:v>
      </x:c>
      <x:c r="AM1284" s="19" t="n">
        <x:v>500000</x:v>
      </x:c>
      <x:c r="AN1284" s="3" t="str">
        <x:v>https://www.cashhomebuyersdirectory.com/cash-home-buyers/california/los-angeles</x:v>
      </x:c>
      <x:c r="AO1284" s="3" t="str">
        <x:v>national_rest_directory_complete.jsonl</x:v>
      </x:c>
      <x:c r="AP1284" s="19"/>
    </x:row>
    <x:row r="1285" ht="36" customHeight="1">
      <x:c r="A1285" s="23" t="n">
        <x:v>1284</x:v>
      </x:c>
      <x:c r="B1285" s="15" t="str">
        <x:v>Sell Your House In Maryland</x:v>
      </x:c>
      <x:c r="C1285" s="15"/>
      <x:c r="D1285" s="15" t="str">
        <x:v>Property investor / home-buying operator</x:v>
      </x:c>
      <x:c r="E1285" s="15" t="str">
        <x:v>Property investor / operator inquiry</x:v>
      </x:c>
      <x:c r="F1285" s="17" t="str">
        <x:v>New</x:v>
      </x:c>
      <x:c r="G1285" s="24"/>
      <x:c r="H1285" s="24" t="str">
        <x:v>+13018424725</x:v>
      </x:c>
      <x:c r="I1285" s="24" t="str">
        <x:v>http://www.sellyourhouseinmaryland.com/</x:v>
      </x:c>
      <x:c r="J1285" s="16" t="str">
        <x:v>MD</x:v>
      </x:c>
      <x:c r="K1285" s="16" t="str">
        <x:v>Lanham</x:v>
      </x:c>
      <x:c r="L1285" s="16" t="str">
        <x:v>Public property-business route; investor decision maker unconfirmed</x:v>
      </x:c>
      <x:c r="M1285" s="16" t="str">
        <x:v>http://www.sellyourhouseinmaryland.com/</x:v>
      </x:c>
      <x:c r="N1285" s="16" t="str">
        <x:v>$100K-$500K ticket not published / unconfirmed</x:v>
      </x:c>
      <x:c r="O1285" s="20"/>
      <x:c r="P1285" s="20"/>
      <x:c r="Q1285" s="25" t="str">
        <x:v>No direct corporate-capital range established in checked source</x:v>
      </x:c>
      <x:c r="R1285" s="25" t="str">
        <x:v>Property acquisition or investor activity makes this an operator-capital prospect for the signed trial. Confirm operating-company debt/equity appetite.</x:v>
      </x:c>
      <x:c r="S1285" s="25"/>
      <x:c r="T1285" s="25" t="str">
        <x:v>Ask the owner/investor whether they can allocate $100K-$500K to trial marketing and acquisitions, and confirm structure, timing and decision authority.</x:v>
      </x:c>
      <x:c r="U1285" s="25" t="str">
        <x:v>https://www.cashhomebuyersdirectory.com/cash-home-buyers/maryland/lanham</x:v>
      </x:c>
      <x:c r="V1285" s="26" t="d">
        <x:v>2026-10-02T00:00:00.000Z</x:v>
      </x:c>
      <x:c r="W1285" s="26" t="d">
        <x:v>2026-10-02T00:00:00.000Z</x:v>
      </x:c>
      <x:c r="X1285" s="25" t="str">
        <x:v>CashHomeBuyersDirectory third-party business listing; first-party business activity not checked in this batch</x:v>
      </x:c>
      <x:c r="Y1285" s="25"/>
      <x:c r="Z1285" s="25" t="str">
        <x:v>https://www.cashhomebuyersdirectory.com/cash-home-buyers/maryland/lanham</x:v>
      </x:c>
      <x:c r="AA1285" s="25" t="str">
        <x:v>Public cash-home-buyer directory lists the business name, business phone/website where available and market. Operator role and corporate funding willingness require confirmation.</x:v>
      </x:c>
      <x:c r="AB1285" s="3" t="str">
        <x:v>New public-source collection</x:v>
      </x:c>
      <x:c r="AC1285" s="3" t="str">
        <x:v>unverified</x:v>
      </x:c>
      <x:c r="AD1285" s="3" t="str">
        <x:v>Not contacted / unconfirmed</x:v>
      </x:c>
      <x:c r="AE1285" s="3" t="str">
        <x:v>No</x:v>
      </x:c>
      <x:c r="AF1285" s="3" t="str">
        <x:v>No</x:v>
      </x:c>
      <x:c r="AG1285" s="3"/>
      <x:c r="AH1285" s="3"/>
      <x:c r="AI1285" s="18"/>
      <x:c r="AJ1285" s="3" t="str">
        <x:v>CF2500-0F6704D360DB</x:v>
      </x:c>
      <x:c r="AK1285" s="3" t="str">
        <x:v>real_estate_operator</x:v>
      </x:c>
      <x:c r="AL1285" s="19" t="n">
        <x:v>100000</x:v>
      </x:c>
      <x:c r="AM1285" s="19" t="n">
        <x:v>500000</x:v>
      </x:c>
      <x:c r="AN1285" s="3" t="str">
        <x:v>https://www.cashhomebuyersdirectory.com/cash-home-buyers/maryland/lanham</x:v>
      </x:c>
      <x:c r="AO1285" s="3" t="str">
        <x:v>national_rest_directory_complete.jsonl</x:v>
      </x:c>
      <x:c r="AP1285" s="19"/>
    </x:row>
    <x:row r="1286" ht="36" customHeight="1">
      <x:c r="A1286" s="23" t="n">
        <x:v>1285</x:v>
      </x:c>
      <x:c r="B1286" s="15" t="str">
        <x:v>Sell Your House VA</x:v>
      </x:c>
      <x:c r="C1286" s="15"/>
      <x:c r="D1286" s="15" t="str">
        <x:v>Property investor / home-buying operator</x:v>
      </x:c>
      <x:c r="E1286" s="15" t="str">
        <x:v>Property investor / operator inquiry</x:v>
      </x:c>
      <x:c r="F1286" s="17" t="str">
        <x:v>New</x:v>
      </x:c>
      <x:c r="G1286" s="24"/>
      <x:c r="H1286" s="24" t="str">
        <x:v>+17573461116</x:v>
      </x:c>
      <x:c r="I1286" s="24" t="str">
        <x:v>https://www.sellyourhouseva.com/</x:v>
      </x:c>
      <x:c r="J1286" s="16" t="str">
        <x:v>VA</x:v>
      </x:c>
      <x:c r="K1286" s="16" t="str">
        <x:v>Newport News</x:v>
      </x:c>
      <x:c r="L1286" s="16" t="str">
        <x:v>Public property-business route; investor decision maker unconfirmed</x:v>
      </x:c>
      <x:c r="M1286" s="16" t="str">
        <x:v>https://www.sellyourhouseva.com/</x:v>
      </x:c>
      <x:c r="N1286" s="16" t="str">
        <x:v>$100K-$500K ticket not published / unconfirmed</x:v>
      </x:c>
      <x:c r="O1286" s="20"/>
      <x:c r="P1286" s="20"/>
      <x:c r="Q1286" s="25" t="str">
        <x:v>No direct corporate-capital range established in checked source</x:v>
      </x:c>
      <x:c r="R1286" s="25" t="str">
        <x:v>Property acquisition or investor activity makes this an operator-capital prospect for the signed trial. Confirm operating-company debt/equity appetite.</x:v>
      </x:c>
      <x:c r="S1286" s="25"/>
      <x:c r="T1286" s="25" t="str">
        <x:v>Ask the owner/investor whether they can allocate $100K-$500K to trial marketing and acquisitions, and confirm structure, timing and decision authority.</x:v>
      </x:c>
      <x:c r="U1286" s="25" t="str">
        <x:v>https://www.cashhomebuyersdirectory.com/cash-home-buyers/virginia/newport-news</x:v>
      </x:c>
      <x:c r="V1286" s="26" t="d">
        <x:v>2026-10-02T00:00:00.000Z</x:v>
      </x:c>
      <x:c r="W1286" s="26" t="d">
        <x:v>2026-10-02T00:00:00.000Z</x:v>
      </x:c>
      <x:c r="X1286" s="25" t="str">
        <x:v>CashHomeBuyersDirectory third-party business listing; first-party business activity not checked in this batch</x:v>
      </x:c>
      <x:c r="Y1286" s="25"/>
      <x:c r="Z1286" s="25" t="str">
        <x:v>https://www.cashhomebuyersdirectory.com/cash-home-buyers/virginia/newport-news</x:v>
      </x:c>
      <x:c r="AA1286" s="25" t="str">
        <x:v>Public cash-home-buyer directory lists the business name, business phone/website where available and market. Operator role and corporate funding willingness require confirmation.</x:v>
      </x:c>
      <x:c r="AB1286" s="3" t="str">
        <x:v>New public-source collection</x:v>
      </x:c>
      <x:c r="AC1286" s="3" t="str">
        <x:v>unverified</x:v>
      </x:c>
      <x:c r="AD1286" s="3" t="str">
        <x:v>Not contacted / unconfirmed</x:v>
      </x:c>
      <x:c r="AE1286" s="3" t="str">
        <x:v>No</x:v>
      </x:c>
      <x:c r="AF1286" s="3" t="str">
        <x:v>No</x:v>
      </x:c>
      <x:c r="AG1286" s="3"/>
      <x:c r="AH1286" s="3"/>
      <x:c r="AI1286" s="18"/>
      <x:c r="AJ1286" s="3" t="str">
        <x:v>CF2500-5432FDDA71F8</x:v>
      </x:c>
      <x:c r="AK1286" s="3" t="str">
        <x:v>real_estate_operator</x:v>
      </x:c>
      <x:c r="AL1286" s="19" t="n">
        <x:v>100000</x:v>
      </x:c>
      <x:c r="AM1286" s="19" t="n">
        <x:v>500000</x:v>
      </x:c>
      <x:c r="AN1286" s="3" t="str">
        <x:v>https://www.cashhomebuyersdirectory.com/cash-home-buyers/virginia/newport-news</x:v>
      </x:c>
      <x:c r="AO1286" s="3" t="str">
        <x:v>national_rest_directory_complete.jsonl</x:v>
      </x:c>
      <x:c r="AP1286" s="19"/>
    </x:row>
    <x:row r="1287" ht="36" customHeight="1">
      <x:c r="A1287" s="23" t="n">
        <x:v>1286</x:v>
      </x:c>
      <x:c r="B1287" s="15" t="str">
        <x:v>Serious Cash Offer</x:v>
      </x:c>
      <x:c r="C1287" s="15"/>
      <x:c r="D1287" s="15" t="str">
        <x:v>Property investor / home-buying operator</x:v>
      </x:c>
      <x:c r="E1287" s="15" t="str">
        <x:v>Property investor / operator inquiry</x:v>
      </x:c>
      <x:c r="F1287" s="17" t="str">
        <x:v>New</x:v>
      </x:c>
      <x:c r="G1287" s="24"/>
      <x:c r="H1287" s="24" t="str">
        <x:v>+12063121920</x:v>
      </x:c>
      <x:c r="I1287" s="24" t="str">
        <x:v>https://www.seriouscashoffer.com/</x:v>
      </x:c>
      <x:c r="J1287" s="16" t="str">
        <x:v>WA</x:v>
      </x:c>
      <x:c r="K1287" s="16" t="str">
        <x:v>Tacoma</x:v>
      </x:c>
      <x:c r="L1287" s="16" t="str">
        <x:v>Public property-business route; investor decision maker unconfirmed</x:v>
      </x:c>
      <x:c r="M1287" s="16" t="str">
        <x:v>https://www.seriouscashoffer.com/</x:v>
      </x:c>
      <x:c r="N1287" s="16" t="str">
        <x:v>$100K-$500K ticket not published / unconfirmed</x:v>
      </x:c>
      <x:c r="O1287" s="20"/>
      <x:c r="P1287" s="20"/>
      <x:c r="Q1287" s="25" t="str">
        <x:v>No direct corporate-capital range established in checked source</x:v>
      </x:c>
      <x:c r="R1287" s="25" t="str">
        <x:v>Property acquisition or investor activity makes this an operator-capital prospect for the signed trial. Confirm operating-company debt/equity appetite.</x:v>
      </x:c>
      <x:c r="S1287" s="25"/>
      <x:c r="T1287" s="25" t="str">
        <x:v>Ask the owner/investor whether they can allocate $100K-$500K to trial marketing and acquisitions, and confirm structure, timing and decision authority.</x:v>
      </x:c>
      <x:c r="U1287" s="25" t="str">
        <x:v>https://www.cashhomebuyersdirectory.com/cash-home-buyers/washington/tacoma</x:v>
      </x:c>
      <x:c r="V1287" s="26" t="d">
        <x:v>2026-10-02T00:00:00.000Z</x:v>
      </x:c>
      <x:c r="W1287" s="26" t="d">
        <x:v>2026-10-02T00:00:00.000Z</x:v>
      </x:c>
      <x:c r="X1287" s="25" t="str">
        <x:v>CashHomeBuyersDirectory third-party business listing; first-party business activity not checked in this batch</x:v>
      </x:c>
      <x:c r="Y1287" s="25"/>
      <x:c r="Z1287" s="25" t="str">
        <x:v>https://www.cashhomebuyersdirectory.com/cash-home-buyers/washington/tacoma</x:v>
      </x:c>
      <x:c r="AA1287" s="25" t="str">
        <x:v>Public cash-home-buyer directory lists the business name, business phone/website where available and market. Operator role and corporate funding willingness require confirmation.</x:v>
      </x:c>
      <x:c r="AB1287" s="3" t="str">
        <x:v>New public-source collection</x:v>
      </x:c>
      <x:c r="AC1287" s="3" t="str">
        <x:v>unverified</x:v>
      </x:c>
      <x:c r="AD1287" s="3" t="str">
        <x:v>Not contacted / unconfirmed</x:v>
      </x:c>
      <x:c r="AE1287" s="3" t="str">
        <x:v>No</x:v>
      </x:c>
      <x:c r="AF1287" s="3" t="str">
        <x:v>No</x:v>
      </x:c>
      <x:c r="AG1287" s="3"/>
      <x:c r="AH1287" s="3"/>
      <x:c r="AI1287" s="18"/>
      <x:c r="AJ1287" s="3" t="str">
        <x:v>CF2500-62BDB8AE1A5E</x:v>
      </x:c>
      <x:c r="AK1287" s="3" t="str">
        <x:v>real_estate_operator</x:v>
      </x:c>
      <x:c r="AL1287" s="19" t="n">
        <x:v>100000</x:v>
      </x:c>
      <x:c r="AM1287" s="19" t="n">
        <x:v>500000</x:v>
      </x:c>
      <x:c r="AN1287" s="3" t="str">
        <x:v>https://www.cashhomebuyersdirectory.com/cash-home-buyers/washington/tacoma</x:v>
      </x:c>
      <x:c r="AO1287" s="3" t="str">
        <x:v>national_rest_directory_complete.jsonl</x:v>
      </x:c>
      <x:c r="AP1287" s="19"/>
    </x:row>
    <x:row r="1288" ht="36" customHeight="1">
      <x:c r="A1288" s="23" t="n">
        <x:v>1287</x:v>
      </x:c>
      <x:c r="B1288" s="15" t="str">
        <x:v>Shamrock Home Buyers LLC</x:v>
      </x:c>
      <x:c r="C1288" s="15"/>
      <x:c r="D1288" s="15" t="str">
        <x:v>Property investor / home-buying operator</x:v>
      </x:c>
      <x:c r="E1288" s="15" t="str">
        <x:v>Property investor / operator inquiry</x:v>
      </x:c>
      <x:c r="F1288" s="17" t="str">
        <x:v>New</x:v>
      </x:c>
      <x:c r="G1288" s="24"/>
      <x:c r="H1288" s="24" t="str">
        <x:v>+17163246873</x:v>
      </x:c>
      <x:c r="I1288" s="24" t="str">
        <x:v>https://www.shamrockhomebuyers.com/</x:v>
      </x:c>
      <x:c r="J1288" s="16" t="str">
        <x:v>NY</x:v>
      </x:c>
      <x:c r="K1288" s="16" t="str">
        <x:v>Buffalo</x:v>
      </x:c>
      <x:c r="L1288" s="16" t="str">
        <x:v>Public property-business route; investor decision maker unconfirmed</x:v>
      </x:c>
      <x:c r="M1288" s="16" t="str">
        <x:v>https://www.shamrockhomebuyers.com/</x:v>
      </x:c>
      <x:c r="N1288" s="16" t="str">
        <x:v>$100K-$500K ticket not published / unconfirmed</x:v>
      </x:c>
      <x:c r="O1288" s="20"/>
      <x:c r="P1288" s="20"/>
      <x:c r="Q1288" s="25" t="str">
        <x:v>No direct corporate-capital range established in checked source</x:v>
      </x:c>
      <x:c r="R1288" s="25" t="str">
        <x:v>Property acquisition or investor activity makes this an operator-capital prospect for the signed trial. Confirm operating-company debt/equity appetite.</x:v>
      </x:c>
      <x:c r="S1288" s="25"/>
      <x:c r="T1288" s="25" t="str">
        <x:v>Ask the owner/investor whether they can allocate $100K-$500K to trial marketing and acquisitions, and confirm structure, timing and decision authority.</x:v>
      </x:c>
      <x:c r="U1288" s="25" t="str">
        <x:v>https://www.cashhomebuyersdirectory.com/cash-home-buyers/new-york/buffalo</x:v>
      </x:c>
      <x:c r="V1288" s="26" t="d">
        <x:v>2026-10-02T00:00:00.000Z</x:v>
      </x:c>
      <x:c r="W1288" s="26" t="d">
        <x:v>2026-10-02T00:00:00.000Z</x:v>
      </x:c>
      <x:c r="X1288" s="25" t="str">
        <x:v>CashHomeBuyersDirectory third-party business listing; first-party business activity not checked in this batch</x:v>
      </x:c>
      <x:c r="Y1288" s="25"/>
      <x:c r="Z1288" s="25" t="str">
        <x:v>https://www.cashhomebuyersdirectory.com/cash-home-buyers/new-york/buffalo</x:v>
      </x:c>
      <x:c r="AA1288" s="25" t="str">
        <x:v>Public cash-home-buyer directory lists the business name, business phone/website where available and market. Operator role and corporate funding willingness require confirmation.</x:v>
      </x:c>
      <x:c r="AB1288" s="3" t="str">
        <x:v>New public-source collection</x:v>
      </x:c>
      <x:c r="AC1288" s="3" t="str">
        <x:v>unverified</x:v>
      </x:c>
      <x:c r="AD1288" s="3" t="str">
        <x:v>Not contacted / unconfirmed</x:v>
      </x:c>
      <x:c r="AE1288" s="3" t="str">
        <x:v>No</x:v>
      </x:c>
      <x:c r="AF1288" s="3" t="str">
        <x:v>No</x:v>
      </x:c>
      <x:c r="AG1288" s="3"/>
      <x:c r="AH1288" s="3"/>
      <x:c r="AI1288" s="18"/>
      <x:c r="AJ1288" s="3" t="str">
        <x:v>CF2500-1EEDA2DFD807</x:v>
      </x:c>
      <x:c r="AK1288" s="3" t="str">
        <x:v>real_estate_operator</x:v>
      </x:c>
      <x:c r="AL1288" s="19" t="n">
        <x:v>100000</x:v>
      </x:c>
      <x:c r="AM1288" s="19" t="n">
        <x:v>500000</x:v>
      </x:c>
      <x:c r="AN1288" s="3" t="str">
        <x:v>https://www.cashhomebuyersdirectory.com/cash-home-buyers/new-york/buffalo</x:v>
      </x:c>
      <x:c r="AO1288" s="3" t="str">
        <x:v>national_rest_directory_complete.jsonl</x:v>
      </x:c>
      <x:c r="AP1288" s="19"/>
    </x:row>
    <x:row r="1289" ht="36" customHeight="1">
      <x:c r="A1289" s="23" t="n">
        <x:v>1288</x:v>
      </x:c>
      <x:c r="B1289" s="15" t="str">
        <x:v>Sierra Homebuyers</x:v>
      </x:c>
      <x:c r="C1289" s="15"/>
      <x:c r="D1289" s="15" t="str">
        <x:v>Property investor / home-buying operator</x:v>
      </x:c>
      <x:c r="E1289" s="15" t="str">
        <x:v>Property investor / operator inquiry</x:v>
      </x:c>
      <x:c r="F1289" s="17" t="str">
        <x:v>New</x:v>
      </x:c>
      <x:c r="G1289" s="24"/>
      <x:c r="H1289" s="24" t="str">
        <x:v>+17754554500</x:v>
      </x:c>
      <x:c r="I1289" s="24" t="str">
        <x:v>https://sierrahomebuyers.com/?utm_source=GBP&amp;utm_medium=organic&amp;utm_campaign=SEO</x:v>
      </x:c>
      <x:c r="J1289" s="16" t="str">
        <x:v>NV</x:v>
      </x:c>
      <x:c r="K1289" s="16" t="str">
        <x:v>Reno</x:v>
      </x:c>
      <x:c r="L1289" s="16" t="str">
        <x:v>Public property-business route; investor decision maker unconfirmed</x:v>
      </x:c>
      <x:c r="M1289" s="16" t="str">
        <x:v>https://sierrahomebuyers.com/?utm_source=GBP&amp;utm_medium=organic&amp;utm_campaign=SEO</x:v>
      </x:c>
      <x:c r="N1289" s="16" t="str">
        <x:v>$100K-$500K ticket not published / unconfirmed</x:v>
      </x:c>
      <x:c r="O1289" s="20"/>
      <x:c r="P1289" s="20"/>
      <x:c r="Q1289" s="25" t="str">
        <x:v>No direct corporate-capital range established in checked source</x:v>
      </x:c>
      <x:c r="R1289" s="25" t="str">
        <x:v>Property acquisition or investor activity makes this an operator-capital prospect for the signed trial. Confirm operating-company debt/equity appetite.</x:v>
      </x:c>
      <x:c r="S1289" s="25"/>
      <x:c r="T1289" s="25" t="str">
        <x:v>Ask the owner/investor whether they can allocate $100K-$500K to trial marketing and acquisitions, and confirm structure, timing and decision authority.</x:v>
      </x:c>
      <x:c r="U1289" s="25" t="str">
        <x:v>https://www.cashhomebuyersdirectory.com/cash-home-buyers/nevada/reno</x:v>
      </x:c>
      <x:c r="V1289" s="26" t="d">
        <x:v>2026-10-02T00:00:00.000Z</x:v>
      </x:c>
      <x:c r="W1289" s="26" t="d">
        <x:v>2026-10-02T00:00:00.000Z</x:v>
      </x:c>
      <x:c r="X1289" s="25" t="str">
        <x:v>CashHomeBuyersDirectory third-party business listing; first-party business activity not checked in this batch</x:v>
      </x:c>
      <x:c r="Y1289" s="25"/>
      <x:c r="Z1289" s="25" t="str">
        <x:v>https://www.cashhomebuyersdirectory.com/cash-home-buyers/nevada/reno</x:v>
      </x:c>
      <x:c r="AA1289" s="25" t="str">
        <x:v>Public cash-home-buyer directory lists the business name, business phone/website where available and market. Operator role and corporate funding willingness require confirmation.</x:v>
      </x:c>
      <x:c r="AB1289" s="3" t="str">
        <x:v>New public-source collection</x:v>
      </x:c>
      <x:c r="AC1289" s="3" t="str">
        <x:v>unverified</x:v>
      </x:c>
      <x:c r="AD1289" s="3" t="str">
        <x:v>Not contacted / unconfirmed</x:v>
      </x:c>
      <x:c r="AE1289" s="3" t="str">
        <x:v>No</x:v>
      </x:c>
      <x:c r="AF1289" s="3" t="str">
        <x:v>No</x:v>
      </x:c>
      <x:c r="AG1289" s="3"/>
      <x:c r="AH1289" s="3"/>
      <x:c r="AI1289" s="18"/>
      <x:c r="AJ1289" s="3" t="str">
        <x:v>CF2500-A6458FF07F3E</x:v>
      </x:c>
      <x:c r="AK1289" s="3" t="str">
        <x:v>real_estate_operator</x:v>
      </x:c>
      <x:c r="AL1289" s="19" t="n">
        <x:v>100000</x:v>
      </x:c>
      <x:c r="AM1289" s="19" t="n">
        <x:v>500000</x:v>
      </x:c>
      <x:c r="AN1289" s="3" t="str">
        <x:v>https://www.cashhomebuyersdirectory.com/cash-home-buyers/nevada/reno</x:v>
      </x:c>
      <x:c r="AO1289" s="3" t="str">
        <x:v>national_rest_directory_complete.jsonl</x:v>
      </x:c>
      <x:c r="AP1289" s="19"/>
    </x:row>
    <x:row r="1290" ht="36" customHeight="1">
      <x:c r="A1290" s="23" t="n">
        <x:v>1289</x:v>
      </x:c>
      <x:c r="B1290" s="15" t="str">
        <x:v>Simple Cash Home Buyers CT | We Buy Houses</x:v>
      </x:c>
      <x:c r="C1290" s="15"/>
      <x:c r="D1290" s="15" t="str">
        <x:v>Property investor / home-buying operator</x:v>
      </x:c>
      <x:c r="E1290" s="15" t="str">
        <x:v>Property investor / operator inquiry</x:v>
      </x:c>
      <x:c r="F1290" s="17" t="str">
        <x:v>New</x:v>
      </x:c>
      <x:c r="G1290" s="24"/>
      <x:c r="H1290" s="24" t="str">
        <x:v>+12035809980</x:v>
      </x:c>
      <x:c r="I1290" s="24" t="str">
        <x:v>https://simplecashhomebuyers.com/connecticut/stamford/?utm_source=google&amp;utm_medium=gmb&amp;utm_campaign=stamford</x:v>
      </x:c>
      <x:c r="J1290" s="16" t="str">
        <x:v>CT</x:v>
      </x:c>
      <x:c r="K1290" s="16"/>
      <x:c r="L1290" s="16" t="str">
        <x:v>Public property-business route; investor decision maker unconfirmed</x:v>
      </x:c>
      <x:c r="M1290" s="16" t="str">
        <x:v>https://simplecashhomebuyers.com/connecticut/stamford/?utm_source=google&amp;utm_medium=gmb&amp;utm_campaign=stamford</x:v>
      </x:c>
      <x:c r="N1290" s="16" t="str">
        <x:v>$100K-$500K ticket not published / unconfirmed</x:v>
      </x:c>
      <x:c r="O1290" s="20"/>
      <x:c r="P1290" s="20"/>
      <x:c r="Q1290" s="25" t="str">
        <x:v>No direct corporate-capital range established in checked source</x:v>
      </x:c>
      <x:c r="R1290" s="25" t="str">
        <x:v>Property acquisition or investor activity makes this an operator-capital prospect for the signed trial. Confirm operating-company debt/equity appetite.</x:v>
      </x:c>
      <x:c r="S1290" s="25"/>
      <x:c r="T1290" s="25" t="str">
        <x:v>Ask the owner/investor whether they can allocate $100K-$500K to trial marketing and acquisitions, and confirm structure, timing and decision authority.</x:v>
      </x:c>
      <x:c r="U1290" s="25" t="str">
        <x:v>https://www.cashhomebuyersdirectory.com/cash-home-buyers/connecticut/hartford
https://www.cashhomebuyersdirectory.com/cash-home-buyers/connecticut/new-haven</x:v>
      </x:c>
      <x:c r="V1290" s="26" t="d">
        <x:v>2026-10-02T00:00:00.000Z</x:v>
      </x:c>
      <x:c r="W1290" s="26" t="d">
        <x:v>2026-10-02T00:00:00.000Z</x:v>
      </x:c>
      <x:c r="X1290" s="25" t="str">
        <x:v>CashHomeBuyersDirectory third-party business listing; first-party business activity not checked in this batch</x:v>
      </x:c>
      <x:c r="Y1290" s="25"/>
      <x:c r="Z1290" s="25" t="str">
        <x:v>https://www.cashhomebuyersdirectory.com/cash-home-buyers/connecticut/hartford</x:v>
      </x:c>
      <x:c r="AA1290" s="25" t="str">
        <x:v>Public cash-home-buyer directory lists the business name, business phone/website where available and market. Operator role and corporate funding willingness require confirmation.</x:v>
      </x:c>
      <x:c r="AB1290" s="3" t="str">
        <x:v>New public-source collection</x:v>
      </x:c>
      <x:c r="AC1290" s="3" t="str">
        <x:v>unverified</x:v>
      </x:c>
      <x:c r="AD1290" s="3" t="str">
        <x:v>Not contacted / unconfirmed</x:v>
      </x:c>
      <x:c r="AE1290" s="3" t="str">
        <x:v>No</x:v>
      </x:c>
      <x:c r="AF1290" s="3" t="str">
        <x:v>No</x:v>
      </x:c>
      <x:c r="AG1290" s="3"/>
      <x:c r="AH1290" s="3"/>
      <x:c r="AI1290" s="18"/>
      <x:c r="AJ1290" s="3" t="str">
        <x:v>CF2500-1B788902053A</x:v>
      </x:c>
      <x:c r="AK1290" s="3" t="str">
        <x:v>real_estate_operator</x:v>
      </x:c>
      <x:c r="AL1290" s="19" t="n">
        <x:v>100000</x:v>
      </x:c>
      <x:c r="AM1290" s="19" t="n">
        <x:v>500000</x:v>
      </x:c>
      <x:c r="AN1290" s="3" t="str">
        <x:v>https://www.cashhomebuyersdirectory.com/cash-home-buyers/connecticut/hartford</x:v>
      </x:c>
      <x:c r="AO1290" s="3" t="str">
        <x:v>national_rest_directory_complete.jsonl</x:v>
      </x:c>
      <x:c r="AP1290" s="19"/>
    </x:row>
    <x:row r="1291" ht="36" customHeight="1">
      <x:c r="A1291" s="23" t="n">
        <x:v>1290</x:v>
      </x:c>
      <x:c r="B1291" s="15" t="str">
        <x:v>Simple Home Buyer | We Buy Houses Dayton</x:v>
      </x:c>
      <x:c r="C1291" s="15"/>
      <x:c r="D1291" s="15" t="str">
        <x:v>Property investor / home-buying operator</x:v>
      </x:c>
      <x:c r="E1291" s="15" t="str">
        <x:v>Property investor / operator inquiry</x:v>
      </x:c>
      <x:c r="F1291" s="17" t="str">
        <x:v>New</x:v>
      </x:c>
      <x:c r="G1291" s="24"/>
      <x:c r="H1291" s="24" t="str">
        <x:v>+19377876007</x:v>
      </x:c>
      <x:c r="I1291" s="24" t="str">
        <x:v>https://thesimplehomebuyers.com/</x:v>
      </x:c>
      <x:c r="J1291" s="16" t="str">
        <x:v>OH</x:v>
      </x:c>
      <x:c r="K1291" s="16" t="str">
        <x:v>Tipp City</x:v>
      </x:c>
      <x:c r="L1291" s="16" t="str">
        <x:v>Public property-business route; investor decision maker unconfirmed</x:v>
      </x:c>
      <x:c r="M1291" s="16" t="str">
        <x:v>https://thesimplehomebuyers.com/</x:v>
      </x:c>
      <x:c r="N1291" s="16" t="str">
        <x:v>$100K-$500K ticket not published / unconfirmed</x:v>
      </x:c>
      <x:c r="O1291" s="20"/>
      <x:c r="P1291" s="20"/>
      <x:c r="Q1291" s="25" t="str">
        <x:v>No direct corporate-capital range established in checked source</x:v>
      </x:c>
      <x:c r="R1291" s="25" t="str">
        <x:v>Property acquisition or investor activity makes this an operator-capital prospect for the signed trial. Confirm operating-company debt/equity appetite.</x:v>
      </x:c>
      <x:c r="S1291" s="25"/>
      <x:c r="T1291" s="25" t="str">
        <x:v>Ask the owner/investor whether they can allocate $100K-$500K to trial marketing and acquisitions, and confirm structure, timing and decision authority.</x:v>
      </x:c>
      <x:c r="U1291" s="25" t="str">
        <x:v>https://www.cashhomebuyersdirectory.com/cash-home-buyers/ohio/tipp-city</x:v>
      </x:c>
      <x:c r="V1291" s="26" t="d">
        <x:v>2026-10-02T00:00:00.000Z</x:v>
      </x:c>
      <x:c r="W1291" s="26" t="d">
        <x:v>2026-10-02T00:00:00.000Z</x:v>
      </x:c>
      <x:c r="X1291" s="25" t="str">
        <x:v>CashHomeBuyersDirectory third-party business listing; first-party business activity not checked in this batch</x:v>
      </x:c>
      <x:c r="Y1291" s="25"/>
      <x:c r="Z1291" s="25" t="str">
        <x:v>https://www.cashhomebuyersdirectory.com/cash-home-buyers/ohio/tipp-city</x:v>
      </x:c>
      <x:c r="AA1291" s="25" t="str">
        <x:v>Public cash-home-buyer directory lists the business name, business phone/website where available and market. Operator role and corporate funding willingness require confirmation.</x:v>
      </x:c>
      <x:c r="AB1291" s="3" t="str">
        <x:v>New public-source collection</x:v>
      </x:c>
      <x:c r="AC1291" s="3" t="str">
        <x:v>unverified</x:v>
      </x:c>
      <x:c r="AD1291" s="3" t="str">
        <x:v>Not contacted / unconfirmed</x:v>
      </x:c>
      <x:c r="AE1291" s="3" t="str">
        <x:v>No</x:v>
      </x:c>
      <x:c r="AF1291" s="3" t="str">
        <x:v>No</x:v>
      </x:c>
      <x:c r="AG1291" s="3"/>
      <x:c r="AH1291" s="3"/>
      <x:c r="AI1291" s="18"/>
      <x:c r="AJ1291" s="3" t="str">
        <x:v>CF2500-65C17ADAB763</x:v>
      </x:c>
      <x:c r="AK1291" s="3" t="str">
        <x:v>real_estate_operator</x:v>
      </x:c>
      <x:c r="AL1291" s="19" t="n">
        <x:v>100000</x:v>
      </x:c>
      <x:c r="AM1291" s="19" t="n">
        <x:v>500000</x:v>
      </x:c>
      <x:c r="AN1291" s="3" t="str">
        <x:v>https://www.cashhomebuyersdirectory.com/cash-home-buyers/ohio/tipp-city</x:v>
      </x:c>
      <x:c r="AO1291" s="3" t="str">
        <x:v>national_rest_directory_complete.jsonl</x:v>
      </x:c>
      <x:c r="AP1291" s="19"/>
    </x:row>
    <x:row r="1292" ht="36" customHeight="1">
      <x:c r="A1292" s="23" t="n">
        <x:v>1291</x:v>
      </x:c>
      <x:c r="B1292" s="15" t="str">
        <x:v>Simple Homebuyers</x:v>
      </x:c>
      <x:c r="C1292" s="15"/>
      <x:c r="D1292" s="15" t="str">
        <x:v>Property investor / home-buying operator</x:v>
      </x:c>
      <x:c r="E1292" s="15" t="str">
        <x:v>Property investor / operator inquiry</x:v>
      </x:c>
      <x:c r="F1292" s="17" t="str">
        <x:v>New</x:v>
      </x:c>
      <x:c r="G1292" s="24"/>
      <x:c r="H1292" s="24" t="str">
        <x:v>+12407762887</x:v>
      </x:c>
      <x:c r="I1292" s="24" t="str">
        <x:v>https://www.simplehomebuyers.com/sell-house-fast-in-baltimore/</x:v>
      </x:c>
      <x:c r="J1292" s="16" t="str">
        <x:v>MD</x:v>
      </x:c>
      <x:c r="K1292" s="16" t="str">
        <x:v>Essex</x:v>
      </x:c>
      <x:c r="L1292" s="16" t="str">
        <x:v>Public property-business route; investor decision maker unconfirmed</x:v>
      </x:c>
      <x:c r="M1292" s="16" t="str">
        <x:v>https://www.simplehomebuyers.com/sell-house-fast-in-baltimore/</x:v>
      </x:c>
      <x:c r="N1292" s="16" t="str">
        <x:v>$100K-$500K ticket not published / unconfirmed</x:v>
      </x:c>
      <x:c r="O1292" s="20"/>
      <x:c r="P1292" s="20"/>
      <x:c r="Q1292" s="25" t="str">
        <x:v>No direct corporate-capital range established in checked source</x:v>
      </x:c>
      <x:c r="R1292" s="25" t="str">
        <x:v>Property acquisition or investor activity makes this an operator-capital prospect for the signed trial. Confirm operating-company debt/equity appetite.</x:v>
      </x:c>
      <x:c r="S1292" s="25"/>
      <x:c r="T1292" s="25" t="str">
        <x:v>Ask the owner/investor whether they can allocate $100K-$500K to trial marketing and acquisitions, and confirm structure, timing and decision authority.</x:v>
      </x:c>
      <x:c r="U1292" s="25" t="str">
        <x:v>https://www.cashhomebuyersdirectory.com/cash-home-buyers/maryland/essex</x:v>
      </x:c>
      <x:c r="V1292" s="26" t="d">
        <x:v>2026-10-02T00:00:00.000Z</x:v>
      </x:c>
      <x:c r="W1292" s="26" t="d">
        <x:v>2026-10-02T00:00:00.000Z</x:v>
      </x:c>
      <x:c r="X1292" s="25" t="str">
        <x:v>CashHomeBuyersDirectory third-party business listing; first-party business activity not checked in this batch</x:v>
      </x:c>
      <x:c r="Y1292" s="25"/>
      <x:c r="Z1292" s="25" t="str">
        <x:v>https://www.cashhomebuyersdirectory.com/cash-home-buyers/maryland/essex</x:v>
      </x:c>
      <x:c r="AA1292" s="25" t="str">
        <x:v>Public cash-home-buyer directory lists the business name, business phone/website where available and market. Operator role and corporate funding willingness require confirmation.</x:v>
      </x:c>
      <x:c r="AB1292" s="3" t="str">
        <x:v>New public-source collection</x:v>
      </x:c>
      <x:c r="AC1292" s="3" t="str">
        <x:v>unverified</x:v>
      </x:c>
      <x:c r="AD1292" s="3" t="str">
        <x:v>Not contacted / unconfirmed</x:v>
      </x:c>
      <x:c r="AE1292" s="3" t="str">
        <x:v>No</x:v>
      </x:c>
      <x:c r="AF1292" s="3" t="str">
        <x:v>No</x:v>
      </x:c>
      <x:c r="AG1292" s="3"/>
      <x:c r="AH1292" s="3"/>
      <x:c r="AI1292" s="18"/>
      <x:c r="AJ1292" s="3" t="str">
        <x:v>CF2500-D67382521079</x:v>
      </x:c>
      <x:c r="AK1292" s="3" t="str">
        <x:v>real_estate_operator</x:v>
      </x:c>
      <x:c r="AL1292" s="19" t="n">
        <x:v>100000</x:v>
      </x:c>
      <x:c r="AM1292" s="19" t="n">
        <x:v>500000</x:v>
      </x:c>
      <x:c r="AN1292" s="3" t="str">
        <x:v>https://www.cashhomebuyersdirectory.com/cash-home-buyers/maryland/essex</x:v>
      </x:c>
      <x:c r="AO1292" s="3" t="str">
        <x:v>national_rest_directory_complete.jsonl</x:v>
      </x:c>
      <x:c r="AP1292" s="19"/>
    </x:row>
    <x:row r="1293" ht="36" customHeight="1">
      <x:c r="A1293" s="23" t="n">
        <x:v>1292</x:v>
      </x:c>
      <x:c r="B1293" s="15" t="str">
        <x:v>Simple Sell Home Buyers</x:v>
      </x:c>
      <x:c r="C1293" s="15"/>
      <x:c r="D1293" s="15" t="str">
        <x:v>Property investor / home-buying operator</x:v>
      </x:c>
      <x:c r="E1293" s="15" t="str">
        <x:v>Property investor / operator inquiry</x:v>
      </x:c>
      <x:c r="F1293" s="17" t="str">
        <x:v>New</x:v>
      </x:c>
      <x:c r="G1293" s="24"/>
      <x:c r="H1293" s="24" t="str">
        <x:v>+15166143951</x:v>
      </x:c>
      <x:c r="I1293" s="24" t="str">
        <x:v>http://simplesellhomebuyers.com/</x:v>
      </x:c>
      <x:c r="J1293" s="16" t="str">
        <x:v>CA</x:v>
      </x:c>
      <x:c r="K1293" s="16"/>
      <x:c r="L1293" s="16" t="str">
        <x:v>Public property-business route; investor decision maker unconfirmed</x:v>
      </x:c>
      <x:c r="M1293" s="16" t="str">
        <x:v>http://simplesellhomebuyers.com/</x:v>
      </x:c>
      <x:c r="N1293" s="16" t="str">
        <x:v>$100K-$500K ticket not published / unconfirmed</x:v>
      </x:c>
      <x:c r="O1293" s="20"/>
      <x:c r="P1293" s="20"/>
      <x:c r="Q1293" s="25" t="str">
        <x:v>No direct corporate-capital range established in checked source</x:v>
      </x:c>
      <x:c r="R1293" s="25" t="str">
        <x:v>Property acquisition or investor activity makes this an operator-capital prospect for the signed trial. Confirm operating-company debt/equity appetite.</x:v>
      </x:c>
      <x:c r="S1293" s="25"/>
      <x:c r="T1293" s="25" t="str">
        <x:v>Ask the owner/investor whether they can allocate $100K-$500K to trial marketing and acquisitions, and confirm structure, timing and decision authority.</x:v>
      </x:c>
      <x:c r="U1293" s="25" t="str">
        <x:v>https://www.cashhomebuyersdirectory.com/cash-home-buyers/california/long-beach
https://www.cashhomebuyersdirectory.com/cash-home-buyers/new-york/albany</x:v>
      </x:c>
      <x:c r="V1293" s="26" t="d">
        <x:v>2026-10-02T00:00:00.000Z</x:v>
      </x:c>
      <x:c r="W1293" s="26" t="d">
        <x:v>2026-10-02T00:00:00.000Z</x:v>
      </x:c>
      <x:c r="X1293" s="25" t="str">
        <x:v>CashHomeBuyersDirectory third-party business listing; first-party business activity not checked in this batch</x:v>
      </x:c>
      <x:c r="Y1293" s="25"/>
      <x:c r="Z1293" s="25" t="str">
        <x:v>https://www.cashhomebuyersdirectory.com/cash-home-buyers/california/long-beach</x:v>
      </x:c>
      <x:c r="AA1293" s="25" t="str">
        <x:v>Public cash-home-buyer directory lists the business name, business phone/website where available and market. Operator role and corporate funding willingness require confirmation.</x:v>
      </x:c>
      <x:c r="AB1293" s="3" t="str">
        <x:v>New public-source collection</x:v>
      </x:c>
      <x:c r="AC1293" s="3" t="str">
        <x:v>unverified</x:v>
      </x:c>
      <x:c r="AD1293" s="3" t="str">
        <x:v>Not contacted / unconfirmed</x:v>
      </x:c>
      <x:c r="AE1293" s="3" t="str">
        <x:v>No</x:v>
      </x:c>
      <x:c r="AF1293" s="3" t="str">
        <x:v>No</x:v>
      </x:c>
      <x:c r="AG1293" s="3"/>
      <x:c r="AH1293" s="3"/>
      <x:c r="AI1293" s="18"/>
      <x:c r="AJ1293" s="3" t="str">
        <x:v>CF2500-1ADEE326CB36</x:v>
      </x:c>
      <x:c r="AK1293" s="3" t="str">
        <x:v>real_estate_operator</x:v>
      </x:c>
      <x:c r="AL1293" s="19" t="n">
        <x:v>100000</x:v>
      </x:c>
      <x:c r="AM1293" s="19" t="n">
        <x:v>500000</x:v>
      </x:c>
      <x:c r="AN1293" s="3" t="str">
        <x:v>https://www.cashhomebuyersdirectory.com/cash-home-buyers/california/long-beach</x:v>
      </x:c>
      <x:c r="AO1293" s="3" t="str">
        <x:v>national_rest_directory_complete.jsonl</x:v>
      </x:c>
      <x:c r="AP1293" s="19"/>
    </x:row>
    <x:row r="1294" ht="36" customHeight="1">
      <x:c r="A1294" s="23" t="n">
        <x:v>1293</x:v>
      </x:c>
      <x:c r="B1294" s="15" t="str">
        <x:v>Simply Sold RE | Sell Your House Fast Milwaukee</x:v>
      </x:c>
      <x:c r="C1294" s="15"/>
      <x:c r="D1294" s="15" t="str">
        <x:v>Property investor / home-buying operator</x:v>
      </x:c>
      <x:c r="E1294" s="15" t="str">
        <x:v>Property investor / operator inquiry</x:v>
      </x:c>
      <x:c r="F1294" s="17" t="str">
        <x:v>New</x:v>
      </x:c>
      <x:c r="G1294" s="24"/>
      <x:c r="H1294" s="24" t="str">
        <x:v>+16085888827</x:v>
      </x:c>
      <x:c r="I1294" s="24" t="str">
        <x:v>https://simplysoldre.com/</x:v>
      </x:c>
      <x:c r="J1294" s="16" t="str">
        <x:v>WI</x:v>
      </x:c>
      <x:c r="K1294" s="16" t="str">
        <x:v>Milwaukee</x:v>
      </x:c>
      <x:c r="L1294" s="16" t="str">
        <x:v>Public property-business route; investor decision maker unconfirmed</x:v>
      </x:c>
      <x:c r="M1294" s="16" t="str">
        <x:v>https://simplysoldre.com/</x:v>
      </x:c>
      <x:c r="N1294" s="16" t="str">
        <x:v>$100K-$500K ticket not published / unconfirmed</x:v>
      </x:c>
      <x:c r="O1294" s="20"/>
      <x:c r="P1294" s="20"/>
      <x:c r="Q1294" s="25" t="str">
        <x:v>No direct corporate-capital range established in checked source</x:v>
      </x:c>
      <x:c r="R1294" s="25" t="str">
        <x:v>Property acquisition or investor activity makes this an operator-capital prospect for the signed trial. Confirm operating-company debt/equity appetite.</x:v>
      </x:c>
      <x:c r="S1294" s="25"/>
      <x:c r="T1294" s="25" t="str">
        <x:v>Ask the owner/investor whether they can allocate $100K-$500K to trial marketing and acquisitions, and confirm structure, timing and decision authority.</x:v>
      </x:c>
      <x:c r="U1294" s="25" t="str">
        <x:v>https://www.cashhomebuyersdirectory.com/cash-home-buyers/wisconsin/milwaukee
https://www.cashhomebuyersdirectory.com/cash-home-buyers/pennsylvania/tobyhanna</x:v>
      </x:c>
      <x:c r="V1294" s="26" t="d">
        <x:v>2026-10-02T00:00:00.000Z</x:v>
      </x:c>
      <x:c r="W1294" s="26" t="d">
        <x:v>2026-10-02T00:00:00.000Z</x:v>
      </x:c>
      <x:c r="X1294" s="25" t="str">
        <x:v>CashHomeBuyersDirectory third-party business listing; first-party business activity not checked in this batch</x:v>
      </x:c>
      <x:c r="Y1294" s="25"/>
      <x:c r="Z1294" s="25" t="str">
        <x:v>https://www.cashhomebuyersdirectory.com/cash-home-buyers/wisconsin/milwaukee</x:v>
      </x:c>
      <x:c r="AA1294" s="25" t="str">
        <x:v>Public cash-home-buyer directory lists the business name, business phone/website where available and market. Operator role and corporate funding willingness require confirmation.</x:v>
      </x:c>
      <x:c r="AB1294" s="3" t="str">
        <x:v>New public-source collection</x:v>
      </x:c>
      <x:c r="AC1294" s="3" t="str">
        <x:v>unverified</x:v>
      </x:c>
      <x:c r="AD1294" s="3" t="str">
        <x:v>Not contacted / unconfirmed</x:v>
      </x:c>
      <x:c r="AE1294" s="3" t="str">
        <x:v>No</x:v>
      </x:c>
      <x:c r="AF1294" s="3" t="str">
        <x:v>No</x:v>
      </x:c>
      <x:c r="AG1294" s="3"/>
      <x:c r="AH1294" s="3" t="str">
        <x:v>Simply Sold RE | Sell Your House Fast Pennsylvania</x:v>
      </x:c>
      <x:c r="AI1294" s="18"/>
      <x:c r="AJ1294" s="3" t="str">
        <x:v>CF2500-C7A9D7837067</x:v>
      </x:c>
      <x:c r="AK1294" s="3" t="str">
        <x:v>real_estate_operator</x:v>
      </x:c>
      <x:c r="AL1294" s="19" t="n">
        <x:v>100000</x:v>
      </x:c>
      <x:c r="AM1294" s="19" t="n">
        <x:v>500000</x:v>
      </x:c>
      <x:c r="AN1294" s="3" t="str">
        <x:v>https://www.cashhomebuyersdirectory.com/cash-home-buyers/wisconsin/milwaukee</x:v>
      </x:c>
      <x:c r="AO1294" s="3" t="str">
        <x:v>national_rest_directory_complete.jsonl</x:v>
      </x:c>
      <x:c r="AP1294" s="19"/>
    </x:row>
    <x:row r="1295" ht="36" customHeight="1">
      <x:c r="A1295" s="23" t="n">
        <x:v>1294</x:v>
      </x:c>
      <x:c r="B1295" s="15" t="str">
        <x:v>Simply Sold RE | Sell Your House Fast New Jersey</x:v>
      </x:c>
      <x:c r="C1295" s="15"/>
      <x:c r="D1295" s="15" t="str">
        <x:v>Property investor / home-buying operator</x:v>
      </x:c>
      <x:c r="E1295" s="15" t="str">
        <x:v>Property investor / operator inquiry</x:v>
      </x:c>
      <x:c r="F1295" s="17" t="str">
        <x:v>New</x:v>
      </x:c>
      <x:c r="G1295" s="24"/>
      <x:c r="H1295" s="24" t="str">
        <x:v>+18664084952</x:v>
      </x:c>
      <x:c r="I1295" s="24" t="str">
        <x:v>https://simplysoldnewyork.com/</x:v>
      </x:c>
      <x:c r="J1295" s="16" t="str">
        <x:v>NJ</x:v>
      </x:c>
      <x:c r="K1295" s="16"/>
      <x:c r="L1295" s="16" t="str">
        <x:v>Public property-business route; investor decision maker unconfirmed</x:v>
      </x:c>
      <x:c r="M1295" s="16" t="str">
        <x:v>https://simplysoldnewyork.com/</x:v>
      </x:c>
      <x:c r="N1295" s="16" t="str">
        <x:v>$100K-$500K ticket not published / unconfirmed</x:v>
      </x:c>
      <x:c r="O1295" s="20"/>
      <x:c r="P1295" s="20"/>
      <x:c r="Q1295" s="25" t="str">
        <x:v>No direct corporate-capital range established in checked source</x:v>
      </x:c>
      <x:c r="R1295" s="25" t="str">
        <x:v>Property acquisition or investor activity makes this an operator-capital prospect for the signed trial. Confirm operating-company debt/equity appetite.</x:v>
      </x:c>
      <x:c r="S1295" s="25"/>
      <x:c r="T1295" s="25" t="str">
        <x:v>Ask the owner/investor whether they can allocate $100K-$500K to trial marketing and acquisitions, and confirm structure, timing and decision authority.</x:v>
      </x:c>
      <x:c r="U1295" s="25" t="str">
        <x:v>https://www.cashhomebuyersdirectory.com/cash-home-buyers/new-jersey/newark</x:v>
      </x:c>
      <x:c r="V1295" s="26" t="d">
        <x:v>2026-10-02T00:00:00.000Z</x:v>
      </x:c>
      <x:c r="W1295" s="26" t="d">
        <x:v>2026-10-02T00:00:00.000Z</x:v>
      </x:c>
      <x:c r="X1295" s="25" t="str">
        <x:v>CashHomeBuyersDirectory third-party business listing; first-party business activity not checked in this batch</x:v>
      </x:c>
      <x:c r="Y1295" s="25"/>
      <x:c r="Z1295" s="25" t="str">
        <x:v>https://www.cashhomebuyersdirectory.com/cash-home-buyers/new-jersey/newark</x:v>
      </x:c>
      <x:c r="AA1295" s="25" t="str">
        <x:v>Public cash-home-buyer directory lists the business name, business phone/website where available and market. Operator role and corporate funding willingness require confirmation.</x:v>
      </x:c>
      <x:c r="AB1295" s="3" t="str">
        <x:v>New public-source collection</x:v>
      </x:c>
      <x:c r="AC1295" s="3" t="str">
        <x:v>unverified</x:v>
      </x:c>
      <x:c r="AD1295" s="3" t="str">
        <x:v>Not contacted / unconfirmed</x:v>
      </x:c>
      <x:c r="AE1295" s="3" t="str">
        <x:v>No</x:v>
      </x:c>
      <x:c r="AF1295" s="3" t="str">
        <x:v>No</x:v>
      </x:c>
      <x:c r="AG1295" s="3"/>
      <x:c r="AH1295" s="3"/>
      <x:c r="AI1295" s="18"/>
      <x:c r="AJ1295" s="3" t="str">
        <x:v>CF2500-724F289708AB</x:v>
      </x:c>
      <x:c r="AK1295" s="3" t="str">
        <x:v>real_estate_operator</x:v>
      </x:c>
      <x:c r="AL1295" s="19" t="n">
        <x:v>100000</x:v>
      </x:c>
      <x:c r="AM1295" s="19" t="n">
        <x:v>500000</x:v>
      </x:c>
      <x:c r="AN1295" s="3" t="str">
        <x:v>https://www.cashhomebuyersdirectory.com/cash-home-buyers/new-jersey/newark</x:v>
      </x:c>
      <x:c r="AO1295" s="3" t="str">
        <x:v>national_rest_directory_complete.jsonl</x:v>
      </x:c>
      <x:c r="AP1295" s="19"/>
    </x:row>
    <x:row r="1296" ht="36" customHeight="1">
      <x:c r="A1296" s="23" t="n">
        <x:v>1295</x:v>
      </x:c>
      <x:c r="B1296" s="15" t="str">
        <x:v>Sioux Empire Cash Home Buyer</x:v>
      </x:c>
      <x:c r="C1296" s="15"/>
      <x:c r="D1296" s="15" t="str">
        <x:v>Property investor / home-buying operator</x:v>
      </x:c>
      <x:c r="E1296" s="15" t="str">
        <x:v>Property investor / operator inquiry</x:v>
      </x:c>
      <x:c r="F1296" s="17" t="str">
        <x:v>New</x:v>
      </x:c>
      <x:c r="G1296" s="24"/>
      <x:c r="H1296" s="24" t="str">
        <x:v>+16056674812</x:v>
      </x:c>
      <x:c r="I1296" s="24" t="str">
        <x:v>https://siouxempirecashhomebuyer.com/</x:v>
      </x:c>
      <x:c r="J1296" s="16" t="str">
        <x:v>SD</x:v>
      </x:c>
      <x:c r="K1296" s="16"/>
      <x:c r="L1296" s="16" t="str">
        <x:v>Public property-business route; investor decision maker unconfirmed</x:v>
      </x:c>
      <x:c r="M1296" s="16" t="str">
        <x:v>https://siouxempirecashhomebuyer.com/</x:v>
      </x:c>
      <x:c r="N1296" s="16" t="str">
        <x:v>$100K-$500K ticket not published / unconfirmed</x:v>
      </x:c>
      <x:c r="O1296" s="20"/>
      <x:c r="P1296" s="20"/>
      <x:c r="Q1296" s="25" t="str">
        <x:v>No direct corporate-capital range established in checked source</x:v>
      </x:c>
      <x:c r="R1296" s="25" t="str">
        <x:v>Property acquisition or investor activity makes this an operator-capital prospect for the signed trial. Confirm operating-company debt/equity appetite.</x:v>
      </x:c>
      <x:c r="S1296" s="25"/>
      <x:c r="T1296" s="25" t="str">
        <x:v>Ask the owner/investor whether they can allocate $100K-$500K to trial marketing and acquisitions, and confirm structure, timing and decision authority.</x:v>
      </x:c>
      <x:c r="U1296" s="25" t="str">
        <x:v>https://www.cashhomebuyersdirectory.com/cash-home-buyers/south-dakota/sioux-falls</x:v>
      </x:c>
      <x:c r="V1296" s="26" t="d">
        <x:v>2026-10-02T00:00:00.000Z</x:v>
      </x:c>
      <x:c r="W1296" s="26" t="d">
        <x:v>2026-10-02T00:00:00.000Z</x:v>
      </x:c>
      <x:c r="X1296" s="25" t="str">
        <x:v>CashHomeBuyersDirectory third-party business listing; first-party business activity not checked in this batch</x:v>
      </x:c>
      <x:c r="Y1296" s="25"/>
      <x:c r="Z1296" s="25" t="str">
        <x:v>https://www.cashhomebuyersdirectory.com/cash-home-buyers/south-dakota/sioux-falls</x:v>
      </x:c>
      <x:c r="AA1296" s="25" t="str">
        <x:v>Public cash-home-buyer directory lists the business name, business phone/website where available and market. Operator role and corporate funding willingness require confirmation.</x:v>
      </x:c>
      <x:c r="AB1296" s="3" t="str">
        <x:v>New public-source collection</x:v>
      </x:c>
      <x:c r="AC1296" s="3" t="str">
        <x:v>unverified</x:v>
      </x:c>
      <x:c r="AD1296" s="3" t="str">
        <x:v>Not contacted / unconfirmed</x:v>
      </x:c>
      <x:c r="AE1296" s="3" t="str">
        <x:v>No</x:v>
      </x:c>
      <x:c r="AF1296" s="3" t="str">
        <x:v>No</x:v>
      </x:c>
      <x:c r="AG1296" s="3"/>
      <x:c r="AH1296" s="3"/>
      <x:c r="AI1296" s="18"/>
      <x:c r="AJ1296" s="3" t="str">
        <x:v>CF2500-1E7AAAB7C73D</x:v>
      </x:c>
      <x:c r="AK1296" s="3" t="str">
        <x:v>real_estate_operator</x:v>
      </x:c>
      <x:c r="AL1296" s="19" t="n">
        <x:v>100000</x:v>
      </x:c>
      <x:c r="AM1296" s="19" t="n">
        <x:v>500000</x:v>
      </x:c>
      <x:c r="AN1296" s="3" t="str">
        <x:v>https://www.cashhomebuyersdirectory.com/cash-home-buyers/south-dakota/sioux-falls</x:v>
      </x:c>
      <x:c r="AO1296" s="3" t="str">
        <x:v>national_rest_directory_complete.jsonl</x:v>
      </x:c>
      <x:c r="AP1296" s="19"/>
    </x:row>
    <x:row r="1297" ht="36" customHeight="1">
      <x:c r="A1297" s="23" t="n">
        <x:v>1296</x:v>
      </x:c>
      <x:c r="B1297" s="15" t="str">
        <x:v>Sioux Empire Home Buyers</x:v>
      </x:c>
      <x:c r="C1297" s="15"/>
      <x:c r="D1297" s="15" t="str">
        <x:v>Property investor / home-buying operator</x:v>
      </x:c>
      <x:c r="E1297" s="15" t="str">
        <x:v>Property investor / operator inquiry</x:v>
      </x:c>
      <x:c r="F1297" s="17" t="str">
        <x:v>New</x:v>
      </x:c>
      <x:c r="G1297" s="24"/>
      <x:c r="H1297" s="24" t="str">
        <x:v>+16056405601</x:v>
      </x:c>
      <x:c r="I1297" s="24" t="str">
        <x:v>https://www.siouxempirehomebuyers.com/</x:v>
      </x:c>
      <x:c r="J1297" s="16" t="str">
        <x:v>SD</x:v>
      </x:c>
      <x:c r="K1297" s="16" t="str">
        <x:v>Sioux Falls</x:v>
      </x:c>
      <x:c r="L1297" s="16" t="str">
        <x:v>Public property-business route; investor decision maker unconfirmed</x:v>
      </x:c>
      <x:c r="M1297" s="16" t="str">
        <x:v>https://www.siouxempirehomebuyers.com/</x:v>
      </x:c>
      <x:c r="N1297" s="16" t="str">
        <x:v>$100K-$500K ticket not published / unconfirmed</x:v>
      </x:c>
      <x:c r="O1297" s="20"/>
      <x:c r="P1297" s="20"/>
      <x:c r="Q1297" s="25" t="str">
        <x:v>No direct corporate-capital range established in checked source</x:v>
      </x:c>
      <x:c r="R1297" s="25" t="str">
        <x:v>Property acquisition or investor activity makes this an operator-capital prospect for the signed trial. Confirm operating-company debt/equity appetite.</x:v>
      </x:c>
      <x:c r="S1297" s="25"/>
      <x:c r="T1297" s="25" t="str">
        <x:v>Ask the owner/investor whether they can allocate $100K-$500K to trial marketing and acquisitions, and confirm structure, timing and decision authority.</x:v>
      </x:c>
      <x:c r="U1297" s="25" t="str">
        <x:v>https://www.cashhomebuyersdirectory.com/cash-home-buyers/south-dakota/sioux-falls</x:v>
      </x:c>
      <x:c r="V1297" s="26" t="d">
        <x:v>2026-10-02T00:00:00.000Z</x:v>
      </x:c>
      <x:c r="W1297" s="26" t="d">
        <x:v>2026-10-02T00:00:00.000Z</x:v>
      </x:c>
      <x:c r="X1297" s="25" t="str">
        <x:v>CashHomeBuyersDirectory third-party business listing; first-party business activity not checked in this batch</x:v>
      </x:c>
      <x:c r="Y1297" s="25"/>
      <x:c r="Z1297" s="25" t="str">
        <x:v>https://www.cashhomebuyersdirectory.com/cash-home-buyers/south-dakota/sioux-falls</x:v>
      </x:c>
      <x:c r="AA1297" s="25" t="str">
        <x:v>Public cash-home-buyer directory lists the business name, business phone/website where available and market. Operator role and corporate funding willingness require confirmation.</x:v>
      </x:c>
      <x:c r="AB1297" s="3" t="str">
        <x:v>New public-source collection</x:v>
      </x:c>
      <x:c r="AC1297" s="3" t="str">
        <x:v>unverified</x:v>
      </x:c>
      <x:c r="AD1297" s="3" t="str">
        <x:v>Not contacted / unconfirmed</x:v>
      </x:c>
      <x:c r="AE1297" s="3" t="str">
        <x:v>No</x:v>
      </x:c>
      <x:c r="AF1297" s="3" t="str">
        <x:v>No</x:v>
      </x:c>
      <x:c r="AG1297" s="3"/>
      <x:c r="AH1297" s="3"/>
      <x:c r="AI1297" s="18"/>
      <x:c r="AJ1297" s="3" t="str">
        <x:v>CF2500-271EA160F4CA</x:v>
      </x:c>
      <x:c r="AK1297" s="3" t="str">
        <x:v>real_estate_operator</x:v>
      </x:c>
      <x:c r="AL1297" s="19" t="n">
        <x:v>100000</x:v>
      </x:c>
      <x:c r="AM1297" s="19" t="n">
        <x:v>500000</x:v>
      </x:c>
      <x:c r="AN1297" s="3" t="str">
        <x:v>https://www.cashhomebuyersdirectory.com/cash-home-buyers/south-dakota/sioux-falls</x:v>
      </x:c>
      <x:c r="AO1297" s="3" t="str">
        <x:v>national_rest_directory_complete.jsonl</x:v>
      </x:c>
      <x:c r="AP1297" s="19"/>
    </x:row>
    <x:row r="1298" ht="36" customHeight="1">
      <x:c r="A1298" s="23" t="n">
        <x:v>1297</x:v>
      </x:c>
      <x:c r="B1298" s="15" t="str">
        <x:v>Sisters Who Buy Houses</x:v>
      </x:c>
      <x:c r="C1298" s="15"/>
      <x:c r="D1298" s="15" t="str">
        <x:v>Property investor / home-buying operator</x:v>
      </x:c>
      <x:c r="E1298" s="15" t="str">
        <x:v>Property investor / operator inquiry</x:v>
      </x:c>
      <x:c r="F1298" s="17" t="str">
        <x:v>New</x:v>
      </x:c>
      <x:c r="G1298" s="24"/>
      <x:c r="H1298" s="24" t="str">
        <x:v>+15022730000</x:v>
      </x:c>
      <x:c r="I1298" s="24" t="str">
        <x:v>https://sisterswhobuyhouses.com/</x:v>
      </x:c>
      <x:c r="J1298" s="16" t="str">
        <x:v>KY</x:v>
      </x:c>
      <x:c r="K1298" s="16" t="str">
        <x:v>Louisville</x:v>
      </x:c>
      <x:c r="L1298" s="16" t="str">
        <x:v>Public property-business route; investor decision maker unconfirmed</x:v>
      </x:c>
      <x:c r="M1298" s="16" t="str">
        <x:v>https://sisterswhobuyhouses.com/</x:v>
      </x:c>
      <x:c r="N1298" s="16" t="str">
        <x:v>$100K-$500K ticket not published / unconfirmed</x:v>
      </x:c>
      <x:c r="O1298" s="20"/>
      <x:c r="P1298" s="20"/>
      <x:c r="Q1298" s="25" t="str">
        <x:v>No direct corporate-capital range established in checked source</x:v>
      </x:c>
      <x:c r="R1298" s="25" t="str">
        <x:v>Property acquisition or investor activity makes this an operator-capital prospect for the signed trial. Confirm operating-company debt/equity appetite.</x:v>
      </x:c>
      <x:c r="S1298" s="25"/>
      <x:c r="T1298" s="25" t="str">
        <x:v>Ask the owner/investor whether they can allocate $100K-$500K to trial marketing and acquisitions, and confirm structure, timing and decision authority.</x:v>
      </x:c>
      <x:c r="U1298" s="25" t="str">
        <x:v>https://www.cashhomebuyersdirectory.com/cash-home-buyers/kentucky/louisville</x:v>
      </x:c>
      <x:c r="V1298" s="26" t="d">
        <x:v>2026-10-02T00:00:00.000Z</x:v>
      </x:c>
      <x:c r="W1298" s="26" t="d">
        <x:v>2026-10-02T00:00:00.000Z</x:v>
      </x:c>
      <x:c r="X1298" s="25" t="str">
        <x:v>CashHomeBuyersDirectory third-party business listing; first-party business activity not checked in this batch</x:v>
      </x:c>
      <x:c r="Y1298" s="25"/>
      <x:c r="Z1298" s="25" t="str">
        <x:v>https://www.cashhomebuyersdirectory.com/cash-home-buyers/kentucky/louisville</x:v>
      </x:c>
      <x:c r="AA1298" s="25" t="str">
        <x:v>Public cash-home-buyer directory lists the business name, business phone/website where available and market. Operator role and corporate funding willingness require confirmation.</x:v>
      </x:c>
      <x:c r="AB1298" s="3" t="str">
        <x:v>New public-source collection</x:v>
      </x:c>
      <x:c r="AC1298" s="3" t="str">
        <x:v>unverified</x:v>
      </x:c>
      <x:c r="AD1298" s="3" t="str">
        <x:v>Not contacted / unconfirmed</x:v>
      </x:c>
      <x:c r="AE1298" s="3" t="str">
        <x:v>No</x:v>
      </x:c>
      <x:c r="AF1298" s="3" t="str">
        <x:v>No</x:v>
      </x:c>
      <x:c r="AG1298" s="3"/>
      <x:c r="AH1298" s="3"/>
      <x:c r="AI1298" s="18"/>
      <x:c r="AJ1298" s="3" t="str">
        <x:v>CF2500-AD43E9AF450B</x:v>
      </x:c>
      <x:c r="AK1298" s="3" t="str">
        <x:v>real_estate_operator</x:v>
      </x:c>
      <x:c r="AL1298" s="19" t="n">
        <x:v>100000</x:v>
      </x:c>
      <x:c r="AM1298" s="19" t="n">
        <x:v>500000</x:v>
      </x:c>
      <x:c r="AN1298" s="3" t="str">
        <x:v>https://www.cashhomebuyersdirectory.com/cash-home-buyers/kentucky/louisville</x:v>
      </x:c>
      <x:c r="AO1298" s="3" t="str">
        <x:v>national_rest_directory_complete.jsonl</x:v>
      </x:c>
      <x:c r="AP1298" s="19"/>
    </x:row>
    <x:row r="1299" ht="36" customHeight="1">
      <x:c r="A1299" s="23" t="n">
        <x:v>1298</x:v>
      </x:c>
      <x:c r="B1299" s="15" t="str">
        <x:v>Situation Solutions One Inc - Dba Hampton Roads Cash Home Buyer</x:v>
      </x:c>
      <x:c r="C1299" s="15"/>
      <x:c r="D1299" s="15" t="str">
        <x:v>Property investor / home-buying operator</x:v>
      </x:c>
      <x:c r="E1299" s="15" t="str">
        <x:v>Property investor / operator inquiry</x:v>
      </x:c>
      <x:c r="F1299" s="17" t="str">
        <x:v>New</x:v>
      </x:c>
      <x:c r="G1299" s="24"/>
      <x:c r="H1299" s="24" t="str">
        <x:v>+17576392347</x:v>
      </x:c>
      <x:c r="I1299" s="24" t="str">
        <x:v>http://www.hamptonroadscashhomebuyer.com/</x:v>
      </x:c>
      <x:c r="J1299" s="16" t="str">
        <x:v>VA</x:v>
      </x:c>
      <x:c r="K1299" s="16" t="str">
        <x:v>Chesapeake</x:v>
      </x:c>
      <x:c r="L1299" s="16" t="str">
        <x:v>Public property-business route; investor decision maker unconfirmed</x:v>
      </x:c>
      <x:c r="M1299" s="16" t="str">
        <x:v>http://www.hamptonroadscashhomebuyer.com/</x:v>
      </x:c>
      <x:c r="N1299" s="16" t="str">
        <x:v>$100K-$500K ticket not published / unconfirmed</x:v>
      </x:c>
      <x:c r="O1299" s="20"/>
      <x:c r="P1299" s="20"/>
      <x:c r="Q1299" s="25" t="str">
        <x:v>No direct corporate-capital range established in checked source</x:v>
      </x:c>
      <x:c r="R1299" s="25" t="str">
        <x:v>Property acquisition or investor activity makes this an operator-capital prospect for the signed trial. Confirm operating-company debt/equity appetite.</x:v>
      </x:c>
      <x:c r="S1299" s="25"/>
      <x:c r="T1299" s="25" t="str">
        <x:v>Ask the owner/investor whether they can allocate $100K-$500K to trial marketing and acquisitions, and confirm structure, timing and decision authority.</x:v>
      </x:c>
      <x:c r="U1299" s="25" t="str">
        <x:v>https://www.cashhomebuyersdirectory.com/cash-home-buyers/virginia/chesapeake
https://www.cashhomebuyersdirectory.com/cash-home-buyers/virginia/virginia-beach</x:v>
      </x:c>
      <x:c r="V1299" s="26" t="d">
        <x:v>2026-10-02T00:00:00.000Z</x:v>
      </x:c>
      <x:c r="W1299" s="26" t="d">
        <x:v>2026-10-02T00:00:00.000Z</x:v>
      </x:c>
      <x:c r="X1299" s="25" t="str">
        <x:v>CashHomeBuyersDirectory third-party business listing; first-party business activity not checked in this batch</x:v>
      </x:c>
      <x:c r="Y1299" s="25"/>
      <x:c r="Z1299" s="25" t="str">
        <x:v>https://www.cashhomebuyersdirectory.com/cash-home-buyers/virginia/chesapeake</x:v>
      </x:c>
      <x:c r="AA1299" s="25" t="str">
        <x:v>Public cash-home-buyer directory lists the business name, business phone/website where available and market. Operator role and corporate funding willingness require confirmation.</x:v>
      </x:c>
      <x:c r="AB1299" s="3" t="str">
        <x:v>New public-source collection</x:v>
      </x:c>
      <x:c r="AC1299" s="3" t="str">
        <x:v>unverified</x:v>
      </x:c>
      <x:c r="AD1299" s="3" t="str">
        <x:v>Not contacted / unconfirmed</x:v>
      </x:c>
      <x:c r="AE1299" s="3" t="str">
        <x:v>No</x:v>
      </x:c>
      <x:c r="AF1299" s="3" t="str">
        <x:v>No</x:v>
      </x:c>
      <x:c r="AG1299" s="3"/>
      <x:c r="AH1299" s="3"/>
      <x:c r="AI1299" s="18"/>
      <x:c r="AJ1299" s="3" t="str">
        <x:v>CF2500-93154F34B4A8</x:v>
      </x:c>
      <x:c r="AK1299" s="3" t="str">
        <x:v>real_estate_operator</x:v>
      </x:c>
      <x:c r="AL1299" s="19" t="n">
        <x:v>100000</x:v>
      </x:c>
      <x:c r="AM1299" s="19" t="n">
        <x:v>500000</x:v>
      </x:c>
      <x:c r="AN1299" s="3" t="str">
        <x:v>https://www.cashhomebuyersdirectory.com/cash-home-buyers/virginia/chesapeake</x:v>
      </x:c>
      <x:c r="AO1299" s="3" t="str">
        <x:v>national_rest_directory_complete.jsonl</x:v>
      </x:c>
      <x:c r="AP1299" s="19"/>
    </x:row>
    <x:row r="1300" ht="36" customHeight="1">
      <x:c r="A1300" s="23" t="n">
        <x:v>1299</x:v>
      </x:c>
      <x:c r="B1300" s="15" t="str">
        <x:v>Smartest Seller | We Buy Houses | Cash For Homes | Sell My House Fast</x:v>
      </x:c>
      <x:c r="C1300" s="15"/>
      <x:c r="D1300" s="15" t="str">
        <x:v>Property investor / home-buying operator</x:v>
      </x:c>
      <x:c r="E1300" s="15" t="str">
        <x:v>Property investor / operator inquiry</x:v>
      </x:c>
      <x:c r="F1300" s="17" t="str">
        <x:v>New</x:v>
      </x:c>
      <x:c r="G1300" s="24"/>
      <x:c r="H1300" s="24" t="str">
        <x:v>+13193492909</x:v>
      </x:c>
      <x:c r="I1300" s="24" t="str">
        <x:v>https://www.smartestseller.com/sell-my-house-fast-iowa-we-buy-houses-in-iowa/</x:v>
      </x:c>
      <x:c r="J1300" s="16" t="str">
        <x:v>IA</x:v>
      </x:c>
      <x:c r="K1300" s="16" t="str">
        <x:v>Cedar Rapids</x:v>
      </x:c>
      <x:c r="L1300" s="16" t="str">
        <x:v>Public property-business route; investor decision maker unconfirmed</x:v>
      </x:c>
      <x:c r="M1300" s="16" t="str">
        <x:v>https://www.smartestseller.com/sell-my-house-fast-iowa-we-buy-houses-in-iowa/</x:v>
      </x:c>
      <x:c r="N1300" s="16" t="str">
        <x:v>$100K-$500K ticket not published / unconfirmed</x:v>
      </x:c>
      <x:c r="O1300" s="20"/>
      <x:c r="P1300" s="20"/>
      <x:c r="Q1300" s="25" t="str">
        <x:v>No direct corporate-capital range established in checked source</x:v>
      </x:c>
      <x:c r="R1300" s="25" t="str">
        <x:v>Property acquisition or investor activity makes this an operator-capital prospect for the signed trial. Confirm operating-company debt/equity appetite.</x:v>
      </x:c>
      <x:c r="S1300" s="25"/>
      <x:c r="T1300" s="25" t="str">
        <x:v>Ask the owner/investor whether they can allocate $100K-$500K to trial marketing and acquisitions, and confirm structure, timing and decision authority.</x:v>
      </x:c>
      <x:c r="U1300" s="25" t="str">
        <x:v>https://www.cashhomebuyersdirectory.com/cash-home-buyers/iowa/cedar-rapids
https://www.cashhomebuyersdirectory.com/cash-home-buyers/new-york/syracuse</x:v>
      </x:c>
      <x:c r="V1300" s="26" t="d">
        <x:v>2026-10-02T00:00:00.000Z</x:v>
      </x:c>
      <x:c r="W1300" s="26" t="d">
        <x:v>2026-10-02T00:00:00.000Z</x:v>
      </x:c>
      <x:c r="X1300" s="25" t="str">
        <x:v>CashHomeBuyersDirectory third-party business listing; first-party business activity not checked in this batch</x:v>
      </x:c>
      <x:c r="Y1300" s="25"/>
      <x:c r="Z1300" s="25" t="str">
        <x:v>https://www.cashhomebuyersdirectory.com/cash-home-buyers/iowa/cedar-rapids</x:v>
      </x:c>
      <x:c r="AA1300" s="25" t="str">
        <x:v>Public cash-home-buyer directory lists the business name, business phone/website where available and market. Operator role and corporate funding willingness require confirmation.</x:v>
      </x:c>
      <x:c r="AB1300" s="3" t="str">
        <x:v>New public-source collection</x:v>
      </x:c>
      <x:c r="AC1300" s="3" t="str">
        <x:v>unverified</x:v>
      </x:c>
      <x:c r="AD1300" s="3" t="str">
        <x:v>Not contacted / unconfirmed</x:v>
      </x:c>
      <x:c r="AE1300" s="3" t="str">
        <x:v>No</x:v>
      </x:c>
      <x:c r="AF1300" s="3" t="str">
        <x:v>No</x:v>
      </x:c>
      <x:c r="AG1300" s="3"/>
      <x:c r="AH1300" s="3"/>
      <x:c r="AI1300" s="18"/>
      <x:c r="AJ1300" s="3" t="str">
        <x:v>CF2500-D0397FBDCE7E</x:v>
      </x:c>
      <x:c r="AK1300" s="3" t="str">
        <x:v>real_estate_operator</x:v>
      </x:c>
      <x:c r="AL1300" s="19" t="n">
        <x:v>100000</x:v>
      </x:c>
      <x:c r="AM1300" s="19" t="n">
        <x:v>500000</x:v>
      </x:c>
      <x:c r="AN1300" s="3" t="str">
        <x:v>https://www.cashhomebuyersdirectory.com/cash-home-buyers/iowa/cedar-rapids</x:v>
      </x:c>
      <x:c r="AO1300" s="3" t="str">
        <x:v>national_rest_directory_complete.jsonl</x:v>
      </x:c>
      <x:c r="AP1300" s="19"/>
    </x:row>
    <x:row r="1301" ht="36" customHeight="1">
      <x:c r="A1301" s="23" t="n">
        <x:v>1300</x:v>
      </x:c>
      <x:c r="B1301" s="15" t="str">
        <x:v>Solutions Home Buyers LLC</x:v>
      </x:c>
      <x:c r="C1301" s="15"/>
      <x:c r="D1301" s="15" t="str">
        <x:v>Property investor / home-buying operator</x:v>
      </x:c>
      <x:c r="E1301" s="15" t="str">
        <x:v>Property investor / operator inquiry</x:v>
      </x:c>
      <x:c r="F1301" s="17" t="str">
        <x:v>New</x:v>
      </x:c>
      <x:c r="G1301" s="24"/>
      <x:c r="H1301" s="24" t="str">
        <x:v>+17577443252</x:v>
      </x:c>
      <x:c r="I1301" s="24" t="str">
        <x:v>https://www.faircashoffer.com/contact-us/</x:v>
      </x:c>
      <x:c r="J1301" s="16" t="str">
        <x:v>VA</x:v>
      </x:c>
      <x:c r="K1301" s="16" t="str">
        <x:v>Newport News</x:v>
      </x:c>
      <x:c r="L1301" s="16" t="str">
        <x:v>Public property-business route; investor decision maker unconfirmed</x:v>
      </x:c>
      <x:c r="M1301" s="16" t="str">
        <x:v>https://www.faircashoffer.com/contact-us/</x:v>
      </x:c>
      <x:c r="N1301" s="16" t="str">
        <x:v>$100K-$500K ticket not published / unconfirmed</x:v>
      </x:c>
      <x:c r="O1301" s="20"/>
      <x:c r="P1301" s="20"/>
      <x:c r="Q1301" s="25" t="str">
        <x:v>No direct corporate-capital range established in checked source</x:v>
      </x:c>
      <x:c r="R1301" s="25" t="str">
        <x:v>Property acquisition or investor activity makes this an operator-capital prospect for the signed trial. Confirm operating-company debt/equity appetite.</x:v>
      </x:c>
      <x:c r="S1301" s="25"/>
      <x:c r="T1301" s="25" t="str">
        <x:v>Ask the owner/investor whether they can allocate $100K-$500K to trial marketing and acquisitions, and confirm structure, timing and decision authority.</x:v>
      </x:c>
      <x:c r="U1301" s="25" t="str">
        <x:v>https://www.cashhomebuyersdirectory.com/cash-home-buyers/virginia/newport-news
https://www.cashhomebuyersdirectory.com/cash-home-buyers/virginia/norfolk</x:v>
      </x:c>
      <x:c r="V1301" s="26" t="d">
        <x:v>2026-10-02T00:00:00.000Z</x:v>
      </x:c>
      <x:c r="W1301" s="26" t="d">
        <x:v>2026-10-02T00:00:00.000Z</x:v>
      </x:c>
      <x:c r="X1301" s="25" t="str">
        <x:v>CashHomeBuyersDirectory third-party business listing; first-party business activity not checked in this batch</x:v>
      </x:c>
      <x:c r="Y1301" s="25"/>
      <x:c r="Z1301" s="25" t="str">
        <x:v>https://www.cashhomebuyersdirectory.com/cash-home-buyers/virginia/newport-news</x:v>
      </x:c>
      <x:c r="AA1301" s="25" t="str">
        <x:v>Public cash-home-buyer directory lists the business name, business phone/website where available and market. Operator role and corporate funding willingness require confirmation.</x:v>
      </x:c>
      <x:c r="AB1301" s="3" t="str">
        <x:v>New public-source collection</x:v>
      </x:c>
      <x:c r="AC1301" s="3" t="str">
        <x:v>unverified</x:v>
      </x:c>
      <x:c r="AD1301" s="3" t="str">
        <x:v>Not contacted / unconfirmed</x:v>
      </x:c>
      <x:c r="AE1301" s="3" t="str">
        <x:v>No</x:v>
      </x:c>
      <x:c r="AF1301" s="3" t="str">
        <x:v>No</x:v>
      </x:c>
      <x:c r="AG1301" s="3"/>
      <x:c r="AH1301" s="3"/>
      <x:c r="AI1301" s="18"/>
      <x:c r="AJ1301" s="3" t="str">
        <x:v>CF2500-848323C68757</x:v>
      </x:c>
      <x:c r="AK1301" s="3" t="str">
        <x:v>real_estate_operator</x:v>
      </x:c>
      <x:c r="AL1301" s="19" t="n">
        <x:v>100000</x:v>
      </x:c>
      <x:c r="AM1301" s="19" t="n">
        <x:v>500000</x:v>
      </x:c>
      <x:c r="AN1301" s="3" t="str">
        <x:v>https://www.cashhomebuyersdirectory.com/cash-home-buyers/virginia/newport-news</x:v>
      </x:c>
      <x:c r="AO1301" s="3" t="str">
        <x:v>national_rest_directory_complete.jsonl</x:v>
      </x:c>
      <x:c r="AP1301" s="19"/>
    </x:row>
    <x:row r="1302" ht="36" customHeight="1">
      <x:c r="A1302" s="23" t="n">
        <x:v>1301</x:v>
      </x:c>
      <x:c r="B1302" s="15" t="str">
        <x:v>Sota Home Buyers</x:v>
      </x:c>
      <x:c r="C1302" s="15"/>
      <x:c r="D1302" s="15" t="str">
        <x:v>Property investor / home-buying operator</x:v>
      </x:c>
      <x:c r="E1302" s="15" t="str">
        <x:v>Property investor / operator inquiry</x:v>
      </x:c>
      <x:c r="F1302" s="17" t="str">
        <x:v>New</x:v>
      </x:c>
      <x:c r="G1302" s="24"/>
      <x:c r="H1302" s="24" t="str">
        <x:v>+16122499300</x:v>
      </x:c>
      <x:c r="I1302" s="24" t="str">
        <x:v>https://www.sotahomebuyers.com/</x:v>
      </x:c>
      <x:c r="J1302" s="16" t="str">
        <x:v>MN</x:v>
      </x:c>
      <x:c r="K1302" s="16" t="str">
        <x:v>St. Paul</x:v>
      </x:c>
      <x:c r="L1302" s="16" t="str">
        <x:v>Public property-business route; investor decision maker unconfirmed</x:v>
      </x:c>
      <x:c r="M1302" s="16" t="str">
        <x:v>https://www.sotahomebuyers.com/</x:v>
      </x:c>
      <x:c r="N1302" s="16" t="str">
        <x:v>$100K-$500K ticket not published / unconfirmed</x:v>
      </x:c>
      <x:c r="O1302" s="20"/>
      <x:c r="P1302" s="20"/>
      <x:c r="Q1302" s="25" t="str">
        <x:v>No direct corporate-capital range established in checked source</x:v>
      </x:c>
      <x:c r="R1302" s="25" t="str">
        <x:v>Property acquisition or investor activity makes this an operator-capital prospect for the signed trial. Confirm operating-company debt/equity appetite.</x:v>
      </x:c>
      <x:c r="S1302" s="25"/>
      <x:c r="T1302" s="25" t="str">
        <x:v>Ask the owner/investor whether they can allocate $100K-$500K to trial marketing and acquisitions, and confirm structure, timing and decision authority.</x:v>
      </x:c>
      <x:c r="U1302" s="25" t="str">
        <x:v>https://www.cashhomebuyersdirectory.com/cash-home-buyers/minnesota/st-paul</x:v>
      </x:c>
      <x:c r="V1302" s="26" t="d">
        <x:v>2026-10-02T00:00:00.000Z</x:v>
      </x:c>
      <x:c r="W1302" s="26" t="d">
        <x:v>2026-10-02T00:00:00.000Z</x:v>
      </x:c>
      <x:c r="X1302" s="25" t="str">
        <x:v>CashHomeBuyersDirectory third-party business listing; first-party business activity not checked in this batch</x:v>
      </x:c>
      <x:c r="Y1302" s="25"/>
      <x:c r="Z1302" s="25" t="str">
        <x:v>https://www.cashhomebuyersdirectory.com/cash-home-buyers/minnesota/st-paul</x:v>
      </x:c>
      <x:c r="AA1302" s="25" t="str">
        <x:v>Public cash-home-buyer directory lists the business name, business phone/website where available and market. Operator role and corporate funding willingness require confirmation.</x:v>
      </x:c>
      <x:c r="AB1302" s="3" t="str">
        <x:v>New public-source collection</x:v>
      </x:c>
      <x:c r="AC1302" s="3" t="str">
        <x:v>unverified</x:v>
      </x:c>
      <x:c r="AD1302" s="3" t="str">
        <x:v>Not contacted / unconfirmed</x:v>
      </x:c>
      <x:c r="AE1302" s="3" t="str">
        <x:v>No</x:v>
      </x:c>
      <x:c r="AF1302" s="3" t="str">
        <x:v>No</x:v>
      </x:c>
      <x:c r="AG1302" s="3"/>
      <x:c r="AH1302" s="3"/>
      <x:c r="AI1302" s="18"/>
      <x:c r="AJ1302" s="3" t="str">
        <x:v>CF2500-9CF6991C3F54</x:v>
      </x:c>
      <x:c r="AK1302" s="3" t="str">
        <x:v>real_estate_operator</x:v>
      </x:c>
      <x:c r="AL1302" s="19" t="n">
        <x:v>100000</x:v>
      </x:c>
      <x:c r="AM1302" s="19" t="n">
        <x:v>500000</x:v>
      </x:c>
      <x:c r="AN1302" s="3" t="str">
        <x:v>https://www.cashhomebuyersdirectory.com/cash-home-buyers/minnesota/st-paul</x:v>
      </x:c>
      <x:c r="AO1302" s="3" t="str">
        <x:v>national_rest_directory_complete.jsonl</x:v>
      </x:c>
      <x:c r="AP1302" s="19"/>
    </x:row>
    <x:row r="1303" ht="36" customHeight="1">
      <x:c r="A1303" s="23" t="n">
        <x:v>1302</x:v>
      </x:c>
      <x:c r="B1303" s="15" t="str">
        <x:v>Southern California Cash Home Buyers</x:v>
      </x:c>
      <x:c r="C1303" s="15"/>
      <x:c r="D1303" s="15" t="str">
        <x:v>Property investor / home-buying operator</x:v>
      </x:c>
      <x:c r="E1303" s="15" t="str">
        <x:v>Property investor / operator inquiry</x:v>
      </x:c>
      <x:c r="F1303" s="17" t="str">
        <x:v>New</x:v>
      </x:c>
      <x:c r="G1303" s="24"/>
      <x:c r="H1303" s="24" t="str">
        <x:v>+13104398419</x:v>
      </x:c>
      <x:c r="I1303" s="24" t="str">
        <x:v>http://www.socalcashhomebuyers.com/</x:v>
      </x:c>
      <x:c r="J1303" s="16" t="str">
        <x:v>CA</x:v>
      </x:c>
      <x:c r="K1303" s="16"/>
      <x:c r="L1303" s="16" t="str">
        <x:v>Public property-business route; investor decision maker unconfirmed</x:v>
      </x:c>
      <x:c r="M1303" s="16" t="str">
        <x:v>http://www.socalcashhomebuyers.com/</x:v>
      </x:c>
      <x:c r="N1303" s="16" t="str">
        <x:v>$100K-$500K ticket not published / unconfirmed</x:v>
      </x:c>
      <x:c r="O1303" s="20"/>
      <x:c r="P1303" s="20"/>
      <x:c r="Q1303" s="25" t="str">
        <x:v>No direct corporate-capital range established in checked source</x:v>
      </x:c>
      <x:c r="R1303" s="25" t="str">
        <x:v>Property acquisition or investor activity makes this an operator-capital prospect for the signed trial. Confirm operating-company debt/equity appetite.</x:v>
      </x:c>
      <x:c r="S1303" s="25"/>
      <x:c r="T1303" s="25" t="str">
        <x:v>Ask the owner/investor whether they can allocate $100K-$500K to trial marketing and acquisitions, and confirm structure, timing and decision authority.</x:v>
      </x:c>
      <x:c r="U1303" s="25" t="str">
        <x:v>https://www.cashhomebuyersdirectory.com/cash-home-buyers/california/los-angeles</x:v>
      </x:c>
      <x:c r="V1303" s="26" t="d">
        <x:v>2026-10-02T00:00:00.000Z</x:v>
      </x:c>
      <x:c r="W1303" s="26" t="d">
        <x:v>2026-10-02T00:00:00.000Z</x:v>
      </x:c>
      <x:c r="X1303" s="25" t="str">
        <x:v>CashHomeBuyersDirectory third-party business listing; first-party business activity not checked in this batch</x:v>
      </x:c>
      <x:c r="Y1303" s="25"/>
      <x:c r="Z1303" s="25" t="str">
        <x:v>https://www.cashhomebuyersdirectory.com/cash-home-buyers/california/los-angeles</x:v>
      </x:c>
      <x:c r="AA1303" s="25" t="str">
        <x:v>Public cash-home-buyer directory lists the business name, business phone/website where available and market. Operator role and corporate funding willingness require confirmation.</x:v>
      </x:c>
      <x:c r="AB1303" s="3" t="str">
        <x:v>New public-source collection</x:v>
      </x:c>
      <x:c r="AC1303" s="3" t="str">
        <x:v>unverified</x:v>
      </x:c>
      <x:c r="AD1303" s="3" t="str">
        <x:v>Not contacted / unconfirmed</x:v>
      </x:c>
      <x:c r="AE1303" s="3" t="str">
        <x:v>No</x:v>
      </x:c>
      <x:c r="AF1303" s="3" t="str">
        <x:v>No</x:v>
      </x:c>
      <x:c r="AG1303" s="3"/>
      <x:c r="AH1303" s="3"/>
      <x:c r="AI1303" s="18"/>
      <x:c r="AJ1303" s="3" t="str">
        <x:v>CF2500-3908F5277CB2</x:v>
      </x:c>
      <x:c r="AK1303" s="3" t="str">
        <x:v>real_estate_operator</x:v>
      </x:c>
      <x:c r="AL1303" s="19" t="n">
        <x:v>100000</x:v>
      </x:c>
      <x:c r="AM1303" s="19" t="n">
        <x:v>500000</x:v>
      </x:c>
      <x:c r="AN1303" s="3" t="str">
        <x:v>https://www.cashhomebuyersdirectory.com/cash-home-buyers/california/los-angeles</x:v>
      </x:c>
      <x:c r="AO1303" s="3" t="str">
        <x:v>national_rest_directory_complete.jsonl</x:v>
      </x:c>
      <x:c r="AP1303" s="19"/>
    </x:row>
    <x:row r="1304" ht="36" customHeight="1">
      <x:c r="A1304" s="23" t="n">
        <x:v>1303</x:v>
      </x:c>
      <x:c r="B1304" s="15" t="str">
        <x:v>Southern Maryland Home Buyers, Inc.</x:v>
      </x:c>
      <x:c r="C1304" s="15"/>
      <x:c r="D1304" s="15" t="str">
        <x:v>Property investor / home-buying operator</x:v>
      </x:c>
      <x:c r="E1304" s="15" t="str">
        <x:v>Property investor / operator inquiry</x:v>
      </x:c>
      <x:c r="F1304" s="17" t="str">
        <x:v>New</x:v>
      </x:c>
      <x:c r="G1304" s="24"/>
      <x:c r="H1304" s="24" t="str">
        <x:v>+12405233730</x:v>
      </x:c>
      <x:c r="I1304" s="24" t="str">
        <x:v>http://www.somdhomebuyers.com/</x:v>
      </x:c>
      <x:c r="J1304" s="16" t="str">
        <x:v>MD</x:v>
      </x:c>
      <x:c r="K1304" s="16" t="str">
        <x:v>White Plains</x:v>
      </x:c>
      <x:c r="L1304" s="16" t="str">
        <x:v>Public property-business route; investor decision maker unconfirmed</x:v>
      </x:c>
      <x:c r="M1304" s="16" t="str">
        <x:v>http://www.somdhomebuyers.com/</x:v>
      </x:c>
      <x:c r="N1304" s="16" t="str">
        <x:v>$100K-$500K ticket not published / unconfirmed</x:v>
      </x:c>
      <x:c r="O1304" s="20"/>
      <x:c r="P1304" s="20"/>
      <x:c r="Q1304" s="25" t="str">
        <x:v>No direct corporate-capital range established in checked source</x:v>
      </x:c>
      <x:c r="R1304" s="25" t="str">
        <x:v>Property acquisition or investor activity makes this an operator-capital prospect for the signed trial. Confirm operating-company debt/equity appetite.</x:v>
      </x:c>
      <x:c r="S1304" s="25"/>
      <x:c r="T1304" s="25" t="str">
        <x:v>Ask the owner/investor whether they can allocate $100K-$500K to trial marketing and acquisitions, and confirm structure, timing and decision authority.</x:v>
      </x:c>
      <x:c r="U1304" s="25" t="str">
        <x:v>https://www.cashhomebuyersdirectory.com/cash-home-buyers/maryland/white-plains</x:v>
      </x:c>
      <x:c r="V1304" s="26" t="d">
        <x:v>2026-10-02T00:00:00.000Z</x:v>
      </x:c>
      <x:c r="W1304" s="26" t="d">
        <x:v>2026-10-02T00:00:00.000Z</x:v>
      </x:c>
      <x:c r="X1304" s="25" t="str">
        <x:v>CashHomeBuyersDirectory third-party business listing; first-party business activity not checked in this batch</x:v>
      </x:c>
      <x:c r="Y1304" s="25"/>
      <x:c r="Z1304" s="25" t="str">
        <x:v>https://www.cashhomebuyersdirectory.com/cash-home-buyers/maryland/white-plains</x:v>
      </x:c>
      <x:c r="AA1304" s="25" t="str">
        <x:v>Public cash-home-buyer directory lists the business name, business phone/website where available and market. Operator role and corporate funding willingness require confirmation.</x:v>
      </x:c>
      <x:c r="AB1304" s="3" t="str">
        <x:v>New public-source collection</x:v>
      </x:c>
      <x:c r="AC1304" s="3" t="str">
        <x:v>unverified</x:v>
      </x:c>
      <x:c r="AD1304" s="3" t="str">
        <x:v>Not contacted / unconfirmed</x:v>
      </x:c>
      <x:c r="AE1304" s="3" t="str">
        <x:v>No</x:v>
      </x:c>
      <x:c r="AF1304" s="3" t="str">
        <x:v>No</x:v>
      </x:c>
      <x:c r="AG1304" s="3"/>
      <x:c r="AH1304" s="3"/>
      <x:c r="AI1304" s="18"/>
      <x:c r="AJ1304" s="3" t="str">
        <x:v>CF2500-2942A588DE83</x:v>
      </x:c>
      <x:c r="AK1304" s="3" t="str">
        <x:v>real_estate_operator</x:v>
      </x:c>
      <x:c r="AL1304" s="19" t="n">
        <x:v>100000</x:v>
      </x:c>
      <x:c r="AM1304" s="19" t="n">
        <x:v>500000</x:v>
      </x:c>
      <x:c r="AN1304" s="3" t="str">
        <x:v>https://www.cashhomebuyersdirectory.com/cash-home-buyers/maryland/white-plains</x:v>
      </x:c>
      <x:c r="AO1304" s="3" t="str">
        <x:v>national_rest_directory_complete.jsonl</x:v>
      </x:c>
      <x:c r="AP1304" s="19"/>
    </x:row>
    <x:row r="1305" ht="36" customHeight="1">
      <x:c r="A1305" s="23" t="n">
        <x:v>1304</x:v>
      </x:c>
      <x:c r="B1305" s="15" t="str">
        <x:v>SOUTHSTAR | 24/7 Cash Buyers For Homes, Land, &amp; Commercial Property (Tupelo, MS / Nationwide Home Buyers)</x:v>
      </x:c>
      <x:c r="C1305" s="15"/>
      <x:c r="D1305" s="15" t="str">
        <x:v>Property investor / home-buying operator</x:v>
      </x:c>
      <x:c r="E1305" s="15" t="str">
        <x:v>Property investor / operator inquiry</x:v>
      </x:c>
      <x:c r="F1305" s="17" t="str">
        <x:v>New</x:v>
      </x:c>
      <x:c r="G1305" s="24"/>
      <x:c r="H1305" s="24" t="str">
        <x:v>+16623211585</x:v>
      </x:c>
      <x:c r="I1305" s="24" t="str">
        <x:v>https://southstarbuys.com/</x:v>
      </x:c>
      <x:c r="J1305" s="16" t="str">
        <x:v>MS</x:v>
      </x:c>
      <x:c r="K1305" s="16"/>
      <x:c r="L1305" s="16" t="str">
        <x:v>Public property-business route; investor decision maker unconfirmed</x:v>
      </x:c>
      <x:c r="M1305" s="16" t="str">
        <x:v>https://southstarbuys.com/</x:v>
      </x:c>
      <x:c r="N1305" s="16" t="str">
        <x:v>$100K-$500K ticket not published / unconfirmed</x:v>
      </x:c>
      <x:c r="O1305" s="20"/>
      <x:c r="P1305" s="20"/>
      <x:c r="Q1305" s="25" t="str">
        <x:v>No direct corporate-capital range established in checked source</x:v>
      </x:c>
      <x:c r="R1305" s="25" t="str">
        <x:v>Property acquisition or investor activity makes this an operator-capital prospect for the signed trial. Confirm operating-company debt/equity appetite.</x:v>
      </x:c>
      <x:c r="S1305" s="25"/>
      <x:c r="T1305" s="25" t="str">
        <x:v>Ask the owner/investor whether they can allocate $100K-$500K to trial marketing and acquisitions, and confirm structure, timing and decision authority.</x:v>
      </x:c>
      <x:c r="U1305" s="25" t="str">
        <x:v>https://www.cashhomebuyersdirectory.com/cash-home-buyers/mississippi/jackson</x:v>
      </x:c>
      <x:c r="V1305" s="26" t="d">
        <x:v>2026-10-02T00:00:00.000Z</x:v>
      </x:c>
      <x:c r="W1305" s="26" t="d">
        <x:v>2026-10-02T00:00:00.000Z</x:v>
      </x:c>
      <x:c r="X1305" s="25" t="str">
        <x:v>CashHomeBuyersDirectory third-party business listing; first-party business activity not checked in this batch</x:v>
      </x:c>
      <x:c r="Y1305" s="25"/>
      <x:c r="Z1305" s="25" t="str">
        <x:v>https://www.cashhomebuyersdirectory.com/cash-home-buyers/mississippi/jackson</x:v>
      </x:c>
      <x:c r="AA1305" s="25" t="str">
        <x:v>Public cash-home-buyer directory lists the business name, business phone/website where available and market. Operator role and corporate funding willingness require confirmation.</x:v>
      </x:c>
      <x:c r="AB1305" s="3" t="str">
        <x:v>New public-source collection</x:v>
      </x:c>
      <x:c r="AC1305" s="3" t="str">
        <x:v>unverified</x:v>
      </x:c>
      <x:c r="AD1305" s="3" t="str">
        <x:v>Not contacted / unconfirmed</x:v>
      </x:c>
      <x:c r="AE1305" s="3" t="str">
        <x:v>No</x:v>
      </x:c>
      <x:c r="AF1305" s="3" t="str">
        <x:v>No</x:v>
      </x:c>
      <x:c r="AG1305" s="3"/>
      <x:c r="AH1305" s="3"/>
      <x:c r="AI1305" s="18"/>
      <x:c r="AJ1305" s="3" t="str">
        <x:v>CF2500-6B24FE7317F1</x:v>
      </x:c>
      <x:c r="AK1305" s="3" t="str">
        <x:v>real_estate_operator</x:v>
      </x:c>
      <x:c r="AL1305" s="19" t="n">
        <x:v>100000</x:v>
      </x:c>
      <x:c r="AM1305" s="19" t="n">
        <x:v>500000</x:v>
      </x:c>
      <x:c r="AN1305" s="3" t="str">
        <x:v>https://www.cashhomebuyersdirectory.com/cash-home-buyers/mississippi/jackson</x:v>
      </x:c>
      <x:c r="AO1305" s="3" t="str">
        <x:v>national_rest_directory_complete.jsonl</x:v>
      </x:c>
      <x:c r="AP1305" s="19"/>
    </x:row>
    <x:row r="1306" ht="36" customHeight="1">
      <x:c r="A1306" s="23" t="n">
        <x:v>1305</x:v>
      </x:c>
      <x:c r="B1306" s="15" t="str">
        <x:v>Speedy Sale Home Buyers</x:v>
      </x:c>
      <x:c r="C1306" s="15"/>
      <x:c r="D1306" s="15" t="str">
        <x:v>Property investor / home-buying operator</x:v>
      </x:c>
      <x:c r="E1306" s="15" t="str">
        <x:v>Property investor / operator inquiry</x:v>
      </x:c>
      <x:c r="F1306" s="17" t="str">
        <x:v>New</x:v>
      </x:c>
      <x:c r="G1306" s="24"/>
      <x:c r="H1306" s="24" t="str">
        <x:v>+13135528608</x:v>
      </x:c>
      <x:c r="I1306" s="24" t="str">
        <x:v>http://www.speedysalehomebuyers.com/i/C6Xq/</x:v>
      </x:c>
      <x:c r="J1306" s="16" t="str">
        <x:v>MI</x:v>
      </x:c>
      <x:c r="K1306" s="16" t="str">
        <x:v>Detroit</x:v>
      </x:c>
      <x:c r="L1306" s="16" t="str">
        <x:v>Public property-business route; investor decision maker unconfirmed</x:v>
      </x:c>
      <x:c r="M1306" s="16" t="str">
        <x:v>http://www.speedysalehomebuyers.com/i/C6Xq/</x:v>
      </x:c>
      <x:c r="N1306" s="16" t="str">
        <x:v>$100K-$500K ticket not published / unconfirmed</x:v>
      </x:c>
      <x:c r="O1306" s="20"/>
      <x:c r="P1306" s="20"/>
      <x:c r="Q1306" s="25" t="str">
        <x:v>No direct corporate-capital range established in checked source</x:v>
      </x:c>
      <x:c r="R1306" s="25" t="str">
        <x:v>Property acquisition or investor activity makes this an operator-capital prospect for the signed trial. Confirm operating-company debt/equity appetite.</x:v>
      </x:c>
      <x:c r="S1306" s="25"/>
      <x:c r="T1306" s="25" t="str">
        <x:v>Ask the owner/investor whether they can allocate $100K-$500K to trial marketing and acquisitions, and confirm structure, timing and decision authority.</x:v>
      </x:c>
      <x:c r="U1306" s="25" t="str">
        <x:v>https://www.cashhomebuyersdirectory.com/cash-home-buyers/michigan/detroit</x:v>
      </x:c>
      <x:c r="V1306" s="26" t="d">
        <x:v>2026-10-02T00:00:00.000Z</x:v>
      </x:c>
      <x:c r="W1306" s="26" t="d">
        <x:v>2026-10-02T00:00:00.000Z</x:v>
      </x:c>
      <x:c r="X1306" s="25" t="str">
        <x:v>CashHomeBuyersDirectory third-party business listing; first-party business activity not checked in this batch</x:v>
      </x:c>
      <x:c r="Y1306" s="25"/>
      <x:c r="Z1306" s="25" t="str">
        <x:v>https://www.cashhomebuyersdirectory.com/cash-home-buyers/michigan/detroit</x:v>
      </x:c>
      <x:c r="AA1306" s="25" t="str">
        <x:v>Public cash-home-buyer directory lists the business name, business phone/website where available and market. Operator role and corporate funding willingness require confirmation.</x:v>
      </x:c>
      <x:c r="AB1306" s="3" t="str">
        <x:v>New public-source collection</x:v>
      </x:c>
      <x:c r="AC1306" s="3" t="str">
        <x:v>unverified</x:v>
      </x:c>
      <x:c r="AD1306" s="3" t="str">
        <x:v>Not contacted / unconfirmed</x:v>
      </x:c>
      <x:c r="AE1306" s="3" t="str">
        <x:v>No</x:v>
      </x:c>
      <x:c r="AF1306" s="3" t="str">
        <x:v>No</x:v>
      </x:c>
      <x:c r="AG1306" s="3"/>
      <x:c r="AH1306" s="3"/>
      <x:c r="AI1306" s="18"/>
      <x:c r="AJ1306" s="3" t="str">
        <x:v>CF2500-C235A06864ED</x:v>
      </x:c>
      <x:c r="AK1306" s="3" t="str">
        <x:v>real_estate_operator</x:v>
      </x:c>
      <x:c r="AL1306" s="19" t="n">
        <x:v>100000</x:v>
      </x:c>
      <x:c r="AM1306" s="19" t="n">
        <x:v>500000</x:v>
      </x:c>
      <x:c r="AN1306" s="3" t="str">
        <x:v>https://www.cashhomebuyersdirectory.com/cash-home-buyers/michigan/detroit</x:v>
      </x:c>
      <x:c r="AO1306" s="3" t="str">
        <x:v>national_rest_directory_complete.jsonl</x:v>
      </x:c>
      <x:c r="AP1306" s="19"/>
    </x:row>
    <x:row r="1307" ht="36" customHeight="1">
      <x:c r="A1307" s="23" t="n">
        <x:v>1306</x:v>
      </x:c>
      <x:c r="B1307" s="15" t="str">
        <x:v>Spokane Cash Home Buyers | Sell House Fast for Cash Spokane</x:v>
      </x:c>
      <x:c r="C1307" s="15"/>
      <x:c r="D1307" s="15" t="str">
        <x:v>Property investor / home-buying operator</x:v>
      </x:c>
      <x:c r="E1307" s="15" t="str">
        <x:v>Property investor / operator inquiry</x:v>
      </x:c>
      <x:c r="F1307" s="17" t="str">
        <x:v>New</x:v>
      </x:c>
      <x:c r="G1307" s="24"/>
      <x:c r="H1307" s="24" t="str">
        <x:v>+15099344300</x:v>
      </x:c>
      <x:c r="I1307" s="24" t="str">
        <x:v>https://cashhomebuyersspokane.com/</x:v>
      </x:c>
      <x:c r="J1307" s="16" t="str">
        <x:v>WA</x:v>
      </x:c>
      <x:c r="K1307" s="16" t="str">
        <x:v>Spokane</x:v>
      </x:c>
      <x:c r="L1307" s="16" t="str">
        <x:v>Public property-business route; investor decision maker unconfirmed</x:v>
      </x:c>
      <x:c r="M1307" s="16" t="str">
        <x:v>https://cashhomebuyersspokane.com/</x:v>
      </x:c>
      <x:c r="N1307" s="16" t="str">
        <x:v>$100K-$500K ticket not published / unconfirmed</x:v>
      </x:c>
      <x:c r="O1307" s="20"/>
      <x:c r="P1307" s="20"/>
      <x:c r="Q1307" s="25" t="str">
        <x:v>No direct corporate-capital range established in checked source</x:v>
      </x:c>
      <x:c r="R1307" s="25" t="str">
        <x:v>Property acquisition or investor activity makes this an operator-capital prospect for the signed trial. Confirm operating-company debt/equity appetite.</x:v>
      </x:c>
      <x:c r="S1307" s="25"/>
      <x:c r="T1307" s="25" t="str">
        <x:v>Ask the owner/investor whether they can allocate $100K-$500K to trial marketing and acquisitions, and confirm structure, timing and decision authority.</x:v>
      </x:c>
      <x:c r="U1307" s="25" t="str">
        <x:v>https://www.cashhomebuyersdirectory.com/cash-home-buyers/washington/spokane</x:v>
      </x:c>
      <x:c r="V1307" s="26" t="d">
        <x:v>2026-10-02T00:00:00.000Z</x:v>
      </x:c>
      <x:c r="W1307" s="26" t="d">
        <x:v>2026-10-02T00:00:00.000Z</x:v>
      </x:c>
      <x:c r="X1307" s="25" t="str">
        <x:v>CashHomeBuyersDirectory third-party business listing; first-party business activity not checked in this batch</x:v>
      </x:c>
      <x:c r="Y1307" s="25"/>
      <x:c r="Z1307" s="25" t="str">
        <x:v>https://www.cashhomebuyersdirectory.com/cash-home-buyers/washington/spokane</x:v>
      </x:c>
      <x:c r="AA1307" s="25" t="str">
        <x:v>Public cash-home-buyer directory lists the business name, business phone/website where available and market. Operator role and corporate funding willingness require confirmation.</x:v>
      </x:c>
      <x:c r="AB1307" s="3" t="str">
        <x:v>New public-source collection</x:v>
      </x:c>
      <x:c r="AC1307" s="3" t="str">
        <x:v>unverified</x:v>
      </x:c>
      <x:c r="AD1307" s="3" t="str">
        <x:v>Not contacted / unconfirmed</x:v>
      </x:c>
      <x:c r="AE1307" s="3" t="str">
        <x:v>No</x:v>
      </x:c>
      <x:c r="AF1307" s="3" t="str">
        <x:v>No</x:v>
      </x:c>
      <x:c r="AG1307" s="3"/>
      <x:c r="AH1307" s="3"/>
      <x:c r="AI1307" s="18"/>
      <x:c r="AJ1307" s="3" t="str">
        <x:v>CF2500-38ACF4108263</x:v>
      </x:c>
      <x:c r="AK1307" s="3" t="str">
        <x:v>real_estate_operator</x:v>
      </x:c>
      <x:c r="AL1307" s="19" t="n">
        <x:v>100000</x:v>
      </x:c>
      <x:c r="AM1307" s="19" t="n">
        <x:v>500000</x:v>
      </x:c>
      <x:c r="AN1307" s="3" t="str">
        <x:v>https://www.cashhomebuyersdirectory.com/cash-home-buyers/washington/spokane</x:v>
      </x:c>
      <x:c r="AO1307" s="3" t="str">
        <x:v>national_rest_directory_complete.jsonl</x:v>
      </x:c>
      <x:c r="AP1307" s="19"/>
    </x:row>
    <x:row r="1308" ht="36" customHeight="1">
      <x:c r="A1308" s="23" t="n">
        <x:v>1307</x:v>
      </x:c>
      <x:c r="B1308" s="15" t="str">
        <x:v>SRS Cash Home Buyers</x:v>
      </x:c>
      <x:c r="C1308" s="15"/>
      <x:c r="D1308" s="15" t="str">
        <x:v>Property investor / home-buying operator</x:v>
      </x:c>
      <x:c r="E1308" s="15" t="str">
        <x:v>Property investor / operator inquiry</x:v>
      </x:c>
      <x:c r="F1308" s="17" t="str">
        <x:v>New</x:v>
      </x:c>
      <x:c r="G1308" s="24"/>
      <x:c r="H1308" s="24" t="str">
        <x:v>+17744500086</x:v>
      </x:c>
      <x:c r="I1308" s="24" t="str">
        <x:v>https://www.sellmyhomefastma.com/</x:v>
      </x:c>
      <x:c r="J1308" s="16" t="str">
        <x:v>MA</x:v>
      </x:c>
      <x:c r="K1308" s="16" t="str">
        <x:v>Worcester</x:v>
      </x:c>
      <x:c r="L1308" s="16" t="str">
        <x:v>Public property-business route; investor decision maker unconfirmed</x:v>
      </x:c>
      <x:c r="M1308" s="16" t="str">
        <x:v>https://www.sellmyhomefastma.com/</x:v>
      </x:c>
      <x:c r="N1308" s="16" t="str">
        <x:v>$100K-$500K ticket not published / unconfirmed</x:v>
      </x:c>
      <x:c r="O1308" s="20"/>
      <x:c r="P1308" s="20"/>
      <x:c r="Q1308" s="25" t="str">
        <x:v>No direct corporate-capital range established in checked source</x:v>
      </x:c>
      <x:c r="R1308" s="25" t="str">
        <x:v>Property acquisition or investor activity makes this an operator-capital prospect for the signed trial. Confirm operating-company debt/equity appetite.</x:v>
      </x:c>
      <x:c r="S1308" s="25"/>
      <x:c r="T1308" s="25" t="str">
        <x:v>Ask the owner/investor whether they can allocate $100K-$500K to trial marketing and acquisitions, and confirm structure, timing and decision authority.</x:v>
      </x:c>
      <x:c r="U1308" s="25" t="str">
        <x:v>https://www.cashhomebuyersdirectory.com/cash-home-buyers/massachusetts/worcester</x:v>
      </x:c>
      <x:c r="V1308" s="26" t="d">
        <x:v>2026-10-02T00:00:00.000Z</x:v>
      </x:c>
      <x:c r="W1308" s="26" t="d">
        <x:v>2026-10-02T00:00:00.000Z</x:v>
      </x:c>
      <x:c r="X1308" s="25" t="str">
        <x:v>CashHomeBuyersDirectory third-party business listing; first-party business activity not checked in this batch</x:v>
      </x:c>
      <x:c r="Y1308" s="25"/>
      <x:c r="Z1308" s="25" t="str">
        <x:v>https://www.cashhomebuyersdirectory.com/cash-home-buyers/massachusetts/worcester</x:v>
      </x:c>
      <x:c r="AA1308" s="25" t="str">
        <x:v>Public cash-home-buyer directory lists the business name, business phone/website where available and market. Operator role and corporate funding willingness require confirmation.</x:v>
      </x:c>
      <x:c r="AB1308" s="3" t="str">
        <x:v>New public-source collection</x:v>
      </x:c>
      <x:c r="AC1308" s="3" t="str">
        <x:v>unverified</x:v>
      </x:c>
      <x:c r="AD1308" s="3" t="str">
        <x:v>Not contacted / unconfirmed</x:v>
      </x:c>
      <x:c r="AE1308" s="3" t="str">
        <x:v>No</x:v>
      </x:c>
      <x:c r="AF1308" s="3" t="str">
        <x:v>No</x:v>
      </x:c>
      <x:c r="AG1308" s="3"/>
      <x:c r="AH1308" s="3"/>
      <x:c r="AI1308" s="18"/>
      <x:c r="AJ1308" s="3" t="str">
        <x:v>CF2500-8D9F72B96BA0</x:v>
      </x:c>
      <x:c r="AK1308" s="3" t="str">
        <x:v>real_estate_operator</x:v>
      </x:c>
      <x:c r="AL1308" s="19" t="n">
        <x:v>100000</x:v>
      </x:c>
      <x:c r="AM1308" s="19" t="n">
        <x:v>500000</x:v>
      </x:c>
      <x:c r="AN1308" s="3" t="str">
        <x:v>https://www.cashhomebuyersdirectory.com/cash-home-buyers/massachusetts/worcester</x:v>
      </x:c>
      <x:c r="AO1308" s="3" t="str">
        <x:v>national_rest_directory_complete.jsonl</x:v>
      </x:c>
      <x:c r="AP1308" s="19"/>
    </x:row>
    <x:row r="1309" ht="36" customHeight="1">
      <x:c r="A1309" s="23" t="n">
        <x:v>1308</x:v>
      </x:c>
      <x:c r="B1309" s="15" t="str">
        <x:v>Stewardship Properties - We Buy Houses</x:v>
      </x:c>
      <x:c r="C1309" s="15"/>
      <x:c r="D1309" s="15" t="str">
        <x:v>Property investor / home-buying operator</x:v>
      </x:c>
      <x:c r="E1309" s="15" t="str">
        <x:v>Property investor / operator inquiry</x:v>
      </x:c>
      <x:c r="F1309" s="17" t="str">
        <x:v>New</x:v>
      </x:c>
      <x:c r="G1309" s="24"/>
      <x:c r="H1309" s="24" t="str">
        <x:v>+15412931020</x:v>
      </x:c>
      <x:c r="I1309" s="24" t="str">
        <x:v>https://stewardshipproperties.com/oregon/eugene/</x:v>
      </x:c>
      <x:c r="J1309" s="16" t="str">
        <x:v>OR</x:v>
      </x:c>
      <x:c r="K1309" s="16"/>
      <x:c r="L1309" s="16" t="str">
        <x:v>Public property-business route; investor decision maker unconfirmed</x:v>
      </x:c>
      <x:c r="M1309" s="16" t="str">
        <x:v>https://stewardshipproperties.com/oregon/eugene/</x:v>
      </x:c>
      <x:c r="N1309" s="16" t="str">
        <x:v>$100K-$500K ticket not published / unconfirmed</x:v>
      </x:c>
      <x:c r="O1309" s="20"/>
      <x:c r="P1309" s="20"/>
      <x:c r="Q1309" s="25" t="str">
        <x:v>No direct corporate-capital range established in checked source</x:v>
      </x:c>
      <x:c r="R1309" s="25" t="str">
        <x:v>Property acquisition or investor activity makes this an operator-capital prospect for the signed trial. Confirm operating-company debt/equity appetite.</x:v>
      </x:c>
      <x:c r="S1309" s="25"/>
      <x:c r="T1309" s="25" t="str">
        <x:v>Ask the owner/investor whether they can allocate $100K-$500K to trial marketing and acquisitions, and confirm structure, timing and decision authority.</x:v>
      </x:c>
      <x:c r="U1309" s="25" t="str">
        <x:v>https://www.cashhomebuyersdirectory.com/cash-home-buyers/oregon/eugene</x:v>
      </x:c>
      <x:c r="V1309" s="26" t="d">
        <x:v>2026-10-02T00:00:00.000Z</x:v>
      </x:c>
      <x:c r="W1309" s="26" t="d">
        <x:v>2026-10-02T00:00:00.000Z</x:v>
      </x:c>
      <x:c r="X1309" s="25" t="str">
        <x:v>CashHomeBuyersDirectory third-party business listing; first-party business activity not checked in this batch</x:v>
      </x:c>
      <x:c r="Y1309" s="25"/>
      <x:c r="Z1309" s="25" t="str">
        <x:v>https://www.cashhomebuyersdirectory.com/cash-home-buyers/oregon/eugene</x:v>
      </x:c>
      <x:c r="AA1309" s="25" t="str">
        <x:v>Public cash-home-buyer directory lists the business name, business phone/website where available and market. Operator role and corporate funding willingness require confirmation.</x:v>
      </x:c>
      <x:c r="AB1309" s="3" t="str">
        <x:v>New public-source collection</x:v>
      </x:c>
      <x:c r="AC1309" s="3" t="str">
        <x:v>unverified</x:v>
      </x:c>
      <x:c r="AD1309" s="3" t="str">
        <x:v>Not contacted / unconfirmed</x:v>
      </x:c>
      <x:c r="AE1309" s="3" t="str">
        <x:v>No</x:v>
      </x:c>
      <x:c r="AF1309" s="3" t="str">
        <x:v>No</x:v>
      </x:c>
      <x:c r="AG1309" s="3"/>
      <x:c r="AH1309" s="3"/>
      <x:c r="AI1309" s="18"/>
      <x:c r="AJ1309" s="3" t="str">
        <x:v>CF2500-84AF1EBDBA16</x:v>
      </x:c>
      <x:c r="AK1309" s="3" t="str">
        <x:v>real_estate_operator</x:v>
      </x:c>
      <x:c r="AL1309" s="19" t="n">
        <x:v>100000</x:v>
      </x:c>
      <x:c r="AM1309" s="19" t="n">
        <x:v>500000</x:v>
      </x:c>
      <x:c r="AN1309" s="3" t="str">
        <x:v>https://www.cashhomebuyersdirectory.com/cash-home-buyers/oregon/eugene</x:v>
      </x:c>
      <x:c r="AO1309" s="3" t="str">
        <x:v>national_rest_directory_complete.jsonl</x:v>
      </x:c>
      <x:c r="AP1309" s="19"/>
    </x:row>
    <x:row r="1310" ht="36" customHeight="1">
      <x:c r="A1310" s="23" t="n">
        <x:v>1309</x:v>
      </x:c>
      <x:c r="B1310" s="15" t="str">
        <x:v>Summit Home Buyers</x:v>
      </x:c>
      <x:c r="C1310" s="15"/>
      <x:c r="D1310" s="15" t="str">
        <x:v>Property investor / home-buying operator</x:v>
      </x:c>
      <x:c r="E1310" s="15" t="str">
        <x:v>Property investor / operator inquiry</x:v>
      </x:c>
      <x:c r="F1310" s="17" t="str">
        <x:v>New</x:v>
      </x:c>
      <x:c r="G1310" s="24"/>
      <x:c r="H1310" s="24" t="str">
        <x:v>+15403845238</x:v>
      </x:c>
      <x:c r="I1310" s="24" t="str">
        <x:v>http://www.summitcashbuyers.com/</x:v>
      </x:c>
      <x:c r="J1310" s="16" t="str">
        <x:v>VA</x:v>
      </x:c>
      <x:c r="K1310" s="16"/>
      <x:c r="L1310" s="16" t="str">
        <x:v>Public property-business route; investor decision maker unconfirmed</x:v>
      </x:c>
      <x:c r="M1310" s="16" t="str">
        <x:v>http://www.summitcashbuyers.com/</x:v>
      </x:c>
      <x:c r="N1310" s="16" t="str">
        <x:v>$100K-$500K ticket not published / unconfirmed</x:v>
      </x:c>
      <x:c r="O1310" s="20"/>
      <x:c r="P1310" s="20"/>
      <x:c r="Q1310" s="25" t="str">
        <x:v>No direct corporate-capital range established in checked source</x:v>
      </x:c>
      <x:c r="R1310" s="25" t="str">
        <x:v>Property acquisition or investor activity makes this an operator-capital prospect for the signed trial. Confirm operating-company debt/equity appetite.</x:v>
      </x:c>
      <x:c r="S1310" s="25"/>
      <x:c r="T1310" s="25" t="str">
        <x:v>Ask the owner/investor whether they can allocate $100K-$500K to trial marketing and acquisitions, and confirm structure, timing and decision authority.</x:v>
      </x:c>
      <x:c r="U1310" s="25" t="str">
        <x:v>https://www.cashhomebuyersdirectory.com/cash-home-buyers/virginia/roanoke</x:v>
      </x:c>
      <x:c r="V1310" s="26" t="d">
        <x:v>2026-10-02T00:00:00.000Z</x:v>
      </x:c>
      <x:c r="W1310" s="26" t="d">
        <x:v>2026-10-02T00:00:00.000Z</x:v>
      </x:c>
      <x:c r="X1310" s="25" t="str">
        <x:v>CashHomeBuyersDirectory third-party business listing; first-party business activity not checked in this batch</x:v>
      </x:c>
      <x:c r="Y1310" s="25"/>
      <x:c r="Z1310" s="25" t="str">
        <x:v>https://www.cashhomebuyersdirectory.com/cash-home-buyers/virginia/roanoke</x:v>
      </x:c>
      <x:c r="AA1310" s="25" t="str">
        <x:v>Public cash-home-buyer directory lists the business name, business phone/website where available and market. Operator role and corporate funding willingness require confirmation.</x:v>
      </x:c>
      <x:c r="AB1310" s="3" t="str">
        <x:v>New public-source collection</x:v>
      </x:c>
      <x:c r="AC1310" s="3" t="str">
        <x:v>unverified</x:v>
      </x:c>
      <x:c r="AD1310" s="3" t="str">
        <x:v>Not contacted / unconfirmed</x:v>
      </x:c>
      <x:c r="AE1310" s="3" t="str">
        <x:v>No</x:v>
      </x:c>
      <x:c r="AF1310" s="3" t="str">
        <x:v>No</x:v>
      </x:c>
      <x:c r="AG1310" s="3"/>
      <x:c r="AH1310" s="3"/>
      <x:c r="AI1310" s="18"/>
      <x:c r="AJ1310" s="3" t="str">
        <x:v>CF2500-B40B08E4B3F6</x:v>
      </x:c>
      <x:c r="AK1310" s="3" t="str">
        <x:v>real_estate_operator</x:v>
      </x:c>
      <x:c r="AL1310" s="19" t="n">
        <x:v>100000</x:v>
      </x:c>
      <x:c r="AM1310" s="19" t="n">
        <x:v>500000</x:v>
      </x:c>
      <x:c r="AN1310" s="3" t="str">
        <x:v>https://www.cashhomebuyersdirectory.com/cash-home-buyers/virginia/roanoke</x:v>
      </x:c>
      <x:c r="AO1310" s="3" t="str">
        <x:v>national_rest_directory_complete.jsonl</x:v>
      </x:c>
      <x:c r="AP1310" s="19"/>
    </x:row>
    <x:row r="1311" ht="36" customHeight="1">
      <x:c r="A1311" s="23" t="n">
        <x:v>1310</x:v>
      </x:c>
      <x:c r="B1311" s="15" t="str">
        <x:v>Sunshine Homebuyers</x:v>
      </x:c>
      <x:c r="C1311" s="15"/>
      <x:c r="D1311" s="15" t="str">
        <x:v>Property investor / home-buying operator</x:v>
      </x:c>
      <x:c r="E1311" s="15" t="str">
        <x:v>Property investor / operator inquiry</x:v>
      </x:c>
      <x:c r="F1311" s="17" t="str">
        <x:v>New</x:v>
      </x:c>
      <x:c r="G1311" s="24"/>
      <x:c r="H1311" s="24" t="str">
        <x:v>+18445567355</x:v>
      </x:c>
      <x:c r="I1311" s="24" t="str">
        <x:v>https://www.sunhb.com/?utm_source=google&amp;utm_medium=local&amp;utm_campaign=localmaps</x:v>
      </x:c>
      <x:c r="J1311" s="16" t="str">
        <x:v>NE</x:v>
      </x:c>
      <x:c r="K1311" s="16" t="str">
        <x:v>Omaha</x:v>
      </x:c>
      <x:c r="L1311" s="16" t="str">
        <x:v>Public property-business route; investor decision maker unconfirmed</x:v>
      </x:c>
      <x:c r="M1311" s="16" t="str">
        <x:v>https://www.sunhb.com/?utm_source=google&amp;utm_medium=local&amp;utm_campaign=localmaps</x:v>
      </x:c>
      <x:c r="N1311" s="16" t="str">
        <x:v>$100K-$500K ticket not published / unconfirmed</x:v>
      </x:c>
      <x:c r="O1311" s="20"/>
      <x:c r="P1311" s="20"/>
      <x:c r="Q1311" s="25" t="str">
        <x:v>No direct corporate-capital range established in checked source</x:v>
      </x:c>
      <x:c r="R1311" s="25" t="str">
        <x:v>Property acquisition or investor activity makes this an operator-capital prospect for the signed trial. Confirm operating-company debt/equity appetite.</x:v>
      </x:c>
      <x:c r="S1311" s="25"/>
      <x:c r="T1311" s="25" t="str">
        <x:v>Ask the owner/investor whether they can allocate $100K-$500K to trial marketing and acquisitions, and confirm structure, timing and decision authority.</x:v>
      </x:c>
      <x:c r="U1311" s="25" t="str">
        <x:v>https://www.cashhomebuyersdirectory.com/cash-home-buyers/nebraska/omaha</x:v>
      </x:c>
      <x:c r="V1311" s="26" t="d">
        <x:v>2026-10-02T00:00:00.000Z</x:v>
      </x:c>
      <x:c r="W1311" s="26" t="d">
        <x:v>2026-10-02T00:00:00.000Z</x:v>
      </x:c>
      <x:c r="X1311" s="25" t="str">
        <x:v>CashHomeBuyersDirectory third-party business listing; first-party business activity not checked in this batch</x:v>
      </x:c>
      <x:c r="Y1311" s="25"/>
      <x:c r="Z1311" s="25" t="str">
        <x:v>https://www.cashhomebuyersdirectory.com/cash-home-buyers/nebraska/omaha</x:v>
      </x:c>
      <x:c r="AA1311" s="25" t="str">
        <x:v>Public cash-home-buyer directory lists the business name, business phone/website where available and market. Operator role and corporate funding willingness require confirmation.</x:v>
      </x:c>
      <x:c r="AB1311" s="3" t="str">
        <x:v>New public-source collection</x:v>
      </x:c>
      <x:c r="AC1311" s="3" t="str">
        <x:v>unverified</x:v>
      </x:c>
      <x:c r="AD1311" s="3" t="str">
        <x:v>Not contacted / unconfirmed</x:v>
      </x:c>
      <x:c r="AE1311" s="3" t="str">
        <x:v>No</x:v>
      </x:c>
      <x:c r="AF1311" s="3" t="str">
        <x:v>No</x:v>
      </x:c>
      <x:c r="AG1311" s="3"/>
      <x:c r="AH1311" s="3"/>
      <x:c r="AI1311" s="18"/>
      <x:c r="AJ1311" s="3" t="str">
        <x:v>CF2500-243179D904DD</x:v>
      </x:c>
      <x:c r="AK1311" s="3" t="str">
        <x:v>real_estate_operator</x:v>
      </x:c>
      <x:c r="AL1311" s="19" t="n">
        <x:v>100000</x:v>
      </x:c>
      <x:c r="AM1311" s="19" t="n">
        <x:v>500000</x:v>
      </x:c>
      <x:c r="AN1311" s="3" t="str">
        <x:v>https://www.cashhomebuyersdirectory.com/cash-home-buyers/nebraska/omaha</x:v>
      </x:c>
      <x:c r="AO1311" s="3" t="str">
        <x:v>national_rest_directory_complete.jsonl</x:v>
      </x:c>
      <x:c r="AP1311" s="19"/>
    </x:row>
    <x:row r="1312" ht="36" customHeight="1">
      <x:c r="A1312" s="23" t="n">
        <x:v>1311</x:v>
      </x:c>
      <x:c r="B1312" s="15" t="str">
        <x:v>Sutrimont Home Buyers</x:v>
      </x:c>
      <x:c r="C1312" s="15"/>
      <x:c r="D1312" s="15" t="str">
        <x:v>Property investor / home-buying operator</x:v>
      </x:c>
      <x:c r="E1312" s="15" t="str">
        <x:v>Property investor / operator inquiry</x:v>
      </x:c>
      <x:c r="F1312" s="17" t="str">
        <x:v>New</x:v>
      </x:c>
      <x:c r="G1312" s="24"/>
      <x:c r="H1312" s="24" t="str">
        <x:v>+19162695748</x:v>
      </x:c>
      <x:c r="I1312" s="24" t="str">
        <x:v>https://sutrimonthomebuyers.com/</x:v>
      </x:c>
      <x:c r="J1312" s="16" t="str">
        <x:v>CA</x:v>
      </x:c>
      <x:c r="K1312" s="16" t="str">
        <x:v>Sacramento</x:v>
      </x:c>
      <x:c r="L1312" s="16" t="str">
        <x:v>Public property-business route; investor decision maker unconfirmed</x:v>
      </x:c>
      <x:c r="M1312" s="16" t="str">
        <x:v>https://sutrimonthomebuyers.com/</x:v>
      </x:c>
      <x:c r="N1312" s="16" t="str">
        <x:v>$100K-$500K ticket not published / unconfirmed</x:v>
      </x:c>
      <x:c r="O1312" s="20"/>
      <x:c r="P1312" s="20"/>
      <x:c r="Q1312" s="25" t="str">
        <x:v>No direct corporate-capital range established in checked source</x:v>
      </x:c>
      <x:c r="R1312" s="25" t="str">
        <x:v>Property acquisition or investor activity makes this an operator-capital prospect for the signed trial. Confirm operating-company debt/equity appetite.</x:v>
      </x:c>
      <x:c r="S1312" s="25"/>
      <x:c r="T1312" s="25" t="str">
        <x:v>Ask the owner/investor whether they can allocate $100K-$500K to trial marketing and acquisitions, and confirm structure, timing and decision authority.</x:v>
      </x:c>
      <x:c r="U1312" s="25" t="str">
        <x:v>https://www.cashhomebuyersdirectory.com/cash-home-buyers/california/sacramento</x:v>
      </x:c>
      <x:c r="V1312" s="26" t="d">
        <x:v>2026-10-02T00:00:00.000Z</x:v>
      </x:c>
      <x:c r="W1312" s="26" t="d">
        <x:v>2026-10-02T00:00:00.000Z</x:v>
      </x:c>
      <x:c r="X1312" s="25" t="str">
        <x:v>CashHomeBuyersDirectory third-party business listing; first-party business activity not checked in this batch</x:v>
      </x:c>
      <x:c r="Y1312" s="25"/>
      <x:c r="Z1312" s="25" t="str">
        <x:v>https://www.cashhomebuyersdirectory.com/cash-home-buyers/california/sacramento</x:v>
      </x:c>
      <x:c r="AA1312" s="25" t="str">
        <x:v>Public cash-home-buyer directory lists the business name, business phone/website where available and market. Operator role and corporate funding willingness require confirmation.</x:v>
      </x:c>
      <x:c r="AB1312" s="3" t="str">
        <x:v>New public-source collection</x:v>
      </x:c>
      <x:c r="AC1312" s="3" t="str">
        <x:v>unverified</x:v>
      </x:c>
      <x:c r="AD1312" s="3" t="str">
        <x:v>Not contacted / unconfirmed</x:v>
      </x:c>
      <x:c r="AE1312" s="3" t="str">
        <x:v>No</x:v>
      </x:c>
      <x:c r="AF1312" s="3" t="str">
        <x:v>No</x:v>
      </x:c>
      <x:c r="AG1312" s="3"/>
      <x:c r="AH1312" s="3"/>
      <x:c r="AI1312" s="18"/>
      <x:c r="AJ1312" s="3" t="str">
        <x:v>CF2500-CDAB4A65B65D</x:v>
      </x:c>
      <x:c r="AK1312" s="3" t="str">
        <x:v>real_estate_operator</x:v>
      </x:c>
      <x:c r="AL1312" s="19" t="n">
        <x:v>100000</x:v>
      </x:c>
      <x:c r="AM1312" s="19" t="n">
        <x:v>500000</x:v>
      </x:c>
      <x:c r="AN1312" s="3" t="str">
        <x:v>https://www.cashhomebuyersdirectory.com/cash-home-buyers/california/sacramento</x:v>
      </x:c>
      <x:c r="AO1312" s="3" t="str">
        <x:v>national_rest_directory_complete.jsonl</x:v>
      </x:c>
      <x:c r="AP1312" s="19"/>
    </x:row>
    <x:row r="1313" ht="36" customHeight="1">
      <x:c r="A1313" s="23" t="n">
        <x:v>1312</x:v>
      </x:c>
      <x:c r="B1313" s="15" t="str">
        <x:v>Swift Home Buyers LLC</x:v>
      </x:c>
      <x:c r="C1313" s="15"/>
      <x:c r="D1313" s="15" t="str">
        <x:v>Property investor / home-buying operator</x:v>
      </x:c>
      <x:c r="E1313" s="15" t="str">
        <x:v>Property investor / operator inquiry</x:v>
      </x:c>
      <x:c r="F1313" s="17" t="str">
        <x:v>New</x:v>
      </x:c>
      <x:c r="G1313" s="24"/>
      <x:c r="H1313" s="24" t="str">
        <x:v>+19087389530</x:v>
      </x:c>
      <x:c r="I1313" s="24" t="str">
        <x:v>https://swiftbuyingnj.com/</x:v>
      </x:c>
      <x:c r="J1313" s="16" t="str">
        <x:v>NJ</x:v>
      </x:c>
      <x:c r="K1313" s="16" t="str">
        <x:v>Jersey City</x:v>
      </x:c>
      <x:c r="L1313" s="16" t="str">
        <x:v>Public property-business route; investor decision maker unconfirmed</x:v>
      </x:c>
      <x:c r="M1313" s="16" t="str">
        <x:v>https://swiftbuyingnj.com/</x:v>
      </x:c>
      <x:c r="N1313" s="16" t="str">
        <x:v>$100K-$500K ticket not published / unconfirmed</x:v>
      </x:c>
      <x:c r="O1313" s="20"/>
      <x:c r="P1313" s="20"/>
      <x:c r="Q1313" s="25" t="str">
        <x:v>No direct corporate-capital range established in checked source</x:v>
      </x:c>
      <x:c r="R1313" s="25" t="str">
        <x:v>Property acquisition or investor activity makes this an operator-capital prospect for the signed trial. Confirm operating-company debt/equity appetite.</x:v>
      </x:c>
      <x:c r="S1313" s="25"/>
      <x:c r="T1313" s="25" t="str">
        <x:v>Ask the owner/investor whether they can allocate $100K-$500K to trial marketing and acquisitions, and confirm structure, timing and decision authority.</x:v>
      </x:c>
      <x:c r="U1313" s="25" t="str">
        <x:v>https://www.cashhomebuyersdirectory.com/cash-home-buyers/new-jersey/jersey-city</x:v>
      </x:c>
      <x:c r="V1313" s="26" t="d">
        <x:v>2026-10-02T00:00:00.000Z</x:v>
      </x:c>
      <x:c r="W1313" s="26" t="d">
        <x:v>2026-10-02T00:00:00.000Z</x:v>
      </x:c>
      <x:c r="X1313" s="25" t="str">
        <x:v>CashHomeBuyersDirectory third-party business listing; first-party business activity not checked in this batch</x:v>
      </x:c>
      <x:c r="Y1313" s="25"/>
      <x:c r="Z1313" s="25" t="str">
        <x:v>https://www.cashhomebuyersdirectory.com/cash-home-buyers/new-jersey/jersey-city</x:v>
      </x:c>
      <x:c r="AA1313" s="25" t="str">
        <x:v>Public cash-home-buyer directory lists the business name, business phone/website where available and market. Operator role and corporate funding willingness require confirmation.</x:v>
      </x:c>
      <x:c r="AB1313" s="3" t="str">
        <x:v>New public-source collection</x:v>
      </x:c>
      <x:c r="AC1313" s="3" t="str">
        <x:v>unverified</x:v>
      </x:c>
      <x:c r="AD1313" s="3" t="str">
        <x:v>Not contacted / unconfirmed</x:v>
      </x:c>
      <x:c r="AE1313" s="3" t="str">
        <x:v>No</x:v>
      </x:c>
      <x:c r="AF1313" s="3" t="str">
        <x:v>No</x:v>
      </x:c>
      <x:c r="AG1313" s="3"/>
      <x:c r="AH1313" s="3"/>
      <x:c r="AI1313" s="18"/>
      <x:c r="AJ1313" s="3" t="str">
        <x:v>CF2500-516ED9506668</x:v>
      </x:c>
      <x:c r="AK1313" s="3" t="str">
        <x:v>real_estate_operator</x:v>
      </x:c>
      <x:c r="AL1313" s="19" t="n">
        <x:v>100000</x:v>
      </x:c>
      <x:c r="AM1313" s="19" t="n">
        <x:v>500000</x:v>
      </x:c>
      <x:c r="AN1313" s="3" t="str">
        <x:v>https://www.cashhomebuyersdirectory.com/cash-home-buyers/new-jersey/jersey-city</x:v>
      </x:c>
      <x:c r="AO1313" s="3" t="str">
        <x:v>national_rest_directory_complete.jsonl</x:v>
      </x:c>
      <x:c r="AP1313" s="19"/>
    </x:row>
    <x:row r="1314" ht="36" customHeight="1">
      <x:c r="A1314" s="23" t="n">
        <x:v>1313</x:v>
      </x:c>
      <x:c r="B1314" s="15" t="str">
        <x:v>Tacoma Cash Offer</x:v>
      </x:c>
      <x:c r="C1314" s="15"/>
      <x:c r="D1314" s="15" t="str">
        <x:v>Property investor / home-buying operator</x:v>
      </x:c>
      <x:c r="E1314" s="15" t="str">
        <x:v>Property investor / operator inquiry</x:v>
      </x:c>
      <x:c r="F1314" s="17" t="str">
        <x:v>New</x:v>
      </x:c>
      <x:c r="G1314" s="24"/>
      <x:c r="H1314" s="24" t="str">
        <x:v>+12533002897</x:v>
      </x:c>
      <x:c r="I1314" s="24" t="str">
        <x:v>https://www.tacomacashoffer.com/?utm_source=google_my_business&amp;utm_medium=GMB_magnyfi</x:v>
      </x:c>
      <x:c r="J1314" s="16" t="str">
        <x:v>WA</x:v>
      </x:c>
      <x:c r="K1314" s="16" t="str">
        <x:v>Tacoma</x:v>
      </x:c>
      <x:c r="L1314" s="16" t="str">
        <x:v>Public property-business route; investor decision maker unconfirmed</x:v>
      </x:c>
      <x:c r="M1314" s="16" t="str">
        <x:v>https://www.tacomacashoffer.com/?utm_source=google_my_business&amp;utm_medium=GMB_magnyfi</x:v>
      </x:c>
      <x:c r="N1314" s="16" t="str">
        <x:v>$100K-$500K ticket not published / unconfirmed</x:v>
      </x:c>
      <x:c r="O1314" s="20"/>
      <x:c r="P1314" s="20"/>
      <x:c r="Q1314" s="25" t="str">
        <x:v>No direct corporate-capital range established in checked source</x:v>
      </x:c>
      <x:c r="R1314" s="25" t="str">
        <x:v>Property acquisition or investor activity makes this an operator-capital prospect for the signed trial. Confirm operating-company debt/equity appetite.</x:v>
      </x:c>
      <x:c r="S1314" s="25"/>
      <x:c r="T1314" s="25" t="str">
        <x:v>Ask the owner/investor whether they can allocate $100K-$500K to trial marketing and acquisitions, and confirm structure, timing and decision authority.</x:v>
      </x:c>
      <x:c r="U1314" s="25" t="str">
        <x:v>https://www.cashhomebuyersdirectory.com/cash-home-buyers/washington/tacoma</x:v>
      </x:c>
      <x:c r="V1314" s="26" t="d">
        <x:v>2026-10-02T00:00:00.000Z</x:v>
      </x:c>
      <x:c r="W1314" s="26" t="d">
        <x:v>2026-10-02T00:00:00.000Z</x:v>
      </x:c>
      <x:c r="X1314" s="25" t="str">
        <x:v>CashHomeBuyersDirectory third-party business listing; first-party business activity not checked in this batch</x:v>
      </x:c>
      <x:c r="Y1314" s="25"/>
      <x:c r="Z1314" s="25" t="str">
        <x:v>https://www.cashhomebuyersdirectory.com/cash-home-buyers/washington/tacoma</x:v>
      </x:c>
      <x:c r="AA1314" s="25" t="str">
        <x:v>Public cash-home-buyer directory lists the business name, business phone/website where available and market. Operator role and corporate funding willingness require confirmation.</x:v>
      </x:c>
      <x:c r="AB1314" s="3" t="str">
        <x:v>New public-source collection</x:v>
      </x:c>
      <x:c r="AC1314" s="3" t="str">
        <x:v>unverified</x:v>
      </x:c>
      <x:c r="AD1314" s="3" t="str">
        <x:v>Not contacted / unconfirmed</x:v>
      </x:c>
      <x:c r="AE1314" s="3" t="str">
        <x:v>No</x:v>
      </x:c>
      <x:c r="AF1314" s="3" t="str">
        <x:v>No</x:v>
      </x:c>
      <x:c r="AG1314" s="3"/>
      <x:c r="AH1314" s="3"/>
      <x:c r="AI1314" s="18"/>
      <x:c r="AJ1314" s="3" t="str">
        <x:v>CF2500-17D862324898</x:v>
      </x:c>
      <x:c r="AK1314" s="3" t="str">
        <x:v>real_estate_operator</x:v>
      </x:c>
      <x:c r="AL1314" s="19" t="n">
        <x:v>100000</x:v>
      </x:c>
      <x:c r="AM1314" s="19" t="n">
        <x:v>500000</x:v>
      </x:c>
      <x:c r="AN1314" s="3" t="str">
        <x:v>https://www.cashhomebuyersdirectory.com/cash-home-buyers/washington/tacoma</x:v>
      </x:c>
      <x:c r="AO1314" s="3" t="str">
        <x:v>national_rest_directory_complete.jsonl</x:v>
      </x:c>
      <x:c r="AP1314" s="19"/>
    </x:row>
    <x:row r="1315" ht="36" customHeight="1">
      <x:c r="A1315" s="23" t="n">
        <x:v>1314</x:v>
      </x:c>
      <x:c r="B1315" s="15" t="str">
        <x:v>TG Home Buyers LLC</x:v>
      </x:c>
      <x:c r="C1315" s="15"/>
      <x:c r="D1315" s="15" t="str">
        <x:v>Property investor / home-buying operator</x:v>
      </x:c>
      <x:c r="E1315" s="15" t="str">
        <x:v>Property investor / operator inquiry</x:v>
      </x:c>
      <x:c r="F1315" s="17" t="str">
        <x:v>New</x:v>
      </x:c>
      <x:c r="G1315" s="24"/>
      <x:c r="H1315" s="24" t="str">
        <x:v>+13044446744</x:v>
      </x:c>
      <x:c r="I1315" s="24" t="str">
        <x:v>https://www.wvinvestors.com/</x:v>
      </x:c>
      <x:c r="J1315" s="16" t="str">
        <x:v>WV</x:v>
      </x:c>
      <x:c r="K1315" s="16"/>
      <x:c r="L1315" s="16" t="str">
        <x:v>Public property-business route; investor decision maker unconfirmed</x:v>
      </x:c>
      <x:c r="M1315" s="16" t="str">
        <x:v>https://www.wvinvestors.com/</x:v>
      </x:c>
      <x:c r="N1315" s="16" t="str">
        <x:v>$100K-$500K ticket not published / unconfirmed</x:v>
      </x:c>
      <x:c r="O1315" s="20"/>
      <x:c r="P1315" s="20"/>
      <x:c r="Q1315" s="25" t="str">
        <x:v>No direct corporate-capital range established in checked source</x:v>
      </x:c>
      <x:c r="R1315" s="25" t="str">
        <x:v>Property acquisition or investor activity makes this an operator-capital prospect for the signed trial. Confirm operating-company debt/equity appetite.</x:v>
      </x:c>
      <x:c r="S1315" s="25"/>
      <x:c r="T1315" s="25" t="str">
        <x:v>Ask the owner/investor whether they can allocate $100K-$500K to trial marketing and acquisitions, and confirm structure, timing and decision authority.</x:v>
      </x:c>
      <x:c r="U1315" s="25" t="str">
        <x:v>https://www.cashhomebuyersdirectory.com/cash-home-buyers/west-virginia/charleston</x:v>
      </x:c>
      <x:c r="V1315" s="26" t="d">
        <x:v>2026-10-02T00:00:00.000Z</x:v>
      </x:c>
      <x:c r="W1315" s="26" t="d">
        <x:v>2026-10-02T00:00:00.000Z</x:v>
      </x:c>
      <x:c r="X1315" s="25" t="str">
        <x:v>CashHomeBuyersDirectory third-party business listing; first-party business activity not checked in this batch</x:v>
      </x:c>
      <x:c r="Y1315" s="25"/>
      <x:c r="Z1315" s="25" t="str">
        <x:v>https://www.cashhomebuyersdirectory.com/cash-home-buyers/west-virginia/charleston</x:v>
      </x:c>
      <x:c r="AA1315" s="25" t="str">
        <x:v>Public cash-home-buyer directory lists the business name, business phone/website where available and market. Operator role and corporate funding willingness require confirmation.</x:v>
      </x:c>
      <x:c r="AB1315" s="3" t="str">
        <x:v>New public-source collection</x:v>
      </x:c>
      <x:c r="AC1315" s="3" t="str">
        <x:v>unverified</x:v>
      </x:c>
      <x:c r="AD1315" s="3" t="str">
        <x:v>Not contacted / unconfirmed</x:v>
      </x:c>
      <x:c r="AE1315" s="3" t="str">
        <x:v>No</x:v>
      </x:c>
      <x:c r="AF1315" s="3" t="str">
        <x:v>No</x:v>
      </x:c>
      <x:c r="AG1315" s="3"/>
      <x:c r="AH1315" s="3"/>
      <x:c r="AI1315" s="18"/>
      <x:c r="AJ1315" s="3" t="str">
        <x:v>CF2500-BA5C00115594</x:v>
      </x:c>
      <x:c r="AK1315" s="3" t="str">
        <x:v>real_estate_operator</x:v>
      </x:c>
      <x:c r="AL1315" s="19" t="n">
        <x:v>100000</x:v>
      </x:c>
      <x:c r="AM1315" s="19" t="n">
        <x:v>500000</x:v>
      </x:c>
      <x:c r="AN1315" s="3" t="str">
        <x:v>https://www.cashhomebuyersdirectory.com/cash-home-buyers/west-virginia/charleston</x:v>
      </x:c>
      <x:c r="AO1315" s="3" t="str">
        <x:v>national_rest_directory_complete.jsonl</x:v>
      </x:c>
      <x:c r="AP1315" s="19"/>
    </x:row>
    <x:row r="1316" ht="36" customHeight="1">
      <x:c r="A1316" s="23" t="n">
        <x:v>1315</x:v>
      </x:c>
      <x:c r="B1316" s="15" t="str">
        <x:v>The Cash Offer Company</x:v>
      </x:c>
      <x:c r="C1316" s="15"/>
      <x:c r="D1316" s="15" t="str">
        <x:v>Property investor / home-buying operator</x:v>
      </x:c>
      <x:c r="E1316" s="15" t="str">
        <x:v>Property investor / operator inquiry</x:v>
      </x:c>
      <x:c r="F1316" s="17" t="str">
        <x:v>New</x:v>
      </x:c>
      <x:c r="G1316" s="24"/>
      <x:c r="H1316" s="24" t="str">
        <x:v>+18042154004</x:v>
      </x:c>
      <x:c r="I1316" s="24" t="str">
        <x:v>https://www.thecashoffercompany.com/</x:v>
      </x:c>
      <x:c r="J1316" s="16" t="str">
        <x:v>VA</x:v>
      </x:c>
      <x:c r="K1316" s="16" t="str">
        <x:v>Richmond</x:v>
      </x:c>
      <x:c r="L1316" s="16" t="str">
        <x:v>Public property-business route; investor decision maker unconfirmed</x:v>
      </x:c>
      <x:c r="M1316" s="16" t="str">
        <x:v>https://www.thecashoffercompany.com/</x:v>
      </x:c>
      <x:c r="N1316" s="16" t="str">
        <x:v>$100K-$500K ticket not published / unconfirmed</x:v>
      </x:c>
      <x:c r="O1316" s="20"/>
      <x:c r="P1316" s="20"/>
      <x:c r="Q1316" s="25" t="str">
        <x:v>No direct corporate-capital range established in checked source</x:v>
      </x:c>
      <x:c r="R1316" s="25" t="str">
        <x:v>Property acquisition or investor activity makes this an operator-capital prospect for the signed trial. Confirm operating-company debt/equity appetite.</x:v>
      </x:c>
      <x:c r="S1316" s="25"/>
      <x:c r="T1316" s="25" t="str">
        <x:v>Ask the owner/investor whether they can allocate $100K-$500K to trial marketing and acquisitions, and confirm structure, timing and decision authority.</x:v>
      </x:c>
      <x:c r="U1316" s="25" t="str">
        <x:v>https://www.cashhomebuyersdirectory.com/cash-home-buyers/virginia/richmond</x:v>
      </x:c>
      <x:c r="V1316" s="26" t="d">
        <x:v>2026-10-02T00:00:00.000Z</x:v>
      </x:c>
      <x:c r="W1316" s="26" t="d">
        <x:v>2026-10-02T00:00:00.000Z</x:v>
      </x:c>
      <x:c r="X1316" s="25" t="str">
        <x:v>CashHomeBuyersDirectory third-party business listing; first-party business activity not checked in this batch</x:v>
      </x:c>
      <x:c r="Y1316" s="25"/>
      <x:c r="Z1316" s="25" t="str">
        <x:v>https://www.cashhomebuyersdirectory.com/cash-home-buyers/virginia/richmond</x:v>
      </x:c>
      <x:c r="AA1316" s="25" t="str">
        <x:v>Public cash-home-buyer directory lists the business name, business phone/website where available and market. Operator role and corporate funding willingness require confirmation.</x:v>
      </x:c>
      <x:c r="AB1316" s="3" t="str">
        <x:v>New public-source collection</x:v>
      </x:c>
      <x:c r="AC1316" s="3" t="str">
        <x:v>unverified</x:v>
      </x:c>
      <x:c r="AD1316" s="3" t="str">
        <x:v>Not contacted / unconfirmed</x:v>
      </x:c>
      <x:c r="AE1316" s="3" t="str">
        <x:v>No</x:v>
      </x:c>
      <x:c r="AF1316" s="3" t="str">
        <x:v>No</x:v>
      </x:c>
      <x:c r="AG1316" s="3"/>
      <x:c r="AH1316" s="3"/>
      <x:c r="AI1316" s="18"/>
      <x:c r="AJ1316" s="3" t="str">
        <x:v>CF2500-04E36BA6C769</x:v>
      </x:c>
      <x:c r="AK1316" s="3" t="str">
        <x:v>real_estate_operator</x:v>
      </x:c>
      <x:c r="AL1316" s="19" t="n">
        <x:v>100000</x:v>
      </x:c>
      <x:c r="AM1316" s="19" t="n">
        <x:v>500000</x:v>
      </x:c>
      <x:c r="AN1316" s="3" t="str">
        <x:v>https://www.cashhomebuyersdirectory.com/cash-home-buyers/virginia/richmond</x:v>
      </x:c>
      <x:c r="AO1316" s="3" t="str">
        <x:v>national_rest_directory_complete.jsonl</x:v>
      </x:c>
      <x:c r="AP1316" s="19"/>
    </x:row>
    <x:row r="1317" ht="36" customHeight="1">
      <x:c r="A1317" s="23" t="n">
        <x:v>1316</x:v>
      </x:c>
      <x:c r="B1317" s="15" t="str">
        <x:v>The Easy Home Buyer</x:v>
      </x:c>
      <x:c r="C1317" s="15"/>
      <x:c r="D1317" s="15" t="str">
        <x:v>Property investor / home-buying operator</x:v>
      </x:c>
      <x:c r="E1317" s="15" t="str">
        <x:v>Property investor / operator inquiry</x:v>
      </x:c>
      <x:c r="F1317" s="17" t="str">
        <x:v>New</x:v>
      </x:c>
      <x:c r="G1317" s="24"/>
      <x:c r="H1317" s="24" t="str">
        <x:v>+15095302088</x:v>
      </x:c>
      <x:c r="I1317" s="24" t="str">
        <x:v>https://theeasyhomebuyer.com/?utm_source=gmb&amp;utm_medium=organic&amp;utm_campaign=gmb</x:v>
      </x:c>
      <x:c r="J1317" s="16" t="str">
        <x:v>WA</x:v>
      </x:c>
      <x:c r="K1317" s="16" t="str">
        <x:v>Spokane</x:v>
      </x:c>
      <x:c r="L1317" s="16" t="str">
        <x:v>Public property-business route; investor decision maker unconfirmed</x:v>
      </x:c>
      <x:c r="M1317" s="16" t="str">
        <x:v>https://theeasyhomebuyer.com/?utm_source=gmb&amp;utm_medium=organic&amp;utm_campaign=gmb</x:v>
      </x:c>
      <x:c r="N1317" s="16" t="str">
        <x:v>$100K-$500K ticket not published / unconfirmed</x:v>
      </x:c>
      <x:c r="O1317" s="20"/>
      <x:c r="P1317" s="20"/>
      <x:c r="Q1317" s="25" t="str">
        <x:v>No direct corporate-capital range established in checked source</x:v>
      </x:c>
      <x:c r="R1317" s="25" t="str">
        <x:v>Property acquisition or investor activity makes this an operator-capital prospect for the signed trial. Confirm operating-company debt/equity appetite.</x:v>
      </x:c>
      <x:c r="S1317" s="25"/>
      <x:c r="T1317" s="25" t="str">
        <x:v>Ask the owner/investor whether they can allocate $100K-$500K to trial marketing and acquisitions, and confirm structure, timing and decision authority.</x:v>
      </x:c>
      <x:c r="U1317" s="25" t="str">
        <x:v>https://www.cashhomebuyersdirectory.com/cash-home-buyers/washington/spokane</x:v>
      </x:c>
      <x:c r="V1317" s="26" t="d">
        <x:v>2026-10-02T00:00:00.000Z</x:v>
      </x:c>
      <x:c r="W1317" s="26" t="d">
        <x:v>2026-10-02T00:00:00.000Z</x:v>
      </x:c>
      <x:c r="X1317" s="25" t="str">
        <x:v>CashHomeBuyersDirectory third-party business listing; first-party business activity not checked in this batch</x:v>
      </x:c>
      <x:c r="Y1317" s="25"/>
      <x:c r="Z1317" s="25" t="str">
        <x:v>https://www.cashhomebuyersdirectory.com/cash-home-buyers/washington/spokane</x:v>
      </x:c>
      <x:c r="AA1317" s="25" t="str">
        <x:v>Public cash-home-buyer directory lists the business name, business phone/website where available and market. Operator role and corporate funding willingness require confirmation.</x:v>
      </x:c>
      <x:c r="AB1317" s="3" t="str">
        <x:v>New public-source collection</x:v>
      </x:c>
      <x:c r="AC1317" s="3" t="str">
        <x:v>unverified</x:v>
      </x:c>
      <x:c r="AD1317" s="3" t="str">
        <x:v>Not contacted / unconfirmed</x:v>
      </x:c>
      <x:c r="AE1317" s="3" t="str">
        <x:v>No</x:v>
      </x:c>
      <x:c r="AF1317" s="3" t="str">
        <x:v>No</x:v>
      </x:c>
      <x:c r="AG1317" s="3"/>
      <x:c r="AH1317" s="3"/>
      <x:c r="AI1317" s="18"/>
      <x:c r="AJ1317" s="3" t="str">
        <x:v>CF2500-42C62A51E5EF</x:v>
      </x:c>
      <x:c r="AK1317" s="3" t="str">
        <x:v>real_estate_operator</x:v>
      </x:c>
      <x:c r="AL1317" s="19" t="n">
        <x:v>100000</x:v>
      </x:c>
      <x:c r="AM1317" s="19" t="n">
        <x:v>500000</x:v>
      </x:c>
      <x:c r="AN1317" s="3" t="str">
        <x:v>https://www.cashhomebuyersdirectory.com/cash-home-buyers/washington/spokane</x:v>
      </x:c>
      <x:c r="AO1317" s="3" t="str">
        <x:v>national_rest_directory_complete.jsonl</x:v>
      </x:c>
      <x:c r="AP1317" s="19"/>
    </x:row>
    <x:row r="1318" ht="36" customHeight="1">
      <x:c r="A1318" s="23" t="n">
        <x:v>1317</x:v>
      </x:c>
      <x:c r="B1318" s="15" t="str">
        <x:v>The Friendly House Buyers</x:v>
      </x:c>
      <x:c r="C1318" s="15"/>
      <x:c r="D1318" s="15" t="str">
        <x:v>Property investor / home-buying operator</x:v>
      </x:c>
      <x:c r="E1318" s="15" t="str">
        <x:v>Property investor / operator inquiry</x:v>
      </x:c>
      <x:c r="F1318" s="17" t="str">
        <x:v>New</x:v>
      </x:c>
      <x:c r="G1318" s="24"/>
      <x:c r="H1318" s="24" t="str">
        <x:v>+19378704040</x:v>
      </x:c>
      <x:c r="I1318" s="24" t="str">
        <x:v>http://thefriendlyhousebuyers.com/</x:v>
      </x:c>
      <x:c r="J1318" s="16" t="str">
        <x:v>OH</x:v>
      </x:c>
      <x:c r="K1318" s="16" t="str">
        <x:v>Dayton</x:v>
      </x:c>
      <x:c r="L1318" s="16" t="str">
        <x:v>Public property-business route; investor decision maker unconfirmed</x:v>
      </x:c>
      <x:c r="M1318" s="16" t="str">
        <x:v>http://thefriendlyhousebuyers.com/</x:v>
      </x:c>
      <x:c r="N1318" s="16" t="str">
        <x:v>$100K-$500K ticket not published / unconfirmed</x:v>
      </x:c>
      <x:c r="O1318" s="20"/>
      <x:c r="P1318" s="20"/>
      <x:c r="Q1318" s="25" t="str">
        <x:v>No direct corporate-capital range established in checked source</x:v>
      </x:c>
      <x:c r="R1318" s="25" t="str">
        <x:v>Property acquisition or investor activity makes this an operator-capital prospect for the signed trial. Confirm operating-company debt/equity appetite.</x:v>
      </x:c>
      <x:c r="S1318" s="25"/>
      <x:c r="T1318" s="25" t="str">
        <x:v>Ask the owner/investor whether they can allocate $100K-$500K to trial marketing and acquisitions, and confirm structure, timing and decision authority.</x:v>
      </x:c>
      <x:c r="U1318" s="25" t="str">
        <x:v>https://www.cashhomebuyersdirectory.com/cash-home-buyers/ohio/dayton</x:v>
      </x:c>
      <x:c r="V1318" s="26" t="d">
        <x:v>2026-10-02T00:00:00.000Z</x:v>
      </x:c>
      <x:c r="W1318" s="26" t="d">
        <x:v>2026-10-02T00:00:00.000Z</x:v>
      </x:c>
      <x:c r="X1318" s="25" t="str">
        <x:v>CashHomeBuyersDirectory third-party business listing; first-party business activity not checked in this batch</x:v>
      </x:c>
      <x:c r="Y1318" s="25"/>
      <x:c r="Z1318" s="25" t="str">
        <x:v>https://www.cashhomebuyersdirectory.com/cash-home-buyers/ohio/dayton</x:v>
      </x:c>
      <x:c r="AA1318" s="25" t="str">
        <x:v>Public cash-home-buyer directory lists the business name, business phone/website where available and market. Operator role and corporate funding willingness require confirmation.</x:v>
      </x:c>
      <x:c r="AB1318" s="3" t="str">
        <x:v>New public-source collection</x:v>
      </x:c>
      <x:c r="AC1318" s="3" t="str">
        <x:v>unverified</x:v>
      </x:c>
      <x:c r="AD1318" s="3" t="str">
        <x:v>Not contacted / unconfirmed</x:v>
      </x:c>
      <x:c r="AE1318" s="3" t="str">
        <x:v>No</x:v>
      </x:c>
      <x:c r="AF1318" s="3" t="str">
        <x:v>No</x:v>
      </x:c>
      <x:c r="AG1318" s="3"/>
      <x:c r="AH1318" s="3"/>
      <x:c r="AI1318" s="18"/>
      <x:c r="AJ1318" s="3" t="str">
        <x:v>CF2500-D17DF6E80E89</x:v>
      </x:c>
      <x:c r="AK1318" s="3" t="str">
        <x:v>real_estate_operator</x:v>
      </x:c>
      <x:c r="AL1318" s="19" t="n">
        <x:v>100000</x:v>
      </x:c>
      <x:c r="AM1318" s="19" t="n">
        <x:v>500000</x:v>
      </x:c>
      <x:c r="AN1318" s="3" t="str">
        <x:v>https://www.cashhomebuyersdirectory.com/cash-home-buyers/ohio/dayton</x:v>
      </x:c>
      <x:c r="AO1318" s="3" t="str">
        <x:v>national_rest_directory_complete.jsonl</x:v>
      </x:c>
      <x:c r="AP1318" s="19"/>
    </x:row>
    <x:row r="1319" ht="36" customHeight="1">
      <x:c r="A1319" s="23" t="n">
        <x:v>1318</x:v>
      </x:c>
      <x:c r="B1319" s="15" t="str">
        <x:v>The Kind Home Buyer</x:v>
      </x:c>
      <x:c r="C1319" s="15"/>
      <x:c r="D1319" s="15" t="str">
        <x:v>Property investor / home-buying operator</x:v>
      </x:c>
      <x:c r="E1319" s="15" t="str">
        <x:v>Property investor / operator inquiry</x:v>
      </x:c>
      <x:c r="F1319" s="17" t="str">
        <x:v>New</x:v>
      </x:c>
      <x:c r="G1319" s="24"/>
      <x:c r="H1319" s="24" t="str">
        <x:v>+15138663877</x:v>
      </x:c>
      <x:c r="I1319" s="24" t="str">
        <x:v>https://thekindhomebuyer.com/</x:v>
      </x:c>
      <x:c r="J1319" s="16" t="str">
        <x:v>OH</x:v>
      </x:c>
      <x:c r="K1319" s="16" t="str">
        <x:v>Cincinnati</x:v>
      </x:c>
      <x:c r="L1319" s="16" t="str">
        <x:v>Public property-business route; investor decision maker unconfirmed</x:v>
      </x:c>
      <x:c r="M1319" s="16" t="str">
        <x:v>https://thekindhomebuyer.com/</x:v>
      </x:c>
      <x:c r="N1319" s="16" t="str">
        <x:v>$100K-$500K ticket not published / unconfirmed</x:v>
      </x:c>
      <x:c r="O1319" s="20"/>
      <x:c r="P1319" s="20"/>
      <x:c r="Q1319" s="25" t="str">
        <x:v>No direct corporate-capital range established in checked source</x:v>
      </x:c>
      <x:c r="R1319" s="25" t="str">
        <x:v>Property acquisition or investor activity makes this an operator-capital prospect for the signed trial. Confirm operating-company debt/equity appetite.</x:v>
      </x:c>
      <x:c r="S1319" s="25"/>
      <x:c r="T1319" s="25" t="str">
        <x:v>Ask the owner/investor whether they can allocate $100K-$500K to trial marketing and acquisitions, and confirm structure, timing and decision authority.</x:v>
      </x:c>
      <x:c r="U1319" s="25" t="str">
        <x:v>https://www.cashhomebuyersdirectory.com/cash-home-buyers/ohio/cincinnati</x:v>
      </x:c>
      <x:c r="V1319" s="26" t="d">
        <x:v>2026-10-02T00:00:00.000Z</x:v>
      </x:c>
      <x:c r="W1319" s="26" t="d">
        <x:v>2026-10-02T00:00:00.000Z</x:v>
      </x:c>
      <x:c r="X1319" s="25" t="str">
        <x:v>CashHomeBuyersDirectory third-party business listing; first-party business activity not checked in this batch</x:v>
      </x:c>
      <x:c r="Y1319" s="25"/>
      <x:c r="Z1319" s="25" t="str">
        <x:v>https://www.cashhomebuyersdirectory.com/cash-home-buyers/ohio/cincinnati</x:v>
      </x:c>
      <x:c r="AA1319" s="25" t="str">
        <x:v>Public cash-home-buyer directory lists the business name, business phone/website where available and market. Operator role and corporate funding willingness require confirmation.</x:v>
      </x:c>
      <x:c r="AB1319" s="3" t="str">
        <x:v>New public-source collection</x:v>
      </x:c>
      <x:c r="AC1319" s="3" t="str">
        <x:v>unverified</x:v>
      </x:c>
      <x:c r="AD1319" s="3" t="str">
        <x:v>Not contacted / unconfirmed</x:v>
      </x:c>
      <x:c r="AE1319" s="3" t="str">
        <x:v>No</x:v>
      </x:c>
      <x:c r="AF1319" s="3" t="str">
        <x:v>No</x:v>
      </x:c>
      <x:c r="AG1319" s="3"/>
      <x:c r="AH1319" s="3"/>
      <x:c r="AI1319" s="18"/>
      <x:c r="AJ1319" s="3" t="str">
        <x:v>CF2500-C20AAB7F92EF</x:v>
      </x:c>
      <x:c r="AK1319" s="3" t="str">
        <x:v>real_estate_operator</x:v>
      </x:c>
      <x:c r="AL1319" s="19" t="n">
        <x:v>100000</x:v>
      </x:c>
      <x:c r="AM1319" s="19" t="n">
        <x:v>500000</x:v>
      </x:c>
      <x:c r="AN1319" s="3" t="str">
        <x:v>https://www.cashhomebuyersdirectory.com/cash-home-buyers/ohio/cincinnati</x:v>
      </x:c>
      <x:c r="AO1319" s="3" t="str">
        <x:v>national_rest_directory_complete.jsonl</x:v>
      </x:c>
      <x:c r="AP1319" s="19"/>
    </x:row>
    <x:row r="1320" ht="36" customHeight="1">
      <x:c r="A1320" s="23" t="n">
        <x:v>1319</x:v>
      </x:c>
      <x:c r="B1320" s="15" t="str">
        <x:v>The Louisiana Home Buyers (We Buy Houses Any Condition)</x:v>
      </x:c>
      <x:c r="C1320" s="15"/>
      <x:c r="D1320" s="15" t="str">
        <x:v>Property investor / home-buying operator</x:v>
      </x:c>
      <x:c r="E1320" s="15" t="str">
        <x:v>Property investor / operator inquiry</x:v>
      </x:c>
      <x:c r="F1320" s="17" t="str">
        <x:v>New</x:v>
      </x:c>
      <x:c r="G1320" s="24"/>
      <x:c r="H1320" s="24" t="str">
        <x:v>+13186425755</x:v>
      </x:c>
      <x:c r="I1320" s="24" t="str">
        <x:v>https://thelouisianahomebuyers.com/sell_your_house</x:v>
      </x:c>
      <x:c r="J1320" s="16" t="str">
        <x:v>LA</x:v>
      </x:c>
      <x:c r="K1320" s="16" t="str">
        <x:v>Shreveport</x:v>
      </x:c>
      <x:c r="L1320" s="16" t="str">
        <x:v>Public property-business route; investor decision maker unconfirmed</x:v>
      </x:c>
      <x:c r="M1320" s="16" t="str">
        <x:v>https://thelouisianahomebuyers.com/sell_your_house</x:v>
      </x:c>
      <x:c r="N1320" s="16" t="str">
        <x:v>$100K-$500K ticket not published / unconfirmed</x:v>
      </x:c>
      <x:c r="O1320" s="20"/>
      <x:c r="P1320" s="20"/>
      <x:c r="Q1320" s="25" t="str">
        <x:v>No direct corporate-capital range established in checked source</x:v>
      </x:c>
      <x:c r="R1320" s="25" t="str">
        <x:v>Property acquisition or investor activity makes this an operator-capital prospect for the signed trial. Confirm operating-company debt/equity appetite.</x:v>
      </x:c>
      <x:c r="S1320" s="25"/>
      <x:c r="T1320" s="25" t="str">
        <x:v>Ask the owner/investor whether they can allocate $100K-$500K to trial marketing and acquisitions, and confirm structure, timing and decision authority.</x:v>
      </x:c>
      <x:c r="U1320" s="25" t="str">
        <x:v>https://www.cashhomebuyersdirectory.com/cash-home-buyers/louisiana/shreveport</x:v>
      </x:c>
      <x:c r="V1320" s="26" t="d">
        <x:v>2026-10-02T00:00:00.000Z</x:v>
      </x:c>
      <x:c r="W1320" s="26" t="d">
        <x:v>2026-10-02T00:00:00.000Z</x:v>
      </x:c>
      <x:c r="X1320" s="25" t="str">
        <x:v>CashHomeBuyersDirectory third-party business listing; first-party business activity not checked in this batch</x:v>
      </x:c>
      <x:c r="Y1320" s="25"/>
      <x:c r="Z1320" s="25" t="str">
        <x:v>https://www.cashhomebuyersdirectory.com/cash-home-buyers/louisiana/shreveport</x:v>
      </x:c>
      <x:c r="AA1320" s="25" t="str">
        <x:v>Public cash-home-buyer directory lists the business name, business phone/website where available and market. Operator role and corporate funding willingness require confirmation.</x:v>
      </x:c>
      <x:c r="AB1320" s="3" t="str">
        <x:v>New public-source collection</x:v>
      </x:c>
      <x:c r="AC1320" s="3" t="str">
        <x:v>unverified</x:v>
      </x:c>
      <x:c r="AD1320" s="3" t="str">
        <x:v>Not contacted / unconfirmed</x:v>
      </x:c>
      <x:c r="AE1320" s="3" t="str">
        <x:v>No</x:v>
      </x:c>
      <x:c r="AF1320" s="3" t="str">
        <x:v>No</x:v>
      </x:c>
      <x:c r="AG1320" s="3"/>
      <x:c r="AH1320" s="3"/>
      <x:c r="AI1320" s="18"/>
      <x:c r="AJ1320" s="3" t="str">
        <x:v>CF2500-0586B6B9111F</x:v>
      </x:c>
      <x:c r="AK1320" s="3" t="str">
        <x:v>real_estate_operator</x:v>
      </x:c>
      <x:c r="AL1320" s="19" t="n">
        <x:v>100000</x:v>
      </x:c>
      <x:c r="AM1320" s="19" t="n">
        <x:v>500000</x:v>
      </x:c>
      <x:c r="AN1320" s="3" t="str">
        <x:v>https://www.cashhomebuyersdirectory.com/cash-home-buyers/louisiana/shreveport</x:v>
      </x:c>
      <x:c r="AO1320" s="3" t="str">
        <x:v>national_rest_directory_complete.jsonl</x:v>
      </x:c>
      <x:c r="AP1320" s="19"/>
    </x:row>
    <x:row r="1321" ht="36" customHeight="1">
      <x:c r="A1321" s="23" t="n">
        <x:v>1320</x:v>
      </x:c>
      <x:c r="B1321" s="15" t="str">
        <x:v>Top Dollar Housebuyers</x:v>
      </x:c>
      <x:c r="C1321" s="15"/>
      <x:c r="D1321" s="15" t="str">
        <x:v>Property investor / home-buying operator</x:v>
      </x:c>
      <x:c r="E1321" s="15" t="str">
        <x:v>Property investor / operator inquiry</x:v>
      </x:c>
      <x:c r="F1321" s="17" t="str">
        <x:v>New</x:v>
      </x:c>
      <x:c r="G1321" s="24"/>
      <x:c r="H1321" s="24" t="str">
        <x:v>+18047280400</x:v>
      </x:c>
      <x:c r="I1321" s="24" t="str">
        <x:v>https://www.topdollarhousebuyers.com/</x:v>
      </x:c>
      <x:c r="J1321" s="16" t="str">
        <x:v>VA</x:v>
      </x:c>
      <x:c r="K1321" s="16" t="str">
        <x:v>Richmond</x:v>
      </x:c>
      <x:c r="L1321" s="16" t="str">
        <x:v>Public property-business route; investor decision maker unconfirmed</x:v>
      </x:c>
      <x:c r="M1321" s="16" t="str">
        <x:v>https://www.topdollarhousebuyers.com/</x:v>
      </x:c>
      <x:c r="N1321" s="16" t="str">
        <x:v>$100K-$500K ticket not published / unconfirmed</x:v>
      </x:c>
      <x:c r="O1321" s="20"/>
      <x:c r="P1321" s="20"/>
      <x:c r="Q1321" s="25" t="str">
        <x:v>No direct corporate-capital range established in checked source</x:v>
      </x:c>
      <x:c r="R1321" s="25" t="str">
        <x:v>Property acquisition or investor activity makes this an operator-capital prospect for the signed trial. Confirm operating-company debt/equity appetite.</x:v>
      </x:c>
      <x:c r="S1321" s="25"/>
      <x:c r="T1321" s="25" t="str">
        <x:v>Ask the owner/investor whether they can allocate $100K-$500K to trial marketing and acquisitions, and confirm structure, timing and decision authority.</x:v>
      </x:c>
      <x:c r="U1321" s="25" t="str">
        <x:v>https://www.cashhomebuyersdirectory.com/cash-home-buyers/virginia/richmond</x:v>
      </x:c>
      <x:c r="V1321" s="26" t="d">
        <x:v>2026-10-02T00:00:00.000Z</x:v>
      </x:c>
      <x:c r="W1321" s="26" t="d">
        <x:v>2026-10-02T00:00:00.000Z</x:v>
      </x:c>
      <x:c r="X1321" s="25" t="str">
        <x:v>CashHomeBuyersDirectory third-party business listing; first-party business activity not checked in this batch</x:v>
      </x:c>
      <x:c r="Y1321" s="25"/>
      <x:c r="Z1321" s="25" t="str">
        <x:v>https://www.cashhomebuyersdirectory.com/cash-home-buyers/virginia/richmond</x:v>
      </x:c>
      <x:c r="AA1321" s="25" t="str">
        <x:v>Public cash-home-buyer directory lists the business name, business phone/website where available and market. Operator role and corporate funding willingness require confirmation.</x:v>
      </x:c>
      <x:c r="AB1321" s="3" t="str">
        <x:v>New public-source collection</x:v>
      </x:c>
      <x:c r="AC1321" s="3" t="str">
        <x:v>unverified</x:v>
      </x:c>
      <x:c r="AD1321" s="3" t="str">
        <x:v>Not contacted / unconfirmed</x:v>
      </x:c>
      <x:c r="AE1321" s="3" t="str">
        <x:v>No</x:v>
      </x:c>
      <x:c r="AF1321" s="3" t="str">
        <x:v>No</x:v>
      </x:c>
      <x:c r="AG1321" s="3"/>
      <x:c r="AH1321" s="3"/>
      <x:c r="AI1321" s="18"/>
      <x:c r="AJ1321" s="3" t="str">
        <x:v>CF2500-4243A079F1A6</x:v>
      </x:c>
      <x:c r="AK1321" s="3" t="str">
        <x:v>real_estate_operator</x:v>
      </x:c>
      <x:c r="AL1321" s="19" t="n">
        <x:v>100000</x:v>
      </x:c>
      <x:c r="AM1321" s="19" t="n">
        <x:v>500000</x:v>
      </x:c>
      <x:c r="AN1321" s="3" t="str">
        <x:v>https://www.cashhomebuyersdirectory.com/cash-home-buyers/virginia/richmond</x:v>
      </x:c>
      <x:c r="AO1321" s="3" t="str">
        <x:v>national_rest_directory_complete.jsonl</x:v>
      </x:c>
      <x:c r="AP1321" s="19"/>
    </x:row>
    <x:row r="1322" ht="36" customHeight="1">
      <x:c r="A1322" s="23" t="n">
        <x:v>1321</x:v>
      </x:c>
      <x:c r="B1322" s="15" t="str">
        <x:v>TP Home Buyer</x:v>
      </x:c>
      <x:c r="C1322" s="15"/>
      <x:c r="D1322" s="15" t="str">
        <x:v>Property investor / home-buying operator</x:v>
      </x:c>
      <x:c r="E1322" s="15" t="str">
        <x:v>Property investor / operator inquiry</x:v>
      </x:c>
      <x:c r="F1322" s="17" t="str">
        <x:v>New</x:v>
      </x:c>
      <x:c r="G1322" s="24"/>
      <x:c r="H1322" s="24" t="str">
        <x:v>+15104054221</x:v>
      </x:c>
      <x:c r="I1322" s="24" t="str">
        <x:v>https://tphomebuyer.com/</x:v>
      </x:c>
      <x:c r="J1322" s="16" t="str">
        <x:v>CA</x:v>
      </x:c>
      <x:c r="K1322" s="16" t="str">
        <x:v>Oakland</x:v>
      </x:c>
      <x:c r="L1322" s="16" t="str">
        <x:v>Public property-business route; investor decision maker unconfirmed</x:v>
      </x:c>
      <x:c r="M1322" s="16" t="str">
        <x:v>https://tphomebuyer.com/</x:v>
      </x:c>
      <x:c r="N1322" s="16" t="str">
        <x:v>$100K-$500K ticket not published / unconfirmed</x:v>
      </x:c>
      <x:c r="O1322" s="20"/>
      <x:c r="P1322" s="20"/>
      <x:c r="Q1322" s="25" t="str">
        <x:v>No direct corporate-capital range established in checked source</x:v>
      </x:c>
      <x:c r="R1322" s="25" t="str">
        <x:v>Property acquisition or investor activity makes this an operator-capital prospect for the signed trial. Confirm operating-company debt/equity appetite.</x:v>
      </x:c>
      <x:c r="S1322" s="25"/>
      <x:c r="T1322" s="25" t="str">
        <x:v>Ask the owner/investor whether they can allocate $100K-$500K to trial marketing and acquisitions, and confirm structure, timing and decision authority.</x:v>
      </x:c>
      <x:c r="U1322" s="25" t="str">
        <x:v>https://www.cashhomebuyersdirectory.com/cash-home-buyers/california/oakland</x:v>
      </x:c>
      <x:c r="V1322" s="26" t="d">
        <x:v>2026-10-02T00:00:00.000Z</x:v>
      </x:c>
      <x:c r="W1322" s="26" t="d">
        <x:v>2026-10-02T00:00:00.000Z</x:v>
      </x:c>
      <x:c r="X1322" s="25" t="str">
        <x:v>CashHomeBuyersDirectory third-party business listing; first-party business activity not checked in this batch</x:v>
      </x:c>
      <x:c r="Y1322" s="25"/>
      <x:c r="Z1322" s="25" t="str">
        <x:v>https://www.cashhomebuyersdirectory.com/cash-home-buyers/california/oakland</x:v>
      </x:c>
      <x:c r="AA1322" s="25" t="str">
        <x:v>Public cash-home-buyer directory lists the business name, business phone/website where available and market. Operator role and corporate funding willingness require confirmation.</x:v>
      </x:c>
      <x:c r="AB1322" s="3" t="str">
        <x:v>New public-source collection</x:v>
      </x:c>
      <x:c r="AC1322" s="3" t="str">
        <x:v>unverified</x:v>
      </x:c>
      <x:c r="AD1322" s="3" t="str">
        <x:v>Not contacted / unconfirmed</x:v>
      </x:c>
      <x:c r="AE1322" s="3" t="str">
        <x:v>No</x:v>
      </x:c>
      <x:c r="AF1322" s="3" t="str">
        <x:v>No</x:v>
      </x:c>
      <x:c r="AG1322" s="3"/>
      <x:c r="AH1322" s="3"/>
      <x:c r="AI1322" s="18"/>
      <x:c r="AJ1322" s="3" t="str">
        <x:v>CF2500-A2F1D95C9A8C</x:v>
      </x:c>
      <x:c r="AK1322" s="3" t="str">
        <x:v>real_estate_operator</x:v>
      </x:c>
      <x:c r="AL1322" s="19" t="n">
        <x:v>100000</x:v>
      </x:c>
      <x:c r="AM1322" s="19" t="n">
        <x:v>500000</x:v>
      </x:c>
      <x:c r="AN1322" s="3" t="str">
        <x:v>https://www.cashhomebuyersdirectory.com/cash-home-buyers/california/oakland</x:v>
      </x:c>
      <x:c r="AO1322" s="3" t="str">
        <x:v>national_rest_directory_complete.jsonl</x:v>
      </x:c>
      <x:c r="AP1322" s="19"/>
    </x:row>
    <x:row r="1323" ht="36" customHeight="1">
      <x:c r="A1323" s="23" t="n">
        <x:v>1322</x:v>
      </x:c>
      <x:c r="B1323" s="15" t="str">
        <x:v>Tropical Homebuyers</x:v>
      </x:c>
      <x:c r="C1323" s="15"/>
      <x:c r="D1323" s="15" t="str">
        <x:v>Property investor / home-buying operator</x:v>
      </x:c>
      <x:c r="E1323" s="15" t="str">
        <x:v>Property investor / operator inquiry</x:v>
      </x:c>
      <x:c r="F1323" s="17" t="str">
        <x:v>New</x:v>
      </x:c>
      <x:c r="G1323" s="24"/>
      <x:c r="H1323" s="24" t="str">
        <x:v>+13235806881</x:v>
      </x:c>
      <x:c r="I1323" s="24" t="str">
        <x:v>https://www.tropicalhomebuyers.com/</x:v>
      </x:c>
      <x:c r="J1323" s="16" t="str">
        <x:v>CA</x:v>
      </x:c>
      <x:c r="K1323" s="16"/>
      <x:c r="L1323" s="16" t="str">
        <x:v>Public property-business route; investor decision maker unconfirmed</x:v>
      </x:c>
      <x:c r="M1323" s="16" t="str">
        <x:v>https://www.tropicalhomebuyers.com/</x:v>
      </x:c>
      <x:c r="N1323" s="16" t="str">
        <x:v>$100K-$500K ticket not published / unconfirmed</x:v>
      </x:c>
      <x:c r="O1323" s="20"/>
      <x:c r="P1323" s="20"/>
      <x:c r="Q1323" s="25" t="str">
        <x:v>No direct corporate-capital range established in checked source</x:v>
      </x:c>
      <x:c r="R1323" s="25" t="str">
        <x:v>Property acquisition or investor activity makes this an operator-capital prospect for the signed trial. Confirm operating-company debt/equity appetite.</x:v>
      </x:c>
      <x:c r="S1323" s="25"/>
      <x:c r="T1323" s="25" t="str">
        <x:v>Ask the owner/investor whether they can allocate $100K-$500K to trial marketing and acquisitions, and confirm structure, timing and decision authority.</x:v>
      </x:c>
      <x:c r="U1323" s="25" t="str">
        <x:v>https://www.cashhomebuyersdirectory.com/cash-home-buyers/california/los-angeles</x:v>
      </x:c>
      <x:c r="V1323" s="26" t="d">
        <x:v>2026-10-02T00:00:00.000Z</x:v>
      </x:c>
      <x:c r="W1323" s="26" t="d">
        <x:v>2026-10-02T00:00:00.000Z</x:v>
      </x:c>
      <x:c r="X1323" s="25" t="str">
        <x:v>CashHomeBuyersDirectory third-party business listing; first-party business activity not checked in this batch</x:v>
      </x:c>
      <x:c r="Y1323" s="25"/>
      <x:c r="Z1323" s="25" t="str">
        <x:v>https://www.cashhomebuyersdirectory.com/cash-home-buyers/california/los-angeles</x:v>
      </x:c>
      <x:c r="AA1323" s="25" t="str">
        <x:v>Public cash-home-buyer directory lists the business name, business phone/website where available and market. Operator role and corporate funding willingness require confirmation.</x:v>
      </x:c>
      <x:c r="AB1323" s="3" t="str">
        <x:v>New public-source collection</x:v>
      </x:c>
      <x:c r="AC1323" s="3" t="str">
        <x:v>unverified</x:v>
      </x:c>
      <x:c r="AD1323" s="3" t="str">
        <x:v>Not contacted / unconfirmed</x:v>
      </x:c>
      <x:c r="AE1323" s="3" t="str">
        <x:v>No</x:v>
      </x:c>
      <x:c r="AF1323" s="3" t="str">
        <x:v>No</x:v>
      </x:c>
      <x:c r="AG1323" s="3"/>
      <x:c r="AH1323" s="3"/>
      <x:c r="AI1323" s="18"/>
      <x:c r="AJ1323" s="3" t="str">
        <x:v>CF2500-196572461372</x:v>
      </x:c>
      <x:c r="AK1323" s="3" t="str">
        <x:v>real_estate_operator</x:v>
      </x:c>
      <x:c r="AL1323" s="19" t="n">
        <x:v>100000</x:v>
      </x:c>
      <x:c r="AM1323" s="19" t="n">
        <x:v>500000</x:v>
      </x:c>
      <x:c r="AN1323" s="3" t="str">
        <x:v>https://www.cashhomebuyersdirectory.com/cash-home-buyers/california/los-angeles</x:v>
      </x:c>
      <x:c r="AO1323" s="3" t="str">
        <x:v>national_rest_directory_complete.jsonl</x:v>
      </x:c>
      <x:c r="AP1323" s="19"/>
    </x:row>
    <x:row r="1324" ht="36" customHeight="1">
      <x:c r="A1324" s="23" t="n">
        <x:v>1323</x:v>
      </x:c>
      <x:c r="B1324" s="15" t="str">
        <x:v>True Homebuyers</x:v>
      </x:c>
      <x:c r="C1324" s="15"/>
      <x:c r="D1324" s="15" t="str">
        <x:v>Property investor / home-buying operator</x:v>
      </x:c>
      <x:c r="E1324" s="15" t="str">
        <x:v>Property investor / operator inquiry</x:v>
      </x:c>
      <x:c r="F1324" s="17" t="str">
        <x:v>New</x:v>
      </x:c>
      <x:c r="G1324" s="24"/>
      <x:c r="H1324" s="24" t="str">
        <x:v>+14433767003</x:v>
      </x:c>
      <x:c r="I1324" s="24" t="str">
        <x:v>https://www.truehomebuyersus.com/contact-us/</x:v>
      </x:c>
      <x:c r="J1324" s="16" t="str">
        <x:v>MD</x:v>
      </x:c>
      <x:c r="K1324" s="16" t="str">
        <x:v>Dundalk</x:v>
      </x:c>
      <x:c r="L1324" s="16" t="str">
        <x:v>Public property-business route; investor decision maker unconfirmed</x:v>
      </x:c>
      <x:c r="M1324" s="16" t="str">
        <x:v>https://www.truehomebuyersus.com/contact-us/</x:v>
      </x:c>
      <x:c r="N1324" s="16" t="str">
        <x:v>$100K-$500K ticket not published / unconfirmed</x:v>
      </x:c>
      <x:c r="O1324" s="20"/>
      <x:c r="P1324" s="20"/>
      <x:c r="Q1324" s="25" t="str">
        <x:v>No direct corporate-capital range established in checked source</x:v>
      </x:c>
      <x:c r="R1324" s="25" t="str">
        <x:v>Property acquisition or investor activity makes this an operator-capital prospect for the signed trial. Confirm operating-company debt/equity appetite.</x:v>
      </x:c>
      <x:c r="S1324" s="25"/>
      <x:c r="T1324" s="25" t="str">
        <x:v>Ask the owner/investor whether they can allocate $100K-$500K to trial marketing and acquisitions, and confirm structure, timing and decision authority.</x:v>
      </x:c>
      <x:c r="U1324" s="25" t="str">
        <x:v>https://www.cashhomebuyersdirectory.com/cash-home-buyers/maryland/dundalk</x:v>
      </x:c>
      <x:c r="V1324" s="26" t="d">
        <x:v>2026-10-02T00:00:00.000Z</x:v>
      </x:c>
      <x:c r="W1324" s="26" t="d">
        <x:v>2026-10-02T00:00:00.000Z</x:v>
      </x:c>
      <x:c r="X1324" s="25" t="str">
        <x:v>CashHomeBuyersDirectory third-party business listing; first-party business activity not checked in this batch</x:v>
      </x:c>
      <x:c r="Y1324" s="25"/>
      <x:c r="Z1324" s="25" t="str">
        <x:v>https://www.cashhomebuyersdirectory.com/cash-home-buyers/maryland/dundalk</x:v>
      </x:c>
      <x:c r="AA1324" s="25" t="str">
        <x:v>Public cash-home-buyer directory lists the business name, business phone/website where available and market. Operator role and corporate funding willingness require confirmation.</x:v>
      </x:c>
      <x:c r="AB1324" s="3" t="str">
        <x:v>New public-source collection</x:v>
      </x:c>
      <x:c r="AC1324" s="3" t="str">
        <x:v>unverified</x:v>
      </x:c>
      <x:c r="AD1324" s="3" t="str">
        <x:v>Not contacted / unconfirmed</x:v>
      </x:c>
      <x:c r="AE1324" s="3" t="str">
        <x:v>No</x:v>
      </x:c>
      <x:c r="AF1324" s="3" t="str">
        <x:v>No</x:v>
      </x:c>
      <x:c r="AG1324" s="3"/>
      <x:c r="AH1324" s="3"/>
      <x:c r="AI1324" s="18"/>
      <x:c r="AJ1324" s="3" t="str">
        <x:v>CF2500-AFA04F3CA1FD</x:v>
      </x:c>
      <x:c r="AK1324" s="3" t="str">
        <x:v>real_estate_operator</x:v>
      </x:c>
      <x:c r="AL1324" s="19" t="n">
        <x:v>100000</x:v>
      </x:c>
      <x:c r="AM1324" s="19" t="n">
        <x:v>500000</x:v>
      </x:c>
      <x:c r="AN1324" s="3" t="str">
        <x:v>https://www.cashhomebuyersdirectory.com/cash-home-buyers/maryland/dundalk</x:v>
      </x:c>
      <x:c r="AO1324" s="3" t="str">
        <x:v>national_rest_directory_complete.jsonl</x:v>
      </x:c>
      <x:c r="AP1324" s="19"/>
    </x:row>
    <x:row r="1325" ht="36" customHeight="1">
      <x:c r="A1325" s="23" t="n">
        <x:v>1324</x:v>
      </x:c>
      <x:c r="B1325" s="15" t="str">
        <x:v>True Neighbor Homebuyers</x:v>
      </x:c>
      <x:c r="C1325" s="15"/>
      <x:c r="D1325" s="15" t="str">
        <x:v>Property investor / home-buying operator</x:v>
      </x:c>
      <x:c r="E1325" s="15" t="str">
        <x:v>Property investor / operator inquiry</x:v>
      </x:c>
      <x:c r="F1325" s="17" t="str">
        <x:v>New</x:v>
      </x:c>
      <x:c r="G1325" s="24"/>
      <x:c r="H1325" s="24" t="str">
        <x:v>+16125025000</x:v>
      </x:c>
      <x:c r="I1325" s="24" t="str">
        <x:v>https://www.trueneighbor.com/?y_source=1_MTAxNzQyMzEwNC03MTUtbG9jYXRpb24ud2Vic2l0ZQ%3D%3D</x:v>
      </x:c>
      <x:c r="J1325" s="16" t="str">
        <x:v>MN</x:v>
      </x:c>
      <x:c r="K1325" s="16" t="str">
        <x:v>Minneapolis</x:v>
      </x:c>
      <x:c r="L1325" s="16" t="str">
        <x:v>Public property-business route; investor decision maker unconfirmed</x:v>
      </x:c>
      <x:c r="M1325" s="16" t="str">
        <x:v>https://www.trueneighbor.com/?y_source=1_MTAxNzQyMzEwNC03MTUtbG9jYXRpb24ud2Vic2l0ZQ%3D%3D</x:v>
      </x:c>
      <x:c r="N1325" s="16" t="str">
        <x:v>$100K-$500K ticket not published / unconfirmed</x:v>
      </x:c>
      <x:c r="O1325" s="20"/>
      <x:c r="P1325" s="20"/>
      <x:c r="Q1325" s="25" t="str">
        <x:v>No direct corporate-capital range established in checked source</x:v>
      </x:c>
      <x:c r="R1325" s="25" t="str">
        <x:v>Property acquisition or investor activity makes this an operator-capital prospect for the signed trial. Confirm operating-company debt/equity appetite.</x:v>
      </x:c>
      <x:c r="S1325" s="25"/>
      <x:c r="T1325" s="25" t="str">
        <x:v>Ask the owner/investor whether they can allocate $100K-$500K to trial marketing and acquisitions, and confirm structure, timing and decision authority.</x:v>
      </x:c>
      <x:c r="U1325" s="25" t="str">
        <x:v>https://www.cashhomebuyersdirectory.com/cash-home-buyers/minnesota/minneapolis</x:v>
      </x:c>
      <x:c r="V1325" s="26" t="d">
        <x:v>2026-10-02T00:00:00.000Z</x:v>
      </x:c>
      <x:c r="W1325" s="26" t="d">
        <x:v>2026-10-02T00:00:00.000Z</x:v>
      </x:c>
      <x:c r="X1325" s="25" t="str">
        <x:v>CashHomeBuyersDirectory third-party business listing; first-party business activity not checked in this batch</x:v>
      </x:c>
      <x:c r="Y1325" s="25"/>
      <x:c r="Z1325" s="25" t="str">
        <x:v>https://www.cashhomebuyersdirectory.com/cash-home-buyers/minnesota/minneapolis</x:v>
      </x:c>
      <x:c r="AA1325" s="25" t="str">
        <x:v>Public cash-home-buyer directory lists the business name, business phone/website where available and market. Operator role and corporate funding willingness require confirmation.</x:v>
      </x:c>
      <x:c r="AB1325" s="3" t="str">
        <x:v>New public-source collection</x:v>
      </x:c>
      <x:c r="AC1325" s="3" t="str">
        <x:v>unverified</x:v>
      </x:c>
      <x:c r="AD1325" s="3" t="str">
        <x:v>Not contacted / unconfirmed</x:v>
      </x:c>
      <x:c r="AE1325" s="3" t="str">
        <x:v>No</x:v>
      </x:c>
      <x:c r="AF1325" s="3" t="str">
        <x:v>No</x:v>
      </x:c>
      <x:c r="AG1325" s="3"/>
      <x:c r="AH1325" s="3"/>
      <x:c r="AI1325" s="18"/>
      <x:c r="AJ1325" s="3" t="str">
        <x:v>CF2500-D93E44EF6FF7</x:v>
      </x:c>
      <x:c r="AK1325" s="3" t="str">
        <x:v>real_estate_operator</x:v>
      </x:c>
      <x:c r="AL1325" s="19" t="n">
        <x:v>100000</x:v>
      </x:c>
      <x:c r="AM1325" s="19" t="n">
        <x:v>500000</x:v>
      </x:c>
      <x:c r="AN1325" s="3" t="str">
        <x:v>https://www.cashhomebuyersdirectory.com/cash-home-buyers/minnesota/minneapolis</x:v>
      </x:c>
      <x:c r="AO1325" s="3" t="str">
        <x:v>national_rest_directory_complete.jsonl</x:v>
      </x:c>
      <x:c r="AP1325" s="19"/>
    </x:row>
    <x:row r="1326" ht="36" customHeight="1">
      <x:c r="A1326" s="23" t="n">
        <x:v>1325</x:v>
      </x:c>
      <x:c r="B1326" s="15" t="str">
        <x:v>Trusted House Buyers</x:v>
      </x:c>
      <x:c r="C1326" s="15"/>
      <x:c r="D1326" s="15" t="str">
        <x:v>Property investor / home-buying operator</x:v>
      </x:c>
      <x:c r="E1326" s="15" t="str">
        <x:v>Property investor / operator inquiry</x:v>
      </x:c>
      <x:c r="F1326" s="17" t="str">
        <x:v>New</x:v>
      </x:c>
      <x:c r="G1326" s="24"/>
      <x:c r="H1326" s="24" t="str">
        <x:v>+16197860973</x:v>
      </x:c>
      <x:c r="I1326" s="24" t="str">
        <x:v>https://www.trustedhousebuyers.com/</x:v>
      </x:c>
      <x:c r="J1326" s="16" t="str">
        <x:v>CA</x:v>
      </x:c>
      <x:c r="K1326" s="16" t="str">
        <x:v>San Diego</x:v>
      </x:c>
      <x:c r="L1326" s="16" t="str">
        <x:v>Public property-business route; investor decision maker unconfirmed</x:v>
      </x:c>
      <x:c r="M1326" s="16" t="str">
        <x:v>https://www.trustedhousebuyers.com/</x:v>
      </x:c>
      <x:c r="N1326" s="16" t="str">
        <x:v>$100K-$500K ticket not published / unconfirmed</x:v>
      </x:c>
      <x:c r="O1326" s="20"/>
      <x:c r="P1326" s="20"/>
      <x:c r="Q1326" s="25" t="str">
        <x:v>No direct corporate-capital range established in checked source</x:v>
      </x:c>
      <x:c r="R1326" s="25" t="str">
        <x:v>Property acquisition or investor activity makes this an operator-capital prospect for the signed trial. Confirm operating-company debt/equity appetite.</x:v>
      </x:c>
      <x:c r="S1326" s="25"/>
      <x:c r="T1326" s="25" t="str">
        <x:v>Ask the owner/investor whether they can allocate $100K-$500K to trial marketing and acquisitions, and confirm structure, timing and decision authority.</x:v>
      </x:c>
      <x:c r="U1326" s="25" t="str">
        <x:v>https://www.cashhomebuyersdirectory.com/cash-home-buyers/california/san-diego</x:v>
      </x:c>
      <x:c r="V1326" s="26" t="d">
        <x:v>2026-10-02T00:00:00.000Z</x:v>
      </x:c>
      <x:c r="W1326" s="26" t="d">
        <x:v>2026-10-02T00:00:00.000Z</x:v>
      </x:c>
      <x:c r="X1326" s="25" t="str">
        <x:v>CashHomeBuyersDirectory third-party business listing; first-party business activity not checked in this batch</x:v>
      </x:c>
      <x:c r="Y1326" s="25"/>
      <x:c r="Z1326" s="25" t="str">
        <x:v>https://www.cashhomebuyersdirectory.com/cash-home-buyers/california/san-diego</x:v>
      </x:c>
      <x:c r="AA1326" s="25" t="str">
        <x:v>Public cash-home-buyer directory lists the business name, business phone/website where available and market. Operator role and corporate funding willingness require confirmation.</x:v>
      </x:c>
      <x:c r="AB1326" s="3" t="str">
        <x:v>New public-source collection</x:v>
      </x:c>
      <x:c r="AC1326" s="3" t="str">
        <x:v>unverified</x:v>
      </x:c>
      <x:c r="AD1326" s="3" t="str">
        <x:v>Not contacted / unconfirmed</x:v>
      </x:c>
      <x:c r="AE1326" s="3" t="str">
        <x:v>No</x:v>
      </x:c>
      <x:c r="AF1326" s="3" t="str">
        <x:v>No</x:v>
      </x:c>
      <x:c r="AG1326" s="3"/>
      <x:c r="AH1326" s="3"/>
      <x:c r="AI1326" s="18"/>
      <x:c r="AJ1326" s="3" t="str">
        <x:v>CF2500-08D4618A5250</x:v>
      </x:c>
      <x:c r="AK1326" s="3" t="str">
        <x:v>real_estate_operator</x:v>
      </x:c>
      <x:c r="AL1326" s="19" t="n">
        <x:v>100000</x:v>
      </x:c>
      <x:c r="AM1326" s="19" t="n">
        <x:v>500000</x:v>
      </x:c>
      <x:c r="AN1326" s="3" t="str">
        <x:v>https://www.cashhomebuyersdirectory.com/cash-home-buyers/california/san-diego</x:v>
      </x:c>
      <x:c r="AO1326" s="3" t="str">
        <x:v>national_rest_directory_complete.jsonl</x:v>
      </x:c>
      <x:c r="AP1326" s="19"/>
    </x:row>
    <x:row r="1327" ht="36" customHeight="1">
      <x:c r="A1327" s="23" t="n">
        <x:v>1326</x:v>
      </x:c>
      <x:c r="B1327" s="15" t="str">
        <x:v>Twin Cities Home Buyers, Inc.</x:v>
      </x:c>
      <x:c r="C1327" s="15"/>
      <x:c r="D1327" s="15" t="str">
        <x:v>Property investor / home-buying operator</x:v>
      </x:c>
      <x:c r="E1327" s="15" t="str">
        <x:v>Property investor / operator inquiry</x:v>
      </x:c>
      <x:c r="F1327" s="17" t="str">
        <x:v>New</x:v>
      </x:c>
      <x:c r="G1327" s="24"/>
      <x:c r="H1327" s="24" t="str">
        <x:v>+16123615127</x:v>
      </x:c>
      <x:c r="I1327" s="24" t="str">
        <x:v>https://www.twincitieshomebuyers.com/</x:v>
      </x:c>
      <x:c r="J1327" s="16" t="str">
        <x:v>MN</x:v>
      </x:c>
      <x:c r="K1327" s="16" t="str">
        <x:v>St. Paul</x:v>
      </x:c>
      <x:c r="L1327" s="16" t="str">
        <x:v>Public property-business route; investor decision maker unconfirmed</x:v>
      </x:c>
      <x:c r="M1327" s="16" t="str">
        <x:v>https://www.twincitieshomebuyers.com/</x:v>
      </x:c>
      <x:c r="N1327" s="16" t="str">
        <x:v>$100K-$500K ticket not published / unconfirmed</x:v>
      </x:c>
      <x:c r="O1327" s="20"/>
      <x:c r="P1327" s="20"/>
      <x:c r="Q1327" s="25" t="str">
        <x:v>No direct corporate-capital range established in checked source</x:v>
      </x:c>
      <x:c r="R1327" s="25" t="str">
        <x:v>Property acquisition or investor activity makes this an operator-capital prospect for the signed trial. Confirm operating-company debt/equity appetite.</x:v>
      </x:c>
      <x:c r="S1327" s="25"/>
      <x:c r="T1327" s="25" t="str">
        <x:v>Ask the owner/investor whether they can allocate $100K-$500K to trial marketing and acquisitions, and confirm structure, timing and decision authority.</x:v>
      </x:c>
      <x:c r="U1327" s="25" t="str">
        <x:v>https://www.cashhomebuyersdirectory.com/cash-home-buyers/minnesota/st-paul</x:v>
      </x:c>
      <x:c r="V1327" s="26" t="d">
        <x:v>2026-10-02T00:00:00.000Z</x:v>
      </x:c>
      <x:c r="W1327" s="26" t="d">
        <x:v>2026-10-02T00:00:00.000Z</x:v>
      </x:c>
      <x:c r="X1327" s="25" t="str">
        <x:v>CashHomeBuyersDirectory third-party business listing; first-party business activity not checked in this batch</x:v>
      </x:c>
      <x:c r="Y1327" s="25"/>
      <x:c r="Z1327" s="25" t="str">
        <x:v>https://www.cashhomebuyersdirectory.com/cash-home-buyers/minnesota/st-paul</x:v>
      </x:c>
      <x:c r="AA1327" s="25" t="str">
        <x:v>Public cash-home-buyer directory lists the business name, business phone/website where available and market. Operator role and corporate funding willingness require confirmation.</x:v>
      </x:c>
      <x:c r="AB1327" s="3" t="str">
        <x:v>New public-source collection</x:v>
      </x:c>
      <x:c r="AC1327" s="3" t="str">
        <x:v>unverified</x:v>
      </x:c>
      <x:c r="AD1327" s="3" t="str">
        <x:v>Not contacted / unconfirmed</x:v>
      </x:c>
      <x:c r="AE1327" s="3" t="str">
        <x:v>No</x:v>
      </x:c>
      <x:c r="AF1327" s="3" t="str">
        <x:v>No</x:v>
      </x:c>
      <x:c r="AG1327" s="3"/>
      <x:c r="AH1327" s="3"/>
      <x:c r="AI1327" s="18"/>
      <x:c r="AJ1327" s="3" t="str">
        <x:v>CF2500-AFF4A9209D3A</x:v>
      </x:c>
      <x:c r="AK1327" s="3" t="str">
        <x:v>real_estate_operator</x:v>
      </x:c>
      <x:c r="AL1327" s="19" t="n">
        <x:v>100000</x:v>
      </x:c>
      <x:c r="AM1327" s="19" t="n">
        <x:v>500000</x:v>
      </x:c>
      <x:c r="AN1327" s="3" t="str">
        <x:v>https://www.cashhomebuyersdirectory.com/cash-home-buyers/minnesota/st-paul</x:v>
      </x:c>
      <x:c r="AO1327" s="3" t="str">
        <x:v>national_rest_directory_complete.jsonl</x:v>
      </x:c>
      <x:c r="AP1327" s="19"/>
    </x:row>
    <x:row r="1328" ht="36" customHeight="1">
      <x:c r="A1328" s="23" t="n">
        <x:v>1327</x:v>
      </x:c>
      <x:c r="B1328" s="15" t="str">
        <x:v>Upstate Home Buyer</x:v>
      </x:c>
      <x:c r="C1328" s="15"/>
      <x:c r="D1328" s="15" t="str">
        <x:v>Property investor / home-buying operator</x:v>
      </x:c>
      <x:c r="E1328" s="15" t="str">
        <x:v>Property investor / operator inquiry</x:v>
      </x:c>
      <x:c r="F1328" s="17" t="str">
        <x:v>New</x:v>
      </x:c>
      <x:c r="G1328" s="24"/>
      <x:c r="H1328" s="24" t="str">
        <x:v>+15854602637</x:v>
      </x:c>
      <x:c r="I1328" s="24" t="str">
        <x:v>https://www.webuyhomesroc.com/</x:v>
      </x:c>
      <x:c r="J1328" s="16" t="str">
        <x:v>NY</x:v>
      </x:c>
      <x:c r="K1328" s="16" t="str">
        <x:v>Rochester</x:v>
      </x:c>
      <x:c r="L1328" s="16" t="str">
        <x:v>Public property-business route; investor decision maker unconfirmed</x:v>
      </x:c>
      <x:c r="M1328" s="16" t="str">
        <x:v>https://www.webuyhomesroc.com/</x:v>
      </x:c>
      <x:c r="N1328" s="16" t="str">
        <x:v>$100K-$500K ticket not published / unconfirmed</x:v>
      </x:c>
      <x:c r="O1328" s="20"/>
      <x:c r="P1328" s="20"/>
      <x:c r="Q1328" s="25" t="str">
        <x:v>No direct corporate-capital range established in checked source</x:v>
      </x:c>
      <x:c r="R1328" s="25" t="str">
        <x:v>Property acquisition or investor activity makes this an operator-capital prospect for the signed trial. Confirm operating-company debt/equity appetite.</x:v>
      </x:c>
      <x:c r="S1328" s="25"/>
      <x:c r="T1328" s="25" t="str">
        <x:v>Ask the owner/investor whether they can allocate $100K-$500K to trial marketing and acquisitions, and confirm structure, timing and decision authority.</x:v>
      </x:c>
      <x:c r="U1328" s="25" t="str">
        <x:v>https://www.cashhomebuyersdirectory.com/cash-home-buyers/new-york/rochester</x:v>
      </x:c>
      <x:c r="V1328" s="26" t="d">
        <x:v>2026-10-02T00:00:00.000Z</x:v>
      </x:c>
      <x:c r="W1328" s="26" t="d">
        <x:v>2026-10-02T00:00:00.000Z</x:v>
      </x:c>
      <x:c r="X1328" s="25" t="str">
        <x:v>CashHomeBuyersDirectory third-party business listing; first-party business activity not checked in this batch</x:v>
      </x:c>
      <x:c r="Y1328" s="25"/>
      <x:c r="Z1328" s="25" t="str">
        <x:v>https://www.cashhomebuyersdirectory.com/cash-home-buyers/new-york/rochester</x:v>
      </x:c>
      <x:c r="AA1328" s="25" t="str">
        <x:v>Public cash-home-buyer directory lists the business name, business phone/website where available and market. Operator role and corporate funding willingness require confirmation.</x:v>
      </x:c>
      <x:c r="AB1328" s="3" t="str">
        <x:v>New public-source collection</x:v>
      </x:c>
      <x:c r="AC1328" s="3" t="str">
        <x:v>unverified</x:v>
      </x:c>
      <x:c r="AD1328" s="3" t="str">
        <x:v>Not contacted / unconfirmed</x:v>
      </x:c>
      <x:c r="AE1328" s="3" t="str">
        <x:v>No</x:v>
      </x:c>
      <x:c r="AF1328" s="3" t="str">
        <x:v>No</x:v>
      </x:c>
      <x:c r="AG1328" s="3"/>
      <x:c r="AH1328" s="3"/>
      <x:c r="AI1328" s="18"/>
      <x:c r="AJ1328" s="3" t="str">
        <x:v>CF2500-0277864D0271</x:v>
      </x:c>
      <x:c r="AK1328" s="3" t="str">
        <x:v>real_estate_operator</x:v>
      </x:c>
      <x:c r="AL1328" s="19" t="n">
        <x:v>100000</x:v>
      </x:c>
      <x:c r="AM1328" s="19" t="n">
        <x:v>500000</x:v>
      </x:c>
      <x:c r="AN1328" s="3" t="str">
        <x:v>https://www.cashhomebuyersdirectory.com/cash-home-buyers/new-york/rochester</x:v>
      </x:c>
      <x:c r="AO1328" s="3" t="str">
        <x:v>national_rest_directory_complete.jsonl</x:v>
      </x:c>
      <x:c r="AP1328" s="19"/>
    </x:row>
    <x:row r="1329" ht="36" customHeight="1">
      <x:c r="A1329" s="23" t="n">
        <x:v>1328</x:v>
      </x:c>
      <x:c r="B1329" s="15" t="str">
        <x:v>USA House Buyers</x:v>
      </x:c>
      <x:c r="C1329" s="15"/>
      <x:c r="D1329" s="15" t="str">
        <x:v>Property investor / home-buying operator</x:v>
      </x:c>
      <x:c r="E1329" s="15" t="str">
        <x:v>Property investor / operator inquiry</x:v>
      </x:c>
      <x:c r="F1329" s="17" t="str">
        <x:v>New</x:v>
      </x:c>
      <x:c r="G1329" s="24"/>
      <x:c r="H1329" s="24" t="str">
        <x:v>+13026002776</x:v>
      </x:c>
      <x:c r="I1329" s="24" t="str">
        <x:v>http://www.usahousebuyers.com/</x:v>
      </x:c>
      <x:c r="J1329" s="16" t="str">
        <x:v>DE</x:v>
      </x:c>
      <x:c r="K1329" s="16" t="str">
        <x:v>Wilmington</x:v>
      </x:c>
      <x:c r="L1329" s="16" t="str">
        <x:v>Public property-business route; investor decision maker unconfirmed</x:v>
      </x:c>
      <x:c r="M1329" s="16" t="str">
        <x:v>http://www.usahousebuyers.com/</x:v>
      </x:c>
      <x:c r="N1329" s="16" t="str">
        <x:v>$100K-$500K ticket not published / unconfirmed</x:v>
      </x:c>
      <x:c r="O1329" s="20"/>
      <x:c r="P1329" s="20"/>
      <x:c r="Q1329" s="25" t="str">
        <x:v>No direct corporate-capital range established in checked source</x:v>
      </x:c>
      <x:c r="R1329" s="25" t="str">
        <x:v>Property acquisition or investor activity makes this an operator-capital prospect for the signed trial. Confirm operating-company debt/equity appetite.</x:v>
      </x:c>
      <x:c r="S1329" s="25"/>
      <x:c r="T1329" s="25" t="str">
        <x:v>Ask the owner/investor whether they can allocate $100K-$500K to trial marketing and acquisitions, and confirm structure, timing and decision authority.</x:v>
      </x:c>
      <x:c r="U1329" s="25" t="str">
        <x:v>https://www.cashhomebuyersdirectory.com/cash-home-buyers/delaware/wilmington</x:v>
      </x:c>
      <x:c r="V1329" s="26" t="d">
        <x:v>2026-10-02T00:00:00.000Z</x:v>
      </x:c>
      <x:c r="W1329" s="26" t="d">
        <x:v>2026-10-02T00:00:00.000Z</x:v>
      </x:c>
      <x:c r="X1329" s="25" t="str">
        <x:v>CashHomeBuyersDirectory third-party business listing; first-party business activity not checked in this batch</x:v>
      </x:c>
      <x:c r="Y1329" s="25"/>
      <x:c r="Z1329" s="25" t="str">
        <x:v>https://www.cashhomebuyersdirectory.com/cash-home-buyers/delaware/wilmington</x:v>
      </x:c>
      <x:c r="AA1329" s="25" t="str">
        <x:v>Public cash-home-buyer directory lists the business name, business phone/website where available and market. Operator role and corporate funding willingness require confirmation.</x:v>
      </x:c>
      <x:c r="AB1329" s="3" t="str">
        <x:v>New public-source collection</x:v>
      </x:c>
      <x:c r="AC1329" s="3" t="str">
        <x:v>unverified</x:v>
      </x:c>
      <x:c r="AD1329" s="3" t="str">
        <x:v>Not contacted / unconfirmed</x:v>
      </x:c>
      <x:c r="AE1329" s="3" t="str">
        <x:v>No</x:v>
      </x:c>
      <x:c r="AF1329" s="3" t="str">
        <x:v>No</x:v>
      </x:c>
      <x:c r="AG1329" s="3"/>
      <x:c r="AH1329" s="3"/>
      <x:c r="AI1329" s="18"/>
      <x:c r="AJ1329" s="3" t="str">
        <x:v>CF2500-82F7532F937B</x:v>
      </x:c>
      <x:c r="AK1329" s="3" t="str">
        <x:v>real_estate_operator</x:v>
      </x:c>
      <x:c r="AL1329" s="19" t="n">
        <x:v>100000</x:v>
      </x:c>
      <x:c r="AM1329" s="19" t="n">
        <x:v>500000</x:v>
      </x:c>
      <x:c r="AN1329" s="3" t="str">
        <x:v>https://www.cashhomebuyersdirectory.com/cash-home-buyers/delaware/wilmington</x:v>
      </x:c>
      <x:c r="AO1329" s="3" t="str">
        <x:v>national_rest_directory_complete.jsonl</x:v>
      </x:c>
      <x:c r="AP1329" s="19"/>
    </x:row>
    <x:row r="1330" ht="36" customHeight="1">
      <x:c r="A1330" s="23" t="n">
        <x:v>1329</x:v>
      </x:c>
      <x:c r="B1330" s="15" t="str">
        <x:v>USA National Home Buyers</x:v>
      </x:c>
      <x:c r="C1330" s="15"/>
      <x:c r="D1330" s="15" t="str">
        <x:v>Property investor / home-buying operator</x:v>
      </x:c>
      <x:c r="E1330" s="15" t="str">
        <x:v>Property investor / operator inquiry</x:v>
      </x:c>
      <x:c r="F1330" s="17" t="str">
        <x:v>New</x:v>
      </x:c>
      <x:c r="G1330" s="24"/>
      <x:c r="H1330" s="24" t="str">
        <x:v>+19374425300</x:v>
      </x:c>
      <x:c r="I1330" s="24" t="str">
        <x:v>http://www.usanationalhomebuyers.com/</x:v>
      </x:c>
      <x:c r="J1330" s="16" t="str">
        <x:v>OH</x:v>
      </x:c>
      <x:c r="K1330" s="16" t="str">
        <x:v>Springboro</x:v>
      </x:c>
      <x:c r="L1330" s="16" t="str">
        <x:v>Public property-business route; investor decision maker unconfirmed</x:v>
      </x:c>
      <x:c r="M1330" s="16" t="str">
        <x:v>http://www.usanationalhomebuyers.com/</x:v>
      </x:c>
      <x:c r="N1330" s="16" t="str">
        <x:v>$100K-$500K ticket not published / unconfirmed</x:v>
      </x:c>
      <x:c r="O1330" s="20"/>
      <x:c r="P1330" s="20"/>
      <x:c r="Q1330" s="25" t="str">
        <x:v>No direct corporate-capital range established in checked source</x:v>
      </x:c>
      <x:c r="R1330" s="25" t="str">
        <x:v>Property acquisition or investor activity makes this an operator-capital prospect for the signed trial. Confirm operating-company debt/equity appetite.</x:v>
      </x:c>
      <x:c r="S1330" s="25"/>
      <x:c r="T1330" s="25" t="str">
        <x:v>Ask the owner/investor whether they can allocate $100K-$500K to trial marketing and acquisitions, and confirm structure, timing and decision authority.</x:v>
      </x:c>
      <x:c r="U1330" s="25" t="str">
        <x:v>https://www.cashhomebuyersdirectory.com/cash-home-buyers/ohio/springboro</x:v>
      </x:c>
      <x:c r="V1330" s="26" t="d">
        <x:v>2026-10-02T00:00:00.000Z</x:v>
      </x:c>
      <x:c r="W1330" s="26" t="d">
        <x:v>2026-10-02T00:00:00.000Z</x:v>
      </x:c>
      <x:c r="X1330" s="25" t="str">
        <x:v>CashHomeBuyersDirectory third-party business listing; first-party business activity not checked in this batch</x:v>
      </x:c>
      <x:c r="Y1330" s="25"/>
      <x:c r="Z1330" s="25" t="str">
        <x:v>https://www.cashhomebuyersdirectory.com/cash-home-buyers/ohio/springboro</x:v>
      </x:c>
      <x:c r="AA1330" s="25" t="str">
        <x:v>Public cash-home-buyer directory lists the business name, business phone/website where available and market. Operator role and corporate funding willingness require confirmation.</x:v>
      </x:c>
      <x:c r="AB1330" s="3" t="str">
        <x:v>New public-source collection</x:v>
      </x:c>
      <x:c r="AC1330" s="3" t="str">
        <x:v>unverified</x:v>
      </x:c>
      <x:c r="AD1330" s="3" t="str">
        <x:v>Not contacted / unconfirmed</x:v>
      </x:c>
      <x:c r="AE1330" s="3" t="str">
        <x:v>No</x:v>
      </x:c>
      <x:c r="AF1330" s="3" t="str">
        <x:v>No</x:v>
      </x:c>
      <x:c r="AG1330" s="3"/>
      <x:c r="AH1330" s="3"/>
      <x:c r="AI1330" s="18"/>
      <x:c r="AJ1330" s="3" t="str">
        <x:v>CF2500-EE29EEBA8A00</x:v>
      </x:c>
      <x:c r="AK1330" s="3" t="str">
        <x:v>real_estate_operator</x:v>
      </x:c>
      <x:c r="AL1330" s="19" t="n">
        <x:v>100000</x:v>
      </x:c>
      <x:c r="AM1330" s="19" t="n">
        <x:v>500000</x:v>
      </x:c>
      <x:c r="AN1330" s="3" t="str">
        <x:v>https://www.cashhomebuyersdirectory.com/cash-home-buyers/ohio/springboro</x:v>
      </x:c>
      <x:c r="AO1330" s="3" t="str">
        <x:v>national_rest_directory_complete.jsonl</x:v>
      </x:c>
      <x:c r="AP1330" s="19"/>
    </x:row>
    <x:row r="1331" ht="36" customHeight="1">
      <x:c r="A1331" s="23" t="n">
        <x:v>1330</x:v>
      </x:c>
      <x:c r="B1331" s="15" t="str">
        <x:v>USA Shreveport Home Buyers</x:v>
      </x:c>
      <x:c r="C1331" s="15"/>
      <x:c r="D1331" s="15" t="str">
        <x:v>Property investor / home-buying operator</x:v>
      </x:c>
      <x:c r="E1331" s="15" t="str">
        <x:v>Property investor / operator inquiry</x:v>
      </x:c>
      <x:c r="F1331" s="17" t="str">
        <x:v>New</x:v>
      </x:c>
      <x:c r="G1331" s="24"/>
      <x:c r="H1331" s="24" t="str">
        <x:v>+13185418900</x:v>
      </x:c>
      <x:c r="I1331" s="24" t="str">
        <x:v>https://shreveport-home-buyers.com/</x:v>
      </x:c>
      <x:c r="J1331" s="16" t="str">
        <x:v>LA</x:v>
      </x:c>
      <x:c r="K1331" s="16"/>
      <x:c r="L1331" s="16" t="str">
        <x:v>Public property-business route; investor decision maker unconfirmed</x:v>
      </x:c>
      <x:c r="M1331" s="16" t="str">
        <x:v>https://shreveport-home-buyers.com/</x:v>
      </x:c>
      <x:c r="N1331" s="16" t="str">
        <x:v>$100K-$500K ticket not published / unconfirmed</x:v>
      </x:c>
      <x:c r="O1331" s="20"/>
      <x:c r="P1331" s="20"/>
      <x:c r="Q1331" s="25" t="str">
        <x:v>No direct corporate-capital range established in checked source</x:v>
      </x:c>
      <x:c r="R1331" s="25" t="str">
        <x:v>Property acquisition or investor activity makes this an operator-capital prospect for the signed trial. Confirm operating-company debt/equity appetite.</x:v>
      </x:c>
      <x:c r="S1331" s="25"/>
      <x:c r="T1331" s="25" t="str">
        <x:v>Ask the owner/investor whether they can allocate $100K-$500K to trial marketing and acquisitions, and confirm structure, timing and decision authority.</x:v>
      </x:c>
      <x:c r="U1331" s="25" t="str">
        <x:v>https://www.cashhomebuyersdirectory.com/cash-home-buyers/louisiana/shreveport</x:v>
      </x:c>
      <x:c r="V1331" s="26" t="d">
        <x:v>2026-10-02T00:00:00.000Z</x:v>
      </x:c>
      <x:c r="W1331" s="26" t="d">
        <x:v>2026-10-02T00:00:00.000Z</x:v>
      </x:c>
      <x:c r="X1331" s="25" t="str">
        <x:v>CashHomeBuyersDirectory third-party business listing; first-party business activity not checked in this batch</x:v>
      </x:c>
      <x:c r="Y1331" s="25"/>
      <x:c r="Z1331" s="25" t="str">
        <x:v>https://www.cashhomebuyersdirectory.com/cash-home-buyers/louisiana/shreveport</x:v>
      </x:c>
      <x:c r="AA1331" s="25" t="str">
        <x:v>Public cash-home-buyer directory lists the business name, business phone/website where available and market. Operator role and corporate funding willingness require confirmation.</x:v>
      </x:c>
      <x:c r="AB1331" s="3" t="str">
        <x:v>New public-source collection</x:v>
      </x:c>
      <x:c r="AC1331" s="3" t="str">
        <x:v>unverified</x:v>
      </x:c>
      <x:c r="AD1331" s="3" t="str">
        <x:v>Not contacted / unconfirmed</x:v>
      </x:c>
      <x:c r="AE1331" s="3" t="str">
        <x:v>No</x:v>
      </x:c>
      <x:c r="AF1331" s="3" t="str">
        <x:v>No</x:v>
      </x:c>
      <x:c r="AG1331" s="3"/>
      <x:c r="AH1331" s="3"/>
      <x:c r="AI1331" s="18"/>
      <x:c r="AJ1331" s="3" t="str">
        <x:v>CF2500-0BC5055B70EA</x:v>
      </x:c>
      <x:c r="AK1331" s="3" t="str">
        <x:v>real_estate_operator</x:v>
      </x:c>
      <x:c r="AL1331" s="19" t="n">
        <x:v>100000</x:v>
      </x:c>
      <x:c r="AM1331" s="19" t="n">
        <x:v>500000</x:v>
      </x:c>
      <x:c r="AN1331" s="3" t="str">
        <x:v>https://www.cashhomebuyersdirectory.com/cash-home-buyers/louisiana/shreveport</x:v>
      </x:c>
      <x:c r="AO1331" s="3" t="str">
        <x:v>national_rest_directory_complete.jsonl</x:v>
      </x:c>
      <x:c r="AP1331" s="19"/>
    </x:row>
    <x:row r="1332" ht="36" customHeight="1">
      <x:c r="A1332" s="23" t="n">
        <x:v>1331</x:v>
      </x:c>
      <x:c r="B1332" s="15" t="str">
        <x:v>Vegas Cash Offers</x:v>
      </x:c>
      <x:c r="C1332" s="15"/>
      <x:c r="D1332" s="15" t="str">
        <x:v>Property investor / home-buying operator</x:v>
      </x:c>
      <x:c r="E1332" s="15" t="str">
        <x:v>Property investor / operator inquiry</x:v>
      </x:c>
      <x:c r="F1332" s="17" t="str">
        <x:v>New</x:v>
      </x:c>
      <x:c r="G1332" s="24"/>
      <x:c r="H1332" s="24" t="str">
        <x:v>+17028342726</x:v>
      </x:c>
      <x:c r="I1332" s="24" t="str">
        <x:v>http://www.vegascashoffers.com/</x:v>
      </x:c>
      <x:c r="J1332" s="16" t="str">
        <x:v>NV</x:v>
      </x:c>
      <x:c r="K1332" s="16" t="str">
        <x:v>Las Vegas</x:v>
      </x:c>
      <x:c r="L1332" s="16" t="str">
        <x:v>Public property-business route; investor decision maker unconfirmed</x:v>
      </x:c>
      <x:c r="M1332" s="16" t="str">
        <x:v>http://www.vegascashoffers.com/</x:v>
      </x:c>
      <x:c r="N1332" s="16" t="str">
        <x:v>$100K-$500K ticket not published / unconfirmed</x:v>
      </x:c>
      <x:c r="O1332" s="20"/>
      <x:c r="P1332" s="20"/>
      <x:c r="Q1332" s="25" t="str">
        <x:v>No direct corporate-capital range established in checked source</x:v>
      </x:c>
      <x:c r="R1332" s="25" t="str">
        <x:v>Property acquisition or investor activity makes this an operator-capital prospect for the signed trial. Confirm operating-company debt/equity appetite.</x:v>
      </x:c>
      <x:c r="S1332" s="25"/>
      <x:c r="T1332" s="25" t="str">
        <x:v>Ask the owner/investor whether they can allocate $100K-$500K to trial marketing and acquisitions, and confirm structure, timing and decision authority.</x:v>
      </x:c>
      <x:c r="U1332" s="25" t="str">
        <x:v>https://www.cashhomebuyersdirectory.com/cash-home-buyers/nevada/las-vegas</x:v>
      </x:c>
      <x:c r="V1332" s="26" t="d">
        <x:v>2026-10-02T00:00:00.000Z</x:v>
      </x:c>
      <x:c r="W1332" s="26" t="d">
        <x:v>2026-10-02T00:00:00.000Z</x:v>
      </x:c>
      <x:c r="X1332" s="25" t="str">
        <x:v>CashHomeBuyersDirectory third-party business listing; first-party business activity not checked in this batch</x:v>
      </x:c>
      <x:c r="Y1332" s="25"/>
      <x:c r="Z1332" s="25" t="str">
        <x:v>https://www.cashhomebuyersdirectory.com/cash-home-buyers/nevada/las-vegas</x:v>
      </x:c>
      <x:c r="AA1332" s="25" t="str">
        <x:v>Public cash-home-buyer directory lists the business name, business phone/website where available and market. Operator role and corporate funding willingness require confirmation.</x:v>
      </x:c>
      <x:c r="AB1332" s="3" t="str">
        <x:v>New public-source collection</x:v>
      </x:c>
      <x:c r="AC1332" s="3" t="str">
        <x:v>unverified</x:v>
      </x:c>
      <x:c r="AD1332" s="3" t="str">
        <x:v>Not contacted / unconfirmed</x:v>
      </x:c>
      <x:c r="AE1332" s="3" t="str">
        <x:v>No</x:v>
      </x:c>
      <x:c r="AF1332" s="3" t="str">
        <x:v>No</x:v>
      </x:c>
      <x:c r="AG1332" s="3"/>
      <x:c r="AH1332" s="3"/>
      <x:c r="AI1332" s="18"/>
      <x:c r="AJ1332" s="3" t="str">
        <x:v>CF2500-E68D8C625484</x:v>
      </x:c>
      <x:c r="AK1332" s="3" t="str">
        <x:v>real_estate_operator</x:v>
      </x:c>
      <x:c r="AL1332" s="19" t="n">
        <x:v>100000</x:v>
      </x:c>
      <x:c r="AM1332" s="19" t="n">
        <x:v>500000</x:v>
      </x:c>
      <x:c r="AN1332" s="3" t="str">
        <x:v>https://www.cashhomebuyersdirectory.com/cash-home-buyers/nevada/las-vegas</x:v>
      </x:c>
      <x:c r="AO1332" s="3" t="str">
        <x:v>national_rest_directory_complete.jsonl</x:v>
      </x:c>
      <x:c r="AP1332" s="19"/>
    </x:row>
    <x:row r="1333" ht="36" customHeight="1">
      <x:c r="A1333" s="23" t="n">
        <x:v>1332</x:v>
      </x:c>
      <x:c r="B1333" s="15" t="str">
        <x:v>Vision 1 Home Buyers</x:v>
      </x:c>
      <x:c r="C1333" s="15"/>
      <x:c r="D1333" s="15" t="str">
        <x:v>Property investor / home-buying operator</x:v>
      </x:c>
      <x:c r="E1333" s="15" t="str">
        <x:v>Property investor / operator inquiry</x:v>
      </x:c>
      <x:c r="F1333" s="17" t="str">
        <x:v>New</x:v>
      </x:c>
      <x:c r="G1333" s="24"/>
      <x:c r="H1333" s="24" t="str">
        <x:v>+15673314663</x:v>
      </x:c>
      <x:c r="I1333" s="24" t="str">
        <x:v>http://vision1homebuyers.com/</x:v>
      </x:c>
      <x:c r="J1333" s="16" t="str">
        <x:v>OH</x:v>
      </x:c>
      <x:c r="K1333" s="16" t="str">
        <x:v>Lima</x:v>
      </x:c>
      <x:c r="L1333" s="16" t="str">
        <x:v>Public property-business route; investor decision maker unconfirmed</x:v>
      </x:c>
      <x:c r="M1333" s="16" t="str">
        <x:v>http://vision1homebuyers.com/</x:v>
      </x:c>
      <x:c r="N1333" s="16" t="str">
        <x:v>$100K-$500K ticket not published / unconfirmed</x:v>
      </x:c>
      <x:c r="O1333" s="20"/>
      <x:c r="P1333" s="20"/>
      <x:c r="Q1333" s="25" t="str">
        <x:v>No direct corporate-capital range established in checked source</x:v>
      </x:c>
      <x:c r="R1333" s="25" t="str">
        <x:v>Property acquisition or investor activity makes this an operator-capital prospect for the signed trial. Confirm operating-company debt/equity appetite.</x:v>
      </x:c>
      <x:c r="S1333" s="25"/>
      <x:c r="T1333" s="25" t="str">
        <x:v>Ask the owner/investor whether they can allocate $100K-$500K to trial marketing and acquisitions, and confirm structure, timing and decision authority.</x:v>
      </x:c>
      <x:c r="U1333" s="25" t="str">
        <x:v>https://www.cashhomebuyersdirectory.com/cash-home-buyers/ohio/lima</x:v>
      </x:c>
      <x:c r="V1333" s="26" t="d">
        <x:v>2026-10-02T00:00:00.000Z</x:v>
      </x:c>
      <x:c r="W1333" s="26" t="d">
        <x:v>2026-10-02T00:00:00.000Z</x:v>
      </x:c>
      <x:c r="X1333" s="25" t="str">
        <x:v>CashHomeBuyersDirectory third-party business listing; first-party business activity not checked in this batch</x:v>
      </x:c>
      <x:c r="Y1333" s="25"/>
      <x:c r="Z1333" s="25" t="str">
        <x:v>https://www.cashhomebuyersdirectory.com/cash-home-buyers/ohio/lima</x:v>
      </x:c>
      <x:c r="AA1333" s="25" t="str">
        <x:v>Public cash-home-buyer directory lists the business name, business phone/website where available and market. Operator role and corporate funding willingness require confirmation.</x:v>
      </x:c>
      <x:c r="AB1333" s="3" t="str">
        <x:v>New public-source collection</x:v>
      </x:c>
      <x:c r="AC1333" s="3" t="str">
        <x:v>unverified</x:v>
      </x:c>
      <x:c r="AD1333" s="3" t="str">
        <x:v>Not contacted / unconfirmed</x:v>
      </x:c>
      <x:c r="AE1333" s="3" t="str">
        <x:v>No</x:v>
      </x:c>
      <x:c r="AF1333" s="3" t="str">
        <x:v>No</x:v>
      </x:c>
      <x:c r="AG1333" s="3"/>
      <x:c r="AH1333" s="3"/>
      <x:c r="AI1333" s="18"/>
      <x:c r="AJ1333" s="3" t="str">
        <x:v>CF2500-86EE2D223328</x:v>
      </x:c>
      <x:c r="AK1333" s="3" t="str">
        <x:v>real_estate_operator</x:v>
      </x:c>
      <x:c r="AL1333" s="19" t="n">
        <x:v>100000</x:v>
      </x:c>
      <x:c r="AM1333" s="19" t="n">
        <x:v>500000</x:v>
      </x:c>
      <x:c r="AN1333" s="3" t="str">
        <x:v>https://www.cashhomebuyersdirectory.com/cash-home-buyers/ohio/lima</x:v>
      </x:c>
      <x:c r="AO1333" s="3" t="str">
        <x:v>national_rest_directory_complete.jsonl</x:v>
      </x:c>
      <x:c r="AP1333" s="19"/>
    </x:row>
    <x:row r="1334" ht="36" customHeight="1">
      <x:c r="A1334" s="23" t="n">
        <x:v>1333</x:v>
      </x:c>
      <x:c r="B1334" s="15" t="str">
        <x:v>Vivid Home Buyers</x:v>
      </x:c>
      <x:c r="C1334" s="15"/>
      <x:c r="D1334" s="15" t="str">
        <x:v>Property investor / home-buying operator</x:v>
      </x:c>
      <x:c r="E1334" s="15" t="str">
        <x:v>Property investor / operator inquiry</x:v>
      </x:c>
      <x:c r="F1334" s="17" t="str">
        <x:v>New</x:v>
      </x:c>
      <x:c r="G1334" s="24"/>
      <x:c r="H1334" s="24" t="str">
        <x:v>+14133552468</x:v>
      </x:c>
      <x:c r="I1334" s="24" t="str">
        <x:v>http://www.vividhomebuyers.com/</x:v>
      </x:c>
      <x:c r="J1334" s="16" t="str">
        <x:v>MA</x:v>
      </x:c>
      <x:c r="K1334" s="16"/>
      <x:c r="L1334" s="16" t="str">
        <x:v>Public property-business route; investor decision maker unconfirmed</x:v>
      </x:c>
      <x:c r="M1334" s="16" t="str">
        <x:v>http://www.vividhomebuyers.com/</x:v>
      </x:c>
      <x:c r="N1334" s="16" t="str">
        <x:v>$100K-$500K ticket not published / unconfirmed</x:v>
      </x:c>
      <x:c r="O1334" s="20"/>
      <x:c r="P1334" s="20"/>
      <x:c r="Q1334" s="25" t="str">
        <x:v>No direct corporate-capital range established in checked source</x:v>
      </x:c>
      <x:c r="R1334" s="25" t="str">
        <x:v>Property acquisition or investor activity makes this an operator-capital prospect for the signed trial. Confirm operating-company debt/equity appetite.</x:v>
      </x:c>
      <x:c r="S1334" s="25"/>
      <x:c r="T1334" s="25" t="str">
        <x:v>Ask the owner/investor whether they can allocate $100K-$500K to trial marketing and acquisitions, and confirm structure, timing and decision authority.</x:v>
      </x:c>
      <x:c r="U1334" s="25" t="str">
        <x:v>https://www.cashhomebuyersdirectory.com/cash-home-buyers/massachusetts/springfield</x:v>
      </x:c>
      <x:c r="V1334" s="26" t="d">
        <x:v>2026-10-02T00:00:00.000Z</x:v>
      </x:c>
      <x:c r="W1334" s="26" t="d">
        <x:v>2026-10-02T00:00:00.000Z</x:v>
      </x:c>
      <x:c r="X1334" s="25" t="str">
        <x:v>CashHomeBuyersDirectory third-party business listing; first-party business activity not checked in this batch</x:v>
      </x:c>
      <x:c r="Y1334" s="25"/>
      <x:c r="Z1334" s="25" t="str">
        <x:v>https://www.cashhomebuyersdirectory.com/cash-home-buyers/massachusetts/springfield</x:v>
      </x:c>
      <x:c r="AA1334" s="25" t="str">
        <x:v>Public cash-home-buyer directory lists the business name, business phone/website where available and market. Operator role and corporate funding willingness require confirmation.</x:v>
      </x:c>
      <x:c r="AB1334" s="3" t="str">
        <x:v>New public-source collection</x:v>
      </x:c>
      <x:c r="AC1334" s="3" t="str">
        <x:v>unverified</x:v>
      </x:c>
      <x:c r="AD1334" s="3" t="str">
        <x:v>Not contacted / unconfirmed</x:v>
      </x:c>
      <x:c r="AE1334" s="3" t="str">
        <x:v>No</x:v>
      </x:c>
      <x:c r="AF1334" s="3" t="str">
        <x:v>No</x:v>
      </x:c>
      <x:c r="AG1334" s="3"/>
      <x:c r="AH1334" s="3"/>
      <x:c r="AI1334" s="18"/>
      <x:c r="AJ1334" s="3" t="str">
        <x:v>CF2500-F954DBB5B4AA</x:v>
      </x:c>
      <x:c r="AK1334" s="3" t="str">
        <x:v>real_estate_operator</x:v>
      </x:c>
      <x:c r="AL1334" s="19" t="n">
        <x:v>100000</x:v>
      </x:c>
      <x:c r="AM1334" s="19" t="n">
        <x:v>500000</x:v>
      </x:c>
      <x:c r="AN1334" s="3" t="str">
        <x:v>https://www.cashhomebuyersdirectory.com/cash-home-buyers/massachusetts/springfield</x:v>
      </x:c>
      <x:c r="AO1334" s="3" t="str">
        <x:v>national_rest_directory_complete.jsonl</x:v>
      </x:c>
      <x:c r="AP1334" s="19"/>
    </x:row>
    <x:row r="1335" ht="36" customHeight="1">
      <x:c r="A1335" s="23" t="n">
        <x:v>1334</x:v>
      </x:c>
      <x:c r="B1335" s="15" t="str">
        <x:v>Vortex Homebuyers</x:v>
      </x:c>
      <x:c r="C1335" s="15"/>
      <x:c r="D1335" s="15" t="str">
        <x:v>Property investor / home-buying operator</x:v>
      </x:c>
      <x:c r="E1335" s="15" t="str">
        <x:v>Property investor / operator inquiry</x:v>
      </x:c>
      <x:c r="F1335" s="17" t="str">
        <x:v>New</x:v>
      </x:c>
      <x:c r="G1335" s="24"/>
      <x:c r="H1335" s="24" t="str">
        <x:v>+14025905407</x:v>
      </x:c>
      <x:c r="I1335" s="24" t="str">
        <x:v>https://www.vortexhomebuyers.com/</x:v>
      </x:c>
      <x:c r="J1335" s="16" t="str">
        <x:v>NE</x:v>
      </x:c>
      <x:c r="K1335" s="16"/>
      <x:c r="L1335" s="16" t="str">
        <x:v>Public property-business route; investor decision maker unconfirmed</x:v>
      </x:c>
      <x:c r="M1335" s="16" t="str">
        <x:v>https://www.vortexhomebuyers.com/</x:v>
      </x:c>
      <x:c r="N1335" s="16" t="str">
        <x:v>$100K-$500K ticket not published / unconfirmed</x:v>
      </x:c>
      <x:c r="O1335" s="20"/>
      <x:c r="P1335" s="20"/>
      <x:c r="Q1335" s="25" t="str">
        <x:v>No direct corporate-capital range established in checked source</x:v>
      </x:c>
      <x:c r="R1335" s="25" t="str">
        <x:v>Property acquisition or investor activity makes this an operator-capital prospect for the signed trial. Confirm operating-company debt/equity appetite.</x:v>
      </x:c>
      <x:c r="S1335" s="25"/>
      <x:c r="T1335" s="25" t="str">
        <x:v>Ask the owner/investor whether they can allocate $100K-$500K to trial marketing and acquisitions, and confirm structure, timing and decision authority.</x:v>
      </x:c>
      <x:c r="U1335" s="25" t="str">
        <x:v>https://www.cashhomebuyersdirectory.com/cash-home-buyers/nebraska/omaha</x:v>
      </x:c>
      <x:c r="V1335" s="26" t="d">
        <x:v>2026-10-02T00:00:00.000Z</x:v>
      </x:c>
      <x:c r="W1335" s="26" t="d">
        <x:v>2026-10-02T00:00:00.000Z</x:v>
      </x:c>
      <x:c r="X1335" s="25" t="str">
        <x:v>CashHomeBuyersDirectory third-party business listing; first-party business activity not checked in this batch</x:v>
      </x:c>
      <x:c r="Y1335" s="25"/>
      <x:c r="Z1335" s="25" t="str">
        <x:v>https://www.cashhomebuyersdirectory.com/cash-home-buyers/nebraska/omaha</x:v>
      </x:c>
      <x:c r="AA1335" s="25" t="str">
        <x:v>Public cash-home-buyer directory lists the business name, business phone/website where available and market. Operator role and corporate funding willingness require confirmation.</x:v>
      </x:c>
      <x:c r="AB1335" s="3" t="str">
        <x:v>New public-source collection</x:v>
      </x:c>
      <x:c r="AC1335" s="3" t="str">
        <x:v>unverified</x:v>
      </x:c>
      <x:c r="AD1335" s="3" t="str">
        <x:v>Not contacted / unconfirmed</x:v>
      </x:c>
      <x:c r="AE1335" s="3" t="str">
        <x:v>No</x:v>
      </x:c>
      <x:c r="AF1335" s="3" t="str">
        <x:v>No</x:v>
      </x:c>
      <x:c r="AG1335" s="3"/>
      <x:c r="AH1335" s="3"/>
      <x:c r="AI1335" s="18"/>
      <x:c r="AJ1335" s="3" t="str">
        <x:v>CF2500-1F508C384736</x:v>
      </x:c>
      <x:c r="AK1335" s="3" t="str">
        <x:v>real_estate_operator</x:v>
      </x:c>
      <x:c r="AL1335" s="19" t="n">
        <x:v>100000</x:v>
      </x:c>
      <x:c r="AM1335" s="19" t="n">
        <x:v>500000</x:v>
      </x:c>
      <x:c r="AN1335" s="3" t="str">
        <x:v>https://www.cashhomebuyersdirectory.com/cash-home-buyers/nebraska/omaha</x:v>
      </x:c>
      <x:c r="AO1335" s="3" t="str">
        <x:v>national_rest_directory_complete.jsonl</x:v>
      </x:c>
      <x:c r="AP1335" s="19"/>
    </x:row>
    <x:row r="1336" ht="36" customHeight="1">
      <x:c r="A1336" s="23" t="n">
        <x:v>1335</x:v>
      </x:c>
      <x:c r="B1336" s="15" t="str">
        <x:v>Wanderlust Home Buyers</x:v>
      </x:c>
      <x:c r="C1336" s="15"/>
      <x:c r="D1336" s="15" t="str">
        <x:v>Property investor / home-buying operator</x:v>
      </x:c>
      <x:c r="E1336" s="15" t="str">
        <x:v>Property investor / operator inquiry</x:v>
      </x:c>
      <x:c r="F1336" s="17" t="str">
        <x:v>New</x:v>
      </x:c>
      <x:c r="G1336" s="24"/>
      <x:c r="H1336" s="24" t="str">
        <x:v>+15404277938</x:v>
      </x:c>
      <x:c r="I1336" s="24" t="str">
        <x:v>http://wanderlusthomebuyers.com/</x:v>
      </x:c>
      <x:c r="J1336" s="16" t="str">
        <x:v>VA</x:v>
      </x:c>
      <x:c r="K1336" s="16" t="str">
        <x:v>Roanoke</x:v>
      </x:c>
      <x:c r="L1336" s="16" t="str">
        <x:v>Public property-business route; investor decision maker unconfirmed</x:v>
      </x:c>
      <x:c r="M1336" s="16" t="str">
        <x:v>http://wanderlusthomebuyers.com/</x:v>
      </x:c>
      <x:c r="N1336" s="16" t="str">
        <x:v>$100K-$500K ticket not published / unconfirmed</x:v>
      </x:c>
      <x:c r="O1336" s="20"/>
      <x:c r="P1336" s="20"/>
      <x:c r="Q1336" s="25" t="str">
        <x:v>No direct corporate-capital range established in checked source</x:v>
      </x:c>
      <x:c r="R1336" s="25" t="str">
        <x:v>Property acquisition or investor activity makes this an operator-capital prospect for the signed trial. Confirm operating-company debt/equity appetite.</x:v>
      </x:c>
      <x:c r="S1336" s="25"/>
      <x:c r="T1336" s="25" t="str">
        <x:v>Ask the owner/investor whether they can allocate $100K-$500K to trial marketing and acquisitions, and confirm structure, timing and decision authority.</x:v>
      </x:c>
      <x:c r="U1336" s="25" t="str">
        <x:v>https://www.cashhomebuyersdirectory.com/cash-home-buyers/virginia/roanoke</x:v>
      </x:c>
      <x:c r="V1336" s="26" t="d">
        <x:v>2026-10-02T00:00:00.000Z</x:v>
      </x:c>
      <x:c r="W1336" s="26" t="d">
        <x:v>2026-10-02T00:00:00.000Z</x:v>
      </x:c>
      <x:c r="X1336" s="25" t="str">
        <x:v>CashHomeBuyersDirectory third-party business listing; first-party business activity not checked in this batch</x:v>
      </x:c>
      <x:c r="Y1336" s="25"/>
      <x:c r="Z1336" s="25" t="str">
        <x:v>https://www.cashhomebuyersdirectory.com/cash-home-buyers/virginia/roanoke</x:v>
      </x:c>
      <x:c r="AA1336" s="25" t="str">
        <x:v>Public cash-home-buyer directory lists the business name, business phone/website where available and market. Operator role and corporate funding willingness require confirmation.</x:v>
      </x:c>
      <x:c r="AB1336" s="3" t="str">
        <x:v>New public-source collection</x:v>
      </x:c>
      <x:c r="AC1336" s="3" t="str">
        <x:v>unverified</x:v>
      </x:c>
      <x:c r="AD1336" s="3" t="str">
        <x:v>Not contacted / unconfirmed</x:v>
      </x:c>
      <x:c r="AE1336" s="3" t="str">
        <x:v>No</x:v>
      </x:c>
      <x:c r="AF1336" s="3" t="str">
        <x:v>No</x:v>
      </x:c>
      <x:c r="AG1336" s="3"/>
      <x:c r="AH1336" s="3"/>
      <x:c r="AI1336" s="18"/>
      <x:c r="AJ1336" s="3" t="str">
        <x:v>CF2500-ED6ECE6DB576</x:v>
      </x:c>
      <x:c r="AK1336" s="3" t="str">
        <x:v>real_estate_operator</x:v>
      </x:c>
      <x:c r="AL1336" s="19" t="n">
        <x:v>100000</x:v>
      </x:c>
      <x:c r="AM1336" s="19" t="n">
        <x:v>500000</x:v>
      </x:c>
      <x:c r="AN1336" s="3" t="str">
        <x:v>https://www.cashhomebuyersdirectory.com/cash-home-buyers/virginia/roanoke</x:v>
      </x:c>
      <x:c r="AO1336" s="3" t="str">
        <x:v>national_rest_directory_complete.jsonl</x:v>
      </x:c>
      <x:c r="AP1336" s="19"/>
    </x:row>
    <x:row r="1337" ht="36" customHeight="1">
      <x:c r="A1337" s="23" t="n">
        <x:v>1336</x:v>
      </x:c>
      <x:c r="B1337" s="15" t="str">
        <x:v>Wayfinder Home Buyers</x:v>
      </x:c>
      <x:c r="C1337" s="15"/>
      <x:c r="D1337" s="15" t="str">
        <x:v>Property investor / home-buying operator</x:v>
      </x:c>
      <x:c r="E1337" s="15" t="str">
        <x:v>Property investor / operator inquiry</x:v>
      </x:c>
      <x:c r="F1337" s="17" t="str">
        <x:v>New</x:v>
      </x:c>
      <x:c r="G1337" s="24"/>
      <x:c r="H1337" s="24" t="str">
        <x:v>+12013769132</x:v>
      </x:c>
      <x:c r="I1337" s="24" t="str">
        <x:v>https://wayfinderhomebuyers.com/</x:v>
      </x:c>
      <x:c r="J1337" s="16" t="str">
        <x:v>NJ</x:v>
      </x:c>
      <x:c r="K1337" s="16"/>
      <x:c r="L1337" s="16" t="str">
        <x:v>Public property-business route; investor decision maker unconfirmed</x:v>
      </x:c>
      <x:c r="M1337" s="16" t="str">
        <x:v>https://wayfinderhomebuyers.com/</x:v>
      </x:c>
      <x:c r="N1337" s="16" t="str">
        <x:v>$100K-$500K ticket not published / unconfirmed</x:v>
      </x:c>
      <x:c r="O1337" s="20"/>
      <x:c r="P1337" s="20"/>
      <x:c r="Q1337" s="25" t="str">
        <x:v>No direct corporate-capital range established in checked source</x:v>
      </x:c>
      <x:c r="R1337" s="25" t="str">
        <x:v>Property acquisition or investor activity makes this an operator-capital prospect for the signed trial. Confirm operating-company debt/equity appetite.</x:v>
      </x:c>
      <x:c r="S1337" s="25"/>
      <x:c r="T1337" s="25" t="str">
        <x:v>Ask the owner/investor whether they can allocate $100K-$500K to trial marketing and acquisitions, and confirm structure, timing and decision authority.</x:v>
      </x:c>
      <x:c r="U1337" s="25" t="str">
        <x:v>https://www.cashhomebuyersdirectory.com/cash-home-buyers/new-jersey/jersey-city</x:v>
      </x:c>
      <x:c r="V1337" s="26" t="d">
        <x:v>2026-10-02T00:00:00.000Z</x:v>
      </x:c>
      <x:c r="W1337" s="26" t="d">
        <x:v>2026-10-02T00:00:00.000Z</x:v>
      </x:c>
      <x:c r="X1337" s="25" t="str">
        <x:v>CashHomeBuyersDirectory third-party business listing; first-party business activity not checked in this batch</x:v>
      </x:c>
      <x:c r="Y1337" s="25"/>
      <x:c r="Z1337" s="25" t="str">
        <x:v>https://www.cashhomebuyersdirectory.com/cash-home-buyers/new-jersey/jersey-city</x:v>
      </x:c>
      <x:c r="AA1337" s="25" t="str">
        <x:v>Public cash-home-buyer directory lists the business name, business phone/website where available and market. Operator role and corporate funding willingness require confirmation.</x:v>
      </x:c>
      <x:c r="AB1337" s="3" t="str">
        <x:v>New public-source collection</x:v>
      </x:c>
      <x:c r="AC1337" s="3" t="str">
        <x:v>unverified</x:v>
      </x:c>
      <x:c r="AD1337" s="3" t="str">
        <x:v>Not contacted / unconfirmed</x:v>
      </x:c>
      <x:c r="AE1337" s="3" t="str">
        <x:v>No</x:v>
      </x:c>
      <x:c r="AF1337" s="3" t="str">
        <x:v>No</x:v>
      </x:c>
      <x:c r="AG1337" s="3"/>
      <x:c r="AH1337" s="3"/>
      <x:c r="AI1337" s="18"/>
      <x:c r="AJ1337" s="3" t="str">
        <x:v>CF2500-443450DFAC7D</x:v>
      </x:c>
      <x:c r="AK1337" s="3" t="str">
        <x:v>real_estate_operator</x:v>
      </x:c>
      <x:c r="AL1337" s="19" t="n">
        <x:v>100000</x:v>
      </x:c>
      <x:c r="AM1337" s="19" t="n">
        <x:v>500000</x:v>
      </x:c>
      <x:c r="AN1337" s="3" t="str">
        <x:v>https://www.cashhomebuyersdirectory.com/cash-home-buyers/new-jersey/jersey-city</x:v>
      </x:c>
      <x:c r="AO1337" s="3" t="str">
        <x:v>national_rest_directory_complete.jsonl</x:v>
      </x:c>
      <x:c r="AP1337" s="19"/>
    </x:row>
    <x:row r="1338" ht="36" customHeight="1">
      <x:c r="A1338" s="23" t="n">
        <x:v>1337</x:v>
      </x:c>
      <x:c r="B1338" s="15" t="str">
        <x:v>We Buy 502 Fast Cash Home Buyers</x:v>
      </x:c>
      <x:c r="C1338" s="15"/>
      <x:c r="D1338" s="15" t="str">
        <x:v>Property investor / home-buying operator</x:v>
      </x:c>
      <x:c r="E1338" s="15" t="str">
        <x:v>Property investor / operator inquiry</x:v>
      </x:c>
      <x:c r="F1338" s="17" t="str">
        <x:v>New</x:v>
      </x:c>
      <x:c r="G1338" s="24"/>
      <x:c r="H1338" s="24" t="str">
        <x:v>+15028495950</x:v>
      </x:c>
      <x:c r="I1338" s="24" t="str">
        <x:v>https://www.webuy502.com/</x:v>
      </x:c>
      <x:c r="J1338" s="16" t="str">
        <x:v>KY</x:v>
      </x:c>
      <x:c r="K1338" s="16" t="str">
        <x:v>Louisville</x:v>
      </x:c>
      <x:c r="L1338" s="16" t="str">
        <x:v>Public property-business route; investor decision maker unconfirmed</x:v>
      </x:c>
      <x:c r="M1338" s="16" t="str">
        <x:v>https://www.webuy502.com/</x:v>
      </x:c>
      <x:c r="N1338" s="16" t="str">
        <x:v>$100K-$500K ticket not published / unconfirmed</x:v>
      </x:c>
      <x:c r="O1338" s="20"/>
      <x:c r="P1338" s="20"/>
      <x:c r="Q1338" s="25" t="str">
        <x:v>No direct corporate-capital range established in checked source</x:v>
      </x:c>
      <x:c r="R1338" s="25" t="str">
        <x:v>Property acquisition or investor activity makes this an operator-capital prospect for the signed trial. Confirm operating-company debt/equity appetite.</x:v>
      </x:c>
      <x:c r="S1338" s="25"/>
      <x:c r="T1338" s="25" t="str">
        <x:v>Ask the owner/investor whether they can allocate $100K-$500K to trial marketing and acquisitions, and confirm structure, timing and decision authority.</x:v>
      </x:c>
      <x:c r="U1338" s="25" t="str">
        <x:v>https://www.cashhomebuyersdirectory.com/cash-home-buyers/kentucky/louisville</x:v>
      </x:c>
      <x:c r="V1338" s="26" t="d">
        <x:v>2026-10-02T00:00:00.000Z</x:v>
      </x:c>
      <x:c r="W1338" s="26" t="d">
        <x:v>2026-10-02T00:00:00.000Z</x:v>
      </x:c>
      <x:c r="X1338" s="25" t="str">
        <x:v>CashHomeBuyersDirectory third-party business listing; first-party business activity not checked in this batch</x:v>
      </x:c>
      <x:c r="Y1338" s="25"/>
      <x:c r="Z1338" s="25" t="str">
        <x:v>https://www.cashhomebuyersdirectory.com/cash-home-buyers/kentucky/louisville</x:v>
      </x:c>
      <x:c r="AA1338" s="25" t="str">
        <x:v>Public cash-home-buyer directory lists the business name, business phone/website where available and market. Operator role and corporate funding willingness require confirmation.</x:v>
      </x:c>
      <x:c r="AB1338" s="3" t="str">
        <x:v>New public-source collection</x:v>
      </x:c>
      <x:c r="AC1338" s="3" t="str">
        <x:v>unverified</x:v>
      </x:c>
      <x:c r="AD1338" s="3" t="str">
        <x:v>Not contacted / unconfirmed</x:v>
      </x:c>
      <x:c r="AE1338" s="3" t="str">
        <x:v>No</x:v>
      </x:c>
      <x:c r="AF1338" s="3" t="str">
        <x:v>No</x:v>
      </x:c>
      <x:c r="AG1338" s="3"/>
      <x:c r="AH1338" s="3"/>
      <x:c r="AI1338" s="18"/>
      <x:c r="AJ1338" s="3" t="str">
        <x:v>CF2500-E85906ABE025</x:v>
      </x:c>
      <x:c r="AK1338" s="3" t="str">
        <x:v>real_estate_operator</x:v>
      </x:c>
      <x:c r="AL1338" s="19" t="n">
        <x:v>100000</x:v>
      </x:c>
      <x:c r="AM1338" s="19" t="n">
        <x:v>500000</x:v>
      </x:c>
      <x:c r="AN1338" s="3" t="str">
        <x:v>https://www.cashhomebuyersdirectory.com/cash-home-buyers/kentucky/louisville</x:v>
      </x:c>
      <x:c r="AO1338" s="3" t="str">
        <x:v>national_rest_directory_complete.jsonl</x:v>
      </x:c>
      <x:c r="AP1338" s="19"/>
    </x:row>
    <x:row r="1339" ht="36" customHeight="1">
      <x:c r="A1339" s="23" t="n">
        <x:v>1338</x:v>
      </x:c>
      <x:c r="B1339" s="15" t="str">
        <x:v>We Buy CLE | Integrity Capital Investment Group</x:v>
      </x:c>
      <x:c r="C1339" s="15"/>
      <x:c r="D1339" s="15" t="str">
        <x:v>Property investor / home-buying operator</x:v>
      </x:c>
      <x:c r="E1339" s="15" t="str">
        <x:v>Property investor / operator inquiry</x:v>
      </x:c>
      <x:c r="F1339" s="17" t="str">
        <x:v>New</x:v>
      </x:c>
      <x:c r="G1339" s="24"/>
      <x:c r="H1339" s="24" t="str">
        <x:v>+12162207373</x:v>
      </x:c>
      <x:c r="I1339" s="24" t="str">
        <x:v>https://www.webuycle.com/</x:v>
      </x:c>
      <x:c r="J1339" s="16" t="str">
        <x:v>OH</x:v>
      </x:c>
      <x:c r="K1339" s="16" t="str">
        <x:v>Strongsville</x:v>
      </x:c>
      <x:c r="L1339" s="16" t="str">
        <x:v>Public property-business route; investor decision maker unconfirmed</x:v>
      </x:c>
      <x:c r="M1339" s="16" t="str">
        <x:v>https://www.webuycle.com/</x:v>
      </x:c>
      <x:c r="N1339" s="16" t="str">
        <x:v>$100K-$500K ticket not published / unconfirmed</x:v>
      </x:c>
      <x:c r="O1339" s="20"/>
      <x:c r="P1339" s="20"/>
      <x:c r="Q1339" s="25" t="str">
        <x:v>No direct corporate-capital range established in checked source</x:v>
      </x:c>
      <x:c r="R1339" s="25" t="str">
        <x:v>Property acquisition or investor activity makes this an operator-capital prospect for the signed trial. Confirm operating-company debt/equity appetite.</x:v>
      </x:c>
      <x:c r="S1339" s="25"/>
      <x:c r="T1339" s="25" t="str">
        <x:v>Ask the owner/investor whether they can allocate $100K-$500K to trial marketing and acquisitions, and confirm structure, timing and decision authority.</x:v>
      </x:c>
      <x:c r="U1339" s="25" t="str">
        <x:v>https://www.cashhomebuyersdirectory.com/cash-home-buyers/ohio/strongsville</x:v>
      </x:c>
      <x:c r="V1339" s="26" t="d">
        <x:v>2026-10-02T00:00:00.000Z</x:v>
      </x:c>
      <x:c r="W1339" s="26" t="d">
        <x:v>2026-10-02T00:00:00.000Z</x:v>
      </x:c>
      <x:c r="X1339" s="25" t="str">
        <x:v>CashHomeBuyersDirectory third-party business listing; first-party business activity not checked in this batch</x:v>
      </x:c>
      <x:c r="Y1339" s="25"/>
      <x:c r="Z1339" s="25" t="str">
        <x:v>https://www.cashhomebuyersdirectory.com/cash-home-buyers/ohio/strongsville</x:v>
      </x:c>
      <x:c r="AA1339" s="25" t="str">
        <x:v>Public cash-home-buyer directory lists the business name, business phone/website where available and market. Operator role and corporate funding willingness require confirmation.</x:v>
      </x:c>
      <x:c r="AB1339" s="3" t="str">
        <x:v>New public-source collection</x:v>
      </x:c>
      <x:c r="AC1339" s="3" t="str">
        <x:v>unverified</x:v>
      </x:c>
      <x:c r="AD1339" s="3" t="str">
        <x:v>Not contacted / unconfirmed</x:v>
      </x:c>
      <x:c r="AE1339" s="3" t="str">
        <x:v>No</x:v>
      </x:c>
      <x:c r="AF1339" s="3" t="str">
        <x:v>No</x:v>
      </x:c>
      <x:c r="AG1339" s="3"/>
      <x:c r="AH1339" s="3"/>
      <x:c r="AI1339" s="18"/>
      <x:c r="AJ1339" s="3" t="str">
        <x:v>CF2500-20125FC156FE</x:v>
      </x:c>
      <x:c r="AK1339" s="3" t="str">
        <x:v>real_estate_operator</x:v>
      </x:c>
      <x:c r="AL1339" s="19" t="n">
        <x:v>100000</x:v>
      </x:c>
      <x:c r="AM1339" s="19" t="n">
        <x:v>500000</x:v>
      </x:c>
      <x:c r="AN1339" s="3" t="str">
        <x:v>https://www.cashhomebuyersdirectory.com/cash-home-buyers/ohio/strongsville</x:v>
      </x:c>
      <x:c r="AO1339" s="3" t="str">
        <x:v>national_rest_directory_complete.jsonl</x:v>
      </x:c>
      <x:c r="AP1339" s="19"/>
    </x:row>
    <x:row r="1340" ht="36" customHeight="1">
      <x:c r="A1340" s="23" t="n">
        <x:v>1339</x:v>
      </x:c>
      <x:c r="B1340" s="15" t="str">
        <x:v>We Buy Houses Cash &amp; Fast of New Jersey</x:v>
      </x:c>
      <x:c r="C1340" s="15"/>
      <x:c r="D1340" s="15" t="str">
        <x:v>Property investor / home-buying operator</x:v>
      </x:c>
      <x:c r="E1340" s="15" t="str">
        <x:v>Property investor / operator inquiry</x:v>
      </x:c>
      <x:c r="F1340" s="17" t="str">
        <x:v>New</x:v>
      </x:c>
      <x:c r="G1340" s="24"/>
      <x:c r="H1340" s="24" t="str">
        <x:v>+12015907680</x:v>
      </x:c>
      <x:c r="I1340" s="24" t="str">
        <x:v>https://webuyhousescashandfastofnewjersey.com/</x:v>
      </x:c>
      <x:c r="J1340" s="16" t="str">
        <x:v>NJ</x:v>
      </x:c>
      <x:c r="K1340" s="16" t="str">
        <x:v>Trenton</x:v>
      </x:c>
      <x:c r="L1340" s="16" t="str">
        <x:v>Public property-business route; investor decision maker unconfirmed</x:v>
      </x:c>
      <x:c r="M1340" s="16" t="str">
        <x:v>https://webuyhousescashandfastofnewjersey.com/</x:v>
      </x:c>
      <x:c r="N1340" s="16" t="str">
        <x:v>$100K-$500K ticket not published / unconfirmed</x:v>
      </x:c>
      <x:c r="O1340" s="20"/>
      <x:c r="P1340" s="20"/>
      <x:c r="Q1340" s="25" t="str">
        <x:v>No direct corporate-capital range established in checked source</x:v>
      </x:c>
      <x:c r="R1340" s="25" t="str">
        <x:v>Property acquisition or investor activity makes this an operator-capital prospect for the signed trial. Confirm operating-company debt/equity appetite.</x:v>
      </x:c>
      <x:c r="S1340" s="25"/>
      <x:c r="T1340" s="25" t="str">
        <x:v>Ask the owner/investor whether they can allocate $100K-$500K to trial marketing and acquisitions, and confirm structure, timing and decision authority.</x:v>
      </x:c>
      <x:c r="U1340" s="25" t="str">
        <x:v>https://www.cashhomebuyersdirectory.com/cash-home-buyers/new-jersey/trenton</x:v>
      </x:c>
      <x:c r="V1340" s="26" t="d">
        <x:v>2026-10-02T00:00:00.000Z</x:v>
      </x:c>
      <x:c r="W1340" s="26" t="d">
        <x:v>2026-10-02T00:00:00.000Z</x:v>
      </x:c>
      <x:c r="X1340" s="25" t="str">
        <x:v>CashHomeBuyersDirectory third-party business listing; first-party business activity not checked in this batch</x:v>
      </x:c>
      <x:c r="Y1340" s="25"/>
      <x:c r="Z1340" s="25" t="str">
        <x:v>https://www.cashhomebuyersdirectory.com/cash-home-buyers/new-jersey/trenton</x:v>
      </x:c>
      <x:c r="AA1340" s="25" t="str">
        <x:v>Public cash-home-buyer directory lists the business name, business phone/website where available and market. Operator role and corporate funding willingness require confirmation.</x:v>
      </x:c>
      <x:c r="AB1340" s="3" t="str">
        <x:v>New public-source collection</x:v>
      </x:c>
      <x:c r="AC1340" s="3" t="str">
        <x:v>unverified</x:v>
      </x:c>
      <x:c r="AD1340" s="3" t="str">
        <x:v>Not contacted / unconfirmed</x:v>
      </x:c>
      <x:c r="AE1340" s="3" t="str">
        <x:v>No</x:v>
      </x:c>
      <x:c r="AF1340" s="3" t="str">
        <x:v>No</x:v>
      </x:c>
      <x:c r="AG1340" s="3"/>
      <x:c r="AH1340" s="3"/>
      <x:c r="AI1340" s="18"/>
      <x:c r="AJ1340" s="3" t="str">
        <x:v>CF2500-962CA91C711E</x:v>
      </x:c>
      <x:c r="AK1340" s="3" t="str">
        <x:v>real_estate_operator</x:v>
      </x:c>
      <x:c r="AL1340" s="19" t="n">
        <x:v>100000</x:v>
      </x:c>
      <x:c r="AM1340" s="19" t="n">
        <x:v>500000</x:v>
      </x:c>
      <x:c r="AN1340" s="3" t="str">
        <x:v>https://www.cashhomebuyersdirectory.com/cash-home-buyers/new-jersey/trenton</x:v>
      </x:c>
      <x:c r="AO1340" s="3" t="str">
        <x:v>national_rest_directory_complete.jsonl</x:v>
      </x:c>
      <x:c r="AP1340" s="19"/>
    </x:row>
    <x:row r="1341" ht="36" customHeight="1">
      <x:c r="A1341" s="23" t="n">
        <x:v>1340</x:v>
      </x:c>
      <x:c r="B1341" s="15" t="str">
        <x:v>We Buy Houses Central Pa</x:v>
      </x:c>
      <x:c r="C1341" s="15"/>
      <x:c r="D1341" s="15" t="str">
        <x:v>Property investor / home-buying operator</x:v>
      </x:c>
      <x:c r="E1341" s="15" t="str">
        <x:v>Property investor / operator inquiry</x:v>
      </x:c>
      <x:c r="F1341" s="17" t="str">
        <x:v>New</x:v>
      </x:c>
      <x:c r="G1341" s="24"/>
      <x:c r="H1341" s="24" t="str">
        <x:v>+17174671212</x:v>
      </x:c>
      <x:c r="I1341" s="24" t="str">
        <x:v>http://www.webuyhousescentralpa.com/</x:v>
      </x:c>
      <x:c r="J1341" s="16" t="str">
        <x:v>PA</x:v>
      </x:c>
      <x:c r="K1341" s="16" t="str">
        <x:v>Shermans Dale</x:v>
      </x:c>
      <x:c r="L1341" s="16" t="str">
        <x:v>Public property-business route; investor decision maker unconfirmed</x:v>
      </x:c>
      <x:c r="M1341" s="16" t="str">
        <x:v>http://www.webuyhousescentralpa.com/</x:v>
      </x:c>
      <x:c r="N1341" s="16" t="str">
        <x:v>$100K-$500K ticket not published / unconfirmed</x:v>
      </x:c>
      <x:c r="O1341" s="20"/>
      <x:c r="P1341" s="20"/>
      <x:c r="Q1341" s="25" t="str">
        <x:v>No direct corporate-capital range established in checked source</x:v>
      </x:c>
      <x:c r="R1341" s="25" t="str">
        <x:v>Property acquisition or investor activity makes this an operator-capital prospect for the signed trial. Confirm operating-company debt/equity appetite.</x:v>
      </x:c>
      <x:c r="S1341" s="25"/>
      <x:c r="T1341" s="25" t="str">
        <x:v>Ask the owner/investor whether they can allocate $100K-$500K to trial marketing and acquisitions, and confirm structure, timing and decision authority.</x:v>
      </x:c>
      <x:c r="U1341" s="25" t="str">
        <x:v>https://www.cashhomebuyersdirectory.com/cash-home-buyers/pennsylvania/shermans-dale</x:v>
      </x:c>
      <x:c r="V1341" s="26" t="d">
        <x:v>2026-10-02T00:00:00.000Z</x:v>
      </x:c>
      <x:c r="W1341" s="26" t="d">
        <x:v>2026-10-02T00:00:00.000Z</x:v>
      </x:c>
      <x:c r="X1341" s="25" t="str">
        <x:v>CashHomeBuyersDirectory third-party business listing; first-party business activity not checked in this batch</x:v>
      </x:c>
      <x:c r="Y1341" s="25"/>
      <x:c r="Z1341" s="25" t="str">
        <x:v>https://www.cashhomebuyersdirectory.com/cash-home-buyers/pennsylvania/shermans-dale</x:v>
      </x:c>
      <x:c r="AA1341" s="25" t="str">
        <x:v>Public cash-home-buyer directory lists the business name, business phone/website where available and market. Operator role and corporate funding willingness require confirmation.</x:v>
      </x:c>
      <x:c r="AB1341" s="3" t="str">
        <x:v>New public-source collection</x:v>
      </x:c>
      <x:c r="AC1341" s="3" t="str">
        <x:v>unverified</x:v>
      </x:c>
      <x:c r="AD1341" s="3" t="str">
        <x:v>Not contacted / unconfirmed</x:v>
      </x:c>
      <x:c r="AE1341" s="3" t="str">
        <x:v>No</x:v>
      </x:c>
      <x:c r="AF1341" s="3" t="str">
        <x:v>No</x:v>
      </x:c>
      <x:c r="AG1341" s="3"/>
      <x:c r="AH1341" s="3"/>
      <x:c r="AI1341" s="18"/>
      <x:c r="AJ1341" s="3" t="str">
        <x:v>CF2500-AB80A325499B</x:v>
      </x:c>
      <x:c r="AK1341" s="3" t="str">
        <x:v>real_estate_operator</x:v>
      </x:c>
      <x:c r="AL1341" s="19" t="n">
        <x:v>100000</x:v>
      </x:c>
      <x:c r="AM1341" s="19" t="n">
        <x:v>500000</x:v>
      </x:c>
      <x:c r="AN1341" s="3" t="str">
        <x:v>https://www.cashhomebuyersdirectory.com/cash-home-buyers/pennsylvania/shermans-dale</x:v>
      </x:c>
      <x:c r="AO1341" s="3" t="str">
        <x:v>national_rest_directory_complete.jsonl</x:v>
      </x:c>
      <x:c r="AP1341" s="19"/>
    </x:row>
    <x:row r="1342" ht="36" customHeight="1">
      <x:c r="A1342" s="23" t="n">
        <x:v>1341</x:v>
      </x:c>
      <x:c r="B1342" s="15" t="str">
        <x:v>We Buy Houses Cincinnati</x:v>
      </x:c>
      <x:c r="C1342" s="15"/>
      <x:c r="D1342" s="15" t="str">
        <x:v>Property investor / home-buying operator</x:v>
      </x:c>
      <x:c r="E1342" s="15" t="str">
        <x:v>Property investor / operator inquiry</x:v>
      </x:c>
      <x:c r="F1342" s="17" t="str">
        <x:v>New</x:v>
      </x:c>
      <x:c r="G1342" s="24"/>
      <x:c r="H1342" s="24" t="str">
        <x:v>+15138781677</x:v>
      </x:c>
      <x:c r="I1342" s="24" t="str">
        <x:v>https://cincinnati.webuyhouses.com/?utm_source=gbp</x:v>
      </x:c>
      <x:c r="J1342" s="16" t="str">
        <x:v>OH</x:v>
      </x:c>
      <x:c r="K1342" s="16" t="str">
        <x:v>Cincinnati</x:v>
      </x:c>
      <x:c r="L1342" s="16" t="str">
        <x:v>Public property-business route; investor decision maker unconfirmed</x:v>
      </x:c>
      <x:c r="M1342" s="16" t="str">
        <x:v>https://cincinnati.webuyhouses.com/?utm_source=gbp</x:v>
      </x:c>
      <x:c r="N1342" s="16" t="str">
        <x:v>$100K-$500K ticket not published / unconfirmed</x:v>
      </x:c>
      <x:c r="O1342" s="20"/>
      <x:c r="P1342" s="20"/>
      <x:c r="Q1342" s="25" t="str">
        <x:v>No direct corporate-capital range established in checked source</x:v>
      </x:c>
      <x:c r="R1342" s="25" t="str">
        <x:v>Property acquisition or investor activity makes this an operator-capital prospect for the signed trial. Confirm operating-company debt/equity appetite.</x:v>
      </x:c>
      <x:c r="S1342" s="25"/>
      <x:c r="T1342" s="25" t="str">
        <x:v>Ask the owner/investor whether they can allocate $100K-$500K to trial marketing and acquisitions, and confirm structure, timing and decision authority.</x:v>
      </x:c>
      <x:c r="U1342" s="25" t="str">
        <x:v>https://www.cashhomebuyersdirectory.com/cash-home-buyers/ohio/cincinnati
https://www.cashhomebuyersdirectory.com/cash-home-buyers/ohio/fairfield</x:v>
      </x:c>
      <x:c r="V1342" s="26" t="d">
        <x:v>2026-10-02T00:00:00.000Z</x:v>
      </x:c>
      <x:c r="W1342" s="26" t="d">
        <x:v>2026-10-02T00:00:00.000Z</x:v>
      </x:c>
      <x:c r="X1342" s="25" t="str">
        <x:v>CashHomeBuyersDirectory third-party business listing; first-party business activity not checked in this batch</x:v>
      </x:c>
      <x:c r="Y1342" s="25"/>
      <x:c r="Z1342" s="25" t="str">
        <x:v>https://www.cashhomebuyersdirectory.com/cash-home-buyers/ohio/cincinnati</x:v>
      </x:c>
      <x:c r="AA1342" s="25" t="str">
        <x:v>Public cash-home-buyer directory lists the business name, business phone/website where available and market. Operator role and corporate funding willingness require confirmation.</x:v>
      </x:c>
      <x:c r="AB1342" s="3" t="str">
        <x:v>New public-source collection</x:v>
      </x:c>
      <x:c r="AC1342" s="3" t="str">
        <x:v>unverified</x:v>
      </x:c>
      <x:c r="AD1342" s="3" t="str">
        <x:v>Not contacted / unconfirmed</x:v>
      </x:c>
      <x:c r="AE1342" s="3" t="str">
        <x:v>No</x:v>
      </x:c>
      <x:c r="AF1342" s="3" t="str">
        <x:v>No</x:v>
      </x:c>
      <x:c r="AG1342" s="3"/>
      <x:c r="AH1342" s="3"/>
      <x:c r="AI1342" s="18"/>
      <x:c r="AJ1342" s="3" t="str">
        <x:v>CF2500-FD832490B6D9</x:v>
      </x:c>
      <x:c r="AK1342" s="3" t="str">
        <x:v>real_estate_operator</x:v>
      </x:c>
      <x:c r="AL1342" s="19" t="n">
        <x:v>100000</x:v>
      </x:c>
      <x:c r="AM1342" s="19" t="n">
        <x:v>500000</x:v>
      </x:c>
      <x:c r="AN1342" s="3" t="str">
        <x:v>https://www.cashhomebuyersdirectory.com/cash-home-buyers/ohio/cincinnati</x:v>
      </x:c>
      <x:c r="AO1342" s="3" t="str">
        <x:v>national_rest_directory_complete.jsonl</x:v>
      </x:c>
      <x:c r="AP1342" s="19"/>
    </x:row>
    <x:row r="1343" ht="36" customHeight="1">
      <x:c r="A1343" s="23" t="n">
        <x:v>1342</x:v>
      </x:c>
      <x:c r="B1343" s="15" t="str">
        <x:v>We Buy Houses® Columbus</x:v>
      </x:c>
      <x:c r="C1343" s="15"/>
      <x:c r="D1343" s="15" t="str">
        <x:v>Property investor / home-buying operator</x:v>
      </x:c>
      <x:c r="E1343" s="15" t="str">
        <x:v>Property investor / operator inquiry</x:v>
      </x:c>
      <x:c r="F1343" s="17" t="str">
        <x:v>New</x:v>
      </x:c>
      <x:c r="G1343" s="24"/>
      <x:c r="H1343" s="24" t="str">
        <x:v>+16147144614</x:v>
      </x:c>
      <x:c r="I1343" s="24" t="str">
        <x:v>https://columbus.webuyhouses.com/?utm_source=gbp</x:v>
      </x:c>
      <x:c r="J1343" s="16" t="str">
        <x:v>OH</x:v>
      </x:c>
      <x:c r="K1343" s="16" t="str">
        <x:v>Columbus</x:v>
      </x:c>
      <x:c r="L1343" s="16" t="str">
        <x:v>Public property-business route; investor decision maker unconfirmed</x:v>
      </x:c>
      <x:c r="M1343" s="16" t="str">
        <x:v>https://columbus.webuyhouses.com/?utm_source=gbp</x:v>
      </x:c>
      <x:c r="N1343" s="16" t="str">
        <x:v>$100K-$500K ticket not published / unconfirmed</x:v>
      </x:c>
      <x:c r="O1343" s="20"/>
      <x:c r="P1343" s="20"/>
      <x:c r="Q1343" s="25" t="str">
        <x:v>No direct corporate-capital range established in checked source</x:v>
      </x:c>
      <x:c r="R1343" s="25" t="str">
        <x:v>Property acquisition or investor activity makes this an operator-capital prospect for the signed trial. Confirm operating-company debt/equity appetite.</x:v>
      </x:c>
      <x:c r="S1343" s="25"/>
      <x:c r="T1343" s="25" t="str">
        <x:v>Ask the owner/investor whether they can allocate $100K-$500K to trial marketing and acquisitions, and confirm structure, timing and decision authority.</x:v>
      </x:c>
      <x:c r="U1343" s="25" t="str">
        <x:v>https://www.cashhomebuyersdirectory.com/cash-home-buyers/ohio/columbus</x:v>
      </x:c>
      <x:c r="V1343" s="26" t="d">
        <x:v>2026-10-02T00:00:00.000Z</x:v>
      </x:c>
      <x:c r="W1343" s="26" t="d">
        <x:v>2026-10-02T00:00:00.000Z</x:v>
      </x:c>
      <x:c r="X1343" s="25" t="str">
        <x:v>CashHomeBuyersDirectory third-party business listing; first-party business activity not checked in this batch</x:v>
      </x:c>
      <x:c r="Y1343" s="25"/>
      <x:c r="Z1343" s="25" t="str">
        <x:v>https://www.cashhomebuyersdirectory.com/cash-home-buyers/ohio/columbus</x:v>
      </x:c>
      <x:c r="AA1343" s="25" t="str">
        <x:v>Public cash-home-buyer directory lists the business name, business phone/website where available and market. Operator role and corporate funding willingness require confirmation.</x:v>
      </x:c>
      <x:c r="AB1343" s="3" t="str">
        <x:v>New public-source collection</x:v>
      </x:c>
      <x:c r="AC1343" s="3" t="str">
        <x:v>unverified</x:v>
      </x:c>
      <x:c r="AD1343" s="3" t="str">
        <x:v>Not contacted / unconfirmed</x:v>
      </x:c>
      <x:c r="AE1343" s="3" t="str">
        <x:v>No</x:v>
      </x:c>
      <x:c r="AF1343" s="3" t="str">
        <x:v>No</x:v>
      </x:c>
      <x:c r="AG1343" s="3"/>
      <x:c r="AH1343" s="3"/>
      <x:c r="AI1343" s="18"/>
      <x:c r="AJ1343" s="3" t="str">
        <x:v>CF2500-C4D36B9F6245</x:v>
      </x:c>
      <x:c r="AK1343" s="3" t="str">
        <x:v>real_estate_operator</x:v>
      </x:c>
      <x:c r="AL1343" s="19" t="n">
        <x:v>100000</x:v>
      </x:c>
      <x:c r="AM1343" s="19" t="n">
        <x:v>500000</x:v>
      </x:c>
      <x:c r="AN1343" s="3" t="str">
        <x:v>https://www.cashhomebuyersdirectory.com/cash-home-buyers/ohio/columbus</x:v>
      </x:c>
      <x:c r="AO1343" s="3" t="str">
        <x:v>national_rest_directory_complete.jsonl</x:v>
      </x:c>
      <x:c r="AP1343" s="19"/>
    </x:row>
    <x:row r="1344" ht="36" customHeight="1">
      <x:c r="A1344" s="23" t="n">
        <x:v>1343</x:v>
      </x:c>
      <x:c r="B1344" s="15" t="str">
        <x:v>We Buy Houses Delaware</x:v>
      </x:c>
      <x:c r="C1344" s="15"/>
      <x:c r="D1344" s="15" t="str">
        <x:v>Property investor / home-buying operator</x:v>
      </x:c>
      <x:c r="E1344" s="15" t="str">
        <x:v>Property investor / operator inquiry</x:v>
      </x:c>
      <x:c r="F1344" s="17" t="str">
        <x:v>New</x:v>
      </x:c>
      <x:c r="G1344" s="24"/>
      <x:c r="H1344" s="24" t="str">
        <x:v>+13023192841</x:v>
      </x:c>
      <x:c r="I1344" s="24" t="str">
        <x:v>https://www.webuyhousesindelaware.com/</x:v>
      </x:c>
      <x:c r="J1344" s="16" t="str">
        <x:v>DE</x:v>
      </x:c>
      <x:c r="K1344" s="16" t="str">
        <x:v>Wilmington</x:v>
      </x:c>
      <x:c r="L1344" s="16" t="str">
        <x:v>Public property-business route; investor decision maker unconfirmed</x:v>
      </x:c>
      <x:c r="M1344" s="16" t="str">
        <x:v>https://www.webuyhousesindelaware.com/</x:v>
      </x:c>
      <x:c r="N1344" s="16" t="str">
        <x:v>$100K-$500K ticket not published / unconfirmed</x:v>
      </x:c>
      <x:c r="O1344" s="20"/>
      <x:c r="P1344" s="20"/>
      <x:c r="Q1344" s="25" t="str">
        <x:v>No direct corporate-capital range established in checked source</x:v>
      </x:c>
      <x:c r="R1344" s="25" t="str">
        <x:v>Property acquisition or investor activity makes this an operator-capital prospect for the signed trial. Confirm operating-company debt/equity appetite.</x:v>
      </x:c>
      <x:c r="S1344" s="25"/>
      <x:c r="T1344" s="25" t="str">
        <x:v>Ask the owner/investor whether they can allocate $100K-$500K to trial marketing and acquisitions, and confirm structure, timing and decision authority.</x:v>
      </x:c>
      <x:c r="U1344" s="25" t="str">
        <x:v>https://www.cashhomebuyersdirectory.com/cash-home-buyers/delaware/wilmington</x:v>
      </x:c>
      <x:c r="V1344" s="26" t="d">
        <x:v>2026-10-02T00:00:00.000Z</x:v>
      </x:c>
      <x:c r="W1344" s="26" t="d">
        <x:v>2026-10-02T00:00:00.000Z</x:v>
      </x:c>
      <x:c r="X1344" s="25" t="str">
        <x:v>CashHomeBuyersDirectory third-party business listing; first-party business activity not checked in this batch</x:v>
      </x:c>
      <x:c r="Y1344" s="25"/>
      <x:c r="Z1344" s="25" t="str">
        <x:v>https://www.cashhomebuyersdirectory.com/cash-home-buyers/delaware/wilmington</x:v>
      </x:c>
      <x:c r="AA1344" s="25" t="str">
        <x:v>Public cash-home-buyer directory lists the business name, business phone/website where available and market. Operator role and corporate funding willingness require confirmation.</x:v>
      </x:c>
      <x:c r="AB1344" s="3" t="str">
        <x:v>New public-source collection</x:v>
      </x:c>
      <x:c r="AC1344" s="3" t="str">
        <x:v>unverified</x:v>
      </x:c>
      <x:c r="AD1344" s="3" t="str">
        <x:v>Not contacted / unconfirmed</x:v>
      </x:c>
      <x:c r="AE1344" s="3" t="str">
        <x:v>No</x:v>
      </x:c>
      <x:c r="AF1344" s="3" t="str">
        <x:v>No</x:v>
      </x:c>
      <x:c r="AG1344" s="3"/>
      <x:c r="AH1344" s="3"/>
      <x:c r="AI1344" s="18"/>
      <x:c r="AJ1344" s="3" t="str">
        <x:v>CF2500-583A5AF91A48</x:v>
      </x:c>
      <x:c r="AK1344" s="3" t="str">
        <x:v>real_estate_operator</x:v>
      </x:c>
      <x:c r="AL1344" s="19" t="n">
        <x:v>100000</x:v>
      </x:c>
      <x:c r="AM1344" s="19" t="n">
        <x:v>500000</x:v>
      </x:c>
      <x:c r="AN1344" s="3" t="str">
        <x:v>https://www.cashhomebuyersdirectory.com/cash-home-buyers/delaware/wilmington</x:v>
      </x:c>
      <x:c r="AO1344" s="3" t="str">
        <x:v>national_rest_directory_complete.jsonl</x:v>
      </x:c>
      <x:c r="AP1344" s="19"/>
    </x:row>
    <x:row r="1345" ht="36" customHeight="1">
      <x:c r="A1345" s="23" t="n">
        <x:v>1344</x:v>
      </x:c>
      <x:c r="B1345" s="15" t="str">
        <x:v>We Buy Houses Fast In Connecticut</x:v>
      </x:c>
      <x:c r="C1345" s="15"/>
      <x:c r="D1345" s="15" t="str">
        <x:v>Property investor / home-buying operator</x:v>
      </x:c>
      <x:c r="E1345" s="15" t="str">
        <x:v>Property investor / operator inquiry</x:v>
      </x:c>
      <x:c r="F1345" s="17" t="str">
        <x:v>New</x:v>
      </x:c>
      <x:c r="G1345" s="24"/>
      <x:c r="H1345" s="24" t="str">
        <x:v>+18602373766</x:v>
      </x:c>
      <x:c r="I1345" s="24" t="str">
        <x:v>https://webuyhousesfastinconnecticut.com/sell-my-house-fast-new-haven/</x:v>
      </x:c>
      <x:c r="J1345" s="16" t="str">
        <x:v>CT</x:v>
      </x:c>
      <x:c r="K1345" s="16" t="str">
        <x:v>New Haven</x:v>
      </x:c>
      <x:c r="L1345" s="16" t="str">
        <x:v>Public property-business route; investor decision maker unconfirmed</x:v>
      </x:c>
      <x:c r="M1345" s="16" t="str">
        <x:v>https://webuyhousesfastinconnecticut.com/sell-my-house-fast-new-haven/</x:v>
      </x:c>
      <x:c r="N1345" s="16" t="str">
        <x:v>$100K-$500K ticket not published / unconfirmed</x:v>
      </x:c>
      <x:c r="O1345" s="20"/>
      <x:c r="P1345" s="20"/>
      <x:c r="Q1345" s="25" t="str">
        <x:v>No direct corporate-capital range established in checked source</x:v>
      </x:c>
      <x:c r="R1345" s="25" t="str">
        <x:v>Property acquisition or investor activity makes this an operator-capital prospect for the signed trial. Confirm operating-company debt/equity appetite.</x:v>
      </x:c>
      <x:c r="S1345" s="25"/>
      <x:c r="T1345" s="25" t="str">
        <x:v>Ask the owner/investor whether they can allocate $100K-$500K to trial marketing and acquisitions, and confirm structure, timing and decision authority.</x:v>
      </x:c>
      <x:c r="U1345" s="25" t="str">
        <x:v>https://www.cashhomebuyersdirectory.com/cash-home-buyers/connecticut/new-haven</x:v>
      </x:c>
      <x:c r="V1345" s="26" t="d">
        <x:v>2026-10-02T00:00:00.000Z</x:v>
      </x:c>
      <x:c r="W1345" s="26" t="d">
        <x:v>2026-10-02T00:00:00.000Z</x:v>
      </x:c>
      <x:c r="X1345" s="25" t="str">
        <x:v>CashHomeBuyersDirectory third-party business listing; first-party business activity not checked in this batch</x:v>
      </x:c>
      <x:c r="Y1345" s="25"/>
      <x:c r="Z1345" s="25" t="str">
        <x:v>https://www.cashhomebuyersdirectory.com/cash-home-buyers/connecticut/new-haven</x:v>
      </x:c>
      <x:c r="AA1345" s="25" t="str">
        <x:v>Public cash-home-buyer directory lists the business name, business phone/website where available and market. Operator role and corporate funding willingness require confirmation.</x:v>
      </x:c>
      <x:c r="AB1345" s="3" t="str">
        <x:v>New public-source collection</x:v>
      </x:c>
      <x:c r="AC1345" s="3" t="str">
        <x:v>unverified</x:v>
      </x:c>
      <x:c r="AD1345" s="3" t="str">
        <x:v>Not contacted / unconfirmed</x:v>
      </x:c>
      <x:c r="AE1345" s="3" t="str">
        <x:v>No</x:v>
      </x:c>
      <x:c r="AF1345" s="3" t="str">
        <x:v>No</x:v>
      </x:c>
      <x:c r="AG1345" s="3"/>
      <x:c r="AH1345" s="3"/>
      <x:c r="AI1345" s="18"/>
      <x:c r="AJ1345" s="3" t="str">
        <x:v>CF2500-BF6309BF1D12</x:v>
      </x:c>
      <x:c r="AK1345" s="3" t="str">
        <x:v>real_estate_operator</x:v>
      </x:c>
      <x:c r="AL1345" s="19" t="n">
        <x:v>100000</x:v>
      </x:c>
      <x:c r="AM1345" s="19" t="n">
        <x:v>500000</x:v>
      </x:c>
      <x:c r="AN1345" s="3" t="str">
        <x:v>https://www.cashhomebuyersdirectory.com/cash-home-buyers/connecticut/new-haven</x:v>
      </x:c>
      <x:c r="AO1345" s="3" t="str">
        <x:v>national_rest_directory_complete.jsonl</x:v>
      </x:c>
      <x:c r="AP1345" s="19"/>
    </x:row>
    <x:row r="1346" ht="36" customHeight="1">
      <x:c r="A1346" s="23" t="n">
        <x:v>1345</x:v>
      </x:c>
      <x:c r="B1346" s="15" t="str">
        <x:v>We Buy Houses Fast In Ohio</x:v>
      </x:c>
      <x:c r="C1346" s="15"/>
      <x:c r="D1346" s="15" t="str">
        <x:v>Property investor / home-buying operator</x:v>
      </x:c>
      <x:c r="E1346" s="15" t="str">
        <x:v>Property investor / operator inquiry</x:v>
      </x:c>
      <x:c r="F1346" s="17" t="str">
        <x:v>New</x:v>
      </x:c>
      <x:c r="G1346" s="24"/>
      <x:c r="H1346" s="24" t="str">
        <x:v>+15134787599</x:v>
      </x:c>
      <x:c r="I1346" s="24" t="str">
        <x:v>https://www.webuyhousesfastinohio.com/?utm_source=gbp</x:v>
      </x:c>
      <x:c r="J1346" s="16" t="str">
        <x:v>OH</x:v>
      </x:c>
      <x:c r="K1346" s="16" t="str">
        <x:v>Dayton</x:v>
      </x:c>
      <x:c r="L1346" s="16" t="str">
        <x:v>Public property-business route; investor decision maker unconfirmed</x:v>
      </x:c>
      <x:c r="M1346" s="16" t="str">
        <x:v>https://www.webuyhousesfastinohio.com/?utm_source=gbp</x:v>
      </x:c>
      <x:c r="N1346" s="16" t="str">
        <x:v>$100K-$500K ticket not published / unconfirmed</x:v>
      </x:c>
      <x:c r="O1346" s="20"/>
      <x:c r="P1346" s="20"/>
      <x:c r="Q1346" s="25" t="str">
        <x:v>No direct corporate-capital range established in checked source</x:v>
      </x:c>
      <x:c r="R1346" s="25" t="str">
        <x:v>Property acquisition or investor activity makes this an operator-capital prospect for the signed trial. Confirm operating-company debt/equity appetite.</x:v>
      </x:c>
      <x:c r="S1346" s="25"/>
      <x:c r="T1346" s="25" t="str">
        <x:v>Ask the owner/investor whether they can allocate $100K-$500K to trial marketing and acquisitions, and confirm structure, timing and decision authority.</x:v>
      </x:c>
      <x:c r="U1346" s="25" t="str">
        <x:v>https://www.cashhomebuyersdirectory.com/cash-home-buyers/ohio/dayton</x:v>
      </x:c>
      <x:c r="V1346" s="26" t="d">
        <x:v>2026-10-02T00:00:00.000Z</x:v>
      </x:c>
      <x:c r="W1346" s="26" t="d">
        <x:v>2026-10-02T00:00:00.000Z</x:v>
      </x:c>
      <x:c r="X1346" s="25" t="str">
        <x:v>CashHomeBuyersDirectory third-party business listing; first-party business activity not checked in this batch</x:v>
      </x:c>
      <x:c r="Y1346" s="25"/>
      <x:c r="Z1346" s="25" t="str">
        <x:v>https://www.cashhomebuyersdirectory.com/cash-home-buyers/ohio/dayton</x:v>
      </x:c>
      <x:c r="AA1346" s="25" t="str">
        <x:v>Public cash-home-buyer directory lists the business name, business phone/website where available and market. Operator role and corporate funding willingness require confirmation.</x:v>
      </x:c>
      <x:c r="AB1346" s="3" t="str">
        <x:v>New public-source collection</x:v>
      </x:c>
      <x:c r="AC1346" s="3" t="str">
        <x:v>unverified</x:v>
      </x:c>
      <x:c r="AD1346" s="3" t="str">
        <x:v>Not contacted / unconfirmed</x:v>
      </x:c>
      <x:c r="AE1346" s="3" t="str">
        <x:v>No</x:v>
      </x:c>
      <x:c r="AF1346" s="3" t="str">
        <x:v>No</x:v>
      </x:c>
      <x:c r="AG1346" s="3"/>
      <x:c r="AH1346" s="3"/>
      <x:c r="AI1346" s="18"/>
      <x:c r="AJ1346" s="3" t="str">
        <x:v>CF2500-EB0EFCEC41A1</x:v>
      </x:c>
      <x:c r="AK1346" s="3" t="str">
        <x:v>real_estate_operator</x:v>
      </x:c>
      <x:c r="AL1346" s="19" t="n">
        <x:v>100000</x:v>
      </x:c>
      <x:c r="AM1346" s="19" t="n">
        <x:v>500000</x:v>
      </x:c>
      <x:c r="AN1346" s="3" t="str">
        <x:v>https://www.cashhomebuyersdirectory.com/cash-home-buyers/ohio/dayton</x:v>
      </x:c>
      <x:c r="AO1346" s="3" t="str">
        <x:v>national_rest_directory_complete.jsonl</x:v>
      </x:c>
      <x:c r="AP1346" s="19"/>
    </x:row>
    <x:row r="1347" ht="36" customHeight="1">
      <x:c r="A1347" s="23" t="n">
        <x:v>1346</x:v>
      </x:c>
      <x:c r="B1347" s="15" t="str">
        <x:v>We Buy Houses - Fayette County</x:v>
      </x:c>
      <x:c r="C1347" s="15"/>
      <x:c r="D1347" s="15" t="str">
        <x:v>Property investor / home-buying operator</x:v>
      </x:c>
      <x:c r="E1347" s="15" t="str">
        <x:v>Property investor / operator inquiry</x:v>
      </x:c>
      <x:c r="F1347" s="17" t="str">
        <x:v>New</x:v>
      </x:c>
      <x:c r="G1347" s="24"/>
      <x:c r="H1347" s="24" t="str">
        <x:v>+17245785650</x:v>
      </x:c>
      <x:c r="I1347" s="24" t="str">
        <x:v>https://www.webuyhousesfayettecounty.com/?utm_source=GBP&amp;utm_medium=organic&amp;utm_campaign=SEO</x:v>
      </x:c>
      <x:c r="J1347" s="16" t="str">
        <x:v>PA</x:v>
      </x:c>
      <x:c r="K1347" s="16" t="str">
        <x:v>Uniontown</x:v>
      </x:c>
      <x:c r="L1347" s="16" t="str">
        <x:v>Public property-business route; investor decision maker unconfirmed</x:v>
      </x:c>
      <x:c r="M1347" s="16" t="str">
        <x:v>https://www.webuyhousesfayettecounty.com/?utm_source=GBP&amp;utm_medium=organic&amp;utm_campaign=SEO</x:v>
      </x:c>
      <x:c r="N1347" s="16" t="str">
        <x:v>$100K-$500K ticket not published / unconfirmed</x:v>
      </x:c>
      <x:c r="O1347" s="20"/>
      <x:c r="P1347" s="20"/>
      <x:c r="Q1347" s="25" t="str">
        <x:v>No direct corporate-capital range established in checked source</x:v>
      </x:c>
      <x:c r="R1347" s="25" t="str">
        <x:v>Property acquisition or investor activity makes this an operator-capital prospect for the signed trial. Confirm operating-company debt/equity appetite.</x:v>
      </x:c>
      <x:c r="S1347" s="25"/>
      <x:c r="T1347" s="25" t="str">
        <x:v>Ask the owner/investor whether they can allocate $100K-$500K to trial marketing and acquisitions, and confirm structure, timing and decision authority.</x:v>
      </x:c>
      <x:c r="U1347" s="25" t="str">
        <x:v>https://www.cashhomebuyersdirectory.com/cash-home-buyers/pennsylvania/uniontown</x:v>
      </x:c>
      <x:c r="V1347" s="26" t="d">
        <x:v>2026-10-02T00:00:00.000Z</x:v>
      </x:c>
      <x:c r="W1347" s="26" t="d">
        <x:v>2026-10-02T00:00:00.000Z</x:v>
      </x:c>
      <x:c r="X1347" s="25" t="str">
        <x:v>CashHomeBuyersDirectory third-party business listing; first-party business activity not checked in this batch</x:v>
      </x:c>
      <x:c r="Y1347" s="25"/>
      <x:c r="Z1347" s="25" t="str">
        <x:v>https://www.cashhomebuyersdirectory.com/cash-home-buyers/pennsylvania/uniontown</x:v>
      </x:c>
      <x:c r="AA1347" s="25" t="str">
        <x:v>Public cash-home-buyer directory lists the business name, business phone/website where available and market. Operator role and corporate funding willingness require confirmation.</x:v>
      </x:c>
      <x:c r="AB1347" s="3" t="str">
        <x:v>New public-source collection</x:v>
      </x:c>
      <x:c r="AC1347" s="3" t="str">
        <x:v>unverified</x:v>
      </x:c>
      <x:c r="AD1347" s="3" t="str">
        <x:v>Not contacted / unconfirmed</x:v>
      </x:c>
      <x:c r="AE1347" s="3" t="str">
        <x:v>No</x:v>
      </x:c>
      <x:c r="AF1347" s="3" t="str">
        <x:v>No</x:v>
      </x:c>
      <x:c r="AG1347" s="3"/>
      <x:c r="AH1347" s="3"/>
      <x:c r="AI1347" s="18"/>
      <x:c r="AJ1347" s="3" t="str">
        <x:v>CF2500-593192BDD83E</x:v>
      </x:c>
      <x:c r="AK1347" s="3" t="str">
        <x:v>real_estate_operator</x:v>
      </x:c>
      <x:c r="AL1347" s="19" t="n">
        <x:v>100000</x:v>
      </x:c>
      <x:c r="AM1347" s="19" t="n">
        <x:v>500000</x:v>
      </x:c>
      <x:c r="AN1347" s="3" t="str">
        <x:v>https://www.cashhomebuyersdirectory.com/cash-home-buyers/pennsylvania/uniontown</x:v>
      </x:c>
      <x:c r="AO1347" s="3" t="str">
        <x:v>national_rest_directory_complete.jsonl</x:v>
      </x:c>
      <x:c r="AP1347" s="19"/>
    </x:row>
    <x:row r="1348" ht="36" customHeight="1">
      <x:c r="A1348" s="23" t="n">
        <x:v>1347</x:v>
      </x:c>
      <x:c r="B1348" s="15" t="str">
        <x:v>We Buy Houses For Cash, Pennsylvania</x:v>
      </x:c>
      <x:c r="C1348" s="15"/>
      <x:c r="D1348" s="15" t="str">
        <x:v>Property investor / home-buying operator</x:v>
      </x:c>
      <x:c r="E1348" s="15" t="str">
        <x:v>Property investor / operator inquiry</x:v>
      </x:c>
      <x:c r="F1348" s="17" t="str">
        <x:v>New</x:v>
      </x:c>
      <x:c r="G1348" s="24"/>
      <x:c r="H1348" s="24" t="str">
        <x:v>+12232562898</x:v>
      </x:c>
      <x:c r="I1348" s="24" t="str">
        <x:v>http://www.realtysourceinc.com/</x:v>
      </x:c>
      <x:c r="J1348" s="16" t="str">
        <x:v>PA</x:v>
      </x:c>
      <x:c r="K1348" s="16" t="str">
        <x:v>Conshohocken</x:v>
      </x:c>
      <x:c r="L1348" s="16" t="str">
        <x:v>Public property-business route; investor decision maker unconfirmed</x:v>
      </x:c>
      <x:c r="M1348" s="16" t="str">
        <x:v>http://www.realtysourceinc.com/</x:v>
      </x:c>
      <x:c r="N1348" s="16" t="str">
        <x:v>$100K-$500K ticket not published / unconfirmed</x:v>
      </x:c>
      <x:c r="O1348" s="20"/>
      <x:c r="P1348" s="20"/>
      <x:c r="Q1348" s="25" t="str">
        <x:v>No direct corporate-capital range established in checked source</x:v>
      </x:c>
      <x:c r="R1348" s="25" t="str">
        <x:v>Property acquisition or investor activity makes this an operator-capital prospect for the signed trial. Confirm operating-company debt/equity appetite.</x:v>
      </x:c>
      <x:c r="S1348" s="25"/>
      <x:c r="T1348" s="25" t="str">
        <x:v>Ask the owner/investor whether they can allocate $100K-$500K to trial marketing and acquisitions, and confirm structure, timing and decision authority.</x:v>
      </x:c>
      <x:c r="U1348" s="25" t="str">
        <x:v>https://www.cashhomebuyersdirectory.com/cash-home-buyers/pennsylvania/conshohocken
https://www.cashhomebuyersdirectory.com/cash-home-buyers/pennsylvania/erie
https://www.cashhomebuyersdirectory.com/cash-home-buyers/pennsylvania/hershey
https://www.cashhomebuyersdirectory.com/cash-home-buyers/pennsylvania/bethlehem
https://www.cashhomebuyersdirectory.com/cash-home-buyers/pennsylvania/shippensburg
https://www.cashhomebuyersdirectory.com/cash-home-buyers/pennsylvania/villanova</x:v>
      </x:c>
      <x:c r="V1348" s="26" t="d">
        <x:v>2026-10-02T00:00:00.000Z</x:v>
      </x:c>
      <x:c r="W1348" s="26" t="d">
        <x:v>2026-10-02T00:00:00.000Z</x:v>
      </x:c>
      <x:c r="X1348" s="25" t="str">
        <x:v>CashHomeBuyersDirectory third-party business listing; first-party business activity not checked in this batch</x:v>
      </x:c>
      <x:c r="Y1348" s="25"/>
      <x:c r="Z1348" s="25" t="str">
        <x:v>https://www.cashhomebuyersdirectory.com/cash-home-buyers/pennsylvania/conshohocken</x:v>
      </x:c>
      <x:c r="AA1348" s="25" t="str">
        <x:v>Public cash-home-buyer directory lists the business name, business phone/website where available and market. Operator role and corporate funding willingness require confirmation.</x:v>
      </x:c>
      <x:c r="AB1348" s="3" t="str">
        <x:v>New public-source collection</x:v>
      </x:c>
      <x:c r="AC1348" s="3" t="str">
        <x:v>unverified</x:v>
      </x:c>
      <x:c r="AD1348" s="3" t="str">
        <x:v>Not contacted / unconfirmed</x:v>
      </x:c>
      <x:c r="AE1348" s="3" t="str">
        <x:v>No</x:v>
      </x:c>
      <x:c r="AF1348" s="3" t="str">
        <x:v>No</x:v>
      </x:c>
      <x:c r="AG1348" s="3"/>
      <x:c r="AH1348" s="3" t="str">
        <x:v>We Buy Houses For Cash , Pennsylvania</x:v>
      </x:c>
      <x:c r="AI1348" s="18"/>
      <x:c r="AJ1348" s="3" t="str">
        <x:v>CF2500-D2713A0E21C4</x:v>
      </x:c>
      <x:c r="AK1348" s="3" t="str">
        <x:v>real_estate_operator</x:v>
      </x:c>
      <x:c r="AL1348" s="19" t="n">
        <x:v>100000</x:v>
      </x:c>
      <x:c r="AM1348" s="19" t="n">
        <x:v>500000</x:v>
      </x:c>
      <x:c r="AN1348" s="3" t="str">
        <x:v>https://www.cashhomebuyersdirectory.com/cash-home-buyers/pennsylvania/conshohocken</x:v>
      </x:c>
      <x:c r="AO1348" s="3" t="str">
        <x:v>national_rest_directory_complete.jsonl</x:v>
      </x:c>
      <x:c r="AP1348" s="19"/>
    </x:row>
    <x:row r="1349" ht="36" customHeight="1">
      <x:c r="A1349" s="23" t="n">
        <x:v>1348</x:v>
      </x:c>
      <x:c r="B1349" s="15" t="str">
        <x:v>We Buy Houses Hawaii</x:v>
      </x:c>
      <x:c r="C1349" s="15"/>
      <x:c r="D1349" s="15" t="str">
        <x:v>Property investor / home-buying operator</x:v>
      </x:c>
      <x:c r="E1349" s="15" t="str">
        <x:v>Property investor / operator inquiry</x:v>
      </x:c>
      <x:c r="F1349" s="17" t="str">
        <x:v>New</x:v>
      </x:c>
      <x:c r="G1349" s="24"/>
      <x:c r="H1349" s="24" t="str">
        <x:v>+18088626692</x:v>
      </x:c>
      <x:c r="I1349" s="24" t="str">
        <x:v>http://www.webuyhouseshawaii.com/</x:v>
      </x:c>
      <x:c r="J1349" s="16" t="str">
        <x:v>HI</x:v>
      </x:c>
      <x:c r="K1349" s="16" t="str">
        <x:v>Honolulu</x:v>
      </x:c>
      <x:c r="L1349" s="16" t="str">
        <x:v>Public property-business route; investor decision maker unconfirmed</x:v>
      </x:c>
      <x:c r="M1349" s="16" t="str">
        <x:v>http://www.webuyhouseshawaii.com/</x:v>
      </x:c>
      <x:c r="N1349" s="16" t="str">
        <x:v>$100K-$500K ticket not published / unconfirmed</x:v>
      </x:c>
      <x:c r="O1349" s="20"/>
      <x:c r="P1349" s="20"/>
      <x:c r="Q1349" s="25" t="str">
        <x:v>No direct corporate-capital range established in checked source</x:v>
      </x:c>
      <x:c r="R1349" s="25" t="str">
        <x:v>Property acquisition or investor activity makes this an operator-capital prospect for the signed trial. Confirm operating-company debt/equity appetite.</x:v>
      </x:c>
      <x:c r="S1349" s="25"/>
      <x:c r="T1349" s="25" t="str">
        <x:v>Ask the owner/investor whether they can allocate $100K-$500K to trial marketing and acquisitions, and confirm structure, timing and decision authority.</x:v>
      </x:c>
      <x:c r="U1349" s="25" t="str">
        <x:v>https://www.cashhomebuyersdirectory.com/cash-home-buyers/hawaii/honolulu</x:v>
      </x:c>
      <x:c r="V1349" s="26" t="d">
        <x:v>2026-10-02T00:00:00.000Z</x:v>
      </x:c>
      <x:c r="W1349" s="26" t="d">
        <x:v>2026-10-02T00:00:00.000Z</x:v>
      </x:c>
      <x:c r="X1349" s="25" t="str">
        <x:v>CashHomeBuyersDirectory third-party business listing; first-party business activity not checked in this batch</x:v>
      </x:c>
      <x:c r="Y1349" s="25"/>
      <x:c r="Z1349" s="25" t="str">
        <x:v>https://www.cashhomebuyersdirectory.com/cash-home-buyers/hawaii/honolulu</x:v>
      </x:c>
      <x:c r="AA1349" s="25" t="str">
        <x:v>Public cash-home-buyer directory lists the business name, business phone/website where available and market. Operator role and corporate funding willingness require confirmation.</x:v>
      </x:c>
      <x:c r="AB1349" s="3" t="str">
        <x:v>New public-source collection</x:v>
      </x:c>
      <x:c r="AC1349" s="3" t="str">
        <x:v>unverified</x:v>
      </x:c>
      <x:c r="AD1349" s="3" t="str">
        <x:v>Not contacted / unconfirmed</x:v>
      </x:c>
      <x:c r="AE1349" s="3" t="str">
        <x:v>No</x:v>
      </x:c>
      <x:c r="AF1349" s="3" t="str">
        <x:v>No</x:v>
      </x:c>
      <x:c r="AG1349" s="3"/>
      <x:c r="AH1349" s="3"/>
      <x:c r="AI1349" s="18"/>
      <x:c r="AJ1349" s="3" t="str">
        <x:v>CF2500-5AA0B388ED48</x:v>
      </x:c>
      <x:c r="AK1349" s="3" t="str">
        <x:v>real_estate_operator</x:v>
      </x:c>
      <x:c r="AL1349" s="19" t="n">
        <x:v>100000</x:v>
      </x:c>
      <x:c r="AM1349" s="19" t="n">
        <x:v>500000</x:v>
      </x:c>
      <x:c r="AN1349" s="3" t="str">
        <x:v>https://www.cashhomebuyersdirectory.com/cash-home-buyers/hawaii/honolulu</x:v>
      </x:c>
      <x:c r="AO1349" s="3" t="str">
        <x:v>national_rest_directory_complete.jsonl</x:v>
      </x:c>
      <x:c r="AP1349" s="19"/>
    </x:row>
    <x:row r="1350" ht="36" customHeight="1">
      <x:c r="A1350" s="23" t="n">
        <x:v>1349</x:v>
      </x:c>
      <x:c r="B1350" s="15" t="str">
        <x:v>We buy houses in Cheyenne</x:v>
      </x:c>
      <x:c r="C1350" s="15"/>
      <x:c r="D1350" s="15" t="str">
        <x:v>Property investor / home-buying operator</x:v>
      </x:c>
      <x:c r="E1350" s="15" t="str">
        <x:v>Property investor / operator inquiry</x:v>
      </x:c>
      <x:c r="F1350" s="17" t="str">
        <x:v>New</x:v>
      </x:c>
      <x:c r="G1350" s="24"/>
      <x:c r="H1350" s="24" t="str">
        <x:v>+13077056820</x:v>
      </x:c>
      <x:c r="I1350" s="24" t="str">
        <x:v>https://bluecollarhomebuyers.com/contact.html</x:v>
      </x:c>
      <x:c r="J1350" s="16" t="str">
        <x:v>WY</x:v>
      </x:c>
      <x:c r="K1350" s="16" t="str">
        <x:v>Cheyenne</x:v>
      </x:c>
      <x:c r="L1350" s="16" t="str">
        <x:v>Public property-business route; investor decision maker unconfirmed</x:v>
      </x:c>
      <x:c r="M1350" s="16" t="str">
        <x:v>https://bluecollarhomebuyers.com/contact.html</x:v>
      </x:c>
      <x:c r="N1350" s="16" t="str">
        <x:v>$100K-$500K ticket not published / unconfirmed</x:v>
      </x:c>
      <x:c r="O1350" s="20"/>
      <x:c r="P1350" s="20"/>
      <x:c r="Q1350" s="25" t="str">
        <x:v>No direct corporate-capital range established in checked source</x:v>
      </x:c>
      <x:c r="R1350" s="25" t="str">
        <x:v>Property acquisition or investor activity makes this an operator-capital prospect for the signed trial. Confirm operating-company debt/equity appetite.</x:v>
      </x:c>
      <x:c r="S1350" s="25"/>
      <x:c r="T1350" s="25" t="str">
        <x:v>Ask the owner/investor whether they can allocate $100K-$500K to trial marketing and acquisitions, and confirm structure, timing and decision authority.</x:v>
      </x:c>
      <x:c r="U1350" s="25" t="str">
        <x:v>https://www.cashhomebuyersdirectory.com/cash-home-buyers/wyoming/cheyenne</x:v>
      </x:c>
      <x:c r="V1350" s="26" t="d">
        <x:v>2026-10-02T00:00:00.000Z</x:v>
      </x:c>
      <x:c r="W1350" s="26" t="d">
        <x:v>2026-10-02T00:00:00.000Z</x:v>
      </x:c>
      <x:c r="X1350" s="25" t="str">
        <x:v>CashHomeBuyersDirectory third-party business listing; first-party business activity not checked in this batch</x:v>
      </x:c>
      <x:c r="Y1350" s="25"/>
      <x:c r="Z1350" s="25" t="str">
        <x:v>https://www.cashhomebuyersdirectory.com/cash-home-buyers/wyoming/cheyenne</x:v>
      </x:c>
      <x:c r="AA1350" s="25" t="str">
        <x:v>Public cash-home-buyer directory lists the business name, business phone/website where available and market. Operator role and corporate funding willingness require confirmation.</x:v>
      </x:c>
      <x:c r="AB1350" s="3" t="str">
        <x:v>New public-source collection</x:v>
      </x:c>
      <x:c r="AC1350" s="3" t="str">
        <x:v>unverified</x:v>
      </x:c>
      <x:c r="AD1350" s="3" t="str">
        <x:v>Not contacted / unconfirmed</x:v>
      </x:c>
      <x:c r="AE1350" s="3" t="str">
        <x:v>No</x:v>
      </x:c>
      <x:c r="AF1350" s="3" t="str">
        <x:v>No</x:v>
      </x:c>
      <x:c r="AG1350" s="3"/>
      <x:c r="AH1350" s="3"/>
      <x:c r="AI1350" s="18"/>
      <x:c r="AJ1350" s="3" t="str">
        <x:v>CF2500-1947C8AB5B26</x:v>
      </x:c>
      <x:c r="AK1350" s="3" t="str">
        <x:v>real_estate_operator</x:v>
      </x:c>
      <x:c r="AL1350" s="19" t="n">
        <x:v>100000</x:v>
      </x:c>
      <x:c r="AM1350" s="19" t="n">
        <x:v>500000</x:v>
      </x:c>
      <x:c r="AN1350" s="3" t="str">
        <x:v>https://www.cashhomebuyersdirectory.com/cash-home-buyers/wyoming/cheyenne</x:v>
      </x:c>
      <x:c r="AO1350" s="3" t="str">
        <x:v>national_rest_directory_complete.jsonl</x:v>
      </x:c>
      <x:c r="AP1350" s="19"/>
    </x:row>
    <x:row r="1351" ht="36" customHeight="1">
      <x:c r="A1351" s="23" t="n">
        <x:v>1350</x:v>
      </x:c>
      <x:c r="B1351" s="15" t="str">
        <x:v>We Buy Houses in Des Moines</x:v>
      </x:c>
      <x:c r="C1351" s="15"/>
      <x:c r="D1351" s="15" t="str">
        <x:v>Property investor / home-buying operator</x:v>
      </x:c>
      <x:c r="E1351" s="15" t="str">
        <x:v>Property investor / operator inquiry</x:v>
      </x:c>
      <x:c r="F1351" s="17" t="str">
        <x:v>New</x:v>
      </x:c>
      <x:c r="G1351" s="24"/>
      <x:c r="H1351" s="24" t="str">
        <x:v>+15153052803</x:v>
      </x:c>
      <x:c r="I1351" s="24" t="str">
        <x:v>http://www.webuyhousesindesmoines.com/</x:v>
      </x:c>
      <x:c r="J1351" s="16" t="str">
        <x:v>IA</x:v>
      </x:c>
      <x:c r="K1351" s="16" t="str">
        <x:v>Des Moines</x:v>
      </x:c>
      <x:c r="L1351" s="16" t="str">
        <x:v>Public property-business route; investor decision maker unconfirmed</x:v>
      </x:c>
      <x:c r="M1351" s="16" t="str">
        <x:v>http://www.webuyhousesindesmoines.com/</x:v>
      </x:c>
      <x:c r="N1351" s="16" t="str">
        <x:v>$100K-$500K ticket not published / unconfirmed</x:v>
      </x:c>
      <x:c r="O1351" s="20"/>
      <x:c r="P1351" s="20"/>
      <x:c r="Q1351" s="25" t="str">
        <x:v>No direct corporate-capital range established in checked source</x:v>
      </x:c>
      <x:c r="R1351" s="25" t="str">
        <x:v>Property acquisition or investor activity makes this an operator-capital prospect for the signed trial. Confirm operating-company debt/equity appetite.</x:v>
      </x:c>
      <x:c r="S1351" s="25"/>
      <x:c r="T1351" s="25" t="str">
        <x:v>Ask the owner/investor whether they can allocate $100K-$500K to trial marketing and acquisitions, and confirm structure, timing and decision authority.</x:v>
      </x:c>
      <x:c r="U1351" s="25" t="str">
        <x:v>https://www.cashhomebuyersdirectory.com/cash-home-buyers/iowa/des-moines</x:v>
      </x:c>
      <x:c r="V1351" s="26" t="d">
        <x:v>2026-10-02T00:00:00.000Z</x:v>
      </x:c>
      <x:c r="W1351" s="26" t="d">
        <x:v>2026-10-02T00:00:00.000Z</x:v>
      </x:c>
      <x:c r="X1351" s="25" t="str">
        <x:v>CashHomeBuyersDirectory third-party business listing; first-party business activity not checked in this batch</x:v>
      </x:c>
      <x:c r="Y1351" s="25"/>
      <x:c r="Z1351" s="25" t="str">
        <x:v>https://www.cashhomebuyersdirectory.com/cash-home-buyers/iowa/des-moines</x:v>
      </x:c>
      <x:c r="AA1351" s="25" t="str">
        <x:v>Public cash-home-buyer directory lists the business name, business phone/website where available and market. Operator role and corporate funding willingness require confirmation.</x:v>
      </x:c>
      <x:c r="AB1351" s="3" t="str">
        <x:v>New public-source collection</x:v>
      </x:c>
      <x:c r="AC1351" s="3" t="str">
        <x:v>unverified</x:v>
      </x:c>
      <x:c r="AD1351" s="3" t="str">
        <x:v>Not contacted / unconfirmed</x:v>
      </x:c>
      <x:c r="AE1351" s="3" t="str">
        <x:v>No</x:v>
      </x:c>
      <x:c r="AF1351" s="3" t="str">
        <x:v>No</x:v>
      </x:c>
      <x:c r="AG1351" s="3"/>
      <x:c r="AH1351" s="3"/>
      <x:c r="AI1351" s="18"/>
      <x:c r="AJ1351" s="3" t="str">
        <x:v>CF2500-8C61536BCDC2</x:v>
      </x:c>
      <x:c r="AK1351" s="3" t="str">
        <x:v>real_estate_operator</x:v>
      </x:c>
      <x:c r="AL1351" s="19" t="n">
        <x:v>100000</x:v>
      </x:c>
      <x:c r="AM1351" s="19" t="n">
        <x:v>500000</x:v>
      </x:c>
      <x:c r="AN1351" s="3" t="str">
        <x:v>https://www.cashhomebuyersdirectory.com/cash-home-buyers/iowa/des-moines</x:v>
      </x:c>
      <x:c r="AO1351" s="3" t="str">
        <x:v>national_rest_directory_complete.jsonl</x:v>
      </x:c>
      <x:c r="AP1351" s="19"/>
    </x:row>
    <x:row r="1352" ht="36" customHeight="1">
      <x:c r="A1352" s="23" t="n">
        <x:v>1351</x:v>
      </x:c>
      <x:c r="B1352" s="15" t="str">
        <x:v>We Buy Houses in Kentucky</x:v>
      </x:c>
      <x:c r="C1352" s="15"/>
      <x:c r="D1352" s="15" t="str">
        <x:v>Property investor / home-buying operator</x:v>
      </x:c>
      <x:c r="E1352" s="15" t="str">
        <x:v>Property investor / operator inquiry</x:v>
      </x:c>
      <x:c r="F1352" s="17" t="str">
        <x:v>New</x:v>
      </x:c>
      <x:c r="G1352" s="24"/>
      <x:c r="H1352" s="24" t="str">
        <x:v>+15023831484</x:v>
      </x:c>
      <x:c r="I1352" s="24" t="str">
        <x:v>https://buyhousesinkentucky.com/?utm_source=GMB&amp;utm_medium=organic</x:v>
      </x:c>
      <x:c r="J1352" s="16" t="str">
        <x:v>KY</x:v>
      </x:c>
      <x:c r="K1352" s="16" t="str">
        <x:v>Louisville</x:v>
      </x:c>
      <x:c r="L1352" s="16" t="str">
        <x:v>Public property-business route; investor decision maker unconfirmed</x:v>
      </x:c>
      <x:c r="M1352" s="16" t="str">
        <x:v>https://buyhousesinkentucky.com/?utm_source=GMB&amp;utm_medium=organic</x:v>
      </x:c>
      <x:c r="N1352" s="16" t="str">
        <x:v>$100K-$500K ticket not published / unconfirmed</x:v>
      </x:c>
      <x:c r="O1352" s="20"/>
      <x:c r="P1352" s="20"/>
      <x:c r="Q1352" s="25" t="str">
        <x:v>No direct corporate-capital range established in checked source</x:v>
      </x:c>
      <x:c r="R1352" s="25" t="str">
        <x:v>Property acquisition or investor activity makes this an operator-capital prospect for the signed trial. Confirm operating-company debt/equity appetite.</x:v>
      </x:c>
      <x:c r="S1352" s="25"/>
      <x:c r="T1352" s="25" t="str">
        <x:v>Ask the owner/investor whether they can allocate $100K-$500K to trial marketing and acquisitions, and confirm structure, timing and decision authority.</x:v>
      </x:c>
      <x:c r="U1352" s="25" t="str">
        <x:v>https://www.cashhomebuyersdirectory.com/cash-home-buyers/kentucky/louisville</x:v>
      </x:c>
      <x:c r="V1352" s="26" t="d">
        <x:v>2026-10-02T00:00:00.000Z</x:v>
      </x:c>
      <x:c r="W1352" s="26" t="d">
        <x:v>2026-10-02T00:00:00.000Z</x:v>
      </x:c>
      <x:c r="X1352" s="25" t="str">
        <x:v>CashHomeBuyersDirectory third-party business listing; first-party business activity not checked in this batch</x:v>
      </x:c>
      <x:c r="Y1352" s="25"/>
      <x:c r="Z1352" s="25" t="str">
        <x:v>https://www.cashhomebuyersdirectory.com/cash-home-buyers/kentucky/louisville</x:v>
      </x:c>
      <x:c r="AA1352" s="25" t="str">
        <x:v>Public cash-home-buyer directory lists the business name, business phone/website where available and market. Operator role and corporate funding willingness require confirmation.</x:v>
      </x:c>
      <x:c r="AB1352" s="3" t="str">
        <x:v>New public-source collection</x:v>
      </x:c>
      <x:c r="AC1352" s="3" t="str">
        <x:v>unverified</x:v>
      </x:c>
      <x:c r="AD1352" s="3" t="str">
        <x:v>Not contacted / unconfirmed</x:v>
      </x:c>
      <x:c r="AE1352" s="3" t="str">
        <x:v>No</x:v>
      </x:c>
      <x:c r="AF1352" s="3" t="str">
        <x:v>No</x:v>
      </x:c>
      <x:c r="AG1352" s="3"/>
      <x:c r="AH1352" s="3"/>
      <x:c r="AI1352" s="18"/>
      <x:c r="AJ1352" s="3" t="str">
        <x:v>CF2500-005577AD4A42</x:v>
      </x:c>
      <x:c r="AK1352" s="3" t="str">
        <x:v>real_estate_operator</x:v>
      </x:c>
      <x:c r="AL1352" s="19" t="n">
        <x:v>100000</x:v>
      </x:c>
      <x:c r="AM1352" s="19" t="n">
        <x:v>500000</x:v>
      </x:c>
      <x:c r="AN1352" s="3" t="str">
        <x:v>https://www.cashhomebuyersdirectory.com/cash-home-buyers/kentucky/louisville</x:v>
      </x:c>
      <x:c r="AO1352" s="3" t="str">
        <x:v>national_rest_directory_complete.jsonl</x:v>
      </x:c>
      <x:c r="AP1352" s="19"/>
    </x:row>
    <x:row r="1353" ht="36" customHeight="1">
      <x:c r="A1353" s="23" t="n">
        <x:v>1352</x:v>
      </x:c>
      <x:c r="B1353" s="15" t="str">
        <x:v>We Buy Houses in Madison</x:v>
      </x:c>
      <x:c r="C1353" s="15"/>
      <x:c r="D1353" s="15" t="str">
        <x:v>Property investor / home-buying operator</x:v>
      </x:c>
      <x:c r="E1353" s="15" t="str">
        <x:v>Property investor / operator inquiry</x:v>
      </x:c>
      <x:c r="F1353" s="17" t="str">
        <x:v>New</x:v>
      </x:c>
      <x:c r="G1353" s="24"/>
      <x:c r="H1353" s="24" t="str">
        <x:v>+16084047881</x:v>
      </x:c>
      <x:c r="I1353" s="24" t="str">
        <x:v>https://www.webuyhousesinmadison.com/</x:v>
      </x:c>
      <x:c r="J1353" s="16" t="str">
        <x:v>WI</x:v>
      </x:c>
      <x:c r="K1353" s="16"/>
      <x:c r="L1353" s="16" t="str">
        <x:v>Public property-business route; investor decision maker unconfirmed</x:v>
      </x:c>
      <x:c r="M1353" s="16" t="str">
        <x:v>https://www.webuyhousesinmadison.com/</x:v>
      </x:c>
      <x:c r="N1353" s="16" t="str">
        <x:v>$100K-$500K ticket not published / unconfirmed</x:v>
      </x:c>
      <x:c r="O1353" s="20"/>
      <x:c r="P1353" s="20"/>
      <x:c r="Q1353" s="25" t="str">
        <x:v>No direct corporate-capital range established in checked source</x:v>
      </x:c>
      <x:c r="R1353" s="25" t="str">
        <x:v>Property acquisition or investor activity makes this an operator-capital prospect for the signed trial. Confirm operating-company debt/equity appetite.</x:v>
      </x:c>
      <x:c r="S1353" s="25"/>
      <x:c r="T1353" s="25" t="str">
        <x:v>Ask the owner/investor whether they can allocate $100K-$500K to trial marketing and acquisitions, and confirm structure, timing and decision authority.</x:v>
      </x:c>
      <x:c r="U1353" s="25" t="str">
        <x:v>https://www.cashhomebuyersdirectory.com/cash-home-buyers/wisconsin/madison</x:v>
      </x:c>
      <x:c r="V1353" s="26" t="d">
        <x:v>2026-10-02T00:00:00.000Z</x:v>
      </x:c>
      <x:c r="W1353" s="26" t="d">
        <x:v>2026-10-02T00:00:00.000Z</x:v>
      </x:c>
      <x:c r="X1353" s="25" t="str">
        <x:v>CashHomeBuyersDirectory third-party business listing; first-party business activity not checked in this batch</x:v>
      </x:c>
      <x:c r="Y1353" s="25"/>
      <x:c r="Z1353" s="25" t="str">
        <x:v>https://www.cashhomebuyersdirectory.com/cash-home-buyers/wisconsin/madison</x:v>
      </x:c>
      <x:c r="AA1353" s="25" t="str">
        <x:v>Public cash-home-buyer directory lists the business name, business phone/website where available and market. Operator role and corporate funding willingness require confirmation.</x:v>
      </x:c>
      <x:c r="AB1353" s="3" t="str">
        <x:v>New public-source collection</x:v>
      </x:c>
      <x:c r="AC1353" s="3" t="str">
        <x:v>unverified</x:v>
      </x:c>
      <x:c r="AD1353" s="3" t="str">
        <x:v>Not contacted / unconfirmed</x:v>
      </x:c>
      <x:c r="AE1353" s="3" t="str">
        <x:v>No</x:v>
      </x:c>
      <x:c r="AF1353" s="3" t="str">
        <x:v>No</x:v>
      </x:c>
      <x:c r="AG1353" s="3"/>
      <x:c r="AH1353" s="3"/>
      <x:c r="AI1353" s="18"/>
      <x:c r="AJ1353" s="3" t="str">
        <x:v>CF2500-C88D89A2C65E</x:v>
      </x:c>
      <x:c r="AK1353" s="3" t="str">
        <x:v>real_estate_operator</x:v>
      </x:c>
      <x:c r="AL1353" s="19" t="n">
        <x:v>100000</x:v>
      </x:c>
      <x:c r="AM1353" s="19" t="n">
        <x:v>500000</x:v>
      </x:c>
      <x:c r="AN1353" s="3" t="str">
        <x:v>https://www.cashhomebuyersdirectory.com/cash-home-buyers/wisconsin/madison</x:v>
      </x:c>
      <x:c r="AO1353" s="3" t="str">
        <x:v>national_rest_directory_complete.jsonl</x:v>
      </x:c>
      <x:c r="AP1353" s="19"/>
    </x:row>
    <x:row r="1354" ht="36" customHeight="1">
      <x:c r="A1354" s="23" t="n">
        <x:v>1353</x:v>
      </x:c>
      <x:c r="B1354" s="15" t="str">
        <x:v>We Buy Houses In Mississippi</x:v>
      </x:c>
      <x:c r="C1354" s="15"/>
      <x:c r="D1354" s="15" t="str">
        <x:v>Property investor / home-buying operator</x:v>
      </x:c>
      <x:c r="E1354" s="15" t="str">
        <x:v>Property investor / operator inquiry</x:v>
      </x:c>
      <x:c r="F1354" s="17" t="str">
        <x:v>New</x:v>
      </x:c>
      <x:c r="G1354" s="24"/>
      <x:c r="H1354" s="24" t="str">
        <x:v>+16017076257</x:v>
      </x:c>
      <x:c r="I1354" s="24" t="str">
        <x:v>https://webuyhousesinms.com/</x:v>
      </x:c>
      <x:c r="J1354" s="16" t="str">
        <x:v>MS</x:v>
      </x:c>
      <x:c r="K1354" s="16"/>
      <x:c r="L1354" s="16" t="str">
        <x:v>Public property-business route; investor decision maker unconfirmed</x:v>
      </x:c>
      <x:c r="M1354" s="16" t="str">
        <x:v>https://webuyhousesinms.com/</x:v>
      </x:c>
      <x:c r="N1354" s="16" t="str">
        <x:v>$100K-$500K ticket not published / unconfirmed</x:v>
      </x:c>
      <x:c r="O1354" s="20"/>
      <x:c r="P1354" s="20"/>
      <x:c r="Q1354" s="25" t="str">
        <x:v>No direct corporate-capital range established in checked source</x:v>
      </x:c>
      <x:c r="R1354" s="25" t="str">
        <x:v>Property acquisition or investor activity makes this an operator-capital prospect for the signed trial. Confirm operating-company debt/equity appetite.</x:v>
      </x:c>
      <x:c r="S1354" s="25"/>
      <x:c r="T1354" s="25" t="str">
        <x:v>Ask the owner/investor whether they can allocate $100K-$500K to trial marketing and acquisitions, and confirm structure, timing and decision authority.</x:v>
      </x:c>
      <x:c r="U1354" s="25" t="str">
        <x:v>https://www.cashhomebuyersdirectory.com/cash-home-buyers/mississippi/gulfport
https://www.cashhomebuyersdirectory.com/cash-home-buyers/mississippi/jackson</x:v>
      </x:c>
      <x:c r="V1354" s="26" t="d">
        <x:v>2026-10-02T00:00:00.000Z</x:v>
      </x:c>
      <x:c r="W1354" s="26" t="d">
        <x:v>2026-10-02T00:00:00.000Z</x:v>
      </x:c>
      <x:c r="X1354" s="25" t="str">
        <x:v>CashHomeBuyersDirectory third-party business listing; first-party business activity not checked in this batch</x:v>
      </x:c>
      <x:c r="Y1354" s="25"/>
      <x:c r="Z1354" s="25" t="str">
        <x:v>https://www.cashhomebuyersdirectory.com/cash-home-buyers/mississippi/gulfport</x:v>
      </x:c>
      <x:c r="AA1354" s="25" t="str">
        <x:v>Public cash-home-buyer directory lists the business name, business phone/website where available and market. Operator role and corporate funding willingness require confirmation.</x:v>
      </x:c>
      <x:c r="AB1354" s="3" t="str">
        <x:v>New public-source collection</x:v>
      </x:c>
      <x:c r="AC1354" s="3" t="str">
        <x:v>unverified</x:v>
      </x:c>
      <x:c r="AD1354" s="3" t="str">
        <x:v>Not contacted / unconfirmed</x:v>
      </x:c>
      <x:c r="AE1354" s="3" t="str">
        <x:v>No</x:v>
      </x:c>
      <x:c r="AF1354" s="3" t="str">
        <x:v>No</x:v>
      </x:c>
      <x:c r="AG1354" s="3"/>
      <x:c r="AH1354" s="3"/>
      <x:c r="AI1354" s="18"/>
      <x:c r="AJ1354" s="3" t="str">
        <x:v>CF2500-0F5365078338</x:v>
      </x:c>
      <x:c r="AK1354" s="3" t="str">
        <x:v>real_estate_operator</x:v>
      </x:c>
      <x:c r="AL1354" s="19" t="n">
        <x:v>100000</x:v>
      </x:c>
      <x:c r="AM1354" s="19" t="n">
        <x:v>500000</x:v>
      </x:c>
      <x:c r="AN1354" s="3" t="str">
        <x:v>https://www.cashhomebuyersdirectory.com/cash-home-buyers/mississippi/gulfport</x:v>
      </x:c>
      <x:c r="AO1354" s="3" t="str">
        <x:v>national_rest_directory_complete.jsonl</x:v>
      </x:c>
      <x:c r="AP1354" s="19"/>
    </x:row>
    <x:row r="1355" ht="36" customHeight="1">
      <x:c r="A1355" s="23" t="n">
        <x:v>1354</x:v>
      </x:c>
      <x:c r="B1355" s="15" t="str">
        <x:v>We Buy Houses in San Diego</x:v>
      </x:c>
      <x:c r="C1355" s="15"/>
      <x:c r="D1355" s="15" t="str">
        <x:v>Property investor / home-buying operator</x:v>
      </x:c>
      <x:c r="E1355" s="15" t="str">
        <x:v>Property investor / operator inquiry</x:v>
      </x:c>
      <x:c r="F1355" s="17" t="str">
        <x:v>New</x:v>
      </x:c>
      <x:c r="G1355" s="24"/>
      <x:c r="H1355" s="24" t="str">
        <x:v>+16197382221</x:v>
      </x:c>
      <x:c r="I1355" s="24" t="str">
        <x:v>https://www.webuyhousesinsandiego.com/</x:v>
      </x:c>
      <x:c r="J1355" s="16" t="str">
        <x:v>CA</x:v>
      </x:c>
      <x:c r="K1355" s="16"/>
      <x:c r="L1355" s="16" t="str">
        <x:v>Public property-business route; investor decision maker unconfirmed</x:v>
      </x:c>
      <x:c r="M1355" s="16" t="str">
        <x:v>https://www.webuyhousesinsandiego.com/</x:v>
      </x:c>
      <x:c r="N1355" s="16" t="str">
        <x:v>$100K-$500K ticket not published / unconfirmed</x:v>
      </x:c>
      <x:c r="O1355" s="20"/>
      <x:c r="P1355" s="20"/>
      <x:c r="Q1355" s="25" t="str">
        <x:v>No direct corporate-capital range established in checked source</x:v>
      </x:c>
      <x:c r="R1355" s="25" t="str">
        <x:v>Property acquisition or investor activity makes this an operator-capital prospect for the signed trial. Confirm operating-company debt/equity appetite.</x:v>
      </x:c>
      <x:c r="S1355" s="25"/>
      <x:c r="T1355" s="25" t="str">
        <x:v>Ask the owner/investor whether they can allocate $100K-$500K to trial marketing and acquisitions, and confirm structure, timing and decision authority.</x:v>
      </x:c>
      <x:c r="U1355" s="25" t="str">
        <x:v>https://www.cashhomebuyersdirectory.com/cash-home-buyers/california/san-diego</x:v>
      </x:c>
      <x:c r="V1355" s="26" t="d">
        <x:v>2026-10-02T00:00:00.000Z</x:v>
      </x:c>
      <x:c r="W1355" s="26" t="d">
        <x:v>2026-10-02T00:00:00.000Z</x:v>
      </x:c>
      <x:c r="X1355" s="25" t="str">
        <x:v>CashHomeBuyersDirectory third-party business listing; first-party business activity not checked in this batch</x:v>
      </x:c>
      <x:c r="Y1355" s="25"/>
      <x:c r="Z1355" s="25" t="str">
        <x:v>https://www.cashhomebuyersdirectory.com/cash-home-buyers/california/san-diego</x:v>
      </x:c>
      <x:c r="AA1355" s="25" t="str">
        <x:v>Public cash-home-buyer directory lists the business name, business phone/website where available and market. Operator role and corporate funding willingness require confirmation.</x:v>
      </x:c>
      <x:c r="AB1355" s="3" t="str">
        <x:v>New public-source collection</x:v>
      </x:c>
      <x:c r="AC1355" s="3" t="str">
        <x:v>unverified</x:v>
      </x:c>
      <x:c r="AD1355" s="3" t="str">
        <x:v>Not contacted / unconfirmed</x:v>
      </x:c>
      <x:c r="AE1355" s="3" t="str">
        <x:v>No</x:v>
      </x:c>
      <x:c r="AF1355" s="3" t="str">
        <x:v>No</x:v>
      </x:c>
      <x:c r="AG1355" s="3"/>
      <x:c r="AH1355" s="3"/>
      <x:c r="AI1355" s="18"/>
      <x:c r="AJ1355" s="3" t="str">
        <x:v>CF2500-15AFC8144135</x:v>
      </x:c>
      <x:c r="AK1355" s="3" t="str">
        <x:v>real_estate_operator</x:v>
      </x:c>
      <x:c r="AL1355" s="19" t="n">
        <x:v>100000</x:v>
      </x:c>
      <x:c r="AM1355" s="19" t="n">
        <x:v>500000</x:v>
      </x:c>
      <x:c r="AN1355" s="3" t="str">
        <x:v>https://www.cashhomebuyersdirectory.com/cash-home-buyers/california/san-diego</x:v>
      </x:c>
      <x:c r="AO1355" s="3" t="str">
        <x:v>national_rest_directory_complete.jsonl</x:v>
      </x:c>
      <x:c r="AP1355" s="19"/>
    </x:row>
    <x:row r="1356" ht="36" customHeight="1">
      <x:c r="A1356" s="23" t="n">
        <x:v>1355</x:v>
      </x:c>
      <x:c r="B1356" s="15" t="str">
        <x:v>We Buy Houses In West Virginia</x:v>
      </x:c>
      <x:c r="C1356" s="15"/>
      <x:c r="D1356" s="15" t="str">
        <x:v>Property investor / home-buying operator</x:v>
      </x:c>
      <x:c r="E1356" s="15" t="str">
        <x:v>Property investor / operator inquiry</x:v>
      </x:c>
      <x:c r="F1356" s="17" t="str">
        <x:v>New</x:v>
      </x:c>
      <x:c r="G1356" s="24"/>
      <x:c r="H1356" s="24" t="str">
        <x:v>+13042440742</x:v>
      </x:c>
      <x:c r="I1356" s="24" t="str">
        <x:v>https://www.webuyhousesinwv.com/</x:v>
      </x:c>
      <x:c r="J1356" s="16" t="str">
        <x:v>WV</x:v>
      </x:c>
      <x:c r="K1356" s="16" t="str">
        <x:v>Charleston</x:v>
      </x:c>
      <x:c r="L1356" s="16" t="str">
        <x:v>Public property-business route; investor decision maker unconfirmed</x:v>
      </x:c>
      <x:c r="M1356" s="16" t="str">
        <x:v>https://www.webuyhousesinwv.com/</x:v>
      </x:c>
      <x:c r="N1356" s="16" t="str">
        <x:v>$100K-$500K ticket not published / unconfirmed</x:v>
      </x:c>
      <x:c r="O1356" s="20"/>
      <x:c r="P1356" s="20"/>
      <x:c r="Q1356" s="25" t="str">
        <x:v>No direct corporate-capital range established in checked source</x:v>
      </x:c>
      <x:c r="R1356" s="25" t="str">
        <x:v>Property acquisition or investor activity makes this an operator-capital prospect for the signed trial. Confirm operating-company debt/equity appetite.</x:v>
      </x:c>
      <x:c r="S1356" s="25"/>
      <x:c r="T1356" s="25" t="str">
        <x:v>Ask the owner/investor whether they can allocate $100K-$500K to trial marketing and acquisitions, and confirm structure, timing and decision authority.</x:v>
      </x:c>
      <x:c r="U1356" s="25" t="str">
        <x:v>https://www.cashhomebuyersdirectory.com/cash-home-buyers/west-virginia/charleston</x:v>
      </x:c>
      <x:c r="V1356" s="26" t="d">
        <x:v>2026-10-02T00:00:00.000Z</x:v>
      </x:c>
      <x:c r="W1356" s="26" t="d">
        <x:v>2026-10-02T00:00:00.000Z</x:v>
      </x:c>
      <x:c r="X1356" s="25" t="str">
        <x:v>CashHomeBuyersDirectory third-party business listing; first-party business activity not checked in this batch</x:v>
      </x:c>
      <x:c r="Y1356" s="25"/>
      <x:c r="Z1356" s="25" t="str">
        <x:v>https://www.cashhomebuyersdirectory.com/cash-home-buyers/west-virginia/charleston</x:v>
      </x:c>
      <x:c r="AA1356" s="25" t="str">
        <x:v>Public cash-home-buyer directory lists the business name, business phone/website where available and market. Operator role and corporate funding willingness require confirmation.</x:v>
      </x:c>
      <x:c r="AB1356" s="3" t="str">
        <x:v>New public-source collection</x:v>
      </x:c>
      <x:c r="AC1356" s="3" t="str">
        <x:v>unverified</x:v>
      </x:c>
      <x:c r="AD1356" s="3" t="str">
        <x:v>Not contacted / unconfirmed</x:v>
      </x:c>
      <x:c r="AE1356" s="3" t="str">
        <x:v>No</x:v>
      </x:c>
      <x:c r="AF1356" s="3" t="str">
        <x:v>No</x:v>
      </x:c>
      <x:c r="AG1356" s="3"/>
      <x:c r="AH1356" s="3"/>
      <x:c r="AI1356" s="18"/>
      <x:c r="AJ1356" s="3" t="str">
        <x:v>CF2500-F103FD917A64</x:v>
      </x:c>
      <x:c r="AK1356" s="3" t="str">
        <x:v>real_estate_operator</x:v>
      </x:c>
      <x:c r="AL1356" s="19" t="n">
        <x:v>100000</x:v>
      </x:c>
      <x:c r="AM1356" s="19" t="n">
        <x:v>500000</x:v>
      </x:c>
      <x:c r="AN1356" s="3" t="str">
        <x:v>https://www.cashhomebuyersdirectory.com/cash-home-buyers/west-virginia/charleston</x:v>
      </x:c>
      <x:c r="AO1356" s="3" t="str">
        <x:v>national_rest_directory_complete.jsonl</x:v>
      </x:c>
      <x:c r="AP1356" s="19"/>
    </x:row>
    <x:row r="1357" ht="36" customHeight="1">
      <x:c r="A1357" s="23" t="n">
        <x:v>1356</x:v>
      </x:c>
      <x:c r="B1357" s="15" t="str">
        <x:v>We Buy Houses JP</x:v>
      </x:c>
      <x:c r="C1357" s="15"/>
      <x:c r="D1357" s="15" t="str">
        <x:v>Property investor / home-buying operator</x:v>
      </x:c>
      <x:c r="E1357" s="15" t="str">
        <x:v>Property investor / operator inquiry</x:v>
      </x:c>
      <x:c r="F1357" s="17" t="str">
        <x:v>New</x:v>
      </x:c>
      <x:c r="G1357" s="24"/>
      <x:c r="H1357" s="24" t="str">
        <x:v>+14109141297</x:v>
      </x:c>
      <x:c r="I1357" s="24" t="str">
        <x:v>https://webuyhousesjp.com/</x:v>
      </x:c>
      <x:c r="J1357" s="16" t="str">
        <x:v>PA</x:v>
      </x:c>
      <x:c r="K1357" s="16" t="str">
        <x:v>New Freedom</x:v>
      </x:c>
      <x:c r="L1357" s="16" t="str">
        <x:v>Public property-business route; investor decision maker unconfirmed</x:v>
      </x:c>
      <x:c r="M1357" s="16" t="str">
        <x:v>https://webuyhousesjp.com/</x:v>
      </x:c>
      <x:c r="N1357" s="16" t="str">
        <x:v>$100K-$500K ticket not published / unconfirmed</x:v>
      </x:c>
      <x:c r="O1357" s="20"/>
      <x:c r="P1357" s="20"/>
      <x:c r="Q1357" s="25" t="str">
        <x:v>No direct corporate-capital range established in checked source</x:v>
      </x:c>
      <x:c r="R1357" s="25" t="str">
        <x:v>Property acquisition or investor activity makes this an operator-capital prospect for the signed trial. Confirm operating-company debt/equity appetite.</x:v>
      </x:c>
      <x:c r="S1357" s="25"/>
      <x:c r="T1357" s="25" t="str">
        <x:v>Ask the owner/investor whether they can allocate $100K-$500K to trial marketing and acquisitions, and confirm structure, timing and decision authority.</x:v>
      </x:c>
      <x:c r="U1357" s="25" t="str">
        <x:v>https://www.cashhomebuyersdirectory.com/cash-home-buyers/pennsylvania/new-freedom</x:v>
      </x:c>
      <x:c r="V1357" s="26" t="d">
        <x:v>2026-10-02T00:00:00.000Z</x:v>
      </x:c>
      <x:c r="W1357" s="26" t="d">
        <x:v>2026-10-02T00:00:00.000Z</x:v>
      </x:c>
      <x:c r="X1357" s="25" t="str">
        <x:v>CashHomeBuyersDirectory third-party business listing; first-party business activity not checked in this batch</x:v>
      </x:c>
      <x:c r="Y1357" s="25"/>
      <x:c r="Z1357" s="25" t="str">
        <x:v>https://www.cashhomebuyersdirectory.com/cash-home-buyers/pennsylvania/new-freedom</x:v>
      </x:c>
      <x:c r="AA1357" s="25" t="str">
        <x:v>Public cash-home-buyer directory lists the business name, business phone/website where available and market. Operator role and corporate funding willingness require confirmation.</x:v>
      </x:c>
      <x:c r="AB1357" s="3" t="str">
        <x:v>New public-source collection</x:v>
      </x:c>
      <x:c r="AC1357" s="3" t="str">
        <x:v>unverified</x:v>
      </x:c>
      <x:c r="AD1357" s="3" t="str">
        <x:v>Not contacted / unconfirmed</x:v>
      </x:c>
      <x:c r="AE1357" s="3" t="str">
        <x:v>No</x:v>
      </x:c>
      <x:c r="AF1357" s="3" t="str">
        <x:v>No</x:v>
      </x:c>
      <x:c r="AG1357" s="3"/>
      <x:c r="AH1357" s="3"/>
      <x:c r="AI1357" s="18"/>
      <x:c r="AJ1357" s="3" t="str">
        <x:v>CF2500-16D978B11C52</x:v>
      </x:c>
      <x:c r="AK1357" s="3" t="str">
        <x:v>real_estate_operator</x:v>
      </x:c>
      <x:c r="AL1357" s="19" t="n">
        <x:v>100000</x:v>
      </x:c>
      <x:c r="AM1357" s="19" t="n">
        <x:v>500000</x:v>
      </x:c>
      <x:c r="AN1357" s="3" t="str">
        <x:v>https://www.cashhomebuyersdirectory.com/cash-home-buyers/pennsylvania/new-freedom</x:v>
      </x:c>
      <x:c r="AO1357" s="3" t="str">
        <x:v>national_rest_directory_complete.jsonl</x:v>
      </x:c>
      <x:c r="AP1357" s="19"/>
    </x:row>
    <x:row r="1358" ht="36" customHeight="1">
      <x:c r="A1358" s="23" t="n">
        <x:v>1357</x:v>
      </x:c>
      <x:c r="B1358" s="15" t="str">
        <x:v>We Buy Houses Lansing</x:v>
      </x:c>
      <x:c r="C1358" s="15"/>
      <x:c r="D1358" s="15" t="str">
        <x:v>Property investor / home-buying operator</x:v>
      </x:c>
      <x:c r="E1358" s="15" t="str">
        <x:v>Property investor / operator inquiry</x:v>
      </x:c>
      <x:c r="F1358" s="17" t="str">
        <x:v>New</x:v>
      </x:c>
      <x:c r="G1358" s="24"/>
      <x:c r="H1358" s="24" t="str">
        <x:v>+15174813666</x:v>
      </x:c>
      <x:c r="I1358" s="24" t="str">
        <x:v>http://www.webuyhousesoflansing.com/</x:v>
      </x:c>
      <x:c r="J1358" s="16" t="str">
        <x:v>MI</x:v>
      </x:c>
      <x:c r="K1358" s="16" t="str">
        <x:v>Lansing</x:v>
      </x:c>
      <x:c r="L1358" s="16" t="str">
        <x:v>Public property-business route; investor decision maker unconfirmed</x:v>
      </x:c>
      <x:c r="M1358" s="16" t="str">
        <x:v>http://www.webuyhousesoflansing.com/</x:v>
      </x:c>
      <x:c r="N1358" s="16" t="str">
        <x:v>$100K-$500K ticket not published / unconfirmed</x:v>
      </x:c>
      <x:c r="O1358" s="20"/>
      <x:c r="P1358" s="20"/>
      <x:c r="Q1358" s="25" t="str">
        <x:v>No direct corporate-capital range established in checked source</x:v>
      </x:c>
      <x:c r="R1358" s="25" t="str">
        <x:v>Property acquisition or investor activity makes this an operator-capital prospect for the signed trial. Confirm operating-company debt/equity appetite.</x:v>
      </x:c>
      <x:c r="S1358" s="25"/>
      <x:c r="T1358" s="25" t="str">
        <x:v>Ask the owner/investor whether they can allocate $100K-$500K to trial marketing and acquisitions, and confirm structure, timing and decision authority.</x:v>
      </x:c>
      <x:c r="U1358" s="25" t="str">
        <x:v>https://www.cashhomebuyersdirectory.com/cash-home-buyers/michigan/lansing</x:v>
      </x:c>
      <x:c r="V1358" s="26" t="d">
        <x:v>2026-10-02T00:00:00.000Z</x:v>
      </x:c>
      <x:c r="W1358" s="26" t="d">
        <x:v>2026-10-02T00:00:00.000Z</x:v>
      </x:c>
      <x:c r="X1358" s="25" t="str">
        <x:v>CashHomeBuyersDirectory third-party business listing; first-party business activity not checked in this batch</x:v>
      </x:c>
      <x:c r="Y1358" s="25"/>
      <x:c r="Z1358" s="25" t="str">
        <x:v>https://www.cashhomebuyersdirectory.com/cash-home-buyers/michigan/lansing</x:v>
      </x:c>
      <x:c r="AA1358" s="25" t="str">
        <x:v>Public cash-home-buyer directory lists the business name, business phone/website where available and market. Operator role and corporate funding willingness require confirmation.</x:v>
      </x:c>
      <x:c r="AB1358" s="3" t="str">
        <x:v>New public-source collection</x:v>
      </x:c>
      <x:c r="AC1358" s="3" t="str">
        <x:v>unverified</x:v>
      </x:c>
      <x:c r="AD1358" s="3" t="str">
        <x:v>Not contacted / unconfirmed</x:v>
      </x:c>
      <x:c r="AE1358" s="3" t="str">
        <x:v>No</x:v>
      </x:c>
      <x:c r="AF1358" s="3" t="str">
        <x:v>No</x:v>
      </x:c>
      <x:c r="AG1358" s="3"/>
      <x:c r="AH1358" s="3"/>
      <x:c r="AI1358" s="18"/>
      <x:c r="AJ1358" s="3" t="str">
        <x:v>CF2500-270A464DCA53</x:v>
      </x:c>
      <x:c r="AK1358" s="3" t="str">
        <x:v>real_estate_operator</x:v>
      </x:c>
      <x:c r="AL1358" s="19" t="n">
        <x:v>100000</x:v>
      </x:c>
      <x:c r="AM1358" s="19" t="n">
        <x:v>500000</x:v>
      </x:c>
      <x:c r="AN1358" s="3" t="str">
        <x:v>https://www.cashhomebuyersdirectory.com/cash-home-buyers/michigan/lansing</x:v>
      </x:c>
      <x:c r="AO1358" s="3" t="str">
        <x:v>national_rest_directory_complete.jsonl</x:v>
      </x:c>
      <x:c r="AP1358" s="19"/>
    </x:row>
    <x:row r="1359" ht="36" customHeight="1">
      <x:c r="A1359" s="23" t="n">
        <x:v>1358</x:v>
      </x:c>
      <x:c r="B1359" s="15" t="str">
        <x:v>We Buy Houses Louisville</x:v>
      </x:c>
      <x:c r="C1359" s="15"/>
      <x:c r="D1359" s="15" t="str">
        <x:v>Property investor / home-buying operator</x:v>
      </x:c>
      <x:c r="E1359" s="15" t="str">
        <x:v>Property investor / operator inquiry</x:v>
      </x:c>
      <x:c r="F1359" s="17" t="str">
        <x:v>New</x:v>
      </x:c>
      <x:c r="G1359" s="24"/>
      <x:c r="H1359" s="24" t="str">
        <x:v>+15025491146</x:v>
      </x:c>
      <x:c r="I1359" s="24" t="str">
        <x:v>https://webuyhouseslouisville.io/</x:v>
      </x:c>
      <x:c r="J1359" s="16" t="str">
        <x:v>KY</x:v>
      </x:c>
      <x:c r="K1359" s="16" t="str">
        <x:v>Louisville</x:v>
      </x:c>
      <x:c r="L1359" s="16" t="str">
        <x:v>Public property-business route; investor decision maker unconfirmed</x:v>
      </x:c>
      <x:c r="M1359" s="16" t="str">
        <x:v>https://webuyhouseslouisville.io/</x:v>
      </x:c>
      <x:c r="N1359" s="16" t="str">
        <x:v>$100K-$500K ticket not published / unconfirmed</x:v>
      </x:c>
      <x:c r="O1359" s="20"/>
      <x:c r="P1359" s="20"/>
      <x:c r="Q1359" s="25" t="str">
        <x:v>No direct corporate-capital range established in checked source</x:v>
      </x:c>
      <x:c r="R1359" s="25" t="str">
        <x:v>Property acquisition or investor activity makes this an operator-capital prospect for the signed trial. Confirm operating-company debt/equity appetite.</x:v>
      </x:c>
      <x:c r="S1359" s="25"/>
      <x:c r="T1359" s="25" t="str">
        <x:v>Ask the owner/investor whether they can allocate $100K-$500K to trial marketing and acquisitions, and confirm structure, timing and decision authority.</x:v>
      </x:c>
      <x:c r="U1359" s="25" t="str">
        <x:v>https://www.cashhomebuyersdirectory.com/cash-home-buyers/kentucky/louisville</x:v>
      </x:c>
      <x:c r="V1359" s="26" t="d">
        <x:v>2026-10-02T00:00:00.000Z</x:v>
      </x:c>
      <x:c r="W1359" s="26" t="d">
        <x:v>2026-10-02T00:00:00.000Z</x:v>
      </x:c>
      <x:c r="X1359" s="25" t="str">
        <x:v>CashHomeBuyersDirectory third-party business listing; first-party business activity not checked in this batch</x:v>
      </x:c>
      <x:c r="Y1359" s="25"/>
      <x:c r="Z1359" s="25" t="str">
        <x:v>https://www.cashhomebuyersdirectory.com/cash-home-buyers/kentucky/louisville</x:v>
      </x:c>
      <x:c r="AA1359" s="25" t="str">
        <x:v>Public cash-home-buyer directory lists the business name, business phone/website where available and market. Operator role and corporate funding willingness require confirmation.</x:v>
      </x:c>
      <x:c r="AB1359" s="3" t="str">
        <x:v>New public-source collection</x:v>
      </x:c>
      <x:c r="AC1359" s="3" t="str">
        <x:v>unverified</x:v>
      </x:c>
      <x:c r="AD1359" s="3" t="str">
        <x:v>Not contacted / unconfirmed</x:v>
      </x:c>
      <x:c r="AE1359" s="3" t="str">
        <x:v>No</x:v>
      </x:c>
      <x:c r="AF1359" s="3" t="str">
        <x:v>No</x:v>
      </x:c>
      <x:c r="AG1359" s="3"/>
      <x:c r="AH1359" s="3"/>
      <x:c r="AI1359" s="18"/>
      <x:c r="AJ1359" s="3" t="str">
        <x:v>CF2500-C5594FE00FA2</x:v>
      </x:c>
      <x:c r="AK1359" s="3" t="str">
        <x:v>real_estate_operator</x:v>
      </x:c>
      <x:c r="AL1359" s="19" t="n">
        <x:v>100000</x:v>
      </x:c>
      <x:c r="AM1359" s="19" t="n">
        <x:v>500000</x:v>
      </x:c>
      <x:c r="AN1359" s="3" t="str">
        <x:v>https://www.cashhomebuyersdirectory.com/cash-home-buyers/kentucky/louisville</x:v>
      </x:c>
      <x:c r="AO1359" s="3" t="str">
        <x:v>national_rest_directory_complete.jsonl</x:v>
      </x:c>
      <x:c r="AP1359" s="19"/>
    </x:row>
    <x:row r="1360" ht="36" customHeight="1">
      <x:c r="A1360" s="23" t="n">
        <x:v>1359</x:v>
      </x:c>
      <x:c r="B1360" s="15" t="str">
        <x:v>We Buy Houses Milwaukee</x:v>
      </x:c>
      <x:c r="C1360" s="15"/>
      <x:c r="D1360" s="15" t="str">
        <x:v>Property investor / home-buying operator</x:v>
      </x:c>
      <x:c r="E1360" s="15" t="str">
        <x:v>Property investor / operator inquiry</x:v>
      </x:c>
      <x:c r="F1360" s="17" t="str">
        <x:v>New</x:v>
      </x:c>
      <x:c r="G1360" s="24"/>
      <x:c r="H1360" s="24" t="str">
        <x:v>+14142696643</x:v>
      </x:c>
      <x:c r="I1360" s="24" t="str">
        <x:v>https://www.webuyhousesmilwaukee.com/</x:v>
      </x:c>
      <x:c r="J1360" s="16" t="str">
        <x:v>WI</x:v>
      </x:c>
      <x:c r="K1360" s="16" t="str">
        <x:v>Milwaukee</x:v>
      </x:c>
      <x:c r="L1360" s="16" t="str">
        <x:v>Public property-business route; investor decision maker unconfirmed</x:v>
      </x:c>
      <x:c r="M1360" s="16" t="str">
        <x:v>https://www.webuyhousesmilwaukee.com/</x:v>
      </x:c>
      <x:c r="N1360" s="16" t="str">
        <x:v>$100K-$500K ticket not published / unconfirmed</x:v>
      </x:c>
      <x:c r="O1360" s="20"/>
      <x:c r="P1360" s="20"/>
      <x:c r="Q1360" s="25" t="str">
        <x:v>No direct corporate-capital range established in checked source</x:v>
      </x:c>
      <x:c r="R1360" s="25" t="str">
        <x:v>Property acquisition or investor activity makes this an operator-capital prospect for the signed trial. Confirm operating-company debt/equity appetite.</x:v>
      </x:c>
      <x:c r="S1360" s="25"/>
      <x:c r="T1360" s="25" t="str">
        <x:v>Ask the owner/investor whether they can allocate $100K-$500K to trial marketing and acquisitions, and confirm structure, timing and decision authority.</x:v>
      </x:c>
      <x:c r="U1360" s="25" t="str">
        <x:v>https://www.cashhomebuyersdirectory.com/cash-home-buyers/wisconsin/milwaukee</x:v>
      </x:c>
      <x:c r="V1360" s="26" t="d">
        <x:v>2026-10-02T00:00:00.000Z</x:v>
      </x:c>
      <x:c r="W1360" s="26" t="d">
        <x:v>2026-10-02T00:00:00.000Z</x:v>
      </x:c>
      <x:c r="X1360" s="25" t="str">
        <x:v>CashHomeBuyersDirectory third-party business listing; first-party business activity not checked in this batch</x:v>
      </x:c>
      <x:c r="Y1360" s="25"/>
      <x:c r="Z1360" s="25" t="str">
        <x:v>https://www.cashhomebuyersdirectory.com/cash-home-buyers/wisconsin/milwaukee</x:v>
      </x:c>
      <x:c r="AA1360" s="25" t="str">
        <x:v>Public cash-home-buyer directory lists the business name, business phone/website where available and market. Operator role and corporate funding willingness require confirmation.</x:v>
      </x:c>
      <x:c r="AB1360" s="3" t="str">
        <x:v>New public-source collection</x:v>
      </x:c>
      <x:c r="AC1360" s="3" t="str">
        <x:v>unverified</x:v>
      </x:c>
      <x:c r="AD1360" s="3" t="str">
        <x:v>Not contacted / unconfirmed</x:v>
      </x:c>
      <x:c r="AE1360" s="3" t="str">
        <x:v>No</x:v>
      </x:c>
      <x:c r="AF1360" s="3" t="str">
        <x:v>No</x:v>
      </x:c>
      <x:c r="AG1360" s="3"/>
      <x:c r="AH1360" s="3"/>
      <x:c r="AI1360" s="18"/>
      <x:c r="AJ1360" s="3" t="str">
        <x:v>CF2500-F0C25360DAB4</x:v>
      </x:c>
      <x:c r="AK1360" s="3" t="str">
        <x:v>real_estate_operator</x:v>
      </x:c>
      <x:c r="AL1360" s="19" t="n">
        <x:v>100000</x:v>
      </x:c>
      <x:c r="AM1360" s="19" t="n">
        <x:v>500000</x:v>
      </x:c>
      <x:c r="AN1360" s="3" t="str">
        <x:v>https://www.cashhomebuyersdirectory.com/cash-home-buyers/wisconsin/milwaukee</x:v>
      </x:c>
      <x:c r="AO1360" s="3" t="str">
        <x:v>national_rest_directory_complete.jsonl</x:v>
      </x:c>
      <x:c r="AP1360" s="19"/>
    </x:row>
    <x:row r="1361" ht="36" customHeight="1">
      <x:c r="A1361" s="23" t="n">
        <x:v>1360</x:v>
      </x:c>
      <x:c r="B1361" s="15" t="str">
        <x:v>We Buy Houses MN LLC</x:v>
      </x:c>
      <x:c r="C1361" s="15"/>
      <x:c r="D1361" s="15" t="str">
        <x:v>Property investor / home-buying operator</x:v>
      </x:c>
      <x:c r="E1361" s="15" t="str">
        <x:v>Property investor / operator inquiry</x:v>
      </x:c>
      <x:c r="F1361" s="17" t="str">
        <x:v>New</x:v>
      </x:c>
      <x:c r="G1361" s="24"/>
      <x:c r="H1361" s="24" t="str">
        <x:v>+16512482158</x:v>
      </x:c>
      <x:c r="I1361" s="24" t="str">
        <x:v>http://www.webuyhousesmnllc.com/</x:v>
      </x:c>
      <x:c r="J1361" s="16" t="str">
        <x:v>MN</x:v>
      </x:c>
      <x:c r="K1361" s="16"/>
      <x:c r="L1361" s="16" t="str">
        <x:v>Public property-business route; investor decision maker unconfirmed</x:v>
      </x:c>
      <x:c r="M1361" s="16" t="str">
        <x:v>http://www.webuyhousesmnllc.com/</x:v>
      </x:c>
      <x:c r="N1361" s="16" t="str">
        <x:v>$100K-$500K ticket not published / unconfirmed</x:v>
      </x:c>
      <x:c r="O1361" s="20"/>
      <x:c r="P1361" s="20"/>
      <x:c r="Q1361" s="25" t="str">
        <x:v>No direct corporate-capital range established in checked source</x:v>
      </x:c>
      <x:c r="R1361" s="25" t="str">
        <x:v>Property acquisition or investor activity makes this an operator-capital prospect for the signed trial. Confirm operating-company debt/equity appetite.</x:v>
      </x:c>
      <x:c r="S1361" s="25"/>
      <x:c r="T1361" s="25" t="str">
        <x:v>Ask the owner/investor whether they can allocate $100K-$500K to trial marketing and acquisitions, and confirm structure, timing and decision authority.</x:v>
      </x:c>
      <x:c r="U1361" s="25" t="str">
        <x:v>https://www.cashhomebuyersdirectory.com/cash-home-buyers/minnesota/minneapolis</x:v>
      </x:c>
      <x:c r="V1361" s="26" t="d">
        <x:v>2026-10-02T00:00:00.000Z</x:v>
      </x:c>
      <x:c r="W1361" s="26" t="d">
        <x:v>2026-10-02T00:00:00.000Z</x:v>
      </x:c>
      <x:c r="X1361" s="25" t="str">
        <x:v>CashHomeBuyersDirectory third-party business listing; first-party business activity not checked in this batch</x:v>
      </x:c>
      <x:c r="Y1361" s="25"/>
      <x:c r="Z1361" s="25" t="str">
        <x:v>https://www.cashhomebuyersdirectory.com/cash-home-buyers/minnesota/minneapolis</x:v>
      </x:c>
      <x:c r="AA1361" s="25" t="str">
        <x:v>Public cash-home-buyer directory lists the business name, business phone/website where available and market. Operator role and corporate funding willingness require confirmation.</x:v>
      </x:c>
      <x:c r="AB1361" s="3" t="str">
        <x:v>New public-source collection</x:v>
      </x:c>
      <x:c r="AC1361" s="3" t="str">
        <x:v>unverified</x:v>
      </x:c>
      <x:c r="AD1361" s="3" t="str">
        <x:v>Not contacted / unconfirmed</x:v>
      </x:c>
      <x:c r="AE1361" s="3" t="str">
        <x:v>No</x:v>
      </x:c>
      <x:c r="AF1361" s="3" t="str">
        <x:v>No</x:v>
      </x:c>
      <x:c r="AG1361" s="3"/>
      <x:c r="AH1361" s="3"/>
      <x:c r="AI1361" s="18"/>
      <x:c r="AJ1361" s="3" t="str">
        <x:v>CF2500-2369F0E6A2E9</x:v>
      </x:c>
      <x:c r="AK1361" s="3" t="str">
        <x:v>real_estate_operator</x:v>
      </x:c>
      <x:c r="AL1361" s="19" t="n">
        <x:v>100000</x:v>
      </x:c>
      <x:c r="AM1361" s="19" t="n">
        <x:v>500000</x:v>
      </x:c>
      <x:c r="AN1361" s="3" t="str">
        <x:v>https://www.cashhomebuyersdirectory.com/cash-home-buyers/minnesota/minneapolis</x:v>
      </x:c>
      <x:c r="AO1361" s="3" t="str">
        <x:v>national_rest_directory_complete.jsonl</x:v>
      </x:c>
      <x:c r="AP1361" s="19"/>
    </x:row>
    <x:row r="1362" ht="36" customHeight="1">
      <x:c r="A1362" s="23" t="n">
        <x:v>1361</x:v>
      </x:c>
      <x:c r="B1362" s="15" t="str">
        <x:v>We Buy Houses Northern RI</x:v>
      </x:c>
      <x:c r="C1362" s="15"/>
      <x:c r="D1362" s="15" t="str">
        <x:v>Property investor / home-buying operator</x:v>
      </x:c>
      <x:c r="E1362" s="15" t="str">
        <x:v>Property investor / operator inquiry</x:v>
      </x:c>
      <x:c r="F1362" s="17" t="str">
        <x:v>New</x:v>
      </x:c>
      <x:c r="G1362" s="24"/>
      <x:c r="H1362" s="24" t="str">
        <x:v>+14013096447</x:v>
      </x:c>
      <x:c r="I1362" s="24" t="str">
        <x:v>http://www.webuyhousesnorthernri.com/i/6N9P/</x:v>
      </x:c>
      <x:c r="J1362" s="16" t="str">
        <x:v>RI</x:v>
      </x:c>
      <x:c r="K1362" s="16"/>
      <x:c r="L1362" s="16" t="str">
        <x:v>Public property-business route; investor decision maker unconfirmed</x:v>
      </x:c>
      <x:c r="M1362" s="16" t="str">
        <x:v>http://www.webuyhousesnorthernri.com/i/6N9P/</x:v>
      </x:c>
      <x:c r="N1362" s="16" t="str">
        <x:v>$100K-$500K ticket not published / unconfirmed</x:v>
      </x:c>
      <x:c r="O1362" s="20"/>
      <x:c r="P1362" s="20"/>
      <x:c r="Q1362" s="25" t="str">
        <x:v>No direct corporate-capital range established in checked source</x:v>
      </x:c>
      <x:c r="R1362" s="25" t="str">
        <x:v>Property acquisition or investor activity makes this an operator-capital prospect for the signed trial. Confirm operating-company debt/equity appetite.</x:v>
      </x:c>
      <x:c r="S1362" s="25"/>
      <x:c r="T1362" s="25" t="str">
        <x:v>Ask the owner/investor whether they can allocate $100K-$500K to trial marketing and acquisitions, and confirm structure, timing and decision authority.</x:v>
      </x:c>
      <x:c r="U1362" s="25" t="str">
        <x:v>https://www.cashhomebuyersdirectory.com/cash-home-buyers/rhode-island/providence</x:v>
      </x:c>
      <x:c r="V1362" s="26" t="d">
        <x:v>2026-10-02T00:00:00.000Z</x:v>
      </x:c>
      <x:c r="W1362" s="26" t="d">
        <x:v>2026-10-02T00:00:00.000Z</x:v>
      </x:c>
      <x:c r="X1362" s="25" t="str">
        <x:v>CashHomeBuyersDirectory third-party business listing; first-party business activity not checked in this batch</x:v>
      </x:c>
      <x:c r="Y1362" s="25"/>
      <x:c r="Z1362" s="25" t="str">
        <x:v>https://www.cashhomebuyersdirectory.com/cash-home-buyers/rhode-island/providence</x:v>
      </x:c>
      <x:c r="AA1362" s="25" t="str">
        <x:v>Public cash-home-buyer directory lists the business name, business phone/website where available and market. Operator role and corporate funding willingness require confirmation.</x:v>
      </x:c>
      <x:c r="AB1362" s="3" t="str">
        <x:v>New public-source collection</x:v>
      </x:c>
      <x:c r="AC1362" s="3" t="str">
        <x:v>unverified</x:v>
      </x:c>
      <x:c r="AD1362" s="3" t="str">
        <x:v>Not contacted / unconfirmed</x:v>
      </x:c>
      <x:c r="AE1362" s="3" t="str">
        <x:v>No</x:v>
      </x:c>
      <x:c r="AF1362" s="3" t="str">
        <x:v>No</x:v>
      </x:c>
      <x:c r="AG1362" s="3"/>
      <x:c r="AH1362" s="3"/>
      <x:c r="AI1362" s="18"/>
      <x:c r="AJ1362" s="3" t="str">
        <x:v>CF2500-00E95074ECB8</x:v>
      </x:c>
      <x:c r="AK1362" s="3" t="str">
        <x:v>real_estate_operator</x:v>
      </x:c>
      <x:c r="AL1362" s="19" t="n">
        <x:v>100000</x:v>
      </x:c>
      <x:c r="AM1362" s="19" t="n">
        <x:v>500000</x:v>
      </x:c>
      <x:c r="AN1362" s="3" t="str">
        <x:v>https://www.cashhomebuyersdirectory.com/cash-home-buyers/rhode-island/providence</x:v>
      </x:c>
      <x:c r="AO1362" s="3" t="str">
        <x:v>national_rest_directory_complete.jsonl</x:v>
      </x:c>
      <x:c r="AP1362" s="19"/>
    </x:row>
    <x:row r="1363" ht="36" customHeight="1">
      <x:c r="A1363" s="23" t="n">
        <x:v>1362</x:v>
      </x:c>
      <x:c r="B1363" s="15" t="str">
        <x:v>We Buy Houses NW</x:v>
      </x:c>
      <x:c r="C1363" s="15"/>
      <x:c r="D1363" s="15" t="str">
        <x:v>Property investor / home-buying operator</x:v>
      </x:c>
      <x:c r="E1363" s="15" t="str">
        <x:v>Property investor / operator inquiry</x:v>
      </x:c>
      <x:c r="F1363" s="17" t="str">
        <x:v>New</x:v>
      </x:c>
      <x:c r="G1363" s="24"/>
      <x:c r="H1363" s="24" t="str">
        <x:v>+12063992800</x:v>
      </x:c>
      <x:c r="I1363" s="24" t="str">
        <x:v>https://webuyhousesnw.com/</x:v>
      </x:c>
      <x:c r="J1363" s="16" t="str">
        <x:v>WA</x:v>
      </x:c>
      <x:c r="K1363" s="16"/>
      <x:c r="L1363" s="16" t="str">
        <x:v>Public property-business route; investor decision maker unconfirmed</x:v>
      </x:c>
      <x:c r="M1363" s="16" t="str">
        <x:v>https://webuyhousesnw.com/</x:v>
      </x:c>
      <x:c r="N1363" s="16" t="str">
        <x:v>$100K-$500K ticket not published / unconfirmed</x:v>
      </x:c>
      <x:c r="O1363" s="20"/>
      <x:c r="P1363" s="20"/>
      <x:c r="Q1363" s="25" t="str">
        <x:v>No direct corporate-capital range established in checked source</x:v>
      </x:c>
      <x:c r="R1363" s="25" t="str">
        <x:v>Property acquisition or investor activity makes this an operator-capital prospect for the signed trial. Confirm operating-company debt/equity appetite.</x:v>
      </x:c>
      <x:c r="S1363" s="25"/>
      <x:c r="T1363" s="25" t="str">
        <x:v>Ask the owner/investor whether they can allocate $100K-$500K to trial marketing and acquisitions, and confirm structure, timing and decision authority.</x:v>
      </x:c>
      <x:c r="U1363" s="25" t="str">
        <x:v>https://www.cashhomebuyersdirectory.com/cash-home-buyers/washington/tacoma</x:v>
      </x:c>
      <x:c r="V1363" s="26" t="d">
        <x:v>2026-10-02T00:00:00.000Z</x:v>
      </x:c>
      <x:c r="W1363" s="26" t="d">
        <x:v>2026-10-02T00:00:00.000Z</x:v>
      </x:c>
      <x:c r="X1363" s="25" t="str">
        <x:v>CashHomeBuyersDirectory third-party business listing; first-party business activity not checked in this batch</x:v>
      </x:c>
      <x:c r="Y1363" s="25"/>
      <x:c r="Z1363" s="25" t="str">
        <x:v>https://www.cashhomebuyersdirectory.com/cash-home-buyers/washington/tacoma</x:v>
      </x:c>
      <x:c r="AA1363" s="25" t="str">
        <x:v>Public cash-home-buyer directory lists the business name, business phone/website where available and market. Operator role and corporate funding willingness require confirmation.</x:v>
      </x:c>
      <x:c r="AB1363" s="3" t="str">
        <x:v>New public-source collection</x:v>
      </x:c>
      <x:c r="AC1363" s="3" t="str">
        <x:v>unverified</x:v>
      </x:c>
      <x:c r="AD1363" s="3" t="str">
        <x:v>Not contacted / unconfirmed</x:v>
      </x:c>
      <x:c r="AE1363" s="3" t="str">
        <x:v>No</x:v>
      </x:c>
      <x:c r="AF1363" s="3" t="str">
        <x:v>No</x:v>
      </x:c>
      <x:c r="AG1363" s="3"/>
      <x:c r="AH1363" s="3"/>
      <x:c r="AI1363" s="18"/>
      <x:c r="AJ1363" s="3" t="str">
        <x:v>CF2500-8F02F306460C</x:v>
      </x:c>
      <x:c r="AK1363" s="3" t="str">
        <x:v>real_estate_operator</x:v>
      </x:c>
      <x:c r="AL1363" s="19" t="n">
        <x:v>100000</x:v>
      </x:c>
      <x:c r="AM1363" s="19" t="n">
        <x:v>500000</x:v>
      </x:c>
      <x:c r="AN1363" s="3" t="str">
        <x:v>https://www.cashhomebuyersdirectory.com/cash-home-buyers/washington/tacoma</x:v>
      </x:c>
      <x:c r="AO1363" s="3" t="str">
        <x:v>national_rest_directory_complete.jsonl</x:v>
      </x:c>
      <x:c r="AP1363" s="19"/>
    </x:row>
    <x:row r="1364" ht="36" customHeight="1">
      <x:c r="A1364" s="23" t="n">
        <x:v>1363</x:v>
      </x:c>
      <x:c r="B1364" s="15" t="str">
        <x:v>We Buy Houses Richmond</x:v>
      </x:c>
      <x:c r="C1364" s="15"/>
      <x:c r="D1364" s="15" t="str">
        <x:v>Property investor / home-buying operator</x:v>
      </x:c>
      <x:c r="E1364" s="15" t="str">
        <x:v>Property investor / operator inquiry</x:v>
      </x:c>
      <x:c r="F1364" s="17" t="str">
        <x:v>New</x:v>
      </x:c>
      <x:c r="G1364" s="24"/>
      <x:c r="H1364" s="24" t="str">
        <x:v>+18043999337</x:v>
      </x:c>
      <x:c r="I1364" s="24" t="str">
        <x:v>https://www.sellrvahouses.com/?UTM_source=GBP_Listing&amp;UTM_medium=Organic</x:v>
      </x:c>
      <x:c r="J1364" s="16" t="str">
        <x:v>VA</x:v>
      </x:c>
      <x:c r="K1364" s="16" t="str">
        <x:v>Richmond</x:v>
      </x:c>
      <x:c r="L1364" s="16" t="str">
        <x:v>Public property-business route; investor decision maker unconfirmed</x:v>
      </x:c>
      <x:c r="M1364" s="16" t="str">
        <x:v>https://www.sellrvahouses.com/?UTM_source=GBP_Listing&amp;UTM_medium=Organic</x:v>
      </x:c>
      <x:c r="N1364" s="16" t="str">
        <x:v>$100K-$500K ticket not published / unconfirmed</x:v>
      </x:c>
      <x:c r="O1364" s="20"/>
      <x:c r="P1364" s="20"/>
      <x:c r="Q1364" s="25" t="str">
        <x:v>No direct corporate-capital range established in checked source</x:v>
      </x:c>
      <x:c r="R1364" s="25" t="str">
        <x:v>Property acquisition or investor activity makes this an operator-capital prospect for the signed trial. Confirm operating-company debt/equity appetite.</x:v>
      </x:c>
      <x:c r="S1364" s="25"/>
      <x:c r="T1364" s="25" t="str">
        <x:v>Ask the owner/investor whether they can allocate $100K-$500K to trial marketing and acquisitions, and confirm structure, timing and decision authority.</x:v>
      </x:c>
      <x:c r="U1364" s="25" t="str">
        <x:v>https://www.cashhomebuyersdirectory.com/cash-home-buyers/virginia/richmond</x:v>
      </x:c>
      <x:c r="V1364" s="26" t="d">
        <x:v>2026-10-02T00:00:00.000Z</x:v>
      </x:c>
      <x:c r="W1364" s="26" t="d">
        <x:v>2026-10-02T00:00:00.000Z</x:v>
      </x:c>
      <x:c r="X1364" s="25" t="str">
        <x:v>CashHomeBuyersDirectory third-party business listing; first-party business activity not checked in this batch</x:v>
      </x:c>
      <x:c r="Y1364" s="25"/>
      <x:c r="Z1364" s="25" t="str">
        <x:v>https://www.cashhomebuyersdirectory.com/cash-home-buyers/virginia/richmond</x:v>
      </x:c>
      <x:c r="AA1364" s="25" t="str">
        <x:v>Public cash-home-buyer directory lists the business name, business phone/website where available and market. Operator role and corporate funding willingness require confirmation.</x:v>
      </x:c>
      <x:c r="AB1364" s="3" t="str">
        <x:v>New public-source collection</x:v>
      </x:c>
      <x:c r="AC1364" s="3" t="str">
        <x:v>unverified</x:v>
      </x:c>
      <x:c r="AD1364" s="3" t="str">
        <x:v>Not contacted / unconfirmed</x:v>
      </x:c>
      <x:c r="AE1364" s="3" t="str">
        <x:v>No</x:v>
      </x:c>
      <x:c r="AF1364" s="3" t="str">
        <x:v>No</x:v>
      </x:c>
      <x:c r="AG1364" s="3"/>
      <x:c r="AH1364" s="3"/>
      <x:c r="AI1364" s="18"/>
      <x:c r="AJ1364" s="3" t="str">
        <x:v>CF2500-19A1BD7033FD</x:v>
      </x:c>
      <x:c r="AK1364" s="3" t="str">
        <x:v>real_estate_operator</x:v>
      </x:c>
      <x:c r="AL1364" s="19" t="n">
        <x:v>100000</x:v>
      </x:c>
      <x:c r="AM1364" s="19" t="n">
        <x:v>500000</x:v>
      </x:c>
      <x:c r="AN1364" s="3" t="str">
        <x:v>https://www.cashhomebuyersdirectory.com/cash-home-buyers/virginia/richmond</x:v>
      </x:c>
      <x:c r="AO1364" s="3" t="str">
        <x:v>national_rest_directory_complete.jsonl</x:v>
      </x:c>
      <x:c r="AP1364" s="19"/>
    </x:row>
    <x:row r="1365" ht="36" customHeight="1">
      <x:c r="A1365" s="23" t="n">
        <x:v>1364</x:v>
      </x:c>
      <x:c r="B1365" s="15" t="str">
        <x:v>We Buy Houses RVA</x:v>
      </x:c>
      <x:c r="C1365" s="15"/>
      <x:c r="D1365" s="15" t="str">
        <x:v>Property investor / home-buying operator</x:v>
      </x:c>
      <x:c r="E1365" s="15" t="str">
        <x:v>Property investor / operator inquiry</x:v>
      </x:c>
      <x:c r="F1365" s="17" t="str">
        <x:v>New</x:v>
      </x:c>
      <x:c r="G1365" s="24"/>
      <x:c r="H1365" s="24" t="str">
        <x:v>+18042506436</x:v>
      </x:c>
      <x:c r="I1365" s="24" t="str">
        <x:v>https://www.webuyhousesrva.com/</x:v>
      </x:c>
      <x:c r="J1365" s="16" t="str">
        <x:v>VA</x:v>
      </x:c>
      <x:c r="K1365" s="16" t="str">
        <x:v>Richmond</x:v>
      </x:c>
      <x:c r="L1365" s="16" t="str">
        <x:v>Public property-business route; investor decision maker unconfirmed</x:v>
      </x:c>
      <x:c r="M1365" s="16" t="str">
        <x:v>https://www.webuyhousesrva.com/</x:v>
      </x:c>
      <x:c r="N1365" s="16" t="str">
        <x:v>$100K-$500K ticket not published / unconfirmed</x:v>
      </x:c>
      <x:c r="O1365" s="20"/>
      <x:c r="P1365" s="20"/>
      <x:c r="Q1365" s="25" t="str">
        <x:v>No direct corporate-capital range established in checked source</x:v>
      </x:c>
      <x:c r="R1365" s="25" t="str">
        <x:v>Property acquisition or investor activity makes this an operator-capital prospect for the signed trial. Confirm operating-company debt/equity appetite.</x:v>
      </x:c>
      <x:c r="S1365" s="25"/>
      <x:c r="T1365" s="25" t="str">
        <x:v>Ask the owner/investor whether they can allocate $100K-$500K to trial marketing and acquisitions, and confirm structure, timing and decision authority.</x:v>
      </x:c>
      <x:c r="U1365" s="25" t="str">
        <x:v>https://www.cashhomebuyersdirectory.com/cash-home-buyers/virginia/richmond</x:v>
      </x:c>
      <x:c r="V1365" s="26" t="d">
        <x:v>2026-10-02T00:00:00.000Z</x:v>
      </x:c>
      <x:c r="W1365" s="26" t="d">
        <x:v>2026-10-02T00:00:00.000Z</x:v>
      </x:c>
      <x:c r="X1365" s="25" t="str">
        <x:v>CashHomeBuyersDirectory third-party business listing; first-party business activity not checked in this batch</x:v>
      </x:c>
      <x:c r="Y1365" s="25"/>
      <x:c r="Z1365" s="25" t="str">
        <x:v>https://www.cashhomebuyersdirectory.com/cash-home-buyers/virginia/richmond</x:v>
      </x:c>
      <x:c r="AA1365" s="25" t="str">
        <x:v>Public cash-home-buyer directory lists the business name, business phone/website where available and market. Operator role and corporate funding willingness require confirmation.</x:v>
      </x:c>
      <x:c r="AB1365" s="3" t="str">
        <x:v>New public-source collection</x:v>
      </x:c>
      <x:c r="AC1365" s="3" t="str">
        <x:v>unverified</x:v>
      </x:c>
      <x:c r="AD1365" s="3" t="str">
        <x:v>Not contacted / unconfirmed</x:v>
      </x:c>
      <x:c r="AE1365" s="3" t="str">
        <x:v>No</x:v>
      </x:c>
      <x:c r="AF1365" s="3" t="str">
        <x:v>No</x:v>
      </x:c>
      <x:c r="AG1365" s="3"/>
      <x:c r="AH1365" s="3"/>
      <x:c r="AI1365" s="18"/>
      <x:c r="AJ1365" s="3" t="str">
        <x:v>CF2500-DC5AA206AD4B</x:v>
      </x:c>
      <x:c r="AK1365" s="3" t="str">
        <x:v>real_estate_operator</x:v>
      </x:c>
      <x:c r="AL1365" s="19" t="n">
        <x:v>100000</x:v>
      </x:c>
      <x:c r="AM1365" s="19" t="n">
        <x:v>500000</x:v>
      </x:c>
      <x:c r="AN1365" s="3" t="str">
        <x:v>https://www.cashhomebuyersdirectory.com/cash-home-buyers/virginia/richmond</x:v>
      </x:c>
      <x:c r="AO1365" s="3" t="str">
        <x:v>national_rest_directory_complete.jsonl</x:v>
      </x:c>
      <x:c r="AP1365" s="19"/>
    </x:row>
    <x:row r="1366" ht="36" customHeight="1">
      <x:c r="A1366" s="23" t="n">
        <x:v>1365</x:v>
      </x:c>
      <x:c r="B1366" s="15" t="str">
        <x:v>We Buy Houses Tacoma/Seattle</x:v>
      </x:c>
      <x:c r="C1366" s="15"/>
      <x:c r="D1366" s="15" t="str">
        <x:v>Property investor / home-buying operator</x:v>
      </x:c>
      <x:c r="E1366" s="15" t="str">
        <x:v>Property investor / operator inquiry</x:v>
      </x:c>
      <x:c r="F1366" s="17" t="str">
        <x:v>New</x:v>
      </x:c>
      <x:c r="G1366" s="24"/>
      <x:c r="H1366" s="24" t="str">
        <x:v>+12532241867</x:v>
      </x:c>
      <x:c r="I1366" s="24" t="str">
        <x:v>https://webuyhousestacomaseattle.com/?utm_source=gbp</x:v>
      </x:c>
      <x:c r="J1366" s="16" t="str">
        <x:v>WA</x:v>
      </x:c>
      <x:c r="K1366" s="16"/>
      <x:c r="L1366" s="16" t="str">
        <x:v>Public property-business route; investor decision maker unconfirmed</x:v>
      </x:c>
      <x:c r="M1366" s="16" t="str">
        <x:v>https://webuyhousestacomaseattle.com/?utm_source=gbp</x:v>
      </x:c>
      <x:c r="N1366" s="16" t="str">
        <x:v>$100K-$500K ticket not published / unconfirmed</x:v>
      </x:c>
      <x:c r="O1366" s="20"/>
      <x:c r="P1366" s="20"/>
      <x:c r="Q1366" s="25" t="str">
        <x:v>No direct corporate-capital range established in checked source</x:v>
      </x:c>
      <x:c r="R1366" s="25" t="str">
        <x:v>Property acquisition or investor activity makes this an operator-capital prospect for the signed trial. Confirm operating-company debt/equity appetite.</x:v>
      </x:c>
      <x:c r="S1366" s="25"/>
      <x:c r="T1366" s="25" t="str">
        <x:v>Ask the owner/investor whether they can allocate $100K-$500K to trial marketing and acquisitions, and confirm structure, timing and decision authority.</x:v>
      </x:c>
      <x:c r="U1366" s="25" t="str">
        <x:v>https://www.cashhomebuyersdirectory.com/cash-home-buyers/washington/tacoma</x:v>
      </x:c>
      <x:c r="V1366" s="26" t="d">
        <x:v>2026-10-02T00:00:00.000Z</x:v>
      </x:c>
      <x:c r="W1366" s="26" t="d">
        <x:v>2026-10-02T00:00:00.000Z</x:v>
      </x:c>
      <x:c r="X1366" s="25" t="str">
        <x:v>CashHomeBuyersDirectory third-party business listing; first-party business activity not checked in this batch</x:v>
      </x:c>
      <x:c r="Y1366" s="25"/>
      <x:c r="Z1366" s="25" t="str">
        <x:v>https://www.cashhomebuyersdirectory.com/cash-home-buyers/washington/tacoma</x:v>
      </x:c>
      <x:c r="AA1366" s="25" t="str">
        <x:v>Public cash-home-buyer directory lists the business name, business phone/website where available and market. Operator role and corporate funding willingness require confirmation.</x:v>
      </x:c>
      <x:c r="AB1366" s="3" t="str">
        <x:v>New public-source collection</x:v>
      </x:c>
      <x:c r="AC1366" s="3" t="str">
        <x:v>unverified</x:v>
      </x:c>
      <x:c r="AD1366" s="3" t="str">
        <x:v>Not contacted / unconfirmed</x:v>
      </x:c>
      <x:c r="AE1366" s="3" t="str">
        <x:v>No</x:v>
      </x:c>
      <x:c r="AF1366" s="3" t="str">
        <x:v>No</x:v>
      </x:c>
      <x:c r="AG1366" s="3"/>
      <x:c r="AH1366" s="3"/>
      <x:c r="AI1366" s="18"/>
      <x:c r="AJ1366" s="3" t="str">
        <x:v>CF2500-AA43176F35E7</x:v>
      </x:c>
      <x:c r="AK1366" s="3" t="str">
        <x:v>real_estate_operator</x:v>
      </x:c>
      <x:c r="AL1366" s="19" t="n">
        <x:v>100000</x:v>
      </x:c>
      <x:c r="AM1366" s="19" t="n">
        <x:v>500000</x:v>
      </x:c>
      <x:c r="AN1366" s="3" t="str">
        <x:v>https://www.cashhomebuyersdirectory.com/cash-home-buyers/washington/tacoma</x:v>
      </x:c>
      <x:c r="AO1366" s="3" t="str">
        <x:v>national_rest_directory_complete.jsonl</x:v>
      </x:c>
      <x:c r="AP1366" s="19"/>
    </x:row>
    <x:row r="1367" ht="36" customHeight="1">
      <x:c r="A1367" s="23" t="n">
        <x:v>1366</x:v>
      </x:c>
      <x:c r="B1367" s="15" t="str">
        <x:v>We Buy Properties In The Bay Area Sell My House Fast &amp; Easy</x:v>
      </x:c>
      <x:c r="C1367" s="15"/>
      <x:c r="D1367" s="15" t="str">
        <x:v>Property investor / home-buying operator</x:v>
      </x:c>
      <x:c r="E1367" s="15" t="str">
        <x:v>Property investor / operator inquiry</x:v>
      </x:c>
      <x:c r="F1367" s="17" t="str">
        <x:v>New</x:v>
      </x:c>
      <x:c r="G1367" s="24"/>
      <x:c r="H1367" s="24" t="str">
        <x:v>+14158695771</x:v>
      </x:c>
      <x:c r="I1367" s="24" t="str">
        <x:v>https://webuypropertiesinbayarea.com/</x:v>
      </x:c>
      <x:c r="J1367" s="16" t="str">
        <x:v>CA</x:v>
      </x:c>
      <x:c r="K1367" s="16" t="str">
        <x:v>San Francisco</x:v>
      </x:c>
      <x:c r="L1367" s="16" t="str">
        <x:v>Public property-business route; investor decision maker unconfirmed</x:v>
      </x:c>
      <x:c r="M1367" s="16" t="str">
        <x:v>https://webuypropertiesinbayarea.com/</x:v>
      </x:c>
      <x:c r="N1367" s="16" t="str">
        <x:v>$100K-$500K ticket not published / unconfirmed</x:v>
      </x:c>
      <x:c r="O1367" s="20"/>
      <x:c r="P1367" s="20"/>
      <x:c r="Q1367" s="25" t="str">
        <x:v>No direct corporate-capital range established in checked source</x:v>
      </x:c>
      <x:c r="R1367" s="25" t="str">
        <x:v>Property acquisition or investor activity makes this an operator-capital prospect for the signed trial. Confirm operating-company debt/equity appetite.</x:v>
      </x:c>
      <x:c r="S1367" s="25"/>
      <x:c r="T1367" s="25" t="str">
        <x:v>Ask the owner/investor whether they can allocate $100K-$500K to trial marketing and acquisitions, and confirm structure, timing and decision authority.</x:v>
      </x:c>
      <x:c r="U1367" s="25" t="str">
        <x:v>https://www.cashhomebuyersdirectory.com/cash-home-buyers/california/san-francisco</x:v>
      </x:c>
      <x:c r="V1367" s="26" t="d">
        <x:v>2026-10-02T00:00:00.000Z</x:v>
      </x:c>
      <x:c r="W1367" s="26" t="d">
        <x:v>2026-10-02T00:00:00.000Z</x:v>
      </x:c>
      <x:c r="X1367" s="25" t="str">
        <x:v>CashHomeBuyersDirectory third-party business listing; first-party business activity not checked in this batch</x:v>
      </x:c>
      <x:c r="Y1367" s="25"/>
      <x:c r="Z1367" s="25" t="str">
        <x:v>https://www.cashhomebuyersdirectory.com/cash-home-buyers/california/san-francisco</x:v>
      </x:c>
      <x:c r="AA1367" s="25" t="str">
        <x:v>Public cash-home-buyer directory lists the business name, business phone/website where available and market. Operator role and corporate funding willingness require confirmation.</x:v>
      </x:c>
      <x:c r="AB1367" s="3" t="str">
        <x:v>New public-source collection</x:v>
      </x:c>
      <x:c r="AC1367" s="3" t="str">
        <x:v>unverified</x:v>
      </x:c>
      <x:c r="AD1367" s="3" t="str">
        <x:v>Not contacted / unconfirmed</x:v>
      </x:c>
      <x:c r="AE1367" s="3" t="str">
        <x:v>No</x:v>
      </x:c>
      <x:c r="AF1367" s="3" t="str">
        <x:v>No</x:v>
      </x:c>
      <x:c r="AG1367" s="3"/>
      <x:c r="AH1367" s="3"/>
      <x:c r="AI1367" s="18"/>
      <x:c r="AJ1367" s="3" t="str">
        <x:v>CF2500-5F9C88C4A571</x:v>
      </x:c>
      <x:c r="AK1367" s="3" t="str">
        <x:v>real_estate_operator</x:v>
      </x:c>
      <x:c r="AL1367" s="19" t="n">
        <x:v>100000</x:v>
      </x:c>
      <x:c r="AM1367" s="19" t="n">
        <x:v>500000</x:v>
      </x:c>
      <x:c r="AN1367" s="3" t="str">
        <x:v>https://www.cashhomebuyersdirectory.com/cash-home-buyers/california/san-francisco</x:v>
      </x:c>
      <x:c r="AO1367" s="3" t="str">
        <x:v>national_rest_directory_complete.jsonl</x:v>
      </x:c>
      <x:c r="AP1367" s="19"/>
    </x:row>
    <x:row r="1368" ht="36" customHeight="1">
      <x:c r="A1368" s="23" t="n">
        <x:v>1367</x:v>
      </x:c>
      <x:c r="B1368" s="15" t="str">
        <x:v>webuyhousesadam</x:v>
      </x:c>
      <x:c r="C1368" s="15"/>
      <x:c r="D1368" s="15" t="str">
        <x:v>Property investor / home-buying operator</x:v>
      </x:c>
      <x:c r="E1368" s="15" t="str">
        <x:v>Property investor / operator inquiry</x:v>
      </x:c>
      <x:c r="F1368" s="17" t="str">
        <x:v>New</x:v>
      </x:c>
      <x:c r="G1368" s="24"/>
      <x:c r="H1368" s="24" t="str">
        <x:v>+13303254479</x:v>
      </x:c>
      <x:c r="I1368" s="24" t="str">
        <x:v>http://www.webuyhousesadam.com/</x:v>
      </x:c>
      <x:c r="J1368" s="16" t="str">
        <x:v>OH</x:v>
      </x:c>
      <x:c r="K1368" s="16" t="str">
        <x:v>Akron</x:v>
      </x:c>
      <x:c r="L1368" s="16" t="str">
        <x:v>Public property-business route; investor decision maker unconfirmed</x:v>
      </x:c>
      <x:c r="M1368" s="16" t="str">
        <x:v>http://www.webuyhousesadam.com/</x:v>
      </x:c>
      <x:c r="N1368" s="16" t="str">
        <x:v>$100K-$500K ticket not published / unconfirmed</x:v>
      </x:c>
      <x:c r="O1368" s="20"/>
      <x:c r="P1368" s="20"/>
      <x:c r="Q1368" s="25" t="str">
        <x:v>No direct corporate-capital range established in checked source</x:v>
      </x:c>
      <x:c r="R1368" s="25" t="str">
        <x:v>Property acquisition or investor activity makes this an operator-capital prospect for the signed trial. Confirm operating-company debt/equity appetite.</x:v>
      </x:c>
      <x:c r="S1368" s="25"/>
      <x:c r="T1368" s="25" t="str">
        <x:v>Ask the owner/investor whether they can allocate $100K-$500K to trial marketing and acquisitions, and confirm structure, timing and decision authority.</x:v>
      </x:c>
      <x:c r="U1368" s="25" t="str">
        <x:v>https://www.cashhomebuyersdirectory.com/cash-home-buyers/ohio/akron</x:v>
      </x:c>
      <x:c r="V1368" s="26" t="d">
        <x:v>2026-10-02T00:00:00.000Z</x:v>
      </x:c>
      <x:c r="W1368" s="26" t="d">
        <x:v>2026-10-02T00:00:00.000Z</x:v>
      </x:c>
      <x:c r="X1368" s="25" t="str">
        <x:v>CashHomeBuyersDirectory third-party business listing; first-party business activity not checked in this batch</x:v>
      </x:c>
      <x:c r="Y1368" s="25"/>
      <x:c r="Z1368" s="25" t="str">
        <x:v>https://www.cashhomebuyersdirectory.com/cash-home-buyers/ohio/akron</x:v>
      </x:c>
      <x:c r="AA1368" s="25" t="str">
        <x:v>Public cash-home-buyer directory lists the business name, business phone/website where available and market. Operator role and corporate funding willingness require confirmation.</x:v>
      </x:c>
      <x:c r="AB1368" s="3" t="str">
        <x:v>New public-source collection</x:v>
      </x:c>
      <x:c r="AC1368" s="3" t="str">
        <x:v>unverified</x:v>
      </x:c>
      <x:c r="AD1368" s="3" t="str">
        <x:v>Not contacted / unconfirmed</x:v>
      </x:c>
      <x:c r="AE1368" s="3" t="str">
        <x:v>No</x:v>
      </x:c>
      <x:c r="AF1368" s="3" t="str">
        <x:v>No</x:v>
      </x:c>
      <x:c r="AG1368" s="3"/>
      <x:c r="AH1368" s="3"/>
      <x:c r="AI1368" s="18"/>
      <x:c r="AJ1368" s="3" t="str">
        <x:v>CF2500-41F52B1655AE</x:v>
      </x:c>
      <x:c r="AK1368" s="3" t="str">
        <x:v>real_estate_operator</x:v>
      </x:c>
      <x:c r="AL1368" s="19" t="n">
        <x:v>100000</x:v>
      </x:c>
      <x:c r="AM1368" s="19" t="n">
        <x:v>500000</x:v>
      </x:c>
      <x:c r="AN1368" s="3" t="str">
        <x:v>https://www.cashhomebuyersdirectory.com/cash-home-buyers/ohio/akron</x:v>
      </x:c>
      <x:c r="AO1368" s="3" t="str">
        <x:v>national_rest_directory_complete.jsonl</x:v>
      </x:c>
      <x:c r="AP1368" s="19"/>
    </x:row>
    <x:row r="1369" ht="36" customHeight="1">
      <x:c r="A1369" s="23" t="n">
        <x:v>1368</x:v>
      </x:c>
      <x:c r="B1369" s="15" t="str">
        <x:v>West Michigan Home Buyers</x:v>
      </x:c>
      <x:c r="C1369" s="15"/>
      <x:c r="D1369" s="15" t="str">
        <x:v>Property investor / home-buying operator</x:v>
      </x:c>
      <x:c r="E1369" s="15" t="str">
        <x:v>Property investor / operator inquiry</x:v>
      </x:c>
      <x:c r="F1369" s="17" t="str">
        <x:v>New</x:v>
      </x:c>
      <x:c r="G1369" s="24"/>
      <x:c r="H1369" s="24" t="str">
        <x:v>+12692994023</x:v>
      </x:c>
      <x:c r="I1369" s="24" t="str">
        <x:v>http://westmichiganhomebuyers.com/</x:v>
      </x:c>
      <x:c r="J1369" s="16" t="str">
        <x:v>MI</x:v>
      </x:c>
      <x:c r="K1369" s="16" t="str">
        <x:v>Kalamazoo</x:v>
      </x:c>
      <x:c r="L1369" s="16" t="str">
        <x:v>Public property-business route; investor decision maker unconfirmed</x:v>
      </x:c>
      <x:c r="M1369" s="16" t="str">
        <x:v>http://westmichiganhomebuyers.com/</x:v>
      </x:c>
      <x:c r="N1369" s="16" t="str">
        <x:v>$100K-$500K ticket not published / unconfirmed</x:v>
      </x:c>
      <x:c r="O1369" s="20"/>
      <x:c r="P1369" s="20"/>
      <x:c r="Q1369" s="25" t="str">
        <x:v>No direct corporate-capital range established in checked source</x:v>
      </x:c>
      <x:c r="R1369" s="25" t="str">
        <x:v>Property acquisition or investor activity makes this an operator-capital prospect for the signed trial. Confirm operating-company debt/equity appetite.</x:v>
      </x:c>
      <x:c r="S1369" s="25"/>
      <x:c r="T1369" s="25" t="str">
        <x:v>Ask the owner/investor whether they can allocate $100K-$500K to trial marketing and acquisitions, and confirm structure, timing and decision authority.</x:v>
      </x:c>
      <x:c r="U1369" s="25" t="str">
        <x:v>https://www.cashhomebuyersdirectory.com/cash-home-buyers/michigan/kalamazoo</x:v>
      </x:c>
      <x:c r="V1369" s="26" t="d">
        <x:v>2026-10-02T00:00:00.000Z</x:v>
      </x:c>
      <x:c r="W1369" s="26" t="d">
        <x:v>2026-10-02T00:00:00.000Z</x:v>
      </x:c>
      <x:c r="X1369" s="25" t="str">
        <x:v>CashHomeBuyersDirectory third-party business listing; first-party business activity not checked in this batch</x:v>
      </x:c>
      <x:c r="Y1369" s="25"/>
      <x:c r="Z1369" s="25" t="str">
        <x:v>https://www.cashhomebuyersdirectory.com/cash-home-buyers/michigan/kalamazoo</x:v>
      </x:c>
      <x:c r="AA1369" s="25" t="str">
        <x:v>Public cash-home-buyer directory lists the business name, business phone/website where available and market. Operator role and corporate funding willingness require confirmation.</x:v>
      </x:c>
      <x:c r="AB1369" s="3" t="str">
        <x:v>New public-source collection</x:v>
      </x:c>
      <x:c r="AC1369" s="3" t="str">
        <x:v>unverified</x:v>
      </x:c>
      <x:c r="AD1369" s="3" t="str">
        <x:v>Not contacted / unconfirmed</x:v>
      </x:c>
      <x:c r="AE1369" s="3" t="str">
        <x:v>No</x:v>
      </x:c>
      <x:c r="AF1369" s="3" t="str">
        <x:v>No</x:v>
      </x:c>
      <x:c r="AG1369" s="3"/>
      <x:c r="AH1369" s="3"/>
      <x:c r="AI1369" s="18"/>
      <x:c r="AJ1369" s="3" t="str">
        <x:v>CF2500-8A018EA8D2EF</x:v>
      </x:c>
      <x:c r="AK1369" s="3" t="str">
        <x:v>real_estate_operator</x:v>
      </x:c>
      <x:c r="AL1369" s="19" t="n">
        <x:v>100000</x:v>
      </x:c>
      <x:c r="AM1369" s="19" t="n">
        <x:v>500000</x:v>
      </x:c>
      <x:c r="AN1369" s="3" t="str">
        <x:v>https://www.cashhomebuyersdirectory.com/cash-home-buyers/michigan/kalamazoo</x:v>
      </x:c>
      <x:c r="AO1369" s="3" t="str">
        <x:v>national_rest_directory_complete.jsonl</x:v>
      </x:c>
      <x:c r="AP1369" s="19"/>
    </x:row>
    <x:row r="1370" ht="36" customHeight="1">
      <x:c r="A1370" s="23" t="n">
        <x:v>1369</x:v>
      </x:c>
      <x:c r="B1370" s="15" t="str">
        <x:v>White Barn Home Buyers</x:v>
      </x:c>
      <x:c r="C1370" s="15"/>
      <x:c r="D1370" s="15" t="str">
        <x:v>Property investor / home-buying operator</x:v>
      </x:c>
      <x:c r="E1370" s="15" t="str">
        <x:v>Property investor / operator inquiry</x:v>
      </x:c>
      <x:c r="F1370" s="17" t="str">
        <x:v>New</x:v>
      </x:c>
      <x:c r="G1370" s="24"/>
      <x:c r="H1370" s="24" t="str">
        <x:v>+18597858989</x:v>
      </x:c>
      <x:c r="I1370" s="24" t="str">
        <x:v>http://selltowhitebarn.com/</x:v>
      </x:c>
      <x:c r="J1370" s="16" t="str">
        <x:v>KY</x:v>
      </x:c>
      <x:c r="K1370" s="16"/>
      <x:c r="L1370" s="16" t="str">
        <x:v>Public property-business route; investor decision maker unconfirmed</x:v>
      </x:c>
      <x:c r="M1370" s="16" t="str">
        <x:v>http://selltowhitebarn.com/</x:v>
      </x:c>
      <x:c r="N1370" s="16" t="str">
        <x:v>$100K-$500K ticket not published / unconfirmed</x:v>
      </x:c>
      <x:c r="O1370" s="20"/>
      <x:c r="P1370" s="20"/>
      <x:c r="Q1370" s="25" t="str">
        <x:v>No direct corporate-capital range established in checked source</x:v>
      </x:c>
      <x:c r="R1370" s="25" t="str">
        <x:v>Property acquisition or investor activity makes this an operator-capital prospect for the signed trial. Confirm operating-company debt/equity appetite.</x:v>
      </x:c>
      <x:c r="S1370" s="25"/>
      <x:c r="T1370" s="25" t="str">
        <x:v>Ask the owner/investor whether they can allocate $100K-$500K to trial marketing and acquisitions, and confirm structure, timing and decision authority.</x:v>
      </x:c>
      <x:c r="U1370" s="25" t="str">
        <x:v>https://www.cashhomebuyersdirectory.com/cash-home-buyers/kentucky/lexington</x:v>
      </x:c>
      <x:c r="V1370" s="26" t="d">
        <x:v>2026-10-02T00:00:00.000Z</x:v>
      </x:c>
      <x:c r="W1370" s="26" t="d">
        <x:v>2026-10-02T00:00:00.000Z</x:v>
      </x:c>
      <x:c r="X1370" s="25" t="str">
        <x:v>CashHomeBuyersDirectory third-party business listing; first-party business activity not checked in this batch</x:v>
      </x:c>
      <x:c r="Y1370" s="25"/>
      <x:c r="Z1370" s="25" t="str">
        <x:v>https://www.cashhomebuyersdirectory.com/cash-home-buyers/kentucky/lexington</x:v>
      </x:c>
      <x:c r="AA1370" s="25" t="str">
        <x:v>Public cash-home-buyer directory lists the business name, business phone/website where available and market. Operator role and corporate funding willingness require confirmation.</x:v>
      </x:c>
      <x:c r="AB1370" s="3" t="str">
        <x:v>New public-source collection</x:v>
      </x:c>
      <x:c r="AC1370" s="3" t="str">
        <x:v>unverified</x:v>
      </x:c>
      <x:c r="AD1370" s="3" t="str">
        <x:v>Not contacted / unconfirmed</x:v>
      </x:c>
      <x:c r="AE1370" s="3" t="str">
        <x:v>No</x:v>
      </x:c>
      <x:c r="AF1370" s="3" t="str">
        <x:v>No</x:v>
      </x:c>
      <x:c r="AG1370" s="3"/>
      <x:c r="AH1370" s="3"/>
      <x:c r="AI1370" s="18"/>
      <x:c r="AJ1370" s="3" t="str">
        <x:v>CF2500-3F5BBA17EF4E</x:v>
      </x:c>
      <x:c r="AK1370" s="3" t="str">
        <x:v>real_estate_operator</x:v>
      </x:c>
      <x:c r="AL1370" s="19" t="n">
        <x:v>100000</x:v>
      </x:c>
      <x:c r="AM1370" s="19" t="n">
        <x:v>500000</x:v>
      </x:c>
      <x:c r="AN1370" s="3" t="str">
        <x:v>https://www.cashhomebuyersdirectory.com/cash-home-buyers/kentucky/lexington</x:v>
      </x:c>
      <x:c r="AO1370" s="3" t="str">
        <x:v>national_rest_directory_complete.jsonl</x:v>
      </x:c>
      <x:c r="AP1370" s="19"/>
    </x:row>
    <x:row r="1371" ht="36" customHeight="1">
      <x:c r="A1371" s="23" t="n">
        <x:v>1370</x:v>
      </x:c>
      <x:c r="B1371" s="15" t="str">
        <x:v>White Horse Home Buyer</x:v>
      </x:c>
      <x:c r="C1371" s="15"/>
      <x:c r="D1371" s="15" t="str">
        <x:v>Property investor / home-buying operator</x:v>
      </x:c>
      <x:c r="E1371" s="15" t="str">
        <x:v>Property investor / operator inquiry</x:v>
      </x:c>
      <x:c r="F1371" s="17" t="str">
        <x:v>New</x:v>
      </x:c>
      <x:c r="G1371" s="24"/>
      <x:c r="H1371" s="24" t="str">
        <x:v>+14022759009</x:v>
      </x:c>
      <x:c r="I1371" s="24" t="str">
        <x:v>https://www.whitehorsehomebuyer.com/</x:v>
      </x:c>
      <x:c r="J1371" s="16" t="str">
        <x:v>NE</x:v>
      </x:c>
      <x:c r="K1371" s="16"/>
      <x:c r="L1371" s="16" t="str">
        <x:v>Public property-business route; investor decision maker unconfirmed</x:v>
      </x:c>
      <x:c r="M1371" s="16" t="str">
        <x:v>https://www.whitehorsehomebuyer.com/</x:v>
      </x:c>
      <x:c r="N1371" s="16" t="str">
        <x:v>$100K-$500K ticket not published / unconfirmed</x:v>
      </x:c>
      <x:c r="O1371" s="20"/>
      <x:c r="P1371" s="20"/>
      <x:c r="Q1371" s="25" t="str">
        <x:v>No direct corporate-capital range established in checked source</x:v>
      </x:c>
      <x:c r="R1371" s="25" t="str">
        <x:v>Property acquisition or investor activity makes this an operator-capital prospect for the signed trial. Confirm operating-company debt/equity appetite.</x:v>
      </x:c>
      <x:c r="S1371" s="25"/>
      <x:c r="T1371" s="25" t="str">
        <x:v>Ask the owner/investor whether they can allocate $100K-$500K to trial marketing and acquisitions, and confirm structure, timing and decision authority.</x:v>
      </x:c>
      <x:c r="U1371" s="25" t="str">
        <x:v>https://www.cashhomebuyersdirectory.com/cash-home-buyers/nebraska/lincoln</x:v>
      </x:c>
      <x:c r="V1371" s="26" t="d">
        <x:v>2026-10-02T00:00:00.000Z</x:v>
      </x:c>
      <x:c r="W1371" s="26" t="d">
        <x:v>2026-10-02T00:00:00.000Z</x:v>
      </x:c>
      <x:c r="X1371" s="25" t="str">
        <x:v>CashHomeBuyersDirectory third-party business listing; first-party business activity not checked in this batch</x:v>
      </x:c>
      <x:c r="Y1371" s="25"/>
      <x:c r="Z1371" s="25" t="str">
        <x:v>https://www.cashhomebuyersdirectory.com/cash-home-buyers/nebraska/lincoln</x:v>
      </x:c>
      <x:c r="AA1371" s="25" t="str">
        <x:v>Public cash-home-buyer directory lists the business name, business phone/website where available and market. Operator role and corporate funding willingness require confirmation.</x:v>
      </x:c>
      <x:c r="AB1371" s="3" t="str">
        <x:v>New public-source collection</x:v>
      </x:c>
      <x:c r="AC1371" s="3" t="str">
        <x:v>unverified</x:v>
      </x:c>
      <x:c r="AD1371" s="3" t="str">
        <x:v>Not contacted / unconfirmed</x:v>
      </x:c>
      <x:c r="AE1371" s="3" t="str">
        <x:v>No</x:v>
      </x:c>
      <x:c r="AF1371" s="3" t="str">
        <x:v>No</x:v>
      </x:c>
      <x:c r="AG1371" s="3"/>
      <x:c r="AH1371" s="3"/>
      <x:c r="AI1371" s="18"/>
      <x:c r="AJ1371" s="3" t="str">
        <x:v>CF2500-DC5432DE3CAB</x:v>
      </x:c>
      <x:c r="AK1371" s="3" t="str">
        <x:v>real_estate_operator</x:v>
      </x:c>
      <x:c r="AL1371" s="19" t="n">
        <x:v>100000</x:v>
      </x:c>
      <x:c r="AM1371" s="19" t="n">
        <x:v>500000</x:v>
      </x:c>
      <x:c r="AN1371" s="3" t="str">
        <x:v>https://www.cashhomebuyersdirectory.com/cash-home-buyers/nebraska/lincoln</x:v>
      </x:c>
      <x:c r="AO1371" s="3" t="str">
        <x:v>national_rest_directory_complete.jsonl</x:v>
      </x:c>
      <x:c r="AP1371" s="19"/>
    </x:row>
    <x:row r="1372" ht="36" customHeight="1">
      <x:c r="A1372" s="23" t="n">
        <x:v>1371</x:v>
      </x:c>
      <x:c r="B1372" s="15" t="str">
        <x:v>Wholesome Homebuyer</x:v>
      </x:c>
      <x:c r="C1372" s="15"/>
      <x:c r="D1372" s="15" t="str">
        <x:v>Property investor / home-buying operator</x:v>
      </x:c>
      <x:c r="E1372" s="15" t="str">
        <x:v>Property investor / operator inquiry</x:v>
      </x:c>
      <x:c r="F1372" s="17" t="str">
        <x:v>New</x:v>
      </x:c>
      <x:c r="G1372" s="24"/>
      <x:c r="H1372" s="24" t="str">
        <x:v>+12342512122</x:v>
      </x:c>
      <x:c r="I1372" s="24" t="str">
        <x:v>http://www.wholesomehomebuyer.com/</x:v>
      </x:c>
      <x:c r="J1372" s="16" t="str">
        <x:v>OH</x:v>
      </x:c>
      <x:c r="K1372" s="16" t="str">
        <x:v>Akron</x:v>
      </x:c>
      <x:c r="L1372" s="16" t="str">
        <x:v>Public property-business route; investor decision maker unconfirmed</x:v>
      </x:c>
      <x:c r="M1372" s="16" t="str">
        <x:v>http://www.wholesomehomebuyer.com/</x:v>
      </x:c>
      <x:c r="N1372" s="16" t="str">
        <x:v>$100K-$500K ticket not published / unconfirmed</x:v>
      </x:c>
      <x:c r="O1372" s="20"/>
      <x:c r="P1372" s="20"/>
      <x:c r="Q1372" s="25" t="str">
        <x:v>No direct corporate-capital range established in checked source</x:v>
      </x:c>
      <x:c r="R1372" s="25" t="str">
        <x:v>Property acquisition or investor activity makes this an operator-capital prospect for the signed trial. Confirm operating-company debt/equity appetite.</x:v>
      </x:c>
      <x:c r="S1372" s="25"/>
      <x:c r="T1372" s="25" t="str">
        <x:v>Ask the owner/investor whether they can allocate $100K-$500K to trial marketing and acquisitions, and confirm structure, timing and decision authority.</x:v>
      </x:c>
      <x:c r="U1372" s="25" t="str">
        <x:v>https://www.cashhomebuyersdirectory.com/cash-home-buyers/ohio/akron
https://www.cashhomebuyersdirectory.com/cash-home-buyers/ohio/cleveland</x:v>
      </x:c>
      <x:c r="V1372" s="26" t="d">
        <x:v>2026-10-02T00:00:00.000Z</x:v>
      </x:c>
      <x:c r="W1372" s="26" t="d">
        <x:v>2026-10-02T00:00:00.000Z</x:v>
      </x:c>
      <x:c r="X1372" s="25" t="str">
        <x:v>CashHomeBuyersDirectory third-party business listing; first-party business activity not checked in this batch</x:v>
      </x:c>
      <x:c r="Y1372" s="25"/>
      <x:c r="Z1372" s="25" t="str">
        <x:v>https://www.cashhomebuyersdirectory.com/cash-home-buyers/ohio/akron</x:v>
      </x:c>
      <x:c r="AA1372" s="25" t="str">
        <x:v>Public cash-home-buyer directory lists the business name, business phone/website where available and market. Operator role and corporate funding willingness require confirmation.</x:v>
      </x:c>
      <x:c r="AB1372" s="3" t="str">
        <x:v>New public-source collection</x:v>
      </x:c>
      <x:c r="AC1372" s="3" t="str">
        <x:v>unverified</x:v>
      </x:c>
      <x:c r="AD1372" s="3" t="str">
        <x:v>Not contacted / unconfirmed</x:v>
      </x:c>
      <x:c r="AE1372" s="3" t="str">
        <x:v>No</x:v>
      </x:c>
      <x:c r="AF1372" s="3" t="str">
        <x:v>No</x:v>
      </x:c>
      <x:c r="AG1372" s="3"/>
      <x:c r="AH1372" s="3"/>
      <x:c r="AI1372" s="18"/>
      <x:c r="AJ1372" s="3" t="str">
        <x:v>CF2500-5C77FE06ADCB</x:v>
      </x:c>
      <x:c r="AK1372" s="3" t="str">
        <x:v>real_estate_operator</x:v>
      </x:c>
      <x:c r="AL1372" s="19" t="n">
        <x:v>100000</x:v>
      </x:c>
      <x:c r="AM1372" s="19" t="n">
        <x:v>500000</x:v>
      </x:c>
      <x:c r="AN1372" s="3" t="str">
        <x:v>https://www.cashhomebuyersdirectory.com/cash-home-buyers/ohio/akron</x:v>
      </x:c>
      <x:c r="AO1372" s="3" t="str">
        <x:v>national_rest_directory_complete.jsonl</x:v>
      </x:c>
      <x:c r="AP1372" s="19"/>
    </x:row>
    <x:row r="1373" ht="36" customHeight="1">
      <x:c r="A1373" s="23" t="n">
        <x:v>1372</x:v>
      </x:c>
      <x:c r="B1373" s="15" t="str">
        <x:v>WI Home Buyers</x:v>
      </x:c>
      <x:c r="C1373" s="15"/>
      <x:c r="D1373" s="15" t="str">
        <x:v>Property investor / home-buying operator</x:v>
      </x:c>
      <x:c r="E1373" s="15" t="str">
        <x:v>Property investor / operator inquiry</x:v>
      </x:c>
      <x:c r="F1373" s="17" t="str">
        <x:v>New</x:v>
      </x:c>
      <x:c r="G1373" s="24"/>
      <x:c r="H1373" s="24" t="str">
        <x:v>+19203601252</x:v>
      </x:c>
      <x:c r="I1373" s="24" t="str">
        <x:v>http://wihomebuyers.com/</x:v>
      </x:c>
      <x:c r="J1373" s="16" t="str">
        <x:v>WI</x:v>
      </x:c>
      <x:c r="K1373" s="16"/>
      <x:c r="L1373" s="16" t="str">
        <x:v>Public property-business route; investor decision maker unconfirmed</x:v>
      </x:c>
      <x:c r="M1373" s="16" t="str">
        <x:v>http://wihomebuyers.com/</x:v>
      </x:c>
      <x:c r="N1373" s="16" t="str">
        <x:v>$100K-$500K ticket not published / unconfirmed</x:v>
      </x:c>
      <x:c r="O1373" s="20"/>
      <x:c r="P1373" s="20"/>
      <x:c r="Q1373" s="25" t="str">
        <x:v>No direct corporate-capital range established in checked source</x:v>
      </x:c>
      <x:c r="R1373" s="25" t="str">
        <x:v>Property acquisition or investor activity makes this an operator-capital prospect for the signed trial. Confirm operating-company debt/equity appetite.</x:v>
      </x:c>
      <x:c r="S1373" s="25"/>
      <x:c r="T1373" s="25" t="str">
        <x:v>Ask the owner/investor whether they can allocate $100K-$500K to trial marketing and acquisitions, and confirm structure, timing and decision authority.</x:v>
      </x:c>
      <x:c r="U1373" s="25" t="str">
        <x:v>https://www.cashhomebuyersdirectory.com/cash-home-buyers/wisconsin/madison</x:v>
      </x:c>
      <x:c r="V1373" s="26" t="d">
        <x:v>2026-10-02T00:00:00.000Z</x:v>
      </x:c>
      <x:c r="W1373" s="26" t="d">
        <x:v>2026-10-02T00:00:00.000Z</x:v>
      </x:c>
      <x:c r="X1373" s="25" t="str">
        <x:v>CashHomeBuyersDirectory third-party business listing; first-party business activity not checked in this batch</x:v>
      </x:c>
      <x:c r="Y1373" s="25"/>
      <x:c r="Z1373" s="25" t="str">
        <x:v>https://www.cashhomebuyersdirectory.com/cash-home-buyers/wisconsin/madison</x:v>
      </x:c>
      <x:c r="AA1373" s="25" t="str">
        <x:v>Public cash-home-buyer directory lists the business name, business phone/website where available and market. Operator role and corporate funding willingness require confirmation.</x:v>
      </x:c>
      <x:c r="AB1373" s="3" t="str">
        <x:v>New public-source collection</x:v>
      </x:c>
      <x:c r="AC1373" s="3" t="str">
        <x:v>unverified</x:v>
      </x:c>
      <x:c r="AD1373" s="3" t="str">
        <x:v>Not contacted / unconfirmed</x:v>
      </x:c>
      <x:c r="AE1373" s="3" t="str">
        <x:v>No</x:v>
      </x:c>
      <x:c r="AF1373" s="3" t="str">
        <x:v>No</x:v>
      </x:c>
      <x:c r="AG1373" s="3"/>
      <x:c r="AH1373" s="3"/>
      <x:c r="AI1373" s="18"/>
      <x:c r="AJ1373" s="3" t="str">
        <x:v>CF2500-5CF578A5E6D4</x:v>
      </x:c>
      <x:c r="AK1373" s="3" t="str">
        <x:v>real_estate_operator</x:v>
      </x:c>
      <x:c r="AL1373" s="19" t="n">
        <x:v>100000</x:v>
      </x:c>
      <x:c r="AM1373" s="19" t="n">
        <x:v>500000</x:v>
      </x:c>
      <x:c r="AN1373" s="3" t="str">
        <x:v>https://www.cashhomebuyersdirectory.com/cash-home-buyers/wisconsin/madison</x:v>
      </x:c>
      <x:c r="AO1373" s="3" t="str">
        <x:v>national_rest_directory_complete.jsonl</x:v>
      </x:c>
      <x:c r="AP1373" s="19"/>
    </x:row>
    <x:row r="1374" ht="36" customHeight="1">
      <x:c r="A1374" s="23" t="n">
        <x:v>1373</x:v>
      </x:c>
      <x:c r="B1374" s="15" t="str">
        <x:v>Willow Way Home Buyers</x:v>
      </x:c>
      <x:c r="C1374" s="15"/>
      <x:c r="D1374" s="15" t="str">
        <x:v>Property investor / home-buying operator</x:v>
      </x:c>
      <x:c r="E1374" s="15" t="str">
        <x:v>Property investor / operator inquiry</x:v>
      </x:c>
      <x:c r="F1374" s="17" t="str">
        <x:v>New</x:v>
      </x:c>
      <x:c r="G1374" s="24"/>
      <x:c r="H1374" s="24" t="str">
        <x:v>+14024036658</x:v>
      </x:c>
      <x:c r="I1374" s="24" t="str">
        <x:v>https://www.willowwayhomebuyers.com/</x:v>
      </x:c>
      <x:c r="J1374" s="16" t="str">
        <x:v>NE</x:v>
      </x:c>
      <x:c r="K1374" s="16"/>
      <x:c r="L1374" s="16" t="str">
        <x:v>Public property-business route; investor decision maker unconfirmed</x:v>
      </x:c>
      <x:c r="M1374" s="16" t="str">
        <x:v>https://www.willowwayhomebuyers.com/</x:v>
      </x:c>
      <x:c r="N1374" s="16" t="str">
        <x:v>$100K-$500K ticket not published / unconfirmed</x:v>
      </x:c>
      <x:c r="O1374" s="20"/>
      <x:c r="P1374" s="20"/>
      <x:c r="Q1374" s="25" t="str">
        <x:v>No direct corporate-capital range established in checked source</x:v>
      </x:c>
      <x:c r="R1374" s="25" t="str">
        <x:v>Property acquisition or investor activity makes this an operator-capital prospect for the signed trial. Confirm operating-company debt/equity appetite.</x:v>
      </x:c>
      <x:c r="S1374" s="25"/>
      <x:c r="T1374" s="25" t="str">
        <x:v>Ask the owner/investor whether they can allocate $100K-$500K to trial marketing and acquisitions, and confirm structure, timing and decision authority.</x:v>
      </x:c>
      <x:c r="U1374" s="25" t="str">
        <x:v>https://www.cashhomebuyersdirectory.com/cash-home-buyers/nebraska/omaha</x:v>
      </x:c>
      <x:c r="V1374" s="26" t="d">
        <x:v>2026-10-02T00:00:00.000Z</x:v>
      </x:c>
      <x:c r="W1374" s="26" t="d">
        <x:v>2026-10-02T00:00:00.000Z</x:v>
      </x:c>
      <x:c r="X1374" s="25" t="str">
        <x:v>CashHomeBuyersDirectory third-party business listing; first-party business activity not checked in this batch</x:v>
      </x:c>
      <x:c r="Y1374" s="25"/>
      <x:c r="Z1374" s="25" t="str">
        <x:v>https://www.cashhomebuyersdirectory.com/cash-home-buyers/nebraska/omaha</x:v>
      </x:c>
      <x:c r="AA1374" s="25" t="str">
        <x:v>Public cash-home-buyer directory lists the business name, business phone/website where available and market. Operator role and corporate funding willingness require confirmation.</x:v>
      </x:c>
      <x:c r="AB1374" s="3" t="str">
        <x:v>New public-source collection</x:v>
      </x:c>
      <x:c r="AC1374" s="3" t="str">
        <x:v>unverified</x:v>
      </x:c>
      <x:c r="AD1374" s="3" t="str">
        <x:v>Not contacted / unconfirmed</x:v>
      </x:c>
      <x:c r="AE1374" s="3" t="str">
        <x:v>No</x:v>
      </x:c>
      <x:c r="AF1374" s="3" t="str">
        <x:v>No</x:v>
      </x:c>
      <x:c r="AG1374" s="3"/>
      <x:c r="AH1374" s="3"/>
      <x:c r="AI1374" s="18"/>
      <x:c r="AJ1374" s="3" t="str">
        <x:v>CF2500-96414ADD74F8</x:v>
      </x:c>
      <x:c r="AK1374" s="3" t="str">
        <x:v>real_estate_operator</x:v>
      </x:c>
      <x:c r="AL1374" s="19" t="n">
        <x:v>100000</x:v>
      </x:c>
      <x:c r="AM1374" s="19" t="n">
        <x:v>500000</x:v>
      </x:c>
      <x:c r="AN1374" s="3" t="str">
        <x:v>https://www.cashhomebuyersdirectory.com/cash-home-buyers/nebraska/omaha</x:v>
      </x:c>
      <x:c r="AO1374" s="3" t="str">
        <x:v>national_rest_directory_complete.jsonl</x:v>
      </x:c>
      <x:c r="AP1374" s="19"/>
    </x:row>
    <x:row r="1375" ht="36" customHeight="1">
      <x:c r="A1375" s="23" t="n">
        <x:v>1374</x:v>
      </x:c>
      <x:c r="B1375" s="15" t="str">
        <x:v>Wilmington Property Buyers</x:v>
      </x:c>
      <x:c r="C1375" s="15"/>
      <x:c r="D1375" s="15" t="str">
        <x:v>Property investor / home-buying operator</x:v>
      </x:c>
      <x:c r="E1375" s="15" t="str">
        <x:v>Property investor / operator inquiry</x:v>
      </x:c>
      <x:c r="F1375" s="17" t="str">
        <x:v>New</x:v>
      </x:c>
      <x:c r="G1375" s="24"/>
      <x:c r="H1375" s="24" t="str">
        <x:v>+13026055841</x:v>
      </x:c>
      <x:c r="I1375" s="24" t="str">
        <x:v>https://www.wilmingtonbuyers.com/</x:v>
      </x:c>
      <x:c r="J1375" s="16" t="str">
        <x:v>DE</x:v>
      </x:c>
      <x:c r="K1375" s="16" t="str">
        <x:v>Wilmington</x:v>
      </x:c>
      <x:c r="L1375" s="16" t="str">
        <x:v>Public property-business route; investor decision maker unconfirmed</x:v>
      </x:c>
      <x:c r="M1375" s="16" t="str">
        <x:v>https://www.wilmingtonbuyers.com/</x:v>
      </x:c>
      <x:c r="N1375" s="16" t="str">
        <x:v>$100K-$500K ticket not published / unconfirmed</x:v>
      </x:c>
      <x:c r="O1375" s="20"/>
      <x:c r="P1375" s="20"/>
      <x:c r="Q1375" s="25" t="str">
        <x:v>No direct corporate-capital range established in checked source</x:v>
      </x:c>
      <x:c r="R1375" s="25" t="str">
        <x:v>Property acquisition or investor activity makes this an operator-capital prospect for the signed trial. Confirm operating-company debt/equity appetite.</x:v>
      </x:c>
      <x:c r="S1375" s="25"/>
      <x:c r="T1375" s="25" t="str">
        <x:v>Ask the owner/investor whether they can allocate $100K-$500K to trial marketing and acquisitions, and confirm structure, timing and decision authority.</x:v>
      </x:c>
      <x:c r="U1375" s="25" t="str">
        <x:v>https://www.cashhomebuyersdirectory.com/cash-home-buyers/delaware/wilmington</x:v>
      </x:c>
      <x:c r="V1375" s="26" t="d">
        <x:v>2026-10-02T00:00:00.000Z</x:v>
      </x:c>
      <x:c r="W1375" s="26" t="d">
        <x:v>2026-10-02T00:00:00.000Z</x:v>
      </x:c>
      <x:c r="X1375" s="25" t="str">
        <x:v>CashHomeBuyersDirectory third-party business listing; first-party business activity not checked in this batch</x:v>
      </x:c>
      <x:c r="Y1375" s="25"/>
      <x:c r="Z1375" s="25" t="str">
        <x:v>https://www.cashhomebuyersdirectory.com/cash-home-buyers/delaware/wilmington</x:v>
      </x:c>
      <x:c r="AA1375" s="25" t="str">
        <x:v>Public cash-home-buyer directory lists the business name, business phone/website where available and market. Operator role and corporate funding willingness require confirmation.</x:v>
      </x:c>
      <x:c r="AB1375" s="3" t="str">
        <x:v>New public-source collection</x:v>
      </x:c>
      <x:c r="AC1375" s="3" t="str">
        <x:v>unverified</x:v>
      </x:c>
      <x:c r="AD1375" s="3" t="str">
        <x:v>Not contacted / unconfirmed</x:v>
      </x:c>
      <x:c r="AE1375" s="3" t="str">
        <x:v>No</x:v>
      </x:c>
      <x:c r="AF1375" s="3" t="str">
        <x:v>No</x:v>
      </x:c>
      <x:c r="AG1375" s="3"/>
      <x:c r="AH1375" s="3"/>
      <x:c r="AI1375" s="18"/>
      <x:c r="AJ1375" s="3" t="str">
        <x:v>CF2500-D3F4E3912CF3</x:v>
      </x:c>
      <x:c r="AK1375" s="3" t="str">
        <x:v>real_estate_operator</x:v>
      </x:c>
      <x:c r="AL1375" s="19" t="n">
        <x:v>100000</x:v>
      </x:c>
      <x:c r="AM1375" s="19" t="n">
        <x:v>500000</x:v>
      </x:c>
      <x:c r="AN1375" s="3" t="str">
        <x:v>https://www.cashhomebuyersdirectory.com/cash-home-buyers/delaware/wilmington</x:v>
      </x:c>
      <x:c r="AO1375" s="3" t="str">
        <x:v>national_rest_directory_complete.jsonl</x:v>
      </x:c>
      <x:c r="AP1375" s="19"/>
    </x:row>
    <x:row r="1376" ht="36" customHeight="1">
      <x:c r="A1376" s="23" t="n">
        <x:v>1375</x:v>
      </x:c>
      <x:c r="B1376" s="15" t="str">
        <x:v>Wilson Home Buyers</x:v>
      </x:c>
      <x:c r="C1376" s="15"/>
      <x:c r="D1376" s="15" t="str">
        <x:v>Property investor / home-buying operator</x:v>
      </x:c>
      <x:c r="E1376" s="15" t="str">
        <x:v>Property investor / operator inquiry</x:v>
      </x:c>
      <x:c r="F1376" s="17" t="str">
        <x:v>New</x:v>
      </x:c>
      <x:c r="G1376" s="24"/>
      <x:c r="H1376" s="24" t="str">
        <x:v>+19376386645</x:v>
      </x:c>
      <x:c r="I1376" s="24" t="str">
        <x:v>https://www.wilsonhomebuyers.com/</x:v>
      </x:c>
      <x:c r="J1376" s="16" t="str">
        <x:v>AK</x:v>
      </x:c>
      <x:c r="K1376" s="16"/>
      <x:c r="L1376" s="16" t="str">
        <x:v>Public property-business route; investor decision maker unconfirmed</x:v>
      </x:c>
      <x:c r="M1376" s="16" t="str">
        <x:v>https://www.wilsonhomebuyers.com/</x:v>
      </x:c>
      <x:c r="N1376" s="16" t="str">
        <x:v>$100K-$500K ticket not published / unconfirmed</x:v>
      </x:c>
      <x:c r="O1376" s="20"/>
      <x:c r="P1376" s="20"/>
      <x:c r="Q1376" s="25" t="str">
        <x:v>No direct corporate-capital range established in checked source</x:v>
      </x:c>
      <x:c r="R1376" s="25" t="str">
        <x:v>Property acquisition or investor activity makes this an operator-capital prospect for the signed trial. Confirm operating-company debt/equity appetite.</x:v>
      </x:c>
      <x:c r="S1376" s="25"/>
      <x:c r="T1376" s="25" t="str">
        <x:v>Ask the owner/investor whether they can allocate $100K-$500K to trial marketing and acquisitions, and confirm structure, timing and decision authority.</x:v>
      </x:c>
      <x:c r="U1376" s="25" t="str">
        <x:v>https://www.cashhomebuyersdirectory.com/cash-home-buyers/alaska/anchorage</x:v>
      </x:c>
      <x:c r="V1376" s="26" t="d">
        <x:v>2026-10-02T00:00:00.000Z</x:v>
      </x:c>
      <x:c r="W1376" s="26" t="d">
        <x:v>2026-10-02T00:00:00.000Z</x:v>
      </x:c>
      <x:c r="X1376" s="25" t="str">
        <x:v>CashHomeBuyersDirectory third-party business listing; first-party business activity not checked in this batch</x:v>
      </x:c>
      <x:c r="Y1376" s="25"/>
      <x:c r="Z1376" s="25" t="str">
        <x:v>https://www.cashhomebuyersdirectory.com/cash-home-buyers/alaska/anchorage</x:v>
      </x:c>
      <x:c r="AA1376" s="25" t="str">
        <x:v>Public cash-home-buyer directory lists the business name, business phone/website where available and market. Operator role and corporate funding willingness require confirmation.</x:v>
      </x:c>
      <x:c r="AB1376" s="3" t="str">
        <x:v>New public-source collection</x:v>
      </x:c>
      <x:c r="AC1376" s="3" t="str">
        <x:v>unverified</x:v>
      </x:c>
      <x:c r="AD1376" s="3" t="str">
        <x:v>Not contacted / unconfirmed</x:v>
      </x:c>
      <x:c r="AE1376" s="3" t="str">
        <x:v>No</x:v>
      </x:c>
      <x:c r="AF1376" s="3" t="str">
        <x:v>No</x:v>
      </x:c>
      <x:c r="AG1376" s="3"/>
      <x:c r="AH1376" s="3"/>
      <x:c r="AI1376" s="18"/>
      <x:c r="AJ1376" s="3" t="str">
        <x:v>CF2500-63962F6B51FD</x:v>
      </x:c>
      <x:c r="AK1376" s="3" t="str">
        <x:v>real_estate_operator</x:v>
      </x:c>
      <x:c r="AL1376" s="19" t="n">
        <x:v>100000</x:v>
      </x:c>
      <x:c r="AM1376" s="19" t="n">
        <x:v>500000</x:v>
      </x:c>
      <x:c r="AN1376" s="3" t="str">
        <x:v>https://www.cashhomebuyersdirectory.com/cash-home-buyers/alaska/anchorage</x:v>
      </x:c>
      <x:c r="AO1376" s="3" t="str">
        <x:v>national_rest_directory_complete.jsonl</x:v>
      </x:c>
      <x:c r="AP1376" s="19"/>
    </x:row>
    <x:row r="1377" ht="36" customHeight="1">
      <x:c r="A1377" s="23" t="n">
        <x:v>1376</x:v>
      </x:c>
      <x:c r="B1377" s="15" t="str">
        <x:v>Windmill Home Buyers - Sell Your House Fast</x:v>
      </x:c>
      <x:c r="C1377" s="15"/>
      <x:c r="D1377" s="15" t="str">
        <x:v>Property investor / home-buying operator</x:v>
      </x:c>
      <x:c r="E1377" s="15" t="str">
        <x:v>Property investor / operator inquiry</x:v>
      </x:c>
      <x:c r="F1377" s="17" t="str">
        <x:v>New</x:v>
      </x:c>
      <x:c r="G1377" s="24"/>
      <x:c r="H1377" s="24" t="str">
        <x:v>+18448090476</x:v>
      </x:c>
      <x:c r="I1377" s="24" t="str">
        <x:v>http://windmillhomesolutions.com/</x:v>
      </x:c>
      <x:c r="J1377" s="16" t="str">
        <x:v>WY</x:v>
      </x:c>
      <x:c r="K1377" s="16" t="str">
        <x:v>Cheyenne</x:v>
      </x:c>
      <x:c r="L1377" s="16" t="str">
        <x:v>Public property-business route; investor decision maker unconfirmed</x:v>
      </x:c>
      <x:c r="M1377" s="16" t="str">
        <x:v>http://windmillhomesolutions.com/</x:v>
      </x:c>
      <x:c r="N1377" s="16" t="str">
        <x:v>$100K-$500K ticket not published / unconfirmed</x:v>
      </x:c>
      <x:c r="O1377" s="20"/>
      <x:c r="P1377" s="20"/>
      <x:c r="Q1377" s="25" t="str">
        <x:v>No direct corporate-capital range established in checked source</x:v>
      </x:c>
      <x:c r="R1377" s="25" t="str">
        <x:v>Property acquisition or investor activity makes this an operator-capital prospect for the signed trial. Confirm operating-company debt/equity appetite.</x:v>
      </x:c>
      <x:c r="S1377" s="25"/>
      <x:c r="T1377" s="25" t="str">
        <x:v>Ask the owner/investor whether they can allocate $100K-$500K to trial marketing and acquisitions, and confirm structure, timing and decision authority.</x:v>
      </x:c>
      <x:c r="U1377" s="25" t="str">
        <x:v>https://www.cashhomebuyersdirectory.com/cash-home-buyers/wyoming/cheyenne</x:v>
      </x:c>
      <x:c r="V1377" s="26" t="d">
        <x:v>2026-10-02T00:00:00.000Z</x:v>
      </x:c>
      <x:c r="W1377" s="26" t="d">
        <x:v>2026-10-02T00:00:00.000Z</x:v>
      </x:c>
      <x:c r="X1377" s="25" t="str">
        <x:v>CashHomeBuyersDirectory third-party business listing; first-party business activity not checked in this batch</x:v>
      </x:c>
      <x:c r="Y1377" s="25"/>
      <x:c r="Z1377" s="25" t="str">
        <x:v>https://www.cashhomebuyersdirectory.com/cash-home-buyers/wyoming/cheyenne</x:v>
      </x:c>
      <x:c r="AA1377" s="25" t="str">
        <x:v>Public cash-home-buyer directory lists the business name, business phone/website where available and market. Operator role and corporate funding willingness require confirmation.</x:v>
      </x:c>
      <x:c r="AB1377" s="3" t="str">
        <x:v>New public-source collection</x:v>
      </x:c>
      <x:c r="AC1377" s="3" t="str">
        <x:v>unverified</x:v>
      </x:c>
      <x:c r="AD1377" s="3" t="str">
        <x:v>Not contacted / unconfirmed</x:v>
      </x:c>
      <x:c r="AE1377" s="3" t="str">
        <x:v>No</x:v>
      </x:c>
      <x:c r="AF1377" s="3" t="str">
        <x:v>No</x:v>
      </x:c>
      <x:c r="AG1377" s="3"/>
      <x:c r="AH1377" s="3"/>
      <x:c r="AI1377" s="18"/>
      <x:c r="AJ1377" s="3" t="str">
        <x:v>CF2500-A3812192D134</x:v>
      </x:c>
      <x:c r="AK1377" s="3" t="str">
        <x:v>real_estate_operator</x:v>
      </x:c>
      <x:c r="AL1377" s="19" t="n">
        <x:v>100000</x:v>
      </x:c>
      <x:c r="AM1377" s="19" t="n">
        <x:v>500000</x:v>
      </x:c>
      <x:c r="AN1377" s="3" t="str">
        <x:v>https://www.cashhomebuyersdirectory.com/cash-home-buyers/wyoming/cheyenne</x:v>
      </x:c>
      <x:c r="AO1377" s="3" t="str">
        <x:v>national_rest_directory_complete.jsonl</x:v>
      </x:c>
      <x:c r="AP1377" s="19"/>
    </x:row>
    <x:row r="1378" ht="36" customHeight="1">
      <x:c r="A1378" s="23" t="n">
        <x:v>1377</x:v>
      </x:c>
      <x:c r="B1378" s="15" t="str">
        <x:v>Wisconsin House Buyers, LLC</x:v>
      </x:c>
      <x:c r="C1378" s="15"/>
      <x:c r="D1378" s="15" t="str">
        <x:v>Property investor / home-buying operator</x:v>
      </x:c>
      <x:c r="E1378" s="15" t="str">
        <x:v>Property investor / operator inquiry</x:v>
      </x:c>
      <x:c r="F1378" s="17" t="str">
        <x:v>New</x:v>
      </x:c>
      <x:c r="G1378" s="24"/>
      <x:c r="H1378" s="24" t="str">
        <x:v>+16087215994</x:v>
      </x:c>
      <x:c r="I1378" s="24" t="str">
        <x:v>https://www.wisconsinhousebuyers.com/</x:v>
      </x:c>
      <x:c r="J1378" s="16" t="str">
        <x:v>WI</x:v>
      </x:c>
      <x:c r="K1378" s="16" t="str">
        <x:v>Madison</x:v>
      </x:c>
      <x:c r="L1378" s="16" t="str">
        <x:v>Public property-business route; investor decision maker unconfirmed</x:v>
      </x:c>
      <x:c r="M1378" s="16" t="str">
        <x:v>https://www.wisconsinhousebuyers.com/</x:v>
      </x:c>
      <x:c r="N1378" s="16" t="str">
        <x:v>$100K-$500K ticket not published / unconfirmed</x:v>
      </x:c>
      <x:c r="O1378" s="20"/>
      <x:c r="P1378" s="20"/>
      <x:c r="Q1378" s="25" t="str">
        <x:v>No direct corporate-capital range established in checked source</x:v>
      </x:c>
      <x:c r="R1378" s="25" t="str">
        <x:v>Property acquisition or investor activity makes this an operator-capital prospect for the signed trial. Confirm operating-company debt/equity appetite.</x:v>
      </x:c>
      <x:c r="S1378" s="25"/>
      <x:c r="T1378" s="25" t="str">
        <x:v>Ask the owner/investor whether they can allocate $100K-$500K to trial marketing and acquisitions, and confirm structure, timing and decision authority.</x:v>
      </x:c>
      <x:c r="U1378" s="25" t="str">
        <x:v>https://www.cashhomebuyersdirectory.com/cash-home-buyers/wisconsin/madison</x:v>
      </x:c>
      <x:c r="V1378" s="26" t="d">
        <x:v>2026-10-02T00:00:00.000Z</x:v>
      </x:c>
      <x:c r="W1378" s="26" t="d">
        <x:v>2026-10-02T00:00:00.000Z</x:v>
      </x:c>
      <x:c r="X1378" s="25" t="str">
        <x:v>CashHomeBuyersDirectory third-party business listing; first-party business activity not checked in this batch</x:v>
      </x:c>
      <x:c r="Y1378" s="25"/>
      <x:c r="Z1378" s="25" t="str">
        <x:v>https://www.cashhomebuyersdirectory.com/cash-home-buyers/wisconsin/madison</x:v>
      </x:c>
      <x:c r="AA1378" s="25" t="str">
        <x:v>Public cash-home-buyer directory lists the business name, business phone/website where available and market. Operator role and corporate funding willingness require confirmation.</x:v>
      </x:c>
      <x:c r="AB1378" s="3" t="str">
        <x:v>New public-source collection</x:v>
      </x:c>
      <x:c r="AC1378" s="3" t="str">
        <x:v>unverified</x:v>
      </x:c>
      <x:c r="AD1378" s="3" t="str">
        <x:v>Not contacted / unconfirmed</x:v>
      </x:c>
      <x:c r="AE1378" s="3" t="str">
        <x:v>No</x:v>
      </x:c>
      <x:c r="AF1378" s="3" t="str">
        <x:v>No</x:v>
      </x:c>
      <x:c r="AG1378" s="3"/>
      <x:c r="AH1378" s="3"/>
      <x:c r="AI1378" s="18"/>
      <x:c r="AJ1378" s="3" t="str">
        <x:v>CF2500-B49DB23064EE</x:v>
      </x:c>
      <x:c r="AK1378" s="3" t="str">
        <x:v>real_estate_operator</x:v>
      </x:c>
      <x:c r="AL1378" s="19" t="n">
        <x:v>100000</x:v>
      </x:c>
      <x:c r="AM1378" s="19" t="n">
        <x:v>500000</x:v>
      </x:c>
      <x:c r="AN1378" s="3" t="str">
        <x:v>https://www.cashhomebuyersdirectory.com/cash-home-buyers/wisconsin/madison</x:v>
      </x:c>
      <x:c r="AO1378" s="3" t="str">
        <x:v>national_rest_directory_complete.jsonl</x:v>
      </x:c>
      <x:c r="AP1378" s="19"/>
    </x:row>
    <x:row r="1379" ht="36" customHeight="1">
      <x:c r="A1379" s="23" t="n">
        <x:v>1378</x:v>
      </x:c>
      <x:c r="B1379" s="15" t="str">
        <x:v>Wise Property Buyers</x:v>
      </x:c>
      <x:c r="C1379" s="15"/>
      <x:c r="D1379" s="15" t="str">
        <x:v>Property investor / home-buying operator</x:v>
      </x:c>
      <x:c r="E1379" s="15" t="str">
        <x:v>Property investor / operator inquiry</x:v>
      </x:c>
      <x:c r="F1379" s="17" t="str">
        <x:v>New</x:v>
      </x:c>
      <x:c r="G1379" s="24"/>
      <x:c r="H1379" s="24" t="str">
        <x:v>+13135138824</x:v>
      </x:c>
      <x:c r="I1379" s="24" t="str">
        <x:v>https://www.wisebuysdetroit.com/?utm_source=google&amp;utm_medium=gbp&amp;utm_campaign=location</x:v>
      </x:c>
      <x:c r="J1379" s="16" t="str">
        <x:v>MI</x:v>
      </x:c>
      <x:c r="K1379" s="16" t="str">
        <x:v>Detroit</x:v>
      </x:c>
      <x:c r="L1379" s="16" t="str">
        <x:v>Public property-business route; investor decision maker unconfirmed</x:v>
      </x:c>
      <x:c r="M1379" s="16" t="str">
        <x:v>https://www.wisebuysdetroit.com/?utm_source=google&amp;utm_medium=gbp&amp;utm_campaign=location</x:v>
      </x:c>
      <x:c r="N1379" s="16" t="str">
        <x:v>$100K-$500K ticket not published / unconfirmed</x:v>
      </x:c>
      <x:c r="O1379" s="20"/>
      <x:c r="P1379" s="20"/>
      <x:c r="Q1379" s="25" t="str">
        <x:v>No direct corporate-capital range established in checked source</x:v>
      </x:c>
      <x:c r="R1379" s="25" t="str">
        <x:v>Property acquisition or investor activity makes this an operator-capital prospect for the signed trial. Confirm operating-company debt/equity appetite.</x:v>
      </x:c>
      <x:c r="S1379" s="25"/>
      <x:c r="T1379" s="25" t="str">
        <x:v>Ask the owner/investor whether they can allocate $100K-$500K to trial marketing and acquisitions, and confirm structure, timing and decision authority.</x:v>
      </x:c>
      <x:c r="U1379" s="25" t="str">
        <x:v>https://www.cashhomebuyersdirectory.com/cash-home-buyers/michigan/detroit</x:v>
      </x:c>
      <x:c r="V1379" s="26" t="d">
        <x:v>2026-10-02T00:00:00.000Z</x:v>
      </x:c>
      <x:c r="W1379" s="26" t="d">
        <x:v>2026-10-02T00:00:00.000Z</x:v>
      </x:c>
      <x:c r="X1379" s="25" t="str">
        <x:v>CashHomeBuyersDirectory third-party business listing; first-party business activity not checked in this batch</x:v>
      </x:c>
      <x:c r="Y1379" s="25"/>
      <x:c r="Z1379" s="25" t="str">
        <x:v>https://www.cashhomebuyersdirectory.com/cash-home-buyers/michigan/detroit</x:v>
      </x:c>
      <x:c r="AA1379" s="25" t="str">
        <x:v>Public cash-home-buyer directory lists the business name, business phone/website where available and market. Operator role and corporate funding willingness require confirmation.</x:v>
      </x:c>
      <x:c r="AB1379" s="3" t="str">
        <x:v>New public-source collection</x:v>
      </x:c>
      <x:c r="AC1379" s="3" t="str">
        <x:v>unverified</x:v>
      </x:c>
      <x:c r="AD1379" s="3" t="str">
        <x:v>Not contacted / unconfirmed</x:v>
      </x:c>
      <x:c r="AE1379" s="3" t="str">
        <x:v>No</x:v>
      </x:c>
      <x:c r="AF1379" s="3" t="str">
        <x:v>No</x:v>
      </x:c>
      <x:c r="AG1379" s="3"/>
      <x:c r="AH1379" s="3"/>
      <x:c r="AI1379" s="18"/>
      <x:c r="AJ1379" s="3" t="str">
        <x:v>CF2500-B46A8D3D37FB</x:v>
      </x:c>
      <x:c r="AK1379" s="3" t="str">
        <x:v>real_estate_operator</x:v>
      </x:c>
      <x:c r="AL1379" s="19" t="n">
        <x:v>100000</x:v>
      </x:c>
      <x:c r="AM1379" s="19" t="n">
        <x:v>500000</x:v>
      </x:c>
      <x:c r="AN1379" s="3" t="str">
        <x:v>https://www.cashhomebuyersdirectory.com/cash-home-buyers/michigan/detroit</x:v>
      </x:c>
      <x:c r="AO1379" s="3" t="str">
        <x:v>national_rest_directory_complete.jsonl</x:v>
      </x:c>
      <x:c r="AP1379" s="19"/>
    </x:row>
    <x:row r="1380" ht="36" customHeight="1">
      <x:c r="A1380" s="23" t="n">
        <x:v>1379</x:v>
      </x:c>
      <x:c r="B1380" s="15" t="str">
        <x:v>WNY Cash For Homes</x:v>
      </x:c>
      <x:c r="C1380" s="15"/>
      <x:c r="D1380" s="15" t="str">
        <x:v>Property investor / home-buying operator</x:v>
      </x:c>
      <x:c r="E1380" s="15" t="str">
        <x:v>Property investor / operator inquiry</x:v>
      </x:c>
      <x:c r="F1380" s="17" t="str">
        <x:v>New</x:v>
      </x:c>
      <x:c r="G1380" s="24"/>
      <x:c r="H1380" s="24" t="str">
        <x:v>+17165742553</x:v>
      </x:c>
      <x:c r="I1380" s="24" t="str">
        <x:v>http://www.wnycashforhomes.com/</x:v>
      </x:c>
      <x:c r="J1380" s="16" t="str">
        <x:v>NY</x:v>
      </x:c>
      <x:c r="K1380" s="16"/>
      <x:c r="L1380" s="16" t="str">
        <x:v>Public property-business route; investor decision maker unconfirmed</x:v>
      </x:c>
      <x:c r="M1380" s="16" t="str">
        <x:v>http://www.wnycashforhomes.com/</x:v>
      </x:c>
      <x:c r="N1380" s="16" t="str">
        <x:v>$100K-$500K ticket not published / unconfirmed</x:v>
      </x:c>
      <x:c r="O1380" s="20"/>
      <x:c r="P1380" s="20"/>
      <x:c r="Q1380" s="25" t="str">
        <x:v>No direct corporate-capital range established in checked source</x:v>
      </x:c>
      <x:c r="R1380" s="25" t="str">
        <x:v>Property acquisition or investor activity makes this an operator-capital prospect for the signed trial. Confirm operating-company debt/equity appetite.</x:v>
      </x:c>
      <x:c r="S1380" s="25"/>
      <x:c r="T1380" s="25" t="str">
        <x:v>Ask the owner/investor whether they can allocate $100K-$500K to trial marketing and acquisitions, and confirm structure, timing and decision authority.</x:v>
      </x:c>
      <x:c r="U1380" s="25" t="str">
        <x:v>https://www.cashhomebuyersdirectory.com/cash-home-buyers/new-york/buffalo</x:v>
      </x:c>
      <x:c r="V1380" s="26" t="d">
        <x:v>2026-10-02T00:00:00.000Z</x:v>
      </x:c>
      <x:c r="W1380" s="26" t="d">
        <x:v>2026-10-02T00:00:00.000Z</x:v>
      </x:c>
      <x:c r="X1380" s="25" t="str">
        <x:v>CashHomeBuyersDirectory third-party business listing; first-party business activity not checked in this batch</x:v>
      </x:c>
      <x:c r="Y1380" s="25"/>
      <x:c r="Z1380" s="25" t="str">
        <x:v>https://www.cashhomebuyersdirectory.com/cash-home-buyers/new-york/buffalo</x:v>
      </x:c>
      <x:c r="AA1380" s="25" t="str">
        <x:v>Public cash-home-buyer directory lists the business name, business phone/website where available and market. Operator role and corporate funding willingness require confirmation.</x:v>
      </x:c>
      <x:c r="AB1380" s="3" t="str">
        <x:v>New public-source collection</x:v>
      </x:c>
      <x:c r="AC1380" s="3" t="str">
        <x:v>unverified</x:v>
      </x:c>
      <x:c r="AD1380" s="3" t="str">
        <x:v>Not contacted / unconfirmed</x:v>
      </x:c>
      <x:c r="AE1380" s="3" t="str">
        <x:v>No</x:v>
      </x:c>
      <x:c r="AF1380" s="3" t="str">
        <x:v>No</x:v>
      </x:c>
      <x:c r="AG1380" s="3"/>
      <x:c r="AH1380" s="3"/>
      <x:c r="AI1380" s="18"/>
      <x:c r="AJ1380" s="3" t="str">
        <x:v>CF2500-3DB4EB61484D</x:v>
      </x:c>
      <x:c r="AK1380" s="3" t="str">
        <x:v>real_estate_operator</x:v>
      </x:c>
      <x:c r="AL1380" s="19" t="n">
        <x:v>100000</x:v>
      </x:c>
      <x:c r="AM1380" s="19" t="n">
        <x:v>500000</x:v>
      </x:c>
      <x:c r="AN1380" s="3" t="str">
        <x:v>https://www.cashhomebuyersdirectory.com/cash-home-buyers/new-york/buffalo</x:v>
      </x:c>
      <x:c r="AO1380" s="3" t="str">
        <x:v>national_rest_directory_complete.jsonl</x:v>
      </x:c>
      <x:c r="AP1380" s="19"/>
    </x:row>
    <x:row r="1381" ht="36" customHeight="1">
      <x:c r="A1381" s="23" t="n">
        <x:v>1380</x:v>
      </x:c>
      <x:c r="B1381" s="15" t="str">
        <x:v>Y&amp;T Homebuyers</x:v>
      </x:c>
      <x:c r="C1381" s="15"/>
      <x:c r="D1381" s="15" t="str">
        <x:v>Property investor / home-buying operator</x:v>
      </x:c>
      <x:c r="E1381" s="15" t="str">
        <x:v>Property investor / operator inquiry</x:v>
      </x:c>
      <x:c r="F1381" s="17" t="str">
        <x:v>New</x:v>
      </x:c>
      <x:c r="G1381" s="24"/>
      <x:c r="H1381" s="24" t="str">
        <x:v>+17172084886</x:v>
      </x:c>
      <x:c r="I1381" s="24" t="str">
        <x:v>https://ythomebuyers.com/</x:v>
      </x:c>
      <x:c r="J1381" s="16" t="str">
        <x:v>PA</x:v>
      </x:c>
      <x:c r="K1381" s="16" t="str">
        <x:v>Ephrata</x:v>
      </x:c>
      <x:c r="L1381" s="16" t="str">
        <x:v>Public property-business route; investor decision maker unconfirmed</x:v>
      </x:c>
      <x:c r="M1381" s="16" t="str">
        <x:v>https://ythomebuyers.com/</x:v>
      </x:c>
      <x:c r="N1381" s="16" t="str">
        <x:v>$100K-$500K ticket not published / unconfirmed</x:v>
      </x:c>
      <x:c r="O1381" s="20"/>
      <x:c r="P1381" s="20"/>
      <x:c r="Q1381" s="25" t="str">
        <x:v>No direct corporate-capital range established in checked source</x:v>
      </x:c>
      <x:c r="R1381" s="25" t="str">
        <x:v>Property acquisition or investor activity makes this an operator-capital prospect for the signed trial. Confirm operating-company debt/equity appetite.</x:v>
      </x:c>
      <x:c r="S1381" s="25"/>
      <x:c r="T1381" s="25" t="str">
        <x:v>Ask the owner/investor whether they can allocate $100K-$500K to trial marketing and acquisitions, and confirm structure, timing and decision authority.</x:v>
      </x:c>
      <x:c r="U1381" s="25" t="str">
        <x:v>https://www.cashhomebuyersdirectory.com/cash-home-buyers/pennsylvania/ephrata</x:v>
      </x:c>
      <x:c r="V1381" s="26" t="d">
        <x:v>2026-10-02T00:00:00.000Z</x:v>
      </x:c>
      <x:c r="W1381" s="26" t="d">
        <x:v>2026-10-02T00:00:00.000Z</x:v>
      </x:c>
      <x:c r="X1381" s="25" t="str">
        <x:v>CashHomeBuyersDirectory third-party business listing; first-party business activity not checked in this batch</x:v>
      </x:c>
      <x:c r="Y1381" s="25"/>
      <x:c r="Z1381" s="25" t="str">
        <x:v>https://www.cashhomebuyersdirectory.com/cash-home-buyers/pennsylvania/ephrata</x:v>
      </x:c>
      <x:c r="AA1381" s="25" t="str">
        <x:v>Public cash-home-buyer directory lists the business name, business phone/website where available and market. Operator role and corporate funding willingness require confirmation.</x:v>
      </x:c>
      <x:c r="AB1381" s="3" t="str">
        <x:v>New public-source collection</x:v>
      </x:c>
      <x:c r="AC1381" s="3" t="str">
        <x:v>unverified</x:v>
      </x:c>
      <x:c r="AD1381" s="3" t="str">
        <x:v>Not contacted / unconfirmed</x:v>
      </x:c>
      <x:c r="AE1381" s="3" t="str">
        <x:v>No</x:v>
      </x:c>
      <x:c r="AF1381" s="3" t="str">
        <x:v>No</x:v>
      </x:c>
      <x:c r="AG1381" s="3"/>
      <x:c r="AH1381" s="3"/>
      <x:c r="AI1381" s="18"/>
      <x:c r="AJ1381" s="3" t="str">
        <x:v>CF2500-774FCBD16CB2</x:v>
      </x:c>
      <x:c r="AK1381" s="3" t="str">
        <x:v>real_estate_operator</x:v>
      </x:c>
      <x:c r="AL1381" s="19" t="n">
        <x:v>100000</x:v>
      </x:c>
      <x:c r="AM1381" s="19" t="n">
        <x:v>500000</x:v>
      </x:c>
      <x:c r="AN1381" s="3" t="str">
        <x:v>https://www.cashhomebuyersdirectory.com/cash-home-buyers/pennsylvania/ephrata</x:v>
      </x:c>
      <x:c r="AO1381" s="3" t="str">
        <x:v>national_rest_directory_complete.jsonl</x:v>
      </x:c>
      <x:c r="AP1381" s="19"/>
    </x:row>
    <x:row r="1382" ht="36" customHeight="1">
      <x:c r="A1382" s="23" t="n">
        <x:v>1381</x:v>
      </x:c>
      <x:c r="B1382" s="15" t="str">
        <x:v>Yes I Pay Cash - We Buy Houses Maryland</x:v>
      </x:c>
      <x:c r="C1382" s="15"/>
      <x:c r="D1382" s="15" t="str">
        <x:v>Property investor / home-buying operator</x:v>
      </x:c>
      <x:c r="E1382" s="15" t="str">
        <x:v>Property investor / operator inquiry</x:v>
      </x:c>
      <x:c r="F1382" s="17" t="str">
        <x:v>New</x:v>
      </x:c>
      <x:c r="G1382" s="24"/>
      <x:c r="H1382" s="24" t="str">
        <x:v>+14432004882</x:v>
      </x:c>
      <x:c r="I1382" s="24" t="str">
        <x:v>https://yesipaycash.com/?utm_source=google&amp;utm_medium=organic&amp;utm_campaign=gmb</x:v>
      </x:c>
      <x:c r="J1382" s="16" t="str">
        <x:v>MD</x:v>
      </x:c>
      <x:c r="K1382" s="16" t="str">
        <x:v>Timonium</x:v>
      </x:c>
      <x:c r="L1382" s="16" t="str">
        <x:v>Public property-business route; investor decision maker unconfirmed</x:v>
      </x:c>
      <x:c r="M1382" s="16" t="str">
        <x:v>https://yesipaycash.com/?utm_source=google&amp;utm_medium=organic&amp;utm_campaign=gmb</x:v>
      </x:c>
      <x:c r="N1382" s="16" t="str">
        <x:v>$100K-$500K ticket not published / unconfirmed</x:v>
      </x:c>
      <x:c r="O1382" s="20"/>
      <x:c r="P1382" s="20"/>
      <x:c r="Q1382" s="25" t="str">
        <x:v>No direct corporate-capital range established in checked source</x:v>
      </x:c>
      <x:c r="R1382" s="25" t="str">
        <x:v>Property acquisition or investor activity makes this an operator-capital prospect for the signed trial. Confirm operating-company debt/equity appetite.</x:v>
      </x:c>
      <x:c r="S1382" s="25"/>
      <x:c r="T1382" s="25" t="str">
        <x:v>Ask the owner/investor whether they can allocate $100K-$500K to trial marketing and acquisitions, and confirm structure, timing and decision authority.</x:v>
      </x:c>
      <x:c r="U1382" s="25" t="str">
        <x:v>https://www.cashhomebuyersdirectory.com/cash-home-buyers/maryland/timonium</x:v>
      </x:c>
      <x:c r="V1382" s="26" t="d">
        <x:v>2026-10-02T00:00:00.000Z</x:v>
      </x:c>
      <x:c r="W1382" s="26" t="d">
        <x:v>2026-10-02T00:00:00.000Z</x:v>
      </x:c>
      <x:c r="X1382" s="25" t="str">
        <x:v>CashHomeBuyersDirectory third-party business listing; first-party business activity not checked in this batch</x:v>
      </x:c>
      <x:c r="Y1382" s="25"/>
      <x:c r="Z1382" s="25" t="str">
        <x:v>https://www.cashhomebuyersdirectory.com/cash-home-buyers/maryland/timonium</x:v>
      </x:c>
      <x:c r="AA1382" s="25" t="str">
        <x:v>Public cash-home-buyer directory lists the business name, business phone/website where available and market. Operator role and corporate funding willingness require confirmation.</x:v>
      </x:c>
      <x:c r="AB1382" s="3" t="str">
        <x:v>New public-source collection</x:v>
      </x:c>
      <x:c r="AC1382" s="3" t="str">
        <x:v>unverified</x:v>
      </x:c>
      <x:c r="AD1382" s="3" t="str">
        <x:v>Not contacted / unconfirmed</x:v>
      </x:c>
      <x:c r="AE1382" s="3" t="str">
        <x:v>No</x:v>
      </x:c>
      <x:c r="AF1382" s="3" t="str">
        <x:v>No</x:v>
      </x:c>
      <x:c r="AG1382" s="3"/>
      <x:c r="AH1382" s="3"/>
      <x:c r="AI1382" s="18"/>
      <x:c r="AJ1382" s="3" t="str">
        <x:v>CF2500-3EB2F823CA3B</x:v>
      </x:c>
      <x:c r="AK1382" s="3" t="str">
        <x:v>real_estate_operator</x:v>
      </x:c>
      <x:c r="AL1382" s="19" t="n">
        <x:v>100000</x:v>
      </x:c>
      <x:c r="AM1382" s="19" t="n">
        <x:v>500000</x:v>
      </x:c>
      <x:c r="AN1382" s="3" t="str">
        <x:v>https://www.cashhomebuyersdirectory.com/cash-home-buyers/maryland/timonium</x:v>
      </x:c>
      <x:c r="AO1382" s="3" t="str">
        <x:v>national_rest_directory_complete.jsonl</x:v>
      </x:c>
      <x:c r="AP1382" s="19"/>
    </x:row>
    <x:row r="1383" ht="36" customHeight="1">
      <x:c r="A1383" s="23" t="n">
        <x:v>1382</x:v>
      </x:c>
      <x:c r="B1383" s="15" t="str">
        <x:v>Yes I Pay Cash - We Buy Houses New Jersey</x:v>
      </x:c>
      <x:c r="C1383" s="15"/>
      <x:c r="D1383" s="15" t="str">
        <x:v>Property investor / home-buying operator</x:v>
      </x:c>
      <x:c r="E1383" s="15" t="str">
        <x:v>Property investor / operator inquiry</x:v>
      </x:c>
      <x:c r="F1383" s="17" t="str">
        <x:v>New</x:v>
      </x:c>
      <x:c r="G1383" s="24"/>
      <x:c r="H1383" s="24" t="str">
        <x:v>+18622037400</x:v>
      </x:c>
      <x:c r="I1383" s="24" t="str">
        <x:v>https://yesipaycash-nj.com/?utm_source=google&amp;utm_medium=organic&amp;utm_campaign=gmb</x:v>
      </x:c>
      <x:c r="J1383" s="16" t="str">
        <x:v>NJ</x:v>
      </x:c>
      <x:c r="K1383" s="16" t="str">
        <x:v>Jersey City</x:v>
      </x:c>
      <x:c r="L1383" s="16" t="str">
        <x:v>Public property-business route; investor decision maker unconfirmed</x:v>
      </x:c>
      <x:c r="M1383" s="16" t="str">
        <x:v>https://yesipaycash-nj.com/?utm_source=google&amp;utm_medium=organic&amp;utm_campaign=gmb</x:v>
      </x:c>
      <x:c r="N1383" s="16" t="str">
        <x:v>$100K-$500K ticket not published / unconfirmed</x:v>
      </x:c>
      <x:c r="O1383" s="20"/>
      <x:c r="P1383" s="20"/>
      <x:c r="Q1383" s="25" t="str">
        <x:v>No direct corporate-capital range established in checked source</x:v>
      </x:c>
      <x:c r="R1383" s="25" t="str">
        <x:v>Property acquisition or investor activity makes this an operator-capital prospect for the signed trial. Confirm operating-company debt/equity appetite.</x:v>
      </x:c>
      <x:c r="S1383" s="25"/>
      <x:c r="T1383" s="25" t="str">
        <x:v>Ask the owner/investor whether they can allocate $100K-$500K to trial marketing and acquisitions, and confirm structure, timing and decision authority.</x:v>
      </x:c>
      <x:c r="U1383" s="25" t="str">
        <x:v>https://www.cashhomebuyersdirectory.com/cash-home-buyers/new-jersey/jersey-city</x:v>
      </x:c>
      <x:c r="V1383" s="26" t="d">
        <x:v>2026-10-02T00:00:00.000Z</x:v>
      </x:c>
      <x:c r="W1383" s="26" t="d">
        <x:v>2026-10-02T00:00:00.000Z</x:v>
      </x:c>
      <x:c r="X1383" s="25" t="str">
        <x:v>CashHomeBuyersDirectory third-party business listing; first-party business activity not checked in this batch</x:v>
      </x:c>
      <x:c r="Y1383" s="25"/>
      <x:c r="Z1383" s="25" t="str">
        <x:v>https://www.cashhomebuyersdirectory.com/cash-home-buyers/new-jersey/jersey-city</x:v>
      </x:c>
      <x:c r="AA1383" s="25" t="str">
        <x:v>Public cash-home-buyer directory lists the business name, business phone/website where available and market. Operator role and corporate funding willingness require confirmation.</x:v>
      </x:c>
      <x:c r="AB1383" s="3" t="str">
        <x:v>New public-source collection</x:v>
      </x:c>
      <x:c r="AC1383" s="3" t="str">
        <x:v>unverified</x:v>
      </x:c>
      <x:c r="AD1383" s="3" t="str">
        <x:v>Not contacted / unconfirmed</x:v>
      </x:c>
      <x:c r="AE1383" s="3" t="str">
        <x:v>No</x:v>
      </x:c>
      <x:c r="AF1383" s="3" t="str">
        <x:v>No</x:v>
      </x:c>
      <x:c r="AG1383" s="3"/>
      <x:c r="AH1383" s="3"/>
      <x:c r="AI1383" s="18"/>
      <x:c r="AJ1383" s="3" t="str">
        <x:v>CF2500-370623690C16</x:v>
      </x:c>
      <x:c r="AK1383" s="3" t="str">
        <x:v>real_estate_operator</x:v>
      </x:c>
      <x:c r="AL1383" s="19" t="n">
        <x:v>100000</x:v>
      </x:c>
      <x:c r="AM1383" s="19" t="n">
        <x:v>500000</x:v>
      </x:c>
      <x:c r="AN1383" s="3" t="str">
        <x:v>https://www.cashhomebuyersdirectory.com/cash-home-buyers/new-jersey/jersey-city</x:v>
      </x:c>
      <x:c r="AO1383" s="3" t="str">
        <x:v>national_rest_directory_complete.jsonl</x:v>
      </x:c>
      <x:c r="AP1383" s="19"/>
    </x:row>
    <x:row r="1384" ht="36" customHeight="1">
      <x:c r="A1384" s="23" t="n">
        <x:v>1383</x:v>
      </x:c>
      <x:c r="B1384" s="15" t="str">
        <x:v>Your Direct Homebuyer</x:v>
      </x:c>
      <x:c r="C1384" s="15"/>
      <x:c r="D1384" s="15" t="str">
        <x:v>Property investor / home-buying operator</x:v>
      </x:c>
      <x:c r="E1384" s="15" t="str">
        <x:v>Property investor / operator inquiry</x:v>
      </x:c>
      <x:c r="F1384" s="17" t="str">
        <x:v>New</x:v>
      </x:c>
      <x:c r="G1384" s="24"/>
      <x:c r="H1384" s="24" t="str">
        <x:v>+17022720773</x:v>
      </x:c>
      <x:c r="I1384" s="24" t="str">
        <x:v>https://www.yourdirecthomebuyer.com/</x:v>
      </x:c>
      <x:c r="J1384" s="16" t="str">
        <x:v>NV</x:v>
      </x:c>
      <x:c r="K1384" s="16" t="str">
        <x:v>Las Vegas</x:v>
      </x:c>
      <x:c r="L1384" s="16" t="str">
        <x:v>Public property-business route; investor decision maker unconfirmed</x:v>
      </x:c>
      <x:c r="M1384" s="16" t="str">
        <x:v>https://www.yourdirecthomebuyer.com/</x:v>
      </x:c>
      <x:c r="N1384" s="16" t="str">
        <x:v>$100K-$500K ticket not published / unconfirmed</x:v>
      </x:c>
      <x:c r="O1384" s="20"/>
      <x:c r="P1384" s="20"/>
      <x:c r="Q1384" s="25" t="str">
        <x:v>No direct corporate-capital range established in checked source</x:v>
      </x:c>
      <x:c r="R1384" s="25" t="str">
        <x:v>Property acquisition or investor activity makes this an operator-capital prospect for the signed trial. Confirm operating-company debt/equity appetite.</x:v>
      </x:c>
      <x:c r="S1384" s="25"/>
      <x:c r="T1384" s="25" t="str">
        <x:v>Ask the owner/investor whether they can allocate $100K-$500K to trial marketing and acquisitions, and confirm structure, timing and decision authority.</x:v>
      </x:c>
      <x:c r="U1384" s="25" t="str">
        <x:v>https://www.cashhomebuyersdirectory.com/cash-home-buyers/nevada/las-vegas</x:v>
      </x:c>
      <x:c r="V1384" s="26" t="d">
        <x:v>2026-10-02T00:00:00.000Z</x:v>
      </x:c>
      <x:c r="W1384" s="26" t="d">
        <x:v>2026-10-02T00:00:00.000Z</x:v>
      </x:c>
      <x:c r="X1384" s="25" t="str">
        <x:v>CashHomeBuyersDirectory third-party business listing; first-party business activity not checked in this batch</x:v>
      </x:c>
      <x:c r="Y1384" s="25"/>
      <x:c r="Z1384" s="25" t="str">
        <x:v>https://www.cashhomebuyersdirectory.com/cash-home-buyers/nevada/las-vegas</x:v>
      </x:c>
      <x:c r="AA1384" s="25" t="str">
        <x:v>Public cash-home-buyer directory lists the business name, business phone/website where available and market. Operator role and corporate funding willingness require confirmation.</x:v>
      </x:c>
      <x:c r="AB1384" s="3" t="str">
        <x:v>New public-source collection</x:v>
      </x:c>
      <x:c r="AC1384" s="3" t="str">
        <x:v>unverified</x:v>
      </x:c>
      <x:c r="AD1384" s="3" t="str">
        <x:v>Not contacted / unconfirmed</x:v>
      </x:c>
      <x:c r="AE1384" s="3" t="str">
        <x:v>No</x:v>
      </x:c>
      <x:c r="AF1384" s="3" t="str">
        <x:v>No</x:v>
      </x:c>
      <x:c r="AG1384" s="3"/>
      <x:c r="AH1384" s="3"/>
      <x:c r="AI1384" s="18"/>
      <x:c r="AJ1384" s="3" t="str">
        <x:v>CF2500-9942EA7D6E1F</x:v>
      </x:c>
      <x:c r="AK1384" s="3" t="str">
        <x:v>real_estate_operator</x:v>
      </x:c>
      <x:c r="AL1384" s="19" t="n">
        <x:v>100000</x:v>
      </x:c>
      <x:c r="AM1384" s="19" t="n">
        <x:v>500000</x:v>
      </x:c>
      <x:c r="AN1384" s="3" t="str">
        <x:v>https://www.cashhomebuyersdirectory.com/cash-home-buyers/nevada/las-vegas</x:v>
      </x:c>
      <x:c r="AO1384" s="3" t="str">
        <x:v>national_rest_directory_complete.jsonl</x:v>
      </x:c>
      <x:c r="AP1384" s="19"/>
    </x:row>
    <x:row r="1385" ht="36" customHeight="1">
      <x:c r="A1385" s="23" t="n">
        <x:v>1384</x:v>
      </x:c>
      <x:c r="B1385" s="15" t="str">
        <x:v>Your Friendly House Buyers</x:v>
      </x:c>
      <x:c r="C1385" s="15"/>
      <x:c r="D1385" s="15" t="str">
        <x:v>Property investor / home-buying operator</x:v>
      </x:c>
      <x:c r="E1385" s="15" t="str">
        <x:v>Property investor / operator inquiry</x:v>
      </x:c>
      <x:c r="F1385" s="17" t="str">
        <x:v>New</x:v>
      </x:c>
      <x:c r="G1385" s="24"/>
      <x:c r="H1385" s="24" t="str">
        <x:v>+12062376239</x:v>
      </x:c>
      <x:c r="I1385" s="24" t="str">
        <x:v>https://yourfriendlyhousebuyers.com/real-estate-consultant-seattle-wa/</x:v>
      </x:c>
      <x:c r="J1385" s="16" t="str">
        <x:v>WA</x:v>
      </x:c>
      <x:c r="K1385" s="16" t="str">
        <x:v>Seattle</x:v>
      </x:c>
      <x:c r="L1385" s="16" t="str">
        <x:v>Public property-business route; investor decision maker unconfirmed</x:v>
      </x:c>
      <x:c r="M1385" s="16" t="str">
        <x:v>https://yourfriendlyhousebuyers.com/real-estate-consultant-seattle-wa/</x:v>
      </x:c>
      <x:c r="N1385" s="16" t="str">
        <x:v>$100K-$500K ticket not published / unconfirmed</x:v>
      </x:c>
      <x:c r="O1385" s="20"/>
      <x:c r="P1385" s="20"/>
      <x:c r="Q1385" s="25" t="str">
        <x:v>No direct corporate-capital range established in checked source</x:v>
      </x:c>
      <x:c r="R1385" s="25" t="str">
        <x:v>Property acquisition or investor activity makes this an operator-capital prospect for the signed trial. Confirm operating-company debt/equity appetite.</x:v>
      </x:c>
      <x:c r="S1385" s="25"/>
      <x:c r="T1385" s="25" t="str">
        <x:v>Ask the owner/investor whether they can allocate $100K-$500K to trial marketing and acquisitions, and confirm structure, timing and decision authority.</x:v>
      </x:c>
      <x:c r="U1385" s="25" t="str">
        <x:v>https://www.cashhomebuyersdirectory.com/cash-home-buyers/washington/seattle
https://www.cashhomebuyersdirectory.com/cash-home-buyers/california/fresno</x:v>
      </x:c>
      <x:c r="V1385" s="26" t="d">
        <x:v>2026-10-02T00:00:00.000Z</x:v>
      </x:c>
      <x:c r="W1385" s="26" t="d">
        <x:v>2026-10-02T00:00:00.000Z</x:v>
      </x:c>
      <x:c r="X1385" s="25" t="str">
        <x:v>CashHomeBuyersDirectory third-party business listing; first-party business activity not checked in this batch</x:v>
      </x:c>
      <x:c r="Y1385" s="25"/>
      <x:c r="Z1385" s="25" t="str">
        <x:v>https://www.cashhomebuyersdirectory.com/cash-home-buyers/washington/seattle</x:v>
      </x:c>
      <x:c r="AA1385" s="25" t="str">
        <x:v>Public cash-home-buyer directory lists the business name, business phone/website where available and market. Operator role and corporate funding willingness require confirmation.</x:v>
      </x:c>
      <x:c r="AB1385" s="3" t="str">
        <x:v>New public-source collection</x:v>
      </x:c>
      <x:c r="AC1385" s="3" t="str">
        <x:v>unverified</x:v>
      </x:c>
      <x:c r="AD1385" s="3" t="str">
        <x:v>Not contacted / unconfirmed</x:v>
      </x:c>
      <x:c r="AE1385" s="3" t="str">
        <x:v>No</x:v>
      </x:c>
      <x:c r="AF1385" s="3" t="str">
        <x:v>No</x:v>
      </x:c>
      <x:c r="AG1385" s="3"/>
      <x:c r="AH1385" s="3" t="str">
        <x:v>Your Friendly House Buyers Fresno</x:v>
      </x:c>
      <x:c r="AI1385" s="18"/>
      <x:c r="AJ1385" s="3" t="str">
        <x:v>CF2500-D8D447BC9A44</x:v>
      </x:c>
      <x:c r="AK1385" s="3" t="str">
        <x:v>real_estate_operator</x:v>
      </x:c>
      <x:c r="AL1385" s="19" t="n">
        <x:v>100000</x:v>
      </x:c>
      <x:c r="AM1385" s="19" t="n">
        <x:v>500000</x:v>
      </x:c>
      <x:c r="AN1385" s="3" t="str">
        <x:v>https://www.cashhomebuyersdirectory.com/cash-home-buyers/washington/seattle</x:v>
      </x:c>
      <x:c r="AO1385" s="3" t="str">
        <x:v>national_rest_directory_complete.jsonl</x:v>
      </x:c>
      <x:c r="AP1385" s="19"/>
    </x:row>
    <x:row r="1386" ht="36" customHeight="1">
      <x:c r="A1386" s="23" t="n">
        <x:v>1385</x:v>
      </x:c>
      <x:c r="B1386" s="15" t="str">
        <x:v>Your Local Home Buyer, LLC</x:v>
      </x:c>
      <x:c r="C1386" s="15"/>
      <x:c r="D1386" s="15" t="str">
        <x:v>Property investor / home-buying operator</x:v>
      </x:c>
      <x:c r="E1386" s="15" t="str">
        <x:v>Property investor / operator inquiry</x:v>
      </x:c>
      <x:c r="F1386" s="17" t="str">
        <x:v>New</x:v>
      </x:c>
      <x:c r="G1386" s="24"/>
      <x:c r="H1386" s="24" t="str">
        <x:v>+15026608782</x:v>
      </x:c>
      <x:c r="I1386" s="24" t="str">
        <x:v>https://www.yourlocalhomebuyerteam.com/</x:v>
      </x:c>
      <x:c r="J1386" s="16" t="str">
        <x:v>KY</x:v>
      </x:c>
      <x:c r="K1386" s="16"/>
      <x:c r="L1386" s="16" t="str">
        <x:v>Public property-business route; investor decision maker unconfirmed</x:v>
      </x:c>
      <x:c r="M1386" s="16" t="str">
        <x:v>https://www.yourlocalhomebuyerteam.com/</x:v>
      </x:c>
      <x:c r="N1386" s="16" t="str">
        <x:v>$100K-$500K ticket not published / unconfirmed</x:v>
      </x:c>
      <x:c r="O1386" s="20"/>
      <x:c r="P1386" s="20"/>
      <x:c r="Q1386" s="25" t="str">
        <x:v>No direct corporate-capital range established in checked source</x:v>
      </x:c>
      <x:c r="R1386" s="25" t="str">
        <x:v>Property acquisition or investor activity makes this an operator-capital prospect for the signed trial. Confirm operating-company debt/equity appetite.</x:v>
      </x:c>
      <x:c r="S1386" s="25"/>
      <x:c r="T1386" s="25" t="str">
        <x:v>Ask the owner/investor whether they can allocate $100K-$500K to trial marketing and acquisitions, and confirm structure, timing and decision authority.</x:v>
      </x:c>
      <x:c r="U1386" s="25" t="str">
        <x:v>https://www.cashhomebuyersdirectory.com/cash-home-buyers/kentucky/louisville</x:v>
      </x:c>
      <x:c r="V1386" s="26" t="d">
        <x:v>2026-10-02T00:00:00.000Z</x:v>
      </x:c>
      <x:c r="W1386" s="26" t="d">
        <x:v>2026-10-02T00:00:00.000Z</x:v>
      </x:c>
      <x:c r="X1386" s="25" t="str">
        <x:v>CashHomeBuyersDirectory third-party business listing; first-party business activity not checked in this batch</x:v>
      </x:c>
      <x:c r="Y1386" s="25"/>
      <x:c r="Z1386" s="25" t="str">
        <x:v>https://www.cashhomebuyersdirectory.com/cash-home-buyers/kentucky/louisville</x:v>
      </x:c>
      <x:c r="AA1386" s="25" t="str">
        <x:v>Public cash-home-buyer directory lists the business name, business phone/website where available and market. Operator role and corporate funding willingness require confirmation.</x:v>
      </x:c>
      <x:c r="AB1386" s="3" t="str">
        <x:v>New public-source collection</x:v>
      </x:c>
      <x:c r="AC1386" s="3" t="str">
        <x:v>unverified</x:v>
      </x:c>
      <x:c r="AD1386" s="3" t="str">
        <x:v>Not contacted / unconfirmed</x:v>
      </x:c>
      <x:c r="AE1386" s="3" t="str">
        <x:v>No</x:v>
      </x:c>
      <x:c r="AF1386" s="3" t="str">
        <x:v>No</x:v>
      </x:c>
      <x:c r="AG1386" s="3"/>
      <x:c r="AH1386" s="3"/>
      <x:c r="AI1386" s="18"/>
      <x:c r="AJ1386" s="3" t="str">
        <x:v>CF2500-100C4C001291</x:v>
      </x:c>
      <x:c r="AK1386" s="3" t="str">
        <x:v>real_estate_operator</x:v>
      </x:c>
      <x:c r="AL1386" s="19" t="n">
        <x:v>100000</x:v>
      </x:c>
      <x:c r="AM1386" s="19" t="n">
        <x:v>500000</x:v>
      </x:c>
      <x:c r="AN1386" s="3" t="str">
        <x:v>https://www.cashhomebuyersdirectory.com/cash-home-buyers/kentucky/louisville</x:v>
      </x:c>
      <x:c r="AO1386" s="3" t="str">
        <x:v>national_rest_directory_complete.jsonl</x:v>
      </x:c>
      <x:c r="AP1386" s="19"/>
    </x:row>
    <x:row r="1387" ht="36" customHeight="1">
      <x:c r="A1387" s="23" t="n">
        <x:v>1386</x:v>
      </x:c>
      <x:c r="B1387" s="15" t="str">
        <x:v>Your Ohio Home Buyer</x:v>
      </x:c>
      <x:c r="C1387" s="15"/>
      <x:c r="D1387" s="15" t="str">
        <x:v>Property investor / home-buying operator</x:v>
      </x:c>
      <x:c r="E1387" s="15" t="str">
        <x:v>Property investor / operator inquiry</x:v>
      </x:c>
      <x:c r="F1387" s="17" t="str">
        <x:v>New</x:v>
      </x:c>
      <x:c r="G1387" s="24"/>
      <x:c r="H1387" s="24" t="str">
        <x:v>+19378602509</x:v>
      </x:c>
      <x:c r="I1387" s="24" t="str">
        <x:v>http://yourohiohomebuyer.com/</x:v>
      </x:c>
      <x:c r="J1387" s="16" t="str">
        <x:v>OH</x:v>
      </x:c>
      <x:c r="K1387" s="16" t="str">
        <x:v>Dayton</x:v>
      </x:c>
      <x:c r="L1387" s="16" t="str">
        <x:v>Public property-business route; investor decision maker unconfirmed</x:v>
      </x:c>
      <x:c r="M1387" s="16" t="str">
        <x:v>http://yourohiohomebuyer.com/</x:v>
      </x:c>
      <x:c r="N1387" s="16" t="str">
        <x:v>$100K-$500K ticket not published / unconfirmed</x:v>
      </x:c>
      <x:c r="O1387" s="20"/>
      <x:c r="P1387" s="20"/>
      <x:c r="Q1387" s="25" t="str">
        <x:v>No direct corporate-capital range established in checked source</x:v>
      </x:c>
      <x:c r="R1387" s="25" t="str">
        <x:v>Property acquisition or investor activity makes this an operator-capital prospect for the signed trial. Confirm operating-company debt/equity appetite.</x:v>
      </x:c>
      <x:c r="S1387" s="25"/>
      <x:c r="T1387" s="25" t="str">
        <x:v>Ask the owner/investor whether they can allocate $100K-$500K to trial marketing and acquisitions, and confirm structure, timing and decision authority.</x:v>
      </x:c>
      <x:c r="U1387" s="25" t="str">
        <x:v>https://www.cashhomebuyersdirectory.com/cash-home-buyers/ohio/dayton</x:v>
      </x:c>
      <x:c r="V1387" s="26" t="d">
        <x:v>2026-10-02T00:00:00.000Z</x:v>
      </x:c>
      <x:c r="W1387" s="26" t="d">
        <x:v>2026-10-02T00:00:00.000Z</x:v>
      </x:c>
      <x:c r="X1387" s="25" t="str">
        <x:v>CashHomeBuyersDirectory third-party business listing; first-party business activity not checked in this batch</x:v>
      </x:c>
      <x:c r="Y1387" s="25"/>
      <x:c r="Z1387" s="25" t="str">
        <x:v>https://www.cashhomebuyersdirectory.com/cash-home-buyers/ohio/dayton</x:v>
      </x:c>
      <x:c r="AA1387" s="25" t="str">
        <x:v>Public cash-home-buyer directory lists the business name, business phone/website where available and market. Operator role and corporate funding willingness require confirmation.</x:v>
      </x:c>
      <x:c r="AB1387" s="3" t="str">
        <x:v>New public-source collection</x:v>
      </x:c>
      <x:c r="AC1387" s="3" t="str">
        <x:v>unverified</x:v>
      </x:c>
      <x:c r="AD1387" s="3" t="str">
        <x:v>Not contacted / unconfirmed</x:v>
      </x:c>
      <x:c r="AE1387" s="3" t="str">
        <x:v>No</x:v>
      </x:c>
      <x:c r="AF1387" s="3" t="str">
        <x:v>No</x:v>
      </x:c>
      <x:c r="AG1387" s="3"/>
      <x:c r="AH1387" s="3"/>
      <x:c r="AI1387" s="18"/>
      <x:c r="AJ1387" s="3" t="str">
        <x:v>CF2500-DEF5CC6A2D5E</x:v>
      </x:c>
      <x:c r="AK1387" s="3" t="str">
        <x:v>real_estate_operator</x:v>
      </x:c>
      <x:c r="AL1387" s="19" t="n">
        <x:v>100000</x:v>
      </x:c>
      <x:c r="AM1387" s="19" t="n">
        <x:v>500000</x:v>
      </x:c>
      <x:c r="AN1387" s="3" t="str">
        <x:v>https://www.cashhomebuyersdirectory.com/cash-home-buyers/ohio/dayton</x:v>
      </x:c>
      <x:c r="AO1387" s="3" t="str">
        <x:v>national_rest_directory_complete.jsonl</x:v>
      </x:c>
      <x:c r="AP1387" s="19"/>
    </x:row>
    <x:row r="1388" ht="36" customHeight="1">
      <x:c r="A1388" s="23" t="n">
        <x:v>1387</x:v>
      </x:c>
      <x:c r="B1388" s="15" t="str">
        <x:v>Your Reliable Home Buyers</x:v>
      </x:c>
      <x:c r="C1388" s="15"/>
      <x:c r="D1388" s="15" t="str">
        <x:v>Property investor / home-buying operator</x:v>
      </x:c>
      <x:c r="E1388" s="15" t="str">
        <x:v>Property investor / operator inquiry</x:v>
      </x:c>
      <x:c r="F1388" s="17" t="str">
        <x:v>New</x:v>
      </x:c>
      <x:c r="G1388" s="24"/>
      <x:c r="H1388" s="24" t="str">
        <x:v>+16199012789</x:v>
      </x:c>
      <x:c r="I1388" s="24" t="str">
        <x:v>https://www.yourreliablehomebuyers.com/get-your-cash-offer?utm_source=google&amp;utm_medium=organic&amp;utm_campaign=gbp_san_diegohttps://www.yourreliablehomebuyers.com/</x:v>
      </x:c>
      <x:c r="J1388" s="16" t="str">
        <x:v>CA</x:v>
      </x:c>
      <x:c r="K1388" s="16" t="str">
        <x:v>San Diego</x:v>
      </x:c>
      <x:c r="L1388" s="16" t="str">
        <x:v>Public property-business route; investor decision maker unconfirmed</x:v>
      </x:c>
      <x:c r="M1388" s="16" t="str">
        <x:v>https://www.yourreliablehomebuyers.com/get-your-cash-offer?utm_source=google&amp;utm_medium=organic&amp;utm_campaign=gbp_san_diegohttps://www.yourreliablehomebuyers.com/</x:v>
      </x:c>
      <x:c r="N1388" s="16" t="str">
        <x:v>$100K-$500K ticket not published / unconfirmed</x:v>
      </x:c>
      <x:c r="O1388" s="20"/>
      <x:c r="P1388" s="20"/>
      <x:c r="Q1388" s="25" t="str">
        <x:v>No direct corporate-capital range established in checked source</x:v>
      </x:c>
      <x:c r="R1388" s="25" t="str">
        <x:v>Property acquisition or investor activity makes this an operator-capital prospect for the signed trial. Confirm operating-company debt/equity appetite.</x:v>
      </x:c>
      <x:c r="S1388" s="25"/>
      <x:c r="T1388" s="25" t="str">
        <x:v>Ask the owner/investor whether they can allocate $100K-$500K to trial marketing and acquisitions, and confirm structure, timing and decision authority.</x:v>
      </x:c>
      <x:c r="U1388" s="25" t="str">
        <x:v>https://www.cashhomebuyersdirectory.com/cash-home-buyers/california/san-diego</x:v>
      </x:c>
      <x:c r="V1388" s="26" t="d">
        <x:v>2026-10-02T00:00:00.000Z</x:v>
      </x:c>
      <x:c r="W1388" s="26" t="d">
        <x:v>2026-10-02T00:00:00.000Z</x:v>
      </x:c>
      <x:c r="X1388" s="25" t="str">
        <x:v>CashHomeBuyersDirectory third-party business listing; first-party business activity not checked in this batch</x:v>
      </x:c>
      <x:c r="Y1388" s="25"/>
      <x:c r="Z1388" s="25" t="str">
        <x:v>https://www.cashhomebuyersdirectory.com/cash-home-buyers/california/san-diego</x:v>
      </x:c>
      <x:c r="AA1388" s="25" t="str">
        <x:v>Public cash-home-buyer directory lists the business name, business phone/website where available and market. Operator role and corporate funding willingness require confirmation.</x:v>
      </x:c>
      <x:c r="AB1388" s="3" t="str">
        <x:v>New public-source collection</x:v>
      </x:c>
      <x:c r="AC1388" s="3" t="str">
        <x:v>unverified</x:v>
      </x:c>
      <x:c r="AD1388" s="3" t="str">
        <x:v>Not contacted / unconfirmed</x:v>
      </x:c>
      <x:c r="AE1388" s="3" t="str">
        <x:v>No</x:v>
      </x:c>
      <x:c r="AF1388" s="3" t="str">
        <x:v>No</x:v>
      </x:c>
      <x:c r="AG1388" s="3"/>
      <x:c r="AH1388" s="3"/>
      <x:c r="AI1388" s="18"/>
      <x:c r="AJ1388" s="3" t="str">
        <x:v>CF2500-46014BDFF52F</x:v>
      </x:c>
      <x:c r="AK1388" s="3" t="str">
        <x:v>real_estate_operator</x:v>
      </x:c>
      <x:c r="AL1388" s="19" t="n">
        <x:v>100000</x:v>
      </x:c>
      <x:c r="AM1388" s="19" t="n">
        <x:v>500000</x:v>
      </x:c>
      <x:c r="AN1388" s="3" t="str">
        <x:v>https://www.cashhomebuyersdirectory.com/cash-home-buyers/california/san-diego</x:v>
      </x:c>
      <x:c r="AO1388" s="3" t="str">
        <x:v>national_rest_directory_complete.jsonl</x:v>
      </x:c>
      <x:c r="AP1388" s="19"/>
    </x:row>
    <x:row r="1389" ht="36" customHeight="1">
      <x:c r="A1389" s="23" t="n">
        <x:v>1388</x:v>
      </x:c>
      <x:c r="B1389" s="15" t="str">
        <x:v>Zoe Home Buyers LLC</x:v>
      </x:c>
      <x:c r="C1389" s="15"/>
      <x:c r="D1389" s="15" t="str">
        <x:v>Property investor / home-buying operator</x:v>
      </x:c>
      <x:c r="E1389" s="15" t="str">
        <x:v>Property investor / operator inquiry</x:v>
      </x:c>
      <x:c r="F1389" s="17" t="str">
        <x:v>New</x:v>
      </x:c>
      <x:c r="G1389" s="24"/>
      <x:c r="H1389" s="24" t="str">
        <x:v>+13185887134</x:v>
      </x:c>
      <x:c r="I1389" s="24" t="str">
        <x:v>https://www.zoehomebuyersllc.com/</x:v>
      </x:c>
      <x:c r="J1389" s="16" t="str">
        <x:v>LA</x:v>
      </x:c>
      <x:c r="K1389" s="16"/>
      <x:c r="L1389" s="16" t="str">
        <x:v>Public property-business route; investor decision maker unconfirmed</x:v>
      </x:c>
      <x:c r="M1389" s="16" t="str">
        <x:v>https://www.zoehomebuyersllc.com/</x:v>
      </x:c>
      <x:c r="N1389" s="16" t="str">
        <x:v>$100K-$500K ticket not published / unconfirmed</x:v>
      </x:c>
      <x:c r="O1389" s="20"/>
      <x:c r="P1389" s="20"/>
      <x:c r="Q1389" s="25" t="str">
        <x:v>No direct corporate-capital range established in checked source</x:v>
      </x:c>
      <x:c r="R1389" s="25" t="str">
        <x:v>Property acquisition or investor activity makes this an operator-capital prospect for the signed trial. Confirm operating-company debt/equity appetite.</x:v>
      </x:c>
      <x:c r="S1389" s="25"/>
      <x:c r="T1389" s="25" t="str">
        <x:v>Ask the owner/investor whether they can allocate $100K-$500K to trial marketing and acquisitions, and confirm structure, timing and decision authority.</x:v>
      </x:c>
      <x:c r="U1389" s="25" t="str">
        <x:v>https://www.cashhomebuyersdirectory.com/cash-home-buyers/louisiana/shreveport</x:v>
      </x:c>
      <x:c r="V1389" s="26" t="d">
        <x:v>2026-10-02T00:00:00.000Z</x:v>
      </x:c>
      <x:c r="W1389" s="26" t="d">
        <x:v>2026-10-02T00:00:00.000Z</x:v>
      </x:c>
      <x:c r="X1389" s="25" t="str">
        <x:v>CashHomeBuyersDirectory third-party business listing; first-party business activity not checked in this batch</x:v>
      </x:c>
      <x:c r="Y1389" s="25"/>
      <x:c r="Z1389" s="25" t="str">
        <x:v>https://www.cashhomebuyersdirectory.com/cash-home-buyers/louisiana/shreveport</x:v>
      </x:c>
      <x:c r="AA1389" s="25" t="str">
        <x:v>Public cash-home-buyer directory lists the business name, business phone/website where available and market. Operator role and corporate funding willingness require confirmation.</x:v>
      </x:c>
      <x:c r="AB1389" s="3" t="str">
        <x:v>New public-source collection</x:v>
      </x:c>
      <x:c r="AC1389" s="3" t="str">
        <x:v>unverified</x:v>
      </x:c>
      <x:c r="AD1389" s="3" t="str">
        <x:v>Not contacted / unconfirmed</x:v>
      </x:c>
      <x:c r="AE1389" s="3" t="str">
        <x:v>No</x:v>
      </x:c>
      <x:c r="AF1389" s="3" t="str">
        <x:v>No</x:v>
      </x:c>
      <x:c r="AG1389" s="3"/>
      <x:c r="AH1389" s="3"/>
      <x:c r="AI1389" s="18"/>
      <x:c r="AJ1389" s="3" t="str">
        <x:v>CF2500-1F557F36E4D6</x:v>
      </x:c>
      <x:c r="AK1389" s="3" t="str">
        <x:v>real_estate_operator</x:v>
      </x:c>
      <x:c r="AL1389" s="19" t="n">
        <x:v>100000</x:v>
      </x:c>
      <x:c r="AM1389" s="19" t="n">
        <x:v>500000</x:v>
      </x:c>
      <x:c r="AN1389" s="3" t="str">
        <x:v>https://www.cashhomebuyersdirectory.com/cash-home-buyers/louisiana/shreveport</x:v>
      </x:c>
      <x:c r="AO1389" s="3" t="str">
        <x:v>national_rest_directory_complete.jsonl</x:v>
      </x:c>
      <x:c r="AP1389" s="19"/>
    </x:row>
    <x:row r="1390" ht="36" customHeight="1">
      <x:c r="A1390" s="23" t="n">
        <x:v>1389</x:v>
      </x:c>
      <x:c r="B1390" s="15" t="str">
        <x:v>ABC Home Buyers, LLC</x:v>
      </x:c>
      <x:c r="C1390" s="15"/>
      <x:c r="D1390" s="15" t="str">
        <x:v>Property investor / home-buying operator</x:v>
      </x:c>
      <x:c r="E1390" s="15" t="str">
        <x:v>Property investor / operator inquiry</x:v>
      </x:c>
      <x:c r="F1390" s="17" t="str">
        <x:v>New</x:v>
      </x:c>
      <x:c r="G1390" s="24"/>
      <x:c r="H1390" s="24" t="str">
        <x:v>+14842841122</x:v>
      </x:c>
      <x:c r="I1390" s="24"/>
      <x:c r="J1390" s="16" t="str">
        <x:v>PA</x:v>
      </x:c>
      <x:c r="K1390" s="16" t="str">
        <x:v>Allentown</x:v>
      </x:c>
      <x:c r="L1390" s="16" t="str">
        <x:v>Public property-business route; investor decision maker unconfirmed</x:v>
      </x:c>
      <x:c r="M1390" s="16"/>
      <x:c r="N1390" s="16" t="str">
        <x:v>$100K-$500K ticket not published / unconfirmed</x:v>
      </x:c>
      <x:c r="O1390" s="20"/>
      <x:c r="P1390" s="20"/>
      <x:c r="Q1390" s="25" t="str">
        <x:v>No direct corporate-capital range established in checked source</x:v>
      </x:c>
      <x:c r="R1390" s="25" t="str">
        <x:v>Property acquisition or investor activity makes this an operator-capital prospect for the signed trial. Confirm operating-company debt/equity appetite.</x:v>
      </x:c>
      <x:c r="S1390" s="25"/>
      <x:c r="T1390" s="25" t="str">
        <x:v>Ask the owner/investor whether they can allocate $100K-$500K to trial marketing and acquisitions, and confirm structure, timing and decision authority.</x:v>
      </x:c>
      <x:c r="U1390" s="25" t="str">
        <x:v>https://www.cashhomebuyersdirectory.com/cash-home-buyers/pennsylvania/allentown</x:v>
      </x:c>
      <x:c r="V1390" s="26" t="d">
        <x:v>2026-10-02T00:00:00.000Z</x:v>
      </x:c>
      <x:c r="W1390" s="26" t="d">
        <x:v>2026-10-02T00:00:00.000Z</x:v>
      </x:c>
      <x:c r="X1390" s="25" t="str">
        <x:v>CashHomeBuyersDirectory third-party business listing; first-party business activity not checked in this batch</x:v>
      </x:c>
      <x:c r="Y1390" s="25"/>
      <x:c r="Z1390" s="25" t="str">
        <x:v>https://www.cashhomebuyersdirectory.com/cash-home-buyers/pennsylvania/allentown</x:v>
      </x:c>
      <x:c r="AA1390" s="25" t="str">
        <x:v>Public cash-home-buyer directory lists the business name, business phone/website where available and market. Operator role and corporate funding willingness require confirmation.</x:v>
      </x:c>
      <x:c r="AB1390" s="3" t="str">
        <x:v>New public-source collection</x:v>
      </x:c>
      <x:c r="AC1390" s="3" t="str">
        <x:v>unverified</x:v>
      </x:c>
      <x:c r="AD1390" s="3" t="str">
        <x:v>Not contacted / unconfirmed</x:v>
      </x:c>
      <x:c r="AE1390" s="3" t="str">
        <x:v>No</x:v>
      </x:c>
      <x:c r="AF1390" s="3" t="str">
        <x:v>No</x:v>
      </x:c>
      <x:c r="AG1390" s="3"/>
      <x:c r="AH1390" s="3"/>
      <x:c r="AI1390" s="18"/>
      <x:c r="AJ1390" s="3" t="str">
        <x:v>CF2500-7AB3A5042D98</x:v>
      </x:c>
      <x:c r="AK1390" s="3" t="str">
        <x:v>real_estate_operator</x:v>
      </x:c>
      <x:c r="AL1390" s="19" t="n">
        <x:v>100000</x:v>
      </x:c>
      <x:c r="AM1390" s="19" t="n">
        <x:v>500000</x:v>
      </x:c>
      <x:c r="AN1390" s="3" t="str">
        <x:v>https://www.cashhomebuyersdirectory.com/cash-home-buyers/pennsylvania/allentown</x:v>
      </x:c>
      <x:c r="AO1390" s="3" t="str">
        <x:v>national_rest_directory_complete.jsonl</x:v>
      </x:c>
      <x:c r="AP1390" s="19"/>
    </x:row>
    <x:row r="1391" ht="36" customHeight="1">
      <x:c r="A1391" s="23" t="n">
        <x:v>1390</x:v>
      </x:c>
      <x:c r="B1391" s="15" t="str">
        <x:v>Acorn Home Buyers, LLC</x:v>
      </x:c>
      <x:c r="C1391" s="15"/>
      <x:c r="D1391" s="15" t="str">
        <x:v>Property investor / home-buying operator</x:v>
      </x:c>
      <x:c r="E1391" s="15" t="str">
        <x:v>Property investor / operator inquiry</x:v>
      </x:c>
      <x:c r="F1391" s="17" t="str">
        <x:v>New</x:v>
      </x:c>
      <x:c r="G1391" s="24"/>
      <x:c r="H1391" s="24" t="str">
        <x:v>+15134022676</x:v>
      </x:c>
      <x:c r="I1391" s="24"/>
      <x:c r="J1391" s="16" t="str">
        <x:v>OH</x:v>
      </x:c>
      <x:c r="K1391" s="16" t="str">
        <x:v>Cincinnati</x:v>
      </x:c>
      <x:c r="L1391" s="16" t="str">
        <x:v>Public property-business route; investor decision maker unconfirmed</x:v>
      </x:c>
      <x:c r="M1391" s="16"/>
      <x:c r="N1391" s="16" t="str">
        <x:v>$100K-$500K ticket not published / unconfirmed</x:v>
      </x:c>
      <x:c r="O1391" s="20"/>
      <x:c r="P1391" s="20"/>
      <x:c r="Q1391" s="25" t="str">
        <x:v>No direct corporate-capital range established in checked source</x:v>
      </x:c>
      <x:c r="R1391" s="25" t="str">
        <x:v>Property acquisition or investor activity makes this an operator-capital prospect for the signed trial. Confirm operating-company debt/equity appetite.</x:v>
      </x:c>
      <x:c r="S1391" s="25"/>
      <x:c r="T1391" s="25" t="str">
        <x:v>Ask the owner/investor whether they can allocate $100K-$500K to trial marketing and acquisitions, and confirm structure, timing and decision authority.</x:v>
      </x:c>
      <x:c r="U1391" s="25" t="str">
        <x:v>https://www.cashhomebuyersdirectory.com/cash-home-buyers/ohio/cincinnati</x:v>
      </x:c>
      <x:c r="V1391" s="26" t="d">
        <x:v>2026-10-02T00:00:00.000Z</x:v>
      </x:c>
      <x:c r="W1391" s="26" t="d">
        <x:v>2026-10-02T00:00:00.000Z</x:v>
      </x:c>
      <x:c r="X1391" s="25" t="str">
        <x:v>CashHomeBuyersDirectory third-party business listing; first-party business activity not checked in this batch</x:v>
      </x:c>
      <x:c r="Y1391" s="25"/>
      <x:c r="Z1391" s="25" t="str">
        <x:v>https://www.cashhomebuyersdirectory.com/cash-home-buyers/ohio/cincinnati</x:v>
      </x:c>
      <x:c r="AA1391" s="25" t="str">
        <x:v>Public cash-home-buyer directory lists the business name, business phone/website where available and market. Operator role and corporate funding willingness require confirmation.</x:v>
      </x:c>
      <x:c r="AB1391" s="3" t="str">
        <x:v>New public-source collection</x:v>
      </x:c>
      <x:c r="AC1391" s="3" t="str">
        <x:v>unverified</x:v>
      </x:c>
      <x:c r="AD1391" s="3" t="str">
        <x:v>Not contacted / unconfirmed</x:v>
      </x:c>
      <x:c r="AE1391" s="3" t="str">
        <x:v>No</x:v>
      </x:c>
      <x:c r="AF1391" s="3" t="str">
        <x:v>No</x:v>
      </x:c>
      <x:c r="AG1391" s="3"/>
      <x:c r="AH1391" s="3"/>
      <x:c r="AI1391" s="18"/>
      <x:c r="AJ1391" s="3" t="str">
        <x:v>CF2500-FF77568C4652</x:v>
      </x:c>
      <x:c r="AK1391" s="3" t="str">
        <x:v>real_estate_operator</x:v>
      </x:c>
      <x:c r="AL1391" s="19" t="n">
        <x:v>100000</x:v>
      </x:c>
      <x:c r="AM1391" s="19" t="n">
        <x:v>500000</x:v>
      </x:c>
      <x:c r="AN1391" s="3" t="str">
        <x:v>https://www.cashhomebuyersdirectory.com/cash-home-buyers/ohio/cincinnati</x:v>
      </x:c>
      <x:c r="AO1391" s="3" t="str">
        <x:v>national_rest_directory_complete.jsonl</x:v>
      </x:c>
      <x:c r="AP1391" s="19"/>
    </x:row>
    <x:row r="1392" ht="36" customHeight="1">
      <x:c r="A1392" s="23" t="n">
        <x:v>1391</x:v>
      </x:c>
      <x:c r="B1392" s="15" t="str">
        <x:v>Bay Home Investments</x:v>
      </x:c>
      <x:c r="C1392" s="15"/>
      <x:c r="D1392" s="15" t="str">
        <x:v>Property investor / home-buying operator</x:v>
      </x:c>
      <x:c r="E1392" s="15" t="str">
        <x:v>Property investor / operator inquiry</x:v>
      </x:c>
      <x:c r="F1392" s="17" t="str">
        <x:v>New</x:v>
      </x:c>
      <x:c r="G1392" s="24"/>
      <x:c r="H1392" s="24" t="str">
        <x:v>+14155708157</x:v>
      </x:c>
      <x:c r="I1392" s="24"/>
      <x:c r="J1392" s="16" t="str">
        <x:v>CA</x:v>
      </x:c>
      <x:c r="K1392" s="16"/>
      <x:c r="L1392" s="16" t="str">
        <x:v>Public property-business route; investor decision maker unconfirmed</x:v>
      </x:c>
      <x:c r="M1392" s="16"/>
      <x:c r="N1392" s="16" t="str">
        <x:v>$100K-$500K ticket not published / unconfirmed</x:v>
      </x:c>
      <x:c r="O1392" s="20"/>
      <x:c r="P1392" s="20"/>
      <x:c r="Q1392" s="25" t="str">
        <x:v>No direct corporate-capital range established in checked source</x:v>
      </x:c>
      <x:c r="R1392" s="25" t="str">
        <x:v>Property acquisition or investor activity makes this an operator-capital prospect for the signed trial. Confirm operating-company debt/equity appetite.</x:v>
      </x:c>
      <x:c r="S1392" s="25"/>
      <x:c r="T1392" s="25" t="str">
        <x:v>Ask the owner/investor whether they can allocate $100K-$500K to trial marketing and acquisitions, and confirm structure, timing and decision authority.</x:v>
      </x:c>
      <x:c r="U1392" s="25" t="str">
        <x:v>https://www.cashhomebuyersdirectory.com/cash-home-buyers/california/san-francisco</x:v>
      </x:c>
      <x:c r="V1392" s="26" t="d">
        <x:v>2026-10-02T00:00:00.000Z</x:v>
      </x:c>
      <x:c r="W1392" s="26" t="d">
        <x:v>2026-10-02T00:00:00.000Z</x:v>
      </x:c>
      <x:c r="X1392" s="25" t="str">
        <x:v>CashHomeBuyersDirectory third-party business listing; first-party business activity not checked in this batch</x:v>
      </x:c>
      <x:c r="Y1392" s="25"/>
      <x:c r="Z1392" s="25" t="str">
        <x:v>https://www.cashhomebuyersdirectory.com/cash-home-buyers/california/san-francisco</x:v>
      </x:c>
      <x:c r="AA1392" s="25" t="str">
        <x:v>Public cash-home-buyer directory lists the business name, business phone/website where available and market. Operator role and corporate funding willingness require confirmation.</x:v>
      </x:c>
      <x:c r="AB1392" s="3" t="str">
        <x:v>New public-source collection</x:v>
      </x:c>
      <x:c r="AC1392" s="3" t="str">
        <x:v>unverified</x:v>
      </x:c>
      <x:c r="AD1392" s="3" t="str">
        <x:v>Not contacted / unconfirmed</x:v>
      </x:c>
      <x:c r="AE1392" s="3" t="str">
        <x:v>No</x:v>
      </x:c>
      <x:c r="AF1392" s="3" t="str">
        <x:v>No</x:v>
      </x:c>
      <x:c r="AG1392" s="3"/>
      <x:c r="AH1392" s="3"/>
      <x:c r="AI1392" s="18"/>
      <x:c r="AJ1392" s="3" t="str">
        <x:v>CF2500-4A9A0A2B5DD9</x:v>
      </x:c>
      <x:c r="AK1392" s="3" t="str">
        <x:v>real_estate_operator</x:v>
      </x:c>
      <x:c r="AL1392" s="19" t="n">
        <x:v>100000</x:v>
      </x:c>
      <x:c r="AM1392" s="19" t="n">
        <x:v>500000</x:v>
      </x:c>
      <x:c r="AN1392" s="3" t="str">
        <x:v>https://www.cashhomebuyersdirectory.com/cash-home-buyers/california/san-francisco</x:v>
      </x:c>
      <x:c r="AO1392" s="3" t="str">
        <x:v>national_rest_directory_complete.jsonl</x:v>
      </x:c>
      <x:c r="AP1392" s="19"/>
    </x:row>
    <x:row r="1393" ht="36" customHeight="1">
      <x:c r="A1393" s="23" t="n">
        <x:v>1392</x:v>
      </x:c>
      <x:c r="B1393" s="15" t="str">
        <x:v>Benchmark Home Buyers</x:v>
      </x:c>
      <x:c r="C1393" s="15"/>
      <x:c r="D1393" s="15" t="str">
        <x:v>Property investor / home-buying operator</x:v>
      </x:c>
      <x:c r="E1393" s="15" t="str">
        <x:v>Property investor / operator inquiry</x:v>
      </x:c>
      <x:c r="F1393" s="17" t="str">
        <x:v>New</x:v>
      </x:c>
      <x:c r="G1393" s="24"/>
      <x:c r="H1393" s="24" t="str">
        <x:v>+12088667596</x:v>
      </x:c>
      <x:c r="I1393" s="24"/>
      <x:c r="J1393" s="16" t="str">
        <x:v>ID</x:v>
      </x:c>
      <x:c r="K1393" s="16" t="str">
        <x:v>Boise</x:v>
      </x:c>
      <x:c r="L1393" s="16" t="str">
        <x:v>Public property-business route; investor decision maker unconfirmed</x:v>
      </x:c>
      <x:c r="M1393" s="16"/>
      <x:c r="N1393" s="16" t="str">
        <x:v>$100K-$500K ticket not published / unconfirmed</x:v>
      </x:c>
      <x:c r="O1393" s="20"/>
      <x:c r="P1393" s="20"/>
      <x:c r="Q1393" s="25" t="str">
        <x:v>No direct corporate-capital range established in checked source</x:v>
      </x:c>
      <x:c r="R1393" s="25" t="str">
        <x:v>Property acquisition or investor activity makes this an operator-capital prospect for the signed trial. Confirm operating-company debt/equity appetite.</x:v>
      </x:c>
      <x:c r="S1393" s="25"/>
      <x:c r="T1393" s="25" t="str">
        <x:v>Ask the owner/investor whether they can allocate $100K-$500K to trial marketing and acquisitions, and confirm structure, timing and decision authority.</x:v>
      </x:c>
      <x:c r="U1393" s="25" t="str">
        <x:v>https://www.cashhomebuyersdirectory.com/cash-home-buyers/idaho/boise</x:v>
      </x:c>
      <x:c r="V1393" s="26" t="d">
        <x:v>2026-10-02T00:00:00.000Z</x:v>
      </x:c>
      <x:c r="W1393" s="26" t="d">
        <x:v>2026-10-02T00:00:00.000Z</x:v>
      </x:c>
      <x:c r="X1393" s="25" t="str">
        <x:v>CashHomeBuyersDirectory third-party business listing; first-party business activity not checked in this batch</x:v>
      </x:c>
      <x:c r="Y1393" s="25"/>
      <x:c r="Z1393" s="25" t="str">
        <x:v>https://www.cashhomebuyersdirectory.com/cash-home-buyers/idaho/boise</x:v>
      </x:c>
      <x:c r="AA1393" s="25" t="str">
        <x:v>Public cash-home-buyer directory lists the business name, business phone/website where available and market. Operator role and corporate funding willingness require confirmation.</x:v>
      </x:c>
      <x:c r="AB1393" s="3" t="str">
        <x:v>New public-source collection</x:v>
      </x:c>
      <x:c r="AC1393" s="3" t="str">
        <x:v>unverified</x:v>
      </x:c>
      <x:c r="AD1393" s="3" t="str">
        <x:v>Not contacted / unconfirmed</x:v>
      </x:c>
      <x:c r="AE1393" s="3" t="str">
        <x:v>No</x:v>
      </x:c>
      <x:c r="AF1393" s="3" t="str">
        <x:v>No</x:v>
      </x:c>
      <x:c r="AG1393" s="3"/>
      <x:c r="AH1393" s="3"/>
      <x:c r="AI1393" s="18"/>
      <x:c r="AJ1393" s="3" t="str">
        <x:v>CF2500-F07BCECC54D0</x:v>
      </x:c>
      <x:c r="AK1393" s="3" t="str">
        <x:v>real_estate_operator</x:v>
      </x:c>
      <x:c r="AL1393" s="19" t="n">
        <x:v>100000</x:v>
      </x:c>
      <x:c r="AM1393" s="19" t="n">
        <x:v>500000</x:v>
      </x:c>
      <x:c r="AN1393" s="3" t="str">
        <x:v>https://www.cashhomebuyersdirectory.com/cash-home-buyers/idaho/boise</x:v>
      </x:c>
      <x:c r="AO1393" s="3" t="str">
        <x:v>national_rest_directory_complete.jsonl</x:v>
      </x:c>
      <x:c r="AP1393" s="19"/>
    </x:row>
    <x:row r="1394" ht="36" customHeight="1">
      <x:c r="A1394" s="23" t="n">
        <x:v>1393</x:v>
      </x:c>
      <x:c r="B1394" s="15" t="str">
        <x:v>Bolden Properties LLC (Cash Home Buyer)</x:v>
      </x:c>
      <x:c r="C1394" s="15"/>
      <x:c r="D1394" s="15" t="str">
        <x:v>Property investor / home-buying operator</x:v>
      </x:c>
      <x:c r="E1394" s="15" t="str">
        <x:v>Property investor / operator inquiry</x:v>
      </x:c>
      <x:c r="F1394" s="17" t="str">
        <x:v>New</x:v>
      </x:c>
      <x:c r="G1394" s="24"/>
      <x:c r="H1394" s="24" t="str">
        <x:v>+17577854307</x:v>
      </x:c>
      <x:c r="I1394" s="24"/>
      <x:c r="J1394" s="16" t="str">
        <x:v>VA</x:v>
      </x:c>
      <x:c r="K1394" s="16" t="str">
        <x:v>Hampton</x:v>
      </x:c>
      <x:c r="L1394" s="16" t="str">
        <x:v>Public property-business route; investor decision maker unconfirmed</x:v>
      </x:c>
      <x:c r="M1394" s="16"/>
      <x:c r="N1394" s="16" t="str">
        <x:v>$100K-$500K ticket not published / unconfirmed</x:v>
      </x:c>
      <x:c r="O1394" s="20"/>
      <x:c r="P1394" s="20"/>
      <x:c r="Q1394" s="25" t="str">
        <x:v>No direct corporate-capital range established in checked source</x:v>
      </x:c>
      <x:c r="R1394" s="25" t="str">
        <x:v>Property acquisition or investor activity makes this an operator-capital prospect for the signed trial. Confirm operating-company debt/equity appetite.</x:v>
      </x:c>
      <x:c r="S1394" s="25"/>
      <x:c r="T1394" s="25" t="str">
        <x:v>Ask the owner/investor whether they can allocate $100K-$500K to trial marketing and acquisitions, and confirm structure, timing and decision authority.</x:v>
      </x:c>
      <x:c r="U1394" s="25" t="str">
        <x:v>https://www.cashhomebuyersdirectory.com/cash-home-buyers/virginia/hampton</x:v>
      </x:c>
      <x:c r="V1394" s="26" t="d">
        <x:v>2026-10-02T00:00:00.000Z</x:v>
      </x:c>
      <x:c r="W1394" s="26" t="d">
        <x:v>2026-10-02T00:00:00.000Z</x:v>
      </x:c>
      <x:c r="X1394" s="25" t="str">
        <x:v>CashHomeBuyersDirectory third-party business listing; first-party business activity not checked in this batch</x:v>
      </x:c>
      <x:c r="Y1394" s="25"/>
      <x:c r="Z1394" s="25" t="str">
        <x:v>https://www.cashhomebuyersdirectory.com/cash-home-buyers/virginia/hampton</x:v>
      </x:c>
      <x:c r="AA1394" s="25" t="str">
        <x:v>Public cash-home-buyer directory lists the business name, business phone/website where available and market. Operator role and corporate funding willingness require confirmation.</x:v>
      </x:c>
      <x:c r="AB1394" s="3" t="str">
        <x:v>New public-source collection</x:v>
      </x:c>
      <x:c r="AC1394" s="3" t="str">
        <x:v>unverified</x:v>
      </x:c>
      <x:c r="AD1394" s="3" t="str">
        <x:v>Not contacted / unconfirmed</x:v>
      </x:c>
      <x:c r="AE1394" s="3" t="str">
        <x:v>No</x:v>
      </x:c>
      <x:c r="AF1394" s="3" t="str">
        <x:v>No</x:v>
      </x:c>
      <x:c r="AG1394" s="3"/>
      <x:c r="AH1394" s="3"/>
      <x:c r="AI1394" s="18"/>
      <x:c r="AJ1394" s="3" t="str">
        <x:v>CF2500-11ACF5566832</x:v>
      </x:c>
      <x:c r="AK1394" s="3" t="str">
        <x:v>real_estate_operator</x:v>
      </x:c>
      <x:c r="AL1394" s="19" t="n">
        <x:v>100000</x:v>
      </x:c>
      <x:c r="AM1394" s="19" t="n">
        <x:v>500000</x:v>
      </x:c>
      <x:c r="AN1394" s="3" t="str">
        <x:v>https://www.cashhomebuyersdirectory.com/cash-home-buyers/virginia/hampton</x:v>
      </x:c>
      <x:c r="AO1394" s="3" t="str">
        <x:v>national_rest_directory_complete.jsonl</x:v>
      </x:c>
      <x:c r="AP1394" s="19"/>
    </x:row>
    <x:row r="1395" ht="36" customHeight="1">
      <x:c r="A1395" s="23" t="n">
        <x:v>1394</x:v>
      </x:c>
      <x:c r="B1395" s="15" t="str">
        <x:v>Buy and Sell Homes in Brown County, Ohio</x:v>
      </x:c>
      <x:c r="C1395" s="15"/>
      <x:c r="D1395" s="15" t="str">
        <x:v>Property investor / home-buying operator</x:v>
      </x:c>
      <x:c r="E1395" s="15" t="str">
        <x:v>Property investor / operator inquiry</x:v>
      </x:c>
      <x:c r="F1395" s="17" t="str">
        <x:v>New</x:v>
      </x:c>
      <x:c r="G1395" s="24"/>
      <x:c r="H1395" s="24" t="str">
        <x:v>+19372050691</x:v>
      </x:c>
      <x:c r="I1395" s="24"/>
      <x:c r="J1395" s="16" t="str">
        <x:v>OH</x:v>
      </x:c>
      <x:c r="K1395" s="16" t="str">
        <x:v>Sardinia</x:v>
      </x:c>
      <x:c r="L1395" s="16" t="str">
        <x:v>Public property-business route; investor decision maker unconfirmed</x:v>
      </x:c>
      <x:c r="M1395" s="16"/>
      <x:c r="N1395" s="16" t="str">
        <x:v>$100K-$500K ticket not published / unconfirmed</x:v>
      </x:c>
      <x:c r="O1395" s="20"/>
      <x:c r="P1395" s="20"/>
      <x:c r="Q1395" s="25" t="str">
        <x:v>No direct corporate-capital range established in checked source</x:v>
      </x:c>
      <x:c r="R1395" s="25" t="str">
        <x:v>Property acquisition or investor activity makes this an operator-capital prospect for the signed trial. Confirm operating-company debt/equity appetite.</x:v>
      </x:c>
      <x:c r="S1395" s="25"/>
      <x:c r="T1395" s="25" t="str">
        <x:v>Ask the owner/investor whether they can allocate $100K-$500K to trial marketing and acquisitions, and confirm structure, timing and decision authority.</x:v>
      </x:c>
      <x:c r="U1395" s="25" t="str">
        <x:v>https://www.cashhomebuyersdirectory.com/cash-home-buyers/ohio/sardinia</x:v>
      </x:c>
      <x:c r="V1395" s="26" t="d">
        <x:v>2026-10-02T00:00:00.000Z</x:v>
      </x:c>
      <x:c r="W1395" s="26" t="d">
        <x:v>2026-10-02T00:00:00.000Z</x:v>
      </x:c>
      <x:c r="X1395" s="25" t="str">
        <x:v>CashHomeBuyersDirectory third-party business listing; first-party business activity not checked in this batch</x:v>
      </x:c>
      <x:c r="Y1395" s="25"/>
      <x:c r="Z1395" s="25" t="str">
        <x:v>https://www.cashhomebuyersdirectory.com/cash-home-buyers/ohio/sardinia</x:v>
      </x:c>
      <x:c r="AA1395" s="25" t="str">
        <x:v>Public cash-home-buyer directory lists the business name, business phone/website where available and market. Operator role and corporate funding willingness require confirmation.</x:v>
      </x:c>
      <x:c r="AB1395" s="3" t="str">
        <x:v>New public-source collection</x:v>
      </x:c>
      <x:c r="AC1395" s="3" t="str">
        <x:v>unverified</x:v>
      </x:c>
      <x:c r="AD1395" s="3" t="str">
        <x:v>Not contacted / unconfirmed</x:v>
      </x:c>
      <x:c r="AE1395" s="3" t="str">
        <x:v>No</x:v>
      </x:c>
      <x:c r="AF1395" s="3" t="str">
        <x:v>No</x:v>
      </x:c>
      <x:c r="AG1395" s="3"/>
      <x:c r="AH1395" s="3"/>
      <x:c r="AI1395" s="18"/>
      <x:c r="AJ1395" s="3" t="str">
        <x:v>CF2500-6CEEBF5CC5B3</x:v>
      </x:c>
      <x:c r="AK1395" s="3" t="str">
        <x:v>real_estate_operator</x:v>
      </x:c>
      <x:c r="AL1395" s="19" t="n">
        <x:v>100000</x:v>
      </x:c>
      <x:c r="AM1395" s="19" t="n">
        <x:v>500000</x:v>
      </x:c>
      <x:c r="AN1395" s="3" t="str">
        <x:v>https://www.cashhomebuyersdirectory.com/cash-home-buyers/ohio/sardinia</x:v>
      </x:c>
      <x:c r="AO1395" s="3" t="str">
        <x:v>national_rest_directory_complete.jsonl</x:v>
      </x:c>
      <x:c r="AP1395" s="19"/>
    </x:row>
    <x:row r="1396" ht="36" customHeight="1">
      <x:c r="A1396" s="23" t="n">
        <x:v>1395</x:v>
      </x:c>
      <x:c r="B1396" s="15" t="str">
        <x:v>Buy House, Buy a House,Rent,Rent to own,Rentals,Good Neighbor Investments, LLC</x:v>
      </x:c>
      <x:c r="C1396" s="15"/>
      <x:c r="D1396" s="15" t="str">
        <x:v>Property investor / home-buying operator</x:v>
      </x:c>
      <x:c r="E1396" s="15" t="str">
        <x:v>Property investor / operator inquiry</x:v>
      </x:c>
      <x:c r="F1396" s="17" t="str">
        <x:v>New</x:v>
      </x:c>
      <x:c r="G1396" s="24"/>
      <x:c r="H1396" s="24" t="str">
        <x:v>+18006704612</x:v>
      </x:c>
      <x:c r="I1396" s="24"/>
      <x:c r="J1396" s="16" t="str">
        <x:v>OH</x:v>
      </x:c>
      <x:c r="K1396" s="16"/>
      <x:c r="L1396" s="16" t="str">
        <x:v>Public property-business route; investor decision maker unconfirmed</x:v>
      </x:c>
      <x:c r="M1396" s="16"/>
      <x:c r="N1396" s="16" t="str">
        <x:v>$100K-$500K ticket not published / unconfirmed</x:v>
      </x:c>
      <x:c r="O1396" s="20"/>
      <x:c r="P1396" s="20"/>
      <x:c r="Q1396" s="25" t="str">
        <x:v>No direct corporate-capital range established in checked source</x:v>
      </x:c>
      <x:c r="R1396" s="25" t="str">
        <x:v>Property acquisition or investor activity makes this an operator-capital prospect for the signed trial. Confirm operating-company debt/equity appetite.</x:v>
      </x:c>
      <x:c r="S1396" s="25"/>
      <x:c r="T1396" s="25" t="str">
        <x:v>Ask the owner/investor whether they can allocate $100K-$500K to trial marketing and acquisitions, and confirm structure, timing and decision authority.</x:v>
      </x:c>
      <x:c r="U1396" s="25" t="str">
        <x:v>https://www.cashhomebuyersdirectory.com/cash-home-buyers/ohio/poland</x:v>
      </x:c>
      <x:c r="V1396" s="26" t="d">
        <x:v>2026-10-02T00:00:00.000Z</x:v>
      </x:c>
      <x:c r="W1396" s="26" t="d">
        <x:v>2026-10-02T00:00:00.000Z</x:v>
      </x:c>
      <x:c r="X1396" s="25" t="str">
        <x:v>CashHomeBuyersDirectory third-party business listing; first-party business activity not checked in this batch</x:v>
      </x:c>
      <x:c r="Y1396" s="25"/>
      <x:c r="Z1396" s="25" t="str">
        <x:v>https://www.cashhomebuyersdirectory.com/cash-home-buyers/ohio/poland</x:v>
      </x:c>
      <x:c r="AA1396" s="25" t="str">
        <x:v>Public cash-home-buyer directory lists the business name, business phone/website where available and market. Operator role and corporate funding willingness require confirmation.</x:v>
      </x:c>
      <x:c r="AB1396" s="3" t="str">
        <x:v>New public-source collection</x:v>
      </x:c>
      <x:c r="AC1396" s="3" t="str">
        <x:v>unverified</x:v>
      </x:c>
      <x:c r="AD1396" s="3" t="str">
        <x:v>Not contacted / unconfirmed</x:v>
      </x:c>
      <x:c r="AE1396" s="3" t="str">
        <x:v>No</x:v>
      </x:c>
      <x:c r="AF1396" s="3" t="str">
        <x:v>No</x:v>
      </x:c>
      <x:c r="AG1396" s="3"/>
      <x:c r="AH1396" s="3"/>
      <x:c r="AI1396" s="18"/>
      <x:c r="AJ1396" s="3" t="str">
        <x:v>CF2500-10829E596CC2</x:v>
      </x:c>
      <x:c r="AK1396" s="3" t="str">
        <x:v>real_estate_operator</x:v>
      </x:c>
      <x:c r="AL1396" s="19" t="n">
        <x:v>100000</x:v>
      </x:c>
      <x:c r="AM1396" s="19" t="n">
        <x:v>500000</x:v>
      </x:c>
      <x:c r="AN1396" s="3" t="str">
        <x:v>https://www.cashhomebuyersdirectory.com/cash-home-buyers/ohio/poland</x:v>
      </x:c>
      <x:c r="AO1396" s="3" t="str">
        <x:v>national_rest_directory_complete.jsonl</x:v>
      </x:c>
      <x:c r="AP1396" s="19"/>
    </x:row>
    <x:row r="1397" ht="36" customHeight="1">
      <x:c r="A1397" s="23" t="n">
        <x:v>1396</x:v>
      </x:c>
      <x:c r="B1397" s="15" t="str">
        <x:v>Cash Offer Home Buyers - Sell House Fast - San Diego</x:v>
      </x:c>
      <x:c r="C1397" s="15"/>
      <x:c r="D1397" s="15" t="str">
        <x:v>Property investor / home-buying operator</x:v>
      </x:c>
      <x:c r="E1397" s="15" t="str">
        <x:v>Property investor / operator inquiry</x:v>
      </x:c>
      <x:c r="F1397" s="17" t="str">
        <x:v>New</x:v>
      </x:c>
      <x:c r="G1397" s="24"/>
      <x:c r="H1397" s="24" t="str">
        <x:v>+18582641900</x:v>
      </x:c>
      <x:c r="I1397" s="24"/>
      <x:c r="J1397" s="16" t="str">
        <x:v>CA</x:v>
      </x:c>
      <x:c r="K1397" s="16"/>
      <x:c r="L1397" s="16" t="str">
        <x:v>Public property-business route; investor decision maker unconfirmed</x:v>
      </x:c>
      <x:c r="M1397" s="16"/>
      <x:c r="N1397" s="16" t="str">
        <x:v>$100K-$500K ticket not published / unconfirmed</x:v>
      </x:c>
      <x:c r="O1397" s="20"/>
      <x:c r="P1397" s="20"/>
      <x:c r="Q1397" s="25" t="str">
        <x:v>No direct corporate-capital range established in checked source</x:v>
      </x:c>
      <x:c r="R1397" s="25" t="str">
        <x:v>Property acquisition or investor activity makes this an operator-capital prospect for the signed trial. Confirm operating-company debt/equity appetite.</x:v>
      </x:c>
      <x:c r="S1397" s="25"/>
      <x:c r="T1397" s="25" t="str">
        <x:v>Ask the owner/investor whether they can allocate $100K-$500K to trial marketing and acquisitions, and confirm structure, timing and decision authority.</x:v>
      </x:c>
      <x:c r="U1397" s="25" t="str">
        <x:v>https://www.cashhomebuyersdirectory.com/cash-home-buyers/california/san-diego</x:v>
      </x:c>
      <x:c r="V1397" s="26" t="d">
        <x:v>2026-10-02T00:00:00.000Z</x:v>
      </x:c>
      <x:c r="W1397" s="26" t="d">
        <x:v>2026-10-02T00:00:00.000Z</x:v>
      </x:c>
      <x:c r="X1397" s="25" t="str">
        <x:v>CashHomeBuyersDirectory third-party business listing; first-party business activity not checked in this batch</x:v>
      </x:c>
      <x:c r="Y1397" s="25"/>
      <x:c r="Z1397" s="25" t="str">
        <x:v>https://www.cashhomebuyersdirectory.com/cash-home-buyers/california/san-diego</x:v>
      </x:c>
      <x:c r="AA1397" s="25" t="str">
        <x:v>Public cash-home-buyer directory lists the business name, business phone/website where available and market. Operator role and corporate funding willingness require confirmation.</x:v>
      </x:c>
      <x:c r="AB1397" s="3" t="str">
        <x:v>New public-source collection</x:v>
      </x:c>
      <x:c r="AC1397" s="3" t="str">
        <x:v>unverified</x:v>
      </x:c>
      <x:c r="AD1397" s="3" t="str">
        <x:v>Not contacted / unconfirmed</x:v>
      </x:c>
      <x:c r="AE1397" s="3" t="str">
        <x:v>No</x:v>
      </x:c>
      <x:c r="AF1397" s="3" t="str">
        <x:v>No</x:v>
      </x:c>
      <x:c r="AG1397" s="3"/>
      <x:c r="AH1397" s="3"/>
      <x:c r="AI1397" s="18"/>
      <x:c r="AJ1397" s="3" t="str">
        <x:v>CF2500-415B31990CDF</x:v>
      </x:c>
      <x:c r="AK1397" s="3" t="str">
        <x:v>real_estate_operator</x:v>
      </x:c>
      <x:c r="AL1397" s="19" t="n">
        <x:v>100000</x:v>
      </x:c>
      <x:c r="AM1397" s="19" t="n">
        <x:v>500000</x:v>
      </x:c>
      <x:c r="AN1397" s="3" t="str">
        <x:v>https://www.cashhomebuyersdirectory.com/cash-home-buyers/california/san-diego</x:v>
      </x:c>
      <x:c r="AO1397" s="3" t="str">
        <x:v>national_rest_directory_complete.jsonl</x:v>
      </x:c>
      <x:c r="AP1397" s="19"/>
    </x:row>
    <x:row r="1398" ht="36" customHeight="1">
      <x:c r="A1398" s="23" t="n">
        <x:v>1397</x:v>
      </x:c>
      <x:c r="B1398" s="15" t="str">
        <x:v>Charm City Home Buyers, Inc</x:v>
      </x:c>
      <x:c r="C1398" s="15"/>
      <x:c r="D1398" s="15" t="str">
        <x:v>Property investor / home-buying operator</x:v>
      </x:c>
      <x:c r="E1398" s="15" t="str">
        <x:v>Property investor / operator inquiry</x:v>
      </x:c>
      <x:c r="F1398" s="17" t="str">
        <x:v>New</x:v>
      </x:c>
      <x:c r="G1398" s="24"/>
      <x:c r="H1398" s="24" t="str">
        <x:v>+14438255695</x:v>
      </x:c>
      <x:c r="I1398" s="24"/>
      <x:c r="J1398" s="16" t="str">
        <x:v>MD</x:v>
      </x:c>
      <x:c r="K1398" s="16" t="str">
        <x:v>Windsor Mill</x:v>
      </x:c>
      <x:c r="L1398" s="16" t="str">
        <x:v>Public property-business route; investor decision maker unconfirmed</x:v>
      </x:c>
      <x:c r="M1398" s="16"/>
      <x:c r="N1398" s="16" t="str">
        <x:v>$100K-$500K ticket not published / unconfirmed</x:v>
      </x:c>
      <x:c r="O1398" s="20"/>
      <x:c r="P1398" s="20"/>
      <x:c r="Q1398" s="25" t="str">
        <x:v>No direct corporate-capital range established in checked source</x:v>
      </x:c>
      <x:c r="R1398" s="25" t="str">
        <x:v>Property acquisition or investor activity makes this an operator-capital prospect for the signed trial. Confirm operating-company debt/equity appetite.</x:v>
      </x:c>
      <x:c r="S1398" s="25"/>
      <x:c r="T1398" s="25" t="str">
        <x:v>Ask the owner/investor whether they can allocate $100K-$500K to trial marketing and acquisitions, and confirm structure, timing and decision authority.</x:v>
      </x:c>
      <x:c r="U1398" s="25" t="str">
        <x:v>https://www.cashhomebuyersdirectory.com/cash-home-buyers/maryland/windsor-mill</x:v>
      </x:c>
      <x:c r="V1398" s="26" t="d">
        <x:v>2026-10-02T00:00:00.000Z</x:v>
      </x:c>
      <x:c r="W1398" s="26" t="d">
        <x:v>2026-10-02T00:00:00.000Z</x:v>
      </x:c>
      <x:c r="X1398" s="25" t="str">
        <x:v>CashHomeBuyersDirectory third-party business listing; first-party business activity not checked in this batch</x:v>
      </x:c>
      <x:c r="Y1398" s="25"/>
      <x:c r="Z1398" s="25" t="str">
        <x:v>https://www.cashhomebuyersdirectory.com/cash-home-buyers/maryland/windsor-mill</x:v>
      </x:c>
      <x:c r="AA1398" s="25" t="str">
        <x:v>Public cash-home-buyer directory lists the business name, business phone/website where available and market. Operator role and corporate funding willingness require confirmation.</x:v>
      </x:c>
      <x:c r="AB1398" s="3" t="str">
        <x:v>New public-source collection</x:v>
      </x:c>
      <x:c r="AC1398" s="3" t="str">
        <x:v>unverified</x:v>
      </x:c>
      <x:c r="AD1398" s="3" t="str">
        <x:v>Not contacted / unconfirmed</x:v>
      </x:c>
      <x:c r="AE1398" s="3" t="str">
        <x:v>No</x:v>
      </x:c>
      <x:c r="AF1398" s="3" t="str">
        <x:v>No</x:v>
      </x:c>
      <x:c r="AG1398" s="3"/>
      <x:c r="AH1398" s="3"/>
      <x:c r="AI1398" s="18"/>
      <x:c r="AJ1398" s="3" t="str">
        <x:v>CF2500-69461DB22BD8</x:v>
      </x:c>
      <x:c r="AK1398" s="3" t="str">
        <x:v>real_estate_operator</x:v>
      </x:c>
      <x:c r="AL1398" s="19" t="n">
        <x:v>100000</x:v>
      </x:c>
      <x:c r="AM1398" s="19" t="n">
        <x:v>500000</x:v>
      </x:c>
      <x:c r="AN1398" s="3" t="str">
        <x:v>https://www.cashhomebuyersdirectory.com/cash-home-buyers/maryland/windsor-mill</x:v>
      </x:c>
      <x:c r="AO1398" s="3" t="str">
        <x:v>national_rest_directory_complete.jsonl</x:v>
      </x:c>
      <x:c r="AP1398" s="19"/>
    </x:row>
    <x:row r="1399" ht="36" customHeight="1">
      <x:c r="A1399" s="23" t="n">
        <x:v>1398</x:v>
      </x:c>
      <x:c r="B1399" s="15" t="str">
        <x:v>Clean Cash Home Buyers</x:v>
      </x:c>
      <x:c r="C1399" s="15"/>
      <x:c r="D1399" s="15" t="str">
        <x:v>Property investor / home-buying operator</x:v>
      </x:c>
      <x:c r="E1399" s="15" t="str">
        <x:v>Property investor / operator inquiry</x:v>
      </x:c>
      <x:c r="F1399" s="17" t="str">
        <x:v>New</x:v>
      </x:c>
      <x:c r="G1399" s="24"/>
      <x:c r="H1399" s="24" t="str">
        <x:v>+12066599533</x:v>
      </x:c>
      <x:c r="I1399" s="24"/>
      <x:c r="J1399" s="16" t="str">
        <x:v>WA</x:v>
      </x:c>
      <x:c r="K1399" s="16" t="str">
        <x:v>Seattle</x:v>
      </x:c>
      <x:c r="L1399" s="16" t="str">
        <x:v>Public property-business route; investor decision maker unconfirmed</x:v>
      </x:c>
      <x:c r="M1399" s="16"/>
      <x:c r="N1399" s="16" t="str">
        <x:v>$100K-$500K ticket not published / unconfirmed</x:v>
      </x:c>
      <x:c r="O1399" s="20"/>
      <x:c r="P1399" s="20"/>
      <x:c r="Q1399" s="25" t="str">
        <x:v>No direct corporate-capital range established in checked source</x:v>
      </x:c>
      <x:c r="R1399" s="25" t="str">
        <x:v>Property acquisition or investor activity makes this an operator-capital prospect for the signed trial. Confirm operating-company debt/equity appetite.</x:v>
      </x:c>
      <x:c r="S1399" s="25"/>
      <x:c r="T1399" s="25" t="str">
        <x:v>Ask the owner/investor whether they can allocate $100K-$500K to trial marketing and acquisitions, and confirm structure, timing and decision authority.</x:v>
      </x:c>
      <x:c r="U1399" s="25" t="str">
        <x:v>https://www.cashhomebuyersdirectory.com/cash-home-buyers/washington/seattle</x:v>
      </x:c>
      <x:c r="V1399" s="26" t="d">
        <x:v>2026-10-02T00:00:00.000Z</x:v>
      </x:c>
      <x:c r="W1399" s="26" t="d">
        <x:v>2026-10-02T00:00:00.000Z</x:v>
      </x:c>
      <x:c r="X1399" s="25" t="str">
        <x:v>CashHomeBuyersDirectory third-party business listing; first-party business activity not checked in this batch</x:v>
      </x:c>
      <x:c r="Y1399" s="25"/>
      <x:c r="Z1399" s="25" t="str">
        <x:v>https://www.cashhomebuyersdirectory.com/cash-home-buyers/washington/seattle</x:v>
      </x:c>
      <x:c r="AA1399" s="25" t="str">
        <x:v>Public cash-home-buyer directory lists the business name, business phone/website where available and market. Operator role and corporate funding willingness require confirmation.</x:v>
      </x:c>
      <x:c r="AB1399" s="3" t="str">
        <x:v>New public-source collection</x:v>
      </x:c>
      <x:c r="AC1399" s="3" t="str">
        <x:v>unverified</x:v>
      </x:c>
      <x:c r="AD1399" s="3" t="str">
        <x:v>Not contacted / unconfirmed</x:v>
      </x:c>
      <x:c r="AE1399" s="3" t="str">
        <x:v>No</x:v>
      </x:c>
      <x:c r="AF1399" s="3" t="str">
        <x:v>No</x:v>
      </x:c>
      <x:c r="AG1399" s="3"/>
      <x:c r="AH1399" s="3"/>
      <x:c r="AI1399" s="18"/>
      <x:c r="AJ1399" s="3" t="str">
        <x:v>CF2500-A4FF0C972B04</x:v>
      </x:c>
      <x:c r="AK1399" s="3" t="str">
        <x:v>real_estate_operator</x:v>
      </x:c>
      <x:c r="AL1399" s="19" t="n">
        <x:v>100000</x:v>
      </x:c>
      <x:c r="AM1399" s="19" t="n">
        <x:v>500000</x:v>
      </x:c>
      <x:c r="AN1399" s="3" t="str">
        <x:v>https://www.cashhomebuyersdirectory.com/cash-home-buyers/washington/seattle</x:v>
      </x:c>
      <x:c r="AO1399" s="3" t="str">
        <x:v>national_rest_directory_complete.jsonl</x:v>
      </x:c>
      <x:c r="AP1399" s="19"/>
    </x:row>
    <x:row r="1400" ht="36" customHeight="1">
      <x:c r="A1400" s="23" t="n">
        <x:v>1399</x:v>
      </x:c>
      <x:c r="B1400" s="15" t="str">
        <x:v>COVA Home Buyers LLC</x:v>
      </x:c>
      <x:c r="C1400" s="15"/>
      <x:c r="D1400" s="15" t="str">
        <x:v>Property investor / home-buying operator</x:v>
      </x:c>
      <x:c r="E1400" s="15" t="str">
        <x:v>Property investor / operator inquiry</x:v>
      </x:c>
      <x:c r="F1400" s="17" t="str">
        <x:v>New</x:v>
      </x:c>
      <x:c r="G1400" s="24"/>
      <x:c r="H1400" s="24" t="str">
        <x:v>+17579096877</x:v>
      </x:c>
      <x:c r="I1400" s="24"/>
      <x:c r="J1400" s="16" t="str">
        <x:v>VA</x:v>
      </x:c>
      <x:c r="K1400" s="16"/>
      <x:c r="L1400" s="16" t="str">
        <x:v>Public property-business route; investor decision maker unconfirmed</x:v>
      </x:c>
      <x:c r="M1400" s="16" t="str">
        <x:v>https://www.facebook.com/people/COVA-Home-Buyers/61553213480749/</x:v>
      </x:c>
      <x:c r="N1400" s="16" t="str">
        <x:v>$100K-$500K ticket not published / unconfirmed</x:v>
      </x:c>
      <x:c r="O1400" s="20"/>
      <x:c r="P1400" s="20"/>
      <x:c r="Q1400" s="25" t="str">
        <x:v>No direct corporate-capital range established in checked source</x:v>
      </x:c>
      <x:c r="R1400" s="25" t="str">
        <x:v>Property acquisition or investor activity makes this an operator-capital prospect for the signed trial. Confirm operating-company debt/equity appetite.</x:v>
      </x:c>
      <x:c r="S1400" s="25"/>
      <x:c r="T1400" s="25" t="str">
        <x:v>Ask the owner/investor whether they can allocate $100K-$500K to trial marketing and acquisitions, and confirm structure, timing and decision authority.</x:v>
      </x:c>
      <x:c r="U1400" s="25" t="str">
        <x:v>https://www.cashhomebuyersdirectory.com/cash-home-buyers/virginia/virginia-beach</x:v>
      </x:c>
      <x:c r="V1400" s="26" t="d">
        <x:v>2026-10-02T00:00:00.000Z</x:v>
      </x:c>
      <x:c r="W1400" s="26" t="d">
        <x:v>2026-10-02T00:00:00.000Z</x:v>
      </x:c>
      <x:c r="X1400" s="25" t="str">
        <x:v>CashHomeBuyersDirectory third-party business listing; first-party business activity not checked in this batch</x:v>
      </x:c>
      <x:c r="Y1400" s="25"/>
      <x:c r="Z1400" s="25" t="str">
        <x:v>https://www.cashhomebuyersdirectory.com/cash-home-buyers/virginia/virginia-beach</x:v>
      </x:c>
      <x:c r="AA1400" s="25" t="str">
        <x:v>Public cash-home-buyer directory lists the business name, business phone/website where available and market. Operator role and corporate funding willingness require confirmation.</x:v>
      </x:c>
      <x:c r="AB1400" s="3" t="str">
        <x:v>New public-source collection</x:v>
      </x:c>
      <x:c r="AC1400" s="3" t="str">
        <x:v>unverified</x:v>
      </x:c>
      <x:c r="AD1400" s="3" t="str">
        <x:v>Not contacted / unconfirmed</x:v>
      </x:c>
      <x:c r="AE1400" s="3" t="str">
        <x:v>No</x:v>
      </x:c>
      <x:c r="AF1400" s="3" t="str">
        <x:v>No</x:v>
      </x:c>
      <x:c r="AG1400" s="3"/>
      <x:c r="AH1400" s="3"/>
      <x:c r="AI1400" s="18"/>
      <x:c r="AJ1400" s="3" t="str">
        <x:v>CF2500-8887BA511B83</x:v>
      </x:c>
      <x:c r="AK1400" s="3" t="str">
        <x:v>real_estate_operator</x:v>
      </x:c>
      <x:c r="AL1400" s="19" t="n">
        <x:v>100000</x:v>
      </x:c>
      <x:c r="AM1400" s="19" t="n">
        <x:v>500000</x:v>
      </x:c>
      <x:c r="AN1400" s="3" t="str">
        <x:v>https://www.cashhomebuyersdirectory.com/cash-home-buyers/virginia/virginia-beach</x:v>
      </x:c>
      <x:c r="AO1400" s="3" t="str">
        <x:v>national_rest_directory_complete.jsonl</x:v>
      </x:c>
      <x:c r="AP1400" s="19"/>
    </x:row>
    <x:row r="1401" ht="36" customHeight="1">
      <x:c r="A1401" s="23" t="n">
        <x:v>1400</x:v>
      </x:c>
      <x:c r="B1401" s="15" t="str">
        <x:v>Crystal Clover Properties - Buy Houses for Cash - Columbus Ohio</x:v>
      </x:c>
      <x:c r="C1401" s="15"/>
      <x:c r="D1401" s="15" t="str">
        <x:v>Property investor / home-buying operator</x:v>
      </x:c>
      <x:c r="E1401" s="15" t="str">
        <x:v>Property investor / operator inquiry</x:v>
      </x:c>
      <x:c r="F1401" s="17" t="str">
        <x:v>New</x:v>
      </x:c>
      <x:c r="G1401" s="24"/>
      <x:c r="H1401" s="24" t="str">
        <x:v>+16143853335</x:v>
      </x:c>
      <x:c r="I1401" s="24"/>
      <x:c r="J1401" s="16" t="str">
        <x:v>OH</x:v>
      </x:c>
      <x:c r="K1401" s="16" t="str">
        <x:v>Worthington</x:v>
      </x:c>
      <x:c r="L1401" s="16" t="str">
        <x:v>Public property-business route; investor decision maker unconfirmed</x:v>
      </x:c>
      <x:c r="M1401" s="16"/>
      <x:c r="N1401" s="16" t="str">
        <x:v>$100K-$500K ticket not published / unconfirmed</x:v>
      </x:c>
      <x:c r="O1401" s="20"/>
      <x:c r="P1401" s="20"/>
      <x:c r="Q1401" s="25" t="str">
        <x:v>No direct corporate-capital range established in checked source</x:v>
      </x:c>
      <x:c r="R1401" s="25" t="str">
        <x:v>Property acquisition or investor activity makes this an operator-capital prospect for the signed trial. Confirm operating-company debt/equity appetite.</x:v>
      </x:c>
      <x:c r="S1401" s="25"/>
      <x:c r="T1401" s="25" t="str">
        <x:v>Ask the owner/investor whether they can allocate $100K-$500K to trial marketing and acquisitions, and confirm structure, timing and decision authority.</x:v>
      </x:c>
      <x:c r="U1401" s="25" t="str">
        <x:v>https://www.cashhomebuyersdirectory.com/cash-home-buyers/ohio/worthington</x:v>
      </x:c>
      <x:c r="V1401" s="26" t="d">
        <x:v>2026-10-02T00:00:00.000Z</x:v>
      </x:c>
      <x:c r="W1401" s="26" t="d">
        <x:v>2026-10-02T00:00:00.000Z</x:v>
      </x:c>
      <x:c r="X1401" s="25" t="str">
        <x:v>CashHomeBuyersDirectory third-party business listing; first-party business activity not checked in this batch</x:v>
      </x:c>
      <x:c r="Y1401" s="25"/>
      <x:c r="Z1401" s="25" t="str">
        <x:v>https://www.cashhomebuyersdirectory.com/cash-home-buyers/ohio/worthington</x:v>
      </x:c>
      <x:c r="AA1401" s="25" t="str">
        <x:v>Public cash-home-buyer directory lists the business name, business phone/website where available and market. Operator role and corporate funding willingness require confirmation.</x:v>
      </x:c>
      <x:c r="AB1401" s="3" t="str">
        <x:v>New public-source collection</x:v>
      </x:c>
      <x:c r="AC1401" s="3" t="str">
        <x:v>unverified</x:v>
      </x:c>
      <x:c r="AD1401" s="3" t="str">
        <x:v>Not contacted / unconfirmed</x:v>
      </x:c>
      <x:c r="AE1401" s="3" t="str">
        <x:v>No</x:v>
      </x:c>
      <x:c r="AF1401" s="3" t="str">
        <x:v>No</x:v>
      </x:c>
      <x:c r="AG1401" s="3"/>
      <x:c r="AH1401" s="3"/>
      <x:c r="AI1401" s="18"/>
      <x:c r="AJ1401" s="3" t="str">
        <x:v>CF2500-46654E24E7CC</x:v>
      </x:c>
      <x:c r="AK1401" s="3" t="str">
        <x:v>real_estate_operator</x:v>
      </x:c>
      <x:c r="AL1401" s="19" t="n">
        <x:v>100000</x:v>
      </x:c>
      <x:c r="AM1401" s="19" t="n">
        <x:v>500000</x:v>
      </x:c>
      <x:c r="AN1401" s="3" t="str">
        <x:v>https://www.cashhomebuyersdirectory.com/cash-home-buyers/ohio/worthington</x:v>
      </x:c>
      <x:c r="AO1401" s="3" t="str">
        <x:v>national_rest_directory_complete.jsonl</x:v>
      </x:c>
      <x:c r="AP1401" s="19"/>
    </x:row>
    <x:row r="1402" ht="36" customHeight="1">
      <x:c r="A1402" s="23" t="n">
        <x:v>1401</x:v>
      </x:c>
      <x:c r="B1402" s="15" t="str">
        <x:v>Duke We Buy Houses For Cash Maryland</x:v>
      </x:c>
      <x:c r="C1402" s="15"/>
      <x:c r="D1402" s="15" t="str">
        <x:v>Property investor / home-buying operator</x:v>
      </x:c>
      <x:c r="E1402" s="15" t="str">
        <x:v>Property investor / operator inquiry</x:v>
      </x:c>
      <x:c r="F1402" s="17" t="str">
        <x:v>New</x:v>
      </x:c>
      <x:c r="G1402" s="24"/>
      <x:c r="H1402" s="24" t="str">
        <x:v>+12272204105</x:v>
      </x:c>
      <x:c r="I1402" s="24"/>
      <x:c r="J1402" s="16" t="str">
        <x:v>MD</x:v>
      </x:c>
      <x:c r="K1402" s="16" t="str">
        <x:v>Baltimore</x:v>
      </x:c>
      <x:c r="L1402" s="16" t="str">
        <x:v>Public property-business route; investor decision maker unconfirmed</x:v>
      </x:c>
      <x:c r="M1402" s="16"/>
      <x:c r="N1402" s="16" t="str">
        <x:v>$100K-$500K ticket not published / unconfirmed</x:v>
      </x:c>
      <x:c r="O1402" s="20"/>
      <x:c r="P1402" s="20"/>
      <x:c r="Q1402" s="25" t="str">
        <x:v>No direct corporate-capital range established in checked source</x:v>
      </x:c>
      <x:c r="R1402" s="25" t="str">
        <x:v>Property acquisition or investor activity makes this an operator-capital prospect for the signed trial. Confirm operating-company debt/equity appetite.</x:v>
      </x:c>
      <x:c r="S1402" s="25"/>
      <x:c r="T1402" s="25" t="str">
        <x:v>Ask the owner/investor whether they can allocate $100K-$500K to trial marketing and acquisitions, and confirm structure, timing and decision authority.</x:v>
      </x:c>
      <x:c r="U1402" s="25" t="str">
        <x:v>https://www.cashhomebuyersdirectory.com/cash-home-buyers/maryland/baltimore</x:v>
      </x:c>
      <x:c r="V1402" s="26" t="d">
        <x:v>2026-10-02T00:00:00.000Z</x:v>
      </x:c>
      <x:c r="W1402" s="26" t="d">
        <x:v>2026-10-02T00:00:00.000Z</x:v>
      </x:c>
      <x:c r="X1402" s="25" t="str">
        <x:v>CashHomeBuyersDirectory third-party business listing; first-party business activity not checked in this batch</x:v>
      </x:c>
      <x:c r="Y1402" s="25"/>
      <x:c r="Z1402" s="25" t="str">
        <x:v>https://www.cashhomebuyersdirectory.com/cash-home-buyers/maryland/baltimore</x:v>
      </x:c>
      <x:c r="AA1402" s="25" t="str">
        <x:v>Public cash-home-buyer directory lists the business name, business phone/website where available and market. Operator role and corporate funding willingness require confirmation.</x:v>
      </x:c>
      <x:c r="AB1402" s="3" t="str">
        <x:v>New public-source collection</x:v>
      </x:c>
      <x:c r="AC1402" s="3" t="str">
        <x:v>unverified</x:v>
      </x:c>
      <x:c r="AD1402" s="3" t="str">
        <x:v>Not contacted / unconfirmed</x:v>
      </x:c>
      <x:c r="AE1402" s="3" t="str">
        <x:v>No</x:v>
      </x:c>
      <x:c r="AF1402" s="3" t="str">
        <x:v>No</x:v>
      </x:c>
      <x:c r="AG1402" s="3"/>
      <x:c r="AH1402" s="3"/>
      <x:c r="AI1402" s="18"/>
      <x:c r="AJ1402" s="3" t="str">
        <x:v>CF2500-51E3DAF2AF8B</x:v>
      </x:c>
      <x:c r="AK1402" s="3" t="str">
        <x:v>real_estate_operator</x:v>
      </x:c>
      <x:c r="AL1402" s="19" t="n">
        <x:v>100000</x:v>
      </x:c>
      <x:c r="AM1402" s="19" t="n">
        <x:v>500000</x:v>
      </x:c>
      <x:c r="AN1402" s="3" t="str">
        <x:v>https://www.cashhomebuyersdirectory.com/cash-home-buyers/maryland/baltimore</x:v>
      </x:c>
      <x:c r="AO1402" s="3" t="str">
        <x:v>national_rest_directory_complete.jsonl</x:v>
      </x:c>
      <x:c r="AP1402" s="19"/>
    </x:row>
    <x:row r="1403" ht="36" customHeight="1">
      <x:c r="A1403" s="23" t="n">
        <x:v>1402</x:v>
      </x:c>
      <x:c r="B1403" s="15" t="str">
        <x:v>Elevate Home Cash Offer | Sell My House Fast Akron</x:v>
      </x:c>
      <x:c r="C1403" s="15"/>
      <x:c r="D1403" s="15" t="str">
        <x:v>Property investor / home-buying operator</x:v>
      </x:c>
      <x:c r="E1403" s="15" t="str">
        <x:v>Property investor / operator inquiry</x:v>
      </x:c>
      <x:c r="F1403" s="17" t="str">
        <x:v>New</x:v>
      </x:c>
      <x:c r="G1403" s="24"/>
      <x:c r="H1403" s="24" t="str">
        <x:v>+13308124811</x:v>
      </x:c>
      <x:c r="I1403" s="24"/>
      <x:c r="J1403" s="16" t="str">
        <x:v>OH</x:v>
      </x:c>
      <x:c r="K1403" s="16" t="str">
        <x:v>Macedonia</x:v>
      </x:c>
      <x:c r="L1403" s="16" t="str">
        <x:v>Public property-business route; investor decision maker unconfirmed</x:v>
      </x:c>
      <x:c r="M1403" s="16"/>
      <x:c r="N1403" s="16" t="str">
        <x:v>$100K-$500K ticket not published / unconfirmed</x:v>
      </x:c>
      <x:c r="O1403" s="20"/>
      <x:c r="P1403" s="20"/>
      <x:c r="Q1403" s="25" t="str">
        <x:v>No direct corporate-capital range established in checked source</x:v>
      </x:c>
      <x:c r="R1403" s="25" t="str">
        <x:v>Property acquisition or investor activity makes this an operator-capital prospect for the signed trial. Confirm operating-company debt/equity appetite.</x:v>
      </x:c>
      <x:c r="S1403" s="25"/>
      <x:c r="T1403" s="25" t="str">
        <x:v>Ask the owner/investor whether they can allocate $100K-$500K to trial marketing and acquisitions, and confirm structure, timing and decision authority.</x:v>
      </x:c>
      <x:c r="U1403" s="25" t="str">
        <x:v>https://www.cashhomebuyersdirectory.com/cash-home-buyers/ohio/macedonia</x:v>
      </x:c>
      <x:c r="V1403" s="26" t="d">
        <x:v>2026-10-02T00:00:00.000Z</x:v>
      </x:c>
      <x:c r="W1403" s="26" t="d">
        <x:v>2026-10-02T00:00:00.000Z</x:v>
      </x:c>
      <x:c r="X1403" s="25" t="str">
        <x:v>CashHomeBuyersDirectory third-party business listing; first-party business activity not checked in this batch</x:v>
      </x:c>
      <x:c r="Y1403" s="25"/>
      <x:c r="Z1403" s="25" t="str">
        <x:v>https://www.cashhomebuyersdirectory.com/cash-home-buyers/ohio/macedonia</x:v>
      </x:c>
      <x:c r="AA1403" s="25" t="str">
        <x:v>Public cash-home-buyer directory lists the business name, business phone/website where available and market. Operator role and corporate funding willingness require confirmation.</x:v>
      </x:c>
      <x:c r="AB1403" s="3" t="str">
        <x:v>New public-source collection</x:v>
      </x:c>
      <x:c r="AC1403" s="3" t="str">
        <x:v>unverified</x:v>
      </x:c>
      <x:c r="AD1403" s="3" t="str">
        <x:v>Not contacted / unconfirmed</x:v>
      </x:c>
      <x:c r="AE1403" s="3" t="str">
        <x:v>No</x:v>
      </x:c>
      <x:c r="AF1403" s="3" t="str">
        <x:v>No</x:v>
      </x:c>
      <x:c r="AG1403" s="3"/>
      <x:c r="AH1403" s="3"/>
      <x:c r="AI1403" s="18"/>
      <x:c r="AJ1403" s="3" t="str">
        <x:v>CF2500-EB9B0BD7B0C6</x:v>
      </x:c>
      <x:c r="AK1403" s="3" t="str">
        <x:v>real_estate_operator</x:v>
      </x:c>
      <x:c r="AL1403" s="19" t="n">
        <x:v>100000</x:v>
      </x:c>
      <x:c r="AM1403" s="19" t="n">
        <x:v>500000</x:v>
      </x:c>
      <x:c r="AN1403" s="3" t="str">
        <x:v>https://www.cashhomebuyersdirectory.com/cash-home-buyers/ohio/macedonia</x:v>
      </x:c>
      <x:c r="AO1403" s="3" t="str">
        <x:v>national_rest_directory_complete.jsonl</x:v>
      </x:c>
      <x:c r="AP1403" s="19"/>
    </x:row>
    <x:row r="1404" ht="36" customHeight="1">
      <x:c r="A1404" s="23" t="n">
        <x:v>1403</x:v>
      </x:c>
      <x:c r="B1404" s="15" t="str">
        <x:v>Elite House Buyers</x:v>
      </x:c>
      <x:c r="C1404" s="15"/>
      <x:c r="D1404" s="15" t="str">
        <x:v>Property investor / home-buying operator</x:v>
      </x:c>
      <x:c r="E1404" s="15" t="str">
        <x:v>Property investor / operator inquiry</x:v>
      </x:c>
      <x:c r="F1404" s="17" t="str">
        <x:v>New</x:v>
      </x:c>
      <x:c r="G1404" s="24"/>
      <x:c r="H1404" s="24" t="str">
        <x:v>+13372310416</x:v>
      </x:c>
      <x:c r="I1404" s="24"/>
      <x:c r="J1404" s="16" t="str">
        <x:v>LA</x:v>
      </x:c>
      <x:c r="K1404" s="16" t="str">
        <x:v>Lafayette</x:v>
      </x:c>
      <x:c r="L1404" s="16" t="str">
        <x:v>Public property-business route; investor decision maker unconfirmed</x:v>
      </x:c>
      <x:c r="M1404" s="16"/>
      <x:c r="N1404" s="16" t="str">
        <x:v>$100K-$500K ticket not published / unconfirmed</x:v>
      </x:c>
      <x:c r="O1404" s="20"/>
      <x:c r="P1404" s="20"/>
      <x:c r="Q1404" s="25" t="str">
        <x:v>No direct corporate-capital range established in checked source</x:v>
      </x:c>
      <x:c r="R1404" s="25" t="str">
        <x:v>Property acquisition or investor activity makes this an operator-capital prospect for the signed trial. Confirm operating-company debt/equity appetite.</x:v>
      </x:c>
      <x:c r="S1404" s="25"/>
      <x:c r="T1404" s="25" t="str">
        <x:v>Ask the owner/investor whether they can allocate $100K-$500K to trial marketing and acquisitions, and confirm structure, timing and decision authority.</x:v>
      </x:c>
      <x:c r="U1404" s="25" t="str">
        <x:v>https://www.cashhomebuyersdirectory.com/cash-home-buyers/louisiana/lafayette</x:v>
      </x:c>
      <x:c r="V1404" s="26" t="d">
        <x:v>2026-10-02T00:00:00.000Z</x:v>
      </x:c>
      <x:c r="W1404" s="26" t="d">
        <x:v>2026-10-02T00:00:00.000Z</x:v>
      </x:c>
      <x:c r="X1404" s="25" t="str">
        <x:v>CashHomeBuyersDirectory third-party business listing; first-party business activity not checked in this batch</x:v>
      </x:c>
      <x:c r="Y1404" s="25"/>
      <x:c r="Z1404" s="25" t="str">
        <x:v>https://www.cashhomebuyersdirectory.com/cash-home-buyers/louisiana/lafayette</x:v>
      </x:c>
      <x:c r="AA1404" s="25" t="str">
        <x:v>Public cash-home-buyer directory lists the business name, business phone/website where available and market. Operator role and corporate funding willingness require confirmation.</x:v>
      </x:c>
      <x:c r="AB1404" s="3" t="str">
        <x:v>New public-source collection</x:v>
      </x:c>
      <x:c r="AC1404" s="3" t="str">
        <x:v>unverified</x:v>
      </x:c>
      <x:c r="AD1404" s="3" t="str">
        <x:v>Not contacted / unconfirmed</x:v>
      </x:c>
      <x:c r="AE1404" s="3" t="str">
        <x:v>No</x:v>
      </x:c>
      <x:c r="AF1404" s="3" t="str">
        <x:v>No</x:v>
      </x:c>
      <x:c r="AG1404" s="3"/>
      <x:c r="AH1404" s="3"/>
      <x:c r="AI1404" s="18"/>
      <x:c r="AJ1404" s="3" t="str">
        <x:v>CF2500-A840B83280CC</x:v>
      </x:c>
      <x:c r="AK1404" s="3" t="str">
        <x:v>real_estate_operator</x:v>
      </x:c>
      <x:c r="AL1404" s="19" t="n">
        <x:v>100000</x:v>
      </x:c>
      <x:c r="AM1404" s="19" t="n">
        <x:v>500000</x:v>
      </x:c>
      <x:c r="AN1404" s="3" t="str">
        <x:v>https://www.cashhomebuyersdirectory.com/cash-home-buyers/louisiana/lafayette</x:v>
      </x:c>
      <x:c r="AO1404" s="3" t="str">
        <x:v>national_rest_directory_complete.jsonl</x:v>
      </x:c>
      <x:c r="AP1404" s="19"/>
    </x:row>
    <x:row r="1405" ht="36" customHeight="1">
      <x:c r="A1405" s="23" t="n">
        <x:v>1404</x:v>
      </x:c>
      <x:c r="B1405" s="15" t="str">
        <x:v>Evolve House Buyers</x:v>
      </x:c>
      <x:c r="C1405" s="15"/>
      <x:c r="D1405" s="15" t="str">
        <x:v>Property investor / home-buying operator</x:v>
      </x:c>
      <x:c r="E1405" s="15" t="str">
        <x:v>Property investor / operator inquiry</x:v>
      </x:c>
      <x:c r="F1405" s="17" t="str">
        <x:v>New</x:v>
      </x:c>
      <x:c r="G1405" s="24"/>
      <x:c r="H1405" s="24" t="str">
        <x:v>+17577988807</x:v>
      </x:c>
      <x:c r="I1405" s="24"/>
      <x:c r="J1405" s="16" t="str">
        <x:v>VA</x:v>
      </x:c>
      <x:c r="K1405" s="16" t="str">
        <x:v>Virginia Beach</x:v>
      </x:c>
      <x:c r="L1405" s="16" t="str">
        <x:v>Public property-business route; investor decision maker unconfirmed</x:v>
      </x:c>
      <x:c r="M1405" s="16"/>
      <x:c r="N1405" s="16" t="str">
        <x:v>$100K-$500K ticket not published / unconfirmed</x:v>
      </x:c>
      <x:c r="O1405" s="20"/>
      <x:c r="P1405" s="20"/>
      <x:c r="Q1405" s="25" t="str">
        <x:v>No direct corporate-capital range established in checked source</x:v>
      </x:c>
      <x:c r="R1405" s="25" t="str">
        <x:v>Property acquisition or investor activity makes this an operator-capital prospect for the signed trial. Confirm operating-company debt/equity appetite.</x:v>
      </x:c>
      <x:c r="S1405" s="25"/>
      <x:c r="T1405" s="25" t="str">
        <x:v>Ask the owner/investor whether they can allocate $100K-$500K to trial marketing and acquisitions, and confirm structure, timing and decision authority.</x:v>
      </x:c>
      <x:c r="U1405" s="25" t="str">
        <x:v>https://www.cashhomebuyersdirectory.com/cash-home-buyers/virginia/virginia-beach</x:v>
      </x:c>
      <x:c r="V1405" s="26" t="d">
        <x:v>2026-10-02T00:00:00.000Z</x:v>
      </x:c>
      <x:c r="W1405" s="26" t="d">
        <x:v>2026-10-02T00:00:00.000Z</x:v>
      </x:c>
      <x:c r="X1405" s="25" t="str">
        <x:v>CashHomeBuyersDirectory third-party business listing; first-party business activity not checked in this batch</x:v>
      </x:c>
      <x:c r="Y1405" s="25"/>
      <x:c r="Z1405" s="25" t="str">
        <x:v>https://www.cashhomebuyersdirectory.com/cash-home-buyers/virginia/virginia-beach</x:v>
      </x:c>
      <x:c r="AA1405" s="25" t="str">
        <x:v>Public cash-home-buyer directory lists the business name, business phone/website where available and market. Operator role and corporate funding willingness require confirmation.</x:v>
      </x:c>
      <x:c r="AB1405" s="3" t="str">
        <x:v>New public-source collection</x:v>
      </x:c>
      <x:c r="AC1405" s="3" t="str">
        <x:v>unverified</x:v>
      </x:c>
      <x:c r="AD1405" s="3" t="str">
        <x:v>Not contacted / unconfirmed</x:v>
      </x:c>
      <x:c r="AE1405" s="3" t="str">
        <x:v>No</x:v>
      </x:c>
      <x:c r="AF1405" s="3" t="str">
        <x:v>No</x:v>
      </x:c>
      <x:c r="AG1405" s="3"/>
      <x:c r="AH1405" s="3"/>
      <x:c r="AI1405" s="18"/>
      <x:c r="AJ1405" s="3" t="str">
        <x:v>CF2500-F1C0F685C891</x:v>
      </x:c>
      <x:c r="AK1405" s="3" t="str">
        <x:v>real_estate_operator</x:v>
      </x:c>
      <x:c r="AL1405" s="19" t="n">
        <x:v>100000</x:v>
      </x:c>
      <x:c r="AM1405" s="19" t="n">
        <x:v>500000</x:v>
      </x:c>
      <x:c r="AN1405" s="3" t="str">
        <x:v>https://www.cashhomebuyersdirectory.com/cash-home-buyers/virginia/virginia-beach</x:v>
      </x:c>
      <x:c r="AO1405" s="3" t="str">
        <x:v>national_rest_directory_complete.jsonl</x:v>
      </x:c>
      <x:c r="AP1405" s="19"/>
    </x:row>
    <x:row r="1406" ht="36" customHeight="1">
      <x:c r="A1406" s="23" t="n">
        <x:v>1405</x:v>
      </x:c>
      <x:c r="B1406" s="15" t="str">
        <x:v>Fast Home Buyers Eugene LLC</x:v>
      </x:c>
      <x:c r="C1406" s="15"/>
      <x:c r="D1406" s="15" t="str">
        <x:v>Property investor / home-buying operator</x:v>
      </x:c>
      <x:c r="E1406" s="15" t="str">
        <x:v>Property investor / operator inquiry</x:v>
      </x:c>
      <x:c r="F1406" s="17" t="str">
        <x:v>New</x:v>
      </x:c>
      <x:c r="G1406" s="24"/>
      <x:c r="H1406" s="24" t="str">
        <x:v>+14582150149</x:v>
      </x:c>
      <x:c r="I1406" s="24"/>
      <x:c r="J1406" s="16" t="str">
        <x:v>OR</x:v>
      </x:c>
      <x:c r="K1406" s="16"/>
      <x:c r="L1406" s="16" t="str">
        <x:v>Public property-business route; investor decision maker unconfirmed</x:v>
      </x:c>
      <x:c r="M1406" s="16"/>
      <x:c r="N1406" s="16" t="str">
        <x:v>$100K-$500K ticket not published / unconfirmed</x:v>
      </x:c>
      <x:c r="O1406" s="20"/>
      <x:c r="P1406" s="20"/>
      <x:c r="Q1406" s="25" t="str">
        <x:v>No direct corporate-capital range established in checked source</x:v>
      </x:c>
      <x:c r="R1406" s="25" t="str">
        <x:v>Property acquisition or investor activity makes this an operator-capital prospect for the signed trial. Confirm operating-company debt/equity appetite.</x:v>
      </x:c>
      <x:c r="S1406" s="25"/>
      <x:c r="T1406" s="25" t="str">
        <x:v>Ask the owner/investor whether they can allocate $100K-$500K to trial marketing and acquisitions, and confirm structure, timing and decision authority.</x:v>
      </x:c>
      <x:c r="U1406" s="25" t="str">
        <x:v>https://www.cashhomebuyersdirectory.com/cash-home-buyers/oregon/eugene</x:v>
      </x:c>
      <x:c r="V1406" s="26" t="d">
        <x:v>2026-10-02T00:00:00.000Z</x:v>
      </x:c>
      <x:c r="W1406" s="26" t="d">
        <x:v>2026-10-02T00:00:00.000Z</x:v>
      </x:c>
      <x:c r="X1406" s="25" t="str">
        <x:v>CashHomeBuyersDirectory third-party business listing; first-party business activity not checked in this batch</x:v>
      </x:c>
      <x:c r="Y1406" s="25"/>
      <x:c r="Z1406" s="25" t="str">
        <x:v>https://www.cashhomebuyersdirectory.com/cash-home-buyers/oregon/eugene</x:v>
      </x:c>
      <x:c r="AA1406" s="25" t="str">
        <x:v>Public cash-home-buyer directory lists the business name, business phone/website where available and market. Operator role and corporate funding willingness require confirmation.</x:v>
      </x:c>
      <x:c r="AB1406" s="3" t="str">
        <x:v>New public-source collection</x:v>
      </x:c>
      <x:c r="AC1406" s="3" t="str">
        <x:v>unverified</x:v>
      </x:c>
      <x:c r="AD1406" s="3" t="str">
        <x:v>Not contacted / unconfirmed</x:v>
      </x:c>
      <x:c r="AE1406" s="3" t="str">
        <x:v>No</x:v>
      </x:c>
      <x:c r="AF1406" s="3" t="str">
        <x:v>No</x:v>
      </x:c>
      <x:c r="AG1406" s="3"/>
      <x:c r="AH1406" s="3"/>
      <x:c r="AI1406" s="18"/>
      <x:c r="AJ1406" s="3" t="str">
        <x:v>CF2500-3FB8312E1285</x:v>
      </x:c>
      <x:c r="AK1406" s="3" t="str">
        <x:v>real_estate_operator</x:v>
      </x:c>
      <x:c r="AL1406" s="19" t="n">
        <x:v>100000</x:v>
      </x:c>
      <x:c r="AM1406" s="19" t="n">
        <x:v>500000</x:v>
      </x:c>
      <x:c r="AN1406" s="3" t="str">
        <x:v>https://www.cashhomebuyersdirectory.com/cash-home-buyers/oregon/eugene</x:v>
      </x:c>
      <x:c r="AO1406" s="3" t="str">
        <x:v>national_rest_directory_complete.jsonl</x:v>
      </x:c>
      <x:c r="AP1406" s="19"/>
    </x:row>
    <x:row r="1407" ht="36" customHeight="1">
      <x:c r="A1407" s="23" t="n">
        <x:v>1406</x:v>
      </x:c>
      <x:c r="B1407" s="15" t="str">
        <x:v>Flint Home Buyer</x:v>
      </x:c>
      <x:c r="C1407" s="15"/>
      <x:c r="D1407" s="15" t="str">
        <x:v>Property investor / home-buying operator</x:v>
      </x:c>
      <x:c r="E1407" s="15" t="str">
        <x:v>Property investor / operator inquiry</x:v>
      </x:c>
      <x:c r="F1407" s="17" t="str">
        <x:v>New</x:v>
      </x:c>
      <x:c r="G1407" s="24"/>
      <x:c r="H1407" s="24" t="str">
        <x:v>+18104280584</x:v>
      </x:c>
      <x:c r="I1407" s="24"/>
      <x:c r="J1407" s="16" t="str">
        <x:v>MI</x:v>
      </x:c>
      <x:c r="K1407" s="16"/>
      <x:c r="L1407" s="16" t="str">
        <x:v>Public property-business route; investor decision maker unconfirmed</x:v>
      </x:c>
      <x:c r="M1407" s="16"/>
      <x:c r="N1407" s="16" t="str">
        <x:v>$100K-$500K ticket not published / unconfirmed</x:v>
      </x:c>
      <x:c r="O1407" s="20"/>
      <x:c r="P1407" s="20"/>
      <x:c r="Q1407" s="25" t="str">
        <x:v>No direct corporate-capital range established in checked source</x:v>
      </x:c>
      <x:c r="R1407" s="25" t="str">
        <x:v>Property acquisition or investor activity makes this an operator-capital prospect for the signed trial. Confirm operating-company debt/equity appetite.</x:v>
      </x:c>
      <x:c r="S1407" s="25"/>
      <x:c r="T1407" s="25" t="str">
        <x:v>Ask the owner/investor whether they can allocate $100K-$500K to trial marketing and acquisitions, and confirm structure, timing and decision authority.</x:v>
      </x:c>
      <x:c r="U1407" s="25" t="str">
        <x:v>https://www.cashhomebuyersdirectory.com/cash-home-buyers/michigan/flint</x:v>
      </x:c>
      <x:c r="V1407" s="26" t="d">
        <x:v>2026-10-02T00:00:00.000Z</x:v>
      </x:c>
      <x:c r="W1407" s="26" t="d">
        <x:v>2026-10-02T00:00:00.000Z</x:v>
      </x:c>
      <x:c r="X1407" s="25" t="str">
        <x:v>CashHomeBuyersDirectory third-party business listing; first-party business activity not checked in this batch</x:v>
      </x:c>
      <x:c r="Y1407" s="25"/>
      <x:c r="Z1407" s="25" t="str">
        <x:v>https://www.cashhomebuyersdirectory.com/cash-home-buyers/michigan/flint</x:v>
      </x:c>
      <x:c r="AA1407" s="25" t="str">
        <x:v>Public cash-home-buyer directory lists the business name, business phone/website where available and market. Operator role and corporate funding willingness require confirmation.</x:v>
      </x:c>
      <x:c r="AB1407" s="3" t="str">
        <x:v>New public-source collection</x:v>
      </x:c>
      <x:c r="AC1407" s="3" t="str">
        <x:v>unverified</x:v>
      </x:c>
      <x:c r="AD1407" s="3" t="str">
        <x:v>Not contacted / unconfirmed</x:v>
      </x:c>
      <x:c r="AE1407" s="3" t="str">
        <x:v>No</x:v>
      </x:c>
      <x:c r="AF1407" s="3" t="str">
        <x:v>No</x:v>
      </x:c>
      <x:c r="AG1407" s="3"/>
      <x:c r="AH1407" s="3"/>
      <x:c r="AI1407" s="18"/>
      <x:c r="AJ1407" s="3" t="str">
        <x:v>CF2500-86021BAF2A60</x:v>
      </x:c>
      <x:c r="AK1407" s="3" t="str">
        <x:v>real_estate_operator</x:v>
      </x:c>
      <x:c r="AL1407" s="19" t="n">
        <x:v>100000</x:v>
      </x:c>
      <x:c r="AM1407" s="19" t="n">
        <x:v>500000</x:v>
      </x:c>
      <x:c r="AN1407" s="3" t="str">
        <x:v>https://www.cashhomebuyersdirectory.com/cash-home-buyers/michigan/flint</x:v>
      </x:c>
      <x:c r="AO1407" s="3" t="str">
        <x:v>national_rest_directory_complete.jsonl</x:v>
      </x:c>
      <x:c r="AP1407" s="19"/>
    </x:row>
    <x:row r="1408" ht="36" customHeight="1">
      <x:c r="A1408" s="23" t="n">
        <x:v>1407</x:v>
      </x:c>
      <x:c r="B1408" s="15" t="str">
        <x:v>Green Leaf House Buyers</x:v>
      </x:c>
      <x:c r="C1408" s="15"/>
      <x:c r="D1408" s="15" t="str">
        <x:v>Property investor / home-buying operator</x:v>
      </x:c>
      <x:c r="E1408" s="15" t="str">
        <x:v>Property investor / operator inquiry</x:v>
      </x:c>
      <x:c r="F1408" s="17" t="str">
        <x:v>New</x:v>
      </x:c>
      <x:c r="G1408" s="24"/>
      <x:c r="H1408" s="24" t="str">
        <x:v>+16143247256</x:v>
      </x:c>
      <x:c r="I1408" s="24"/>
      <x:c r="J1408" s="16" t="str">
        <x:v>OH</x:v>
      </x:c>
      <x:c r="K1408" s="16" t="str">
        <x:v>Columbus</x:v>
      </x:c>
      <x:c r="L1408" s="16" t="str">
        <x:v>Public property-business route; investor decision maker unconfirmed</x:v>
      </x:c>
      <x:c r="M1408" s="16"/>
      <x:c r="N1408" s="16" t="str">
        <x:v>$100K-$500K ticket not published / unconfirmed</x:v>
      </x:c>
      <x:c r="O1408" s="20"/>
      <x:c r="P1408" s="20"/>
      <x:c r="Q1408" s="25" t="str">
        <x:v>No direct corporate-capital range established in checked source</x:v>
      </x:c>
      <x:c r="R1408" s="25" t="str">
        <x:v>Property acquisition or investor activity makes this an operator-capital prospect for the signed trial. Confirm operating-company debt/equity appetite.</x:v>
      </x:c>
      <x:c r="S1408" s="25"/>
      <x:c r="T1408" s="25" t="str">
        <x:v>Ask the owner/investor whether they can allocate $100K-$500K to trial marketing and acquisitions, and confirm structure, timing and decision authority.</x:v>
      </x:c>
      <x:c r="U1408" s="25" t="str">
        <x:v>https://www.cashhomebuyersdirectory.com/cash-home-buyers/ohio/columbus</x:v>
      </x:c>
      <x:c r="V1408" s="26" t="d">
        <x:v>2026-10-02T00:00:00.000Z</x:v>
      </x:c>
      <x:c r="W1408" s="26" t="d">
        <x:v>2026-10-02T00:00:00.000Z</x:v>
      </x:c>
      <x:c r="X1408" s="25" t="str">
        <x:v>CashHomeBuyersDirectory third-party business listing; first-party business activity not checked in this batch</x:v>
      </x:c>
      <x:c r="Y1408" s="25"/>
      <x:c r="Z1408" s="25" t="str">
        <x:v>https://www.cashhomebuyersdirectory.com/cash-home-buyers/ohio/columbus</x:v>
      </x:c>
      <x:c r="AA1408" s="25" t="str">
        <x:v>Public cash-home-buyer directory lists the business name, business phone/website where available and market. Operator role and corporate funding willingness require confirmation.</x:v>
      </x:c>
      <x:c r="AB1408" s="3" t="str">
        <x:v>New public-source collection</x:v>
      </x:c>
      <x:c r="AC1408" s="3" t="str">
        <x:v>unverified</x:v>
      </x:c>
      <x:c r="AD1408" s="3" t="str">
        <x:v>Not contacted / unconfirmed</x:v>
      </x:c>
      <x:c r="AE1408" s="3" t="str">
        <x:v>No</x:v>
      </x:c>
      <x:c r="AF1408" s="3" t="str">
        <x:v>No</x:v>
      </x:c>
      <x:c r="AG1408" s="3"/>
      <x:c r="AH1408" s="3"/>
      <x:c r="AI1408" s="18"/>
      <x:c r="AJ1408" s="3" t="str">
        <x:v>CF2500-4094763AB961</x:v>
      </x:c>
      <x:c r="AK1408" s="3" t="str">
        <x:v>real_estate_operator</x:v>
      </x:c>
      <x:c r="AL1408" s="19" t="n">
        <x:v>100000</x:v>
      </x:c>
      <x:c r="AM1408" s="19" t="n">
        <x:v>500000</x:v>
      </x:c>
      <x:c r="AN1408" s="3" t="str">
        <x:v>https://www.cashhomebuyersdirectory.com/cash-home-buyers/ohio/columbus</x:v>
      </x:c>
      <x:c r="AO1408" s="3" t="str">
        <x:v>national_rest_directory_complete.jsonl</x:v>
      </x:c>
      <x:c r="AP1408" s="19"/>
    </x:row>
    <x:row r="1409" ht="36" customHeight="1">
      <x:c r="A1409" s="23" t="n">
        <x:v>1408</x:v>
      </x:c>
      <x:c r="B1409" s="15" t="str">
        <x:v>H H We buy houses for cash LTD in PA</x:v>
      </x:c>
      <x:c r="C1409" s="15"/>
      <x:c r="D1409" s="15" t="str">
        <x:v>Property investor / home-buying operator</x:v>
      </x:c>
      <x:c r="E1409" s="15" t="str">
        <x:v>Property investor / operator inquiry</x:v>
      </x:c>
      <x:c r="F1409" s="17" t="str">
        <x:v>New</x:v>
      </x:c>
      <x:c r="G1409" s="24"/>
      <x:c r="H1409" s="24" t="str">
        <x:v>+12232266231</x:v>
      </x:c>
      <x:c r="I1409" s="24"/>
      <x:c r="J1409" s="16" t="str">
        <x:v>PA</x:v>
      </x:c>
      <x:c r="K1409" s="16" t="str">
        <x:v>Erie</x:v>
      </x:c>
      <x:c r="L1409" s="16" t="str">
        <x:v>Public property-business route; investor decision maker unconfirmed</x:v>
      </x:c>
      <x:c r="M1409" s="16"/>
      <x:c r="N1409" s="16" t="str">
        <x:v>$100K-$500K ticket not published / unconfirmed</x:v>
      </x:c>
      <x:c r="O1409" s="20"/>
      <x:c r="P1409" s="20"/>
      <x:c r="Q1409" s="25" t="str">
        <x:v>No direct corporate-capital range established in checked source</x:v>
      </x:c>
      <x:c r="R1409" s="25" t="str">
        <x:v>Property acquisition or investor activity makes this an operator-capital prospect for the signed trial. Confirm operating-company debt/equity appetite.</x:v>
      </x:c>
      <x:c r="S1409" s="25"/>
      <x:c r="T1409" s="25" t="str">
        <x:v>Ask the owner/investor whether they can allocate $100K-$500K to trial marketing and acquisitions, and confirm structure, timing and decision authority.</x:v>
      </x:c>
      <x:c r="U1409" s="25" t="str">
        <x:v>https://www.cashhomebuyersdirectory.com/cash-home-buyers/pennsylvania/erie</x:v>
      </x:c>
      <x:c r="V1409" s="26" t="d">
        <x:v>2026-10-02T00:00:00.000Z</x:v>
      </x:c>
      <x:c r="W1409" s="26" t="d">
        <x:v>2026-10-02T00:00:00.000Z</x:v>
      </x:c>
      <x:c r="X1409" s="25" t="str">
        <x:v>CashHomeBuyersDirectory third-party business listing; first-party business activity not checked in this batch</x:v>
      </x:c>
      <x:c r="Y1409" s="25"/>
      <x:c r="Z1409" s="25" t="str">
        <x:v>https://www.cashhomebuyersdirectory.com/cash-home-buyers/pennsylvania/erie</x:v>
      </x:c>
      <x:c r="AA1409" s="25" t="str">
        <x:v>Public cash-home-buyer directory lists the business name, business phone/website where available and market. Operator role and corporate funding willingness require confirmation.</x:v>
      </x:c>
      <x:c r="AB1409" s="3" t="str">
        <x:v>New public-source collection</x:v>
      </x:c>
      <x:c r="AC1409" s="3" t="str">
        <x:v>unverified</x:v>
      </x:c>
      <x:c r="AD1409" s="3" t="str">
        <x:v>Not contacted / unconfirmed</x:v>
      </x:c>
      <x:c r="AE1409" s="3" t="str">
        <x:v>No</x:v>
      </x:c>
      <x:c r="AF1409" s="3" t="str">
        <x:v>No</x:v>
      </x:c>
      <x:c r="AG1409" s="3"/>
      <x:c r="AH1409" s="3"/>
      <x:c r="AI1409" s="18"/>
      <x:c r="AJ1409" s="3" t="str">
        <x:v>CF2500-EFCBC233F676</x:v>
      </x:c>
      <x:c r="AK1409" s="3" t="str">
        <x:v>real_estate_operator</x:v>
      </x:c>
      <x:c r="AL1409" s="19" t="n">
        <x:v>100000</x:v>
      </x:c>
      <x:c r="AM1409" s="19" t="n">
        <x:v>500000</x:v>
      </x:c>
      <x:c r="AN1409" s="3" t="str">
        <x:v>https://www.cashhomebuyersdirectory.com/cash-home-buyers/pennsylvania/erie</x:v>
      </x:c>
      <x:c r="AO1409" s="3" t="str">
        <x:v>national_rest_directory_complete.jsonl</x:v>
      </x:c>
      <x:c r="AP1409" s="19"/>
    </x:row>
    <x:row r="1410" ht="36" customHeight="1">
      <x:c r="A1410" s="23" t="n">
        <x:v>1409</x:v>
      </x:c>
      <x:c r="B1410" s="15" t="str">
        <x:v>Hampton Roads Home Buyers, LLC</x:v>
      </x:c>
      <x:c r="C1410" s="15"/>
      <x:c r="D1410" s="15" t="str">
        <x:v>Property investor / home-buying operator</x:v>
      </x:c>
      <x:c r="E1410" s="15" t="str">
        <x:v>Property investor / operator inquiry</x:v>
      </x:c>
      <x:c r="F1410" s="17" t="str">
        <x:v>New</x:v>
      </x:c>
      <x:c r="G1410" s="24"/>
      <x:c r="H1410" s="24" t="str">
        <x:v>+17575356545</x:v>
      </x:c>
      <x:c r="I1410" s="24"/>
      <x:c r="J1410" s="16" t="str">
        <x:v>VA</x:v>
      </x:c>
      <x:c r="K1410" s="16"/>
      <x:c r="L1410" s="16" t="str">
        <x:v>Public property-business route; investor decision maker unconfirmed</x:v>
      </x:c>
      <x:c r="M1410" s="16"/>
      <x:c r="N1410" s="16" t="str">
        <x:v>$100K-$500K ticket not published / unconfirmed</x:v>
      </x:c>
      <x:c r="O1410" s="20"/>
      <x:c r="P1410" s="20"/>
      <x:c r="Q1410" s="25" t="str">
        <x:v>No direct corporate-capital range established in checked source</x:v>
      </x:c>
      <x:c r="R1410" s="25" t="str">
        <x:v>Property acquisition or investor activity makes this an operator-capital prospect for the signed trial. Confirm operating-company debt/equity appetite.</x:v>
      </x:c>
      <x:c r="S1410" s="25"/>
      <x:c r="T1410" s="25" t="str">
        <x:v>Ask the owner/investor whether they can allocate $100K-$500K to trial marketing and acquisitions, and confirm structure, timing and decision authority.</x:v>
      </x:c>
      <x:c r="U1410" s="25" t="str">
        <x:v>https://www.cashhomebuyersdirectory.com/cash-home-buyers/virginia/hampton</x:v>
      </x:c>
      <x:c r="V1410" s="26" t="d">
        <x:v>2026-10-02T00:00:00.000Z</x:v>
      </x:c>
      <x:c r="W1410" s="26" t="d">
        <x:v>2026-10-02T00:00:00.000Z</x:v>
      </x:c>
      <x:c r="X1410" s="25" t="str">
        <x:v>CashHomeBuyersDirectory third-party business listing; first-party business activity not checked in this batch</x:v>
      </x:c>
      <x:c r="Y1410" s="25"/>
      <x:c r="Z1410" s="25" t="str">
        <x:v>https://www.cashhomebuyersdirectory.com/cash-home-buyers/virginia/hampton</x:v>
      </x:c>
      <x:c r="AA1410" s="25" t="str">
        <x:v>Public cash-home-buyer directory lists the business name, business phone/website where available and market. Operator role and corporate funding willingness require confirmation.</x:v>
      </x:c>
      <x:c r="AB1410" s="3" t="str">
        <x:v>New public-source collection</x:v>
      </x:c>
      <x:c r="AC1410" s="3" t="str">
        <x:v>unverified</x:v>
      </x:c>
      <x:c r="AD1410" s="3" t="str">
        <x:v>Not contacted / unconfirmed</x:v>
      </x:c>
      <x:c r="AE1410" s="3" t="str">
        <x:v>No</x:v>
      </x:c>
      <x:c r="AF1410" s="3" t="str">
        <x:v>No</x:v>
      </x:c>
      <x:c r="AG1410" s="3"/>
      <x:c r="AH1410" s="3"/>
      <x:c r="AI1410" s="18"/>
      <x:c r="AJ1410" s="3" t="str">
        <x:v>CF2500-7AF10D9BB0B0</x:v>
      </x:c>
      <x:c r="AK1410" s="3" t="str">
        <x:v>real_estate_operator</x:v>
      </x:c>
      <x:c r="AL1410" s="19" t="n">
        <x:v>100000</x:v>
      </x:c>
      <x:c r="AM1410" s="19" t="n">
        <x:v>500000</x:v>
      </x:c>
      <x:c r="AN1410" s="3" t="str">
        <x:v>https://www.cashhomebuyersdirectory.com/cash-home-buyers/virginia/hampton</x:v>
      </x:c>
      <x:c r="AO1410" s="3" t="str">
        <x:v>national_rest_directory_complete.jsonl</x:v>
      </x:c>
      <x:c r="AP1410" s="19"/>
    </x:row>
    <x:row r="1411" ht="36" customHeight="1">
      <x:c r="A1411" s="23" t="n">
        <x:v>1410</x:v>
      </x:c>
      <x:c r="B1411" s="15" t="str">
        <x:v>Home buyers of tacoma</x:v>
      </x:c>
      <x:c r="C1411" s="15"/>
      <x:c r="D1411" s="15" t="str">
        <x:v>Property investor / home-buying operator</x:v>
      </x:c>
      <x:c r="E1411" s="15" t="str">
        <x:v>Property investor / operator inquiry</x:v>
      </x:c>
      <x:c r="F1411" s="17" t="str">
        <x:v>New</x:v>
      </x:c>
      <x:c r="G1411" s="24"/>
      <x:c r="H1411" s="24" t="str">
        <x:v>+12532603822</x:v>
      </x:c>
      <x:c r="I1411" s="24"/>
      <x:c r="J1411" s="16" t="str">
        <x:v>WA</x:v>
      </x:c>
      <x:c r="K1411" s="16"/>
      <x:c r="L1411" s="16" t="str">
        <x:v>Public property-business route; investor decision maker unconfirmed</x:v>
      </x:c>
      <x:c r="M1411" s="16" t="str">
        <x:v>https://www.facebook.com/HomeBuyersOfTacoma/</x:v>
      </x:c>
      <x:c r="N1411" s="16" t="str">
        <x:v>$100K-$500K ticket not published / unconfirmed</x:v>
      </x:c>
      <x:c r="O1411" s="20"/>
      <x:c r="P1411" s="20"/>
      <x:c r="Q1411" s="25" t="str">
        <x:v>No direct corporate-capital range established in checked source</x:v>
      </x:c>
      <x:c r="R1411" s="25" t="str">
        <x:v>Property acquisition or investor activity makes this an operator-capital prospect for the signed trial. Confirm operating-company debt/equity appetite.</x:v>
      </x:c>
      <x:c r="S1411" s="25"/>
      <x:c r="T1411" s="25" t="str">
        <x:v>Ask the owner/investor whether they can allocate $100K-$500K to trial marketing and acquisitions, and confirm structure, timing and decision authority.</x:v>
      </x:c>
      <x:c r="U1411" s="25" t="str">
        <x:v>https://www.cashhomebuyersdirectory.com/cash-home-buyers/washington/tacoma</x:v>
      </x:c>
      <x:c r="V1411" s="26" t="d">
        <x:v>2026-10-02T00:00:00.000Z</x:v>
      </x:c>
      <x:c r="W1411" s="26" t="d">
        <x:v>2026-10-02T00:00:00.000Z</x:v>
      </x:c>
      <x:c r="X1411" s="25" t="str">
        <x:v>CashHomeBuyersDirectory third-party business listing; first-party business activity not checked in this batch</x:v>
      </x:c>
      <x:c r="Y1411" s="25"/>
      <x:c r="Z1411" s="25" t="str">
        <x:v>https://www.cashhomebuyersdirectory.com/cash-home-buyers/washington/tacoma</x:v>
      </x:c>
      <x:c r="AA1411" s="25" t="str">
        <x:v>Public cash-home-buyer directory lists the business name, business phone/website where available and market. Operator role and corporate funding willingness require confirmation.</x:v>
      </x:c>
      <x:c r="AB1411" s="3" t="str">
        <x:v>New public-source collection</x:v>
      </x:c>
      <x:c r="AC1411" s="3" t="str">
        <x:v>unverified</x:v>
      </x:c>
      <x:c r="AD1411" s="3" t="str">
        <x:v>Not contacted / unconfirmed</x:v>
      </x:c>
      <x:c r="AE1411" s="3" t="str">
        <x:v>No</x:v>
      </x:c>
      <x:c r="AF1411" s="3" t="str">
        <x:v>No</x:v>
      </x:c>
      <x:c r="AG1411" s="3"/>
      <x:c r="AH1411" s="3"/>
      <x:c r="AI1411" s="18"/>
      <x:c r="AJ1411" s="3" t="str">
        <x:v>CF2500-9083D1136C31</x:v>
      </x:c>
      <x:c r="AK1411" s="3" t="str">
        <x:v>real_estate_operator</x:v>
      </x:c>
      <x:c r="AL1411" s="19" t="n">
        <x:v>100000</x:v>
      </x:c>
      <x:c r="AM1411" s="19" t="n">
        <x:v>500000</x:v>
      </x:c>
      <x:c r="AN1411" s="3" t="str">
        <x:v>https://www.cashhomebuyersdirectory.com/cash-home-buyers/washington/tacoma</x:v>
      </x:c>
      <x:c r="AO1411" s="3" t="str">
        <x:v>national_rest_directory_complete.jsonl</x:v>
      </x:c>
      <x:c r="AP1411" s="19"/>
    </x:row>
    <x:row r="1412" ht="36" customHeight="1">
      <x:c r="A1412" s="23" t="n">
        <x:v>1411</x:v>
      </x:c>
      <x:c r="B1412" s="15" t="str">
        <x:v>House Buyers Cheyenne</x:v>
      </x:c>
      <x:c r="C1412" s="15"/>
      <x:c r="D1412" s="15" t="str">
        <x:v>Property investor / home-buying operator</x:v>
      </x:c>
      <x:c r="E1412" s="15" t="str">
        <x:v>Property investor / operator inquiry</x:v>
      </x:c>
      <x:c r="F1412" s="17" t="str">
        <x:v>New</x:v>
      </x:c>
      <x:c r="G1412" s="24"/>
      <x:c r="H1412" s="24" t="str">
        <x:v>+13072209000</x:v>
      </x:c>
      <x:c r="I1412" s="24"/>
      <x:c r="J1412" s="16" t="str">
        <x:v>WY</x:v>
      </x:c>
      <x:c r="K1412" s="16"/>
      <x:c r="L1412" s="16" t="str">
        <x:v>Public property-business route; investor decision maker unconfirmed</x:v>
      </x:c>
      <x:c r="M1412" s="16"/>
      <x:c r="N1412" s="16" t="str">
        <x:v>$100K-$500K ticket not published / unconfirmed</x:v>
      </x:c>
      <x:c r="O1412" s="20"/>
      <x:c r="P1412" s="20"/>
      <x:c r="Q1412" s="25" t="str">
        <x:v>No direct corporate-capital range established in checked source</x:v>
      </x:c>
      <x:c r="R1412" s="25" t="str">
        <x:v>Property acquisition or investor activity makes this an operator-capital prospect for the signed trial. Confirm operating-company debt/equity appetite.</x:v>
      </x:c>
      <x:c r="S1412" s="25"/>
      <x:c r="T1412" s="25" t="str">
        <x:v>Ask the owner/investor whether they can allocate $100K-$500K to trial marketing and acquisitions, and confirm structure, timing and decision authority.</x:v>
      </x:c>
      <x:c r="U1412" s="25" t="str">
        <x:v>https://www.cashhomebuyersdirectory.com/cash-home-buyers/wyoming/cheyenne</x:v>
      </x:c>
      <x:c r="V1412" s="26" t="d">
        <x:v>2026-10-02T00:00:00.000Z</x:v>
      </x:c>
      <x:c r="W1412" s="26" t="d">
        <x:v>2026-10-02T00:00:00.000Z</x:v>
      </x:c>
      <x:c r="X1412" s="25" t="str">
        <x:v>CashHomeBuyersDirectory third-party business listing; first-party business activity not checked in this batch</x:v>
      </x:c>
      <x:c r="Y1412" s="25"/>
      <x:c r="Z1412" s="25" t="str">
        <x:v>https://www.cashhomebuyersdirectory.com/cash-home-buyers/wyoming/cheyenne</x:v>
      </x:c>
      <x:c r="AA1412" s="25" t="str">
        <x:v>Public cash-home-buyer directory lists the business name, business phone/website where available and market. Operator role and corporate funding willingness require confirmation.</x:v>
      </x:c>
      <x:c r="AB1412" s="3" t="str">
        <x:v>New public-source collection</x:v>
      </x:c>
      <x:c r="AC1412" s="3" t="str">
        <x:v>unverified</x:v>
      </x:c>
      <x:c r="AD1412" s="3" t="str">
        <x:v>Not contacted / unconfirmed</x:v>
      </x:c>
      <x:c r="AE1412" s="3" t="str">
        <x:v>No</x:v>
      </x:c>
      <x:c r="AF1412" s="3" t="str">
        <x:v>No</x:v>
      </x:c>
      <x:c r="AG1412" s="3"/>
      <x:c r="AH1412" s="3"/>
      <x:c r="AI1412" s="18"/>
      <x:c r="AJ1412" s="3" t="str">
        <x:v>CF2500-820878BCE4DE</x:v>
      </x:c>
      <x:c r="AK1412" s="3" t="str">
        <x:v>real_estate_operator</x:v>
      </x:c>
      <x:c r="AL1412" s="19" t="n">
        <x:v>100000</x:v>
      </x:c>
      <x:c r="AM1412" s="19" t="n">
        <x:v>500000</x:v>
      </x:c>
      <x:c r="AN1412" s="3" t="str">
        <x:v>https://www.cashhomebuyersdirectory.com/cash-home-buyers/wyoming/cheyenne</x:v>
      </x:c>
      <x:c r="AO1412" s="3" t="str">
        <x:v>national_rest_directory_complete.jsonl</x:v>
      </x:c>
      <x:c r="AP1412" s="19"/>
    </x:row>
    <x:row r="1413" ht="36" customHeight="1">
      <x:c r="A1413" s="23" t="n">
        <x:v>1412</x:v>
      </x:c>
      <x:c r="B1413" s="15" t="str">
        <x:v>House Buyers of Lincoln</x:v>
      </x:c>
      <x:c r="C1413" s="15"/>
      <x:c r="D1413" s="15" t="str">
        <x:v>Property investor / home-buying operator</x:v>
      </x:c>
      <x:c r="E1413" s="15" t="str">
        <x:v>Property investor / operator inquiry</x:v>
      </x:c>
      <x:c r="F1413" s="17" t="str">
        <x:v>New</x:v>
      </x:c>
      <x:c r="G1413" s="24"/>
      <x:c r="H1413" s="24" t="str">
        <x:v>+14024323903</x:v>
      </x:c>
      <x:c r="I1413" s="24"/>
      <x:c r="J1413" s="16" t="str">
        <x:v>NE</x:v>
      </x:c>
      <x:c r="K1413" s="16"/>
      <x:c r="L1413" s="16" t="str">
        <x:v>Public property-business route; investor decision maker unconfirmed</x:v>
      </x:c>
      <x:c r="M1413" s="16"/>
      <x:c r="N1413" s="16" t="str">
        <x:v>$100K-$500K ticket not published / unconfirmed</x:v>
      </x:c>
      <x:c r="O1413" s="20"/>
      <x:c r="P1413" s="20"/>
      <x:c r="Q1413" s="25" t="str">
        <x:v>No direct corporate-capital range established in checked source</x:v>
      </x:c>
      <x:c r="R1413" s="25" t="str">
        <x:v>Property acquisition or investor activity makes this an operator-capital prospect for the signed trial. Confirm operating-company debt/equity appetite.</x:v>
      </x:c>
      <x:c r="S1413" s="25"/>
      <x:c r="T1413" s="25" t="str">
        <x:v>Ask the owner/investor whether they can allocate $100K-$500K to trial marketing and acquisitions, and confirm structure, timing and decision authority.</x:v>
      </x:c>
      <x:c r="U1413" s="25" t="str">
        <x:v>https://www.cashhomebuyersdirectory.com/cash-home-buyers/nebraska/lincoln</x:v>
      </x:c>
      <x:c r="V1413" s="26" t="d">
        <x:v>2026-10-02T00:00:00.000Z</x:v>
      </x:c>
      <x:c r="W1413" s="26" t="d">
        <x:v>2026-10-02T00:00:00.000Z</x:v>
      </x:c>
      <x:c r="X1413" s="25" t="str">
        <x:v>CashHomeBuyersDirectory third-party business listing; first-party business activity not checked in this batch</x:v>
      </x:c>
      <x:c r="Y1413" s="25"/>
      <x:c r="Z1413" s="25" t="str">
        <x:v>https://www.cashhomebuyersdirectory.com/cash-home-buyers/nebraska/lincoln</x:v>
      </x:c>
      <x:c r="AA1413" s="25" t="str">
        <x:v>Public cash-home-buyer directory lists the business name, business phone/website where available and market. Operator role and corporate funding willingness require confirmation.</x:v>
      </x:c>
      <x:c r="AB1413" s="3" t="str">
        <x:v>New public-source collection</x:v>
      </x:c>
      <x:c r="AC1413" s="3" t="str">
        <x:v>unverified</x:v>
      </x:c>
      <x:c r="AD1413" s="3" t="str">
        <x:v>Not contacted / unconfirmed</x:v>
      </x:c>
      <x:c r="AE1413" s="3" t="str">
        <x:v>No</x:v>
      </x:c>
      <x:c r="AF1413" s="3" t="str">
        <x:v>No</x:v>
      </x:c>
      <x:c r="AG1413" s="3"/>
      <x:c r="AH1413" s="3"/>
      <x:c r="AI1413" s="18"/>
      <x:c r="AJ1413" s="3" t="str">
        <x:v>CF2500-D54FD57E8B68</x:v>
      </x:c>
      <x:c r="AK1413" s="3" t="str">
        <x:v>real_estate_operator</x:v>
      </x:c>
      <x:c r="AL1413" s="19" t="n">
        <x:v>100000</x:v>
      </x:c>
      <x:c r="AM1413" s="19" t="n">
        <x:v>500000</x:v>
      </x:c>
      <x:c r="AN1413" s="3" t="str">
        <x:v>https://www.cashhomebuyersdirectory.com/cash-home-buyers/nebraska/lincoln</x:v>
      </x:c>
      <x:c r="AO1413" s="3" t="str">
        <x:v>national_rest_directory_complete.jsonl</x:v>
      </x:c>
      <x:c r="AP1413" s="19"/>
    </x:row>
    <x:row r="1414" ht="36" customHeight="1">
      <x:c r="A1414" s="23" t="n">
        <x:v>1413</x:v>
      </x:c>
      <x:c r="B1414" s="15" t="str">
        <x:v>House Buyers PA</x:v>
      </x:c>
      <x:c r="C1414" s="15"/>
      <x:c r="D1414" s="15" t="str">
        <x:v>Property investor / home-buying operator</x:v>
      </x:c>
      <x:c r="E1414" s="15" t="str">
        <x:v>Property investor / operator inquiry</x:v>
      </x:c>
      <x:c r="F1414" s="17" t="str">
        <x:v>New</x:v>
      </x:c>
      <x:c r="G1414" s="24"/>
      <x:c r="H1414" s="24" t="str">
        <x:v>+17179214032</x:v>
      </x:c>
      <x:c r="I1414" s="24"/>
      <x:c r="J1414" s="16" t="str">
        <x:v>PA</x:v>
      </x:c>
      <x:c r="K1414" s="16" t="str">
        <x:v>Lancaster</x:v>
      </x:c>
      <x:c r="L1414" s="16" t="str">
        <x:v>Public property-business route; investor decision maker unconfirmed</x:v>
      </x:c>
      <x:c r="M1414" s="16"/>
      <x:c r="N1414" s="16" t="str">
        <x:v>$100K-$500K ticket not published / unconfirmed</x:v>
      </x:c>
      <x:c r="O1414" s="20"/>
      <x:c r="P1414" s="20"/>
      <x:c r="Q1414" s="25" t="str">
        <x:v>No direct corporate-capital range established in checked source</x:v>
      </x:c>
      <x:c r="R1414" s="25" t="str">
        <x:v>Property acquisition or investor activity makes this an operator-capital prospect for the signed trial. Confirm operating-company debt/equity appetite.</x:v>
      </x:c>
      <x:c r="S1414" s="25"/>
      <x:c r="T1414" s="25" t="str">
        <x:v>Ask the owner/investor whether they can allocate $100K-$500K to trial marketing and acquisitions, and confirm structure, timing and decision authority.</x:v>
      </x:c>
      <x:c r="U1414" s="25" t="str">
        <x:v>https://www.cashhomebuyersdirectory.com/cash-home-buyers/pennsylvania/lancaster</x:v>
      </x:c>
      <x:c r="V1414" s="26" t="d">
        <x:v>2026-10-02T00:00:00.000Z</x:v>
      </x:c>
      <x:c r="W1414" s="26" t="d">
        <x:v>2026-10-02T00:00:00.000Z</x:v>
      </x:c>
      <x:c r="X1414" s="25" t="str">
        <x:v>CashHomeBuyersDirectory third-party business listing; first-party business activity not checked in this batch</x:v>
      </x:c>
      <x:c r="Y1414" s="25"/>
      <x:c r="Z1414" s="25" t="str">
        <x:v>https://www.cashhomebuyersdirectory.com/cash-home-buyers/pennsylvania/lancaster</x:v>
      </x:c>
      <x:c r="AA1414" s="25" t="str">
        <x:v>Public cash-home-buyer directory lists the business name, business phone/website where available and market. Operator role and corporate funding willingness require confirmation.</x:v>
      </x:c>
      <x:c r="AB1414" s="3" t="str">
        <x:v>New public-source collection</x:v>
      </x:c>
      <x:c r="AC1414" s="3" t="str">
        <x:v>unverified</x:v>
      </x:c>
      <x:c r="AD1414" s="3" t="str">
        <x:v>Not contacted / unconfirmed</x:v>
      </x:c>
      <x:c r="AE1414" s="3" t="str">
        <x:v>No</x:v>
      </x:c>
      <x:c r="AF1414" s="3" t="str">
        <x:v>No</x:v>
      </x:c>
      <x:c r="AG1414" s="3"/>
      <x:c r="AH1414" s="3"/>
      <x:c r="AI1414" s="18"/>
      <x:c r="AJ1414" s="3" t="str">
        <x:v>CF2500-461C7BEAE7B1</x:v>
      </x:c>
      <x:c r="AK1414" s="3" t="str">
        <x:v>real_estate_operator</x:v>
      </x:c>
      <x:c r="AL1414" s="19" t="n">
        <x:v>100000</x:v>
      </x:c>
      <x:c r="AM1414" s="19" t="n">
        <x:v>500000</x:v>
      </x:c>
      <x:c r="AN1414" s="3" t="str">
        <x:v>https://www.cashhomebuyersdirectory.com/cash-home-buyers/pennsylvania/lancaster</x:v>
      </x:c>
      <x:c r="AO1414" s="3" t="str">
        <x:v>national_rest_directory_complete.jsonl</x:v>
      </x:c>
      <x:c r="AP1414" s="19"/>
    </x:row>
    <x:row r="1415" ht="36" customHeight="1">
      <x:c r="A1415" s="23" t="n">
        <x:v>1414</x:v>
      </x:c>
      <x:c r="B1415" s="15" t="str">
        <x:v>Hudson Home Buyer</x:v>
      </x:c>
      <x:c r="C1415" s="15"/>
      <x:c r="D1415" s="15" t="str">
        <x:v>Property investor / home-buying operator</x:v>
      </x:c>
      <x:c r="E1415" s="15" t="str">
        <x:v>Property investor / operator inquiry</x:v>
      </x:c>
      <x:c r="F1415" s="17" t="str">
        <x:v>New</x:v>
      </x:c>
      <x:c r="G1415" s="24"/>
      <x:c r="H1415" s="24" t="str">
        <x:v>+12016379094</x:v>
      </x:c>
      <x:c r="I1415" s="24"/>
      <x:c r="J1415" s="16" t="str">
        <x:v>NJ</x:v>
      </x:c>
      <x:c r="K1415" s="16" t="str">
        <x:v>Jersey City</x:v>
      </x:c>
      <x:c r="L1415" s="16" t="str">
        <x:v>Public property-business route; investor decision maker unconfirmed</x:v>
      </x:c>
      <x:c r="M1415" s="16"/>
      <x:c r="N1415" s="16" t="str">
        <x:v>$100K-$500K ticket not published / unconfirmed</x:v>
      </x:c>
      <x:c r="O1415" s="20"/>
      <x:c r="P1415" s="20"/>
      <x:c r="Q1415" s="25" t="str">
        <x:v>No direct corporate-capital range established in checked source</x:v>
      </x:c>
      <x:c r="R1415" s="25" t="str">
        <x:v>Property acquisition or investor activity makes this an operator-capital prospect for the signed trial. Confirm operating-company debt/equity appetite.</x:v>
      </x:c>
      <x:c r="S1415" s="25"/>
      <x:c r="T1415" s="25" t="str">
        <x:v>Ask the owner/investor whether they can allocate $100K-$500K to trial marketing and acquisitions, and confirm structure, timing and decision authority.</x:v>
      </x:c>
      <x:c r="U1415" s="25" t="str">
        <x:v>https://www.cashhomebuyersdirectory.com/cash-home-buyers/new-jersey/jersey-city</x:v>
      </x:c>
      <x:c r="V1415" s="26" t="d">
        <x:v>2026-10-02T00:00:00.000Z</x:v>
      </x:c>
      <x:c r="W1415" s="26" t="d">
        <x:v>2026-10-02T00:00:00.000Z</x:v>
      </x:c>
      <x:c r="X1415" s="25" t="str">
        <x:v>CashHomeBuyersDirectory third-party business listing; first-party business activity not checked in this batch</x:v>
      </x:c>
      <x:c r="Y1415" s="25"/>
      <x:c r="Z1415" s="25" t="str">
        <x:v>https://www.cashhomebuyersdirectory.com/cash-home-buyers/new-jersey/jersey-city</x:v>
      </x:c>
      <x:c r="AA1415" s="25" t="str">
        <x:v>Public cash-home-buyer directory lists the business name, business phone/website where available and market. Operator role and corporate funding willingness require confirmation.</x:v>
      </x:c>
      <x:c r="AB1415" s="3" t="str">
        <x:v>New public-source collection</x:v>
      </x:c>
      <x:c r="AC1415" s="3" t="str">
        <x:v>unverified</x:v>
      </x:c>
      <x:c r="AD1415" s="3" t="str">
        <x:v>Not contacted / unconfirmed</x:v>
      </x:c>
      <x:c r="AE1415" s="3" t="str">
        <x:v>No</x:v>
      </x:c>
      <x:c r="AF1415" s="3" t="str">
        <x:v>No</x:v>
      </x:c>
      <x:c r="AG1415" s="3"/>
      <x:c r="AH1415" s="3"/>
      <x:c r="AI1415" s="18"/>
      <x:c r="AJ1415" s="3" t="str">
        <x:v>CF2500-E66C2BC373E2</x:v>
      </x:c>
      <x:c r="AK1415" s="3" t="str">
        <x:v>real_estate_operator</x:v>
      </x:c>
      <x:c r="AL1415" s="19" t="n">
        <x:v>100000</x:v>
      </x:c>
      <x:c r="AM1415" s="19" t="n">
        <x:v>500000</x:v>
      </x:c>
      <x:c r="AN1415" s="3" t="str">
        <x:v>https://www.cashhomebuyersdirectory.com/cash-home-buyers/new-jersey/jersey-city</x:v>
      </x:c>
      <x:c r="AO1415" s="3" t="str">
        <x:v>national_rest_directory_complete.jsonl</x:v>
      </x:c>
      <x:c r="AP1415" s="19"/>
    </x:row>
    <x:row r="1416" ht="36" customHeight="1">
      <x:c r="A1416" s="23" t="n">
        <x:v>1415</x:v>
      </x:c>
      <x:c r="B1416" s="15" t="str">
        <x:v>I Buy Houses</x:v>
      </x:c>
      <x:c r="C1416" s="15"/>
      <x:c r="D1416" s="15" t="str">
        <x:v>Property investor / home-buying operator</x:v>
      </x:c>
      <x:c r="E1416" s="15" t="str">
        <x:v>Property investor / operator inquiry</x:v>
      </x:c>
      <x:c r="F1416" s="17" t="str">
        <x:v>New</x:v>
      </x:c>
      <x:c r="G1416" s="24"/>
      <x:c r="H1416" s="24" t="str">
        <x:v>+19372777653</x:v>
      </x:c>
      <x:c r="I1416" s="24"/>
      <x:c r="J1416" s="16" t="str">
        <x:v>OH</x:v>
      </x:c>
      <x:c r="K1416" s="16" t="str">
        <x:v>Dayton</x:v>
      </x:c>
      <x:c r="L1416" s="16" t="str">
        <x:v>Public property-business route; investor decision maker unconfirmed</x:v>
      </x:c>
      <x:c r="M1416" s="16"/>
      <x:c r="N1416" s="16" t="str">
        <x:v>$100K-$500K ticket not published / unconfirmed</x:v>
      </x:c>
      <x:c r="O1416" s="20"/>
      <x:c r="P1416" s="20"/>
      <x:c r="Q1416" s="25" t="str">
        <x:v>No direct corporate-capital range established in checked source</x:v>
      </x:c>
      <x:c r="R1416" s="25" t="str">
        <x:v>Property acquisition or investor activity makes this an operator-capital prospect for the signed trial. Confirm operating-company debt/equity appetite.</x:v>
      </x:c>
      <x:c r="S1416" s="25"/>
      <x:c r="T1416" s="25" t="str">
        <x:v>Ask the owner/investor whether they can allocate $100K-$500K to trial marketing and acquisitions, and confirm structure, timing and decision authority.</x:v>
      </x:c>
      <x:c r="U1416" s="25" t="str">
        <x:v>https://www.cashhomebuyersdirectory.com/cash-home-buyers/ohio/dayton</x:v>
      </x:c>
      <x:c r="V1416" s="26" t="d">
        <x:v>2026-10-02T00:00:00.000Z</x:v>
      </x:c>
      <x:c r="W1416" s="26" t="d">
        <x:v>2026-10-02T00:00:00.000Z</x:v>
      </x:c>
      <x:c r="X1416" s="25" t="str">
        <x:v>CashHomeBuyersDirectory third-party business listing; first-party business activity not checked in this batch</x:v>
      </x:c>
      <x:c r="Y1416" s="25"/>
      <x:c r="Z1416" s="25" t="str">
        <x:v>https://www.cashhomebuyersdirectory.com/cash-home-buyers/ohio/dayton</x:v>
      </x:c>
      <x:c r="AA1416" s="25" t="str">
        <x:v>Public cash-home-buyer directory lists the business name, business phone/website where available and market. Operator role and corporate funding willingness require confirmation.</x:v>
      </x:c>
      <x:c r="AB1416" s="3" t="str">
        <x:v>New public-source collection</x:v>
      </x:c>
      <x:c r="AC1416" s="3" t="str">
        <x:v>unverified</x:v>
      </x:c>
      <x:c r="AD1416" s="3" t="str">
        <x:v>Not contacted / unconfirmed</x:v>
      </x:c>
      <x:c r="AE1416" s="3" t="str">
        <x:v>No</x:v>
      </x:c>
      <x:c r="AF1416" s="3" t="str">
        <x:v>No</x:v>
      </x:c>
      <x:c r="AG1416" s="3"/>
      <x:c r="AH1416" s="3"/>
      <x:c r="AI1416" s="18"/>
      <x:c r="AJ1416" s="3" t="str">
        <x:v>CF2500-CCF4B41FC303</x:v>
      </x:c>
      <x:c r="AK1416" s="3" t="str">
        <x:v>real_estate_operator</x:v>
      </x:c>
      <x:c r="AL1416" s="19" t="n">
        <x:v>100000</x:v>
      </x:c>
      <x:c r="AM1416" s="19" t="n">
        <x:v>500000</x:v>
      </x:c>
      <x:c r="AN1416" s="3" t="str">
        <x:v>https://www.cashhomebuyersdirectory.com/cash-home-buyers/ohio/dayton</x:v>
      </x:c>
      <x:c r="AO1416" s="3" t="str">
        <x:v>national_rest_directory_complete.jsonl</x:v>
      </x:c>
      <x:c r="AP1416" s="19"/>
    </x:row>
    <x:row r="1417" ht="36" customHeight="1">
      <x:c r="A1417" s="23" t="n">
        <x:v>1416</x:v>
      </x:c>
      <x:c r="B1417" s="15" t="str">
        <x:v>Las Vegas Cash Home Buyers</x:v>
      </x:c>
      <x:c r="C1417" s="15"/>
      <x:c r="D1417" s="15" t="str">
        <x:v>Property investor / home-buying operator</x:v>
      </x:c>
      <x:c r="E1417" s="15" t="str">
        <x:v>Property investor / operator inquiry</x:v>
      </x:c>
      <x:c r="F1417" s="17" t="str">
        <x:v>New</x:v>
      </x:c>
      <x:c r="G1417" s="24"/>
      <x:c r="H1417" s="24" t="str">
        <x:v>+17025469578</x:v>
      </x:c>
      <x:c r="I1417" s="24"/>
      <x:c r="J1417" s="16" t="str">
        <x:v>NV</x:v>
      </x:c>
      <x:c r="K1417" s="16"/>
      <x:c r="L1417" s="16" t="str">
        <x:v>Public property-business route; investor decision maker unconfirmed</x:v>
      </x:c>
      <x:c r="M1417" s="16"/>
      <x:c r="N1417" s="16" t="str">
        <x:v>$100K-$500K ticket not published / unconfirmed</x:v>
      </x:c>
      <x:c r="O1417" s="20"/>
      <x:c r="P1417" s="20"/>
      <x:c r="Q1417" s="25" t="str">
        <x:v>No direct corporate-capital range established in checked source</x:v>
      </x:c>
      <x:c r="R1417" s="25" t="str">
        <x:v>Property acquisition or investor activity makes this an operator-capital prospect for the signed trial. Confirm operating-company debt/equity appetite.</x:v>
      </x:c>
      <x:c r="S1417" s="25"/>
      <x:c r="T1417" s="25" t="str">
        <x:v>Ask the owner/investor whether they can allocate $100K-$500K to trial marketing and acquisitions, and confirm structure, timing and decision authority.</x:v>
      </x:c>
      <x:c r="U1417" s="25" t="str">
        <x:v>https://www.cashhomebuyersdirectory.com/cash-home-buyers/nevada/henderson</x:v>
      </x:c>
      <x:c r="V1417" s="26" t="d">
        <x:v>2026-10-02T00:00:00.000Z</x:v>
      </x:c>
      <x:c r="W1417" s="26" t="d">
        <x:v>2026-10-02T00:00:00.000Z</x:v>
      </x:c>
      <x:c r="X1417" s="25" t="str">
        <x:v>CashHomeBuyersDirectory third-party business listing; first-party business activity not checked in this batch</x:v>
      </x:c>
      <x:c r="Y1417" s="25"/>
      <x:c r="Z1417" s="25" t="str">
        <x:v>https://www.cashhomebuyersdirectory.com/cash-home-buyers/nevada/henderson</x:v>
      </x:c>
      <x:c r="AA1417" s="25" t="str">
        <x:v>Public cash-home-buyer directory lists the business name, business phone/website where available and market. Operator role and corporate funding willingness require confirmation.</x:v>
      </x:c>
      <x:c r="AB1417" s="3" t="str">
        <x:v>New public-source collection</x:v>
      </x:c>
      <x:c r="AC1417" s="3" t="str">
        <x:v>unverified</x:v>
      </x:c>
      <x:c r="AD1417" s="3" t="str">
        <x:v>Not contacted / unconfirmed</x:v>
      </x:c>
      <x:c r="AE1417" s="3" t="str">
        <x:v>No</x:v>
      </x:c>
      <x:c r="AF1417" s="3" t="str">
        <x:v>No</x:v>
      </x:c>
      <x:c r="AG1417" s="3"/>
      <x:c r="AH1417" s="3"/>
      <x:c r="AI1417" s="18"/>
      <x:c r="AJ1417" s="3" t="str">
        <x:v>CF2500-432BA04FDF3F</x:v>
      </x:c>
      <x:c r="AK1417" s="3" t="str">
        <x:v>real_estate_operator</x:v>
      </x:c>
      <x:c r="AL1417" s="19" t="n">
        <x:v>100000</x:v>
      </x:c>
      <x:c r="AM1417" s="19" t="n">
        <x:v>500000</x:v>
      </x:c>
      <x:c r="AN1417" s="3" t="str">
        <x:v>https://www.cashhomebuyersdirectory.com/cash-home-buyers/nevada/henderson</x:v>
      </x:c>
      <x:c r="AO1417" s="3" t="str">
        <x:v>national_rest_directory_complete.jsonl</x:v>
      </x:c>
      <x:c r="AP1417" s="19"/>
    </x:row>
    <x:row r="1418" ht="36" customHeight="1">
      <x:c r="A1418" s="23" t="n">
        <x:v>1417</x:v>
      </x:c>
      <x:c r="B1418" s="15" t="str">
        <x:v>Louisiana Home Buyers</x:v>
      </x:c>
      <x:c r="C1418" s="15"/>
      <x:c r="D1418" s="15" t="str">
        <x:v>Property investor / home-buying operator</x:v>
      </x:c>
      <x:c r="E1418" s="15" t="str">
        <x:v>Property investor / operator inquiry</x:v>
      </x:c>
      <x:c r="F1418" s="17" t="str">
        <x:v>New</x:v>
      </x:c>
      <x:c r="G1418" s="24"/>
      <x:c r="H1418" s="24" t="str">
        <x:v>+19852832779</x:v>
      </x:c>
      <x:c r="I1418" s="24"/>
      <x:c r="J1418" s="16" t="str">
        <x:v>LA</x:v>
      </x:c>
      <x:c r="K1418" s="16" t="str">
        <x:v>Baton Rouge</x:v>
      </x:c>
      <x:c r="L1418" s="16" t="str">
        <x:v>Public property-business route; investor decision maker unconfirmed</x:v>
      </x:c>
      <x:c r="M1418" s="16"/>
      <x:c r="N1418" s="16" t="str">
        <x:v>$100K-$500K ticket not published / unconfirmed</x:v>
      </x:c>
      <x:c r="O1418" s="20"/>
      <x:c r="P1418" s="20"/>
      <x:c r="Q1418" s="25" t="str">
        <x:v>No direct corporate-capital range established in checked source</x:v>
      </x:c>
      <x:c r="R1418" s="25" t="str">
        <x:v>Property acquisition or investor activity makes this an operator-capital prospect for the signed trial. Confirm operating-company debt/equity appetite.</x:v>
      </x:c>
      <x:c r="S1418" s="25"/>
      <x:c r="T1418" s="25" t="str">
        <x:v>Ask the owner/investor whether they can allocate $100K-$500K to trial marketing and acquisitions, and confirm structure, timing and decision authority.</x:v>
      </x:c>
      <x:c r="U1418" s="25" t="str">
        <x:v>https://www.cashhomebuyersdirectory.com/cash-home-buyers/louisiana/baton-rouge</x:v>
      </x:c>
      <x:c r="V1418" s="26" t="d">
        <x:v>2026-10-02T00:00:00.000Z</x:v>
      </x:c>
      <x:c r="W1418" s="26" t="d">
        <x:v>2026-10-02T00:00:00.000Z</x:v>
      </x:c>
      <x:c r="X1418" s="25" t="str">
        <x:v>CashHomeBuyersDirectory third-party business listing; first-party business activity not checked in this batch</x:v>
      </x:c>
      <x:c r="Y1418" s="25"/>
      <x:c r="Z1418" s="25" t="str">
        <x:v>https://www.cashhomebuyersdirectory.com/cash-home-buyers/louisiana/baton-rouge</x:v>
      </x:c>
      <x:c r="AA1418" s="25" t="str">
        <x:v>Public cash-home-buyer directory lists the business name, business phone/website where available and market. Operator role and corporate funding willingness require confirmation.</x:v>
      </x:c>
      <x:c r="AB1418" s="3" t="str">
        <x:v>New public-source collection</x:v>
      </x:c>
      <x:c r="AC1418" s="3" t="str">
        <x:v>unverified</x:v>
      </x:c>
      <x:c r="AD1418" s="3" t="str">
        <x:v>Not contacted / unconfirmed</x:v>
      </x:c>
      <x:c r="AE1418" s="3" t="str">
        <x:v>No</x:v>
      </x:c>
      <x:c r="AF1418" s="3" t="str">
        <x:v>No</x:v>
      </x:c>
      <x:c r="AG1418" s="3"/>
      <x:c r="AH1418" s="3"/>
      <x:c r="AI1418" s="18"/>
      <x:c r="AJ1418" s="3" t="str">
        <x:v>CF2500-9ACD698E934C</x:v>
      </x:c>
      <x:c r="AK1418" s="3" t="str">
        <x:v>real_estate_operator</x:v>
      </x:c>
      <x:c r="AL1418" s="19" t="n">
        <x:v>100000</x:v>
      </x:c>
      <x:c r="AM1418" s="19" t="n">
        <x:v>500000</x:v>
      </x:c>
      <x:c r="AN1418" s="3" t="str">
        <x:v>https://www.cashhomebuyersdirectory.com/cash-home-buyers/louisiana/baton-rouge</x:v>
      </x:c>
      <x:c r="AO1418" s="3" t="str">
        <x:v>national_rest_directory_complete.jsonl</x:v>
      </x:c>
      <x:c r="AP1418" s="19"/>
    </x:row>
    <x:row r="1419" ht="36" customHeight="1">
      <x:c r="A1419" s="23" t="n">
        <x:v>1418</x:v>
      </x:c>
      <x:c r="B1419" s="15" t="str">
        <x:v>MD Sell My Home Hub</x:v>
      </x:c>
      <x:c r="C1419" s="15"/>
      <x:c r="D1419" s="15" t="str">
        <x:v>Property investor / home-buying operator</x:v>
      </x:c>
      <x:c r="E1419" s="15" t="str">
        <x:v>Property investor / operator inquiry</x:v>
      </x:c>
      <x:c r="F1419" s="17" t="str">
        <x:v>New</x:v>
      </x:c>
      <x:c r="G1419" s="24"/>
      <x:c r="H1419" s="24" t="str">
        <x:v>+14106570138</x:v>
      </x:c>
      <x:c r="I1419" s="24"/>
      <x:c r="J1419" s="16" t="str">
        <x:v>MD</x:v>
      </x:c>
      <x:c r="K1419" s="16" t="str">
        <x:v>Parkville</x:v>
      </x:c>
      <x:c r="L1419" s="16" t="str">
        <x:v>Public property-business route; investor decision maker unconfirmed</x:v>
      </x:c>
      <x:c r="M1419" s="16"/>
      <x:c r="N1419" s="16" t="str">
        <x:v>$100K-$500K ticket not published / unconfirmed</x:v>
      </x:c>
      <x:c r="O1419" s="20"/>
      <x:c r="P1419" s="20"/>
      <x:c r="Q1419" s="25" t="str">
        <x:v>No direct corporate-capital range established in checked source</x:v>
      </x:c>
      <x:c r="R1419" s="25" t="str">
        <x:v>Property acquisition or investor activity makes this an operator-capital prospect for the signed trial. Confirm operating-company debt/equity appetite.</x:v>
      </x:c>
      <x:c r="S1419" s="25"/>
      <x:c r="T1419" s="25" t="str">
        <x:v>Ask the owner/investor whether they can allocate $100K-$500K to trial marketing and acquisitions, and confirm structure, timing and decision authority.</x:v>
      </x:c>
      <x:c r="U1419" s="25" t="str">
        <x:v>https://www.cashhomebuyersdirectory.com/cash-home-buyers/maryland/parkville</x:v>
      </x:c>
      <x:c r="V1419" s="26" t="d">
        <x:v>2026-10-02T00:00:00.000Z</x:v>
      </x:c>
      <x:c r="W1419" s="26" t="d">
        <x:v>2026-10-02T00:00:00.000Z</x:v>
      </x:c>
      <x:c r="X1419" s="25" t="str">
        <x:v>CashHomeBuyersDirectory third-party business listing; first-party business activity not checked in this batch</x:v>
      </x:c>
      <x:c r="Y1419" s="25"/>
      <x:c r="Z1419" s="25" t="str">
        <x:v>https://www.cashhomebuyersdirectory.com/cash-home-buyers/maryland/parkville</x:v>
      </x:c>
      <x:c r="AA1419" s="25" t="str">
        <x:v>Public cash-home-buyer directory lists the business name, business phone/website where available and market. Operator role and corporate funding willingness require confirmation.</x:v>
      </x:c>
      <x:c r="AB1419" s="3" t="str">
        <x:v>New public-source collection</x:v>
      </x:c>
      <x:c r="AC1419" s="3" t="str">
        <x:v>unverified</x:v>
      </x:c>
      <x:c r="AD1419" s="3" t="str">
        <x:v>Not contacted / unconfirmed</x:v>
      </x:c>
      <x:c r="AE1419" s="3" t="str">
        <x:v>No</x:v>
      </x:c>
      <x:c r="AF1419" s="3" t="str">
        <x:v>No</x:v>
      </x:c>
      <x:c r="AG1419" s="3"/>
      <x:c r="AH1419" s="3"/>
      <x:c r="AI1419" s="18"/>
      <x:c r="AJ1419" s="3" t="str">
        <x:v>CF2500-BB927B34BC9B</x:v>
      </x:c>
      <x:c r="AK1419" s="3" t="str">
        <x:v>real_estate_operator</x:v>
      </x:c>
      <x:c r="AL1419" s="19" t="n">
        <x:v>100000</x:v>
      </x:c>
      <x:c r="AM1419" s="19" t="n">
        <x:v>500000</x:v>
      </x:c>
      <x:c r="AN1419" s="3" t="str">
        <x:v>https://www.cashhomebuyersdirectory.com/cash-home-buyers/maryland/parkville</x:v>
      </x:c>
      <x:c r="AO1419" s="3" t="str">
        <x:v>national_rest_directory_complete.jsonl</x:v>
      </x:c>
      <x:c r="AP1419" s="19"/>
    </x:row>
    <x:row r="1420" ht="36" customHeight="1">
      <x:c r="A1420" s="23" t="n">
        <x:v>1419</x:v>
      </x:c>
      <x:c r="B1420" s="15" t="str">
        <x:v>Mid Michigan Home Buyers</x:v>
      </x:c>
      <x:c r="C1420" s="15"/>
      <x:c r="D1420" s="15" t="str">
        <x:v>Property investor / home-buying operator</x:v>
      </x:c>
      <x:c r="E1420" s="15" t="str">
        <x:v>Property investor / operator inquiry</x:v>
      </x:c>
      <x:c r="F1420" s="17" t="str">
        <x:v>New</x:v>
      </x:c>
      <x:c r="G1420" s="24"/>
      <x:c r="H1420" s="24" t="str">
        <x:v>+18103789174</x:v>
      </x:c>
      <x:c r="I1420" s="24"/>
      <x:c r="J1420" s="16" t="str">
        <x:v>MI</x:v>
      </x:c>
      <x:c r="K1420" s="16" t="str">
        <x:v>Flint</x:v>
      </x:c>
      <x:c r="L1420" s="16" t="str">
        <x:v>Public property-business route; investor decision maker unconfirmed</x:v>
      </x:c>
      <x:c r="M1420" s="16" t="str">
        <x:v>https://www.facebook.com/midmichiganhomebuyer</x:v>
      </x:c>
      <x:c r="N1420" s="16" t="str">
        <x:v>$100K-$500K ticket not published / unconfirmed</x:v>
      </x:c>
      <x:c r="O1420" s="20"/>
      <x:c r="P1420" s="20"/>
      <x:c r="Q1420" s="25" t="str">
        <x:v>No direct corporate-capital range established in checked source</x:v>
      </x:c>
      <x:c r="R1420" s="25" t="str">
        <x:v>Property acquisition or investor activity makes this an operator-capital prospect for the signed trial. Confirm operating-company debt/equity appetite.</x:v>
      </x:c>
      <x:c r="S1420" s="25"/>
      <x:c r="T1420" s="25" t="str">
        <x:v>Ask the owner/investor whether they can allocate $100K-$500K to trial marketing and acquisitions, and confirm structure, timing and decision authority.</x:v>
      </x:c>
      <x:c r="U1420" s="25" t="str">
        <x:v>https://www.cashhomebuyersdirectory.com/cash-home-buyers/michigan/flint</x:v>
      </x:c>
      <x:c r="V1420" s="26" t="d">
        <x:v>2026-10-02T00:00:00.000Z</x:v>
      </x:c>
      <x:c r="W1420" s="26" t="d">
        <x:v>2026-10-02T00:00:00.000Z</x:v>
      </x:c>
      <x:c r="X1420" s="25" t="str">
        <x:v>CashHomeBuyersDirectory third-party business listing; first-party business activity not checked in this batch</x:v>
      </x:c>
      <x:c r="Y1420" s="25"/>
      <x:c r="Z1420" s="25" t="str">
        <x:v>https://www.cashhomebuyersdirectory.com/cash-home-buyers/michigan/flint</x:v>
      </x:c>
      <x:c r="AA1420" s="25" t="str">
        <x:v>Public cash-home-buyer directory lists the business name, business phone/website where available and market. Operator role and corporate funding willingness require confirmation.</x:v>
      </x:c>
      <x:c r="AB1420" s="3" t="str">
        <x:v>New public-source collection</x:v>
      </x:c>
      <x:c r="AC1420" s="3" t="str">
        <x:v>unverified</x:v>
      </x:c>
      <x:c r="AD1420" s="3" t="str">
        <x:v>Not contacted / unconfirmed</x:v>
      </x:c>
      <x:c r="AE1420" s="3" t="str">
        <x:v>No</x:v>
      </x:c>
      <x:c r="AF1420" s="3" t="str">
        <x:v>No</x:v>
      </x:c>
      <x:c r="AG1420" s="3"/>
      <x:c r="AH1420" s="3"/>
      <x:c r="AI1420" s="18"/>
      <x:c r="AJ1420" s="3" t="str">
        <x:v>CF2500-766A9D1D38D3</x:v>
      </x:c>
      <x:c r="AK1420" s="3" t="str">
        <x:v>real_estate_operator</x:v>
      </x:c>
      <x:c r="AL1420" s="19" t="n">
        <x:v>100000</x:v>
      </x:c>
      <x:c r="AM1420" s="19" t="n">
        <x:v>500000</x:v>
      </x:c>
      <x:c r="AN1420" s="3" t="str">
        <x:v>https://www.cashhomebuyersdirectory.com/cash-home-buyers/michigan/flint</x:v>
      </x:c>
      <x:c r="AO1420" s="3" t="str">
        <x:v>national_rest_directory_complete.jsonl</x:v>
      </x:c>
      <x:c r="AP1420" s="19"/>
    </x:row>
    <x:row r="1421" ht="36" customHeight="1">
      <x:c r="A1421" s="23" t="n">
        <x:v>1420</x:v>
      </x:c>
      <x:c r="B1421" s="15" t="str">
        <x:v>Midstate House Buyers</x:v>
      </x:c>
      <x:c r="C1421" s="15"/>
      <x:c r="D1421" s="15" t="str">
        <x:v>Property investor / home-buying operator</x:v>
      </x:c>
      <x:c r="E1421" s="15" t="str">
        <x:v>Property investor / operator inquiry</x:v>
      </x:c>
      <x:c r="F1421" s="17" t="str">
        <x:v>New</x:v>
      </x:c>
      <x:c r="G1421" s="24"/>
      <x:c r="H1421" s="24" t="str">
        <x:v>+17014049621</x:v>
      </x:c>
      <x:c r="I1421" s="24"/>
      <x:c r="J1421" s="16" t="str">
        <x:v>ND</x:v>
      </x:c>
      <x:c r="K1421" s="16" t="str">
        <x:v>Fargo</x:v>
      </x:c>
      <x:c r="L1421" s="16" t="str">
        <x:v>Public property-business route; investor decision maker unconfirmed</x:v>
      </x:c>
      <x:c r="M1421" s="16"/>
      <x:c r="N1421" s="16" t="str">
        <x:v>$100K-$500K ticket not published / unconfirmed</x:v>
      </x:c>
      <x:c r="O1421" s="20"/>
      <x:c r="P1421" s="20"/>
      <x:c r="Q1421" s="25" t="str">
        <x:v>No direct corporate-capital range established in checked source</x:v>
      </x:c>
      <x:c r="R1421" s="25" t="str">
        <x:v>Property acquisition or investor activity makes this an operator-capital prospect for the signed trial. Confirm operating-company debt/equity appetite.</x:v>
      </x:c>
      <x:c r="S1421" s="25"/>
      <x:c r="T1421" s="25" t="str">
        <x:v>Ask the owner/investor whether they can allocate $100K-$500K to trial marketing and acquisitions, and confirm structure, timing and decision authority.</x:v>
      </x:c>
      <x:c r="U1421" s="25" t="str">
        <x:v>https://www.cashhomebuyersdirectory.com/cash-home-buyers/north-dakota/fargo</x:v>
      </x:c>
      <x:c r="V1421" s="26" t="d">
        <x:v>2026-10-02T00:00:00.000Z</x:v>
      </x:c>
      <x:c r="W1421" s="26" t="d">
        <x:v>2026-10-02T00:00:00.000Z</x:v>
      </x:c>
      <x:c r="X1421" s="25" t="str">
        <x:v>CashHomeBuyersDirectory third-party business listing; first-party business activity not checked in this batch</x:v>
      </x:c>
      <x:c r="Y1421" s="25"/>
      <x:c r="Z1421" s="25" t="str">
        <x:v>https://www.cashhomebuyersdirectory.com/cash-home-buyers/north-dakota/fargo</x:v>
      </x:c>
      <x:c r="AA1421" s="25" t="str">
        <x:v>Public cash-home-buyer directory lists the business name, business phone/website where available and market. Operator role and corporate funding willingness require confirmation.</x:v>
      </x:c>
      <x:c r="AB1421" s="3" t="str">
        <x:v>New public-source collection</x:v>
      </x:c>
      <x:c r="AC1421" s="3" t="str">
        <x:v>unverified</x:v>
      </x:c>
      <x:c r="AD1421" s="3" t="str">
        <x:v>Not contacted / unconfirmed</x:v>
      </x:c>
      <x:c r="AE1421" s="3" t="str">
        <x:v>No</x:v>
      </x:c>
      <x:c r="AF1421" s="3" t="str">
        <x:v>No</x:v>
      </x:c>
      <x:c r="AG1421" s="3"/>
      <x:c r="AH1421" s="3"/>
      <x:c r="AI1421" s="18"/>
      <x:c r="AJ1421" s="3" t="str">
        <x:v>CF2500-ABC756CE3068</x:v>
      </x:c>
      <x:c r="AK1421" s="3" t="str">
        <x:v>real_estate_operator</x:v>
      </x:c>
      <x:c r="AL1421" s="19" t="n">
        <x:v>100000</x:v>
      </x:c>
      <x:c r="AM1421" s="19" t="n">
        <x:v>500000</x:v>
      </x:c>
      <x:c r="AN1421" s="3" t="str">
        <x:v>https://www.cashhomebuyersdirectory.com/cash-home-buyers/north-dakota/fargo</x:v>
      </x:c>
      <x:c r="AO1421" s="3" t="str">
        <x:v>national_rest_directory_complete.jsonl</x:v>
      </x:c>
      <x:c r="AP1421" s="19"/>
    </x:row>
    <x:row r="1422" ht="36" customHeight="1">
      <x:c r="A1422" s="23" t="n">
        <x:v>1421</x:v>
      </x:c>
      <x:c r="B1422" s="15" t="str">
        <x:v>Monroeville Home Buyers</x:v>
      </x:c>
      <x:c r="C1422" s="15"/>
      <x:c r="D1422" s="15" t="str">
        <x:v>Property investor / home-buying operator</x:v>
      </x:c>
      <x:c r="E1422" s="15" t="str">
        <x:v>Property investor / operator inquiry</x:v>
      </x:c>
      <x:c r="F1422" s="17" t="str">
        <x:v>New</x:v>
      </x:c>
      <x:c r="G1422" s="24"/>
      <x:c r="H1422" s="24" t="str">
        <x:v>+14125898476</x:v>
      </x:c>
      <x:c r="I1422" s="24"/>
      <x:c r="J1422" s="16" t="str">
        <x:v>PA</x:v>
      </x:c>
      <x:c r="K1422" s="16" t="str">
        <x:v>Monroeville</x:v>
      </x:c>
      <x:c r="L1422" s="16" t="str">
        <x:v>Public property-business route; investor decision maker unconfirmed</x:v>
      </x:c>
      <x:c r="M1422" s="16"/>
      <x:c r="N1422" s="16" t="str">
        <x:v>$100K-$500K ticket not published / unconfirmed</x:v>
      </x:c>
      <x:c r="O1422" s="20"/>
      <x:c r="P1422" s="20"/>
      <x:c r="Q1422" s="25" t="str">
        <x:v>No direct corporate-capital range established in checked source</x:v>
      </x:c>
      <x:c r="R1422" s="25" t="str">
        <x:v>Property acquisition or investor activity makes this an operator-capital prospect for the signed trial. Confirm operating-company debt/equity appetite.</x:v>
      </x:c>
      <x:c r="S1422" s="25"/>
      <x:c r="T1422" s="25" t="str">
        <x:v>Ask the owner/investor whether they can allocate $100K-$500K to trial marketing and acquisitions, and confirm structure, timing and decision authority.</x:v>
      </x:c>
      <x:c r="U1422" s="25" t="str">
        <x:v>https://www.cashhomebuyersdirectory.com/cash-home-buyers/pennsylvania/monroeville</x:v>
      </x:c>
      <x:c r="V1422" s="26" t="d">
        <x:v>2026-10-02T00:00:00.000Z</x:v>
      </x:c>
      <x:c r="W1422" s="26" t="d">
        <x:v>2026-10-02T00:00:00.000Z</x:v>
      </x:c>
      <x:c r="X1422" s="25" t="str">
        <x:v>CashHomeBuyersDirectory third-party business listing; first-party business activity not checked in this batch</x:v>
      </x:c>
      <x:c r="Y1422" s="25"/>
      <x:c r="Z1422" s="25" t="str">
        <x:v>https://www.cashhomebuyersdirectory.com/cash-home-buyers/pennsylvania/monroeville</x:v>
      </x:c>
      <x:c r="AA1422" s="25" t="str">
        <x:v>Public cash-home-buyer directory lists the business name, business phone/website where available and market. Operator role and corporate funding willingness require confirmation.</x:v>
      </x:c>
      <x:c r="AB1422" s="3" t="str">
        <x:v>New public-source collection</x:v>
      </x:c>
      <x:c r="AC1422" s="3" t="str">
        <x:v>unverified</x:v>
      </x:c>
      <x:c r="AD1422" s="3" t="str">
        <x:v>Not contacted / unconfirmed</x:v>
      </x:c>
      <x:c r="AE1422" s="3" t="str">
        <x:v>No</x:v>
      </x:c>
      <x:c r="AF1422" s="3" t="str">
        <x:v>No</x:v>
      </x:c>
      <x:c r="AG1422" s="3"/>
      <x:c r="AH1422" s="3"/>
      <x:c r="AI1422" s="18"/>
      <x:c r="AJ1422" s="3" t="str">
        <x:v>CF2500-BCA4AB2C3E19</x:v>
      </x:c>
      <x:c r="AK1422" s="3" t="str">
        <x:v>real_estate_operator</x:v>
      </x:c>
      <x:c r="AL1422" s="19" t="n">
        <x:v>100000</x:v>
      </x:c>
      <x:c r="AM1422" s="19" t="n">
        <x:v>500000</x:v>
      </x:c>
      <x:c r="AN1422" s="3" t="str">
        <x:v>https://www.cashhomebuyersdirectory.com/cash-home-buyers/pennsylvania/monroeville</x:v>
      </x:c>
      <x:c r="AO1422" s="3" t="str">
        <x:v>national_rest_directory_complete.jsonl</x:v>
      </x:c>
      <x:c r="AP1422" s="19"/>
    </x:row>
    <x:row r="1423" ht="36" customHeight="1">
      <x:c r="A1423" s="23" t="n">
        <x:v>1422</x:v>
      </x:c>
      <x:c r="B1423" s="15" t="str">
        <x:v>MS Gulf Coast House Buyers</x:v>
      </x:c>
      <x:c r="C1423" s="15"/>
      <x:c r="D1423" s="15" t="str">
        <x:v>Property investor / home-buying operator</x:v>
      </x:c>
      <x:c r="E1423" s="15" t="str">
        <x:v>Property investor / operator inquiry</x:v>
      </x:c>
      <x:c r="F1423" s="17" t="str">
        <x:v>New</x:v>
      </x:c>
      <x:c r="G1423" s="24"/>
      <x:c r="H1423" s="24" t="str">
        <x:v>+16013851558</x:v>
      </x:c>
      <x:c r="I1423" s="24"/>
      <x:c r="J1423" s="16" t="str">
        <x:v>MS</x:v>
      </x:c>
      <x:c r="K1423" s="16"/>
      <x:c r="L1423" s="16" t="str">
        <x:v>Public property-business route; investor decision maker unconfirmed</x:v>
      </x:c>
      <x:c r="M1423" s="16"/>
      <x:c r="N1423" s="16" t="str">
        <x:v>$100K-$500K ticket not published / unconfirmed</x:v>
      </x:c>
      <x:c r="O1423" s="20"/>
      <x:c r="P1423" s="20"/>
      <x:c r="Q1423" s="25" t="str">
        <x:v>No direct corporate-capital range established in checked source</x:v>
      </x:c>
      <x:c r="R1423" s="25" t="str">
        <x:v>Property acquisition or investor activity makes this an operator-capital prospect for the signed trial. Confirm operating-company debt/equity appetite.</x:v>
      </x:c>
      <x:c r="S1423" s="25"/>
      <x:c r="T1423" s="25" t="str">
        <x:v>Ask the owner/investor whether they can allocate $100K-$500K to trial marketing and acquisitions, and confirm structure, timing and decision authority.</x:v>
      </x:c>
      <x:c r="U1423" s="25" t="str">
        <x:v>https://www.cashhomebuyersdirectory.com/cash-home-buyers/mississippi/gulfport</x:v>
      </x:c>
      <x:c r="V1423" s="26" t="d">
        <x:v>2026-10-02T00:00:00.000Z</x:v>
      </x:c>
      <x:c r="W1423" s="26" t="d">
        <x:v>2026-10-02T00:00:00.000Z</x:v>
      </x:c>
      <x:c r="X1423" s="25" t="str">
        <x:v>CashHomeBuyersDirectory third-party business listing; first-party business activity not checked in this batch</x:v>
      </x:c>
      <x:c r="Y1423" s="25"/>
      <x:c r="Z1423" s="25" t="str">
        <x:v>https://www.cashhomebuyersdirectory.com/cash-home-buyers/mississippi/gulfport</x:v>
      </x:c>
      <x:c r="AA1423" s="25" t="str">
        <x:v>Public cash-home-buyer directory lists the business name, business phone/website where available and market. Operator role and corporate funding willingness require confirmation.</x:v>
      </x:c>
      <x:c r="AB1423" s="3" t="str">
        <x:v>New public-source collection</x:v>
      </x:c>
      <x:c r="AC1423" s="3" t="str">
        <x:v>unverified</x:v>
      </x:c>
      <x:c r="AD1423" s="3" t="str">
        <x:v>Not contacted / unconfirmed</x:v>
      </x:c>
      <x:c r="AE1423" s="3" t="str">
        <x:v>No</x:v>
      </x:c>
      <x:c r="AF1423" s="3" t="str">
        <x:v>No</x:v>
      </x:c>
      <x:c r="AG1423" s="3"/>
      <x:c r="AH1423" s="3"/>
      <x:c r="AI1423" s="18"/>
      <x:c r="AJ1423" s="3" t="str">
        <x:v>CF2500-C966304510BF</x:v>
      </x:c>
      <x:c r="AK1423" s="3" t="str">
        <x:v>real_estate_operator</x:v>
      </x:c>
      <x:c r="AL1423" s="19" t="n">
        <x:v>100000</x:v>
      </x:c>
      <x:c r="AM1423" s="19" t="n">
        <x:v>500000</x:v>
      </x:c>
      <x:c r="AN1423" s="3" t="str">
        <x:v>https://www.cashhomebuyersdirectory.com/cash-home-buyers/mississippi/gulfport</x:v>
      </x:c>
      <x:c r="AO1423" s="3" t="str">
        <x:v>national_rest_directory_complete.jsonl</x:v>
      </x:c>
      <x:c r="AP1423" s="19"/>
    </x:row>
    <x:row r="1424" ht="36" customHeight="1">
      <x:c r="A1424" s="23" t="n">
        <x:v>1423</x:v>
      </x:c>
      <x:c r="B1424" s="15" t="str">
        <x:v>Nebraska Home Buyer Group</x:v>
      </x:c>
      <x:c r="C1424" s="15"/>
      <x:c r="D1424" s="15" t="str">
        <x:v>Property investor / home-buying operator</x:v>
      </x:c>
      <x:c r="E1424" s="15" t="str">
        <x:v>Property investor / operator inquiry</x:v>
      </x:c>
      <x:c r="F1424" s="17" t="str">
        <x:v>New</x:v>
      </x:c>
      <x:c r="G1424" s="24"/>
      <x:c r="H1424" s="24" t="str">
        <x:v>+14022515968</x:v>
      </x:c>
      <x:c r="I1424" s="24"/>
      <x:c r="J1424" s="16" t="str">
        <x:v>NE</x:v>
      </x:c>
      <x:c r="K1424" s="16" t="str">
        <x:v>Omaha</x:v>
      </x:c>
      <x:c r="L1424" s="16" t="str">
        <x:v>Public property-business route; investor decision maker unconfirmed</x:v>
      </x:c>
      <x:c r="M1424" s="16"/>
      <x:c r="N1424" s="16" t="str">
        <x:v>$100K-$500K ticket not published / unconfirmed</x:v>
      </x:c>
      <x:c r="O1424" s="20"/>
      <x:c r="P1424" s="20"/>
      <x:c r="Q1424" s="25" t="str">
        <x:v>No direct corporate-capital range established in checked source</x:v>
      </x:c>
      <x:c r="R1424" s="25" t="str">
        <x:v>Property acquisition or investor activity makes this an operator-capital prospect for the signed trial. Confirm operating-company debt/equity appetite.</x:v>
      </x:c>
      <x:c r="S1424" s="25"/>
      <x:c r="T1424" s="25" t="str">
        <x:v>Ask the owner/investor whether they can allocate $100K-$500K to trial marketing and acquisitions, and confirm structure, timing and decision authority.</x:v>
      </x:c>
      <x:c r="U1424" s="25" t="str">
        <x:v>https://www.cashhomebuyersdirectory.com/cash-home-buyers/nebraska/omaha</x:v>
      </x:c>
      <x:c r="V1424" s="26" t="d">
        <x:v>2026-10-02T00:00:00.000Z</x:v>
      </x:c>
      <x:c r="W1424" s="26" t="d">
        <x:v>2026-10-02T00:00:00.000Z</x:v>
      </x:c>
      <x:c r="X1424" s="25" t="str">
        <x:v>CashHomeBuyersDirectory third-party business listing; first-party business activity not checked in this batch</x:v>
      </x:c>
      <x:c r="Y1424" s="25"/>
      <x:c r="Z1424" s="25" t="str">
        <x:v>https://www.cashhomebuyersdirectory.com/cash-home-buyers/nebraska/omaha</x:v>
      </x:c>
      <x:c r="AA1424" s="25" t="str">
        <x:v>Public cash-home-buyer directory lists the business name, business phone/website where available and market. Operator role and corporate funding willingness require confirmation.</x:v>
      </x:c>
      <x:c r="AB1424" s="3" t="str">
        <x:v>New public-source collection</x:v>
      </x:c>
      <x:c r="AC1424" s="3" t="str">
        <x:v>unverified</x:v>
      </x:c>
      <x:c r="AD1424" s="3" t="str">
        <x:v>Not contacted / unconfirmed</x:v>
      </x:c>
      <x:c r="AE1424" s="3" t="str">
        <x:v>No</x:v>
      </x:c>
      <x:c r="AF1424" s="3" t="str">
        <x:v>No</x:v>
      </x:c>
      <x:c r="AG1424" s="3"/>
      <x:c r="AH1424" s="3"/>
      <x:c r="AI1424" s="18"/>
      <x:c r="AJ1424" s="3" t="str">
        <x:v>CF2500-0B382527F425</x:v>
      </x:c>
      <x:c r="AK1424" s="3" t="str">
        <x:v>real_estate_operator</x:v>
      </x:c>
      <x:c r="AL1424" s="19" t="n">
        <x:v>100000</x:v>
      </x:c>
      <x:c r="AM1424" s="19" t="n">
        <x:v>500000</x:v>
      </x:c>
      <x:c r="AN1424" s="3" t="str">
        <x:v>https://www.cashhomebuyersdirectory.com/cash-home-buyers/nebraska/omaha</x:v>
      </x:c>
      <x:c r="AO1424" s="3" t="str">
        <x:v>national_rest_directory_complete.jsonl</x:v>
      </x:c>
      <x:c r="AP1424" s="19"/>
    </x:row>
    <x:row r="1425" ht="36" customHeight="1">
      <x:c r="A1425" s="23" t="n">
        <x:v>1424</x:v>
      </x:c>
      <x:c r="B1425" s="15" t="str">
        <x:v>Need To Sell My House Quickly</x:v>
      </x:c>
      <x:c r="C1425" s="15"/>
      <x:c r="D1425" s="15" t="str">
        <x:v>Property investor / home-buying operator</x:v>
      </x:c>
      <x:c r="E1425" s="15" t="str">
        <x:v>Property investor / operator inquiry</x:v>
      </x:c>
      <x:c r="F1425" s="17" t="str">
        <x:v>New</x:v>
      </x:c>
      <x:c r="G1425" s="24"/>
      <x:c r="H1425" s="24" t="str">
        <x:v>+15133608110</x:v>
      </x:c>
      <x:c r="I1425" s="24"/>
      <x:c r="J1425" s="16" t="str">
        <x:v>OH</x:v>
      </x:c>
      <x:c r="K1425" s="16" t="str">
        <x:v>West Chester Township</x:v>
      </x:c>
      <x:c r="L1425" s="16" t="str">
        <x:v>Public property-business route; investor decision maker unconfirmed</x:v>
      </x:c>
      <x:c r="M1425" s="16"/>
      <x:c r="N1425" s="16" t="str">
        <x:v>$100K-$500K ticket not published / unconfirmed</x:v>
      </x:c>
      <x:c r="O1425" s="20"/>
      <x:c r="P1425" s="20"/>
      <x:c r="Q1425" s="25" t="str">
        <x:v>No direct corporate-capital range established in checked source</x:v>
      </x:c>
      <x:c r="R1425" s="25" t="str">
        <x:v>Property acquisition or investor activity makes this an operator-capital prospect for the signed trial. Confirm operating-company debt/equity appetite.</x:v>
      </x:c>
      <x:c r="S1425" s="25"/>
      <x:c r="T1425" s="25" t="str">
        <x:v>Ask the owner/investor whether they can allocate $100K-$500K to trial marketing and acquisitions, and confirm structure, timing and decision authority.</x:v>
      </x:c>
      <x:c r="U1425" s="25" t="str">
        <x:v>https://www.cashhomebuyersdirectory.com/cash-home-buyers/ohio/west-chester-township</x:v>
      </x:c>
      <x:c r="V1425" s="26" t="d">
        <x:v>2026-10-02T00:00:00.000Z</x:v>
      </x:c>
      <x:c r="W1425" s="26" t="d">
        <x:v>2026-10-02T00:00:00.000Z</x:v>
      </x:c>
      <x:c r="X1425" s="25" t="str">
        <x:v>CashHomeBuyersDirectory third-party business listing; first-party business activity not checked in this batch</x:v>
      </x:c>
      <x:c r="Y1425" s="25"/>
      <x:c r="Z1425" s="25" t="str">
        <x:v>https://www.cashhomebuyersdirectory.com/cash-home-buyers/ohio/west-chester-township</x:v>
      </x:c>
      <x:c r="AA1425" s="25" t="str">
        <x:v>Public cash-home-buyer directory lists the business name, business phone/website where available and market. Operator role and corporate funding willingness require confirmation.</x:v>
      </x:c>
      <x:c r="AB1425" s="3" t="str">
        <x:v>New public-source collection</x:v>
      </x:c>
      <x:c r="AC1425" s="3" t="str">
        <x:v>unverified</x:v>
      </x:c>
      <x:c r="AD1425" s="3" t="str">
        <x:v>Not contacted / unconfirmed</x:v>
      </x:c>
      <x:c r="AE1425" s="3" t="str">
        <x:v>No</x:v>
      </x:c>
      <x:c r="AF1425" s="3" t="str">
        <x:v>No</x:v>
      </x:c>
      <x:c r="AG1425" s="3"/>
      <x:c r="AH1425" s="3"/>
      <x:c r="AI1425" s="18"/>
      <x:c r="AJ1425" s="3" t="str">
        <x:v>CF2500-C7197BC4DCD0</x:v>
      </x:c>
      <x:c r="AK1425" s="3" t="str">
        <x:v>real_estate_operator</x:v>
      </x:c>
      <x:c r="AL1425" s="19" t="n">
        <x:v>100000</x:v>
      </x:c>
      <x:c r="AM1425" s="19" t="n">
        <x:v>500000</x:v>
      </x:c>
      <x:c r="AN1425" s="3" t="str">
        <x:v>https://www.cashhomebuyersdirectory.com/cash-home-buyers/ohio/west-chester-township</x:v>
      </x:c>
      <x:c r="AO1425" s="3" t="str">
        <x:v>national_rest_directory_complete.jsonl</x:v>
      </x:c>
      <x:c r="AP1425" s="19"/>
    </x:row>
    <x:row r="1426" ht="36" customHeight="1">
      <x:c r="A1426" s="23" t="n">
        <x:v>1425</x:v>
      </x:c>
      <x:c r="B1426" s="15" t="str">
        <x:v>Northstarhomebuyer</x:v>
      </x:c>
      <x:c r="C1426" s="15"/>
      <x:c r="D1426" s="15" t="str">
        <x:v>Property investor / home-buying operator</x:v>
      </x:c>
      <x:c r="E1426" s="15" t="str">
        <x:v>Property investor / operator inquiry</x:v>
      </x:c>
      <x:c r="F1426" s="17" t="str">
        <x:v>New</x:v>
      </x:c>
      <x:c r="G1426" s="24"/>
      <x:c r="H1426" s="24" t="str">
        <x:v>+13177428542</x:v>
      </x:c>
      <x:c r="I1426" s="24"/>
      <x:c r="J1426" s="16" t="str">
        <x:v>AK</x:v>
      </x:c>
      <x:c r="K1426" s="16"/>
      <x:c r="L1426" s="16" t="str">
        <x:v>Public property-business route; investor decision maker unconfirmed</x:v>
      </x:c>
      <x:c r="M1426" s="16"/>
      <x:c r="N1426" s="16" t="str">
        <x:v>$100K-$500K ticket not published / unconfirmed</x:v>
      </x:c>
      <x:c r="O1426" s="20"/>
      <x:c r="P1426" s="20"/>
      <x:c r="Q1426" s="25" t="str">
        <x:v>No direct corporate-capital range established in checked source</x:v>
      </x:c>
      <x:c r="R1426" s="25" t="str">
        <x:v>Property acquisition or investor activity makes this an operator-capital prospect for the signed trial. Confirm operating-company debt/equity appetite.</x:v>
      </x:c>
      <x:c r="S1426" s="25"/>
      <x:c r="T1426" s="25" t="str">
        <x:v>Ask the owner/investor whether they can allocate $100K-$500K to trial marketing and acquisitions, and confirm structure, timing and decision authority.</x:v>
      </x:c>
      <x:c r="U1426" s="25" t="str">
        <x:v>https://www.cashhomebuyersdirectory.com/cash-home-buyers/alaska/anchorage</x:v>
      </x:c>
      <x:c r="V1426" s="26" t="d">
        <x:v>2026-10-02T00:00:00.000Z</x:v>
      </x:c>
      <x:c r="W1426" s="26" t="d">
        <x:v>2026-10-02T00:00:00.000Z</x:v>
      </x:c>
      <x:c r="X1426" s="25" t="str">
        <x:v>CashHomeBuyersDirectory third-party business listing; first-party business activity not checked in this batch</x:v>
      </x:c>
      <x:c r="Y1426" s="25"/>
      <x:c r="Z1426" s="25" t="str">
        <x:v>https://www.cashhomebuyersdirectory.com/cash-home-buyers/alaska/anchorage</x:v>
      </x:c>
      <x:c r="AA1426" s="25" t="str">
        <x:v>Public cash-home-buyer directory lists the business name, business phone/website where available and market. Operator role and corporate funding willingness require confirmation.</x:v>
      </x:c>
      <x:c r="AB1426" s="3" t="str">
        <x:v>New public-source collection</x:v>
      </x:c>
      <x:c r="AC1426" s="3" t="str">
        <x:v>unverified</x:v>
      </x:c>
      <x:c r="AD1426" s="3" t="str">
        <x:v>Not contacted / unconfirmed</x:v>
      </x:c>
      <x:c r="AE1426" s="3" t="str">
        <x:v>No</x:v>
      </x:c>
      <x:c r="AF1426" s="3" t="str">
        <x:v>No</x:v>
      </x:c>
      <x:c r="AG1426" s="3"/>
      <x:c r="AH1426" s="3"/>
      <x:c r="AI1426" s="18"/>
      <x:c r="AJ1426" s="3" t="str">
        <x:v>CF2500-38C7BD890BE7</x:v>
      </x:c>
      <x:c r="AK1426" s="3" t="str">
        <x:v>real_estate_operator</x:v>
      </x:c>
      <x:c r="AL1426" s="19" t="n">
        <x:v>100000</x:v>
      </x:c>
      <x:c r="AM1426" s="19" t="n">
        <x:v>500000</x:v>
      </x:c>
      <x:c r="AN1426" s="3" t="str">
        <x:v>https://www.cashhomebuyersdirectory.com/cash-home-buyers/alaska/anchorage</x:v>
      </x:c>
      <x:c r="AO1426" s="3" t="str">
        <x:v>national_rest_directory_complete.jsonl</x:v>
      </x:c>
      <x:c r="AP1426" s="19"/>
    </x:row>
    <x:row r="1427" ht="36" customHeight="1">
      <x:c r="A1427" s="23" t="n">
        <x:v>1426</x:v>
      </x:c>
      <x:c r="B1427" s="15" t="str">
        <x:v>Penn House Buyers</x:v>
      </x:c>
      <x:c r="C1427" s="15"/>
      <x:c r="D1427" s="15" t="str">
        <x:v>Property investor / home-buying operator</x:v>
      </x:c>
      <x:c r="E1427" s="15" t="str">
        <x:v>Property investor / operator inquiry</x:v>
      </x:c>
      <x:c r="F1427" s="17" t="str">
        <x:v>New</x:v>
      </x:c>
      <x:c r="G1427" s="24"/>
      <x:c r="H1427" s="24" t="str">
        <x:v>+17175848622</x:v>
      </x:c>
      <x:c r="I1427" s="24"/>
      <x:c r="J1427" s="16" t="str">
        <x:v>PA</x:v>
      </x:c>
      <x:c r="K1427" s="16" t="str">
        <x:v>Lancaster</x:v>
      </x:c>
      <x:c r="L1427" s="16" t="str">
        <x:v>Public property-business route; investor decision maker unconfirmed</x:v>
      </x:c>
      <x:c r="M1427" s="16"/>
      <x:c r="N1427" s="16" t="str">
        <x:v>$100K-$500K ticket not published / unconfirmed</x:v>
      </x:c>
      <x:c r="O1427" s="20"/>
      <x:c r="P1427" s="20"/>
      <x:c r="Q1427" s="25" t="str">
        <x:v>No direct corporate-capital range established in checked source</x:v>
      </x:c>
      <x:c r="R1427" s="25" t="str">
        <x:v>Property acquisition or investor activity makes this an operator-capital prospect for the signed trial. Confirm operating-company debt/equity appetite.</x:v>
      </x:c>
      <x:c r="S1427" s="25"/>
      <x:c r="T1427" s="25" t="str">
        <x:v>Ask the owner/investor whether they can allocate $100K-$500K to trial marketing and acquisitions, and confirm structure, timing and decision authority.</x:v>
      </x:c>
      <x:c r="U1427" s="25" t="str">
        <x:v>https://www.cashhomebuyersdirectory.com/cash-home-buyers/pennsylvania/lancaster</x:v>
      </x:c>
      <x:c r="V1427" s="26" t="d">
        <x:v>2026-10-02T00:00:00.000Z</x:v>
      </x:c>
      <x:c r="W1427" s="26" t="d">
        <x:v>2026-10-02T00:00:00.000Z</x:v>
      </x:c>
      <x:c r="X1427" s="25" t="str">
        <x:v>CashHomeBuyersDirectory third-party business listing; first-party business activity not checked in this batch</x:v>
      </x:c>
      <x:c r="Y1427" s="25"/>
      <x:c r="Z1427" s="25" t="str">
        <x:v>https://www.cashhomebuyersdirectory.com/cash-home-buyers/pennsylvania/lancaster</x:v>
      </x:c>
      <x:c r="AA1427" s="25" t="str">
        <x:v>Public cash-home-buyer directory lists the business name, business phone/website where available and market. Operator role and corporate funding willingness require confirmation.</x:v>
      </x:c>
      <x:c r="AB1427" s="3" t="str">
        <x:v>New public-source collection</x:v>
      </x:c>
      <x:c r="AC1427" s="3" t="str">
        <x:v>unverified</x:v>
      </x:c>
      <x:c r="AD1427" s="3" t="str">
        <x:v>Not contacted / unconfirmed</x:v>
      </x:c>
      <x:c r="AE1427" s="3" t="str">
        <x:v>No</x:v>
      </x:c>
      <x:c r="AF1427" s="3" t="str">
        <x:v>No</x:v>
      </x:c>
      <x:c r="AG1427" s="3"/>
      <x:c r="AH1427" s="3"/>
      <x:c r="AI1427" s="18"/>
      <x:c r="AJ1427" s="3" t="str">
        <x:v>CF2500-EA67C245F0A3</x:v>
      </x:c>
      <x:c r="AK1427" s="3" t="str">
        <x:v>real_estate_operator</x:v>
      </x:c>
      <x:c r="AL1427" s="19" t="n">
        <x:v>100000</x:v>
      </x:c>
      <x:c r="AM1427" s="19" t="n">
        <x:v>500000</x:v>
      </x:c>
      <x:c r="AN1427" s="3" t="str">
        <x:v>https://www.cashhomebuyersdirectory.com/cash-home-buyers/pennsylvania/lancaster</x:v>
      </x:c>
      <x:c r="AO1427" s="3" t="str">
        <x:v>national_rest_directory_complete.jsonl</x:v>
      </x:c>
      <x:c r="AP1427" s="19"/>
    </x:row>
    <x:row r="1428" ht="36" customHeight="1">
      <x:c r="A1428" s="23" t="n">
        <x:v>1427</x:v>
      </x:c>
      <x:c r="B1428" s="15" t="str">
        <x:v>Prestige Cash Homebuyers</x:v>
      </x:c>
      <x:c r="C1428" s="15"/>
      <x:c r="D1428" s="15" t="str">
        <x:v>Property investor / home-buying operator</x:v>
      </x:c>
      <x:c r="E1428" s="15" t="str">
        <x:v>Property investor / operator inquiry</x:v>
      </x:c>
      <x:c r="F1428" s="17" t="str">
        <x:v>New</x:v>
      </x:c>
      <x:c r="G1428" s="24"/>
      <x:c r="H1428" s="24" t="str">
        <x:v>+12405603318</x:v>
      </x:c>
      <x:c r="I1428" s="24"/>
      <x:c r="J1428" s="16" t="str">
        <x:v>MD</x:v>
      </x:c>
      <x:c r="K1428" s="16" t="str">
        <x:v>Hyattsville</x:v>
      </x:c>
      <x:c r="L1428" s="16" t="str">
        <x:v>Public property-business route; investor decision maker unconfirmed</x:v>
      </x:c>
      <x:c r="M1428" s="16"/>
      <x:c r="N1428" s="16" t="str">
        <x:v>$100K-$500K ticket not published / unconfirmed</x:v>
      </x:c>
      <x:c r="O1428" s="20"/>
      <x:c r="P1428" s="20"/>
      <x:c r="Q1428" s="25" t="str">
        <x:v>No direct corporate-capital range established in checked source</x:v>
      </x:c>
      <x:c r="R1428" s="25" t="str">
        <x:v>Property acquisition or investor activity makes this an operator-capital prospect for the signed trial. Confirm operating-company debt/equity appetite.</x:v>
      </x:c>
      <x:c r="S1428" s="25"/>
      <x:c r="T1428" s="25" t="str">
        <x:v>Ask the owner/investor whether they can allocate $100K-$500K to trial marketing and acquisitions, and confirm structure, timing and decision authority.</x:v>
      </x:c>
      <x:c r="U1428" s="25" t="str">
        <x:v>https://www.cashhomebuyersdirectory.com/cash-home-buyers/maryland/hyattsville</x:v>
      </x:c>
      <x:c r="V1428" s="26" t="d">
        <x:v>2026-10-02T00:00:00.000Z</x:v>
      </x:c>
      <x:c r="W1428" s="26" t="d">
        <x:v>2026-10-02T00:00:00.000Z</x:v>
      </x:c>
      <x:c r="X1428" s="25" t="str">
        <x:v>CashHomeBuyersDirectory third-party business listing; first-party business activity not checked in this batch</x:v>
      </x:c>
      <x:c r="Y1428" s="25"/>
      <x:c r="Z1428" s="25" t="str">
        <x:v>https://www.cashhomebuyersdirectory.com/cash-home-buyers/maryland/hyattsville</x:v>
      </x:c>
      <x:c r="AA1428" s="25" t="str">
        <x:v>Public cash-home-buyer directory lists the business name, business phone/website where available and market. Operator role and corporate funding willingness require confirmation.</x:v>
      </x:c>
      <x:c r="AB1428" s="3" t="str">
        <x:v>New public-source collection</x:v>
      </x:c>
      <x:c r="AC1428" s="3" t="str">
        <x:v>unverified</x:v>
      </x:c>
      <x:c r="AD1428" s="3" t="str">
        <x:v>Not contacted / unconfirmed</x:v>
      </x:c>
      <x:c r="AE1428" s="3" t="str">
        <x:v>No</x:v>
      </x:c>
      <x:c r="AF1428" s="3" t="str">
        <x:v>No</x:v>
      </x:c>
      <x:c r="AG1428" s="3"/>
      <x:c r="AH1428" s="3"/>
      <x:c r="AI1428" s="18"/>
      <x:c r="AJ1428" s="3" t="str">
        <x:v>CF2500-041F3BD2E5BD</x:v>
      </x:c>
      <x:c r="AK1428" s="3" t="str">
        <x:v>real_estate_operator</x:v>
      </x:c>
      <x:c r="AL1428" s="19" t="n">
        <x:v>100000</x:v>
      </x:c>
      <x:c r="AM1428" s="19" t="n">
        <x:v>500000</x:v>
      </x:c>
      <x:c r="AN1428" s="3" t="str">
        <x:v>https://www.cashhomebuyersdirectory.com/cash-home-buyers/maryland/hyattsville</x:v>
      </x:c>
      <x:c r="AO1428" s="3" t="str">
        <x:v>national_rest_directory_complete.jsonl</x:v>
      </x:c>
      <x:c r="AP1428" s="19"/>
    </x:row>
    <x:row r="1429" ht="36" customHeight="1">
      <x:c r="A1429" s="23" t="n">
        <x:v>1428</x:v>
      </x:c>
      <x:c r="B1429" s="15" t="str">
        <x:v>R&amp;C Home Buyers</x:v>
      </x:c>
      <x:c r="C1429" s="15"/>
      <x:c r="D1429" s="15" t="str">
        <x:v>Property investor / home-buying operator</x:v>
      </x:c>
      <x:c r="E1429" s="15" t="str">
        <x:v>Property investor / operator inquiry</x:v>
      </x:c>
      <x:c r="F1429" s="17" t="str">
        <x:v>New</x:v>
      </x:c>
      <x:c r="G1429" s="24"/>
      <x:c r="H1429" s="24" t="str">
        <x:v>+19078306650</x:v>
      </x:c>
      <x:c r="I1429" s="24"/>
      <x:c r="J1429" s="16" t="str">
        <x:v>AK</x:v>
      </x:c>
      <x:c r="K1429" s="16"/>
      <x:c r="L1429" s="16" t="str">
        <x:v>Public property-business route; investor decision maker unconfirmed</x:v>
      </x:c>
      <x:c r="M1429" s="16"/>
      <x:c r="N1429" s="16" t="str">
        <x:v>$100K-$500K ticket not published / unconfirmed</x:v>
      </x:c>
      <x:c r="O1429" s="20"/>
      <x:c r="P1429" s="20"/>
      <x:c r="Q1429" s="25" t="str">
        <x:v>No direct corporate-capital range established in checked source</x:v>
      </x:c>
      <x:c r="R1429" s="25" t="str">
        <x:v>Property acquisition or investor activity makes this an operator-capital prospect for the signed trial. Confirm operating-company debt/equity appetite.</x:v>
      </x:c>
      <x:c r="S1429" s="25"/>
      <x:c r="T1429" s="25" t="str">
        <x:v>Ask the owner/investor whether they can allocate $100K-$500K to trial marketing and acquisitions, and confirm structure, timing and decision authority.</x:v>
      </x:c>
      <x:c r="U1429" s="25" t="str">
        <x:v>https://www.cashhomebuyersdirectory.com/cash-home-buyers/alaska/anchorage</x:v>
      </x:c>
      <x:c r="V1429" s="26" t="d">
        <x:v>2026-10-02T00:00:00.000Z</x:v>
      </x:c>
      <x:c r="W1429" s="26" t="d">
        <x:v>2026-10-02T00:00:00.000Z</x:v>
      </x:c>
      <x:c r="X1429" s="25" t="str">
        <x:v>CashHomeBuyersDirectory third-party business listing; first-party business activity not checked in this batch</x:v>
      </x:c>
      <x:c r="Y1429" s="25"/>
      <x:c r="Z1429" s="25" t="str">
        <x:v>https://www.cashhomebuyersdirectory.com/cash-home-buyers/alaska/anchorage</x:v>
      </x:c>
      <x:c r="AA1429" s="25" t="str">
        <x:v>Public cash-home-buyer directory lists the business name, business phone/website where available and market. Operator role and corporate funding willingness require confirmation.</x:v>
      </x:c>
      <x:c r="AB1429" s="3" t="str">
        <x:v>New public-source collection</x:v>
      </x:c>
      <x:c r="AC1429" s="3" t="str">
        <x:v>unverified</x:v>
      </x:c>
      <x:c r="AD1429" s="3" t="str">
        <x:v>Not contacted / unconfirmed</x:v>
      </x:c>
      <x:c r="AE1429" s="3" t="str">
        <x:v>No</x:v>
      </x:c>
      <x:c r="AF1429" s="3" t="str">
        <x:v>No</x:v>
      </x:c>
      <x:c r="AG1429" s="3"/>
      <x:c r="AH1429" s="3"/>
      <x:c r="AI1429" s="18"/>
      <x:c r="AJ1429" s="3" t="str">
        <x:v>CF2500-5464FEC68291</x:v>
      </x:c>
      <x:c r="AK1429" s="3" t="str">
        <x:v>real_estate_operator</x:v>
      </x:c>
      <x:c r="AL1429" s="19" t="n">
        <x:v>100000</x:v>
      </x:c>
      <x:c r="AM1429" s="19" t="n">
        <x:v>500000</x:v>
      </x:c>
      <x:c r="AN1429" s="3" t="str">
        <x:v>https://www.cashhomebuyersdirectory.com/cash-home-buyers/alaska/anchorage</x:v>
      </x:c>
      <x:c r="AO1429" s="3" t="str">
        <x:v>national_rest_directory_complete.jsonl</x:v>
      </x:c>
      <x:c r="AP1429" s="19"/>
    </x:row>
    <x:row r="1430" ht="36" customHeight="1">
      <x:c r="A1430" s="23" t="n">
        <x:v>1429</x:v>
      </x:c>
      <x:c r="B1430" s="15" t="str">
        <x:v>Ready Home Buyers</x:v>
      </x:c>
      <x:c r="C1430" s="15"/>
      <x:c r="D1430" s="15" t="str">
        <x:v>Property investor / home-buying operator</x:v>
      </x:c>
      <x:c r="E1430" s="15" t="str">
        <x:v>Property investor / operator inquiry</x:v>
      </x:c>
      <x:c r="F1430" s="17" t="str">
        <x:v>New</x:v>
      </x:c>
      <x:c r="G1430" s="24"/>
      <x:c r="H1430" s="24" t="str">
        <x:v>+17575720815</x:v>
      </x:c>
      <x:c r="I1430" s="24"/>
      <x:c r="J1430" s="16" t="str">
        <x:v>VA</x:v>
      </x:c>
      <x:c r="K1430" s="16" t="str">
        <x:v>Chesapeake</x:v>
      </x:c>
      <x:c r="L1430" s="16" t="str">
        <x:v>Public property-business route; investor decision maker unconfirmed</x:v>
      </x:c>
      <x:c r="M1430" s="16"/>
      <x:c r="N1430" s="16" t="str">
        <x:v>$100K-$500K ticket not published / unconfirmed</x:v>
      </x:c>
      <x:c r="O1430" s="20"/>
      <x:c r="P1430" s="20"/>
      <x:c r="Q1430" s="25" t="str">
        <x:v>No direct corporate-capital range established in checked source</x:v>
      </x:c>
      <x:c r="R1430" s="25" t="str">
        <x:v>Property acquisition or investor activity makes this an operator-capital prospect for the signed trial. Confirm operating-company debt/equity appetite.</x:v>
      </x:c>
      <x:c r="S1430" s="25"/>
      <x:c r="T1430" s="25" t="str">
        <x:v>Ask the owner/investor whether they can allocate $100K-$500K to trial marketing and acquisitions, and confirm structure, timing and decision authority.</x:v>
      </x:c>
      <x:c r="U1430" s="25" t="str">
        <x:v>https://www.cashhomebuyersdirectory.com/cash-home-buyers/virginia/chesapeake</x:v>
      </x:c>
      <x:c r="V1430" s="26" t="d">
        <x:v>2026-10-02T00:00:00.000Z</x:v>
      </x:c>
      <x:c r="W1430" s="26" t="d">
        <x:v>2026-10-02T00:00:00.000Z</x:v>
      </x:c>
      <x:c r="X1430" s="25" t="str">
        <x:v>CashHomeBuyersDirectory third-party business listing; first-party business activity not checked in this batch</x:v>
      </x:c>
      <x:c r="Y1430" s="25"/>
      <x:c r="Z1430" s="25" t="str">
        <x:v>https://www.cashhomebuyersdirectory.com/cash-home-buyers/virginia/chesapeake</x:v>
      </x:c>
      <x:c r="AA1430" s="25" t="str">
        <x:v>Public cash-home-buyer directory lists the business name, business phone/website where available and market. Operator role and corporate funding willingness require confirmation.</x:v>
      </x:c>
      <x:c r="AB1430" s="3" t="str">
        <x:v>New public-source collection</x:v>
      </x:c>
      <x:c r="AC1430" s="3" t="str">
        <x:v>unverified</x:v>
      </x:c>
      <x:c r="AD1430" s="3" t="str">
        <x:v>Not contacted / unconfirmed</x:v>
      </x:c>
      <x:c r="AE1430" s="3" t="str">
        <x:v>No</x:v>
      </x:c>
      <x:c r="AF1430" s="3" t="str">
        <x:v>No</x:v>
      </x:c>
      <x:c r="AG1430" s="3"/>
      <x:c r="AH1430" s="3"/>
      <x:c r="AI1430" s="18"/>
      <x:c r="AJ1430" s="3" t="str">
        <x:v>CF2500-051CBEA8446D</x:v>
      </x:c>
      <x:c r="AK1430" s="3" t="str">
        <x:v>real_estate_operator</x:v>
      </x:c>
      <x:c r="AL1430" s="19" t="n">
        <x:v>100000</x:v>
      </x:c>
      <x:c r="AM1430" s="19" t="n">
        <x:v>500000</x:v>
      </x:c>
      <x:c r="AN1430" s="3" t="str">
        <x:v>https://www.cashhomebuyersdirectory.com/cash-home-buyers/virginia/chesapeake</x:v>
      </x:c>
      <x:c r="AO1430" s="3" t="str">
        <x:v>national_rest_directory_complete.jsonl</x:v>
      </x:c>
      <x:c r="AP1430" s="19"/>
    </x:row>
    <x:row r="1431" ht="36" customHeight="1">
      <x:c r="A1431" s="23" t="n">
        <x:v>1430</x:v>
      </x:c>
      <x:c r="B1431" s="15" t="str">
        <x:v>Ricks investment properties LLC</x:v>
      </x:c>
      <x:c r="C1431" s="15"/>
      <x:c r="D1431" s="15" t="str">
        <x:v>Property investor / home-buying operator</x:v>
      </x:c>
      <x:c r="E1431" s="15" t="str">
        <x:v>Property investor / operator inquiry</x:v>
      </x:c>
      <x:c r="F1431" s="17" t="str">
        <x:v>New</x:v>
      </x:c>
      <x:c r="G1431" s="24"/>
      <x:c r="H1431" s="24" t="str">
        <x:v>+15134289610</x:v>
      </x:c>
      <x:c r="I1431" s="24"/>
      <x:c r="J1431" s="16" t="str">
        <x:v>OH</x:v>
      </x:c>
      <x:c r="K1431" s="16" t="str">
        <x:v>West Chester Township</x:v>
      </x:c>
      <x:c r="L1431" s="16" t="str">
        <x:v>Public property-business route; investor decision maker unconfirmed</x:v>
      </x:c>
      <x:c r="M1431" s="16"/>
      <x:c r="N1431" s="16" t="str">
        <x:v>$100K-$500K ticket not published / unconfirmed</x:v>
      </x:c>
      <x:c r="O1431" s="20"/>
      <x:c r="P1431" s="20"/>
      <x:c r="Q1431" s="25" t="str">
        <x:v>No direct corporate-capital range established in checked source</x:v>
      </x:c>
      <x:c r="R1431" s="25" t="str">
        <x:v>Property acquisition or investor activity makes this an operator-capital prospect for the signed trial. Confirm operating-company debt/equity appetite.</x:v>
      </x:c>
      <x:c r="S1431" s="25"/>
      <x:c r="T1431" s="25" t="str">
        <x:v>Ask the owner/investor whether they can allocate $100K-$500K to trial marketing and acquisitions, and confirm structure, timing and decision authority.</x:v>
      </x:c>
      <x:c r="U1431" s="25" t="str">
        <x:v>https://www.cashhomebuyersdirectory.com/cash-home-buyers/ohio/west-chester-township</x:v>
      </x:c>
      <x:c r="V1431" s="26" t="d">
        <x:v>2026-10-02T00:00:00.000Z</x:v>
      </x:c>
      <x:c r="W1431" s="26" t="d">
        <x:v>2026-10-02T00:00:00.000Z</x:v>
      </x:c>
      <x:c r="X1431" s="25" t="str">
        <x:v>CashHomeBuyersDirectory third-party business listing; first-party business activity not checked in this batch</x:v>
      </x:c>
      <x:c r="Y1431" s="25"/>
      <x:c r="Z1431" s="25" t="str">
        <x:v>https://www.cashhomebuyersdirectory.com/cash-home-buyers/ohio/west-chester-township</x:v>
      </x:c>
      <x:c r="AA1431" s="25" t="str">
        <x:v>Public cash-home-buyer directory lists the business name, business phone/website where available and market. Operator role and corporate funding willingness require confirmation.</x:v>
      </x:c>
      <x:c r="AB1431" s="3" t="str">
        <x:v>New public-source collection</x:v>
      </x:c>
      <x:c r="AC1431" s="3" t="str">
        <x:v>unverified</x:v>
      </x:c>
      <x:c r="AD1431" s="3" t="str">
        <x:v>Not contacted / unconfirmed</x:v>
      </x:c>
      <x:c r="AE1431" s="3" t="str">
        <x:v>No</x:v>
      </x:c>
      <x:c r="AF1431" s="3" t="str">
        <x:v>No</x:v>
      </x:c>
      <x:c r="AG1431" s="3"/>
      <x:c r="AH1431" s="3"/>
      <x:c r="AI1431" s="18"/>
      <x:c r="AJ1431" s="3" t="str">
        <x:v>CF2500-CB6619106AB8</x:v>
      </x:c>
      <x:c r="AK1431" s="3" t="str">
        <x:v>real_estate_operator</x:v>
      </x:c>
      <x:c r="AL1431" s="19" t="n">
        <x:v>100000</x:v>
      </x:c>
      <x:c r="AM1431" s="19" t="n">
        <x:v>500000</x:v>
      </x:c>
      <x:c r="AN1431" s="3" t="str">
        <x:v>https://www.cashhomebuyersdirectory.com/cash-home-buyers/ohio/west-chester-township</x:v>
      </x:c>
      <x:c r="AO1431" s="3" t="str">
        <x:v>national_rest_directory_complete.jsonl</x:v>
      </x:c>
      <x:c r="AP1431" s="19"/>
    </x:row>
    <x:row r="1432" ht="36" customHeight="1">
      <x:c r="A1432" s="23" t="n">
        <x:v>1431</x:v>
      </x:c>
      <x:c r="B1432" s="15" t="str">
        <x:v>Sell My House Fast RI | Providence</x:v>
      </x:c>
      <x:c r="C1432" s="15"/>
      <x:c r="D1432" s="15" t="str">
        <x:v>Property investor / home-buying operator</x:v>
      </x:c>
      <x:c r="E1432" s="15" t="str">
        <x:v>Property investor / operator inquiry</x:v>
      </x:c>
      <x:c r="F1432" s="17" t="str">
        <x:v>New</x:v>
      </x:c>
      <x:c r="G1432" s="24"/>
      <x:c r="H1432" s="24" t="str">
        <x:v>+14013366076</x:v>
      </x:c>
      <x:c r="I1432" s="24"/>
      <x:c r="J1432" s="16" t="str">
        <x:v>RI</x:v>
      </x:c>
      <x:c r="K1432" s="16" t="str">
        <x:v>Providence</x:v>
      </x:c>
      <x:c r="L1432" s="16" t="str">
        <x:v>Public property-business route; investor decision maker unconfirmed</x:v>
      </x:c>
      <x:c r="M1432" s="16"/>
      <x:c r="N1432" s="16" t="str">
        <x:v>$100K-$500K ticket not published / unconfirmed</x:v>
      </x:c>
      <x:c r="O1432" s="20"/>
      <x:c r="P1432" s="20"/>
      <x:c r="Q1432" s="25" t="str">
        <x:v>No direct corporate-capital range established in checked source</x:v>
      </x:c>
      <x:c r="R1432" s="25" t="str">
        <x:v>Property acquisition or investor activity makes this an operator-capital prospect for the signed trial. Confirm operating-company debt/equity appetite.</x:v>
      </x:c>
      <x:c r="S1432" s="25"/>
      <x:c r="T1432" s="25" t="str">
        <x:v>Ask the owner/investor whether they can allocate $100K-$500K to trial marketing and acquisitions, and confirm structure, timing and decision authority.</x:v>
      </x:c>
      <x:c r="U1432" s="25" t="str">
        <x:v>https://www.cashhomebuyersdirectory.com/cash-home-buyers/rhode-island/providence</x:v>
      </x:c>
      <x:c r="V1432" s="26" t="d">
        <x:v>2026-10-02T00:00:00.000Z</x:v>
      </x:c>
      <x:c r="W1432" s="26" t="d">
        <x:v>2026-10-02T00:00:00.000Z</x:v>
      </x:c>
      <x:c r="X1432" s="25" t="str">
        <x:v>CashHomeBuyersDirectory third-party business listing; first-party business activity not checked in this batch</x:v>
      </x:c>
      <x:c r="Y1432" s="25"/>
      <x:c r="Z1432" s="25" t="str">
        <x:v>https://www.cashhomebuyersdirectory.com/cash-home-buyers/rhode-island/providence</x:v>
      </x:c>
      <x:c r="AA1432" s="25" t="str">
        <x:v>Public cash-home-buyer directory lists the business name, business phone/website where available and market. Operator role and corporate funding willingness require confirmation.</x:v>
      </x:c>
      <x:c r="AB1432" s="3" t="str">
        <x:v>New public-source collection</x:v>
      </x:c>
      <x:c r="AC1432" s="3" t="str">
        <x:v>unverified</x:v>
      </x:c>
      <x:c r="AD1432" s="3" t="str">
        <x:v>Not contacted / unconfirmed</x:v>
      </x:c>
      <x:c r="AE1432" s="3" t="str">
        <x:v>No</x:v>
      </x:c>
      <x:c r="AF1432" s="3" t="str">
        <x:v>No</x:v>
      </x:c>
      <x:c r="AG1432" s="3"/>
      <x:c r="AH1432" s="3"/>
      <x:c r="AI1432" s="18"/>
      <x:c r="AJ1432" s="3" t="str">
        <x:v>CF2500-7ECD564BDA9E</x:v>
      </x:c>
      <x:c r="AK1432" s="3" t="str">
        <x:v>real_estate_operator</x:v>
      </x:c>
      <x:c r="AL1432" s="19" t="n">
        <x:v>100000</x:v>
      </x:c>
      <x:c r="AM1432" s="19" t="n">
        <x:v>500000</x:v>
      </x:c>
      <x:c r="AN1432" s="3" t="str">
        <x:v>https://www.cashhomebuyersdirectory.com/cash-home-buyers/rhode-island/providence</x:v>
      </x:c>
      <x:c r="AO1432" s="3" t="str">
        <x:v>national_rest_directory_complete.jsonl</x:v>
      </x:c>
      <x:c r="AP1432" s="19"/>
    </x:row>
    <x:row r="1433" ht="36" customHeight="1">
      <x:c r="A1433" s="23" t="n">
        <x:v>1432</x:v>
      </x:c>
      <x:c r="B1433" s="15" t="str">
        <x:v>Sell My House Fast Virginia | As Is Cash Home Buyers Norfolk</x:v>
      </x:c>
      <x:c r="C1433" s="15"/>
      <x:c r="D1433" s="15" t="str">
        <x:v>Property investor / home-buying operator</x:v>
      </x:c>
      <x:c r="E1433" s="15" t="str">
        <x:v>Property investor / operator inquiry</x:v>
      </x:c>
      <x:c r="F1433" s="17" t="str">
        <x:v>New</x:v>
      </x:c>
      <x:c r="G1433" s="24"/>
      <x:c r="H1433" s="24" t="str">
        <x:v>+17578994899</x:v>
      </x:c>
      <x:c r="I1433" s="24"/>
      <x:c r="J1433" s="16" t="str">
        <x:v>VA</x:v>
      </x:c>
      <x:c r="K1433" s="16" t="str">
        <x:v>Norfolk</x:v>
      </x:c>
      <x:c r="L1433" s="16" t="str">
        <x:v>Public property-business route; investor decision maker unconfirmed</x:v>
      </x:c>
      <x:c r="M1433" s="16"/>
      <x:c r="N1433" s="16" t="str">
        <x:v>$100K-$500K ticket not published / unconfirmed</x:v>
      </x:c>
      <x:c r="O1433" s="20"/>
      <x:c r="P1433" s="20"/>
      <x:c r="Q1433" s="25" t="str">
        <x:v>No direct corporate-capital range established in checked source</x:v>
      </x:c>
      <x:c r="R1433" s="25" t="str">
        <x:v>Property acquisition or investor activity makes this an operator-capital prospect for the signed trial. Confirm operating-company debt/equity appetite.</x:v>
      </x:c>
      <x:c r="S1433" s="25"/>
      <x:c r="T1433" s="25" t="str">
        <x:v>Ask the owner/investor whether they can allocate $100K-$500K to trial marketing and acquisitions, and confirm structure, timing and decision authority.</x:v>
      </x:c>
      <x:c r="U1433" s="25" t="str">
        <x:v>https://www.cashhomebuyersdirectory.com/cash-home-buyers/virginia/norfolk</x:v>
      </x:c>
      <x:c r="V1433" s="26" t="d">
        <x:v>2026-10-02T00:00:00.000Z</x:v>
      </x:c>
      <x:c r="W1433" s="26" t="d">
        <x:v>2026-10-02T00:00:00.000Z</x:v>
      </x:c>
      <x:c r="X1433" s="25" t="str">
        <x:v>CashHomeBuyersDirectory third-party business listing; first-party business activity not checked in this batch</x:v>
      </x:c>
      <x:c r="Y1433" s="25"/>
      <x:c r="Z1433" s="25" t="str">
        <x:v>https://www.cashhomebuyersdirectory.com/cash-home-buyers/virginia/norfolk</x:v>
      </x:c>
      <x:c r="AA1433" s="25" t="str">
        <x:v>Public cash-home-buyer directory lists the business name, business phone/website where available and market. Operator role and corporate funding willingness require confirmation.</x:v>
      </x:c>
      <x:c r="AB1433" s="3" t="str">
        <x:v>New public-source collection</x:v>
      </x:c>
      <x:c r="AC1433" s="3" t="str">
        <x:v>unverified</x:v>
      </x:c>
      <x:c r="AD1433" s="3" t="str">
        <x:v>Not contacted / unconfirmed</x:v>
      </x:c>
      <x:c r="AE1433" s="3" t="str">
        <x:v>No</x:v>
      </x:c>
      <x:c r="AF1433" s="3" t="str">
        <x:v>No</x:v>
      </x:c>
      <x:c r="AG1433" s="3"/>
      <x:c r="AH1433" s="3"/>
      <x:c r="AI1433" s="18"/>
      <x:c r="AJ1433" s="3" t="str">
        <x:v>CF2500-12749B8FDC30</x:v>
      </x:c>
      <x:c r="AK1433" s="3" t="str">
        <x:v>real_estate_operator</x:v>
      </x:c>
      <x:c r="AL1433" s="19" t="n">
        <x:v>100000</x:v>
      </x:c>
      <x:c r="AM1433" s="19" t="n">
        <x:v>500000</x:v>
      </x:c>
      <x:c r="AN1433" s="3" t="str">
        <x:v>https://www.cashhomebuyersdirectory.com/cash-home-buyers/virginia/norfolk</x:v>
      </x:c>
      <x:c r="AO1433" s="3" t="str">
        <x:v>national_rest_directory_complete.jsonl</x:v>
      </x:c>
      <x:c r="AP1433" s="19"/>
    </x:row>
    <x:row r="1434" ht="36" customHeight="1">
      <x:c r="A1434" s="23" t="n">
        <x:v>1433</x:v>
      </x:c>
      <x:c r="B1434" s="15" t="str">
        <x:v>Sell My House Prince George's County Maryland</x:v>
      </x:c>
      <x:c r="C1434" s="15"/>
      <x:c r="D1434" s="15" t="str">
        <x:v>Property investor / home-buying operator</x:v>
      </x:c>
      <x:c r="E1434" s="15" t="str">
        <x:v>Property investor / operator inquiry</x:v>
      </x:c>
      <x:c r="F1434" s="17" t="str">
        <x:v>New</x:v>
      </x:c>
      <x:c r="G1434" s="24"/>
      <x:c r="H1434" s="24" t="str">
        <x:v>+13015315048</x:v>
      </x:c>
      <x:c r="I1434" s="24"/>
      <x:c r="J1434" s="16" t="str">
        <x:v>MD</x:v>
      </x:c>
      <x:c r="K1434" s="16" t="str">
        <x:v>Glenarden</x:v>
      </x:c>
      <x:c r="L1434" s="16" t="str">
        <x:v>Public property-business route; investor decision maker unconfirmed</x:v>
      </x:c>
      <x:c r="M1434" s="16"/>
      <x:c r="N1434" s="16" t="str">
        <x:v>$100K-$500K ticket not published / unconfirmed</x:v>
      </x:c>
      <x:c r="O1434" s="20"/>
      <x:c r="P1434" s="20"/>
      <x:c r="Q1434" s="25" t="str">
        <x:v>No direct corporate-capital range established in checked source</x:v>
      </x:c>
      <x:c r="R1434" s="25" t="str">
        <x:v>Property acquisition or investor activity makes this an operator-capital prospect for the signed trial. Confirm operating-company debt/equity appetite.</x:v>
      </x:c>
      <x:c r="S1434" s="25"/>
      <x:c r="T1434" s="25" t="str">
        <x:v>Ask the owner/investor whether they can allocate $100K-$500K to trial marketing and acquisitions, and confirm structure, timing and decision authority.</x:v>
      </x:c>
      <x:c r="U1434" s="25" t="str">
        <x:v>https://www.cashhomebuyersdirectory.com/cash-home-buyers/maryland/glenarden</x:v>
      </x:c>
      <x:c r="V1434" s="26" t="d">
        <x:v>2026-10-02T00:00:00.000Z</x:v>
      </x:c>
      <x:c r="W1434" s="26" t="d">
        <x:v>2026-10-02T00:00:00.000Z</x:v>
      </x:c>
      <x:c r="X1434" s="25" t="str">
        <x:v>CashHomeBuyersDirectory third-party business listing; first-party business activity not checked in this batch</x:v>
      </x:c>
      <x:c r="Y1434" s="25"/>
      <x:c r="Z1434" s="25" t="str">
        <x:v>https://www.cashhomebuyersdirectory.com/cash-home-buyers/maryland/glenarden</x:v>
      </x:c>
      <x:c r="AA1434" s="25" t="str">
        <x:v>Public cash-home-buyer directory lists the business name, business phone/website where available and market. Operator role and corporate funding willingness require confirmation.</x:v>
      </x:c>
      <x:c r="AB1434" s="3" t="str">
        <x:v>New public-source collection</x:v>
      </x:c>
      <x:c r="AC1434" s="3" t="str">
        <x:v>unverified</x:v>
      </x:c>
      <x:c r="AD1434" s="3" t="str">
        <x:v>Not contacted / unconfirmed</x:v>
      </x:c>
      <x:c r="AE1434" s="3" t="str">
        <x:v>No</x:v>
      </x:c>
      <x:c r="AF1434" s="3" t="str">
        <x:v>No</x:v>
      </x:c>
      <x:c r="AG1434" s="3"/>
      <x:c r="AH1434" s="3"/>
      <x:c r="AI1434" s="18"/>
      <x:c r="AJ1434" s="3" t="str">
        <x:v>CF2500-B82EB93AED2E</x:v>
      </x:c>
      <x:c r="AK1434" s="3" t="str">
        <x:v>real_estate_operator</x:v>
      </x:c>
      <x:c r="AL1434" s="19" t="n">
        <x:v>100000</x:v>
      </x:c>
      <x:c r="AM1434" s="19" t="n">
        <x:v>500000</x:v>
      </x:c>
      <x:c r="AN1434" s="3" t="str">
        <x:v>https://www.cashhomebuyersdirectory.com/cash-home-buyers/maryland/glenarden</x:v>
      </x:c>
      <x:c r="AO1434" s="3" t="str">
        <x:v>national_rest_directory_complete.jsonl</x:v>
      </x:c>
      <x:c r="AP1434" s="19"/>
    </x:row>
    <x:row r="1435" ht="36" customHeight="1">
      <x:c r="A1435" s="23" t="n">
        <x:v>1434</x:v>
      </x:c>
      <x:c r="B1435" s="15" t="str">
        <x:v>Sell My House Quick Pros</x:v>
      </x:c>
      <x:c r="C1435" s="15"/>
      <x:c r="D1435" s="15" t="str">
        <x:v>Property investor / home-buying operator</x:v>
      </x:c>
      <x:c r="E1435" s="15" t="str">
        <x:v>Property investor / operator inquiry</x:v>
      </x:c>
      <x:c r="F1435" s="17" t="str">
        <x:v>New</x:v>
      </x:c>
      <x:c r="G1435" s="24"/>
      <x:c r="H1435" s="24" t="str">
        <x:v>+12168732354</x:v>
      </x:c>
      <x:c r="I1435" s="24"/>
      <x:c r="J1435" s="16" t="str">
        <x:v>OH</x:v>
      </x:c>
      <x:c r="K1435" s="16" t="str">
        <x:v>Cleveland</x:v>
      </x:c>
      <x:c r="L1435" s="16" t="str">
        <x:v>Public property-business route; investor decision maker unconfirmed</x:v>
      </x:c>
      <x:c r="M1435" s="16"/>
      <x:c r="N1435" s="16" t="str">
        <x:v>$100K-$500K ticket not published / unconfirmed</x:v>
      </x:c>
      <x:c r="O1435" s="20"/>
      <x:c r="P1435" s="20"/>
      <x:c r="Q1435" s="25" t="str">
        <x:v>No direct corporate-capital range established in checked source</x:v>
      </x:c>
      <x:c r="R1435" s="25" t="str">
        <x:v>Property acquisition or investor activity makes this an operator-capital prospect for the signed trial. Confirm operating-company debt/equity appetite.</x:v>
      </x:c>
      <x:c r="S1435" s="25"/>
      <x:c r="T1435" s="25" t="str">
        <x:v>Ask the owner/investor whether they can allocate $100K-$500K to trial marketing and acquisitions, and confirm structure, timing and decision authority.</x:v>
      </x:c>
      <x:c r="U1435" s="25" t="str">
        <x:v>https://www.cashhomebuyersdirectory.com/cash-home-buyers/ohio/cleveland</x:v>
      </x:c>
      <x:c r="V1435" s="26" t="d">
        <x:v>2026-10-02T00:00:00.000Z</x:v>
      </x:c>
      <x:c r="W1435" s="26" t="d">
        <x:v>2026-10-02T00:00:00.000Z</x:v>
      </x:c>
      <x:c r="X1435" s="25" t="str">
        <x:v>CashHomeBuyersDirectory third-party business listing; first-party business activity not checked in this batch</x:v>
      </x:c>
      <x:c r="Y1435" s="25"/>
      <x:c r="Z1435" s="25" t="str">
        <x:v>https://www.cashhomebuyersdirectory.com/cash-home-buyers/ohio/cleveland</x:v>
      </x:c>
      <x:c r="AA1435" s="25" t="str">
        <x:v>Public cash-home-buyer directory lists the business name, business phone/website where available and market. Operator role and corporate funding willingness require confirmation.</x:v>
      </x:c>
      <x:c r="AB1435" s="3" t="str">
        <x:v>New public-source collection</x:v>
      </x:c>
      <x:c r="AC1435" s="3" t="str">
        <x:v>unverified</x:v>
      </x:c>
      <x:c r="AD1435" s="3" t="str">
        <x:v>Not contacted / unconfirmed</x:v>
      </x:c>
      <x:c r="AE1435" s="3" t="str">
        <x:v>No</x:v>
      </x:c>
      <x:c r="AF1435" s="3" t="str">
        <x:v>No</x:v>
      </x:c>
      <x:c r="AG1435" s="3"/>
      <x:c r="AH1435" s="3"/>
      <x:c r="AI1435" s="18"/>
      <x:c r="AJ1435" s="3" t="str">
        <x:v>CF2500-2C2534D6AD1C</x:v>
      </x:c>
      <x:c r="AK1435" s="3" t="str">
        <x:v>real_estate_operator</x:v>
      </x:c>
      <x:c r="AL1435" s="19" t="n">
        <x:v>100000</x:v>
      </x:c>
      <x:c r="AM1435" s="19" t="n">
        <x:v>500000</x:v>
      </x:c>
      <x:c r="AN1435" s="3" t="str">
        <x:v>https://www.cashhomebuyersdirectory.com/cash-home-buyers/ohio/cleveland</x:v>
      </x:c>
      <x:c r="AO1435" s="3" t="str">
        <x:v>national_rest_directory_complete.jsonl</x:v>
      </x:c>
      <x:c r="AP1435" s="19"/>
    </x:row>
    <x:row r="1436" ht="36" customHeight="1">
      <x:c r="A1436" s="23" t="n">
        <x:v>1435</x:v>
      </x:c>
      <x:c r="B1436" s="15" t="str">
        <x:v>Sell Your House Fast Cincinnati</x:v>
      </x:c>
      <x:c r="C1436" s="15"/>
      <x:c r="D1436" s="15" t="str">
        <x:v>Property investor / home-buying operator</x:v>
      </x:c>
      <x:c r="E1436" s="15" t="str">
        <x:v>Property investor / operator inquiry</x:v>
      </x:c>
      <x:c r="F1436" s="17" t="str">
        <x:v>New</x:v>
      </x:c>
      <x:c r="G1436" s="24"/>
      <x:c r="H1436" s="24" t="str">
        <x:v>+15135866799</x:v>
      </x:c>
      <x:c r="I1436" s="24"/>
      <x:c r="J1436" s="16" t="str">
        <x:v>OH</x:v>
      </x:c>
      <x:c r="K1436" s="16" t="str">
        <x:v>Cincinnati</x:v>
      </x:c>
      <x:c r="L1436" s="16" t="str">
        <x:v>Public property-business route; investor decision maker unconfirmed</x:v>
      </x:c>
      <x:c r="M1436" s="16"/>
      <x:c r="N1436" s="16" t="str">
        <x:v>$100K-$500K ticket not published / unconfirmed</x:v>
      </x:c>
      <x:c r="O1436" s="20"/>
      <x:c r="P1436" s="20"/>
      <x:c r="Q1436" s="25" t="str">
        <x:v>No direct corporate-capital range established in checked source</x:v>
      </x:c>
      <x:c r="R1436" s="25" t="str">
        <x:v>Property acquisition or investor activity makes this an operator-capital prospect for the signed trial. Confirm operating-company debt/equity appetite.</x:v>
      </x:c>
      <x:c r="S1436" s="25"/>
      <x:c r="T1436" s="25" t="str">
        <x:v>Ask the owner/investor whether they can allocate $100K-$500K to trial marketing and acquisitions, and confirm structure, timing and decision authority.</x:v>
      </x:c>
      <x:c r="U1436" s="25" t="str">
        <x:v>https://www.cashhomebuyersdirectory.com/cash-home-buyers/ohio/cincinnati</x:v>
      </x:c>
      <x:c r="V1436" s="26" t="d">
        <x:v>2026-10-02T00:00:00.000Z</x:v>
      </x:c>
      <x:c r="W1436" s="26" t="d">
        <x:v>2026-10-02T00:00:00.000Z</x:v>
      </x:c>
      <x:c r="X1436" s="25" t="str">
        <x:v>CashHomeBuyersDirectory third-party business listing; first-party business activity not checked in this batch</x:v>
      </x:c>
      <x:c r="Y1436" s="25"/>
      <x:c r="Z1436" s="25" t="str">
        <x:v>https://www.cashhomebuyersdirectory.com/cash-home-buyers/ohio/cincinnati</x:v>
      </x:c>
      <x:c r="AA1436" s="25" t="str">
        <x:v>Public cash-home-buyer directory lists the business name, business phone/website where available and market. Operator role and corporate funding willingness require confirmation.</x:v>
      </x:c>
      <x:c r="AB1436" s="3" t="str">
        <x:v>New public-source collection</x:v>
      </x:c>
      <x:c r="AC1436" s="3" t="str">
        <x:v>unverified</x:v>
      </x:c>
      <x:c r="AD1436" s="3" t="str">
        <x:v>Not contacted / unconfirmed</x:v>
      </x:c>
      <x:c r="AE1436" s="3" t="str">
        <x:v>No</x:v>
      </x:c>
      <x:c r="AF1436" s="3" t="str">
        <x:v>No</x:v>
      </x:c>
      <x:c r="AG1436" s="3"/>
      <x:c r="AH1436" s="3"/>
      <x:c r="AI1436" s="18"/>
      <x:c r="AJ1436" s="3" t="str">
        <x:v>CF2500-B240696502AD</x:v>
      </x:c>
      <x:c r="AK1436" s="3" t="str">
        <x:v>real_estate_operator</x:v>
      </x:c>
      <x:c r="AL1436" s="19" t="n">
        <x:v>100000</x:v>
      </x:c>
      <x:c r="AM1436" s="19" t="n">
        <x:v>500000</x:v>
      </x:c>
      <x:c r="AN1436" s="3" t="str">
        <x:v>https://www.cashhomebuyersdirectory.com/cash-home-buyers/ohio/cincinnati</x:v>
      </x:c>
      <x:c r="AO1436" s="3" t="str">
        <x:v>national_rest_directory_complete.jsonl</x:v>
      </x:c>
      <x:c r="AP1436" s="19"/>
    </x:row>
    <x:row r="1437" ht="36" customHeight="1">
      <x:c r="A1437" s="23" t="n">
        <x:v>1436</x:v>
      </x:c>
      <x:c r="B1437" s="15" t="str">
        <x:v>Spokane House Buyers</x:v>
      </x:c>
      <x:c r="C1437" s="15"/>
      <x:c r="D1437" s="15" t="str">
        <x:v>Property investor / home-buying operator</x:v>
      </x:c>
      <x:c r="E1437" s="15" t="str">
        <x:v>Property investor / operator inquiry</x:v>
      </x:c>
      <x:c r="F1437" s="17" t="str">
        <x:v>New</x:v>
      </x:c>
      <x:c r="G1437" s="24"/>
      <x:c r="H1437" s="24" t="str">
        <x:v>+15097950080</x:v>
      </x:c>
      <x:c r="I1437" s="24"/>
      <x:c r="J1437" s="16" t="str">
        <x:v>WA</x:v>
      </x:c>
      <x:c r="K1437" s="16" t="str">
        <x:v>Spokane</x:v>
      </x:c>
      <x:c r="L1437" s="16" t="str">
        <x:v>Public property-business route; investor decision maker unconfirmed</x:v>
      </x:c>
      <x:c r="M1437" s="16"/>
      <x:c r="N1437" s="16" t="str">
        <x:v>$100K-$500K ticket not published / unconfirmed</x:v>
      </x:c>
      <x:c r="O1437" s="20"/>
      <x:c r="P1437" s="20"/>
      <x:c r="Q1437" s="25" t="str">
        <x:v>No direct corporate-capital range established in checked source</x:v>
      </x:c>
      <x:c r="R1437" s="25" t="str">
        <x:v>Property acquisition or investor activity makes this an operator-capital prospect for the signed trial. Confirm operating-company debt/equity appetite.</x:v>
      </x:c>
      <x:c r="S1437" s="25"/>
      <x:c r="T1437" s="25" t="str">
        <x:v>Ask the owner/investor whether they can allocate $100K-$500K to trial marketing and acquisitions, and confirm structure, timing and decision authority.</x:v>
      </x:c>
      <x:c r="U1437" s="25" t="str">
        <x:v>https://www.cashhomebuyersdirectory.com/cash-home-buyers/washington/spokane</x:v>
      </x:c>
      <x:c r="V1437" s="26" t="d">
        <x:v>2026-10-02T00:00:00.000Z</x:v>
      </x:c>
      <x:c r="W1437" s="26" t="d">
        <x:v>2026-10-02T00:00:00.000Z</x:v>
      </x:c>
      <x:c r="X1437" s="25" t="str">
        <x:v>CashHomeBuyersDirectory third-party business listing; first-party business activity not checked in this batch</x:v>
      </x:c>
      <x:c r="Y1437" s="25"/>
      <x:c r="Z1437" s="25" t="str">
        <x:v>https://www.cashhomebuyersdirectory.com/cash-home-buyers/washington/spokane</x:v>
      </x:c>
      <x:c r="AA1437" s="25" t="str">
        <x:v>Public cash-home-buyer directory lists the business name, business phone/website where available and market. Operator role and corporate funding willingness require confirmation.</x:v>
      </x:c>
      <x:c r="AB1437" s="3" t="str">
        <x:v>New public-source collection</x:v>
      </x:c>
      <x:c r="AC1437" s="3" t="str">
        <x:v>unverified</x:v>
      </x:c>
      <x:c r="AD1437" s="3" t="str">
        <x:v>Not contacted / unconfirmed</x:v>
      </x:c>
      <x:c r="AE1437" s="3" t="str">
        <x:v>No</x:v>
      </x:c>
      <x:c r="AF1437" s="3" t="str">
        <x:v>No</x:v>
      </x:c>
      <x:c r="AG1437" s="3"/>
      <x:c r="AH1437" s="3"/>
      <x:c r="AI1437" s="18"/>
      <x:c r="AJ1437" s="3" t="str">
        <x:v>CF2500-FD5FC5EB2FC8</x:v>
      </x:c>
      <x:c r="AK1437" s="3" t="str">
        <x:v>real_estate_operator</x:v>
      </x:c>
      <x:c r="AL1437" s="19" t="n">
        <x:v>100000</x:v>
      </x:c>
      <x:c r="AM1437" s="19" t="n">
        <x:v>500000</x:v>
      </x:c>
      <x:c r="AN1437" s="3" t="str">
        <x:v>https://www.cashhomebuyersdirectory.com/cash-home-buyers/washington/spokane</x:v>
      </x:c>
      <x:c r="AO1437" s="3" t="str">
        <x:v>national_rest_directory_complete.jsonl</x:v>
      </x:c>
      <x:c r="AP1437" s="19"/>
    </x:row>
    <x:row r="1438" ht="36" customHeight="1">
      <x:c r="A1438" s="23" t="n">
        <x:v>1437</x:v>
      </x:c>
      <x:c r="B1438" s="15" t="str">
        <x:v>Supreme Home Cash Buyer- Fire Damaged House Buyer</x:v>
      </x:c>
      <x:c r="C1438" s="15"/>
      <x:c r="D1438" s="15" t="str">
        <x:v>Property investor / home-buying operator</x:v>
      </x:c>
      <x:c r="E1438" s="15" t="str">
        <x:v>Property investor / operator inquiry</x:v>
      </x:c>
      <x:c r="F1438" s="17" t="str">
        <x:v>New</x:v>
      </x:c>
      <x:c r="G1438" s="24"/>
      <x:c r="H1438" s="24" t="str">
        <x:v>+16692358609</x:v>
      </x:c>
      <x:c r="I1438" s="24"/>
      <x:c r="J1438" s="16" t="str">
        <x:v>CA</x:v>
      </x:c>
      <x:c r="K1438" s="16"/>
      <x:c r="L1438" s="16" t="str">
        <x:v>Public property-business route; investor decision maker unconfirmed</x:v>
      </x:c>
      <x:c r="M1438" s="16"/>
      <x:c r="N1438" s="16" t="str">
        <x:v>$100K-$500K ticket not published / unconfirmed</x:v>
      </x:c>
      <x:c r="O1438" s="20"/>
      <x:c r="P1438" s="20"/>
      <x:c r="Q1438" s="25" t="str">
        <x:v>No direct corporate-capital range established in checked source</x:v>
      </x:c>
      <x:c r="R1438" s="25" t="str">
        <x:v>Property acquisition or investor activity makes this an operator-capital prospect for the signed trial. Confirm operating-company debt/equity appetite.</x:v>
      </x:c>
      <x:c r="S1438" s="25"/>
      <x:c r="T1438" s="25" t="str">
        <x:v>Ask the owner/investor whether they can allocate $100K-$500K to trial marketing and acquisitions, and confirm structure, timing and decision authority.</x:v>
      </x:c>
      <x:c r="U1438" s="25" t="str">
        <x:v>https://www.cashhomebuyersdirectory.com/cash-home-buyers/california/san-jose</x:v>
      </x:c>
      <x:c r="V1438" s="26" t="d">
        <x:v>2026-10-02T00:00:00.000Z</x:v>
      </x:c>
      <x:c r="W1438" s="26" t="d">
        <x:v>2026-10-02T00:00:00.000Z</x:v>
      </x:c>
      <x:c r="X1438" s="25" t="str">
        <x:v>CashHomeBuyersDirectory third-party business listing; first-party business activity not checked in this batch</x:v>
      </x:c>
      <x:c r="Y1438" s="25"/>
      <x:c r="Z1438" s="25" t="str">
        <x:v>https://www.cashhomebuyersdirectory.com/cash-home-buyers/california/san-jose</x:v>
      </x:c>
      <x:c r="AA1438" s="25" t="str">
        <x:v>Public cash-home-buyer directory lists the business name, business phone/website where available and market. Operator role and corporate funding willingness require confirmation.</x:v>
      </x:c>
      <x:c r="AB1438" s="3" t="str">
        <x:v>New public-source collection</x:v>
      </x:c>
      <x:c r="AC1438" s="3" t="str">
        <x:v>unverified</x:v>
      </x:c>
      <x:c r="AD1438" s="3" t="str">
        <x:v>Not contacted / unconfirmed</x:v>
      </x:c>
      <x:c r="AE1438" s="3" t="str">
        <x:v>No</x:v>
      </x:c>
      <x:c r="AF1438" s="3" t="str">
        <x:v>No</x:v>
      </x:c>
      <x:c r="AG1438" s="3"/>
      <x:c r="AH1438" s="3"/>
      <x:c r="AI1438" s="18"/>
      <x:c r="AJ1438" s="3" t="str">
        <x:v>CF2500-EEAD9FD13191</x:v>
      </x:c>
      <x:c r="AK1438" s="3" t="str">
        <x:v>real_estate_operator</x:v>
      </x:c>
      <x:c r="AL1438" s="19" t="n">
        <x:v>100000</x:v>
      </x:c>
      <x:c r="AM1438" s="19" t="n">
        <x:v>500000</x:v>
      </x:c>
      <x:c r="AN1438" s="3" t="str">
        <x:v>https://www.cashhomebuyersdirectory.com/cash-home-buyers/california/san-jose</x:v>
      </x:c>
      <x:c r="AO1438" s="3" t="str">
        <x:v>national_rest_directory_complete.jsonl</x:v>
      </x:c>
      <x:c r="AP1438" s="19"/>
    </x:row>
    <x:row r="1439" ht="36" customHeight="1">
      <x:c r="A1439" s="23" t="n">
        <x:v>1438</x:v>
      </x:c>
      <x:c r="B1439" s="15" t="str">
        <x:v>Topflyghthomebuyers</x:v>
      </x:c>
      <x:c r="C1439" s="15"/>
      <x:c r="D1439" s="15" t="str">
        <x:v>Property investor / home-buying operator</x:v>
      </x:c>
      <x:c r="E1439" s="15" t="str">
        <x:v>Property investor / operator inquiry</x:v>
      </x:c>
      <x:c r="F1439" s="17" t="str">
        <x:v>New</x:v>
      </x:c>
      <x:c r="G1439" s="24"/>
      <x:c r="H1439" s="24" t="str">
        <x:v>+19175952717</x:v>
      </x:c>
      <x:c r="I1439" s="24"/>
      <x:c r="J1439" s="16" t="str">
        <x:v>NJ</x:v>
      </x:c>
      <x:c r="K1439" s="16"/>
      <x:c r="L1439" s="16" t="str">
        <x:v>Public property-business route; investor decision maker unconfirmed</x:v>
      </x:c>
      <x:c r="M1439" s="16"/>
      <x:c r="N1439" s="16" t="str">
        <x:v>$100K-$500K ticket not published / unconfirmed</x:v>
      </x:c>
      <x:c r="O1439" s="20"/>
      <x:c r="P1439" s="20"/>
      <x:c r="Q1439" s="25" t="str">
        <x:v>No direct corporate-capital range established in checked source</x:v>
      </x:c>
      <x:c r="R1439" s="25" t="str">
        <x:v>Property acquisition or investor activity makes this an operator-capital prospect for the signed trial. Confirm operating-company debt/equity appetite.</x:v>
      </x:c>
      <x:c r="S1439" s="25"/>
      <x:c r="T1439" s="25" t="str">
        <x:v>Ask the owner/investor whether they can allocate $100K-$500K to trial marketing and acquisitions, and confirm structure, timing and decision authority.</x:v>
      </x:c>
      <x:c r="U1439" s="25" t="str">
        <x:v>https://www.cashhomebuyersdirectory.com/cash-home-buyers/new-jersey/newark</x:v>
      </x:c>
      <x:c r="V1439" s="26" t="d">
        <x:v>2026-10-02T00:00:00.000Z</x:v>
      </x:c>
      <x:c r="W1439" s="26" t="d">
        <x:v>2026-10-02T00:00:00.000Z</x:v>
      </x:c>
      <x:c r="X1439" s="25" t="str">
        <x:v>CashHomeBuyersDirectory third-party business listing; first-party business activity not checked in this batch</x:v>
      </x:c>
      <x:c r="Y1439" s="25"/>
      <x:c r="Z1439" s="25" t="str">
        <x:v>https://www.cashhomebuyersdirectory.com/cash-home-buyers/new-jersey/newark</x:v>
      </x:c>
      <x:c r="AA1439" s="25" t="str">
        <x:v>Public cash-home-buyer directory lists the business name, business phone/website where available and market. Operator role and corporate funding willingness require confirmation.</x:v>
      </x:c>
      <x:c r="AB1439" s="3" t="str">
        <x:v>New public-source collection</x:v>
      </x:c>
      <x:c r="AC1439" s="3" t="str">
        <x:v>unverified</x:v>
      </x:c>
      <x:c r="AD1439" s="3" t="str">
        <x:v>Not contacted / unconfirmed</x:v>
      </x:c>
      <x:c r="AE1439" s="3" t="str">
        <x:v>No</x:v>
      </x:c>
      <x:c r="AF1439" s="3" t="str">
        <x:v>No</x:v>
      </x:c>
      <x:c r="AG1439" s="3"/>
      <x:c r="AH1439" s="3"/>
      <x:c r="AI1439" s="18"/>
      <x:c r="AJ1439" s="3" t="str">
        <x:v>CF2500-F8ED84498880</x:v>
      </x:c>
      <x:c r="AK1439" s="3" t="str">
        <x:v>real_estate_operator</x:v>
      </x:c>
      <x:c r="AL1439" s="19" t="n">
        <x:v>100000</x:v>
      </x:c>
      <x:c r="AM1439" s="19" t="n">
        <x:v>500000</x:v>
      </x:c>
      <x:c r="AN1439" s="3" t="str">
        <x:v>https://www.cashhomebuyersdirectory.com/cash-home-buyers/new-jersey/newark</x:v>
      </x:c>
      <x:c r="AO1439" s="3" t="str">
        <x:v>national_rest_directory_complete.jsonl</x:v>
      </x:c>
      <x:c r="AP1439" s="19"/>
    </x:row>
    <x:row r="1440" ht="36" customHeight="1">
      <x:c r="A1440" s="23" t="n">
        <x:v>1439</x:v>
      </x:c>
      <x:c r="B1440" s="15" t="str">
        <x:v>Trademark Homebuyers</x:v>
      </x:c>
      <x:c r="C1440" s="15"/>
      <x:c r="D1440" s="15" t="str">
        <x:v>Property investor / home-buying operator</x:v>
      </x:c>
      <x:c r="E1440" s="15" t="str">
        <x:v>Property investor / operator inquiry</x:v>
      </x:c>
      <x:c r="F1440" s="17" t="str">
        <x:v>New</x:v>
      </x:c>
      <x:c r="G1440" s="24"/>
      <x:c r="H1440" s="24" t="str">
        <x:v>+13042200999</x:v>
      </x:c>
      <x:c r="I1440" s="24"/>
      <x:c r="J1440" s="16" t="str">
        <x:v>WV</x:v>
      </x:c>
      <x:c r="K1440" s="16" t="str">
        <x:v>Charleston</x:v>
      </x:c>
      <x:c r="L1440" s="16" t="str">
        <x:v>Public property-business route; investor decision maker unconfirmed</x:v>
      </x:c>
      <x:c r="M1440" s="16"/>
      <x:c r="N1440" s="16" t="str">
        <x:v>$100K-$500K ticket not published / unconfirmed</x:v>
      </x:c>
      <x:c r="O1440" s="20"/>
      <x:c r="P1440" s="20"/>
      <x:c r="Q1440" s="25" t="str">
        <x:v>No direct corporate-capital range established in checked source</x:v>
      </x:c>
      <x:c r="R1440" s="25" t="str">
        <x:v>Property acquisition or investor activity makes this an operator-capital prospect for the signed trial. Confirm operating-company debt/equity appetite.</x:v>
      </x:c>
      <x:c r="S1440" s="25"/>
      <x:c r="T1440" s="25" t="str">
        <x:v>Ask the owner/investor whether they can allocate $100K-$500K to trial marketing and acquisitions, and confirm structure, timing and decision authority.</x:v>
      </x:c>
      <x:c r="U1440" s="25" t="str">
        <x:v>https://www.cashhomebuyersdirectory.com/cash-home-buyers/west-virginia/charleston</x:v>
      </x:c>
      <x:c r="V1440" s="26" t="d">
        <x:v>2026-10-02T00:00:00.000Z</x:v>
      </x:c>
      <x:c r="W1440" s="26" t="d">
        <x:v>2026-10-02T00:00:00.000Z</x:v>
      </x:c>
      <x:c r="X1440" s="25" t="str">
        <x:v>CashHomeBuyersDirectory third-party business listing; first-party business activity not checked in this batch</x:v>
      </x:c>
      <x:c r="Y1440" s="25"/>
      <x:c r="Z1440" s="25" t="str">
        <x:v>https://www.cashhomebuyersdirectory.com/cash-home-buyers/west-virginia/charleston</x:v>
      </x:c>
      <x:c r="AA1440" s="25" t="str">
        <x:v>Public cash-home-buyer directory lists the business name, business phone/website where available and market. Operator role and corporate funding willingness require confirmation.</x:v>
      </x:c>
      <x:c r="AB1440" s="3" t="str">
        <x:v>New public-source collection</x:v>
      </x:c>
      <x:c r="AC1440" s="3" t="str">
        <x:v>unverified</x:v>
      </x:c>
      <x:c r="AD1440" s="3" t="str">
        <x:v>Not contacted / unconfirmed</x:v>
      </x:c>
      <x:c r="AE1440" s="3" t="str">
        <x:v>No</x:v>
      </x:c>
      <x:c r="AF1440" s="3" t="str">
        <x:v>No</x:v>
      </x:c>
      <x:c r="AG1440" s="3"/>
      <x:c r="AH1440" s="3"/>
      <x:c r="AI1440" s="18"/>
      <x:c r="AJ1440" s="3" t="str">
        <x:v>CF2500-5C01BC916A47</x:v>
      </x:c>
      <x:c r="AK1440" s="3" t="str">
        <x:v>real_estate_operator</x:v>
      </x:c>
      <x:c r="AL1440" s="19" t="n">
        <x:v>100000</x:v>
      </x:c>
      <x:c r="AM1440" s="19" t="n">
        <x:v>500000</x:v>
      </x:c>
      <x:c r="AN1440" s="3" t="str">
        <x:v>https://www.cashhomebuyersdirectory.com/cash-home-buyers/west-virginia/charleston</x:v>
      </x:c>
      <x:c r="AO1440" s="3" t="str">
        <x:v>national_rest_directory_complete.jsonl</x:v>
      </x:c>
      <x:c r="AP1440" s="19"/>
    </x:row>
    <x:row r="1441" ht="36" customHeight="1">
      <x:c r="A1441" s="23" t="n">
        <x:v>1440</x:v>
      </x:c>
      <x:c r="B1441" s="15" t="str">
        <x:v>Turbo Homebuyers</x:v>
      </x:c>
      <x:c r="C1441" s="15"/>
      <x:c r="D1441" s="15" t="str">
        <x:v>Property investor / home-buying operator</x:v>
      </x:c>
      <x:c r="E1441" s="15" t="str">
        <x:v>Property investor / operator inquiry</x:v>
      </x:c>
      <x:c r="F1441" s="17" t="str">
        <x:v>New</x:v>
      </x:c>
      <x:c r="G1441" s="24"/>
      <x:c r="H1441" s="24" t="str">
        <x:v>+14025139920</x:v>
      </x:c>
      <x:c r="I1441" s="24"/>
      <x:c r="J1441" s="16" t="str">
        <x:v>NE</x:v>
      </x:c>
      <x:c r="K1441" s="16" t="str">
        <x:v>Omaha</x:v>
      </x:c>
      <x:c r="L1441" s="16" t="str">
        <x:v>Public property-business route; investor decision maker unconfirmed</x:v>
      </x:c>
      <x:c r="M1441" s="16"/>
      <x:c r="N1441" s="16" t="str">
        <x:v>$100K-$500K ticket not published / unconfirmed</x:v>
      </x:c>
      <x:c r="O1441" s="20"/>
      <x:c r="P1441" s="20"/>
      <x:c r="Q1441" s="25" t="str">
        <x:v>No direct corporate-capital range established in checked source</x:v>
      </x:c>
      <x:c r="R1441" s="25" t="str">
        <x:v>Property acquisition or investor activity makes this an operator-capital prospect for the signed trial. Confirm operating-company debt/equity appetite.</x:v>
      </x:c>
      <x:c r="S1441" s="25"/>
      <x:c r="T1441" s="25" t="str">
        <x:v>Ask the owner/investor whether they can allocate $100K-$500K to trial marketing and acquisitions, and confirm structure, timing and decision authority.</x:v>
      </x:c>
      <x:c r="U1441" s="25" t="str">
        <x:v>https://www.cashhomebuyersdirectory.com/cash-home-buyers/nebraska/omaha</x:v>
      </x:c>
      <x:c r="V1441" s="26" t="d">
        <x:v>2026-10-02T00:00:00.000Z</x:v>
      </x:c>
      <x:c r="W1441" s="26" t="d">
        <x:v>2026-10-02T00:00:00.000Z</x:v>
      </x:c>
      <x:c r="X1441" s="25" t="str">
        <x:v>CashHomeBuyersDirectory third-party business listing; first-party business activity not checked in this batch</x:v>
      </x:c>
      <x:c r="Y1441" s="25"/>
      <x:c r="Z1441" s="25" t="str">
        <x:v>https://www.cashhomebuyersdirectory.com/cash-home-buyers/nebraska/omaha</x:v>
      </x:c>
      <x:c r="AA1441" s="25" t="str">
        <x:v>Public cash-home-buyer directory lists the business name, business phone/website where available and market. Operator role and corporate funding willingness require confirmation.</x:v>
      </x:c>
      <x:c r="AB1441" s="3" t="str">
        <x:v>New public-source collection</x:v>
      </x:c>
      <x:c r="AC1441" s="3" t="str">
        <x:v>unverified</x:v>
      </x:c>
      <x:c r="AD1441" s="3" t="str">
        <x:v>Not contacted / unconfirmed</x:v>
      </x:c>
      <x:c r="AE1441" s="3" t="str">
        <x:v>No</x:v>
      </x:c>
      <x:c r="AF1441" s="3" t="str">
        <x:v>No</x:v>
      </x:c>
      <x:c r="AG1441" s="3"/>
      <x:c r="AH1441" s="3"/>
      <x:c r="AI1441" s="18"/>
      <x:c r="AJ1441" s="3" t="str">
        <x:v>CF2500-AD35C519C155</x:v>
      </x:c>
      <x:c r="AK1441" s="3" t="str">
        <x:v>real_estate_operator</x:v>
      </x:c>
      <x:c r="AL1441" s="19" t="n">
        <x:v>100000</x:v>
      </x:c>
      <x:c r="AM1441" s="19" t="n">
        <x:v>500000</x:v>
      </x:c>
      <x:c r="AN1441" s="3" t="str">
        <x:v>https://www.cashhomebuyersdirectory.com/cash-home-buyers/nebraska/omaha</x:v>
      </x:c>
      <x:c r="AO1441" s="3" t="str">
        <x:v>national_rest_directory_complete.jsonl</x:v>
      </x:c>
      <x:c r="AP1441" s="19"/>
    </x:row>
    <x:row r="1442" ht="36" customHeight="1">
      <x:c r="A1442" s="23" t="n">
        <x:v>1441</x:v>
      </x:c>
      <x:c r="B1442" s="15" t="str">
        <x:v>Twin Cities Home Buyers Resource</x:v>
      </x:c>
      <x:c r="C1442" s="15"/>
      <x:c r="D1442" s="15" t="str">
        <x:v>Property investor / home-buying operator</x:v>
      </x:c>
      <x:c r="E1442" s="15" t="str">
        <x:v>Property investor / operator inquiry</x:v>
      </x:c>
      <x:c r="F1442" s="17" t="str">
        <x:v>New</x:v>
      </x:c>
      <x:c r="G1442" s="24"/>
      <x:c r="H1442" s="24" t="str">
        <x:v>+16123275455</x:v>
      </x:c>
      <x:c r="I1442" s="24"/>
      <x:c r="J1442" s="16" t="str">
        <x:v>MN</x:v>
      </x:c>
      <x:c r="K1442" s="16"/>
      <x:c r="L1442" s="16" t="str">
        <x:v>Public property-business route; investor decision maker unconfirmed</x:v>
      </x:c>
      <x:c r="M1442" s="16" t="str">
        <x:v>https://www.facebook.com/twincitieshomebuyersresource/</x:v>
      </x:c>
      <x:c r="N1442" s="16" t="str">
        <x:v>$100K-$500K ticket not published / unconfirmed</x:v>
      </x:c>
      <x:c r="O1442" s="20"/>
      <x:c r="P1442" s="20"/>
      <x:c r="Q1442" s="25" t="str">
        <x:v>No direct corporate-capital range established in checked source</x:v>
      </x:c>
      <x:c r="R1442" s="25" t="str">
        <x:v>Property acquisition or investor activity makes this an operator-capital prospect for the signed trial. Confirm operating-company debt/equity appetite.</x:v>
      </x:c>
      <x:c r="S1442" s="25"/>
      <x:c r="T1442" s="25" t="str">
        <x:v>Ask the owner/investor whether they can allocate $100K-$500K to trial marketing and acquisitions, and confirm structure, timing and decision authority.</x:v>
      </x:c>
      <x:c r="U1442" s="25" t="str">
        <x:v>https://www.cashhomebuyersdirectory.com/cash-home-buyers/minnesota/st-paul</x:v>
      </x:c>
      <x:c r="V1442" s="26" t="d">
        <x:v>2026-10-02T00:00:00.000Z</x:v>
      </x:c>
      <x:c r="W1442" s="26" t="d">
        <x:v>2026-10-02T00:00:00.000Z</x:v>
      </x:c>
      <x:c r="X1442" s="25" t="str">
        <x:v>CashHomeBuyersDirectory third-party business listing; first-party business activity not checked in this batch</x:v>
      </x:c>
      <x:c r="Y1442" s="25"/>
      <x:c r="Z1442" s="25" t="str">
        <x:v>https://www.cashhomebuyersdirectory.com/cash-home-buyers/minnesota/st-paul</x:v>
      </x:c>
      <x:c r="AA1442" s="25" t="str">
        <x:v>Public cash-home-buyer directory lists the business name, business phone/website where available and market. Operator role and corporate funding willingness require confirmation.</x:v>
      </x:c>
      <x:c r="AB1442" s="3" t="str">
        <x:v>New public-source collection</x:v>
      </x:c>
      <x:c r="AC1442" s="3" t="str">
        <x:v>unverified</x:v>
      </x:c>
      <x:c r="AD1442" s="3" t="str">
        <x:v>Not contacted / unconfirmed</x:v>
      </x:c>
      <x:c r="AE1442" s="3" t="str">
        <x:v>No</x:v>
      </x:c>
      <x:c r="AF1442" s="3" t="str">
        <x:v>No</x:v>
      </x:c>
      <x:c r="AG1442" s="3"/>
      <x:c r="AH1442" s="3"/>
      <x:c r="AI1442" s="18"/>
      <x:c r="AJ1442" s="3" t="str">
        <x:v>CF2500-DBF118C1F9C7</x:v>
      </x:c>
      <x:c r="AK1442" s="3" t="str">
        <x:v>real_estate_operator</x:v>
      </x:c>
      <x:c r="AL1442" s="19" t="n">
        <x:v>100000</x:v>
      </x:c>
      <x:c r="AM1442" s="19" t="n">
        <x:v>500000</x:v>
      </x:c>
      <x:c r="AN1442" s="3" t="str">
        <x:v>https://www.cashhomebuyersdirectory.com/cash-home-buyers/minnesota/st-paul</x:v>
      </x:c>
      <x:c r="AO1442" s="3" t="str">
        <x:v>national_rest_directory_complete.jsonl</x:v>
      </x:c>
      <x:c r="AP1442" s="19"/>
    </x:row>
    <x:row r="1443" ht="36" customHeight="1">
      <x:c r="A1443" s="23" t="n">
        <x:v>1442</x:v>
      </x:c>
      <x:c r="B1443" s="15" t="str">
        <x:v>Unity Home Solutions - We buy houses, Lease Options, Rent to Own</x:v>
      </x:c>
      <x:c r="C1443" s="15"/>
      <x:c r="D1443" s="15" t="str">
        <x:v>Property investor / home-buying operator</x:v>
      </x:c>
      <x:c r="E1443" s="15" t="str">
        <x:v>Property investor / operator inquiry</x:v>
      </x:c>
      <x:c r="F1443" s="17" t="str">
        <x:v>New</x:v>
      </x:c>
      <x:c r="G1443" s="24"/>
      <x:c r="H1443" s="24" t="str">
        <x:v>+17404229004</x:v>
      </x:c>
      <x:c r="I1443" s="24"/>
      <x:c r="J1443" s="16" t="str">
        <x:v>OH</x:v>
      </x:c>
      <x:c r="K1443" s="16"/>
      <x:c r="L1443" s="16" t="str">
        <x:v>Public property-business route; investor decision maker unconfirmed</x:v>
      </x:c>
      <x:c r="M1443" s="16"/>
      <x:c r="N1443" s="16" t="str">
        <x:v>$100K-$500K ticket not published / unconfirmed</x:v>
      </x:c>
      <x:c r="O1443" s="20"/>
      <x:c r="P1443" s="20"/>
      <x:c r="Q1443" s="25" t="str">
        <x:v>No direct corporate-capital range established in checked source</x:v>
      </x:c>
      <x:c r="R1443" s="25" t="str">
        <x:v>Property acquisition or investor activity makes this an operator-capital prospect for the signed trial. Confirm operating-company debt/equity appetite.</x:v>
      </x:c>
      <x:c r="S1443" s="25"/>
      <x:c r="T1443" s="25" t="str">
        <x:v>Ask the owner/investor whether they can allocate $100K-$500K to trial marketing and acquisitions, and confirm structure, timing and decision authority.</x:v>
      </x:c>
      <x:c r="U1443" s="25" t="str">
        <x:v>https://www.cashhomebuyersdirectory.com/cash-home-buyers/ohio/lancaster</x:v>
      </x:c>
      <x:c r="V1443" s="26" t="d">
        <x:v>2026-10-02T00:00:00.000Z</x:v>
      </x:c>
      <x:c r="W1443" s="26" t="d">
        <x:v>2026-10-02T00:00:00.000Z</x:v>
      </x:c>
      <x:c r="X1443" s="25" t="str">
        <x:v>CashHomeBuyersDirectory third-party business listing; first-party business activity not checked in this batch</x:v>
      </x:c>
      <x:c r="Y1443" s="25"/>
      <x:c r="Z1443" s="25" t="str">
        <x:v>https://www.cashhomebuyersdirectory.com/cash-home-buyers/ohio/lancaster</x:v>
      </x:c>
      <x:c r="AA1443" s="25" t="str">
        <x:v>Public cash-home-buyer directory lists the business name, business phone/website where available and market. Operator role and corporate funding willingness require confirmation.</x:v>
      </x:c>
      <x:c r="AB1443" s="3" t="str">
        <x:v>New public-source collection</x:v>
      </x:c>
      <x:c r="AC1443" s="3" t="str">
        <x:v>unverified</x:v>
      </x:c>
      <x:c r="AD1443" s="3" t="str">
        <x:v>Not contacted / unconfirmed</x:v>
      </x:c>
      <x:c r="AE1443" s="3" t="str">
        <x:v>No</x:v>
      </x:c>
      <x:c r="AF1443" s="3" t="str">
        <x:v>No</x:v>
      </x:c>
      <x:c r="AG1443" s="3"/>
      <x:c r="AH1443" s="3"/>
      <x:c r="AI1443" s="18"/>
      <x:c r="AJ1443" s="3" t="str">
        <x:v>CF2500-CCE652494D0F</x:v>
      </x:c>
      <x:c r="AK1443" s="3" t="str">
        <x:v>real_estate_operator</x:v>
      </x:c>
      <x:c r="AL1443" s="19" t="n">
        <x:v>100000</x:v>
      </x:c>
      <x:c r="AM1443" s="19" t="n">
        <x:v>500000</x:v>
      </x:c>
      <x:c r="AN1443" s="3" t="str">
        <x:v>https://www.cashhomebuyersdirectory.com/cash-home-buyers/ohio/lancaster</x:v>
      </x:c>
      <x:c r="AO1443" s="3" t="str">
        <x:v>national_rest_directory_complete.jsonl</x:v>
      </x:c>
      <x:c r="AP1443" s="19"/>
    </x:row>
    <x:row r="1444" ht="36" customHeight="1">
      <x:c r="A1444" s="23" t="n">
        <x:v>1443</x:v>
      </x:c>
      <x:c r="B1444" s="15" t="str">
        <x:v>We Buy Houses Chesapeake VA</x:v>
      </x:c>
      <x:c r="C1444" s="15"/>
      <x:c r="D1444" s="15" t="str">
        <x:v>Property investor / home-buying operator</x:v>
      </x:c>
      <x:c r="E1444" s="15" t="str">
        <x:v>Property investor / operator inquiry</x:v>
      </x:c>
      <x:c r="F1444" s="17" t="str">
        <x:v>New</x:v>
      </x:c>
      <x:c r="G1444" s="24"/>
      <x:c r="H1444" s="24" t="str">
        <x:v>+17578957748</x:v>
      </x:c>
      <x:c r="I1444" s="24"/>
      <x:c r="J1444" s="16" t="str">
        <x:v>VA</x:v>
      </x:c>
      <x:c r="K1444" s="16" t="str">
        <x:v>Chesapeake</x:v>
      </x:c>
      <x:c r="L1444" s="16" t="str">
        <x:v>Public property-business route; investor decision maker unconfirmed</x:v>
      </x:c>
      <x:c r="M1444" s="16"/>
      <x:c r="N1444" s="16" t="str">
        <x:v>$100K-$500K ticket not published / unconfirmed</x:v>
      </x:c>
      <x:c r="O1444" s="20"/>
      <x:c r="P1444" s="20"/>
      <x:c r="Q1444" s="25" t="str">
        <x:v>No direct corporate-capital range established in checked source</x:v>
      </x:c>
      <x:c r="R1444" s="25" t="str">
        <x:v>Property acquisition or investor activity makes this an operator-capital prospect for the signed trial. Confirm operating-company debt/equity appetite.</x:v>
      </x:c>
      <x:c r="S1444" s="25"/>
      <x:c r="T1444" s="25" t="str">
        <x:v>Ask the owner/investor whether they can allocate $100K-$500K to trial marketing and acquisitions, and confirm structure, timing and decision authority.</x:v>
      </x:c>
      <x:c r="U1444" s="25" t="str">
        <x:v>https://www.cashhomebuyersdirectory.com/cash-home-buyers/virginia/chesapeake</x:v>
      </x:c>
      <x:c r="V1444" s="26" t="d">
        <x:v>2026-10-02T00:00:00.000Z</x:v>
      </x:c>
      <x:c r="W1444" s="26" t="d">
        <x:v>2026-10-02T00:00:00.000Z</x:v>
      </x:c>
      <x:c r="X1444" s="25" t="str">
        <x:v>CashHomeBuyersDirectory third-party business listing; first-party business activity not checked in this batch</x:v>
      </x:c>
      <x:c r="Y1444" s="25"/>
      <x:c r="Z1444" s="25" t="str">
        <x:v>https://www.cashhomebuyersdirectory.com/cash-home-buyers/virginia/chesapeake</x:v>
      </x:c>
      <x:c r="AA1444" s="25" t="str">
        <x:v>Public cash-home-buyer directory lists the business name, business phone/website where available and market. Operator role and corporate funding willingness require confirmation.</x:v>
      </x:c>
      <x:c r="AB1444" s="3" t="str">
        <x:v>New public-source collection</x:v>
      </x:c>
      <x:c r="AC1444" s="3" t="str">
        <x:v>unverified</x:v>
      </x:c>
      <x:c r="AD1444" s="3" t="str">
        <x:v>Not contacted / unconfirmed</x:v>
      </x:c>
      <x:c r="AE1444" s="3" t="str">
        <x:v>No</x:v>
      </x:c>
      <x:c r="AF1444" s="3" t="str">
        <x:v>No</x:v>
      </x:c>
      <x:c r="AG1444" s="3"/>
      <x:c r="AH1444" s="3"/>
      <x:c r="AI1444" s="18"/>
      <x:c r="AJ1444" s="3" t="str">
        <x:v>CF2500-26D65E1FFAD0</x:v>
      </x:c>
      <x:c r="AK1444" s="3" t="str">
        <x:v>real_estate_operator</x:v>
      </x:c>
      <x:c r="AL1444" s="19" t="n">
        <x:v>100000</x:v>
      </x:c>
      <x:c r="AM1444" s="19" t="n">
        <x:v>500000</x:v>
      </x:c>
      <x:c r="AN1444" s="3" t="str">
        <x:v>https://www.cashhomebuyersdirectory.com/cash-home-buyers/virginia/chesapeake</x:v>
      </x:c>
      <x:c r="AO1444" s="3" t="str">
        <x:v>national_rest_directory_complete.jsonl</x:v>
      </x:c>
      <x:c r="AP1444" s="19"/>
    </x:row>
    <x:row r="1445" ht="36" customHeight="1">
      <x:c r="A1445" s="23" t="n">
        <x:v>1444</x:v>
      </x:c>
      <x:c r="B1445" s="15" t="str">
        <x:v>We Buy Houses Clayton</x:v>
      </x:c>
      <x:c r="C1445" s="15"/>
      <x:c r="D1445" s="15" t="str">
        <x:v>Property investor / home-buying operator</x:v>
      </x:c>
      <x:c r="E1445" s="15" t="str">
        <x:v>Property investor / operator inquiry</x:v>
      </x:c>
      <x:c r="F1445" s="17" t="str">
        <x:v>New</x:v>
      </x:c>
      <x:c r="G1445" s="24"/>
      <x:c r="H1445" s="24" t="str">
        <x:v>+13303591889</x:v>
      </x:c>
      <x:c r="I1445" s="24"/>
      <x:c r="J1445" s="16" t="str">
        <x:v>OH</x:v>
      </x:c>
      <x:c r="K1445" s="16" t="str">
        <x:v>Barberton</x:v>
      </x:c>
      <x:c r="L1445" s="16" t="str">
        <x:v>Public property-business route; investor decision maker unconfirmed</x:v>
      </x:c>
      <x:c r="M1445" s="16"/>
      <x:c r="N1445" s="16" t="str">
        <x:v>$100K-$500K ticket not published / unconfirmed</x:v>
      </x:c>
      <x:c r="O1445" s="20"/>
      <x:c r="P1445" s="20"/>
      <x:c r="Q1445" s="25" t="str">
        <x:v>No direct corporate-capital range established in checked source</x:v>
      </x:c>
      <x:c r="R1445" s="25" t="str">
        <x:v>Property acquisition or investor activity makes this an operator-capital prospect for the signed trial. Confirm operating-company debt/equity appetite.</x:v>
      </x:c>
      <x:c r="S1445" s="25"/>
      <x:c r="T1445" s="25" t="str">
        <x:v>Ask the owner/investor whether they can allocate $100K-$500K to trial marketing and acquisitions, and confirm structure, timing and decision authority.</x:v>
      </x:c>
      <x:c r="U1445" s="25" t="str">
        <x:v>https://www.cashhomebuyersdirectory.com/cash-home-buyers/ohio/barberton</x:v>
      </x:c>
      <x:c r="V1445" s="26" t="d">
        <x:v>2026-10-02T00:00:00.000Z</x:v>
      </x:c>
      <x:c r="W1445" s="26" t="d">
        <x:v>2026-10-02T00:00:00.000Z</x:v>
      </x:c>
      <x:c r="X1445" s="25" t="str">
        <x:v>CashHomeBuyersDirectory third-party business listing; first-party business activity not checked in this batch</x:v>
      </x:c>
      <x:c r="Y1445" s="25"/>
      <x:c r="Z1445" s="25" t="str">
        <x:v>https://www.cashhomebuyersdirectory.com/cash-home-buyers/ohio/barberton</x:v>
      </x:c>
      <x:c r="AA1445" s="25" t="str">
        <x:v>Public cash-home-buyer directory lists the business name, business phone/website where available and market. Operator role and corporate funding willingness require confirmation.</x:v>
      </x:c>
      <x:c r="AB1445" s="3" t="str">
        <x:v>New public-source collection</x:v>
      </x:c>
      <x:c r="AC1445" s="3" t="str">
        <x:v>unverified</x:v>
      </x:c>
      <x:c r="AD1445" s="3" t="str">
        <x:v>Not contacted / unconfirmed</x:v>
      </x:c>
      <x:c r="AE1445" s="3" t="str">
        <x:v>No</x:v>
      </x:c>
      <x:c r="AF1445" s="3" t="str">
        <x:v>No</x:v>
      </x:c>
      <x:c r="AG1445" s="3"/>
      <x:c r="AH1445" s="3"/>
      <x:c r="AI1445" s="18"/>
      <x:c r="AJ1445" s="3" t="str">
        <x:v>CF2500-82FEE73A144C</x:v>
      </x:c>
      <x:c r="AK1445" s="3" t="str">
        <x:v>real_estate_operator</x:v>
      </x:c>
      <x:c r="AL1445" s="19" t="n">
        <x:v>100000</x:v>
      </x:c>
      <x:c r="AM1445" s="19" t="n">
        <x:v>500000</x:v>
      </x:c>
      <x:c r="AN1445" s="3" t="str">
        <x:v>https://www.cashhomebuyersdirectory.com/cash-home-buyers/ohio/barberton</x:v>
      </x:c>
      <x:c r="AO1445" s="3" t="str">
        <x:v>national_rest_directory_complete.jsonl</x:v>
      </x:c>
      <x:c r="AP1445" s="19"/>
    </x:row>
    <x:row r="1446" ht="36" customHeight="1">
      <x:c r="A1446" s="23" t="n">
        <x:v>1445</x:v>
      </x:c>
      <x:c r="B1446" s="15" t="str">
        <x:v>We Buy Houses Fast Cash. Salem, Oregon</x:v>
      </x:c>
      <x:c r="C1446" s="15"/>
      <x:c r="D1446" s="15" t="str">
        <x:v>Property investor / home-buying operator</x:v>
      </x:c>
      <x:c r="E1446" s="15" t="str">
        <x:v>Property investor / operator inquiry</x:v>
      </x:c>
      <x:c r="F1446" s="17" t="str">
        <x:v>New</x:v>
      </x:c>
      <x:c r="G1446" s="24"/>
      <x:c r="H1446" s="24" t="str">
        <x:v>+19713014118</x:v>
      </x:c>
      <x:c r="I1446" s="24"/>
      <x:c r="J1446" s="16" t="str">
        <x:v>OR</x:v>
      </x:c>
      <x:c r="K1446" s="16"/>
      <x:c r="L1446" s="16" t="str">
        <x:v>Public property-business route; investor decision maker unconfirmed</x:v>
      </x:c>
      <x:c r="M1446" s="16"/>
      <x:c r="N1446" s="16" t="str">
        <x:v>$100K-$500K ticket not published / unconfirmed</x:v>
      </x:c>
      <x:c r="O1446" s="20"/>
      <x:c r="P1446" s="20"/>
      <x:c r="Q1446" s="25" t="str">
        <x:v>No direct corporate-capital range established in checked source</x:v>
      </x:c>
      <x:c r="R1446" s="25" t="str">
        <x:v>Property acquisition or investor activity makes this an operator-capital prospect for the signed trial. Confirm operating-company debt/equity appetite.</x:v>
      </x:c>
      <x:c r="S1446" s="25"/>
      <x:c r="T1446" s="25" t="str">
        <x:v>Ask the owner/investor whether they can allocate $100K-$500K to trial marketing and acquisitions, and confirm structure, timing and decision authority.</x:v>
      </x:c>
      <x:c r="U1446" s="25" t="str">
        <x:v>https://www.cashhomebuyersdirectory.com/cash-home-buyers/oregon/salem</x:v>
      </x:c>
      <x:c r="V1446" s="26" t="d">
        <x:v>2026-10-02T00:00:00.000Z</x:v>
      </x:c>
      <x:c r="W1446" s="26" t="d">
        <x:v>2026-10-02T00:00:00.000Z</x:v>
      </x:c>
      <x:c r="X1446" s="25" t="str">
        <x:v>CashHomeBuyersDirectory third-party business listing; first-party business activity not checked in this batch</x:v>
      </x:c>
      <x:c r="Y1446" s="25"/>
      <x:c r="Z1446" s="25" t="str">
        <x:v>https://www.cashhomebuyersdirectory.com/cash-home-buyers/oregon/salem</x:v>
      </x:c>
      <x:c r="AA1446" s="25" t="str">
        <x:v>Public cash-home-buyer directory lists the business name, business phone/website where available and market. Operator role and corporate funding willingness require confirmation.</x:v>
      </x:c>
      <x:c r="AB1446" s="3" t="str">
        <x:v>New public-source collection</x:v>
      </x:c>
      <x:c r="AC1446" s="3" t="str">
        <x:v>unverified</x:v>
      </x:c>
      <x:c r="AD1446" s="3" t="str">
        <x:v>Not contacted / unconfirmed</x:v>
      </x:c>
      <x:c r="AE1446" s="3" t="str">
        <x:v>No</x:v>
      </x:c>
      <x:c r="AF1446" s="3" t="str">
        <x:v>No</x:v>
      </x:c>
      <x:c r="AG1446" s="3"/>
      <x:c r="AH1446" s="3"/>
      <x:c r="AI1446" s="18"/>
      <x:c r="AJ1446" s="3" t="str">
        <x:v>CF2500-11F1ED460296</x:v>
      </x:c>
      <x:c r="AK1446" s="3" t="str">
        <x:v>real_estate_operator</x:v>
      </x:c>
      <x:c r="AL1446" s="19" t="n">
        <x:v>100000</x:v>
      </x:c>
      <x:c r="AM1446" s="19" t="n">
        <x:v>500000</x:v>
      </x:c>
      <x:c r="AN1446" s="3" t="str">
        <x:v>https://www.cashhomebuyersdirectory.com/cash-home-buyers/oregon/salem</x:v>
      </x:c>
      <x:c r="AO1446" s="3" t="str">
        <x:v>national_rest_directory_complete.jsonl</x:v>
      </x:c>
      <x:c r="AP1446" s="19"/>
    </x:row>
    <x:row r="1447" ht="36" customHeight="1">
      <x:c r="A1447" s="23" t="n">
        <x:v>1446</x:v>
      </x:c>
      <x:c r="B1447" s="15" t="str">
        <x:v>We Buy Houses For Cash , Maryland</x:v>
      </x:c>
      <x:c r="C1447" s="15"/>
      <x:c r="D1447" s="15" t="str">
        <x:v>Property investor / home-buying operator</x:v>
      </x:c>
      <x:c r="E1447" s="15" t="str">
        <x:v>Property investor / operator inquiry</x:v>
      </x:c>
      <x:c r="F1447" s="17" t="str">
        <x:v>New</x:v>
      </x:c>
      <x:c r="G1447" s="24"/>
      <x:c r="H1447" s="24" t="str">
        <x:v>+12403591757</x:v>
      </x:c>
      <x:c r="I1447" s="24"/>
      <x:c r="J1447" s="16" t="str">
        <x:v>MD</x:v>
      </x:c>
      <x:c r="K1447" s="16" t="str">
        <x:v>Baltimore</x:v>
      </x:c>
      <x:c r="L1447" s="16" t="str">
        <x:v>Public property-business route; investor decision maker unconfirmed</x:v>
      </x:c>
      <x:c r="M1447" s="16"/>
      <x:c r="N1447" s="16" t="str">
        <x:v>$100K-$500K ticket not published / unconfirmed</x:v>
      </x:c>
      <x:c r="O1447" s="20"/>
      <x:c r="P1447" s="20"/>
      <x:c r="Q1447" s="25" t="str">
        <x:v>No direct corporate-capital range established in checked source</x:v>
      </x:c>
      <x:c r="R1447" s="25" t="str">
        <x:v>Property acquisition or investor activity makes this an operator-capital prospect for the signed trial. Confirm operating-company debt/equity appetite.</x:v>
      </x:c>
      <x:c r="S1447" s="25"/>
      <x:c r="T1447" s="25" t="str">
        <x:v>Ask the owner/investor whether they can allocate $100K-$500K to trial marketing and acquisitions, and confirm structure, timing and decision authority.</x:v>
      </x:c>
      <x:c r="U1447" s="25" t="str">
        <x:v>https://www.cashhomebuyersdirectory.com/cash-home-buyers/maryland/baltimore</x:v>
      </x:c>
      <x:c r="V1447" s="26" t="d">
        <x:v>2026-10-02T00:00:00.000Z</x:v>
      </x:c>
      <x:c r="W1447" s="26" t="d">
        <x:v>2026-10-02T00:00:00.000Z</x:v>
      </x:c>
      <x:c r="X1447" s="25" t="str">
        <x:v>CashHomeBuyersDirectory third-party business listing; first-party business activity not checked in this batch</x:v>
      </x:c>
      <x:c r="Y1447" s="25"/>
      <x:c r="Z1447" s="25" t="str">
        <x:v>https://www.cashhomebuyersdirectory.com/cash-home-buyers/maryland/baltimore</x:v>
      </x:c>
      <x:c r="AA1447" s="25" t="str">
        <x:v>Public cash-home-buyer directory lists the business name, business phone/website where available and market. Operator role and corporate funding willingness require confirmation.</x:v>
      </x:c>
      <x:c r="AB1447" s="3" t="str">
        <x:v>New public-source collection</x:v>
      </x:c>
      <x:c r="AC1447" s="3" t="str">
        <x:v>unverified</x:v>
      </x:c>
      <x:c r="AD1447" s="3" t="str">
        <x:v>Not contacted / unconfirmed</x:v>
      </x:c>
      <x:c r="AE1447" s="3" t="str">
        <x:v>No</x:v>
      </x:c>
      <x:c r="AF1447" s="3" t="str">
        <x:v>No</x:v>
      </x:c>
      <x:c r="AG1447" s="3"/>
      <x:c r="AH1447" s="3"/>
      <x:c r="AI1447" s="18"/>
      <x:c r="AJ1447" s="3" t="str">
        <x:v>CF2500-5C73EE7755AE</x:v>
      </x:c>
      <x:c r="AK1447" s="3" t="str">
        <x:v>real_estate_operator</x:v>
      </x:c>
      <x:c r="AL1447" s="19" t="n">
        <x:v>100000</x:v>
      </x:c>
      <x:c r="AM1447" s="19" t="n">
        <x:v>500000</x:v>
      </x:c>
      <x:c r="AN1447" s="3" t="str">
        <x:v>https://www.cashhomebuyersdirectory.com/cash-home-buyers/maryland/baltimore</x:v>
      </x:c>
      <x:c r="AO1447" s="3" t="str">
        <x:v>national_rest_directory_complete.jsonl</x:v>
      </x:c>
      <x:c r="AP1447" s="19"/>
    </x:row>
    <x:row r="1448" ht="36" customHeight="1">
      <x:c r="A1448" s="23" t="n">
        <x:v>1447</x:v>
      </x:c>
      <x:c r="B1448" s="15" t="str">
        <x:v>We Buy Houses in Jackson, MS</x:v>
      </x:c>
      <x:c r="C1448" s="15"/>
      <x:c r="D1448" s="15" t="str">
        <x:v>Property investor / home-buying operator</x:v>
      </x:c>
      <x:c r="E1448" s="15" t="str">
        <x:v>Property investor / operator inquiry</x:v>
      </x:c>
      <x:c r="F1448" s="17" t="str">
        <x:v>New</x:v>
      </x:c>
      <x:c r="G1448" s="24"/>
      <x:c r="H1448" s="24" t="str">
        <x:v>+17692189866</x:v>
      </x:c>
      <x:c r="I1448" s="24"/>
      <x:c r="J1448" s="16" t="str">
        <x:v>MS</x:v>
      </x:c>
      <x:c r="K1448" s="16"/>
      <x:c r="L1448" s="16" t="str">
        <x:v>Public property-business route; investor decision maker unconfirmed</x:v>
      </x:c>
      <x:c r="M1448" s="16"/>
      <x:c r="N1448" s="16" t="str">
        <x:v>$100K-$500K ticket not published / unconfirmed</x:v>
      </x:c>
      <x:c r="O1448" s="20"/>
      <x:c r="P1448" s="20"/>
      <x:c r="Q1448" s="25" t="str">
        <x:v>No direct corporate-capital range established in checked source</x:v>
      </x:c>
      <x:c r="R1448" s="25" t="str">
        <x:v>Property acquisition or investor activity makes this an operator-capital prospect for the signed trial. Confirm operating-company debt/equity appetite.</x:v>
      </x:c>
      <x:c r="S1448" s="25"/>
      <x:c r="T1448" s="25" t="str">
        <x:v>Ask the owner/investor whether they can allocate $100K-$500K to trial marketing and acquisitions, and confirm structure, timing and decision authority.</x:v>
      </x:c>
      <x:c r="U1448" s="25" t="str">
        <x:v>https://www.cashhomebuyersdirectory.com/cash-home-buyers/mississippi/jackson</x:v>
      </x:c>
      <x:c r="V1448" s="26" t="d">
        <x:v>2026-10-02T00:00:00.000Z</x:v>
      </x:c>
      <x:c r="W1448" s="26" t="d">
        <x:v>2026-10-02T00:00:00.000Z</x:v>
      </x:c>
      <x:c r="X1448" s="25" t="str">
        <x:v>CashHomeBuyersDirectory third-party business listing; first-party business activity not checked in this batch</x:v>
      </x:c>
      <x:c r="Y1448" s="25"/>
      <x:c r="Z1448" s="25" t="str">
        <x:v>https://www.cashhomebuyersdirectory.com/cash-home-buyers/mississippi/jackson</x:v>
      </x:c>
      <x:c r="AA1448" s="25" t="str">
        <x:v>Public cash-home-buyer directory lists the business name, business phone/website where available and market. Operator role and corporate funding willingness require confirmation.</x:v>
      </x:c>
      <x:c r="AB1448" s="3" t="str">
        <x:v>New public-source collection</x:v>
      </x:c>
      <x:c r="AC1448" s="3" t="str">
        <x:v>unverified</x:v>
      </x:c>
      <x:c r="AD1448" s="3" t="str">
        <x:v>Not contacted / unconfirmed</x:v>
      </x:c>
      <x:c r="AE1448" s="3" t="str">
        <x:v>No</x:v>
      </x:c>
      <x:c r="AF1448" s="3" t="str">
        <x:v>No</x:v>
      </x:c>
      <x:c r="AG1448" s="3"/>
      <x:c r="AH1448" s="3" t="str">
        <x:v>We Buy Houses In Jackson, MS</x:v>
      </x:c>
      <x:c r="AI1448" s="18"/>
      <x:c r="AJ1448" s="3" t="str">
        <x:v>CF2500-C6716A3F1447</x:v>
      </x:c>
      <x:c r="AK1448" s="3" t="str">
        <x:v>real_estate_operator</x:v>
      </x:c>
      <x:c r="AL1448" s="19" t="n">
        <x:v>100000</x:v>
      </x:c>
      <x:c r="AM1448" s="19" t="n">
        <x:v>500000</x:v>
      </x:c>
      <x:c r="AN1448" s="3" t="str">
        <x:v>https://www.cashhomebuyersdirectory.com/cash-home-buyers/mississippi/jackson</x:v>
      </x:c>
      <x:c r="AO1448" s="3" t="str">
        <x:v>national_rest_directory_complete.jsonl</x:v>
      </x:c>
      <x:c r="AP1448" s="19"/>
    </x:row>
    <x:row r="1449" ht="36" customHeight="1">
      <x:c r="A1449" s="23" t="n">
        <x:v>1448</x:v>
      </x:c>
      <x:c r="B1449" s="15" t="str">
        <x:v>Wyoming Home Buyers</x:v>
      </x:c>
      <x:c r="C1449" s="15"/>
      <x:c r="D1449" s="15" t="str">
        <x:v>Property investor / home-buying operator</x:v>
      </x:c>
      <x:c r="E1449" s="15" t="str">
        <x:v>Property investor / operator inquiry</x:v>
      </x:c>
      <x:c r="F1449" s="17" t="str">
        <x:v>New</x:v>
      </x:c>
      <x:c r="G1449" s="24"/>
      <x:c r="H1449" s="24" t="str">
        <x:v>+13072866434</x:v>
      </x:c>
      <x:c r="I1449" s="24"/>
      <x:c r="J1449" s="16" t="str">
        <x:v>WY</x:v>
      </x:c>
      <x:c r="K1449" s="16" t="str">
        <x:v>Cheyenne</x:v>
      </x:c>
      <x:c r="L1449" s="16" t="str">
        <x:v>Public property-business route; investor decision maker unconfirmed</x:v>
      </x:c>
      <x:c r="M1449" s="16"/>
      <x:c r="N1449" s="16" t="str">
        <x:v>$100K-$500K ticket not published / unconfirmed</x:v>
      </x:c>
      <x:c r="O1449" s="20"/>
      <x:c r="P1449" s="20"/>
      <x:c r="Q1449" s="25" t="str">
        <x:v>No direct corporate-capital range established in checked source</x:v>
      </x:c>
      <x:c r="R1449" s="25" t="str">
        <x:v>Property acquisition or investor activity makes this an operator-capital prospect for the signed trial. Confirm operating-company debt/equity appetite.</x:v>
      </x:c>
      <x:c r="S1449" s="25"/>
      <x:c r="T1449" s="25" t="str">
        <x:v>Ask the owner/investor whether they can allocate $100K-$500K to trial marketing and acquisitions, and confirm structure, timing and decision authority.</x:v>
      </x:c>
      <x:c r="U1449" s="25" t="str">
        <x:v>https://www.cashhomebuyersdirectory.com/cash-home-buyers/wyoming/cheyenne</x:v>
      </x:c>
      <x:c r="V1449" s="26" t="d">
        <x:v>2026-10-02T00:00:00.000Z</x:v>
      </x:c>
      <x:c r="W1449" s="26" t="d">
        <x:v>2026-10-02T00:00:00.000Z</x:v>
      </x:c>
      <x:c r="X1449" s="25" t="str">
        <x:v>CashHomeBuyersDirectory third-party business listing; first-party business activity not checked in this batch</x:v>
      </x:c>
      <x:c r="Y1449" s="25"/>
      <x:c r="Z1449" s="25" t="str">
        <x:v>https://www.cashhomebuyersdirectory.com/cash-home-buyers/wyoming/cheyenne</x:v>
      </x:c>
      <x:c r="AA1449" s="25" t="str">
        <x:v>Public cash-home-buyer directory lists the business name, business phone/website where available and market. Operator role and corporate funding willingness require confirmation.</x:v>
      </x:c>
      <x:c r="AB1449" s="3" t="str">
        <x:v>New public-source collection</x:v>
      </x:c>
      <x:c r="AC1449" s="3" t="str">
        <x:v>unverified</x:v>
      </x:c>
      <x:c r="AD1449" s="3" t="str">
        <x:v>Not contacted / unconfirmed</x:v>
      </x:c>
      <x:c r="AE1449" s="3" t="str">
        <x:v>No</x:v>
      </x:c>
      <x:c r="AF1449" s="3" t="str">
        <x:v>No</x:v>
      </x:c>
      <x:c r="AG1449" s="3"/>
      <x:c r="AH1449" s="3"/>
      <x:c r="AI1449" s="18"/>
      <x:c r="AJ1449" s="3" t="str">
        <x:v>CF2500-AEB22FC725C8</x:v>
      </x:c>
      <x:c r="AK1449" s="3" t="str">
        <x:v>real_estate_operator</x:v>
      </x:c>
      <x:c r="AL1449" s="19" t="n">
        <x:v>100000</x:v>
      </x:c>
      <x:c r="AM1449" s="19" t="n">
        <x:v>500000</x:v>
      </x:c>
      <x:c r="AN1449" s="3" t="str">
        <x:v>https://www.cashhomebuyersdirectory.com/cash-home-buyers/wyoming/cheyenne</x:v>
      </x:c>
      <x:c r="AO1449" s="3" t="str">
        <x:v>national_rest_directory_complete.jsonl</x:v>
      </x:c>
      <x:c r="AP1449" s="19"/>
    </x:row>
    <x:row r="1450" ht="36" customHeight="1">
      <x:c r="A1450" s="23" t="n">
        <x:v>1449</x:v>
      </x:c>
      <x:c r="B1450" s="15" t="str">
        <x:v>Badgerland House Buyers LLC</x:v>
      </x:c>
      <x:c r="C1450" s="15"/>
      <x:c r="D1450" s="15" t="str">
        <x:v>Property investor / home-buying operator</x:v>
      </x:c>
      <x:c r="E1450" s="15" t="str">
        <x:v>Property investor / operator inquiry</x:v>
      </x:c>
      <x:c r="F1450" s="17" t="str">
        <x:v>New</x:v>
      </x:c>
      <x:c r="G1450" s="24"/>
      <x:c r="H1450" s="24"/>
      <x:c r="I1450" s="24" t="str">
        <x:v>http://www.badgerlandhousebuyers.com/?utm_source=google_my_business&amp;utm_medium=GMB_magnyfi</x:v>
      </x:c>
      <x:c r="J1450" s="16" t="str">
        <x:v>WI</x:v>
      </x:c>
      <x:c r="K1450" s="16" t="str">
        <x:v>Madison</x:v>
      </x:c>
      <x:c r="L1450" s="16" t="str">
        <x:v>Public property-business route; investor decision maker unconfirmed</x:v>
      </x:c>
      <x:c r="M1450" s="16" t="str">
        <x:v>http://www.badgerlandhousebuyers.com/?utm_source=google_my_business&amp;utm_medium=GMB_magnyfi</x:v>
      </x:c>
      <x:c r="N1450" s="16" t="str">
        <x:v>$100K-$500K ticket not published / unconfirmed</x:v>
      </x:c>
      <x:c r="O1450" s="20"/>
      <x:c r="P1450" s="20"/>
      <x:c r="Q1450" s="25" t="str">
        <x:v>No direct corporate-capital range established in checked source</x:v>
      </x:c>
      <x:c r="R1450" s="25" t="str">
        <x:v>Property acquisition or investor activity makes this an operator-capital prospect for the signed trial. Confirm operating-company debt/equity appetite.</x:v>
      </x:c>
      <x:c r="S1450" s="25"/>
      <x:c r="T1450" s="25" t="str">
        <x:v>Ask the owner/investor whether they can allocate $100K-$500K to trial marketing and acquisitions, and confirm structure, timing and decision authority.</x:v>
      </x:c>
      <x:c r="U1450" s="25" t="str">
        <x:v>https://www.cashhomebuyersdirectory.com/cash-home-buyers/wisconsin/madison</x:v>
      </x:c>
      <x:c r="V1450" s="26" t="d">
        <x:v>2026-10-02T00:00:00.000Z</x:v>
      </x:c>
      <x:c r="W1450" s="26" t="d">
        <x:v>2026-10-02T00:00:00.000Z</x:v>
      </x:c>
      <x:c r="X1450" s="25" t="str">
        <x:v>CashHomeBuyersDirectory third-party business listing; first-party business activity not checked in this batch</x:v>
      </x:c>
      <x:c r="Y1450" s="25"/>
      <x:c r="Z1450" s="25" t="str">
        <x:v>https://www.cashhomebuyersdirectory.com/cash-home-buyers/wisconsin/madison</x:v>
      </x:c>
      <x:c r="AA1450" s="25" t="str">
        <x:v>Public cash-home-buyer directory lists the business name, business phone/website where available and market. Operator role and corporate funding willingness require confirmation.</x:v>
      </x:c>
      <x:c r="AB1450" s="3" t="str">
        <x:v>New public-source collection</x:v>
      </x:c>
      <x:c r="AC1450" s="3" t="str">
        <x:v>unverified</x:v>
      </x:c>
      <x:c r="AD1450" s="3" t="str">
        <x:v>Not contacted / unconfirmed</x:v>
      </x:c>
      <x:c r="AE1450" s="3" t="str">
        <x:v>No</x:v>
      </x:c>
      <x:c r="AF1450" s="3" t="str">
        <x:v>No</x:v>
      </x:c>
      <x:c r="AG1450" s="3"/>
      <x:c r="AH1450" s="3"/>
      <x:c r="AI1450" s="18"/>
      <x:c r="AJ1450" s="3" t="str">
        <x:v>CF2500-138247E75A4B</x:v>
      </x:c>
      <x:c r="AK1450" s="3" t="str">
        <x:v>real_estate_operator</x:v>
      </x:c>
      <x:c r="AL1450" s="19" t="n">
        <x:v>100000</x:v>
      </x:c>
      <x:c r="AM1450" s="19" t="n">
        <x:v>500000</x:v>
      </x:c>
      <x:c r="AN1450" s="3" t="str">
        <x:v>https://www.cashhomebuyersdirectory.com/cash-home-buyers/wisconsin/madison</x:v>
      </x:c>
      <x:c r="AO1450" s="3" t="str">
        <x:v>national_rest_directory_complete.jsonl</x:v>
      </x:c>
      <x:c r="AP1450" s="19"/>
    </x:row>
    <x:row r="1451" ht="36" customHeight="1">
      <x:c r="A1451" s="23" t="n">
        <x:v>1450</x:v>
      </x:c>
      <x:c r="B1451" s="15" t="str">
        <x:v>Drossman Group - We Buy Houses in Sandusky &amp; Toledo areas Sell Your House Fast As-Is</x:v>
      </x:c>
      <x:c r="C1451" s="15"/>
      <x:c r="D1451" s="15" t="str">
        <x:v>Property investor / home-buying operator</x:v>
      </x:c>
      <x:c r="E1451" s="15" t="str">
        <x:v>Property investor / operator inquiry</x:v>
      </x:c>
      <x:c r="F1451" s="17" t="str">
        <x:v>New</x:v>
      </x:c>
      <x:c r="G1451" s="24"/>
      <x:c r="H1451" s="24"/>
      <x:c r="I1451" s="24" t="str">
        <x:v>http://www.drossmangroup.com/</x:v>
      </x:c>
      <x:c r="J1451" s="16" t="str">
        <x:v>OH</x:v>
      </x:c>
      <x:c r="K1451" s="16" t="str">
        <x:v>Toledo</x:v>
      </x:c>
      <x:c r="L1451" s="16" t="str">
        <x:v>Public property-business route; investor decision maker unconfirmed</x:v>
      </x:c>
      <x:c r="M1451" s="16" t="str">
        <x:v>http://www.drossmangroup.com/</x:v>
      </x:c>
      <x:c r="N1451" s="16" t="str">
        <x:v>$100K-$500K ticket not published / unconfirmed</x:v>
      </x:c>
      <x:c r="O1451" s="20"/>
      <x:c r="P1451" s="20"/>
      <x:c r="Q1451" s="25" t="str">
        <x:v>No direct corporate-capital range established in checked source</x:v>
      </x:c>
      <x:c r="R1451" s="25" t="str">
        <x:v>Property acquisition or investor activity makes this an operator-capital prospect for the signed trial. Confirm operating-company debt/equity appetite.</x:v>
      </x:c>
      <x:c r="S1451" s="25"/>
      <x:c r="T1451" s="25" t="str">
        <x:v>Ask the owner/investor whether they can allocate $100K-$500K to trial marketing and acquisitions, and confirm structure, timing and decision authority.</x:v>
      </x:c>
      <x:c r="U1451" s="25" t="str">
        <x:v>https://www.cashhomebuyersdirectory.com/cash-home-buyers/ohio/toledo</x:v>
      </x:c>
      <x:c r="V1451" s="26" t="d">
        <x:v>2026-10-02T00:00:00.000Z</x:v>
      </x:c>
      <x:c r="W1451" s="26" t="d">
        <x:v>2026-10-02T00:00:00.000Z</x:v>
      </x:c>
      <x:c r="X1451" s="25" t="str">
        <x:v>CashHomeBuyersDirectory third-party business listing; first-party business activity not checked in this batch</x:v>
      </x:c>
      <x:c r="Y1451" s="25"/>
      <x:c r="Z1451" s="25" t="str">
        <x:v>https://www.cashhomebuyersdirectory.com/cash-home-buyers/ohio/toledo</x:v>
      </x:c>
      <x:c r="AA1451" s="25" t="str">
        <x:v>Public cash-home-buyer directory lists the business name, business phone/website where available and market. Operator role and corporate funding willingness require confirmation.</x:v>
      </x:c>
      <x:c r="AB1451" s="3" t="str">
        <x:v>New public-source collection</x:v>
      </x:c>
      <x:c r="AC1451" s="3" t="str">
        <x:v>unverified</x:v>
      </x:c>
      <x:c r="AD1451" s="3" t="str">
        <x:v>Not contacted / unconfirmed</x:v>
      </x:c>
      <x:c r="AE1451" s="3" t="str">
        <x:v>No</x:v>
      </x:c>
      <x:c r="AF1451" s="3" t="str">
        <x:v>No</x:v>
      </x:c>
      <x:c r="AG1451" s="3"/>
      <x:c r="AH1451" s="3"/>
      <x:c r="AI1451" s="18"/>
      <x:c r="AJ1451" s="3" t="str">
        <x:v>CF2500-5F3F7ECF405F</x:v>
      </x:c>
      <x:c r="AK1451" s="3" t="str">
        <x:v>real_estate_operator</x:v>
      </x:c>
      <x:c r="AL1451" s="19" t="n">
        <x:v>100000</x:v>
      </x:c>
      <x:c r="AM1451" s="19" t="n">
        <x:v>500000</x:v>
      </x:c>
      <x:c r="AN1451" s="3" t="str">
        <x:v>https://www.cashhomebuyersdirectory.com/cash-home-buyers/ohio/toledo</x:v>
      </x:c>
      <x:c r="AO1451" s="3" t="str">
        <x:v>national_rest_directory_complete.jsonl</x:v>
      </x:c>
      <x:c r="AP1451" s="19"/>
    </x:row>
    <x:row r="1452" ht="36" customHeight="1">
      <x:c r="A1452" s="23" t="n">
        <x:v>1451</x:v>
      </x:c>
      <x:c r="B1452" s="15" t="str">
        <x:v>Hayes The Home Buyer</x:v>
      </x:c>
      <x:c r="C1452" s="15"/>
      <x:c r="D1452" s="15" t="str">
        <x:v>Property investor / home-buying operator</x:v>
      </x:c>
      <x:c r="E1452" s="15" t="str">
        <x:v>Property investor / operator inquiry</x:v>
      </x:c>
      <x:c r="F1452" s="17" t="str">
        <x:v>New</x:v>
      </x:c>
      <x:c r="G1452" s="24"/>
      <x:c r="H1452" s="24"/>
      <x:c r="I1452" s="24" t="str">
        <x:v>https://hayes-the-home-buyer.ueniweb.com/?utm_campaign=gmb</x:v>
      </x:c>
      <x:c r="J1452" s="16" t="str">
        <x:v>ND</x:v>
      </x:c>
      <x:c r="K1452" s="16"/>
      <x:c r="L1452" s="16" t="str">
        <x:v>Public property-business route; investor decision maker unconfirmed</x:v>
      </x:c>
      <x:c r="M1452" s="16" t="str">
        <x:v>https://hayes-the-home-buyer.ueniweb.com/?utm_campaign=gmb</x:v>
      </x:c>
      <x:c r="N1452" s="16" t="str">
        <x:v>$100K-$500K ticket not published / unconfirmed</x:v>
      </x:c>
      <x:c r="O1452" s="20"/>
      <x:c r="P1452" s="20"/>
      <x:c r="Q1452" s="25" t="str">
        <x:v>No direct corporate-capital range established in checked source</x:v>
      </x:c>
      <x:c r="R1452" s="25" t="str">
        <x:v>Property acquisition or investor activity makes this an operator-capital prospect for the signed trial. Confirm operating-company debt/equity appetite.</x:v>
      </x:c>
      <x:c r="S1452" s="25"/>
      <x:c r="T1452" s="25" t="str">
        <x:v>Ask the owner/investor whether they can allocate $100K-$500K to trial marketing and acquisitions, and confirm structure, timing and decision authority.</x:v>
      </x:c>
      <x:c r="U1452" s="25" t="str">
        <x:v>https://www.cashhomebuyersdirectory.com/cash-home-buyers/north-dakota/fargo</x:v>
      </x:c>
      <x:c r="V1452" s="26" t="d">
        <x:v>2026-10-02T00:00:00.000Z</x:v>
      </x:c>
      <x:c r="W1452" s="26" t="d">
        <x:v>2026-10-02T00:00:00.000Z</x:v>
      </x:c>
      <x:c r="X1452" s="25" t="str">
        <x:v>CashHomeBuyersDirectory third-party business listing; first-party business activity not checked in this batch</x:v>
      </x:c>
      <x:c r="Y1452" s="25"/>
      <x:c r="Z1452" s="25" t="str">
        <x:v>https://www.cashhomebuyersdirectory.com/cash-home-buyers/north-dakota/fargo</x:v>
      </x:c>
      <x:c r="AA1452" s="25" t="str">
        <x:v>Public cash-home-buyer directory lists the business name, business phone/website where available and market. Operator role and corporate funding willingness require confirmation.</x:v>
      </x:c>
      <x:c r="AB1452" s="3" t="str">
        <x:v>New public-source collection</x:v>
      </x:c>
      <x:c r="AC1452" s="3" t="str">
        <x:v>unverified</x:v>
      </x:c>
      <x:c r="AD1452" s="3" t="str">
        <x:v>Not contacted / unconfirmed</x:v>
      </x:c>
      <x:c r="AE1452" s="3" t="str">
        <x:v>No</x:v>
      </x:c>
      <x:c r="AF1452" s="3" t="str">
        <x:v>No</x:v>
      </x:c>
      <x:c r="AG1452" s="3"/>
      <x:c r="AH1452" s="3"/>
      <x:c r="AI1452" s="18"/>
      <x:c r="AJ1452" s="3" t="str">
        <x:v>CF2500-72D8E4D449E8</x:v>
      </x:c>
      <x:c r="AK1452" s="3" t="str">
        <x:v>real_estate_operator</x:v>
      </x:c>
      <x:c r="AL1452" s="19" t="n">
        <x:v>100000</x:v>
      </x:c>
      <x:c r="AM1452" s="19" t="n">
        <x:v>500000</x:v>
      </x:c>
      <x:c r="AN1452" s="3" t="str">
        <x:v>https://www.cashhomebuyersdirectory.com/cash-home-buyers/north-dakota/fargo</x:v>
      </x:c>
      <x:c r="AO1452" s="3" t="str">
        <x:v>national_rest_directory_complete.jsonl</x:v>
      </x:c>
      <x:c r="AP1452" s="19"/>
    </x:row>
    <x:row r="1453" ht="36" customHeight="1">
      <x:c r="A1453" s="23" t="n">
        <x:v>1452</x:v>
      </x:c>
      <x:c r="B1453" s="15" t="str">
        <x:v>Nelson House Buyers</x:v>
      </x:c>
      <x:c r="C1453" s="15"/>
      <x:c r="D1453" s="15" t="str">
        <x:v>Property investor / home-buying operator</x:v>
      </x:c>
      <x:c r="E1453" s="15" t="str">
        <x:v>Property investor / operator inquiry</x:v>
      </x:c>
      <x:c r="F1453" s="17" t="str">
        <x:v>New</x:v>
      </x:c>
      <x:c r="G1453" s="24"/>
      <x:c r="H1453" s="24"/>
      <x:c r="I1453" s="24" t="str">
        <x:v>http://nelsonhousebuyers.com/</x:v>
      </x:c>
      <x:c r="J1453" s="16" t="str">
        <x:v>NY</x:v>
      </x:c>
      <x:c r="K1453" s="16"/>
      <x:c r="L1453" s="16" t="str">
        <x:v>Public property-business route; investor decision maker unconfirmed</x:v>
      </x:c>
      <x:c r="M1453" s="16" t="str">
        <x:v>http://nelsonhousebuyers.com/</x:v>
      </x:c>
      <x:c r="N1453" s="16" t="str">
        <x:v>$100K-$500K ticket not published / unconfirmed</x:v>
      </x:c>
      <x:c r="O1453" s="20"/>
      <x:c r="P1453" s="20"/>
      <x:c r="Q1453" s="25" t="str">
        <x:v>No direct corporate-capital range established in checked source</x:v>
      </x:c>
      <x:c r="R1453" s="25" t="str">
        <x:v>Property acquisition or investor activity makes this an operator-capital prospect for the signed trial. Confirm operating-company debt/equity appetite.</x:v>
      </x:c>
      <x:c r="S1453" s="25"/>
      <x:c r="T1453" s="25" t="str">
        <x:v>Ask the owner/investor whether they can allocate $100K-$500K to trial marketing and acquisitions, and confirm structure, timing and decision authority.</x:v>
      </x:c>
      <x:c r="U1453" s="25" t="str">
        <x:v>https://www.cashhomebuyersdirectory.com/cash-home-buyers/new-york/rochester</x:v>
      </x:c>
      <x:c r="V1453" s="26" t="d">
        <x:v>2026-10-02T00:00:00.000Z</x:v>
      </x:c>
      <x:c r="W1453" s="26" t="d">
        <x:v>2026-10-02T00:00:00.000Z</x:v>
      </x:c>
      <x:c r="X1453" s="25" t="str">
        <x:v>CashHomeBuyersDirectory third-party business listing; first-party business activity not checked in this batch</x:v>
      </x:c>
      <x:c r="Y1453" s="25"/>
      <x:c r="Z1453" s="25" t="str">
        <x:v>https://www.cashhomebuyersdirectory.com/cash-home-buyers/new-york/rochester</x:v>
      </x:c>
      <x:c r="AA1453" s="25" t="str">
        <x:v>Public cash-home-buyer directory lists the business name, business phone/website where available and market. Operator role and corporate funding willingness require confirmation.</x:v>
      </x:c>
      <x:c r="AB1453" s="3" t="str">
        <x:v>New public-source collection</x:v>
      </x:c>
      <x:c r="AC1453" s="3" t="str">
        <x:v>unverified</x:v>
      </x:c>
      <x:c r="AD1453" s="3" t="str">
        <x:v>Not contacted / unconfirmed</x:v>
      </x:c>
      <x:c r="AE1453" s="3" t="str">
        <x:v>No</x:v>
      </x:c>
      <x:c r="AF1453" s="3" t="str">
        <x:v>No</x:v>
      </x:c>
      <x:c r="AG1453" s="3"/>
      <x:c r="AH1453" s="3"/>
      <x:c r="AI1453" s="18"/>
      <x:c r="AJ1453" s="3" t="str">
        <x:v>CF2500-702AE53E1ABC</x:v>
      </x:c>
      <x:c r="AK1453" s="3" t="str">
        <x:v>real_estate_operator</x:v>
      </x:c>
      <x:c r="AL1453" s="19" t="n">
        <x:v>100000</x:v>
      </x:c>
      <x:c r="AM1453" s="19" t="n">
        <x:v>500000</x:v>
      </x:c>
      <x:c r="AN1453" s="3" t="str">
        <x:v>https://www.cashhomebuyersdirectory.com/cash-home-buyers/new-york/rochester</x:v>
      </x:c>
      <x:c r="AO1453" s="3" t="str">
        <x:v>national_rest_directory_complete.jsonl</x:v>
      </x:c>
      <x:c r="AP1453" s="19"/>
    </x:row>
    <x:row r="1454" ht="36" customHeight="1">
      <x:c r="A1454" s="23" t="n">
        <x:v>1453</x:v>
      </x:c>
      <x:c r="B1454" s="15" t="str">
        <x:v>We Buy Houses in Fresno</x:v>
      </x:c>
      <x:c r="C1454" s="15"/>
      <x:c r="D1454" s="15" t="str">
        <x:v>Property investor / home-buying operator</x:v>
      </x:c>
      <x:c r="E1454" s="15" t="str">
        <x:v>Property investor / operator inquiry</x:v>
      </x:c>
      <x:c r="F1454" s="17" t="str">
        <x:v>New</x:v>
      </x:c>
      <x:c r="G1454" s="24"/>
      <x:c r="H1454" s="24"/>
      <x:c r="I1454" s="24" t="str">
        <x:v>http://www.webuyhousesinfresno.com/</x:v>
      </x:c>
      <x:c r="J1454" s="16" t="str">
        <x:v>CA</x:v>
      </x:c>
      <x:c r="K1454" s="16" t="str">
        <x:v>Fresno</x:v>
      </x:c>
      <x:c r="L1454" s="16" t="str">
        <x:v>Public property-business route; investor decision maker unconfirmed</x:v>
      </x:c>
      <x:c r="M1454" s="16" t="str">
        <x:v>http://www.webuyhousesinfresno.com/</x:v>
      </x:c>
      <x:c r="N1454" s="16" t="str">
        <x:v>$100K-$500K ticket not published / unconfirmed</x:v>
      </x:c>
      <x:c r="O1454" s="20"/>
      <x:c r="P1454" s="20"/>
      <x:c r="Q1454" s="25" t="str">
        <x:v>No direct corporate-capital range established in checked source</x:v>
      </x:c>
      <x:c r="R1454" s="25" t="str">
        <x:v>Property acquisition or investor activity makes this an operator-capital prospect for the signed trial. Confirm operating-company debt/equity appetite.</x:v>
      </x:c>
      <x:c r="S1454" s="25"/>
      <x:c r="T1454" s="25" t="str">
        <x:v>Ask the owner/investor whether they can allocate $100K-$500K to trial marketing and acquisitions, and confirm structure, timing and decision authority.</x:v>
      </x:c>
      <x:c r="U1454" s="25" t="str">
        <x:v>https://www.cashhomebuyersdirectory.com/cash-home-buyers/california/fresno</x:v>
      </x:c>
      <x:c r="V1454" s="26" t="d">
        <x:v>2026-10-02T00:00:00.000Z</x:v>
      </x:c>
      <x:c r="W1454" s="26" t="d">
        <x:v>2026-10-02T00:00:00.000Z</x:v>
      </x:c>
      <x:c r="X1454" s="25" t="str">
        <x:v>CashHomeBuyersDirectory third-party business listing; first-party business activity not checked in this batch</x:v>
      </x:c>
      <x:c r="Y1454" s="25"/>
      <x:c r="Z1454" s="25" t="str">
        <x:v>https://www.cashhomebuyersdirectory.com/cash-home-buyers/california/fresno</x:v>
      </x:c>
      <x:c r="AA1454" s="25" t="str">
        <x:v>Public cash-home-buyer directory lists the business name, business phone/website where available and market. Operator role and corporate funding willingness require confirmation.</x:v>
      </x:c>
      <x:c r="AB1454" s="3" t="str">
        <x:v>New public-source collection</x:v>
      </x:c>
      <x:c r="AC1454" s="3" t="str">
        <x:v>unverified</x:v>
      </x:c>
      <x:c r="AD1454" s="3" t="str">
        <x:v>Not contacted / unconfirmed</x:v>
      </x:c>
      <x:c r="AE1454" s="3" t="str">
        <x:v>No</x:v>
      </x:c>
      <x:c r="AF1454" s="3" t="str">
        <x:v>No</x:v>
      </x:c>
      <x:c r="AG1454" s="3"/>
      <x:c r="AH1454" s="3"/>
      <x:c r="AI1454" s="18"/>
      <x:c r="AJ1454" s="3" t="str">
        <x:v>CF2500-66B95F3BC15F</x:v>
      </x:c>
      <x:c r="AK1454" s="3" t="str">
        <x:v>real_estate_operator</x:v>
      </x:c>
      <x:c r="AL1454" s="19" t="n">
        <x:v>100000</x:v>
      </x:c>
      <x:c r="AM1454" s="19" t="n">
        <x:v>500000</x:v>
      </x:c>
      <x:c r="AN1454" s="3" t="str">
        <x:v>https://www.cashhomebuyersdirectory.com/cash-home-buyers/california/fresno</x:v>
      </x:c>
      <x:c r="AO1454" s="3" t="str">
        <x:v>national_rest_directory_complete.jsonl</x:v>
      </x:c>
      <x:c r="AP1454" s="19"/>
    </x:row>
    <x:row r="1455" ht="36" customHeight="1">
      <x:c r="A1455" s="23" t="n">
        <x:v>1454</x:v>
      </x:c>
      <x:c r="B1455" s="15" t="str">
        <x:v>Brock Capital Group</x:v>
      </x:c>
      <x:c r="C1455" s="15"/>
      <x:c r="D1455" s="15" t="str">
        <x:v>Family office / private operating-company capital prospect</x:v>
      </x:c>
      <x:c r="E1455" s="15" t="str">
        <x:v>Private operating-company capital inquiry</x:v>
      </x:c>
      <x:c r="F1455" s="17" t="str">
        <x:v>New</x:v>
      </x:c>
      <x:c r="G1455" s="24" t="str">
        <x:v>info@brockcapital.com</x:v>
      </x:c>
      <x:c r="H1455" s="24" t="str">
        <x:v>+12122093000</x:v>
      </x:c>
      <x:c r="I1455" s="24" t="str">
        <x:v>https://brockcapital.com/</x:v>
      </x:c>
      <x:c r="J1455" s="16"/>
      <x:c r="K1455" s="16"/>
      <x:c r="L1455" s="16" t="str">
        <x:v>firm_business_routing</x:v>
      </x:c>
      <x:c r="M1455" s="16" t="str">
        <x:v>https://brockcapital.com/contact-us/</x:v>
      </x:c>
      <x:c r="N1455" s="16" t="str">
        <x:v>$100K-$500K ticket not published / unconfirmed</x:v>
      </x:c>
      <x:c r="O1455" s="20"/>
      <x:c r="P1455" s="20"/>
      <x:c r="Q1455" s="25" t="str">
        <x:v>No $100K-$500K direct check mandate verified from the directory</x:v>
      </x:c>
      <x:c r="R1455" s="25" t="str">
        <x:v>Listed in Axial business-services family-office investor directory; operating-company capital is relevant for qualification.</x:v>
      </x:c>
      <x:c r="S1455" s="25" t="str">
        <x:v>Requested $100K-$500K ticket, minority ownership, trial execution funding, current allocation and eligibility need qualification. Many listed firms focus on acquisitions or larger established companies.</x:v>
      </x:c>
      <x:c r="T1455" s="25" t="str">
        <x:v>Qualify $100K-$500K company-level trial funding, structure, investment interest and actual contact decision-maker before outreach.</x:v>
      </x:c>
      <x:c r="U1455" s="25" t="str">
        <x:v>https://www.axial.net/company/brock-capital-group
https://www.axial.net/forum/companies/united-states-family-offices/7/
https://www.axial.net/forum/companies/business-services-family-offices/7/
https://brockcapital.com/contact-us/</x:v>
      </x:c>
      <x:c r="V1455" s="26" t="d">
        <x:v>2026-10-02T00:00:00.000Z</x:v>
      </x:c>
      <x:c r="W1455" s="26" t="d">
        <x:v>2026-10-02T00:00:00.000Z</x:v>
      </x:c>
      <x:c r="X1455" s="25" t="str">
        <x:v>Public family-office investor directory; official website checked where recorded. Published direct email/phone recorded only when observed; website-only routes need contact qualification.</x:v>
      </x:c>
      <x:c r="Y1455" s="25" t="str">
        <x:v>https://www.axial.net/company/brock-capital-group</x:v>
      </x:c>
      <x:c r="Z1455" s="25" t="str">
        <x:v>https://www.axial.net/company/brock-capital-group</x:v>
      </x:c>
      <x:c r="AA1455" s="25" t="str">
        <x:v>Public investor organization listing; contact fields copied from official public sources where available.</x:v>
      </x:c>
      <x:c r="AB1455" s="3" t="str">
        <x:v>New public-source collection</x:v>
      </x:c>
      <x:c r="AC1455" s="3" t="str">
        <x:v>unverified</x:v>
      </x:c>
      <x:c r="AD1455" s="3" t="str">
        <x:v>Not contacted / unconfirmed</x:v>
      </x:c>
      <x:c r="AE1455" s="3" t="str">
        <x:v>No</x:v>
      </x:c>
      <x:c r="AF1455" s="3" t="str">
        <x:v>Yes</x:v>
      </x:c>
      <x:c r="AG1455" s="3"/>
      <x:c r="AH1455" s="3"/>
      <x:c r="AI1455" s="18"/>
      <x:c r="AJ1455" s="3" t="str">
        <x:v>CF2500-83357E26BC99</x:v>
      </x:c>
      <x:c r="AK1455" s="3" t="str">
        <x:v>Family office / private operating-company investor</x:v>
      </x:c>
      <x:c r="AL1455" s="19" t="n">
        <x:v>100000</x:v>
      </x:c>
      <x:c r="AM1455" s="19" t="n">
        <x:v>500000</x:v>
      </x:c>
      <x:c r="AN1455" s="3" t="str">
        <x:v>https://www.axial.net/company/brock-capital-group</x:v>
      </x:c>
      <x:c r="AO1455" s="3" t="str">
        <x:v>broad_equity_new.jsonl</x:v>
      </x:c>
      <x:c r="AP1455" s="19"/>
    </x:row>
    <x:row r="1456" ht="36" customHeight="1">
      <x:c r="A1456" s="23" t="n">
        <x:v>1455</x:v>
      </x:c>
      <x:c r="B1456" s="15" t="str">
        <x:v>Critical Services Group</x:v>
      </x:c>
      <x:c r="C1456" s="15"/>
      <x:c r="D1456" s="15" t="str">
        <x:v>Family office / private operating-company capital prospect</x:v>
      </x:c>
      <x:c r="E1456" s="15" t="str">
        <x:v>Private operating-company capital inquiry</x:v>
      </x:c>
      <x:c r="F1456" s="17" t="str">
        <x:v>New</x:v>
      </x:c>
      <x:c r="G1456" s="24" t="str">
        <x:v>info@critical-services-group.com</x:v>
      </x:c>
      <x:c r="H1456" s="24" t="str">
        <x:v>+16173137115</x:v>
      </x:c>
      <x:c r="I1456" s="24" t="str">
        <x:v>https://www.critical-services-group.com/</x:v>
      </x:c>
      <x:c r="J1456" s="16"/>
      <x:c r="K1456" s="16"/>
      <x:c r="L1456" s="16" t="str">
        <x:v>firm_business_routing</x:v>
      </x:c>
      <x:c r="M1456" s="16" t="str">
        <x:v>https://www.critical-services-group.com/</x:v>
      </x:c>
      <x:c r="N1456" s="16" t="str">
        <x:v>$100K-$500K ticket not published / unconfirmed</x:v>
      </x:c>
      <x:c r="O1456" s="20"/>
      <x:c r="P1456" s="20"/>
      <x:c r="Q1456" s="25" t="str">
        <x:v>No $100K-$500K direct check mandate verified from the directory</x:v>
      </x:c>
      <x:c r="R1456" s="25" t="str">
        <x:v>Listed in Axial business-services family-office investor directory; operating-company capital is relevant for qualification.</x:v>
      </x:c>
      <x:c r="S1456" s="25" t="str">
        <x:v>Requested $100K-$500K ticket, minority ownership, trial execution funding, current allocation and eligibility need qualification. Many listed firms focus on acquisitions or larger established companies.</x:v>
      </x:c>
      <x:c r="T1456" s="25" t="str">
        <x:v>Qualify $100K-$500K company-level trial funding, structure, investment interest and actual contact decision-maker before outreach.</x:v>
      </x:c>
      <x:c r="U1456" s="25" t="str">
        <x:v>https://www.axial.net/company/compounding-labs-llc
https://www.axial.net/forum/companies/united-states-family-offices/2/
https://www.axial.net/forum/companies/business-services-family-offices/2/
https://www.critical-services-group.com/</x:v>
      </x:c>
      <x:c r="V1456" s="26" t="d">
        <x:v>2026-10-02T00:00:00.000Z</x:v>
      </x:c>
      <x:c r="W1456" s="26" t="d">
        <x:v>2026-10-02T00:00:00.000Z</x:v>
      </x:c>
      <x:c r="X1456" s="25" t="str">
        <x:v>Public family-office investor directory; official website checked where recorded. Published direct email/phone recorded only when observed; website-only routes need contact qualification.</x:v>
      </x:c>
      <x:c r="Y1456" s="25" t="str">
        <x:v>https://www.axial.net/company/compounding-labs-llc</x:v>
      </x:c>
      <x:c r="Z1456" s="25" t="str">
        <x:v>https://www.axial.net/company/compounding-labs-llc</x:v>
      </x:c>
      <x:c r="AA1456" s="25" t="str">
        <x:v>Public investor organization listing; contact fields copied from official public sources where available.</x:v>
      </x:c>
      <x:c r="AB1456" s="3" t="str">
        <x:v>New public-source collection</x:v>
      </x:c>
      <x:c r="AC1456" s="3" t="str">
        <x:v>unverified</x:v>
      </x:c>
      <x:c r="AD1456" s="3" t="str">
        <x:v>Not contacted / unconfirmed</x:v>
      </x:c>
      <x:c r="AE1456" s="3" t="str">
        <x:v>No</x:v>
      </x:c>
      <x:c r="AF1456" s="3" t="str">
        <x:v>Yes</x:v>
      </x:c>
      <x:c r="AG1456" s="3"/>
      <x:c r="AH1456" s="3"/>
      <x:c r="AI1456" s="18"/>
      <x:c r="AJ1456" s="3" t="str">
        <x:v>CF2500-345C635FF651</x:v>
      </x:c>
      <x:c r="AK1456" s="3" t="str">
        <x:v>Family office / private operating-company investor</x:v>
      </x:c>
      <x:c r="AL1456" s="19" t="n">
        <x:v>100000</x:v>
      </x:c>
      <x:c r="AM1456" s="19" t="n">
        <x:v>500000</x:v>
      </x:c>
      <x:c r="AN1456" s="3" t="str">
        <x:v>https://www.axial.net/company/compounding-labs-llc</x:v>
      </x:c>
      <x:c r="AO1456" s="3" t="str">
        <x:v>broad_equity_new.jsonl</x:v>
      </x:c>
      <x:c r="AP1456" s="19"/>
    </x:row>
    <x:row r="1457" ht="36" customHeight="1">
      <x:c r="A1457" s="23" t="n">
        <x:v>1456</x:v>
      </x:c>
      <x:c r="B1457" s="15" t="str">
        <x:v>Culbro, LLC</x:v>
      </x:c>
      <x:c r="C1457" s="15"/>
      <x:c r="D1457" s="15" t="str">
        <x:v>Family office / private operating-company capital prospect</x:v>
      </x:c>
      <x:c r="E1457" s="15" t="str">
        <x:v>Private operating-company capital inquiry</x:v>
      </x:c>
      <x:c r="F1457" s="17" t="str">
        <x:v>New</x:v>
      </x:c>
      <x:c r="G1457" s="24" t="str">
        <x:v>info@culbro.com</x:v>
      </x:c>
      <x:c r="H1457" s="24" t="str">
        <x:v>+16464619270</x:v>
      </x:c>
      <x:c r="I1457" s="24" t="str">
        <x:v>https://www.culbro.com/</x:v>
      </x:c>
      <x:c r="J1457" s="16"/>
      <x:c r="K1457" s="16"/>
      <x:c r="L1457" s="16" t="str">
        <x:v>firm_business_routing</x:v>
      </x:c>
      <x:c r="M1457" s="16" t="str">
        <x:v>https://www.culbro.com/</x:v>
      </x:c>
      <x:c r="N1457" s="16" t="str">
        <x:v>$100K-$500K ticket not published / unconfirmed</x:v>
      </x:c>
      <x:c r="O1457" s="20"/>
      <x:c r="P1457" s="20"/>
      <x:c r="Q1457" s="25" t="str">
        <x:v>No $100K-$500K direct check mandate verified from the directory</x:v>
      </x:c>
      <x:c r="R1457" s="25" t="str">
        <x:v>Listed in Axial US family-office investor directory; qualify sector and company-level capital interest.</x:v>
      </x:c>
      <x:c r="S1457" s="25" t="str">
        <x:v>Requested $100K-$500K ticket, minority ownership, trial execution funding, current allocation and eligibility need qualification. Many listed firms focus on acquisitions or larger established companies.</x:v>
      </x:c>
      <x:c r="T1457" s="25" t="str">
        <x:v>Qualify $100K-$500K company-level trial funding, structure, investment interest and actual contact decision-maker before outreach.</x:v>
      </x:c>
      <x:c r="U1457" s="25" t="str">
        <x:v>https://www.axial.net/company/culbro-llc2
https://www.axial.net/forum/companies/united-states-family-offices/10/
https://www.culbro.com/</x:v>
      </x:c>
      <x:c r="V1457" s="26" t="d">
        <x:v>2026-10-02T00:00:00.000Z</x:v>
      </x:c>
      <x:c r="W1457" s="26" t="d">
        <x:v>2026-10-02T00:00:00.000Z</x:v>
      </x:c>
      <x:c r="X1457" s="25" t="str">
        <x:v>Public family-office investor directory; official website checked where recorded. Published direct email/phone recorded only when observed; website-only routes need contact qualification.</x:v>
      </x:c>
      <x:c r="Y1457" s="25" t="str">
        <x:v>https://www.axial.net/company/culbro-llc2</x:v>
      </x:c>
      <x:c r="Z1457" s="25" t="str">
        <x:v>https://www.axial.net/company/culbro-llc2</x:v>
      </x:c>
      <x:c r="AA1457" s="25" t="str">
        <x:v>Public investor organization listing; contact fields copied from official public sources where available.</x:v>
      </x:c>
      <x:c r="AB1457" s="3" t="str">
        <x:v>New public-source collection</x:v>
      </x:c>
      <x:c r="AC1457" s="3" t="str">
        <x:v>unverified</x:v>
      </x:c>
      <x:c r="AD1457" s="3" t="str">
        <x:v>Not contacted / unconfirmed</x:v>
      </x:c>
      <x:c r="AE1457" s="3" t="str">
        <x:v>No</x:v>
      </x:c>
      <x:c r="AF1457" s="3" t="str">
        <x:v>Yes</x:v>
      </x:c>
      <x:c r="AG1457" s="3"/>
      <x:c r="AH1457" s="3"/>
      <x:c r="AI1457" s="18"/>
      <x:c r="AJ1457" s="3" t="str">
        <x:v>CF2500-18D979DFFB28</x:v>
      </x:c>
      <x:c r="AK1457" s="3" t="str">
        <x:v>Family office / private operating-company investor</x:v>
      </x:c>
      <x:c r="AL1457" s="19" t="n">
        <x:v>100000</x:v>
      </x:c>
      <x:c r="AM1457" s="19" t="n">
        <x:v>500000</x:v>
      </x:c>
      <x:c r="AN1457" s="3" t="str">
        <x:v>https://www.axial.net/company/culbro-llc2</x:v>
      </x:c>
      <x:c r="AO1457" s="3" t="str">
        <x:v>broad_equity_new.jsonl</x:v>
      </x:c>
      <x:c r="AP1457" s="19"/>
    </x:row>
    <x:row r="1458" ht="36" customHeight="1">
      <x:c r="A1458" s="23" t="n">
        <x:v>1457</x:v>
      </x:c>
      <x:c r="B1458" s="15" t="str">
        <x:v>Danbro Properties</x:v>
      </x:c>
      <x:c r="C1458" s="15"/>
      <x:c r="D1458" s="15" t="str">
        <x:v>Family office / private operating-company capital prospect</x:v>
      </x:c>
      <x:c r="E1458" s="15" t="str">
        <x:v>Private operating-company capital inquiry</x:v>
      </x:c>
      <x:c r="F1458" s="17" t="str">
        <x:v>New</x:v>
      </x:c>
      <x:c r="G1458" s="24" t="str">
        <x:v>info@danbroproperties.com</x:v>
      </x:c>
      <x:c r="H1458" s="24" t="str">
        <x:v>+19737312010</x:v>
      </x:c>
      <x:c r="I1458" s="24" t="str">
        <x:v>https://www.danbroproperties.com/</x:v>
      </x:c>
      <x:c r="J1458" s="16"/>
      <x:c r="K1458" s="16"/>
      <x:c r="L1458" s="16" t="str">
        <x:v>firm_business_routing</x:v>
      </x:c>
      <x:c r="M1458" s="16" t="str">
        <x:v>https://www.danbroproperties.com/contact</x:v>
      </x:c>
      <x:c r="N1458" s="16" t="str">
        <x:v>$100K-$500K ticket not published / unconfirmed</x:v>
      </x:c>
      <x:c r="O1458" s="20"/>
      <x:c r="P1458" s="20"/>
      <x:c r="Q1458" s="25" t="str">
        <x:v>No $100K-$500K direct check mandate verified from the directory</x:v>
      </x:c>
      <x:c r="R1458" s="25" t="str">
        <x:v>Listed in Axial business-services family-office investor directory; operating-company capital is relevant for qualification.</x:v>
      </x:c>
      <x:c r="S1458" s="25" t="str">
        <x:v>Requested $100K-$500K ticket, minority ownership, trial execution funding, current allocation and eligibility need qualification. Many listed firms focus on acquisitions or larger established companies.</x:v>
      </x:c>
      <x:c r="T1458" s="25" t="str">
        <x:v>Qualify $100K-$500K company-level trial funding, structure, investment interest and actual contact decision-maker before outreach.</x:v>
      </x:c>
      <x:c r="U1458" s="25" t="str">
        <x:v>https://www.axial.net/company/danbro-properties
https://www.axial.net/forum/companies/united-states-family-offices/12/
https://www.axial.net/forum/companies/business-services-family-offices/10/
https://www.danbroproperties.com/contact</x:v>
      </x:c>
      <x:c r="V1458" s="26" t="d">
        <x:v>2026-10-02T00:00:00.000Z</x:v>
      </x:c>
      <x:c r="W1458" s="26" t="d">
        <x:v>2026-10-02T00:00:00.000Z</x:v>
      </x:c>
      <x:c r="X1458" s="25" t="str">
        <x:v>Public family-office investor directory; official website checked where recorded. Published direct email/phone recorded only when observed; website-only routes need contact qualification.</x:v>
      </x:c>
      <x:c r="Y1458" s="25" t="str">
        <x:v>https://www.axial.net/company/danbro-properties</x:v>
      </x:c>
      <x:c r="Z1458" s="25" t="str">
        <x:v>https://www.axial.net/company/danbro-properties</x:v>
      </x:c>
      <x:c r="AA1458" s="25" t="str">
        <x:v>Public investor organization listing; contact fields copied from official public sources where available.</x:v>
      </x:c>
      <x:c r="AB1458" s="3" t="str">
        <x:v>New public-source collection</x:v>
      </x:c>
      <x:c r="AC1458" s="3" t="str">
        <x:v>unverified</x:v>
      </x:c>
      <x:c r="AD1458" s="3" t="str">
        <x:v>Not contacted / unconfirmed</x:v>
      </x:c>
      <x:c r="AE1458" s="3" t="str">
        <x:v>No</x:v>
      </x:c>
      <x:c r="AF1458" s="3" t="str">
        <x:v>Yes</x:v>
      </x:c>
      <x:c r="AG1458" s="3"/>
      <x:c r="AH1458" s="3"/>
      <x:c r="AI1458" s="18"/>
      <x:c r="AJ1458" s="3" t="str">
        <x:v>CF2500-AA2DA311EAE6</x:v>
      </x:c>
      <x:c r="AK1458" s="3" t="str">
        <x:v>Family office / private operating-company investor</x:v>
      </x:c>
      <x:c r="AL1458" s="19" t="n">
        <x:v>100000</x:v>
      </x:c>
      <x:c r="AM1458" s="19" t="n">
        <x:v>500000</x:v>
      </x:c>
      <x:c r="AN1458" s="3" t="str">
        <x:v>https://www.axial.net/company/danbro-properties</x:v>
      </x:c>
      <x:c r="AO1458" s="3" t="str">
        <x:v>broad_equity_new.jsonl</x:v>
      </x:c>
      <x:c r="AP1458" s="19"/>
    </x:row>
    <x:row r="1459" ht="36" customHeight="1">
      <x:c r="A1459" s="23" t="n">
        <x:v>1458</x:v>
      </x:c>
      <x:c r="B1459" s="15" t="str">
        <x:v>Emles Advisors LLC</x:v>
      </x:c>
      <x:c r="C1459" s="15"/>
      <x:c r="D1459" s="15" t="str">
        <x:v>Family office / private operating-company capital prospect</x:v>
      </x:c>
      <x:c r="E1459" s="15" t="str">
        <x:v>Private operating-company capital inquiry</x:v>
      </x:c>
      <x:c r="F1459" s="17" t="str">
        <x:v>New</x:v>
      </x:c>
      <x:c r="G1459" s="24" t="str">
        <x:v>info@emles.com</x:v>
      </x:c>
      <x:c r="H1459" s="24" t="str">
        <x:v>+18336732661</x:v>
      </x:c>
      <x:c r="I1459" s="24" t="str">
        <x:v>https://emles.com/</x:v>
      </x:c>
      <x:c r="J1459" s="16"/>
      <x:c r="K1459" s="16"/>
      <x:c r="L1459" s="16" t="str">
        <x:v>firm_business_routing</x:v>
      </x:c>
      <x:c r="M1459" s="16" t="str">
        <x:v>https://emles.com/terms-of-use/</x:v>
      </x:c>
      <x:c r="N1459" s="16" t="str">
        <x:v>$100K-$500K ticket not published / unconfirmed</x:v>
      </x:c>
      <x:c r="O1459" s="20"/>
      <x:c r="P1459" s="20"/>
      <x:c r="Q1459" s="25" t="str">
        <x:v>No $100K-$500K direct check mandate verified from the directory</x:v>
      </x:c>
      <x:c r="R1459" s="25" t="str">
        <x:v>Listed in Axial US family-office investor directory; qualify sector and company-level capital interest.</x:v>
      </x:c>
      <x:c r="S1459" s="25" t="str">
        <x:v>Requested $100K-$500K ticket, minority ownership, trial execution funding, current allocation and eligibility need qualification. Many listed firms focus on acquisitions or larger established companies.</x:v>
      </x:c>
      <x:c r="T1459" s="25" t="str">
        <x:v>Qualify $100K-$500K company-level trial funding, structure, investment interest and actual contact decision-maker before outreach.</x:v>
      </x:c>
      <x:c r="U1459" s="25" t="str">
        <x:v>https://www.axial.net/company/emles-advisors-llc
https://www.axial.net/forum/companies/united-states-family-offices/10/
https://emles.com/terms-of-use/</x:v>
      </x:c>
      <x:c r="V1459" s="26" t="d">
        <x:v>2026-10-02T00:00:00.000Z</x:v>
      </x:c>
      <x:c r="W1459" s="26" t="d">
        <x:v>2026-10-02T00:00:00.000Z</x:v>
      </x:c>
      <x:c r="X1459" s="25" t="str">
        <x:v>Public family-office investor directory; official website checked where recorded. Published direct email/phone recorded only when observed; website-only routes need contact qualification.</x:v>
      </x:c>
      <x:c r="Y1459" s="25" t="str">
        <x:v>https://www.axial.net/company/emles-advisors-llc</x:v>
      </x:c>
      <x:c r="Z1459" s="25" t="str">
        <x:v>https://www.axial.net/company/emles-advisors-llc</x:v>
      </x:c>
      <x:c r="AA1459" s="25" t="str">
        <x:v>Public investor organization listing; contact fields copied from official public sources where available.</x:v>
      </x:c>
      <x:c r="AB1459" s="3" t="str">
        <x:v>New public-source collection</x:v>
      </x:c>
      <x:c r="AC1459" s="3" t="str">
        <x:v>unverified</x:v>
      </x:c>
      <x:c r="AD1459" s="3" t="str">
        <x:v>Not contacted / unconfirmed</x:v>
      </x:c>
      <x:c r="AE1459" s="3" t="str">
        <x:v>No</x:v>
      </x:c>
      <x:c r="AF1459" s="3" t="str">
        <x:v>Yes</x:v>
      </x:c>
      <x:c r="AG1459" s="3"/>
      <x:c r="AH1459" s="3"/>
      <x:c r="AI1459" s="18"/>
      <x:c r="AJ1459" s="3" t="str">
        <x:v>CF2500-6962F1CEAE4B</x:v>
      </x:c>
      <x:c r="AK1459" s="3" t="str">
        <x:v>Family office / private operating-company investor</x:v>
      </x:c>
      <x:c r="AL1459" s="19" t="n">
        <x:v>100000</x:v>
      </x:c>
      <x:c r="AM1459" s="19" t="n">
        <x:v>500000</x:v>
      </x:c>
      <x:c r="AN1459" s="3" t="str">
        <x:v>https://www.axial.net/company/emles-advisors-llc</x:v>
      </x:c>
      <x:c r="AO1459" s="3" t="str">
        <x:v>broad_equity_new.jsonl</x:v>
      </x:c>
      <x:c r="AP1459" s="19"/>
    </x:row>
    <x:row r="1460" ht="36" customHeight="1">
      <x:c r="A1460" s="23" t="n">
        <x:v>1459</x:v>
      </x:c>
      <x:c r="B1460" s="15" t="str">
        <x:v>Falcon Affiliates</x:v>
      </x:c>
      <x:c r="C1460" s="15"/>
      <x:c r="D1460" s="15" t="str">
        <x:v>Family office / private operating-company capital prospect</x:v>
      </x:c>
      <x:c r="E1460" s="15" t="str">
        <x:v>Private operating-company capital inquiry</x:v>
      </x:c>
      <x:c r="F1460" s="17" t="str">
        <x:v>New</x:v>
      </x:c>
      <x:c r="G1460" s="24" t="str">
        <x:v>info@falconaffiliates.com</x:v>
      </x:c>
      <x:c r="H1460" s="24" t="str">
        <x:v>+18047161785</x:v>
      </x:c>
      <x:c r="I1460" s="24" t="str">
        <x:v>https://falconaffiliates.com/</x:v>
      </x:c>
      <x:c r="J1460" s="16"/>
      <x:c r="K1460" s="16"/>
      <x:c r="L1460" s="16" t="str">
        <x:v>firm_business_routing</x:v>
      </x:c>
      <x:c r="M1460" s="16" t="str">
        <x:v>https://falconaffiliates.com/</x:v>
      </x:c>
      <x:c r="N1460" s="16" t="str">
        <x:v>$100K-$500K ticket not published / unconfirmed</x:v>
      </x:c>
      <x:c r="O1460" s="20"/>
      <x:c r="P1460" s="20"/>
      <x:c r="Q1460" s="25" t="str">
        <x:v>No $100K-$500K direct check mandate verified from the directory</x:v>
      </x:c>
      <x:c r="R1460" s="25" t="str">
        <x:v>Listed in Axial US family-office investor directory; qualify sector and company-level capital interest.</x:v>
      </x:c>
      <x:c r="S1460" s="25" t="str">
        <x:v>Requested $100K-$500K ticket, minority ownership, trial execution funding, current allocation and eligibility need qualification. Many listed firms focus on acquisitions or larger established companies.</x:v>
      </x:c>
      <x:c r="T1460" s="25" t="str">
        <x:v>Qualify $100K-$500K company-level trial funding, structure, investment interest and actual contact decision-maker before outreach.</x:v>
      </x:c>
      <x:c r="U1460" s="25" t="str">
        <x:v>https://www.axial.net/company/falcon-affiliates1
https://www.axial.net/forum/companies/united-states-family-offices/6/
https://falconaffiliates.com/</x:v>
      </x:c>
      <x:c r="V1460" s="26" t="d">
        <x:v>2026-10-02T00:00:00.000Z</x:v>
      </x:c>
      <x:c r="W1460" s="26" t="d">
        <x:v>2026-10-02T00:00:00.000Z</x:v>
      </x:c>
      <x:c r="X1460" s="25" t="str">
        <x:v>Public family-office investor directory; official website checked where recorded. Published direct email/phone recorded only when observed; website-only routes need contact qualification.</x:v>
      </x:c>
      <x:c r="Y1460" s="25" t="str">
        <x:v>https://www.axial.net/company/falcon-affiliates1</x:v>
      </x:c>
      <x:c r="Z1460" s="25" t="str">
        <x:v>https://www.axial.net/company/falcon-affiliates1</x:v>
      </x:c>
      <x:c r="AA1460" s="25" t="str">
        <x:v>Public investor organization listing; contact fields copied from official public sources where available.</x:v>
      </x:c>
      <x:c r="AB1460" s="3" t="str">
        <x:v>New public-source collection</x:v>
      </x:c>
      <x:c r="AC1460" s="3" t="str">
        <x:v>unverified</x:v>
      </x:c>
      <x:c r="AD1460" s="3" t="str">
        <x:v>Not contacted / unconfirmed</x:v>
      </x:c>
      <x:c r="AE1460" s="3" t="str">
        <x:v>No</x:v>
      </x:c>
      <x:c r="AF1460" s="3" t="str">
        <x:v>Yes</x:v>
      </x:c>
      <x:c r="AG1460" s="3"/>
      <x:c r="AH1460" s="3"/>
      <x:c r="AI1460" s="18"/>
      <x:c r="AJ1460" s="3" t="str">
        <x:v>CF2500-C8734F7E22CD</x:v>
      </x:c>
      <x:c r="AK1460" s="3" t="str">
        <x:v>Family office / private operating-company investor</x:v>
      </x:c>
      <x:c r="AL1460" s="19" t="n">
        <x:v>100000</x:v>
      </x:c>
      <x:c r="AM1460" s="19" t="n">
        <x:v>500000</x:v>
      </x:c>
      <x:c r="AN1460" s="3" t="str">
        <x:v>https://www.axial.net/company/falcon-affiliates1</x:v>
      </x:c>
      <x:c r="AO1460" s="3" t="str">
        <x:v>broad_equity_new.jsonl</x:v>
      </x:c>
      <x:c r="AP1460" s="19"/>
    </x:row>
    <x:row r="1461" ht="36" customHeight="1">
      <x:c r="A1461" s="23" t="n">
        <x:v>1460</x:v>
      </x:c>
      <x:c r="B1461" s="15" t="str">
        <x:v>First Haven Capital</x:v>
      </x:c>
      <x:c r="C1461" s="15"/>
      <x:c r="D1461" s="15" t="str">
        <x:v>Family office / private operating-company capital prospect</x:v>
      </x:c>
      <x:c r="E1461" s="15" t="str">
        <x:v>Private operating-company capital inquiry</x:v>
      </x:c>
      <x:c r="F1461" s="17" t="str">
        <x:v>New</x:v>
      </x:c>
      <x:c r="G1461" s="24" t="str">
        <x:v>info@firsthaven.com</x:v>
      </x:c>
      <x:c r="H1461" s="24" t="str">
        <x:v>+12125543250</x:v>
      </x:c>
      <x:c r="I1461" s="24" t="str">
        <x:v>https://firsthaven.com/</x:v>
      </x:c>
      <x:c r="J1461" s="16"/>
      <x:c r="K1461" s="16"/>
      <x:c r="L1461" s="16" t="str">
        <x:v>firm_business_routing</x:v>
      </x:c>
      <x:c r="M1461" s="16" t="str">
        <x:v>https://firsthaven.com/contact</x:v>
      </x:c>
      <x:c r="N1461" s="16" t="str">
        <x:v>$100K-$500K ticket not published / unconfirmed</x:v>
      </x:c>
      <x:c r="O1461" s="20"/>
      <x:c r="P1461" s="20"/>
      <x:c r="Q1461" s="25" t="str">
        <x:v>No $100K-$500K direct check mandate verified from the directory</x:v>
      </x:c>
      <x:c r="R1461" s="25" t="str">
        <x:v>Listed in Axial business-services family-office investor directory; operating-company capital is relevant for qualification.</x:v>
      </x:c>
      <x:c r="S1461" s="25" t="str">
        <x:v>Requested $100K-$500K ticket, minority ownership, trial execution funding, current allocation and eligibility need qualification. Many listed firms focus on acquisitions or larger established companies.</x:v>
      </x:c>
      <x:c r="T1461" s="25" t="str">
        <x:v>Qualify $100K-$500K company-level trial funding, structure, investment interest and actual contact decision-maker before outreach.</x:v>
      </x:c>
      <x:c r="U1461" s="25" t="str">
        <x:v>https://www.axial.net/company/first-haven-capital
https://www.axial.net/forum/companies/united-states-family-offices/8/
https://www.axial.net/forum/companies/business-services-family-offices/8/
https://firsthaven.com/contact</x:v>
      </x:c>
      <x:c r="V1461" s="26" t="d">
        <x:v>2026-10-02T00:00:00.000Z</x:v>
      </x:c>
      <x:c r="W1461" s="26" t="d">
        <x:v>2026-10-02T00:00:00.000Z</x:v>
      </x:c>
      <x:c r="X1461" s="25" t="str">
        <x:v>Public family-office investor directory; official website checked where recorded. Published direct email/phone recorded only when observed; website-only routes need contact qualification.</x:v>
      </x:c>
      <x:c r="Y1461" s="25" t="str">
        <x:v>https://www.axial.net/company/first-haven-capital</x:v>
      </x:c>
      <x:c r="Z1461" s="25" t="str">
        <x:v>https://www.axial.net/company/first-haven-capital</x:v>
      </x:c>
      <x:c r="AA1461" s="25" t="str">
        <x:v>Public investor organization listing; contact fields copied from official public sources where available.</x:v>
      </x:c>
      <x:c r="AB1461" s="3" t="str">
        <x:v>New public-source collection</x:v>
      </x:c>
      <x:c r="AC1461" s="3" t="str">
        <x:v>unverified</x:v>
      </x:c>
      <x:c r="AD1461" s="3" t="str">
        <x:v>Not contacted / unconfirmed</x:v>
      </x:c>
      <x:c r="AE1461" s="3" t="str">
        <x:v>No</x:v>
      </x:c>
      <x:c r="AF1461" s="3" t="str">
        <x:v>Yes</x:v>
      </x:c>
      <x:c r="AG1461" s="3"/>
      <x:c r="AH1461" s="3"/>
      <x:c r="AI1461" s="18"/>
      <x:c r="AJ1461" s="3" t="str">
        <x:v>CF2500-012FC9B413B2</x:v>
      </x:c>
      <x:c r="AK1461" s="3" t="str">
        <x:v>Family office / private operating-company investor</x:v>
      </x:c>
      <x:c r="AL1461" s="19" t="n">
        <x:v>100000</x:v>
      </x:c>
      <x:c r="AM1461" s="19" t="n">
        <x:v>500000</x:v>
      </x:c>
      <x:c r="AN1461" s="3" t="str">
        <x:v>https://www.axial.net/company/first-haven-capital</x:v>
      </x:c>
      <x:c r="AO1461" s="3" t="str">
        <x:v>broad_equity_new.jsonl</x:v>
      </x:c>
      <x:c r="AP1461" s="19"/>
    </x:row>
    <x:row r="1462" ht="36" customHeight="1">
      <x:c r="A1462" s="23" t="n">
        <x:v>1461</x:v>
      </x:c>
      <x:c r="B1462" s="15" t="str">
        <x:v>Forest Lane Capital</x:v>
      </x:c>
      <x:c r="C1462" s="15"/>
      <x:c r="D1462" s="15" t="str">
        <x:v>Family office / private operating-company capital prospect</x:v>
      </x:c>
      <x:c r="E1462" s="15" t="str">
        <x:v>Private operating-company capital inquiry</x:v>
      </x:c>
      <x:c r="F1462" s="17" t="str">
        <x:v>New</x:v>
      </x:c>
      <x:c r="G1462" s="24" t="str">
        <x:v>dwingard@forestlanecapital.com</x:v>
      </x:c>
      <x:c r="H1462" s="24" t="str">
        <x:v>+14122242575</x:v>
      </x:c>
      <x:c r="I1462" s="24" t="str">
        <x:v>https://www.forestlanecapital.com/</x:v>
      </x:c>
      <x:c r="J1462" s="16"/>
      <x:c r="K1462" s="16"/>
      <x:c r="L1462" s="16" t="str">
        <x:v>firm_business_routing</x:v>
      </x:c>
      <x:c r="M1462" s="16" t="str">
        <x:v>https://www.forestlanecapital.com/contact-us</x:v>
      </x:c>
      <x:c r="N1462" s="16" t="str">
        <x:v>$100K-$500K ticket not published / unconfirmed</x:v>
      </x:c>
      <x:c r="O1462" s="20"/>
      <x:c r="P1462" s="20"/>
      <x:c r="Q1462" s="25" t="str">
        <x:v>No $100K-$500K direct check mandate verified from the directory</x:v>
      </x:c>
      <x:c r="R1462" s="25" t="str">
        <x:v>Listed in Axial business-services family-office investor directory; operating-company capital is relevant for qualification.</x:v>
      </x:c>
      <x:c r="S1462" s="25" t="str">
        <x:v>Requested $100K-$500K ticket, minority ownership, trial execution funding, current allocation and eligibility need qualification. Many listed firms focus on acquisitions or larger established companies.</x:v>
      </x:c>
      <x:c r="T1462" s="25" t="str">
        <x:v>Qualify $100K-$500K company-level trial funding, structure, investment interest and actual contact decision-maker before outreach.</x:v>
      </x:c>
      <x:c r="U1462" s="25" t="str">
        <x:v>https://www.axial.net/company/forest-lane-capital
https://www.axial.net/forum/companies/united-states-family-offices/3/
https://www.axial.net/forum/companies/business-services-family-offices/3/
https://www.forestlanecapital.com/contact-us</x:v>
      </x:c>
      <x:c r="V1462" s="26" t="d">
        <x:v>2026-10-02T00:00:00.000Z</x:v>
      </x:c>
      <x:c r="W1462" s="26" t="d">
        <x:v>2026-10-02T00:00:00.000Z</x:v>
      </x:c>
      <x:c r="X1462" s="25" t="str">
        <x:v>Public family-office investor directory; official website checked where recorded. Published direct email/phone recorded only when observed; website-only routes need contact qualification.</x:v>
      </x:c>
      <x:c r="Y1462" s="25" t="str">
        <x:v>https://www.axial.net/company/forest-lane-capital</x:v>
      </x:c>
      <x:c r="Z1462" s="25" t="str">
        <x:v>https://www.axial.net/company/forest-lane-capital</x:v>
      </x:c>
      <x:c r="AA1462" s="25" t="str">
        <x:v>Public investor organization listing; contact fields copied from official public sources where available.</x:v>
      </x:c>
      <x:c r="AB1462" s="3" t="str">
        <x:v>New public-source collection</x:v>
      </x:c>
      <x:c r="AC1462" s="3" t="str">
        <x:v>unverified</x:v>
      </x:c>
      <x:c r="AD1462" s="3" t="str">
        <x:v>Not contacted / unconfirmed</x:v>
      </x:c>
      <x:c r="AE1462" s="3" t="str">
        <x:v>No</x:v>
      </x:c>
      <x:c r="AF1462" s="3" t="str">
        <x:v>Yes</x:v>
      </x:c>
      <x:c r="AG1462" s="3"/>
      <x:c r="AH1462" s="3"/>
      <x:c r="AI1462" s="18"/>
      <x:c r="AJ1462" s="3" t="str">
        <x:v>CF2500-1B297B759F89</x:v>
      </x:c>
      <x:c r="AK1462" s="3" t="str">
        <x:v>Family office / private operating-company investor</x:v>
      </x:c>
      <x:c r="AL1462" s="19" t="n">
        <x:v>100000</x:v>
      </x:c>
      <x:c r="AM1462" s="19" t="n">
        <x:v>500000</x:v>
      </x:c>
      <x:c r="AN1462" s="3" t="str">
        <x:v>https://www.axial.net/company/forest-lane-capital</x:v>
      </x:c>
      <x:c r="AO1462" s="3" t="str">
        <x:v>broad_equity_new.jsonl</x:v>
      </x:c>
      <x:c r="AP1462" s="19"/>
    </x:row>
    <x:row r="1463" ht="36" customHeight="1">
      <x:c r="A1463" s="23" t="n">
        <x:v>1462</x:v>
      </x:c>
      <x:c r="B1463" s="15" t="str">
        <x:v>Gart Capital Partners</x:v>
      </x:c>
      <x:c r="C1463" s="15"/>
      <x:c r="D1463" s="15" t="str">
        <x:v>Family office / private operating-company capital prospect</x:v>
      </x:c>
      <x:c r="E1463" s="15" t="str">
        <x:v>Private operating-company capital inquiry</x:v>
      </x:c>
      <x:c r="F1463" s="17" t="str">
        <x:v>New</x:v>
      </x:c>
      <x:c r="G1463" s="24" t="str">
        <x:v>agart@gartco.com</x:v>
      </x:c>
      <x:c r="H1463" s="24" t="str">
        <x:v>+13038013542</x:v>
      </x:c>
      <x:c r="I1463" s="24" t="str">
        <x:v>https://www.gartcompanies.com/</x:v>
      </x:c>
      <x:c r="J1463" s="16"/>
      <x:c r="K1463" s="16"/>
      <x:c r="L1463" s="16" t="str">
        <x:v>firm_business_routing</x:v>
      </x:c>
      <x:c r="M1463" s="16" t="str">
        <x:v>https://www.gartcompanies.com/gart-capital-partners</x:v>
      </x:c>
      <x:c r="N1463" s="16" t="str">
        <x:v>$100K-$500K ticket not published / unconfirmed</x:v>
      </x:c>
      <x:c r="O1463" s="20"/>
      <x:c r="P1463" s="20"/>
      <x:c r="Q1463" s="25" t="str">
        <x:v>No $100K-$500K direct check mandate verified from the directory</x:v>
      </x:c>
      <x:c r="R1463" s="25" t="str">
        <x:v>Listed in Axial US family-office investor directory; qualify sector and company-level capital interest.</x:v>
      </x:c>
      <x:c r="S1463" s="25" t="str">
        <x:v>Requested $100K-$500K ticket, minority ownership, trial execution funding, current allocation and eligibility need qualification. Many listed firms focus on acquisitions or larger established companies.</x:v>
      </x:c>
      <x:c r="T1463" s="25" t="str">
        <x:v>Qualify $100K-$500K company-level trial funding, structure, investment interest and actual contact decision-maker before outreach.</x:v>
      </x:c>
      <x:c r="U1463" s="25" t="str">
        <x:v>https://www.axial.net/company/gart-capital-partners
https://www.axial.net/forum/companies/united-states-family-offices/3/
https://www.gartcompanies.com/gart-capital-partners</x:v>
      </x:c>
      <x:c r="V1463" s="26" t="d">
        <x:v>2026-10-02T00:00:00.000Z</x:v>
      </x:c>
      <x:c r="W1463" s="26" t="d">
        <x:v>2026-10-02T00:00:00.000Z</x:v>
      </x:c>
      <x:c r="X1463" s="25" t="str">
        <x:v>Public family-office investor directory; official website checked where recorded. Published direct email/phone recorded only when observed; website-only routes need contact qualification.</x:v>
      </x:c>
      <x:c r="Y1463" s="25" t="str">
        <x:v>https://www.axial.net/company/gart-capital-partners</x:v>
      </x:c>
      <x:c r="Z1463" s="25" t="str">
        <x:v>https://www.axial.net/company/gart-capital-partners</x:v>
      </x:c>
      <x:c r="AA1463" s="25" t="str">
        <x:v>Public investor organization listing; contact fields copied from official public sources where available.</x:v>
      </x:c>
      <x:c r="AB1463" s="3" t="str">
        <x:v>New public-source collection</x:v>
      </x:c>
      <x:c r="AC1463" s="3" t="str">
        <x:v>unverified</x:v>
      </x:c>
      <x:c r="AD1463" s="3" t="str">
        <x:v>Not contacted / unconfirmed</x:v>
      </x:c>
      <x:c r="AE1463" s="3" t="str">
        <x:v>No</x:v>
      </x:c>
      <x:c r="AF1463" s="3" t="str">
        <x:v>Yes</x:v>
      </x:c>
      <x:c r="AG1463" s="3"/>
      <x:c r="AH1463" s="3"/>
      <x:c r="AI1463" s="18"/>
      <x:c r="AJ1463" s="3" t="str">
        <x:v>CF2500-9C26F2C027F1</x:v>
      </x:c>
      <x:c r="AK1463" s="3" t="str">
        <x:v>Family office / private operating-company investor</x:v>
      </x:c>
      <x:c r="AL1463" s="19" t="n">
        <x:v>100000</x:v>
      </x:c>
      <x:c r="AM1463" s="19" t="n">
        <x:v>500000</x:v>
      </x:c>
      <x:c r="AN1463" s="3" t="str">
        <x:v>https://www.axial.net/company/gart-capital-partners</x:v>
      </x:c>
      <x:c r="AO1463" s="3" t="str">
        <x:v>broad_equity_new.jsonl</x:v>
      </x:c>
      <x:c r="AP1463" s="19"/>
    </x:row>
    <x:row r="1464" ht="36" customHeight="1">
      <x:c r="A1464" s="23" t="n">
        <x:v>1463</x:v>
      </x:c>
      <x:c r="B1464" s="15" t="str">
        <x:v>Makaira Partners</x:v>
      </x:c>
      <x:c r="C1464" s="15"/>
      <x:c r="D1464" s="15" t="str">
        <x:v>Family office / private operating-company capital prospect</x:v>
      </x:c>
      <x:c r="E1464" s="15" t="str">
        <x:v>Private operating-company capital inquiry</x:v>
      </x:c>
      <x:c r="F1464" s="17" t="str">
        <x:v>New</x:v>
      </x:c>
      <x:c r="G1464" s="24" t="str">
        <x:v>info@makairapartners.com</x:v>
      </x:c>
      <x:c r="H1464" s="24" t="str">
        <x:v>+18586262929</x:v>
      </x:c>
      <x:c r="I1464" s="24" t="str">
        <x:v>https://makairapartners.com/</x:v>
      </x:c>
      <x:c r="J1464" s="16"/>
      <x:c r="K1464" s="16"/>
      <x:c r="L1464" s="16" t="str">
        <x:v>firm_business_routing</x:v>
      </x:c>
      <x:c r="M1464" s="16" t="str">
        <x:v>https://makairapartners.com/</x:v>
      </x:c>
      <x:c r="N1464" s="16" t="str">
        <x:v>$100K-$500K ticket not published / unconfirmed</x:v>
      </x:c>
      <x:c r="O1464" s="20"/>
      <x:c r="P1464" s="20"/>
      <x:c r="Q1464" s="25" t="str">
        <x:v>No $100K-$500K direct check mandate verified from the directory</x:v>
      </x:c>
      <x:c r="R1464" s="25" t="str">
        <x:v>Listed in Axial business-services family-office investor directory; operating-company capital is relevant for qualification.</x:v>
      </x:c>
      <x:c r="S1464" s="25" t="str">
        <x:v>Requested $100K-$500K ticket, minority ownership, trial execution funding, current allocation and eligibility need qualification. Many listed firms focus on acquisitions or larger established companies.</x:v>
      </x:c>
      <x:c r="T1464" s="25" t="str">
        <x:v>Qualify $100K-$500K company-level trial funding, structure, investment interest and actual contact decision-maker before outreach.</x:v>
      </x:c>
      <x:c r="U1464" s="25" t="str">
        <x:v>https://www.axial.net/company/makaira-partners
https://www.axial.net/forum/companies/united-states-family-offices/7/
https://www.axial.net/forum/companies/business-services-family-offices/7/
https://makairapartners.com/</x:v>
      </x:c>
      <x:c r="V1464" s="26" t="d">
        <x:v>2026-10-02T00:00:00.000Z</x:v>
      </x:c>
      <x:c r="W1464" s="26" t="d">
        <x:v>2026-10-02T00:00:00.000Z</x:v>
      </x:c>
      <x:c r="X1464" s="25" t="str">
        <x:v>Public family-office investor directory; official website checked where recorded. Published direct email/phone recorded only when observed; website-only routes need contact qualification.</x:v>
      </x:c>
      <x:c r="Y1464" s="25" t="str">
        <x:v>https://www.axial.net/company/makaira-partners</x:v>
      </x:c>
      <x:c r="Z1464" s="25" t="str">
        <x:v>https://www.axial.net/company/makaira-partners</x:v>
      </x:c>
      <x:c r="AA1464" s="25" t="str">
        <x:v>Public investor organization listing; contact fields copied from official public sources where available.</x:v>
      </x:c>
      <x:c r="AB1464" s="3" t="str">
        <x:v>New public-source collection</x:v>
      </x:c>
      <x:c r="AC1464" s="3" t="str">
        <x:v>unverified</x:v>
      </x:c>
      <x:c r="AD1464" s="3" t="str">
        <x:v>Not contacted / unconfirmed</x:v>
      </x:c>
      <x:c r="AE1464" s="3" t="str">
        <x:v>No</x:v>
      </x:c>
      <x:c r="AF1464" s="3" t="str">
        <x:v>Yes</x:v>
      </x:c>
      <x:c r="AG1464" s="3"/>
      <x:c r="AH1464" s="3"/>
      <x:c r="AI1464" s="18"/>
      <x:c r="AJ1464" s="3" t="str">
        <x:v>CF2500-7B9BC7EE1A6A</x:v>
      </x:c>
      <x:c r="AK1464" s="3" t="str">
        <x:v>Family office / private operating-company investor</x:v>
      </x:c>
      <x:c r="AL1464" s="19" t="n">
        <x:v>100000</x:v>
      </x:c>
      <x:c r="AM1464" s="19" t="n">
        <x:v>500000</x:v>
      </x:c>
      <x:c r="AN1464" s="3" t="str">
        <x:v>https://www.axial.net/company/makaira-partners</x:v>
      </x:c>
      <x:c r="AO1464" s="3" t="str">
        <x:v>broad_equity_new.jsonl</x:v>
      </x:c>
      <x:c r="AP1464" s="19"/>
    </x:row>
    <x:row r="1465" ht="36" customHeight="1">
      <x:c r="A1465" s="23" t="n">
        <x:v>1464</x:v>
      </x:c>
      <x:c r="B1465" s="15" t="str">
        <x:v>Nashville Capital</x:v>
      </x:c>
      <x:c r="C1465" s="15"/>
      <x:c r="D1465" s="15" t="str">
        <x:v>Family office / private operating-company capital prospect</x:v>
      </x:c>
      <x:c r="E1465" s="15" t="str">
        <x:v>Private operating-company capital inquiry</x:v>
      </x:c>
      <x:c r="F1465" s="17" t="str">
        <x:v>New</x:v>
      </x:c>
      <x:c r="G1465" s="24" t="str">
        <x:v>info@nashvillecap.com</x:v>
      </x:c>
      <x:c r="H1465" s="24" t="str">
        <x:v>+16152211122</x:v>
      </x:c>
      <x:c r="I1465" s="24" t="str">
        <x:v>https://nashvillecap.com/</x:v>
      </x:c>
      <x:c r="J1465" s="16"/>
      <x:c r="K1465" s="16"/>
      <x:c r="L1465" s="16" t="str">
        <x:v>firm_business_routing</x:v>
      </x:c>
      <x:c r="M1465" s="16" t="str">
        <x:v>https://nashvillecap.com/</x:v>
      </x:c>
      <x:c r="N1465" s="16" t="str">
        <x:v>$100K-$500K ticket not published / unconfirmed</x:v>
      </x:c>
      <x:c r="O1465" s="20"/>
      <x:c r="P1465" s="20"/>
      <x:c r="Q1465" s="25" t="str">
        <x:v>No $100K-$500K direct check mandate verified from the directory</x:v>
      </x:c>
      <x:c r="R1465" s="25" t="str">
        <x:v>Listed in Axial US family-office investor directory; qualify sector and company-level capital interest.</x:v>
      </x:c>
      <x:c r="S1465" s="25" t="str">
        <x:v>Requested $100K-$500K ticket, minority ownership, trial execution funding, current allocation and eligibility need qualification. Many listed firms focus on acquisitions or larger established companies.</x:v>
      </x:c>
      <x:c r="T1465" s="25" t="str">
        <x:v>Qualify $100K-$500K company-level trial funding, structure, investment interest and actual contact decision-maker before outreach.</x:v>
      </x:c>
      <x:c r="U1465" s="25" t="str">
        <x:v>https://www.axial.net/company/nashville-capital
https://www.axial.net/forum/companies/united-states-family-offices/9/
https://nashvillecap.com/</x:v>
      </x:c>
      <x:c r="V1465" s="26" t="d">
        <x:v>2026-10-02T00:00:00.000Z</x:v>
      </x:c>
      <x:c r="W1465" s="26" t="d">
        <x:v>2026-10-02T00:00:00.000Z</x:v>
      </x:c>
      <x:c r="X1465" s="25" t="str">
        <x:v>Public family-office investor directory; official website checked where recorded. Published direct email/phone recorded only when observed; website-only routes need contact qualification.</x:v>
      </x:c>
      <x:c r="Y1465" s="25" t="str">
        <x:v>https://www.axial.net/company/nashville-capital</x:v>
      </x:c>
      <x:c r="Z1465" s="25" t="str">
        <x:v>https://www.axial.net/company/nashville-capital</x:v>
      </x:c>
      <x:c r="AA1465" s="25" t="str">
        <x:v>Public investor organization listing; contact fields copied from official public sources where available.</x:v>
      </x:c>
      <x:c r="AB1465" s="3" t="str">
        <x:v>New public-source collection</x:v>
      </x:c>
      <x:c r="AC1465" s="3" t="str">
        <x:v>unverified</x:v>
      </x:c>
      <x:c r="AD1465" s="3" t="str">
        <x:v>Not contacted / unconfirmed</x:v>
      </x:c>
      <x:c r="AE1465" s="3" t="str">
        <x:v>No</x:v>
      </x:c>
      <x:c r="AF1465" s="3" t="str">
        <x:v>Yes</x:v>
      </x:c>
      <x:c r="AG1465" s="3"/>
      <x:c r="AH1465" s="3"/>
      <x:c r="AI1465" s="18"/>
      <x:c r="AJ1465" s="3" t="str">
        <x:v>CF2500-785FF5DA3F7E</x:v>
      </x:c>
      <x:c r="AK1465" s="3" t="str">
        <x:v>Family office / private operating-company investor</x:v>
      </x:c>
      <x:c r="AL1465" s="19" t="n">
        <x:v>100000</x:v>
      </x:c>
      <x:c r="AM1465" s="19" t="n">
        <x:v>500000</x:v>
      </x:c>
      <x:c r="AN1465" s="3" t="str">
        <x:v>https://www.axial.net/company/nashville-capital</x:v>
      </x:c>
      <x:c r="AO1465" s="3" t="str">
        <x:v>broad_equity_new.jsonl</x:v>
      </x:c>
      <x:c r="AP1465" s="19"/>
    </x:row>
    <x:row r="1466" ht="36" customHeight="1">
      <x:c r="A1466" s="23" t="n">
        <x:v>1465</x:v>
      </x:c>
      <x:c r="B1466" s="15" t="str">
        <x:v>Rosewood Private Investments</x:v>
      </x:c>
      <x:c r="C1466" s="15"/>
      <x:c r="D1466" s="15" t="str">
        <x:v>Family office / private operating-company capital prospect</x:v>
      </x:c>
      <x:c r="E1466" s="15" t="str">
        <x:v>Private operating-company capital inquiry</x:v>
      </x:c>
      <x:c r="F1466" s="17" t="str">
        <x:v>New</x:v>
      </x:c>
      <x:c r="G1466" s="24" t="str">
        <x:v>asantoro@rosewood.com</x:v>
      </x:c>
      <x:c r="H1466" s="24" t="str">
        <x:v>+12148499000</x:v>
      </x:c>
      <x:c r="I1466" s="24" t="str">
        <x:v>https://rosewoodpi.com/</x:v>
      </x:c>
      <x:c r="J1466" s="16"/>
      <x:c r="K1466" s="16"/>
      <x:c r="L1466" s="16" t="str">
        <x:v>firm_business_routing</x:v>
      </x:c>
      <x:c r="M1466" s="16" t="str">
        <x:v>https://rosewoodpi.com/our-team/</x:v>
      </x:c>
      <x:c r="N1466" s="16" t="str">
        <x:v>$100K-$500K ticket not published / unconfirmed</x:v>
      </x:c>
      <x:c r="O1466" s="20"/>
      <x:c r="P1466" s="20"/>
      <x:c r="Q1466" s="25" t="str">
        <x:v>No $100K-$500K direct check mandate verified from the directory</x:v>
      </x:c>
      <x:c r="R1466" s="25" t="str">
        <x:v>Listed in Axial business-services family-office investor directory; operating-company capital is relevant for qualification.</x:v>
      </x:c>
      <x:c r="S1466" s="25" t="str">
        <x:v>Requested $100K-$500K ticket, minority ownership, trial execution funding, current allocation and eligibility need qualification. Many listed firms focus on acquisitions or larger established companies.</x:v>
      </x:c>
      <x:c r="T1466" s="25" t="str">
        <x:v>Qualify $100K-$500K company-level trial funding, structure, investment interest and actual contact decision-maker before outreach.</x:v>
      </x:c>
      <x:c r="U1466" s="25" t="str">
        <x:v>https://www.axial.net/company/rosewood-private-investments
https://www.axial.net/forum/companies/united-states-family-offices/2/
https://www.axial.net/forum/companies/business-services-family-offices/2/
https://rosewoodpi.com/our-team/</x:v>
      </x:c>
      <x:c r="V1466" s="26" t="d">
        <x:v>2026-10-02T00:00:00.000Z</x:v>
      </x:c>
      <x:c r="W1466" s="26" t="d">
        <x:v>2026-10-02T00:00:00.000Z</x:v>
      </x:c>
      <x:c r="X1466" s="25" t="str">
        <x:v>Public family-office investor directory; official website checked where recorded. Published direct email/phone recorded only when observed; website-only routes need contact qualification.</x:v>
      </x:c>
      <x:c r="Y1466" s="25" t="str">
        <x:v>https://www.axial.net/company/rosewood-private-investments</x:v>
      </x:c>
      <x:c r="Z1466" s="25" t="str">
        <x:v>https://www.axial.net/company/rosewood-private-investments</x:v>
      </x:c>
      <x:c r="AA1466" s="25" t="str">
        <x:v>Public investor organization listing; contact fields copied from official public sources where available.</x:v>
      </x:c>
      <x:c r="AB1466" s="3" t="str">
        <x:v>New public-source collection</x:v>
      </x:c>
      <x:c r="AC1466" s="3" t="str">
        <x:v>unverified</x:v>
      </x:c>
      <x:c r="AD1466" s="3" t="str">
        <x:v>Not contacted / unconfirmed</x:v>
      </x:c>
      <x:c r="AE1466" s="3" t="str">
        <x:v>No</x:v>
      </x:c>
      <x:c r="AF1466" s="3" t="str">
        <x:v>Yes</x:v>
      </x:c>
      <x:c r="AG1466" s="3"/>
      <x:c r="AH1466" s="3"/>
      <x:c r="AI1466" s="18"/>
      <x:c r="AJ1466" s="3" t="str">
        <x:v>CF2500-A463A3E7EE55</x:v>
      </x:c>
      <x:c r="AK1466" s="3" t="str">
        <x:v>Family office / private operating-company investor</x:v>
      </x:c>
      <x:c r="AL1466" s="19" t="n">
        <x:v>100000</x:v>
      </x:c>
      <x:c r="AM1466" s="19" t="n">
        <x:v>500000</x:v>
      </x:c>
      <x:c r="AN1466" s="3" t="str">
        <x:v>https://www.axial.net/company/rosewood-private-investments</x:v>
      </x:c>
      <x:c r="AO1466" s="3" t="str">
        <x:v>broad_equity_new.jsonl</x:v>
      </x:c>
      <x:c r="AP1466" s="19"/>
    </x:row>
    <x:row r="1467" ht="36" customHeight="1">
      <x:c r="A1467" s="23" t="n">
        <x:v>1466</x:v>
      </x:c>
      <x:c r="B1467" s="15" t="str">
        <x:v>RoundTable Financial Group</x:v>
      </x:c>
      <x:c r="C1467" s="15"/>
      <x:c r="D1467" s="15" t="str">
        <x:v>Family office / private operating-company capital prospect</x:v>
      </x:c>
      <x:c r="E1467" s="15" t="str">
        <x:v>Private operating-company capital inquiry</x:v>
      </x:c>
      <x:c r="F1467" s="17" t="str">
        <x:v>New</x:v>
      </x:c>
      <x:c r="G1467" s="24" t="str">
        <x:v>contact@roundtablefg.com</x:v>
      </x:c>
      <x:c r="H1467" s="24" t="str">
        <x:v>+19144821268</x:v>
      </x:c>
      <x:c r="I1467" s="24" t="str">
        <x:v>https://www.roundtablefg.com/</x:v>
      </x:c>
      <x:c r="J1467" s="16"/>
      <x:c r="K1467" s="16"/>
      <x:c r="L1467" s="16" t="str">
        <x:v>firm_business_routing</x:v>
      </x:c>
      <x:c r="M1467" s="16" t="str">
        <x:v>https://www.roundtablefg.com/</x:v>
      </x:c>
      <x:c r="N1467" s="16" t="str">
        <x:v>$100K-$500K ticket not published / unconfirmed</x:v>
      </x:c>
      <x:c r="O1467" s="20"/>
      <x:c r="P1467" s="20"/>
      <x:c r="Q1467" s="25" t="str">
        <x:v>No $100K-$500K direct check mandate verified from the directory</x:v>
      </x:c>
      <x:c r="R1467" s="25" t="str">
        <x:v>Listed in Axial US family-office investor directory; qualify sector and company-level capital interest.</x:v>
      </x:c>
      <x:c r="S1467" s="25" t="str">
        <x:v>Requested $100K-$500K ticket, minority ownership, trial execution funding, current allocation and eligibility need qualification. Many listed firms focus on acquisitions or larger established companies.</x:v>
      </x:c>
      <x:c r="T1467" s="25" t="str">
        <x:v>Qualify $100K-$500K company-level trial funding, structure, investment interest and actual contact decision-maker before outreach.</x:v>
      </x:c>
      <x:c r="U1467" s="25" t="str">
        <x:v>https://www.axial.net/company/roundtable-financial-group
https://www.axial.net/forum/companies/united-states-family-offices/9/
https://www.roundtablefg.com/</x:v>
      </x:c>
      <x:c r="V1467" s="26" t="d">
        <x:v>2026-10-02T00:00:00.000Z</x:v>
      </x:c>
      <x:c r="W1467" s="26" t="d">
        <x:v>2026-10-02T00:00:00.000Z</x:v>
      </x:c>
      <x:c r="X1467" s="25" t="str">
        <x:v>Public family-office investor directory; official website checked where recorded. Published direct email/phone recorded only when observed; website-only routes need contact qualification.</x:v>
      </x:c>
      <x:c r="Y1467" s="25" t="str">
        <x:v>https://www.axial.net/company/roundtable-financial-group</x:v>
      </x:c>
      <x:c r="Z1467" s="25" t="str">
        <x:v>https://www.axial.net/company/roundtable-financial-group</x:v>
      </x:c>
      <x:c r="AA1467" s="25" t="str">
        <x:v>Public investor organization listing; contact fields copied from official public sources where available.</x:v>
      </x:c>
      <x:c r="AB1467" s="3" t="str">
        <x:v>New public-source collection</x:v>
      </x:c>
      <x:c r="AC1467" s="3" t="str">
        <x:v>unverified</x:v>
      </x:c>
      <x:c r="AD1467" s="3" t="str">
        <x:v>Not contacted / unconfirmed</x:v>
      </x:c>
      <x:c r="AE1467" s="3" t="str">
        <x:v>No</x:v>
      </x:c>
      <x:c r="AF1467" s="3" t="str">
        <x:v>Yes</x:v>
      </x:c>
      <x:c r="AG1467" s="3"/>
      <x:c r="AH1467" s="3"/>
      <x:c r="AI1467" s="18"/>
      <x:c r="AJ1467" s="3" t="str">
        <x:v>CF2500-8681D8E97785</x:v>
      </x:c>
      <x:c r="AK1467" s="3" t="str">
        <x:v>Family office / private operating-company investor</x:v>
      </x:c>
      <x:c r="AL1467" s="19" t="n">
        <x:v>100000</x:v>
      </x:c>
      <x:c r="AM1467" s="19" t="n">
        <x:v>500000</x:v>
      </x:c>
      <x:c r="AN1467" s="3" t="str">
        <x:v>https://www.axial.net/company/roundtable-financial-group</x:v>
      </x:c>
      <x:c r="AO1467" s="3" t="str">
        <x:v>broad_equity_new.jsonl</x:v>
      </x:c>
      <x:c r="AP1467" s="19"/>
    </x:row>
    <x:row r="1468" ht="36" customHeight="1">
      <x:c r="A1468" s="23" t="n">
        <x:v>1467</x:v>
      </x:c>
      <x:c r="B1468" s="15" t="str">
        <x:v>Sandkey Capital</x:v>
      </x:c>
      <x:c r="C1468" s="15"/>
      <x:c r="D1468" s="15" t="str">
        <x:v>Family office / private operating-company capital prospect</x:v>
      </x:c>
      <x:c r="E1468" s="15" t="str">
        <x:v>Private operating-company capital inquiry</x:v>
      </x:c>
      <x:c r="F1468" s="17" t="str">
        <x:v>New</x:v>
      </x:c>
      <x:c r="G1468" s="24" t="str">
        <x:v>ksmith@sandkeycapital.com</x:v>
      </x:c>
      <x:c r="H1468" s="24" t="str">
        <x:v>+13057714230</x:v>
      </x:c>
      <x:c r="I1468" s="24" t="str">
        <x:v>https://www.sandkeycapital.com/</x:v>
      </x:c>
      <x:c r="J1468" s="16"/>
      <x:c r="K1468" s="16"/>
      <x:c r="L1468" s="16" t="str">
        <x:v>firm_business_routing</x:v>
      </x:c>
      <x:c r="M1468" s="16" t="str">
        <x:v>https://www.sandkeycapital.com/contact-us</x:v>
      </x:c>
      <x:c r="N1468" s="16" t="str">
        <x:v>$100K-$500K ticket not published / unconfirmed</x:v>
      </x:c>
      <x:c r="O1468" s="20"/>
      <x:c r="P1468" s="20"/>
      <x:c r="Q1468" s="25" t="str">
        <x:v>No $100K-$500K direct check mandate verified from the directory</x:v>
      </x:c>
      <x:c r="R1468" s="25" t="str">
        <x:v>Listed in Axial business-services family-office investor directory; operating-company capital is relevant for qualification.</x:v>
      </x:c>
      <x:c r="S1468" s="25" t="str">
        <x:v>Requested $100K-$500K ticket, minority ownership, trial execution funding, current allocation and eligibility need qualification. Many listed firms focus on acquisitions or larger established companies.</x:v>
      </x:c>
      <x:c r="T1468" s="25" t="str">
        <x:v>Qualify $100K-$500K company-level trial funding, structure, investment interest and actual contact decision-maker before outreach.</x:v>
      </x:c>
      <x:c r="U1468" s="25" t="str">
        <x:v>https://www.axial.net/company/sandkey-capital
https://www.axial.net/forum/companies/united-states-family-offices/7/
https://www.axial.net/forum/companies/business-services-family-offices/7/
https://www.sandkeycapital.com/contact-us</x:v>
      </x:c>
      <x:c r="V1468" s="26" t="d">
        <x:v>2026-10-02T00:00:00.000Z</x:v>
      </x:c>
      <x:c r="W1468" s="26" t="d">
        <x:v>2026-10-02T00:00:00.000Z</x:v>
      </x:c>
      <x:c r="X1468" s="25" t="str">
        <x:v>Public family-office investor directory; official website checked where recorded. Published direct email/phone recorded only when observed; website-only routes need contact qualification.</x:v>
      </x:c>
      <x:c r="Y1468" s="25" t="str">
        <x:v>https://www.axial.net/company/sandkey-capital</x:v>
      </x:c>
      <x:c r="Z1468" s="25" t="str">
        <x:v>https://www.axial.net/company/sandkey-capital</x:v>
      </x:c>
      <x:c r="AA1468" s="25" t="str">
        <x:v>Public investor organization listing; contact fields copied from official public sources where available.</x:v>
      </x:c>
      <x:c r="AB1468" s="3" t="str">
        <x:v>New public-source collection</x:v>
      </x:c>
      <x:c r="AC1468" s="3" t="str">
        <x:v>unverified</x:v>
      </x:c>
      <x:c r="AD1468" s="3" t="str">
        <x:v>Not contacted / unconfirmed</x:v>
      </x:c>
      <x:c r="AE1468" s="3" t="str">
        <x:v>No</x:v>
      </x:c>
      <x:c r="AF1468" s="3" t="str">
        <x:v>Yes</x:v>
      </x:c>
      <x:c r="AG1468" s="3"/>
      <x:c r="AH1468" s="3"/>
      <x:c r="AI1468" s="18"/>
      <x:c r="AJ1468" s="3" t="str">
        <x:v>CF2500-1D8A82137CE9</x:v>
      </x:c>
      <x:c r="AK1468" s="3" t="str">
        <x:v>Family office / private operating-company investor</x:v>
      </x:c>
      <x:c r="AL1468" s="19" t="n">
        <x:v>100000</x:v>
      </x:c>
      <x:c r="AM1468" s="19" t="n">
        <x:v>500000</x:v>
      </x:c>
      <x:c r="AN1468" s="3" t="str">
        <x:v>https://www.axial.net/company/sandkey-capital</x:v>
      </x:c>
      <x:c r="AO1468" s="3" t="str">
        <x:v>broad_equity_new.jsonl</x:v>
      </x:c>
      <x:c r="AP1468" s="19"/>
    </x:row>
    <x:row r="1469" ht="36" customHeight="1">
      <x:c r="A1469" s="23" t="n">
        <x:v>1468</x:v>
      </x:c>
      <x:c r="B1469" s="15" t="str">
        <x:v>Sheriff &amp; Co.</x:v>
      </x:c>
      <x:c r="C1469" s="15"/>
      <x:c r="D1469" s="15" t="str">
        <x:v>Family office / private operating-company capital prospect</x:v>
      </x:c>
      <x:c r="E1469" s="15" t="str">
        <x:v>Private operating-company capital inquiry</x:v>
      </x:c>
      <x:c r="F1469" s="17" t="str">
        <x:v>New</x:v>
      </x:c>
      <x:c r="G1469" s="24" t="str">
        <x:v>charles@sheriffandco.com</x:v>
      </x:c>
      <x:c r="H1469" s="24" t="str">
        <x:v>+16465727086</x:v>
      </x:c>
      <x:c r="I1469" s="24" t="str">
        <x:v>https://sheriffandco.com/</x:v>
      </x:c>
      <x:c r="J1469" s="16"/>
      <x:c r="K1469" s="16"/>
      <x:c r="L1469" s="16" t="str">
        <x:v>firm_business_routing</x:v>
      </x:c>
      <x:c r="M1469" s="16" t="str">
        <x:v>https://sheriffandco.com/</x:v>
      </x:c>
      <x:c r="N1469" s="16" t="str">
        <x:v>$100K-$500K ticket not published / unconfirmed</x:v>
      </x:c>
      <x:c r="O1469" s="20"/>
      <x:c r="P1469" s="20"/>
      <x:c r="Q1469" s="25" t="str">
        <x:v>No $100K-$500K direct check mandate verified from the directory</x:v>
      </x:c>
      <x:c r="R1469" s="25" t="str">
        <x:v>Listed in Axial business-services family-office investor directory; operating-company capital is relevant for qualification.</x:v>
      </x:c>
      <x:c r="S1469" s="25" t="str">
        <x:v>Requested $100K-$500K ticket, minority ownership, trial execution funding, current allocation and eligibility need qualification. Many listed firms focus on acquisitions or larger established companies.</x:v>
      </x:c>
      <x:c r="T1469" s="25" t="str">
        <x:v>Qualify $100K-$500K company-level trial funding, structure, investment interest and actual contact decision-maker before outreach.</x:v>
      </x:c>
      <x:c r="U1469" s="25" t="str">
        <x:v>https://www.axial.net/company/first-choice-business-brokers
https://www.axial.net/forum/companies/united-states-family-offices/7/
https://www.axial.net/forum/companies/business-services-family-offices/7/
https://sheriffandco.com/</x:v>
      </x:c>
      <x:c r="V1469" s="26" t="d">
        <x:v>2026-10-02T00:00:00.000Z</x:v>
      </x:c>
      <x:c r="W1469" s="26" t="d">
        <x:v>2026-10-02T00:00:00.000Z</x:v>
      </x:c>
      <x:c r="X1469" s="25" t="str">
        <x:v>Public family-office investor directory; official website checked where recorded. Published direct email/phone recorded only when observed; website-only routes need contact qualification.</x:v>
      </x:c>
      <x:c r="Y1469" s="25" t="str">
        <x:v>https://www.axial.net/company/first-choice-business-brokers</x:v>
      </x:c>
      <x:c r="Z1469" s="25" t="str">
        <x:v>https://www.axial.net/company/first-choice-business-brokers</x:v>
      </x:c>
      <x:c r="AA1469" s="25" t="str">
        <x:v>Public investor organization listing; contact fields copied from official public sources where available.</x:v>
      </x:c>
      <x:c r="AB1469" s="3" t="str">
        <x:v>New public-source collection</x:v>
      </x:c>
      <x:c r="AC1469" s="3" t="str">
        <x:v>unverified</x:v>
      </x:c>
      <x:c r="AD1469" s="3" t="str">
        <x:v>Not contacted / unconfirmed</x:v>
      </x:c>
      <x:c r="AE1469" s="3" t="str">
        <x:v>No</x:v>
      </x:c>
      <x:c r="AF1469" s="3" t="str">
        <x:v>Yes</x:v>
      </x:c>
      <x:c r="AG1469" s="3"/>
      <x:c r="AH1469" s="3"/>
      <x:c r="AI1469" s="18"/>
      <x:c r="AJ1469" s="3" t="str">
        <x:v>CF2500-D7CF365AFB92</x:v>
      </x:c>
      <x:c r="AK1469" s="3" t="str">
        <x:v>Family office / private operating-company investor</x:v>
      </x:c>
      <x:c r="AL1469" s="19" t="n">
        <x:v>100000</x:v>
      </x:c>
      <x:c r="AM1469" s="19" t="n">
        <x:v>500000</x:v>
      </x:c>
      <x:c r="AN1469" s="3" t="str">
        <x:v>https://www.axial.net/company/first-choice-business-brokers</x:v>
      </x:c>
      <x:c r="AO1469" s="3" t="str">
        <x:v>broad_equity_new.jsonl</x:v>
      </x:c>
      <x:c r="AP1469" s="19"/>
    </x:row>
    <x:row r="1470" ht="36" customHeight="1">
      <x:c r="A1470" s="23" t="n">
        <x:v>1469</x:v>
      </x:c>
      <x:c r="B1470" s="15" t="str">
        <x:v>Stony Creek Capital</x:v>
      </x:c>
      <x:c r="C1470" s="15"/>
      <x:c r="D1470" s="15" t="str">
        <x:v>Family office / private operating-company capital prospect</x:v>
      </x:c>
      <x:c r="E1470" s="15" t="str">
        <x:v>Private operating-company capital inquiry</x:v>
      </x:c>
      <x:c r="F1470" s="17" t="str">
        <x:v>New</x:v>
      </x:c>
      <x:c r="G1470" s="24" t="str">
        <x:v>greg@stonycreekcap.com</x:v>
      </x:c>
      <x:c r="H1470" s="24" t="str">
        <x:v>+12032332000</x:v>
      </x:c>
      <x:c r="I1470" s="24" t="str">
        <x:v>https://stonycreekcap.com/</x:v>
      </x:c>
      <x:c r="J1470" s="16"/>
      <x:c r="K1470" s="16"/>
      <x:c r="L1470" s="16" t="str">
        <x:v>firm_business_routing</x:v>
      </x:c>
      <x:c r="M1470" s="16" t="str">
        <x:v>https://stonycreekcap.com/</x:v>
      </x:c>
      <x:c r="N1470" s="16" t="str">
        <x:v>$100K-$500K ticket not published / unconfirmed</x:v>
      </x:c>
      <x:c r="O1470" s="20"/>
      <x:c r="P1470" s="20"/>
      <x:c r="Q1470" s="25" t="str">
        <x:v>No $100K-$500K direct check mandate verified from the directory</x:v>
      </x:c>
      <x:c r="R1470" s="25" t="str">
        <x:v>Listed in Axial business-services family-office investor directory; operating-company capital is relevant for qualification.</x:v>
      </x:c>
      <x:c r="S1470" s="25" t="str">
        <x:v>Requested $100K-$500K ticket, minority ownership, trial execution funding, current allocation and eligibility need qualification. Many listed firms focus on acquisitions or larger established companies.</x:v>
      </x:c>
      <x:c r="T1470" s="25" t="str">
        <x:v>Qualify $100K-$500K company-level trial funding, structure, investment interest and actual contact decision-maker before outreach.</x:v>
      </x:c>
      <x:c r="U1470" s="25" t="str">
        <x:v>https://www.axial.net/company/stony-creek-capital
https://www.axial.net/forum/companies/united-states-family-offices/3/
https://www.axial.net/forum/companies/business-services-family-offices/3/
https://stonycreekcap.com/</x:v>
      </x:c>
      <x:c r="V1470" s="26" t="d">
        <x:v>2026-10-02T00:00:00.000Z</x:v>
      </x:c>
      <x:c r="W1470" s="26" t="d">
        <x:v>2026-10-02T00:00:00.000Z</x:v>
      </x:c>
      <x:c r="X1470" s="25" t="str">
        <x:v>Public family-office investor directory; official website checked where recorded. Published direct email/phone recorded only when observed; website-only routes need contact qualification.</x:v>
      </x:c>
      <x:c r="Y1470" s="25" t="str">
        <x:v>https://www.axial.net/company/stony-creek-capital</x:v>
      </x:c>
      <x:c r="Z1470" s="25" t="str">
        <x:v>https://www.axial.net/company/stony-creek-capital</x:v>
      </x:c>
      <x:c r="AA1470" s="25" t="str">
        <x:v>Public investor organization listing; contact fields copied from official public sources where available.</x:v>
      </x:c>
      <x:c r="AB1470" s="3" t="str">
        <x:v>New public-source collection</x:v>
      </x:c>
      <x:c r="AC1470" s="3" t="str">
        <x:v>unverified</x:v>
      </x:c>
      <x:c r="AD1470" s="3" t="str">
        <x:v>Not contacted / unconfirmed</x:v>
      </x:c>
      <x:c r="AE1470" s="3" t="str">
        <x:v>No</x:v>
      </x:c>
      <x:c r="AF1470" s="3" t="str">
        <x:v>Yes</x:v>
      </x:c>
      <x:c r="AG1470" s="3"/>
      <x:c r="AH1470" s="3"/>
      <x:c r="AI1470" s="18"/>
      <x:c r="AJ1470" s="3" t="str">
        <x:v>CF2500-3C296B0753DD</x:v>
      </x:c>
      <x:c r="AK1470" s="3" t="str">
        <x:v>Family office / private operating-company investor</x:v>
      </x:c>
      <x:c r="AL1470" s="19" t="n">
        <x:v>100000</x:v>
      </x:c>
      <x:c r="AM1470" s="19" t="n">
        <x:v>500000</x:v>
      </x:c>
      <x:c r="AN1470" s="3" t="str">
        <x:v>https://www.axial.net/company/stony-creek-capital</x:v>
      </x:c>
      <x:c r="AO1470" s="3" t="str">
        <x:v>broad_equity_new.jsonl</x:v>
      </x:c>
      <x:c r="AP1470" s="19"/>
    </x:row>
    <x:row r="1471" ht="36" customHeight="1">
      <x:c r="A1471" s="23" t="n">
        <x:v>1470</x:v>
      </x:c>
      <x:c r="B1471" s="15" t="str">
        <x:v>The Brynavon Group</x:v>
      </x:c>
      <x:c r="C1471" s="15"/>
      <x:c r="D1471" s="15" t="str">
        <x:v>Family office / private operating-company capital prospect</x:v>
      </x:c>
      <x:c r="E1471" s="15" t="str">
        <x:v>Private operating-company capital inquiry</x:v>
      </x:c>
      <x:c r="F1471" s="17" t="str">
        <x:v>New</x:v>
      </x:c>
      <x:c r="G1471" s="24" t="str">
        <x:v>glemmon3@brynavon.com</x:v>
      </x:c>
      <x:c r="H1471" s="24" t="str">
        <x:v>+16105252102</x:v>
      </x:c>
      <x:c r="I1471" s="24" t="str">
        <x:v>https://brynavon.com/</x:v>
      </x:c>
      <x:c r="J1471" s="16"/>
      <x:c r="K1471" s="16"/>
      <x:c r="L1471" s="16" t="str">
        <x:v>firm_business_routing</x:v>
      </x:c>
      <x:c r="M1471" s="16" t="str">
        <x:v>https://brynavon.com/</x:v>
      </x:c>
      <x:c r="N1471" s="16" t="str">
        <x:v>$100K-$500K ticket not published / unconfirmed</x:v>
      </x:c>
      <x:c r="O1471" s="20"/>
      <x:c r="P1471" s="20"/>
      <x:c r="Q1471" s="25" t="str">
        <x:v>No $100K-$500K direct check mandate verified from the directory</x:v>
      </x:c>
      <x:c r="R1471" s="25" t="str">
        <x:v>Listed in Axial US family-office investor directory; qualify sector and company-level capital interest.</x:v>
      </x:c>
      <x:c r="S1471" s="25" t="str">
        <x:v>Requested $100K-$500K ticket, minority ownership, trial execution funding, current allocation and eligibility need qualification. Many listed firms focus on acquisitions or larger established companies.</x:v>
      </x:c>
      <x:c r="T1471" s="25" t="str">
        <x:v>Qualify $100K-$500K company-level trial funding, structure, investment interest and actual contact decision-maker before outreach.</x:v>
      </x:c>
      <x:c r="U1471" s="25" t="str">
        <x:v>https://www.axial.net/company/the-brynavon-group
https://www.axial.net/forum/companies/united-states-family-offices/9/
https://brynavon.com/</x:v>
      </x:c>
      <x:c r="V1471" s="26" t="d">
        <x:v>2026-10-02T00:00:00.000Z</x:v>
      </x:c>
      <x:c r="W1471" s="26" t="d">
        <x:v>2026-10-02T00:00:00.000Z</x:v>
      </x:c>
      <x:c r="X1471" s="25" t="str">
        <x:v>Public family-office investor directory; official website checked where recorded. Published direct email/phone recorded only when observed; website-only routes need contact qualification.</x:v>
      </x:c>
      <x:c r="Y1471" s="25" t="str">
        <x:v>https://www.axial.net/company/the-brynavon-group</x:v>
      </x:c>
      <x:c r="Z1471" s="25" t="str">
        <x:v>https://www.axial.net/company/the-brynavon-group</x:v>
      </x:c>
      <x:c r="AA1471" s="25" t="str">
        <x:v>Public investor organization listing; contact fields copied from official public sources where available.</x:v>
      </x:c>
      <x:c r="AB1471" s="3" t="str">
        <x:v>New public-source collection</x:v>
      </x:c>
      <x:c r="AC1471" s="3" t="str">
        <x:v>unverified</x:v>
      </x:c>
      <x:c r="AD1471" s="3" t="str">
        <x:v>Not contacted / unconfirmed</x:v>
      </x:c>
      <x:c r="AE1471" s="3" t="str">
        <x:v>No</x:v>
      </x:c>
      <x:c r="AF1471" s="3" t="str">
        <x:v>Yes</x:v>
      </x:c>
      <x:c r="AG1471" s="3"/>
      <x:c r="AH1471" s="3"/>
      <x:c r="AI1471" s="18"/>
      <x:c r="AJ1471" s="3" t="str">
        <x:v>CF2500-477174866823</x:v>
      </x:c>
      <x:c r="AK1471" s="3" t="str">
        <x:v>Family office / private operating-company investor</x:v>
      </x:c>
      <x:c r="AL1471" s="19" t="n">
        <x:v>100000</x:v>
      </x:c>
      <x:c r="AM1471" s="19" t="n">
        <x:v>500000</x:v>
      </x:c>
      <x:c r="AN1471" s="3" t="str">
        <x:v>https://www.axial.net/company/the-brynavon-group</x:v>
      </x:c>
      <x:c r="AO1471" s="3" t="str">
        <x:v>broad_equity_new.jsonl</x:v>
      </x:c>
      <x:c r="AP1471" s="19"/>
    </x:row>
    <x:row r="1472" ht="36" customHeight="1">
      <x:c r="A1472" s="23" t="n">
        <x:v>1471</x:v>
      </x:c>
      <x:c r="B1472" s="15" t="str">
        <x:v>The Stephens Group, LLC</x:v>
      </x:c>
      <x:c r="C1472" s="15"/>
      <x:c r="D1472" s="15" t="str">
        <x:v>Family office / private operating-company capital prospect</x:v>
      </x:c>
      <x:c r="E1472" s="15" t="str">
        <x:v>Private operating-company capital inquiry</x:v>
      </x:c>
      <x:c r="F1472" s="17" t="str">
        <x:v>New</x:v>
      </x:c>
      <x:c r="G1472" s="24" t="str">
        <x:v>info@stephensgroup.com</x:v>
      </x:c>
      <x:c r="H1472" s="24" t="str">
        <x:v>+15013773401</x:v>
      </x:c>
      <x:c r="I1472" s="24" t="str">
        <x:v>https://www.stephensgroup.com/</x:v>
      </x:c>
      <x:c r="J1472" s="16"/>
      <x:c r="K1472" s="16"/>
      <x:c r="L1472" s="16" t="str">
        <x:v>firm_business_routing</x:v>
      </x:c>
      <x:c r="M1472" s="16" t="str">
        <x:v>https://www.stephensgroup.com/contact/</x:v>
      </x:c>
      <x:c r="N1472" s="16" t="str">
        <x:v>$100K-$500K ticket not published / unconfirmed</x:v>
      </x:c>
      <x:c r="O1472" s="20"/>
      <x:c r="P1472" s="20"/>
      <x:c r="Q1472" s="25" t="str">
        <x:v>No $100K-$500K direct check mandate verified from the directory</x:v>
      </x:c>
      <x:c r="R1472" s="25" t="str">
        <x:v>Listed in Axial business-services family-office investor directory; operating-company capital is relevant for qualification.</x:v>
      </x:c>
      <x:c r="S1472" s="25" t="str">
        <x:v>Requested $100K-$500K ticket, minority ownership, trial execution funding, current allocation and eligibility need qualification. Many listed firms focus on acquisitions or larger established companies.</x:v>
      </x:c>
      <x:c r="T1472" s="25" t="str">
        <x:v>Qualify $100K-$500K company-level trial funding, structure, investment interest and actual contact decision-maker before outreach.</x:v>
      </x:c>
      <x:c r="U1472" s="25" t="str">
        <x:v>https://www.axial.net/company/the-stephens-group-llc
https://www.axial.net/forum/companies/united-states-family-offices/2/
https://www.axial.net/forum/companies/business-services-family-offices/2/
https://www.stephensgroup.com/contact/</x:v>
      </x:c>
      <x:c r="V1472" s="26" t="d">
        <x:v>2026-10-02T00:00:00.000Z</x:v>
      </x:c>
      <x:c r="W1472" s="26" t="d">
        <x:v>2026-10-02T00:00:00.000Z</x:v>
      </x:c>
      <x:c r="X1472" s="25" t="str">
        <x:v>Public family-office investor directory; official website checked where recorded. Published direct email/phone recorded only when observed; website-only routes need contact qualification.</x:v>
      </x:c>
      <x:c r="Y1472" s="25" t="str">
        <x:v>https://www.axial.net/company/the-stephens-group-llc</x:v>
      </x:c>
      <x:c r="Z1472" s="25" t="str">
        <x:v>https://www.axial.net/company/the-stephens-group-llc</x:v>
      </x:c>
      <x:c r="AA1472" s="25" t="str">
        <x:v>Public investor organization listing; contact fields copied from official public sources where available.</x:v>
      </x:c>
      <x:c r="AB1472" s="3" t="str">
        <x:v>New public-source collection</x:v>
      </x:c>
      <x:c r="AC1472" s="3" t="str">
        <x:v>unverified</x:v>
      </x:c>
      <x:c r="AD1472" s="3" t="str">
        <x:v>Not contacted / unconfirmed</x:v>
      </x:c>
      <x:c r="AE1472" s="3" t="str">
        <x:v>No</x:v>
      </x:c>
      <x:c r="AF1472" s="3" t="str">
        <x:v>Yes</x:v>
      </x:c>
      <x:c r="AG1472" s="3"/>
      <x:c r="AH1472" s="3"/>
      <x:c r="AI1472" s="18"/>
      <x:c r="AJ1472" s="3" t="str">
        <x:v>CF2500-E4AEFAD6A67C</x:v>
      </x:c>
      <x:c r="AK1472" s="3" t="str">
        <x:v>Family office / private operating-company investor</x:v>
      </x:c>
      <x:c r="AL1472" s="19" t="n">
        <x:v>100000</x:v>
      </x:c>
      <x:c r="AM1472" s="19" t="n">
        <x:v>500000</x:v>
      </x:c>
      <x:c r="AN1472" s="3" t="str">
        <x:v>https://www.axial.net/company/the-stephens-group-llc</x:v>
      </x:c>
      <x:c r="AO1472" s="3" t="str">
        <x:v>broad_equity_new.jsonl</x:v>
      </x:c>
      <x:c r="AP1472" s="19"/>
    </x:row>
    <x:row r="1473" ht="36" customHeight="1">
      <x:c r="A1473" s="23" t="n">
        <x:v>1472</x:v>
      </x:c>
      <x:c r="B1473" s="15" t="str">
        <x:v>Twin Engine Capital</x:v>
      </x:c>
      <x:c r="C1473" s="15"/>
      <x:c r="D1473" s="15" t="str">
        <x:v>Family office / private operating-company capital prospect</x:v>
      </x:c>
      <x:c r="E1473" s="15" t="str">
        <x:v>Private operating-company capital inquiry</x:v>
      </x:c>
      <x:c r="F1473" s="17" t="str">
        <x:v>New</x:v>
      </x:c>
      <x:c r="G1473" s="24" t="str">
        <x:v>nick.cooper@twinenginecapital.com</x:v>
      </x:c>
      <x:c r="H1473" s="24" t="str">
        <x:v>+19492353657</x:v>
      </x:c>
      <x:c r="I1473" s="24" t="str">
        <x:v>https://www.twinenginecapital.com/</x:v>
      </x:c>
      <x:c r="J1473" s="16"/>
      <x:c r="K1473" s="16"/>
      <x:c r="L1473" s="16" t="str">
        <x:v>firm_business_routing</x:v>
      </x:c>
      <x:c r="M1473" s="16" t="str">
        <x:v>https://www.twinenginecapital.com/</x:v>
      </x:c>
      <x:c r="N1473" s="16" t="str">
        <x:v>$100K-$500K ticket not published / unconfirmed</x:v>
      </x:c>
      <x:c r="O1473" s="20"/>
      <x:c r="P1473" s="20"/>
      <x:c r="Q1473" s="25" t="str">
        <x:v>No $100K-$500K direct check mandate verified from the directory</x:v>
      </x:c>
      <x:c r="R1473" s="25" t="str">
        <x:v>Listed in Axial business-services family-office investor directory; operating-company capital is relevant for qualification.</x:v>
      </x:c>
      <x:c r="S1473" s="25" t="str">
        <x:v>Requested $100K-$500K ticket, minority ownership, trial execution funding, current allocation and eligibility need qualification. Many listed firms focus on acquisitions or larger established companies.</x:v>
      </x:c>
      <x:c r="T1473" s="25" t="str">
        <x:v>Qualify $100K-$500K company-level trial funding, structure, investment interest and actual contact decision-maker before outreach.</x:v>
      </x:c>
      <x:c r="U1473" s="25" t="str">
        <x:v>https://www.axial.net/company/twin-engine-capital
https://www.axial.net/forum/companies/united-states-family-offices/6/
https://www.axial.net/forum/companies/business-services-family-offices/6/
https://www.twinenginecapital.com/</x:v>
      </x:c>
      <x:c r="V1473" s="26" t="d">
        <x:v>2026-10-02T00:00:00.000Z</x:v>
      </x:c>
      <x:c r="W1473" s="26" t="d">
        <x:v>2026-10-02T00:00:00.000Z</x:v>
      </x:c>
      <x:c r="X1473" s="25" t="str">
        <x:v>Public family-office investor directory; official website checked where recorded. Published direct email/phone recorded only when observed; website-only routes need contact qualification.</x:v>
      </x:c>
      <x:c r="Y1473" s="25" t="str">
        <x:v>https://www.axial.net/company/twin-engine-capital</x:v>
      </x:c>
      <x:c r="Z1473" s="25" t="str">
        <x:v>https://www.axial.net/company/twin-engine-capital</x:v>
      </x:c>
      <x:c r="AA1473" s="25" t="str">
        <x:v>Public investor organization listing; contact fields copied from official public sources where available.</x:v>
      </x:c>
      <x:c r="AB1473" s="3" t="str">
        <x:v>New public-source collection</x:v>
      </x:c>
      <x:c r="AC1473" s="3" t="str">
        <x:v>unverified</x:v>
      </x:c>
      <x:c r="AD1473" s="3" t="str">
        <x:v>Not contacted / unconfirmed</x:v>
      </x:c>
      <x:c r="AE1473" s="3" t="str">
        <x:v>No</x:v>
      </x:c>
      <x:c r="AF1473" s="3" t="str">
        <x:v>Yes</x:v>
      </x:c>
      <x:c r="AG1473" s="3"/>
      <x:c r="AH1473" s="3"/>
      <x:c r="AI1473" s="18"/>
      <x:c r="AJ1473" s="3" t="str">
        <x:v>CF2500-7694832377A9</x:v>
      </x:c>
      <x:c r="AK1473" s="3" t="str">
        <x:v>Family office / private operating-company investor</x:v>
      </x:c>
      <x:c r="AL1473" s="19" t="n">
        <x:v>100000</x:v>
      </x:c>
      <x:c r="AM1473" s="19" t="n">
        <x:v>500000</x:v>
      </x:c>
      <x:c r="AN1473" s="3" t="str">
        <x:v>https://www.axial.net/company/twin-engine-capital</x:v>
      </x:c>
      <x:c r="AO1473" s="3" t="str">
        <x:v>broad_equity_new.jsonl</x:v>
      </x:c>
      <x:c r="AP1473" s="19"/>
    </x:row>
    <x:row r="1474" ht="36" customHeight="1">
      <x:c r="A1474" s="23" t="n">
        <x:v>1473</x:v>
      </x:c>
      <x:c r="B1474" s="15" t="str">
        <x:v>Volta Global</x:v>
      </x:c>
      <x:c r="C1474" s="15"/>
      <x:c r="D1474" s="15" t="str">
        <x:v>Family office / private operating-company capital prospect</x:v>
      </x:c>
      <x:c r="E1474" s="15" t="str">
        <x:v>Private operating-company capital inquiry</x:v>
      </x:c>
      <x:c r="F1474" s="17" t="str">
        <x:v>New</x:v>
      </x:c>
      <x:c r="G1474" s="24" t="str">
        <x:v>contact@voltaglobal.com</x:v>
      </x:c>
      <x:c r="H1474" s="24" t="str">
        <x:v>+13054286500</x:v>
      </x:c>
      <x:c r="I1474" s="24" t="str">
        <x:v>https://www.voltaglobal.com/</x:v>
      </x:c>
      <x:c r="J1474" s="16"/>
      <x:c r="K1474" s="16"/>
      <x:c r="L1474" s="16" t="str">
        <x:v>firm_business_routing</x:v>
      </x:c>
      <x:c r="M1474" s="16" t="str">
        <x:v>https://www.voltaglobal.com/connect</x:v>
      </x:c>
      <x:c r="N1474" s="16" t="str">
        <x:v>$100K-$500K ticket not published / unconfirmed</x:v>
      </x:c>
      <x:c r="O1474" s="20"/>
      <x:c r="P1474" s="20"/>
      <x:c r="Q1474" s="25" t="str">
        <x:v>No $100K-$500K direct check mandate verified from the directory</x:v>
      </x:c>
      <x:c r="R1474" s="25" t="str">
        <x:v>Listed in Axial US family-office investor directory; qualify sector and company-level capital interest.</x:v>
      </x:c>
      <x:c r="S1474" s="25" t="str">
        <x:v>Requested $100K-$500K ticket, minority ownership, trial execution funding, current allocation and eligibility need qualification. Many listed firms focus on acquisitions or larger established companies.</x:v>
      </x:c>
      <x:c r="T1474" s="25" t="str">
        <x:v>Qualify $100K-$500K company-level trial funding, structure, investment interest and actual contact decision-maker before outreach.</x:v>
      </x:c>
      <x:c r="U1474" s="25" t="str">
        <x:v>https://www.axial.net/company/volta-global1
https://www.axial.net/forum/companies/united-states-family-offices/7/
https://www.voltaglobal.com/connect</x:v>
      </x:c>
      <x:c r="V1474" s="26" t="d">
        <x:v>2026-10-02T00:00:00.000Z</x:v>
      </x:c>
      <x:c r="W1474" s="26" t="d">
        <x:v>2026-10-02T00:00:00.000Z</x:v>
      </x:c>
      <x:c r="X1474" s="25" t="str">
        <x:v>Public family-office investor directory; official website checked where recorded. Published direct email/phone recorded only when observed; website-only routes need contact qualification.</x:v>
      </x:c>
      <x:c r="Y1474" s="25" t="str">
        <x:v>https://www.axial.net/company/volta-global1</x:v>
      </x:c>
      <x:c r="Z1474" s="25" t="str">
        <x:v>https://www.axial.net/company/volta-global1</x:v>
      </x:c>
      <x:c r="AA1474" s="25" t="str">
        <x:v>Public investor organization listing; contact fields copied from official public sources where available.</x:v>
      </x:c>
      <x:c r="AB1474" s="3" t="str">
        <x:v>New public-source collection</x:v>
      </x:c>
      <x:c r="AC1474" s="3" t="str">
        <x:v>unverified</x:v>
      </x:c>
      <x:c r="AD1474" s="3" t="str">
        <x:v>Not contacted / unconfirmed</x:v>
      </x:c>
      <x:c r="AE1474" s="3" t="str">
        <x:v>No</x:v>
      </x:c>
      <x:c r="AF1474" s="3" t="str">
        <x:v>Yes</x:v>
      </x:c>
      <x:c r="AG1474" s="3"/>
      <x:c r="AH1474" s="3"/>
      <x:c r="AI1474" s="18"/>
      <x:c r="AJ1474" s="3" t="str">
        <x:v>CF2500-2A2DDF181B01</x:v>
      </x:c>
      <x:c r="AK1474" s="3" t="str">
        <x:v>Family office / private operating-company investor</x:v>
      </x:c>
      <x:c r="AL1474" s="19" t="n">
        <x:v>100000</x:v>
      </x:c>
      <x:c r="AM1474" s="19" t="n">
        <x:v>500000</x:v>
      </x:c>
      <x:c r="AN1474" s="3" t="str">
        <x:v>https://www.axial.net/company/volta-global1</x:v>
      </x:c>
      <x:c r="AO1474" s="3" t="str">
        <x:v>broad_equity_new.jsonl</x:v>
      </x:c>
      <x:c r="AP1474" s="19"/>
    </x:row>
    <x:row r="1475" ht="36" customHeight="1">
      <x:c r="A1475" s="23" t="n">
        <x:v>1474</x:v>
      </x:c>
      <x:c r="B1475" s="15" t="str">
        <x:v>AFM Capital Partners</x:v>
      </x:c>
      <x:c r="C1475" s="15"/>
      <x:c r="D1475" s="15" t="str">
        <x:v>Family office / private operating-company capital prospect</x:v>
      </x:c>
      <x:c r="E1475" s="15" t="str">
        <x:v>Private operating-company capital inquiry</x:v>
      </x:c>
      <x:c r="F1475" s="17" t="str">
        <x:v>New</x:v>
      </x:c>
      <x:c r="G1475" s="24" t="str">
        <x:v>info@afmcap.com</x:v>
      </x:c>
      <x:c r="H1475" s="24"/>
      <x:c r="I1475" s="24" t="str">
        <x:v>https://www.afmcap.com/</x:v>
      </x:c>
      <x:c r="J1475" s="16"/>
      <x:c r="K1475" s="16"/>
      <x:c r="L1475" s="16" t="str">
        <x:v>firm_business_routing</x:v>
      </x:c>
      <x:c r="M1475" s="16" t="str">
        <x:v>https://www.afmcap.com/contact/</x:v>
      </x:c>
      <x:c r="N1475" s="16" t="str">
        <x:v>$100K-$500K ticket not published / unconfirmed</x:v>
      </x:c>
      <x:c r="O1475" s="20"/>
      <x:c r="P1475" s="20"/>
      <x:c r="Q1475" s="25" t="str">
        <x:v>No $100K-$500K direct check mandate verified from the directory</x:v>
      </x:c>
      <x:c r="R1475" s="25" t="str">
        <x:v>Listed in Axial US family-office investor directory; qualify sector and company-level capital interest.</x:v>
      </x:c>
      <x:c r="S1475" s="25" t="str">
        <x:v>Requested $100K-$500K ticket, minority ownership, trial execution funding, current allocation and eligibility need qualification. Many listed firms focus on acquisitions or larger established companies.</x:v>
      </x:c>
      <x:c r="T1475" s="25" t="str">
        <x:v>Qualify $100K-$500K company-level trial funding, structure, investment interest and actual contact decision-maker before outreach.</x:v>
      </x:c>
      <x:c r="U1475" s="25" t="str">
        <x:v>https://www.axial.net/company/afm-capital-partners
https://www.axial.net/forum/companies/united-states-family-offices/8/
https://www.afmcap.com/contact/</x:v>
      </x:c>
      <x:c r="V1475" s="26" t="d">
        <x:v>2026-10-02T00:00:00.000Z</x:v>
      </x:c>
      <x:c r="W1475" s="26" t="d">
        <x:v>2026-10-02T00:00:00.000Z</x:v>
      </x:c>
      <x:c r="X1475" s="25" t="str">
        <x:v>Public family-office investor directory; official website checked where recorded. Published direct email/phone recorded only when observed; website-only routes need contact qualification.</x:v>
      </x:c>
      <x:c r="Y1475" s="25" t="str">
        <x:v>https://www.axial.net/company/afm-capital-partners</x:v>
      </x:c>
      <x:c r="Z1475" s="25"/>
      <x:c r="AA1475" s="25" t="str">
        <x:v>Public investor organization listing; contact fields copied from official public sources where available.</x:v>
      </x:c>
      <x:c r="AB1475" s="3" t="str">
        <x:v>New public-source collection</x:v>
      </x:c>
      <x:c r="AC1475" s="3" t="str">
        <x:v>unverified</x:v>
      </x:c>
      <x:c r="AD1475" s="3" t="str">
        <x:v>Not contacted / unconfirmed</x:v>
      </x:c>
      <x:c r="AE1475" s="3" t="str">
        <x:v>No</x:v>
      </x:c>
      <x:c r="AF1475" s="3" t="str">
        <x:v>Yes</x:v>
      </x:c>
      <x:c r="AG1475" s="3"/>
      <x:c r="AH1475" s="3"/>
      <x:c r="AI1475" s="18"/>
      <x:c r="AJ1475" s="3" t="str">
        <x:v>CF2500-0393A0F8A7C2</x:v>
      </x:c>
      <x:c r="AK1475" s="3" t="str">
        <x:v>Family office / private operating-company investor</x:v>
      </x:c>
      <x:c r="AL1475" s="19" t="n">
        <x:v>100000</x:v>
      </x:c>
      <x:c r="AM1475" s="19" t="n">
        <x:v>500000</x:v>
      </x:c>
      <x:c r="AN1475" s="3" t="str">
        <x:v>https://www.axial.net/company/afm-capital-partners</x:v>
      </x:c>
      <x:c r="AO1475" s="3" t="str">
        <x:v>broad_equity_new.jsonl</x:v>
      </x:c>
      <x:c r="AP1475" s="19"/>
    </x:row>
    <x:row r="1476" ht="36" customHeight="1">
      <x:c r="A1476" s="23" t="n">
        <x:v>1475</x:v>
      </x:c>
      <x:c r="B1476" s="15" t="str">
        <x:v>Bliss Enterprises</x:v>
      </x:c>
      <x:c r="C1476" s="15"/>
      <x:c r="D1476" s="15" t="str">
        <x:v>Family office / private operating-company capital prospect</x:v>
      </x:c>
      <x:c r="E1476" s="15" t="str">
        <x:v>Private operating-company capital inquiry</x:v>
      </x:c>
      <x:c r="F1476" s="17" t="str">
        <x:v>New</x:v>
      </x:c>
      <x:c r="G1476" s="24" t="str">
        <x:v>info@bliss.enterprises</x:v>
      </x:c>
      <x:c r="H1476" s="24"/>
      <x:c r="I1476" s="24" t="str">
        <x:v>https://www.bliss.enterprises/</x:v>
      </x:c>
      <x:c r="J1476" s="16"/>
      <x:c r="K1476" s="16"/>
      <x:c r="L1476" s="16" t="str">
        <x:v>firm_business_routing</x:v>
      </x:c>
      <x:c r="M1476" s="16" t="str">
        <x:v>https://www.bliss.enterprises/</x:v>
      </x:c>
      <x:c r="N1476" s="16" t="str">
        <x:v>$100K-$500K ticket not published / unconfirmed</x:v>
      </x:c>
      <x:c r="O1476" s="20"/>
      <x:c r="P1476" s="20"/>
      <x:c r="Q1476" s="25" t="str">
        <x:v>No $100K-$500K direct check mandate verified from the directory</x:v>
      </x:c>
      <x:c r="R1476" s="25" t="str">
        <x:v>Listed in Axial business-services family-office investor directory; operating-company capital is relevant for qualification.</x:v>
      </x:c>
      <x:c r="S1476" s="25" t="str">
        <x:v>Requested $100K-$500K ticket, minority ownership, trial execution funding, current allocation and eligibility need qualification. Many listed firms focus on acquisitions or larger established companies.</x:v>
      </x:c>
      <x:c r="T1476" s="25" t="str">
        <x:v>Qualify $100K-$500K company-level trial funding, structure, investment interest and actual contact decision-maker before outreach.</x:v>
      </x:c>
      <x:c r="U1476" s="25" t="str">
        <x:v>https://www.axial.net/company/bliss-enterprises
https://www.axial.net/forum/companies/united-states-family-offices/6/
https://www.axial.net/forum/companies/business-services-family-offices/6/
https://www.bliss.enterprises/</x:v>
      </x:c>
      <x:c r="V1476" s="26" t="d">
        <x:v>2026-10-02T00:00:00.000Z</x:v>
      </x:c>
      <x:c r="W1476" s="26" t="d">
        <x:v>2026-10-02T00:00:00.000Z</x:v>
      </x:c>
      <x:c r="X1476" s="25" t="str">
        <x:v>Public family-office investor directory; official website checked where recorded. Published direct email/phone recorded only when observed; website-only routes need contact qualification.</x:v>
      </x:c>
      <x:c r="Y1476" s="25" t="str">
        <x:v>https://www.axial.net/company/bliss-enterprises</x:v>
      </x:c>
      <x:c r="Z1476" s="25"/>
      <x:c r="AA1476" s="25" t="str">
        <x:v>Public investor organization listing; contact fields copied from official public sources where available.</x:v>
      </x:c>
      <x:c r="AB1476" s="3" t="str">
        <x:v>New public-source collection</x:v>
      </x:c>
      <x:c r="AC1476" s="3" t="str">
        <x:v>unverified</x:v>
      </x:c>
      <x:c r="AD1476" s="3" t="str">
        <x:v>Not contacted / unconfirmed</x:v>
      </x:c>
      <x:c r="AE1476" s="3" t="str">
        <x:v>No</x:v>
      </x:c>
      <x:c r="AF1476" s="3" t="str">
        <x:v>Yes</x:v>
      </x:c>
      <x:c r="AG1476" s="3"/>
      <x:c r="AH1476" s="3"/>
      <x:c r="AI1476" s="18"/>
      <x:c r="AJ1476" s="3" t="str">
        <x:v>CF2500-FC6E5F47E059</x:v>
      </x:c>
      <x:c r="AK1476" s="3" t="str">
        <x:v>Family office / private operating-company investor</x:v>
      </x:c>
      <x:c r="AL1476" s="19" t="n">
        <x:v>100000</x:v>
      </x:c>
      <x:c r="AM1476" s="19" t="n">
        <x:v>500000</x:v>
      </x:c>
      <x:c r="AN1476" s="3" t="str">
        <x:v>https://www.axial.net/company/bliss-enterprises</x:v>
      </x:c>
      <x:c r="AO1476" s="3" t="str">
        <x:v>broad_equity_new.jsonl</x:v>
      </x:c>
      <x:c r="AP1476" s="19"/>
    </x:row>
    <x:row r="1477" ht="36" customHeight="1">
      <x:c r="A1477" s="23" t="n">
        <x:v>1476</x:v>
      </x:c>
      <x:c r="B1477" s="15" t="str">
        <x:v>Boxcar Brands</x:v>
      </x:c>
      <x:c r="C1477" s="15"/>
      <x:c r="D1477" s="15" t="str">
        <x:v>Family office / private operating-company capital prospect</x:v>
      </x:c>
      <x:c r="E1477" s="15" t="str">
        <x:v>Private operating-company capital inquiry</x:v>
      </x:c>
      <x:c r="F1477" s="17" t="str">
        <x:v>New</x:v>
      </x:c>
      <x:c r="G1477" s="24" t="str">
        <x:v>hello@boxcarbrands.co</x:v>
      </x:c>
      <x:c r="H1477" s="24"/>
      <x:c r="I1477" s="24" t="str">
        <x:v>https://boxcarbrands.co/</x:v>
      </x:c>
      <x:c r="J1477" s="16"/>
      <x:c r="K1477" s="16"/>
      <x:c r="L1477" s="16" t="str">
        <x:v>firm_business_routing</x:v>
      </x:c>
      <x:c r="M1477" s="16" t="str">
        <x:v>https://boxcarbrands.co/</x:v>
      </x:c>
      <x:c r="N1477" s="16" t="str">
        <x:v>$100K-$500K ticket not published / unconfirmed</x:v>
      </x:c>
      <x:c r="O1477" s="20"/>
      <x:c r="P1477" s="20"/>
      <x:c r="Q1477" s="25" t="str">
        <x:v>No $100K-$500K direct check mandate verified from the directory</x:v>
      </x:c>
      <x:c r="R1477" s="25" t="str">
        <x:v>Listed in Axial US family-office investor directory; qualify sector and company-level capital interest.</x:v>
      </x:c>
      <x:c r="S1477" s="25" t="str">
        <x:v>Requested $100K-$500K ticket, minority ownership, trial execution funding, current allocation and eligibility need qualification. Many listed firms focus on acquisitions or larger established companies.</x:v>
      </x:c>
      <x:c r="T1477" s="25" t="str">
        <x:v>Qualify $100K-$500K company-level trial funding, structure, investment interest and actual contact decision-maker before outreach.</x:v>
      </x:c>
      <x:c r="U1477" s="25" t="str">
        <x:v>https://www.axial.net/company/boxcar-brands
https://www.axial.net/forum/companies/united-states-family-offices/12/
https://boxcarbrands.co/</x:v>
      </x:c>
      <x:c r="V1477" s="26" t="d">
        <x:v>2026-10-02T00:00:00.000Z</x:v>
      </x:c>
      <x:c r="W1477" s="26" t="d">
        <x:v>2026-10-02T00:00:00.000Z</x:v>
      </x:c>
      <x:c r="X1477" s="25" t="str">
        <x:v>Public family-office investor directory; official website checked where recorded. Published direct email/phone recorded only when observed; website-only routes need contact qualification.</x:v>
      </x:c>
      <x:c r="Y1477" s="25" t="str">
        <x:v>https://www.axial.net/company/boxcar-brands</x:v>
      </x:c>
      <x:c r="Z1477" s="25"/>
      <x:c r="AA1477" s="25" t="str">
        <x:v>Public investor organization listing; contact fields copied from official public sources where available.</x:v>
      </x:c>
      <x:c r="AB1477" s="3" t="str">
        <x:v>New public-source collection</x:v>
      </x:c>
      <x:c r="AC1477" s="3" t="str">
        <x:v>unverified</x:v>
      </x:c>
      <x:c r="AD1477" s="3" t="str">
        <x:v>Not contacted / unconfirmed</x:v>
      </x:c>
      <x:c r="AE1477" s="3" t="str">
        <x:v>No</x:v>
      </x:c>
      <x:c r="AF1477" s="3" t="str">
        <x:v>Yes</x:v>
      </x:c>
      <x:c r="AG1477" s="3"/>
      <x:c r="AH1477" s="3"/>
      <x:c r="AI1477" s="18"/>
      <x:c r="AJ1477" s="3" t="str">
        <x:v>CF2500-2F2F017E566E</x:v>
      </x:c>
      <x:c r="AK1477" s="3" t="str">
        <x:v>Family office / private operating-company investor</x:v>
      </x:c>
      <x:c r="AL1477" s="19" t="n">
        <x:v>100000</x:v>
      </x:c>
      <x:c r="AM1477" s="19" t="n">
        <x:v>500000</x:v>
      </x:c>
      <x:c r="AN1477" s="3" t="str">
        <x:v>https://www.axial.net/company/boxcar-brands</x:v>
      </x:c>
      <x:c r="AO1477" s="3" t="str">
        <x:v>broad_equity_new.jsonl</x:v>
      </x:c>
      <x:c r="AP1477" s="19"/>
    </x:row>
    <x:row r="1478" ht="36" customHeight="1">
      <x:c r="A1478" s="23" t="n">
        <x:v>1477</x:v>
      </x:c>
      <x:c r="B1478" s="15" t="str">
        <x:v>Cardinal Equity Partners LLC</x:v>
      </x:c>
      <x:c r="C1478" s="15"/>
      <x:c r="D1478" s="15" t="str">
        <x:v>Family office / private operating-company capital prospect</x:v>
      </x:c>
      <x:c r="E1478" s="15" t="str">
        <x:v>Private operating-company capital inquiry</x:v>
      </x:c>
      <x:c r="F1478" s="17" t="str">
        <x:v>New</x:v>
      </x:c>
      <x:c r="G1478" s="24" t="str">
        <x:v>jackerman@cardinalep.com</x:v>
      </x:c>
      <x:c r="H1478" s="24"/>
      <x:c r="I1478" s="24" t="str">
        <x:v>https://www.cardinalep.com/</x:v>
      </x:c>
      <x:c r="J1478" s="16"/>
      <x:c r="K1478" s="16"/>
      <x:c r="L1478" s="16" t="str">
        <x:v>firm_business_routing</x:v>
      </x:c>
      <x:c r="M1478" s="16" t="str">
        <x:v>https://www.cardinalep.com/</x:v>
      </x:c>
      <x:c r="N1478" s="16" t="str">
        <x:v>$100K-$500K ticket not published / unconfirmed</x:v>
      </x:c>
      <x:c r="O1478" s="20"/>
      <x:c r="P1478" s="20"/>
      <x:c r="Q1478" s="25" t="str">
        <x:v>No $100K-$500K direct check mandate verified from the directory</x:v>
      </x:c>
      <x:c r="R1478" s="25" t="str">
        <x:v>Listed in Axial business-services family-office investor directory; operating-company capital is relevant for qualification.</x:v>
      </x:c>
      <x:c r="S1478" s="25" t="str">
        <x:v>Requested $100K-$500K ticket, minority ownership, trial execution funding, current allocation and eligibility need qualification. Many listed firms focus on acquisitions or larger established companies.</x:v>
      </x:c>
      <x:c r="T1478" s="25" t="str">
        <x:v>Qualify $100K-$500K company-level trial funding, structure, investment interest and actual contact decision-maker before outreach.</x:v>
      </x:c>
      <x:c r="U1478" s="25" t="str">
        <x:v>https://www.axial.net/company/cardinal-equity-partners-llc
https://www.axial.net/forum/companies/united-states-family-offices/9/
https://www.axial.net/forum/companies/business-services-family-offices/8/
https://www.cardinalep.com/</x:v>
      </x:c>
      <x:c r="V1478" s="26" t="d">
        <x:v>2026-10-02T00:00:00.000Z</x:v>
      </x:c>
      <x:c r="W1478" s="26" t="d">
        <x:v>2026-10-02T00:00:00.000Z</x:v>
      </x:c>
      <x:c r="X1478" s="25" t="str">
        <x:v>Public family-office investor directory; official website checked where recorded. Published direct email/phone recorded only when observed; website-only routes need contact qualification.</x:v>
      </x:c>
      <x:c r="Y1478" s="25" t="str">
        <x:v>https://www.axial.net/company/cardinal-equity-partners-llc</x:v>
      </x:c>
      <x:c r="Z1478" s="25"/>
      <x:c r="AA1478" s="25" t="str">
        <x:v>Public investor organization listing; contact fields copied from official public sources where available.</x:v>
      </x:c>
      <x:c r="AB1478" s="3" t="str">
        <x:v>New public-source collection</x:v>
      </x:c>
      <x:c r="AC1478" s="3" t="str">
        <x:v>unverified</x:v>
      </x:c>
      <x:c r="AD1478" s="3" t="str">
        <x:v>Not contacted / unconfirmed</x:v>
      </x:c>
      <x:c r="AE1478" s="3" t="str">
        <x:v>No</x:v>
      </x:c>
      <x:c r="AF1478" s="3" t="str">
        <x:v>Yes</x:v>
      </x:c>
      <x:c r="AG1478" s="3"/>
      <x:c r="AH1478" s="3"/>
      <x:c r="AI1478" s="18"/>
      <x:c r="AJ1478" s="3" t="str">
        <x:v>CF2500-5442AAD1A523</x:v>
      </x:c>
      <x:c r="AK1478" s="3" t="str">
        <x:v>Family office / private operating-company investor</x:v>
      </x:c>
      <x:c r="AL1478" s="19" t="n">
        <x:v>100000</x:v>
      </x:c>
      <x:c r="AM1478" s="19" t="n">
        <x:v>500000</x:v>
      </x:c>
      <x:c r="AN1478" s="3" t="str">
        <x:v>https://www.axial.net/company/cardinal-equity-partners-llc</x:v>
      </x:c>
      <x:c r="AO1478" s="3" t="str">
        <x:v>broad_equity_new.jsonl</x:v>
      </x:c>
      <x:c r="AP1478" s="19"/>
    </x:row>
    <x:row r="1479" ht="36" customHeight="1">
      <x:c r="A1479" s="23" t="n">
        <x:v>1478</x:v>
      </x:c>
      <x:c r="B1479" s="15" t="str">
        <x:v>Cranbrook Partners</x:v>
      </x:c>
      <x:c r="C1479" s="15"/>
      <x:c r="D1479" s="15" t="str">
        <x:v>Family office / private operating-company capital prospect</x:v>
      </x:c>
      <x:c r="E1479" s="15" t="str">
        <x:v>Private operating-company capital inquiry</x:v>
      </x:c>
      <x:c r="F1479" s="17" t="str">
        <x:v>New</x:v>
      </x:c>
      <x:c r="G1479" s="24" t="str">
        <x:v>info@cranbrookpartners.com</x:v>
      </x:c>
      <x:c r="H1479" s="24"/>
      <x:c r="I1479" s="24" t="str">
        <x:v>https://cranbrookpartners.com/</x:v>
      </x:c>
      <x:c r="J1479" s="16"/>
      <x:c r="K1479" s="16"/>
      <x:c r="L1479" s="16" t="str">
        <x:v>firm_business_routing</x:v>
      </x:c>
      <x:c r="M1479" s="16" t="str">
        <x:v>https://cranbrookpartners.com/</x:v>
      </x:c>
      <x:c r="N1479" s="16" t="str">
        <x:v>$100K-$500K ticket not published / unconfirmed</x:v>
      </x:c>
      <x:c r="O1479" s="20"/>
      <x:c r="P1479" s="20"/>
      <x:c r="Q1479" s="25" t="str">
        <x:v>No $100K-$500K direct check mandate verified from the directory</x:v>
      </x:c>
      <x:c r="R1479" s="25" t="str">
        <x:v>Listed in Axial business-services family-office investor directory; operating-company capital is relevant for qualification.</x:v>
      </x:c>
      <x:c r="S1479" s="25" t="str">
        <x:v>Requested $100K-$500K ticket, minority ownership, trial execution funding, current allocation and eligibility need qualification. Many listed firms focus on acquisitions or larger established companies.</x:v>
      </x:c>
      <x:c r="T1479" s="25" t="str">
        <x:v>Qualify $100K-$500K company-level trial funding, structure, investment interest and actual contact decision-maker before outreach.</x:v>
      </x:c>
      <x:c r="U1479" s="25" t="str">
        <x:v>https://www.axial.net/company/cranbrook-partners
https://www.axial.net/forum/companies/united-states-family-offices/
https://www.axial.net/forum/companies/business-services-family-offices/
https://cranbrookpartners.com/</x:v>
      </x:c>
      <x:c r="V1479" s="26" t="d">
        <x:v>2026-10-02T00:00:00.000Z</x:v>
      </x:c>
      <x:c r="W1479" s="26" t="d">
        <x:v>2026-10-02T00:00:00.000Z</x:v>
      </x:c>
      <x:c r="X1479" s="25" t="str">
        <x:v>Public family-office investor directory; official website checked where recorded. Published direct email/phone recorded only when observed; website-only routes need contact qualification.</x:v>
      </x:c>
      <x:c r="Y1479" s="25" t="str">
        <x:v>https://www.axial.net/company/cranbrook-partners</x:v>
      </x:c>
      <x:c r="Z1479" s="25"/>
      <x:c r="AA1479" s="25" t="str">
        <x:v>Public investor organization listing; contact fields copied from official public sources where available.</x:v>
      </x:c>
      <x:c r="AB1479" s="3" t="str">
        <x:v>New public-source collection</x:v>
      </x:c>
      <x:c r="AC1479" s="3" t="str">
        <x:v>unverified</x:v>
      </x:c>
      <x:c r="AD1479" s="3" t="str">
        <x:v>Not contacted / unconfirmed</x:v>
      </x:c>
      <x:c r="AE1479" s="3" t="str">
        <x:v>No</x:v>
      </x:c>
      <x:c r="AF1479" s="3" t="str">
        <x:v>Yes</x:v>
      </x:c>
      <x:c r="AG1479" s="3"/>
      <x:c r="AH1479" s="3"/>
      <x:c r="AI1479" s="18"/>
      <x:c r="AJ1479" s="3" t="str">
        <x:v>CF2500-F06141014803</x:v>
      </x:c>
      <x:c r="AK1479" s="3" t="str">
        <x:v>Family office / private operating-company investor</x:v>
      </x:c>
      <x:c r="AL1479" s="19" t="n">
        <x:v>100000</x:v>
      </x:c>
      <x:c r="AM1479" s="19" t="n">
        <x:v>500000</x:v>
      </x:c>
      <x:c r="AN1479" s="3" t="str">
        <x:v>https://www.axial.net/company/cranbrook-partners</x:v>
      </x:c>
      <x:c r="AO1479" s="3" t="str">
        <x:v>broad_equity_new.jsonl</x:v>
      </x:c>
      <x:c r="AP1479" s="19"/>
    </x:row>
    <x:row r="1480" ht="36" customHeight="1">
      <x:c r="A1480" s="23" t="n">
        <x:v>1479</x:v>
      </x:c>
      <x:c r="B1480" s="15" t="str">
        <x:v>Elmore Companies</x:v>
      </x:c>
      <x:c r="C1480" s="15"/>
      <x:c r="D1480" s="15" t="str">
        <x:v>Family office / private operating-company capital prospect</x:v>
      </x:c>
      <x:c r="E1480" s="15" t="str">
        <x:v>Private operating-company capital inquiry</x:v>
      </x:c>
      <x:c r="F1480" s="17" t="str">
        <x:v>New</x:v>
      </x:c>
      <x:c r="G1480" s="24" t="str">
        <x:v>info@elmorecompanies.com</x:v>
      </x:c>
      <x:c r="H1480" s="24"/>
      <x:c r="I1480" s="24" t="str">
        <x:v>https://elmorecompanies.com/</x:v>
      </x:c>
      <x:c r="J1480" s="16"/>
      <x:c r="K1480" s="16"/>
      <x:c r="L1480" s="16" t="str">
        <x:v>firm_business_routing</x:v>
      </x:c>
      <x:c r="M1480" s="16" t="str">
        <x:v>https://elmorecompanies.com/</x:v>
      </x:c>
      <x:c r="N1480" s="16" t="str">
        <x:v>$100K-$500K ticket not published / unconfirmed</x:v>
      </x:c>
      <x:c r="O1480" s="20"/>
      <x:c r="P1480" s="20"/>
      <x:c r="Q1480" s="25" t="str">
        <x:v>No $100K-$500K direct check mandate verified from the directory</x:v>
      </x:c>
      <x:c r="R1480" s="25" t="str">
        <x:v>Listed in Axial business-services family-office investor directory; operating-company capital is relevant for qualification.</x:v>
      </x:c>
      <x:c r="S1480" s="25" t="str">
        <x:v>Requested $100K-$500K ticket, minority ownership, trial execution funding, current allocation and eligibility need qualification. Many listed firms focus on acquisitions or larger established companies.</x:v>
      </x:c>
      <x:c r="T1480" s="25" t="str">
        <x:v>Qualify $100K-$500K company-level trial funding, structure, investment interest and actual contact decision-maker before outreach.</x:v>
      </x:c>
      <x:c r="U1480" s="25" t="str">
        <x:v>https://www.axial.net/company/elmore-companies
https://www.axial.net/forum/companies/united-states-family-offices/8/
https://www.axial.net/forum/companies/business-services-family-offices/8/
https://elmorecompanies.com/</x:v>
      </x:c>
      <x:c r="V1480" s="26" t="d">
        <x:v>2026-10-02T00:00:00.000Z</x:v>
      </x:c>
      <x:c r="W1480" s="26" t="d">
        <x:v>2026-10-02T00:00:00.000Z</x:v>
      </x:c>
      <x:c r="X1480" s="25" t="str">
        <x:v>Public family-office investor directory; official website checked where recorded. Published direct email/phone recorded only when observed; website-only routes need contact qualification.</x:v>
      </x:c>
      <x:c r="Y1480" s="25" t="str">
        <x:v>https://www.axial.net/company/elmore-companies</x:v>
      </x:c>
      <x:c r="Z1480" s="25"/>
      <x:c r="AA1480" s="25" t="str">
        <x:v>Public investor organization listing; contact fields copied from official public sources where available.</x:v>
      </x:c>
      <x:c r="AB1480" s="3" t="str">
        <x:v>New public-source collection</x:v>
      </x:c>
      <x:c r="AC1480" s="3" t="str">
        <x:v>unverified</x:v>
      </x:c>
      <x:c r="AD1480" s="3" t="str">
        <x:v>Not contacted / unconfirmed</x:v>
      </x:c>
      <x:c r="AE1480" s="3" t="str">
        <x:v>No</x:v>
      </x:c>
      <x:c r="AF1480" s="3" t="str">
        <x:v>Yes</x:v>
      </x:c>
      <x:c r="AG1480" s="3"/>
      <x:c r="AH1480" s="3"/>
      <x:c r="AI1480" s="18"/>
      <x:c r="AJ1480" s="3" t="str">
        <x:v>CF2500-7AAAD87EBC71</x:v>
      </x:c>
      <x:c r="AK1480" s="3" t="str">
        <x:v>Family office / private operating-company investor</x:v>
      </x:c>
      <x:c r="AL1480" s="19" t="n">
        <x:v>100000</x:v>
      </x:c>
      <x:c r="AM1480" s="19" t="n">
        <x:v>500000</x:v>
      </x:c>
      <x:c r="AN1480" s="3" t="str">
        <x:v>https://www.axial.net/company/elmore-companies</x:v>
      </x:c>
      <x:c r="AO1480" s="3" t="str">
        <x:v>broad_equity_new.jsonl</x:v>
      </x:c>
      <x:c r="AP1480" s="19"/>
    </x:row>
    <x:row r="1481" ht="36" customHeight="1">
      <x:c r="A1481" s="23" t="n">
        <x:v>1480</x:v>
      </x:c>
      <x:c r="B1481" s="15" t="str">
        <x:v>Falcon Private Investments</x:v>
      </x:c>
      <x:c r="C1481" s="15"/>
      <x:c r="D1481" s="15" t="str">
        <x:v>Family office / private operating-company capital prospect</x:v>
      </x:c>
      <x:c r="E1481" s="15" t="str">
        <x:v>Private operating-company capital inquiry</x:v>
      </x:c>
      <x:c r="F1481" s="17" t="str">
        <x:v>New</x:v>
      </x:c>
      <x:c r="G1481" s="24" t="str">
        <x:v>chris@falcon-lp.com</x:v>
      </x:c>
      <x:c r="H1481" s="24"/>
      <x:c r="I1481" s="24" t="str">
        <x:v>https://www.falconprivateinvestments.com/</x:v>
      </x:c>
      <x:c r="J1481" s="16"/>
      <x:c r="K1481" s="16"/>
      <x:c r="L1481" s="16" t="str">
        <x:v>firm_business_routing</x:v>
      </x:c>
      <x:c r="M1481" s="16" t="str">
        <x:v>https://www.falconprivateinvestments.com/contact/</x:v>
      </x:c>
      <x:c r="N1481" s="16" t="str">
        <x:v>$100K-$500K ticket not published / unconfirmed</x:v>
      </x:c>
      <x:c r="O1481" s="20"/>
      <x:c r="P1481" s="20"/>
      <x:c r="Q1481" s="25" t="str">
        <x:v>No $100K-$500K direct check mandate verified from the directory</x:v>
      </x:c>
      <x:c r="R1481" s="25" t="str">
        <x:v>Listed in Axial business-services family-office investor directory; operating-company capital is relevant for qualification.</x:v>
      </x:c>
      <x:c r="S1481" s="25" t="str">
        <x:v>Requested $100K-$500K ticket, minority ownership, trial execution funding, current allocation and eligibility need qualification. Many listed firms focus on acquisitions or larger established companies.</x:v>
      </x:c>
      <x:c r="T1481" s="25" t="str">
        <x:v>Qualify $100K-$500K company-level trial funding, structure, investment interest and actual contact decision-maker before outreach.</x:v>
      </x:c>
      <x:c r="U1481" s="25" t="str">
        <x:v>https://www.axial.net/company/falcon-private-investments
https://www.axial.net/forum/companies/united-states-family-offices/3/
https://www.axial.net/forum/companies/business-services-family-offices/3/
https://www.falconprivateinvestments.com/contact/</x:v>
      </x:c>
      <x:c r="V1481" s="26" t="d">
        <x:v>2026-10-02T00:00:00.000Z</x:v>
      </x:c>
      <x:c r="W1481" s="26" t="d">
        <x:v>2026-10-02T00:00:00.000Z</x:v>
      </x:c>
      <x:c r="X1481" s="25" t="str">
        <x:v>Public family-office investor directory; official website checked where recorded. Published direct email/phone recorded only when observed; website-only routes need contact qualification.</x:v>
      </x:c>
      <x:c r="Y1481" s="25" t="str">
        <x:v>https://www.axial.net/company/falcon-private-investments</x:v>
      </x:c>
      <x:c r="Z1481" s="25"/>
      <x:c r="AA1481" s="25" t="str">
        <x:v>Public investor organization listing; contact fields copied from official public sources where available.</x:v>
      </x:c>
      <x:c r="AB1481" s="3" t="str">
        <x:v>New public-source collection</x:v>
      </x:c>
      <x:c r="AC1481" s="3" t="str">
        <x:v>unverified</x:v>
      </x:c>
      <x:c r="AD1481" s="3" t="str">
        <x:v>Not contacted / unconfirmed</x:v>
      </x:c>
      <x:c r="AE1481" s="3" t="str">
        <x:v>No</x:v>
      </x:c>
      <x:c r="AF1481" s="3" t="str">
        <x:v>Yes</x:v>
      </x:c>
      <x:c r="AG1481" s="3"/>
      <x:c r="AH1481" s="3"/>
      <x:c r="AI1481" s="18"/>
      <x:c r="AJ1481" s="3" t="str">
        <x:v>CF2500-B503EB3B8DB0</x:v>
      </x:c>
      <x:c r="AK1481" s="3" t="str">
        <x:v>Family office / private operating-company investor</x:v>
      </x:c>
      <x:c r="AL1481" s="19" t="n">
        <x:v>100000</x:v>
      </x:c>
      <x:c r="AM1481" s="19" t="n">
        <x:v>500000</x:v>
      </x:c>
      <x:c r="AN1481" s="3" t="str">
        <x:v>https://www.axial.net/company/falcon-private-investments</x:v>
      </x:c>
      <x:c r="AO1481" s="3" t="str">
        <x:v>broad_equity_new.jsonl</x:v>
      </x:c>
      <x:c r="AP1481" s="19"/>
    </x:row>
    <x:row r="1482" ht="36" customHeight="1">
      <x:c r="A1482" s="23" t="n">
        <x:v>1481</x:v>
      </x:c>
      <x:c r="B1482" s="15" t="str">
        <x:v>Flying Horse Capital</x:v>
      </x:c>
      <x:c r="C1482" s="15"/>
      <x:c r="D1482" s="15" t="str">
        <x:v>Family office / private operating-company capital prospect</x:v>
      </x:c>
      <x:c r="E1482" s="15" t="str">
        <x:v>Private operating-company capital inquiry</x:v>
      </x:c>
      <x:c r="F1482" s="17" t="str">
        <x:v>New</x:v>
      </x:c>
      <x:c r="G1482" s="24" t="str">
        <x:v>info@flyinghorsecapital.com</x:v>
      </x:c>
      <x:c r="H1482" s="24"/>
      <x:c r="I1482" s="24" t="str">
        <x:v>https://www.flyinghorsecapital.com/</x:v>
      </x:c>
      <x:c r="J1482" s="16"/>
      <x:c r="K1482" s="16"/>
      <x:c r="L1482" s="16" t="str">
        <x:v>firm_business_routing</x:v>
      </x:c>
      <x:c r="M1482" s="16" t="str">
        <x:v>https://www.flyinghorsecapital.com/</x:v>
      </x:c>
      <x:c r="N1482" s="16" t="str">
        <x:v>$100K-$500K ticket not published / unconfirmed</x:v>
      </x:c>
      <x:c r="O1482" s="20"/>
      <x:c r="P1482" s="20"/>
      <x:c r="Q1482" s="25" t="str">
        <x:v>No $100K-$500K direct check mandate verified from the directory</x:v>
      </x:c>
      <x:c r="R1482" s="25" t="str">
        <x:v>Listed in Axial business-services family-office investor directory; operating-company capital is relevant for qualification.</x:v>
      </x:c>
      <x:c r="S1482" s="25" t="str">
        <x:v>Requested $100K-$500K ticket, minority ownership, trial execution funding, current allocation and eligibility need qualification. Many listed firms focus on acquisitions or larger established companies.</x:v>
      </x:c>
      <x:c r="T1482" s="25" t="str">
        <x:v>Qualify $100K-$500K company-level trial funding, structure, investment interest and actual contact decision-maker before outreach.</x:v>
      </x:c>
      <x:c r="U1482" s="25" t="str">
        <x:v>https://www.axial.net/company/flying-horse-capital
https://www.axial.net/forum/companies/united-states-family-offices/4/
https://www.axial.net/forum/companies/business-services-family-offices/4/
https://www.flyinghorsecapital.com/</x:v>
      </x:c>
      <x:c r="V1482" s="26" t="d">
        <x:v>2026-10-02T00:00:00.000Z</x:v>
      </x:c>
      <x:c r="W1482" s="26" t="d">
        <x:v>2026-10-02T00:00:00.000Z</x:v>
      </x:c>
      <x:c r="X1482" s="25" t="str">
        <x:v>Public family-office investor directory; official website checked where recorded. Published direct email/phone recorded only when observed; website-only routes need contact qualification.</x:v>
      </x:c>
      <x:c r="Y1482" s="25" t="str">
        <x:v>https://www.axial.net/company/flying-horse-capital</x:v>
      </x:c>
      <x:c r="Z1482" s="25"/>
      <x:c r="AA1482" s="25" t="str">
        <x:v>Public investor organization listing; contact fields copied from official public sources where available.</x:v>
      </x:c>
      <x:c r="AB1482" s="3" t="str">
        <x:v>New public-source collection</x:v>
      </x:c>
      <x:c r="AC1482" s="3" t="str">
        <x:v>unverified</x:v>
      </x:c>
      <x:c r="AD1482" s="3" t="str">
        <x:v>Not contacted / unconfirmed</x:v>
      </x:c>
      <x:c r="AE1482" s="3" t="str">
        <x:v>No</x:v>
      </x:c>
      <x:c r="AF1482" s="3" t="str">
        <x:v>Yes</x:v>
      </x:c>
      <x:c r="AG1482" s="3"/>
      <x:c r="AH1482" s="3"/>
      <x:c r="AI1482" s="18"/>
      <x:c r="AJ1482" s="3" t="str">
        <x:v>CF2500-03869A4FCDFB</x:v>
      </x:c>
      <x:c r="AK1482" s="3" t="str">
        <x:v>Family office / private operating-company investor</x:v>
      </x:c>
      <x:c r="AL1482" s="19" t="n">
        <x:v>100000</x:v>
      </x:c>
      <x:c r="AM1482" s="19" t="n">
        <x:v>500000</x:v>
      </x:c>
      <x:c r="AN1482" s="3" t="str">
        <x:v>https://www.axial.net/company/flying-horse-capital</x:v>
      </x:c>
      <x:c r="AO1482" s="3" t="str">
        <x:v>broad_equity_new.jsonl</x:v>
      </x:c>
      <x:c r="AP1482" s="19"/>
    </x:row>
    <x:row r="1483" ht="36" customHeight="1">
      <x:c r="A1483" s="23" t="n">
        <x:v>1482</x:v>
      </x:c>
      <x:c r="B1483" s="15" t="str">
        <x:v>InLight Capital</x:v>
      </x:c>
      <x:c r="C1483" s="15"/>
      <x:c r="D1483" s="15" t="str">
        <x:v>Family office / private operating-company capital prospect</x:v>
      </x:c>
      <x:c r="E1483" s="15" t="str">
        <x:v>Private operating-company capital inquiry</x:v>
      </x:c>
      <x:c r="F1483" s="17" t="str">
        <x:v>New</x:v>
      </x:c>
      <x:c r="G1483" s="24" t="str">
        <x:v>info@inlightcapital.com</x:v>
      </x:c>
      <x:c r="H1483" s="24"/>
      <x:c r="I1483" s="24" t="str">
        <x:v>https://www.inlightcapital.com/</x:v>
      </x:c>
      <x:c r="J1483" s="16"/>
      <x:c r="K1483" s="16"/>
      <x:c r="L1483" s="16" t="str">
        <x:v>firm_business_routing</x:v>
      </x:c>
      <x:c r="M1483" s="16" t="str">
        <x:v>https://www.inlightcapital.com/</x:v>
      </x:c>
      <x:c r="N1483" s="16" t="str">
        <x:v>$100K-$500K ticket not published / unconfirmed</x:v>
      </x:c>
      <x:c r="O1483" s="20"/>
      <x:c r="P1483" s="20"/>
      <x:c r="Q1483" s="25" t="str">
        <x:v>No $100K-$500K direct check mandate verified from the directory</x:v>
      </x:c>
      <x:c r="R1483" s="25" t="str">
        <x:v>Listed in Axial business-services family-office investor directory; operating-company capital is relevant for qualification.</x:v>
      </x:c>
      <x:c r="S1483" s="25" t="str">
        <x:v>Requested $100K-$500K ticket, minority ownership, trial execution funding, current allocation and eligibility need qualification. Many listed firms focus on acquisitions or larger established companies.</x:v>
      </x:c>
      <x:c r="T1483" s="25" t="str">
        <x:v>Qualify $100K-$500K company-level trial funding, structure, investment interest and actual contact decision-maker before outreach.</x:v>
      </x:c>
      <x:c r="U1483" s="25" t="str">
        <x:v>https://www.axial.net/company/inlight-capital
https://www.axial.net/forum/companies/united-states-family-offices/13/
https://www.axial.net/forum/companies/business-services-family-offices/10/
https://www.inlightcapital.com/</x:v>
      </x:c>
      <x:c r="V1483" s="26" t="d">
        <x:v>2026-10-02T00:00:00.000Z</x:v>
      </x:c>
      <x:c r="W1483" s="26" t="d">
        <x:v>2026-10-02T00:00:00.000Z</x:v>
      </x:c>
      <x:c r="X1483" s="25" t="str">
        <x:v>Public family-office investor directory; official website checked where recorded. Published direct email/phone recorded only when observed; website-only routes need contact qualification.</x:v>
      </x:c>
      <x:c r="Y1483" s="25" t="str">
        <x:v>https://www.axial.net/company/inlight-capital</x:v>
      </x:c>
      <x:c r="Z1483" s="25"/>
      <x:c r="AA1483" s="25" t="str">
        <x:v>Public investor organization listing; contact fields copied from official public sources where available.</x:v>
      </x:c>
      <x:c r="AB1483" s="3" t="str">
        <x:v>New public-source collection</x:v>
      </x:c>
      <x:c r="AC1483" s="3" t="str">
        <x:v>unverified</x:v>
      </x:c>
      <x:c r="AD1483" s="3" t="str">
        <x:v>Not contacted / unconfirmed</x:v>
      </x:c>
      <x:c r="AE1483" s="3" t="str">
        <x:v>No</x:v>
      </x:c>
      <x:c r="AF1483" s="3" t="str">
        <x:v>Yes</x:v>
      </x:c>
      <x:c r="AG1483" s="3"/>
      <x:c r="AH1483" s="3"/>
      <x:c r="AI1483" s="18"/>
      <x:c r="AJ1483" s="3" t="str">
        <x:v>CF2500-1AFEED531F5E</x:v>
      </x:c>
      <x:c r="AK1483" s="3" t="str">
        <x:v>Family office / private operating-company investor</x:v>
      </x:c>
      <x:c r="AL1483" s="19" t="n">
        <x:v>100000</x:v>
      </x:c>
      <x:c r="AM1483" s="19" t="n">
        <x:v>500000</x:v>
      </x:c>
      <x:c r="AN1483" s="3" t="str">
        <x:v>https://www.axial.net/company/inlight-capital</x:v>
      </x:c>
      <x:c r="AO1483" s="3" t="str">
        <x:v>broad_equity_new.jsonl</x:v>
      </x:c>
      <x:c r="AP1483" s="19"/>
    </x:row>
    <x:row r="1484" ht="36" customHeight="1">
      <x:c r="A1484" s="23" t="n">
        <x:v>1483</x:v>
      </x:c>
      <x:c r="B1484" s="15" t="str">
        <x:v>Iron Creek Partners</x:v>
      </x:c>
      <x:c r="C1484" s="15"/>
      <x:c r="D1484" s="15" t="str">
        <x:v>Family office / private operating-company capital prospect</x:v>
      </x:c>
      <x:c r="E1484" s="15" t="str">
        <x:v>Private operating-company capital inquiry</x:v>
      </x:c>
      <x:c r="F1484" s="17" t="str">
        <x:v>New</x:v>
      </x:c>
      <x:c r="G1484" s="24" t="str">
        <x:v>info@ironcreek.com</x:v>
      </x:c>
      <x:c r="H1484" s="24"/>
      <x:c r="I1484" s="24" t="str">
        <x:v>https://ironcreek.com/</x:v>
      </x:c>
      <x:c r="J1484" s="16"/>
      <x:c r="K1484" s="16"/>
      <x:c r="L1484" s="16" t="str">
        <x:v>firm_business_routing</x:v>
      </x:c>
      <x:c r="M1484" s="16" t="str">
        <x:v>https://ironcreek.com/</x:v>
      </x:c>
      <x:c r="N1484" s="16" t="str">
        <x:v>$100K-$500K ticket not published / unconfirmed</x:v>
      </x:c>
      <x:c r="O1484" s="20"/>
      <x:c r="P1484" s="20"/>
      <x:c r="Q1484" s="25" t="str">
        <x:v>No $100K-$500K direct check mandate verified from the directory</x:v>
      </x:c>
      <x:c r="R1484" s="25" t="str">
        <x:v>Listed in Axial business-services family-office investor directory; operating-company capital is relevant for qualification.</x:v>
      </x:c>
      <x:c r="S1484" s="25" t="str">
        <x:v>Requested $100K-$500K ticket, minority ownership, trial execution funding, current allocation and eligibility need qualification. Many listed firms focus on acquisitions or larger established companies.</x:v>
      </x:c>
      <x:c r="T1484" s="25" t="str">
        <x:v>Qualify $100K-$500K company-level trial funding, structure, investment interest and actual contact decision-maker before outreach.</x:v>
      </x:c>
      <x:c r="U1484" s="25" t="str">
        <x:v>https://www.axial.net/company/iron-creek-partners
https://www.axial.net/forum/companies/united-states-family-offices/
https://www.axial.net/forum/companies/business-services-family-offices/
https://ironcreek.com/</x:v>
      </x:c>
      <x:c r="V1484" s="26" t="d">
        <x:v>2026-10-02T00:00:00.000Z</x:v>
      </x:c>
      <x:c r="W1484" s="26" t="d">
        <x:v>2026-10-02T00:00:00.000Z</x:v>
      </x:c>
      <x:c r="X1484" s="25" t="str">
        <x:v>Public family-office investor directory; official website checked where recorded. Published direct email/phone recorded only when observed; website-only routes need contact qualification.</x:v>
      </x:c>
      <x:c r="Y1484" s="25" t="str">
        <x:v>https://www.axial.net/company/iron-creek-partners</x:v>
      </x:c>
      <x:c r="Z1484" s="25"/>
      <x:c r="AA1484" s="25" t="str">
        <x:v>Public investor organization listing; contact fields copied from official public sources where available.</x:v>
      </x:c>
      <x:c r="AB1484" s="3" t="str">
        <x:v>New public-source collection</x:v>
      </x:c>
      <x:c r="AC1484" s="3" t="str">
        <x:v>unverified</x:v>
      </x:c>
      <x:c r="AD1484" s="3" t="str">
        <x:v>Not contacted / unconfirmed</x:v>
      </x:c>
      <x:c r="AE1484" s="3" t="str">
        <x:v>No</x:v>
      </x:c>
      <x:c r="AF1484" s="3" t="str">
        <x:v>Yes</x:v>
      </x:c>
      <x:c r="AG1484" s="3"/>
      <x:c r="AH1484" s="3"/>
      <x:c r="AI1484" s="18"/>
      <x:c r="AJ1484" s="3" t="str">
        <x:v>CF2500-C5528DFB21AB</x:v>
      </x:c>
      <x:c r="AK1484" s="3" t="str">
        <x:v>Family office / private operating-company investor</x:v>
      </x:c>
      <x:c r="AL1484" s="19" t="n">
        <x:v>100000</x:v>
      </x:c>
      <x:c r="AM1484" s="19" t="n">
        <x:v>500000</x:v>
      </x:c>
      <x:c r="AN1484" s="3" t="str">
        <x:v>https://www.axial.net/company/iron-creek-partners</x:v>
      </x:c>
      <x:c r="AO1484" s="3" t="str">
        <x:v>broad_equity_new.jsonl</x:v>
      </x:c>
      <x:c r="AP1484" s="19"/>
    </x:row>
    <x:row r="1485" ht="36" customHeight="1">
      <x:c r="A1485" s="23" t="n">
        <x:v>1484</x:v>
      </x:c>
      <x:c r="B1485" s="15" t="str">
        <x:v>Liss Capital Partners</x:v>
      </x:c>
      <x:c r="C1485" s="15"/>
      <x:c r="D1485" s="15" t="str">
        <x:v>Family office / private operating-company capital prospect</x:v>
      </x:c>
      <x:c r="E1485" s="15" t="str">
        <x:v>Private operating-company capital inquiry</x:v>
      </x:c>
      <x:c r="F1485" s="17" t="str">
        <x:v>New</x:v>
      </x:c>
      <x:c r="G1485" s="24" t="str">
        <x:v>info@lisscap.com</x:v>
      </x:c>
      <x:c r="H1485" s="24"/>
      <x:c r="I1485" s="24" t="str">
        <x:v>https://www.lisscp.com/</x:v>
      </x:c>
      <x:c r="J1485" s="16"/>
      <x:c r="K1485" s="16"/>
      <x:c r="L1485" s="16" t="str">
        <x:v>firm_business_routing</x:v>
      </x:c>
      <x:c r="M1485" s="16" t="str">
        <x:v>https://www.lisscp.com/about</x:v>
      </x:c>
      <x:c r="N1485" s="16" t="str">
        <x:v>$100K-$500K ticket not published / unconfirmed</x:v>
      </x:c>
      <x:c r="O1485" s="20"/>
      <x:c r="P1485" s="20"/>
      <x:c r="Q1485" s="25" t="str">
        <x:v>No $100K-$500K direct check mandate verified from the directory</x:v>
      </x:c>
      <x:c r="R1485" s="25" t="str">
        <x:v>Listed in Axial business-services family-office investor directory; operating-company capital is relevant for qualification.</x:v>
      </x:c>
      <x:c r="S1485" s="25" t="str">
        <x:v>Requested $100K-$500K ticket, minority ownership, trial execution funding, current allocation and eligibility need qualification. Many listed firms focus on acquisitions or larger established companies.</x:v>
      </x:c>
      <x:c r="T1485" s="25" t="str">
        <x:v>Qualify $100K-$500K company-level trial funding, structure, investment interest and actual contact decision-maker before outreach.</x:v>
      </x:c>
      <x:c r="U1485" s="25" t="str">
        <x:v>https://www.axial.net/company/liss-capital
https://www.axial.net/forum/companies/united-states-family-offices/6/
https://www.axial.net/forum/companies/business-services-family-offices/6/
https://www.lisscp.com/about</x:v>
      </x:c>
      <x:c r="V1485" s="26" t="d">
        <x:v>2026-10-02T00:00:00.000Z</x:v>
      </x:c>
      <x:c r="W1485" s="26" t="d">
        <x:v>2026-10-02T00:00:00.000Z</x:v>
      </x:c>
      <x:c r="X1485" s="25" t="str">
        <x:v>Public family-office investor directory; official website checked where recorded. Published direct email/phone recorded only when observed; website-only routes need contact qualification.</x:v>
      </x:c>
      <x:c r="Y1485" s="25" t="str">
        <x:v>https://www.axial.net/company/liss-capital</x:v>
      </x:c>
      <x:c r="Z1485" s="25"/>
      <x:c r="AA1485" s="25" t="str">
        <x:v>Public investor organization listing; contact fields copied from official public sources where available.</x:v>
      </x:c>
      <x:c r="AB1485" s="3" t="str">
        <x:v>New public-source collection</x:v>
      </x:c>
      <x:c r="AC1485" s="3" t="str">
        <x:v>unverified</x:v>
      </x:c>
      <x:c r="AD1485" s="3" t="str">
        <x:v>Not contacted / unconfirmed</x:v>
      </x:c>
      <x:c r="AE1485" s="3" t="str">
        <x:v>No</x:v>
      </x:c>
      <x:c r="AF1485" s="3" t="str">
        <x:v>Yes</x:v>
      </x:c>
      <x:c r="AG1485" s="3"/>
      <x:c r="AH1485" s="3"/>
      <x:c r="AI1485" s="18"/>
      <x:c r="AJ1485" s="3" t="str">
        <x:v>CF2500-4DBA5C569EB9</x:v>
      </x:c>
      <x:c r="AK1485" s="3" t="str">
        <x:v>Family office / private operating-company investor</x:v>
      </x:c>
      <x:c r="AL1485" s="19" t="n">
        <x:v>100000</x:v>
      </x:c>
      <x:c r="AM1485" s="19" t="n">
        <x:v>500000</x:v>
      </x:c>
      <x:c r="AN1485" s="3" t="str">
        <x:v>https://www.axial.net/company/liss-capital</x:v>
      </x:c>
      <x:c r="AO1485" s="3" t="str">
        <x:v>broad_equity_new.jsonl</x:v>
      </x:c>
      <x:c r="AP1485" s="19"/>
    </x:row>
    <x:row r="1486" ht="36" customHeight="1">
      <x:c r="A1486" s="23" t="n">
        <x:v>1485</x:v>
      </x:c>
      <x:c r="B1486" s="15" t="str">
        <x:v>Nobel Investments</x:v>
      </x:c>
      <x:c r="C1486" s="15"/>
      <x:c r="D1486" s="15" t="str">
        <x:v>Family office / private operating-company capital prospect</x:v>
      </x:c>
      <x:c r="E1486" s="15" t="str">
        <x:v>Private operating-company capital inquiry</x:v>
      </x:c>
      <x:c r="F1486" s="17" t="str">
        <x:v>New</x:v>
      </x:c>
      <x:c r="G1486" s="24" t="str">
        <x:v>mteboul@nobelinv.com</x:v>
      </x:c>
      <x:c r="H1486" s="24"/>
      <x:c r="I1486" s="24" t="str">
        <x:v>https://www.nobelinv.com/</x:v>
      </x:c>
      <x:c r="J1486" s="16"/>
      <x:c r="K1486" s="16"/>
      <x:c r="L1486" s="16" t="str">
        <x:v>firm_business_routing</x:v>
      </x:c>
      <x:c r="M1486" s="16" t="str">
        <x:v>https://www.nobelinv.com/contact</x:v>
      </x:c>
      <x:c r="N1486" s="16" t="str">
        <x:v>$100K-$500K ticket not published / unconfirmed</x:v>
      </x:c>
      <x:c r="O1486" s="20"/>
      <x:c r="P1486" s="20"/>
      <x:c r="Q1486" s="25" t="str">
        <x:v>No $100K-$500K direct check mandate verified from the directory</x:v>
      </x:c>
      <x:c r="R1486" s="25" t="str">
        <x:v>Listed in Axial business-services family-office investor directory; operating-company capital is relevant for qualification.</x:v>
      </x:c>
      <x:c r="S1486" s="25" t="str">
        <x:v>Requested $100K-$500K ticket, minority ownership, trial execution funding, current allocation and eligibility need qualification. Many listed firms focus on acquisitions or larger established companies.</x:v>
      </x:c>
      <x:c r="T1486" s="25" t="str">
        <x:v>Qualify $100K-$500K company-level trial funding, structure, investment interest and actual contact decision-maker before outreach.</x:v>
      </x:c>
      <x:c r="U1486" s="25" t="str">
        <x:v>https://www.axial.net/company/nobel-investments
https://www.axial.net/forum/companies/united-states-family-offices/3/
https://www.axial.net/forum/companies/business-services-family-offices/3/
https://www.nobelinv.com/contact</x:v>
      </x:c>
      <x:c r="V1486" s="26" t="d">
        <x:v>2026-10-02T00:00:00.000Z</x:v>
      </x:c>
      <x:c r="W1486" s="26" t="d">
        <x:v>2026-10-02T00:00:00.000Z</x:v>
      </x:c>
      <x:c r="X1486" s="25" t="str">
        <x:v>Public family-office investor directory; official website checked where recorded. Published direct email/phone recorded only when observed; website-only routes need contact qualification.</x:v>
      </x:c>
      <x:c r="Y1486" s="25" t="str">
        <x:v>https://www.axial.net/company/nobel-investments</x:v>
      </x:c>
      <x:c r="Z1486" s="25"/>
      <x:c r="AA1486" s="25" t="str">
        <x:v>Public investor organization listing; contact fields copied from official public sources where available.</x:v>
      </x:c>
      <x:c r="AB1486" s="3" t="str">
        <x:v>New public-source collection</x:v>
      </x:c>
      <x:c r="AC1486" s="3" t="str">
        <x:v>unverified</x:v>
      </x:c>
      <x:c r="AD1486" s="3" t="str">
        <x:v>Not contacted / unconfirmed</x:v>
      </x:c>
      <x:c r="AE1486" s="3" t="str">
        <x:v>No</x:v>
      </x:c>
      <x:c r="AF1486" s="3" t="str">
        <x:v>Yes</x:v>
      </x:c>
      <x:c r="AG1486" s="3"/>
      <x:c r="AH1486" s="3"/>
      <x:c r="AI1486" s="18"/>
      <x:c r="AJ1486" s="3" t="str">
        <x:v>CF2500-BF0DA32504CD</x:v>
      </x:c>
      <x:c r="AK1486" s="3" t="str">
        <x:v>Family office / private operating-company investor</x:v>
      </x:c>
      <x:c r="AL1486" s="19" t="n">
        <x:v>100000</x:v>
      </x:c>
      <x:c r="AM1486" s="19" t="n">
        <x:v>500000</x:v>
      </x:c>
      <x:c r="AN1486" s="3" t="str">
        <x:v>https://www.axial.net/company/nobel-investments</x:v>
      </x:c>
      <x:c r="AO1486" s="3" t="str">
        <x:v>broad_equity_new.jsonl</x:v>
      </x:c>
      <x:c r="AP1486" s="19"/>
    </x:row>
    <x:row r="1487" ht="36" customHeight="1">
      <x:c r="A1487" s="23" t="n">
        <x:v>1486</x:v>
      </x:c>
      <x:c r="B1487" s="15" t="str">
        <x:v>NorthCurrent Partners</x:v>
      </x:c>
      <x:c r="C1487" s="15"/>
      <x:c r="D1487" s="15" t="str">
        <x:v>Family office / private operating-company capital prospect</x:v>
      </x:c>
      <x:c r="E1487" s="15" t="str">
        <x:v>Private operating-company capital inquiry</x:v>
      </x:c>
      <x:c r="F1487" s="17" t="str">
        <x:v>New</x:v>
      </x:c>
      <x:c r="G1487" s="24" t="str">
        <x:v>bd@ncpartners.com</x:v>
      </x:c>
      <x:c r="H1487" s="24"/>
      <x:c r="I1487" s="24" t="str">
        <x:v>https://northcurrentpartners.com/</x:v>
      </x:c>
      <x:c r="J1487" s="16"/>
      <x:c r="K1487" s="16"/>
      <x:c r="L1487" s="16" t="str">
        <x:v>firm_business_routing</x:v>
      </x:c>
      <x:c r="M1487" s="16" t="str">
        <x:v>https://northcurrentpartners.com/contact/</x:v>
      </x:c>
      <x:c r="N1487" s="16" t="str">
        <x:v>$100K-$500K ticket not published / unconfirmed</x:v>
      </x:c>
      <x:c r="O1487" s="20"/>
      <x:c r="P1487" s="20"/>
      <x:c r="Q1487" s="25" t="str">
        <x:v>No $100K-$500K direct check mandate verified from the directory</x:v>
      </x:c>
      <x:c r="R1487" s="25" t="str">
        <x:v>Listed in Axial business-services family-office investor directory; operating-company capital is relevant for qualification.</x:v>
      </x:c>
      <x:c r="S1487" s="25" t="str">
        <x:v>Requested $100K-$500K ticket, minority ownership, trial execution funding, current allocation and eligibility need qualification. Many listed firms focus on acquisitions or larger established companies.</x:v>
      </x:c>
      <x:c r="T1487" s="25" t="str">
        <x:v>Qualify $100K-$500K company-level trial funding, structure, investment interest and actual contact decision-maker before outreach.</x:v>
      </x:c>
      <x:c r="U1487" s="25" t="str">
        <x:v>https://www.axial.net/company/northcurrent-partners
https://www.axial.net/forum/companies/united-states-family-offices/
https://www.axial.net/forum/companies/business-services-family-offices/
https://northcurrentpartners.com/contact/</x:v>
      </x:c>
      <x:c r="V1487" s="26" t="d">
        <x:v>2026-10-02T00:00:00.000Z</x:v>
      </x:c>
      <x:c r="W1487" s="26" t="d">
        <x:v>2026-10-02T00:00:00.000Z</x:v>
      </x:c>
      <x:c r="X1487" s="25" t="str">
        <x:v>Public family-office investor directory; official website checked where recorded. Published direct email/phone recorded only when observed; website-only routes need contact qualification.</x:v>
      </x:c>
      <x:c r="Y1487" s="25" t="str">
        <x:v>https://www.axial.net/company/northcurrent-partners</x:v>
      </x:c>
      <x:c r="Z1487" s="25"/>
      <x:c r="AA1487" s="25" t="str">
        <x:v>Public investor organization listing; contact fields copied from official public sources where available.</x:v>
      </x:c>
      <x:c r="AB1487" s="3" t="str">
        <x:v>New public-source collection</x:v>
      </x:c>
      <x:c r="AC1487" s="3" t="str">
        <x:v>unverified</x:v>
      </x:c>
      <x:c r="AD1487" s="3" t="str">
        <x:v>Not contacted / unconfirmed</x:v>
      </x:c>
      <x:c r="AE1487" s="3" t="str">
        <x:v>No</x:v>
      </x:c>
      <x:c r="AF1487" s="3" t="str">
        <x:v>Yes</x:v>
      </x:c>
      <x:c r="AG1487" s="3"/>
      <x:c r="AH1487" s="3"/>
      <x:c r="AI1487" s="18"/>
      <x:c r="AJ1487" s="3" t="str">
        <x:v>CF2500-5168EA875544</x:v>
      </x:c>
      <x:c r="AK1487" s="3" t="str">
        <x:v>Family office / private operating-company investor</x:v>
      </x:c>
      <x:c r="AL1487" s="19" t="n">
        <x:v>100000</x:v>
      </x:c>
      <x:c r="AM1487" s="19" t="n">
        <x:v>500000</x:v>
      </x:c>
      <x:c r="AN1487" s="3" t="str">
        <x:v>https://www.axial.net/company/northcurrent-partners</x:v>
      </x:c>
      <x:c r="AO1487" s="3" t="str">
        <x:v>broad_equity_new.jsonl</x:v>
      </x:c>
      <x:c r="AP1487" s="19"/>
    </x:row>
    <x:row r="1488" ht="36" customHeight="1">
      <x:c r="A1488" s="23" t="n">
        <x:v>1487</x:v>
      </x:c>
      <x:c r="B1488" s="15" t="str">
        <x:v>Northwoods Partners</x:v>
      </x:c>
      <x:c r="C1488" s="15"/>
      <x:c r="D1488" s="15" t="str">
        <x:v>Family office / private operating-company capital prospect</x:v>
      </x:c>
      <x:c r="E1488" s="15" t="str">
        <x:v>Private operating-company capital inquiry</x:v>
      </x:c>
      <x:c r="F1488" s="17" t="str">
        <x:v>New</x:v>
      </x:c>
      <x:c r="G1488" s="24" t="str">
        <x:v>info@northwoodspartners.com</x:v>
      </x:c>
      <x:c r="H1488" s="24"/>
      <x:c r="I1488" s="24" t="str">
        <x:v>https://www.northwoodspartners.com/</x:v>
      </x:c>
      <x:c r="J1488" s="16"/>
      <x:c r="K1488" s="16"/>
      <x:c r="L1488" s="16" t="str">
        <x:v>firm_business_routing</x:v>
      </x:c>
      <x:c r="M1488" s="16" t="str">
        <x:v>https://www.northwoodspartners.com/contact/</x:v>
      </x:c>
      <x:c r="N1488" s="16" t="str">
        <x:v>$100K-$500K ticket not published / unconfirmed</x:v>
      </x:c>
      <x:c r="O1488" s="20"/>
      <x:c r="P1488" s="20"/>
      <x:c r="Q1488" s="25" t="str">
        <x:v>No $100K-$500K direct check mandate verified from the directory</x:v>
      </x:c>
      <x:c r="R1488" s="25" t="str">
        <x:v>Listed in Axial business-services family-office investor directory; operating-company capital is relevant for qualification.</x:v>
      </x:c>
      <x:c r="S1488" s="25" t="str">
        <x:v>Requested $100K-$500K ticket, minority ownership, trial execution funding, current allocation and eligibility need qualification. Many listed firms focus on acquisitions or larger established companies.</x:v>
      </x:c>
      <x:c r="T1488" s="25" t="str">
        <x:v>Qualify $100K-$500K company-level trial funding, structure, investment interest and actual contact decision-maker before outreach.</x:v>
      </x:c>
      <x:c r="U1488" s="25" t="str">
        <x:v>https://www.axial.net/company/northwoods-partners
https://www.axial.net/forum/companies/united-states-family-offices/
https://www.axial.net/forum/companies/business-services-family-offices/
https://www.northwoodspartners.com/contact/</x:v>
      </x:c>
      <x:c r="V1488" s="26" t="d">
        <x:v>2026-10-02T00:00:00.000Z</x:v>
      </x:c>
      <x:c r="W1488" s="26" t="d">
        <x:v>2026-10-02T00:00:00.000Z</x:v>
      </x:c>
      <x:c r="X1488" s="25" t="str">
        <x:v>Public family-office investor directory; official website checked where recorded. Published direct email/phone recorded only when observed; website-only routes need contact qualification.</x:v>
      </x:c>
      <x:c r="Y1488" s="25" t="str">
        <x:v>https://www.axial.net/company/northwoods-partners</x:v>
      </x:c>
      <x:c r="Z1488" s="25"/>
      <x:c r="AA1488" s="25" t="str">
        <x:v>Public investor organization listing; contact fields copied from official public sources where available.</x:v>
      </x:c>
      <x:c r="AB1488" s="3" t="str">
        <x:v>New public-source collection</x:v>
      </x:c>
      <x:c r="AC1488" s="3" t="str">
        <x:v>unverified</x:v>
      </x:c>
      <x:c r="AD1488" s="3" t="str">
        <x:v>Not contacted / unconfirmed</x:v>
      </x:c>
      <x:c r="AE1488" s="3" t="str">
        <x:v>No</x:v>
      </x:c>
      <x:c r="AF1488" s="3" t="str">
        <x:v>Yes</x:v>
      </x:c>
      <x:c r="AG1488" s="3"/>
      <x:c r="AH1488" s="3"/>
      <x:c r="AI1488" s="18"/>
      <x:c r="AJ1488" s="3" t="str">
        <x:v>CF2500-6E7D98ACA4F3</x:v>
      </x:c>
      <x:c r="AK1488" s="3" t="str">
        <x:v>Family office / private operating-company investor</x:v>
      </x:c>
      <x:c r="AL1488" s="19" t="n">
        <x:v>100000</x:v>
      </x:c>
      <x:c r="AM1488" s="19" t="n">
        <x:v>500000</x:v>
      </x:c>
      <x:c r="AN1488" s="3" t="str">
        <x:v>https://www.axial.net/company/northwoods-partners</x:v>
      </x:c>
      <x:c r="AO1488" s="3" t="str">
        <x:v>broad_equity_new.jsonl</x:v>
      </x:c>
      <x:c r="AP1488" s="19"/>
    </x:row>
    <x:row r="1489" ht="36" customHeight="1">
      <x:c r="A1489" s="23" t="n">
        <x:v>1488</x:v>
      </x:c>
      <x:c r="B1489" s="15" t="str">
        <x:v>Perpetual Capital Partners</x:v>
      </x:c>
      <x:c r="C1489" s="15"/>
      <x:c r="D1489" s="15" t="str">
        <x:v>Family office / private operating-company capital prospect</x:v>
      </x:c>
      <x:c r="E1489" s="15" t="str">
        <x:v>Private operating-company capital inquiry</x:v>
      </x:c>
      <x:c r="F1489" s="17" t="str">
        <x:v>New</x:v>
      </x:c>
      <x:c r="G1489" s="24" t="str">
        <x:v>info@perpetualcap.com</x:v>
      </x:c>
      <x:c r="H1489" s="24"/>
      <x:c r="I1489" s="24" t="str">
        <x:v>https://www.perpetualcapitalpartners.com/</x:v>
      </x:c>
      <x:c r="J1489" s="16"/>
      <x:c r="K1489" s="16"/>
      <x:c r="L1489" s="16" t="str">
        <x:v>firm_business_routing</x:v>
      </x:c>
      <x:c r="M1489" s="16" t="str">
        <x:v>https://www.perpetualcapitalpartners.com/contact</x:v>
      </x:c>
      <x:c r="N1489" s="16" t="str">
        <x:v>$100K-$500K ticket not published / unconfirmed</x:v>
      </x:c>
      <x:c r="O1489" s="20"/>
      <x:c r="P1489" s="20"/>
      <x:c r="Q1489" s="25" t="str">
        <x:v>No $100K-$500K direct check mandate verified from the directory</x:v>
      </x:c>
      <x:c r="R1489" s="25" t="str">
        <x:v>Listed in Axial business-services family-office investor directory; operating-company capital is relevant for qualification.</x:v>
      </x:c>
      <x:c r="S1489" s="25" t="str">
        <x:v>Requested $100K-$500K ticket, minority ownership, trial execution funding, current allocation and eligibility need qualification. Many listed firms focus on acquisitions or larger established companies.</x:v>
      </x:c>
      <x:c r="T1489" s="25" t="str">
        <x:v>Qualify $100K-$500K company-level trial funding, structure, investment interest and actual contact decision-maker before outreach.</x:v>
      </x:c>
      <x:c r="U1489" s="25" t="str">
        <x:v>https://www.axial.net/company/perpetual-capital-partners
https://www.axial.net/forum/companies/united-states-family-offices/12/
https://www.axial.net/forum/companies/business-services-family-offices/10/
https://www.perpetualcapitalpartners.com/contact</x:v>
      </x:c>
      <x:c r="V1489" s="26" t="d">
        <x:v>2026-10-02T00:00:00.000Z</x:v>
      </x:c>
      <x:c r="W1489" s="26" t="d">
        <x:v>2026-10-02T00:00:00.000Z</x:v>
      </x:c>
      <x:c r="X1489" s="25" t="str">
        <x:v>Public family-office investor directory; official website checked where recorded. Published direct email/phone recorded only when observed; website-only routes need contact qualification.</x:v>
      </x:c>
      <x:c r="Y1489" s="25" t="str">
        <x:v>https://www.axial.net/company/perpetual-capital-partners</x:v>
      </x:c>
      <x:c r="Z1489" s="25"/>
      <x:c r="AA1489" s="25" t="str">
        <x:v>Public investor organization listing; contact fields copied from official public sources where available.</x:v>
      </x:c>
      <x:c r="AB1489" s="3" t="str">
        <x:v>New public-source collection</x:v>
      </x:c>
      <x:c r="AC1489" s="3" t="str">
        <x:v>unverified</x:v>
      </x:c>
      <x:c r="AD1489" s="3" t="str">
        <x:v>Not contacted / unconfirmed</x:v>
      </x:c>
      <x:c r="AE1489" s="3" t="str">
        <x:v>No</x:v>
      </x:c>
      <x:c r="AF1489" s="3" t="str">
        <x:v>Yes</x:v>
      </x:c>
      <x:c r="AG1489" s="3"/>
      <x:c r="AH1489" s="3"/>
      <x:c r="AI1489" s="18"/>
      <x:c r="AJ1489" s="3" t="str">
        <x:v>CF2500-9CACADCD1350</x:v>
      </x:c>
      <x:c r="AK1489" s="3" t="str">
        <x:v>Family office / private operating-company investor</x:v>
      </x:c>
      <x:c r="AL1489" s="19" t="n">
        <x:v>100000</x:v>
      </x:c>
      <x:c r="AM1489" s="19" t="n">
        <x:v>500000</x:v>
      </x:c>
      <x:c r="AN1489" s="3" t="str">
        <x:v>https://www.axial.net/company/perpetual-capital-partners</x:v>
      </x:c>
      <x:c r="AO1489" s="3" t="str">
        <x:v>broad_equity_new.jsonl</x:v>
      </x:c>
      <x:c r="AP1489" s="19"/>
    </x:row>
    <x:row r="1490" ht="36" customHeight="1">
      <x:c r="A1490" s="23" t="n">
        <x:v>1489</x:v>
      </x:c>
      <x:c r="B1490" s="15" t="str">
        <x:v>Shah Capital Ventures</x:v>
      </x:c>
      <x:c r="C1490" s="15"/>
      <x:c r="D1490" s="15" t="str">
        <x:v>Family office / private operating-company capital prospect</x:v>
      </x:c>
      <x:c r="E1490" s="15" t="str">
        <x:v>Private operating-company capital inquiry</x:v>
      </x:c>
      <x:c r="F1490" s="17" t="str">
        <x:v>New</x:v>
      </x:c>
      <x:c r="G1490" s="24" t="str">
        <x:v>contact@shahcapitalventures.com</x:v>
      </x:c>
      <x:c r="H1490" s="24"/>
      <x:c r="I1490" s="24" t="str">
        <x:v>https://www.shahcapitalventures.com/</x:v>
      </x:c>
      <x:c r="J1490" s="16"/>
      <x:c r="K1490" s="16"/>
      <x:c r="L1490" s="16" t="str">
        <x:v>firm_business_routing</x:v>
      </x:c>
      <x:c r="M1490" s="16" t="str">
        <x:v>https://www.shahcapitalventures.com/</x:v>
      </x:c>
      <x:c r="N1490" s="16" t="str">
        <x:v>$100K-$500K ticket not published / unconfirmed</x:v>
      </x:c>
      <x:c r="O1490" s="20"/>
      <x:c r="P1490" s="20"/>
      <x:c r="Q1490" s="25" t="str">
        <x:v>No $100K-$500K direct check mandate verified from the directory</x:v>
      </x:c>
      <x:c r="R1490" s="25" t="str">
        <x:v>Listed in Axial business-services family-office investor directory; operating-company capital is relevant for qualification.</x:v>
      </x:c>
      <x:c r="S1490" s="25" t="str">
        <x:v>Requested $100K-$500K ticket, minority ownership, trial execution funding, current allocation and eligibility need qualification. Many listed firms focus on acquisitions or larger established companies.</x:v>
      </x:c>
      <x:c r="T1490" s="25" t="str">
        <x:v>Qualify $100K-$500K company-level trial funding, structure, investment interest and actual contact decision-maker before outreach.</x:v>
      </x:c>
      <x:c r="U1490" s="25" t="str">
        <x:v>https://www.axial.net/company/shah-capital-ventures
https://www.axial.net/forum/companies/united-states-family-offices/7/
https://www.axial.net/forum/companies/business-services-family-offices/7/
https://www.shahcapitalventures.com/</x:v>
      </x:c>
      <x:c r="V1490" s="26" t="d">
        <x:v>2026-10-02T00:00:00.000Z</x:v>
      </x:c>
      <x:c r="W1490" s="26" t="d">
        <x:v>2026-10-02T00:00:00.000Z</x:v>
      </x:c>
      <x:c r="X1490" s="25" t="str">
        <x:v>Public family-office investor directory; official website checked where recorded. Published direct email/phone recorded only when observed; website-only routes need contact qualification.</x:v>
      </x:c>
      <x:c r="Y1490" s="25" t="str">
        <x:v>https://www.axial.net/company/shah-capital-ventures</x:v>
      </x:c>
      <x:c r="Z1490" s="25"/>
      <x:c r="AA1490" s="25" t="str">
        <x:v>Public investor organization listing; contact fields copied from official public sources where available.</x:v>
      </x:c>
      <x:c r="AB1490" s="3" t="str">
        <x:v>New public-source collection</x:v>
      </x:c>
      <x:c r="AC1490" s="3" t="str">
        <x:v>unverified</x:v>
      </x:c>
      <x:c r="AD1490" s="3" t="str">
        <x:v>Not contacted / unconfirmed</x:v>
      </x:c>
      <x:c r="AE1490" s="3" t="str">
        <x:v>No</x:v>
      </x:c>
      <x:c r="AF1490" s="3" t="str">
        <x:v>Yes</x:v>
      </x:c>
      <x:c r="AG1490" s="3"/>
      <x:c r="AH1490" s="3"/>
      <x:c r="AI1490" s="18"/>
      <x:c r="AJ1490" s="3" t="str">
        <x:v>CF2500-8BE8AAE8BC72</x:v>
      </x:c>
      <x:c r="AK1490" s="3" t="str">
        <x:v>Family office / private operating-company investor</x:v>
      </x:c>
      <x:c r="AL1490" s="19" t="n">
        <x:v>100000</x:v>
      </x:c>
      <x:c r="AM1490" s="19" t="n">
        <x:v>500000</x:v>
      </x:c>
      <x:c r="AN1490" s="3" t="str">
        <x:v>https://www.axial.net/company/shah-capital-ventures</x:v>
      </x:c>
      <x:c r="AO1490" s="3" t="str">
        <x:v>broad_equity_new.jsonl</x:v>
      </x:c>
      <x:c r="AP1490" s="19"/>
    </x:row>
    <x:row r="1491" ht="36" customHeight="1">
      <x:c r="A1491" s="23" t="n">
        <x:v>1490</x:v>
      </x:c>
      <x:c r="B1491" s="15" t="str">
        <x:v>Siwa Capital</x:v>
      </x:c>
      <x:c r="C1491" s="15"/>
      <x:c r="D1491" s="15" t="str">
        <x:v>Family office / private operating-company capital prospect</x:v>
      </x:c>
      <x:c r="E1491" s="15" t="str">
        <x:v>Private operating-company capital inquiry</x:v>
      </x:c>
      <x:c r="F1491" s="17" t="str">
        <x:v>New</x:v>
      </x:c>
      <x:c r="G1491" s="24" t="str">
        <x:v>info@siwacap.com</x:v>
      </x:c>
      <x:c r="H1491" s="24"/>
      <x:c r="I1491" s="24" t="str">
        <x:v>https://www.siwacap.com/</x:v>
      </x:c>
      <x:c r="J1491" s="16"/>
      <x:c r="K1491" s="16"/>
      <x:c r="L1491" s="16" t="str">
        <x:v>firm_business_routing</x:v>
      </x:c>
      <x:c r="M1491" s="16" t="str">
        <x:v>https://www.siwacap.com/</x:v>
      </x:c>
      <x:c r="N1491" s="16" t="str">
        <x:v>$100K-$500K ticket not published / unconfirmed</x:v>
      </x:c>
      <x:c r="O1491" s="20"/>
      <x:c r="P1491" s="20"/>
      <x:c r="Q1491" s="25" t="str">
        <x:v>No $100K-$500K direct check mandate verified from the directory</x:v>
      </x:c>
      <x:c r="R1491" s="25" t="str">
        <x:v>Listed in Axial US family-office investor directory; qualify sector and company-level capital interest.</x:v>
      </x:c>
      <x:c r="S1491" s="25" t="str">
        <x:v>Requested $100K-$500K ticket, minority ownership, trial execution funding, current allocation and eligibility need qualification. Many listed firms focus on acquisitions or larger established companies.</x:v>
      </x:c>
      <x:c r="T1491" s="25" t="str">
        <x:v>Qualify $100K-$500K company-level trial funding, structure, investment interest and actual contact decision-maker before outreach.</x:v>
      </x:c>
      <x:c r="U1491" s="25" t="str">
        <x:v>https://www.axial.net/company/siwa-capital
https://www.axial.net/forum/companies/united-states-family-offices/9/
https://www.siwacap.com/</x:v>
      </x:c>
      <x:c r="V1491" s="26" t="d">
        <x:v>2026-10-02T00:00:00.000Z</x:v>
      </x:c>
      <x:c r="W1491" s="26" t="d">
        <x:v>2026-10-02T00:00:00.000Z</x:v>
      </x:c>
      <x:c r="X1491" s="25" t="str">
        <x:v>Public family-office investor directory; official website checked where recorded. Published direct email/phone recorded only when observed; website-only routes need contact qualification.</x:v>
      </x:c>
      <x:c r="Y1491" s="25" t="str">
        <x:v>https://www.axial.net/company/siwa-capital</x:v>
      </x:c>
      <x:c r="Z1491" s="25"/>
      <x:c r="AA1491" s="25" t="str">
        <x:v>Public investor organization listing; contact fields copied from official public sources where available.</x:v>
      </x:c>
      <x:c r="AB1491" s="3" t="str">
        <x:v>New public-source collection</x:v>
      </x:c>
      <x:c r="AC1491" s="3" t="str">
        <x:v>unverified</x:v>
      </x:c>
      <x:c r="AD1491" s="3" t="str">
        <x:v>Not contacted / unconfirmed</x:v>
      </x:c>
      <x:c r="AE1491" s="3" t="str">
        <x:v>No</x:v>
      </x:c>
      <x:c r="AF1491" s="3" t="str">
        <x:v>Yes</x:v>
      </x:c>
      <x:c r="AG1491" s="3"/>
      <x:c r="AH1491" s="3"/>
      <x:c r="AI1491" s="18"/>
      <x:c r="AJ1491" s="3" t="str">
        <x:v>CF2500-4047F78EB0E3</x:v>
      </x:c>
      <x:c r="AK1491" s="3" t="str">
        <x:v>Family office / private operating-company investor</x:v>
      </x:c>
      <x:c r="AL1491" s="19" t="n">
        <x:v>100000</x:v>
      </x:c>
      <x:c r="AM1491" s="19" t="n">
        <x:v>500000</x:v>
      </x:c>
      <x:c r="AN1491" s="3" t="str">
        <x:v>https://www.axial.net/company/siwa-capital</x:v>
      </x:c>
      <x:c r="AO1491" s="3" t="str">
        <x:v>broad_equity_new.jsonl</x:v>
      </x:c>
      <x:c r="AP1491" s="19"/>
    </x:row>
    <x:row r="1492" ht="36" customHeight="1">
      <x:c r="A1492" s="23" t="n">
        <x:v>1491</x:v>
      </x:c>
      <x:c r="B1492" s="15" t="str">
        <x:v>Sope Creek Capital</x:v>
      </x:c>
      <x:c r="C1492" s="15"/>
      <x:c r="D1492" s="15" t="str">
        <x:v>Family office / private operating-company capital prospect</x:v>
      </x:c>
      <x:c r="E1492" s="15" t="str">
        <x:v>Private operating-company capital inquiry</x:v>
      </x:c>
      <x:c r="F1492" s="17" t="str">
        <x:v>New</x:v>
      </x:c>
      <x:c r="G1492" s="24" t="str">
        <x:v>blake@sopecreekcap.com</x:v>
      </x:c>
      <x:c r="H1492" s="24"/>
      <x:c r="I1492" s="24" t="str">
        <x:v>https://sopecreekcap.com/</x:v>
      </x:c>
      <x:c r="J1492" s="16"/>
      <x:c r="K1492" s="16"/>
      <x:c r="L1492" s="16" t="str">
        <x:v>firm_business_routing</x:v>
      </x:c>
      <x:c r="M1492" s="16" t="str">
        <x:v>https://sopecreekcap.com/team/</x:v>
      </x:c>
      <x:c r="N1492" s="16" t="str">
        <x:v>$100K-$500K ticket not published / unconfirmed</x:v>
      </x:c>
      <x:c r="O1492" s="20"/>
      <x:c r="P1492" s="20"/>
      <x:c r="Q1492" s="25" t="str">
        <x:v>No $100K-$500K direct check mandate verified from the directory</x:v>
      </x:c>
      <x:c r="R1492" s="25" t="str">
        <x:v>Listed in Axial business-services family-office investor directory; operating-company capital is relevant for qualification.</x:v>
      </x:c>
      <x:c r="S1492" s="25" t="str">
        <x:v>Requested $100K-$500K ticket, minority ownership, trial execution funding, current allocation and eligibility need qualification. Many listed firms focus on acquisitions or larger established companies.</x:v>
      </x:c>
      <x:c r="T1492" s="25" t="str">
        <x:v>Qualify $100K-$500K company-level trial funding, structure, investment interest and actual contact decision-maker before outreach.</x:v>
      </x:c>
      <x:c r="U1492" s="25" t="str">
        <x:v>https://www.axial.net/company/sope-creek-capital
https://www.axial.net/forum/companies/united-states-family-offices/6/
https://www.axial.net/forum/companies/business-services-family-offices/6/
https://sopecreekcap.com/team/</x:v>
      </x:c>
      <x:c r="V1492" s="26" t="d">
        <x:v>2026-10-02T00:00:00.000Z</x:v>
      </x:c>
      <x:c r="W1492" s="26" t="d">
        <x:v>2026-10-02T00:00:00.000Z</x:v>
      </x:c>
      <x:c r="X1492" s="25" t="str">
        <x:v>Public family-office investor directory; official website checked where recorded. Published direct email/phone recorded only when observed; website-only routes need contact qualification.</x:v>
      </x:c>
      <x:c r="Y1492" s="25" t="str">
        <x:v>https://www.axial.net/company/sope-creek-capital</x:v>
      </x:c>
      <x:c r="Z1492" s="25"/>
      <x:c r="AA1492" s="25" t="str">
        <x:v>Public investor organization listing; contact fields copied from official public sources where available.</x:v>
      </x:c>
      <x:c r="AB1492" s="3" t="str">
        <x:v>New public-source collection</x:v>
      </x:c>
      <x:c r="AC1492" s="3" t="str">
        <x:v>unverified</x:v>
      </x:c>
      <x:c r="AD1492" s="3" t="str">
        <x:v>Not contacted / unconfirmed</x:v>
      </x:c>
      <x:c r="AE1492" s="3" t="str">
        <x:v>No</x:v>
      </x:c>
      <x:c r="AF1492" s="3" t="str">
        <x:v>Yes</x:v>
      </x:c>
      <x:c r="AG1492" s="3"/>
      <x:c r="AH1492" s="3"/>
      <x:c r="AI1492" s="18"/>
      <x:c r="AJ1492" s="3" t="str">
        <x:v>CF2500-EFC3C611E72F</x:v>
      </x:c>
      <x:c r="AK1492" s="3" t="str">
        <x:v>Family office / private operating-company investor</x:v>
      </x:c>
      <x:c r="AL1492" s="19" t="n">
        <x:v>100000</x:v>
      </x:c>
      <x:c r="AM1492" s="19" t="n">
        <x:v>500000</x:v>
      </x:c>
      <x:c r="AN1492" s="3" t="str">
        <x:v>https://www.axial.net/company/sope-creek-capital</x:v>
      </x:c>
      <x:c r="AO1492" s="3" t="str">
        <x:v>broad_equity_new.jsonl</x:v>
      </x:c>
      <x:c r="AP1492" s="19"/>
    </x:row>
    <x:row r="1493" ht="36" customHeight="1">
      <x:c r="A1493" s="23" t="n">
        <x:v>1492</x:v>
      </x:c>
      <x:c r="B1493" s="15" t="str">
        <x:v>Stewart Family of Companies</x:v>
      </x:c>
      <x:c r="C1493" s="15"/>
      <x:c r="D1493" s="15" t="str">
        <x:v>Family office / private operating-company capital prospect</x:v>
      </x:c>
      <x:c r="E1493" s="15" t="str">
        <x:v>Private operating-company capital inquiry</x:v>
      </x:c>
      <x:c r="F1493" s="17" t="str">
        <x:v>New</x:v>
      </x:c>
      <x:c r="G1493" s="24" t="str">
        <x:v>finnegan@stewartfamilyofcompanies.com</x:v>
      </x:c>
      <x:c r="H1493" s="24"/>
      <x:c r="I1493" s="24" t="str">
        <x:v>https://www.stewartfamilyofcompanies.com/</x:v>
      </x:c>
      <x:c r="J1493" s="16"/>
      <x:c r="K1493" s="16"/>
      <x:c r="L1493" s="16" t="str">
        <x:v>firm_business_routing</x:v>
      </x:c>
      <x:c r="M1493" s="16" t="str">
        <x:v>https://www.stewartfamilyofcompanies.com/</x:v>
      </x:c>
      <x:c r="N1493" s="16" t="str">
        <x:v>$100K-$500K ticket not published / unconfirmed</x:v>
      </x:c>
      <x:c r="O1493" s="20"/>
      <x:c r="P1493" s="20"/>
      <x:c r="Q1493" s="25" t="str">
        <x:v>No $100K-$500K direct check mandate verified from the directory</x:v>
      </x:c>
      <x:c r="R1493" s="25" t="str">
        <x:v>Listed in Axial business-services family-office investor directory; operating-company capital is relevant for qualification.</x:v>
      </x:c>
      <x:c r="S1493" s="25" t="str">
        <x:v>Requested $100K-$500K ticket, minority ownership, trial execution funding, current allocation and eligibility need qualification. Many listed firms focus on acquisitions or larger established companies.</x:v>
      </x:c>
      <x:c r="T1493" s="25" t="str">
        <x:v>Qualify $100K-$500K company-level trial funding, structure, investment interest and actual contact decision-maker before outreach.</x:v>
      </x:c>
      <x:c r="U1493" s="25" t="str">
        <x:v>https://www.axial.net/company/stewart-family-of-companies
https://www.axial.net/forum/companies/united-states-family-offices/3/
https://www.axial.net/forum/companies/business-services-family-offices/3/
https://www.stewartfamilyofcompanies.com/</x:v>
      </x:c>
      <x:c r="V1493" s="26" t="d">
        <x:v>2026-10-02T00:00:00.000Z</x:v>
      </x:c>
      <x:c r="W1493" s="26" t="d">
        <x:v>2026-10-02T00:00:00.000Z</x:v>
      </x:c>
      <x:c r="X1493" s="25" t="str">
        <x:v>Public family-office investor directory; official website checked where recorded. Published direct email/phone recorded only when observed; website-only routes need contact qualification.</x:v>
      </x:c>
      <x:c r="Y1493" s="25" t="str">
        <x:v>https://www.axial.net/company/stewart-family-of-companies</x:v>
      </x:c>
      <x:c r="Z1493" s="25"/>
      <x:c r="AA1493" s="25" t="str">
        <x:v>Public investor organization listing; contact fields copied from official public sources where available.</x:v>
      </x:c>
      <x:c r="AB1493" s="3" t="str">
        <x:v>New public-source collection</x:v>
      </x:c>
      <x:c r="AC1493" s="3" t="str">
        <x:v>unverified</x:v>
      </x:c>
      <x:c r="AD1493" s="3" t="str">
        <x:v>Not contacted / unconfirmed</x:v>
      </x:c>
      <x:c r="AE1493" s="3" t="str">
        <x:v>No</x:v>
      </x:c>
      <x:c r="AF1493" s="3" t="str">
        <x:v>Yes</x:v>
      </x:c>
      <x:c r="AG1493" s="3"/>
      <x:c r="AH1493" s="3"/>
      <x:c r="AI1493" s="18"/>
      <x:c r="AJ1493" s="3" t="str">
        <x:v>CF2500-E6BE9E55949A</x:v>
      </x:c>
      <x:c r="AK1493" s="3" t="str">
        <x:v>Family office / private operating-company investor</x:v>
      </x:c>
      <x:c r="AL1493" s="19" t="n">
        <x:v>100000</x:v>
      </x:c>
      <x:c r="AM1493" s="19" t="n">
        <x:v>500000</x:v>
      </x:c>
      <x:c r="AN1493" s="3" t="str">
        <x:v>https://www.axial.net/company/stewart-family-of-companies</x:v>
      </x:c>
      <x:c r="AO1493" s="3" t="str">
        <x:v>broad_equity_new.jsonl</x:v>
      </x:c>
      <x:c r="AP1493" s="19"/>
    </x:row>
    <x:row r="1494" ht="36" customHeight="1">
      <x:c r="A1494" s="23" t="n">
        <x:v>1493</x:v>
      </x:c>
      <x:c r="B1494" s="15" t="str">
        <x:v>The Thomas Family Office</x:v>
      </x:c>
      <x:c r="C1494" s="15"/>
      <x:c r="D1494" s="15" t="str">
        <x:v>Family office / private operating-company capital prospect</x:v>
      </x:c>
      <x:c r="E1494" s="15" t="str">
        <x:v>Private operating-company capital inquiry</x:v>
      </x:c>
      <x:c r="F1494" s="17" t="str">
        <x:v>New</x:v>
      </x:c>
      <x:c r="G1494" s="24" t="str">
        <x:v>partners@thethomasholdings.com</x:v>
      </x:c>
      <x:c r="H1494" s="24"/>
      <x:c r="I1494" s="24" t="str">
        <x:v>https://thethomasholdings.com/</x:v>
      </x:c>
      <x:c r="J1494" s="16"/>
      <x:c r="K1494" s="16"/>
      <x:c r="L1494" s="16" t="str">
        <x:v>firm_business_routing</x:v>
      </x:c>
      <x:c r="M1494" s="16" t="str">
        <x:v>https://thethomasholdings.com/who-we-are/</x:v>
      </x:c>
      <x:c r="N1494" s="16" t="str">
        <x:v>$100K-$500K ticket not published / unconfirmed</x:v>
      </x:c>
      <x:c r="O1494" s="20"/>
      <x:c r="P1494" s="20"/>
      <x:c r="Q1494" s="25" t="str">
        <x:v>No $100K-$500K direct check mandate verified from the directory</x:v>
      </x:c>
      <x:c r="R1494" s="25" t="str">
        <x:v>Listed in Axial business-services family-office investor directory; operating-company capital is relevant for qualification.</x:v>
      </x:c>
      <x:c r="S1494" s="25" t="str">
        <x:v>Requested $100K-$500K ticket, minority ownership, trial execution funding, current allocation and eligibility need qualification. Many listed firms focus on acquisitions or larger established companies.</x:v>
      </x:c>
      <x:c r="T1494" s="25" t="str">
        <x:v>Qualify $100K-$500K company-level trial funding, structure, investment interest and actual contact decision-maker before outreach.</x:v>
      </x:c>
      <x:c r="U1494" s="25" t="str">
        <x:v>https://www.axial.net/company/the-thomas-family-office
https://www.axial.net/forum/companies/united-states-family-offices/4/
https://www.axial.net/forum/companies/business-services-family-offices/3/
https://thethomasholdings.com/who-we-are/</x:v>
      </x:c>
      <x:c r="V1494" s="26" t="d">
        <x:v>2026-10-02T00:00:00.000Z</x:v>
      </x:c>
      <x:c r="W1494" s="26" t="d">
        <x:v>2026-10-02T00:00:00.000Z</x:v>
      </x:c>
      <x:c r="X1494" s="25" t="str">
        <x:v>Public family-office investor directory; official website checked where recorded. Published direct email/phone recorded only when observed; website-only routes need contact qualification.</x:v>
      </x:c>
      <x:c r="Y1494" s="25" t="str">
        <x:v>https://www.axial.net/company/the-thomas-family-office</x:v>
      </x:c>
      <x:c r="Z1494" s="25"/>
      <x:c r="AA1494" s="25" t="str">
        <x:v>Public investor organization listing; contact fields copied from official public sources where available.</x:v>
      </x:c>
      <x:c r="AB1494" s="3" t="str">
        <x:v>New public-source collection</x:v>
      </x:c>
      <x:c r="AC1494" s="3" t="str">
        <x:v>unverified</x:v>
      </x:c>
      <x:c r="AD1494" s="3" t="str">
        <x:v>Not contacted / unconfirmed</x:v>
      </x:c>
      <x:c r="AE1494" s="3" t="str">
        <x:v>No</x:v>
      </x:c>
      <x:c r="AF1494" s="3" t="str">
        <x:v>Yes</x:v>
      </x:c>
      <x:c r="AG1494" s="3"/>
      <x:c r="AH1494" s="3"/>
      <x:c r="AI1494" s="18"/>
      <x:c r="AJ1494" s="3" t="str">
        <x:v>CF2500-7A44ECBF1846</x:v>
      </x:c>
      <x:c r="AK1494" s="3" t="str">
        <x:v>Family office / private operating-company investor</x:v>
      </x:c>
      <x:c r="AL1494" s="19" t="n">
        <x:v>100000</x:v>
      </x:c>
      <x:c r="AM1494" s="19" t="n">
        <x:v>500000</x:v>
      </x:c>
      <x:c r="AN1494" s="3" t="str">
        <x:v>https://www.axial.net/company/the-thomas-family-office</x:v>
      </x:c>
      <x:c r="AO1494" s="3" t="str">
        <x:v>broad_equity_new.jsonl</x:v>
      </x:c>
      <x:c r="AP1494" s="19"/>
    </x:row>
    <x:row r="1495" ht="36" customHeight="1">
      <x:c r="A1495" s="23" t="n">
        <x:v>1494</x:v>
      </x:c>
      <x:c r="B1495" s="15" t="str">
        <x:v>Wallbank Industrial</x:v>
      </x:c>
      <x:c r="C1495" s="15"/>
      <x:c r="D1495" s="15" t="str">
        <x:v>Family office / private operating-company capital prospect</x:v>
      </x:c>
      <x:c r="E1495" s="15" t="str">
        <x:v>Private operating-company capital inquiry</x:v>
      </x:c>
      <x:c r="F1495" s="17" t="str">
        <x:v>New</x:v>
      </x:c>
      <x:c r="G1495" s="24" t="str">
        <x:v>inquiry@wallbankindustrial.com</x:v>
      </x:c>
      <x:c r="H1495" s="24"/>
      <x:c r="I1495" s="24" t="str">
        <x:v>https://wallbankindustrial.com/</x:v>
      </x:c>
      <x:c r="J1495" s="16"/>
      <x:c r="K1495" s="16"/>
      <x:c r="L1495" s="16" t="str">
        <x:v>firm_business_routing</x:v>
      </x:c>
      <x:c r="M1495" s="16" t="str">
        <x:v>https://wallbankindustrial.com/contact/</x:v>
      </x:c>
      <x:c r="N1495" s="16" t="str">
        <x:v>$100K-$500K ticket not published / unconfirmed</x:v>
      </x:c>
      <x:c r="O1495" s="20"/>
      <x:c r="P1495" s="20"/>
      <x:c r="Q1495" s="25" t="str">
        <x:v>No $100K-$500K direct check mandate verified from the directory</x:v>
      </x:c>
      <x:c r="R1495" s="25" t="str">
        <x:v>Listed in Axial US family-office investor directory; qualify sector and company-level capital interest.</x:v>
      </x:c>
      <x:c r="S1495" s="25" t="str">
        <x:v>Requested $100K-$500K ticket, minority ownership, trial execution funding, current allocation and eligibility need qualification. Many listed firms focus on acquisitions or larger established companies.</x:v>
      </x:c>
      <x:c r="T1495" s="25" t="str">
        <x:v>Qualify $100K-$500K company-level trial funding, structure, investment interest and actual contact decision-maker before outreach.</x:v>
      </x:c>
      <x:c r="U1495" s="25" t="str">
        <x:v>https://www.axial.net/company/wallbank-industrial
https://www.axial.net/forum/companies/united-states-family-offices/4/
https://wallbankindustrial.com/contact/</x:v>
      </x:c>
      <x:c r="V1495" s="26" t="d">
        <x:v>2026-10-02T00:00:00.000Z</x:v>
      </x:c>
      <x:c r="W1495" s="26" t="d">
        <x:v>2026-10-02T00:00:00.000Z</x:v>
      </x:c>
      <x:c r="X1495" s="25" t="str">
        <x:v>Public family-office investor directory; official website checked where recorded. Published direct email/phone recorded only when observed; website-only routes need contact qualification.</x:v>
      </x:c>
      <x:c r="Y1495" s="25" t="str">
        <x:v>https://www.axial.net/company/wallbank-industrial</x:v>
      </x:c>
      <x:c r="Z1495" s="25"/>
      <x:c r="AA1495" s="25" t="str">
        <x:v>Public investor organization listing; contact fields copied from official public sources where available.</x:v>
      </x:c>
      <x:c r="AB1495" s="3" t="str">
        <x:v>New public-source collection</x:v>
      </x:c>
      <x:c r="AC1495" s="3" t="str">
        <x:v>unverified</x:v>
      </x:c>
      <x:c r="AD1495" s="3" t="str">
        <x:v>Not contacted / unconfirmed</x:v>
      </x:c>
      <x:c r="AE1495" s="3" t="str">
        <x:v>No</x:v>
      </x:c>
      <x:c r="AF1495" s="3" t="str">
        <x:v>Yes</x:v>
      </x:c>
      <x:c r="AG1495" s="3"/>
      <x:c r="AH1495" s="3"/>
      <x:c r="AI1495" s="18"/>
      <x:c r="AJ1495" s="3" t="str">
        <x:v>CF2500-AC7652D19A58</x:v>
      </x:c>
      <x:c r="AK1495" s="3" t="str">
        <x:v>Family office / private operating-company investor</x:v>
      </x:c>
      <x:c r="AL1495" s="19" t="n">
        <x:v>100000</x:v>
      </x:c>
      <x:c r="AM1495" s="19" t="n">
        <x:v>500000</x:v>
      </x:c>
      <x:c r="AN1495" s="3" t="str">
        <x:v>https://www.axial.net/company/wallbank-industrial</x:v>
      </x:c>
      <x:c r="AO1495" s="3" t="str">
        <x:v>broad_equity_new.jsonl</x:v>
      </x:c>
      <x:c r="AP1495" s="19"/>
    </x:row>
    <x:row r="1496" ht="36" customHeight="1">
      <x:c r="A1496" s="23" t="n">
        <x:v>1495</x:v>
      </x:c>
      <x:c r="B1496" s="15" t="str">
        <x:v>West Hill Group</x:v>
      </x:c>
      <x:c r="C1496" s="15"/>
      <x:c r="D1496" s="15" t="str">
        <x:v>Family office / private operating-company capital prospect</x:v>
      </x:c>
      <x:c r="E1496" s="15" t="str">
        <x:v>Private operating-company capital inquiry</x:v>
      </x:c>
      <x:c r="F1496" s="17" t="str">
        <x:v>New</x:v>
      </x:c>
      <x:c r="G1496" s="24" t="str">
        <x:v>info@westhillgrp.com</x:v>
      </x:c>
      <x:c r="H1496" s="24"/>
      <x:c r="I1496" s="24" t="str">
        <x:v>https://www.westhillgrp.com/</x:v>
      </x:c>
      <x:c r="J1496" s="16"/>
      <x:c r="K1496" s="16"/>
      <x:c r="L1496" s="16" t="str">
        <x:v>firm_business_routing</x:v>
      </x:c>
      <x:c r="M1496" s="16" t="str">
        <x:v>https://www.westhillgrp.com/about</x:v>
      </x:c>
      <x:c r="N1496" s="16" t="str">
        <x:v>$100K-$500K ticket not published / unconfirmed</x:v>
      </x:c>
      <x:c r="O1496" s="20"/>
      <x:c r="P1496" s="20"/>
      <x:c r="Q1496" s="25" t="str">
        <x:v>No $100K-$500K direct check mandate verified from the directory</x:v>
      </x:c>
      <x:c r="R1496" s="25" t="str">
        <x:v>Listed in Axial business-services family-office investor directory; operating-company capital is relevant for qualification.</x:v>
      </x:c>
      <x:c r="S1496" s="25" t="str">
        <x:v>Requested $100K-$500K ticket, minority ownership, trial execution funding, current allocation and eligibility need qualification. Many listed firms focus on acquisitions or larger established companies.</x:v>
      </x:c>
      <x:c r="T1496" s="25" t="str">
        <x:v>Qualify $100K-$500K company-level trial funding, structure, investment interest and actual contact decision-maker before outreach.</x:v>
      </x:c>
      <x:c r="U1496" s="25" t="str">
        <x:v>https://www.axial.net/company/west-hill-group
https://www.axial.net/forum/companies/united-states-family-offices/6/
https://www.axial.net/forum/companies/business-services-family-offices/6/
https://www.westhillgrp.com/about</x:v>
      </x:c>
      <x:c r="V1496" s="26" t="d">
        <x:v>2026-10-02T00:00:00.000Z</x:v>
      </x:c>
      <x:c r="W1496" s="26" t="d">
        <x:v>2026-10-02T00:00:00.000Z</x:v>
      </x:c>
      <x:c r="X1496" s="25" t="str">
        <x:v>Public family-office investor directory; official website checked where recorded. Published direct email/phone recorded only when observed; website-only routes need contact qualification.</x:v>
      </x:c>
      <x:c r="Y1496" s="25" t="str">
        <x:v>https://www.axial.net/company/west-hill-group</x:v>
      </x:c>
      <x:c r="Z1496" s="25"/>
      <x:c r="AA1496" s="25" t="str">
        <x:v>Public investor organization listing; contact fields copied from official public sources where available.</x:v>
      </x:c>
      <x:c r="AB1496" s="3" t="str">
        <x:v>New public-source collection</x:v>
      </x:c>
      <x:c r="AC1496" s="3" t="str">
        <x:v>unverified</x:v>
      </x:c>
      <x:c r="AD1496" s="3" t="str">
        <x:v>Not contacted / unconfirmed</x:v>
      </x:c>
      <x:c r="AE1496" s="3" t="str">
        <x:v>No</x:v>
      </x:c>
      <x:c r="AF1496" s="3" t="str">
        <x:v>Yes</x:v>
      </x:c>
      <x:c r="AG1496" s="3"/>
      <x:c r="AH1496" s="3"/>
      <x:c r="AI1496" s="18"/>
      <x:c r="AJ1496" s="3" t="str">
        <x:v>CF2500-84D067F58602</x:v>
      </x:c>
      <x:c r="AK1496" s="3" t="str">
        <x:v>Family office / private operating-company investor</x:v>
      </x:c>
      <x:c r="AL1496" s="19" t="n">
        <x:v>100000</x:v>
      </x:c>
      <x:c r="AM1496" s="19" t="n">
        <x:v>500000</x:v>
      </x:c>
      <x:c r="AN1496" s="3" t="str">
        <x:v>https://www.axial.net/company/west-hill-group</x:v>
      </x:c>
      <x:c r="AO1496" s="3" t="str">
        <x:v>broad_equity_new.jsonl</x:v>
      </x:c>
      <x:c r="AP1496" s="19"/>
    </x:row>
    <x:row r="1497" ht="36" customHeight="1">
      <x:c r="A1497" s="23" t="n">
        <x:v>1496</x:v>
      </x:c>
      <x:c r="B1497" s="15" t="str">
        <x:v>Bamber Advisors</x:v>
      </x:c>
      <x:c r="C1497" s="15"/>
      <x:c r="D1497" s="15" t="str">
        <x:v>Family office / private operating-company capital prospect</x:v>
      </x:c>
      <x:c r="E1497" s="15" t="str">
        <x:v>Private operating-company capital inquiry</x:v>
      </x:c>
      <x:c r="F1497" s="17" t="str">
        <x:v>New</x:v>
      </x:c>
      <x:c r="G1497" s="24"/>
      <x:c r="H1497" s="24" t="str">
        <x:v>+15618077466</x:v>
      </x:c>
      <x:c r="I1497" s="24" t="str">
        <x:v>https://bamberadvisors.com/</x:v>
      </x:c>
      <x:c r="J1497" s="16"/>
      <x:c r="K1497" s="16"/>
      <x:c r="L1497" s="16" t="str">
        <x:v>firm_business_routing</x:v>
      </x:c>
      <x:c r="M1497" s="16" t="str">
        <x:v>https://bamberadvisors.com/contact-us</x:v>
      </x:c>
      <x:c r="N1497" s="16" t="str">
        <x:v>$100K-$500K ticket not published / unconfirmed</x:v>
      </x:c>
      <x:c r="O1497" s="20"/>
      <x:c r="P1497" s="20"/>
      <x:c r="Q1497" s="25" t="str">
        <x:v>No $100K-$500K direct check mandate verified from the directory</x:v>
      </x:c>
      <x:c r="R1497" s="25" t="str">
        <x:v>Listed in Axial business-services family-office investor directory; operating-company capital is relevant for qualification.</x:v>
      </x:c>
      <x:c r="S1497" s="25" t="str">
        <x:v>Requested $100K-$500K ticket, minority ownership, trial execution funding, current allocation and eligibility need qualification. Many listed firms focus on acquisitions or larger established companies.</x:v>
      </x:c>
      <x:c r="T1497" s="25" t="str">
        <x:v>Qualify $100K-$500K company-level trial funding, structure, investment interest and actual contact decision-maker before outreach.</x:v>
      </x:c>
      <x:c r="U1497" s="25" t="str">
        <x:v>https://www.axial.net/company/bamber-advisors
https://www.axial.net/forum/companies/united-states-family-offices/4/
https://www.axial.net/forum/companies/business-services-family-offices/4/
https://bamberadvisors.com/contact-us</x:v>
      </x:c>
      <x:c r="V1497" s="26" t="d">
        <x:v>2026-10-02T00:00:00.000Z</x:v>
      </x:c>
      <x:c r="W1497" s="26" t="d">
        <x:v>2026-10-02T00:00:00.000Z</x:v>
      </x:c>
      <x:c r="X1497" s="25" t="str">
        <x:v>Public family-office investor directory; official website checked where recorded. Published direct email/phone recorded only when observed; website-only routes need contact qualification.</x:v>
      </x:c>
      <x:c r="Y1497" s="25"/>
      <x:c r="Z1497" s="25" t="str">
        <x:v>https://www.axial.net/company/bamber-advisors</x:v>
      </x:c>
      <x:c r="AA1497" s="25" t="str">
        <x:v>Public investor organization listing; contact fields copied from official public sources where available.</x:v>
      </x:c>
      <x:c r="AB1497" s="3" t="str">
        <x:v>New public-source collection</x:v>
      </x:c>
      <x:c r="AC1497" s="3" t="str">
        <x:v>unverified</x:v>
      </x:c>
      <x:c r="AD1497" s="3" t="str">
        <x:v>Not contacted / unconfirmed</x:v>
      </x:c>
      <x:c r="AE1497" s="3" t="str">
        <x:v>No</x:v>
      </x:c>
      <x:c r="AF1497" s="3" t="str">
        <x:v>Yes</x:v>
      </x:c>
      <x:c r="AG1497" s="3"/>
      <x:c r="AH1497" s="3"/>
      <x:c r="AI1497" s="18"/>
      <x:c r="AJ1497" s="3" t="str">
        <x:v>CF2500-50847B1008B2</x:v>
      </x:c>
      <x:c r="AK1497" s="3" t="str">
        <x:v>Family office / private operating-company investor</x:v>
      </x:c>
      <x:c r="AL1497" s="19" t="n">
        <x:v>100000</x:v>
      </x:c>
      <x:c r="AM1497" s="19" t="n">
        <x:v>500000</x:v>
      </x:c>
      <x:c r="AN1497" s="3" t="str">
        <x:v>https://www.axial.net/company/bamber-advisors</x:v>
      </x:c>
      <x:c r="AO1497" s="3" t="str">
        <x:v>broad_equity_new.jsonl</x:v>
      </x:c>
      <x:c r="AP1497" s="19"/>
    </x:row>
    <x:row r="1498" ht="36" customHeight="1">
      <x:c r="A1498" s="23" t="n">
        <x:v>1497</x:v>
      </x:c>
      <x:c r="B1498" s="15" t="str">
        <x:v>Bluff Point Associates</x:v>
      </x:c>
      <x:c r="C1498" s="15"/>
      <x:c r="D1498" s="15" t="str">
        <x:v>Family office / private operating-company capital prospect</x:v>
      </x:c>
      <x:c r="E1498" s="15" t="str">
        <x:v>Private operating-company capital inquiry</x:v>
      </x:c>
      <x:c r="F1498" s="17" t="str">
        <x:v>New</x:v>
      </x:c>
      <x:c r="G1498" s="24"/>
      <x:c r="H1498" s="24" t="str">
        <x:v>+12035579450</x:v>
      </x:c>
      <x:c r="I1498" s="24" t="str">
        <x:v>https://www.bluffpt.com/</x:v>
      </x:c>
      <x:c r="J1498" s="16"/>
      <x:c r="K1498" s="16"/>
      <x:c r="L1498" s="16" t="str">
        <x:v>firm_business_routing</x:v>
      </x:c>
      <x:c r="M1498" s="16" t="str">
        <x:v>https://www.bluffpt.com/contact</x:v>
      </x:c>
      <x:c r="N1498" s="16" t="str">
        <x:v>$100K-$500K ticket not published / unconfirmed</x:v>
      </x:c>
      <x:c r="O1498" s="20"/>
      <x:c r="P1498" s="20"/>
      <x:c r="Q1498" s="25" t="str">
        <x:v>No $100K-$500K direct check mandate verified from the directory</x:v>
      </x:c>
      <x:c r="R1498" s="25" t="str">
        <x:v>Listed in Axial business-services family-office investor directory; operating-company capital is relevant for qualification.</x:v>
      </x:c>
      <x:c r="S1498" s="25" t="str">
        <x:v>Requested $100K-$500K ticket, minority ownership, trial execution funding, current allocation and eligibility need qualification. Many listed firms focus on acquisitions or larger established companies.</x:v>
      </x:c>
      <x:c r="T1498" s="25" t="str">
        <x:v>Qualify $100K-$500K company-level trial funding, structure, investment interest and actual contact decision-maker before outreach.</x:v>
      </x:c>
      <x:c r="U1498" s="25" t="str">
        <x:v>https://www.axial.net/company/bluff-point-associates
https://www.axial.net/forum/companies/united-states-family-offices/
https://www.axial.net/forum/companies/business-services-family-offices/
https://www.bluffpt.com/contact</x:v>
      </x:c>
      <x:c r="V1498" s="26" t="d">
        <x:v>2026-10-02T00:00:00.000Z</x:v>
      </x:c>
      <x:c r="W1498" s="26" t="d">
        <x:v>2026-10-02T00:00:00.000Z</x:v>
      </x:c>
      <x:c r="X1498" s="25" t="str">
        <x:v>Public family-office investor directory; official website checked where recorded. Published direct email/phone recorded only when observed; website-only routes need contact qualification.</x:v>
      </x:c>
      <x:c r="Y1498" s="25"/>
      <x:c r="Z1498" s="25" t="str">
        <x:v>https://www.axial.net/company/bluff-point-associates</x:v>
      </x:c>
      <x:c r="AA1498" s="25" t="str">
        <x:v>Public investor organization listing; contact fields copied from official public sources where available.</x:v>
      </x:c>
      <x:c r="AB1498" s="3" t="str">
        <x:v>New public-source collection</x:v>
      </x:c>
      <x:c r="AC1498" s="3" t="str">
        <x:v>unverified</x:v>
      </x:c>
      <x:c r="AD1498" s="3" t="str">
        <x:v>Not contacted / unconfirmed</x:v>
      </x:c>
      <x:c r="AE1498" s="3" t="str">
        <x:v>No</x:v>
      </x:c>
      <x:c r="AF1498" s="3" t="str">
        <x:v>Yes</x:v>
      </x:c>
      <x:c r="AG1498" s="3"/>
      <x:c r="AH1498" s="3"/>
      <x:c r="AI1498" s="18"/>
      <x:c r="AJ1498" s="3" t="str">
        <x:v>CF2500-DD152B90D12B</x:v>
      </x:c>
      <x:c r="AK1498" s="3" t="str">
        <x:v>Family office / private operating-company investor</x:v>
      </x:c>
      <x:c r="AL1498" s="19" t="n">
        <x:v>100000</x:v>
      </x:c>
      <x:c r="AM1498" s="19" t="n">
        <x:v>500000</x:v>
      </x:c>
      <x:c r="AN1498" s="3" t="str">
        <x:v>https://www.axial.net/company/bluff-point-associates</x:v>
      </x:c>
      <x:c r="AO1498" s="3" t="str">
        <x:v>broad_equity_new.jsonl</x:v>
      </x:c>
      <x:c r="AP1498" s="19"/>
    </x:row>
    <x:row r="1499" ht="36" customHeight="1">
      <x:c r="A1499" s="23" t="n">
        <x:v>1498</x:v>
      </x:c>
      <x:c r="B1499" s="15" t="str">
        <x:v>Highline Group</x:v>
      </x:c>
      <x:c r="C1499" s="15"/>
      <x:c r="D1499" s="15" t="str">
        <x:v>Family office / private operating-company capital prospect</x:v>
      </x:c>
      <x:c r="E1499" s="15" t="str">
        <x:v>Private operating-company capital inquiry</x:v>
      </x:c>
      <x:c r="F1499" s="17" t="str">
        <x:v>New</x:v>
      </x:c>
      <x:c r="G1499" s="24"/>
      <x:c r="H1499" s="24" t="str">
        <x:v>+13039571886</x:v>
      </x:c>
      <x:c r="I1499" s="24" t="str">
        <x:v>https://www.highlinegroupco.com/</x:v>
      </x:c>
      <x:c r="J1499" s="16"/>
      <x:c r="K1499" s="16"/>
      <x:c r="L1499" s="16" t="str">
        <x:v>firm_business_routing</x:v>
      </x:c>
      <x:c r="M1499" s="16" t="str">
        <x:v>https://www.highlinegroupco.com/</x:v>
      </x:c>
      <x:c r="N1499" s="16" t="str">
        <x:v>$100K-$500K ticket not published / unconfirmed</x:v>
      </x:c>
      <x:c r="O1499" s="20"/>
      <x:c r="P1499" s="20"/>
      <x:c r="Q1499" s="25" t="str">
        <x:v>No $100K-$500K direct check mandate verified from the directory</x:v>
      </x:c>
      <x:c r="R1499" s="25" t="str">
        <x:v>Listed in Axial US family-office investor directory; qualify sector and company-level capital interest.</x:v>
      </x:c>
      <x:c r="S1499" s="25" t="str">
        <x:v>Requested $100K-$500K ticket, minority ownership, trial execution funding, current allocation and eligibility need qualification. Many listed firms focus on acquisitions or larger established companies.</x:v>
      </x:c>
      <x:c r="T1499" s="25" t="str">
        <x:v>Qualify $100K-$500K company-level trial funding, structure, investment interest and actual contact decision-maker before outreach.</x:v>
      </x:c>
      <x:c r="U1499" s="25" t="str">
        <x:v>https://www.axial.net/company/highline-group
https://www.axial.net/forum/companies/united-states-family-offices/3/
https://www.highlinegroupco.com/</x:v>
      </x:c>
      <x:c r="V1499" s="26" t="d">
        <x:v>2026-10-02T00:00:00.000Z</x:v>
      </x:c>
      <x:c r="W1499" s="26" t="d">
        <x:v>2026-10-02T00:00:00.000Z</x:v>
      </x:c>
      <x:c r="X1499" s="25" t="str">
        <x:v>Public family-office investor directory; official website checked where recorded. Published direct email/phone recorded only when observed; website-only routes need contact qualification.</x:v>
      </x:c>
      <x:c r="Y1499" s="25"/>
      <x:c r="Z1499" s="25" t="str">
        <x:v>https://www.axial.net/company/highline-group</x:v>
      </x:c>
      <x:c r="AA1499" s="25" t="str">
        <x:v>Public investor organization listing; contact fields copied from official public sources where available.</x:v>
      </x:c>
      <x:c r="AB1499" s="3" t="str">
        <x:v>New public-source collection</x:v>
      </x:c>
      <x:c r="AC1499" s="3" t="str">
        <x:v>unverified</x:v>
      </x:c>
      <x:c r="AD1499" s="3" t="str">
        <x:v>Not contacted / unconfirmed</x:v>
      </x:c>
      <x:c r="AE1499" s="3" t="str">
        <x:v>No</x:v>
      </x:c>
      <x:c r="AF1499" s="3" t="str">
        <x:v>Yes</x:v>
      </x:c>
      <x:c r="AG1499" s="3"/>
      <x:c r="AH1499" s="3"/>
      <x:c r="AI1499" s="18"/>
      <x:c r="AJ1499" s="3" t="str">
        <x:v>CF2500-0A221F4D3D46</x:v>
      </x:c>
      <x:c r="AK1499" s="3" t="str">
        <x:v>Family office / private operating-company investor</x:v>
      </x:c>
      <x:c r="AL1499" s="19" t="n">
        <x:v>100000</x:v>
      </x:c>
      <x:c r="AM1499" s="19" t="n">
        <x:v>500000</x:v>
      </x:c>
      <x:c r="AN1499" s="3" t="str">
        <x:v>https://www.axial.net/company/highline-group</x:v>
      </x:c>
      <x:c r="AO1499" s="3" t="str">
        <x:v>broad_equity_new.jsonl</x:v>
      </x:c>
      <x:c r="AP1499" s="19"/>
    </x:row>
    <x:row r="1500" ht="36" customHeight="1">
      <x:c r="A1500" s="23" t="n">
        <x:v>1499</x:v>
      </x:c>
      <x:c r="B1500" s="15" t="str">
        <x:v>Lepercq Group</x:v>
      </x:c>
      <x:c r="C1500" s="15"/>
      <x:c r="D1500" s="15" t="str">
        <x:v>Family office / private operating-company capital prospect</x:v>
      </x:c>
      <x:c r="E1500" s="15" t="str">
        <x:v>Private operating-company capital inquiry</x:v>
      </x:c>
      <x:c r="F1500" s="17" t="str">
        <x:v>New</x:v>
      </x:c>
      <x:c r="G1500" s="24"/>
      <x:c r="H1500" s="24" t="str">
        <x:v>+12126980700</x:v>
      </x:c>
      <x:c r="I1500" s="24" t="str">
        <x:v>https://www.lepercqgroup.com/</x:v>
      </x:c>
      <x:c r="J1500" s="16"/>
      <x:c r="K1500" s="16"/>
      <x:c r="L1500" s="16" t="str">
        <x:v>firm_business_routing</x:v>
      </x:c>
      <x:c r="M1500" s="16" t="str">
        <x:v>https://www.lepercqgroup.com/contact</x:v>
      </x:c>
      <x:c r="N1500" s="16" t="str">
        <x:v>$100K-$500K ticket not published / unconfirmed</x:v>
      </x:c>
      <x:c r="O1500" s="20"/>
      <x:c r="P1500" s="20"/>
      <x:c r="Q1500" s="25" t="str">
        <x:v>No $100K-$500K direct check mandate verified from the directory</x:v>
      </x:c>
      <x:c r="R1500" s="25" t="str">
        <x:v>Listed in Axial business-services family-office investor directory; operating-company capital is relevant for qualification.</x:v>
      </x:c>
      <x:c r="S1500" s="25" t="str">
        <x:v>Requested $100K-$500K ticket, minority ownership, trial execution funding, current allocation and eligibility need qualification. Many listed firms focus on acquisitions or larger established companies.</x:v>
      </x:c>
      <x:c r="T1500" s="25" t="str">
        <x:v>Qualify $100K-$500K company-level trial funding, structure, investment interest and actual contact decision-maker before outreach.</x:v>
      </x:c>
      <x:c r="U1500" s="25" t="str">
        <x:v>https://www.axial.net/company/lepercq-group
https://www.axial.net/forum/companies/united-states-family-offices/5/
https://www.axial.net/forum/companies/business-services-family-offices/5/
https://www.lepercqgroup.com/contact</x:v>
      </x:c>
      <x:c r="V1500" s="26" t="d">
        <x:v>2026-10-02T00:00:00.000Z</x:v>
      </x:c>
      <x:c r="W1500" s="26" t="d">
        <x:v>2026-10-02T00:00:00.000Z</x:v>
      </x:c>
      <x:c r="X1500" s="25" t="str">
        <x:v>Public family-office investor directory; official website checked where recorded. Published direct email/phone recorded only when observed; website-only routes need contact qualification.</x:v>
      </x:c>
      <x:c r="Y1500" s="25"/>
      <x:c r="Z1500" s="25" t="str">
        <x:v>https://www.axial.net/company/lepercq-group</x:v>
      </x:c>
      <x:c r="AA1500" s="25" t="str">
        <x:v>Public investor organization listing; contact fields copied from official public sources where available.</x:v>
      </x:c>
      <x:c r="AB1500" s="3" t="str">
        <x:v>New public-source collection</x:v>
      </x:c>
      <x:c r="AC1500" s="3" t="str">
        <x:v>unverified</x:v>
      </x:c>
      <x:c r="AD1500" s="3" t="str">
        <x:v>Not contacted / unconfirmed</x:v>
      </x:c>
      <x:c r="AE1500" s="3" t="str">
        <x:v>No</x:v>
      </x:c>
      <x:c r="AF1500" s="3" t="str">
        <x:v>Yes</x:v>
      </x:c>
      <x:c r="AG1500" s="3"/>
      <x:c r="AH1500" s="3"/>
      <x:c r="AI1500" s="18"/>
      <x:c r="AJ1500" s="3" t="str">
        <x:v>CF2500-1FB2E8466668</x:v>
      </x:c>
      <x:c r="AK1500" s="3" t="str">
        <x:v>Family office / private operating-company investor</x:v>
      </x:c>
      <x:c r="AL1500" s="19" t="n">
        <x:v>100000</x:v>
      </x:c>
      <x:c r="AM1500" s="19" t="n">
        <x:v>500000</x:v>
      </x:c>
      <x:c r="AN1500" s="3" t="str">
        <x:v>https://www.axial.net/company/lepercq-group</x:v>
      </x:c>
      <x:c r="AO1500" s="3" t="str">
        <x:v>broad_equity_new.jsonl</x:v>
      </x:c>
      <x:c r="AP1500" s="19"/>
    </x:row>
    <x:row r="1501" ht="36" customHeight="1">
      <x:c r="A1501" s="23" t="n">
        <x:v>1500</x:v>
      </x:c>
      <x:c r="B1501" s="15" t="str">
        <x:v>Next Sparc</x:v>
      </x:c>
      <x:c r="C1501" s="15"/>
      <x:c r="D1501" s="15" t="str">
        <x:v>Family office / private operating-company capital prospect</x:v>
      </x:c>
      <x:c r="E1501" s="15" t="str">
        <x:v>Private operating-company capital inquiry</x:v>
      </x:c>
      <x:c r="F1501" s="17" t="str">
        <x:v>New</x:v>
      </x:c>
      <x:c r="G1501" s="24"/>
      <x:c r="H1501" s="24" t="str">
        <x:v>+14406002229</x:v>
      </x:c>
      <x:c r="I1501" s="24" t="str">
        <x:v>https://nextsparc.com/</x:v>
      </x:c>
      <x:c r="J1501" s="16"/>
      <x:c r="K1501" s="16"/>
      <x:c r="L1501" s="16" t="str">
        <x:v>firm_business_routing</x:v>
      </x:c>
      <x:c r="M1501" s="16" t="str">
        <x:v>https://nextsparc.com/contact/</x:v>
      </x:c>
      <x:c r="N1501" s="16" t="str">
        <x:v>$100K-$500K ticket not published / unconfirmed</x:v>
      </x:c>
      <x:c r="O1501" s="20"/>
      <x:c r="P1501" s="20"/>
      <x:c r="Q1501" s="25" t="str">
        <x:v>No $100K-$500K direct check mandate verified from the directory</x:v>
      </x:c>
      <x:c r="R1501" s="25" t="str">
        <x:v>Listed in Axial business-services family-office investor directory; operating-company capital is relevant for qualification.</x:v>
      </x:c>
      <x:c r="S1501" s="25" t="str">
        <x:v>Requested $100K-$500K ticket, minority ownership, trial execution funding, current allocation and eligibility need qualification. Many listed firms focus on acquisitions or larger established companies.</x:v>
      </x:c>
      <x:c r="T1501" s="25" t="str">
        <x:v>Qualify $100K-$500K company-level trial funding, structure, investment interest and actual contact decision-maker before outreach.</x:v>
      </x:c>
      <x:c r="U1501" s="25" t="str">
        <x:v>https://www.axial.net/company/next-sparc
https://www.axial.net/forum/companies/united-states-family-offices/2/
https://www.axial.net/forum/companies/business-services-family-offices/2/
https://nextsparc.com/contact/</x:v>
      </x:c>
      <x:c r="V1501" s="26" t="d">
        <x:v>2026-10-02T00:00:00.000Z</x:v>
      </x:c>
      <x:c r="W1501" s="26" t="d">
        <x:v>2026-10-02T00:00:00.000Z</x:v>
      </x:c>
      <x:c r="X1501" s="25" t="str">
        <x:v>Public family-office investor directory; official website checked where recorded. Published direct email/phone recorded only when observed; website-only routes need contact qualification.</x:v>
      </x:c>
      <x:c r="Y1501" s="25"/>
      <x:c r="Z1501" s="25" t="str">
        <x:v>https://www.axial.net/company/next-sparc</x:v>
      </x:c>
      <x:c r="AA1501" s="25" t="str">
        <x:v>Public investor organization listing; contact fields copied from official public sources where available.</x:v>
      </x:c>
      <x:c r="AB1501" s="3" t="str">
        <x:v>New public-source collection</x:v>
      </x:c>
      <x:c r="AC1501" s="3" t="str">
        <x:v>unverified</x:v>
      </x:c>
      <x:c r="AD1501" s="3" t="str">
        <x:v>Not contacted / unconfirmed</x:v>
      </x:c>
      <x:c r="AE1501" s="3" t="str">
        <x:v>No</x:v>
      </x:c>
      <x:c r="AF1501" s="3" t="str">
        <x:v>Yes</x:v>
      </x:c>
      <x:c r="AG1501" s="3"/>
      <x:c r="AH1501" s="3"/>
      <x:c r="AI1501" s="18"/>
      <x:c r="AJ1501" s="3" t="str">
        <x:v>CF2500-A3F6B6BBA4AE</x:v>
      </x:c>
      <x:c r="AK1501" s="3" t="str">
        <x:v>Family office / private operating-company investor</x:v>
      </x:c>
      <x:c r="AL1501" s="19" t="n">
        <x:v>100000</x:v>
      </x:c>
      <x:c r="AM1501" s="19" t="n">
        <x:v>500000</x:v>
      </x:c>
      <x:c r="AN1501" s="3" t="str">
        <x:v>https://www.axial.net/company/next-sparc</x:v>
      </x:c>
      <x:c r="AO1501" s="3" t="str">
        <x:v>broad_equity_new.jsonl</x:v>
      </x:c>
      <x:c r="AP1501" s="19"/>
    </x:row>
    <x:row r="1502" ht="36" customHeight="1">
      <x:c r="A1502" s="23" t="n">
        <x:v>1501</x:v>
      </x:c>
      <x:c r="B1502" s="15" t="str">
        <x:v>SouthWorth Capital</x:v>
      </x:c>
      <x:c r="C1502" s="15"/>
      <x:c r="D1502" s="15" t="str">
        <x:v>Family office / private operating-company capital prospect</x:v>
      </x:c>
      <x:c r="E1502" s="15" t="str">
        <x:v>Private operating-company capital inquiry</x:v>
      </x:c>
      <x:c r="F1502" s="17" t="str">
        <x:v>New</x:v>
      </x:c>
      <x:c r="G1502" s="24"/>
      <x:c r="H1502" s="24" t="str">
        <x:v>+19014259200</x:v>
      </x:c>
      <x:c r="I1502" s="24" t="str">
        <x:v>https://www.southworthcapitalmanagement.com/</x:v>
      </x:c>
      <x:c r="J1502" s="16"/>
      <x:c r="K1502" s="16"/>
      <x:c r="L1502" s="16" t="str">
        <x:v>firm_business_routing</x:v>
      </x:c>
      <x:c r="M1502" s="16" t="str">
        <x:v>https://www.southworthcapitalmanagement.com/</x:v>
      </x:c>
      <x:c r="N1502" s="16" t="str">
        <x:v>$100K-$500K ticket not published / unconfirmed</x:v>
      </x:c>
      <x:c r="O1502" s="20"/>
      <x:c r="P1502" s="20"/>
      <x:c r="Q1502" s="25" t="str">
        <x:v>No $100K-$500K direct check mandate verified from the directory</x:v>
      </x:c>
      <x:c r="R1502" s="25" t="str">
        <x:v>Listed in Axial business-services family-office investor directory; operating-company capital is relevant for qualification.</x:v>
      </x:c>
      <x:c r="S1502" s="25" t="str">
        <x:v>Requested $100K-$500K ticket, minority ownership, trial execution funding, current allocation and eligibility need qualification. Many listed firms focus on acquisitions or larger established companies.</x:v>
      </x:c>
      <x:c r="T1502" s="25" t="str">
        <x:v>Qualify $100K-$500K company-level trial funding, structure, investment interest and actual contact decision-maker before outreach.</x:v>
      </x:c>
      <x:c r="U1502" s="25" t="str">
        <x:v>https://www.axial.net/company/southworth-capital
https://www.axial.net/forum/companies/united-states-family-offices/
https://www.axial.net/forum/companies/business-services-family-offices/
https://www.southworthcapitalmanagement.com/</x:v>
      </x:c>
      <x:c r="V1502" s="26" t="d">
        <x:v>2026-10-02T00:00:00.000Z</x:v>
      </x:c>
      <x:c r="W1502" s="26" t="d">
        <x:v>2026-10-02T00:00:00.000Z</x:v>
      </x:c>
      <x:c r="X1502" s="25" t="str">
        <x:v>Public family-office investor directory; official website checked where recorded. Published direct email/phone recorded only when observed; website-only routes need contact qualification.</x:v>
      </x:c>
      <x:c r="Y1502" s="25"/>
      <x:c r="Z1502" s="25" t="str">
        <x:v>https://www.axial.net/company/southworth-capital</x:v>
      </x:c>
      <x:c r="AA1502" s="25" t="str">
        <x:v>Public investor organization listing; contact fields copied from official public sources where available.</x:v>
      </x:c>
      <x:c r="AB1502" s="3" t="str">
        <x:v>New public-source collection</x:v>
      </x:c>
      <x:c r="AC1502" s="3" t="str">
        <x:v>unverified</x:v>
      </x:c>
      <x:c r="AD1502" s="3" t="str">
        <x:v>Not contacted / unconfirmed</x:v>
      </x:c>
      <x:c r="AE1502" s="3" t="str">
        <x:v>No</x:v>
      </x:c>
      <x:c r="AF1502" s="3" t="str">
        <x:v>Yes</x:v>
      </x:c>
      <x:c r="AG1502" s="3"/>
      <x:c r="AH1502" s="3"/>
      <x:c r="AI1502" s="18"/>
      <x:c r="AJ1502" s="3" t="str">
        <x:v>CF2500-5102323FD93E</x:v>
      </x:c>
      <x:c r="AK1502" s="3" t="str">
        <x:v>Family office / private operating-company investor</x:v>
      </x:c>
      <x:c r="AL1502" s="19" t="n">
        <x:v>100000</x:v>
      </x:c>
      <x:c r="AM1502" s="19" t="n">
        <x:v>500000</x:v>
      </x:c>
      <x:c r="AN1502" s="3" t="str">
        <x:v>https://www.axial.net/company/southworth-capital</x:v>
      </x:c>
      <x:c r="AO1502" s="3" t="str">
        <x:v>broad_equity_new.jsonl</x:v>
      </x:c>
      <x:c r="AP1502" s="19"/>
    </x:row>
    <x:row r="1503" ht="36" customHeight="1">
      <x:c r="A1503" s="23" t="n">
        <x:v>1502</x:v>
      </x:c>
      <x:c r="B1503" s="15" t="str">
        <x:v>Broadpeak Investment Group</x:v>
      </x:c>
      <x:c r="C1503" s="15"/>
      <x:c r="D1503" s="15" t="str">
        <x:v>Family investment firm</x:v>
      </x:c>
      <x:c r="E1503" s="15" t="str">
        <x:v>Private operating-company capital inquiry</x:v>
      </x:c>
      <x:c r="F1503" s="17" t="str">
        <x:v>New</x:v>
      </x:c>
      <x:c r="G1503" s="24" t="str">
        <x:v>info@broadpeak.com</x:v>
      </x:c>
      <x:c r="H1503" s="24" t="str">
        <x:v>+16789922230</x:v>
      </x:c>
      <x:c r="I1503" s="24" t="str">
        <x:v>https://broadpeak.com/</x:v>
      </x:c>
      <x:c r="J1503" s="16"/>
      <x:c r="K1503" s="16"/>
      <x:c r="L1503" s="16" t="str">
        <x:v>firm_business_routing</x:v>
      </x:c>
      <x:c r="M1503" s="16" t="str">
        <x:v>https://broadpeak.com/</x:v>
      </x:c>
      <x:c r="N1503" s="16" t="str">
        <x:v>$100K-$500K ticket not published / unconfirmed</x:v>
      </x:c>
      <x:c r="O1503" s="20"/>
      <x:c r="P1503" s="20"/>
      <x:c r="Q1503" s="25" t="str">
        <x:v>No direct corporate-capital range established in checked source</x:v>
      </x:c>
      <x:c r="R1503" s="25" t="str">
        <x:v>Published operating-company mandate includes real estate/hospitality, supply chain/logistics and founder-led growth; includes early stages. No published $500K check range. No confirmation of willingness to finance 101XVC projections or single-customer concentration.</x:v>
      </x:c>
      <x:c r="S1503" s="25" t="str">
        <x:v>No published $500K check range. No confirmation of willingness to finance 101XVC projections or single-customer concentration.</x:v>
      </x:c>
      <x:c r="T1503" s="25" t="str">
        <x:v>Confirm $500K check, 9.3% ownership, current operating-stage eligibility and funding availability.</x:v>
      </x:c>
      <x:c r="U1503" s="25" t="str">
        <x:v>https://broadpeak.com/investments
https://broadpeak.com/</x:v>
      </x:c>
      <x:c r="V1503" s="26" t="d">
        <x:v>2026-10-02T00:00:00.000Z</x:v>
      </x:c>
      <x:c r="W1503" s="26" t="d">
        <x:v>2026-09-30T00:00:00.000Z</x:v>
      </x:c>
      <x:c r="X1503" s="25" t="str">
        <x:v>Saved public company, industry-directory or regulatory source; source date retained</x:v>
      </x:c>
      <x:c r="Y1503" s="25" t="str">
        <x:v>https://broadpeak.com/</x:v>
      </x:c>
      <x:c r="Z1503" s="25" t="str">
        <x:v>https://broadpeak.com/</x:v>
      </x:c>
      <x:c r="AA1503" s="25" t="str">
        <x:v>Published operating-company mandate includes real estate/hospitality, supply chain/logistics and founder-led growth; includes early stages. Official investment page allows controlling and minority equity structures.</x:v>
      </x:c>
      <x:c r="AB1503" s="3" t="str">
        <x:v>Existing CapitalForge research, newly screened for this campaign</x:v>
      </x:c>
      <x:c r="AC1503" s="3" t="str">
        <x:v>unverified</x:v>
      </x:c>
      <x:c r="AD1503" s="3" t="str">
        <x:v>Not contacted / unconfirmed</x:v>
      </x:c>
      <x:c r="AE1503" s="3" t="str">
        <x:v>No</x:v>
      </x:c>
      <x:c r="AF1503" s="3" t="str">
        <x:v>No</x:v>
      </x:c>
      <x:c r="AG1503" s="3"/>
      <x:c r="AH1503" s="3"/>
      <x:c r="AI1503" s="18"/>
      <x:c r="AJ1503" s="3" t="str">
        <x:v>CF2500-CA17AC08CE45</x:v>
      </x:c>
      <x:c r="AK1503" s="3" t="str">
        <x:v>Family investment firm</x:v>
      </x:c>
      <x:c r="AL1503" s="19" t="n">
        <x:v>100000</x:v>
      </x:c>
      <x:c r="AM1503" s="19" t="n">
        <x:v>500000</x:v>
      </x:c>
      <x:c r="AN1503" s="3" t="str">
        <x:v>https://broadpeak.com/investments</x:v>
      </x:c>
      <x:c r="AO1503" s="3" t="str">
        <x:v>equity_directory.jsonl</x:v>
      </x:c>
      <x:c r="AP1503" s="19"/>
    </x:row>
    <x:row r="1504" ht="36" customHeight="1">
      <x:c r="A1504" s="23" t="n">
        <x:v>1503</x:v>
      </x:c>
      <x:c r="B1504" s="15" t="str">
        <x:v>Comer Companies</x:v>
      </x:c>
      <x:c r="C1504" s="15"/>
      <x:c r="D1504" s="15" t="str">
        <x:v>Family investment firm</x:v>
      </x:c>
      <x:c r="E1504" s="15" t="str">
        <x:v>Private operating-company capital inquiry</x:v>
      </x:c>
      <x:c r="F1504" s="17" t="str">
        <x:v>New</x:v>
      </x:c>
      <x:c r="G1504" s="24" t="str">
        <x:v>info@comercompanies.com</x:v>
      </x:c>
      <x:c r="H1504" s="24" t="str">
        <x:v>+12059681246</x:v>
      </x:c>
      <x:c r="I1504" s="24" t="str">
        <x:v>https://www.comercompanies.com/</x:v>
      </x:c>
      <x:c r="J1504" s="16"/>
      <x:c r="K1504" s="16"/>
      <x:c r="L1504" s="16" t="str">
        <x:v>firm_business_routing</x:v>
      </x:c>
      <x:c r="M1504" s="16" t="str">
        <x:v>https://www.comercompanies.com/</x:v>
      </x:c>
      <x:c r="N1504" s="16" t="str">
        <x:v>$100K-$500K ticket not published / unconfirmed</x:v>
      </x:c>
      <x:c r="O1504" s="20"/>
      <x:c r="P1504" s="20"/>
      <x:c r="Q1504" s="25" t="str">
        <x:v>No direct corporate-capital range established in checked source</x:v>
      </x:c>
      <x:c r="R1504" s="25" t="str">
        <x:v>Actual family investment and operating holdings with public business contacts; exploratory research rather than a verified 101XVC fit. No published check size, minority policy or solicitation of external operating-company equity opportunities. Do not treat as an approved/current-fit financier.</x:v>
      </x:c>
      <x:c r="S1504" s="25" t="str">
        <x:v>No published check size, minority policy or solicitation of external operating-company equity opportunities. Do not treat as an approved/current-fit financier.</x:v>
      </x:c>
      <x:c r="T1504" s="25" t="str">
        <x:v>Confirm $500K check, 9.3% ownership, current operating-stage eligibility and funding availability.</x:v>
      </x:c>
      <x:c r="U1504" s="25" t="str">
        <x:v>https://www.comercompanies.com/</x:v>
      </x:c>
      <x:c r="V1504" s="26" t="d">
        <x:v>2026-10-02T00:00:00.000Z</x:v>
      </x:c>
      <x:c r="W1504" s="26" t="d">
        <x:v>2026-09-30T00:00:00.000Z</x:v>
      </x:c>
      <x:c r="X1504" s="25" t="str">
        <x:v>Saved public company, industry-directory or regulatory source; source date retained</x:v>
      </x:c>
      <x:c r="Y1504" s="25" t="str">
        <x:v>https://www.comercompanies.com/</x:v>
      </x:c>
      <x:c r="Z1504" s="25" t="str">
        <x:v>https://www.comercompanies.com/</x:v>
      </x:c>
      <x:c r="AA1504" s="25" t="str">
        <x:v>Actual family investment and operating holdings with public business contacts; exploratory research rather than a verified 101XVC fit. Passive investment holdings and operating companies published; minority external-company growth policy unconfirmed.</x:v>
      </x:c>
      <x:c r="AB1504" s="3" t="str">
        <x:v>Existing CapitalForge research, newly screened for this campaign</x:v>
      </x:c>
      <x:c r="AC1504" s="3" t="str">
        <x:v>unverified</x:v>
      </x:c>
      <x:c r="AD1504" s="3" t="str">
        <x:v>Not contacted / unconfirmed</x:v>
      </x:c>
      <x:c r="AE1504" s="3" t="str">
        <x:v>No</x:v>
      </x:c>
      <x:c r="AF1504" s="3" t="str">
        <x:v>No</x:v>
      </x:c>
      <x:c r="AG1504" s="3"/>
      <x:c r="AH1504" s="3"/>
      <x:c r="AI1504" s="18"/>
      <x:c r="AJ1504" s="3" t="str">
        <x:v>CF2500-A91E6682E108</x:v>
      </x:c>
      <x:c r="AK1504" s="3" t="str">
        <x:v>Family investment firm</x:v>
      </x:c>
      <x:c r="AL1504" s="19" t="n">
        <x:v>100000</x:v>
      </x:c>
      <x:c r="AM1504" s="19" t="n">
        <x:v>500000</x:v>
      </x:c>
      <x:c r="AN1504" s="3" t="str">
        <x:v>https://www.comercompanies.com/</x:v>
      </x:c>
      <x:c r="AO1504" s="3" t="str">
        <x:v>equity_directory.jsonl</x:v>
      </x:c>
      <x:c r="AP1504" s="19"/>
    </x:row>
    <x:row r="1505" ht="36" customHeight="1">
      <x:c r="A1505" s="23" t="n">
        <x:v>1504</x:v>
      </x:c>
      <x:c r="B1505" s="15" t="str">
        <x:v>GEA Capital</x:v>
      </x:c>
      <x:c r="C1505" s="15"/>
      <x:c r="D1505" s="15" t="str">
        <x:v>Family investment firm</x:v>
      </x:c>
      <x:c r="E1505" s="15" t="str">
        <x:v>Private operating-company capital inquiry</x:v>
      </x:c>
      <x:c r="F1505" s="17" t="str">
        <x:v>New</x:v>
      </x:c>
      <x:c r="G1505" s="24" t="str">
        <x:v>info@geacapitalco.com</x:v>
      </x:c>
      <x:c r="H1505" s="24" t="str">
        <x:v>+16783451411</x:v>
      </x:c>
      <x:c r="I1505" s="24" t="str">
        <x:v>https://www.geacapitalco.com/</x:v>
      </x:c>
      <x:c r="J1505" s="16"/>
      <x:c r="K1505" s="16"/>
      <x:c r="L1505" s="16" t="str">
        <x:v>firm_business_routing</x:v>
      </x:c>
      <x:c r="M1505" s="16" t="str">
        <x:v>https://www.geacapitalco.com/</x:v>
      </x:c>
      <x:c r="N1505" s="16" t="str">
        <x:v>$100K-$500K ticket not published / unconfirmed</x:v>
      </x:c>
      <x:c r="O1505" s="20"/>
      <x:c r="P1505" s="20"/>
      <x:c r="Q1505" s="25" t="str">
        <x:v>No direct corporate-capital range established in checked source</x:v>
      </x:c>
      <x:c r="R1505" s="25" t="str">
        <x:v>Explicit property-management, real-estate, B2B services and SaaS equity criteria; existing building-services investment. Requires $2M+ revenue, $500K+ cashflow and 15%+ EBITDA margin; minority/check size unverified. Estimated future trial fees do not establish those current thresholds.</x:v>
      </x:c>
      <x:c r="S1505" s="25" t="str">
        <x:v>Requires $2M+ revenue, $500K+ cashflow and 15%+ EBITDA margin; minority/check size unverified. Estimated future trial fees do not establish those current thresholds.</x:v>
      </x:c>
      <x:c r="T1505" s="25" t="str">
        <x:v>Confirm $500K check, 9.3% ownership, current operating-stage eligibility and funding availability.</x:v>
      </x:c>
      <x:c r="U1505" s="25" t="str">
        <x:v>https://www.geacapitalco.com/</x:v>
      </x:c>
      <x:c r="V1505" s="26" t="d">
        <x:v>2026-10-02T00:00:00.000Z</x:v>
      </x:c>
      <x:c r="W1505" s="26" t="d">
        <x:v>2026-09-30T00:00:00.000Z</x:v>
      </x:c>
      <x:c r="X1505" s="25" t="str">
        <x:v>Saved public company, industry-directory or regulatory source; source date retained</x:v>
      </x:c>
      <x:c r="Y1505" s="25" t="str">
        <x:v>https://www.geacapitalco.com/</x:v>
      </x:c>
      <x:c r="Z1505" s="25" t="str">
        <x:v>https://www.geacapitalco.com/</x:v>
      </x:c>
      <x:c r="AA1505" s="25" t="str">
        <x:v>Explicit property-management, real-estate, B2B services and SaaS equity criteria; existing building-services investment. Equity mandate published, but minority ownership is not explicitly confirmed.</x:v>
      </x:c>
      <x:c r="AB1505" s="3" t="str">
        <x:v>Existing CapitalForge research, newly screened for this campaign</x:v>
      </x:c>
      <x:c r="AC1505" s="3" t="str">
        <x:v>unverified</x:v>
      </x:c>
      <x:c r="AD1505" s="3" t="str">
        <x:v>Not contacted / unconfirmed</x:v>
      </x:c>
      <x:c r="AE1505" s="3" t="str">
        <x:v>No</x:v>
      </x:c>
      <x:c r="AF1505" s="3" t="str">
        <x:v>No</x:v>
      </x:c>
      <x:c r="AG1505" s="3"/>
      <x:c r="AH1505" s="3"/>
      <x:c r="AI1505" s="18"/>
      <x:c r="AJ1505" s="3" t="str">
        <x:v>CF2500-B9FD5B5E4311</x:v>
      </x:c>
      <x:c r="AK1505" s="3" t="str">
        <x:v>Family investment firm</x:v>
      </x:c>
      <x:c r="AL1505" s="19" t="n">
        <x:v>100000</x:v>
      </x:c>
      <x:c r="AM1505" s="19" t="n">
        <x:v>500000</x:v>
      </x:c>
      <x:c r="AN1505" s="3" t="str">
        <x:v>https://www.geacapitalco.com/</x:v>
      </x:c>
      <x:c r="AO1505" s="3" t="str">
        <x:v>equity_directory.jsonl</x:v>
      </x:c>
      <x:c r="AP1505" s="19"/>
    </x:row>
    <x:row r="1506" ht="36" customHeight="1">
      <x:c r="A1506" s="23" t="n">
        <x:v>1505</x:v>
      </x:c>
      <x:c r="B1506" s="15" t="str">
        <x:v>Horowitz Group</x:v>
      </x:c>
      <x:c r="C1506" s="15"/>
      <x:c r="D1506" s="15" t="str">
        <x:v>Family investment firm</x:v>
      </x:c>
      <x:c r="E1506" s="15" t="str">
        <x:v>Private operating-company capital inquiry</x:v>
      </x:c>
      <x:c r="F1506" s="17" t="str">
        <x:v>New</x:v>
      </x:c>
      <x:c r="G1506" s="24" t="str">
        <x:v>info@horowitzgroup.com</x:v>
      </x:c>
      <x:c r="H1506" s="24" t="str">
        <x:v>+19498315158</x:v>
      </x:c>
      <x:c r="I1506" s="24" t="str">
        <x:v>https://horowitzgroup.com/</x:v>
      </x:c>
      <x:c r="J1506" s="16"/>
      <x:c r="K1506" s="16"/>
      <x:c r="L1506" s="16" t="str">
        <x:v>firm_business_routing</x:v>
      </x:c>
      <x:c r="M1506" s="16" t="str">
        <x:v>https://horowitzgroup.com/</x:v>
      </x:c>
      <x:c r="N1506" s="16" t="str">
        <x:v>$100K-$500K ticket not published / unconfirmed</x:v>
      </x:c>
      <x:c r="O1506" s="20"/>
      <x:c r="P1506" s="20"/>
      <x:c r="Q1506" s="25" t="str">
        <x:v>No direct corporate-capital range established in checked source</x:v>
      </x:c>
      <x:c r="R1506" s="25" t="str">
        <x:v>Flexible long-term family capital; early investor in CoStar provides an actual real-estate information operating-company precedent. No published check size; historic CoStar portfolio is sector precedent only, not evidence of willingness to finance this business.</x:v>
      </x:c>
      <x:c r="S1506" s="25" t="str">
        <x:v>No published check size; historic CoStar portfolio is sector precedent only, not evidence of willingness to finance this business.</x:v>
      </x:c>
      <x:c r="T1506" s="25" t="str">
        <x:v>Confirm $500K check, 9.3% ownership, current operating-stage eligibility and funding availability.</x:v>
      </x:c>
      <x:c r="U1506" s="25" t="str">
        <x:v>https://horowitzgroup.com/</x:v>
      </x:c>
      <x:c r="V1506" s="26" t="d">
        <x:v>2026-10-02T00:00:00.000Z</x:v>
      </x:c>
      <x:c r="W1506" s="26" t="d">
        <x:v>2026-09-30T00:00:00.000Z</x:v>
      </x:c>
      <x:c r="X1506" s="25" t="str">
        <x:v>Saved public company, industry-directory or regulatory source; source date retained</x:v>
      </x:c>
      <x:c r="Y1506" s="25" t="str">
        <x:v>https://horowitzgroup.com/</x:v>
      </x:c>
      <x:c r="Z1506" s="25" t="str">
        <x:v>https://horowitzgroup.com/</x:v>
      </x:c>
      <x:c r="AA1506" s="25" t="str">
        <x:v>Flexible long-term family capital; early investor in CoStar provides an actual real-estate information operating-company precedent. Explicit minority equity in US operating businesses.</x:v>
      </x:c>
      <x:c r="AB1506" s="3" t="str">
        <x:v>Existing CapitalForge research, newly screened for this campaign</x:v>
      </x:c>
      <x:c r="AC1506" s="3" t="str">
        <x:v>unverified</x:v>
      </x:c>
      <x:c r="AD1506" s="3" t="str">
        <x:v>Not contacted / unconfirmed</x:v>
      </x:c>
      <x:c r="AE1506" s="3" t="str">
        <x:v>No</x:v>
      </x:c>
      <x:c r="AF1506" s="3" t="str">
        <x:v>No</x:v>
      </x:c>
      <x:c r="AG1506" s="3"/>
      <x:c r="AH1506" s="3"/>
      <x:c r="AI1506" s="18"/>
      <x:c r="AJ1506" s="3" t="str">
        <x:v>CF2500-21D4D9C20828</x:v>
      </x:c>
      <x:c r="AK1506" s="3" t="str">
        <x:v>Family investment firm</x:v>
      </x:c>
      <x:c r="AL1506" s="19" t="n">
        <x:v>100000</x:v>
      </x:c>
      <x:c r="AM1506" s="19" t="n">
        <x:v>500000</x:v>
      </x:c>
      <x:c r="AN1506" s="3" t="str">
        <x:v>https://horowitzgroup.com/</x:v>
      </x:c>
      <x:c r="AO1506" s="3" t="str">
        <x:v>equity_directory.jsonl</x:v>
      </x:c>
      <x:c r="AP1506" s="19"/>
    </x:row>
    <x:row r="1507" ht="36" customHeight="1">
      <x:c r="A1507" s="23" t="n">
        <x:v>1506</x:v>
      </x:c>
      <x:c r="B1507" s="15" t="str">
        <x:v>LG East Partners</x:v>
      </x:c>
      <x:c r="C1507" s="15" t="str">
        <x:v>Ray Gu</x:v>
      </x:c>
      <x:c r="D1507" s="15" t="str">
        <x:v>Family investment firm</x:v>
      </x:c>
      <x:c r="E1507" s="15" t="str">
        <x:v>Private operating-company capital inquiry</x:v>
      </x:c>
      <x:c r="F1507" s="17" t="str">
        <x:v>New</x:v>
      </x:c>
      <x:c r="G1507" s="24" t="str">
        <x:v>ray.gu@lgeast.com</x:v>
      </x:c>
      <x:c r="H1507" s="24" t="str">
        <x:v>+19292503495</x:v>
      </x:c>
      <x:c r="I1507" s="24" t="str">
        <x:v>https://lgeast.com/</x:v>
      </x:c>
      <x:c r="J1507" s="16"/>
      <x:c r="K1507" s="16"/>
      <x:c r="L1507" s="16" t="str">
        <x:v>published_professional_contact_directness_unconfirmed</x:v>
      </x:c>
      <x:c r="M1507" s="16" t="str">
        <x:v>https://lgeast.com/</x:v>
      </x:c>
      <x:c r="N1507" s="16" t="str">
        <x:v>$100K-$500K ticket not published / unconfirmed</x:v>
      </x:c>
      <x:c r="O1507" s="20"/>
      <x:c r="P1507" s="20"/>
      <x:c r="Q1507" s="25" t="str">
        <x:v>No direct corporate-capital range established in checked source</x:v>
      </x:c>
      <x:c r="R1507" s="25" t="str">
        <x:v>Private equity growth capital and real-estate operating experience; direct published named partner contact. Targets established businesses. No check range or proof of willingness to finance pre-execution fees. Also offers advisory services; principal-capital role needs confirmation. Firm mandates include established businesses; current early-stage pilot eligibility and $500K check unknown.</x:v>
      </x:c>
      <x:c r="S1507" s="25" t="str">
        <x:v>Targets established businesses. No check range or proof of willingness to finance pre-execution fees. Also offers advisory services; principal-capital role needs confirmation. Firm mandates include established businesses; current early-stage pilot eligibility and $500K check unknown.</x:v>
      </x:c>
      <x:c r="T1507" s="25" t="str">
        <x:v>Confirm $500K check, 9.3% ownership, current operating-stage eligibility and funding availability.</x:v>
      </x:c>
      <x:c r="U1507" s="25" t="str">
        <x:v>https://lgeast.com/</x:v>
      </x:c>
      <x:c r="V1507" s="26" t="d">
        <x:v>2026-10-02T00:00:00.000Z</x:v>
      </x:c>
      <x:c r="W1507" s="26" t="d">
        <x:v>2026-09-30T00:00:00.000Z</x:v>
      </x:c>
      <x:c r="X1507" s="25" t="str">
        <x:v>Saved public company, industry-directory or regulatory source; source date retained</x:v>
      </x:c>
      <x:c r="Y1507" s="25" t="str">
        <x:v>https://lgeast.com/</x:v>
      </x:c>
      <x:c r="Z1507" s="25" t="str">
        <x:v>https://lgeast.com/</x:v>
      </x:c>
      <x:c r="AA1507" s="25" t="str">
        <x:v>Private equity growth capital and real-estate operating experience; direct published named partner contact. Explicit minority private-equity growth and expansion investments.</x:v>
      </x:c>
      <x:c r="AB1507" s="3" t="str">
        <x:v>Existing CapitalForge research, newly screened for this campaign</x:v>
      </x:c>
      <x:c r="AC1507" s="3" t="str">
        <x:v>unverified</x:v>
      </x:c>
      <x:c r="AD1507" s="3" t="str">
        <x:v>Not contacted / unconfirmed</x:v>
      </x:c>
      <x:c r="AE1507" s="3" t="str">
        <x:v>No</x:v>
      </x:c>
      <x:c r="AF1507" s="3" t="str">
        <x:v>No</x:v>
      </x:c>
      <x:c r="AG1507" s="3"/>
      <x:c r="AH1507" s="3"/>
      <x:c r="AI1507" s="18"/>
      <x:c r="AJ1507" s="3" t="str">
        <x:v>CF2500-13A85993AA66</x:v>
      </x:c>
      <x:c r="AK1507" s="3" t="str">
        <x:v>Family investment firm</x:v>
      </x:c>
      <x:c r="AL1507" s="19" t="n">
        <x:v>100000</x:v>
      </x:c>
      <x:c r="AM1507" s="19" t="n">
        <x:v>500000</x:v>
      </x:c>
      <x:c r="AN1507" s="3" t="str">
        <x:v>https://lgeast.com/</x:v>
      </x:c>
      <x:c r="AO1507" s="3" t="str">
        <x:v>equity_directory.jsonl</x:v>
      </x:c>
      <x:c r="AP1507" s="19"/>
    </x:row>
    <x:row r="1508" ht="36" customHeight="1">
      <x:c r="A1508" s="23" t="n">
        <x:v>1507</x:v>
      </x:c>
      <x:c r="B1508" s="15" t="str">
        <x:v>Monarch Group</x:v>
      </x:c>
      <x:c r="C1508" s="15"/>
      <x:c r="D1508" s="15" t="str">
        <x:v>Family investment firm</x:v>
      </x:c>
      <x:c r="E1508" s="15" t="str">
        <x:v>Private operating-company capital inquiry</x:v>
      </x:c>
      <x:c r="F1508" s="17" t="str">
        <x:v>New</x:v>
      </x:c>
      <x:c r="G1508" s="24" t="str">
        <x:v>legacy@themonarchgroupllc.com</x:v>
      </x:c>
      <x:c r="H1508" s="24" t="str">
        <x:v>+13173449395</x:v>
      </x:c>
      <x:c r="I1508" s="24" t="str">
        <x:v>https://themonarchgroupllc.com/</x:v>
      </x:c>
      <x:c r="J1508" s="16"/>
      <x:c r="K1508" s="16"/>
      <x:c r="L1508" s="16" t="str">
        <x:v>firm_business_routing</x:v>
      </x:c>
      <x:c r="M1508" s="16" t="str">
        <x:v>https://themonarchgroupllc.com/</x:v>
      </x:c>
      <x:c r="N1508" s="16" t="str">
        <x:v>$100K-$500K ticket not published / unconfirmed</x:v>
      </x:c>
      <x:c r="O1508" s="20"/>
      <x:c r="P1508" s="20"/>
      <x:c r="Q1508" s="25" t="str">
        <x:v>No direct corporate-capital range established in checked source</x:v>
      </x:c>
      <x:c r="R1508" s="25" t="str">
        <x:v>Explicit business-services, logistics and home-services operating-company equity mandate. Requires $5M–$50M annual revenue and $500K–$10M EBITDA; current pre-execution trial forecasts do not satisfy existing-operations criteria. Also consulting/coaching business; principal-capital role and check size unverified.</x:v>
      </x:c>
      <x:c r="S1508" s="25" t="str">
        <x:v>Requires $5M–$50M annual revenue and $500K–$10M EBITDA; current pre-execution trial forecasts do not satisfy existing-operations criteria. Also consulting/coaching business; principal-capital role and check size unverified.</x:v>
      </x:c>
      <x:c r="T1508" s="25" t="str">
        <x:v>Confirm $500K check, 9.3% ownership, current operating-stage eligibility and funding availability.</x:v>
      </x:c>
      <x:c r="U1508" s="25" t="str">
        <x:v>https://themonarchgroupllc.com/</x:v>
      </x:c>
      <x:c r="V1508" s="26" t="d">
        <x:v>2026-10-02T00:00:00.000Z</x:v>
      </x:c>
      <x:c r="W1508" s="26" t="d">
        <x:v>2026-09-30T00:00:00.000Z</x:v>
      </x:c>
      <x:c r="X1508" s="25" t="str">
        <x:v>Saved public company, industry-directory or regulatory source; source date retained</x:v>
      </x:c>
      <x:c r="Y1508" s="25" t="str">
        <x:v>https://themonarchgroupllc.com/</x:v>
      </x:c>
      <x:c r="Z1508" s="25" t="str">
        <x:v>https://themonarchgroupllc.com/</x:v>
      </x:c>
      <x:c r="AA1508" s="25" t="str">
        <x:v>Explicit business-services, logistics and home-services operating-company equity mandate. Official public website application explicitly lists majority or minority equity positions and flexible equity, debt or hybrid structures.</x:v>
      </x:c>
      <x:c r="AB1508" s="3" t="str">
        <x:v>Existing CapitalForge research, newly screened for this campaign</x:v>
      </x:c>
      <x:c r="AC1508" s="3" t="str">
        <x:v>unverified</x:v>
      </x:c>
      <x:c r="AD1508" s="3" t="str">
        <x:v>Not contacted / unconfirmed</x:v>
      </x:c>
      <x:c r="AE1508" s="3" t="str">
        <x:v>No</x:v>
      </x:c>
      <x:c r="AF1508" s="3" t="str">
        <x:v>No</x:v>
      </x:c>
      <x:c r="AG1508" s="3"/>
      <x:c r="AH1508" s="3"/>
      <x:c r="AI1508" s="18"/>
      <x:c r="AJ1508" s="3" t="str">
        <x:v>CF2500-0DA710E823DA</x:v>
      </x:c>
      <x:c r="AK1508" s="3" t="str">
        <x:v>Family investment firm</x:v>
      </x:c>
      <x:c r="AL1508" s="19" t="n">
        <x:v>100000</x:v>
      </x:c>
      <x:c r="AM1508" s="19" t="n">
        <x:v>500000</x:v>
      </x:c>
      <x:c r="AN1508" s="3" t="str">
        <x:v>https://themonarchgroupllc.com/</x:v>
      </x:c>
      <x:c r="AO1508" s="3" t="str">
        <x:v>equity_directory.jsonl</x:v>
      </x:c>
      <x:c r="AP1508" s="19"/>
    </x:row>
    <x:row r="1509" ht="36" customHeight="1">
      <x:c r="A1509" s="23" t="n">
        <x:v>1508</x:v>
      </x:c>
      <x:c r="B1509" s="15" t="str">
        <x:v>Skyrise Properties</x:v>
      </x:c>
      <x:c r="C1509" s="15"/>
      <x:c r="D1509" s="15" t="str">
        <x:v>Family investment firm</x:v>
      </x:c>
      <x:c r="E1509" s="15" t="str">
        <x:v>Private operating-company capital inquiry</x:v>
      </x:c>
      <x:c r="F1509" s="17" t="str">
        <x:v>New</x:v>
      </x:c>
      <x:c r="G1509" s="24" t="str">
        <x:v>info@skyriseproperties.com</x:v>
      </x:c>
      <x:c r="H1509" s="24" t="str">
        <x:v>+19727331400</x:v>
      </x:c>
      <x:c r="I1509" s="24" t="str">
        <x:v>https://skyriseproperties.com/</x:v>
      </x:c>
      <x:c r="J1509" s="16"/>
      <x:c r="K1509" s="16"/>
      <x:c r="L1509" s="16" t="str">
        <x:v>firm_business_routing</x:v>
      </x:c>
      <x:c r="M1509" s="16" t="str">
        <x:v>https://skyriseproperties.com/</x:v>
      </x:c>
      <x:c r="N1509" s="16" t="str">
        <x:v>$100K-$500K ticket not published / unconfirmed</x:v>
      </x:c>
      <x:c r="O1509" s="20"/>
      <x:c r="P1509" s="20"/>
      <x:c r="Q1509" s="25" t="str">
        <x:v>No direct corporate-capital range established in checked source</x:v>
      </x:c>
      <x:c r="R1509" s="25" t="str">
        <x:v>Proprietary family capital with both property operations and operating-company/venture investments, distinct from a pure property-SPV fund. No public check range, minority preference or external startup-growth mandate. Its multi-generational holding horizon and current portfolio may differ from service-contract funding; treat as mandate-unconfirmed research.</x:v>
      </x:c>
      <x:c r="S1509" s="25" t="str">
        <x:v>No public check range, minority preference or external startup-growth mandate. Its multi-generational holding horizon and current portfolio may differ from service-contract funding; treat as mandate-unconfirmed research.</x:v>
      </x:c>
      <x:c r="T1509" s="25" t="str">
        <x:v>Confirm $500K check, 9.3% ownership, current operating-stage eligibility and funding availability.</x:v>
      </x:c>
      <x:c r="U1509" s="25" t="str">
        <x:v>https://skyriseproperties.com/about
https://skyriseproperties.com/contact
https://skyriseproperties.com/</x:v>
      </x:c>
      <x:c r="V1509" s="26" t="d">
        <x:v>2026-10-02T00:00:00.000Z</x:v>
      </x:c>
      <x:c r="W1509" s="26" t="d">
        <x:v>2026-09-30T00:00:00.000Z</x:v>
      </x:c>
      <x:c r="X1509" s="25" t="str">
        <x:v>Saved public company, industry-directory or regulatory source; source date retained</x:v>
      </x:c>
      <x:c r="Y1509" s="25" t="str">
        <x:v>https://skyriseproperties.com/contact</x:v>
      </x:c>
      <x:c r="Z1509" s="25" t="str">
        <x:v>https://skyriseproperties.com/contact</x:v>
      </x:c>
      <x:c r="AA1509" s="25" t="str">
        <x:v>Proprietary family capital with both property operations and operating-company/venture investments, distinct from a pure property-SPV fund. Operating-business investments published, but minority ownership is not explicitly confirmed.</x:v>
      </x:c>
      <x:c r="AB1509" s="3" t="str">
        <x:v>Existing CapitalForge research, newly screened for this campaign</x:v>
      </x:c>
      <x:c r="AC1509" s="3" t="str">
        <x:v>unverified</x:v>
      </x:c>
      <x:c r="AD1509" s="3" t="str">
        <x:v>Not contacted / unconfirmed</x:v>
      </x:c>
      <x:c r="AE1509" s="3" t="str">
        <x:v>No</x:v>
      </x:c>
      <x:c r="AF1509" s="3" t="str">
        <x:v>No</x:v>
      </x:c>
      <x:c r="AG1509" s="3"/>
      <x:c r="AH1509" s="3"/>
      <x:c r="AI1509" s="18"/>
      <x:c r="AJ1509" s="3" t="str">
        <x:v>CF2500-4741998CA20B</x:v>
      </x:c>
      <x:c r="AK1509" s="3" t="str">
        <x:v>Family investment firm</x:v>
      </x:c>
      <x:c r="AL1509" s="19" t="n">
        <x:v>100000</x:v>
      </x:c>
      <x:c r="AM1509" s="19" t="n">
        <x:v>500000</x:v>
      </x:c>
      <x:c r="AN1509" s="3" t="str">
        <x:v>https://skyriseproperties.com/about</x:v>
      </x:c>
      <x:c r="AO1509" s="3" t="str">
        <x:v>equity_directory.jsonl</x:v>
      </x:c>
      <x:c r="AP1509" s="19"/>
    </x:row>
    <x:row r="1510" ht="36" customHeight="1">
      <x:c r="A1510" s="23" t="n">
        <x:v>1509</x:v>
      </x:c>
      <x:c r="B1510" s="15" t="str">
        <x:v>Sylvanite Capital</x:v>
      </x:c>
      <x:c r="C1510" s="15" t="str">
        <x:v>Harrison Stoneham</x:v>
      </x:c>
      <x:c r="D1510" s="15" t="str">
        <x:v>Family investment firm</x:v>
      </x:c>
      <x:c r="E1510" s="15" t="str">
        <x:v>Private operating-company capital inquiry</x:v>
      </x:c>
      <x:c r="F1510" s="17" t="str">
        <x:v>New</x:v>
      </x:c>
      <x:c r="G1510" s="24" t="str">
        <x:v>harrison@sylvanitecapital.com</x:v>
      </x:c>
      <x:c r="H1510" s="24" t="str">
        <x:v>+18582151880</x:v>
      </x:c>
      <x:c r="I1510" s="24" t="str">
        <x:v>https://www.sylvanitecapital.com/</x:v>
      </x:c>
      <x:c r="J1510" s="16"/>
      <x:c r="K1510" s="16"/>
      <x:c r="L1510" s="16" t="str">
        <x:v>published_professional_contact_directness_unconfirmed</x:v>
      </x:c>
      <x:c r="M1510" s="16" t="str">
        <x:v>https://www.sylvanitecapital.com/</x:v>
      </x:c>
      <x:c r="N1510" s="16" t="str">
        <x:v>$100K-$500K ticket not published / unconfirmed</x:v>
      </x:c>
      <x:c r="O1510" s="20"/>
      <x:c r="P1510" s="20"/>
      <x:c r="Q1510" s="25" t="str">
        <x:v>No direct corporate-capital range established in checked source</x:v>
      </x:c>
      <x:c r="R1510" s="25" t="str">
        <x:v>Operating service-company growth equity is closer to the stated operating business than property-collateral lending. No published check size, operating-revenue minimum, or acceptance of a pre-execution single-customer trial; investor liquidity unverified. Published check amount and willingness to purchase 9.3% equity are unknown.</x:v>
      </x:c>
      <x:c r="S1510" s="25" t="str">
        <x:v>No published check size, operating-revenue minimum, or acceptance of a pre-execution single-customer trial; investor liquidity unverified. Published check amount and willingness to purchase 9.3% equity are unknown.</x:v>
      </x:c>
      <x:c r="T1510" s="25" t="str">
        <x:v>Confirm $500K check, 9.3% ownership, current operating-stage eligibility and funding availability.</x:v>
      </x:c>
      <x:c r="U1510" s="25" t="str">
        <x:v>https://www.sylvanitecapital.com/</x:v>
      </x:c>
      <x:c r="V1510" s="26" t="d">
        <x:v>2026-10-02T00:00:00.000Z</x:v>
      </x:c>
      <x:c r="W1510" s="26" t="d">
        <x:v>2026-09-30T00:00:00.000Z</x:v>
      </x:c>
      <x:c r="X1510" s="25" t="str">
        <x:v>Saved public company, industry-directory or regulatory source; source date retained</x:v>
      </x:c>
      <x:c r="Y1510" s="25" t="str">
        <x:v>https://www.sylvanitecapital.com/</x:v>
      </x:c>
      <x:c r="Z1510" s="25" t="str">
        <x:v>https://www.sylvanitecapital.com/</x:v>
      </x:c>
      <x:c r="AA1510" s="25" t="str">
        <x:v>Operating service-company growth equity is closer to the stated operating business than property-collateral lending. Explicit minority partnerships alongside growth support for founder-led service businesses.</x:v>
      </x:c>
      <x:c r="AB1510" s="3" t="str">
        <x:v>Existing CapitalForge research, newly screened for this campaign</x:v>
      </x:c>
      <x:c r="AC1510" s="3" t="str">
        <x:v>unverified</x:v>
      </x:c>
      <x:c r="AD1510" s="3" t="str">
        <x:v>Not contacted / unconfirmed</x:v>
      </x:c>
      <x:c r="AE1510" s="3" t="str">
        <x:v>No</x:v>
      </x:c>
      <x:c r="AF1510" s="3" t="str">
        <x:v>No</x:v>
      </x:c>
      <x:c r="AG1510" s="3"/>
      <x:c r="AH1510" s="3"/>
      <x:c r="AI1510" s="18"/>
      <x:c r="AJ1510" s="3" t="str">
        <x:v>CF2500-5E5C3387047F</x:v>
      </x:c>
      <x:c r="AK1510" s="3" t="str">
        <x:v>Family investment firm</x:v>
      </x:c>
      <x:c r="AL1510" s="19" t="n">
        <x:v>100000</x:v>
      </x:c>
      <x:c r="AM1510" s="19" t="n">
        <x:v>500000</x:v>
      </x:c>
      <x:c r="AN1510" s="3" t="str">
        <x:v>https://www.sylvanitecapital.com/</x:v>
      </x:c>
      <x:c r="AO1510" s="3" t="str">
        <x:v>equity_directory.jsonl</x:v>
      </x:c>
      <x:c r="AP1510" s="19"/>
    </x:row>
    <x:row r="1511" ht="36" customHeight="1">
      <x:c r="A1511" s="23" t="n">
        <x:v>1510</x:v>
      </x:c>
      <x:c r="B1511" s="15" t="str">
        <x:v>Act One Ventures</x:v>
      </x:c>
      <x:c r="C1511" s="15" t="str">
        <x:v>Alejandro Guerrero</x:v>
      </x:c>
      <x:c r="D1511" s="15" t="str">
        <x:v>Named investor / firm principal</x:v>
      </x:c>
      <x:c r="E1511" s="15" t="str">
        <x:v>Private operating-company capital inquiry</x:v>
      </x:c>
      <x:c r="F1511" s="17" t="str">
        <x:v>New</x:v>
      </x:c>
      <x:c r="G1511" s="24" t="str">
        <x:v>info@actoneventures.com</x:v>
      </x:c>
      <x:c r="H1511" s="24" t="str">
        <x:v>+14242721873</x:v>
      </x:c>
      <x:c r="I1511" s="24" t="str">
        <x:v>https://www.actoneventures.com/llm-info</x:v>
      </x:c>
      <x:c r="J1511" s="16"/>
      <x:c r="K1511" s="16"/>
      <x:c r="L1511" s="16" t="str">
        <x:v>published_professional_contact_directness_unconfirmed</x:v>
      </x:c>
      <x:c r="M1511" s="16" t="str">
        <x:v>https://www.actoneventures.com/llm-info</x:v>
      </x:c>
      <x:c r="N1511" s="16" t="str">
        <x:v>Published source range; proposed allocation and structure require confirmation</x:v>
      </x:c>
      <x:c r="O1511" s="20" t="n">
        <x:v>500000</x:v>
      </x:c>
      <x:c r="P1511" s="20" t="n">
        <x:v>2000000</x:v>
      </x:c>
      <x:c r="Q1511" s="25" t="str">
        <x:v>$500,000-$2,000,000 firm ticket</x:v>
      </x:c>
      <x:c r="R1511"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Could evaluate a defensible AI-enabled workflow/service, but pure contract fulfillment capital is not published mandate. 101XVC is described as an origination/acquisition/marketing operator with proprietary software, not demonstrated standalone SaaS. Venture fit requires investable product, repeatable demand, venture growth and exit economics. $500K for 9.3% is proposed; no investor acce</x:v>
      </x:c>
      <x:c r="S1511"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Could evaluate a defensible AI-enabled workflow/service, but pure contract fulfillment capital is not published mandate. software_and_venture_growth_unconfirmed; 101XVC is described as an origination/acquisition/marketing operator with proprietary software, not demonstrated standalone SaaS. Could evaluate a defensible AI-enabled workflow/service, but pure contract fulfillment capital is not published mandate. 101XVC is described as an origination/acquisition/marketing operator with proprietary software, not demonstrated standalone SaaS. Could evaluate a defensible AI-enabled workflow</x:v>
      </x:c>
      <x:c r="T1511" s="25" t="str">
        <x:v>Confirm $500K check, 9.3% ownership, current operating-stage eligibility and funding availability.</x:v>
      </x:c>
      <x:c r="U1511" s="25" t="str">
        <x:v>https://www.actoneventures.com/llm-info
https://adviserinfo.sec.gov/firm/summary/283875
https://www.actoneventures.com</x:v>
      </x:c>
      <x:c r="V1511" s="26" t="d">
        <x:v>2026-10-02T00:00:00.000Z</x:v>
      </x:c>
      <x:c r="W1511" s="26" t="d">
        <x:v>2026-09-30T00:00:00.000Z</x:v>
      </x:c>
      <x:c r="X1511" s="25" t="str">
        <x:v>Saved public company, industry-directory or regulatory source; source date retained</x:v>
      </x:c>
      <x:c r="Y1511" s="25" t="str">
        <x:v>https://www.actoneventures.com/llm-info</x:v>
      </x:c>
      <x:c r="Z1511" s="25" t="str">
        <x:v>https://adviserinfo.sec.gov/firm/summary/283875</x:v>
      </x:c>
      <x:c r="AA1511" s="25" t="str">
        <x:v>Enterprise AI; AI-native operating systems and services inferred_seed_equity_not_confirmed_9_3_percent</x:v>
      </x:c>
      <x:c r="AB1511" s="3" t="str">
        <x:v>Existing CapitalForge research, newly screened for this campaign</x:v>
      </x:c>
      <x:c r="AC1511" s="3" t="str">
        <x:v>unverified</x:v>
      </x:c>
      <x:c r="AD1511" s="3" t="str">
        <x:v>Not contacted / unconfirmed</x:v>
      </x:c>
      <x:c r="AE1511" s="3" t="str">
        <x:v>No</x:v>
      </x:c>
      <x:c r="AF1511" s="3" t="str">
        <x:v>No</x:v>
      </x:c>
      <x:c r="AG1511" s="3"/>
      <x:c r="AH1511" s="3"/>
      <x:c r="AI1511" s="18"/>
      <x:c r="AJ1511" s="3" t="str">
        <x:v>CF2500-F867A15AD59F</x:v>
      </x:c>
      <x:c r="AK1511" s="3" t="str">
        <x:v>Named investor / firm principal</x:v>
      </x:c>
      <x:c r="AL1511" s="19" t="n">
        <x:v>100000</x:v>
      </x:c>
      <x:c r="AM1511" s="19" t="n">
        <x:v>500000</x:v>
      </x:c>
      <x:c r="AN1511" s="3" t="str">
        <x:v>https://www.actoneventures.com/llm-info</x:v>
      </x:c>
      <x:c r="AO1511" s="3" t="str">
        <x:v>equity_directory.jsonl</x:v>
      </x:c>
      <x:c r="AP1511" s="19"/>
    </x:row>
    <x:row r="1512" ht="36" customHeight="1">
      <x:c r="A1512" s="23" t="n">
        <x:v>1511</x:v>
      </x:c>
      <x:c r="B1512" s="15" t="str">
        <x:v>Contour Venture Partners</x:v>
      </x:c>
      <x:c r="C1512" s="15" t="str">
        <x:v>Bob Greene</x:v>
      </x:c>
      <x:c r="D1512" s="15" t="str">
        <x:v>Named investor / firm principal</x:v>
      </x:c>
      <x:c r="E1512" s="15" t="str">
        <x:v>Private operating-company capital inquiry</x:v>
      </x:c>
      <x:c r="F1512" s="17" t="str">
        <x:v>New</x:v>
      </x:c>
      <x:c r="G1512" s="24" t="str">
        <x:v>bob@contourventures.com</x:v>
      </x:c>
      <x:c r="H1512" s="24" t="str">
        <x:v>+12126445481</x:v>
      </x:c>
      <x:c r="I1512" s="24" t="str">
        <x:v>https://www.contourventures.com/team</x:v>
      </x:c>
      <x:c r="J1512" s="16"/>
      <x:c r="K1512" s="16"/>
      <x:c r="L1512" s="16" t="str">
        <x:v>published_professional_contact_directness_unconfirmed</x:v>
      </x:c>
      <x:c r="M1512" s="16" t="str">
        <x:v>https://www.contourventures.com/team</x:v>
      </x:c>
      <x:c r="N1512" s="16" t="str">
        <x:v>Published source range; proposed allocation and structure require confirmation</x:v>
      </x:c>
      <x:c r="O1512" s="20" t="n">
        <x:v>500000</x:v>
      </x:c>
      <x:c r="P1512" s="20" t="n">
        <x:v>2000000</x:v>
      </x:c>
      <x:c r="Q1512" s="25" t="str">
        <x:v>$500,000-$2,000,000 firm initial ticket</x:v>
      </x:c>
      <x:c r="R1512" s="25" t="str">
        <x:v>Published office contact number associated with Bob Greene, not identified as personal mobile. Software and venture-growth fit unconfirmed. Published office contact number associated with Bob Greene, not identified as personal mobile. Software and venture-growth fit unconfirmed.</x:v>
      </x:c>
      <x:c r="S1512" s="25" t="str">
        <x:v>Published office contact number associated with Bob Greene, not identified as personal mobile. Software and venture-growth fit unconfirmed.</x:v>
      </x:c>
      <x:c r="T1512" s="25" t="str">
        <x:v>Confirm $500K check, 9.3% ownership, current operating-stage eligibility and funding availability.</x:v>
      </x:c>
      <x:c r="U1512" s="25" t="str">
        <x:v>https://www.contourventures.com/investment-criteria/
https://www.contourventures.com/team
https://www.contourventures.com/contact
https://www.contourventures.com
https://www.contourventures.com/</x:v>
      </x:c>
      <x:c r="V1512" s="26" t="d">
        <x:v>2026-10-02T00:00:00.000Z</x:v>
      </x:c>
      <x:c r="W1512" s="26" t="d">
        <x:v>2026-09-30T00:00:00.000Z</x:v>
      </x:c>
      <x:c r="X1512" s="25" t="str">
        <x:v>Saved public company, industry-directory or regulatory source; source date retained</x:v>
      </x:c>
      <x:c r="Y1512" s="25" t="str">
        <x:v>https://www.contourventures.com/contact</x:v>
      </x:c>
      <x:c r="Z1512" s="25" t="str">
        <x:v>https://www.contourventures.com/contact</x:v>
      </x:c>
      <x:c r="AA1512" s="25" t="str">
        <x:v>technology_or_business_services_conditional venture_equity_structure_inferred_terms_not_confirmed</x:v>
      </x:c>
      <x:c r="AB1512" s="3" t="str">
        <x:v>Existing CapitalForge research, newly screened for this campaign</x:v>
      </x:c>
      <x:c r="AC1512" s="3" t="str">
        <x:v>unverified</x:v>
      </x:c>
      <x:c r="AD1512" s="3" t="str">
        <x:v>Not contacted / unconfirmed</x:v>
      </x:c>
      <x:c r="AE1512" s="3" t="str">
        <x:v>No</x:v>
      </x:c>
      <x:c r="AF1512" s="3" t="str">
        <x:v>No</x:v>
      </x:c>
      <x:c r="AG1512" s="3" t="str">
        <x:v>Matt Gorin</x:v>
      </x:c>
      <x:c r="AH1512" s="3"/>
      <x:c r="AI1512" s="18"/>
      <x:c r="AJ1512" s="3" t="str">
        <x:v>CF2500-5233996D2318</x:v>
      </x:c>
      <x:c r="AK1512" s="3" t="str">
        <x:v>Named investor / firm principal</x:v>
      </x:c>
      <x:c r="AL1512" s="19" t="n">
        <x:v>100000</x:v>
      </x:c>
      <x:c r="AM1512" s="19" t="n">
        <x:v>500000</x:v>
      </x:c>
      <x:c r="AN1512" s="3" t="str">
        <x:v>https://www.contourventures.com/investment-criteria/</x:v>
      </x:c>
      <x:c r="AO1512" s="3" t="str">
        <x:v>equity_directory.jsonl</x:v>
      </x:c>
      <x:c r="AP1512" s="19"/>
    </x:row>
    <x:row r="1513" ht="36" customHeight="1">
      <x:c r="A1513" s="23" t="n">
        <x:v>1512</x:v>
      </x:c>
      <x:c r="B1513" s="15" t="str">
        <x:v>Grotech Ventures</x:v>
      </x:c>
      <x:c r="C1513" s="15" t="str">
        <x:v>Chuck Cullen</x:v>
      </x:c>
      <x:c r="D1513" s="15" t="str">
        <x:v>Named investor / firm principal</x:v>
      </x:c>
      <x:c r="E1513" s="15" t="str">
        <x:v>Private operating-company capital inquiry</x:v>
      </x:c>
      <x:c r="F1513" s="17" t="str">
        <x:v>New</x:v>
      </x:c>
      <x:c r="G1513" s="24" t="str">
        <x:v>ccullen@grotech.com</x:v>
      </x:c>
      <x:c r="H1513" s="24" t="str">
        <x:v>+17036379555</x:v>
      </x:c>
      <x:c r="I1513" s="24" t="str">
        <x:v>https://www.grotech.com/team/chuck-cullen</x:v>
      </x:c>
      <x:c r="J1513" s="16"/>
      <x:c r="K1513" s="16"/>
      <x:c r="L1513" s="16" t="str">
        <x:v>published_professional_contact_directness_unconfirmed</x:v>
      </x:c>
      <x:c r="M1513" s="16" t="str">
        <x:v>https://www.grotech.com/team/chuck-cullen</x:v>
      </x:c>
      <x:c r="N1513" s="16" t="str">
        <x:v>Published source range; proposed allocation and structure require confirmation</x:v>
      </x:c>
      <x:c r="O1513" s="20" t="n">
        <x:v>500000</x:v>
      </x:c>
      <x:c r="P1513" s="20" t="n">
        <x:v>5000000</x:v>
      </x:c>
      <x:c r="Q1513" s="25" t="str">
        <x:v>$500,000-$5,000,000 firm initial ticket</x:v>
      </x:c>
      <x:c r="R1513" s="25" t="str">
        <x:v>Firm mainline. Company invests in technology and tech-enabled services; direct individual capital and acceptance of 9.3% unconfirmed. Firm mainline. Company invests in technology and tech-enabled services; direct individual capital and acceptance of 9.3% unconfirmed.</x:v>
      </x:c>
      <x:c r="S1513" s="25" t="str">
        <x:v>Firm mainline. Company invests in technology and tech-enabled services; direct individual capital and acceptance of 9.3% unconfirmed.</x:v>
      </x:c>
      <x:c r="T1513" s="25" t="str">
        <x:v>Confirm $500K check, 9.3% ownership, current operating-stage eligibility and funding availability.</x:v>
      </x:c>
      <x:c r="U1513" s="25" t="str">
        <x:v>https://www.grotech.com/team/chuck-cullen
https://www.grotech.com/team
https://www.grotech.com/about
https://www.grotech.com/team/julia-taxin
https://www.grotech.com/
https://www.grotech.com
https://www.grotech.com/team/lawson-devries
https://www.grotech.com/team/steve-fredrick</x:v>
      </x:c>
      <x:c r="V1513" s="26" t="d">
        <x:v>2026-10-02T00:00:00.000Z</x:v>
      </x:c>
      <x:c r="W1513" s="26" t="d">
        <x:v>2026-09-30T00:00:00.000Z</x:v>
      </x:c>
      <x:c r="X1513" s="25" t="str">
        <x:v>Saved public company, industry-directory or regulatory source; source date retained</x:v>
      </x:c>
      <x:c r="Y1513" s="25" t="str">
        <x:v>https://www.grotech.com/team</x:v>
      </x:c>
      <x:c r="Z1513" s="25" t="str">
        <x:v>https://www.grotech.com/team</x:v>
      </x:c>
      <x:c r="AA1513" s="25" t="str">
        <x:v>technology_or_business_services_conditional venture_equity_structure_inferred_terms_not_confirmed</x:v>
      </x:c>
      <x:c r="AB1513" s="3" t="str">
        <x:v>Existing CapitalForge research, newly screened for this campaign</x:v>
      </x:c>
      <x:c r="AC1513" s="3" t="str">
        <x:v>unverified</x:v>
      </x:c>
      <x:c r="AD1513" s="3" t="str">
        <x:v>Not contacted / unconfirmed</x:v>
      </x:c>
      <x:c r="AE1513" s="3" t="str">
        <x:v>No</x:v>
      </x:c>
      <x:c r="AF1513" s="3" t="str">
        <x:v>No</x:v>
      </x:c>
      <x:c r="AG1513" s="3" t="str">
        <x:v>Julia Taxin; Lawson DeVries; Steve Fredrick</x:v>
      </x:c>
      <x:c r="AH1513" s="3"/>
      <x:c r="AI1513" s="18"/>
      <x:c r="AJ1513" s="3" t="str">
        <x:v>CF2500-D9E5C8C43D97</x:v>
      </x:c>
      <x:c r="AK1513" s="3" t="str">
        <x:v>Named investor / firm principal</x:v>
      </x:c>
      <x:c r="AL1513" s="19" t="n">
        <x:v>100000</x:v>
      </x:c>
      <x:c r="AM1513" s="19" t="n">
        <x:v>500000</x:v>
      </x:c>
      <x:c r="AN1513" s="3" t="str">
        <x:v>https://www.grotech.com/team/chuck-cullen</x:v>
      </x:c>
      <x:c r="AO1513" s="3" t="str">
        <x:v>equity_directory.jsonl</x:v>
      </x:c>
      <x:c r="AP1513" s="19"/>
    </x:row>
    <x:row r="1514" ht="36" customHeight="1">
      <x:c r="A1514" s="23" t="n">
        <x:v>1513</x:v>
      </x:c>
      <x:c r="B1514" s="15" t="str">
        <x:v>Inspired Capital</x:v>
      </x:c>
      <x:c r="C1514" s="15" t="str">
        <x:v>Alexa von Tobel</x:v>
      </x:c>
      <x:c r="D1514" s="15" t="str">
        <x:v>Named investor / firm principal</x:v>
      </x:c>
      <x:c r="E1514" s="15" t="str">
        <x:v>Private operating-company capital inquiry</x:v>
      </x:c>
      <x:c r="F1514" s="17" t="str">
        <x:v>New</x:v>
      </x:c>
      <x:c r="G1514" s="24" t="str">
        <x:v>alexa@inspiredcapital.com</x:v>
      </x:c>
      <x:c r="H1514" s="24" t="str">
        <x:v>+16174173999</x:v>
      </x:c>
      <x:c r="I1514" s="24" t="str">
        <x:v>https://www.inspiredcapital.com/</x:v>
      </x:c>
      <x:c r="J1514" s="16"/>
      <x:c r="K1514" s="16"/>
      <x:c r="L1514" s="16" t="str">
        <x:v>published_professional_contact_directness_unconfirmed</x:v>
      </x:c>
      <x:c r="M1514" s="16" t="str">
        <x:v>https://www.inspiredcapital.com/</x:v>
      </x:c>
      <x:c r="N1514" s="16" t="str">
        <x:v>Published source range; proposed allocation and structure require confirmation</x:v>
      </x:c>
      <x:c r="O1514" s="20" t="n">
        <x:v>500000</x:v>
      </x:c>
      <x:c r="P1514" s="20" t="n">
        <x:v>20000000</x:v>
      </x:c>
      <x:c r="Q1514" s="25" t="str">
        <x:v>$500,000-$20,000,000 firm initial ticket</x:v>
      </x:c>
      <x:c r="R1514" s="25" t="str">
        <x:v>SEC-published firm business mainline, not direct phone. Fewer than ten investments annually. Need demonstrate venture growth, repeatable software advantage and model eligibility. SEC-published firm business mainline, not direct phone. Fewer than ten investments annually. Need demonstrate venture growth, repeatable software advantage and model eligibility.</x:v>
      </x:c>
      <x:c r="S1514" s="25" t="str">
        <x:v>SEC-published firm business mainline, not direct phone. Fewer than ten investments annually. Need demonstrate venture growth, repeatable software advantage and model eligibility.</x:v>
      </x:c>
      <x:c r="T1514" s="25" t="str">
        <x:v>Confirm $500K check, 9.3% ownership, current operating-stage eligibility and funding availability.</x:v>
      </x:c>
      <x:c r="U1514" s="25" t="str">
        <x:v>https://www.inspiredcapital.com/
https://adviserinfo.sec.gov/firm/summary/301426
https://www.inspiredcapital.com/team
https://www.inspiredcapital.com</x:v>
      </x:c>
      <x:c r="V1514" s="26" t="d">
        <x:v>2026-10-02T00:00:00.000Z</x:v>
      </x:c>
      <x:c r="W1514" s="26" t="d">
        <x:v>2026-09-30T00:00:00.000Z</x:v>
      </x:c>
      <x:c r="X1514" s="25" t="str">
        <x:v>Saved public company, industry-directory or regulatory source; source date retained</x:v>
      </x:c>
      <x:c r="Y1514" s="25" t="str">
        <x:v>https://www.inspiredcapital.com/</x:v>
      </x:c>
      <x:c r="Z1514" s="25" t="str">
        <x:v>https://adviserinfo.sec.gov/firm/summary/301426</x:v>
      </x:c>
      <x:c r="AA1514" s="25" t="str">
        <x:v>real_estate_generalist_venture_model_conditional venture_equity_structure_inferred_terms_not_confirmed</x:v>
      </x:c>
      <x:c r="AB1514" s="3" t="str">
        <x:v>Existing CapitalForge research, newly screened for this campaign</x:v>
      </x:c>
      <x:c r="AC1514" s="3" t="str">
        <x:v>unverified</x:v>
      </x:c>
      <x:c r="AD1514" s="3" t="str">
        <x:v>Not contacted / unconfirmed</x:v>
      </x:c>
      <x:c r="AE1514" s="3" t="str">
        <x:v>No</x:v>
      </x:c>
      <x:c r="AF1514" s="3" t="str">
        <x:v>No</x:v>
      </x:c>
      <x:c r="AG1514" s="3" t="str">
        <x:v>Alexa Gellman; Charlotte Ross; Chris Brown; Kamran Ali; Lucy Deland; Mark Batsiyan; Penny Pritzker</x:v>
      </x:c>
      <x:c r="AH1514" s="3"/>
      <x:c r="AI1514" s="18"/>
      <x:c r="AJ1514" s="3" t="str">
        <x:v>CF2500-F5A9A32F391F</x:v>
      </x:c>
      <x:c r="AK1514" s="3" t="str">
        <x:v>Named investor / firm principal</x:v>
      </x:c>
      <x:c r="AL1514" s="19" t="n">
        <x:v>100000</x:v>
      </x:c>
      <x:c r="AM1514" s="19" t="n">
        <x:v>500000</x:v>
      </x:c>
      <x:c r="AN1514" s="3" t="str">
        <x:v>https://www.inspiredcapital.com/</x:v>
      </x:c>
      <x:c r="AO1514" s="3" t="str">
        <x:v>equity_directory.jsonl</x:v>
      </x:c>
      <x:c r="AP1514" s="19"/>
    </x:row>
    <x:row r="1515" ht="36" customHeight="1">
      <x:c r="A1515" s="23" t="n">
        <x:v>1514</x:v>
      </x:c>
      <x:c r="B1515" s="15" t="str">
        <x:v>Laconia</x:v>
      </x:c>
      <x:c r="C1515" s="15" t="str">
        <x:v>David Arcara</x:v>
      </x:c>
      <x:c r="D1515" s="15" t="str">
        <x:v>Named investor / firm principal</x:v>
      </x:c>
      <x:c r="E1515" s="15" t="str">
        <x:v>Private operating-company capital inquiry</x:v>
      </x:c>
      <x:c r="F1515" s="17" t="str">
        <x:v>New</x:v>
      </x:c>
      <x:c r="G1515" s="24" t="str">
        <x:v>david@laconiacapitalgroup.com</x:v>
      </x:c>
      <x:c r="H1515" s="24" t="str">
        <x:v>+19172140564</x:v>
      </x:c>
      <x:c r="I1515" s="24" t="str">
        <x:v>https://www.laconiacapitalgroup.com/people</x:v>
      </x:c>
      <x:c r="J1515" s="16"/>
      <x:c r="K1515" s="16"/>
      <x:c r="L1515" s="16" t="str">
        <x:v>published_professional_contact_directness_unconfirmed</x:v>
      </x:c>
      <x:c r="M1515" s="16" t="str">
        <x:v>https://www.laconiacapitalgroup.com/people</x:v>
      </x:c>
      <x:c r="N1515" s="16" t="str">
        <x:v>Published source range; proposed allocation and structure require confirmation</x:v>
      </x:c>
      <x:c r="O1515" s="20" t="n">
        <x:v>250000</x:v>
      </x:c>
      <x:c r="P1515" s="20" t="n">
        <x:v>1000000</x:v>
      </x:c>
      <x:c r="Q1515" s="25" t="str">
        <x:v>$250,000-$1,000,000 firm ticket</x:v>
      </x:c>
      <x:c r="R1515"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Official blog discusses Software + services and data advantages, but requires venture-scale B 2B workflow opportunity, not a fee projection alone. 101XVC is described as an origination/acquisition/marketing operator with proprietary software, not demonstrated standalone SaaS. Venture fit requires investable product, repeatable demand, venture growth and exit economics. $500K for 9.3% is </x:v>
      </x:c>
      <x:c r="S1515"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Official blog discusses Software + services and data advantages, but requires venture-scale B 2B workflow opportunity, not a fee projection alone. software_and_venture_growth_unconfirmed; 101XVC is described as an origination/acquisition/marketing operator with proprietary software, not demonstrated standalone SaaS. Official blog discusses Software + services and data advantages, but requires venture-scale B2B workflow opportunity, not a fee projection alone. 101XVC is described as an origination/acquisition/marketing operator with proprietary software, not demonstrated standalone Sa</x:v>
      </x:c>
      <x:c r="T1515" s="25" t="str">
        <x:v>Confirm $500K check, 9.3% ownership, current operating-stage eligibility and funding availability.</x:v>
      </x:c>
      <x:c r="U1515" s="25" t="str">
        <x:v>https://www.laconiacapitalgroup.com/faq
https://www.laconiacapitalgroup.com/people
https://adviserinfo.sec.gov/firm/summary/321749
https://www.laconiacapitalgroup.com
https://www.laconiacapitalgroup.com/</x:v>
      </x:c>
      <x:c r="V1515" s="26" t="d">
        <x:v>2026-10-02T00:00:00.000Z</x:v>
      </x:c>
      <x:c r="W1515" s="26" t="d">
        <x:v>2026-09-30T00:00:00.000Z</x:v>
      </x:c>
      <x:c r="X1515" s="25" t="str">
        <x:v>Saved public company, industry-directory or regulatory source; source date retained</x:v>
      </x:c>
      <x:c r="Y1515" s="25" t="str">
        <x:v>https://www.laconiacapitalgroup.com/people</x:v>
      </x:c>
      <x:c r="Z1515" s="25" t="str">
        <x:v>https://adviserinfo.sec.gov/firm/summary/321749</x:v>
      </x:c>
      <x:c r="AA1515" s="25" t="str">
        <x:v>Applied AI and B2B software; supply chain, fintech, martech inferred_seed_equity_not_confirmed_9_3_percent</x:v>
      </x:c>
      <x:c r="AB1515" s="3" t="str">
        <x:v>Existing CapitalForge research, newly screened for this campaign</x:v>
      </x:c>
      <x:c r="AC1515" s="3" t="str">
        <x:v>unverified</x:v>
      </x:c>
      <x:c r="AD1515" s="3" t="str">
        <x:v>Not contacted / unconfirmed</x:v>
      </x:c>
      <x:c r="AE1515" s="3" t="str">
        <x:v>No</x:v>
      </x:c>
      <x:c r="AF1515" s="3" t="str">
        <x:v>No</x:v>
      </x:c>
      <x:c r="AG1515" s="3" t="str">
        <x:v>Geri Kirilova; Jeffrey Silverman</x:v>
      </x:c>
      <x:c r="AH1515" s="3"/>
      <x:c r="AI1515" s="18"/>
      <x:c r="AJ1515" s="3" t="str">
        <x:v>CF2500-536B70BF0D2B</x:v>
      </x:c>
      <x:c r="AK1515" s="3" t="str">
        <x:v>Named investor / firm principal</x:v>
      </x:c>
      <x:c r="AL1515" s="19" t="n">
        <x:v>100000</x:v>
      </x:c>
      <x:c r="AM1515" s="19" t="n">
        <x:v>500000</x:v>
      </x:c>
      <x:c r="AN1515" s="3" t="str">
        <x:v>https://www.laconiacapitalgroup.com/faq</x:v>
      </x:c>
      <x:c r="AO1515" s="3" t="str">
        <x:v>equity_directory.jsonl</x:v>
      </x:c>
      <x:c r="AP1515" s="19"/>
    </x:row>
    <x:row r="1516" ht="36" customHeight="1">
      <x:c r="A1516" s="23" t="n">
        <x:v>1515</x:v>
      </x:c>
      <x:c r="B1516" s="15" t="str">
        <x:v>Legacy Growth Partners</x:v>
      </x:c>
      <x:c r="C1516" s="15" t="str">
        <x:v>Corey Galloway</x:v>
      </x:c>
      <x:c r="D1516" s="15" t="str">
        <x:v>Named investor / firm principal</x:v>
      </x:c>
      <x:c r="E1516" s="15" t="str">
        <x:v>Private operating-company capital inquiry</x:v>
      </x:c>
      <x:c r="F1516" s="17" t="str">
        <x:v>New</x:v>
      </x:c>
      <x:c r="G1516" s="24" t="str">
        <x:v>corey@legacygrowthpartners.com</x:v>
      </x:c>
      <x:c r="H1516" s="24" t="str">
        <x:v>+16467730308</x:v>
      </x:c>
      <x:c r="I1516" s="24" t="str">
        <x:v>https://www.legacygrowthpartners.com/TheTeam.html</x:v>
      </x:c>
      <x:c r="J1516" s="16"/>
      <x:c r="K1516" s="16"/>
      <x:c r="L1516" s="16" t="str">
        <x:v>published_professional_contact_directness_unconfirmed</x:v>
      </x:c>
      <x:c r="M1516" s="16" t="str">
        <x:v>https://www.legacygrowthpartners.com/TheTeam.html</x:v>
      </x:c>
      <x:c r="N1516" s="16" t="str">
        <x:v>Published source range; proposed allocation and structure require confirmation</x:v>
      </x:c>
      <x:c r="O1516" s="20" t="n">
        <x:v>500000</x:v>
      </x:c>
      <x:c r="P1516" s="20" t="n">
        <x:v>3000000</x:v>
      </x:c>
      <x:c r="Q1516" s="25" t="str">
        <x:v>$500,000-$3,000,000 access to nondiscretionary fund, not personal capital</x:v>
      </x:c>
      <x:c r="R1516" s="25" t="str">
        <x:v>Legacy website copyright 2010; current deployment and contact responsiveness unverified. Capital page refers to access to a nondiscretionary fund, not owned committed capital. Legacy website copyright 2010; current deployment and contact responsiveness unverified. Capital page refers to access to a nondiscretionary fund, not owned committed capital.</x:v>
      </x:c>
      <x:c r="S1516" s="25" t="str">
        <x:v>Legacy website copyright 2010; current deployment and contact responsiveness unverified. Capital page refers to access to a nondiscretionary fund, not owned committed capital.</x:v>
      </x:c>
      <x:c r="T1516" s="25" t="str">
        <x:v>Confirm $500K check, 9.3% ownership, current operating-stage eligibility and funding availability.</x:v>
      </x:c>
      <x:c r="U1516" s="25" t="str">
        <x:v>https://www.legacygrowthpartners.com/TheTeam.html
https://www.legacygrowthpartners.com/GrowthCapital.html</x:v>
      </x:c>
      <x:c r="V1516" s="26" t="d">
        <x:v>2026-10-02T00:00:00.000Z</x:v>
      </x:c>
      <x:c r="W1516" s="26" t="d">
        <x:v>2026-09-30T00:00:00.000Z</x:v>
      </x:c>
      <x:c r="X1516" s="25" t="str">
        <x:v>Saved public company, industry-directory or regulatory source; source date retained</x:v>
      </x:c>
      <x:c r="Y1516" s="25" t="str">
        <x:v>https://www.legacygrowthpartners.com/TheTeam.html</x:v>
      </x:c>
      <x:c r="Z1516" s="25" t="str">
        <x:v>https://www.legacygrowthpartners.com/TheTeam.html</x:v>
      </x:c>
      <x:c r="AA1516" s="25" t="str">
        <x:v>real_estate_and_operating_company_growth_equity_legacy_review unconfirmed</x:v>
      </x:c>
      <x:c r="AB1516" s="3" t="str">
        <x:v>Existing CapitalForge research, newly screened for this campaign</x:v>
      </x:c>
      <x:c r="AC1516" s="3" t="str">
        <x:v>unverified</x:v>
      </x:c>
      <x:c r="AD1516" s="3" t="str">
        <x:v>Not contacted / unconfirmed</x:v>
      </x:c>
      <x:c r="AE1516" s="3" t="str">
        <x:v>No</x:v>
      </x:c>
      <x:c r="AF1516" s="3" t="str">
        <x:v>No</x:v>
      </x:c>
      <x:c r="AG1516" s="3"/>
      <x:c r="AH1516" s="3"/>
      <x:c r="AI1516" s="18"/>
      <x:c r="AJ1516" s="3" t="str">
        <x:v>CF2500-4225B5667465</x:v>
      </x:c>
      <x:c r="AK1516" s="3" t="str">
        <x:v>Named investor / firm principal</x:v>
      </x:c>
      <x:c r="AL1516" s="19" t="n">
        <x:v>100000</x:v>
      </x:c>
      <x:c r="AM1516" s="19" t="n">
        <x:v>500000</x:v>
      </x:c>
      <x:c r="AN1516" s="3" t="str">
        <x:v>https://www.legacygrowthpartners.com/TheTeam.html</x:v>
      </x:c>
      <x:c r="AO1516" s="3" t="str">
        <x:v>equity_directory.jsonl</x:v>
      </x:c>
      <x:c r="AP1516" s="19"/>
    </x:row>
    <x:row r="1517" ht="36" customHeight="1">
      <x:c r="A1517" s="23" t="n">
        <x:v>1516</x:v>
      </x:c>
      <x:c r="B1517" s="15" t="str">
        <x:v>Magnolia Ventures</x:v>
      </x:c>
      <x:c r="C1517" s="15" t="str">
        <x:v>Philip H. Reicherz</x:v>
      </x:c>
      <x:c r="D1517" s="15" t="str">
        <x:v>Named investor / firm principal</x:v>
      </x:c>
      <x:c r="E1517" s="15" t="str">
        <x:v>Private operating-company capital inquiry</x:v>
      </x:c>
      <x:c r="F1517" s="17" t="str">
        <x:v>New</x:v>
      </x:c>
      <x:c r="G1517" s="24" t="str">
        <x:v>info@magventuresllc.com</x:v>
      </x:c>
      <x:c r="H1517" s="24" t="str">
        <x:v>+16464486819</x:v>
      </x:c>
      <x:c r="I1517" s="24" t="str">
        <x:v>https://magventuresllc.com/services/</x:v>
      </x:c>
      <x:c r="J1517" s="16"/>
      <x:c r="K1517" s="16"/>
      <x:c r="L1517" s="16" t="str">
        <x:v>published_professional_contact_directness_unconfirmed</x:v>
      </x:c>
      <x:c r="M1517" s="16" t="str">
        <x:v>https://magventuresllc.com/services/</x:v>
      </x:c>
      <x:c r="N1517" s="16" t="str">
        <x:v>Published source range; proposed allocation and structure require confirmation</x:v>
      </x:c>
      <x:c r="O1517" s="20" t="n">
        <x:v>50000</x:v>
      </x:c>
      <x:c r="P1517" s="20" t="n">
        <x:v>1000000</x:v>
      </x:c>
      <x:c r="Q1517" s="25" t="str">
        <x:v>$50,000-$1,000,000 firm seed ticket</x:v>
      </x:c>
      <x:c r="R1517" s="25" t="str">
        <x:v>Public corporate inbox and office phone; no named individual email found. Investment policy is firm policy; service-led pilot eligibility unconfirmed. Public corporate inbox and office phone; no named individual email found. Investment policy is firm policy; service-led pilot eligibility unconfirmed.</x:v>
      </x:c>
      <x:c r="S1517" s="25" t="str">
        <x:v>Public corporate inbox and office phone; no named individual email found. Investment policy is firm policy; service-led pilot eligibility unconfirmed.</x:v>
      </x:c>
      <x:c r="T1517" s="25" t="str">
        <x:v>Confirm $500K check, 9.3% ownership, current operating-stage eligibility and funding availability.</x:v>
      </x:c>
      <x:c r="U1517" s="25" t="str">
        <x:v>https://magventuresllc.com/about/
https://magventuresllc.com/services/</x:v>
      </x:c>
      <x:c r="V1517" s="26" t="d">
        <x:v>2026-10-02T00:00:00.000Z</x:v>
      </x:c>
      <x:c r="W1517" s="26" t="d">
        <x:v>2026-09-30T00:00:00.000Z</x:v>
      </x:c>
      <x:c r="X1517" s="25" t="str">
        <x:v>Saved public company, industry-directory or regulatory source; source date retained</x:v>
      </x:c>
      <x:c r="Y1517" s="25" t="str">
        <x:v>https://magventuresllc.com/services/</x:v>
      </x:c>
      <x:c r="Z1517" s="25" t="str">
        <x:v>https://magventuresllc.com/services/</x:v>
      </x:c>
      <x:c r="AA1517" s="25" t="str">
        <x:v>technology_or_business_services_conditional venture_equity_structure_inferred_terms_not_confirmed</x:v>
      </x:c>
      <x:c r="AB1517" s="3" t="str">
        <x:v>Existing CapitalForge research, newly screened for this campaign</x:v>
      </x:c>
      <x:c r="AC1517" s="3" t="str">
        <x:v>unverified</x:v>
      </x:c>
      <x:c r="AD1517" s="3" t="str">
        <x:v>Not contacted / unconfirmed</x:v>
      </x:c>
      <x:c r="AE1517" s="3" t="str">
        <x:v>No</x:v>
      </x:c>
      <x:c r="AF1517" s="3" t="str">
        <x:v>No</x:v>
      </x:c>
      <x:c r="AG1517" s="3"/>
      <x:c r="AH1517" s="3"/>
      <x:c r="AI1517" s="18"/>
      <x:c r="AJ1517" s="3" t="str">
        <x:v>CF2500-B9A823197BDA</x:v>
      </x:c>
      <x:c r="AK1517" s="3" t="str">
        <x:v>Named investor / firm principal</x:v>
      </x:c>
      <x:c r="AL1517" s="19" t="n">
        <x:v>100000</x:v>
      </x:c>
      <x:c r="AM1517" s="19" t="n">
        <x:v>500000</x:v>
      </x:c>
      <x:c r="AN1517" s="3" t="str">
        <x:v>https://magventuresllc.com/about/</x:v>
      </x:c>
      <x:c r="AO1517" s="3" t="str">
        <x:v>equity_directory.jsonl</x:v>
      </x:c>
      <x:c r="AP1517" s="19"/>
    </x:row>
    <x:row r="1518" ht="36" customHeight="1">
      <x:c r="A1518" s="23" t="n">
        <x:v>1517</x:v>
      </x:c>
      <x:c r="B1518" s="15" t="str">
        <x:v>RCX Capital Group / RCX Partners</x:v>
      </x:c>
      <x:c r="C1518" s="15"/>
      <x:c r="D1518" s="15" t="str">
        <x:v>Operating / strategic equity</x:v>
      </x:c>
      <x:c r="E1518" s="15" t="str">
        <x:v>Private operating-company capital inquiry</x:v>
      </x:c>
      <x:c r="F1518" s="17" t="str">
        <x:v>New</x:v>
      </x:c>
      <x:c r="G1518" s="24" t="str">
        <x:v>info@rcxcapitalgroup.com</x:v>
      </x:c>
      <x:c r="H1518" s="24" t="str">
        <x:v>+18589238484</x:v>
      </x:c>
      <x:c r="I1518" s="24" t="str">
        <x:v>https://www.rcxcapitalgroup.com/</x:v>
      </x:c>
      <x:c r="J1518" s="16"/>
      <x:c r="K1518" s="16"/>
      <x:c r="L1518" s="16" t="str">
        <x:v>firm_business_routing</x:v>
      </x:c>
      <x:c r="M1518" s="16" t="str">
        <x:v>https://www.rcxcapitalgroup.com/</x:v>
      </x:c>
      <x:c r="N1518" s="16" t="str">
        <x:v>$100K-$500K ticket not published / unconfirmed</x:v>
      </x:c>
      <x:c r="O1518" s="20"/>
      <x:c r="P1518" s="20"/>
      <x:c r="Q1518" s="25" t="str">
        <x:v>No direct corporate-capital range established in checked source</x:v>
      </x:c>
      <x:c r="R1518" s="25" t="str">
        <x:v>FINRA member broker/advisory platform and affiliate principal capital must be distinguished. Published minority positions can be in a fund or manager fee/promote instead of success fees. Not proof of buying 9.3% of the operating company for cash. Check size, actual capital provider, business-stage fit and economic structure unknown.</x:v>
      </x:c>
      <x:c r="S1518" s="25" t="str">
        <x:v>FINRA member broker/advisory platform and affiliate principal capital must be distinguished. Published minority positions can be in a fund or manager fee/promote instead of success fees. Not proof of buying 9.3% of the operating company for cash. Check size, actual capital provider, business-stage fit and economic structure unknown.</x:v>
      </x:c>
      <x:c r="T1518" s="25" t="str">
        <x:v>Confirm $500K check, 9.3% ownership, current operating-stage eligibility and funding availability.</x:v>
      </x:c>
      <x:c r="U1518" s="25" t="str">
        <x:v>https://www.rcxcapitalgroup.com/copy-of-capital-raising-advisory
https://www.rcxcapitalgroup.com/</x:v>
      </x:c>
      <x:c r="V1518" s="26" t="d">
        <x:v>2026-10-02T00:00:00.000Z</x:v>
      </x:c>
      <x:c r="W1518" s="26" t="d">
        <x:v>2026-09-30T00:00:00.000Z</x:v>
      </x:c>
      <x:c r="X1518" s="25" t="str">
        <x:v>Saved public company, industry-directory or regulatory source; source date retained</x:v>
      </x:c>
      <x:c r="Y1518" s="25" t="str">
        <x:v>https://www.rcxcapitalgroup.com/copy-of-capital-raising-advisory</x:v>
      </x:c>
      <x:c r="Z1518" s="25" t="str">
        <x:v>https://www.rcxcapitalgroup.com/copy-of-capital-raising-advisory</x:v>
      </x:c>
      <x:c r="AA1518" s="25" t="str">
        <x:v>Affiliate principal-investing strategy partners with real-estate operating platforms; commonly receives fund or fee/promote participation for capital-raising work. fund_or_manager_fee_participation_not_confirmed_company_equity</x:v>
      </x:c>
      <x:c r="AB1518" s="3" t="str">
        <x:v>Existing CapitalForge research, newly screened for this campaign</x:v>
      </x:c>
      <x:c r="AC1518" s="3" t="str">
        <x:v>unverified</x:v>
      </x:c>
      <x:c r="AD1518" s="3" t="str">
        <x:v>Not contacted / unconfirmed</x:v>
      </x:c>
      <x:c r="AE1518" s="3" t="str">
        <x:v>No</x:v>
      </x:c>
      <x:c r="AF1518" s="3" t="str">
        <x:v>No</x:v>
      </x:c>
      <x:c r="AG1518" s="3"/>
      <x:c r="AH1518" s="3"/>
      <x:c r="AI1518" s="18"/>
      <x:c r="AJ1518" s="3" t="str">
        <x:v>CF2500-099FE4C65FEB</x:v>
      </x:c>
      <x:c r="AK1518" s="3" t="str">
        <x:v>Operating / strategic equity</x:v>
      </x:c>
      <x:c r="AL1518" s="19" t="n">
        <x:v>100000</x:v>
      </x:c>
      <x:c r="AM1518" s="19" t="n">
        <x:v>500000</x:v>
      </x:c>
      <x:c r="AN1518" s="3" t="str">
        <x:v>https://www.rcxcapitalgroup.com/copy-of-capital-raising-advisory</x:v>
      </x:c>
      <x:c r="AO1518" s="3" t="str">
        <x:v>equity_directory.jsonl</x:v>
      </x:c>
      <x:c r="AP1518" s="19"/>
    </x:row>
    <x:row r="1519" ht="36" customHeight="1">
      <x:c r="A1519" s="23" t="n">
        <x:v>1518</x:v>
      </x:c>
      <x:c r="B1519" s="15" t="str">
        <x:v>Solender Capital</x:v>
      </x:c>
      <x:c r="C1519" s="15" t="str">
        <x:v>Jordan Solender</x:v>
      </x:c>
      <x:c r="D1519" s="15" t="str">
        <x:v>Named investor / firm principal</x:v>
      </x:c>
      <x:c r="E1519" s="15" t="str">
        <x:v>Private operating-company capital inquiry</x:v>
      </x:c>
      <x:c r="F1519" s="17" t="str">
        <x:v>New</x:v>
      </x:c>
      <x:c r="G1519" s="24" t="str">
        <x:v>jordan.solender@solendermedia.com</x:v>
      </x:c>
      <x:c r="H1519" s="24" t="str">
        <x:v>+13019680965</x:v>
      </x:c>
      <x:c r="I1519" s="24" t="str">
        <x:v>https://www.jordansolender.com/solender-capital</x:v>
      </x:c>
      <x:c r="J1519" s="16"/>
      <x:c r="K1519" s="16"/>
      <x:c r="L1519" s="16" t="str">
        <x:v>published_professional_contact_directness_unconfirmed</x:v>
      </x:c>
      <x:c r="M1519" s="16" t="str">
        <x:v>https://www.jordansolender.com/solender-capital</x:v>
      </x:c>
      <x:c r="N1519" s="16" t="str">
        <x:v>Published source range; proposed allocation and structure require confirmation</x:v>
      </x:c>
      <x:c r="O1519" s="20" t="n">
        <x:v>100000</x:v>
      </x:c>
      <x:c r="P1519" s="20" t="n">
        <x:v>500000</x:v>
      </x:c>
      <x:c r="Q1519" s="25" t="str">
        <x:v>$100,000-$500,000 published operator-led capital ticket</x:v>
      </x:c>
      <x:c r="R1519" s="25" t="str">
        <x:v>Phone is Solender Events operating-company mainline, not a dedicated investment or direct personal line. Profitable or near-profitable companies preferred. Exact 9.3% terms unconfirmed. Phone is Solender Events operating-company mainline, not a dedicated investment or direct personal line. Profitable or near-profitable companies preferred. Exact 9.3% terms unconfirmed.</x:v>
      </x:c>
      <x:c r="S1519" s="25" t="str">
        <x:v>Phone is Solender Events operating-company mainline, not a dedicated investment or direct personal line. Profitable or near-profitable companies preferred. Exact 9.3% terms unconfirmed.</x:v>
      </x:c>
      <x:c r="T1519" s="25" t="str">
        <x:v>Confirm $500K check, 9.3% ownership, current operating-stage eligibility and funding availability.</x:v>
      </x:c>
      <x:c r="U1519" s="25" t="str">
        <x:v>https://www.jordansolender.com/solender-capital
https://www.solenderevents.com/</x:v>
      </x:c>
      <x:c r="V1519" s="26" t="d">
        <x:v>2026-10-02T00:00:00.000Z</x:v>
      </x:c>
      <x:c r="W1519" s="26" t="d">
        <x:v>2026-09-30T00:00:00.000Z</x:v>
      </x:c>
      <x:c r="X1519" s="25" t="str">
        <x:v>Saved public company, industry-directory or regulatory source; source date retained</x:v>
      </x:c>
      <x:c r="Y1519" s="25" t="str">
        <x:v>https://www.jordansolender.com/solender-capital</x:v>
      </x:c>
      <x:c r="Z1519" s="25" t="str">
        <x:v>https://www.solenderevents.com/</x:v>
      </x:c>
      <x:c r="AA1519" s="25" t="str">
        <x:v>operator_led_services_ticket_minority_strong_thematic_fit published_active_minority_portfolio_examples</x:v>
      </x:c>
      <x:c r="AB1519" s="3" t="str">
        <x:v>Existing CapitalForge research, newly screened for this campaign</x:v>
      </x:c>
      <x:c r="AC1519" s="3" t="str">
        <x:v>unverified</x:v>
      </x:c>
      <x:c r="AD1519" s="3" t="str">
        <x:v>Not contacted / unconfirmed</x:v>
      </x:c>
      <x:c r="AE1519" s="3" t="str">
        <x:v>No</x:v>
      </x:c>
      <x:c r="AF1519" s="3" t="str">
        <x:v>No</x:v>
      </x:c>
      <x:c r="AG1519" s="3"/>
      <x:c r="AH1519" s="3"/>
      <x:c r="AI1519" s="18"/>
      <x:c r="AJ1519" s="3" t="str">
        <x:v>CF2500-CAFC15E73F58</x:v>
      </x:c>
      <x:c r="AK1519" s="3" t="str">
        <x:v>Named investor / firm principal</x:v>
      </x:c>
      <x:c r="AL1519" s="19" t="n">
        <x:v>100000</x:v>
      </x:c>
      <x:c r="AM1519" s="19" t="n">
        <x:v>500000</x:v>
      </x:c>
      <x:c r="AN1519" s="3" t="str">
        <x:v>https://www.jordansolender.com/solender-capital</x:v>
      </x:c>
      <x:c r="AO1519" s="3" t="str">
        <x:v>equity_directory.jsonl</x:v>
      </x:c>
      <x:c r="AP1519" s="19"/>
    </x:row>
    <x:row r="1520" ht="36" customHeight="1">
      <x:c r="A1520" s="23" t="n">
        <x:v>1519</x:v>
      </x:c>
      <x:c r="B1520" s="15" t="str">
        <x:v>Temerity Strategic Partners</x:v>
      </x:c>
      <x:c r="C1520" s="15"/>
      <x:c r="D1520" s="15" t="str">
        <x:v>Operating / strategic equity</x:v>
      </x:c>
      <x:c r="E1520" s="15" t="str">
        <x:v>Private operating-company capital inquiry</x:v>
      </x:c>
      <x:c r="F1520" s="17" t="str">
        <x:v>New</x:v>
      </x:c>
      <x:c r="G1520" s="24" t="str">
        <x:v>inquiries@temeritystrategic.com</x:v>
      </x:c>
      <x:c r="H1520" s="24" t="str">
        <x:v>+13129719855</x:v>
      </x:c>
      <x:c r="I1520" s="24" t="str">
        <x:v>https://temeritystrategic.com/</x:v>
      </x:c>
      <x:c r="J1520" s="16"/>
      <x:c r="K1520" s="16"/>
      <x:c r="L1520" s="16" t="str">
        <x:v>firm_business_routing</x:v>
      </x:c>
      <x:c r="M1520" s="16" t="str">
        <x:v>https://temeritystrategic.com/</x:v>
      </x:c>
      <x:c r="N1520" s="16" t="str">
        <x:v>$100K-$500K ticket not published / unconfirmed</x:v>
      </x:c>
      <x:c r="O1520" s="20"/>
      <x:c r="P1520" s="20"/>
      <x:c r="Q1520" s="25" t="str">
        <x:v>No direct corporate-capital range established in checked source</x:v>
      </x:c>
      <x:c r="R1520" s="25" t="str">
        <x:v>Published co-GP commitments fund real-estate owner/operator investment programs. Does not confirm equity investment in a fee-only transaction fulfillment company, a $500K ticket, or 9.3% ownership.</x:v>
      </x:c>
      <x:c r="S1520" s="25" t="str">
        <x:v>Published co-GP commitments fund real-estate owner/operator investment programs. Does not confirm equity investment in a fee-only transaction fulfillment company, a $500K ticket, or 9.3% ownership.</x:v>
      </x:c>
      <x:c r="T1520" s="25" t="str">
        <x:v>Confirm $500K check, 9.3% ownership, current operating-stage eligibility and funding availability.</x:v>
      </x:c>
      <x:c r="U1520" s="25" t="str">
        <x:v>https://temeritystrategic.com/investment-strategy/
https://temeritystrategic.com/
https://temeritystrategic.com/contact/</x:v>
      </x:c>
      <x:c r="V1520" s="26" t="d">
        <x:v>2026-10-02T00:00:00.000Z</x:v>
      </x:c>
      <x:c r="W1520" s="26" t="d">
        <x:v>2026-09-30T00:00:00.000Z</x:v>
      </x:c>
      <x:c r="X1520" s="25" t="str">
        <x:v>Saved public company, industry-directory or regulatory source; source date retained</x:v>
      </x:c>
      <x:c r="Y1520" s="25" t="str">
        <x:v>https://temeritystrategic.com/contact/</x:v>
      </x:c>
      <x:c r="Z1520" s="25" t="str">
        <x:v>https://temeritystrategic.com/contact/</x:v>
      </x:c>
      <x:c r="AA1520" s="25" t="str">
        <x:v>Provides growth capital and programmatic co-GP equity to established real-estate owners, operators and developers across the United States. unconfirmed</x:v>
      </x:c>
      <x:c r="AB1520" s="3" t="str">
        <x:v>Existing CapitalForge research, newly screened for this campaign</x:v>
      </x:c>
      <x:c r="AC1520" s="3" t="str">
        <x:v>unverified</x:v>
      </x:c>
      <x:c r="AD1520" s="3" t="str">
        <x:v>Not contacted / unconfirmed</x:v>
      </x:c>
      <x:c r="AE1520" s="3" t="str">
        <x:v>No</x:v>
      </x:c>
      <x:c r="AF1520" s="3" t="str">
        <x:v>No</x:v>
      </x:c>
      <x:c r="AG1520" s="3"/>
      <x:c r="AH1520" s="3"/>
      <x:c r="AI1520" s="18"/>
      <x:c r="AJ1520" s="3" t="str">
        <x:v>CF2500-2CB4A8BF1495</x:v>
      </x:c>
      <x:c r="AK1520" s="3" t="str">
        <x:v>Operating / strategic equity</x:v>
      </x:c>
      <x:c r="AL1520" s="19" t="n">
        <x:v>100000</x:v>
      </x:c>
      <x:c r="AM1520" s="19" t="n">
        <x:v>500000</x:v>
      </x:c>
      <x:c r="AN1520" s="3" t="str">
        <x:v>https://temeritystrategic.com/investment-strategy/</x:v>
      </x:c>
      <x:c r="AO1520" s="3" t="str">
        <x:v>equity_directory.jsonl</x:v>
      </x:c>
      <x:c r="AP1520" s="19"/>
    </x:row>
    <x:row r="1521" ht="36" customHeight="1">
      <x:c r="A1521" s="23" t="n">
        <x:v>1520</x:v>
      </x:c>
      <x:c r="B1521" s="15" t="str">
        <x:v>Vertical Venture Partners</x:v>
      </x:c>
      <x:c r="C1521" s="15" t="str">
        <x:v>Matt Schwab</x:v>
      </x:c>
      <x:c r="D1521" s="15" t="str">
        <x:v>Named investor / firm principal</x:v>
      </x:c>
      <x:c r="E1521" s="15" t="str">
        <x:v>Private operating-company capital inquiry</x:v>
      </x:c>
      <x:c r="F1521" s="17" t="str">
        <x:v>New</x:v>
      </x:c>
      <x:c r="G1521" s="24" t="str">
        <x:v>matthew@vvp.vc</x:v>
      </x:c>
      <x:c r="H1521" s="24" t="str">
        <x:v>+14088886716</x:v>
      </x:c>
      <x:c r="I1521" s="24" t="str">
        <x:v>https://vvp.vc/team</x:v>
      </x:c>
      <x:c r="J1521" s="16"/>
      <x:c r="K1521" s="16"/>
      <x:c r="L1521" s="16" t="str">
        <x:v>published_professional_contact_directness_unconfirmed</x:v>
      </x:c>
      <x:c r="M1521" s="16" t="str">
        <x:v>https://vvp.vc/team</x:v>
      </x:c>
      <x:c r="N1521" s="16" t="str">
        <x:v>Published source range; proposed allocation and structure require confirmation</x:v>
      </x:c>
      <x:c r="O1521" s="20" t="n">
        <x:v>500000</x:v>
      </x:c>
      <x:c r="P1521" s="20" t="n">
        <x:v>2500000</x:v>
      </x:c>
      <x:c r="Q1521" s="25" t="str">
        <x:v>$500,000-$2,500,000 firm ticket</x:v>
      </x:c>
      <x:c r="R1521"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double-digit ownership target conflicts with 9.3% unless negotiable. Requires vertical enterprise product rather than generic operations funding. 101XVC is described as an origination/acquisition/marketing operator with proprietary software, not demonstrated standalone SaaS. Venture fit requires investable product, repeatable demand, venture growth and exit economics. $500K for</x:v>
      </x:c>
      <x:c r="S1521"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Published double-digit ownership target conflicts with 9.3% unless negotiable. Requires vertical enterprise product rather than generic operations funding. software_and_venture_growth_unconfirmed; 101XVC is described as an origination/acquisition/marketing operator with proprietary software, not demonstrated standalone SaaS. Published double-digit ownership target conflicts with9.3% unless negotiable. Requires vertical enterprise product rather than generic operations funding. 101XVC is described as an origination/acquisition/marketing operator with proprietary software, not demonstr</x:v>
      </x:c>
      <x:c r="T1521" s="25" t="str">
        <x:v>Confirm $500K check, 9.3% ownership, current operating-stage eligibility and funding availability.</x:v>
      </x:c>
      <x:c r="U1521" s="25" t="str">
        <x:v>https://vvp.vc/how-we-invest
https://vvp.vc/team
https://adviserinfo.sec.gov/firm/summary/288845
https://vvp.vc</x:v>
      </x:c>
      <x:c r="V1521" s="26" t="d">
        <x:v>2026-10-02T00:00:00.000Z</x:v>
      </x:c>
      <x:c r="W1521" s="26" t="d">
        <x:v>2026-09-30T00:00:00.000Z</x:v>
      </x:c>
      <x:c r="X1521" s="25" t="str">
        <x:v>Saved public company, industry-directory or regulatory source; source date retained</x:v>
      </x:c>
      <x:c r="Y1521" s="25" t="str">
        <x:v>https://vvp.vc/how-we-invest</x:v>
      </x:c>
      <x:c r="Z1521" s="25" t="str">
        <x:v>https://adviserinfo.sec.gov/firm/summary/288845</x:v>
      </x:c>
      <x:c r="AA1521" s="25" t="str">
        <x:v>Vertical enterprise software; healthcare, trucking, education and construction inferred_seed_equity_not_confirmed_9_3_percent</x:v>
      </x:c>
      <x:c r="AB1521" s="3" t="str">
        <x:v>Existing CapitalForge research, newly screened for this campaign</x:v>
      </x:c>
      <x:c r="AC1521" s="3" t="str">
        <x:v>unverified</x:v>
      </x:c>
      <x:c r="AD1521" s="3" t="str">
        <x:v>Not contacted / unconfirmed</x:v>
      </x:c>
      <x:c r="AE1521" s="3" t="str">
        <x:v>No</x:v>
      </x:c>
      <x:c r="AF1521" s="3" t="str">
        <x:v>No</x:v>
      </x:c>
      <x:c r="AG1521" s="3"/>
      <x:c r="AH1521" s="3"/>
      <x:c r="AI1521" s="18"/>
      <x:c r="AJ1521" s="3" t="str">
        <x:v>CF2500-63BF8251EF70</x:v>
      </x:c>
      <x:c r="AK1521" s="3" t="str">
        <x:v>Named investor / firm principal</x:v>
      </x:c>
      <x:c r="AL1521" s="19" t="n">
        <x:v>100000</x:v>
      </x:c>
      <x:c r="AM1521" s="19" t="n">
        <x:v>500000</x:v>
      </x:c>
      <x:c r="AN1521" s="3" t="str">
        <x:v>https://vvp.vc/how-we-invest</x:v>
      </x:c>
      <x:c r="AO1521" s="3" t="str">
        <x:v>equity_directory.jsonl</x:v>
      </x:c>
      <x:c r="AP1521" s="19"/>
    </x:row>
    <x:row r="1522" ht="36" customHeight="1">
      <x:c r="A1522" s="23" t="n">
        <x:v>1521</x:v>
      </x:c>
      <x:c r="B1522" s="15" t="str">
        <x:v>Alpaca VC</x:v>
      </x:c>
      <x:c r="C1522" s="15" t="str">
        <x:v>Ryan Freedman</x:v>
      </x:c>
      <x:c r="D1522" s="15" t="str">
        <x:v>Named investor / firm principal</x:v>
      </x:c>
      <x:c r="E1522" s="15" t="str">
        <x:v>Private operating-company capital inquiry</x:v>
      </x:c>
      <x:c r="F1522" s="17" t="str">
        <x:v>New</x:v>
      </x:c>
      <x:c r="G1522" s="24" t="str">
        <x:v>hey@alpaca.vc</x:v>
      </x:c>
      <x:c r="H1522" s="24" t="str">
        <x:v>+18605010289</x:v>
      </x:c>
      <x:c r="I1522" s="24" t="str">
        <x:v>https://alpaca.vc/team</x:v>
      </x:c>
      <x:c r="J1522" s="16"/>
      <x:c r="K1522" s="16"/>
      <x:c r="L1522" s="16" t="str">
        <x:v>published_professional_contact_directness_unconfirmed</x:v>
      </x:c>
      <x:c r="M1522" s="16" t="str">
        <x:v>https://alpaca.vc/team</x:v>
      </x:c>
      <x:c r="N1522" s="16" t="str">
        <x:v>$100K-$500K ticket not published / unconfirmed</x:v>
      </x:c>
      <x:c r="O1522" s="20"/>
      <x:c r="P1522" s="20"/>
      <x:c r="Q1522" s="25" t="str">
        <x:v>No direct corporate-capital range established in checked source</x:v>
      </x:c>
      <x:c r="R1522" s="25" t="str">
        <x:v>Corporate general-inquiry inbox and SEC-published mainline, not personal/direct contact.9.3% terms, check amount and fee-based operating model eligibility unknown. Corporate general-inquiry inbox and SEC-published mainline, not personal/direct contact.9.3% terms, check amount and fee-based operating model eligibility unknown.</x:v>
      </x:c>
      <x:c r="S1522" s="25" t="str">
        <x:v>Corporate general-inquiry inbox and SEC-published mainline, not personal/direct contact.9.3% terms, check amount and fee-based operating model eligibility unknown.</x:v>
      </x:c>
      <x:c r="T1522" s="25" t="str">
        <x:v>Confirm $500K check, 9.3% ownership, current operating-stage eligibility and funding availability.</x:v>
      </x:c>
      <x:c r="U1522" s="25" t="str">
        <x:v>https://alpaca.vc/team
https://adviserinfo.sec.gov/firm/summary/317262</x:v>
      </x:c>
      <x:c r="V1522" s="26" t="d">
        <x:v>2026-10-02T00:00:00.000Z</x:v>
      </x:c>
      <x:c r="W1522" s="26" t="d">
        <x:v>2026-09-30T00:00:00.000Z</x:v>
      </x:c>
      <x:c r="X1522" s="25" t="str">
        <x:v>Saved public company, industry-directory or regulatory source; source date retained</x:v>
      </x:c>
      <x:c r="Y1522" s="25" t="str">
        <x:v>https://alpaca.vc/team</x:v>
      </x:c>
      <x:c r="Z1522" s="25" t="str">
        <x:v>https://adviserinfo.sec.gov/firm/summary/317262</x:v>
      </x:c>
      <x:c r="AA1522" s="25" t="str">
        <x:v>real_estate_and_ai_native_venture_conditional venture_equity_structure_inferred_terms_not_confirmed</x:v>
      </x:c>
      <x:c r="AB1522" s="3" t="str">
        <x:v>Existing CapitalForge research, newly screened for this campaign</x:v>
      </x:c>
      <x:c r="AC1522" s="3" t="str">
        <x:v>unverified</x:v>
      </x:c>
      <x:c r="AD1522" s="3" t="str">
        <x:v>Not contacted / unconfirmed</x:v>
      </x:c>
      <x:c r="AE1522" s="3" t="str">
        <x:v>No</x:v>
      </x:c>
      <x:c r="AF1522" s="3" t="str">
        <x:v>No</x:v>
      </x:c>
      <x:c r="AG1522" s="3"/>
      <x:c r="AH1522" s="3"/>
      <x:c r="AI1522" s="18"/>
      <x:c r="AJ1522" s="3" t="str">
        <x:v>CF2500-AA1FE2B50975</x:v>
      </x:c>
      <x:c r="AK1522" s="3" t="str">
        <x:v>Named investor / firm principal</x:v>
      </x:c>
      <x:c r="AL1522" s="19" t="n">
        <x:v>100000</x:v>
      </x:c>
      <x:c r="AM1522" s="19" t="n">
        <x:v>500000</x:v>
      </x:c>
      <x:c r="AN1522" s="3" t="str">
        <x:v>https://alpaca.vc/team</x:v>
      </x:c>
      <x:c r="AO1522" s="3" t="str">
        <x:v>equity_directory.jsonl</x:v>
      </x:c>
      <x:c r="AP1522" s="19"/>
    </x:row>
    <x:row r="1523" ht="36" customHeight="1">
      <x:c r="A1523" s="23" t="n">
        <x:v>1522</x:v>
      </x:c>
      <x:c r="B1523" s="15" t="str">
        <x:v>CitySide Ventures / Birmingham Angels</x:v>
      </x:c>
      <x:c r="C1523" s="15" t="str">
        <x:v>Doron York</x:v>
      </x:c>
      <x:c r="D1523" s="15" t="str">
        <x:v>Named investor / firm principal</x:v>
      </x:c>
      <x:c r="E1523" s="15" t="str">
        <x:v>Private operating-company capital inquiry</x:v>
      </x:c>
      <x:c r="F1523" s="17" t="str">
        <x:v>New</x:v>
      </x:c>
      <x:c r="G1523" s="24" t="str">
        <x:v>dyork@citysidevc.com</x:v>
      </x:c>
      <x:c r="H1523" s="24" t="str">
        <x:v>+12489816688</x:v>
      </x:c>
      <x:c r="I1523" s="24" t="str">
        <x:v>https://birminghamvp.com/teams/doron-york/</x:v>
      </x:c>
      <x:c r="J1523" s="16"/>
      <x:c r="K1523" s="16"/>
      <x:c r="L1523" s="16" t="str">
        <x:v>published_professional_contact_directness_unconfirmed</x:v>
      </x:c>
      <x:c r="M1523" s="16" t="str">
        <x:v>https://birminghamvp.com/teams/doron-york/</x:v>
      </x:c>
      <x:c r="N1523" s="16" t="str">
        <x:v>$100K-$500K ticket not published / unconfirmed</x:v>
      </x:c>
      <x:c r="O1523" s="20"/>
      <x:c r="P1523" s="20"/>
      <x:c r="Q1523" s="25" t="str">
        <x:v>No direct corporate-capital range established in checked source</x:v>
      </x:c>
      <x:c r="R1523" s="25" t="str">
        <x:v>Michigan focus. Represents firm and syndication; personal investment amount/liquidity not established. Michigan focus. Represents firm and syndication; personal investment amount/liquidity not established.</x:v>
      </x:c>
      <x:c r="S1523" s="25" t="str">
        <x:v>Michigan focus. Represents firm and syndication; personal investment amount/liquidity not established.</x:v>
      </x:c>
      <x:c r="T1523" s="25" t="str">
        <x:v>Confirm $500K check, 9.3% ownership, current operating-stage eligibility and funding availability.</x:v>
      </x:c>
      <x:c r="U1523" s="25" t="str">
        <x:v>https://citysidevc.com/event/copy-of-birmingham-angels-investors-monthly-deal-tank-june-2026
https://birminghamvp.com/teams/doron-york/</x:v>
      </x:c>
      <x:c r="V1523" s="26" t="d">
        <x:v>2026-10-02T00:00:00.000Z</x:v>
      </x:c>
      <x:c r="W1523" s="26" t="d">
        <x:v>2026-09-30T00:00:00.000Z</x:v>
      </x:c>
      <x:c r="X1523" s="25" t="str">
        <x:v>Saved public company, industry-directory or regulatory source; source date retained</x:v>
      </x:c>
      <x:c r="Y1523" s="25" t="str">
        <x:v>https://birminghamvp.com/teams/doron-york/</x:v>
      </x:c>
      <x:c r="Z1523" s="25" t="str">
        <x:v>https://birminghamvp.com/teams/doron-york/</x:v>
      </x:c>
      <x:c r="AA1523" s="25" t="str">
        <x:v>seed_business_services_software_thematic_fit unconfirmed</x:v>
      </x:c>
      <x:c r="AB1523" s="3" t="str">
        <x:v>Existing CapitalForge research, newly screened for this campaign</x:v>
      </x:c>
      <x:c r="AC1523" s="3" t="str">
        <x:v>unverified</x:v>
      </x:c>
      <x:c r="AD1523" s="3" t="str">
        <x:v>Not contacted / unconfirmed</x:v>
      </x:c>
      <x:c r="AE1523" s="3" t="str">
        <x:v>No</x:v>
      </x:c>
      <x:c r="AF1523" s="3" t="str">
        <x:v>No</x:v>
      </x:c>
      <x:c r="AG1523" s="3"/>
      <x:c r="AH1523" s="3"/>
      <x:c r="AI1523" s="18"/>
      <x:c r="AJ1523" s="3" t="str">
        <x:v>CF2500-0A5551B3785B</x:v>
      </x:c>
      <x:c r="AK1523" s="3" t="str">
        <x:v>Named investor / firm principal</x:v>
      </x:c>
      <x:c r="AL1523" s="19" t="n">
        <x:v>100000</x:v>
      </x:c>
      <x:c r="AM1523" s="19" t="n">
        <x:v>500000</x:v>
      </x:c>
      <x:c r="AN1523" s="3" t="str">
        <x:v>https://citysidevc.com/event/copy-of-birmingham-angels-investors-monthly-deal-tank-june-2026</x:v>
      </x:c>
      <x:c r="AO1523" s="3" t="str">
        <x:v>equity_directory.jsonl</x:v>
      </x:c>
      <x:c r="AP1523" s="19"/>
    </x:row>
    <x:row r="1524" ht="36" customHeight="1">
      <x:c r="A1524" s="23" t="n">
        <x:v>1523</x:v>
      </x:c>
      <x:c r="B1524" s="15" t="str">
        <x:v>Detroit Venture Partners</x:v>
      </x:c>
      <x:c r="C1524" s="15" t="str">
        <x:v>Dan Gilbert</x:v>
      </x:c>
      <x:c r="D1524" s="15" t="str">
        <x:v>Named investor / firm principal</x:v>
      </x:c>
      <x:c r="E1524" s="15" t="str">
        <x:v>Private operating-company capital inquiry</x:v>
      </x:c>
      <x:c r="F1524" s="17" t="str">
        <x:v>New</x:v>
      </x:c>
      <x:c r="G1524" s="24" t="str">
        <x:v>info@detroit.vc</x:v>
      </x:c>
      <x:c r="H1524" s="24" t="str">
        <x:v>+13133737758</x:v>
      </x:c>
      <x:c r="I1524" s="24" t="str">
        <x:v>https://detroit.vc/</x:v>
      </x:c>
      <x:c r="J1524" s="16"/>
      <x:c r="K1524" s="16"/>
      <x:c r="L1524" s="16" t="str">
        <x:v>published_professional_contact_directness_unconfirmed</x:v>
      </x:c>
      <x:c r="M1524" s="16" t="str">
        <x:v>https://detroit.vc/</x:v>
      </x:c>
      <x:c r="N1524" s="16" t="str">
        <x:v>$100K-$500K ticket not published / unconfirmed</x:v>
      </x:c>
      <x:c r="O1524" s="20"/>
      <x:c r="P1524" s="20"/>
      <x:c r="Q1524" s="25" t="str">
        <x:v>No direct corporate-capital range established in checked source</x:v>
      </x:c>
      <x:c r="R1524" s="25" t="str">
        <x:v>Generic firm inbox and SEC mainline, not direct individual contact. Detroit mandate and investable software model require qualification. No current first-party ticket found. Generic firm inbox and SEC mainline, not direct individual contact. Detroit mandate and investable software model require qualification. No current first-party ticket found.</x:v>
      </x:c>
      <x:c r="S1524" s="25" t="str">
        <x:v>Generic firm inbox and SEC mainline, not direct individual contact. Detroit mandate and investable software model require qualification. No current first-party ticket found.</x:v>
      </x:c>
      <x:c r="T1524" s="25" t="str">
        <x:v>Confirm $500K check, 9.3% ownership, current operating-stage eligibility and funding availability.</x:v>
      </x:c>
      <x:c r="U1524" s="25" t="str">
        <x:v>https://detroit.vc/
https://adviserinfo.sec.gov/firm/summary/281114</x:v>
      </x:c>
      <x:c r="V1524" s="26" t="d">
        <x:v>2026-10-02T00:00:00.000Z</x:v>
      </x:c>
      <x:c r="W1524" s="26" t="d">
        <x:v>2026-09-30T00:00:00.000Z</x:v>
      </x:c>
      <x:c r="X1524" s="25" t="str">
        <x:v>Saved public company, industry-directory or regulatory source; source date retained</x:v>
      </x:c>
      <x:c r="Y1524" s="25" t="str">
        <x:v>https://detroit.vc/</x:v>
      </x:c>
      <x:c r="Z1524" s="25" t="str">
        <x:v>https://adviserinfo.sec.gov/firm/summary/281114</x:v>
      </x:c>
      <x:c r="AA1524" s="25" t="str">
        <x:v>real_estate_affiliated_seed_venture_conditional venture_equity_structure_inferred_terms_not_confirmed</x:v>
      </x:c>
      <x:c r="AB1524" s="3" t="str">
        <x:v>Existing CapitalForge research, newly screened for this campaign</x:v>
      </x:c>
      <x:c r="AC1524" s="3" t="str">
        <x:v>unverified</x:v>
      </x:c>
      <x:c r="AD1524" s="3" t="str">
        <x:v>Not contacted / unconfirmed</x:v>
      </x:c>
      <x:c r="AE1524" s="3" t="str">
        <x:v>No</x:v>
      </x:c>
      <x:c r="AF1524" s="3" t="str">
        <x:v>No</x:v>
      </x:c>
      <x:c r="AG1524" s="3"/>
      <x:c r="AH1524" s="3"/>
      <x:c r="AI1524" s="18"/>
      <x:c r="AJ1524" s="3" t="str">
        <x:v>CF2500-C8A5BE925996</x:v>
      </x:c>
      <x:c r="AK1524" s="3" t="str">
        <x:v>Named investor / firm principal</x:v>
      </x:c>
      <x:c r="AL1524" s="19" t="n">
        <x:v>100000</x:v>
      </x:c>
      <x:c r="AM1524" s="19" t="n">
        <x:v>500000</x:v>
      </x:c>
      <x:c r="AN1524" s="3" t="str">
        <x:v>https://detroit.vc/</x:v>
      </x:c>
      <x:c r="AO1524" s="3" t="str">
        <x:v>equity_directory.jsonl</x:v>
      </x:c>
      <x:c r="AP1524" s="19"/>
    </x:row>
    <x:row r="1525" ht="36" customHeight="1">
      <x:c r="A1525" s="23" t="n">
        <x:v>1524</x:v>
      </x:c>
      <x:c r="B1525" s="15" t="str">
        <x:v>eLab Ventures</x:v>
      </x:c>
      <x:c r="C1525" s="15" t="str">
        <x:v>Doug Neal</x:v>
      </x:c>
      <x:c r="D1525" s="15" t="str">
        <x:v>Named investor / firm principal</x:v>
      </x:c>
      <x:c r="E1525" s="15" t="str">
        <x:v>Private operating-company capital inquiry</x:v>
      </x:c>
      <x:c r="F1525" s="17" t="str">
        <x:v>New</x:v>
      </x:c>
      <x:c r="G1525" s="24" t="str">
        <x:v>info@elabvc.com</x:v>
      </x:c>
      <x:c r="H1525" s="24" t="str">
        <x:v>+17349265221</x:v>
      </x:c>
      <x:c r="I1525" s="24" t="str">
        <x:v>https://www.elabvc.com/team</x:v>
      </x:c>
      <x:c r="J1525" s="16"/>
      <x:c r="K1525" s="16"/>
      <x:c r="L1525" s="16" t="str">
        <x:v>published_professional_contact_directness_unconfirmed</x:v>
      </x:c>
      <x:c r="M1525" s="16" t="str">
        <x:v>https://www.elabvc.com/team</x:v>
      </x:c>
      <x:c r="N1525" s="16" t="str">
        <x:v>$100K-$500K ticket not published / unconfirmed</x:v>
      </x:c>
      <x:c r="O1525" s="20"/>
      <x:c r="P1525" s="20"/>
      <x:c r="Q1525" s="25" t="str">
        <x:v>No direct corporate-capital range established in checked source</x:v>
      </x:c>
      <x:c r="R1525" s="25" t="str">
        <x:v>Generic firm inbox/mainline, not individual email. Published check size and minority percentage not confirmed; substantial defensible AI product needed. Generic firm inbox/mainline, not individual email. Published check size and minority percentage not confirmed; substantial defensible AI product needed.</x:v>
      </x:c>
      <x:c r="S1525" s="25" t="str">
        <x:v>Generic firm inbox/mainline, not individual email. Published check size and minority percentage not confirmed; substantial defensible AI product needed.</x:v>
      </x:c>
      <x:c r="T1525" s="25" t="str">
        <x:v>Confirm $500K check, 9.3% ownership, current operating-stage eligibility and funding availability.</x:v>
      </x:c>
      <x:c r="U1525" s="25" t="str">
        <x:v>https://www.elabvc.com/
https://www.elabvc.com/team</x:v>
      </x:c>
      <x:c r="V1525" s="26" t="d">
        <x:v>2026-10-02T00:00:00.000Z</x:v>
      </x:c>
      <x:c r="W1525" s="26" t="d">
        <x:v>2026-09-30T00:00:00.000Z</x:v>
      </x:c>
      <x:c r="X1525" s="25" t="str">
        <x:v>Saved public company, industry-directory or regulatory source; source date retained</x:v>
      </x:c>
      <x:c r="Y1525" s="25" t="str">
        <x:v>https://www.elabvc.com/</x:v>
      </x:c>
      <x:c r="Z1525" s="25" t="str">
        <x:v>https://www.elabvc.com/</x:v>
      </x:c>
      <x:c r="AA1525" s="25" t="str">
        <x:v>ai_native_venture_model_conditional venture_equity_structure_inferred_terms_not_confirmed</x:v>
      </x:c>
      <x:c r="AB1525" s="3" t="str">
        <x:v>Existing CapitalForge research, newly screened for this campaign</x:v>
      </x:c>
      <x:c r="AC1525" s="3" t="str">
        <x:v>unverified</x:v>
      </x:c>
      <x:c r="AD1525" s="3" t="str">
        <x:v>Not contacted / unconfirmed</x:v>
      </x:c>
      <x:c r="AE1525" s="3" t="str">
        <x:v>No</x:v>
      </x:c>
      <x:c r="AF1525" s="3" t="str">
        <x:v>No</x:v>
      </x:c>
      <x:c r="AG1525" s="3"/>
      <x:c r="AH1525" s="3"/>
      <x:c r="AI1525" s="18"/>
      <x:c r="AJ1525" s="3" t="str">
        <x:v>CF2500-170EAC4C2C53</x:v>
      </x:c>
      <x:c r="AK1525" s="3" t="str">
        <x:v>Named investor / firm principal</x:v>
      </x:c>
      <x:c r="AL1525" s="19" t="n">
        <x:v>100000</x:v>
      </x:c>
      <x:c r="AM1525" s="19" t="n">
        <x:v>500000</x:v>
      </x:c>
      <x:c r="AN1525" s="3" t="str">
        <x:v>https://www.elabvc.com/</x:v>
      </x:c>
      <x:c r="AO1525" s="3" t="str">
        <x:v>equity_directory.jsonl</x:v>
      </x:c>
      <x:c r="AP1525" s="19"/>
    </x:row>
    <x:row r="1526" ht="36" customHeight="1">
      <x:c r="A1526" s="23" t="n">
        <x:v>1525</x:v>
      </x:c>
      <x:c r="B1526" s="15" t="str">
        <x:v>Grand Ventures</x:v>
      </x:c>
      <x:c r="C1526" s="15" t="str">
        <x:v>Nathan Owen</x:v>
      </x:c>
      <x:c r="D1526" s="15" t="str">
        <x:v>Named investor / firm principal</x:v>
      </x:c>
      <x:c r="E1526" s="15" t="str">
        <x:v>Private operating-company capital inquiry</x:v>
      </x:c>
      <x:c r="F1526" s="17" t="str">
        <x:v>New</x:v>
      </x:c>
      <x:c r="G1526" s="24" t="str">
        <x:v>info@grandvcp.com</x:v>
      </x:c>
      <x:c r="H1526" s="24" t="str">
        <x:v>+16167801133</x:v>
      </x:c>
      <x:c r="I1526" s="24" t="str">
        <x:v>https://grandvcp.com/the-team/</x:v>
      </x:c>
      <x:c r="J1526" s="16"/>
      <x:c r="K1526" s="16"/>
      <x:c r="L1526" s="16" t="str">
        <x:v>published_professional_contact_directness_unconfirmed</x:v>
      </x:c>
      <x:c r="M1526" s="16" t="str">
        <x:v>https://grandvcp.com/the-team/</x:v>
      </x:c>
      <x:c r="N1526" s="16" t="str">
        <x:v>$100K-$500K ticket not published / unconfirmed</x:v>
      </x:c>
      <x:c r="O1526" s="20"/>
      <x:c r="P1526" s="20"/>
      <x:c r="Q1526" s="25" t="str">
        <x:v>No direct corporate-capital range established in checked source</x:v>
      </x:c>
      <x:c r="R1526" s="25" t="str">
        <x:v>General inquiry corporate email, not individual contact. SEC business mainline. No current ticket policy found; 101XVC operating-model eligibility requires qualification. General inquiry corporate email, not individual contact. SEC business mainline. No current ticket policy found; 101XVC operating-model eligibility requires qualification.</x:v>
      </x:c>
      <x:c r="S1526" s="25" t="str">
        <x:v>General inquiry corporate email, not individual contact. SEC business mainline. No current ticket policy found; 101XVC operating-model eligibility requires qualification.</x:v>
      </x:c>
      <x:c r="T1526" s="25" t="str">
        <x:v>Confirm $500K check, 9.3% ownership, current operating-stage eligibility and funding availability.</x:v>
      </x:c>
      <x:c r="U1526" s="25" t="str">
        <x:v>https://grandvcp.com/
https://grandvcp.com/the-team/
https://grandvcp.com/lets-connect/
https://adviserinfo.sec.gov/firm/summary/336696</x:v>
      </x:c>
      <x:c r="V1526" s="26" t="d">
        <x:v>2026-10-02T00:00:00.000Z</x:v>
      </x:c>
      <x:c r="W1526" s="26" t="d">
        <x:v>2026-09-30T00:00:00.000Z</x:v>
      </x:c>
      <x:c r="X1526" s="25" t="str">
        <x:v>Saved public company, industry-directory or regulatory source; source date retained</x:v>
      </x:c>
      <x:c r="Y1526" s="25" t="str">
        <x:v>https://grandvcp.com/lets-connect/</x:v>
      </x:c>
      <x:c r="Z1526" s="25" t="str">
        <x:v>https://adviserinfo.sec.gov/firm/summary/336696</x:v>
      </x:c>
      <x:c r="AA1526" s="25" t="str">
        <x:v>fintech_or_b2b_software_seed_conditional venture_equity_structure_inferred_terms_not_confirmed</x:v>
      </x:c>
      <x:c r="AB1526" s="3" t="str">
        <x:v>Existing CapitalForge research, newly screened for this campaign</x:v>
      </x:c>
      <x:c r="AC1526" s="3" t="str">
        <x:v>unverified</x:v>
      </x:c>
      <x:c r="AD1526" s="3" t="str">
        <x:v>Not contacted / unconfirmed</x:v>
      </x:c>
      <x:c r="AE1526" s="3" t="str">
        <x:v>No</x:v>
      </x:c>
      <x:c r="AF1526" s="3" t="str">
        <x:v>No</x:v>
      </x:c>
      <x:c r="AG1526" s="3"/>
      <x:c r="AH1526" s="3"/>
      <x:c r="AI1526" s="18"/>
      <x:c r="AJ1526" s="3" t="str">
        <x:v>CF2500-0F3F85BA07BA</x:v>
      </x:c>
      <x:c r="AK1526" s="3" t="str">
        <x:v>Named investor / firm principal</x:v>
      </x:c>
      <x:c r="AL1526" s="19" t="n">
        <x:v>100000</x:v>
      </x:c>
      <x:c r="AM1526" s="19" t="n">
        <x:v>500000</x:v>
      </x:c>
      <x:c r="AN1526" s="3" t="str">
        <x:v>https://grandvcp.com/</x:v>
      </x:c>
      <x:c r="AO1526" s="3" t="str">
        <x:v>equity_directory.jsonl</x:v>
      </x:c>
      <x:c r="AP1526" s="19"/>
    </x:row>
    <x:row r="1527" ht="36" customHeight="1">
      <x:c r="A1527" s="23" t="n">
        <x:v>1526</x:v>
      </x:c>
      <x:c r="B1527" s="15" t="str">
        <x:v>Mercury Fund</x:v>
      </x:c>
      <x:c r="C1527" s="15" t="str">
        <x:v>Samantha Lewis</x:v>
      </x:c>
      <x:c r="D1527" s="15" t="str">
        <x:v>Named investor / firm principal</x:v>
      </x:c>
      <x:c r="E1527" s="15" t="str">
        <x:v>Private operating-company capital inquiry</x:v>
      </x:c>
      <x:c r="F1527" s="17" t="str">
        <x:v>New</x:v>
      </x:c>
      <x:c r="G1527" s="24" t="str">
        <x:v>info@mercuryfund.com</x:v>
      </x:c>
      <x:c r="H1527" s="24" t="str">
        <x:v>+17137156820</x:v>
      </x:c>
      <x:c r="I1527" s="24" t="str">
        <x:v>https://www.mercuryfund.com/team</x:v>
      </x:c>
      <x:c r="J1527" s="16"/>
      <x:c r="K1527" s="16"/>
      <x:c r="L1527" s="16" t="str">
        <x:v>published_professional_contact_directness_unconfirmed</x:v>
      </x:c>
      <x:c r="M1527" s="16" t="str">
        <x:v>https://www.mercuryfund.com/team</x:v>
      </x:c>
      <x:c r="N1527" s="16" t="str">
        <x:v>$100K-$500K ticket not published / unconfirmed</x:v>
      </x:c>
      <x:c r="O1527" s="20"/>
      <x:c r="P1527" s="20"/>
      <x:c r="Q1527" s="25" t="str">
        <x:v>No direct corporate-capital range established in checked source</x:v>
      </x:c>
      <x:c r="R1527" s="25" t="str">
        <x:v>Corporate inquiry inbox/mainline; no direct individual email or current check range found. Startup technology and venture growth needed; fee-based service contract eligibility unconfirmed. Corporate inquiry inbox/mainline; no direct individual email or current check range found. Startup technology and venture growth needed; fee-based service contract eligibility unconfirmed.</x:v>
      </x:c>
      <x:c r="S1527" s="25" t="str">
        <x:v>Corporate inquiry inbox/mainline; no direct individual email or current check range found. Startup technology and venture growth needed; fee-based service contract eligibility unconfirmed.</x:v>
      </x:c>
      <x:c r="T1527" s="25" t="str">
        <x:v>Confirm $500K check, 9.3% ownership, current operating-stage eligibility and funding availability.</x:v>
      </x:c>
      <x:c r="U1527" s="25" t="str">
        <x:v>https://www.mercuryfund.com/team
https://www.mercuryfund.com/contact</x:v>
      </x:c>
      <x:c r="V1527" s="26" t="d">
        <x:v>2026-10-02T00:00:00.000Z</x:v>
      </x:c>
      <x:c r="W1527" s="26" t="d">
        <x:v>2026-09-30T00:00:00.000Z</x:v>
      </x:c>
      <x:c r="X1527" s="25" t="str">
        <x:v>Saved public company, industry-directory or regulatory source; source date retained</x:v>
      </x:c>
      <x:c r="Y1527" s="25" t="str">
        <x:v>https://www.mercuryfund.com/contact</x:v>
      </x:c>
      <x:c r="Z1527" s="25" t="str">
        <x:v>https://www.mercuryfund.com/contact</x:v>
      </x:c>
      <x:c r="AA1527" s="25" t="str">
        <x:v>vertical_software_operator_venture_conditional venture_equity_structure_inferred_terms_not_confirmed</x:v>
      </x:c>
      <x:c r="AB1527" s="3" t="str">
        <x:v>Existing CapitalForge research, newly screened for this campaign</x:v>
      </x:c>
      <x:c r="AC1527" s="3" t="str">
        <x:v>unverified</x:v>
      </x:c>
      <x:c r="AD1527" s="3" t="str">
        <x:v>Not contacted / unconfirmed</x:v>
      </x:c>
      <x:c r="AE1527" s="3" t="str">
        <x:v>No</x:v>
      </x:c>
      <x:c r="AF1527" s="3" t="str">
        <x:v>No</x:v>
      </x:c>
      <x:c r="AG1527" s="3"/>
      <x:c r="AH1527" s="3"/>
      <x:c r="AI1527" s="18"/>
      <x:c r="AJ1527" s="3" t="str">
        <x:v>CF2500-C856E9019F0B</x:v>
      </x:c>
      <x:c r="AK1527" s="3" t="str">
        <x:v>Named investor / firm principal</x:v>
      </x:c>
      <x:c r="AL1527" s="19" t="n">
        <x:v>100000</x:v>
      </x:c>
      <x:c r="AM1527" s="19" t="n">
        <x:v>500000</x:v>
      </x:c>
      <x:c r="AN1527" s="3" t="str">
        <x:v>https://www.mercuryfund.com/team</x:v>
      </x:c>
      <x:c r="AO1527" s="3" t="str">
        <x:v>equity_directory.jsonl</x:v>
      </x:c>
      <x:c r="AP1527" s="19"/>
    </x:row>
    <x:row r="1528" ht="36" customHeight="1">
      <x:c r="A1528" s="23" t="n">
        <x:v>1527</x:v>
      </x:c>
      <x:c r="B1528" s="15" t="str">
        <x:v>MetaProp</x:v>
      </x:c>
      <x:c r="C1528" s="15" t="str">
        <x:v>Aaron Block</x:v>
      </x:c>
      <x:c r="D1528" s="15" t="str">
        <x:v>Named investor / firm principal</x:v>
      </x:c>
      <x:c r="E1528" s="15" t="str">
        <x:v>Private operating-company capital inquiry</x:v>
      </x:c>
      <x:c r="F1528" s="17" t="str">
        <x:v>New</x:v>
      </x:c>
      <x:c r="G1528" s="24" t="str">
        <x:v>info@metaprop.com</x:v>
      </x:c>
      <x:c r="H1528" s="24" t="str">
        <x:v>+16465044482</x:v>
      </x:c>
      <x:c r="I1528" s="24" t="str">
        <x:v>https://www.metaprop.com/about</x:v>
      </x:c>
      <x:c r="J1528" s="16"/>
      <x:c r="K1528" s="16"/>
      <x:c r="L1528" s="16" t="str">
        <x:v>published_professional_contact_directness_unconfirmed</x:v>
      </x:c>
      <x:c r="M1528" s="16" t="str">
        <x:v>https://www.metaprop.com/about</x:v>
      </x:c>
      <x:c r="N1528" s="16" t="str">
        <x:v>$100K-$500K ticket not published / unconfirmed</x:v>
      </x:c>
      <x:c r="O1528" s="20"/>
      <x:c r="P1528" s="20"/>
      <x:c r="Q1528" s="25" t="str">
        <x:v>No direct corporate-capital range established in checked source</x:v>
      </x:c>
      <x:c r="R1528" s="25" t="str">
        <x:v>Generic firm inbox and SEC business mainline; individual email unavailable. Corporate equity terms and operating-company model fit not confirmed. Generic firm inbox and SEC business mainline; individual email unavailable. Corporate equity terms and operating-company model fit not confirmed.</x:v>
      </x:c>
      <x:c r="S1528" s="25" t="str">
        <x:v>Generic firm inbox and SEC business mainline; individual email unavailable. Corporate equity terms and operating-company model fit not confirmed.</x:v>
      </x:c>
      <x:c r="T1528" s="25" t="str">
        <x:v>Confirm $500K check, 9.3% ownership, current operating-stage eligibility and funding availability.</x:v>
      </x:c>
      <x:c r="U1528" s="25" t="str">
        <x:v>https://www.metaprop.com/about
https://www.metaprop.com/contact
https://adviserinfo.sec.gov/firm/summary/297815</x:v>
      </x:c>
      <x:c r="V1528" s="26" t="d">
        <x:v>2026-10-02T00:00:00.000Z</x:v>
      </x:c>
      <x:c r="W1528" s="26" t="d">
        <x:v>2026-09-30T00:00:00.000Z</x:v>
      </x:c>
      <x:c r="X1528" s="25" t="str">
        <x:v>Saved public company, industry-directory or regulatory source; source date retained</x:v>
      </x:c>
      <x:c r="Y1528" s="25" t="str">
        <x:v>https://www.metaprop.com/contact</x:v>
      </x:c>
      <x:c r="Z1528" s="25" t="str">
        <x:v>https://adviserinfo.sec.gov/firm/summary/297815</x:v>
      </x:c>
      <x:c r="AA1528" s="25" t="str">
        <x:v>proptech_venture_model_conditional venture_equity_structure_inferred_terms_not_confirmed</x:v>
      </x:c>
      <x:c r="AB1528" s="3" t="str">
        <x:v>Existing CapitalForge research, newly screened for this campaign</x:v>
      </x:c>
      <x:c r="AC1528" s="3" t="str">
        <x:v>unverified</x:v>
      </x:c>
      <x:c r="AD1528" s="3" t="str">
        <x:v>Not contacted / unconfirmed</x:v>
      </x:c>
      <x:c r="AE1528" s="3" t="str">
        <x:v>No</x:v>
      </x:c>
      <x:c r="AF1528" s="3" t="str">
        <x:v>No</x:v>
      </x:c>
      <x:c r="AG1528" s="3"/>
      <x:c r="AH1528" s="3"/>
      <x:c r="AI1528" s="18"/>
      <x:c r="AJ1528" s="3" t="str">
        <x:v>CF2500-46DDE278A370</x:v>
      </x:c>
      <x:c r="AK1528" s="3" t="str">
        <x:v>Named investor / firm principal</x:v>
      </x:c>
      <x:c r="AL1528" s="19" t="n">
        <x:v>100000</x:v>
      </x:c>
      <x:c r="AM1528" s="19" t="n">
        <x:v>500000</x:v>
      </x:c>
      <x:c r="AN1528" s="3" t="str">
        <x:v>https://www.metaprop.com/about</x:v>
      </x:c>
      <x:c r="AO1528" s="3" t="str">
        <x:v>equity_directory.jsonl</x:v>
      </x:c>
      <x:c r="AP1528" s="19"/>
    </x:row>
    <x:row r="1529" ht="36" customHeight="1">
      <x:c r="A1529" s="23" t="n">
        <x:v>1528</x:v>
      </x:c>
      <x:c r="B1529" s="15" t="str">
        <x:v>Moderne Ventures</x:v>
      </x:c>
      <x:c r="C1529" s="15" t="str">
        <x:v>Constance Freedman</x:v>
      </x:c>
      <x:c r="D1529" s="15" t="str">
        <x:v>Named investor / firm principal</x:v>
      </x:c>
      <x:c r="E1529" s="15" t="str">
        <x:v>Private operating-company capital inquiry</x:v>
      </x:c>
      <x:c r="F1529" s="17" t="str">
        <x:v>New</x:v>
      </x:c>
      <x:c r="G1529" s="24" t="str">
        <x:v>deals@moderneventures.com</x:v>
      </x:c>
      <x:c r="H1529" s="24" t="str">
        <x:v>+16173083191</x:v>
      </x:c>
      <x:c r="I1529" s="24" t="str">
        <x:v>https://www.moderneventures.com/team</x:v>
      </x:c>
      <x:c r="J1529" s="16"/>
      <x:c r="K1529" s="16"/>
      <x:c r="L1529" s="16" t="str">
        <x:v>published_professional_contact_directness_unconfirmed</x:v>
      </x:c>
      <x:c r="M1529" s="16" t="str">
        <x:v>https://www.moderneventures.com/team</x:v>
      </x:c>
      <x:c r="N1529" s="16" t="str">
        <x:v>$100K-$500K ticket not published / unconfirmed</x:v>
      </x:c>
      <x:c r="O1529" s="20"/>
      <x:c r="P1529" s="20"/>
      <x:c r="Q1529" s="25" t="str">
        <x:v>No direct corporate-capital range established in checked source</x:v>
      </x:c>
      <x:c r="R1529" s="25" t="str">
        <x:v>Deals inbox routes to firm, not individual. Mainline from SEC source. Need scalable software/technology model; firm ticket and exact ownership terms not confirmed. Deals inbox routes to firm, not individual. Mainline from SEC source. Need scalable software/technology model; firm ticket and exact ownership terms not confirmed.</x:v>
      </x:c>
      <x:c r="S1529" s="25" t="str">
        <x:v>Deals inbox routes to firm, not individual. Mainline from SEC source. Need scalable software/technology model; firm ticket and exact ownership terms not confirmed.</x:v>
      </x:c>
      <x:c r="T1529" s="25" t="str">
        <x:v>Confirm $500K check, 9.3% ownership, current operating-stage eligibility and funding availability.</x:v>
      </x:c>
      <x:c r="U1529" s="25" t="str">
        <x:v>https://www.moderneventures.com/team
https://www.moderneventures.com/contact
https://adviserinfo.sec.gov/firm/summary/290453</x:v>
      </x:c>
      <x:c r="V1529" s="26" t="d">
        <x:v>2026-10-02T00:00:00.000Z</x:v>
      </x:c>
      <x:c r="W1529" s="26" t="d">
        <x:v>2026-09-30T00:00:00.000Z</x:v>
      </x:c>
      <x:c r="X1529" s="25" t="str">
        <x:v>Saved public company, industry-directory or regulatory source; source date retained</x:v>
      </x:c>
      <x:c r="Y1529" s="25" t="str">
        <x:v>https://www.moderneventures.com/contact</x:v>
      </x:c>
      <x:c r="Z1529" s="25" t="str">
        <x:v>https://adviserinfo.sec.gov/firm/summary/290453</x:v>
      </x:c>
      <x:c r="AA1529" s="25" t="str">
        <x:v>real_estate_technology_strategic_conditional venture_equity_structure_inferred_terms_not_confirmed</x:v>
      </x:c>
      <x:c r="AB1529" s="3" t="str">
        <x:v>Existing CapitalForge research, newly screened for this campaign</x:v>
      </x:c>
      <x:c r="AC1529" s="3" t="str">
        <x:v>unverified</x:v>
      </x:c>
      <x:c r="AD1529" s="3" t="str">
        <x:v>Not contacted / unconfirmed</x:v>
      </x:c>
      <x:c r="AE1529" s="3" t="str">
        <x:v>No</x:v>
      </x:c>
      <x:c r="AF1529" s="3" t="str">
        <x:v>No</x:v>
      </x:c>
      <x:c r="AG1529" s="3"/>
      <x:c r="AH1529" s="3"/>
      <x:c r="AI1529" s="18"/>
      <x:c r="AJ1529" s="3" t="str">
        <x:v>CF2500-A8252972928D</x:v>
      </x:c>
      <x:c r="AK1529" s="3" t="str">
        <x:v>Named investor / firm principal</x:v>
      </x:c>
      <x:c r="AL1529" s="19" t="n">
        <x:v>100000</x:v>
      </x:c>
      <x:c r="AM1529" s="19" t="n">
        <x:v>500000</x:v>
      </x:c>
      <x:c r="AN1529" s="3" t="str">
        <x:v>https://www.moderneventures.com/team</x:v>
      </x:c>
      <x:c r="AO1529" s="3" t="str">
        <x:v>equity_directory.jsonl</x:v>
      </x:c>
      <x:c r="AP1529" s="19"/>
    </x:row>
    <x:row r="1530" ht="36" customHeight="1">
      <x:c r="A1530" s="23" t="n">
        <x:v>1529</x:v>
      </x:c>
      <x:c r="B1530" s="15" t="str">
        <x:v>Pasadena Capital Partners</x:v>
      </x:c>
      <x:c r="C1530" s="15" t="str">
        <x:v>Gregory J. Annick</x:v>
      </x:c>
      <x:c r="D1530" s="15" t="str">
        <x:v>Named investor / firm principal</x:v>
      </x:c>
      <x:c r="E1530" s="15" t="str">
        <x:v>Private operating-company capital inquiry</x:v>
      </x:c>
      <x:c r="F1530" s="17" t="str">
        <x:v>New</x:v>
      </x:c>
      <x:c r="G1530" s="24" t="str">
        <x:v>annick@pasadenacapital.com</x:v>
      </x:c>
      <x:c r="H1530" s="24" t="str">
        <x:v>+16264327470</x:v>
      </x:c>
      <x:c r="I1530" s="24" t="str">
        <x:v>https://pasadenacapital.com/team.htm</x:v>
      </x:c>
      <x:c r="J1530" s="16"/>
      <x:c r="K1530" s="16"/>
      <x:c r="L1530" s="16" t="str">
        <x:v>published_professional_contact_directness_unconfirmed</x:v>
      </x:c>
      <x:c r="M1530" s="16" t="str">
        <x:v>https://pasadenacapital.com/team.htm</x:v>
      </x:c>
      <x:c r="N1530" s="16" t="str">
        <x:v>$100K-$500K ticket not published / unconfirmed</x:v>
      </x:c>
      <x:c r="O1530" s="20"/>
      <x:c r="P1530" s="20"/>
      <x:c r="Q1530" s="25" t="str">
        <x:v>No direct corporate-capital range established in checked source</x:v>
      </x:c>
      <x:c r="R1530" s="25" t="str">
        <x:v>Official legacy site current retrieval; page content source date not stated. Mainline from contact page. Check range and current capital availability not published. Official legacy site current retrieval; page content source date not stated. Mainline from contact page. Check range and current capital availability not published.</x:v>
      </x:c>
      <x:c r="S1530" s="25" t="str">
        <x:v>Official legacy site current retrieval; page content source date not stated. Mainline from contact page. Check range and current capital availability not published.</x:v>
      </x:c>
      <x:c r="T1530" s="25" t="str">
        <x:v>Confirm $500K check, 9.3% ownership, current operating-stage eligibility and funding availability.</x:v>
      </x:c>
      <x:c r="U1530" s="25" t="str">
        <x:v>https://www.pasadenacapital.com/overview.htm
https://pasadenacapital.com/team.htm
https://www.pasadenacapital.com/contact.htm</x:v>
      </x:c>
      <x:c r="V1530" s="26" t="d">
        <x:v>2026-10-02T00:00:00.000Z</x:v>
      </x:c>
      <x:c r="W1530" s="26" t="d">
        <x:v>2026-09-30T00:00:00.000Z</x:v>
      </x:c>
      <x:c r="X1530" s="25" t="str">
        <x:v>Saved public company, industry-directory or regulatory source; source date retained</x:v>
      </x:c>
      <x:c r="Y1530" s="25" t="str">
        <x:v>https://pasadenacapital.com/team.htm</x:v>
      </x:c>
      <x:c r="Z1530" s="25" t="str">
        <x:v>https://www.pasadenacapital.com/contact.htm</x:v>
      </x:c>
      <x:c r="AA1530" s="25" t="str">
        <x:v>non_control_services_co_investment_conditional explicit_firm_non_control_co_investment_mandate</x:v>
      </x:c>
      <x:c r="AB1530" s="3" t="str">
        <x:v>Existing CapitalForge research, newly screened for this campaign</x:v>
      </x:c>
      <x:c r="AC1530" s="3" t="str">
        <x:v>unverified</x:v>
      </x:c>
      <x:c r="AD1530" s="3" t="str">
        <x:v>Not contacted / unconfirmed</x:v>
      </x:c>
      <x:c r="AE1530" s="3" t="str">
        <x:v>No</x:v>
      </x:c>
      <x:c r="AF1530" s="3" t="str">
        <x:v>No</x:v>
      </x:c>
      <x:c r="AG1530" s="3"/>
      <x:c r="AH1530" s="3"/>
      <x:c r="AI1530" s="18"/>
      <x:c r="AJ1530" s="3" t="str">
        <x:v>CF2500-33D666D271EE</x:v>
      </x:c>
      <x:c r="AK1530" s="3" t="str">
        <x:v>Named investor / firm principal</x:v>
      </x:c>
      <x:c r="AL1530" s="19" t="n">
        <x:v>100000</x:v>
      </x:c>
      <x:c r="AM1530" s="19" t="n">
        <x:v>500000</x:v>
      </x:c>
      <x:c r="AN1530" s="3" t="str">
        <x:v>https://www.pasadenacapital.com/overview.htm</x:v>
      </x:c>
      <x:c r="AO1530" s="3" t="str">
        <x:v>equity_directory.jsonl</x:v>
      </x:c>
      <x:c r="AP1530" s="19"/>
    </x:row>
    <x:row r="1531" ht="36" customHeight="1">
      <x:c r="A1531" s="23" t="n">
        <x:v>1530</x:v>
      </x:c>
      <x:c r="B1531" s="15" t="str">
        <x:v>Tappan Hill Ventures</x:v>
      </x:c>
      <x:c r="C1531" s="15" t="str">
        <x:v>Matt Mills</x:v>
      </x:c>
      <x:c r="D1531" s="15" t="str">
        <x:v>Named investor / firm principal</x:v>
      </x:c>
      <x:c r="E1531" s="15" t="str">
        <x:v>Private operating-company capital inquiry</x:v>
      </x:c>
      <x:c r="F1531" s="17" t="str">
        <x:v>New</x:v>
      </x:c>
      <x:c r="G1531" s="24" t="str">
        <x:v>contact@tappanhillventures.com</x:v>
      </x:c>
      <x:c r="H1531" s="24" t="str">
        <x:v>+17346464386</x:v>
      </x:c>
      <x:c r="I1531" s="24" t="str">
        <x:v>https://www.tappanhillventures.com/management</x:v>
      </x:c>
      <x:c r="J1531" s="16"/>
      <x:c r="K1531" s="16"/>
      <x:c r="L1531" s="16" t="str">
        <x:v>published_professional_contact_directness_unconfirmed</x:v>
      </x:c>
      <x:c r="M1531" s="16" t="str">
        <x:v>https://www.tappanhillventures.com/management</x:v>
      </x:c>
      <x:c r="N1531" s="16" t="str">
        <x:v>$100K-$500K ticket not published / unconfirmed</x:v>
      </x:c>
      <x:c r="O1531" s="20"/>
      <x:c r="P1531" s="20"/>
      <x:c r="Q1531" s="25" t="str">
        <x:v>No direct corporate-capital range established in checked source</x:v>
      </x:c>
      <x:c r="R1531" s="25" t="str">
        <x:v>Generic firm inbox/mainline. Bio contains older operating roles and source-date is not stated; current title/contact not independently reconfirmed by communication. No check range published in reviewed current pages. Generic firm inbox/mainline. Bio contains older operating roles and source-date is not stated; current title/contact not independently reconfirmed by communication. No check range published in reviewed current pages.</x:v>
      </x:c>
      <x:c r="S1531" s="25" t="str">
        <x:v>Generic firm inbox/mainline. Bio contains older operating roles and source-date is not stated; current title/contact not independently reconfirmed by communication. No check range published in reviewed current pages.</x:v>
      </x:c>
      <x:c r="T1531" s="25" t="str">
        <x:v>Confirm $500K check, 9.3% ownership, current operating-stage eligibility and funding availability.</x:v>
      </x:c>
      <x:c r="U1531" s="25" t="str">
        <x:v>https://www.tappanhillventures.com/management
https://www.tappanhillventures.com/</x:v>
      </x:c>
      <x:c r="V1531" s="26" t="d">
        <x:v>2026-10-02T00:00:00.000Z</x:v>
      </x:c>
      <x:c r="W1531" s="26" t="d">
        <x:v>2026-09-30T00:00:00.000Z</x:v>
      </x:c>
      <x:c r="X1531" s="25" t="str">
        <x:v>Saved public company, industry-directory or regulatory source; source date retained</x:v>
      </x:c>
      <x:c r="Y1531" s="25" t="str">
        <x:v>https://www.tappanhillventures.com/</x:v>
      </x:c>
      <x:c r="Z1531" s="25" t="str">
        <x:v>https://www.tappanhillventures.com/</x:v>
      </x:c>
      <x:c r="AA1531" s="25" t="str">
        <x:v>minority_or_venture_equity_conditional unconfirmed</x:v>
      </x:c>
      <x:c r="AB1531" s="3" t="str">
        <x:v>Existing CapitalForge research, newly screened for this campaign</x:v>
      </x:c>
      <x:c r="AC1531" s="3" t="str">
        <x:v>unverified</x:v>
      </x:c>
      <x:c r="AD1531" s="3" t="str">
        <x:v>Not contacted / unconfirmed</x:v>
      </x:c>
      <x:c r="AE1531" s="3" t="str">
        <x:v>No</x:v>
      </x:c>
      <x:c r="AF1531" s="3" t="str">
        <x:v>No</x:v>
      </x:c>
      <x:c r="AG1531" s="3"/>
      <x:c r="AH1531" s="3"/>
      <x:c r="AI1531" s="18"/>
      <x:c r="AJ1531" s="3" t="str">
        <x:v>CF2500-A8A7B750E457</x:v>
      </x:c>
      <x:c r="AK1531" s="3" t="str">
        <x:v>Named investor / firm principal</x:v>
      </x:c>
      <x:c r="AL1531" s="19" t="n">
        <x:v>100000</x:v>
      </x:c>
      <x:c r="AM1531" s="19" t="n">
        <x:v>500000</x:v>
      </x:c>
      <x:c r="AN1531" s="3" t="str">
        <x:v>https://www.tappanhillventures.com/management</x:v>
      </x:c>
      <x:c r="AO1531" s="3" t="str">
        <x:v>equity_directory.jsonl</x:v>
      </x:c>
      <x:c r="AP1531" s="19"/>
    </x:row>
    <x:row r="1532" ht="36" customHeight="1">
      <x:c r="A1532" s="23" t="n">
        <x:v>1531</x:v>
      </x:c>
      <x:c r="B1532" s="15" t="str">
        <x:v>Zahren Capital</x:v>
      </x:c>
      <x:c r="C1532" s="15" t="str">
        <x:v>Daniel Bald</x:v>
      </x:c>
      <x:c r="D1532" s="15" t="str">
        <x:v>Named investor / firm principal</x:v>
      </x:c>
      <x:c r="E1532" s="15" t="str">
        <x:v>Private operating-company capital inquiry</x:v>
      </x:c>
      <x:c r="F1532" s="17" t="str">
        <x:v>New</x:v>
      </x:c>
      <x:c r="G1532" s="24" t="str">
        <x:v>info@zahrencapital.com</x:v>
      </x:c>
      <x:c r="H1532" s="24" t="str">
        <x:v>+12127638788</x:v>
      </x:c>
      <x:c r="I1532" s="24" t="str">
        <x:v>https://zahrencapital.com/about</x:v>
      </x:c>
      <x:c r="J1532" s="16"/>
      <x:c r="K1532" s="16"/>
      <x:c r="L1532" s="16" t="str">
        <x:v>published_professional_contact_directness_unconfirmed</x:v>
      </x:c>
      <x:c r="M1532" s="16" t="str">
        <x:v>https://zahrencapital.com/about</x:v>
      </x:c>
      <x:c r="N1532" s="16" t="str">
        <x:v>$100K-$500K ticket not published / unconfirmed</x:v>
      </x:c>
      <x:c r="O1532" s="20"/>
      <x:c r="P1532" s="20"/>
      <x:c r="Q1532" s="25" t="str">
        <x:v>$100,000-$500,000 published firm average investment size</x:v>
      </x:c>
      <x:c r="R1532" s="25" t="str">
        <x:v>Corporate routing inbox/mainline, not individual email. Firm publishes average ticket, not guaranteed eligibility. Series A or later/proven revenue/profit generally preferred. Corporate routing inbox/mainline, not individual email. Firm publishes average ticket, not guaranteed eligibility. Series A or later/proven revenue/profit generally preferred.</x:v>
      </x:c>
      <x:c r="S1532" s="25" t="str">
        <x:v>Corporate routing inbox/mainline, not individual email. Firm publishes average ticket, not guaranteed eligibility. Series A or later/proven revenue/profit generally preferred.</x:v>
      </x:c>
      <x:c r="T1532" s="25" t="str">
        <x:v>Confirm $500K check, 9.3% ownership, current operating-stage eligibility and funding availability.</x:v>
      </x:c>
      <x:c r="U1532" s="25" t="str">
        <x:v>https://zahrencapital.com/about
https://zahrencapital.com/</x:v>
      </x:c>
      <x:c r="V1532" s="26" t="d">
        <x:v>2026-10-02T00:00:00.000Z</x:v>
      </x:c>
      <x:c r="W1532" s="26" t="d">
        <x:v>2026-09-30T00:00:00.000Z</x:v>
      </x:c>
      <x:c r="X1532" s="25" t="str">
        <x:v>Saved public company, industry-directory or regulatory source; source date retained</x:v>
      </x:c>
      <x:c r="Y1532" s="25" t="str">
        <x:v>https://zahrencapital.com/</x:v>
      </x:c>
      <x:c r="Z1532" s="25" t="str">
        <x:v>https://zahrencapital.com/</x:v>
      </x:c>
      <x:c r="AA1532" s="25" t="str">
        <x:v>services_and_real_estate_growth_thematic_fit unconfirmed</x:v>
      </x:c>
      <x:c r="AB1532" s="3" t="str">
        <x:v>Existing CapitalForge research, newly screened for this campaign</x:v>
      </x:c>
      <x:c r="AC1532" s="3" t="str">
        <x:v>unverified</x:v>
      </x:c>
      <x:c r="AD1532" s="3" t="str">
        <x:v>Not contacted / unconfirmed</x:v>
      </x:c>
      <x:c r="AE1532" s="3" t="str">
        <x:v>No</x:v>
      </x:c>
      <x:c r="AF1532" s="3" t="str">
        <x:v>No</x:v>
      </x:c>
      <x:c r="AG1532" s="3"/>
      <x:c r="AH1532" s="3"/>
      <x:c r="AI1532" s="18"/>
      <x:c r="AJ1532" s="3" t="str">
        <x:v>CF2500-66A2E04678D6</x:v>
      </x:c>
      <x:c r="AK1532" s="3" t="str">
        <x:v>Named investor / firm principal</x:v>
      </x:c>
      <x:c r="AL1532" s="19" t="n">
        <x:v>100000</x:v>
      </x:c>
      <x:c r="AM1532" s="19" t="n">
        <x:v>500000</x:v>
      </x:c>
      <x:c r="AN1532" s="3" t="str">
        <x:v>https://zahrencapital.com/about</x:v>
      </x:c>
      <x:c r="AO1532" s="3" t="str">
        <x:v>equity_directory.jsonl</x:v>
      </x:c>
      <x:c r="AP1532" s="19"/>
    </x:row>
    <x:row r="1533" ht="36" customHeight="1">
      <x:c r="A1533" s="23" t="n">
        <x:v>1532</x:v>
      </x:c>
      <x:c r="B1533" s="15" t="str">
        <x:v>Michigan Family Office</x:v>
      </x:c>
      <x:c r="C1533" s="15"/>
      <x:c r="D1533" s="15" t="str">
        <x:v>Operating-capital lender, broker or finance route; eligibility unconfirmed</x:v>
      </x:c>
      <x:c r="E1533" s="15" t="str">
        <x:v>Private operating-company capital inquiry</x:v>
      </x:c>
      <x:c r="F1533" s="17" t="str">
        <x:v>New</x:v>
      </x:c>
      <x:c r="G1533" s="24" t="str">
        <x:v>neil@michiganfamilyoffice.com</x:v>
      </x:c>
      <x:c r="H1533" s="24" t="str">
        <x:v>+14153246167</x:v>
      </x:c>
      <x:c r="I1533" s="24" t="str">
        <x:v>https://michiganfamilyoffice.com/</x:v>
      </x:c>
      <x:c r="J1533" s="16"/>
      <x:c r="K1533" s="16"/>
      <x:c r="L1533" s="16" t="str">
        <x:v>firm_business_routing</x:v>
      </x:c>
      <x:c r="M1533" s="16" t="str">
        <x:v>https://michiganfamilyoffice.com/</x:v>
      </x:c>
      <x:c r="N1533" s="16" t="str">
        <x:v>$100K-$500K ticket not published / unconfirmed</x:v>
      </x:c>
      <x:c r="O1533" s="20"/>
      <x:c r="P1533" s="20"/>
      <x:c r="Q1533" s="25" t="str">
        <x:v>No direct corporate-capital range established in checked source</x:v>
      </x:c>
      <x:c r="R1533" s="25" t="str">
        <x:v>Direct equity in operating businesses, early-stage companies and real estate; preferred EBITDA $500K+ is not ticket size or liquidity.</x:v>
      </x:c>
      <x:c r="S1533" s="25"/>
      <x:c r="T1533" s="25" t="str">
        <x:v>Confirm $100K-$500K ticket, company-stage and sector eligibility, investment authority, available allocation and proposed terms.</x:v>
      </x:c>
      <x:c r="U1533" s="25" t="str">
        <x:v>https://michiganfamilyoffice.com/
https://michiganfamilyoffice.com/#contact</x:v>
      </x:c>
      <x:c r="V1533" s="26" t="d">
        <x:v>2026-10-02T00:00:00.000Z</x:v>
      </x:c>
      <x:c r="W1533" s="26" t="d">
        <x:v>2026-09-30T00:00:00.000Z</x:v>
      </x:c>
      <x:c r="X1533" s="25" t="str">
        <x:v>Saved public company, industry-directory or regulatory source; source date retained</x:v>
      </x:c>
      <x:c r="Y1533" s="25" t="str">
        <x:v>https://michiganfamilyoffice.com/</x:v>
      </x:c>
      <x:c r="Z1533" s="25" t="str">
        <x:v>https://michiganfamilyoffice.com/</x:v>
      </x:c>
      <x:c r="AA1533" s="25" t="str">
        <x:v>[]</x:v>
      </x:c>
      <x:c r="AB1533" s="3" t="str">
        <x:v>Existing CapitalForge research, newly screened for this campaign</x:v>
      </x:c>
      <x:c r="AC1533" s="3" t="str">
        <x:v>unverified</x:v>
      </x:c>
      <x:c r="AD1533" s="3" t="str">
        <x:v>Not contacted / unconfirmed</x:v>
      </x:c>
      <x:c r="AE1533" s="3" t="str">
        <x:v>No</x:v>
      </x:c>
      <x:c r="AF1533" s="3" t="str">
        <x:v>No</x:v>
      </x:c>
      <x:c r="AG1533" s="3"/>
      <x:c r="AH1533" s="3"/>
      <x:c r="AI1533" s="18"/>
      <x:c r="AJ1533" s="3" t="str">
        <x:v>CF2500-EF1951033D1F</x:v>
      </x:c>
      <x:c r="AK1533" s="3" t="str">
        <x:v>family_office_equity</x:v>
      </x:c>
      <x:c r="AL1533" s="19" t="n">
        <x:v>100000</x:v>
      </x:c>
      <x:c r="AM1533" s="19" t="n">
        <x:v>500000</x:v>
      </x:c>
      <x:c r="AN1533" s="3" t="str">
        <x:v>https://michiganfamilyoffice.com/</x:v>
      </x:c>
      <x:c r="AO1533" s="3" t="str">
        <x:v>public_directory.jsonl</x:v>
      </x:c>
      <x:c r="AP1533" s="19"/>
    </x:row>
    <x:row r="1534" ht="36" customHeight="1">
      <x:c r="A1534" s="23" t="n">
        <x:v>1533</x:v>
      </x:c>
      <x:c r="B1534" s="15" t="str">
        <x:v>Prox Search Capital</x:v>
      </x:c>
      <x:c r="C1534" s="15"/>
      <x:c r="D1534" s="15" t="str">
        <x:v>Family investment firm</x:v>
      </x:c>
      <x:c r="E1534" s="15" t="str">
        <x:v>Private operating-company capital inquiry</x:v>
      </x:c>
      <x:c r="F1534" s="17" t="str">
        <x:v>New</x:v>
      </x:c>
      <x:c r="G1534" s="24" t="str">
        <x:v>info@proxcapitalgroup.com</x:v>
      </x:c>
      <x:c r="H1534" s="24"/>
      <x:c r="I1534" s="24" t="str">
        <x:v>https://proxsearchcapital.com/</x:v>
      </x:c>
      <x:c r="J1534" s="16"/>
      <x:c r="K1534" s="16"/>
      <x:c r="L1534" s="16" t="str">
        <x:v>firm_business_routing</x:v>
      </x:c>
      <x:c r="M1534" s="16" t="str">
        <x:v>https://proxsearchcapital.com/</x:v>
      </x:c>
      <x:c r="N1534" s="16" t="str">
        <x:v>Published source range; proposed allocation and structure require confirmation</x:v>
      </x:c>
      <x:c r="O1534" s="20" t="n">
        <x:v>500000</x:v>
      </x:c>
      <x:c r="P1534" s="20" t="n">
        <x:v>2500000</x:v>
      </x:c>
      <x:c r="Q1534" s="25" t="str">
        <x:v>No direct corporate-capital range established in checked source</x:v>
      </x:c>
      <x:c r="R1534" s="25" t="str">
        <x:v>Acquisition/M&amp;A follow-on could match mandate if an established operating-company acquisition is presented. Current standalone pre-execution working capital is a mandate mismatch: invests in acquisitions of established companies with $1M–$5M adjusted EBITDA. No public phone.</x:v>
      </x:c>
      <x:c r="S1534" s="25" t="str">
        <x:v>Current standalone pre-execution working capital is a mandate mismatch: invests in acquisitions of established companies with $1M–$5M adjusted EBITDA. No public phone.</x:v>
      </x:c>
      <x:c r="T1534" s="25" t="str">
        <x:v>Confirm $500K check, 9.3% ownership, current operating-stage eligibility and funding availability.</x:v>
      </x:c>
      <x:c r="U1534" s="25" t="str">
        <x:v>https://proxsearchcapital.com/</x:v>
      </x:c>
      <x:c r="V1534" s="26" t="d">
        <x:v>2026-10-02T00:00:00.000Z</x:v>
      </x:c>
      <x:c r="W1534" s="26" t="d">
        <x:v>2026-09-30T00:00:00.000Z</x:v>
      </x:c>
      <x:c r="X1534" s="25" t="str">
        <x:v>Saved public company, industry-directory or regulatory source; source date retained</x:v>
      </x:c>
      <x:c r="Y1534" s="25" t="str">
        <x:v>https://proxsearchcapital.com/</x:v>
      </x:c>
      <x:c r="Z1534" s="25"/>
      <x:c r="AA1534" s="25" t="str">
        <x:v>Acquisition/M&amp;A follow-on could match mandate if an established operating-company acquisition is presented. Explicit non-control minority investments alongside independent sponsors and acquisition entrepreneurs.</x:v>
      </x:c>
      <x:c r="AB1534" s="3" t="str">
        <x:v>Existing CapitalForge research, newly screened for this campaign</x:v>
      </x:c>
      <x:c r="AC1534" s="3" t="str">
        <x:v>unverified</x:v>
      </x:c>
      <x:c r="AD1534" s="3" t="str">
        <x:v>Not contacted / unconfirmed</x:v>
      </x:c>
      <x:c r="AE1534" s="3" t="str">
        <x:v>No</x:v>
      </x:c>
      <x:c r="AF1534" s="3" t="str">
        <x:v>No</x:v>
      </x:c>
      <x:c r="AG1534" s="3"/>
      <x:c r="AH1534" s="3"/>
      <x:c r="AI1534" s="18"/>
      <x:c r="AJ1534" s="3" t="str">
        <x:v>CF2500-50C55FA5E680</x:v>
      </x:c>
      <x:c r="AK1534" s="3" t="str">
        <x:v>Family investment firm</x:v>
      </x:c>
      <x:c r="AL1534" s="19" t="n">
        <x:v>100000</x:v>
      </x:c>
      <x:c r="AM1534" s="19" t="n">
        <x:v>500000</x:v>
      </x:c>
      <x:c r="AN1534" s="3" t="str">
        <x:v>https://proxsearchcapital.com/</x:v>
      </x:c>
      <x:c r="AO1534" s="3" t="str">
        <x:v>equity_directory.jsonl</x:v>
      </x:c>
      <x:c r="AP1534" s="19"/>
    </x:row>
    <x:row r="1535" ht="36" customHeight="1">
      <x:c r="A1535" s="23" t="n">
        <x:v>1534</x:v>
      </x:c>
      <x:c r="B1535" s="15" t="str">
        <x:v>Battery Point Capital</x:v>
      </x:c>
      <x:c r="C1535" s="15"/>
      <x:c r="D1535" s="15" t="str">
        <x:v>Family investment firm</x:v>
      </x:c>
      <x:c r="E1535" s="15" t="str">
        <x:v>Private operating-company capital inquiry</x:v>
      </x:c>
      <x:c r="F1535" s="17" t="str">
        <x:v>New</x:v>
      </x:c>
      <x:c r="G1535" s="24" t="str">
        <x:v>team@batterypointcapital.co</x:v>
      </x:c>
      <x:c r="H1535" s="24"/>
      <x:c r="I1535" s="24" t="str">
        <x:v>https://bpc.scalepartners.io/</x:v>
      </x:c>
      <x:c r="J1535" s="16"/>
      <x:c r="K1535" s="16"/>
      <x:c r="L1535" s="16" t="str">
        <x:v>firm_business_routing</x:v>
      </x:c>
      <x:c r="M1535" s="16" t="str">
        <x:v>https://bpc.scalepartners.io/</x:v>
      </x:c>
      <x:c r="N1535" s="16" t="str">
        <x:v>$100K-$500K ticket not published / unconfirmed</x:v>
      </x:c>
      <x:c r="O1535" s="20"/>
      <x:c r="P1535" s="20"/>
      <x:c r="Q1535" s="25" t="str">
        <x:v>No direct corporate-capital range established in checked source</x:v>
      </x:c>
      <x:c r="R1535" s="25" t="str">
        <x:v>Business services, software and technology growth equity; may consider fast-growing unprofitable firms. Traditional-company criteria include $2M adjusted EBITDA and $5M revenue; $500K check size is unverified. No public phone.</x:v>
      </x:c>
      <x:c r="S1535" s="25" t="str">
        <x:v>Traditional-company criteria include $2M adjusted EBITDA and $5M revenue; $500K check size is unverified. No public phone.</x:v>
      </x:c>
      <x:c r="T1535" s="25" t="str">
        <x:v>Confirm $500K check, 9.3% ownership, current operating-stage eligibility and funding availability.</x:v>
      </x:c>
      <x:c r="U1535" s="25" t="str">
        <x:v>https://bpc.scalepartners.io/
https://bpc.scalepartners.io/contact-us/</x:v>
      </x:c>
      <x:c r="V1535" s="26" t="d">
        <x:v>2026-10-02T00:00:00.000Z</x:v>
      </x:c>
      <x:c r="W1535" s="26" t="d">
        <x:v>2026-09-30T00:00:00.000Z</x:v>
      </x:c>
      <x:c r="X1535" s="25" t="str">
        <x:v>Saved public company, industry-directory or regulatory source; source date retained</x:v>
      </x:c>
      <x:c r="Y1535" s="25" t="str">
        <x:v>https://bpc.scalepartners.io/contact-us/</x:v>
      </x:c>
      <x:c r="Z1535" s="25"/>
      <x:c r="AA1535" s="25" t="str">
        <x:v>Business services, software and technology growth equity; may consider fast-growing unprofitable firms. Explicit minority and control growth equity.</x:v>
      </x:c>
      <x:c r="AB1535" s="3" t="str">
        <x:v>Existing CapitalForge research, newly screened for this campaign</x:v>
      </x:c>
      <x:c r="AC1535" s="3" t="str">
        <x:v>unverified</x:v>
      </x:c>
      <x:c r="AD1535" s="3" t="str">
        <x:v>Not contacted / unconfirmed</x:v>
      </x:c>
      <x:c r="AE1535" s="3" t="str">
        <x:v>No</x:v>
      </x:c>
      <x:c r="AF1535" s="3" t="str">
        <x:v>No</x:v>
      </x:c>
      <x:c r="AG1535" s="3"/>
      <x:c r="AH1535" s="3"/>
      <x:c r="AI1535" s="18"/>
      <x:c r="AJ1535" s="3" t="str">
        <x:v>CF2500-FA63D82C882C</x:v>
      </x:c>
      <x:c r="AK1535" s="3" t="str">
        <x:v>Family investment firm</x:v>
      </x:c>
      <x:c r="AL1535" s="19" t="n">
        <x:v>100000</x:v>
      </x:c>
      <x:c r="AM1535" s="19" t="n">
        <x:v>500000</x:v>
      </x:c>
      <x:c r="AN1535" s="3" t="str">
        <x:v>https://bpc.scalepartners.io/</x:v>
      </x:c>
      <x:c r="AO1535" s="3" t="str">
        <x:v>equity_directory.jsonl</x:v>
      </x:c>
      <x:c r="AP1535" s="19"/>
    </x:row>
    <x:row r="1536" ht="36" customHeight="1">
      <x:c r="A1536" s="23" t="n">
        <x:v>1535</x:v>
      </x:c>
      <x:c r="B1536" s="15" t="str">
        <x:v>Brener International Group</x:v>
      </x:c>
      <x:c r="C1536" s="15"/>
      <x:c r="D1536" s="15" t="str">
        <x:v>Family investment firm</x:v>
      </x:c>
      <x:c r="E1536" s="15" t="str">
        <x:v>Private operating-company capital inquiry</x:v>
      </x:c>
      <x:c r="F1536" s="17" t="str">
        <x:v>New</x:v>
      </x:c>
      <x:c r="G1536" s="24" t="str">
        <x:v>investments@brenergroup.com</x:v>
      </x:c>
      <x:c r="H1536" s="24"/>
      <x:c r="I1536" s="24" t="str">
        <x:v>https://www.brenergroup.com/</x:v>
      </x:c>
      <x:c r="J1536" s="16"/>
      <x:c r="K1536" s="16"/>
      <x:c r="L1536" s="16" t="str">
        <x:v>firm_business_routing</x:v>
      </x:c>
      <x:c r="M1536" s="16" t="str">
        <x:v>https://www.brenergroup.com/</x:v>
      </x:c>
      <x:c r="N1536" s="16" t="str">
        <x:v>$100K-$500K ticket not published / unconfirmed</x:v>
      </x:c>
      <x:c r="O1536" s="20"/>
      <x:c r="P1536" s="20"/>
      <x:c r="Q1536" s="25" t="str">
        <x:v>No direct corporate-capital range established in checked source</x:v>
      </x:c>
      <x:c r="R1536" s="25" t="str">
        <x:v>Direct small/midsize operating-company investments across technology, transportation and consumer/financial sectors. Current investor-owned site publishes investments@brenergroup.com but no phone. Check size, startup tolerance and minority/industry fit for101XVC unverified.</x:v>
      </x:c>
      <x:c r="S1536" s="25" t="str">
        <x:v>Current investor-owned site publishes investments@brenergroup.com but no phone. Check size, startup tolerance and minority/industry fit for101XVC unverified.</x:v>
      </x:c>
      <x:c r="T1536" s="25" t="str">
        <x:v>Confirm $500K check, 9.3% ownership, current operating-stage eligibility and funding availability.</x:v>
      </x:c>
      <x:c r="U1536" s="25" t="str">
        <x:v>https://www.brenergroup.com/</x:v>
      </x:c>
      <x:c r="V1536" s="26" t="d">
        <x:v>2026-10-02T00:00:00.000Z</x:v>
      </x:c>
      <x:c r="W1536" s="26" t="d">
        <x:v>2026-09-30T00:00:00.000Z</x:v>
      </x:c>
      <x:c r="X1536" s="25" t="str">
        <x:v>Saved public company, industry-directory or regulatory source; source date retained</x:v>
      </x:c>
      <x:c r="Y1536" s="25" t="str">
        <x:v>https://www.brenergroup.com/</x:v>
      </x:c>
      <x:c r="Z1536" s="25"/>
      <x:c r="AA1536" s="25" t="str">
        <x:v>Direct small/midsize operating-company investments across technology, transportation and consumer/financial sectors. Flexible and opportunistic proprietary company investing; minority policy not explicitly confirmed.</x:v>
      </x:c>
      <x:c r="AB1536" s="3" t="str">
        <x:v>Existing CapitalForge research, newly screened for this campaign</x:v>
      </x:c>
      <x:c r="AC1536" s="3" t="str">
        <x:v>unverified</x:v>
      </x:c>
      <x:c r="AD1536" s="3" t="str">
        <x:v>Not contacted / unconfirmed</x:v>
      </x:c>
      <x:c r="AE1536" s="3" t="str">
        <x:v>No</x:v>
      </x:c>
      <x:c r="AF1536" s="3" t="str">
        <x:v>No</x:v>
      </x:c>
      <x:c r="AG1536" s="3"/>
      <x:c r="AH1536" s="3"/>
      <x:c r="AI1536" s="18"/>
      <x:c r="AJ1536" s="3" t="str">
        <x:v>CF2500-EC2CCC9137D2</x:v>
      </x:c>
      <x:c r="AK1536" s="3" t="str">
        <x:v>Family investment firm</x:v>
      </x:c>
      <x:c r="AL1536" s="19" t="n">
        <x:v>100000</x:v>
      </x:c>
      <x:c r="AM1536" s="19" t="n">
        <x:v>500000</x:v>
      </x:c>
      <x:c r="AN1536" s="3" t="str">
        <x:v>https://www.brenergroup.com/</x:v>
      </x:c>
      <x:c r="AO1536" s="3" t="str">
        <x:v>equity_directory.jsonl</x:v>
      </x:c>
      <x:c r="AP1536" s="19"/>
    </x:row>
    <x:row r="1537" ht="36" customHeight="1">
      <x:c r="A1537" s="23" t="n">
        <x:v>1536</x:v>
      </x:c>
      <x:c r="B1537" s="15" t="str">
        <x:v>Cameo Point Capital</x:v>
      </x:c>
      <x:c r="C1537" s="15" t="str">
        <x:v>Peter Spenuzza</x:v>
      </x:c>
      <x:c r="D1537" s="15" t="str">
        <x:v>Family investment firm</x:v>
      </x:c>
      <x:c r="E1537" s="15" t="str">
        <x:v>Private operating-company capital inquiry</x:v>
      </x:c>
      <x:c r="F1537" s="17" t="str">
        <x:v>New</x:v>
      </x:c>
      <x:c r="G1537" s="24" t="str">
        <x:v>peter@cameopointcapital.com</x:v>
      </x:c>
      <x:c r="H1537" s="24"/>
      <x:c r="I1537" s="24" t="str">
        <x:v>https://cameopointcapital.com/</x:v>
      </x:c>
      <x:c r="J1537" s="16"/>
      <x:c r="K1537" s="16"/>
      <x:c r="L1537" s="16" t="str">
        <x:v>published_professional_contact_directness_unconfirmed</x:v>
      </x:c>
      <x:c r="M1537" s="16" t="str">
        <x:v>https://cameopointcapital.com/</x:v>
      </x:c>
      <x:c r="N1537" s="16" t="str">
        <x:v>$100K-$500K ticket not published / unconfirmed</x:v>
      </x:c>
      <x:c r="O1537" s="20"/>
      <x:c r="P1537" s="20"/>
      <x:c r="Q1537" s="25" t="str">
        <x:v>No direct corporate-capital range established in checked source</x:v>
      </x:c>
      <x:c r="R1537" s="25" t="str">
        <x:v>Family office entrepreneur-led growth equity, search funds and early-stage company investing with published named-principal email. Focus industries consumer goods, manufacturing, software, healthcare and VC; no real-estate-services mandate. Normally&gt;$500K revenue, EBITDA positive/breakeven and20%growth. Revenue threshold is not investment check size. No current official phone.</x:v>
      </x:c>
      <x:c r="S1537" s="25" t="str">
        <x:v>Focus industries consumer goods, manufacturing, software, healthcare and VC; no real-estate-services mandate. Normally&gt;$500K revenue, EBITDA positive/breakeven and20%growth. Revenue threshold is not investment check size. No current official phone.</x:v>
      </x:c>
      <x:c r="T1537" s="25" t="str">
        <x:v>Confirm $500K check, 9.3% ownership, current operating-stage eligibility and funding availability.</x:v>
      </x:c>
      <x:c r="U1537" s="25" t="str">
        <x:v>https://cameopointcapital.com/</x:v>
      </x:c>
      <x:c r="V1537" s="26" t="d">
        <x:v>2026-10-02T00:00:00.000Z</x:v>
      </x:c>
      <x:c r="W1537" s="26" t="d">
        <x:v>2026-09-30T00:00:00.000Z</x:v>
      </x:c>
      <x:c r="X1537" s="25" t="str">
        <x:v>Saved public company, industry-directory or regulatory source; source date retained</x:v>
      </x:c>
      <x:c r="Y1537" s="25" t="str">
        <x:v>https://cameopointcapital.com/</x:v>
      </x:c>
      <x:c r="Z1537" s="25"/>
      <x:c r="AA1537" s="25" t="str">
        <x:v>Family office entrepreneur-led growth equity, search funds and early-stage company investing with published named-principal email. Explicit control/minority operating-company investments, early-stage/growth and game-changing-startup exceptions.</x:v>
      </x:c>
      <x:c r="AB1537" s="3" t="str">
        <x:v>Existing CapitalForge research, newly screened for this campaign</x:v>
      </x:c>
      <x:c r="AC1537" s="3" t="str">
        <x:v>unverified</x:v>
      </x:c>
      <x:c r="AD1537" s="3" t="str">
        <x:v>Not contacted / unconfirmed</x:v>
      </x:c>
      <x:c r="AE1537" s="3" t="str">
        <x:v>No</x:v>
      </x:c>
      <x:c r="AF1537" s="3" t="str">
        <x:v>No</x:v>
      </x:c>
      <x:c r="AG1537" s="3"/>
      <x:c r="AH1537" s="3"/>
      <x:c r="AI1537" s="18"/>
      <x:c r="AJ1537" s="3" t="str">
        <x:v>CF2500-5B262A52C315</x:v>
      </x:c>
      <x:c r="AK1537" s="3" t="str">
        <x:v>Family investment firm</x:v>
      </x:c>
      <x:c r="AL1537" s="19" t="n">
        <x:v>100000</x:v>
      </x:c>
      <x:c r="AM1537" s="19" t="n">
        <x:v>500000</x:v>
      </x:c>
      <x:c r="AN1537" s="3" t="str">
        <x:v>https://cameopointcapital.com/</x:v>
      </x:c>
      <x:c r="AO1537" s="3" t="str">
        <x:v>equity_directory.jsonl</x:v>
      </x:c>
      <x:c r="AP1537" s="19"/>
    </x:row>
    <x:row r="1538" ht="36" customHeight="1">
      <x:c r="A1538" s="23" t="n">
        <x:v>1537</x:v>
      </x:c>
      <x:c r="B1538" s="15" t="str">
        <x:v>Coughlin Capital</x:v>
      </x:c>
      <x:c r="C1538" s="15"/>
      <x:c r="D1538" s="15" t="str">
        <x:v>Family investment firm</x:v>
      </x:c>
      <x:c r="E1538" s="15" t="str">
        <x:v>Private operating-company capital inquiry</x:v>
      </x:c>
      <x:c r="F1538" s="17" t="str">
        <x:v>New</x:v>
      </x:c>
      <x:c r="G1538" s="24" t="str">
        <x:v>info@coughlincapital.com</x:v>
      </x:c>
      <x:c r="H1538" s="24"/>
      <x:c r="I1538" s="24" t="str">
        <x:v>https://coughlincapital.com/</x:v>
      </x:c>
      <x:c r="J1538" s="16"/>
      <x:c r="K1538" s="16"/>
      <x:c r="L1538" s="16" t="str">
        <x:v>firm_business_routing</x:v>
      </x:c>
      <x:c r="M1538" s="16" t="str">
        <x:v>https://coughlincapital.com/</x:v>
      </x:c>
      <x:c r="N1538" s="16" t="str">
        <x:v>$100K-$500K ticket not published / unconfirmed</x:v>
      </x:c>
      <x:c r="O1538" s="20"/>
      <x:c r="P1538" s="20"/>
      <x:c r="Q1538" s="25" t="str">
        <x:v>No direct corporate-capital range established in checked source</x:v>
      </x:c>
      <x:c r="R1538" s="25" t="str">
        <x:v>Family-owned direct equity for logistics/supply-chain operating businesses; potential operational fulfillment adjacency rather than property-secured lending. Real-estate program buys assets; business program focuses existing supply-chain companies. Real-estate acquisition service contract is not confirmed sector fit. Check size/startup tolerance unknown; no current official phone published.</x:v>
      </x:c>
      <x:c r="S1538" s="25" t="str">
        <x:v>Real-estate program buys assets; business program focuses existing supply-chain companies. Real-estate acquisition service contract is not confirmed sector fit. Check size/startup tolerance unknown; no current official phone published.</x:v>
      </x:c>
      <x:c r="T1538" s="25" t="str">
        <x:v>Confirm $500K check, 9.3% ownership, current operating-stage eligibility and funding availability.</x:v>
      </x:c>
      <x:c r="U1538" s="25" t="str">
        <x:v>https://coughlincapital.com/investment-strategy/
https://coughlincapital.com/
https://coughlincapital.com/contact/</x:v>
      </x:c>
      <x:c r="V1538" s="26" t="d">
        <x:v>2026-10-02T00:00:00.000Z</x:v>
      </x:c>
      <x:c r="W1538" s="26" t="d">
        <x:v>2026-09-30T00:00:00.000Z</x:v>
      </x:c>
      <x:c r="X1538" s="25" t="str">
        <x:v>Saved public company, industry-directory or regulatory source; source date retained</x:v>
      </x:c>
      <x:c r="Y1538" s="25" t="str">
        <x:v>https://coughlincapital.com/contact/</x:v>
      </x:c>
      <x:c r="Z1538" s="25"/>
      <x:c r="AA1538" s="25" t="str">
        <x:v>Family-owned direct equity for logistics/supply-chain operating businesses; potential operational fulfillment adjacency rather than property-secured lending. Explicit minority and majority operating-company equity within supply-chain/logistics platform.</x:v>
      </x:c>
      <x:c r="AB1538" s="3" t="str">
        <x:v>Existing CapitalForge research, newly screened for this campaign</x:v>
      </x:c>
      <x:c r="AC1538" s="3" t="str">
        <x:v>unverified</x:v>
      </x:c>
      <x:c r="AD1538" s="3" t="str">
        <x:v>Not contacted / unconfirmed</x:v>
      </x:c>
      <x:c r="AE1538" s="3" t="str">
        <x:v>No</x:v>
      </x:c>
      <x:c r="AF1538" s="3" t="str">
        <x:v>No</x:v>
      </x:c>
      <x:c r="AG1538" s="3"/>
      <x:c r="AH1538" s="3"/>
      <x:c r="AI1538" s="18"/>
      <x:c r="AJ1538" s="3" t="str">
        <x:v>CF2500-2D4FB28CC81A</x:v>
      </x:c>
      <x:c r="AK1538" s="3" t="str">
        <x:v>Family investment firm</x:v>
      </x:c>
      <x:c r="AL1538" s="19" t="n">
        <x:v>100000</x:v>
      </x:c>
      <x:c r="AM1538" s="19" t="n">
        <x:v>500000</x:v>
      </x:c>
      <x:c r="AN1538" s="3" t="str">
        <x:v>https://coughlincapital.com/investment-strategy/</x:v>
      </x:c>
      <x:c r="AO1538" s="3" t="str">
        <x:v>equity_directory.jsonl</x:v>
      </x:c>
      <x:c r="AP1538" s="19"/>
    </x:row>
    <x:row r="1539" ht="36" customHeight="1">
      <x:c r="A1539" s="23" t="n">
        <x:v>1538</x:v>
      </x:c>
      <x:c r="B1539" s="15" t="str">
        <x:v>East Peak Capital</x:v>
      </x:c>
      <x:c r="C1539" s="15" t="str">
        <x:v>Thomas J. Cusick</x:v>
      </x:c>
      <x:c r="D1539" s="15" t="str">
        <x:v>Family investment firm</x:v>
      </x:c>
      <x:c r="E1539" s="15" t="str">
        <x:v>Private operating-company capital inquiry</x:v>
      </x:c>
      <x:c r="F1539" s="17" t="str">
        <x:v>New</x:v>
      </x:c>
      <x:c r="G1539" s="24" t="str">
        <x:v>info@eastpeakcapital.com</x:v>
      </x:c>
      <x:c r="H1539" s="24"/>
      <x:c r="I1539" s="24" t="str">
        <x:v>https://www.eastpeakcapital.com/</x:v>
      </x:c>
      <x:c r="J1539" s="16"/>
      <x:c r="K1539" s="16"/>
      <x:c r="L1539" s="16" t="str">
        <x:v>published_professional_contact_directness_unconfirmed</x:v>
      </x:c>
      <x:c r="M1539" s="16" t="str">
        <x:v>https://www.eastpeakcapital.com/</x:v>
      </x:c>
      <x:c r="N1539" s="16" t="str">
        <x:v>$100K-$500K ticket not published / unconfirmed</x:v>
      </x:c>
      <x:c r="O1539" s="20"/>
      <x:c r="P1539" s="20"/>
      <x:c r="Q1539" s="25" t="str">
        <x:v>No direct corporate-capital range established in checked source</x:v>
      </x:c>
      <x:c r="R1539" s="25" t="str">
        <x:v>Published operating-company growth equity in business services; principal previously real-estate-services acquisition director at Koll Management Services. Check size/minority/current pre-execution service-contract tolerance unverified. Early-stage venture investments are also via funds, not automatically direct startup checks. No public phone on current home/about pages.</x:v>
      </x:c>
      <x:c r="S1539" s="25" t="str">
        <x:v>Check size/minority/current pre-execution service-contract tolerance unverified. Early-stage venture investments are also via funds, not automatically direct startup checks. No public phone on current home/about pages.</x:v>
      </x:c>
      <x:c r="T1539" s="25" t="str">
        <x:v>Confirm $500K check, 9.3% ownership, current operating-stage eligibility and funding availability.</x:v>
      </x:c>
      <x:c r="U1539" s="25" t="str">
        <x:v>https://www.eastpeakcapital.com/about
https://www.eastpeakcapital.com/</x:v>
      </x:c>
      <x:c r="V1539" s="26" t="d">
        <x:v>2026-10-02T00:00:00.000Z</x:v>
      </x:c>
      <x:c r="W1539" s="26" t="d">
        <x:v>2026-09-30T00:00:00.000Z</x:v>
      </x:c>
      <x:c r="X1539" s="25" t="str">
        <x:v>Saved public company, industry-directory or regulatory source; source date retained</x:v>
      </x:c>
      <x:c r="Y1539" s="25" t="str">
        <x:v>https://www.eastpeakcapital.com/</x:v>
      </x:c>
      <x:c r="Z1539" s="25"/>
      <x:c r="AA1539" s="25" t="str">
        <x:v>Published operating-company growth equity in business services; principal previously real-estate-services acquisition director at Koll Management Services. Growth equity, direct venture and secondary equity investments; minority policy not explicitly published.</x:v>
      </x:c>
      <x:c r="AB1539" s="3" t="str">
        <x:v>Existing CapitalForge research, newly screened for this campaign</x:v>
      </x:c>
      <x:c r="AC1539" s="3" t="str">
        <x:v>unverified</x:v>
      </x:c>
      <x:c r="AD1539" s="3" t="str">
        <x:v>Not contacted / unconfirmed</x:v>
      </x:c>
      <x:c r="AE1539" s="3" t="str">
        <x:v>No</x:v>
      </x:c>
      <x:c r="AF1539" s="3" t="str">
        <x:v>No</x:v>
      </x:c>
      <x:c r="AG1539" s="3"/>
      <x:c r="AH1539" s="3"/>
      <x:c r="AI1539" s="18"/>
      <x:c r="AJ1539" s="3" t="str">
        <x:v>CF2500-1621F964074B</x:v>
      </x:c>
      <x:c r="AK1539" s="3" t="str">
        <x:v>Family investment firm</x:v>
      </x:c>
      <x:c r="AL1539" s="19" t="n">
        <x:v>100000</x:v>
      </x:c>
      <x:c r="AM1539" s="19" t="n">
        <x:v>500000</x:v>
      </x:c>
      <x:c r="AN1539" s="3" t="str">
        <x:v>https://www.eastpeakcapital.com/about</x:v>
      </x:c>
      <x:c r="AO1539" s="3" t="str">
        <x:v>equity_directory.jsonl</x:v>
      </x:c>
      <x:c r="AP1539" s="19"/>
    </x:row>
    <x:row r="1540" ht="36" customHeight="1">
      <x:c r="A1540" s="23" t="n">
        <x:v>1539</x:v>
      </x:c>
      <x:c r="B1540" s="15" t="str">
        <x:v>Lars Invest</x:v>
      </x:c>
      <x:c r="C1540" s="15"/>
      <x:c r="D1540" s="15" t="str">
        <x:v>Family investment firm</x:v>
      </x:c>
      <x:c r="E1540" s="15" t="str">
        <x:v>Private operating-company capital inquiry</x:v>
      </x:c>
      <x:c r="F1540" s="17" t="str">
        <x:v>New</x:v>
      </x:c>
      <x:c r="G1540" s="24" t="str">
        <x:v>info@larsinvest.com</x:v>
      </x:c>
      <x:c r="H1540" s="24"/>
      <x:c r="I1540" s="24" t="str">
        <x:v>https://www.larsinvest.com/</x:v>
      </x:c>
      <x:c r="J1540" s="16"/>
      <x:c r="K1540" s="16"/>
      <x:c r="L1540" s="16" t="str">
        <x:v>firm_business_routing</x:v>
      </x:c>
      <x:c r="M1540" s="16" t="str">
        <x:v>https://www.larsinvest.com/</x:v>
      </x:c>
      <x:c r="N1540" s="16" t="str">
        <x:v>$100K-$500K ticket not published / unconfirmed</x:v>
      </x:c>
      <x:c r="O1540" s="20"/>
      <x:c r="P1540" s="20"/>
      <x:c r="Q1540" s="25" t="str">
        <x:v>No direct corporate-capital range established in checked source</x:v>
      </x:c>
      <x:c r="R1540" s="25" t="str">
        <x:v>Family office invests in both operating businesses and real estate; growth partnerships rather than property lending only. No published check size or public phone, and no explicit minority/pre-execution-stage tolerance. Exploratory mandate-unconfirmed research only.</x:v>
      </x:c>
      <x:c r="S1540" s="25" t="str">
        <x:v>No published check size or public phone, and no explicit minority/pre-execution-stage tolerance. Exploratory mandate-unconfirmed research only.</x:v>
      </x:c>
      <x:c r="T1540" s="25" t="str">
        <x:v>Confirm $500K check, 9.3% ownership, current operating-stage eligibility and funding availability.</x:v>
      </x:c>
      <x:c r="U1540" s="25" t="str">
        <x:v>https://www.larsinvest.com/investments
https://www.larsinvest.com/contact
https://www.larsinvest.com/</x:v>
      </x:c>
      <x:c r="V1540" s="26" t="d">
        <x:v>2026-10-02T00:00:00.000Z</x:v>
      </x:c>
      <x:c r="W1540" s="26" t="d">
        <x:v>2026-09-30T00:00:00.000Z</x:v>
      </x:c>
      <x:c r="X1540" s="25" t="str">
        <x:v>Saved public company, industry-directory or regulatory source; source date retained</x:v>
      </x:c>
      <x:c r="Y1540" s="25" t="str">
        <x:v>https://www.larsinvest.com/contact</x:v>
      </x:c>
      <x:c r="Z1540" s="25"/>
      <x:c r="AA1540" s="25" t="str">
        <x:v>Family office invests in both operating businesses and real estate; growth partnerships rather than property lending only. Private operating-business equity and growth partnerships published; minority policy unconfirmed.</x:v>
      </x:c>
      <x:c r="AB1540" s="3" t="str">
        <x:v>Existing CapitalForge research, newly screened for this campaign</x:v>
      </x:c>
      <x:c r="AC1540" s="3" t="str">
        <x:v>unverified</x:v>
      </x:c>
      <x:c r="AD1540" s="3" t="str">
        <x:v>Not contacted / unconfirmed</x:v>
      </x:c>
      <x:c r="AE1540" s="3" t="str">
        <x:v>No</x:v>
      </x:c>
      <x:c r="AF1540" s="3" t="str">
        <x:v>No</x:v>
      </x:c>
      <x:c r="AG1540" s="3"/>
      <x:c r="AH1540" s="3"/>
      <x:c r="AI1540" s="18"/>
      <x:c r="AJ1540" s="3" t="str">
        <x:v>CF2500-55D9A39F652F</x:v>
      </x:c>
      <x:c r="AK1540" s="3" t="str">
        <x:v>Family investment firm</x:v>
      </x:c>
      <x:c r="AL1540" s="19" t="n">
        <x:v>100000</x:v>
      </x:c>
      <x:c r="AM1540" s="19" t="n">
        <x:v>500000</x:v>
      </x:c>
      <x:c r="AN1540" s="3" t="str">
        <x:v>https://www.larsinvest.com/investments</x:v>
      </x:c>
      <x:c r="AO1540" s="3" t="str">
        <x:v>equity_directory.jsonl</x:v>
      </x:c>
      <x:c r="AP1540" s="19"/>
    </x:row>
    <x:row r="1541" ht="36" customHeight="1">
      <x:c r="A1541" s="23" t="n">
        <x:v>1540</x:v>
      </x:c>
      <x:c r="B1541" s="15" t="str">
        <x:v>Red Forest Capital</x:v>
      </x:c>
      <x:c r="C1541" s="15"/>
      <x:c r="D1541" s="15" t="str">
        <x:v>Family investment firm</x:v>
      </x:c>
      <x:c r="E1541" s="15" t="str">
        <x:v>Private operating-company capital inquiry</x:v>
      </x:c>
      <x:c r="F1541" s="17" t="str">
        <x:v>New</x:v>
      </x:c>
      <x:c r="G1541" s="24" t="str">
        <x:v>hello@redforestcapital.com</x:v>
      </x:c>
      <x:c r="H1541" s="24"/>
      <x:c r="I1541" s="24" t="str">
        <x:v>https://www.redforestcapital.com/</x:v>
      </x:c>
      <x:c r="J1541" s="16"/>
      <x:c r="K1541" s="16"/>
      <x:c r="L1541" s="16" t="str">
        <x:v>firm_business_routing</x:v>
      </x:c>
      <x:c r="M1541" s="16" t="str">
        <x:v>https://www.redforestcapital.com/</x:v>
      </x:c>
      <x:c r="N1541" s="16" t="str">
        <x:v>$100K-$500K ticket not published / unconfirmed</x:v>
      </x:c>
      <x:c r="O1541" s="20"/>
      <x:c r="P1541" s="20"/>
      <x:c r="Q1541" s="25" t="str">
        <x:v>No direct corporate-capital range established in checked source</x:v>
      </x:c>
      <x:c r="R1541" s="25" t="str">
        <x:v>Invests family capital across stages; commercial real-estate site-selection and property-management software portfolio companies. No published ticket range or definitive minority policy. Acquisition/search history may be a closer fit than pre-execution working capital. Current homepage no longer displays phone.</x:v>
      </x:c>
      <x:c r="S1541" s="25" t="str">
        <x:v>No published ticket range or definitive minority policy. Acquisition/search history may be a closer fit than pre-execution working capital. Current homepage no longer displays phone.</x:v>
      </x:c>
      <x:c r="T1541" s="25" t="str">
        <x:v>Confirm $500K check, 9.3% ownership, current operating-stage eligibility and funding availability.</x:v>
      </x:c>
      <x:c r="U1541" s="25" t="str">
        <x:v>https://www.redforestcapital.com/
https://www.redforestcapital.com/contact</x:v>
      </x:c>
      <x:c r="V1541" s="26" t="d">
        <x:v>2026-10-02T00:00:00.000Z</x:v>
      </x:c>
      <x:c r="W1541" s="26" t="d">
        <x:v>2026-09-30T00:00:00.000Z</x:v>
      </x:c>
      <x:c r="X1541" s="25" t="str">
        <x:v>Saved public company, industry-directory or regulatory source; source date retained</x:v>
      </x:c>
      <x:c r="Y1541" s="25" t="str">
        <x:v>https://www.redforestcapital.com/contact</x:v>
      </x:c>
      <x:c r="Z1541" s="25"/>
      <x:c r="AA1541" s="25" t="str">
        <x:v>Invests family capital across stages; commercial real-estate site-selection and property-management software portfolio companies. Early-stage and search/acquisition investments; exact minority ownership policy not explicitly stated on current homepage.</x:v>
      </x:c>
      <x:c r="AB1541" s="3" t="str">
        <x:v>Existing CapitalForge research, newly screened for this campaign</x:v>
      </x:c>
      <x:c r="AC1541" s="3" t="str">
        <x:v>unverified</x:v>
      </x:c>
      <x:c r="AD1541" s="3" t="str">
        <x:v>Not contacted / unconfirmed</x:v>
      </x:c>
      <x:c r="AE1541" s="3" t="str">
        <x:v>No</x:v>
      </x:c>
      <x:c r="AF1541" s="3" t="str">
        <x:v>No</x:v>
      </x:c>
      <x:c r="AG1541" s="3"/>
      <x:c r="AH1541" s="3"/>
      <x:c r="AI1541" s="18"/>
      <x:c r="AJ1541" s="3" t="str">
        <x:v>CF2500-E78C39DEA0D4</x:v>
      </x:c>
      <x:c r="AK1541" s="3" t="str">
        <x:v>Family investment firm</x:v>
      </x:c>
      <x:c r="AL1541" s="19" t="n">
        <x:v>100000</x:v>
      </x:c>
      <x:c r="AM1541" s="19" t="n">
        <x:v>500000</x:v>
      </x:c>
      <x:c r="AN1541" s="3" t="str">
        <x:v>https://www.redforestcapital.com/</x:v>
      </x:c>
      <x:c r="AO1541" s="3" t="str">
        <x:v>equity_directory.jsonl</x:v>
      </x:c>
      <x:c r="AP1541" s="19"/>
    </x:row>
    <x:row r="1542" ht="36" customHeight="1">
      <x:c r="A1542" s="23" t="n">
        <x:v>1541</x:v>
      </x:c>
      <x:c r="B1542" s="15" t="str">
        <x:v>SOJA Ventures</x:v>
      </x:c>
      <x:c r="C1542" s="15"/>
      <x:c r="D1542" s="15" t="str">
        <x:v>Family investment firm</x:v>
      </x:c>
      <x:c r="E1542" s="15" t="str">
        <x:v>Private operating-company capital inquiry</x:v>
      </x:c>
      <x:c r="F1542" s="17" t="str">
        <x:v>New</x:v>
      </x:c>
      <x:c r="G1542" s="24" t="str">
        <x:v>info@sojaventures.com</x:v>
      </x:c>
      <x:c r="H1542" s="24"/>
      <x:c r="I1542" s="24" t="str">
        <x:v>https://sojaventures.com/</x:v>
      </x:c>
      <x:c r="J1542" s="16"/>
      <x:c r="K1542" s="16"/>
      <x:c r="L1542" s="16" t="str">
        <x:v>firm_business_routing</x:v>
      </x:c>
      <x:c r="M1542" s="16" t="str">
        <x:v>https://sojaventures.com/</x:v>
      </x:c>
      <x:c r="N1542" s="16" t="str">
        <x:v>$100K-$500K ticket not published / unconfirmed</x:v>
      </x:c>
      <x:c r="O1542" s="20"/>
      <x:c r="P1542" s="20"/>
      <x:c r="Q1542" s="25" t="str">
        <x:v>No direct corporate-capital range established in checked source</x:v>
      </x:c>
      <x:c r="R1542" s="25" t="str">
        <x:v>Technology-focused growth companies across industries; conditional potential only if the operating company has substantive scalable technology. Lower-middle-market and technology focus; no published check range, public phone or verified fit for service-contract working capital.</x:v>
      </x:c>
      <x:c r="S1542" s="25" t="str">
        <x:v>Lower-middle-market and technology focus; no published check range, public phone or verified fit for service-contract working capital.</x:v>
      </x:c>
      <x:c r="T1542" s="25" t="str">
        <x:v>Confirm $500K check, 9.3% ownership, current operating-stage eligibility and funding availability.</x:v>
      </x:c>
      <x:c r="U1542" s="25" t="str">
        <x:v>https://sojaventures.com/
https://www.sojaventures.com/copy-of-contact
https://adviserinfo.sec.gov/firm/summary/343195
https://reports.adviserinfo.sec.gov/reports/CompilationReports/IA_FIRM_SEC_Feed_09_29_2026.xml.gz
https://reports.adviserinfo.sec.gov/reports/foia/advFilingData/2026/ADV_Filing_Data_20260701_20260731.zip</x:v>
      </x:c>
      <x:c r="V1542" s="26" t="d">
        <x:v>2026-10-02T00:00:00.000Z</x:v>
      </x:c>
      <x:c r="W1542" s="26" t="d">
        <x:v>2026-09-30T00:00:00.000Z</x:v>
      </x:c>
      <x:c r="X1542" s="25" t="str">
        <x:v>Saved public company, industry-directory or regulatory source; source date retained</x:v>
      </x:c>
      <x:c r="Y1542" s="25" t="str">
        <x:v>https://www.sojaventures.com/copy-of-contact</x:v>
      </x:c>
      <x:c r="Z1542" s="25"/>
      <x:c r="AA1542" s="25" t="str">
        <x:v>Technology-focused growth companies across industries; conditional potential only if the operating company has substantive scalable technology. Official mandate explicitly includes non-control equity alongside debt.</x:v>
      </x:c>
      <x:c r="AB1542" s="3" t="str">
        <x:v>Existing CapitalForge research, newly screened for this campaign</x:v>
      </x:c>
      <x:c r="AC1542" s="3" t="str">
        <x:v>unverified</x:v>
      </x:c>
      <x:c r="AD1542" s="3" t="str">
        <x:v>Not contacted / unconfirmed</x:v>
      </x:c>
      <x:c r="AE1542" s="3" t="str">
        <x:v>No</x:v>
      </x:c>
      <x:c r="AF1542" s="3" t="str">
        <x:v>No</x:v>
      </x:c>
      <x:c r="AG1542" s="3" t="str">
        <x:v>OLIVER SWIG</x:v>
      </x:c>
      <x:c r="AH1542" s="3" t="str">
        <x:v>SOJA VENTURES MANAGEMENT LLC</x:v>
      </x:c>
      <x:c r="AI1542" s="18"/>
      <x:c r="AJ1542" s="3" t="str">
        <x:v>CF2500-197A8B371C9B</x:v>
      </x:c>
      <x:c r="AK1542" s="3" t="str">
        <x:v>Family investment firm</x:v>
      </x:c>
      <x:c r="AL1542" s="19" t="n">
        <x:v>100000</x:v>
      </x:c>
      <x:c r="AM1542" s="19" t="n">
        <x:v>500000</x:v>
      </x:c>
      <x:c r="AN1542" s="3" t="str">
        <x:v>https://sojaventures.com/</x:v>
      </x:c>
      <x:c r="AO1542" s="3" t="str">
        <x:v>equity_directory.jsonl</x:v>
      </x:c>
      <x:c r="AP1542" s="19"/>
    </x:row>
    <x:row r="1543" ht="36" customHeight="1">
      <x:c r="A1543" s="23" t="n">
        <x:v>1542</x:v>
      </x:c>
      <x:c r="B1543" s="15" t="str">
        <x:v>Upside Growth Partners</x:v>
      </x:c>
      <x:c r="C1543" s="15" t="str">
        <x:v>Rick Apple</x:v>
      </x:c>
      <x:c r="D1543" s="15" t="str">
        <x:v>Family investment firm</x:v>
      </x:c>
      <x:c r="E1543" s="15" t="str">
        <x:v>Private operating-company capital inquiry</x:v>
      </x:c>
      <x:c r="F1543" s="17" t="str">
        <x:v>New</x:v>
      </x:c>
      <x:c r="G1543" s="24" t="str">
        <x:v>hello@upsidegp.com</x:v>
      </x:c>
      <x:c r="H1543" s="24"/>
      <x:c r="I1543" s="24" t="str">
        <x:v>https://www.upsidegp.com/</x:v>
      </x:c>
      <x:c r="J1543" s="16"/>
      <x:c r="K1543" s="16"/>
      <x:c r="L1543" s="16" t="str">
        <x:v>published_professional_contact_directness_unconfirmed</x:v>
      </x:c>
      <x:c r="M1543" s="16" t="str">
        <x:v>https://www.upsidegp.com/</x:v>
      </x:c>
      <x:c r="N1543" s="16" t="str">
        <x:v>$100K-$500K ticket not published / unconfirmed</x:v>
      </x:c>
      <x:c r="O1543" s="20"/>
      <x:c r="P1543" s="20"/>
      <x:c r="Q1543" s="25" t="str">
        <x:v>No direct corporate-capital range established in checked source</x:v>
      </x:c>
      <x:c r="R1543" s="25" t="str">
        <x:v>Business-services/home-services operating-company experience and explicit early-stage/growth minority structures. Typical investments require above$10M annual revenue and$2M EBITDA; SaaS requires$2M recurring revenue. Current pilot forecasts do not establish those existing operating results. Check size unknown; no current official phone published.</x:v>
      </x:c>
      <x:c r="S1543" s="25" t="str">
        <x:v>Typical investments require above$10M annual revenue and$2M EBITDA; SaaS requires$2M recurring revenue. Current pilot forecasts do not establish those existing operating results. Check size unknown; no current official phone published.</x:v>
      </x:c>
      <x:c r="T1543" s="25" t="str">
        <x:v>Confirm $500K check, 9.3% ownership, current operating-stage eligibility and funding availability.</x:v>
      </x:c>
      <x:c r="U1543" s="25" t="str">
        <x:v>https://www.upsidegp.com/</x:v>
      </x:c>
      <x:c r="V1543" s="26" t="d">
        <x:v>2026-10-02T00:00:00.000Z</x:v>
      </x:c>
      <x:c r="W1543" s="26" t="d">
        <x:v>2026-09-30T00:00:00.000Z</x:v>
      </x:c>
      <x:c r="X1543" s="25" t="str">
        <x:v>Saved public company, industry-directory or regulatory source; source date retained</x:v>
      </x:c>
      <x:c r="Y1543" s="25" t="str">
        <x:v>https://www.upsidegp.com/</x:v>
      </x:c>
      <x:c r="Z1543" s="25"/>
      <x:c r="AA1543" s="25" t="str">
        <x:v>Business-services/home-services operating-company experience and explicit early-stage/growth minority structures. Explicit minority positions in early-stage and growth companies.</x:v>
      </x:c>
      <x:c r="AB1543" s="3" t="str">
        <x:v>Existing CapitalForge research, newly screened for this campaign</x:v>
      </x:c>
      <x:c r="AC1543" s="3" t="str">
        <x:v>unverified</x:v>
      </x:c>
      <x:c r="AD1543" s="3" t="str">
        <x:v>Not contacted / unconfirmed</x:v>
      </x:c>
      <x:c r="AE1543" s="3" t="str">
        <x:v>No</x:v>
      </x:c>
      <x:c r="AF1543" s="3" t="str">
        <x:v>No</x:v>
      </x:c>
      <x:c r="AG1543" s="3"/>
      <x:c r="AH1543" s="3"/>
      <x:c r="AI1543" s="18"/>
      <x:c r="AJ1543" s="3" t="str">
        <x:v>CF2500-39EDDFE4E752</x:v>
      </x:c>
      <x:c r="AK1543" s="3" t="str">
        <x:v>Family investment firm</x:v>
      </x:c>
      <x:c r="AL1543" s="19" t="n">
        <x:v>100000</x:v>
      </x:c>
      <x:c r="AM1543" s="19" t="n">
        <x:v>500000</x:v>
      </x:c>
      <x:c r="AN1543" s="3" t="str">
        <x:v>https://www.upsidegp.com/</x:v>
      </x:c>
      <x:c r="AO1543" s="3" t="str">
        <x:v>equity_directory.jsonl</x:v>
      </x:c>
      <x:c r="AP1543" s="19"/>
    </x:row>
    <x:row r="1544" ht="36" customHeight="1">
      <x:c r="A1544" s="23" t="n">
        <x:v>1543</x:v>
      </x:c>
      <x:c r="B1544" s="15" t="str">
        <x:v>Factor Strategic Partners</x:v>
      </x:c>
      <x:c r="C1544" s="15"/>
      <x:c r="D1544" s="15" t="str">
        <x:v>Operating / strategic equity</x:v>
      </x:c>
      <x:c r="E1544" s="15" t="str">
        <x:v>Private operating-company capital inquiry</x:v>
      </x:c>
      <x:c r="F1544" s="17" t="str">
        <x:v>New</x:v>
      </x:c>
      <x:c r="G1544" s="24" t="str">
        <x:v>info@factor-sp.com</x:v>
      </x:c>
      <x:c r="H1544" s="24"/>
      <x:c r="I1544" s="24" t="str">
        <x:v>https://www.factor-sp.com/</x:v>
      </x:c>
      <x:c r="J1544" s="16"/>
      <x:c r="K1544" s="16"/>
      <x:c r="L1544" s="16" t="str">
        <x:v>firm_business_routing</x:v>
      </x:c>
      <x:c r="M1544" s="16" t="str">
        <x:v>https://www.factor-sp.com/</x:v>
      </x:c>
      <x:c r="N1544" s="16" t="str">
        <x:v>$100K-$500K ticket not published / unconfirmed</x:v>
      </x:c>
      <x:c r="O1544" s="20"/>
      <x:c r="P1544" s="20"/>
      <x:c r="Q1544" s="25" t="str">
        <x:v>No direct corporate-capital range established in checked source</x:v>
      </x:c>
      <x:c r="R1544" s="25" t="str">
        <x:v>GP launch and development-platform capital is the published strategy. A fee-based origination and transaction execution company may fall outside its mandate. Direct corporate ticket, minority ownership terms, and cash availability unconfirmed.</x:v>
      </x:c>
      <x:c r="S1544" s="25" t="str">
        <x:v>GP launch and development-platform capital is the published strategy. A fee-based origination and transaction execution company may fall outside its mandate. Direct corporate ticket, minority ownership terms, and cash availability unconfirmed.</x:v>
      </x:c>
      <x:c r="T1544" s="25" t="str">
        <x:v>Confirm $500K check, 9.3% ownership, current operating-stage eligibility and funding availability.</x:v>
      </x:c>
      <x:c r="U1544" s="25" t="str">
        <x:v>https://www.factor-sp.com/gp-partnerships
https://www.factor-sp.com/
https://www.factor-sp.com/contact</x:v>
      </x:c>
      <x:c r="V1544" s="26" t="d">
        <x:v>2026-10-02T00:00:00.000Z</x:v>
      </x:c>
      <x:c r="W1544" s="26" t="d">
        <x:v>2026-09-30T00:00:00.000Z</x:v>
      </x:c>
      <x:c r="X1544" s="25" t="str">
        <x:v>Saved public company, industry-directory or regulatory source; source date retained</x:v>
      </x:c>
      <x:c r="Y1544" s="25" t="str">
        <x:v>https://www.factor-sp.com/contact</x:v>
      </x:c>
      <x:c r="Z1544" s="25"/>
      <x:c r="AA1544" s="25" t="str">
        <x:v>Provides capital, infrastructure and operating support to new and established US real-estate GP investment platforms. unconfirmed</x:v>
      </x:c>
      <x:c r="AB1544" s="3" t="str">
        <x:v>Existing CapitalForge research, newly screened for this campaign</x:v>
      </x:c>
      <x:c r="AC1544" s="3" t="str">
        <x:v>unverified</x:v>
      </x:c>
      <x:c r="AD1544" s="3" t="str">
        <x:v>Not contacted / unconfirmed</x:v>
      </x:c>
      <x:c r="AE1544" s="3" t="str">
        <x:v>No</x:v>
      </x:c>
      <x:c r="AF1544" s="3" t="str">
        <x:v>No</x:v>
      </x:c>
      <x:c r="AG1544" s="3"/>
      <x:c r="AH1544" s="3"/>
      <x:c r="AI1544" s="18"/>
      <x:c r="AJ1544" s="3" t="str">
        <x:v>CF2500-5C2BF7E0CB2E</x:v>
      </x:c>
      <x:c r="AK1544" s="3" t="str">
        <x:v>Operating / strategic equity</x:v>
      </x:c>
      <x:c r="AL1544" s="19" t="n">
        <x:v>100000</x:v>
      </x:c>
      <x:c r="AM1544" s="19" t="n">
        <x:v>500000</x:v>
      </x:c>
      <x:c r="AN1544" s="3" t="str">
        <x:v>https://www.factor-sp.com/gp-partnerships</x:v>
      </x:c>
      <x:c r="AO1544" s="3" t="str">
        <x:v>equity_directory.jsonl</x:v>
      </x:c>
      <x:c r="AP1544" s="19"/>
    </x:row>
    <x:row r="1545" ht="36" customHeight="1">
      <x:c r="A1545" s="23" t="n">
        <x:v>1544</x:v>
      </x:c>
      <x:c r="B1545" s="15" t="str">
        <x:v>Firebrand Ventures</x:v>
      </x:c>
      <x:c r="C1545" s="15" t="str">
        <x:v>John Fein</x:v>
      </x:c>
      <x:c r="D1545" s="15" t="str">
        <x:v>Named investor / firm principal</x:v>
      </x:c>
      <x:c r="E1545" s="15" t="str">
        <x:v>Private operating-company capital inquiry</x:v>
      </x:c>
      <x:c r="F1545" s="17" t="str">
        <x:v>New</x:v>
      </x:c>
      <x:c r="G1545" s="24" t="str">
        <x:v>john@firebrandvc.com</x:v>
      </x:c>
      <x:c r="H1545" s="24"/>
      <x:c r="I1545" s="24" t="str">
        <x:v>https://www.firebrandvc.com/team</x:v>
      </x:c>
      <x:c r="J1545" s="16"/>
      <x:c r="K1545" s="16"/>
      <x:c r="L1545" s="16" t="str">
        <x:v>published_professional_contact_directness_unconfirmed</x:v>
      </x:c>
      <x:c r="M1545" s="16" t="str">
        <x:v>https://www.firebrandvc.com/team</x:v>
      </x:c>
      <x:c r="N1545" s="16" t="str">
        <x:v>Published source range; proposed allocation and structure require confirmation</x:v>
      </x:c>
      <x:c r="O1545" s="20" t="n">
        <x:v>500000</x:v>
      </x:c>
      <x:c r="P1545" s="20" t="n">
        <x:v>1000000</x:v>
      </x:c>
      <x:c r="Q1545" s="25" t="str">
        <x:v>$500,000-$1,000,000 firm ticket</x:v>
      </x:c>
      <x:c r="R1545"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Software traction and venture-scale opportunity required; website publishes long-term startup orientation. 101XVC is described as an origination/acquisition/marketing operator with proprietary software, not demonstrated standalone SaaS. Venture fit requires investable product, repeatable demand, venture growth and exit economics. $500K for 9.3% is proposed; no investor acceptance or cash</x:v>
      </x:c>
      <x:c r="S1545"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Software traction and venture-scale opportunity required; website publishes long-term startup orientation. software_and_venture_growth_unconfirmed; 101XVC is described as an origination/acquisition/marketing operator with proprietary software, not demonstrated standalone SaaS. Software traction and venture-scale opportunity required; website publishes long-term startup orientation. 101XVC is described as an origination/acquisition/marketing operator with proprietary software, not demonstrated standalone SaaS. Software traction and venture-scale opportunity required; website publishes</x:v>
      </x:c>
      <x:c r="T1545" s="25" t="str">
        <x:v>Confirm $500K check, 9.3% ownership, current operating-stage eligibility and funding availability.</x:v>
      </x:c>
      <x:c r="U1545" s="25" t="str">
        <x:v>https://www.firebrandvc.com/investment-criteria
https://www.firebrandvc.com/team
https://www.firebrandvc.com</x:v>
      </x:c>
      <x:c r="V1545" s="26" t="d">
        <x:v>2026-10-02T00:00:00.000Z</x:v>
      </x:c>
      <x:c r="W1545" s="26" t="d">
        <x:v>2026-09-30T00:00:00.000Z</x:v>
      </x:c>
      <x:c r="X1545" s="25" t="str">
        <x:v>Saved public company, industry-directory or regulatory source; source date retained</x:v>
      </x:c>
      <x:c r="Y1545" s="25" t="str">
        <x:v>https://www.firebrandvc.com/team</x:v>
      </x:c>
      <x:c r="Z1545" s="25" t="str">
        <x:v>https://www.firebrandvc.com</x:v>
      </x:c>
      <x:c r="AA1545" s="25" t="str">
        <x:v>Capital efficient software inferred_seed_equity_not_confirmed_9_3_percent</x:v>
      </x:c>
      <x:c r="AB1545" s="3" t="str">
        <x:v>Existing CapitalForge research, newly screened for this campaign</x:v>
      </x:c>
      <x:c r="AC1545" s="3" t="str">
        <x:v>unverified</x:v>
      </x:c>
      <x:c r="AD1545" s="3" t="str">
        <x:v>Not contacted / unconfirmed</x:v>
      </x:c>
      <x:c r="AE1545" s="3" t="str">
        <x:v>No</x:v>
      </x:c>
      <x:c r="AF1545" s="3" t="str">
        <x:v>No</x:v>
      </x:c>
      <x:c r="AG1545" s="3"/>
      <x:c r="AH1545" s="3"/>
      <x:c r="AI1545" s="18"/>
      <x:c r="AJ1545" s="3" t="str">
        <x:v>CF2500-42049E78C4CA</x:v>
      </x:c>
      <x:c r="AK1545" s="3" t="str">
        <x:v>Named investor / firm principal</x:v>
      </x:c>
      <x:c r="AL1545" s="19" t="n">
        <x:v>100000</x:v>
      </x:c>
      <x:c r="AM1545" s="19" t="n">
        <x:v>500000</x:v>
      </x:c>
      <x:c r="AN1545" s="3" t="str">
        <x:v>https://www.firebrandvc.com/investment-criteria</x:v>
      </x:c>
      <x:c r="AO1545" s="3" t="str">
        <x:v>equity_directory.jsonl</x:v>
      </x:c>
      <x:c r="AP1545" s="19"/>
    </x:row>
    <x:row r="1546" ht="36" customHeight="1">
      <x:c r="A1546" s="23" t="n">
        <x:v>1545</x:v>
      </x:c>
      <x:c r="B1546" s="15" t="str">
        <x:v>Heartland Ventures</x:v>
      </x:c>
      <x:c r="C1546" s="15" t="str">
        <x:v>Max Brickman</x:v>
      </x:c>
      <x:c r="D1546" s="15" t="str">
        <x:v>Named investor / firm principal</x:v>
      </x:c>
      <x:c r="E1546" s="15" t="str">
        <x:v>Private operating-company capital inquiry</x:v>
      </x:c>
      <x:c r="F1546" s="17" t="str">
        <x:v>New</x:v>
      </x:c>
      <x:c r="G1546" s="24" t="str">
        <x:v>mbrickman@heartlandvc.com</x:v>
      </x:c>
      <x:c r="H1546" s="24"/>
      <x:c r="I1546" s="24" t="str">
        <x:v>https://www.heartlandvc.com/max-brickman</x:v>
      </x:c>
      <x:c r="J1546" s="16"/>
      <x:c r="K1546" s="16"/>
      <x:c r="L1546" s="16" t="str">
        <x:v>published_professional_contact_directness_unconfirmed</x:v>
      </x:c>
      <x:c r="M1546" s="16" t="str">
        <x:v>https://www.heartlandvc.com/max-brickman</x:v>
      </x:c>
      <x:c r="N1546" s="16" t="str">
        <x:v>Published source range; proposed allocation and structure require confirmation</x:v>
      </x:c>
      <x:c r="O1546" s="20" t="n">
        <x:v>500000</x:v>
      </x:c>
      <x:c r="P1546" s="20" t="n">
        <x:v>3000000</x:v>
      </x:c>
      <x:c r="Q1546" s="25" t="str">
        <x:v>$500,000-$3,000,000 firm ticket</x:v>
      </x:c>
      <x:c r="R1546"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Strategic Midwest operating-company network relevant; invests in high-growth technology companies with customer validation. 101XVC is described as an origination/acquisition/marketing operator with proprietary software, not demonstrated standalone SaaS. Venture fit requires investable product, repeatable demand, venture growth and exit economics. $500K for 9.3% is proposed; no investor a</x:v>
      </x:c>
      <x:c r="S1546"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Strategic Midwest operating-company network relevant; invests in high-growth technology companies with customer validation. software_and_venture_growth_unconfirmed; 101XVC is described as an origination/acquisition/marketing operator with proprietary software, not demonstrated standalone SaaS. Strategic Midwest operating-company network relevant; invests in high-growth technology companies with customer validation. 101XVC is described as an origination/acquisition/marketing operator with proprietary software, not demonstrated standalone SaaS. Strategic Midwest operating-company netwo</x:v>
      </x:c>
      <x:c r="T1546" s="25" t="str">
        <x:v>Confirm $500K check, 9.3% ownership, current operating-stage eligibility and funding availability.</x:v>
      </x:c>
      <x:c r="U1546" s="25" t="str">
        <x:v>https://www.heartlandvc.com/venture-capital
https://www.heartlandvc.com/max-brickman
https://www.heartlandvc.com</x:v>
      </x:c>
      <x:c r="V1546" s="26" t="d">
        <x:v>2026-10-02T00:00:00.000Z</x:v>
      </x:c>
      <x:c r="W1546" s="26" t="d">
        <x:v>2026-09-30T00:00:00.000Z</x:v>
      </x:c>
      <x:c r="X1546" s="25" t="str">
        <x:v>Saved public company, industry-directory or regulatory source; source date retained</x:v>
      </x:c>
      <x:c r="Y1546" s="25" t="str">
        <x:v>https://www.heartlandvc.com/max-brickman</x:v>
      </x:c>
      <x:c r="Z1546" s="25" t="str">
        <x:v>https://www.heartlandvc.com</x:v>
      </x:c>
      <x:c r="AA1546" s="25" t="str">
        <x:v>Real estate, construction, manufacturing, logistics, supply chain technology inferred_seed_equity_not_confirmed_9_3_percent</x:v>
      </x:c>
      <x:c r="AB1546" s="3" t="str">
        <x:v>Existing CapitalForge research, newly screened for this campaign</x:v>
      </x:c>
      <x:c r="AC1546" s="3" t="str">
        <x:v>unverified</x:v>
      </x:c>
      <x:c r="AD1546" s="3" t="str">
        <x:v>Not contacted / unconfirmed</x:v>
      </x:c>
      <x:c r="AE1546" s="3" t="str">
        <x:v>No</x:v>
      </x:c>
      <x:c r="AF1546" s="3" t="str">
        <x:v>No</x:v>
      </x:c>
      <x:c r="AG1546" s="3"/>
      <x:c r="AH1546" s="3"/>
      <x:c r="AI1546" s="18"/>
      <x:c r="AJ1546" s="3" t="str">
        <x:v>CF2500-28FFBEC9CED6</x:v>
      </x:c>
      <x:c r="AK1546" s="3" t="str">
        <x:v>Named investor / firm principal</x:v>
      </x:c>
      <x:c r="AL1546" s="19" t="n">
        <x:v>100000</x:v>
      </x:c>
      <x:c r="AM1546" s="19" t="n">
        <x:v>500000</x:v>
      </x:c>
      <x:c r="AN1546" s="3" t="str">
        <x:v>https://www.heartlandvc.com/venture-capital</x:v>
      </x:c>
      <x:c r="AO1546" s="3" t="str">
        <x:v>equity_directory.jsonl</x:v>
      </x:c>
      <x:c r="AP1546" s="19"/>
    </x:row>
    <x:row r="1547" ht="36" customHeight="1">
      <x:c r="A1547" s="23" t="n">
        <x:v>1546</x:v>
      </x:c>
      <x:c r="B1547" s="15" t="str">
        <x:v>Hometeam Ventures</x:v>
      </x:c>
      <x:c r="C1547" s="15" t="str">
        <x:v>Alexandria Lafci</x:v>
      </x:c>
      <x:c r="D1547" s="15" t="str">
        <x:v>Named investor / firm principal</x:v>
      </x:c>
      <x:c r="E1547" s="15" t="str">
        <x:v>Private operating-company capital inquiry</x:v>
      </x:c>
      <x:c r="F1547" s="17" t="str">
        <x:v>New</x:v>
      </x:c>
      <x:c r="G1547" s="24" t="str">
        <x:v>alexandria@hometeam.vc</x:v>
      </x:c>
      <x:c r="H1547" s="24"/>
      <x:c r="I1547" s="24" t="str">
        <x:v>https://hometeam.vc/about</x:v>
      </x:c>
      <x:c r="J1547" s="16"/>
      <x:c r="K1547" s="16"/>
      <x:c r="L1547" s="16" t="str">
        <x:v>published_professional_contact_directness_unconfirmed</x:v>
      </x:c>
      <x:c r="M1547" s="16" t="str">
        <x:v>https://hometeam.vc/about</x:v>
      </x:c>
      <x:c r="N1547" s="16" t="str">
        <x:v>Published source range; proposed allocation and structure require confirmation</x:v>
      </x:c>
      <x:c r="O1547" s="20" t="n">
        <x:v>500000</x:v>
      </x:c>
      <x:c r="P1547" s="20" t="n">
        <x:v>1000000</x:v>
      </x:c>
      <x:c r="Q1547" s="25" t="str">
        <x:v>$500,000-$1,000,000 firm ticket</x:v>
      </x:c>
      <x:c r="R1547"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Underwriting and housing platforms in portfolio are relevant; current acquisition/marketing operations must show investable technology economics. 101XVC is described as an origination/acquisition/marketing operator with proprietary software, not demonstrated standalone SaaS. Venture fit requires investable product, repeatable demand, venture growth and exit economics. $500K for 9.3% is p</x:v>
      </x:c>
      <x:c r="S1547"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Underwriting and housing platforms in portfolio are relevant; current acquisition/marketing operations must show investable technology economics. software_and_venture_growth_unconfirmed; 101XVC is described as an origination/acquisition/marketing operator with proprietary software, not demonstrated standalone SaaS. Underwriting and housing platforms in portfolio are relevant; current acquisition/marketing operations must show investable technology economics. 101XVC is described as an origination/acquisition/marketing operator with proprietary software, not demonstrated standalone Saa</x:v>
      </x:c>
      <x:c r="T1547" s="25" t="str">
        <x:v>Confirm $500K check, 9.3% ownership, current operating-stage eligibility and funding availability.</x:v>
      </x:c>
      <x:c r="U1547" s="25" t="str">
        <x:v>https://www.hometeam.vc/
https://hometeam.vc/about
https://www.hometeam.vc</x:v>
      </x:c>
      <x:c r="V1547" s="26" t="d">
        <x:v>2026-10-02T00:00:00.000Z</x:v>
      </x:c>
      <x:c r="W1547" s="26" t="d">
        <x:v>2026-09-30T00:00:00.000Z</x:v>
      </x:c>
      <x:c r="X1547" s="25" t="str">
        <x:v>Saved public company, industry-directory or regulatory source; source date retained</x:v>
      </x:c>
      <x:c r="Y1547" s="25" t="str">
        <x:v>https://www.hometeam.vc/</x:v>
      </x:c>
      <x:c r="Z1547" s="25" t="str">
        <x:v>https://www.hometeam.vc</x:v>
      </x:c>
      <x:c r="AA1547" s="25" t="str">
        <x:v>Built world, housing and construction technology inferred_seed_equity_not_confirmed_9_3_percent</x:v>
      </x:c>
      <x:c r="AB1547" s="3" t="str">
        <x:v>Existing CapitalForge research, newly screened for this campaign</x:v>
      </x:c>
      <x:c r="AC1547" s="3" t="str">
        <x:v>unverified</x:v>
      </x:c>
      <x:c r="AD1547" s="3" t="str">
        <x:v>Not contacted / unconfirmed</x:v>
      </x:c>
      <x:c r="AE1547" s="3" t="str">
        <x:v>No</x:v>
      </x:c>
      <x:c r="AF1547" s="3" t="str">
        <x:v>No</x:v>
      </x:c>
      <x:c r="AG1547" s="3"/>
      <x:c r="AH1547" s="3"/>
      <x:c r="AI1547" s="18"/>
      <x:c r="AJ1547" s="3" t="str">
        <x:v>CF2500-159AF0EB8706</x:v>
      </x:c>
      <x:c r="AK1547" s="3" t="str">
        <x:v>Named investor / firm principal</x:v>
      </x:c>
      <x:c r="AL1547" s="19" t="n">
        <x:v>100000</x:v>
      </x:c>
      <x:c r="AM1547" s="19" t="n">
        <x:v>500000</x:v>
      </x:c>
      <x:c r="AN1547" s="3" t="str">
        <x:v>https://www.hometeam.vc/</x:v>
      </x:c>
      <x:c r="AO1547" s="3" t="str">
        <x:v>equity_directory.jsonl</x:v>
      </x:c>
      <x:c r="AP1547" s="19"/>
    </x:row>
    <x:row r="1548" ht="36" customHeight="1">
      <x:c r="A1548" s="23" t="n">
        <x:v>1547</x:v>
      </x:c>
      <x:c r="B1548" s="15" t="str">
        <x:v>Tapasya Ventures</x:v>
      </x:c>
      <x:c r="C1548" s="15" t="str">
        <x:v>Pratik Kodial</x:v>
      </x:c>
      <x:c r="D1548" s="15" t="str">
        <x:v>Named investor / firm principal</x:v>
      </x:c>
      <x:c r="E1548" s="15" t="str">
        <x:v>Private operating-company capital inquiry</x:v>
      </x:c>
      <x:c r="F1548" s="17" t="str">
        <x:v>New</x:v>
      </x:c>
      <x:c r="G1548" s="24" t="str">
        <x:v>pratik@tapasyaventures.com</x:v>
      </x:c>
      <x:c r="H1548" s="24"/>
      <x:c r="I1548" s="24" t="str">
        <x:v>https://www.tapasyaventures.com/team.html</x:v>
      </x:c>
      <x:c r="J1548" s="16"/>
      <x:c r="K1548" s="16"/>
      <x:c r="L1548" s="16" t="str">
        <x:v>published_professional_contact_directness_unconfirmed</x:v>
      </x:c>
      <x:c r="M1548" s="16" t="str">
        <x:v>https://www.tapasyaventures.com/team.html</x:v>
      </x:c>
      <x:c r="N1548" s="16" t="str">
        <x:v>Published source range; proposed allocation and structure require confirmation</x:v>
      </x:c>
      <x:c r="O1548" s="20" t="n">
        <x:v>25000</x:v>
      </x:c>
      <x:c r="P1548" s="20" t="n">
        <x:v>500000</x:v>
      </x:c>
      <x:c r="Q1548" s="25" t="str">
        <x:v>$25,000-$500,000 firm ticket</x:v>
      </x:c>
      <x:c r="R1548"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Texas founder/location requirement needs confirmation; proposed company is not shown to satisfy geography. 101XVC is described as an origination/acquisition/marketing operator with proprietary software, not demonstrated standalone SaaS. Venture fit requires investable product, repeatable demand, venture growth and exit economics. $500K for 9.3% is proposed; no investor acceptance or cash</x:v>
      </x:c>
      <x:c r="S1548"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Texas founder/location requirement needs confirmation; proposed company is not shown to satisfy geography. software_and_venture_growth_unconfirmed; 101XVC is described as an origination/acquisition/marketing operator with proprietary software, not demonstrated standalone SaaS. Texas founder/location requirement needs confirmation; proposed company is not shown to satisfy geography. 101XVC is described as an origination/acquisition/marketing operator with proprietary software, not demonstrated standalone SaaS. Texas founder/location requirement needs confirmation; proposed company is </x:v>
      </x:c>
      <x:c r="T1548" s="25" t="str">
        <x:v>Confirm $500K check, 9.3% ownership, current operating-stage eligibility and funding availability.</x:v>
      </x:c>
      <x:c r="U1548" s="25" t="str">
        <x:v>https://www.tapasyaventures.com/founders.html
https://www.tapasyaventures.com/team.html
https://www.tapasyaventures.com</x:v>
      </x:c>
      <x:c r="V1548" s="26" t="d">
        <x:v>2026-10-02T00:00:00.000Z</x:v>
      </x:c>
      <x:c r="W1548" s="26" t="d">
        <x:v>2026-09-30T00:00:00.000Z</x:v>
      </x:c>
      <x:c r="X1548" s="25" t="str">
        <x:v>Saved public company, industry-directory or regulatory source; source date retained</x:v>
      </x:c>
      <x:c r="Y1548" s="25" t="str">
        <x:v>https://www.tapasyaventures.com/founders.html</x:v>
      </x:c>
      <x:c r="Z1548" s="25" t="str">
        <x:v>https://www.tapasyaventures.com</x:v>
      </x:c>
      <x:c r="AA1548" s="25" t="str">
        <x:v>B2B enterprise sectors; technology-enabled operations inferred_seed_equity_not_confirmed_9_3_percent</x:v>
      </x:c>
      <x:c r="AB1548" s="3" t="str">
        <x:v>Existing CapitalForge research, newly screened for this campaign</x:v>
      </x:c>
      <x:c r="AC1548" s="3" t="str">
        <x:v>unverified</x:v>
      </x:c>
      <x:c r="AD1548" s="3" t="str">
        <x:v>Not contacted / unconfirmed</x:v>
      </x:c>
      <x:c r="AE1548" s="3" t="str">
        <x:v>No</x:v>
      </x:c>
      <x:c r="AF1548" s="3" t="str">
        <x:v>No</x:v>
      </x:c>
      <x:c r="AG1548" s="3"/>
      <x:c r="AH1548" s="3"/>
      <x:c r="AI1548" s="18"/>
      <x:c r="AJ1548" s="3" t="str">
        <x:v>CF2500-6664DD2C8BA6</x:v>
      </x:c>
      <x:c r="AK1548" s="3" t="str">
        <x:v>Named investor / firm principal</x:v>
      </x:c>
      <x:c r="AL1548" s="19" t="n">
        <x:v>100000</x:v>
      </x:c>
      <x:c r="AM1548" s="19" t="n">
        <x:v>500000</x:v>
      </x:c>
      <x:c r="AN1548" s="3" t="str">
        <x:v>https://www.tapasyaventures.com/founders.html</x:v>
      </x:c>
      <x:c r="AO1548" s="3" t="str">
        <x:v>equity_directory.jsonl</x:v>
      </x:c>
      <x:c r="AP1548" s="19"/>
    </x:row>
    <x:row r="1549" ht="36" customHeight="1">
      <x:c r="A1549" s="23" t="n">
        <x:v>1548</x:v>
      </x:c>
      <x:c r="B1549" s="15" t="str">
        <x:v>Topaz Ventures / Topaz Capital Group</x:v>
      </x:c>
      <x:c r="C1549" s="15" t="str">
        <x:v>J. Etan Friedman</x:v>
      </x:c>
      <x:c r="D1549" s="15" t="str">
        <x:v>Named investor / firm principal</x:v>
      </x:c>
      <x:c r="E1549" s="15" t="str">
        <x:v>Private operating-company capital inquiry</x:v>
      </x:c>
      <x:c r="F1549" s="17" t="str">
        <x:v>New</x:v>
      </x:c>
      <x:c r="G1549" s="24" t="str">
        <x:v>etan@topazcg.com</x:v>
      </x:c>
      <x:c r="H1549" s="24"/>
      <x:c r="I1549" s="24" t="str">
        <x:v>https://topazcg.com/executive-team/</x:v>
      </x:c>
      <x:c r="J1549" s="16"/>
      <x:c r="K1549" s="16"/>
      <x:c r="L1549" s="16" t="str">
        <x:v>published_professional_contact_directness_unconfirmed</x:v>
      </x:c>
      <x:c r="M1549" s="16" t="str">
        <x:v>https://topazcg.com/executive-team/</x:v>
      </x:c>
      <x:c r="N1549" s="16" t="str">
        <x:v>Published source range; proposed allocation and structure require confirmation</x:v>
      </x:c>
      <x:c r="O1549" s="20" t="n">
        <x:v>360000</x:v>
      </x:c>
      <x:c r="P1549" s="20" t="n">
        <x:v>1500000</x:v>
      </x:c>
      <x:c r="Q1549" s="25" t="str">
        <x:v>$360,000-$1,500,000 firm ticket</x:v>
      </x:c>
      <x:c r="R1549"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Publishes$15M-$50M target pre-money; proposed$500K/9.3% implies lower valuation and may conflict. Property acquisitions strategy is separate from technology venture ticket. 101XVC is described as an origination/acquisition/marketing operator with proprietary software, not demonstrated standalone SaaS. Venture fit requires investable product, repeatable demand, venture growth and exit eco</x:v>
      </x:c>
      <x:c r="S1549" s="25" t="str">
        <x:v>101XVC is described as an origination/acquisition/marketing operator with proprietary software, not demonstrated standalone SaaS. Venture fit requires investable product, repeatable demand, venture growth and exit economics. $500K for 9.3% is proposed; no investor acceptance or cash availability is verified. Publishes$15M-$50M target pre-money; proposed$500K/9.3% implies lower valuation and may conflict. Property acquisitions strategy is separate from technology venture ticket. software_and_venture_growth_unconfirmed; 101XVC is described as an origination/acquisition/marketing operator with proprietary software, not demonstrated standalone SaaS. Property acquisitions strategy is separate from technology venture ticket. 101XVC is described as an origination/acquisition/marketing operator with proprietary software, not demonstrated standalone SaaS. Property acquisitions strategy is separat</x:v>
      </x:c>
      <x:c r="T1549" s="25" t="str">
        <x:v>Confirm $500K check, 9.3% ownership, current operating-stage eligibility and funding availability.</x:v>
      </x:c>
      <x:c r="U1549" s="25" t="str">
        <x:v>https://topazcg.com/topaz-ventures/
https://topazcg.com/executive-team/
https://topazcg.com</x:v>
      </x:c>
      <x:c r="V1549" s="26" t="d">
        <x:v>2026-10-02T00:00:00.000Z</x:v>
      </x:c>
      <x:c r="W1549" s="26" t="d">
        <x:v>2026-09-30T00:00:00.000Z</x:v>
      </x:c>
      <x:c r="X1549" s="25" t="str">
        <x:v>Saved public company, industry-directory or regulatory source; source date retained</x:v>
      </x:c>
      <x:c r="Y1549" s="25" t="str">
        <x:v>https://topazcg.com/executive-team/</x:v>
      </x:c>
      <x:c r="Z1549" s="25" t="str">
        <x:v>https://topazcg.com</x:v>
      </x:c>
      <x:c r="AA1549" s="25" t="str">
        <x:v>Property and real estate technology; financial services and business solutions inferred_seed_equity_not_confirmed_9_3_percent</x:v>
      </x:c>
      <x:c r="AB1549" s="3" t="str">
        <x:v>Existing CapitalForge research, newly screened for this campaign</x:v>
      </x:c>
      <x:c r="AC1549" s="3" t="str">
        <x:v>unverified</x:v>
      </x:c>
      <x:c r="AD1549" s="3" t="str">
        <x:v>Not contacted / unconfirmed</x:v>
      </x:c>
      <x:c r="AE1549" s="3" t="str">
        <x:v>No</x:v>
      </x:c>
      <x:c r="AF1549" s="3" t="str">
        <x:v>No</x:v>
      </x:c>
      <x:c r="AG1549" s="3"/>
      <x:c r="AH1549" s="3"/>
      <x:c r="AI1549" s="18"/>
      <x:c r="AJ1549" s="3" t="str">
        <x:v>CF2500-15E14644DB15</x:v>
      </x:c>
      <x:c r="AK1549" s="3" t="str">
        <x:v>Named investor / firm principal</x:v>
      </x:c>
      <x:c r="AL1549" s="19" t="n">
        <x:v>100000</x:v>
      </x:c>
      <x:c r="AM1549" s="19" t="n">
        <x:v>500000</x:v>
      </x:c>
      <x:c r="AN1549" s="3" t="str">
        <x:v>https://topazcg.com/topaz-ventures/</x:v>
      </x:c>
      <x:c r="AO1549" s="3" t="str">
        <x:v>equity_directory.jsonl</x:v>
      </x:c>
      <x:c r="AP1549" s="19"/>
    </x:row>
    <x:row r="1550" ht="36" customHeight="1">
      <x:c r="A1550" s="23" t="n">
        <x:v>1549</x:v>
      </x:c>
      <x:c r="B1550" s="15" t="str">
        <x:v>White Pine Capital Partners</x:v>
      </x:c>
      <x:c r="C1550" s="15"/>
      <x:c r="D1550" s="15" t="str">
        <x:v>Operating-capital lender, broker or finance route; eligibility unconfirmed</x:v>
      </x:c>
      <x:c r="E1550" s="15" t="str">
        <x:v>Private operating-company capital inquiry</x:v>
      </x:c>
      <x:c r="F1550" s="17" t="str">
        <x:v>New</x:v>
      </x:c>
      <x:c r="G1550" s="24" t="str">
        <x:v>hello@whitepinecp.com</x:v>
      </x:c>
      <x:c r="H1550" s="24"/>
      <x:c r="I1550" s="24" t="str">
        <x:v>https://www.whitepinecp.com/</x:v>
      </x:c>
      <x:c r="J1550" s="16"/>
      <x:c r="K1550" s="16"/>
      <x:c r="L1550" s="16" t="str">
        <x:v>firm_business_routing</x:v>
      </x:c>
      <x:c r="M1550" s="16" t="str">
        <x:v>https://www.whitepinecp.com/</x:v>
      </x:c>
      <x:c r="N1550" s="16" t="str">
        <x:v>Published source range; proposed allocation and structure require confirmation</x:v>
      </x:c>
      <x:c r="O1550" s="20" t="n">
        <x:v>500000</x:v>
      </x:c>
      <x:c r="P1550" s="20" t="n">
        <x:v>10000000</x:v>
      </x:c>
      <x:c r="Q1550" s="25" t="str">
        <x:v>No direct corporate-capital range established in checked source</x:v>
      </x:c>
      <x:c r="R1550" s="25" t="str">
        <x:v>Website advertises $500K-$10M financing and real estate/direct investment experience; unsecured operating-company investment eligibility unverified.</x:v>
      </x:c>
      <x:c r="S1550" s="25"/>
      <x:c r="T1550" s="25" t="str">
        <x:v>Confirm $100K-$500K ticket, company-stage and sector eligibility, investment authority, available allocation and proposed terms.</x:v>
      </x:c>
      <x:c r="U1550" s="25" t="str">
        <x:v>https://www.whitepinecp.com/</x:v>
      </x:c>
      <x:c r="V1550" s="26" t="d">
        <x:v>2026-10-02T00:00:00.000Z</x:v>
      </x:c>
      <x:c r="W1550" s="26" t="d">
        <x:v>2026-09-30T00:00:00.000Z</x:v>
      </x:c>
      <x:c r="X1550" s="25" t="str">
        <x:v>Saved public company, industry-directory or regulatory source; source date retained</x:v>
      </x:c>
      <x:c r="Y1550" s="25" t="str">
        <x:v>https://www.whitepinecp.com/</x:v>
      </x:c>
      <x:c r="Z1550" s="25"/>
      <x:c r="AA1550" s="25" t="str">
        <x:v>[]</x:v>
      </x:c>
      <x:c r="AB1550" s="3" t="str">
        <x:v>Existing CapitalForge research, newly screened for this campaign</x:v>
      </x:c>
      <x:c r="AC1550" s="3" t="str">
        <x:v>unverified</x:v>
      </x:c>
      <x:c r="AD1550" s="3" t="str">
        <x:v>Not contacted / unconfirmed</x:v>
      </x:c>
      <x:c r="AE1550" s="3" t="str">
        <x:v>No</x:v>
      </x:c>
      <x:c r="AF1550" s="3" t="str">
        <x:v>No</x:v>
      </x:c>
      <x:c r="AG1550" s="3"/>
      <x:c r="AH1550" s="3"/>
      <x:c r="AI1550" s="18"/>
      <x:c r="AJ1550" s="3" t="str">
        <x:v>CF2500-7EC291C6E06C</x:v>
      </x:c>
      <x:c r="AK1550" s="3" t="str">
        <x:v>private_credit_equity</x:v>
      </x:c>
      <x:c r="AL1550" s="19" t="n">
        <x:v>100000</x:v>
      </x:c>
      <x:c r="AM1550" s="19" t="n">
        <x:v>500000</x:v>
      </x:c>
      <x:c r="AN1550" s="3" t="str">
        <x:v>https://www.whitepinecp.com/</x:v>
      </x:c>
      <x:c r="AO1550" s="3" t="str">
        <x:v>public_directory.jsonl</x:v>
      </x:c>
      <x:c r="AP1550" s="19"/>
    </x:row>
    <x:row r="1551" ht="36" customHeight="1">
      <x:c r="A1551" s="23" t="n">
        <x:v>1550</x:v>
      </x:c>
      <x:c r="B1551" s="15" t="str">
        <x:v>Parc East Capital</x:v>
      </x:c>
      <x:c r="C1551" s="15"/>
      <x:c r="D1551" s="15" t="str">
        <x:v>Operating-capital lender, broker or finance route; eligibility unconfirmed</x:v>
      </x:c>
      <x:c r="E1551" s="15" t="str">
        <x:v>Private operating-company capital inquiry</x:v>
      </x:c>
      <x:c r="F1551" s="17" t="str">
        <x:v>New</x:v>
      </x:c>
      <x:c r="G1551" s="24" t="str">
        <x:v>info@parceastcapital.com</x:v>
      </x:c>
      <x:c r="H1551" s="24"/>
      <x:c r="I1551" s="24" t="str">
        <x:v>https://parceastcapital.com/</x:v>
      </x:c>
      <x:c r="J1551" s="16"/>
      <x:c r="K1551" s="16"/>
      <x:c r="L1551" s="16" t="str">
        <x:v>firm_business_routing</x:v>
      </x:c>
      <x:c r="M1551" s="16" t="str">
        <x:v>https://parceastcapital.com/</x:v>
      </x:c>
      <x:c r="N1551" s="16" t="str">
        <x:v>Published source range; proposed allocation and structure require confirmation</x:v>
      </x:c>
      <x:c r="O1551" s="20" t="n">
        <x:v>500000</x:v>
      </x:c>
      <x:c r="P1551" s="20" t="n">
        <x:v>3000000</x:v>
      </x:c>
      <x:c r="Q1551" s="25" t="str">
        <x:v>No direct corporate-capital range established in checked source</x:v>
      </x:c>
      <x:c r="R1551" s="25" t="str">
        <x:v>Published $500K-$3M loans to entrepreneurs; borrower approval and available liquidity unverified.</x:v>
      </x:c>
      <x:c r="S1551" s="25"/>
      <x:c r="T1551" s="25" t="str">
        <x:v>Confirm $100K-$500K ticket, company-stage and sector eligibility, investment authority, available allocation and proposed terms.</x:v>
      </x:c>
      <x:c r="U1551" s="25" t="str">
        <x:v>https://parceastcapital.com/
https://parceastcapital.com/contact</x:v>
      </x:c>
      <x:c r="V1551" s="26" t="d">
        <x:v>2026-10-02T00:00:00.000Z</x:v>
      </x:c>
      <x:c r="W1551" s="26" t="d">
        <x:v>2026-09-30T00:00:00.000Z</x:v>
      </x:c>
      <x:c r="X1551" s="25" t="str">
        <x:v>Saved public company, industry-directory or regulatory source; source date retained</x:v>
      </x:c>
      <x:c r="Y1551" s="25" t="str">
        <x:v>https://parceastcapital.com/</x:v>
      </x:c>
      <x:c r="Z1551" s="25"/>
      <x:c r="AA1551" s="25" t="str">
        <x:v>[]</x:v>
      </x:c>
      <x:c r="AB1551" s="3" t="str">
        <x:v>Existing CapitalForge research, newly screened for this campaign</x:v>
      </x:c>
      <x:c r="AC1551" s="3" t="str">
        <x:v>unverified</x:v>
      </x:c>
      <x:c r="AD1551" s="3" t="str">
        <x:v>Not contacted / unconfirmed</x:v>
      </x:c>
      <x:c r="AE1551" s="3" t="str">
        <x:v>No</x:v>
      </x:c>
      <x:c r="AF1551" s="3" t="str">
        <x:v>No</x:v>
      </x:c>
      <x:c r="AG1551" s="3"/>
      <x:c r="AH1551" s="3"/>
      <x:c r="AI1551" s="18"/>
      <x:c r="AJ1551" s="3" t="str">
        <x:v>CF2500-2125D9D89785</x:v>
      </x:c>
      <x:c r="AK1551" s="3" t="str">
        <x:v>private_credit</x:v>
      </x:c>
      <x:c r="AL1551" s="19" t="n">
        <x:v>100000</x:v>
      </x:c>
      <x:c r="AM1551" s="19" t="n">
        <x:v>500000</x:v>
      </x:c>
      <x:c r="AN1551" s="3" t="str">
        <x:v>https://parceastcapital.com/</x:v>
      </x:c>
      <x:c r="AO1551" s="3" t="str">
        <x:v>public_directory.jsonl</x:v>
      </x:c>
      <x:c r="AP1551" s="19"/>
    </x:row>
    <x:row r="1552" ht="36" customHeight="1">
      <x:c r="A1552" s="23" t="n">
        <x:v>1551</x:v>
      </x:c>
      <x:c r="B1552" s="15" t="str">
        <x:v>LOUD Capital</x:v>
      </x:c>
      <x:c r="C1552" s="15"/>
      <x:c r="D1552" s="15" t="str">
        <x:v>Operating-capital lender, broker or finance route; eligibility unconfirmed</x:v>
      </x:c>
      <x:c r="E1552" s="15" t="str">
        <x:v>Private operating-company capital inquiry</x:v>
      </x:c>
      <x:c r="F1552" s="17" t="str">
        <x:v>New</x:v>
      </x:c>
      <x:c r="G1552" s="24" t="str">
        <x:v>info@loudcapital.com</x:v>
      </x:c>
      <x:c r="H1552" s="24"/>
      <x:c r="I1552" s="24" t="str">
        <x:v>https://www.loudcapital.com/</x:v>
      </x:c>
      <x:c r="J1552" s="16"/>
      <x:c r="K1552" s="16"/>
      <x:c r="L1552" s="16" t="str">
        <x:v>firm_business_routing</x:v>
      </x:c>
      <x:c r="M1552" s="16" t="str">
        <x:v>https://www.loudcapital.com/</x:v>
      </x:c>
      <x:c r="N1552" s="16" t="str">
        <x:v>$100K-$500K ticket not published / unconfirmed</x:v>
      </x:c>
      <x:c r="O1552" s="20"/>
      <x:c r="P1552" s="20"/>
      <x:c r="Q1552" s="25" t="str">
        <x:v>No direct corporate-capital range established in checked source</x:v>
      </x:c>
      <x:c r="R1552" s="25" t="str">
        <x:v>Institutional manager investing in specialty finance. Per-borrower minimum and direct 101XVC eligibility unverified.</x:v>
      </x:c>
      <x:c r="S1552" s="25"/>
      <x:c r="T1552" s="25" t="str">
        <x:v>Confirm $100K-$500K ticket, company-stage and sector eligibility, investment authority, available allocation and proposed terms.</x:v>
      </x:c>
      <x:c r="U1552" s="25" t="str">
        <x:v>https://www.loudcapital.com/
https://www.loudcapital.com/private-credit
https://www.loudcapital.com/our-team
https://www.loudcapital.com/contact</x:v>
      </x:c>
      <x:c r="V1552" s="26" t="d">
        <x:v>2026-10-02T00:00:00.000Z</x:v>
      </x:c>
      <x:c r="W1552" s="26" t="d">
        <x:v>2026-09-30T00:00:00.000Z</x:v>
      </x:c>
      <x:c r="X1552" s="25" t="str">
        <x:v>Saved public company, industry-directory or regulatory source; source date retained</x:v>
      </x:c>
      <x:c r="Y1552" s="25" t="str">
        <x:v>https://www.loudcapital.com/</x:v>
      </x:c>
      <x:c r="Z1552" s="25"/>
      <x:c r="AA1552" s="25" t="str">
        <x:v>[]</x:v>
      </x:c>
      <x:c r="AB1552" s="3" t="str">
        <x:v>Existing CapitalForge research, newly screened for this campaign</x:v>
      </x:c>
      <x:c r="AC1552" s="3" t="str">
        <x:v>unverified</x:v>
      </x:c>
      <x:c r="AD1552" s="3" t="str">
        <x:v>Not contacted / unconfirmed</x:v>
      </x:c>
      <x:c r="AE1552" s="3" t="str">
        <x:v>No</x:v>
      </x:c>
      <x:c r="AF1552" s="3" t="str">
        <x:v>No</x:v>
      </x:c>
      <x:c r="AG1552" s="3"/>
      <x:c r="AH1552" s="3"/>
      <x:c r="AI1552" s="18"/>
      <x:c r="AJ1552" s="3" t="str">
        <x:v>CF2500-1537F42F7AD1</x:v>
      </x:c>
      <x:c r="AK1552" s="3" t="str">
        <x:v>private_credit_equity</x:v>
      </x:c>
      <x:c r="AL1552" s="19" t="n">
        <x:v>100000</x:v>
      </x:c>
      <x:c r="AM1552" s="19" t="n">
        <x:v>500000</x:v>
      </x:c>
      <x:c r="AN1552" s="3" t="str">
        <x:v>https://www.loudcapital.com/</x:v>
      </x:c>
      <x:c r="AO1552" s="3" t="str">
        <x:v>public_directory.jsonl</x:v>
      </x:c>
      <x:c r="AP1552" s="19"/>
    </x:row>
    <x:row r="1553" ht="36" customHeight="1">
      <x:c r="A1553" s="23" t="n">
        <x:v>1552</x:v>
      </x:c>
      <x:c r="B1553" s="15" t="str">
        <x:v>CR3 Capital</x:v>
      </x:c>
      <x:c r="C1553" s="15"/>
      <x:c r="D1553" s="15" t="str">
        <x:v>Family investment firm</x:v>
      </x:c>
      <x:c r="E1553" s="15" t="str">
        <x:v>Private operating-company capital inquiry</x:v>
      </x:c>
      <x:c r="F1553" s="17" t="str">
        <x:v>New</x:v>
      </x:c>
      <x:c r="G1553" s="24"/>
      <x:c r="H1553" s="24" t="str">
        <x:v>+19723628500</x:v>
      </x:c>
      <x:c r="I1553" s="24" t="str">
        <x:v>https://www.cr3capital.com/</x:v>
      </x:c>
      <x:c r="J1553" s="16"/>
      <x:c r="K1553" s="16"/>
      <x:c r="L1553" s="16" t="str">
        <x:v>firm_business_routing</x:v>
      </x:c>
      <x:c r="M1553" s="16" t="str">
        <x:v>https://www.cr3capital.com/</x:v>
      </x:c>
      <x:c r="N1553" s="16" t="str">
        <x:v>$100K-$500K ticket not published / unconfirmed</x:v>
      </x:c>
      <x:c r="O1553" s="20"/>
      <x:c r="P1553" s="20"/>
      <x:c r="Q1553" s="25" t="str">
        <x:v>No direct corporate-capital range established in checked source</x:v>
      </x:c>
      <x:c r="R1553" s="25" t="str">
        <x:v>Business services and transportation/logistics sector mandate, growth capital, no minimum EBITDA, and early-stage investment category. No public email after official website review; professional phone and inquiry form only. Check size and9.3% ownership tolerance unverified.</x:v>
      </x:c>
      <x:c r="S1553" s="25" t="str">
        <x:v>No public email after official website review; professional phone and inquiry form only. Check size and9.3% ownership tolerance unverified.</x:v>
      </x:c>
      <x:c r="T1553" s="25" t="str">
        <x:v>Confirm $500K check, 9.3% ownership, current operating-stage eligibility and funding availability.</x:v>
      </x:c>
      <x:c r="U1553" s="25" t="str">
        <x:v>https://www.cr3capital.com/</x:v>
      </x:c>
      <x:c r="V1553" s="26" t="d">
        <x:v>2026-10-02T00:00:00.000Z</x:v>
      </x:c>
      <x:c r="W1553" s="26" t="d">
        <x:v>2026-09-30T00:00:00.000Z</x:v>
      </x:c>
      <x:c r="X1553" s="25" t="str">
        <x:v>Saved public company, industry-directory or regulatory source; source date retained</x:v>
      </x:c>
      <x:c r="Y1553" s="25"/>
      <x:c r="Z1553" s="25" t="str">
        <x:v>https://www.cr3capital.com/</x:v>
      </x:c>
      <x:c r="AA1553" s="25" t="str">
        <x:v>Business services and transportation/logistics sector mandate, growth capital, no minimum EBITDA, and early-stage investment category. Explicit control and non-control equity, early-stage and growth-equity investment types.</x:v>
      </x:c>
      <x:c r="AB1553" s="3" t="str">
        <x:v>Existing CapitalForge research, newly screened for this campaign</x:v>
      </x:c>
      <x:c r="AC1553" s="3" t="str">
        <x:v>unverified</x:v>
      </x:c>
      <x:c r="AD1553" s="3" t="str">
        <x:v>Not contacted / unconfirmed</x:v>
      </x:c>
      <x:c r="AE1553" s="3" t="str">
        <x:v>No</x:v>
      </x:c>
      <x:c r="AF1553" s="3" t="str">
        <x:v>No</x:v>
      </x:c>
      <x:c r="AG1553" s="3"/>
      <x:c r="AH1553" s="3"/>
      <x:c r="AI1553" s="18"/>
      <x:c r="AJ1553" s="3" t="str">
        <x:v>CF2500-952168F2FBDF</x:v>
      </x:c>
      <x:c r="AK1553" s="3" t="str">
        <x:v>Family investment firm</x:v>
      </x:c>
      <x:c r="AL1553" s="19" t="n">
        <x:v>100000</x:v>
      </x:c>
      <x:c r="AM1553" s="19" t="n">
        <x:v>500000</x:v>
      </x:c>
      <x:c r="AN1553" s="3" t="str">
        <x:v>https://www.cr3capital.com/</x:v>
      </x:c>
      <x:c r="AO1553" s="3" t="str">
        <x:v>equity_directory.jsonl</x:v>
      </x:c>
      <x:c r="AP1553" s="19"/>
    </x:row>
    <x:row r="1554" ht="36" customHeight="1">
      <x:c r="A1554" s="23" t="n">
        <x:v>1553</x:v>
      </x:c>
      <x:c r="B1554" s="15" t="str">
        <x:v>Farrington Capital Corporation</x:v>
      </x:c>
      <x:c r="C1554" s="15"/>
      <x:c r="D1554" s="15" t="str">
        <x:v>Family investment firm</x:v>
      </x:c>
      <x:c r="E1554" s="15" t="str">
        <x:v>Private operating-company capital inquiry</x:v>
      </x:c>
      <x:c r="F1554" s="17" t="str">
        <x:v>New</x:v>
      </x:c>
      <x:c r="G1554" s="24"/>
      <x:c r="H1554" s="24" t="str">
        <x:v>+18006797303</x:v>
      </x:c>
      <x:c r="I1554" s="24" t="str">
        <x:v>https://farringtoncapitalcorp.com/</x:v>
      </x:c>
      <x:c r="J1554" s="16"/>
      <x:c r="K1554" s="16"/>
      <x:c r="L1554" s="16" t="str">
        <x:v>firm_business_routing</x:v>
      </x:c>
      <x:c r="M1554" s="16" t="str">
        <x:v>https://farringtoncapitalcorp.com/</x:v>
      </x:c>
      <x:c r="N1554" s="16" t="str">
        <x:v>$100K-$500K ticket not published / unconfirmed</x:v>
      </x:c>
      <x:c r="O1554" s="20"/>
      <x:c r="P1554" s="20"/>
      <x:c r="Q1554" s="25" t="str">
        <x:v>No direct corporate-capital range established in checked source</x:v>
      </x:c>
      <x:c r="R1554" s="25" t="str">
        <x:v>Business-technology/services operating-company investments, including non-control equity. Published existing EBITDA$1M–$50M; current pilot forecasts are not achieved earnings. No public email, current contact form/mainline only. Check size and willingness to fund a standalone500K service trial unverified.</x:v>
      </x:c>
      <x:c r="S1554" s="25" t="str">
        <x:v>Published existing EBITDA$1M–$50M; current pilot forecasts are not achieved earnings. No public email, current contact form/mainline only. Check size and willingness to fund a standalone500K service trial unverified.</x:v>
      </x:c>
      <x:c r="T1554" s="25" t="str">
        <x:v>Confirm $500K check, 9.3% ownership, current operating-stage eligibility and funding availability.</x:v>
      </x:c>
      <x:c r="U1554" s="25" t="str">
        <x:v>https://farringtoncapitalcorp.com/what-we-do/
https://farringtoncapitalcorp.com/
https://farringtoncapitalcorp.com/contact-farrington/</x:v>
      </x:c>
      <x:c r="V1554" s="26" t="d">
        <x:v>2026-10-02T00:00:00.000Z</x:v>
      </x:c>
      <x:c r="W1554" s="26" t="d">
        <x:v>2026-09-30T00:00:00.000Z</x:v>
      </x:c>
      <x:c r="X1554" s="25" t="str">
        <x:v>Saved public company, industry-directory or regulatory source; source date retained</x:v>
      </x:c>
      <x:c r="Y1554" s="25"/>
      <x:c r="Z1554" s="25" t="str">
        <x:v>https://farringtoncapitalcorp.com/contact-farrington/</x:v>
      </x:c>
      <x:c r="AA1554" s="25" t="str">
        <x:v>Business-technology/services operating-company investments, including non-control equity. Explicit majority or minority investments in operating-company recaps, buy-and-builds and management buyouts.</x:v>
      </x:c>
      <x:c r="AB1554" s="3" t="str">
        <x:v>Existing CapitalForge research, newly screened for this campaign</x:v>
      </x:c>
      <x:c r="AC1554" s="3" t="str">
        <x:v>unverified</x:v>
      </x:c>
      <x:c r="AD1554" s="3" t="str">
        <x:v>Not contacted / unconfirmed</x:v>
      </x:c>
      <x:c r="AE1554" s="3" t="str">
        <x:v>No</x:v>
      </x:c>
      <x:c r="AF1554" s="3" t="str">
        <x:v>No</x:v>
      </x:c>
      <x:c r="AG1554" s="3"/>
      <x:c r="AH1554" s="3"/>
      <x:c r="AI1554" s="18"/>
      <x:c r="AJ1554" s="3" t="str">
        <x:v>CF2500-C08220EA703B</x:v>
      </x:c>
      <x:c r="AK1554" s="3" t="str">
        <x:v>Family investment firm</x:v>
      </x:c>
      <x:c r="AL1554" s="19" t="n">
        <x:v>100000</x:v>
      </x:c>
      <x:c r="AM1554" s="19" t="n">
        <x:v>500000</x:v>
      </x:c>
      <x:c r="AN1554" s="3" t="str">
        <x:v>https://farringtoncapitalcorp.com/what-we-do/</x:v>
      </x:c>
      <x:c r="AO1554" s="3" t="str">
        <x:v>equity_directory.jsonl</x:v>
      </x:c>
      <x:c r="AP1554" s="19"/>
    </x:row>
    <x:row r="1555" ht="36" customHeight="1">
      <x:c r="A1555" s="23" t="n">
        <x:v>1554</x:v>
      </x:c>
      <x:c r="B1555" s="15" t="str">
        <x:v>Almanac Realty Investors / Neuberger</x:v>
      </x:c>
      <x:c r="C1555" s="15"/>
      <x:c r="D1555" s="15" t="str">
        <x:v>Operating / strategic equity</x:v>
      </x:c>
      <x:c r="E1555" s="15" t="str">
        <x:v>Private operating-company capital inquiry</x:v>
      </x:c>
      <x:c r="F1555" s="17" t="str">
        <x:v>New</x:v>
      </x:c>
      <x:c r="G1555" s="24"/>
      <x:c r="H1555" s="24" t="str">
        <x:v>+12124769000</x:v>
      </x:c>
      <x:c r="I1555" s="24" t="str">
        <x:v>https://www.almanacrealty.com/</x:v>
      </x:c>
      <x:c r="J1555" s="16"/>
      <x:c r="K1555" s="16"/>
      <x:c r="L1555" s="16" t="str">
        <x:v>firm_business_routing</x:v>
      </x:c>
      <x:c r="M1555" s="16" t="str">
        <x:v>https://www.almanacrealty.com/</x:v>
      </x:c>
      <x:c r="N1555" s="16" t="str">
        <x:v>$100K-$500K ticket not published / unconfirmed</x:v>
      </x:c>
      <x:c r="O1555" s="20"/>
      <x:c r="P1555" s="20"/>
      <x:c r="Q1555" s="25" t="str">
        <x:v>No direct corporate-capital range established in checked source</x:v>
      </x:c>
      <x:c r="R1555" s="25" t="str">
        <x:v>Current Almanac website redirects to Neuberger. Phone is Neuberger corporate mainline, not an independently confirmed deal originator. Older indexed Almanac info@almanacrealty.com and 212.403.3522 were not revalidated on the current page, so are omitted. Published portfolio capitalizations are far larger institutional examples, not minimum checks; asset-owning REOC mandate may mismatch a transaction-services operator.</x:v>
      </x:c>
      <x:c r="S1555" s="25" t="str">
        <x:v>Current Almanac website redirects to Neuberger. Phone is Neuberger corporate mainline, not an independently confirmed deal originator. Older indexed Almanac info@almanacrealty.com and 212.403.3522 were not revalidated on the current page, so are omitted. Published portfolio capitalizations are far larger institutional examples, not minimum checks; asset-owning REOC mandate may mismatch a transaction-services operator.</x:v>
      </x:c>
      <x:c r="T1555" s="25" t="str">
        <x:v>Confirm $500K check, 9.3% ownership, current operating-stage eligibility and funding availability.</x:v>
      </x:c>
      <x:c r="U1555" s="25" t="str">
        <x:v>https://www.nb.com/what-we-do/private-markets-and-alternatives/private-real-assets?tab=almanac
https://www.almanacrealty.com/</x:v>
      </x:c>
      <x:c r="V1555" s="26" t="d">
        <x:v>2026-10-02T00:00:00.000Z</x:v>
      </x:c>
      <x:c r="W1555" s="26" t="d">
        <x:v>2026-09-30T00:00:00.000Z</x:v>
      </x:c>
      <x:c r="X1555" s="25" t="str">
        <x:v>Saved public company, industry-directory or regulatory source; source date retained</x:v>
      </x:c>
      <x:c r="Y1555" s="25"/>
      <x:c r="Z1555" s="25" t="str">
        <x:v>https://www.almanacrealty.com/</x:v>
      </x:c>
      <x:c r="AA1555" s="25" t="str">
        <x:v>Provides strategic company-level growth capital to established real-estate companies and investment managers across North America. unconfirmed</x:v>
      </x:c>
      <x:c r="AB1555" s="3" t="str">
        <x:v>Existing CapitalForge research, newly screened for this campaign</x:v>
      </x:c>
      <x:c r="AC1555" s="3" t="str">
        <x:v>unverified</x:v>
      </x:c>
      <x:c r="AD1555" s="3" t="str">
        <x:v>Not contacted / unconfirmed</x:v>
      </x:c>
      <x:c r="AE1555" s="3" t="str">
        <x:v>No</x:v>
      </x:c>
      <x:c r="AF1555" s="3" t="str">
        <x:v>No</x:v>
      </x:c>
      <x:c r="AG1555" s="3"/>
      <x:c r="AH1555" s="3"/>
      <x:c r="AI1555" s="18"/>
      <x:c r="AJ1555" s="3" t="str">
        <x:v>CF2500-6EB35F31D1E2</x:v>
      </x:c>
      <x:c r="AK1555" s="3" t="str">
        <x:v>Operating / strategic equity</x:v>
      </x:c>
      <x:c r="AL1555" s="19" t="n">
        <x:v>100000</x:v>
      </x:c>
      <x:c r="AM1555" s="19" t="n">
        <x:v>500000</x:v>
      </x:c>
      <x:c r="AN1555" s="3" t="str">
        <x:v>https://www.nb.com/what-we-do/private-markets-and-alternatives/private-real-assets?tab=almanac</x:v>
      </x:c>
      <x:c r="AO1555" s="3" t="str">
        <x:v>equity_directory.jsonl</x:v>
      </x:c>
      <x:c r="AP1555" s="19"/>
    </x:row>
    <x:row r="1556" ht="36" customHeight="1">
      <x:c r="A1556" s="23" t="n">
        <x:v>1555</x:v>
      </x:c>
      <x:c r="B1556" s="15" t="str">
        <x:v>Think Colorado Angel / CBAN Silicon Valley / Story Samurai</x:v>
      </x:c>
      <x:c r="C1556" s="15" t="str">
        <x:v>Ari Block</x:v>
      </x:c>
      <x:c r="D1556" s="15" t="str">
        <x:v>Named investor / firm principal</x:v>
      </x:c>
      <x:c r="E1556" s="15" t="str">
        <x:v>Private operating-company capital inquiry</x:v>
      </x:c>
      <x:c r="F1556" s="17" t="str">
        <x:v>New</x:v>
      </x:c>
      <x:c r="G1556" s="24"/>
      <x:c r="H1556" s="24" t="str">
        <x:v>+14083488640</x:v>
      </x:c>
      <x:c r="I1556" s="24" t="str">
        <x:v>https://www.24-7pressrelease.com/press-release/526148/serial-entrepreneur-and-cban-angel-investor-announce-500000-investment-in-public-safety-ai-innovation-program</x:v>
      </x:c>
      <x:c r="J1556" s="16"/>
      <x:c r="K1556" s="16"/>
      <x:c r="L1556" s="16" t="str">
        <x:v>published_professional_contact_directness_unconfirmed</x:v>
      </x:c>
      <x:c r="M1556" s="16" t="str">
        <x:v>https://www.24-7pressrelease.com/press-release/526148/serial-entrepreneur-and-cban-angel-investor-announce-500000-investment-in-public-safety-ai-innovation-program</x:v>
      </x:c>
      <x:c r="N1556" s="16" t="str">
        <x:v>$100K-$500K ticket not published / unconfirmed</x:v>
      </x:c>
      <x:c r="O1556" s="20"/>
      <x:c r="P1556" s="20"/>
      <x:c r="Q1556" s="25" t="str">
        <x:v>CBAN reports 10K-100Kseed investments; not individual check range</x:v>
      </x:c>
      <x:c r="R1556" s="25" t="str">
        <x:v>Named business phone published in contact block; only media inbox available.500Kannouncement is program commitment, not general check policy. Named business phone published in contact block; only media inbox available.500Kannouncement is program commitment, not general check policy.</x:v>
      </x:c>
      <x:c r="S1556" s="25" t="str">
        <x:v>Named business phone published in contact block; only media inbox available.500Kannouncement is program commitment, not general check policy.</x:v>
      </x:c>
      <x:c r="T1556" s="25" t="str">
        <x:v>Confirm $500K check, 9.3% ownership, current operating-stage eligibility and funding availability.</x:v>
      </x:c>
      <x:c r="U1556" s="25" t="str">
        <x:v>https://www.24-7pressrelease.com/press-release/526148/serial-entrepreneur-and-cban-angel-investor-announce-500000-investment-in-public-safety-ai-innovation-program</x:v>
      </x:c>
      <x:c r="V1556" s="26" t="d">
        <x:v>2026-10-02T00:00:00.000Z</x:v>
      </x:c>
      <x:c r="W1556" s="26" t="d">
        <x:v>2026-09-30T00:00:00.000Z</x:v>
      </x:c>
      <x:c r="X1556" s="25" t="str">
        <x:v>Saved public company, industry-directory or regulatory source; source date retained</x:v>
      </x:c>
      <x:c r="Y1556" s="25" t="str">
        <x:v>https://www.24-7pressrelease.com/press-release/526148/serial-entrepreneur-and-cban-angel-investor-announce-500000-investment-in-public-safety-ai-innovation-program</x:v>
      </x:c>
      <x:c r="Z1556" s="25" t="str">
        <x:v>https://www.24-7pressrelease.com/press-release/526148/serial-entrepreneur-and-cban-angel-investor-announce-500000-investment-in-public-safety-ai-innovation-program</x:v>
      </x:c>
      <x:c r="AA1556" s="25" t="str">
        <x:v>technology_operations_experience_but_announced_program_public_safety_sector unconfirmed</x:v>
      </x:c>
      <x:c r="AB1556" s="3" t="str">
        <x:v>Existing CapitalForge research, newly screened for this campaign</x:v>
      </x:c>
      <x:c r="AC1556" s="3" t="str">
        <x:v>unverified</x:v>
      </x:c>
      <x:c r="AD1556" s="3" t="str">
        <x:v>Not contacted / unconfirmed</x:v>
      </x:c>
      <x:c r="AE1556" s="3" t="str">
        <x:v>No</x:v>
      </x:c>
      <x:c r="AF1556" s="3" t="str">
        <x:v>No</x:v>
      </x:c>
      <x:c r="AG1556" s="3"/>
      <x:c r="AH1556" s="3"/>
      <x:c r="AI1556" s="18"/>
      <x:c r="AJ1556" s="3" t="str">
        <x:v>CF2500-948144D14832</x:v>
      </x:c>
      <x:c r="AK1556" s="3" t="str">
        <x:v>Named investor / firm principal</x:v>
      </x:c>
      <x:c r="AL1556" s="19" t="n">
        <x:v>100000</x:v>
      </x:c>
      <x:c r="AM1556" s="19" t="n">
        <x:v>500000</x:v>
      </x:c>
      <x:c r="AN1556" s="3" t="str">
        <x:v>https://www.24-7pressrelease.com/press-release/526148/serial-entrepreneur-and-cban-angel-investor-announce-500000-investment-in-public-safety-ai-innovation-program</x:v>
      </x:c>
      <x:c r="AO1556" s="3" t="str">
        <x:v>equity_directory.jsonl</x:v>
      </x:c>
      <x:c r="AP1556" s="19"/>
    </x:row>
    <x:row r="1557" ht="36" customHeight="1">
      <x:c r="A1557" s="23" t="n">
        <x:v>1556</x:v>
      </x:c>
      <x:c r="B1557" s="15" t="str">
        <x:v>Alpha Commercial Capital</x:v>
      </x:c>
      <x:c r="C1557" s="15"/>
      <x:c r="D1557" s="15" t="str">
        <x:v>Operating-capital lender, broker or finance route; eligibility unconfirmed</x:v>
      </x:c>
      <x:c r="E1557" s="15" t="str">
        <x:v>Operating-capital eligibility inquiry</x:v>
      </x:c>
      <x:c r="F1557" s="17" t="str">
        <x:v>New</x:v>
      </x:c>
      <x:c r="G1557" s="24" t="str">
        <x:v>info@alphacommercialcapital.com</x:v>
      </x:c>
      <x:c r="H1557" s="24" t="str">
        <x:v>+12019134358</x:v>
      </x:c>
      <x:c r="I1557" s="24" t="str">
        <x:v>https://alphacommercialcapital.com/</x:v>
      </x:c>
      <x:c r="J1557" s="16" t="str">
        <x:v>TX</x:v>
      </x:c>
      <x:c r="K1557" s="16"/>
      <x:c r="L1557" s="16" t="str">
        <x:v>firm_business_routing</x:v>
      </x:c>
      <x:c r="M1557" s="16" t="str">
        <x:v>https://alphacommercialcapital.com/</x:v>
      </x:c>
      <x:c r="N1557" s="16" t="str">
        <x:v>Published source range; proposed allocation and structure require confirmation</x:v>
      </x:c>
      <x:c r="O1557" s="20"/>
      <x:c r="P1557" s="20" t="n">
        <x:v>500000</x:v>
      </x:c>
      <x:c r="Q1557" s="25" t="str">
        <x:v>No direct corporate-capital range established in checked source</x:v>
      </x:c>
      <x:c r="R1557" s="25" t="str">
        <x:v>At least $1M established annual revenue indicated.</x:v>
      </x:c>
      <x:c r="S1557" s="25"/>
      <x:c r="T1557" s="25" t="str">
        <x:v>Confirm $100K-$500K ticket, company-stage and sector eligibility, investment authority, available allocation and proposed terms.</x:v>
      </x:c>
      <x:c r="U1557" s="25" t="str">
        <x:v>https://alphacommercialcapital.com/
https://alphacommercialcapital.com/financial-options/unsecured-business-lines-of-credit/
https://alphacommercialcapital.com/contact-us/</x:v>
      </x:c>
      <x:c r="V1557" s="26" t="d">
        <x:v>2026-10-02T00:00:00.000Z</x:v>
      </x:c>
      <x:c r="W1557" s="26" t="d">
        <x:v>2026-09-30T00:00:00.000Z</x:v>
      </x:c>
      <x:c r="X1557" s="25" t="str">
        <x:v>Saved public company, industry-directory or regulatory source; source date retained</x:v>
      </x:c>
      <x:c r="Y1557" s="25" t="str">
        <x:v>https://alphacommercialcapital.com/</x:v>
      </x:c>
      <x:c r="Z1557" s="25" t="str">
        <x:v>https://alphacommercialcapital.com/</x:v>
      </x:c>
      <x:c r="AA1557" s="25" t="str">
        <x:v>[]</x:v>
      </x:c>
      <x:c r="AB1557" s="3" t="str">
        <x:v>Existing CapitalForge research, newly screened for this campaign</x:v>
      </x:c>
      <x:c r="AC1557" s="3" t="str">
        <x:v>unverified</x:v>
      </x:c>
      <x:c r="AD1557" s="3" t="str">
        <x:v>Not contacted / unconfirmed</x:v>
      </x:c>
      <x:c r="AE1557" s="3" t="str">
        <x:v>No</x:v>
      </x:c>
      <x:c r="AF1557" s="3" t="str">
        <x:v>No</x:v>
      </x:c>
      <x:c r="AG1557" s="3"/>
      <x:c r="AH1557" s="3"/>
      <x:c r="AI1557" s="18"/>
      <x:c r="AJ1557" s="3" t="str">
        <x:v>CF2500-AA5AED4444B2</x:v>
      </x:c>
      <x:c r="AK1557" s="3" t="str">
        <x:v>unsecured_business</x:v>
      </x:c>
      <x:c r="AL1557" s="19" t="n">
        <x:v>100000</x:v>
      </x:c>
      <x:c r="AM1557" s="19" t="n">
        <x:v>500000</x:v>
      </x:c>
      <x:c r="AN1557" s="3" t="str">
        <x:v>https://alphacommercialcapital.com/</x:v>
      </x:c>
      <x:c r="AO1557" s="3" t="str">
        <x:v>public_directory.jsonl</x:v>
      </x:c>
      <x:c r="AP1557" s="19"/>
    </x:row>
    <x:row r="1558" ht="36" customHeight="1">
      <x:c r="A1558" s="23" t="n">
        <x:v>1557</x:v>
      </x:c>
      <x:c r="B1558" s="15" t="str">
        <x:v>Credit Capital</x:v>
      </x:c>
      <x:c r="C1558" s="15"/>
      <x:c r="D1558" s="15" t="str">
        <x:v>Operating-capital lender, broker or finance route; eligibility unconfirmed</x:v>
      </x:c>
      <x:c r="E1558" s="15" t="str">
        <x:v>Operating-capital eligibility inquiry</x:v>
      </x:c>
      <x:c r="F1558" s="17" t="str">
        <x:v>New</x:v>
      </x:c>
      <x:c r="G1558" s="24" t="str">
        <x:v>info@creditcapinc.com</x:v>
      </x:c>
      <x:c r="H1558" s="24" t="str">
        <x:v>+12123012454</x:v>
      </x:c>
      <x:c r="I1558" s="24" t="str">
        <x:v>https://www.creditcapinc.com/</x:v>
      </x:c>
      <x:c r="J1558" s="16"/>
      <x:c r="K1558" s="16"/>
      <x:c r="L1558" s="16" t="str">
        <x:v>firm_business_routing</x:v>
      </x:c>
      <x:c r="M1558" s="16" t="str">
        <x:v>https://www.creditcapinc.com/</x:v>
      </x:c>
      <x:c r="N1558" s="16" t="str">
        <x:v>Published source range; proposed allocation and structure require confirmation</x:v>
      </x:c>
      <x:c r="O1558" s="20"/>
      <x:c r="P1558" s="20" t="n">
        <x:v>500000</x:v>
      </x:c>
      <x:c r="Q1558" s="25" t="str">
        <x:v>No direct corporate-capital range established in checked source</x:v>
      </x:c>
      <x:c r="R1558" s="25" t="str">
        <x:v>July 2025 primary announcement of $500K construction working-capital funding through lender network; broker role, not verified available cash.</x:v>
      </x:c>
      <x:c r="S1558" s="25"/>
      <x:c r="T1558" s="25" t="str">
        <x:v>Confirm $100K-$500K ticket, company-stage and sector eligibility, investment authority, available allocation and proposed terms.</x:v>
      </x:c>
      <x:c r="U1558" s="25" t="str">
        <x:v>https://www.creditcapinc.com/
https://www.creditcapinc.com/press-releases-all/credit-capital-secures-a-working-capital-loan-for-a-texas-construction-in-the-amount-of-500000
https://www.creditcapinc.com/contact</x:v>
      </x:c>
      <x:c r="V1558" s="26" t="d">
        <x:v>2026-10-02T00:00:00.000Z</x:v>
      </x:c>
      <x:c r="W1558" s="26" t="d">
        <x:v>2026-09-30T00:00:00.000Z</x:v>
      </x:c>
      <x:c r="X1558" s="25" t="str">
        <x:v>Saved public company, industry-directory or regulatory source; source date retained</x:v>
      </x:c>
      <x:c r="Y1558" s="25" t="str">
        <x:v>https://www.creditcapinc.com/</x:v>
      </x:c>
      <x:c r="Z1558" s="25" t="str">
        <x:v>https://www.creditcapinc.com/</x:v>
      </x:c>
      <x:c r="AA1558" s="25" t="str">
        <x:v>[]</x:v>
      </x:c>
      <x:c r="AB1558" s="3" t="str">
        <x:v>Existing CapitalForge research, newly screened for this campaign</x:v>
      </x:c>
      <x:c r="AC1558" s="3" t="str">
        <x:v>unverified</x:v>
      </x:c>
      <x:c r="AD1558" s="3" t="str">
        <x:v>Not contacted / unconfirmed</x:v>
      </x:c>
      <x:c r="AE1558" s="3" t="str">
        <x:v>No</x:v>
      </x:c>
      <x:c r="AF1558" s="3" t="str">
        <x:v>No</x:v>
      </x:c>
      <x:c r="AG1558" s="3"/>
      <x:c r="AH1558" s="3"/>
      <x:c r="AI1558" s="18"/>
      <x:c r="AJ1558" s="3" t="str">
        <x:v>CF2500-EAF71360B1F0</x:v>
      </x:c>
      <x:c r="AK1558" s="3" t="str">
        <x:v>working_capital</x:v>
      </x:c>
      <x:c r="AL1558" s="19" t="n">
        <x:v>100000</x:v>
      </x:c>
      <x:c r="AM1558" s="19" t="n">
        <x:v>500000</x:v>
      </x:c>
      <x:c r="AN1558" s="3" t="str">
        <x:v>https://www.creditcapinc.com/</x:v>
      </x:c>
      <x:c r="AO1558" s="3" t="str">
        <x:v>public_directory.jsonl</x:v>
      </x:c>
      <x:c r="AP1558" s="19"/>
    </x:row>
    <x:row r="1559" ht="36" customHeight="1">
      <x:c r="A1559" s="23" t="n">
        <x:v>1558</x:v>
      </x:c>
      <x:c r="B1559" s="15" t="str">
        <x:v>Gold Card Capital</x:v>
      </x:c>
      <x:c r="C1559" s="15"/>
      <x:c r="D1559" s="15" t="str">
        <x:v>Operating-capital lender, broker or finance route; eligibility unconfirmed</x:v>
      </x:c>
      <x:c r="E1559" s="15" t="str">
        <x:v>Operating-capital eligibility inquiry</x:v>
      </x:c>
      <x:c r="F1559" s="17" t="str">
        <x:v>New</x:v>
      </x:c>
      <x:c r="G1559" s="24" t="str">
        <x:v>m_adelberg@goldcardcapital.com</x:v>
      </x:c>
      <x:c r="H1559" s="24" t="str">
        <x:v>+18554799380</x:v>
      </x:c>
      <x:c r="I1559" s="24" t="str">
        <x:v>https://www.goldcardcapital.com/</x:v>
      </x:c>
      <x:c r="J1559" s="16"/>
      <x:c r="K1559" s="16"/>
      <x:c r="L1559" s="16" t="str">
        <x:v>firm_business_routing</x:v>
      </x:c>
      <x:c r="M1559" s="16" t="str">
        <x:v>https://www.goldcardcapital.com/</x:v>
      </x:c>
      <x:c r="N1559" s="16" t="str">
        <x:v>$100K-$500K ticket not published / unconfirmed</x:v>
      </x:c>
      <x:c r="O1559" s="20"/>
      <x:c r="P1559" s="20"/>
      <x:c r="Q1559" s="25" t="str">
        <x:v>No direct corporate-capital range established in checked source</x:v>
      </x:c>
      <x:c r="R1559" s="25" t="str">
        <x:v>Short-term advances for completion of one or multiple commercial contracts.</x:v>
      </x:c>
      <x:c r="S1559" s="25"/>
      <x:c r="T1559" s="25" t="str">
        <x:v>Confirm $100K-$500K ticket, company-stage and sector eligibility, investment authority, available allocation and proposed terms.</x:v>
      </x:c>
      <x:c r="U1559" s="25" t="str">
        <x:v>https://www.goldcardcapital.com/
https://www.goldcardcapital.com/contract-financing
https://www.goldcardcapital.com/about-us</x:v>
      </x:c>
      <x:c r="V1559" s="26" t="d">
        <x:v>2026-10-02T00:00:00.000Z</x:v>
      </x:c>
      <x:c r="W1559" s="26" t="d">
        <x:v>2026-09-30T00:00:00.000Z</x:v>
      </x:c>
      <x:c r="X1559" s="25" t="str">
        <x:v>Saved public company, industry-directory or regulatory source; source date retained</x:v>
      </x:c>
      <x:c r="Y1559" s="25" t="str">
        <x:v>https://www.goldcardcapital.com/</x:v>
      </x:c>
      <x:c r="Z1559" s="25" t="str">
        <x:v>https://www.goldcardcapital.com/</x:v>
      </x:c>
      <x:c r="AA1559" s="25" t="str">
        <x:v>[]</x:v>
      </x:c>
      <x:c r="AB1559" s="3" t="str">
        <x:v>Existing CapitalForge research, newly screened for this campaign</x:v>
      </x:c>
      <x:c r="AC1559" s="3" t="str">
        <x:v>unverified</x:v>
      </x:c>
      <x:c r="AD1559" s="3" t="str">
        <x:v>Not contacted / unconfirmed</x:v>
      </x:c>
      <x:c r="AE1559" s="3" t="str">
        <x:v>No</x:v>
      </x:c>
      <x:c r="AF1559" s="3" t="str">
        <x:v>No</x:v>
      </x:c>
      <x:c r="AG1559" s="3"/>
      <x:c r="AH1559" s="3"/>
      <x:c r="AI1559" s="18"/>
      <x:c r="AJ1559" s="3" t="str">
        <x:v>CF2500-041693677B9A</x:v>
      </x:c>
      <x:c r="AK1559" s="3" t="str">
        <x:v>contract_financing</x:v>
      </x:c>
      <x:c r="AL1559" s="19" t="n">
        <x:v>100000</x:v>
      </x:c>
      <x:c r="AM1559" s="19" t="n">
        <x:v>500000</x:v>
      </x:c>
      <x:c r="AN1559" s="3" t="str">
        <x:v>https://www.goldcardcapital.com/</x:v>
      </x:c>
      <x:c r="AO1559" s="3" t="str">
        <x:v>public_directory.jsonl</x:v>
      </x:c>
      <x:c r="AP1559" s="19"/>
    </x:row>
    <x:row r="1560" ht="36" customHeight="1">
      <x:c r="A1560" s="23" t="n">
        <x:v>1559</x:v>
      </x:c>
      <x:c r="B1560" s="15" t="str">
        <x:v>Inter Capital Network</x:v>
      </x:c>
      <x:c r="C1560" s="15"/>
      <x:c r="D1560" s="15" t="str">
        <x:v>Operating-capital lender, broker or finance route; eligibility unconfirmed</x:v>
      </x:c>
      <x:c r="E1560" s="15" t="str">
        <x:v>Operating-capital eligibility inquiry</x:v>
      </x:c>
      <x:c r="F1560" s="17" t="str">
        <x:v>New</x:v>
      </x:c>
      <x:c r="G1560" s="24" t="str">
        <x:v>info@intercapitalnetwork.com</x:v>
      </x:c>
      <x:c r="H1560" s="24" t="str">
        <x:v>+18449386333</x:v>
      </x:c>
      <x:c r="I1560" s="24" t="str">
        <x:v>https://intercapitalnetwork.com/</x:v>
      </x:c>
      <x:c r="J1560" s="16"/>
      <x:c r="K1560" s="16"/>
      <x:c r="L1560" s="16" t="str">
        <x:v>firm_business_routing</x:v>
      </x:c>
      <x:c r="M1560" s="16" t="str">
        <x:v>https://intercapitalnetwork.com/</x:v>
      </x:c>
      <x:c r="N1560" s="16" t="str">
        <x:v>$100K-$500K ticket not published / unconfirmed</x:v>
      </x:c>
      <x:c r="O1560" s="20"/>
      <x:c r="P1560" s="20"/>
      <x:c r="Q1560" s="25" t="str">
        <x:v>No direct corporate-capital range established in checked source</x:v>
      </x:c>
      <x:c r="R1560" s="25" t="str">
        <x:v>Commercial contract financing advertised; conditional fees from future property closings are not automatically eligible contracts or invoices.</x:v>
      </x:c>
      <x:c r="S1560" s="25"/>
      <x:c r="T1560" s="25" t="str">
        <x:v>Confirm $100K-$500K ticket, company-stage and sector eligibility, investment authority, available allocation and proposed terms.</x:v>
      </x:c>
      <x:c r="U1560" s="25" t="str">
        <x:v>https://intercapitalnetwork.com/
https://intercapitalnetwork.com/commercial-financing-solutions/contract-financing/</x:v>
      </x:c>
      <x:c r="V1560" s="26" t="d">
        <x:v>2026-10-02T00:00:00.000Z</x:v>
      </x:c>
      <x:c r="W1560" s="26" t="d">
        <x:v>2026-09-30T00:00:00.000Z</x:v>
      </x:c>
      <x:c r="X1560" s="25" t="str">
        <x:v>Saved public company, industry-directory or regulatory source; source date retained</x:v>
      </x:c>
      <x:c r="Y1560" s="25" t="str">
        <x:v>https://intercapitalnetwork.com/</x:v>
      </x:c>
      <x:c r="Z1560" s="25" t="str">
        <x:v>https://intercapitalnetwork.com/</x:v>
      </x:c>
      <x:c r="AA1560" s="25" t="str">
        <x:v>[]</x:v>
      </x:c>
      <x:c r="AB1560" s="3" t="str">
        <x:v>Existing CapitalForge research, newly screened for this campaign</x:v>
      </x:c>
      <x:c r="AC1560" s="3" t="str">
        <x:v>unverified</x:v>
      </x:c>
      <x:c r="AD1560" s="3" t="str">
        <x:v>Not contacted / unconfirmed</x:v>
      </x:c>
      <x:c r="AE1560" s="3" t="str">
        <x:v>No</x:v>
      </x:c>
      <x:c r="AF1560" s="3" t="str">
        <x:v>No</x:v>
      </x:c>
      <x:c r="AG1560" s="3"/>
      <x:c r="AH1560" s="3"/>
      <x:c r="AI1560" s="18"/>
      <x:c r="AJ1560" s="3" t="str">
        <x:v>CF2500-9E77BB787B50</x:v>
      </x:c>
      <x:c r="AK1560" s="3" t="str">
        <x:v>contract_financing</x:v>
      </x:c>
      <x:c r="AL1560" s="19" t="n">
        <x:v>100000</x:v>
      </x:c>
      <x:c r="AM1560" s="19" t="n">
        <x:v>500000</x:v>
      </x:c>
      <x:c r="AN1560" s="3" t="str">
        <x:v>https://intercapitalnetwork.com/</x:v>
      </x:c>
      <x:c r="AO1560" s="3" t="str">
        <x:v>public_directory.jsonl</x:v>
      </x:c>
      <x:c r="AP1560" s="19"/>
    </x:row>
    <x:row r="1561" ht="36" customHeight="1">
      <x:c r="A1561" s="23" t="n">
        <x:v>1560</x:v>
      </x:c>
      <x:c r="B1561" s="15" t="str">
        <x:v>Simplified Capital</x:v>
      </x:c>
      <x:c r="C1561" s="15"/>
      <x:c r="D1561" s="15" t="str">
        <x:v>Operating-capital lender, broker or finance route; eligibility unconfirmed</x:v>
      </x:c>
      <x:c r="E1561" s="15" t="str">
        <x:v>Operating-capital eligibility inquiry</x:v>
      </x:c>
      <x:c r="F1561" s="17" t="str">
        <x:v>New</x:v>
      </x:c>
      <x:c r="G1561" s="24" t="str">
        <x:v>info@simplifiedcapital.com</x:v>
      </x:c>
      <x:c r="H1561" s="24" t="str">
        <x:v>+18668101305</x:v>
      </x:c>
      <x:c r="I1561" s="24" t="str">
        <x:v>https://www.simplifiedcapital.com/</x:v>
      </x:c>
      <x:c r="J1561" s="16"/>
      <x:c r="K1561" s="16"/>
      <x:c r="L1561" s="16" t="str">
        <x:v>firm_business_routing</x:v>
      </x:c>
      <x:c r="M1561" s="16" t="str">
        <x:v>https://www.simplifiedcapital.com/</x:v>
      </x:c>
      <x:c r="N1561" s="16" t="str">
        <x:v>$100K-$500K ticket not published / unconfirmed</x:v>
      </x:c>
      <x:c r="O1561" s="20"/>
      <x:c r="P1561" s="20"/>
      <x:c r="Q1561" s="25" t="str">
        <x:v>No direct corporate-capital range established in checked source</x:v>
      </x:c>
      <x:c r="R1561" s="25" t="str">
        <x:v>Contract financing advertised, including completing new contracts and growth.</x:v>
      </x:c>
      <x:c r="S1561" s="25"/>
      <x:c r="T1561" s="25" t="str">
        <x:v>Confirm $100K-$500K ticket, company-stage and sector eligibility, investment authority, available allocation and proposed terms.</x:v>
      </x:c>
      <x:c r="U1561" s="25" t="str">
        <x:v>https://www.simplifiedcapital.com/
https://www.simplifiedcapital.com/contract-financing
https://www.simplifiedcapital.com/contact/</x:v>
      </x:c>
      <x:c r="V1561" s="26" t="d">
        <x:v>2026-10-02T00:00:00.000Z</x:v>
      </x:c>
      <x:c r="W1561" s="26" t="d">
        <x:v>2026-09-30T00:00:00.000Z</x:v>
      </x:c>
      <x:c r="X1561" s="25" t="str">
        <x:v>Saved public company, industry-directory or regulatory source; source date retained</x:v>
      </x:c>
      <x:c r="Y1561" s="25" t="str">
        <x:v>https://www.simplifiedcapital.com/</x:v>
      </x:c>
      <x:c r="Z1561" s="25" t="str">
        <x:v>https://www.simplifiedcapital.com/</x:v>
      </x:c>
      <x:c r="AA1561" s="25" t="str">
        <x:v>[]</x:v>
      </x:c>
      <x:c r="AB1561" s="3" t="str">
        <x:v>Existing CapitalForge research, newly screened for this campaign</x:v>
      </x:c>
      <x:c r="AC1561" s="3" t="str">
        <x:v>unverified</x:v>
      </x:c>
      <x:c r="AD1561" s="3" t="str">
        <x:v>Not contacted / unconfirmed</x:v>
      </x:c>
      <x:c r="AE1561" s="3" t="str">
        <x:v>No</x:v>
      </x:c>
      <x:c r="AF1561" s="3" t="str">
        <x:v>No</x:v>
      </x:c>
      <x:c r="AG1561" s="3"/>
      <x:c r="AH1561" s="3"/>
      <x:c r="AI1561" s="18"/>
      <x:c r="AJ1561" s="3" t="str">
        <x:v>CF2500-23BCAE3E6304</x:v>
      </x:c>
      <x:c r="AK1561" s="3" t="str">
        <x:v>contract_financing</x:v>
      </x:c>
      <x:c r="AL1561" s="19" t="n">
        <x:v>100000</x:v>
      </x:c>
      <x:c r="AM1561" s="19" t="n">
        <x:v>500000</x:v>
      </x:c>
      <x:c r="AN1561" s="3" t="str">
        <x:v>https://www.simplifiedcapital.com/</x:v>
      </x:c>
      <x:c r="AO1561" s="3" t="str">
        <x:v>public_directory.jsonl</x:v>
      </x:c>
      <x:c r="AP1561" s="19"/>
    </x:row>
    <x:row r="1562" ht="36" customHeight="1">
      <x:c r="A1562" s="23" t="n">
        <x:v>1561</x:v>
      </x:c>
      <x:c r="B1562" s="15" t="str">
        <x:v>The Capital Lenders</x:v>
      </x:c>
      <x:c r="C1562" s="15"/>
      <x:c r="D1562" s="15" t="str">
        <x:v>Operating-capital lender, broker or finance route; eligibility unconfirmed</x:v>
      </x:c>
      <x:c r="E1562" s="15" t="str">
        <x:v>Operating-capital eligibility inquiry</x:v>
      </x:c>
      <x:c r="F1562" s="17" t="str">
        <x:v>New</x:v>
      </x:c>
      <x:c r="G1562" s="24" t="str">
        <x:v>info@thecapitallenders.com</x:v>
      </x:c>
      <x:c r="H1562" s="24" t="str">
        <x:v>+19735774226</x:v>
      </x:c>
      <x:c r="I1562" s="24" t="str">
        <x:v>https://www.thecapitallenders.com/</x:v>
      </x:c>
      <x:c r="J1562" s="16"/>
      <x:c r="K1562" s="16"/>
      <x:c r="L1562" s="16" t="str">
        <x:v>firm_business_routing</x:v>
      </x:c>
      <x:c r="M1562" s="16" t="str">
        <x:v>https://www.thecapitallenders.com/</x:v>
      </x:c>
      <x:c r="N1562" s="16" t="str">
        <x:v>$100K-$500K ticket not published / unconfirmed</x:v>
      </x:c>
      <x:c r="O1562" s="20"/>
      <x:c r="P1562" s="20"/>
      <x:c r="Q1562" s="25" t="str">
        <x:v>No direct corporate-capital range established in checked source</x:v>
      </x:c>
      <x:c r="R1562" s="25" t="str">
        <x:v>Commercial contract finance advertised; no borrower approval or cash confirmation.</x:v>
      </x:c>
      <x:c r="S1562" s="25"/>
      <x:c r="T1562" s="25" t="str">
        <x:v>Confirm $100K-$500K ticket, company-stage and sector eligibility, investment authority, available allocation and proposed terms.</x:v>
      </x:c>
      <x:c r="U1562" s="25" t="str">
        <x:v>https://www.thecapitallenders.com/
https://www.thecapitallenders.com/commercial-financing/contract-financing/
https://www.thecapitallenders.com/contact-us/</x:v>
      </x:c>
      <x:c r="V1562" s="26" t="d">
        <x:v>2026-10-02T00:00:00.000Z</x:v>
      </x:c>
      <x:c r="W1562" s="26" t="d">
        <x:v>2026-09-30T00:00:00.000Z</x:v>
      </x:c>
      <x:c r="X1562" s="25" t="str">
        <x:v>Saved public company, industry-directory or regulatory source; source date retained</x:v>
      </x:c>
      <x:c r="Y1562" s="25" t="str">
        <x:v>https://www.thecapitallenders.com/</x:v>
      </x:c>
      <x:c r="Z1562" s="25" t="str">
        <x:v>https://www.thecapitallenders.com/</x:v>
      </x:c>
      <x:c r="AA1562" s="25" t="str">
        <x:v>[]</x:v>
      </x:c>
      <x:c r="AB1562" s="3" t="str">
        <x:v>Existing CapitalForge research, newly screened for this campaign</x:v>
      </x:c>
      <x:c r="AC1562" s="3" t="str">
        <x:v>unverified</x:v>
      </x:c>
      <x:c r="AD1562" s="3" t="str">
        <x:v>Not contacted / unconfirmed</x:v>
      </x:c>
      <x:c r="AE1562" s="3" t="str">
        <x:v>No</x:v>
      </x:c>
      <x:c r="AF1562" s="3" t="str">
        <x:v>No</x:v>
      </x:c>
      <x:c r="AG1562" s="3"/>
      <x:c r="AH1562" s="3"/>
      <x:c r="AI1562" s="18"/>
      <x:c r="AJ1562" s="3" t="str">
        <x:v>CF2500-9F4F1EE02ADF</x:v>
      </x:c>
      <x:c r="AK1562" s="3" t="str">
        <x:v>contract_financing</x:v>
      </x:c>
      <x:c r="AL1562" s="19" t="n">
        <x:v>100000</x:v>
      </x:c>
      <x:c r="AM1562" s="19" t="n">
        <x:v>500000</x:v>
      </x:c>
      <x:c r="AN1562" s="3" t="str">
        <x:v>https://www.thecapitallenders.com/</x:v>
      </x:c>
      <x:c r="AO1562" s="3" t="str">
        <x:v>public_directory.jsonl</x:v>
      </x:c>
      <x:c r="AP1562" s="19"/>
    </x:row>
    <x:row r="1563" ht="36" customHeight="1">
      <x:c r="A1563" s="23" t="n">
        <x:v>1562</x:v>
      </x:c>
      <x:c r="B1563" s="15" t="str">
        <x:v>TransCapital</x:v>
      </x:c>
      <x:c r="C1563" s="15"/>
      <x:c r="D1563" s="15" t="str">
        <x:v>Operating-capital lender, broker or finance route; eligibility unconfirmed</x:v>
      </x:c>
      <x:c r="E1563" s="15" t="str">
        <x:v>Operating-capital eligibility inquiry</x:v>
      </x:c>
      <x:c r="F1563" s="17" t="str">
        <x:v>New</x:v>
      </x:c>
      <x:c r="G1563" s="24" t="str">
        <x:v>shannon@transcapservices.com</x:v>
      </x:c>
      <x:c r="H1563" s="24" t="str">
        <x:v>+18584868800</x:v>
      </x:c>
      <x:c r="I1563" s="24" t="str">
        <x:v>https://transcapservices.com/</x:v>
      </x:c>
      <x:c r="J1563" s="16"/>
      <x:c r="K1563" s="16"/>
      <x:c r="L1563" s="16" t="str">
        <x:v>firm_business_routing</x:v>
      </x:c>
      <x:c r="M1563" s="16" t="str">
        <x:v>https://transcapservices.com/</x:v>
      </x:c>
      <x:c r="N1563" s="16" t="str">
        <x:v>$100K-$500K ticket not published / unconfirmed</x:v>
      </x:c>
      <x:c r="O1563" s="20"/>
      <x:c r="P1563" s="20"/>
      <x:c r="Q1563" s="25" t="str">
        <x:v>No direct corporate-capital range established in checked source</x:v>
      </x:c>
      <x:c r="R1563" s="25" t="str">
        <x:v>Pre-invoice government/commercial contract financing for payroll and subcontractors advertised.</x:v>
      </x:c>
      <x:c r="S1563" s="25"/>
      <x:c r="T1563" s="25" t="str">
        <x:v>Confirm $100K-$500K ticket, company-stage and sector eligibility, investment authority, available allocation and proposed terms.</x:v>
      </x:c>
      <x:c r="U1563" s="25" t="str">
        <x:v>https://transcapservices.com/
https://transcapservices.com/#contact</x:v>
      </x:c>
      <x:c r="V1563" s="26" t="d">
        <x:v>2026-10-02T00:00:00.000Z</x:v>
      </x:c>
      <x:c r="W1563" s="26" t="d">
        <x:v>2026-09-30T00:00:00.000Z</x:v>
      </x:c>
      <x:c r="X1563" s="25" t="str">
        <x:v>Saved public company, industry-directory or regulatory source; source date retained</x:v>
      </x:c>
      <x:c r="Y1563" s="25" t="str">
        <x:v>https://transcapservices.com/</x:v>
      </x:c>
      <x:c r="Z1563" s="25" t="str">
        <x:v>https://transcapservices.com/</x:v>
      </x:c>
      <x:c r="AA1563" s="25" t="str">
        <x:v>[]</x:v>
      </x:c>
      <x:c r="AB1563" s="3" t="str">
        <x:v>Existing CapitalForge research, newly screened for this campaign</x:v>
      </x:c>
      <x:c r="AC1563" s="3" t="str">
        <x:v>unverified</x:v>
      </x:c>
      <x:c r="AD1563" s="3" t="str">
        <x:v>Not contacted / unconfirmed</x:v>
      </x:c>
      <x:c r="AE1563" s="3" t="str">
        <x:v>No</x:v>
      </x:c>
      <x:c r="AF1563" s="3" t="str">
        <x:v>No</x:v>
      </x:c>
      <x:c r="AG1563" s="3"/>
      <x:c r="AH1563" s="3"/>
      <x:c r="AI1563" s="18"/>
      <x:c r="AJ1563" s="3" t="str">
        <x:v>CF2500-F28357B5A0B2</x:v>
      </x:c>
      <x:c r="AK1563" s="3" t="str">
        <x:v>contract_financing</x:v>
      </x:c>
      <x:c r="AL1563" s="19" t="n">
        <x:v>100000</x:v>
      </x:c>
      <x:c r="AM1563" s="19" t="n">
        <x:v>500000</x:v>
      </x:c>
      <x:c r="AN1563" s="3" t="str">
        <x:v>https://transcapservices.com/</x:v>
      </x:c>
      <x:c r="AO1563" s="3" t="str">
        <x:v>public_directory.jsonl</x:v>
      </x:c>
      <x:c r="AP1563" s="19"/>
    </x:row>
    <x:row r="1564" ht="36" customHeight="1">
      <x:c r="A1564" s="23" t="n">
        <x:v>1563</x:v>
      </x:c>
      <x:c r="B1564" s="15" t="str">
        <x:v>Verdant Heights Global</x:v>
      </x:c>
      <x:c r="C1564" s="15"/>
      <x:c r="D1564" s="15" t="str">
        <x:v>Operating-capital lender, broker or finance route; eligibility unconfirmed</x:v>
      </x:c>
      <x:c r="E1564" s="15" t="str">
        <x:v>Operating-capital eligibility inquiry</x:v>
      </x:c>
      <x:c r="F1564" s="17" t="str">
        <x:v>New</x:v>
      </x:c>
      <x:c r="G1564" s="24" t="str">
        <x:v>info@verdantheightsglobal.com</x:v>
      </x:c>
      <x:c r="H1564" s="24" t="str">
        <x:v>+18336084344</x:v>
      </x:c>
      <x:c r="I1564" s="24" t="str">
        <x:v>https://verdantheightsglobal.com/</x:v>
      </x:c>
      <x:c r="J1564" s="16"/>
      <x:c r="K1564" s="16"/>
      <x:c r="L1564" s="16" t="str">
        <x:v>firm_business_routing</x:v>
      </x:c>
      <x:c r="M1564" s="16" t="str">
        <x:v>https://verdantheightsglobal.com/</x:v>
      </x:c>
      <x:c r="N1564" s="16" t="str">
        <x:v>$100K-$500K ticket not published / unconfirmed</x:v>
      </x:c>
      <x:c r="O1564" s="20"/>
      <x:c r="P1564" s="20"/>
      <x:c r="Q1564" s="25" t="str">
        <x:v>No direct corporate-capital range established in checked source</x:v>
      </x:c>
      <x:c r="R1564" s="25" t="str">
        <x:v>Existing/pending contract monetization advertised.</x:v>
      </x:c>
      <x:c r="S1564" s="25"/>
      <x:c r="T1564" s="25" t="str">
        <x:v>Confirm $100K-$500K ticket, company-stage and sector eligibility, investment authority, available allocation and proposed terms.</x:v>
      </x:c>
      <x:c r="U1564" s="25" t="str">
        <x:v>https://verdantheightsglobal.com/
https://verdantheightsglobal.com/commercial-financing/contract-financing/
https://verdantheightsglobal.com/contact-us/</x:v>
      </x:c>
      <x:c r="V1564" s="26" t="d">
        <x:v>2026-10-02T00:00:00.000Z</x:v>
      </x:c>
      <x:c r="W1564" s="26" t="d">
        <x:v>2026-09-30T00:00:00.000Z</x:v>
      </x:c>
      <x:c r="X1564" s="25" t="str">
        <x:v>Saved public company, industry-directory or regulatory source; source date retained</x:v>
      </x:c>
      <x:c r="Y1564" s="25" t="str">
        <x:v>https://verdantheightsglobal.com/</x:v>
      </x:c>
      <x:c r="Z1564" s="25" t="str">
        <x:v>https://verdantheightsglobal.com/</x:v>
      </x:c>
      <x:c r="AA1564" s="25" t="str">
        <x:v>[]</x:v>
      </x:c>
      <x:c r="AB1564" s="3" t="str">
        <x:v>Existing CapitalForge research, newly screened for this campaign</x:v>
      </x:c>
      <x:c r="AC1564" s="3" t="str">
        <x:v>unverified</x:v>
      </x:c>
      <x:c r="AD1564" s="3" t="str">
        <x:v>Not contacted / unconfirmed</x:v>
      </x:c>
      <x:c r="AE1564" s="3" t="str">
        <x:v>No</x:v>
      </x:c>
      <x:c r="AF1564" s="3" t="str">
        <x:v>No</x:v>
      </x:c>
      <x:c r="AG1564" s="3"/>
      <x:c r="AH1564" s="3"/>
      <x:c r="AI1564" s="18"/>
      <x:c r="AJ1564" s="3" t="str">
        <x:v>CF2500-299993474D2B</x:v>
      </x:c>
      <x:c r="AK1564" s="3" t="str">
        <x:v>contract_financing</x:v>
      </x:c>
      <x:c r="AL1564" s="19" t="n">
        <x:v>100000</x:v>
      </x:c>
      <x:c r="AM1564" s="19" t="n">
        <x:v>500000</x:v>
      </x:c>
      <x:c r="AN1564" s="3" t="str">
        <x:v>https://verdantheightsglobal.com/</x:v>
      </x:c>
      <x:c r="AO1564" s="3" t="str">
        <x:v>public_directory.jsonl</x:v>
      </x:c>
      <x:c r="AP1564" s="19"/>
    </x:row>
    <x:row r="1565" ht="36" customHeight="1">
      <x:c r="A1565" s="23" t="n">
        <x:v>1564</x:v>
      </x:c>
      <x:c r="B1565" s="15" t="str">
        <x:v>1187 Lending Company</x:v>
      </x:c>
      <x:c r="C1565" s="15"/>
      <x:c r="D1565" s="15" t="str">
        <x:v>Operating-capital lender, broker or finance route; eligibility unconfirmed</x:v>
      </x:c>
      <x:c r="E1565" s="15" t="str">
        <x:v>Operating-capital eligibility inquiry</x:v>
      </x:c>
      <x:c r="F1565" s="17" t="str">
        <x:v>New</x:v>
      </x:c>
      <x:c r="G1565" s="24" t="str">
        <x:v>nick@1187lending.com</x:v>
      </x:c>
      <x:c r="H1565" s="24" t="str">
        <x:v>+18176464200</x:v>
      </x:c>
      <x:c r="I1565" s="24" t="str">
        <x:v>https://www.1187lending.com/</x:v>
      </x:c>
      <x:c r="J1565" s="16"/>
      <x:c r="K1565" s="16"/>
      <x:c r="L1565" s="16" t="str">
        <x:v>firm_business_routing</x:v>
      </x:c>
      <x:c r="M1565" s="16" t="str">
        <x:v>https://www.1187lending.com/</x:v>
      </x:c>
      <x:c r="N1565" s="16" t="str">
        <x:v>Published source range; proposed allocation and structure require confirmation</x:v>
      </x:c>
      <x:c r="O1565" s="20"/>
      <x:c r="P1565" s="20" t="n">
        <x:v>500000</x:v>
      </x:c>
      <x:c r="Q1565" s="25" t="str">
        <x:v>No direct corporate-capital range established in checked source</x:v>
      </x:c>
      <x:c r="R1565" s="25" t="str">
        <x:v>Advertises up to $500K working capital.</x:v>
      </x:c>
      <x:c r="S1565" s="25"/>
      <x:c r="T1565" s="25" t="str">
        <x:v>Confirm $100K-$500K ticket, company-stage and sector eligibility, investment authority, available allocation and proposed terms.</x:v>
      </x:c>
      <x:c r="U1565" s="25" t="str">
        <x:v>https://www.1187lending.com/
https://www.1187lending.com/working-capital-for-all</x:v>
      </x:c>
      <x:c r="V1565" s="26" t="d">
        <x:v>2026-10-02T00:00:00.000Z</x:v>
      </x:c>
      <x:c r="W1565" s="26" t="d">
        <x:v>2026-09-30T00:00:00.000Z</x:v>
      </x:c>
      <x:c r="X1565" s="25" t="str">
        <x:v>Saved public company, industry-directory or regulatory source; source date retained</x:v>
      </x:c>
      <x:c r="Y1565" s="25" t="str">
        <x:v>https://www.1187lending.com/</x:v>
      </x:c>
      <x:c r="Z1565" s="25" t="str">
        <x:v>https://www.1187lending.com/</x:v>
      </x:c>
      <x:c r="AA1565" s="25" t="str">
        <x:v>[]</x:v>
      </x:c>
      <x:c r="AB1565" s="3" t="str">
        <x:v>Existing CapitalForge research, newly screened for this campaign</x:v>
      </x:c>
      <x:c r="AC1565" s="3" t="str">
        <x:v>unverified</x:v>
      </x:c>
      <x:c r="AD1565" s="3" t="str">
        <x:v>Not contacted / unconfirmed</x:v>
      </x:c>
      <x:c r="AE1565" s="3" t="str">
        <x:v>No</x:v>
      </x:c>
      <x:c r="AF1565" s="3" t="str">
        <x:v>No</x:v>
      </x:c>
      <x:c r="AG1565" s="3"/>
      <x:c r="AH1565" s="3"/>
      <x:c r="AI1565" s="18"/>
      <x:c r="AJ1565" s="3" t="str">
        <x:v>CF2500-F8F029EE73AE</x:v>
      </x:c>
      <x:c r="AK1565" s="3" t="str">
        <x:v>working_capital</x:v>
      </x:c>
      <x:c r="AL1565" s="19" t="n">
        <x:v>100000</x:v>
      </x:c>
      <x:c r="AM1565" s="19" t="n">
        <x:v>500000</x:v>
      </x:c>
      <x:c r="AN1565" s="3" t="str">
        <x:v>https://www.1187lending.com/</x:v>
      </x:c>
      <x:c r="AO1565" s="3" t="str">
        <x:v>public_directory.jsonl</x:v>
      </x:c>
      <x:c r="AP1565" s="19"/>
    </x:row>
    <x:row r="1566" ht="36" customHeight="1">
      <x:c r="A1566" s="23" t="n">
        <x:v>1565</x:v>
      </x:c>
      <x:c r="B1566" s="15" t="str">
        <x:v>18 Sierra Financial</x:v>
      </x:c>
      <x:c r="C1566" s="15"/>
      <x:c r="D1566" s="15" t="str">
        <x:v>Operating-capital lender, broker or finance route; eligibility unconfirmed</x:v>
      </x:c>
      <x:c r="E1566" s="15" t="str">
        <x:v>Operating-capital eligibility inquiry</x:v>
      </x:c>
      <x:c r="F1566" s="17" t="str">
        <x:v>New</x:v>
      </x:c>
      <x:c r="G1566" s="24" t="str">
        <x:v>info@18sierrafinancial.com</x:v>
      </x:c>
      <x:c r="H1566" s="24" t="str">
        <x:v>+17196002210</x:v>
      </x:c>
      <x:c r="I1566" s="24" t="str">
        <x:v>https://18sierrafinancial.com/</x:v>
      </x:c>
      <x:c r="J1566" s="16"/>
      <x:c r="K1566" s="16"/>
      <x:c r="L1566" s="16" t="str">
        <x:v>firm_business_routing</x:v>
      </x:c>
      <x:c r="M1566" s="16" t="str">
        <x:v>https://18sierrafinancial.com/</x:v>
      </x:c>
      <x:c r="N1566" s="16" t="str">
        <x:v>Published source range; proposed allocation and structure require confirmation</x:v>
      </x:c>
      <x:c r="O1566" s="20" t="n">
        <x:v>100000</x:v>
      </x:c>
      <x:c r="P1566" s="20" t="n">
        <x:v>500000</x:v>
      </x:c>
      <x:c r="Q1566" s="25" t="str">
        <x:v>No direct corporate-capital range established in checked source</x:v>
      </x:c>
      <x:c r="R1566" s="25" t="str">
        <x:v>Established businesses and revenue history required.
Public directory listing. Lender/broker role, available cash, unsecured fulfillment eligibility and equity willingness need direct confirmation. Directory description: COLORADO SPRINGS, CO A leading provider of alternative funding solutions. Our financial experts can help you find a financing option</x:v>
      </x:c>
      <x:c r="S1566" s="25"/>
      <x:c r="T1566" s="25" t="str">
        <x:v>Confirm $100K-$500K ticket, company-stage and sector eligibility, investment authority, available allocation and proposed terms.</x:v>
      </x:c>
      <x:c r="U1566" s="25" t="str">
        <x:v>https://18sierrafinancial.com/
https://18sierrafinancial.com/financial-options/colorado-springs-co/unsecured-business-lines-of-credit/
https://18sierrafinancial.com/contact
https://www.privatelendersdirectory.com/united-states/colorado-springs/top-level-category/18-sierra-financial</x:v>
      </x:c>
      <x:c r="V1566" s="26" t="d">
        <x:v>2026-10-02T00:00:00.000Z</x:v>
      </x:c>
      <x:c r="W1566" s="26" t="d">
        <x:v>2026-09-30T00:00:00.000Z</x:v>
      </x:c>
      <x:c r="X1566" s="25" t="str">
        <x:v>Saved public company, industry-directory or regulatory source; source date retained</x:v>
      </x:c>
      <x:c r="Y1566" s="25" t="str">
        <x:v>https://18sierrafinancial.com/</x:v>
      </x:c>
      <x:c r="Z1566" s="25" t="str">
        <x:v>https://18sierrafinancial.com/</x:v>
      </x:c>
      <x:c r="AA1566" s="25" t="str">
        <x:v>[]</x:v>
      </x:c>
      <x:c r="AB1566" s="3" t="str">
        <x:v>Existing CapitalForge research, newly screened for this campaign</x:v>
      </x:c>
      <x:c r="AC1566" s="3" t="str">
        <x:v>unverified</x:v>
      </x:c>
      <x:c r="AD1566" s="3" t="str">
        <x:v>Not contacted / unconfirmed</x:v>
      </x:c>
      <x:c r="AE1566" s="3" t="str">
        <x:v>No</x:v>
      </x:c>
      <x:c r="AF1566" s="3" t="str">
        <x:v>No</x:v>
      </x:c>
      <x:c r="AG1566" s="3"/>
      <x:c r="AH1566" s="3"/>
      <x:c r="AI1566" s="18"/>
      <x:c r="AJ1566" s="3" t="str">
        <x:v>CF2500-3E9FD7D7E91E</x:v>
      </x:c>
      <x:c r="AK1566" s="3" t="str">
        <x:v>unsecured_business</x:v>
      </x:c>
      <x:c r="AL1566" s="19" t="n">
        <x:v>100000</x:v>
      </x:c>
      <x:c r="AM1566" s="19" t="n">
        <x:v>500000</x:v>
      </x:c>
      <x:c r="AN1566" s="3" t="str">
        <x:v>https://18sierrafinancial.com/</x:v>
      </x:c>
      <x:c r="AO1566" s="3" t="str">
        <x:v>public_directory.jsonl</x:v>
      </x:c>
      <x:c r="AP1566" s="19"/>
    </x:row>
    <x:row r="1567" ht="36" customHeight="1">
      <x:c r="A1567" s="23" t="n">
        <x:v>1566</x:v>
      </x:c>
      <x:c r="B1567" s="15" t="str">
        <x:v>American Direct Funding</x:v>
      </x:c>
      <x:c r="C1567" s="15"/>
      <x:c r="D1567" s="15" t="str">
        <x:v>Operating-capital lender, broker or finance route; eligibility unconfirmed</x:v>
      </x:c>
      <x:c r="E1567" s="15" t="str">
        <x:v>Operating-capital eligibility inquiry</x:v>
      </x:c>
      <x:c r="F1567" s="17" t="str">
        <x:v>New</x:v>
      </x:c>
      <x:c r="G1567" s="24" t="str">
        <x:v>info@americandirectfunding.com</x:v>
      </x:c>
      <x:c r="H1567" s="24" t="str">
        <x:v>+18559554921</x:v>
      </x:c>
      <x:c r="I1567" s="24" t="str">
        <x:v>https://americandirectfunding.com/</x:v>
      </x:c>
      <x:c r="J1567" s="16"/>
      <x:c r="K1567" s="16"/>
      <x:c r="L1567" s="16" t="str">
        <x:v>firm_business_routing</x:v>
      </x:c>
      <x:c r="M1567" s="16" t="str">
        <x:v>https://americandirectfunding.com/</x:v>
      </x:c>
      <x:c r="N1567" s="16" t="str">
        <x:v>Published source range; proposed allocation and structure require confirmation</x:v>
      </x:c>
      <x:c r="O1567" s="20" t="n">
        <x:v>5000</x:v>
      </x:c>
      <x:c r="P1567" s="20" t="n">
        <x:v>500000</x:v>
      </x:c>
      <x:c r="Q1567" s="25" t="str">
        <x:v>No direct corporate-capital range established in checked source</x:v>
      </x:c>
      <x:c r="R1567" s="25" t="str">
        <x:v>Published working-capital range $5K-$500K.</x:v>
      </x:c>
      <x:c r="S1567" s="25"/>
      <x:c r="T1567" s="25" t="str">
        <x:v>Confirm $100K-$500K ticket, company-stage and sector eligibility, investment authority, available allocation and proposed terms.</x:v>
      </x:c>
      <x:c r="U1567" s="25" t="str">
        <x:v>https://americandirectfunding.com/
https://americandirectfunding.com/home/
https://americandirectfunding.com/contact-us/</x:v>
      </x:c>
      <x:c r="V1567" s="26" t="d">
        <x:v>2026-10-02T00:00:00.000Z</x:v>
      </x:c>
      <x:c r="W1567" s="26" t="d">
        <x:v>2026-09-30T00:00:00.000Z</x:v>
      </x:c>
      <x:c r="X1567" s="25" t="str">
        <x:v>Saved public company, industry-directory or regulatory source; source date retained</x:v>
      </x:c>
      <x:c r="Y1567" s="25" t="str">
        <x:v>https://americandirectfunding.com/</x:v>
      </x:c>
      <x:c r="Z1567" s="25" t="str">
        <x:v>https://americandirectfunding.com/</x:v>
      </x:c>
      <x:c r="AA1567" s="25" t="str">
        <x:v>[]</x:v>
      </x:c>
      <x:c r="AB1567" s="3" t="str">
        <x:v>Existing CapitalForge research, newly screened for this campaign</x:v>
      </x:c>
      <x:c r="AC1567" s="3" t="str">
        <x:v>unverified</x:v>
      </x:c>
      <x:c r="AD1567" s="3" t="str">
        <x:v>Not contacted / unconfirmed</x:v>
      </x:c>
      <x:c r="AE1567" s="3" t="str">
        <x:v>No</x:v>
      </x:c>
      <x:c r="AF1567" s="3" t="str">
        <x:v>No</x:v>
      </x:c>
      <x:c r="AG1567" s="3"/>
      <x:c r="AH1567" s="3"/>
      <x:c r="AI1567" s="18"/>
      <x:c r="AJ1567" s="3" t="str">
        <x:v>CF2500-F4F5A11926E0</x:v>
      </x:c>
      <x:c r="AK1567" s="3" t="str">
        <x:v>working_capital</x:v>
      </x:c>
      <x:c r="AL1567" s="19" t="n">
        <x:v>100000</x:v>
      </x:c>
      <x:c r="AM1567" s="19" t="n">
        <x:v>500000</x:v>
      </x:c>
      <x:c r="AN1567" s="3" t="str">
        <x:v>https://americandirectfunding.com/</x:v>
      </x:c>
      <x:c r="AO1567" s="3" t="str">
        <x:v>public_directory.jsonl</x:v>
      </x:c>
      <x:c r="AP1567" s="19"/>
    </x:row>
    <x:row r="1568" ht="36" customHeight="1">
      <x:c r="A1568" s="23" t="n">
        <x:v>1567</x:v>
      </x:c>
      <x:c r="B1568" s="15" t="str">
        <x:v>American Funding Association</x:v>
      </x:c>
      <x:c r="C1568" s="15"/>
      <x:c r="D1568" s="15" t="str">
        <x:v>Operating-capital lender, broker or finance route; eligibility unconfirmed</x:v>
      </x:c>
      <x:c r="E1568" s="15" t="str">
        <x:v>Operating-capital eligibility inquiry</x:v>
      </x:c>
      <x:c r="F1568" s="17" t="str">
        <x:v>New</x:v>
      </x:c>
      <x:c r="G1568" s="24" t="str">
        <x:v>info@americanfundingassociation.com</x:v>
      </x:c>
      <x:c r="H1568" s="24" t="str">
        <x:v>+18559101500</x:v>
      </x:c>
      <x:c r="I1568" s="24" t="str">
        <x:v>https://americanfundingassociation.com/</x:v>
      </x:c>
      <x:c r="J1568" s="16"/>
      <x:c r="K1568" s="16"/>
      <x:c r="L1568" s="16" t="str">
        <x:v>firm_business_routing</x:v>
      </x:c>
      <x:c r="M1568" s="16" t="str">
        <x:v>https://americanfundingassociation.com/</x:v>
      </x:c>
      <x:c r="N1568" s="16" t="str">
        <x:v>Published source range; proposed allocation and structure require confirmation</x:v>
      </x:c>
      <x:c r="O1568" s="20" t="n">
        <x:v>50000</x:v>
      </x:c>
      <x:c r="P1568" s="20" t="n">
        <x:v>5000000</x:v>
      </x:c>
      <x:c r="Q1568" s="25" t="str">
        <x:v>No direct corporate-capital range established in checked source</x:v>
      </x:c>
      <x:c r="R1568" s="25" t="str">
        <x:v>Advertises $50K-$5M subject to business qualifications.</x:v>
      </x:c>
      <x:c r="S1568" s="25"/>
      <x:c r="T1568" s="25" t="str">
        <x:v>Confirm $100K-$500K ticket, company-stage and sector eligibility, investment authority, available allocation and proposed terms.</x:v>
      </x:c>
      <x:c r="U1568" s="25" t="str">
        <x:v>https://americanfundingassociation.com/
https://americanfundingassociation.com/revenue-based-financing/
https://americanfundingassociation.com/about-us/</x:v>
      </x:c>
      <x:c r="V1568" s="26" t="d">
        <x:v>2026-10-02T00:00:00.000Z</x:v>
      </x:c>
      <x:c r="W1568" s="26" t="d">
        <x:v>2026-09-30T00:00:00.000Z</x:v>
      </x:c>
      <x:c r="X1568" s="25" t="str">
        <x:v>Saved public company, industry-directory or regulatory source; source date retained</x:v>
      </x:c>
      <x:c r="Y1568" s="25" t="str">
        <x:v>https://americanfundingassociation.com/</x:v>
      </x:c>
      <x:c r="Z1568" s="25" t="str">
        <x:v>https://americanfundingassociation.com/</x:v>
      </x:c>
      <x:c r="AA1568" s="25" t="str">
        <x:v>[]</x:v>
      </x:c>
      <x:c r="AB1568" s="3" t="str">
        <x:v>Existing CapitalForge research, newly screened for this campaign</x:v>
      </x:c>
      <x:c r="AC1568" s="3" t="str">
        <x:v>unverified</x:v>
      </x:c>
      <x:c r="AD1568" s="3" t="str">
        <x:v>Not contacted / unconfirmed</x:v>
      </x:c>
      <x:c r="AE1568" s="3" t="str">
        <x:v>No</x:v>
      </x:c>
      <x:c r="AF1568" s="3" t="str">
        <x:v>No</x:v>
      </x:c>
      <x:c r="AG1568" s="3"/>
      <x:c r="AH1568" s="3"/>
      <x:c r="AI1568" s="18"/>
      <x:c r="AJ1568" s="3" t="str">
        <x:v>CF2500-9BFDCF7A5705</x:v>
      </x:c>
      <x:c r="AK1568" s="3" t="str">
        <x:v>revenue_based</x:v>
      </x:c>
      <x:c r="AL1568" s="19" t="n">
        <x:v>100000</x:v>
      </x:c>
      <x:c r="AM1568" s="19" t="n">
        <x:v>500000</x:v>
      </x:c>
      <x:c r="AN1568" s="3" t="str">
        <x:v>https://americanfundingassociation.com/</x:v>
      </x:c>
      <x:c r="AO1568" s="3" t="str">
        <x:v>public_directory.jsonl</x:v>
      </x:c>
      <x:c r="AP1568" s="19"/>
    </x:row>
    <x:row r="1569" ht="36" customHeight="1">
      <x:c r="A1569" s="23" t="n">
        <x:v>1568</x:v>
      </x:c>
      <x:c r="B1569" s="15" t="str">
        <x:v>AMZA Capital</x:v>
      </x:c>
      <x:c r="C1569" s="15"/>
      <x:c r="D1569" s="15" t="str">
        <x:v>Operating-capital lender, broker or finance route; eligibility unconfirmed</x:v>
      </x:c>
      <x:c r="E1569" s="15" t="str">
        <x:v>Operating-capital eligibility inquiry</x:v>
      </x:c>
      <x:c r="F1569" s="17" t="str">
        <x:v>New</x:v>
      </x:c>
      <x:c r="G1569" s="24" t="str">
        <x:v>info@amzacapital.com</x:v>
      </x:c>
      <x:c r="H1569" s="24" t="str">
        <x:v>+18888583241</x:v>
      </x:c>
      <x:c r="I1569" s="24" t="str">
        <x:v>https://amzacapital.com/</x:v>
      </x:c>
      <x:c r="J1569" s="16"/>
      <x:c r="K1569" s="16"/>
      <x:c r="L1569" s="16" t="str">
        <x:v>firm_business_routing</x:v>
      </x:c>
      <x:c r="M1569" s="16" t="str">
        <x:v>https://amzacapital.com/</x:v>
      </x:c>
      <x:c r="N1569" s="16" t="str">
        <x:v>Published source range; proposed allocation and structure require confirmation</x:v>
      </x:c>
      <x:c r="O1569" s="20" t="n">
        <x:v>100000</x:v>
      </x:c>
      <x:c r="P1569" s="20" t="n">
        <x:v>500000</x:v>
      </x:c>
      <x:c r="Q1569" s="25" t="str">
        <x:v>No direct corporate-capital range established in checked source</x:v>
      </x:c>
      <x:c r="R1569" s="25" t="str">
        <x:v>Established business and verified annual revenue over $1M indicated.</x:v>
      </x:c>
      <x:c r="S1569" s="25"/>
      <x:c r="T1569" s="25" t="str">
        <x:v>Confirm $100K-$500K ticket, company-stage and sector eligibility, investment authority, available allocation and proposed terms.</x:v>
      </x:c>
      <x:c r="U1569" s="25" t="str">
        <x:v>https://amzacapital.com/
https://amzacapital.com/commercial-financing/unsecured-business-lines-of-credit/
https://amzacapital.com/contact-us/</x:v>
      </x:c>
      <x:c r="V1569" s="26" t="d">
        <x:v>2026-10-02T00:00:00.000Z</x:v>
      </x:c>
      <x:c r="W1569" s="26" t="d">
        <x:v>2026-09-30T00:00:00.000Z</x:v>
      </x:c>
      <x:c r="X1569" s="25" t="str">
        <x:v>Saved public company, industry-directory or regulatory source; source date retained</x:v>
      </x:c>
      <x:c r="Y1569" s="25" t="str">
        <x:v>https://amzacapital.com/</x:v>
      </x:c>
      <x:c r="Z1569" s="25" t="str">
        <x:v>https://amzacapital.com/</x:v>
      </x:c>
      <x:c r="AA1569" s="25" t="str">
        <x:v>[]</x:v>
      </x:c>
      <x:c r="AB1569" s="3" t="str">
        <x:v>Existing CapitalForge research, newly screened for this campaign</x:v>
      </x:c>
      <x:c r="AC1569" s="3" t="str">
        <x:v>unverified</x:v>
      </x:c>
      <x:c r="AD1569" s="3" t="str">
        <x:v>Not contacted / unconfirmed</x:v>
      </x:c>
      <x:c r="AE1569" s="3" t="str">
        <x:v>No</x:v>
      </x:c>
      <x:c r="AF1569" s="3" t="str">
        <x:v>No</x:v>
      </x:c>
      <x:c r="AG1569" s="3"/>
      <x:c r="AH1569" s="3"/>
      <x:c r="AI1569" s="18"/>
      <x:c r="AJ1569" s="3" t="str">
        <x:v>CF2500-80DB4EC50881</x:v>
      </x:c>
      <x:c r="AK1569" s="3" t="str">
        <x:v>unsecured_business</x:v>
      </x:c>
      <x:c r="AL1569" s="19" t="n">
        <x:v>100000</x:v>
      </x:c>
      <x:c r="AM1569" s="19" t="n">
        <x:v>500000</x:v>
      </x:c>
      <x:c r="AN1569" s="3" t="str">
        <x:v>https://amzacapital.com/</x:v>
      </x:c>
      <x:c r="AO1569" s="3" t="str">
        <x:v>public_directory.jsonl</x:v>
      </x:c>
      <x:c r="AP1569" s="19"/>
    </x:row>
    <x:row r="1570" ht="36" customHeight="1">
      <x:c r="A1570" s="23" t="n">
        <x:v>1569</x:v>
      </x:c>
      <x:c r="B1570" s="15" t="str">
        <x:v>Anchor Funding</x:v>
      </x:c>
      <x:c r="C1570" s="15"/>
      <x:c r="D1570" s="15" t="str">
        <x:v>Operating-capital lender, broker or finance route; eligibility unconfirmed</x:v>
      </x:c>
      <x:c r="E1570" s="15" t="str">
        <x:v>Operating-capital eligibility inquiry</x:v>
      </x:c>
      <x:c r="F1570" s="17" t="str">
        <x:v>New</x:v>
      </x:c>
      <x:c r="G1570" s="24" t="str">
        <x:v>info@anchorfundingllc.com</x:v>
      </x:c>
      <x:c r="H1570" s="24" t="str">
        <x:v>+12104001841</x:v>
      </x:c>
      <x:c r="I1570" s="24" t="str">
        <x:v>https://anchorfundingllc.com/</x:v>
      </x:c>
      <x:c r="J1570" s="16"/>
      <x:c r="K1570" s="16"/>
      <x:c r="L1570" s="16" t="str">
        <x:v>firm_business_routing</x:v>
      </x:c>
      <x:c r="M1570" s="16" t="str">
        <x:v>https://anchorfundingllc.com/</x:v>
      </x:c>
      <x:c r="N1570" s="16" t="str">
        <x:v>Published source range; proposed allocation and structure require confirmation</x:v>
      </x:c>
      <x:c r="O1570" s="20"/>
      <x:c r="P1570" s="20" t="n">
        <x:v>500000</x:v>
      </x:c>
      <x:c r="Q1570" s="25" t="str">
        <x:v>No direct corporate-capital range established in checked source</x:v>
      </x:c>
      <x:c r="R1570" s="25" t="str">
        <x:v>Established annual revenue/creditworthiness required.</x:v>
      </x:c>
      <x:c r="S1570" s="25"/>
      <x:c r="T1570" s="25" t="str">
        <x:v>Confirm $100K-$500K ticket, company-stage and sector eligibility, investment authority, available allocation and proposed terms.</x:v>
      </x:c>
      <x:c r="U1570" s="25" t="str">
        <x:v>https://anchorfundingllc.com/
https://anchorfundingllc.com/financial-options/unsecured-business-lines-of-credit/
https://anchorfundingllc.com/contact-us/</x:v>
      </x:c>
      <x:c r="V1570" s="26" t="d">
        <x:v>2026-10-02T00:00:00.000Z</x:v>
      </x:c>
      <x:c r="W1570" s="26" t="d">
        <x:v>2026-09-30T00:00:00.000Z</x:v>
      </x:c>
      <x:c r="X1570" s="25" t="str">
        <x:v>Saved public company, industry-directory or regulatory source; source date retained</x:v>
      </x:c>
      <x:c r="Y1570" s="25" t="str">
        <x:v>https://anchorfundingllc.com/</x:v>
      </x:c>
      <x:c r="Z1570" s="25" t="str">
        <x:v>https://anchorfundingllc.com/</x:v>
      </x:c>
      <x:c r="AA1570" s="25" t="str">
        <x:v>[]</x:v>
      </x:c>
      <x:c r="AB1570" s="3" t="str">
        <x:v>Existing CapitalForge research, newly screened for this campaign</x:v>
      </x:c>
      <x:c r="AC1570" s="3" t="str">
        <x:v>unverified</x:v>
      </x:c>
      <x:c r="AD1570" s="3" t="str">
        <x:v>Not contacted / unconfirmed</x:v>
      </x:c>
      <x:c r="AE1570" s="3" t="str">
        <x:v>No</x:v>
      </x:c>
      <x:c r="AF1570" s="3" t="str">
        <x:v>No</x:v>
      </x:c>
      <x:c r="AG1570" s="3"/>
      <x:c r="AH1570" s="3"/>
      <x:c r="AI1570" s="18"/>
      <x:c r="AJ1570" s="3" t="str">
        <x:v>CF2500-0CE318CF2F91</x:v>
      </x:c>
      <x:c r="AK1570" s="3" t="str">
        <x:v>unsecured_business</x:v>
      </x:c>
      <x:c r="AL1570" s="19" t="n">
        <x:v>100000</x:v>
      </x:c>
      <x:c r="AM1570" s="19" t="n">
        <x:v>500000</x:v>
      </x:c>
      <x:c r="AN1570" s="3" t="str">
        <x:v>https://anchorfundingllc.com/</x:v>
      </x:c>
      <x:c r="AO1570" s="3" t="str">
        <x:v>public_directory.jsonl</x:v>
      </x:c>
      <x:c r="AP1570" s="19"/>
    </x:row>
    <x:row r="1571" ht="36" customHeight="1">
      <x:c r="A1571" s="23" t="n">
        <x:v>1570</x:v>
      </x:c>
      <x:c r="B1571" s="15" t="str">
        <x:v>Andij Capital Consulting</x:v>
      </x:c>
      <x:c r="C1571" s="15" t="str">
        <x:v>Alex E. Tatem III</x:v>
      </x:c>
      <x:c r="D1571" s="15" t="str">
        <x:v>Operating-capital lender, broker or finance route; eligibility unconfirmed</x:v>
      </x:c>
      <x:c r="E1571" s="15" t="str">
        <x:v>Operating-capital eligibility inquiry</x:v>
      </x:c>
      <x:c r="F1571" s="17" t="str">
        <x:v>New</x:v>
      </x:c>
      <x:c r="G1571" s="24" t="str">
        <x:v>info@andijcapital.com</x:v>
      </x:c>
      <x:c r="H1571" s="24" t="str">
        <x:v>+17577057206</x:v>
      </x:c>
      <x:c r="I1571" s="24" t="str">
        <x:v>https://andijcapital.com/</x:v>
      </x:c>
      <x:c r="J1571" s="16" t="str">
        <x:v>VA</x:v>
      </x:c>
      <x:c r="K1571" s="16"/>
      <x:c r="L1571" s="16" t="str">
        <x:v>published_professional_contact_directness_unconfirmed</x:v>
      </x:c>
      <x:c r="M1571" s="16" t="str">
        <x:v>https://andijcapital.com/</x:v>
      </x:c>
      <x:c r="N1571" s="16" t="str">
        <x:v>Published source range; proposed allocation and structure require confirmation</x:v>
      </x:c>
      <x:c r="O1571" s="20"/>
      <x:c r="P1571" s="20" t="n">
        <x:v>500000</x:v>
      </x:c>
      <x:c r="Q1571" s="25" t="str">
        <x:v>No direct corporate-capital range established in checked source</x:v>
      </x:c>
      <x:c r="R1571" s="25" t="str">
        <x:v>Established revenues $1M-$10M indicated.</x:v>
      </x:c>
      <x:c r="S1571" s="25"/>
      <x:c r="T1571" s="25" t="str">
        <x:v>Confirm $100K-$500K ticket, company-stage and sector eligibility, investment authority, available allocation and proposed terms.</x:v>
      </x:c>
      <x:c r="U1571" s="25" t="str">
        <x:v>https://andijcapital.com/
https://andijcapital.com/commercial-financing/unsecured-business-lines-of-credit/</x:v>
      </x:c>
      <x:c r="V1571" s="26" t="d">
        <x:v>2026-10-02T00:00:00.000Z</x:v>
      </x:c>
      <x:c r="W1571" s="26" t="d">
        <x:v>2026-09-30T00:00:00.000Z</x:v>
      </x:c>
      <x:c r="X1571" s="25" t="str">
        <x:v>Saved public company, industry-directory or regulatory source; source date retained</x:v>
      </x:c>
      <x:c r="Y1571" s="25" t="str">
        <x:v>https://andijcapital.com/</x:v>
      </x:c>
      <x:c r="Z1571" s="25" t="str">
        <x:v>https://andijcapital.com/</x:v>
      </x:c>
      <x:c r="AA1571" s="25" t="str">
        <x:v>[]</x:v>
      </x:c>
      <x:c r="AB1571" s="3" t="str">
        <x:v>Existing CapitalForge research, newly screened for this campaign</x:v>
      </x:c>
      <x:c r="AC1571" s="3" t="str">
        <x:v>unverified</x:v>
      </x:c>
      <x:c r="AD1571" s="3" t="str">
        <x:v>Not contacted / unconfirmed</x:v>
      </x:c>
      <x:c r="AE1571" s="3" t="str">
        <x:v>No</x:v>
      </x:c>
      <x:c r="AF1571" s="3" t="str">
        <x:v>No</x:v>
      </x:c>
      <x:c r="AG1571" s="3"/>
      <x:c r="AH1571" s="3"/>
      <x:c r="AI1571" s="18"/>
      <x:c r="AJ1571" s="3" t="str">
        <x:v>CF2500-3064B076B18C</x:v>
      </x:c>
      <x:c r="AK1571" s="3" t="str">
        <x:v>unsecured_business</x:v>
      </x:c>
      <x:c r="AL1571" s="19" t="n">
        <x:v>100000</x:v>
      </x:c>
      <x:c r="AM1571" s="19" t="n">
        <x:v>500000</x:v>
      </x:c>
      <x:c r="AN1571" s="3" t="str">
        <x:v>https://andijcapital.com/</x:v>
      </x:c>
      <x:c r="AO1571" s="3" t="str">
        <x:v>public_directory.jsonl</x:v>
      </x:c>
      <x:c r="AP1571" s="19"/>
    </x:row>
    <x:row r="1572" ht="36" customHeight="1">
      <x:c r="A1572" s="23" t="n">
        <x:v>1571</x:v>
      </x:c>
      <x:c r="B1572" s="15" t="str">
        <x:v>Angle Financial Services</x:v>
      </x:c>
      <x:c r="C1572" s="15"/>
      <x:c r="D1572" s="15" t="str">
        <x:v>Operating-capital lender, broker or finance route; eligibility unconfirmed</x:v>
      </x:c>
      <x:c r="E1572" s="15" t="str">
        <x:v>Operating-capital eligibility inquiry</x:v>
      </x:c>
      <x:c r="F1572" s="17" t="str">
        <x:v>New</x:v>
      </x:c>
      <x:c r="G1572" s="24" t="str">
        <x:v>info@anglefinancialservices.com</x:v>
      </x:c>
      <x:c r="H1572" s="24" t="str">
        <x:v>+13027357526</x:v>
      </x:c>
      <x:c r="I1572" s="24" t="str">
        <x:v>https://www.anglefinancialservices.com/</x:v>
      </x:c>
      <x:c r="J1572" s="16"/>
      <x:c r="K1572" s="16"/>
      <x:c r="L1572" s="16" t="str">
        <x:v>firm_business_routing</x:v>
      </x:c>
      <x:c r="M1572" s="16" t="str">
        <x:v>https://www.anglefinancialservices.com/</x:v>
      </x:c>
      <x:c r="N1572" s="16" t="str">
        <x:v>Published source range; proposed allocation and structure require confirmation</x:v>
      </x:c>
      <x:c r="O1572" s="20" t="n">
        <x:v>10000</x:v>
      </x:c>
      <x:c r="P1572" s="20" t="n">
        <x:v>500000</x:v>
      </x:c>
      <x:c r="Q1572" s="25" t="str">
        <x:v>No direct corporate-capital range established in checked source</x:v>
      </x:c>
      <x:c r="R1572" s="25" t="str">
        <x:v>Startup and established businesses; credit-based program, published $500K total maximum.</x:v>
      </x:c>
      <x:c r="S1572" s="25"/>
      <x:c r="T1572" s="25" t="str">
        <x:v>Confirm $100K-$500K ticket, company-stage and sector eligibility, investment authority, available allocation and proposed terms.</x:v>
      </x:c>
      <x:c r="U1572" s="25" t="str">
        <x:v>https://www.anglefinancialservices.com/
https://www.anglefinancialservices.com/business-funding/unsecured-business-loans/
https://www.anglefinancialservices.com/contact-us/
https://www.anglefinancialservices.com/meet-the-team/</x:v>
      </x:c>
      <x:c r="V1572" s="26" t="d">
        <x:v>2026-10-02T00:00:00.000Z</x:v>
      </x:c>
      <x:c r="W1572" s="26" t="d">
        <x:v>2026-09-30T00:00:00.000Z</x:v>
      </x:c>
      <x:c r="X1572" s="25" t="str">
        <x:v>Saved public company, industry-directory or regulatory source; source date retained</x:v>
      </x:c>
      <x:c r="Y1572" s="25" t="str">
        <x:v>https://www.anglefinancialservices.com/</x:v>
      </x:c>
      <x:c r="Z1572" s="25" t="str">
        <x:v>https://www.anglefinancialservices.com/</x:v>
      </x:c>
      <x:c r="AA1572" s="25" t="str">
        <x:v>[]</x:v>
      </x:c>
      <x:c r="AB1572" s="3" t="str">
        <x:v>Existing CapitalForge research, newly screened for this campaign</x:v>
      </x:c>
      <x:c r="AC1572" s="3" t="str">
        <x:v>unverified</x:v>
      </x:c>
      <x:c r="AD1572" s="3" t="str">
        <x:v>Not contacted / unconfirmed</x:v>
      </x:c>
      <x:c r="AE1572" s="3" t="str">
        <x:v>No</x:v>
      </x:c>
      <x:c r="AF1572" s="3" t="str">
        <x:v>No</x:v>
      </x:c>
      <x:c r="AG1572" s="3"/>
      <x:c r="AH1572" s="3"/>
      <x:c r="AI1572" s="18"/>
      <x:c r="AJ1572" s="3" t="str">
        <x:v>CF2500-A4142D2AB235</x:v>
      </x:c>
      <x:c r="AK1572" s="3" t="str">
        <x:v>unsecured_business</x:v>
      </x:c>
      <x:c r="AL1572" s="19" t="n">
        <x:v>100000</x:v>
      </x:c>
      <x:c r="AM1572" s="19" t="n">
        <x:v>500000</x:v>
      </x:c>
      <x:c r="AN1572" s="3" t="str">
        <x:v>https://www.anglefinancialservices.com/</x:v>
      </x:c>
      <x:c r="AO1572" s="3" t="str">
        <x:v>public_directory.jsonl</x:v>
      </x:c>
      <x:c r="AP1572" s="19"/>
    </x:row>
    <x:row r="1573" ht="36" customHeight="1">
      <x:c r="A1573" s="23" t="n">
        <x:v>1572</x:v>
      </x:c>
      <x:c r="B1573" s="15" t="str">
        <x:v>ARF Financial</x:v>
      </x:c>
      <x:c r="C1573" s="15" t="str">
        <x:v>Steve Glenn</x:v>
      </x:c>
      <x:c r="D1573" s="15" t="str">
        <x:v>Operating-capital lender, broker or finance route; eligibility unconfirmed</x:v>
      </x:c>
      <x:c r="E1573" s="15" t="str">
        <x:v>Operating-capital eligibility inquiry</x:v>
      </x:c>
      <x:c r="F1573" s="17" t="str">
        <x:v>New</x:v>
      </x:c>
      <x:c r="G1573" s="24" t="str">
        <x:v>funding@arffinancial.com</x:v>
      </x:c>
      <x:c r="H1573" s="24" t="str">
        <x:v>+18667024430</x:v>
      </x:c>
      <x:c r="I1573" s="24" t="str">
        <x:v>https://www.arffinancial.com/</x:v>
      </x:c>
      <x:c r="J1573" s="16"/>
      <x:c r="K1573" s="16"/>
      <x:c r="L1573" s="16" t="str">
        <x:v>published_professional_contact_directness_unconfirmed</x:v>
      </x:c>
      <x:c r="M1573" s="16" t="str">
        <x:v>https://www.arffinancial.com/</x:v>
      </x:c>
      <x:c r="N1573" s="16" t="str">
        <x:v>Published source range; proposed allocation and structure require confirmation</x:v>
      </x:c>
      <x:c r="O1573" s="20"/>
      <x:c r="P1573" s="20" t="n">
        <x:v>500000</x:v>
      </x:c>
      <x:c r="Q1573" s="25" t="str">
        <x:v>No direct corporate-capital range established in checked source</x:v>
      </x:c>
      <x:c r="R1573" s="25" t="str">
        <x:v>Single-entity limit up to $500K; multi-location program up to $750K; operating revenue underwriting.
Anonymously accessible public AACFB funding directory Show all list, association member claim as funding source. Public named funding contact, phone and email; current liquid cash &gt;=$500K, fulfillment mandate, real estate mandate and equity willingness not verified. Directory includes equipment and business finance firms, so collateral/mandate fit must be confirmed. No account/login used.
Public directory listing. Lender/broker role, available cash, unsecured fulfillment eligibility and equity willingness need direct confirmation. Directory description: LOS ANGELES, CA BRIDGE LENDER As the le</x:v>
      </x:c>
      <x:c r="S1573" s="25"/>
      <x:c r="T1573" s="25" t="str">
        <x:v>Confirm $100K-$500K ticket, company-stage and sector eligibility, investment authority, available allocation and proposed terms.</x:v>
      </x:c>
      <x:c r="U1573" s="25" t="str">
        <x:v>https://www.arffinancial.com/
https://www.arffinancial.com/industries/
https://www.arffinancial.com/broker-referral/windfall/
https://www.arffinancial.com/company/about-us/
https://www.arffinancial.com/company/our-team/bank-partners/
https://members.aacfb.org/AACFBMembers/AACFBMembers/Members_Only/NewFundDir.aspx
https://www.privatelendersdirectory.com/united-states/beverly-hills/top-level-category/allison-capital-funding</x:v>
      </x:c>
      <x:c r="V1573" s="26" t="d">
        <x:v>2026-10-02T00:00:00.000Z</x:v>
      </x:c>
      <x:c r="W1573" s="26" t="d">
        <x:v>2026-09-30T00:00:00.000Z</x:v>
      </x:c>
      <x:c r="X1573" s="25" t="str">
        <x:v>Saved public company, industry-directory or regulatory source; source date retained</x:v>
      </x:c>
      <x:c r="Y1573" s="25" t="str">
        <x:v>https://www.arffinancial.com/</x:v>
      </x:c>
      <x:c r="Z1573" s="25" t="str">
        <x:v>https://www.arffinancial.com/</x:v>
      </x:c>
      <x:c r="AA1573" s="25" t="str">
        <x:v>[]</x:v>
      </x:c>
      <x:c r="AB1573" s="3" t="str">
        <x:v>Existing CapitalForge research, newly screened for this campaign</x:v>
      </x:c>
      <x:c r="AC1573" s="3" t="str">
        <x:v>unverified</x:v>
      </x:c>
      <x:c r="AD1573" s="3" t="str">
        <x:v>Not contacted / unconfirmed</x:v>
      </x:c>
      <x:c r="AE1573" s="3" t="str">
        <x:v>No</x:v>
      </x:c>
      <x:c r="AF1573" s="3" t="str">
        <x:v>No</x:v>
      </x:c>
      <x:c r="AG1573" s="3"/>
      <x:c r="AH1573" s="3"/>
      <x:c r="AI1573" s="18"/>
      <x:c r="AJ1573" s="3" t="str">
        <x:v>CF2500-1C6CFD9255DB</x:v>
      </x:c>
      <x:c r="AK1573" s="3" t="str">
        <x:v>unsecured_business</x:v>
      </x:c>
      <x:c r="AL1573" s="19" t="n">
        <x:v>100000</x:v>
      </x:c>
      <x:c r="AM1573" s="19" t="n">
        <x:v>500000</x:v>
      </x:c>
      <x:c r="AN1573" s="3" t="str">
        <x:v>https://www.arffinancial.com/</x:v>
      </x:c>
      <x:c r="AO1573" s="3" t="str">
        <x:v>public_directory.jsonl</x:v>
      </x:c>
      <x:c r="AP1573" s="19"/>
    </x:row>
    <x:row r="1574" ht="36" customHeight="1">
      <x:c r="A1574" s="23" t="n">
        <x:v>1573</x:v>
      </x:c>
      <x:c r="B1574" s="15" t="str">
        <x:v>BCK Financial</x:v>
      </x:c>
      <x:c r="C1574" s="15"/>
      <x:c r="D1574" s="15" t="str">
        <x:v>Operating-capital lender, broker or finance route; eligibility unconfirmed</x:v>
      </x:c>
      <x:c r="E1574" s="15" t="str">
        <x:v>Operating-capital eligibility inquiry</x:v>
      </x:c>
      <x:c r="F1574" s="17" t="str">
        <x:v>New</x:v>
      </x:c>
      <x:c r="G1574" s="24" t="str">
        <x:v>info@bckfinance.com</x:v>
      </x:c>
      <x:c r="H1574" s="24" t="str">
        <x:v>+12489258339</x:v>
      </x:c>
      <x:c r="I1574" s="24" t="str">
        <x:v>https://www.bckfinance.com/</x:v>
      </x:c>
      <x:c r="J1574" s="16"/>
      <x:c r="K1574" s="16"/>
      <x:c r="L1574" s="16" t="str">
        <x:v>firm_business_routing</x:v>
      </x:c>
      <x:c r="M1574" s="16" t="str">
        <x:v>https://www.bckfinance.com/</x:v>
      </x:c>
      <x:c r="N1574" s="16" t="str">
        <x:v>Published source range; proposed allocation and structure require confirmation</x:v>
      </x:c>
      <x:c r="O1574" s="20"/>
      <x:c r="P1574" s="20" t="n">
        <x:v>500000</x:v>
      </x:c>
      <x:c r="Q1574" s="25" t="str">
        <x:v>No direct corporate-capital range established in checked source</x:v>
      </x:c>
      <x:c r="R1574" s="25" t="str">
        <x:v>Advertises up to $500K working-capital loans.</x:v>
      </x:c>
      <x:c r="S1574" s="25"/>
      <x:c r="T1574" s="25" t="str">
        <x:v>Confirm $100K-$500K ticket, company-stage and sector eligibility, investment authority, available allocation and proposed terms.</x:v>
      </x:c>
      <x:c r="U1574" s="25" t="str">
        <x:v>https://www.bckfinance.com/
https://www.bckfinance.com/working-capital
https://www.bckfinance.com/contact</x:v>
      </x:c>
      <x:c r="V1574" s="26" t="d">
        <x:v>2026-10-02T00:00:00.000Z</x:v>
      </x:c>
      <x:c r="W1574" s="26" t="d">
        <x:v>2026-09-30T00:00:00.000Z</x:v>
      </x:c>
      <x:c r="X1574" s="25" t="str">
        <x:v>Saved public company, industry-directory or regulatory source; source date retained</x:v>
      </x:c>
      <x:c r="Y1574" s="25" t="str">
        <x:v>https://www.bckfinance.com/</x:v>
      </x:c>
      <x:c r="Z1574" s="25" t="str">
        <x:v>https://www.bckfinance.com/</x:v>
      </x:c>
      <x:c r="AA1574" s="25" t="str">
        <x:v>[]</x:v>
      </x:c>
      <x:c r="AB1574" s="3" t="str">
        <x:v>Existing CapitalForge research, newly screened for this campaign</x:v>
      </x:c>
      <x:c r="AC1574" s="3" t="str">
        <x:v>unverified</x:v>
      </x:c>
      <x:c r="AD1574" s="3" t="str">
        <x:v>Not contacted / unconfirmed</x:v>
      </x:c>
      <x:c r="AE1574" s="3" t="str">
        <x:v>No</x:v>
      </x:c>
      <x:c r="AF1574" s="3" t="str">
        <x:v>No</x:v>
      </x:c>
      <x:c r="AG1574" s="3"/>
      <x:c r="AH1574" s="3"/>
      <x:c r="AI1574" s="18"/>
      <x:c r="AJ1574" s="3" t="str">
        <x:v>CF2500-F46572279A40</x:v>
      </x:c>
      <x:c r="AK1574" s="3" t="str">
        <x:v>working_capital</x:v>
      </x:c>
      <x:c r="AL1574" s="19" t="n">
        <x:v>100000</x:v>
      </x:c>
      <x:c r="AM1574" s="19" t="n">
        <x:v>500000</x:v>
      </x:c>
      <x:c r="AN1574" s="3" t="str">
        <x:v>https://www.bckfinance.com/</x:v>
      </x:c>
      <x:c r="AO1574" s="3" t="str">
        <x:v>public_directory.jsonl</x:v>
      </x:c>
      <x:c r="AP1574" s="19"/>
    </x:row>
    <x:row r="1575" ht="36" customHeight="1">
      <x:c r="A1575" s="23" t="n">
        <x:v>1574</x:v>
      </x:c>
      <x:c r="B1575" s="15" t="str">
        <x:v>Byzfunder</x:v>
      </x:c>
      <x:c r="C1575" s="15"/>
      <x:c r="D1575" s="15" t="str">
        <x:v>Operating-capital lender, broker or finance route; eligibility unconfirmed</x:v>
      </x:c>
      <x:c r="E1575" s="15" t="str">
        <x:v>Operating-capital eligibility inquiry</x:v>
      </x:c>
      <x:c r="F1575" s="17" t="str">
        <x:v>New</x:v>
      </x:c>
      <x:c r="G1575" s="24" t="str">
        <x:v>info@byzfunder.com</x:v>
      </x:c>
      <x:c r="H1575" s="24" t="str">
        <x:v>+18884760755</x:v>
      </x:c>
      <x:c r="I1575" s="24" t="str">
        <x:v>https://byzfunder.com/</x:v>
      </x:c>
      <x:c r="J1575" s="16"/>
      <x:c r="K1575" s="16"/>
      <x:c r="L1575" s="16" t="str">
        <x:v>firm_business_routing</x:v>
      </x:c>
      <x:c r="M1575" s="16" t="str">
        <x:v>https://byzfunder.com/</x:v>
      </x:c>
      <x:c r="N1575" s="16" t="str">
        <x:v>Published source range; proposed allocation and structure require confirmation</x:v>
      </x:c>
      <x:c r="O1575" s="20" t="n">
        <x:v>25000</x:v>
      </x:c>
      <x:c r="P1575" s="20" t="n">
        <x:v>500000</x:v>
      </x:c>
      <x:c r="Q1575" s="25" t="str">
        <x:v>No direct corporate-capital range established in checked source</x:v>
      </x:c>
      <x:c r="R1575" s="25" t="str">
        <x:v>No borrower approval or available cash verified. Any published borrowing limits are marketing capacity, not verified liquidity.
Public directory listing; contact ownership, lender/broker role, present operations, deployable $500K cash and unsecured/equity appetite remain unverified. NEW YORK CITY, NY PRIVATE LENDER We understand the financial needs of a small-medium businesses and created the solution to help you grow.</x:v>
      </x:c>
      <x:c r="S1575" s="25"/>
      <x:c r="T1575" s="25" t="str">
        <x:v>Confirm $100K-$500K ticket, company-stage and sector eligibility, investment authority, available allocation and proposed terms.</x:v>
      </x:c>
      <x:c r="U1575" s="25" t="str">
        <x:v>https://byzfunder.com/
https://byzfunder.com/contact
https://byzfunder.com/terms-of-application
https://www.privatelendersdirectory.com/united-states/new-york/top-level-category/byz-funder</x:v>
      </x:c>
      <x:c r="V1575" s="26" t="d">
        <x:v>2026-10-02T00:00:00.000Z</x:v>
      </x:c>
      <x:c r="W1575" s="26" t="d">
        <x:v>2026-09-30T00:00:00.000Z</x:v>
      </x:c>
      <x:c r="X1575" s="25" t="str">
        <x:v>Saved public company, industry-directory or regulatory source; source date retained</x:v>
      </x:c>
      <x:c r="Y1575" s="25" t="str">
        <x:v>https://byzfunder.com/</x:v>
      </x:c>
      <x:c r="Z1575" s="25" t="str">
        <x:v>https://byzfunder.com/</x:v>
      </x:c>
      <x:c r="AA1575" s="25" t="str">
        <x:v>[]</x:v>
      </x:c>
      <x:c r="AB1575" s="3" t="str">
        <x:v>Existing CapitalForge research, newly screened for this campaign</x:v>
      </x:c>
      <x:c r="AC1575" s="3" t="str">
        <x:v>unverified</x:v>
      </x:c>
      <x:c r="AD1575" s="3" t="str">
        <x:v>Not contacted / unconfirmed</x:v>
      </x:c>
      <x:c r="AE1575" s="3" t="str">
        <x:v>No</x:v>
      </x:c>
      <x:c r="AF1575" s="3" t="str">
        <x:v>No</x:v>
      </x:c>
      <x:c r="AG1575" s="3"/>
      <x:c r="AH1575" s="3"/>
      <x:c r="AI1575" s="18"/>
      <x:c r="AJ1575" s="3" t="str">
        <x:v>CF2500-28823E6E6473</x:v>
      </x:c>
      <x:c r="AK1575" s="3" t="str">
        <x:v>revenue_based</x:v>
      </x:c>
      <x:c r="AL1575" s="19" t="n">
        <x:v>100000</x:v>
      </x:c>
      <x:c r="AM1575" s="19" t="n">
        <x:v>500000</x:v>
      </x:c>
      <x:c r="AN1575" s="3" t="str">
        <x:v>https://byzfunder.com/</x:v>
      </x:c>
      <x:c r="AO1575" s="3" t="str">
        <x:v>public_directory.jsonl</x:v>
      </x:c>
      <x:c r="AP1575" s="19"/>
    </x:row>
    <x:row r="1576" ht="36" customHeight="1">
      <x:c r="A1576" s="23" t="n">
        <x:v>1575</x:v>
      </x:c>
      <x:c r="B1576" s="15" t="str">
        <x:v>CFG Merchant Solutions</x:v>
      </x:c>
      <x:c r="C1576" s="15"/>
      <x:c r="D1576" s="15" t="str">
        <x:v>Operating-capital lender, broker or finance route; eligibility unconfirmed</x:v>
      </x:c>
      <x:c r="E1576" s="15" t="str">
        <x:v>Operating-capital eligibility inquiry</x:v>
      </x:c>
      <x:c r="F1576" s="17" t="str">
        <x:v>New</x:v>
      </x:c>
      <x:c r="G1576" s="24" t="str">
        <x:v>info@cfgms.com</x:v>
      </x:c>
      <x:c r="H1576" s="24" t="str">
        <x:v>+18446623467</x:v>
      </x:c>
      <x:c r="I1576" s="24" t="str">
        <x:v>https://cfgmerchantsolutions.com/</x:v>
      </x:c>
      <x:c r="J1576" s="16"/>
      <x:c r="K1576" s="16"/>
      <x:c r="L1576" s="16" t="str">
        <x:v>firm_business_routing</x:v>
      </x:c>
      <x:c r="M1576" s="16" t="str">
        <x:v>https://cfgmerchantsolutions.com/</x:v>
      </x:c>
      <x:c r="N1576" s="16" t="str">
        <x:v>Published source range; proposed allocation and structure require confirmation</x:v>
      </x:c>
      <x:c r="O1576" s="20" t="n">
        <x:v>10000</x:v>
      </x:c>
      <x:c r="P1576" s="20" t="n">
        <x:v>500000</x:v>
      </x:c>
      <x:c r="Q1576" s="25" t="str">
        <x:v>No direct corporate-capital range established in checked source</x:v>
      </x:c>
      <x:c r="R1576" s="25" t="str">
        <x:v>No borrower approval or available cash verified. Any published borrowing limits are marketing capacity, not verified liquidity.</x:v>
      </x:c>
      <x:c r="S1576" s="25"/>
      <x:c r="T1576" s="25" t="str">
        <x:v>Confirm $100K-$500K ticket, company-stage and sector eligibility, investment authority, available allocation and proposed terms.</x:v>
      </x:c>
      <x:c r="U1576" s="25" t="str">
        <x:v>https://cfgmerchantsolutions.com/
https://cfgmerchantsolutions.com/contact/
https://cfgmerchantsolutions.com/why-choose-a-revenue-based-financing-over-a-bank-loan/</x:v>
      </x:c>
      <x:c r="V1576" s="26" t="d">
        <x:v>2026-10-02T00:00:00.000Z</x:v>
      </x:c>
      <x:c r="W1576" s="26" t="d">
        <x:v>2026-09-30T00:00:00.000Z</x:v>
      </x:c>
      <x:c r="X1576" s="25" t="str">
        <x:v>Saved public company, industry-directory or regulatory source; source date retained</x:v>
      </x:c>
      <x:c r="Y1576" s="25" t="str">
        <x:v>https://cfgmerchantsolutions.com/</x:v>
      </x:c>
      <x:c r="Z1576" s="25" t="str">
        <x:v>https://cfgmerchantsolutions.com/</x:v>
      </x:c>
      <x:c r="AA1576" s="25" t="str">
        <x:v>[]</x:v>
      </x:c>
      <x:c r="AB1576" s="3" t="str">
        <x:v>Existing CapitalForge research, newly screened for this campaign</x:v>
      </x:c>
      <x:c r="AC1576" s="3" t="str">
        <x:v>unverified</x:v>
      </x:c>
      <x:c r="AD1576" s="3" t="str">
        <x:v>Not contacted / unconfirmed</x:v>
      </x:c>
      <x:c r="AE1576" s="3" t="str">
        <x:v>No</x:v>
      </x:c>
      <x:c r="AF1576" s="3" t="str">
        <x:v>No</x:v>
      </x:c>
      <x:c r="AG1576" s="3"/>
      <x:c r="AH1576" s="3"/>
      <x:c r="AI1576" s="18"/>
      <x:c r="AJ1576" s="3" t="str">
        <x:v>CF2500-3388248E4150</x:v>
      </x:c>
      <x:c r="AK1576" s="3" t="str">
        <x:v>revenue_based</x:v>
      </x:c>
      <x:c r="AL1576" s="19" t="n">
        <x:v>100000</x:v>
      </x:c>
      <x:c r="AM1576" s="19" t="n">
        <x:v>500000</x:v>
      </x:c>
      <x:c r="AN1576" s="3" t="str">
        <x:v>https://cfgmerchantsolutions.com/</x:v>
      </x:c>
      <x:c r="AO1576" s="3" t="str">
        <x:v>public_directory.jsonl</x:v>
      </x:c>
      <x:c r="AP1576" s="19"/>
    </x:row>
    <x:row r="1577" ht="36" customHeight="1">
      <x:c r="A1577" s="23" t="n">
        <x:v>1576</x:v>
      </x:c>
      <x:c r="B1577" s="15" t="str">
        <x:v>Clear Skies Capital</x:v>
      </x:c>
      <x:c r="C1577" s="15"/>
      <x:c r="D1577" s="15" t="str">
        <x:v>Operating-capital lender, broker or finance route; eligibility unconfirmed</x:v>
      </x:c>
      <x:c r="E1577" s="15" t="str">
        <x:v>Operating-capital eligibility inquiry</x:v>
      </x:c>
      <x:c r="F1577" s="17" t="str">
        <x:v>New</x:v>
      </x:c>
      <x:c r="G1577" s="24" t="str">
        <x:v>info@clearskiescapital.com</x:v>
      </x:c>
      <x:c r="H1577" s="24" t="str">
        <x:v>+18002309822</x:v>
      </x:c>
      <x:c r="I1577" s="24" t="str">
        <x:v>https://www.clearskiescapital.com/</x:v>
      </x:c>
      <x:c r="J1577" s="16"/>
      <x:c r="K1577" s="16"/>
      <x:c r="L1577" s="16" t="str">
        <x:v>firm_business_routing</x:v>
      </x:c>
      <x:c r="M1577" s="16" t="str">
        <x:v>https://www.clearskiescapital.com/</x:v>
      </x:c>
      <x:c r="N1577" s="16" t="str">
        <x:v>Published source range; proposed allocation and structure require confirmation</x:v>
      </x:c>
      <x:c r="O1577" s="20"/>
      <x:c r="P1577" s="20" t="n">
        <x:v>2000000</x:v>
      </x:c>
      <x:c r="Q1577" s="25" t="str">
        <x:v>No direct corporate-capital range established in checked source</x:v>
      </x:c>
      <x:c r="R1577" s="25" t="str">
        <x:v>Published $1M/$2M capacity differs by page; max $2M marketing evidence, not approval.
Public directory listing. Lender/broker role, available cash, unsecured fulfillment eligibility and equity willingness need direct confirmation. Directory description: SAN DIEGO, CA PRIVATE LENDER We’re committed to offering a seamless lending experience while developing a financing partnership for the</x:v>
      </x:c>
      <x:c r="S1577" s="25"/>
      <x:c r="T1577" s="25" t="str">
        <x:v>Confirm $100K-$500K ticket, company-stage and sector eligibility, investment authority, available allocation and proposed terms.</x:v>
      </x:c>
      <x:c r="U1577" s="25" t="str">
        <x:v>https://www.clearskiescapital.com/
https://www.clearskiescapital.com/business-loans/revenue-based-financing/
https://www.clearskiescapital.com/bad-credit-business-loans/
https://www.clearskiescapital.com/about-us/
https://www.clearskiescapital.com/contact-us/
https://www.privatelendersdirectory.com/united-states/san-diego/top-level-category/clear-skies-capital</x:v>
      </x:c>
      <x:c r="V1577" s="26" t="d">
        <x:v>2026-10-02T00:00:00.000Z</x:v>
      </x:c>
      <x:c r="W1577" s="26" t="d">
        <x:v>2026-09-30T00:00:00.000Z</x:v>
      </x:c>
      <x:c r="X1577" s="25" t="str">
        <x:v>Saved public company, industry-directory or regulatory source; source date retained</x:v>
      </x:c>
      <x:c r="Y1577" s="25" t="str">
        <x:v>https://www.clearskiescapital.com/</x:v>
      </x:c>
      <x:c r="Z1577" s="25" t="str">
        <x:v>https://www.clearskiescapital.com/</x:v>
      </x:c>
      <x:c r="AA1577" s="25" t="str">
        <x:v>[]</x:v>
      </x:c>
      <x:c r="AB1577" s="3" t="str">
        <x:v>Existing CapitalForge research, newly screened for this campaign</x:v>
      </x:c>
      <x:c r="AC1577" s="3" t="str">
        <x:v>unverified</x:v>
      </x:c>
      <x:c r="AD1577" s="3" t="str">
        <x:v>Not contacted / unconfirmed</x:v>
      </x:c>
      <x:c r="AE1577" s="3" t="str">
        <x:v>No</x:v>
      </x:c>
      <x:c r="AF1577" s="3" t="str">
        <x:v>No</x:v>
      </x:c>
      <x:c r="AG1577" s="3"/>
      <x:c r="AH1577" s="3"/>
      <x:c r="AI1577" s="18"/>
      <x:c r="AJ1577" s="3" t="str">
        <x:v>CF2500-322A02A4E33F</x:v>
      </x:c>
      <x:c r="AK1577" s="3" t="str">
        <x:v>revenue_based</x:v>
      </x:c>
      <x:c r="AL1577" s="19" t="n">
        <x:v>100000</x:v>
      </x:c>
      <x:c r="AM1577" s="19" t="n">
        <x:v>500000</x:v>
      </x:c>
      <x:c r="AN1577" s="3" t="str">
        <x:v>https://www.clearskiescapital.com/</x:v>
      </x:c>
      <x:c r="AO1577" s="3" t="str">
        <x:v>public_directory.jsonl</x:v>
      </x:c>
      <x:c r="AP1577" s="19"/>
    </x:row>
    <x:row r="1578" ht="36" customHeight="1">
      <x:c r="A1578" s="23" t="n">
        <x:v>1577</x:v>
      </x:c>
      <x:c r="B1578" s="15" t="str">
        <x:v>Credibility Capital</x:v>
      </x:c>
      <x:c r="C1578" s="15"/>
      <x:c r="D1578" s="15" t="str">
        <x:v>Operating-capital lender, broker or finance route; eligibility unconfirmed</x:v>
      </x:c>
      <x:c r="E1578" s="15" t="str">
        <x:v>Operating-capital eligibility inquiry</x:v>
      </x:c>
      <x:c r="F1578" s="17" t="str">
        <x:v>New</x:v>
      </x:c>
      <x:c r="G1578" s="24" t="str">
        <x:v>contact@credibilitycapital.com</x:v>
      </x:c>
      <x:c r="H1578" s="24" t="str">
        <x:v>+13259876935</x:v>
      </x:c>
      <x:c r="I1578" s="24" t="str">
        <x:v>https://credibilitycapital.com/</x:v>
      </x:c>
      <x:c r="J1578" s="16"/>
      <x:c r="K1578" s="16"/>
      <x:c r="L1578" s="16" t="str">
        <x:v>firm_business_routing</x:v>
      </x:c>
      <x:c r="M1578" s="16" t="str">
        <x:v>https://credibilitycapital.com/</x:v>
      </x:c>
      <x:c r="N1578" s="16" t="str">
        <x:v>Published source range; proposed allocation and structure require confirmation</x:v>
      </x:c>
      <x:c r="O1578" s="20"/>
      <x:c r="P1578" s="20" t="n">
        <x:v>500000</x:v>
      </x:c>
      <x:c r="Q1578" s="25" t="str">
        <x:v>No direct corporate-capital range established in checked source</x:v>
      </x:c>
      <x:c r="R1578" s="25" t="str">
        <x:v>Published program eligibility requires underwriting; available cash and borrower approval unverified.</x:v>
      </x:c>
      <x:c r="S1578" s="25"/>
      <x:c r="T1578" s="25" t="str">
        <x:v>Confirm $100K-$500K ticket, company-stage and sector eligibility, investment authority, available allocation and proposed terms.</x:v>
      </x:c>
      <x:c r="U1578" s="25" t="str">
        <x:v>https://credibilitycapital.com/
https://credibilitycapital.com/nav
https://credibilitycapital.com/contact
https://credibilitycapital.com/contact/</x:v>
      </x:c>
      <x:c r="V1578" s="26" t="d">
        <x:v>2026-10-02T00:00:00.000Z</x:v>
      </x:c>
      <x:c r="W1578" s="26" t="d">
        <x:v>2026-09-30T00:00:00.000Z</x:v>
      </x:c>
      <x:c r="X1578" s="25" t="str">
        <x:v>Saved public company, industry-directory or regulatory source; source date retained</x:v>
      </x:c>
      <x:c r="Y1578" s="25" t="str">
        <x:v>https://credibilitycapital.com/</x:v>
      </x:c>
      <x:c r="Z1578" s="25" t="str">
        <x:v>https://credibilitycapital.com/</x:v>
      </x:c>
      <x:c r="AA1578" s="25" t="str">
        <x:v>[]</x:v>
      </x:c>
      <x:c r="AB1578" s="3" t="str">
        <x:v>Existing CapitalForge research, newly screened for this campaign</x:v>
      </x:c>
      <x:c r="AC1578" s="3" t="str">
        <x:v>unverified</x:v>
      </x:c>
      <x:c r="AD1578" s="3" t="str">
        <x:v>Not contacted / unconfirmed</x:v>
      </x:c>
      <x:c r="AE1578" s="3" t="str">
        <x:v>No</x:v>
      </x:c>
      <x:c r="AF1578" s="3" t="str">
        <x:v>No</x:v>
      </x:c>
      <x:c r="AG1578" s="3"/>
      <x:c r="AH1578" s="3"/>
      <x:c r="AI1578" s="18"/>
      <x:c r="AJ1578" s="3" t="str">
        <x:v>CF2500-B83058BD3EA4</x:v>
      </x:c>
      <x:c r="AK1578" s="3" t="str">
        <x:v>term_loan</x:v>
      </x:c>
      <x:c r="AL1578" s="19" t="n">
        <x:v>100000</x:v>
      </x:c>
      <x:c r="AM1578" s="19" t="n">
        <x:v>500000</x:v>
      </x:c>
      <x:c r="AN1578" s="3" t="str">
        <x:v>https://credibilitycapital.com/</x:v>
      </x:c>
      <x:c r="AO1578" s="3" t="str">
        <x:v>public_directory.jsonl</x:v>
      </x:c>
      <x:c r="AP1578" s="19"/>
    </x:row>
    <x:row r="1579" ht="36" customHeight="1">
      <x:c r="A1579" s="23" t="n">
        <x:v>1578</x:v>
      </x:c>
      <x:c r="B1579" s="15" t="str">
        <x:v>Credibly</x:v>
      </x:c>
      <x:c r="C1579" s="15"/>
      <x:c r="D1579" s="15" t="str">
        <x:v>Operating-capital lender, broker or finance route; eligibility unconfirmed</x:v>
      </x:c>
      <x:c r="E1579" s="15" t="str">
        <x:v>Operating-capital eligibility inquiry</x:v>
      </x:c>
      <x:c r="F1579" s="17" t="str">
        <x:v>New</x:v>
      </x:c>
      <x:c r="G1579" s="24" t="str">
        <x:v>customerservice@credibly.com</x:v>
      </x:c>
      <x:c r="H1579" s="24" t="str">
        <x:v>+18886641444</x:v>
      </x:c>
      <x:c r="I1579" s="24" t="str">
        <x:v>https://www.credibly.com/</x:v>
      </x:c>
      <x:c r="J1579" s="16"/>
      <x:c r="K1579" s="16"/>
      <x:c r="L1579" s="16" t="str">
        <x:v>firm_business_routing</x:v>
      </x:c>
      <x:c r="M1579" s="16" t="str">
        <x:v>https://www.credibly.com/</x:v>
      </x:c>
      <x:c r="N1579" s="16" t="str">
        <x:v>Published source range; proposed allocation and structure require confirmation</x:v>
      </x:c>
      <x:c r="O1579" s="20" t="n">
        <x:v>25000</x:v>
      </x:c>
      <x:c r="P1579" s="20" t="n">
        <x:v>600000</x:v>
      </x:c>
      <x:c r="Q1579" s="25" t="str">
        <x:v>No direct corporate-capital range established in checked source</x:v>
      </x:c>
      <x:c r="R1579" s="25" t="str">
        <x:v>Published program eligibility requires underwriting; available cash and borrower approval unverified.
Customer-service routing address; funding sales email not exposed unmasked.</x:v>
      </x:c>
      <x:c r="S1579" s="25"/>
      <x:c r="T1579" s="25" t="str">
        <x:v>Confirm $100K-$500K ticket, company-stage and sector eligibility, investment authority, available allocation and proposed terms.</x:v>
      </x:c>
      <x:c r="U1579" s="25" t="str">
        <x:v>https://www.credibly.com/
https://www.credibly.com/contact/
https://www.credibly.com/working-capital-loans/</x:v>
      </x:c>
      <x:c r="V1579" s="26" t="d">
        <x:v>2026-10-02T00:00:00.000Z</x:v>
      </x:c>
      <x:c r="W1579" s="26" t="d">
        <x:v>2026-09-30T00:00:00.000Z</x:v>
      </x:c>
      <x:c r="X1579" s="25" t="str">
        <x:v>Saved public company, industry-directory or regulatory source; source date retained</x:v>
      </x:c>
      <x:c r="Y1579" s="25" t="str">
        <x:v>https://www.credibly.com/</x:v>
      </x:c>
      <x:c r="Z1579" s="25" t="str">
        <x:v>https://www.credibly.com/</x:v>
      </x:c>
      <x:c r="AA1579" s="25" t="str">
        <x:v>[]</x:v>
      </x:c>
      <x:c r="AB1579" s="3" t="str">
        <x:v>Existing CapitalForge research, newly screened for this campaign</x:v>
      </x:c>
      <x:c r="AC1579" s="3" t="str">
        <x:v>unverified</x:v>
      </x:c>
      <x:c r="AD1579" s="3" t="str">
        <x:v>Not contacted / unconfirmed</x:v>
      </x:c>
      <x:c r="AE1579" s="3" t="str">
        <x:v>No</x:v>
      </x:c>
      <x:c r="AF1579" s="3" t="str">
        <x:v>No</x:v>
      </x:c>
      <x:c r="AG1579" s="3"/>
      <x:c r="AH1579" s="3"/>
      <x:c r="AI1579" s="18"/>
      <x:c r="AJ1579" s="3" t="str">
        <x:v>CF2500-ECC8F0A75F0C</x:v>
      </x:c>
      <x:c r="AK1579" s="3" t="str">
        <x:v>revenue_based</x:v>
      </x:c>
      <x:c r="AL1579" s="19" t="n">
        <x:v>100000</x:v>
      </x:c>
      <x:c r="AM1579" s="19" t="n">
        <x:v>500000</x:v>
      </x:c>
      <x:c r="AN1579" s="3" t="str">
        <x:v>https://www.credibly.com/</x:v>
      </x:c>
      <x:c r="AO1579" s="3" t="str">
        <x:v>public_directory.jsonl</x:v>
      </x:c>
      <x:c r="AP1579" s="19"/>
    </x:row>
    <x:row r="1580" ht="36" customHeight="1">
      <x:c r="A1580" s="23" t="n">
        <x:v>1579</x:v>
      </x:c>
      <x:c r="B1580" s="15" t="str">
        <x:v>Doriscar Capital Group</x:v>
      </x:c>
      <x:c r="C1580" s="15"/>
      <x:c r="D1580" s="15" t="str">
        <x:v>Operating-capital lender, broker or finance route; eligibility unconfirmed</x:v>
      </x:c>
      <x:c r="E1580" s="15" t="str">
        <x:v>Operating-capital eligibility inquiry</x:v>
      </x:c>
      <x:c r="F1580" s="17" t="str">
        <x:v>New</x:v>
      </x:c>
      <x:c r="G1580" s="24" t="str">
        <x:v>info@doriscarcapital.com</x:v>
      </x:c>
      <x:c r="H1580" s="24" t="str">
        <x:v>+15614675117</x:v>
      </x:c>
      <x:c r="I1580" s="24" t="str">
        <x:v>https://doriscarcapital.com/</x:v>
      </x:c>
      <x:c r="J1580" s="16"/>
      <x:c r="K1580" s="16"/>
      <x:c r="L1580" s="16" t="str">
        <x:v>firm_business_routing</x:v>
      </x:c>
      <x:c r="M1580" s="16" t="str">
        <x:v>https://doriscarcapital.com/</x:v>
      </x:c>
      <x:c r="N1580" s="16" t="str">
        <x:v>Published source range; proposed allocation and structure require confirmation</x:v>
      </x:c>
      <x:c r="O1580" s="20"/>
      <x:c r="P1580" s="20" t="n">
        <x:v>500000</x:v>
      </x:c>
      <x:c r="Q1580" s="25" t="str">
        <x:v>No direct corporate-capital range established in checked source</x:v>
      </x:c>
      <x:c r="R1580" s="25" t="str">
        <x:v>Income verification indicated for $500K line.</x:v>
      </x:c>
      <x:c r="S1580" s="25"/>
      <x:c r="T1580" s="25" t="str">
        <x:v>Confirm $100K-$500K ticket, company-stage and sector eligibility, investment authority, available allocation and proposed terms.</x:v>
      </x:c>
      <x:c r="U1580" s="25" t="str">
        <x:v>https://doriscarcapital.com/
https://doriscarcapital.com/commercial-financing/unsecured-business-lines-of-credit/
https://doriscarcapital.com/contact-us/</x:v>
      </x:c>
      <x:c r="V1580" s="26" t="d">
        <x:v>2026-10-02T00:00:00.000Z</x:v>
      </x:c>
      <x:c r="W1580" s="26" t="d">
        <x:v>2026-09-30T00:00:00.000Z</x:v>
      </x:c>
      <x:c r="X1580" s="25" t="str">
        <x:v>Saved public company, industry-directory or regulatory source; source date retained</x:v>
      </x:c>
      <x:c r="Y1580" s="25" t="str">
        <x:v>https://doriscarcapital.com/</x:v>
      </x:c>
      <x:c r="Z1580" s="25" t="str">
        <x:v>https://doriscarcapital.com/</x:v>
      </x:c>
      <x:c r="AA1580" s="25" t="str">
        <x:v>[]</x:v>
      </x:c>
      <x:c r="AB1580" s="3" t="str">
        <x:v>Existing CapitalForge research, newly screened for this campaign</x:v>
      </x:c>
      <x:c r="AC1580" s="3" t="str">
        <x:v>unverified</x:v>
      </x:c>
      <x:c r="AD1580" s="3" t="str">
        <x:v>Not contacted / unconfirmed</x:v>
      </x:c>
      <x:c r="AE1580" s="3" t="str">
        <x:v>No</x:v>
      </x:c>
      <x:c r="AF1580" s="3" t="str">
        <x:v>No</x:v>
      </x:c>
      <x:c r="AG1580" s="3"/>
      <x:c r="AH1580" s="3"/>
      <x:c r="AI1580" s="18"/>
      <x:c r="AJ1580" s="3" t="str">
        <x:v>CF2500-77C986B00662</x:v>
      </x:c>
      <x:c r="AK1580" s="3" t="str">
        <x:v>unsecured_business</x:v>
      </x:c>
      <x:c r="AL1580" s="19" t="n">
        <x:v>100000</x:v>
      </x:c>
      <x:c r="AM1580" s="19" t="n">
        <x:v>500000</x:v>
      </x:c>
      <x:c r="AN1580" s="3" t="str">
        <x:v>https://doriscarcapital.com/</x:v>
      </x:c>
      <x:c r="AO1580" s="3" t="str">
        <x:v>public_directory.jsonl</x:v>
      </x:c>
      <x:c r="AP1580" s="19"/>
    </x:row>
    <x:row r="1581" ht="36" customHeight="1">
      <x:c r="A1581" s="23" t="n">
        <x:v>1580</x:v>
      </x:c>
      <x:c r="B1581" s="15" t="str">
        <x:v>Financial Capital Solutions</x:v>
      </x:c>
      <x:c r="C1581" s="15"/>
      <x:c r="D1581" s="15" t="str">
        <x:v>Operating-capital lender, broker or finance route; eligibility unconfirmed</x:v>
      </x:c>
      <x:c r="E1581" s="15" t="str">
        <x:v>Operating-capital eligibility inquiry</x:v>
      </x:c>
      <x:c r="F1581" s="17" t="str">
        <x:v>New</x:v>
      </x:c>
      <x:c r="G1581" s="24" t="str">
        <x:v>info@financialcapitalsolutions.com</x:v>
      </x:c>
      <x:c r="H1581" s="24" t="str">
        <x:v>+15618668182</x:v>
      </x:c>
      <x:c r="I1581" s="24" t="str">
        <x:v>https://financialcapitalsolutions.com/</x:v>
      </x:c>
      <x:c r="J1581" s="16"/>
      <x:c r="K1581" s="16"/>
      <x:c r="L1581" s="16" t="str">
        <x:v>firm_business_routing</x:v>
      </x:c>
      <x:c r="M1581" s="16" t="str">
        <x:v>https://financialcapitalsolutions.com/</x:v>
      </x:c>
      <x:c r="N1581" s="16" t="str">
        <x:v>Published source range; proposed allocation and structure require confirmation</x:v>
      </x:c>
      <x:c r="O1581" s="20"/>
      <x:c r="P1581" s="20" t="n">
        <x:v>500000</x:v>
      </x:c>
      <x:c r="Q1581" s="25" t="str">
        <x:v>No direct corporate-capital range established in checked source</x:v>
      </x:c>
      <x:c r="R1581" s="25" t="str">
        <x:v>Also offers property loans; proposed fit restricted to unsecured business products.</x:v>
      </x:c>
      <x:c r="S1581" s="25"/>
      <x:c r="T1581" s="25" t="str">
        <x:v>Confirm $100K-$500K ticket, company-stage and sector eligibility, investment authority, available allocation and proposed terms.</x:v>
      </x:c>
      <x:c r="U1581" s="25" t="str">
        <x:v>https://financialcapitalsolutions.com/
https://financialcapitalsolutions.com/contact-us/</x:v>
      </x:c>
      <x:c r="V1581" s="26" t="d">
        <x:v>2026-10-02T00:00:00.000Z</x:v>
      </x:c>
      <x:c r="W1581" s="26" t="d">
        <x:v>2026-09-30T00:00:00.000Z</x:v>
      </x:c>
      <x:c r="X1581" s="25" t="str">
        <x:v>Saved public company, industry-directory or regulatory source; source date retained</x:v>
      </x:c>
      <x:c r="Y1581" s="25" t="str">
        <x:v>https://financialcapitalsolutions.com/</x:v>
      </x:c>
      <x:c r="Z1581" s="25" t="str">
        <x:v>https://financialcapitalsolutions.com/</x:v>
      </x:c>
      <x:c r="AA1581" s="25" t="str">
        <x:v>[]</x:v>
      </x:c>
      <x:c r="AB1581" s="3" t="str">
        <x:v>Existing CapitalForge research, newly screened for this campaign</x:v>
      </x:c>
      <x:c r="AC1581" s="3" t="str">
        <x:v>unverified</x:v>
      </x:c>
      <x:c r="AD1581" s="3" t="str">
        <x:v>Not contacted / unconfirmed</x:v>
      </x:c>
      <x:c r="AE1581" s="3" t="str">
        <x:v>No</x:v>
      </x:c>
      <x:c r="AF1581" s="3" t="str">
        <x:v>No</x:v>
      </x:c>
      <x:c r="AG1581" s="3"/>
      <x:c r="AH1581" s="3"/>
      <x:c r="AI1581" s="18"/>
      <x:c r="AJ1581" s="3" t="str">
        <x:v>CF2500-6C1495C51CBF</x:v>
      </x:c>
      <x:c r="AK1581" s="3" t="str">
        <x:v>unsecured_business</x:v>
      </x:c>
      <x:c r="AL1581" s="19" t="n">
        <x:v>100000</x:v>
      </x:c>
      <x:c r="AM1581" s="19" t="n">
        <x:v>500000</x:v>
      </x:c>
      <x:c r="AN1581" s="3" t="str">
        <x:v>https://financialcapitalsolutions.com/</x:v>
      </x:c>
      <x:c r="AO1581" s="3" t="str">
        <x:v>public_directory.jsonl</x:v>
      </x:c>
      <x:c r="AP1581" s="19"/>
    </x:row>
    <x:row r="1582" ht="36" customHeight="1">
      <x:c r="A1582" s="23" t="n">
        <x:v>1581</x:v>
      </x:c>
      <x:c r="B1582" s="15" t="str">
        <x:v>Forward Financing</x:v>
      </x:c>
      <x:c r="C1582" s="15"/>
      <x:c r="D1582" s="15" t="str">
        <x:v>Operating-capital lender, broker or finance route; eligibility unconfirmed</x:v>
      </x:c>
      <x:c r="E1582" s="15" t="str">
        <x:v>Operating-capital eligibility inquiry</x:v>
      </x:c>
      <x:c r="F1582" s="17" t="str">
        <x:v>New</x:v>
      </x:c>
      <x:c r="G1582" s="24" t="str">
        <x:v>info@forwardfinancing.com</x:v>
      </x:c>
      <x:c r="H1582" s="24" t="str">
        <x:v>+18882449099</x:v>
      </x:c>
      <x:c r="I1582" s="24" t="str">
        <x:v>https://www.forwardfinancing.com/</x:v>
      </x:c>
      <x:c r="J1582" s="16"/>
      <x:c r="K1582" s="16"/>
      <x:c r="L1582" s="16" t="str">
        <x:v>firm_business_routing</x:v>
      </x:c>
      <x:c r="M1582" s="16" t="str">
        <x:v>https://www.forwardfinancing.com/</x:v>
      </x:c>
      <x:c r="N1582" s="16" t="str">
        <x:v>Published source range; proposed allocation and structure require confirmation</x:v>
      </x:c>
      <x:c r="O1582" s="20" t="n">
        <x:v>5000</x:v>
      </x:c>
      <x:c r="P1582" s="20" t="n">
        <x:v>500000</x:v>
      </x:c>
      <x:c r="Q1582" s="25" t="str">
        <x:v>No direct corporate-capital range established in checked source</x:v>
      </x:c>
      <x:c r="R1582" s="25" t="str">
        <x:v>US business at least one year and $10K monthly revenue; Wyoming among available loan states.</x:v>
      </x:c>
      <x:c r="S1582" s="25"/>
      <x:c r="T1582" s="25" t="str">
        <x:v>Confirm $100K-$500K ticket, company-stage and sector eligibility, investment authority, available allocation and proposed terms.</x:v>
      </x:c>
      <x:c r="U1582" s="25" t="str">
        <x:v>https://www.forwardfinancing.com/
https://www.forwardfinancing.com/contact-us/
https://www.forwardfinancing.com/about-us/faqs/
https://www.forwardfinancing.com/contact-us
https://www.forwardfinancing.com/about-us/</x:v>
      </x:c>
      <x:c r="V1582" s="26" t="d">
        <x:v>2026-10-02T00:00:00.000Z</x:v>
      </x:c>
      <x:c r="W1582" s="26" t="d">
        <x:v>2026-09-30T00:00:00.000Z</x:v>
      </x:c>
      <x:c r="X1582" s="25" t="str">
        <x:v>Saved public company, industry-directory or regulatory source; source date retained</x:v>
      </x:c>
      <x:c r="Y1582" s="25" t="str">
        <x:v>https://www.forwardfinancing.com/</x:v>
      </x:c>
      <x:c r="Z1582" s="25" t="str">
        <x:v>https://www.forwardfinancing.com/</x:v>
      </x:c>
      <x:c r="AA1582" s="25" t="str">
        <x:v>[]</x:v>
      </x:c>
      <x:c r="AB1582" s="3" t="str">
        <x:v>Existing CapitalForge research, newly screened for this campaign</x:v>
      </x:c>
      <x:c r="AC1582" s="3" t="str">
        <x:v>unverified</x:v>
      </x:c>
      <x:c r="AD1582" s="3" t="str">
        <x:v>Not contacted / unconfirmed</x:v>
      </x:c>
      <x:c r="AE1582" s="3" t="str">
        <x:v>No</x:v>
      </x:c>
      <x:c r="AF1582" s="3" t="str">
        <x:v>No</x:v>
      </x:c>
      <x:c r="AG1582" s="3"/>
      <x:c r="AH1582" s="3"/>
      <x:c r="AI1582" s="18"/>
      <x:c r="AJ1582" s="3" t="str">
        <x:v>CF2500-1152AEB8B13E</x:v>
      </x:c>
      <x:c r="AK1582" s="3" t="str">
        <x:v>revenue_based</x:v>
      </x:c>
      <x:c r="AL1582" s="19" t="n">
        <x:v>100000</x:v>
      </x:c>
      <x:c r="AM1582" s="19" t="n">
        <x:v>500000</x:v>
      </x:c>
      <x:c r="AN1582" s="3" t="str">
        <x:v>https://www.forwardfinancing.com/</x:v>
      </x:c>
      <x:c r="AO1582" s="3" t="str">
        <x:v>public_directory.jsonl</x:v>
      </x:c>
      <x:c r="AP1582" s="19"/>
    </x:row>
    <x:row r="1583" ht="36" customHeight="1">
      <x:c r="A1583" s="23" t="n">
        <x:v>1582</x:v>
      </x:c>
      <x:c r="B1583" s="15" t="str">
        <x:v>Forwardfy Capital</x:v>
      </x:c>
      <x:c r="C1583" s="15"/>
      <x:c r="D1583" s="15" t="str">
        <x:v>Operating-capital lender, broker or finance route; eligibility unconfirmed</x:v>
      </x:c>
      <x:c r="E1583" s="15" t="str">
        <x:v>Operating-capital eligibility inquiry</x:v>
      </x:c>
      <x:c r="F1583" s="17" t="str">
        <x:v>New</x:v>
      </x:c>
      <x:c r="G1583" s="24" t="str">
        <x:v>info@forwardfy.com</x:v>
      </x:c>
      <x:c r="H1583" s="24" t="str">
        <x:v>+18553937449</x:v>
      </x:c>
      <x:c r="I1583" s="24" t="str">
        <x:v>https://forwardfycapital.com/</x:v>
      </x:c>
      <x:c r="J1583" s="16"/>
      <x:c r="K1583" s="16"/>
      <x:c r="L1583" s="16" t="str">
        <x:v>firm_business_routing</x:v>
      </x:c>
      <x:c r="M1583" s="16" t="str">
        <x:v>https://forwardfycapital.com/</x:v>
      </x:c>
      <x:c r="N1583" s="16" t="str">
        <x:v>Published source range; proposed allocation and structure require confirmation</x:v>
      </x:c>
      <x:c r="O1583" s="20" t="n">
        <x:v>10000</x:v>
      </x:c>
      <x:c r="P1583" s="20" t="n">
        <x:v>6000000</x:v>
      </x:c>
      <x:c r="Q1583" s="25" t="str">
        <x:v>No direct corporate-capital range established in checked source</x:v>
      </x:c>
      <x:c r="R1583" s="25" t="str">
        <x:v>Funding sized to prior four months' bank statements, rather than projections.</x:v>
      </x:c>
      <x:c r="S1583" s="25"/>
      <x:c r="T1583" s="25" t="str">
        <x:v>Confirm $100K-$500K ticket, company-stage and sector eligibility, investment authority, available allocation and proposed terms.</x:v>
      </x:c>
      <x:c r="U1583" s="25" t="str">
        <x:v>https://forwardfycapital.com/
https://forwardfycapital.com/retail-funding/
https://forwardfycapital.com/about-us/
https://forwardfycapital.com/contact-us/</x:v>
      </x:c>
      <x:c r="V1583" s="26" t="d">
        <x:v>2026-10-02T00:00:00.000Z</x:v>
      </x:c>
      <x:c r="W1583" s="26" t="d">
        <x:v>2026-09-30T00:00:00.000Z</x:v>
      </x:c>
      <x:c r="X1583" s="25" t="str">
        <x:v>Saved public company, industry-directory or regulatory source; source date retained</x:v>
      </x:c>
      <x:c r="Y1583" s="25" t="str">
        <x:v>https://forwardfycapital.com/</x:v>
      </x:c>
      <x:c r="Z1583" s="25" t="str">
        <x:v>https://forwardfycapital.com/</x:v>
      </x:c>
      <x:c r="AA1583" s="25" t="str">
        <x:v>[]</x:v>
      </x:c>
      <x:c r="AB1583" s="3" t="str">
        <x:v>Existing CapitalForge research, newly screened for this campaign</x:v>
      </x:c>
      <x:c r="AC1583" s="3" t="str">
        <x:v>unverified</x:v>
      </x:c>
      <x:c r="AD1583" s="3" t="str">
        <x:v>Not contacted / unconfirmed</x:v>
      </x:c>
      <x:c r="AE1583" s="3" t="str">
        <x:v>No</x:v>
      </x:c>
      <x:c r="AF1583" s="3" t="str">
        <x:v>No</x:v>
      </x:c>
      <x:c r="AG1583" s="3"/>
      <x:c r="AH1583" s="3"/>
      <x:c r="AI1583" s="18"/>
      <x:c r="AJ1583" s="3" t="str">
        <x:v>CF2500-510357A5AD86</x:v>
      </x:c>
      <x:c r="AK1583" s="3" t="str">
        <x:v>revenue_based</x:v>
      </x:c>
      <x:c r="AL1583" s="19" t="n">
        <x:v>100000</x:v>
      </x:c>
      <x:c r="AM1583" s="19" t="n">
        <x:v>500000</x:v>
      </x:c>
      <x:c r="AN1583" s="3" t="str">
        <x:v>https://forwardfycapital.com/</x:v>
      </x:c>
      <x:c r="AO1583" s="3" t="str">
        <x:v>public_directory.jsonl</x:v>
      </x:c>
      <x:c r="AP1583" s="19"/>
    </x:row>
    <x:row r="1584" ht="36" customHeight="1">
      <x:c r="A1584" s="23" t="n">
        <x:v>1583</x:v>
      </x:c>
      <x:c r="B1584" s="15" t="str">
        <x:v>Funding Pilot</x:v>
      </x:c>
      <x:c r="C1584" s="15"/>
      <x:c r="D1584" s="15" t="str">
        <x:v>Operating-capital lender, broker or finance route; eligibility unconfirmed</x:v>
      </x:c>
      <x:c r="E1584" s="15" t="str">
        <x:v>Operating-capital eligibility inquiry</x:v>
      </x:c>
      <x:c r="F1584" s="17" t="str">
        <x:v>New</x:v>
      </x:c>
      <x:c r="G1584" s="24" t="str">
        <x:v>support@fundingpilot.com</x:v>
      </x:c>
      <x:c r="H1584" s="24" t="str">
        <x:v>+18888602844</x:v>
      </x:c>
      <x:c r="I1584" s="24" t="str">
        <x:v>https://www.fundingpilot.com/</x:v>
      </x:c>
      <x:c r="J1584" s="16"/>
      <x:c r="K1584" s="16"/>
      <x:c r="L1584" s="16" t="str">
        <x:v>firm_business_routing</x:v>
      </x:c>
      <x:c r="M1584" s="16" t="str">
        <x:v>https://www.fundingpilot.com/</x:v>
      </x:c>
      <x:c r="N1584" s="16" t="str">
        <x:v>Published source range; proposed allocation and structure require confirmation</x:v>
      </x:c>
      <x:c r="O1584" s="20" t="n">
        <x:v>10000</x:v>
      </x:c>
      <x:c r="P1584" s="20" t="n">
        <x:v>500000</x:v>
      </x:c>
      <x:c r="Q1584" s="25" t="str">
        <x:v>No direct corporate-capital range established in checked source</x:v>
      </x:c>
      <x:c r="R1584" s="25" t="str">
        <x:v>Credit-based program, no income verification advertised; individual credit and guarantees must be checked.
Public directory listing. Lender/broker role, available cash, unsecured fulfillment eligibility and equity willingness need direct confirmation. Directory description: HOBOKEN, NJ ASSET BASED LENDER Here at FundingPilot we make sure to go above and beyond the traditional lending criteria.</x:v>
      </x:c>
      <x:c r="S1584" s="25"/>
      <x:c r="T1584" s="25" t="str">
        <x:v>Confirm $100K-$500K ticket, company-stage and sector eligibility, investment authority, available allocation and proposed terms.</x:v>
      </x:c>
      <x:c r="U1584" s="25" t="str">
        <x:v>https://www.fundingpilot.com/
https://www.fundingpilot.com/real-estate-investor-lines-of-credit
https://www.fundingpilot.com/contact
https://www.privatelendersdirectory.com/united-states/hoboken/top-level-category/funding-pilot</x:v>
      </x:c>
      <x:c r="V1584" s="26" t="d">
        <x:v>2026-10-02T00:00:00.000Z</x:v>
      </x:c>
      <x:c r="W1584" s="26" t="d">
        <x:v>2026-09-30T00:00:00.000Z</x:v>
      </x:c>
      <x:c r="X1584" s="25" t="str">
        <x:v>Saved public company, industry-directory or regulatory source; source date retained</x:v>
      </x:c>
      <x:c r="Y1584" s="25" t="str">
        <x:v>https://www.fundingpilot.com/</x:v>
      </x:c>
      <x:c r="Z1584" s="25" t="str">
        <x:v>https://www.fundingpilot.com/</x:v>
      </x:c>
      <x:c r="AA1584" s="25" t="str">
        <x:v>[]</x:v>
      </x:c>
      <x:c r="AB1584" s="3" t="str">
        <x:v>Existing CapitalForge research, newly screened for this campaign</x:v>
      </x:c>
      <x:c r="AC1584" s="3" t="str">
        <x:v>unverified</x:v>
      </x:c>
      <x:c r="AD1584" s="3" t="str">
        <x:v>Not contacted / unconfirmed</x:v>
      </x:c>
      <x:c r="AE1584" s="3" t="str">
        <x:v>No</x:v>
      </x:c>
      <x:c r="AF1584" s="3" t="str">
        <x:v>No</x:v>
      </x:c>
      <x:c r="AG1584" s="3"/>
      <x:c r="AH1584" s="3"/>
      <x:c r="AI1584" s="18"/>
      <x:c r="AJ1584" s="3" t="str">
        <x:v>CF2500-B754CE76A592</x:v>
      </x:c>
      <x:c r="AK1584" s="3" t="str">
        <x:v>unsecured_real_estate_business</x:v>
      </x:c>
      <x:c r="AL1584" s="19" t="n">
        <x:v>100000</x:v>
      </x:c>
      <x:c r="AM1584" s="19" t="n">
        <x:v>500000</x:v>
      </x:c>
      <x:c r="AN1584" s="3" t="str">
        <x:v>https://www.fundingpilot.com/</x:v>
      </x:c>
      <x:c r="AO1584" s="3" t="str">
        <x:v>public_directory.jsonl</x:v>
      </x:c>
      <x:c r="AP1584" s="19"/>
    </x:row>
    <x:row r="1585" ht="36" customHeight="1">
      <x:c r="A1585" s="23" t="n">
        <x:v>1584</x:v>
      </x:c>
      <x:c r="B1585" s="15" t="str">
        <x:v>FundKite</x:v>
      </x:c>
      <x:c r="C1585" s="15"/>
      <x:c r="D1585" s="15" t="str">
        <x:v>Operating-capital lender, broker or finance route; eligibility unconfirmed</x:v>
      </x:c>
      <x:c r="E1585" s="15" t="str">
        <x:v>Operating-capital eligibility inquiry</x:v>
      </x:c>
      <x:c r="F1585" s="17" t="str">
        <x:v>New</x:v>
      </x:c>
      <x:c r="G1585" s="24" t="str">
        <x:v>apply@fundkite.com</x:v>
      </x:c>
      <x:c r="H1585" s="24" t="str">
        <x:v>+18775025003</x:v>
      </x:c>
      <x:c r="I1585" s="24" t="str">
        <x:v>https://fundkite.com/</x:v>
      </x:c>
      <x:c r="J1585" s="16"/>
      <x:c r="K1585" s="16"/>
      <x:c r="L1585" s="16" t="str">
        <x:v>firm_business_routing</x:v>
      </x:c>
      <x:c r="M1585" s="16" t="str">
        <x:v>https://fundkite.com/</x:v>
      </x:c>
      <x:c r="N1585" s="16" t="str">
        <x:v>Published source range; proposed allocation and structure require confirmation</x:v>
      </x:c>
      <x:c r="O1585" s="20"/>
      <x:c r="P1585" s="20" t="n">
        <x:v>2000000</x:v>
      </x:c>
      <x:c r="Q1585" s="25" t="str">
        <x:v>No direct corporate-capital range established in checked source</x:v>
      </x:c>
      <x:c r="R1585" s="25" t="str">
        <x:v>Company says revenue receipts purchase with remittances tied to cash flow; not blanket factoring eligibility for contingent fees.</x:v>
      </x:c>
      <x:c r="S1585" s="25"/>
      <x:c r="T1585" s="25" t="str">
        <x:v>Confirm $100K-$500K ticket, company-stage and sector eligibility, investment authority, available allocation and proposed terms.</x:v>
      </x:c>
      <x:c r="U1585" s="25" t="str">
        <x:v>https://fundkite.com/
https://fundkite.com/frequently-asked-questions/
https://fundkite.com/apply-now-2/tyqual-2/
https://fundkite.com/about-us/
https://www.privatelendersdirectory.com/united-states/miami/real-estate-investment-lending/fundkite-direct</x:v>
      </x:c>
      <x:c r="V1585" s="26" t="d">
        <x:v>2026-10-02T00:00:00.000Z</x:v>
      </x:c>
      <x:c r="W1585" s="26" t="d">
        <x:v>2026-09-30T00:00:00.000Z</x:v>
      </x:c>
      <x:c r="X1585" s="25" t="str">
        <x:v>Saved public company, industry-directory or regulatory source; source date retained</x:v>
      </x:c>
      <x:c r="Y1585" s="25" t="str">
        <x:v>https://fundkite.com/</x:v>
      </x:c>
      <x:c r="Z1585" s="25" t="str">
        <x:v>https://fundkite.com/</x:v>
      </x:c>
      <x:c r="AA1585" s="25" t="str">
        <x:v>[]</x:v>
      </x:c>
      <x:c r="AB1585" s="3" t="str">
        <x:v>Existing CapitalForge research, newly screened for this campaign</x:v>
      </x:c>
      <x:c r="AC1585" s="3" t="str">
        <x:v>unverified</x:v>
      </x:c>
      <x:c r="AD1585" s="3" t="str">
        <x:v>Not contacted / unconfirmed</x:v>
      </x:c>
      <x:c r="AE1585" s="3" t="str">
        <x:v>No</x:v>
      </x:c>
      <x:c r="AF1585" s="3" t="str">
        <x:v>No</x:v>
      </x:c>
      <x:c r="AG1585" s="3"/>
      <x:c r="AH1585" s="3" t="str">
        <x:v>FUNDKITE DIRECT</x:v>
      </x:c>
      <x:c r="AI1585" s="18"/>
      <x:c r="AJ1585" s="3" t="str">
        <x:v>CF2500-39436019F462</x:v>
      </x:c>
      <x:c r="AK1585" s="3" t="str">
        <x:v>revenue_based</x:v>
      </x:c>
      <x:c r="AL1585" s="19" t="n">
        <x:v>100000</x:v>
      </x:c>
      <x:c r="AM1585" s="19" t="n">
        <x:v>500000</x:v>
      </x:c>
      <x:c r="AN1585" s="3" t="str">
        <x:v>https://fundkite.com/</x:v>
      </x:c>
      <x:c r="AO1585" s="3" t="str">
        <x:v>public_directory.jsonl</x:v>
      </x:c>
      <x:c r="AP1585" s="19"/>
    </x:row>
    <x:row r="1586" ht="36" customHeight="1">
      <x:c r="A1586" s="23" t="n">
        <x:v>1585</x:v>
      </x:c>
      <x:c r="B1586" s="15" t="str">
        <x:v>Gold Funding Group</x:v>
      </x:c>
      <x:c r="C1586" s="15"/>
      <x:c r="D1586" s="15" t="str">
        <x:v>Operating-capital lender, broker or finance route; eligibility unconfirmed</x:v>
      </x:c>
      <x:c r="E1586" s="15" t="str">
        <x:v>Operating-capital eligibility inquiry</x:v>
      </x:c>
      <x:c r="F1586" s="17" t="str">
        <x:v>New</x:v>
      </x:c>
      <x:c r="G1586" s="24" t="str">
        <x:v>info@goldfundinggroup.com</x:v>
      </x:c>
      <x:c r="H1586" s="24" t="str">
        <x:v>+18008181321</x:v>
      </x:c>
      <x:c r="I1586" s="24" t="str">
        <x:v>https://goldfundinggroup.com/</x:v>
      </x:c>
      <x:c r="J1586" s="16"/>
      <x:c r="K1586" s="16"/>
      <x:c r="L1586" s="16" t="str">
        <x:v>firm_business_routing</x:v>
      </x:c>
      <x:c r="M1586" s="16" t="str">
        <x:v>https://goldfundinggroup.com/</x:v>
      </x:c>
      <x:c r="N1586" s="16" t="str">
        <x:v>Published source range; proposed allocation and structure require confirmation</x:v>
      </x:c>
      <x:c r="O1586" s="20"/>
      <x:c r="P1586" s="20" t="n">
        <x:v>1000000</x:v>
      </x:c>
      <x:c r="Q1586" s="25" t="str">
        <x:v>No direct corporate-capital range established in checked source</x:v>
      </x:c>
      <x:c r="R1586" s="25" t="str">
        <x:v>Published program eligibility requires underwriting; available cash and borrower approval unverified.</x:v>
      </x:c>
      <x:c r="S1586" s="25"/>
      <x:c r="T1586" s="25" t="str">
        <x:v>Confirm $100K-$500K ticket, company-stage and sector eligibility, investment authority, available allocation and proposed terms.</x:v>
      </x:c>
      <x:c r="U1586" s="25" t="str">
        <x:v>https://goldfundinggroup.com/
https://goldfundinggroup.com/funding-solutions/working-capital/
https://goldfundinggroup.com/contact/</x:v>
      </x:c>
      <x:c r="V1586" s="26" t="d">
        <x:v>2026-10-02T00:00:00.000Z</x:v>
      </x:c>
      <x:c r="W1586" s="26" t="d">
        <x:v>2026-09-30T00:00:00.000Z</x:v>
      </x:c>
      <x:c r="X1586" s="25" t="str">
        <x:v>Saved public company, industry-directory or regulatory source; source date retained</x:v>
      </x:c>
      <x:c r="Y1586" s="25" t="str">
        <x:v>https://goldfundinggroup.com/</x:v>
      </x:c>
      <x:c r="Z1586" s="25" t="str">
        <x:v>https://goldfundinggroup.com/</x:v>
      </x:c>
      <x:c r="AA1586" s="25" t="str">
        <x:v>[]</x:v>
      </x:c>
      <x:c r="AB1586" s="3" t="str">
        <x:v>Existing CapitalForge research, newly screened for this campaign</x:v>
      </x:c>
      <x:c r="AC1586" s="3" t="str">
        <x:v>unverified</x:v>
      </x:c>
      <x:c r="AD1586" s="3" t="str">
        <x:v>Not contacted / unconfirmed</x:v>
      </x:c>
      <x:c r="AE1586" s="3" t="str">
        <x:v>No</x:v>
      </x:c>
      <x:c r="AF1586" s="3" t="str">
        <x:v>No</x:v>
      </x:c>
      <x:c r="AG1586" s="3"/>
      <x:c r="AH1586" s="3"/>
      <x:c r="AI1586" s="18"/>
      <x:c r="AJ1586" s="3" t="str">
        <x:v>CF2500-57B1F5664BDF</x:v>
      </x:c>
      <x:c r="AK1586" s="3" t="str">
        <x:v>working_capital</x:v>
      </x:c>
      <x:c r="AL1586" s="19" t="n">
        <x:v>100000</x:v>
      </x:c>
      <x:c r="AM1586" s="19" t="n">
        <x:v>500000</x:v>
      </x:c>
      <x:c r="AN1586" s="3" t="str">
        <x:v>https://goldfundinggroup.com/</x:v>
      </x:c>
      <x:c r="AO1586" s="3" t="str">
        <x:v>public_directory.jsonl</x:v>
      </x:c>
      <x:c r="AP1586" s="19"/>
    </x:row>
    <x:row r="1587" ht="36" customHeight="1">
      <x:c r="A1587" s="23" t="n">
        <x:v>1586</x:v>
      </x:c>
      <x:c r="B1587" s="15" t="str">
        <x:v>Good Funding</x:v>
      </x:c>
      <x:c r="C1587" s="15"/>
      <x:c r="D1587" s="15" t="str">
        <x:v>Operating-capital lender, broker or finance route; eligibility unconfirmed</x:v>
      </x:c>
      <x:c r="E1587" s="15" t="str">
        <x:v>Operating-capital eligibility inquiry</x:v>
      </x:c>
      <x:c r="F1587" s="17" t="str">
        <x:v>New</x:v>
      </x:c>
      <x:c r="G1587" s="24" t="str">
        <x:v>info@goodfunding.com</x:v>
      </x:c>
      <x:c r="H1587" s="24" t="str">
        <x:v>+18889088101</x:v>
      </x:c>
      <x:c r="I1587" s="24" t="str">
        <x:v>https://www.goodfunding.com/</x:v>
      </x:c>
      <x:c r="J1587" s="16"/>
      <x:c r="K1587" s="16"/>
      <x:c r="L1587" s="16" t="str">
        <x:v>firm_business_routing</x:v>
      </x:c>
      <x:c r="M1587" s="16" t="str">
        <x:v>https://www.goodfunding.com/</x:v>
      </x:c>
      <x:c r="N1587" s="16" t="str">
        <x:v>Published source range; proposed allocation and structure require confirmation</x:v>
      </x:c>
      <x:c r="O1587" s="20"/>
      <x:c r="P1587" s="20" t="n">
        <x:v>500000</x:v>
      </x:c>
      <x:c r="Q1587" s="25" t="str">
        <x:v>No direct corporate-capital range established in checked source</x:v>
      </x:c>
      <x:c r="R1587" s="25" t="str">
        <x:v>Advertises short-term working-capital funding up to $500K.</x:v>
      </x:c>
      <x:c r="S1587" s="25"/>
      <x:c r="T1587" s="25" t="str">
        <x:v>Confirm $100K-$500K ticket, company-stage and sector eligibility, investment authority, available allocation and proposed terms.</x:v>
      </x:c>
      <x:c r="U1587" s="25" t="str">
        <x:v>https://www.goodfunding.com/
https://www.goodfunding.com/workingcapital</x:v>
      </x:c>
      <x:c r="V1587" s="26" t="d">
        <x:v>2026-10-02T00:00:00.000Z</x:v>
      </x:c>
      <x:c r="W1587" s="26" t="d">
        <x:v>2026-09-30T00:00:00.000Z</x:v>
      </x:c>
      <x:c r="X1587" s="25" t="str">
        <x:v>Saved public company, industry-directory or regulatory source; source date retained</x:v>
      </x:c>
      <x:c r="Y1587" s="25" t="str">
        <x:v>https://www.goodfunding.com/</x:v>
      </x:c>
      <x:c r="Z1587" s="25" t="str">
        <x:v>https://www.goodfunding.com/</x:v>
      </x:c>
      <x:c r="AA1587" s="25" t="str">
        <x:v>[]</x:v>
      </x:c>
      <x:c r="AB1587" s="3" t="str">
        <x:v>Existing CapitalForge research, newly screened for this campaign</x:v>
      </x:c>
      <x:c r="AC1587" s="3" t="str">
        <x:v>unverified</x:v>
      </x:c>
      <x:c r="AD1587" s="3" t="str">
        <x:v>Not contacted / unconfirmed</x:v>
      </x:c>
      <x:c r="AE1587" s="3" t="str">
        <x:v>No</x:v>
      </x:c>
      <x:c r="AF1587" s="3" t="str">
        <x:v>No</x:v>
      </x:c>
      <x:c r="AG1587" s="3"/>
      <x:c r="AH1587" s="3"/>
      <x:c r="AI1587" s="18"/>
      <x:c r="AJ1587" s="3" t="str">
        <x:v>CF2500-C1E7F6BECF78</x:v>
      </x:c>
      <x:c r="AK1587" s="3" t="str">
        <x:v>working_capital</x:v>
      </x:c>
      <x:c r="AL1587" s="19" t="n">
        <x:v>100000</x:v>
      </x:c>
      <x:c r="AM1587" s="19" t="n">
        <x:v>500000</x:v>
      </x:c>
      <x:c r="AN1587" s="3" t="str">
        <x:v>https://www.goodfunding.com/</x:v>
      </x:c>
      <x:c r="AO1587" s="3" t="str">
        <x:v>public_directory.jsonl</x:v>
      </x:c>
      <x:c r="AP1587" s="19"/>
    </x:row>
    <x:row r="1588" ht="36" customHeight="1">
      <x:c r="A1588" s="23" t="n">
        <x:v>1587</x:v>
      </x:c>
      <x:c r="B1588" s="15" t="str">
        <x:v>Greenbox Capital</x:v>
      </x:c>
      <x:c r="C1588" s="15"/>
      <x:c r="D1588" s="15" t="str">
        <x:v>Operating-capital lender, broker or finance route; eligibility unconfirmed</x:v>
      </x:c>
      <x:c r="E1588" s="15" t="str">
        <x:v>Operating-capital eligibility inquiry</x:v>
      </x:c>
      <x:c r="F1588" s="17" t="str">
        <x:v>New</x:v>
      </x:c>
      <x:c r="G1588" s="24" t="str">
        <x:v>info@greenboxcapital.com</x:v>
      </x:c>
      <x:c r="H1588" s="24" t="str">
        <x:v>+18554423423</x:v>
      </x:c>
      <x:c r="I1588" s="24" t="str">
        <x:v>https://www.greenboxcapital.com/</x:v>
      </x:c>
      <x:c r="J1588" s="16"/>
      <x:c r="K1588" s="16"/>
      <x:c r="L1588" s="16" t="str">
        <x:v>firm_business_routing</x:v>
      </x:c>
      <x:c r="M1588" s="16" t="str">
        <x:v>https://www.greenboxcapital.com/</x:v>
      </x:c>
      <x:c r="N1588" s="16" t="str">
        <x:v>Published source range; proposed allocation and structure require confirmation</x:v>
      </x:c>
      <x:c r="O1588" s="20" t="n">
        <x:v>3000</x:v>
      </x:c>
      <x:c r="P1588" s="20" t="n">
        <x:v>500000</x:v>
      </x:c>
      <x:c r="Q1588" s="25" t="str">
        <x:v>No direct corporate-capital range established in checked source</x:v>
      </x:c>
      <x:c r="R1588" s="25" t="str">
        <x:v>Published program eligibility requires underwriting; available cash and borrower approval unverified.
Public directory listing. Lender/broker role, available cash, unsecured fulfillment eligibility and equity willingness need direct confirmation. Directory description: MIAMI, FL PRIVATE LENDER Greenbox Capital is a direct funder in the merchant cash advance industry providing small businesses access</x:v>
      </x:c>
      <x:c r="S1588" s="25"/>
      <x:c r="T1588" s="25" t="str">
        <x:v>Confirm $100K-$500K ticket, company-stage and sector eligibility, investment authority, available allocation and proposed terms.</x:v>
      </x:c>
      <x:c r="U1588" s="25" t="str">
        <x:v>https://www.greenboxcapital.com/
https://www.greenboxcapital.com/services/business-loans-for-low-credit-scores/
https://www.greenboxcapital.com/contact/
https://www.privatelendersdirectory.com/united-states/miami/top-level-category/greenbox-capital</x:v>
      </x:c>
      <x:c r="V1588" s="26" t="d">
        <x:v>2026-10-02T00:00:00.000Z</x:v>
      </x:c>
      <x:c r="W1588" s="26" t="d">
        <x:v>2026-09-30T00:00:00.000Z</x:v>
      </x:c>
      <x:c r="X1588" s="25" t="str">
        <x:v>Saved public company, industry-directory or regulatory source; source date retained</x:v>
      </x:c>
      <x:c r="Y1588" s="25" t="str">
        <x:v>https://www.greenboxcapital.com/</x:v>
      </x:c>
      <x:c r="Z1588" s="25" t="str">
        <x:v>https://www.greenboxcapital.com/</x:v>
      </x:c>
      <x:c r="AA1588" s="25" t="str">
        <x:v>[]</x:v>
      </x:c>
      <x:c r="AB1588" s="3" t="str">
        <x:v>Existing CapitalForge research, newly screened for this campaign</x:v>
      </x:c>
      <x:c r="AC1588" s="3" t="str">
        <x:v>unverified</x:v>
      </x:c>
      <x:c r="AD1588" s="3" t="str">
        <x:v>Not contacted / unconfirmed</x:v>
      </x:c>
      <x:c r="AE1588" s="3" t="str">
        <x:v>No</x:v>
      </x:c>
      <x:c r="AF1588" s="3" t="str">
        <x:v>No</x:v>
      </x:c>
      <x:c r="AG1588" s="3"/>
      <x:c r="AH1588" s="3"/>
      <x:c r="AI1588" s="18"/>
      <x:c r="AJ1588" s="3" t="str">
        <x:v>CF2500-0FCC51D72813</x:v>
      </x:c>
      <x:c r="AK1588" s="3" t="str">
        <x:v>working_capital</x:v>
      </x:c>
      <x:c r="AL1588" s="19" t="n">
        <x:v>100000</x:v>
      </x:c>
      <x:c r="AM1588" s="19" t="n">
        <x:v>500000</x:v>
      </x:c>
      <x:c r="AN1588" s="3" t="str">
        <x:v>https://www.greenboxcapital.com/</x:v>
      </x:c>
      <x:c r="AO1588" s="3" t="str">
        <x:v>public_directory.jsonl</x:v>
      </x:c>
      <x:c r="AP1588" s="19"/>
    </x:row>
    <x:row r="1589" ht="36" customHeight="1">
      <x:c r="A1589" s="23" t="n">
        <x:v>1588</x:v>
      </x:c>
      <x:c r="B1589" s="15" t="str">
        <x:v>Greenvest Funding</x:v>
      </x:c>
      <x:c r="C1589" s="15"/>
      <x:c r="D1589" s="15" t="str">
        <x:v>Operating-capital lender, broker or finance route; eligibility unconfirmed</x:v>
      </x:c>
      <x:c r="E1589" s="15" t="str">
        <x:v>Operating-capital eligibility inquiry</x:v>
      </x:c>
      <x:c r="F1589" s="17" t="str">
        <x:v>New</x:v>
      </x:c>
      <x:c r="G1589" s="24" t="str">
        <x:v>info@greenvestfunding.com</x:v>
      </x:c>
      <x:c r="H1589" s="24" t="str">
        <x:v>+15169873686</x:v>
      </x:c>
      <x:c r="I1589" s="24" t="str">
        <x:v>https://www.greenvestfunding.com/</x:v>
      </x:c>
      <x:c r="J1589" s="16"/>
      <x:c r="K1589" s="16"/>
      <x:c r="L1589" s="16" t="str">
        <x:v>firm_business_routing</x:v>
      </x:c>
      <x:c r="M1589" s="16" t="str">
        <x:v>https://www.greenvestfunding.com/</x:v>
      </x:c>
      <x:c r="N1589" s="16" t="str">
        <x:v>Published source range; proposed allocation and structure require confirmation</x:v>
      </x:c>
      <x:c r="O1589" s="20" t="n">
        <x:v>100000</x:v>
      </x:c>
      <x:c r="P1589" s="20" t="n">
        <x:v>5000000</x:v>
      </x:c>
      <x:c r="Q1589" s="25" t="str">
        <x:v>No direct corporate-capital range established in checked source</x:v>
      </x:c>
      <x:c r="R1589" s="25" t="str">
        <x:v>Published program eligibility requires underwriting; available cash and borrower approval unverified.</x:v>
      </x:c>
      <x:c r="S1589" s="25"/>
      <x:c r="T1589" s="25" t="str">
        <x:v>Confirm $100K-$500K ticket, company-stage and sector eligibility, investment authority, available allocation and proposed terms.</x:v>
      </x:c>
      <x:c r="U1589" s="25" t="str">
        <x:v>https://www.greenvestfunding.com/
https://www.greenvestfunding.com/#contact</x:v>
      </x:c>
      <x:c r="V1589" s="26" t="d">
        <x:v>2026-10-02T00:00:00.000Z</x:v>
      </x:c>
      <x:c r="W1589" s="26" t="d">
        <x:v>2026-09-30T00:00:00.000Z</x:v>
      </x:c>
      <x:c r="X1589" s="25" t="str">
        <x:v>Saved public company, industry-directory or regulatory source; source date retained</x:v>
      </x:c>
      <x:c r="Y1589" s="25" t="str">
        <x:v>https://www.greenvestfunding.com/</x:v>
      </x:c>
      <x:c r="Z1589" s="25" t="str">
        <x:v>https://www.greenvestfunding.com/</x:v>
      </x:c>
      <x:c r="AA1589" s="25" t="str">
        <x:v>[]</x:v>
      </x:c>
      <x:c r="AB1589" s="3" t="str">
        <x:v>Existing CapitalForge research, newly screened for this campaign</x:v>
      </x:c>
      <x:c r="AC1589" s="3" t="str">
        <x:v>unverified</x:v>
      </x:c>
      <x:c r="AD1589" s="3" t="str">
        <x:v>Not contacted / unconfirmed</x:v>
      </x:c>
      <x:c r="AE1589" s="3" t="str">
        <x:v>No</x:v>
      </x:c>
      <x:c r="AF1589" s="3" t="str">
        <x:v>No</x:v>
      </x:c>
      <x:c r="AG1589" s="3"/>
      <x:c r="AH1589" s="3"/>
      <x:c r="AI1589" s="18"/>
      <x:c r="AJ1589" s="3" t="str">
        <x:v>CF2500-05C2091DD08D</x:v>
      </x:c>
      <x:c r="AK1589" s="3" t="str">
        <x:v>working_capital</x:v>
      </x:c>
      <x:c r="AL1589" s="19" t="n">
        <x:v>100000</x:v>
      </x:c>
      <x:c r="AM1589" s="19" t="n">
        <x:v>500000</x:v>
      </x:c>
      <x:c r="AN1589" s="3" t="str">
        <x:v>https://www.greenvestfunding.com/</x:v>
      </x:c>
      <x:c r="AO1589" s="3" t="str">
        <x:v>public_directory.jsonl</x:v>
      </x:c>
      <x:c r="AP1589" s="19"/>
    </x:row>
    <x:row r="1590" ht="36" customHeight="1">
      <x:c r="A1590" s="23" t="n">
        <x:v>1589</x:v>
      </x:c>
      <x:c r="B1590" s="15" t="str">
        <x:v>Greenwood Capital Advisors</x:v>
      </x:c>
      <x:c r="C1590" s="15"/>
      <x:c r="D1590" s="15" t="str">
        <x:v>Operating-capital lender, broker or finance route; eligibility unconfirmed</x:v>
      </x:c>
      <x:c r="E1590" s="15" t="str">
        <x:v>Operating-capital eligibility inquiry</x:v>
      </x:c>
      <x:c r="F1590" s="17" t="str">
        <x:v>New</x:v>
      </x:c>
      <x:c r="G1590" s="24" t="str">
        <x:v>info@greenwoodcapital.net</x:v>
      </x:c>
      <x:c r="H1590" s="24" t="str">
        <x:v>+12029730164</x:v>
      </x:c>
      <x:c r="I1590" s="24" t="str">
        <x:v>https://www.greenwoodcapital.net/</x:v>
      </x:c>
      <x:c r="J1590" s="16"/>
      <x:c r="K1590" s="16"/>
      <x:c r="L1590" s="16" t="str">
        <x:v>firm_business_routing</x:v>
      </x:c>
      <x:c r="M1590" s="16" t="str">
        <x:v>https://www.greenwoodcapital.net/</x:v>
      </x:c>
      <x:c r="N1590" s="16" t="str">
        <x:v>Published source range; proposed allocation and structure require confirmation</x:v>
      </x:c>
      <x:c r="O1590" s="20"/>
      <x:c r="P1590" s="20" t="n">
        <x:v>500000</x:v>
      </x:c>
      <x:c r="Q1590" s="25" t="str">
        <x:v>No direct corporate-capital range established in checked source</x:v>
      </x:c>
      <x:c r="R1590" s="25" t="str">
        <x:v>Published program eligibility requires underwriting; available cash and borrower approval unverified.</x:v>
      </x:c>
      <x:c r="S1590" s="25"/>
      <x:c r="T1590" s="25" t="str">
        <x:v>Confirm $100K-$500K ticket, company-stage and sector eligibility, investment authority, available allocation and proposed terms.</x:v>
      </x:c>
      <x:c r="U1590" s="25" t="str">
        <x:v>https://www.greenwoodcapital.net/
https://www.greenwoodcapital.net/commercial-financing/unsecured-business-lines-credit/
https://www.greenwoodcapital.net/contact-us/
http://www.greenwoodcapital.net/contact-us/</x:v>
      </x:c>
      <x:c r="V1590" s="26" t="d">
        <x:v>2026-10-02T00:00:00.000Z</x:v>
      </x:c>
      <x:c r="W1590" s="26" t="d">
        <x:v>2026-09-30T00:00:00.000Z</x:v>
      </x:c>
      <x:c r="X1590" s="25" t="str">
        <x:v>Saved public company, industry-directory or regulatory source; source date retained</x:v>
      </x:c>
      <x:c r="Y1590" s="25" t="str">
        <x:v>https://www.greenwoodcapital.net/</x:v>
      </x:c>
      <x:c r="Z1590" s="25" t="str">
        <x:v>https://www.greenwoodcapital.net/</x:v>
      </x:c>
      <x:c r="AA1590" s="25" t="str">
        <x:v>[]</x:v>
      </x:c>
      <x:c r="AB1590" s="3" t="str">
        <x:v>Existing CapitalForge research, newly screened for this campaign</x:v>
      </x:c>
      <x:c r="AC1590" s="3" t="str">
        <x:v>unverified</x:v>
      </x:c>
      <x:c r="AD1590" s="3" t="str">
        <x:v>Not contacted / unconfirmed</x:v>
      </x:c>
      <x:c r="AE1590" s="3" t="str">
        <x:v>No</x:v>
      </x:c>
      <x:c r="AF1590" s="3" t="str">
        <x:v>No</x:v>
      </x:c>
      <x:c r="AG1590" s="3"/>
      <x:c r="AH1590" s="3"/>
      <x:c r="AI1590" s="18"/>
      <x:c r="AJ1590" s="3" t="str">
        <x:v>CF2500-72984CE0504A</x:v>
      </x:c>
      <x:c r="AK1590" s="3" t="str">
        <x:v>unsecured_business</x:v>
      </x:c>
      <x:c r="AL1590" s="19" t="n">
        <x:v>100000</x:v>
      </x:c>
      <x:c r="AM1590" s="19" t="n">
        <x:v>500000</x:v>
      </x:c>
      <x:c r="AN1590" s="3" t="str">
        <x:v>https://www.greenwoodcapital.net/</x:v>
      </x:c>
      <x:c r="AO1590" s="3" t="str">
        <x:v>public_directory.jsonl</x:v>
      </x:c>
      <x:c r="AP1590" s="19"/>
    </x:row>
    <x:row r="1591" ht="36" customHeight="1">
      <x:c r="A1591" s="23" t="n">
        <x:v>1590</x:v>
      </x:c>
      <x:c r="B1591" s="15" t="str">
        <x:v>Hawthorne Corporate Credit</x:v>
      </x:c>
      <x:c r="C1591" s="15"/>
      <x:c r="D1591" s="15" t="str">
        <x:v>Operating-capital lender, broker or finance route; eligibility unconfirmed</x:v>
      </x:c>
      <x:c r="E1591" s="15" t="str">
        <x:v>Operating-capital eligibility inquiry</x:v>
      </x:c>
      <x:c r="F1591" s="17" t="str">
        <x:v>New</x:v>
      </x:c>
      <x:c r="G1591" s="24" t="str">
        <x:v>info@gohawthorne.com</x:v>
      </x:c>
      <x:c r="H1591" s="24" t="str">
        <x:v>+16465689140</x:v>
      </x:c>
      <x:c r="I1591" s="24" t="str">
        <x:v>https://www.hawthornecorporatecredit.com/</x:v>
      </x:c>
      <x:c r="J1591" s="16"/>
      <x:c r="K1591" s="16"/>
      <x:c r="L1591" s="16" t="str">
        <x:v>firm_business_routing</x:v>
      </x:c>
      <x:c r="M1591" s="16" t="str">
        <x:v>https://www.hawthornecorporatecredit.com/</x:v>
      </x:c>
      <x:c r="N1591" s="16" t="str">
        <x:v>Published source range; proposed allocation and structure require confirmation</x:v>
      </x:c>
      <x:c r="O1591" s="20" t="n">
        <x:v>15000</x:v>
      </x:c>
      <x:c r="P1591" s="20" t="n">
        <x:v>1500000</x:v>
      </x:c>
      <x:c r="Q1591" s="25" t="str">
        <x:v>No direct corporate-capital range established in checked source</x:v>
      </x:c>
      <x:c r="R1591" s="25" t="str">
        <x:v>Public funding limits advertised; actual liquidity and 101XVC approval not verified.</x:v>
      </x:c>
      <x:c r="S1591" s="25"/>
      <x:c r="T1591" s="25" t="str">
        <x:v>Confirm $100K-$500K ticket, company-stage and sector eligibility, investment authority, available allocation and proposed terms.</x:v>
      </x:c>
      <x:c r="U1591" s="25" t="str">
        <x:v>https://www.hawthornecorporatecredit.com/
https://www.hawthornecorporatecredit.com/revenue_based_financing.html
https://www.hawthornecorporatecredit.com/contact.html
https://www.hawthornecorporatecredit.com/page-contact.html
https://www.privatelendersdirectory.com/united-states/new-york/business-lending/hawthrone-business-capital
https://hawthornebc.com/</x:v>
      </x:c>
      <x:c r="V1591" s="26" t="d">
        <x:v>2026-10-02T00:00:00.000Z</x:v>
      </x:c>
      <x:c r="W1591" s="26" t="d">
        <x:v>2026-09-30T00:00:00.000Z</x:v>
      </x:c>
      <x:c r="X1591" s="25" t="str">
        <x:v>Saved public company, industry-directory or regulatory source; source date retained</x:v>
      </x:c>
      <x:c r="Y1591" s="25" t="str">
        <x:v>https://www.hawthornecorporatecredit.com/</x:v>
      </x:c>
      <x:c r="Z1591" s="25" t="str">
        <x:v>https://www.hawthornecorporatecredit.com/</x:v>
      </x:c>
      <x:c r="AA1591" s="25" t="str">
        <x:v>[]</x:v>
      </x:c>
      <x:c r="AB1591" s="3" t="str">
        <x:v>Existing CapitalForge research, newly screened for this campaign</x:v>
      </x:c>
      <x:c r="AC1591" s="3" t="str">
        <x:v>unverified</x:v>
      </x:c>
      <x:c r="AD1591" s="3" t="str">
        <x:v>Not contacted / unconfirmed</x:v>
      </x:c>
      <x:c r="AE1591" s="3" t="str">
        <x:v>No</x:v>
      </x:c>
      <x:c r="AF1591" s="3" t="str">
        <x:v>No</x:v>
      </x:c>
      <x:c r="AG1591" s="3"/>
      <x:c r="AH1591" s="3" t="str">
        <x:v>HAWTHRONE BUSINESS CAPITAL</x:v>
      </x:c>
      <x:c r="AI1591" s="18"/>
      <x:c r="AJ1591" s="3" t="str">
        <x:v>CF2500-A3D45E5AD16E</x:v>
      </x:c>
      <x:c r="AK1591" s="3" t="str">
        <x:v>revenue_based</x:v>
      </x:c>
      <x:c r="AL1591" s="19" t="n">
        <x:v>100000</x:v>
      </x:c>
      <x:c r="AM1591" s="19" t="n">
        <x:v>500000</x:v>
      </x:c>
      <x:c r="AN1591" s="3" t="str">
        <x:v>https://www.hawthornecorporatecredit.com/</x:v>
      </x:c>
      <x:c r="AO1591" s="3" t="str">
        <x:v>public_directory.jsonl</x:v>
      </x:c>
      <x:c r="AP1591" s="19"/>
    </x:row>
    <x:row r="1592" ht="36" customHeight="1">
      <x:c r="A1592" s="23" t="n">
        <x:v>1591</x:v>
      </x:c>
      <x:c r="B1592" s="15" t="str">
        <x:v>Home Run Capital</x:v>
      </x:c>
      <x:c r="C1592" s="15"/>
      <x:c r="D1592" s="15" t="str">
        <x:v>Operating-capital lender, broker or finance route; eligibility unconfirmed</x:v>
      </x:c>
      <x:c r="E1592" s="15" t="str">
        <x:v>Operating-capital eligibility inquiry</x:v>
      </x:c>
      <x:c r="F1592" s="17" t="str">
        <x:v>New</x:v>
      </x:c>
      <x:c r="G1592" s="24" t="str">
        <x:v>info@homeruncapital.com</x:v>
      </x:c>
      <x:c r="H1592" s="24" t="str">
        <x:v>+18884415010</x:v>
      </x:c>
      <x:c r="I1592" s="24" t="str">
        <x:v>https://homeruncapital.com/</x:v>
      </x:c>
      <x:c r="J1592" s="16"/>
      <x:c r="K1592" s="16"/>
      <x:c r="L1592" s="16" t="str">
        <x:v>firm_business_routing</x:v>
      </x:c>
      <x:c r="M1592" s="16" t="str">
        <x:v>https://homeruncapital.com/</x:v>
      </x:c>
      <x:c r="N1592" s="16" t="str">
        <x:v>Published source range; proposed allocation and structure require confirmation</x:v>
      </x:c>
      <x:c r="O1592" s="20"/>
      <x:c r="P1592" s="20" t="n">
        <x:v>1000000</x:v>
      </x:c>
      <x:c r="Q1592" s="25" t="str">
        <x:v>No direct corporate-capital range established in checked source</x:v>
      </x:c>
      <x:c r="R1592" s="25" t="str">
        <x:v>Published program eligibility requires underwriting; available cash and borrower approval unverified.</x:v>
      </x:c>
      <x:c r="S1592" s="25"/>
      <x:c r="T1592" s="25" t="str">
        <x:v>Confirm $100K-$500K ticket, company-stage and sector eligibility, investment authority, available allocation and proposed terms.</x:v>
      </x:c>
      <x:c r="U1592" s="25" t="str">
        <x:v>https://homeruncapital.com/
https://homeruncapital.com/2024/10/31/contact-us/</x:v>
      </x:c>
      <x:c r="V1592" s="26" t="d">
        <x:v>2026-10-02T00:00:00.000Z</x:v>
      </x:c>
      <x:c r="W1592" s="26" t="d">
        <x:v>2026-09-30T00:00:00.000Z</x:v>
      </x:c>
      <x:c r="X1592" s="25" t="str">
        <x:v>Saved public company, industry-directory or regulatory source; source date retained</x:v>
      </x:c>
      <x:c r="Y1592" s="25" t="str">
        <x:v>https://homeruncapital.com/</x:v>
      </x:c>
      <x:c r="Z1592" s="25" t="str">
        <x:v>https://homeruncapital.com/</x:v>
      </x:c>
      <x:c r="AA1592" s="25" t="str">
        <x:v>[]</x:v>
      </x:c>
      <x:c r="AB1592" s="3" t="str">
        <x:v>Existing CapitalForge research, newly screened for this campaign</x:v>
      </x:c>
      <x:c r="AC1592" s="3" t="str">
        <x:v>unverified</x:v>
      </x:c>
      <x:c r="AD1592" s="3" t="str">
        <x:v>Not contacted / unconfirmed</x:v>
      </x:c>
      <x:c r="AE1592" s="3" t="str">
        <x:v>No</x:v>
      </x:c>
      <x:c r="AF1592" s="3" t="str">
        <x:v>No</x:v>
      </x:c>
      <x:c r="AG1592" s="3"/>
      <x:c r="AH1592" s="3"/>
      <x:c r="AI1592" s="18"/>
      <x:c r="AJ1592" s="3" t="str">
        <x:v>CF2500-F57F5B42A5AF</x:v>
      </x:c>
      <x:c r="AK1592" s="3" t="str">
        <x:v>unsecured_business</x:v>
      </x:c>
      <x:c r="AL1592" s="19" t="n">
        <x:v>100000</x:v>
      </x:c>
      <x:c r="AM1592" s="19" t="n">
        <x:v>500000</x:v>
      </x:c>
      <x:c r="AN1592" s="3" t="str">
        <x:v>https://homeruncapital.com/</x:v>
      </x:c>
      <x:c r="AO1592" s="3" t="str">
        <x:v>public_directory.jsonl</x:v>
      </x:c>
      <x:c r="AP1592" s="19"/>
    </x:row>
    <x:row r="1593" ht="36" customHeight="1">
      <x:c r="A1593" s="23" t="n">
        <x:v>1592</x:v>
      </x:c>
      <x:c r="B1593" s="15" t="str">
        <x:v>Leading Edge Commercial Capital</x:v>
      </x:c>
      <x:c r="C1593" s="15"/>
      <x:c r="D1593" s="15" t="str">
        <x:v>Operating-capital lender, broker or finance route; eligibility unconfirmed</x:v>
      </x:c>
      <x:c r="E1593" s="15" t="str">
        <x:v>Operating-capital eligibility inquiry</x:v>
      </x:c>
      <x:c r="F1593" s="17" t="str">
        <x:v>New</x:v>
      </x:c>
      <x:c r="G1593" s="24" t="str">
        <x:v>info@leadingedgecc.com</x:v>
      </x:c>
      <x:c r="H1593" s="24" t="str">
        <x:v>+17209261680</x:v>
      </x:c>
      <x:c r="I1593" s="24" t="str">
        <x:v>https://leadingedgecc.com/</x:v>
      </x:c>
      <x:c r="J1593" s="16"/>
      <x:c r="K1593" s="16"/>
      <x:c r="L1593" s="16" t="str">
        <x:v>firm_business_routing</x:v>
      </x:c>
      <x:c r="M1593" s="16" t="str">
        <x:v>https://leadingedgecc.com/</x:v>
      </x:c>
      <x:c r="N1593" s="16" t="str">
        <x:v>Published source range; proposed allocation and structure require confirmation</x:v>
      </x:c>
      <x:c r="O1593" s="20" t="n">
        <x:v>100000</x:v>
      </x:c>
      <x:c r="P1593" s="20" t="n">
        <x:v>500000</x:v>
      </x:c>
      <x:c r="Q1593" s="25" t="str">
        <x:v>No direct corporate-capital range established in checked source</x:v>
      </x:c>
      <x:c r="R1593" s="25" t="str">
        <x:v>Established annual revenues over $1M indicated.
Business Loans &amp; Commercial Financing | Leading Edge Commercial Capital Home SBA Financing Solutions SBA 7(a) SBA 504 SBA Express Commercial Real Estate Financing Construction &amp; Development Financing Working Capital &amp; Speciality Financing Referral Partner Industries Insights Financing Spotlights Select Page WHERE CAPITAL MEETS STRATEGY. Customized Financing Solutions. Helping business owners, commercial real estate investors, developers, and builders make informed capital decisions through strategic guidance and customized financing solutions. Access to banks, non-bank lenders, private credit, and specialty finance solutions. SCHEDULE A CONSULT</x:v>
      </x:c>
      <x:c r="S1593" s="25"/>
      <x:c r="T1593" s="25" t="str">
        <x:v>Confirm $100K-$500K ticket, company-stage and sector eligibility, investment authority, available allocation and proposed terms.</x:v>
      </x:c>
      <x:c r="U1593" s="25" t="str">
        <x:v>https://leadingedgecc.com/
https://leadingedgecc.com/financial-options/unsecured-business-lines-of-credit/
https://leadingedgecc.com/contact-us/
https://leadingedgecc.com/about-us/
https://nplaconference.com/private-lending-directory/page/9/
https://www.leadingedgecc.com</x:v>
      </x:c>
      <x:c r="V1593" s="26" t="d">
        <x:v>2026-10-02T00:00:00.000Z</x:v>
      </x:c>
      <x:c r="W1593" s="26" t="d">
        <x:v>2026-09-30T00:00:00.000Z</x:v>
      </x:c>
      <x:c r="X1593" s="25" t="str">
        <x:v>Saved public company, industry-directory or regulatory source; source date retained</x:v>
      </x:c>
      <x:c r="Y1593" s="25" t="str">
        <x:v>https://leadingedgecc.com/</x:v>
      </x:c>
      <x:c r="Z1593" s="25" t="str">
        <x:v>https://leadingedgecc.com/</x:v>
      </x:c>
      <x:c r="AA1593" s="25" t="str">
        <x:v>[]</x:v>
      </x:c>
      <x:c r="AB1593" s="3" t="str">
        <x:v>Existing CapitalForge research, newly screened for this campaign</x:v>
      </x:c>
      <x:c r="AC1593" s="3" t="str">
        <x:v>unverified</x:v>
      </x:c>
      <x:c r="AD1593" s="3" t="str">
        <x:v>Not contacted / unconfirmed</x:v>
      </x:c>
      <x:c r="AE1593" s="3" t="str">
        <x:v>No</x:v>
      </x:c>
      <x:c r="AF1593" s="3" t="str">
        <x:v>No</x:v>
      </x:c>
      <x:c r="AG1593" s="3"/>
      <x:c r="AH1593" s="3"/>
      <x:c r="AI1593" s="18"/>
      <x:c r="AJ1593" s="3" t="str">
        <x:v>CF2500-EB18CFD31CAE</x:v>
      </x:c>
      <x:c r="AK1593" s="3" t="str">
        <x:v>unsecured_business</x:v>
      </x:c>
      <x:c r="AL1593" s="19" t="n">
        <x:v>100000</x:v>
      </x:c>
      <x:c r="AM1593" s="19" t="n">
        <x:v>500000</x:v>
      </x:c>
      <x:c r="AN1593" s="3" t="str">
        <x:v>https://leadingedgecc.com/</x:v>
      </x:c>
      <x:c r="AO1593" s="3" t="str">
        <x:v>public_directory.jsonl</x:v>
      </x:c>
      <x:c r="AP1593" s="19"/>
    </x:row>
    <x:row r="1594" ht="36" customHeight="1">
      <x:c r="A1594" s="23" t="n">
        <x:v>1593</x:v>
      </x:c>
      <x:c r="B1594" s="15" t="str">
        <x:v>MACO Financial</x:v>
      </x:c>
      <x:c r="C1594" s="15"/>
      <x:c r="D1594" s="15" t="str">
        <x:v>Operating-capital lender, broker or finance route; eligibility unconfirmed</x:v>
      </x:c>
      <x:c r="E1594" s="15" t="str">
        <x:v>Operating-capital eligibility inquiry</x:v>
      </x:c>
      <x:c r="F1594" s="17" t="str">
        <x:v>New</x:v>
      </x:c>
      <x:c r="G1594" s="24" t="str">
        <x:v>info@macofinancial.com</x:v>
      </x:c>
      <x:c r="H1594" s="24" t="str">
        <x:v>+14146000123</x:v>
      </x:c>
      <x:c r="I1594" s="24" t="str">
        <x:v>https://www.macofinancial.com/</x:v>
      </x:c>
      <x:c r="J1594" s="16"/>
      <x:c r="K1594" s="16"/>
      <x:c r="L1594" s="16" t="str">
        <x:v>firm_business_routing</x:v>
      </x:c>
      <x:c r="M1594" s="16" t="str">
        <x:v>https://www.macofinancial.com/</x:v>
      </x:c>
      <x:c r="N1594" s="16" t="str">
        <x:v>Published source range; proposed allocation and structure require confirmation</x:v>
      </x:c>
      <x:c r="O1594" s="20" t="n">
        <x:v>20000</x:v>
      </x:c>
      <x:c r="P1594" s="20" t="n">
        <x:v>500000</x:v>
      </x:c>
      <x:c r="Q1594" s="25" t="str">
        <x:v>No direct corporate-capital range established in checked source</x:v>
      </x:c>
      <x:c r="R1594" s="25" t="str">
        <x:v>Business-gap financing as distinct from real estate lien products.</x:v>
      </x:c>
      <x:c r="S1594" s="25"/>
      <x:c r="T1594" s="25" t="str">
        <x:v>Confirm $100K-$500K ticket, company-stage and sector eligibility, investment authority, available allocation and proposed terms.</x:v>
      </x:c>
      <x:c r="U1594" s="25" t="str">
        <x:v>https://www.macofinancial.com/
https://www.macofinancial.com/business-funding
https://www.macofinancial.com/contact</x:v>
      </x:c>
      <x:c r="V1594" s="26" t="d">
        <x:v>2026-10-02T00:00:00.000Z</x:v>
      </x:c>
      <x:c r="W1594" s="26" t="d">
        <x:v>2026-09-30T00:00:00.000Z</x:v>
      </x:c>
      <x:c r="X1594" s="25" t="str">
        <x:v>Saved public company, industry-directory or regulatory source; source date retained</x:v>
      </x:c>
      <x:c r="Y1594" s="25" t="str">
        <x:v>https://www.macofinancial.com/</x:v>
      </x:c>
      <x:c r="Z1594" s="25" t="str">
        <x:v>https://www.macofinancial.com/</x:v>
      </x:c>
      <x:c r="AA1594" s="25" t="str">
        <x:v>[]</x:v>
      </x:c>
      <x:c r="AB1594" s="3" t="str">
        <x:v>Existing CapitalForge research, newly screened for this campaign</x:v>
      </x:c>
      <x:c r="AC1594" s="3" t="str">
        <x:v>unverified</x:v>
      </x:c>
      <x:c r="AD1594" s="3" t="str">
        <x:v>Not contacted / unconfirmed</x:v>
      </x:c>
      <x:c r="AE1594" s="3" t="str">
        <x:v>No</x:v>
      </x:c>
      <x:c r="AF1594" s="3" t="str">
        <x:v>No</x:v>
      </x:c>
      <x:c r="AG1594" s="3"/>
      <x:c r="AH1594" s="3"/>
      <x:c r="AI1594" s="18"/>
      <x:c r="AJ1594" s="3" t="str">
        <x:v>CF2500-DFFA4BB72FF9</x:v>
      </x:c>
      <x:c r="AK1594" s="3" t="str">
        <x:v>unsecured_business</x:v>
      </x:c>
      <x:c r="AL1594" s="19" t="n">
        <x:v>100000</x:v>
      </x:c>
      <x:c r="AM1594" s="19" t="n">
        <x:v>500000</x:v>
      </x:c>
      <x:c r="AN1594" s="3" t="str">
        <x:v>https://www.macofinancial.com/</x:v>
      </x:c>
      <x:c r="AO1594" s="3" t="str">
        <x:v>public_directory.jsonl</x:v>
      </x:c>
      <x:c r="AP1594" s="19"/>
    </x:row>
    <x:row r="1595" ht="36" customHeight="1">
      <x:c r="A1595" s="23" t="n">
        <x:v>1594</x:v>
      </x:c>
      <x:c r="B1595" s="15" t="str">
        <x:v>Muth Capital</x:v>
      </x:c>
      <x:c r="C1595" s="15"/>
      <x:c r="D1595" s="15" t="str">
        <x:v>Operating-capital lender, broker or finance route; eligibility unconfirmed</x:v>
      </x:c>
      <x:c r="E1595" s="15" t="str">
        <x:v>Operating-capital eligibility inquiry</x:v>
      </x:c>
      <x:c r="F1595" s="17" t="str">
        <x:v>New</x:v>
      </x:c>
      <x:c r="G1595" s="24" t="str">
        <x:v>info@muthcapital.com</x:v>
      </x:c>
      <x:c r="H1595" s="24" t="str">
        <x:v>+19149992855</x:v>
      </x:c>
      <x:c r="I1595" s="24" t="str">
        <x:v>https://www.muthcapital.com/</x:v>
      </x:c>
      <x:c r="J1595" s="16"/>
      <x:c r="K1595" s="16"/>
      <x:c r="L1595" s="16" t="str">
        <x:v>firm_business_routing</x:v>
      </x:c>
      <x:c r="M1595" s="16" t="str">
        <x:v>https://www.muthcapital.com/</x:v>
      </x:c>
      <x:c r="N1595" s="16" t="str">
        <x:v>Published source range; proposed allocation and structure require confirmation</x:v>
      </x:c>
      <x:c r="O1595" s="20" t="n">
        <x:v>100000</x:v>
      </x:c>
      <x:c r="P1595" s="20" t="n">
        <x:v>500000</x:v>
      </x:c>
      <x:c r="Q1595" s="25" t="str">
        <x:v>No direct corporate-capital range established in checked source</x:v>
      </x:c>
      <x:c r="R1595" s="25" t="str">
        <x:v>Published program eligibility requires underwriting; available cash and borrower approval unverified.</x:v>
      </x:c>
      <x:c r="S1595" s="25"/>
      <x:c r="T1595" s="25" t="str">
        <x:v>Confirm $100K-$500K ticket, company-stage and sector eligibility, investment authority, available allocation and proposed terms.</x:v>
      </x:c>
      <x:c r="U1595" s="25" t="str">
        <x:v>https://www.muthcapital.com/
https://www.muthcapital.com/financial-options/unsecured-business-lines-of-credit/
https://www.muthcapital.com/contact-us/</x:v>
      </x:c>
      <x:c r="V1595" s="26" t="d">
        <x:v>2026-10-02T00:00:00.000Z</x:v>
      </x:c>
      <x:c r="W1595" s="26" t="d">
        <x:v>2026-09-30T00:00:00.000Z</x:v>
      </x:c>
      <x:c r="X1595" s="25" t="str">
        <x:v>Saved public company, industry-directory or regulatory source; source date retained</x:v>
      </x:c>
      <x:c r="Y1595" s="25" t="str">
        <x:v>https://www.muthcapital.com/</x:v>
      </x:c>
      <x:c r="Z1595" s="25" t="str">
        <x:v>https://www.muthcapital.com/</x:v>
      </x:c>
      <x:c r="AA1595" s="25" t="str">
        <x:v>[]</x:v>
      </x:c>
      <x:c r="AB1595" s="3" t="str">
        <x:v>Existing CapitalForge research, newly screened for this campaign</x:v>
      </x:c>
      <x:c r="AC1595" s="3" t="str">
        <x:v>unverified</x:v>
      </x:c>
      <x:c r="AD1595" s="3" t="str">
        <x:v>Not contacted / unconfirmed</x:v>
      </x:c>
      <x:c r="AE1595" s="3" t="str">
        <x:v>No</x:v>
      </x:c>
      <x:c r="AF1595" s="3" t="str">
        <x:v>No</x:v>
      </x:c>
      <x:c r="AG1595" s="3"/>
      <x:c r="AH1595" s="3"/>
      <x:c r="AI1595" s="18"/>
      <x:c r="AJ1595" s="3" t="str">
        <x:v>CF2500-86072F149EBC</x:v>
      </x:c>
      <x:c r="AK1595" s="3" t="str">
        <x:v>unsecured_business</x:v>
      </x:c>
      <x:c r="AL1595" s="19" t="n">
        <x:v>100000</x:v>
      </x:c>
      <x:c r="AM1595" s="19" t="n">
        <x:v>500000</x:v>
      </x:c>
      <x:c r="AN1595" s="3" t="str">
        <x:v>https://www.muthcapital.com/</x:v>
      </x:c>
      <x:c r="AO1595" s="3" t="str">
        <x:v>public_directory.jsonl</x:v>
      </x:c>
      <x:c r="AP1595" s="19"/>
    </x:row>
    <x:row r="1596" ht="36" customHeight="1">
      <x:c r="A1596" s="23" t="n">
        <x:v>1595</x:v>
      </x:c>
      <x:c r="B1596" s="15" t="str">
        <x:v>National Funding</x:v>
      </x:c>
      <x:c r="C1596" s="15"/>
      <x:c r="D1596" s="15" t="str">
        <x:v>Operating-capital lender, broker or finance route; eligibility unconfirmed</x:v>
      </x:c>
      <x:c r="E1596" s="15" t="str">
        <x:v>Operating-capital eligibility inquiry</x:v>
      </x:c>
      <x:c r="F1596" s="17" t="str">
        <x:v>New</x:v>
      </x:c>
      <x:c r="G1596" s="24" t="str">
        <x:v>apply@nationalfunding.com</x:v>
      </x:c>
      <x:c r="H1596" s="24" t="str">
        <x:v>+18887332383</x:v>
      </x:c>
      <x:c r="I1596" s="24" t="str">
        <x:v>https://www.nationalfunding.com/</x:v>
      </x:c>
      <x:c r="J1596" s="16"/>
      <x:c r="K1596" s="16"/>
      <x:c r="L1596" s="16" t="str">
        <x:v>firm_business_routing</x:v>
      </x:c>
      <x:c r="M1596" s="16" t="str">
        <x:v>https://www.nationalfunding.com/</x:v>
      </x:c>
      <x:c r="N1596" s="16" t="str">
        <x:v>Published source range; proposed allocation and structure require confirmation</x:v>
      </x:c>
      <x:c r="O1596" s="20" t="n">
        <x:v>6000</x:v>
      </x:c>
      <x:c r="P1596" s="20" t="n">
        <x:v>500000</x:v>
      </x:c>
      <x:c r="Q1596" s="25" t="str">
        <x:v>No direct corporate-capital range established in checked source</x:v>
      </x:c>
      <x:c r="R1596" s="25" t="str">
        <x:v>Published program eligibility requires underwriting; available cash and borrower approval unverified.</x:v>
      </x:c>
      <x:c r="S1596" s="25"/>
      <x:c r="T1596" s="25" t="str">
        <x:v>Confirm $100K-$500K ticket, company-stage and sector eligibility, investment authority, available allocation and proposed terms.</x:v>
      </x:c>
      <x:c r="U1596" s="25" t="str">
        <x:v>https://www.nationalfunding.com/
https://www.nationalfunding.com/contact</x:v>
      </x:c>
      <x:c r="V1596" s="26" t="d">
        <x:v>2026-10-02T00:00:00.000Z</x:v>
      </x:c>
      <x:c r="W1596" s="26" t="d">
        <x:v>2026-09-30T00:00:00.000Z</x:v>
      </x:c>
      <x:c r="X1596" s="25" t="str">
        <x:v>Saved public company, industry-directory or regulatory source; source date retained</x:v>
      </x:c>
      <x:c r="Y1596" s="25" t="str">
        <x:v>https://www.nationalfunding.com/</x:v>
      </x:c>
      <x:c r="Z1596" s="25" t="str">
        <x:v>https://www.nationalfunding.com/</x:v>
      </x:c>
      <x:c r="AA1596" s="25" t="str">
        <x:v>[]</x:v>
      </x:c>
      <x:c r="AB1596" s="3" t="str">
        <x:v>Existing CapitalForge research, newly screened for this campaign</x:v>
      </x:c>
      <x:c r="AC1596" s="3" t="str">
        <x:v>unverified</x:v>
      </x:c>
      <x:c r="AD1596" s="3" t="str">
        <x:v>Not contacted / unconfirmed</x:v>
      </x:c>
      <x:c r="AE1596" s="3" t="str">
        <x:v>No</x:v>
      </x:c>
      <x:c r="AF1596" s="3" t="str">
        <x:v>No</x:v>
      </x:c>
      <x:c r="AG1596" s="3"/>
      <x:c r="AH1596" s="3"/>
      <x:c r="AI1596" s="18"/>
      <x:c r="AJ1596" s="3" t="str">
        <x:v>CF2500-A49CAC6AA44C</x:v>
      </x:c>
      <x:c r="AK1596" s="3" t="str">
        <x:v>working_capital</x:v>
      </x:c>
      <x:c r="AL1596" s="19" t="n">
        <x:v>100000</x:v>
      </x:c>
      <x:c r="AM1596" s="19" t="n">
        <x:v>500000</x:v>
      </x:c>
      <x:c r="AN1596" s="3" t="str">
        <x:v>https://www.nationalfunding.com/</x:v>
      </x:c>
      <x:c r="AO1596" s="3" t="str">
        <x:v>public_directory.jsonl</x:v>
      </x:c>
      <x:c r="AP1596" s="19"/>
    </x:row>
    <x:row r="1597" ht="36" customHeight="1">
      <x:c r="A1597" s="23" t="n">
        <x:v>1596</x:v>
      </x:c>
      <x:c r="B1597" s="15" t="str">
        <x:v>Polaris Commercial Financing Group</x:v>
      </x:c>
      <x:c r="C1597" s="15"/>
      <x:c r="D1597" s="15" t="str">
        <x:v>Operating-capital lender, broker or finance route; eligibility unconfirmed</x:v>
      </x:c>
      <x:c r="E1597" s="15" t="str">
        <x:v>Operating-capital eligibility inquiry</x:v>
      </x:c>
      <x:c r="F1597" s="17" t="str">
        <x:v>New</x:v>
      </x:c>
      <x:c r="G1597" s="24" t="str">
        <x:v>info@polariscfg.com</x:v>
      </x:c>
      <x:c r="H1597" s="24" t="str">
        <x:v>+18172007811</x:v>
      </x:c>
      <x:c r="I1597" s="24" t="str">
        <x:v>https://polariscfg.com/</x:v>
      </x:c>
      <x:c r="J1597" s="16"/>
      <x:c r="K1597" s="16"/>
      <x:c r="L1597" s="16" t="str">
        <x:v>firm_business_routing</x:v>
      </x:c>
      <x:c r="M1597" s="16" t="str">
        <x:v>https://polariscfg.com/</x:v>
      </x:c>
      <x:c r="N1597" s="16" t="str">
        <x:v>Published source range; proposed allocation and structure require confirmation</x:v>
      </x:c>
      <x:c r="O1597" s="20"/>
      <x:c r="P1597" s="20" t="n">
        <x:v>500000</x:v>
      </x:c>
      <x:c r="Q1597" s="25" t="str">
        <x:v>No direct corporate-capital range established in checked source</x:v>
      </x:c>
      <x:c r="R1597" s="25" t="str">
        <x:v>Credit history, business size and revenue determine eligibility.</x:v>
      </x:c>
      <x:c r="S1597" s="25"/>
      <x:c r="T1597" s="25" t="str">
        <x:v>Confirm $100K-$500K ticket, company-stage and sector eligibility, investment authority, available allocation and proposed terms.</x:v>
      </x:c>
      <x:c r="U1597" s="25" t="str">
        <x:v>https://polariscfg.com/
https://polariscfg.com/commercial-financing/unsecured-business-lines-credit/
https://polariscfg.com/contact-us/</x:v>
      </x:c>
      <x:c r="V1597" s="26" t="d">
        <x:v>2026-10-02T00:00:00.000Z</x:v>
      </x:c>
      <x:c r="W1597" s="26" t="d">
        <x:v>2026-09-30T00:00:00.000Z</x:v>
      </x:c>
      <x:c r="X1597" s="25" t="str">
        <x:v>Saved public company, industry-directory or regulatory source; source date retained</x:v>
      </x:c>
      <x:c r="Y1597" s="25" t="str">
        <x:v>https://polariscfg.com/</x:v>
      </x:c>
      <x:c r="Z1597" s="25" t="str">
        <x:v>https://polariscfg.com/</x:v>
      </x:c>
      <x:c r="AA1597" s="25" t="str">
        <x:v>[]</x:v>
      </x:c>
      <x:c r="AB1597" s="3" t="str">
        <x:v>Existing CapitalForge research, newly screened for this campaign</x:v>
      </x:c>
      <x:c r="AC1597" s="3" t="str">
        <x:v>unverified</x:v>
      </x:c>
      <x:c r="AD1597" s="3" t="str">
        <x:v>Not contacted / unconfirmed</x:v>
      </x:c>
      <x:c r="AE1597" s="3" t="str">
        <x:v>No</x:v>
      </x:c>
      <x:c r="AF1597" s="3" t="str">
        <x:v>No</x:v>
      </x:c>
      <x:c r="AG1597" s="3"/>
      <x:c r="AH1597" s="3"/>
      <x:c r="AI1597" s="18"/>
      <x:c r="AJ1597" s="3" t="str">
        <x:v>CF2500-90585276C2A3</x:v>
      </x:c>
      <x:c r="AK1597" s="3" t="str">
        <x:v>unsecured_business</x:v>
      </x:c>
      <x:c r="AL1597" s="19" t="n">
        <x:v>100000</x:v>
      </x:c>
      <x:c r="AM1597" s="19" t="n">
        <x:v>500000</x:v>
      </x:c>
      <x:c r="AN1597" s="3" t="str">
        <x:v>https://polariscfg.com/</x:v>
      </x:c>
      <x:c r="AO1597" s="3" t="str">
        <x:v>public_directory.jsonl</x:v>
      </x:c>
      <x:c r="AP1597" s="19"/>
    </x:row>
    <x:row r="1598" ht="36" customHeight="1">
      <x:c r="A1598" s="23" t="n">
        <x:v>1597</x:v>
      </x:c>
      <x:c r="B1598" s="15" t="str">
        <x:v>Preferred Funding Group</x:v>
      </x:c>
      <x:c r="C1598" s="15"/>
      <x:c r="D1598" s="15" t="str">
        <x:v>Operating-capital lender, broker or finance route; eligibility unconfirmed</x:v>
      </x:c>
      <x:c r="E1598" s="15" t="str">
        <x:v>Operating-capital eligibility inquiry</x:v>
      </x:c>
      <x:c r="F1598" s="17" t="str">
        <x:v>New</x:v>
      </x:c>
      <x:c r="G1598" s="24" t="str">
        <x:v>info@preferredfundinggroup.com</x:v>
      </x:c>
      <x:c r="H1598" s="24" t="str">
        <x:v>+18002492106</x:v>
      </x:c>
      <x:c r="I1598" s="24" t="str">
        <x:v>https://preferredfundinggroup.com/</x:v>
      </x:c>
      <x:c r="J1598" s="16"/>
      <x:c r="K1598" s="16"/>
      <x:c r="L1598" s="16" t="str">
        <x:v>firm_business_routing</x:v>
      </x:c>
      <x:c r="M1598" s="16" t="str">
        <x:v>https://preferredfundinggroup.com/</x:v>
      </x:c>
      <x:c r="N1598" s="16" t="str">
        <x:v>Published source range; proposed allocation and structure require confirmation</x:v>
      </x:c>
      <x:c r="O1598" s="20" t="n">
        <x:v>50000</x:v>
      </x:c>
      <x:c r="P1598" s="20" t="n">
        <x:v>500000</x:v>
      </x:c>
      <x:c r="Q1598" s="25" t="str">
        <x:v>No direct corporate-capital range established in checked source</x:v>
      </x:c>
      <x:c r="R1598" s="25" t="str">
        <x:v>Credit-based funding with published executive contact; finance intermediary role to confirm.</x:v>
      </x:c>
      <x:c r="S1598" s="25"/>
      <x:c r="T1598" s="25" t="str">
        <x:v>Confirm $100K-$500K ticket, company-stage and sector eligibility, investment authority, available allocation and proposed terms.</x:v>
      </x:c>
      <x:c r="U1598" s="25" t="str">
        <x:v>https://preferredfundinggroup.com/
https://preferredfundinggroup.com/about-us/
https://preferredfundinggroup.com/our-funding-specialists/#meettheteam</x:v>
      </x:c>
      <x:c r="V1598" s="26" t="d">
        <x:v>2026-10-02T00:00:00.000Z</x:v>
      </x:c>
      <x:c r="W1598" s="26" t="d">
        <x:v>2026-09-30T00:00:00.000Z</x:v>
      </x:c>
      <x:c r="X1598" s="25" t="str">
        <x:v>Saved public company, industry-directory or regulatory source; source date retained</x:v>
      </x:c>
      <x:c r="Y1598" s="25" t="str">
        <x:v>https://preferredfundinggroup.com/</x:v>
      </x:c>
      <x:c r="Z1598" s="25" t="str">
        <x:v>https://preferredfundinggroup.com/</x:v>
      </x:c>
      <x:c r="AA1598" s="25" t="str">
        <x:v>[]</x:v>
      </x:c>
      <x:c r="AB1598" s="3" t="str">
        <x:v>Existing CapitalForge research, newly screened for this campaign</x:v>
      </x:c>
      <x:c r="AC1598" s="3" t="str">
        <x:v>unverified</x:v>
      </x:c>
      <x:c r="AD1598" s="3" t="str">
        <x:v>Not contacted / unconfirmed</x:v>
      </x:c>
      <x:c r="AE1598" s="3" t="str">
        <x:v>No</x:v>
      </x:c>
      <x:c r="AF1598" s="3" t="str">
        <x:v>No</x:v>
      </x:c>
      <x:c r="AG1598" s="3"/>
      <x:c r="AH1598" s="3"/>
      <x:c r="AI1598" s="18"/>
      <x:c r="AJ1598" s="3" t="str">
        <x:v>CF2500-91B53E8D87A3</x:v>
      </x:c>
      <x:c r="AK1598" s="3" t="str">
        <x:v>unsecured_business</x:v>
      </x:c>
      <x:c r="AL1598" s="19" t="n">
        <x:v>100000</x:v>
      </x:c>
      <x:c r="AM1598" s="19" t="n">
        <x:v>500000</x:v>
      </x:c>
      <x:c r="AN1598" s="3" t="str">
        <x:v>https://preferredfundinggroup.com/</x:v>
      </x:c>
      <x:c r="AO1598" s="3" t="str">
        <x:v>public_directory.jsonl</x:v>
      </x:c>
      <x:c r="AP1598" s="19"/>
    </x:row>
    <x:row r="1599" ht="36" customHeight="1">
      <x:c r="A1599" s="23" t="n">
        <x:v>1598</x:v>
      </x:c>
      <x:c r="B1599" s="15" t="str">
        <x:v>QuickBridge</x:v>
      </x:c>
      <x:c r="C1599" s="15"/>
      <x:c r="D1599" s="15" t="str">
        <x:v>Operating-capital lender, broker or finance route; eligibility unconfirmed</x:v>
      </x:c>
      <x:c r="E1599" s="15" t="str">
        <x:v>Operating-capital eligibility inquiry</x:v>
      </x:c>
      <x:c r="F1599" s="17" t="str">
        <x:v>New</x:v>
      </x:c>
      <x:c r="G1599" s="24" t="str">
        <x:v>info@quickbridge.com</x:v>
      </x:c>
      <x:c r="H1599" s="24" t="str">
        <x:v>+18882339085</x:v>
      </x:c>
      <x:c r="I1599" s="24" t="str">
        <x:v>https://www.quickbridge.com/</x:v>
      </x:c>
      <x:c r="J1599" s="16"/>
      <x:c r="K1599" s="16"/>
      <x:c r="L1599" s="16" t="str">
        <x:v>firm_business_routing</x:v>
      </x:c>
      <x:c r="M1599" s="16" t="str">
        <x:v>https://www.quickbridge.com/</x:v>
      </x:c>
      <x:c r="N1599" s="16" t="str">
        <x:v>Published source range; proposed allocation and structure require confirmation</x:v>
      </x:c>
      <x:c r="O1599" s="20"/>
      <x:c r="P1599" s="20" t="n">
        <x:v>500000</x:v>
      </x:c>
      <x:c r="Q1599" s="25" t="str">
        <x:v>No direct corporate-capital range established in checked source</x:v>
      </x:c>
      <x:c r="R1599" s="25" t="str">
        <x:v>Published program eligibility requires underwriting; available cash and borrower approval unverified.</x:v>
      </x:c>
      <x:c r="S1599" s="25"/>
      <x:c r="T1599" s="25" t="str">
        <x:v>Confirm $100K-$500K ticket, company-stage and sector eligibility, investment authority, available allocation and proposed terms.</x:v>
      </x:c>
      <x:c r="U1599" s="25" t="str">
        <x:v>https://www.quickbridge.com/
https://www.quickbridge.com/small-business-loans/texas/
https://www.quickbridge.com/contact-us/
https://www.quickbridge.com/about-us/
https://www.quickbridge.com/terms-conditions/</x:v>
      </x:c>
      <x:c r="V1599" s="26" t="d">
        <x:v>2026-10-02T00:00:00.000Z</x:v>
      </x:c>
      <x:c r="W1599" s="26" t="d">
        <x:v>2026-09-30T00:00:00.000Z</x:v>
      </x:c>
      <x:c r="X1599" s="25" t="str">
        <x:v>Saved public company, industry-directory or regulatory source; source date retained</x:v>
      </x:c>
      <x:c r="Y1599" s="25" t="str">
        <x:v>https://www.quickbridge.com/</x:v>
      </x:c>
      <x:c r="Z1599" s="25" t="str">
        <x:v>https://www.quickbridge.com/</x:v>
      </x:c>
      <x:c r="AA1599" s="25" t="str">
        <x:v>[]</x:v>
      </x:c>
      <x:c r="AB1599" s="3" t="str">
        <x:v>Existing CapitalForge research, newly screened for this campaign</x:v>
      </x:c>
      <x:c r="AC1599" s="3" t="str">
        <x:v>unverified</x:v>
      </x:c>
      <x:c r="AD1599" s="3" t="str">
        <x:v>Not contacted / unconfirmed</x:v>
      </x:c>
      <x:c r="AE1599" s="3" t="str">
        <x:v>No</x:v>
      </x:c>
      <x:c r="AF1599" s="3" t="str">
        <x:v>No</x:v>
      </x:c>
      <x:c r="AG1599" s="3"/>
      <x:c r="AH1599" s="3"/>
      <x:c r="AI1599" s="18"/>
      <x:c r="AJ1599" s="3" t="str">
        <x:v>CF2500-0FD153C40B46</x:v>
      </x:c>
      <x:c r="AK1599" s="3" t="str">
        <x:v>working_capital</x:v>
      </x:c>
      <x:c r="AL1599" s="19" t="n">
        <x:v>100000</x:v>
      </x:c>
      <x:c r="AM1599" s="19" t="n">
        <x:v>500000</x:v>
      </x:c>
      <x:c r="AN1599" s="3" t="str">
        <x:v>https://www.quickbridge.com/</x:v>
      </x:c>
      <x:c r="AO1599" s="3" t="str">
        <x:v>public_directory.jsonl</x:v>
      </x:c>
      <x:c r="AP1599" s="19"/>
    </x:row>
    <x:row r="1600" ht="36" customHeight="1">
      <x:c r="A1600" s="23" t="n">
        <x:v>1599</x:v>
      </x:c>
      <x:c r="B1600" s="15" t="str">
        <x:v>Rapid Finance</x:v>
      </x:c>
      <x:c r="C1600" s="15"/>
      <x:c r="D1600" s="15" t="str">
        <x:v>Operating-capital lender, broker or finance route; eligibility unconfirmed</x:v>
      </x:c>
      <x:c r="E1600" s="15" t="str">
        <x:v>Operating-capital eligibility inquiry</x:v>
      </x:c>
      <x:c r="F1600" s="17" t="str">
        <x:v>New</x:v>
      </x:c>
      <x:c r="G1600" s="24" t="str">
        <x:v>sales@rapidfinance.com</x:v>
      </x:c>
      <x:c r="H1600" s="24" t="str">
        <x:v>+18006640173</x:v>
      </x:c>
      <x:c r="I1600" s="24" t="str">
        <x:v>https://www.rapidfinance.com/</x:v>
      </x:c>
      <x:c r="J1600" s="16"/>
      <x:c r="K1600" s="16"/>
      <x:c r="L1600" s="16" t="str">
        <x:v>firm_business_routing</x:v>
      </x:c>
      <x:c r="M1600" s="16" t="str">
        <x:v>https://www.rapidfinance.com/</x:v>
      </x:c>
      <x:c r="N1600" s="16" t="str">
        <x:v>Published source range; proposed allocation and structure require confirmation</x:v>
      </x:c>
      <x:c r="O1600" s="20" t="n">
        <x:v>5001</x:v>
      </x:c>
      <x:c r="P1600" s="20" t="n">
        <x:v>1000000</x:v>
      </x:c>
      <x:c r="Q1600" s="25" t="str">
        <x:v>No direct corporate-capital range established in checked source</x:v>
      </x:c>
      <x:c r="R1600" s="25" t="str">
        <x:v>Published program eligibility requires underwriting; available cash and borrower approval unverified.</x:v>
      </x:c>
      <x:c r="S1600" s="25"/>
      <x:c r="T1600" s="25" t="str">
        <x:v>Confirm $100K-$500K ticket, company-stage and sector eligibility, investment authority, available allocation and proposed terms.</x:v>
      </x:c>
      <x:c r="U1600" s="25" t="str">
        <x:v>https://www.rapidfinance.com/
https://www.rapidfinance.com/contact-us/
https://www.rapidfinance.com/financing-solutions/
https://www.rapidfinance.com/about-us/
https://www.rapidfinance.com/our-team/</x:v>
      </x:c>
      <x:c r="V1600" s="26" t="d">
        <x:v>2026-10-02T00:00:00.000Z</x:v>
      </x:c>
      <x:c r="W1600" s="26" t="d">
        <x:v>2026-09-30T00:00:00.000Z</x:v>
      </x:c>
      <x:c r="X1600" s="25" t="str">
        <x:v>Saved public company, industry-directory or regulatory source; source date retained</x:v>
      </x:c>
      <x:c r="Y1600" s="25" t="str">
        <x:v>https://www.rapidfinance.com/</x:v>
      </x:c>
      <x:c r="Z1600" s="25" t="str">
        <x:v>https://www.rapidfinance.com/</x:v>
      </x:c>
      <x:c r="AA1600" s="25" t="str">
        <x:v>[]</x:v>
      </x:c>
      <x:c r="AB1600" s="3" t="str">
        <x:v>Existing CapitalForge research, newly screened for this campaign</x:v>
      </x:c>
      <x:c r="AC1600" s="3" t="str">
        <x:v>unverified</x:v>
      </x:c>
      <x:c r="AD1600" s="3" t="str">
        <x:v>Not contacted / unconfirmed</x:v>
      </x:c>
      <x:c r="AE1600" s="3" t="str">
        <x:v>No</x:v>
      </x:c>
      <x:c r="AF1600" s="3" t="str">
        <x:v>No</x:v>
      </x:c>
      <x:c r="AG1600" s="3"/>
      <x:c r="AH1600" s="3"/>
      <x:c r="AI1600" s="18"/>
      <x:c r="AJ1600" s="3" t="str">
        <x:v>CF2500-E79356AD032A</x:v>
      </x:c>
      <x:c r="AK1600" s="3" t="str">
        <x:v>working_capital</x:v>
      </x:c>
      <x:c r="AL1600" s="19" t="n">
        <x:v>100000</x:v>
      </x:c>
      <x:c r="AM1600" s="19" t="n">
        <x:v>500000</x:v>
      </x:c>
      <x:c r="AN1600" s="3" t="str">
        <x:v>https://www.rapidfinance.com/</x:v>
      </x:c>
      <x:c r="AO1600" s="3" t="str">
        <x:v>public_directory.jsonl</x:v>
      </x:c>
      <x:c r="AP1600" s="19"/>
    </x:row>
    <x:row r="1601" ht="36" customHeight="1">
      <x:c r="A1601" s="23" t="n">
        <x:v>1600</x:v>
      </x:c>
      <x:c r="B1601" s="15" t="str">
        <x:v>RBF Capital</x:v>
      </x:c>
      <x:c r="C1601" s="15"/>
      <x:c r="D1601" s="15" t="str">
        <x:v>Operating-capital lender, broker or finance route; eligibility unconfirmed</x:v>
      </x:c>
      <x:c r="E1601" s="15" t="str">
        <x:v>Operating-capital eligibility inquiry</x:v>
      </x:c>
      <x:c r="F1601" s="17" t="str">
        <x:v>New</x:v>
      </x:c>
      <x:c r="G1601" s="24" t="str">
        <x:v>info@rbfcap.com</x:v>
      </x:c>
      <x:c r="H1601" s="24" t="str">
        <x:v>+18888351315</x:v>
      </x:c>
      <x:c r="I1601" s="24" t="str">
        <x:v>https://rbfcap.com/</x:v>
      </x:c>
      <x:c r="J1601" s="16"/>
      <x:c r="K1601" s="16"/>
      <x:c r="L1601" s="16" t="str">
        <x:v>firm_business_routing</x:v>
      </x:c>
      <x:c r="M1601" s="16" t="str">
        <x:v>https://rbfcap.com/</x:v>
      </x:c>
      <x:c r="N1601" s="16" t="str">
        <x:v>Published source range; proposed allocation and structure require confirmation</x:v>
      </x:c>
      <x:c r="O1601" s="20" t="n">
        <x:v>5000</x:v>
      </x:c>
      <x:c r="P1601" s="20" t="n">
        <x:v>2000000</x:v>
      </x:c>
      <x:c r="Q1601" s="25" t="str">
        <x:v>No direct corporate-capital range established in checked source</x:v>
      </x:c>
      <x:c r="R1601" s="25" t="str">
        <x:v>US businesses; term/LOC/SBA/revenue financing advertised $5K-$2M.</x:v>
      </x:c>
      <x:c r="S1601" s="25"/>
      <x:c r="T1601" s="25" t="str">
        <x:v>Confirm $100K-$500K ticket, company-stage and sector eligibility, investment authority, available allocation and proposed terms.</x:v>
      </x:c>
      <x:c r="U1601" s="25" t="str">
        <x:v>https://rbfcap.com/</x:v>
      </x:c>
      <x:c r="V1601" s="26" t="d">
        <x:v>2026-10-02T00:00:00.000Z</x:v>
      </x:c>
      <x:c r="W1601" s="26" t="d">
        <x:v>2026-09-30T00:00:00.000Z</x:v>
      </x:c>
      <x:c r="X1601" s="25" t="str">
        <x:v>Saved public company, industry-directory or regulatory source; source date retained</x:v>
      </x:c>
      <x:c r="Y1601" s="25" t="str">
        <x:v>https://rbfcap.com/</x:v>
      </x:c>
      <x:c r="Z1601" s="25" t="str">
        <x:v>https://rbfcap.com/</x:v>
      </x:c>
      <x:c r="AA1601" s="25" t="str">
        <x:v>[]</x:v>
      </x:c>
      <x:c r="AB1601" s="3" t="str">
        <x:v>Existing CapitalForge research, newly screened for this campaign</x:v>
      </x:c>
      <x:c r="AC1601" s="3" t="str">
        <x:v>unverified</x:v>
      </x:c>
      <x:c r="AD1601" s="3" t="str">
        <x:v>Not contacted / unconfirmed</x:v>
      </x:c>
      <x:c r="AE1601" s="3" t="str">
        <x:v>No</x:v>
      </x:c>
      <x:c r="AF1601" s="3" t="str">
        <x:v>No</x:v>
      </x:c>
      <x:c r="AG1601" s="3"/>
      <x:c r="AH1601" s="3"/>
      <x:c r="AI1601" s="18"/>
      <x:c r="AJ1601" s="3" t="str">
        <x:v>CF2500-DF98FB4B49FF</x:v>
      </x:c>
      <x:c r="AK1601" s="3" t="str">
        <x:v>revenue_based</x:v>
      </x:c>
      <x:c r="AL1601" s="19" t="n">
        <x:v>100000</x:v>
      </x:c>
      <x:c r="AM1601" s="19" t="n">
        <x:v>500000</x:v>
      </x:c>
      <x:c r="AN1601" s="3" t="str">
        <x:v>https://rbfcap.com/</x:v>
      </x:c>
      <x:c r="AO1601" s="3" t="str">
        <x:v>public_directory.jsonl</x:v>
      </x:c>
      <x:c r="AP1601" s="19"/>
    </x:row>
    <x:row r="1602" ht="36" customHeight="1">
      <x:c r="A1602" s="23" t="n">
        <x:v>1601</x:v>
      </x:c>
      <x:c r="B1602" s="15" t="str">
        <x:v>Rodino and Associates</x:v>
      </x:c>
      <x:c r="C1602" s="15"/>
      <x:c r="D1602" s="15" t="str">
        <x:v>Operating-capital lender, broker or finance route; eligibility unconfirmed</x:v>
      </x:c>
      <x:c r="E1602" s="15" t="str">
        <x:v>Operating-capital eligibility inquiry</x:v>
      </x:c>
      <x:c r="F1602" s="17" t="str">
        <x:v>New</x:v>
      </x:c>
      <x:c r="G1602" s="24" t="str">
        <x:v>info@rodino.com</x:v>
      </x:c>
      <x:c r="H1602" s="24" t="str">
        <x:v>+15162680350</x:v>
      </x:c>
      <x:c r="I1602" s="24" t="str">
        <x:v>https://www.rodino.com/</x:v>
      </x:c>
      <x:c r="J1602" s="16"/>
      <x:c r="K1602" s="16"/>
      <x:c r="L1602" s="16" t="str">
        <x:v>firm_business_routing</x:v>
      </x:c>
      <x:c r="M1602" s="16" t="str">
        <x:v>https://www.rodino.com/</x:v>
      </x:c>
      <x:c r="N1602" s="16" t="str">
        <x:v>Published source range; proposed allocation and structure require confirmation</x:v>
      </x:c>
      <x:c r="O1602" s="20" t="n">
        <x:v>100000</x:v>
      </x:c>
      <x:c r="P1602" s="20" t="n">
        <x:v>500000</x:v>
      </x:c>
      <x:c r="Q1602" s="25" t="str">
        <x:v>No direct corporate-capital range established in checked source</x:v>
      </x:c>
      <x:c r="R1602" s="25" t="str">
        <x:v>Published program eligibility requires underwriting; available cash and borrower approval unverified.</x:v>
      </x:c>
      <x:c r="S1602" s="25"/>
      <x:c r="T1602" s="25" t="str">
        <x:v>Confirm $100K-$500K ticket, company-stage and sector eligibility, investment authority, available allocation and proposed terms.</x:v>
      </x:c>
      <x:c r="U1602" s="25" t="str">
        <x:v>https://www.rodino.com/
https://www.rodino.com/financing-options/unsecured-business-lines-credit/
https://www.rodino.com/contact/</x:v>
      </x:c>
      <x:c r="V1602" s="26" t="d">
        <x:v>2026-10-02T00:00:00.000Z</x:v>
      </x:c>
      <x:c r="W1602" s="26" t="d">
        <x:v>2026-09-30T00:00:00.000Z</x:v>
      </x:c>
      <x:c r="X1602" s="25" t="str">
        <x:v>Saved public company, industry-directory or regulatory source; source date retained</x:v>
      </x:c>
      <x:c r="Y1602" s="25" t="str">
        <x:v>https://www.rodino.com/</x:v>
      </x:c>
      <x:c r="Z1602" s="25" t="str">
        <x:v>https://www.rodino.com/</x:v>
      </x:c>
      <x:c r="AA1602" s="25" t="str">
        <x:v>[]</x:v>
      </x:c>
      <x:c r="AB1602" s="3" t="str">
        <x:v>Existing CapitalForge research, newly screened for this campaign</x:v>
      </x:c>
      <x:c r="AC1602" s="3" t="str">
        <x:v>unverified</x:v>
      </x:c>
      <x:c r="AD1602" s="3" t="str">
        <x:v>Not contacted / unconfirmed</x:v>
      </x:c>
      <x:c r="AE1602" s="3" t="str">
        <x:v>No</x:v>
      </x:c>
      <x:c r="AF1602" s="3" t="str">
        <x:v>No</x:v>
      </x:c>
      <x:c r="AG1602" s="3"/>
      <x:c r="AH1602" s="3"/>
      <x:c r="AI1602" s="18"/>
      <x:c r="AJ1602" s="3" t="str">
        <x:v>CF2500-B742A5E7BC5D</x:v>
      </x:c>
      <x:c r="AK1602" s="3" t="str">
        <x:v>unsecured_business</x:v>
      </x:c>
      <x:c r="AL1602" s="19" t="n">
        <x:v>100000</x:v>
      </x:c>
      <x:c r="AM1602" s="19" t="n">
        <x:v>500000</x:v>
      </x:c>
      <x:c r="AN1602" s="3" t="str">
        <x:v>https://www.rodino.com/</x:v>
      </x:c>
      <x:c r="AO1602" s="3" t="str">
        <x:v>public_directory.jsonl</x:v>
      </x:c>
      <x:c r="AP1602" s="19"/>
    </x:row>
    <x:row r="1603" ht="36" customHeight="1">
      <x:c r="A1603" s="23" t="n">
        <x:v>1602</x:v>
      </x:c>
      <x:c r="B1603" s="15" t="str">
        <x:v>SBG Funding</x:v>
      </x:c>
      <x:c r="C1603" s="15"/>
      <x:c r="D1603" s="15" t="str">
        <x:v>Operating-capital lender, broker or finance route; eligibility unconfirmed</x:v>
      </x:c>
      <x:c r="E1603" s="15" t="str">
        <x:v>Operating-capital eligibility inquiry</x:v>
      </x:c>
      <x:c r="F1603" s="17" t="str">
        <x:v>New</x:v>
      </x:c>
      <x:c r="G1603" s="24" t="str">
        <x:v>info@sbgfunding.com</x:v>
      </x:c>
      <x:c r="H1603" s="24" t="str">
        <x:v>+18442842725</x:v>
      </x:c>
      <x:c r="I1603" s="24" t="str">
        <x:v>https://sbgfunding.com/</x:v>
      </x:c>
      <x:c r="J1603" s="16"/>
      <x:c r="K1603" s="16"/>
      <x:c r="L1603" s="16" t="str">
        <x:v>firm_business_routing</x:v>
      </x:c>
      <x:c r="M1603" s="16" t="str">
        <x:v>https://sbgfunding.com/</x:v>
      </x:c>
      <x:c r="N1603" s="16" t="str">
        <x:v>Published source range; proposed allocation and structure require confirmation</x:v>
      </x:c>
      <x:c r="O1603" s="20" t="n">
        <x:v>5000</x:v>
      </x:c>
      <x:c r="P1603" s="20" t="n">
        <x:v>10000000</x:v>
      </x:c>
      <x:c r="Q1603" s="25" t="str">
        <x:v>No direct corporate-capital range established in checked source</x:v>
      </x:c>
      <x:c r="R1603" s="25" t="str">
        <x:v>Published 3-24 month working-capital repayment range.</x:v>
      </x:c>
      <x:c r="S1603" s="25"/>
      <x:c r="T1603" s="25" t="str">
        <x:v>Confirm $100K-$500K ticket, company-stage and sector eligibility, investment authority, available allocation and proposed terms.</x:v>
      </x:c>
      <x:c r="U1603" s="25" t="str">
        <x:v>https://sbgfunding.com/
https://sbgfunding.com/business-financing/working-capital-loans/
https://sbgfunding.com/contact-us/
https://sbgfunding.com/about-us/</x:v>
      </x:c>
      <x:c r="V1603" s="26" t="d">
        <x:v>2026-10-02T00:00:00.000Z</x:v>
      </x:c>
      <x:c r="W1603" s="26" t="d">
        <x:v>2026-09-30T00:00:00.000Z</x:v>
      </x:c>
      <x:c r="X1603" s="25" t="str">
        <x:v>Saved public company, industry-directory or regulatory source; source date retained</x:v>
      </x:c>
      <x:c r="Y1603" s="25" t="str">
        <x:v>https://sbgfunding.com/</x:v>
      </x:c>
      <x:c r="Z1603" s="25" t="str">
        <x:v>https://sbgfunding.com/</x:v>
      </x:c>
      <x:c r="AA1603" s="25" t="str">
        <x:v>[]</x:v>
      </x:c>
      <x:c r="AB1603" s="3" t="str">
        <x:v>Existing CapitalForge research, newly screened for this campaign</x:v>
      </x:c>
      <x:c r="AC1603" s="3" t="str">
        <x:v>unverified</x:v>
      </x:c>
      <x:c r="AD1603" s="3" t="str">
        <x:v>Not contacted / unconfirmed</x:v>
      </x:c>
      <x:c r="AE1603" s="3" t="str">
        <x:v>No</x:v>
      </x:c>
      <x:c r="AF1603" s="3" t="str">
        <x:v>No</x:v>
      </x:c>
      <x:c r="AG1603" s="3"/>
      <x:c r="AH1603" s="3"/>
      <x:c r="AI1603" s="18"/>
      <x:c r="AJ1603" s="3" t="str">
        <x:v>CF2500-AC499E23BB62</x:v>
      </x:c>
      <x:c r="AK1603" s="3" t="str">
        <x:v>working_capital</x:v>
      </x:c>
      <x:c r="AL1603" s="19" t="n">
        <x:v>100000</x:v>
      </x:c>
      <x:c r="AM1603" s="19" t="n">
        <x:v>500000</x:v>
      </x:c>
      <x:c r="AN1603" s="3" t="str">
        <x:v>https://sbgfunding.com/</x:v>
      </x:c>
      <x:c r="AO1603" s="3" t="str">
        <x:v>public_directory.jsonl</x:v>
      </x:c>
      <x:c r="AP1603" s="19"/>
    </x:row>
    <x:row r="1604" ht="36" customHeight="1">
      <x:c r="A1604" s="23" t="n">
        <x:v>1603</x:v>
      </x:c>
      <x:c r="B1604" s="15" t="str">
        <x:v>Spartan Capital Group</x:v>
      </x:c>
      <x:c r="C1604" s="15"/>
      <x:c r="D1604" s="15" t="str">
        <x:v>Operating-capital lender, broker or finance route; eligibility unconfirmed</x:v>
      </x:c>
      <x:c r="E1604" s="15" t="str">
        <x:v>Operating-capital eligibility inquiry</x:v>
      </x:c>
      <x:c r="F1604" s="17" t="str">
        <x:v>New</x:v>
      </x:c>
      <x:c r="G1604" s="24" t="str">
        <x:v>hello@spartancapitalgroup.com</x:v>
      </x:c>
      <x:c r="H1604" s="24" t="str">
        <x:v>+18555321969</x:v>
      </x:c>
      <x:c r="I1604" s="24" t="str">
        <x:v>https://www.spartancapitalgroup.com/</x:v>
      </x:c>
      <x:c r="J1604" s="16"/>
      <x:c r="K1604" s="16"/>
      <x:c r="L1604" s="16" t="str">
        <x:v>firm_business_routing</x:v>
      </x:c>
      <x:c r="M1604" s="16" t="str">
        <x:v>https://www.spartancapitalgroup.com/</x:v>
      </x:c>
      <x:c r="N1604" s="16" t="str">
        <x:v>Published source range; proposed allocation and structure require confirmation</x:v>
      </x:c>
      <x:c r="O1604" s="20" t="n">
        <x:v>5000</x:v>
      </x:c>
      <x:c r="P1604" s="20" t="n">
        <x:v>500000</x:v>
      </x:c>
      <x:c r="Q1604" s="25" t="str">
        <x:v>No direct corporate-capital range established in checked source</x:v>
      </x:c>
      <x:c r="R1604" s="25" t="str">
        <x:v>No borrower approval or available cash verified. Any published borrowing limits are marketing capacity, not verified liquidity.</x:v>
      </x:c>
      <x:c r="S1604" s="25"/>
      <x:c r="T1604" s="25" t="str">
        <x:v>Confirm $100K-$500K ticket, company-stage and sector eligibility, investment authority, available allocation and proposed terms.</x:v>
      </x:c>
      <x:c r="U1604" s="25" t="str">
        <x:v>https://www.spartancapitalgroup.com/
https://apply.spartancapitalgroup.com/
https://www.spartancapitalgroup.com/services/revenue
https://www.spartancapitalgroup.com/company/team</x:v>
      </x:c>
      <x:c r="V1604" s="26" t="d">
        <x:v>2026-10-02T00:00:00.000Z</x:v>
      </x:c>
      <x:c r="W1604" s="26" t="d">
        <x:v>2026-09-30T00:00:00.000Z</x:v>
      </x:c>
      <x:c r="X1604" s="25" t="str">
        <x:v>Saved public company, industry-directory or regulatory source; source date retained</x:v>
      </x:c>
      <x:c r="Y1604" s="25" t="str">
        <x:v>https://www.spartancapitalgroup.com/</x:v>
      </x:c>
      <x:c r="Z1604" s="25" t="str">
        <x:v>https://www.spartancapitalgroup.com/</x:v>
      </x:c>
      <x:c r="AA1604" s="25" t="str">
        <x:v>[]</x:v>
      </x:c>
      <x:c r="AB1604" s="3" t="str">
        <x:v>Existing CapitalForge research, newly screened for this campaign</x:v>
      </x:c>
      <x:c r="AC1604" s="3" t="str">
        <x:v>unverified</x:v>
      </x:c>
      <x:c r="AD1604" s="3" t="str">
        <x:v>Not contacted / unconfirmed</x:v>
      </x:c>
      <x:c r="AE1604" s="3" t="str">
        <x:v>No</x:v>
      </x:c>
      <x:c r="AF1604" s="3" t="str">
        <x:v>No</x:v>
      </x:c>
      <x:c r="AG1604" s="3"/>
      <x:c r="AH1604" s="3"/>
      <x:c r="AI1604" s="18"/>
      <x:c r="AJ1604" s="3" t="str">
        <x:v>CF2500-D803B9C9B3BC</x:v>
      </x:c>
      <x:c r="AK1604" s="3" t="str">
        <x:v>revenue_based</x:v>
      </x:c>
      <x:c r="AL1604" s="19" t="n">
        <x:v>100000</x:v>
      </x:c>
      <x:c r="AM1604" s="19" t="n">
        <x:v>500000</x:v>
      </x:c>
      <x:c r="AN1604" s="3" t="str">
        <x:v>https://www.spartancapitalgroup.com/</x:v>
      </x:c>
      <x:c r="AO1604" s="3" t="str">
        <x:v>public_directory.jsonl</x:v>
      </x:c>
      <x:c r="AP1604" s="19"/>
    </x:row>
    <x:row r="1605" ht="36" customHeight="1">
      <x:c r="A1605" s="23" t="n">
        <x:v>1604</x:v>
      </x:c>
      <x:c r="B1605" s="15" t="str">
        <x:v>Spirit Funding</x:v>
      </x:c>
      <x:c r="C1605" s="15"/>
      <x:c r="D1605" s="15" t="str">
        <x:v>Operating-capital lender, broker or finance route; eligibility unconfirmed</x:v>
      </x:c>
      <x:c r="E1605" s="15" t="str">
        <x:v>Operating-capital eligibility inquiry</x:v>
      </x:c>
      <x:c r="F1605" s="17" t="str">
        <x:v>New</x:v>
      </x:c>
      <x:c r="G1605" s="24" t="str">
        <x:v>info@spiritfundingllc.com</x:v>
      </x:c>
      <x:c r="H1605" s="24" t="str">
        <x:v>+18773780042</x:v>
      </x:c>
      <x:c r="I1605" s="24" t="str">
        <x:v>https://spiritfundingllc.com/</x:v>
      </x:c>
      <x:c r="J1605" s="16"/>
      <x:c r="K1605" s="16"/>
      <x:c r="L1605" s="16" t="str">
        <x:v>firm_business_routing</x:v>
      </x:c>
      <x:c r="M1605" s="16" t="str">
        <x:v>https://spiritfundingllc.com/</x:v>
      </x:c>
      <x:c r="N1605" s="16" t="str">
        <x:v>Published source range; proposed allocation and structure require confirmation</x:v>
      </x:c>
      <x:c r="O1605" s="20"/>
      <x:c r="P1605" s="20" t="n">
        <x:v>1000000</x:v>
      </x:c>
      <x:c r="Q1605" s="25" t="str">
        <x:v>No direct corporate-capital range established in checked source</x:v>
      </x:c>
      <x:c r="R1605" s="25" t="str">
        <x:v>Published program eligibility requires underwriting; available cash and borrower approval unverified.</x:v>
      </x:c>
      <x:c r="S1605" s="25"/>
      <x:c r="T1605" s="25" t="str">
        <x:v>Confirm $100K-$500K ticket, company-stage and sector eligibility, investment authority, available allocation and proposed terms.</x:v>
      </x:c>
      <x:c r="U1605" s="25" t="str">
        <x:v>https://spiritfundingllc.com/</x:v>
      </x:c>
      <x:c r="V1605" s="26" t="d">
        <x:v>2026-10-02T00:00:00.000Z</x:v>
      </x:c>
      <x:c r="W1605" s="26" t="d">
        <x:v>2026-09-30T00:00:00.000Z</x:v>
      </x:c>
      <x:c r="X1605" s="25" t="str">
        <x:v>Saved public company, industry-directory or regulatory source; source date retained</x:v>
      </x:c>
      <x:c r="Y1605" s="25" t="str">
        <x:v>https://spiritfundingllc.com/</x:v>
      </x:c>
      <x:c r="Z1605" s="25" t="str">
        <x:v>https://spiritfundingllc.com/</x:v>
      </x:c>
      <x:c r="AA1605" s="25" t="str">
        <x:v>[]</x:v>
      </x:c>
      <x:c r="AB1605" s="3" t="str">
        <x:v>Existing CapitalForge research, newly screened for this campaign</x:v>
      </x:c>
      <x:c r="AC1605" s="3" t="str">
        <x:v>unverified</x:v>
      </x:c>
      <x:c r="AD1605" s="3" t="str">
        <x:v>Not contacted / unconfirmed</x:v>
      </x:c>
      <x:c r="AE1605" s="3" t="str">
        <x:v>No</x:v>
      </x:c>
      <x:c r="AF1605" s="3" t="str">
        <x:v>No</x:v>
      </x:c>
      <x:c r="AG1605" s="3"/>
      <x:c r="AH1605" s="3"/>
      <x:c r="AI1605" s="18"/>
      <x:c r="AJ1605" s="3" t="str">
        <x:v>CF2500-A37A108D03E5</x:v>
      </x:c>
      <x:c r="AK1605" s="3" t="str">
        <x:v>unsecured_business</x:v>
      </x:c>
      <x:c r="AL1605" s="19" t="n">
        <x:v>100000</x:v>
      </x:c>
      <x:c r="AM1605" s="19" t="n">
        <x:v>500000</x:v>
      </x:c>
      <x:c r="AN1605" s="3" t="str">
        <x:v>https://spiritfundingllc.com/</x:v>
      </x:c>
      <x:c r="AO1605" s="3" t="str">
        <x:v>public_directory.jsonl</x:v>
      </x:c>
      <x:c r="AP1605" s="19"/>
    </x:row>
    <x:row r="1606" ht="36" customHeight="1">
      <x:c r="A1606" s="23" t="n">
        <x:v>1605</x:v>
      </x:c>
      <x:c r="B1606" s="15" t="str">
        <x:v>Strategic Capital Solutions Group</x:v>
      </x:c>
      <x:c r="C1606" s="15"/>
      <x:c r="D1606" s="15" t="str">
        <x:v>Operating-capital lender, broker or finance route; eligibility unconfirmed</x:v>
      </x:c>
      <x:c r="E1606" s="15" t="str">
        <x:v>Operating-capital eligibility inquiry</x:v>
      </x:c>
      <x:c r="F1606" s="17" t="str">
        <x:v>New</x:v>
      </x:c>
      <x:c r="G1606" s="24" t="str">
        <x:v>info@scsolutionsgroup.com</x:v>
      </x:c>
      <x:c r="H1606" s="24" t="str">
        <x:v>+19843330608</x:v>
      </x:c>
      <x:c r="I1606" s="24" t="str">
        <x:v>https://www.scsolutionsgroup.com/</x:v>
      </x:c>
      <x:c r="J1606" s="16"/>
      <x:c r="K1606" s="16"/>
      <x:c r="L1606" s="16" t="str">
        <x:v>firm_business_routing</x:v>
      </x:c>
      <x:c r="M1606" s="16" t="str">
        <x:v>https://www.scsolutionsgroup.com/</x:v>
      </x:c>
      <x:c r="N1606" s="16" t="str">
        <x:v>Published source range; proposed allocation and structure require confirmation</x:v>
      </x:c>
      <x:c r="O1606" s="20"/>
      <x:c r="P1606" s="20" t="n">
        <x:v>500000</x:v>
      </x:c>
      <x:c r="Q1606" s="25" t="str">
        <x:v>No direct corporate-capital range established in checked source</x:v>
      </x:c>
      <x:c r="R1606" s="25" t="str">
        <x:v>Published program eligibility requires underwriting; available cash and borrower approval unverified.</x:v>
      </x:c>
      <x:c r="S1606" s="25"/>
      <x:c r="T1606" s="25" t="str">
        <x:v>Confirm $100K-$500K ticket, company-stage and sector eligibility, investment authority, available allocation and proposed terms.</x:v>
      </x:c>
      <x:c r="U1606" s="25" t="str">
        <x:v>https://www.scsolutionsgroup.com/
https://www.scsolutionsgroup.com/types-of-financing/unsecured-business-lines-of-credit/
https://www.scsolutionsgroup.com/contact-us/</x:v>
      </x:c>
      <x:c r="V1606" s="26" t="d">
        <x:v>2026-10-02T00:00:00.000Z</x:v>
      </x:c>
      <x:c r="W1606" s="26" t="d">
        <x:v>2026-09-30T00:00:00.000Z</x:v>
      </x:c>
      <x:c r="X1606" s="25" t="str">
        <x:v>Saved public company, industry-directory or regulatory source; source date retained</x:v>
      </x:c>
      <x:c r="Y1606" s="25" t="str">
        <x:v>https://www.scsolutionsgroup.com/</x:v>
      </x:c>
      <x:c r="Z1606" s="25" t="str">
        <x:v>https://www.scsolutionsgroup.com/</x:v>
      </x:c>
      <x:c r="AA1606" s="25" t="str">
        <x:v>[]</x:v>
      </x:c>
      <x:c r="AB1606" s="3" t="str">
        <x:v>Existing CapitalForge research, newly screened for this campaign</x:v>
      </x:c>
      <x:c r="AC1606" s="3" t="str">
        <x:v>unverified</x:v>
      </x:c>
      <x:c r="AD1606" s="3" t="str">
        <x:v>Not contacted / unconfirmed</x:v>
      </x:c>
      <x:c r="AE1606" s="3" t="str">
        <x:v>No</x:v>
      </x:c>
      <x:c r="AF1606" s="3" t="str">
        <x:v>No</x:v>
      </x:c>
      <x:c r="AG1606" s="3"/>
      <x:c r="AH1606" s="3"/>
      <x:c r="AI1606" s="18"/>
      <x:c r="AJ1606" s="3" t="str">
        <x:v>CF2500-DFA82CA72A45</x:v>
      </x:c>
      <x:c r="AK1606" s="3" t="str">
        <x:v>unsecured_business</x:v>
      </x:c>
      <x:c r="AL1606" s="19" t="n">
        <x:v>100000</x:v>
      </x:c>
      <x:c r="AM1606" s="19" t="n">
        <x:v>500000</x:v>
      </x:c>
      <x:c r="AN1606" s="3" t="str">
        <x:v>https://www.scsolutionsgroup.com/</x:v>
      </x:c>
      <x:c r="AO1606" s="3" t="str">
        <x:v>public_directory.jsonl</x:v>
      </x:c>
      <x:c r="AP1606" s="19"/>
    </x:row>
    <x:row r="1607" ht="36" customHeight="1">
      <x:c r="A1607" s="23" t="n">
        <x:v>1606</x:v>
      </x:c>
      <x:c r="B1607" s="15" t="str">
        <x:v>SunBiz Funding</x:v>
      </x:c>
      <x:c r="C1607" s="15"/>
      <x:c r="D1607" s="15" t="str">
        <x:v>Operating-capital lender, broker or finance route; eligibility unconfirmed</x:v>
      </x:c>
      <x:c r="E1607" s="15" t="str">
        <x:v>Operating-capital eligibility inquiry</x:v>
      </x:c>
      <x:c r="F1607" s="17" t="str">
        <x:v>New</x:v>
      </x:c>
      <x:c r="G1607" s="24" t="str">
        <x:v>info@sunbizfunding.com</x:v>
      </x:c>
      <x:c r="H1607" s="24" t="str">
        <x:v>+17542127833</x:v>
      </x:c>
      <x:c r="I1607" s="24" t="str">
        <x:v>https://www.sunbizfunding.com/</x:v>
      </x:c>
      <x:c r="J1607" s="16"/>
      <x:c r="K1607" s="16"/>
      <x:c r="L1607" s="16" t="str">
        <x:v>firm_business_routing</x:v>
      </x:c>
      <x:c r="M1607" s="16" t="str">
        <x:v>https://www.sunbizfunding.com/</x:v>
      </x:c>
      <x:c r="N1607" s="16" t="str">
        <x:v>Published source range; proposed allocation and structure require confirmation</x:v>
      </x:c>
      <x:c r="O1607" s="20" t="n">
        <x:v>5000</x:v>
      </x:c>
      <x:c r="P1607" s="20" t="n">
        <x:v>1000000</x:v>
      </x:c>
      <x:c r="Q1607" s="25" t="str">
        <x:v>No direct corporate-capital range established in checked source</x:v>
      </x:c>
      <x:c r="R1607" s="25" t="str">
        <x:v>Published program eligibility requires underwriting; available cash and borrower approval unverified.</x:v>
      </x:c>
      <x:c r="S1607" s="25"/>
      <x:c r="T1607" s="25" t="str">
        <x:v>Confirm $100K-$500K ticket, company-stage and sector eligibility, investment authority, available allocation and proposed terms.</x:v>
      </x:c>
      <x:c r="U1607" s="25" t="str">
        <x:v>https://www.sunbizfunding.com/
https://www.sunbizfunding.com/about-us
https://www.sunbizfunding.com/contact-us</x:v>
      </x:c>
      <x:c r="V1607" s="26" t="d">
        <x:v>2026-10-02T00:00:00.000Z</x:v>
      </x:c>
      <x:c r="W1607" s="26" t="d">
        <x:v>2026-09-30T00:00:00.000Z</x:v>
      </x:c>
      <x:c r="X1607" s="25" t="str">
        <x:v>Saved public company, industry-directory or regulatory source; source date retained</x:v>
      </x:c>
      <x:c r="Y1607" s="25" t="str">
        <x:v>https://www.sunbizfunding.com/</x:v>
      </x:c>
      <x:c r="Z1607" s="25" t="str">
        <x:v>https://www.sunbizfunding.com/</x:v>
      </x:c>
      <x:c r="AA1607" s="25" t="str">
        <x:v>[]</x:v>
      </x:c>
      <x:c r="AB1607" s="3" t="str">
        <x:v>Existing CapitalForge research, newly screened for this campaign</x:v>
      </x:c>
      <x:c r="AC1607" s="3" t="str">
        <x:v>unverified</x:v>
      </x:c>
      <x:c r="AD1607" s="3" t="str">
        <x:v>Not contacted / unconfirmed</x:v>
      </x:c>
      <x:c r="AE1607" s="3" t="str">
        <x:v>No</x:v>
      </x:c>
      <x:c r="AF1607" s="3" t="str">
        <x:v>No</x:v>
      </x:c>
      <x:c r="AG1607" s="3"/>
      <x:c r="AH1607" s="3"/>
      <x:c r="AI1607" s="18"/>
      <x:c r="AJ1607" s="3" t="str">
        <x:v>CF2500-5A765C02B7F6</x:v>
      </x:c>
      <x:c r="AK1607" s="3" t="str">
        <x:v>unsecured_business</x:v>
      </x:c>
      <x:c r="AL1607" s="19" t="n">
        <x:v>100000</x:v>
      </x:c>
      <x:c r="AM1607" s="19" t="n">
        <x:v>500000</x:v>
      </x:c>
      <x:c r="AN1607" s="3" t="str">
        <x:v>https://www.sunbizfunding.com/</x:v>
      </x:c>
      <x:c r="AO1607" s="3" t="str">
        <x:v>public_directory.jsonl</x:v>
      </x:c>
      <x:c r="AP1607" s="19"/>
    </x:row>
    <x:row r="1608" ht="36" customHeight="1">
      <x:c r="A1608" s="23" t="n">
        <x:v>1607</x:v>
      </x:c>
      <x:c r="B1608" s="15" t="str">
        <x:v>TripleCapital Commercial Finance Group</x:v>
      </x:c>
      <x:c r="C1608" s="15"/>
      <x:c r="D1608" s="15" t="str">
        <x:v>Operating-capital lender, broker or finance route; eligibility unconfirmed</x:v>
      </x:c>
      <x:c r="E1608" s="15" t="str">
        <x:v>Operating-capital eligibility inquiry</x:v>
      </x:c>
      <x:c r="F1608" s="17" t="str">
        <x:v>New</x:v>
      </x:c>
      <x:c r="G1608" s="24" t="str">
        <x:v>triplecapital@usa.com</x:v>
      </x:c>
      <x:c r="H1608" s="24" t="str">
        <x:v>+18002775777</x:v>
      </x:c>
      <x:c r="I1608" s="24" t="str">
        <x:v>https://www.triplecapitalgroup.com/</x:v>
      </x:c>
      <x:c r="J1608" s="16"/>
      <x:c r="K1608" s="16"/>
      <x:c r="L1608" s="16" t="str">
        <x:v>firm_business_routing</x:v>
      </x:c>
      <x:c r="M1608" s="16" t="str">
        <x:v>https://www.triplecapitalgroup.com/</x:v>
      </x:c>
      <x:c r="N1608" s="16" t="str">
        <x:v>Published source range; proposed allocation and structure require confirmation</x:v>
      </x:c>
      <x:c r="O1608" s="20" t="n">
        <x:v>50000</x:v>
      </x:c>
      <x:c r="P1608" s="20" t="n">
        <x:v>500000</x:v>
      </x:c>
      <x:c r="Q1608" s="25" t="str">
        <x:v>No direct corporate-capital range established in checked source</x:v>
      </x:c>
      <x:c r="R1608" s="25" t="str">
        <x:v>Established revenue $1M-$10M and financial statements indicated.</x:v>
      </x:c>
      <x:c r="S1608" s="25"/>
      <x:c r="T1608" s="25" t="str">
        <x:v>Confirm $100K-$500K ticket, company-stage and sector eligibility, investment authority, available allocation and proposed terms.</x:v>
      </x:c>
      <x:c r="U1608" s="25" t="str">
        <x:v>https://www.triplecapitalgroup.com/
https://www.triplecapitalgroup.com/commercial-financing/unsecured-business-lines-credit/
https://www.triplecapitalgroup.com/contact-us/</x:v>
      </x:c>
      <x:c r="V1608" s="26" t="d">
        <x:v>2026-10-02T00:00:00.000Z</x:v>
      </x:c>
      <x:c r="W1608" s="26" t="d">
        <x:v>2026-09-30T00:00:00.000Z</x:v>
      </x:c>
      <x:c r="X1608" s="25" t="str">
        <x:v>Saved public company, industry-directory or regulatory source; source date retained</x:v>
      </x:c>
      <x:c r="Y1608" s="25" t="str">
        <x:v>https://www.triplecapitalgroup.com/</x:v>
      </x:c>
      <x:c r="Z1608" s="25" t="str">
        <x:v>https://www.triplecapitalgroup.com/</x:v>
      </x:c>
      <x:c r="AA1608" s="25" t="str">
        <x:v>[]</x:v>
      </x:c>
      <x:c r="AB1608" s="3" t="str">
        <x:v>Existing CapitalForge research, newly screened for this campaign</x:v>
      </x:c>
      <x:c r="AC1608" s="3" t="str">
        <x:v>unverified</x:v>
      </x:c>
      <x:c r="AD1608" s="3" t="str">
        <x:v>Not contacted / unconfirmed</x:v>
      </x:c>
      <x:c r="AE1608" s="3" t="str">
        <x:v>No</x:v>
      </x:c>
      <x:c r="AF1608" s="3" t="str">
        <x:v>No</x:v>
      </x:c>
      <x:c r="AG1608" s="3"/>
      <x:c r="AH1608" s="3"/>
      <x:c r="AI1608" s="18"/>
      <x:c r="AJ1608" s="3" t="str">
        <x:v>CF2500-CABD3C012022</x:v>
      </x:c>
      <x:c r="AK1608" s="3" t="str">
        <x:v>unsecured_business</x:v>
      </x:c>
      <x:c r="AL1608" s="19" t="n">
        <x:v>100000</x:v>
      </x:c>
      <x:c r="AM1608" s="19" t="n">
        <x:v>500000</x:v>
      </x:c>
      <x:c r="AN1608" s="3" t="str">
        <x:v>https://www.triplecapitalgroup.com/</x:v>
      </x:c>
      <x:c r="AO1608" s="3" t="str">
        <x:v>public_directory.jsonl</x:v>
      </x:c>
      <x:c r="AP1608" s="19"/>
    </x:row>
    <x:row r="1609" ht="36" customHeight="1">
      <x:c r="A1609" s="23" t="n">
        <x:v>1608</x:v>
      </x:c>
      <x:c r="B1609" s="15" t="str">
        <x:v>Vantage Point Commercial Capital</x:v>
      </x:c>
      <x:c r="C1609" s="15"/>
      <x:c r="D1609" s="15" t="str">
        <x:v>Operating-capital lender, broker or finance route; eligibility unconfirmed</x:v>
      </x:c>
      <x:c r="E1609" s="15" t="str">
        <x:v>Operating-capital eligibility inquiry</x:v>
      </x:c>
      <x:c r="F1609" s="17" t="str">
        <x:v>New</x:v>
      </x:c>
      <x:c r="G1609" s="24" t="str">
        <x:v>info@vpc.capital</x:v>
      </x:c>
      <x:c r="H1609" s="24" t="str">
        <x:v>+18884391322</x:v>
      </x:c>
      <x:c r="I1609" s="24" t="str">
        <x:v>https://vpc.capital/</x:v>
      </x:c>
      <x:c r="J1609" s="16"/>
      <x:c r="K1609" s="16"/>
      <x:c r="L1609" s="16" t="str">
        <x:v>firm_business_routing</x:v>
      </x:c>
      <x:c r="M1609" s="16" t="str">
        <x:v>https://vpc.capital/</x:v>
      </x:c>
      <x:c r="N1609" s="16" t="str">
        <x:v>Published source range; proposed allocation and structure require confirmation</x:v>
      </x:c>
      <x:c r="O1609" s="20" t="n">
        <x:v>100000</x:v>
      </x:c>
      <x:c r="P1609" s="20" t="n">
        <x:v>500000</x:v>
      </x:c>
      <x:c r="Q1609" s="25" t="str">
        <x:v>No direct corporate-capital range established in checked source</x:v>
      </x:c>
      <x:c r="R1609" s="25" t="str">
        <x:v>Established revenue over $1M indicated.</x:v>
      </x:c>
      <x:c r="S1609" s="25"/>
      <x:c r="T1609" s="25" t="str">
        <x:v>Confirm $100K-$500K ticket, company-stage and sector eligibility, investment authority, available allocation and proposed terms.</x:v>
      </x:c>
      <x:c r="U1609" s="25" t="str">
        <x:v>https://vpc.capital/
https://vpc.capital/financial-service/unsecured-business-lines-of-credit/
https://vpc.capital/about-us/
https://vpc.capital/contact-us/</x:v>
      </x:c>
      <x:c r="V1609" s="26" t="d">
        <x:v>2026-10-02T00:00:00.000Z</x:v>
      </x:c>
      <x:c r="W1609" s="26" t="d">
        <x:v>2026-09-30T00:00:00.000Z</x:v>
      </x:c>
      <x:c r="X1609" s="25" t="str">
        <x:v>Saved public company, industry-directory or regulatory source; source date retained</x:v>
      </x:c>
      <x:c r="Y1609" s="25" t="str">
        <x:v>https://vpc.capital/</x:v>
      </x:c>
      <x:c r="Z1609" s="25" t="str">
        <x:v>https://vpc.capital/</x:v>
      </x:c>
      <x:c r="AA1609" s="25" t="str">
        <x:v>[]</x:v>
      </x:c>
      <x:c r="AB1609" s="3" t="str">
        <x:v>Existing CapitalForge research, newly screened for this campaign</x:v>
      </x:c>
      <x:c r="AC1609" s="3" t="str">
        <x:v>unverified</x:v>
      </x:c>
      <x:c r="AD1609" s="3" t="str">
        <x:v>Not contacted / unconfirmed</x:v>
      </x:c>
      <x:c r="AE1609" s="3" t="str">
        <x:v>No</x:v>
      </x:c>
      <x:c r="AF1609" s="3" t="str">
        <x:v>No</x:v>
      </x:c>
      <x:c r="AG1609" s="3"/>
      <x:c r="AH1609" s="3"/>
      <x:c r="AI1609" s="18"/>
      <x:c r="AJ1609" s="3" t="str">
        <x:v>CF2500-DA20AEEEC531</x:v>
      </x:c>
      <x:c r="AK1609" s="3" t="str">
        <x:v>unsecured_business</x:v>
      </x:c>
      <x:c r="AL1609" s="19" t="n">
        <x:v>100000</x:v>
      </x:c>
      <x:c r="AM1609" s="19" t="n">
        <x:v>500000</x:v>
      </x:c>
      <x:c r="AN1609" s="3" t="str">
        <x:v>https://vpc.capital/</x:v>
      </x:c>
      <x:c r="AO1609" s="3" t="str">
        <x:v>public_directory.jsonl</x:v>
      </x:c>
      <x:c r="AP1609" s="19"/>
    </x:row>
    <x:row r="1610" ht="36" customHeight="1">
      <x:c r="A1610" s="23" t="n">
        <x:v>1609</x:v>
      </x:c>
      <x:c r="B1610" s="15" t="str">
        <x:v>Velocity Capital Group</x:v>
      </x:c>
      <x:c r="C1610" s="15"/>
      <x:c r="D1610" s="15" t="str">
        <x:v>Operating-capital lender, broker or finance route; eligibility unconfirmed</x:v>
      </x:c>
      <x:c r="E1610" s="15" t="str">
        <x:v>Operating-capital eligibility inquiry</x:v>
      </x:c>
      <x:c r="F1610" s="17" t="str">
        <x:v>New</x:v>
      </x:c>
      <x:c r="G1610" s="24" t="str">
        <x:v>info@velocitycg.com</x:v>
      </x:c>
      <x:c r="H1610" s="24" t="str">
        <x:v>+18338243863</x:v>
      </x:c>
      <x:c r="I1610" s="24" t="str">
        <x:v>https://www.velocitycg.com/</x:v>
      </x:c>
      <x:c r="J1610" s="16"/>
      <x:c r="K1610" s="16"/>
      <x:c r="L1610" s="16" t="str">
        <x:v>firm_business_routing</x:v>
      </x:c>
      <x:c r="M1610" s="16" t="str">
        <x:v>https://www.velocitycg.com/</x:v>
      </x:c>
      <x:c r="N1610" s="16" t="str">
        <x:v>Published source range; proposed allocation and structure require confirmation</x:v>
      </x:c>
      <x:c r="O1610" s="20"/>
      <x:c r="P1610" s="20" t="n">
        <x:v>2000000</x:v>
      </x:c>
      <x:c r="Q1610" s="25" t="str">
        <x:v>No direct corporate-capital range established in checked source</x:v>
      </x:c>
      <x:c r="R1610" s="25" t="str">
        <x:v>Published same-day working capital up to $2M; existing revenue needed.</x:v>
      </x:c>
      <x:c r="S1610" s="25"/>
      <x:c r="T1610" s="25" t="str">
        <x:v>Confirm $100K-$500K ticket, company-stage and sector eligibility, investment authority, available allocation and proposed terms.</x:v>
      </x:c>
      <x:c r="U1610" s="25" t="str">
        <x:v>https://www.velocitycg.com/
https://www.velocitycg.com/about-us</x:v>
      </x:c>
      <x:c r="V1610" s="26" t="d">
        <x:v>2026-10-02T00:00:00.000Z</x:v>
      </x:c>
      <x:c r="W1610" s="26" t="d">
        <x:v>2026-09-30T00:00:00.000Z</x:v>
      </x:c>
      <x:c r="X1610" s="25" t="str">
        <x:v>Saved public company, industry-directory or regulatory source; source date retained</x:v>
      </x:c>
      <x:c r="Y1610" s="25" t="str">
        <x:v>https://www.velocitycg.com/</x:v>
      </x:c>
      <x:c r="Z1610" s="25" t="str">
        <x:v>https://www.velocitycg.com/</x:v>
      </x:c>
      <x:c r="AA1610" s="25" t="str">
        <x:v>[]</x:v>
      </x:c>
      <x:c r="AB1610" s="3" t="str">
        <x:v>Existing CapitalForge research, newly screened for this campaign</x:v>
      </x:c>
      <x:c r="AC1610" s="3" t="str">
        <x:v>unverified</x:v>
      </x:c>
      <x:c r="AD1610" s="3" t="str">
        <x:v>Not contacted / unconfirmed</x:v>
      </x:c>
      <x:c r="AE1610" s="3" t="str">
        <x:v>No</x:v>
      </x:c>
      <x:c r="AF1610" s="3" t="str">
        <x:v>No</x:v>
      </x:c>
      <x:c r="AG1610" s="3"/>
      <x:c r="AH1610" s="3"/>
      <x:c r="AI1610" s="18"/>
      <x:c r="AJ1610" s="3" t="str">
        <x:v>CF2500-2583CFA23D02</x:v>
      </x:c>
      <x:c r="AK1610" s="3" t="str">
        <x:v>revenue_based</x:v>
      </x:c>
      <x:c r="AL1610" s="19" t="n">
        <x:v>100000</x:v>
      </x:c>
      <x:c r="AM1610" s="19" t="n">
        <x:v>500000</x:v>
      </x:c>
      <x:c r="AN1610" s="3" t="str">
        <x:v>https://www.velocitycg.com/</x:v>
      </x:c>
      <x:c r="AO1610" s="3" t="str">
        <x:v>public_directory.jsonl</x:v>
      </x:c>
      <x:c r="AP1610" s="19"/>
    </x:row>
    <x:row r="1611" ht="36" customHeight="1">
      <x:c r="A1611" s="23" t="n">
        <x:v>1610</x:v>
      </x:c>
      <x:c r="B1611" s="15" t="str">
        <x:v>VIP Capital Funding</x:v>
      </x:c>
      <x:c r="C1611" s="15"/>
      <x:c r="D1611" s="15" t="str">
        <x:v>Operating-capital lender, broker or finance route; eligibility unconfirmed</x:v>
      </x:c>
      <x:c r="E1611" s="15" t="str">
        <x:v>Operating-capital eligibility inquiry</x:v>
      </x:c>
      <x:c r="F1611" s="17" t="str">
        <x:v>New</x:v>
      </x:c>
      <x:c r="G1611" s="24" t="str">
        <x:v>info@vipcapitalfunding.com</x:v>
      </x:c>
      <x:c r="H1611" s="24" t="str">
        <x:v>+18007357754</x:v>
      </x:c>
      <x:c r="I1611" s="24" t="str">
        <x:v>https://vipcapitalfunding.com/</x:v>
      </x:c>
      <x:c r="J1611" s="16"/>
      <x:c r="K1611" s="16"/>
      <x:c r="L1611" s="16" t="str">
        <x:v>firm_business_routing</x:v>
      </x:c>
      <x:c r="M1611" s="16" t="str">
        <x:v>https://vipcapitalfunding.com/</x:v>
      </x:c>
      <x:c r="N1611" s="16" t="str">
        <x:v>Published source range; proposed allocation and structure require confirmation</x:v>
      </x:c>
      <x:c r="O1611" s="20" t="n">
        <x:v>10000</x:v>
      </x:c>
      <x:c r="P1611" s="20" t="n">
        <x:v>15000000</x:v>
      </x:c>
      <x:c r="Q1611" s="25" t="str">
        <x:v>No direct corporate-capital range established in checked source</x:v>
      </x:c>
      <x:c r="R1611" s="25" t="str">
        <x:v>Published loan capacity; current cash and approval unverified.</x:v>
      </x:c>
      <x:c r="S1611" s="25"/>
      <x:c r="T1611" s="25" t="str">
        <x:v>Confirm $100K-$500K ticket, company-stage and sector eligibility, investment authority, available allocation and proposed terms.</x:v>
      </x:c>
      <x:c r="U1611" s="25" t="str">
        <x:v>https://vipcapitalfunding.com/
https://vipcapitalfunding.com/working-capital/colorado-13/denver/</x:v>
      </x:c>
      <x:c r="V1611" s="26" t="d">
        <x:v>2026-10-02T00:00:00.000Z</x:v>
      </x:c>
      <x:c r="W1611" s="26" t="d">
        <x:v>2026-09-30T00:00:00.000Z</x:v>
      </x:c>
      <x:c r="X1611" s="25" t="str">
        <x:v>Saved public company, industry-directory or regulatory source; source date retained</x:v>
      </x:c>
      <x:c r="Y1611" s="25" t="str">
        <x:v>https://vipcapitalfunding.com/</x:v>
      </x:c>
      <x:c r="Z1611" s="25" t="str">
        <x:v>https://vipcapitalfunding.com/</x:v>
      </x:c>
      <x:c r="AA1611" s="25" t="str">
        <x:v>[]</x:v>
      </x:c>
      <x:c r="AB1611" s="3" t="str">
        <x:v>Existing CapitalForge research, newly screened for this campaign</x:v>
      </x:c>
      <x:c r="AC1611" s="3" t="str">
        <x:v>unverified</x:v>
      </x:c>
      <x:c r="AD1611" s="3" t="str">
        <x:v>Not contacted / unconfirmed</x:v>
      </x:c>
      <x:c r="AE1611" s="3" t="str">
        <x:v>No</x:v>
      </x:c>
      <x:c r="AF1611" s="3" t="str">
        <x:v>No</x:v>
      </x:c>
      <x:c r="AG1611" s="3"/>
      <x:c r="AH1611" s="3"/>
      <x:c r="AI1611" s="18"/>
      <x:c r="AJ1611" s="3" t="str">
        <x:v>CF2500-FA6E0B44390A</x:v>
      </x:c>
      <x:c r="AK1611" s="3" t="str">
        <x:v>working_capital</x:v>
      </x:c>
      <x:c r="AL1611" s="19" t="n">
        <x:v>100000</x:v>
      </x:c>
      <x:c r="AM1611" s="19" t="n">
        <x:v>500000</x:v>
      </x:c>
      <x:c r="AN1611" s="3" t="str">
        <x:v>https://vipcapitalfunding.com/</x:v>
      </x:c>
      <x:c r="AO1611" s="3" t="str">
        <x:v>public_directory.jsonl</x:v>
      </x:c>
      <x:c r="AP1611" s="19"/>
    </x:row>
    <x:row r="1612" ht="36" customHeight="1">
      <x:c r="A1612" s="23" t="n">
        <x:v>1611</x:v>
      </x:c>
      <x:c r="B1612" s="15" t="str">
        <x:v>Boathouse Commercial Funding Group</x:v>
      </x:c>
      <x:c r="C1612" s="15" t="str">
        <x:v>Boathouse Commercial Funding Group</x:v>
      </x:c>
      <x:c r="D1612" s="15" t="str">
        <x:v>Operating-capital lender, broker or finance route; eligibility unconfirmed</x:v>
      </x:c>
      <x:c r="E1612" s="15" t="str">
        <x:v>Operating-capital eligibility inquiry</x:v>
      </x:c>
      <x:c r="F1612" s="17" t="str">
        <x:v>New</x:v>
      </x:c>
      <x:c r="G1612" s="24" t="str">
        <x:v>info@boathousecfg.com</x:v>
      </x:c>
      <x:c r="H1612" s="24" t="str">
        <x:v>+12694592530</x:v>
      </x:c>
      <x:c r="I1612" s="24" t="str">
        <x:v>https://boathousecfg.com/</x:v>
      </x:c>
      <x:c r="J1612" s="16"/>
      <x:c r="K1612" s="16"/>
      <x:c r="L1612" s="16" t="str">
        <x:v>published_professional_contact_directness_unconfirmed</x:v>
      </x:c>
      <x:c r="M1612" s="16" t="str">
        <x:v>https://boathousecfg.com/</x:v>
      </x:c>
      <x:c r="N1612" s="16" t="str">
        <x:v>$100K-$500K ticket not published / unconfirmed</x:v>
      </x:c>
      <x:c r="O1612" s="20"/>
      <x:c r="P1612" s="20"/>
      <x:c r="Q1612" s="25" t="str">
        <x:v>No direct corporate-capital range established in checked source</x:v>
      </x:c>
      <x:c r="R1612" s="25" t="str">
        <x:v>Commercial Loans for Real Estate Investors | Boathouse CFG Commercial Funding Group Skip to content Call Now Home AVAILABLE LOAN PROGRAMS BROKER REFERRAL PROGRAM CONTACT US APPLY NOW Loans Involving Real Estate Business Loans Without Real Estate X 269-459-2530 Helping you navigate the waters of commercial financing Our team is ready to help you find the funding your organization needs Apply Now Est. 2010 In Business $25M+ Loans Funded 48 States Nationwide Lending 5 Years RPOA Lead Sponsor MMLA Member MI Mortgage Lenders Assoc. Our Services Get the Financing Your Business Needs Rental PropertyLoans DSCR Portfolio Loans Hard Money Loans Non-Recourse Multi-Family/Mixed Read More Commercial Real</x:v>
      </x:c>
      <x:c r="S1612" s="25"/>
      <x:c r="T1612" s="25" t="str">
        <x:v>Confirm $100K-$500K ticket, company-stage and sector eligibility, investment authority, available allocation and proposed terms.</x:v>
      </x:c>
      <x:c r="U1612" s="25" t="str">
        <x:v>https://nplaconference.com/private-lending-directory/page/3/
https://boathousecfg.com/</x:v>
      </x:c>
      <x:c r="V1612" s="26" t="d">
        <x:v>2026-10-02T00:00:00.000Z</x:v>
      </x:c>
      <x:c r="W1612" s="26" t="d">
        <x:v>2026-09-30T00:00:00.000Z</x:v>
      </x:c>
      <x:c r="X1612" s="25" t="str">
        <x:v>Saved public company, industry-directory or regulatory source; source date retained</x:v>
      </x:c>
      <x:c r="Y1612" s="25" t="str">
        <x:v>https://boathousecfg.com/</x:v>
      </x:c>
      <x:c r="Z1612" s="25" t="str">
        <x:v>https://boathousecfg.com/</x:v>
      </x:c>
      <x:c r="AA1612" s="25" t="str">
        <x:v>[]</x:v>
      </x:c>
      <x:c r="AB1612" s="3" t="str">
        <x:v>Existing CapitalForge research, newly screened for this campaign</x:v>
      </x:c>
      <x:c r="AC1612" s="3" t="str">
        <x:v>unverified</x:v>
      </x:c>
      <x:c r="AD1612" s="3" t="str">
        <x:v>Not contacted / unconfirmed</x:v>
      </x:c>
      <x:c r="AE1612" s="3" t="str">
        <x:v>No</x:v>
      </x:c>
      <x:c r="AF1612" s="3" t="str">
        <x:v>No</x:v>
      </x:c>
      <x:c r="AG1612" s="3"/>
      <x:c r="AH1612" s="3"/>
      <x:c r="AI1612" s="18"/>
      <x:c r="AJ1612" s="3" t="str">
        <x:v>CF2500-99FADB8B4104</x:v>
      </x:c>
      <x:c r="AK1612" s="3" t="str">
        <x:v>business_finance</x:v>
      </x:c>
      <x:c r="AL1612" s="19" t="n">
        <x:v>100000</x:v>
      </x:c>
      <x:c r="AM1612" s="19" t="n">
        <x:v>500000</x:v>
      </x:c>
      <x:c r="AN1612" s="3" t="str">
        <x:v>https://nplaconference.com/private-lending-directory/page/3/</x:v>
      </x:c>
      <x:c r="AO1612" s="3" t="str">
        <x:v>public_directory.jsonl</x:v>
      </x:c>
      <x:c r="AP1612" s="19"/>
    </x:row>
    <x:row r="1613" ht="36" customHeight="1">
      <x:c r="A1613" s="23" t="n">
        <x:v>1612</x:v>
      </x:c>
      <x:c r="B1613" s="15" t="str">
        <x:v>ComCap Loans</x:v>
      </x:c>
      <x:c r="C1613" s="15" t="str">
        <x:v>ComCap Loans</x:v>
      </x:c>
      <x:c r="D1613" s="15" t="str">
        <x:v>Operating-capital lender, broker or finance route; eligibility unconfirmed</x:v>
      </x:c>
      <x:c r="E1613" s="15" t="str">
        <x:v>Operating-capital eligibility inquiry</x:v>
      </x:c>
      <x:c r="F1613" s="17" t="str">
        <x:v>New</x:v>
      </x:c>
      <x:c r="G1613" s="24" t="str">
        <x:v>rsmith@comcaploans.com</x:v>
      </x:c>
      <x:c r="H1613" s="24" t="str">
        <x:v>+13022002234</x:v>
      </x:c>
      <x:c r="I1613" s="24" t="str">
        <x:v>https://www.comcaploans.com/</x:v>
      </x:c>
      <x:c r="J1613" s="16"/>
      <x:c r="K1613" s="16"/>
      <x:c r="L1613" s="16" t="str">
        <x:v>published_professional_contact_directness_unconfirmed</x:v>
      </x:c>
      <x:c r="M1613" s="16" t="str">
        <x:v>https://www.comcaploans.com/</x:v>
      </x:c>
      <x:c r="N1613" s="16" t="str">
        <x:v>$100K-$500K ticket not published / unconfirmed</x:v>
      </x:c>
      <x:c r="O1613" s="20"/>
      <x:c r="P1613" s="20"/>
      <x:c r="Q1613" s="25" t="str">
        <x:v>No direct corporate-capital range established in checked source</x:v>
      </x:c>
      <x:c r="R1613" s="25" t="str">
        <x:v>ComCapLoans Skip to main content ComCapLoansHome About Us Loan Types Recent Closed Loans Contact Us Nationwide Business Loans America's top producing commercial lender! Commercial Capital ltd. For over 20-years, Commercial Capital Ltd has been helping their clients find alternative non-bank loan programs when their banks said “no.” Our loan specialists can help restructure your debt and process your borrowing needs with options ranging from revolving lines of credit to private money loans. Speaking with you directly and carefully listening to your needs, allows us to quickly find the perfect loan for you and your business. Our long-standing relationships with national banks, nationwide alter</x:v>
      </x:c>
      <x:c r="S1613" s="25"/>
      <x:c r="T1613" s="25" t="str">
        <x:v>Confirm $100K-$500K ticket, company-stage and sector eligibility, investment authority, available allocation and proposed terms.</x:v>
      </x:c>
      <x:c r="U1613" s="25" t="str">
        <x:v>https://nplaconference.com/private-lending-directory/page/4/
https://www.comcaploans.com/
https://www.privatelendersdirectory.com/united-states/frankford/real-estate-investment-lending/comcap-loans</x:v>
      </x:c>
      <x:c r="V1613" s="26" t="d">
        <x:v>2026-10-02T00:00:00.000Z</x:v>
      </x:c>
      <x:c r="W1613" s="26" t="d">
        <x:v>2026-09-30T00:00:00.000Z</x:v>
      </x:c>
      <x:c r="X1613" s="25" t="str">
        <x:v>Saved public company, industry-directory or regulatory source; source date retained</x:v>
      </x:c>
      <x:c r="Y1613" s="25" t="str">
        <x:v>https://www.comcaploans.com/</x:v>
      </x:c>
      <x:c r="Z1613" s="25" t="str">
        <x:v>https://www.comcaploans.com/</x:v>
      </x:c>
      <x:c r="AA1613" s="25" t="str">
        <x:v>[]</x:v>
      </x:c>
      <x:c r="AB1613" s="3" t="str">
        <x:v>Existing CapitalForge research, newly screened for this campaign</x:v>
      </x:c>
      <x:c r="AC1613" s="3" t="str">
        <x:v>unverified</x:v>
      </x:c>
      <x:c r="AD1613" s="3" t="str">
        <x:v>Not contacted / unconfirmed</x:v>
      </x:c>
      <x:c r="AE1613" s="3" t="str">
        <x:v>No</x:v>
      </x:c>
      <x:c r="AF1613" s="3" t="str">
        <x:v>No</x:v>
      </x:c>
      <x:c r="AG1613" s="3"/>
      <x:c r="AH1613" s="3"/>
      <x:c r="AI1613" s="18"/>
      <x:c r="AJ1613" s="3" t="str">
        <x:v>CF2500-9F5D9A09B94A</x:v>
      </x:c>
      <x:c r="AK1613" s="3" t="str">
        <x:v>business_finance</x:v>
      </x:c>
      <x:c r="AL1613" s="19" t="n">
        <x:v>100000</x:v>
      </x:c>
      <x:c r="AM1613" s="19" t="n">
        <x:v>500000</x:v>
      </x:c>
      <x:c r="AN1613" s="3" t="str">
        <x:v>https://nplaconference.com/private-lending-directory/page/4/</x:v>
      </x:c>
      <x:c r="AO1613" s="3" t="str">
        <x:v>public_directory.jsonl</x:v>
      </x:c>
      <x:c r="AP1613" s="19"/>
    </x:row>
    <x:row r="1614" ht="36" customHeight="1">
      <x:c r="A1614" s="23" t="n">
        <x:v>1613</x:v>
      </x:c>
      <x:c r="B1614" s="15" t="str">
        <x:v>Construction Funding Solutions</x:v>
      </x:c>
      <x:c r="C1614" s="15" t="str">
        <x:v>Construction Funding Solutions</x:v>
      </x:c>
      <x:c r="D1614" s="15" t="str">
        <x:v>Operating-capital lender, broker or finance route; eligibility unconfirmed</x:v>
      </x:c>
      <x:c r="E1614" s="15" t="str">
        <x:v>Operating-capital eligibility inquiry</x:v>
      </x:c>
      <x:c r="F1614" s="17" t="str">
        <x:v>New</x:v>
      </x:c>
      <x:c r="G1614" s="24" t="str">
        <x:v>info@constructionfundingkc.com</x:v>
      </x:c>
      <x:c r="H1614" s="24" t="str">
        <x:v>+18166000302</x:v>
      </x:c>
      <x:c r="I1614" s="24" t="str">
        <x:v>https://www.constructionfundingkc.com/</x:v>
      </x:c>
      <x:c r="J1614" s="16"/>
      <x:c r="K1614" s="16"/>
      <x:c r="L1614" s="16" t="str">
        <x:v>published_professional_contact_directness_unconfirmed</x:v>
      </x:c>
      <x:c r="M1614" s="16" t="str">
        <x:v>https://www.constructionfundingkc.com/</x:v>
      </x:c>
      <x:c r="N1614" s="16" t="str">
        <x:v>$100K-$500K ticket not published / unconfirmed</x:v>
      </x:c>
      <x:c r="O1614" s="20"/>
      <x:c r="P1614" s="20"/>
      <x:c r="Q1614" s="25" t="str">
        <x:v>No direct corporate-capital range established in checked source</x:v>
      </x:c>
      <x:c r="R1614" s="25" t="str">
        <x:v>Construction Funding Construction Funding solutionsHomeServicesStrategiesAboutResourcesPartnersContact UsGet Pre-qualified NowVeteran-Owned and OperatedBusiness and Real Estate Funding.Construction Funding Solutions offers tailored financing solutions and expert guidance to support residential and commercial construction projects in the United States.Find Out How We Help Please Note: Inquiries or communications with our team will not result in a hard credit pull. We are committed to providing information and exploring financing options without impacting your credit score.1Fill out our quick and easy application to get started.2We review your goals and present funding options.3Choose your pro</x:v>
      </x:c>
      <x:c r="S1614" s="25"/>
      <x:c r="T1614" s="25" t="str">
        <x:v>Confirm $100K-$500K ticket, company-stage and sector eligibility, investment authority, available allocation and proposed terms.</x:v>
      </x:c>
      <x:c r="U1614" s="25" t="str">
        <x:v>https://nplaconference.com/private-lending-directory/page/4/
https://www.constructionfundingkc.com/</x:v>
      </x:c>
      <x:c r="V1614" s="26" t="d">
        <x:v>2026-10-02T00:00:00.000Z</x:v>
      </x:c>
      <x:c r="W1614" s="26" t="d">
        <x:v>2026-09-30T00:00:00.000Z</x:v>
      </x:c>
      <x:c r="X1614" s="25" t="str">
        <x:v>Saved public company, industry-directory or regulatory source; source date retained</x:v>
      </x:c>
      <x:c r="Y1614" s="25" t="str">
        <x:v>https://www.constructionfundingkc.com/</x:v>
      </x:c>
      <x:c r="Z1614" s="25" t="str">
        <x:v>https://www.constructionfundingkc.com/</x:v>
      </x:c>
      <x:c r="AA1614" s="25" t="str">
        <x:v>[]</x:v>
      </x:c>
      <x:c r="AB1614" s="3" t="str">
        <x:v>Existing CapitalForge research, newly screened for this campaign</x:v>
      </x:c>
      <x:c r="AC1614" s="3" t="str">
        <x:v>unverified</x:v>
      </x:c>
      <x:c r="AD1614" s="3" t="str">
        <x:v>Not contacted / unconfirmed</x:v>
      </x:c>
      <x:c r="AE1614" s="3" t="str">
        <x:v>No</x:v>
      </x:c>
      <x:c r="AF1614" s="3" t="str">
        <x:v>No</x:v>
      </x:c>
      <x:c r="AG1614" s="3"/>
      <x:c r="AH1614" s="3"/>
      <x:c r="AI1614" s="18"/>
      <x:c r="AJ1614" s="3" t="str">
        <x:v>CF2500-F3BDAACBCDF9</x:v>
      </x:c>
      <x:c r="AK1614" s="3" t="str">
        <x:v>business_finance</x:v>
      </x:c>
      <x:c r="AL1614" s="19" t="n">
        <x:v>100000</x:v>
      </x:c>
      <x:c r="AM1614" s="19" t="n">
        <x:v>500000</x:v>
      </x:c>
      <x:c r="AN1614" s="3" t="str">
        <x:v>https://nplaconference.com/private-lending-directory/page/4/</x:v>
      </x:c>
      <x:c r="AO1614" s="3" t="str">
        <x:v>public_directory.jsonl</x:v>
      </x:c>
      <x:c r="AP1614" s="19"/>
    </x:row>
    <x:row r="1615" ht="36" customHeight="1">
      <x:c r="A1615" s="23" t="n">
        <x:v>1614</x:v>
      </x:c>
      <x:c r="B1615" s="15" t="str">
        <x:v>Crestmont Capital</x:v>
      </x:c>
      <x:c r="C1615" s="15"/>
      <x:c r="D1615" s="15" t="str">
        <x:v>Operating-capital lender, broker or finance route; eligibility unconfirmed</x:v>
      </x:c>
      <x:c r="E1615" s="15" t="str">
        <x:v>Operating-capital eligibility inquiry</x:v>
      </x:c>
      <x:c r="F1615" s="17" t="str">
        <x:v>New</x:v>
      </x:c>
      <x:c r="G1615" s="24" t="str">
        <x:v>info@crestmontcapital.com</x:v>
      </x:c>
      <x:c r="H1615" s="24" t="str">
        <x:v>+18009490401</x:v>
      </x:c>
      <x:c r="I1615" s="24" t="str">
        <x:v>https://www.crestmontcapital.com/</x:v>
      </x:c>
      <x:c r="J1615" s="16" t="str">
        <x:v>CA</x:v>
      </x:c>
      <x:c r="K1615" s="16"/>
      <x:c r="L1615" s="16" t="str">
        <x:v>firm_business_routing</x:v>
      </x:c>
      <x:c r="M1615" s="16" t="str">
        <x:v>https://www.crestmontcapital.com/</x:v>
      </x:c>
      <x:c r="N1615" s="16" t="str">
        <x:v>$100K-$500K ticket not published / unconfirmed</x:v>
      </x:c>
      <x:c r="O1615" s="20"/>
      <x:c r="P1615" s="20"/>
      <x:c r="Q1615" s="25" t="str">
        <x:v>No direct corporate-capital range established in checked source</x:v>
      </x:c>
      <x:c r="R1615" s="25" t="str">
        <x:v>Advertised business financing capability only; no borrower approval or minimum available cash verified.</x:v>
      </x:c>
      <x:c r="S1615" s="25"/>
      <x:c r="T1615" s="25" t="str">
        <x:v>Confirm $100K-$500K ticket, company-stage and sector eligibility, investment authority, available allocation and proposed terms.</x:v>
      </x:c>
      <x:c r="U1615" s="25" t="str">
        <x:v>https://www.crestmontcapital.com/
https://www.crestmontcapital.com/industry/real-estate-agents
https://www.crestmontcapital.com/about-us
https://www.crestmontcapital.com/about-us/testimonials
https://www.crestmontcapital.com/terms-conditions/</x:v>
      </x:c>
      <x:c r="V1615" s="26" t="d">
        <x:v>2026-10-02T00:00:00.000Z</x:v>
      </x:c>
      <x:c r="W1615" s="26" t="d">
        <x:v>2026-09-30T00:00:00.000Z</x:v>
      </x:c>
      <x:c r="X1615" s="25" t="str">
        <x:v>Saved public company, industry-directory or regulatory source; source date retained</x:v>
      </x:c>
      <x:c r="Y1615" s="25" t="str">
        <x:v>https://www.crestmontcapital.com/</x:v>
      </x:c>
      <x:c r="Z1615" s="25" t="str">
        <x:v>https://www.crestmontcapital.com/</x:v>
      </x:c>
      <x:c r="AA1615" s="25" t="str">
        <x:v>[]</x:v>
      </x:c>
      <x:c r="AB1615" s="3" t="str">
        <x:v>Existing CapitalForge research, newly screened for this campaign</x:v>
      </x:c>
      <x:c r="AC1615" s="3" t="str">
        <x:v>unverified</x:v>
      </x:c>
      <x:c r="AD1615" s="3" t="str">
        <x:v>Not contacted / unconfirmed</x:v>
      </x:c>
      <x:c r="AE1615" s="3" t="str">
        <x:v>No</x:v>
      </x:c>
      <x:c r="AF1615" s="3" t="str">
        <x:v>No</x:v>
      </x:c>
      <x:c r="AG1615" s="3"/>
      <x:c r="AH1615" s="3"/>
      <x:c r="AI1615" s="18"/>
      <x:c r="AJ1615" s="3" t="str">
        <x:v>CF2500-E3278EA11558</x:v>
      </x:c>
      <x:c r="AK1615" s="3" t="str">
        <x:v>unsecured_real_estate_business</x:v>
      </x:c>
      <x:c r="AL1615" s="19" t="n">
        <x:v>100000</x:v>
      </x:c>
      <x:c r="AM1615" s="19" t="n">
        <x:v>500000</x:v>
      </x:c>
      <x:c r="AN1615" s="3" t="str">
        <x:v>https://www.crestmontcapital.com/</x:v>
      </x:c>
      <x:c r="AO1615" s="3" t="str">
        <x:v>public_directory.jsonl</x:v>
      </x:c>
      <x:c r="AP1615" s="19"/>
    </x:row>
    <x:row r="1616" ht="36" customHeight="1">
      <x:c r="A1616" s="23" t="n">
        <x:v>1615</x:v>
      </x:c>
      <x:c r="B1616" s="15" t="str">
        <x:v>Eclipse Capital Group</x:v>
      </x:c>
      <x:c r="C1616" s="15" t="str">
        <x:v>Eclipse Capital Group</x:v>
      </x:c>
      <x:c r="D1616" s="15" t="str">
        <x:v>Operating-capital lender, broker or finance route; eligibility unconfirmed</x:v>
      </x:c>
      <x:c r="E1616" s="15" t="str">
        <x:v>Operating-capital eligibility inquiry</x:v>
      </x:c>
      <x:c r="F1616" s="17" t="str">
        <x:v>New</x:v>
      </x:c>
      <x:c r="G1616" s="24" t="str">
        <x:v>info@eclipsecapitalgroup.com</x:v>
      </x:c>
      <x:c r="H1616" s="24" t="str">
        <x:v>+18005093552</x:v>
      </x:c>
      <x:c r="I1616" s="24" t="str">
        <x:v>https://www.eclipsecapitalgroup.com/</x:v>
      </x:c>
      <x:c r="J1616" s="16"/>
      <x:c r="K1616" s="16"/>
      <x:c r="L1616" s="16" t="str">
        <x:v>published_professional_contact_directness_unconfirmed</x:v>
      </x:c>
      <x:c r="M1616" s="16" t="str">
        <x:v>https://www.eclipsecapitalgroup.com/</x:v>
      </x:c>
      <x:c r="N1616" s="16" t="str">
        <x:v>$100K-$500K ticket not published / unconfirmed</x:v>
      </x:c>
      <x:c r="O1616" s="20"/>
      <x:c r="P1616" s="20"/>
      <x:c r="Q1616" s="25" t="str">
        <x:v>No direct corporate-capital range established in checked source</x:v>
      </x:c>
      <x:c r="R1616" s="25" t="str">
        <x:v>Land Development New Construction &amp; Spec Home Financing Michigan top of pageHOMEABOUT USBUILDER DIVISONCONTACTMoreUse tab to navigate through the menu items.ECLIPSE CAPITAL GROUPEclipse Capital Group LLCSpecializing in commercial mortgage banking and business financing ECLIPSE Capital Group LLC Specializing in commercial mortgage banking and business financing COMMERCIAL REAL ESTATE ​ Financing for all commercial real estate assets, whether owner occupied or investment, everything from office to multifamily. BUILDER FINANCING We offer residential builder financing for spec homes, condos, townhouse and multifamily developments at competitive rates. We can assist with the purchase of the lot/l</x:v>
      </x:c>
      <x:c r="S1616" s="25"/>
      <x:c r="T1616" s="25" t="str">
        <x:v>Confirm $100K-$500K ticket, company-stage and sector eligibility, investment authority, available allocation and proposed terms.</x:v>
      </x:c>
      <x:c r="U1616" s="25" t="str">
        <x:v>https://nplaconference.com/private-lending-directory/page/6/
https://www.eclipsecapitalgroup.com/</x:v>
      </x:c>
      <x:c r="V1616" s="26" t="d">
        <x:v>2026-10-02T00:00:00.000Z</x:v>
      </x:c>
      <x:c r="W1616" s="26" t="d">
        <x:v>2026-09-30T00:00:00.000Z</x:v>
      </x:c>
      <x:c r="X1616" s="25" t="str">
        <x:v>Saved public company, industry-directory or regulatory source; source date retained</x:v>
      </x:c>
      <x:c r="Y1616" s="25" t="str">
        <x:v>https://www.eclipsecapitalgroup.com/</x:v>
      </x:c>
      <x:c r="Z1616" s="25" t="str">
        <x:v>https://www.eclipsecapitalgroup.com/</x:v>
      </x:c>
      <x:c r="AA1616" s="25" t="str">
        <x:v>[]</x:v>
      </x:c>
      <x:c r="AB1616" s="3" t="str">
        <x:v>Existing CapitalForge research, newly screened for this campaign</x:v>
      </x:c>
      <x:c r="AC1616" s="3" t="str">
        <x:v>unverified</x:v>
      </x:c>
      <x:c r="AD1616" s="3" t="str">
        <x:v>Not contacted / unconfirmed</x:v>
      </x:c>
      <x:c r="AE1616" s="3" t="str">
        <x:v>No</x:v>
      </x:c>
      <x:c r="AF1616" s="3" t="str">
        <x:v>No</x:v>
      </x:c>
      <x:c r="AG1616" s="3"/>
      <x:c r="AH1616" s="3"/>
      <x:c r="AI1616" s="18"/>
      <x:c r="AJ1616" s="3" t="str">
        <x:v>CF2500-DBC26906D9D6</x:v>
      </x:c>
      <x:c r="AK1616" s="3" t="str">
        <x:v>business_finance</x:v>
      </x:c>
      <x:c r="AL1616" s="19" t="n">
        <x:v>100000</x:v>
      </x:c>
      <x:c r="AM1616" s="19" t="n">
        <x:v>500000</x:v>
      </x:c>
      <x:c r="AN1616" s="3" t="str">
        <x:v>https://nplaconference.com/private-lending-directory/page/6/</x:v>
      </x:c>
      <x:c r="AO1616" s="3" t="str">
        <x:v>public_directory.jsonl</x:v>
      </x:c>
      <x:c r="AP1616" s="19"/>
    </x:row>
    <x:row r="1617" ht="36" customHeight="1">
      <x:c r="A1617" s="23" t="n">
        <x:v>1616</x:v>
      </x:c>
      <x:c r="B1617" s="15" t="str">
        <x:v>Envision Funding Solutions</x:v>
      </x:c>
      <x:c r="C1617" s="15" t="str">
        <x:v>Envision Funding Solutions</x:v>
      </x:c>
      <x:c r="D1617" s="15" t="str">
        <x:v>Operating-capital lender, broker or finance route; eligibility unconfirmed</x:v>
      </x:c>
      <x:c r="E1617" s="15" t="str">
        <x:v>Operating-capital eligibility inquiry</x:v>
      </x:c>
      <x:c r="F1617" s="17" t="str">
        <x:v>New</x:v>
      </x:c>
      <x:c r="G1617" s="24" t="str">
        <x:v>info@envisionfs.net</x:v>
      </x:c>
      <x:c r="H1617" s="24" t="str">
        <x:v>+16787199669</x:v>
      </x:c>
      <x:c r="I1617" s="24" t="str">
        <x:v>https://envisionfs.net/</x:v>
      </x:c>
      <x:c r="J1617" s="16"/>
      <x:c r="K1617" s="16"/>
      <x:c r="L1617" s="16" t="str">
        <x:v>published_professional_contact_directness_unconfirmed</x:v>
      </x:c>
      <x:c r="M1617" s="16" t="str">
        <x:v>https://envisionfs.net/</x:v>
      </x:c>
      <x:c r="N1617" s="16" t="str">
        <x:v>$100K-$500K ticket not published / unconfirmed</x:v>
      </x:c>
      <x:c r="O1617" s="20"/>
      <x:c r="P1617" s="20"/>
      <x:c r="Q1617" s="25" t="str">
        <x:v>No direct corporate-capital range established in checked source</x:v>
      </x:c>
      <x:c r="R1617" s="25" t="str">
        <x:v>Envision Funding - We Close Loans Fast! Envision FundingWe Close Loans Fast!Home About About Us Privacy Policy Blog Resources First Time Home Buyer Tips First Time Home Seller Tips Closing Costs Home Appraisal Home Inspection Loan Checklist Loan Process Loan Programs Mortgage FAQ Mortgage Glossary Debt Solutions Applications Apply Now Short Form Business Funding Full Application Broker Registration Real Estate Lending Quick Application Loan Programs Business Loans Commercial Loans Contact BlockEnvision Funding SolutionsWe are here for your business and family needs.Now offering residential mortgages!Schedule a ConsultationInterested in Purchasing a Home?Fill out this form and we'll be in tou</x:v>
      </x:c>
      <x:c r="S1617" s="25"/>
      <x:c r="T1617" s="25" t="str">
        <x:v>Confirm $100K-$500K ticket, company-stage and sector eligibility, investment authority, available allocation and proposed terms.</x:v>
      </x:c>
      <x:c r="U1617" s="25" t="str">
        <x:v>https://nplaconference.com/private-lending-directory/page/6/
https://envisionfs.net/contact-us/
https://www.privatelendersdirectory.com/united-states/atlanta/real-estate-investment-lending/envision-funding-solutions</x:v>
      </x:c>
      <x:c r="V1617" s="26" t="d">
        <x:v>2026-10-02T00:00:00.000Z</x:v>
      </x:c>
      <x:c r="W1617" s="26" t="d">
        <x:v>2026-09-30T00:00:00.000Z</x:v>
      </x:c>
      <x:c r="X1617" s="25" t="str">
        <x:v>Saved public company, industry-directory or regulatory source; source date retained</x:v>
      </x:c>
      <x:c r="Y1617" s="25" t="str">
        <x:v>https://envisionfs.net/contact-us/</x:v>
      </x:c>
      <x:c r="Z1617" s="25" t="str">
        <x:v>https://envisionfs.net/contact-us/</x:v>
      </x:c>
      <x:c r="AA1617" s="25" t="str">
        <x:v>[]</x:v>
      </x:c>
      <x:c r="AB1617" s="3" t="str">
        <x:v>Existing CapitalForge research, newly screened for this campaign</x:v>
      </x:c>
      <x:c r="AC1617" s="3" t="str">
        <x:v>unverified</x:v>
      </x:c>
      <x:c r="AD1617" s="3" t="str">
        <x:v>Not contacted / unconfirmed</x:v>
      </x:c>
      <x:c r="AE1617" s="3" t="str">
        <x:v>No</x:v>
      </x:c>
      <x:c r="AF1617" s="3" t="str">
        <x:v>No</x:v>
      </x:c>
      <x:c r="AG1617" s="3"/>
      <x:c r="AH1617" s="3"/>
      <x:c r="AI1617" s="18"/>
      <x:c r="AJ1617" s="3" t="str">
        <x:v>CF2500-C5AD2FAA249B</x:v>
      </x:c>
      <x:c r="AK1617" s="3" t="str">
        <x:v>business_finance</x:v>
      </x:c>
      <x:c r="AL1617" s="19" t="n">
        <x:v>100000</x:v>
      </x:c>
      <x:c r="AM1617" s="19" t="n">
        <x:v>500000</x:v>
      </x:c>
      <x:c r="AN1617" s="3" t="str">
        <x:v>https://nplaconference.com/private-lending-directory/page/6/</x:v>
      </x:c>
      <x:c r="AO1617" s="3" t="str">
        <x:v>public_directory.jsonl</x:v>
      </x:c>
      <x:c r="AP1617" s="19"/>
    </x:row>
    <x:row r="1618" ht="36" customHeight="1">
      <x:c r="A1618" s="23" t="n">
        <x:v>1617</x:v>
      </x:c>
      <x:c r="B1618" s="15" t="str">
        <x:v>Everest Business Funding</x:v>
      </x:c>
      <x:c r="C1618" s="15"/>
      <x:c r="D1618" s="15" t="str">
        <x:v>Operating-capital lender, broker or finance route; eligibility unconfirmed</x:v>
      </x:c>
      <x:c r="E1618" s="15" t="str">
        <x:v>Operating-capital eligibility inquiry</x:v>
      </x:c>
      <x:c r="F1618" s="17" t="str">
        <x:v>New</x:v>
      </x:c>
      <x:c r="G1618" s="24" t="str">
        <x:v>info@everestbusinessfunding.com</x:v>
      </x:c>
      <x:c r="H1618" s="24" t="str">
        <x:v>+18006192943</x:v>
      </x:c>
      <x:c r="I1618" s="24" t="str">
        <x:v>https://everestbusinessfunding.com/</x:v>
      </x:c>
      <x:c r="J1618" s="16"/>
      <x:c r="K1618" s="16"/>
      <x:c r="L1618" s="16" t="str">
        <x:v>firm_business_routing</x:v>
      </x:c>
      <x:c r="M1618" s="16" t="str">
        <x:v>https://everestbusinessfunding.com/</x:v>
      </x:c>
      <x:c r="N1618" s="16" t="str">
        <x:v>$100K-$500K ticket not published / unconfirmed</x:v>
      </x:c>
      <x:c r="O1618" s="20"/>
      <x:c r="P1618" s="20"/>
      <x:c r="Q1618" s="25" t="str">
        <x:v>No direct corporate-capital range established in checked source</x:v>
      </x:c>
      <x:c r="R1618" s="25" t="str">
        <x:v>No borrower approval or available cash verified. Any published borrowing limits are marketing capacity, not verified liquidity.</x:v>
      </x:c>
      <x:c r="S1618" s="25"/>
      <x:c r="T1618" s="25" t="str">
        <x:v>Confirm $100K-$500K ticket, company-stage and sector eligibility, investment authority, available allocation and proposed terms.</x:v>
      </x:c>
      <x:c r="U1618" s="25" t="str">
        <x:v>https://everestbusinessfunding.com/
https://everestbusinessfunding.com/privacy-policy
https://everestbusinessfunding.com/contact</x:v>
      </x:c>
      <x:c r="V1618" s="26" t="d">
        <x:v>2026-10-02T00:00:00.000Z</x:v>
      </x:c>
      <x:c r="W1618" s="26" t="d">
        <x:v>2026-09-30T00:00:00.000Z</x:v>
      </x:c>
      <x:c r="X1618" s="25" t="str">
        <x:v>Saved public company, industry-directory or regulatory source; source date retained</x:v>
      </x:c>
      <x:c r="Y1618" s="25" t="str">
        <x:v>https://everestbusinessfunding.com/</x:v>
      </x:c>
      <x:c r="Z1618" s="25" t="str">
        <x:v>https://everestbusinessfunding.com/</x:v>
      </x:c>
      <x:c r="AA1618" s="25" t="str">
        <x:v>[]</x:v>
      </x:c>
      <x:c r="AB1618" s="3" t="str">
        <x:v>Existing CapitalForge research, newly screened for this campaign</x:v>
      </x:c>
      <x:c r="AC1618" s="3" t="str">
        <x:v>unverified</x:v>
      </x:c>
      <x:c r="AD1618" s="3" t="str">
        <x:v>Not contacted / unconfirmed</x:v>
      </x:c>
      <x:c r="AE1618" s="3" t="str">
        <x:v>No</x:v>
      </x:c>
      <x:c r="AF1618" s="3" t="str">
        <x:v>No</x:v>
      </x:c>
      <x:c r="AG1618" s="3"/>
      <x:c r="AH1618" s="3"/>
      <x:c r="AI1618" s="18"/>
      <x:c r="AJ1618" s="3" t="str">
        <x:v>CF2500-EFA2517A951E</x:v>
      </x:c>
      <x:c r="AK1618" s="3" t="str">
        <x:v>revenue_based</x:v>
      </x:c>
      <x:c r="AL1618" s="19" t="n">
        <x:v>100000</x:v>
      </x:c>
      <x:c r="AM1618" s="19" t="n">
        <x:v>500000</x:v>
      </x:c>
      <x:c r="AN1618" s="3" t="str">
        <x:v>https://everestbusinessfunding.com/</x:v>
      </x:c>
      <x:c r="AO1618" s="3" t="str">
        <x:v>public_directory.jsonl</x:v>
      </x:c>
      <x:c r="AP1618" s="19"/>
    </x:row>
    <x:row r="1619" ht="36" customHeight="1">
      <x:c r="A1619" s="23" t="n">
        <x:v>1618</x:v>
      </x:c>
      <x:c r="B1619" s="15" t="str">
        <x:v>Expansion Capital Group</x:v>
      </x:c>
      <x:c r="C1619" s="15"/>
      <x:c r="D1619" s="15" t="str">
        <x:v>Operating-capital lender, broker or finance route; eligibility unconfirmed</x:v>
      </x:c>
      <x:c r="E1619" s="15" t="str">
        <x:v>Operating-capital eligibility inquiry</x:v>
      </x:c>
      <x:c r="F1619" s="17" t="str">
        <x:v>New</x:v>
      </x:c>
      <x:c r="G1619" s="24" t="str">
        <x:v>queries@ecg.com</x:v>
      </x:c>
      <x:c r="H1619" s="24" t="str">
        <x:v>+18772049203</x:v>
      </x:c>
      <x:c r="I1619" s="24" t="str">
        <x:v>https://www.ecg.com/</x:v>
      </x:c>
      <x:c r="J1619" s="16"/>
      <x:c r="K1619" s="16"/>
      <x:c r="L1619" s="16" t="str">
        <x:v>firm_business_routing</x:v>
      </x:c>
      <x:c r="M1619" s="16" t="str">
        <x:v>https://www.ecg.com/</x:v>
      </x:c>
      <x:c r="N1619" s="16" t="str">
        <x:v>$100K-$500K ticket not published / unconfirmed</x:v>
      </x:c>
      <x:c r="O1619" s="20"/>
      <x:c r="P1619" s="20"/>
      <x:c r="Q1619" s="25" t="str">
        <x:v>No direct corporate-capital range established in checked source</x:v>
      </x:c>
      <x:c r="R1619" s="25" t="str">
        <x:v>Current site claims $1.5B+ historical funding, not present available cash. Current published per-borrower limit not verified.</x:v>
      </x:c>
      <x:c r="S1619" s="25"/>
      <x:c r="T1619" s="25" t="str">
        <x:v>Confirm $100K-$500K ticket, company-stage and sector eligibility, investment authority, available allocation and proposed terms.</x:v>
      </x:c>
      <x:c r="U1619" s="25" t="str">
        <x:v>https://www.ecg.com/
https://www.ecg.com/contact-us-2
https://www.ecg.com/partners/contact-us
https://www.ecg.com/about-us</x:v>
      </x:c>
      <x:c r="V1619" s="26" t="d">
        <x:v>2026-10-02T00:00:00.000Z</x:v>
      </x:c>
      <x:c r="W1619" s="26" t="d">
        <x:v>2026-09-30T00:00:00.000Z</x:v>
      </x:c>
      <x:c r="X1619" s="25" t="str">
        <x:v>Saved public company, industry-directory or regulatory source; source date retained</x:v>
      </x:c>
      <x:c r="Y1619" s="25" t="str">
        <x:v>https://www.ecg.com/</x:v>
      </x:c>
      <x:c r="Z1619" s="25" t="str">
        <x:v>https://www.ecg.com/</x:v>
      </x:c>
      <x:c r="AA1619" s="25" t="str">
        <x:v>[]</x:v>
      </x:c>
      <x:c r="AB1619" s="3" t="str">
        <x:v>Existing CapitalForge research, newly screened for this campaign</x:v>
      </x:c>
      <x:c r="AC1619" s="3" t="str">
        <x:v>unverified</x:v>
      </x:c>
      <x:c r="AD1619" s="3" t="str">
        <x:v>Not contacted / unconfirmed</x:v>
      </x:c>
      <x:c r="AE1619" s="3" t="str">
        <x:v>No</x:v>
      </x:c>
      <x:c r="AF1619" s="3" t="str">
        <x:v>No</x:v>
      </x:c>
      <x:c r="AG1619" s="3"/>
      <x:c r="AH1619" s="3"/>
      <x:c r="AI1619" s="18"/>
      <x:c r="AJ1619" s="3" t="str">
        <x:v>CF2500-C1CAFCE1B0C4</x:v>
      </x:c>
      <x:c r="AK1619" s="3" t="str">
        <x:v>working_capital</x:v>
      </x:c>
      <x:c r="AL1619" s="19" t="n">
        <x:v>100000</x:v>
      </x:c>
      <x:c r="AM1619" s="19" t="n">
        <x:v>500000</x:v>
      </x:c>
      <x:c r="AN1619" s="3" t="str">
        <x:v>https://www.ecg.com/</x:v>
      </x:c>
      <x:c r="AO1619" s="3" t="str">
        <x:v>public_directory.jsonl</x:v>
      </x:c>
      <x:c r="AP1619" s="19"/>
    </x:row>
    <x:row r="1620" ht="36" customHeight="1">
      <x:c r="A1620" s="23" t="n">
        <x:v>1619</x:v>
      </x:c>
      <x:c r="B1620" s="15" t="str">
        <x:v>Gem Star Capital</x:v>
      </x:c>
      <x:c r="C1620" s="15" t="str">
        <x:v>Gem Star Capital</x:v>
      </x:c>
      <x:c r="D1620" s="15" t="str">
        <x:v>Operating-capital lender, broker or finance route; eligibility unconfirmed</x:v>
      </x:c>
      <x:c r="E1620" s="15" t="str">
        <x:v>Operating-capital eligibility inquiry</x:v>
      </x:c>
      <x:c r="F1620" s="17" t="str">
        <x:v>New</x:v>
      </x:c>
      <x:c r="G1620" s="24" t="str">
        <x:v>ray@gemstarcapital.net</x:v>
      </x:c>
      <x:c r="H1620" s="24" t="str">
        <x:v>+12036287509</x:v>
      </x:c>
      <x:c r="I1620" s="24" t="str">
        <x:v>https://www.gemstarcapital.net/</x:v>
      </x:c>
      <x:c r="J1620" s="16"/>
      <x:c r="K1620" s="16"/>
      <x:c r="L1620" s="16" t="str">
        <x:v>published_professional_contact_directness_unconfirmed</x:v>
      </x:c>
      <x:c r="M1620" s="16" t="str">
        <x:v>https://www.gemstarcapital.net/</x:v>
      </x:c>
      <x:c r="N1620" s="16" t="str">
        <x:v>$100K-$500K ticket not published / unconfirmed</x:v>
      </x:c>
      <x:c r="O1620" s="20"/>
      <x:c r="P1620" s="20"/>
      <x:c r="Q1620" s="25" t="str">
        <x:v>No direct corporate-capital range established in checked source</x:v>
      </x:c>
      <x:c r="R1620" s="25" t="str">
        <x:v>Gem Star Capital LLC | Commerical and Private Funding | United States top of pageGEM STAR CAPITAL, LLC.HOMEOUR VISIONSTAFFCONTACTBOOKINGSAPPLY NOW!MoreUse tab to navigate through the menu items.Log InCOMMERCIAL, INVESTMENT and NON-OWNER OCCUPIED REAL ESTATE FUNDING EXPERTS ​ Danbury's #1 Fix &amp; Flip Financing Specialist!Specializing in Commercial, Investment and Non-owner occupied residential Real Estate Financing ​ Non-Traditional Lending Fix and Flip Funding to 100% of the Project costs ARV Rehab Lending ​ NO Tax Return/No Income Loans for 1-4 Family Investments, Commercial and Mixed Use Properties to 75% LTV. Higher on case by case basis. ​ Investor Cash Out - High LTV ​ Construction and R</x:v>
      </x:c>
      <x:c r="S1620" s="25"/>
      <x:c r="T1620" s="25" t="str">
        <x:v>Confirm $100K-$500K ticket, company-stage and sector eligibility, investment authority, available allocation and proposed terms.</x:v>
      </x:c>
      <x:c r="U1620" s="25" t="str">
        <x:v>https://nplaconference.com/private-lending-directory/page/7/
https://www.gemstarcapital.net/
https://www.privatelendersdirectory.com/united-states/danbury/top-level-category/gemstar-capital</x:v>
      </x:c>
      <x:c r="V1620" s="26" t="d">
        <x:v>2026-10-02T00:00:00.000Z</x:v>
      </x:c>
      <x:c r="W1620" s="26" t="d">
        <x:v>2026-09-30T00:00:00.000Z</x:v>
      </x:c>
      <x:c r="X1620" s="25" t="str">
        <x:v>Saved public company, industry-directory or regulatory source; source date retained</x:v>
      </x:c>
      <x:c r="Y1620" s="25" t="str">
        <x:v>https://www.gemstarcapital.net/</x:v>
      </x:c>
      <x:c r="Z1620" s="25" t="str">
        <x:v>https://www.gemstarcapital.net/</x:v>
      </x:c>
      <x:c r="AA1620" s="25" t="str">
        <x:v>[]</x:v>
      </x:c>
      <x:c r="AB1620" s="3" t="str">
        <x:v>Existing CapitalForge research, newly screened for this campaign</x:v>
      </x:c>
      <x:c r="AC1620" s="3" t="str">
        <x:v>unverified</x:v>
      </x:c>
      <x:c r="AD1620" s="3" t="str">
        <x:v>Not contacted / unconfirmed</x:v>
      </x:c>
      <x:c r="AE1620" s="3" t="str">
        <x:v>No</x:v>
      </x:c>
      <x:c r="AF1620" s="3" t="str">
        <x:v>No</x:v>
      </x:c>
      <x:c r="AG1620" s="3"/>
      <x:c r="AH1620" s="3"/>
      <x:c r="AI1620" s="18"/>
      <x:c r="AJ1620" s="3" t="str">
        <x:v>CF2500-79B9B355A28A</x:v>
      </x:c>
      <x:c r="AK1620" s="3" t="str">
        <x:v>business_finance</x:v>
      </x:c>
      <x:c r="AL1620" s="19" t="n">
        <x:v>100000</x:v>
      </x:c>
      <x:c r="AM1620" s="19" t="n">
        <x:v>500000</x:v>
      </x:c>
      <x:c r="AN1620" s="3" t="str">
        <x:v>https://nplaconference.com/private-lending-directory/page/7/</x:v>
      </x:c>
      <x:c r="AO1620" s="3" t="str">
        <x:v>public_directory.jsonl</x:v>
      </x:c>
      <x:c r="AP1620" s="19"/>
    </x:row>
    <x:row r="1621" ht="36" customHeight="1">
      <x:c r="A1621" s="23" t="n">
        <x:v>1620</x:v>
      </x:c>
      <x:c r="B1621" s="15" t="str">
        <x:v>GoKapital</x:v>
      </x:c>
      <x:c r="C1621" s="15"/>
      <x:c r="D1621" s="15" t="str">
        <x:v>Operating-capital lender, broker or finance route; eligibility unconfirmed</x:v>
      </x:c>
      <x:c r="E1621" s="15" t="str">
        <x:v>Operating-capital eligibility inquiry</x:v>
      </x:c>
      <x:c r="F1621" s="17" t="str">
        <x:v>New</x:v>
      </x:c>
      <x:c r="G1621" s="24" t="str">
        <x:v>info@gokapital.com</x:v>
      </x:c>
      <x:c r="H1621" s="24" t="str">
        <x:v>+18662572973</x:v>
      </x:c>
      <x:c r="I1621" s="24" t="str">
        <x:v>https://www.gokapital.com/</x:v>
      </x:c>
      <x:c r="J1621" s="16"/>
      <x:c r="K1621" s="16"/>
      <x:c r="L1621" s="16" t="str">
        <x:v>firm_business_routing</x:v>
      </x:c>
      <x:c r="M1621" s="16" t="str">
        <x:v>https://www.gokapital.com/</x:v>
      </x:c>
      <x:c r="N1621" s="16" t="str">
        <x:v>$100K-$500K ticket not published / unconfirmed</x:v>
      </x:c>
      <x:c r="O1621" s="20"/>
      <x:c r="P1621" s="20"/>
      <x:c r="Q1621" s="25" t="str">
        <x:v>No direct corporate-capital range established in checked source</x:v>
      </x:c>
      <x:c r="R1621" s="25" t="str">
        <x:v>No borrower approval or available cash verified. Any published borrowing limits are marketing capacity, not verified liquidity.
Directory profile describes property loans. Unsecured fulfillment financing/equity participation not verified. Published loan limits do not verify cash on hand.</x:v>
      </x:c>
      <x:c r="S1621" s="25"/>
      <x:c r="T1621" s="25" t="str">
        <x:v>Confirm $100K-$500K ticket, company-stage and sector eligibility, investment authority, available allocation and proposed terms.</x:v>
      </x:c>
      <x:c r="U1621" s="25" t="str">
        <x:v>https://www.gokapital.com/
https://www.gokapital.com/contact-us/
https://www.gokapital.com/unsecured-business-term-loans/
https://www.hardmoneyhome.com/lenders/view/gokapital-mortgage</x:v>
      </x:c>
      <x:c r="V1621" s="26" t="d">
        <x:v>2026-10-02T00:00:00.000Z</x:v>
      </x:c>
      <x:c r="W1621" s="26" t="d">
        <x:v>2026-09-30T00:00:00.000Z</x:v>
      </x:c>
      <x:c r="X1621" s="25" t="str">
        <x:v>Saved public company, industry-directory or regulatory source; source date retained</x:v>
      </x:c>
      <x:c r="Y1621" s="25" t="str">
        <x:v>https://www.gokapital.com/</x:v>
      </x:c>
      <x:c r="Z1621" s="25" t="str">
        <x:v>https://www.gokapital.com/</x:v>
      </x:c>
      <x:c r="AA1621" s="25" t="str">
        <x:v>[]</x:v>
      </x:c>
      <x:c r="AB1621" s="3" t="str">
        <x:v>Existing CapitalForge research, newly screened for this campaign</x:v>
      </x:c>
      <x:c r="AC1621" s="3" t="str">
        <x:v>unverified</x:v>
      </x:c>
      <x:c r="AD1621" s="3" t="str">
        <x:v>Not contacted / unconfirmed</x:v>
      </x:c>
      <x:c r="AE1621" s="3" t="str">
        <x:v>No</x:v>
      </x:c>
      <x:c r="AF1621" s="3" t="str">
        <x:v>No</x:v>
      </x:c>
      <x:c r="AG1621" s="3"/>
      <x:c r="AH1621" s="3"/>
      <x:c r="AI1621" s="18"/>
      <x:c r="AJ1621" s="3" t="str">
        <x:v>CF2500-3BD97CE70566</x:v>
      </x:c>
      <x:c r="AK1621" s="3" t="str">
        <x:v>unsecured_business</x:v>
      </x:c>
      <x:c r="AL1621" s="19" t="n">
        <x:v>100000</x:v>
      </x:c>
      <x:c r="AM1621" s="19" t="n">
        <x:v>500000</x:v>
      </x:c>
      <x:c r="AN1621" s="3" t="str">
        <x:v>https://www.gokapital.com/</x:v>
      </x:c>
      <x:c r="AO1621" s="3" t="str">
        <x:v>public_directory.jsonl</x:v>
      </x:c>
      <x:c r="AP1621" s="19"/>
    </x:row>
    <x:row r="1622" ht="36" customHeight="1">
      <x:c r="A1622" s="23" t="n">
        <x:v>1621</x:v>
      </x:c>
      <x:c r="B1622" s="15" t="str">
        <x:v>Kennedy Funding</x:v>
      </x:c>
      <x:c r="C1622" s="15" t="str">
        <x:v>Kennedy Funding</x:v>
      </x:c>
      <x:c r="D1622" s="15" t="str">
        <x:v>Operating-capital lender, broker or finance route; eligibility unconfirmed</x:v>
      </x:c>
      <x:c r="E1622" s="15" t="str">
        <x:v>Operating-capital eligibility inquiry</x:v>
      </x:c>
      <x:c r="F1622" s="17" t="str">
        <x:v>New</x:v>
      </x:c>
      <x:c r="G1622" s="24" t="str">
        <x:v>info@kennedyfunding.com</x:v>
      </x:c>
      <x:c r="H1622" s="24" t="str">
        <x:v>+12013428500</x:v>
      </x:c>
      <x:c r="I1622" s="24" t="str">
        <x:v>https://www.kennedyfunding.com/</x:v>
      </x:c>
      <x:c r="J1622" s="16"/>
      <x:c r="K1622" s="16"/>
      <x:c r="L1622" s="16" t="str">
        <x:v>published_professional_contact_directness_unconfirmed</x:v>
      </x:c>
      <x:c r="M1622" s="16" t="str">
        <x:v>https://www.kennedyfunding.com/</x:v>
      </x:c>
      <x:c r="N1622" s="16" t="str">
        <x:v>$100K-$500K ticket not published / unconfirmed</x:v>
      </x:c>
      <x:c r="O1622" s="20"/>
      <x:c r="P1622" s="20"/>
      <x:c r="Q1622" s="25" t="str">
        <x:v>No direct corporate-capital range established in checked source</x:v>
      </x:c>
      <x:c r="R1622" s="25" t="str">
        <x:v>Kennedy Funding | Private Money, Hard Money, Commercial Bridge Loan Lender About Us Our Team Loan Criteria Loan Inquiry Form Loan Closings Loan Map Testimonials News Blog Properties For Sale Foreign National Loans Events Contact Us Apply Here Why is Kennedy Funding America’s most trusted bridge loan lender? Our unmatched experience enables us to help you realize your vision. We start by understanding your unique situation and then creatively craft a funding solution that best meets your needs. We’re built for speed and go from approval to closing in just a few days. At Kennedy Funding, our industry-leading expertise adds up to over $4 billion in closed loans, why would you go anywhere else? </x:v>
      </x:c>
      <x:c r="S1622" s="25"/>
      <x:c r="T1622" s="25" t="str">
        <x:v>Confirm $100K-$500K ticket, company-stage and sector eligibility, investment authority, available allocation and proposed terms.</x:v>
      </x:c>
      <x:c r="U1622" s="25" t="str">
        <x:v>https://nplaconference.com/private-lending-directory/page/9/
https://www.kennedyfunding.com/contact-us/</x:v>
      </x:c>
      <x:c r="V1622" s="26" t="d">
        <x:v>2026-10-02T00:00:00.000Z</x:v>
      </x:c>
      <x:c r="W1622" s="26" t="d">
        <x:v>2026-09-30T00:00:00.000Z</x:v>
      </x:c>
      <x:c r="X1622" s="25" t="str">
        <x:v>Saved public company, industry-directory or regulatory source; source date retained</x:v>
      </x:c>
      <x:c r="Y1622" s="25" t="str">
        <x:v>https://www.kennedyfunding.com/contact-us/</x:v>
      </x:c>
      <x:c r="Z1622" s="25" t="str">
        <x:v>https://www.kennedyfunding.com/contact-us/</x:v>
      </x:c>
      <x:c r="AA1622" s="25" t="str">
        <x:v>[]</x:v>
      </x:c>
      <x:c r="AB1622" s="3" t="str">
        <x:v>Existing CapitalForge research, newly screened for this campaign</x:v>
      </x:c>
      <x:c r="AC1622" s="3" t="str">
        <x:v>unverified</x:v>
      </x:c>
      <x:c r="AD1622" s="3" t="str">
        <x:v>Not contacted / unconfirmed</x:v>
      </x:c>
      <x:c r="AE1622" s="3" t="str">
        <x:v>No</x:v>
      </x:c>
      <x:c r="AF1622" s="3" t="str">
        <x:v>No</x:v>
      </x:c>
      <x:c r="AG1622" s="3"/>
      <x:c r="AH1622" s="3"/>
      <x:c r="AI1622" s="18"/>
      <x:c r="AJ1622" s="3" t="str">
        <x:v>CF2500-19788AC7243A</x:v>
      </x:c>
      <x:c r="AK1622" s="3" t="str">
        <x:v>business_finance</x:v>
      </x:c>
      <x:c r="AL1622" s="19" t="n">
        <x:v>100000</x:v>
      </x:c>
      <x:c r="AM1622" s="19" t="n">
        <x:v>500000</x:v>
      </x:c>
      <x:c r="AN1622" s="3" t="str">
        <x:v>https://nplaconference.com/private-lending-directory/page/9/</x:v>
      </x:c>
      <x:c r="AO1622" s="3" t="str">
        <x:v>public_directory.jsonl</x:v>
      </x:c>
      <x:c r="AP1622" s="19"/>
    </x:row>
    <x:row r="1623" ht="36" customHeight="1">
      <x:c r="A1623" s="23" t="n">
        <x:v>1622</x:v>
      </x:c>
      <x:c r="B1623" s="15" t="str">
        <x:v>Lendon Capital</x:v>
      </x:c>
      <x:c r="C1623" s="15"/>
      <x:c r="D1623" s="15" t="str">
        <x:v>Operating-capital lender, broker or finance route; eligibility unconfirmed</x:v>
      </x:c>
      <x:c r="E1623" s="15" t="str">
        <x:v>Operating-capital eligibility inquiry</x:v>
      </x:c>
      <x:c r="F1623" s="17" t="str">
        <x:v>New</x:v>
      </x:c>
      <x:c r="G1623" s="24" t="str">
        <x:v>info@lendoncapital.com</x:v>
      </x:c>
      <x:c r="H1623" s="24" t="str">
        <x:v>+18449023080</x:v>
      </x:c>
      <x:c r="I1623" s="24" t="str">
        <x:v>https://lendoncapital.com/</x:v>
      </x:c>
      <x:c r="J1623" s="16"/>
      <x:c r="K1623" s="16"/>
      <x:c r="L1623" s="16" t="str">
        <x:v>firm_business_routing</x:v>
      </x:c>
      <x:c r="M1623" s="16" t="str">
        <x:v>https://lendoncapital.com/</x:v>
      </x:c>
      <x:c r="N1623" s="16" t="str">
        <x:v>$100K-$500K ticket not published / unconfirmed</x:v>
      </x:c>
      <x:c r="O1623" s="20"/>
      <x:c r="P1623" s="20"/>
      <x:c r="Q1623" s="25" t="str">
        <x:v>No direct corporate-capital range established in checked source</x:v>
      </x:c>
      <x:c r="R1623" s="25" t="str">
        <x:v>Advertised business financing capability only; no borrower approval or minimum available cash verified.</x:v>
      </x:c>
      <x:c r="S1623" s="25"/>
      <x:c r="T1623" s="25" t="str">
        <x:v>Confirm $100K-$500K ticket, company-stage and sector eligibility, investment authority, available allocation and proposed terms.</x:v>
      </x:c>
      <x:c r="U1623" s="25" t="str">
        <x:v>https://lendoncapital.com/
https://lendoncapital.com/line-of-credit/
https://lendoncapital.com/contact/</x:v>
      </x:c>
      <x:c r="V1623" s="26" t="d">
        <x:v>2026-10-02T00:00:00.000Z</x:v>
      </x:c>
      <x:c r="W1623" s="26" t="d">
        <x:v>2026-09-30T00:00:00.000Z</x:v>
      </x:c>
      <x:c r="X1623" s="25" t="str">
        <x:v>Saved public company, industry-directory or regulatory source; source date retained</x:v>
      </x:c>
      <x:c r="Y1623" s="25" t="str">
        <x:v>https://lendoncapital.com/</x:v>
      </x:c>
      <x:c r="Z1623" s="25" t="str">
        <x:v>https://lendoncapital.com/</x:v>
      </x:c>
      <x:c r="AA1623" s="25" t="str">
        <x:v>[]</x:v>
      </x:c>
      <x:c r="AB1623" s="3" t="str">
        <x:v>Existing CapitalForge research, newly screened for this campaign</x:v>
      </x:c>
      <x:c r="AC1623" s="3" t="str">
        <x:v>unverified</x:v>
      </x:c>
      <x:c r="AD1623" s="3" t="str">
        <x:v>Not contacted / unconfirmed</x:v>
      </x:c>
      <x:c r="AE1623" s="3" t="str">
        <x:v>No</x:v>
      </x:c>
      <x:c r="AF1623" s="3" t="str">
        <x:v>No</x:v>
      </x:c>
      <x:c r="AG1623" s="3"/>
      <x:c r="AH1623" s="3"/>
      <x:c r="AI1623" s="18"/>
      <x:c r="AJ1623" s="3" t="str">
        <x:v>CF2500-4E2028FE27E7</x:v>
      </x:c>
      <x:c r="AK1623" s="3" t="str">
        <x:v>unsecured_business</x:v>
      </x:c>
      <x:c r="AL1623" s="19" t="n">
        <x:v>100000</x:v>
      </x:c>
      <x:c r="AM1623" s="19" t="n">
        <x:v>500000</x:v>
      </x:c>
      <x:c r="AN1623" s="3" t="str">
        <x:v>https://lendoncapital.com/</x:v>
      </x:c>
      <x:c r="AO1623" s="3" t="str">
        <x:v>public_directory.jsonl</x:v>
      </x:c>
      <x:c r="AP1623" s="19"/>
    </x:row>
    <x:row r="1624" ht="36" customHeight="1">
      <x:c r="A1624" s="23" t="n">
        <x:v>1623</x:v>
      </x:c>
      <x:c r="B1624" s="15" t="str">
        <x:v>Lendr</x:v>
      </x:c>
      <x:c r="C1624" s="15"/>
      <x:c r="D1624" s="15" t="str">
        <x:v>Operating-capital lender, broker or finance route; eligibility unconfirmed</x:v>
      </x:c>
      <x:c r="E1624" s="15" t="str">
        <x:v>Operating-capital eligibility inquiry</x:v>
      </x:c>
      <x:c r="F1624" s="17" t="str">
        <x:v>New</x:v>
      </x:c>
      <x:c r="G1624" s="24" t="str">
        <x:v>support@lendr.online</x:v>
      </x:c>
      <x:c r="H1624" s="24" t="str">
        <x:v>+13128785118</x:v>
      </x:c>
      <x:c r="I1624" s="24" t="str">
        <x:v>https://lendr.online/</x:v>
      </x:c>
      <x:c r="J1624" s="16"/>
      <x:c r="K1624" s="16"/>
      <x:c r="L1624" s="16" t="str">
        <x:v>firm_business_routing</x:v>
      </x:c>
      <x:c r="M1624" s="16" t="str">
        <x:v>https://lendr.online/</x:v>
      </x:c>
      <x:c r="N1624" s="16" t="str">
        <x:v>$100K-$500K ticket not published / unconfirmed</x:v>
      </x:c>
      <x:c r="O1624" s="20"/>
      <x:c r="P1624" s="20"/>
      <x:c r="Q1624" s="25" t="str">
        <x:v>No direct corporate-capital range established in checked source</x:v>
      </x:c>
      <x:c r="R1624" s="25" t="str">
        <x:v>No borrower approval or available cash verified. Any published borrowing limits are marketing capacity, not verified liquidity.</x:v>
      </x:c>
      <x:c r="S1624" s="25"/>
      <x:c r="T1624" s="25" t="str">
        <x:v>Confirm $100K-$500K ticket, company-stage and sector eligibility, investment authority, available allocation and proposed terms.</x:v>
      </x:c>
      <x:c r="U1624" s="25" t="str">
        <x:v>https://lendr.online/
https://lendr.online/privacy-policy/</x:v>
      </x:c>
      <x:c r="V1624" s="26" t="d">
        <x:v>2026-10-02T00:00:00.000Z</x:v>
      </x:c>
      <x:c r="W1624" s="26" t="d">
        <x:v>2026-09-30T00:00:00.000Z</x:v>
      </x:c>
      <x:c r="X1624" s="25" t="str">
        <x:v>Saved public company, industry-directory or regulatory source; source date retained</x:v>
      </x:c>
      <x:c r="Y1624" s="25" t="str">
        <x:v>https://lendr.online/</x:v>
      </x:c>
      <x:c r="Z1624" s="25" t="str">
        <x:v>https://lendr.online/</x:v>
      </x:c>
      <x:c r="AA1624" s="25" t="str">
        <x:v>[]</x:v>
      </x:c>
      <x:c r="AB1624" s="3" t="str">
        <x:v>Existing CapitalForge research, newly screened for this campaign</x:v>
      </x:c>
      <x:c r="AC1624" s="3" t="str">
        <x:v>unverified</x:v>
      </x:c>
      <x:c r="AD1624" s="3" t="str">
        <x:v>Not contacted / unconfirmed</x:v>
      </x:c>
      <x:c r="AE1624" s="3" t="str">
        <x:v>No</x:v>
      </x:c>
      <x:c r="AF1624" s="3" t="str">
        <x:v>No</x:v>
      </x:c>
      <x:c r="AG1624" s="3"/>
      <x:c r="AH1624" s="3"/>
      <x:c r="AI1624" s="18"/>
      <x:c r="AJ1624" s="3" t="str">
        <x:v>CF2500-2094DCC4238E</x:v>
      </x:c>
      <x:c r="AK1624" s="3" t="str">
        <x:v>revenue_based</x:v>
      </x:c>
      <x:c r="AL1624" s="19" t="n">
        <x:v>100000</x:v>
      </x:c>
      <x:c r="AM1624" s="19" t="n">
        <x:v>500000</x:v>
      </x:c>
      <x:c r="AN1624" s="3" t="str">
        <x:v>https://lendr.online/</x:v>
      </x:c>
      <x:c r="AO1624" s="3" t="str">
        <x:v>public_directory.jsonl</x:v>
      </x:c>
      <x:c r="AP1624" s="19"/>
    </x:row>
    <x:row r="1625" ht="36" customHeight="1">
      <x:c r="A1625" s="23" t="n">
        <x:v>1624</x:v>
      </x:c>
      <x:c r="B1625" s="15" t="str">
        <x:v>Libertas Funding</x:v>
      </x:c>
      <x:c r="C1625" s="15"/>
      <x:c r="D1625" s="15" t="str">
        <x:v>Operating-capital lender, broker or finance route; eligibility unconfirmed</x:v>
      </x:c>
      <x:c r="E1625" s="15" t="str">
        <x:v>Operating-capital eligibility inquiry</x:v>
      </x:c>
      <x:c r="F1625" s="17" t="str">
        <x:v>New</x:v>
      </x:c>
      <x:c r="G1625" s="24" t="str">
        <x:v>customer.service@libertasfunding.com</x:v>
      </x:c>
      <x:c r="H1625" s="24" t="str">
        <x:v>+18007048675</x:v>
      </x:c>
      <x:c r="I1625" s="24" t="str">
        <x:v>https://libertasfunding.com/</x:v>
      </x:c>
      <x:c r="J1625" s="16"/>
      <x:c r="K1625" s="16"/>
      <x:c r="L1625" s="16" t="str">
        <x:v>firm_business_routing</x:v>
      </x:c>
      <x:c r="M1625" s="16" t="str">
        <x:v>https://libertasfunding.com/</x:v>
      </x:c>
      <x:c r="N1625" s="16" t="str">
        <x:v>$100K-$500K ticket not published / unconfirmed</x:v>
      </x:c>
      <x:c r="O1625" s="20"/>
      <x:c r="P1625" s="20"/>
      <x:c r="Q1625" s="25" t="str">
        <x:v>No direct corporate-capital range established in checked source</x:v>
      </x:c>
      <x:c r="R1625" s="25" t="str">
        <x:v>No borrower approval or available cash verified. Any published borrowing limits are marketing capacity, not verified liquidity.</x:v>
      </x:c>
      <x:c r="S1625" s="25"/>
      <x:c r="T1625" s="25" t="str">
        <x:v>Confirm $100K-$500K ticket, company-stage and sector eligibility, investment authority, available allocation and proposed terms.</x:v>
      </x:c>
      <x:c r="U1625" s="25" t="str">
        <x:v>https://libertasfunding.com/
https://libertasfunding.com/privacy-policy
https://libertasfunding.com/about-us</x:v>
      </x:c>
      <x:c r="V1625" s="26" t="d">
        <x:v>2026-10-02T00:00:00.000Z</x:v>
      </x:c>
      <x:c r="W1625" s="26" t="d">
        <x:v>2026-09-30T00:00:00.000Z</x:v>
      </x:c>
      <x:c r="X1625" s="25" t="str">
        <x:v>Saved public company, industry-directory or regulatory source; source date retained</x:v>
      </x:c>
      <x:c r="Y1625" s="25" t="str">
        <x:v>https://libertasfunding.com/</x:v>
      </x:c>
      <x:c r="Z1625" s="25" t="str">
        <x:v>https://libertasfunding.com/</x:v>
      </x:c>
      <x:c r="AA1625" s="25" t="str">
        <x:v>[]</x:v>
      </x:c>
      <x:c r="AB1625" s="3" t="str">
        <x:v>Existing CapitalForge research, newly screened for this campaign</x:v>
      </x:c>
      <x:c r="AC1625" s="3" t="str">
        <x:v>unverified</x:v>
      </x:c>
      <x:c r="AD1625" s="3" t="str">
        <x:v>Not contacted / unconfirmed</x:v>
      </x:c>
      <x:c r="AE1625" s="3" t="str">
        <x:v>No</x:v>
      </x:c>
      <x:c r="AF1625" s="3" t="str">
        <x:v>No</x:v>
      </x:c>
      <x:c r="AG1625" s="3"/>
      <x:c r="AH1625" s="3"/>
      <x:c r="AI1625" s="18"/>
      <x:c r="AJ1625" s="3" t="str">
        <x:v>CF2500-D5ADA69D5292</x:v>
      </x:c>
      <x:c r="AK1625" s="3" t="str">
        <x:v>revenue_based</x:v>
      </x:c>
      <x:c r="AL1625" s="19" t="n">
        <x:v>100000</x:v>
      </x:c>
      <x:c r="AM1625" s="19" t="n">
        <x:v>500000</x:v>
      </x:c>
      <x:c r="AN1625" s="3" t="str">
        <x:v>https://libertasfunding.com/</x:v>
      </x:c>
      <x:c r="AO1625" s="3" t="str">
        <x:v>public_directory.jsonl</x:v>
      </x:c>
      <x:c r="AP1625" s="19"/>
    </x:row>
    <x:row r="1626" ht="36" customHeight="1">
      <x:c r="A1626" s="23" t="n">
        <x:v>1625</x:v>
      </x:c>
      <x:c r="B1626" s="15" t="str">
        <x:v>Omni Funding Solutions</x:v>
      </x:c>
      <x:c r="C1626" s="15" t="str">
        <x:v>Omni Funding Solutions</x:v>
      </x:c>
      <x:c r="D1626" s="15" t="str">
        <x:v>Operating-capital lender, broker or finance route; eligibility unconfirmed</x:v>
      </x:c>
      <x:c r="E1626" s="15" t="str">
        <x:v>Operating-capital eligibility inquiry</x:v>
      </x:c>
      <x:c r="F1626" s="17" t="str">
        <x:v>New</x:v>
      </x:c>
      <x:c r="G1626" s="24" t="str">
        <x:v>info@omnifundingsolutions.com</x:v>
      </x:c>
      <x:c r="H1626" s="24" t="str">
        <x:v>+14802561083</x:v>
      </x:c>
      <x:c r="I1626" s="24" t="str">
        <x:v>https://omnifundingsolutions.com/</x:v>
      </x:c>
      <x:c r="J1626" s="16"/>
      <x:c r="K1626" s="16"/>
      <x:c r="L1626" s="16" t="str">
        <x:v>published_professional_contact_directness_unconfirmed</x:v>
      </x:c>
      <x:c r="M1626" s="16" t="str">
        <x:v>https://omnifundingsolutions.com/</x:v>
      </x:c>
      <x:c r="N1626" s="16" t="str">
        <x:v>$100K-$500K ticket not published / unconfirmed</x:v>
      </x:c>
      <x:c r="O1626" s="20"/>
      <x:c r="P1626" s="20"/>
      <x:c r="Q1626" s="25" t="str">
        <x:v>No direct corporate-capital range established in checked source</x:v>
      </x:c>
      <x:c r="R1626" s="25" t="str">
        <x:v>Home - Omni Funding Solutions 6424 E. Greenway Parkway #100 Scottsdale, AZ 85254 info@omnifundingsolutions.com Book A Consultation Today! Facebook Instagram Tiktok Linkedin Home Services About Us Contact Blog . Call Us Today! +1 480-256-1083 Drive Success with Custom Financing Effortlessly navigate your business journey with our tailored financial services that guarantee growth. Let’s Get Started Innovative Financing Made Simple Embrace financial freedom with Omni-Funding's bespoke Funding solutions designed to propel your business forward. Let’s Get Started Secure Tomorrow’s Success Today Partner with us to future-proof your business through strategic investment and our robust financial pla</x:v>
      </x:c>
      <x:c r="S1626" s="25"/>
      <x:c r="T1626" s="25" t="str">
        <x:v>Confirm $100K-$500K ticket, company-stage and sector eligibility, investment authority, available allocation and proposed terms.</x:v>
      </x:c>
      <x:c r="U1626" s="25" t="str">
        <x:v>https://nplaconference.com/private-lending-directory/page/12/
https://omnifundingsolutions.com/</x:v>
      </x:c>
      <x:c r="V1626" s="26" t="d">
        <x:v>2026-10-02T00:00:00.000Z</x:v>
      </x:c>
      <x:c r="W1626" s="26" t="d">
        <x:v>2026-09-30T00:00:00.000Z</x:v>
      </x:c>
      <x:c r="X1626" s="25" t="str">
        <x:v>Saved public company, industry-directory or regulatory source; source date retained</x:v>
      </x:c>
      <x:c r="Y1626" s="25" t="str">
        <x:v>https://omnifundingsolutions.com/</x:v>
      </x:c>
      <x:c r="Z1626" s="25" t="str">
        <x:v>https://omnifundingsolutions.com/</x:v>
      </x:c>
      <x:c r="AA1626" s="25" t="str">
        <x:v>[]</x:v>
      </x:c>
      <x:c r="AB1626" s="3" t="str">
        <x:v>Existing CapitalForge research, newly screened for this campaign</x:v>
      </x:c>
      <x:c r="AC1626" s="3" t="str">
        <x:v>unverified</x:v>
      </x:c>
      <x:c r="AD1626" s="3" t="str">
        <x:v>Not contacted / unconfirmed</x:v>
      </x:c>
      <x:c r="AE1626" s="3" t="str">
        <x:v>No</x:v>
      </x:c>
      <x:c r="AF1626" s="3" t="str">
        <x:v>No</x:v>
      </x:c>
      <x:c r="AG1626" s="3"/>
      <x:c r="AH1626" s="3"/>
      <x:c r="AI1626" s="18"/>
      <x:c r="AJ1626" s="3" t="str">
        <x:v>CF2500-980E0B6AF5CE</x:v>
      </x:c>
      <x:c r="AK1626" s="3" t="str">
        <x:v>business_finance</x:v>
      </x:c>
      <x:c r="AL1626" s="19" t="n">
        <x:v>100000</x:v>
      </x:c>
      <x:c r="AM1626" s="19" t="n">
        <x:v>500000</x:v>
      </x:c>
      <x:c r="AN1626" s="3" t="str">
        <x:v>https://nplaconference.com/private-lending-directory/page/12/</x:v>
      </x:c>
      <x:c r="AO1626" s="3" t="str">
        <x:v>public_directory.jsonl</x:v>
      </x:c>
      <x:c r="AP1626" s="19"/>
    </x:row>
    <x:row r="1627" ht="36" customHeight="1">
      <x:c r="A1627" s="23" t="n">
        <x:v>1626</x:v>
      </x:c>
      <x:c r="B1627" s="15" t="str">
        <x:v>Oxygen Working Capital</x:v>
      </x:c>
      <x:c r="C1627" s="15"/>
      <x:c r="D1627" s="15" t="str">
        <x:v>Operating-capital lender, broker or finance route; eligibility unconfirmed</x:v>
      </x:c>
      <x:c r="E1627" s="15" t="str">
        <x:v>Operating-capital eligibility inquiry</x:v>
      </x:c>
      <x:c r="F1627" s="17" t="str">
        <x:v>New</x:v>
      </x:c>
      <x:c r="G1627" s="24" t="str">
        <x:v>info@oxygenworkingcapital.com</x:v>
      </x:c>
      <x:c r="H1627" s="24" t="str">
        <x:v>+18337840997</x:v>
      </x:c>
      <x:c r="I1627" s="24" t="str">
        <x:v>https://www.oxygenworkingcapital.com/</x:v>
      </x:c>
      <x:c r="J1627" s="16"/>
      <x:c r="K1627" s="16"/>
      <x:c r="L1627" s="16" t="str">
        <x:v>firm_business_routing</x:v>
      </x:c>
      <x:c r="M1627" s="16" t="str">
        <x:v>https://www.oxygenworkingcapital.com/</x:v>
      </x:c>
      <x:c r="N1627" s="16" t="str">
        <x:v>$100K-$500K ticket not published / unconfirmed</x:v>
      </x:c>
      <x:c r="O1627" s="20"/>
      <x:c r="P1627" s="20"/>
      <x:c r="Q1627" s="25" t="str">
        <x:v>No direct corporate-capital range established in checked source</x:v>
      </x:c>
      <x:c r="R1627" s="25" t="str">
        <x:v>Contact page accepts $500K-$1M+ funding requests; request menu is not capacity evidence.</x:v>
      </x:c>
      <x:c r="S1627" s="25"/>
      <x:c r="T1627" s="25" t="str">
        <x:v>Confirm $100K-$500K ticket, company-stage and sector eligibility, investment authority, available allocation and proposed terms.</x:v>
      </x:c>
      <x:c r="U1627" s="25" t="str">
        <x:v>https://www.oxygenworkingcapital.com/
https://www.oxygenworkingcapital.com/contact/
https://www.oxygenworkingcapital.com/team/
https://www.oxygenworkingcapital.com/team#our-team</x:v>
      </x:c>
      <x:c r="V1627" s="26" t="d">
        <x:v>2026-10-02T00:00:00.000Z</x:v>
      </x:c>
      <x:c r="W1627" s="26" t="d">
        <x:v>2026-09-30T00:00:00.000Z</x:v>
      </x:c>
      <x:c r="X1627" s="25" t="str">
        <x:v>Saved public company, industry-directory or regulatory source; source date retained</x:v>
      </x:c>
      <x:c r="Y1627" s="25" t="str">
        <x:v>https://www.oxygenworkingcapital.com/</x:v>
      </x:c>
      <x:c r="Z1627" s="25" t="str">
        <x:v>https://www.oxygenworkingcapital.com/</x:v>
      </x:c>
      <x:c r="AA1627" s="25" t="str">
        <x:v>[]</x:v>
      </x:c>
      <x:c r="AB1627" s="3" t="str">
        <x:v>Existing CapitalForge research, newly screened for this campaign</x:v>
      </x:c>
      <x:c r="AC1627" s="3" t="str">
        <x:v>unverified</x:v>
      </x:c>
      <x:c r="AD1627" s="3" t="str">
        <x:v>Not contacted / unconfirmed</x:v>
      </x:c>
      <x:c r="AE1627" s="3" t="str">
        <x:v>No</x:v>
      </x:c>
      <x:c r="AF1627" s="3" t="str">
        <x:v>No</x:v>
      </x:c>
      <x:c r="AG1627" s="3"/>
      <x:c r="AH1627" s="3"/>
      <x:c r="AI1627" s="18"/>
      <x:c r="AJ1627" s="3" t="str">
        <x:v>CF2500-250ECFEC1A1D</x:v>
      </x:c>
      <x:c r="AK1627" s="3" t="str">
        <x:v>working_capital</x:v>
      </x:c>
      <x:c r="AL1627" s="19" t="n">
        <x:v>100000</x:v>
      </x:c>
      <x:c r="AM1627" s="19" t="n">
        <x:v>500000</x:v>
      </x:c>
      <x:c r="AN1627" s="3" t="str">
        <x:v>https://www.oxygenworkingcapital.com/</x:v>
      </x:c>
      <x:c r="AO1627" s="3" t="str">
        <x:v>public_directory.jsonl</x:v>
      </x:c>
      <x:c r="AP1627" s="19"/>
    </x:row>
    <x:row r="1628" ht="36" customHeight="1">
      <x:c r="A1628" s="23" t="n">
        <x:v>1627</x:v>
      </x:c>
      <x:c r="B1628" s="15" t="str">
        <x:v>Reliant Funding</x:v>
      </x:c>
      <x:c r="C1628" s="15"/>
      <x:c r="D1628" s="15" t="str">
        <x:v>Operating-capital lender, broker or finance route; eligibility unconfirmed</x:v>
      </x:c>
      <x:c r="E1628" s="15" t="str">
        <x:v>Operating-capital eligibility inquiry</x:v>
      </x:c>
      <x:c r="F1628" s="17" t="str">
        <x:v>New</x:v>
      </x:c>
      <x:c r="G1628" s="24" t="str">
        <x:v>info@reliantfunding.com</x:v>
      </x:c>
      <x:c r="H1628" s="24" t="str">
        <x:v>+18553054453</x:v>
      </x:c>
      <x:c r="I1628" s="24" t="str">
        <x:v>https://www.reliantfunding.com/</x:v>
      </x:c>
      <x:c r="J1628" s="16"/>
      <x:c r="K1628" s="16"/>
      <x:c r="L1628" s="16" t="str">
        <x:v>firm_business_routing</x:v>
      </x:c>
      <x:c r="M1628" s="16" t="str">
        <x:v>https://www.reliantfunding.com/</x:v>
      </x:c>
      <x:c r="N1628" s="16" t="str">
        <x:v>$100K-$500K ticket not published / unconfirmed</x:v>
      </x:c>
      <x:c r="O1628" s="20"/>
      <x:c r="P1628" s="20"/>
      <x:c r="Q1628" s="25" t="str">
        <x:v>No direct corporate-capital range established in checked source</x:v>
      </x:c>
      <x:c r="R1628" s="25" t="str">
        <x:v>Official site relaunched. Published current per-borrower limit not verified; similarly named personal-loan sites are excluded.</x:v>
      </x:c>
      <x:c r="S1628" s="25"/>
      <x:c r="T1628" s="25" t="str">
        <x:v>Confirm $100K-$500K ticket, company-stage and sector eligibility, investment authority, available allocation and proposed terms.</x:v>
      </x:c>
      <x:c r="U1628" s="25" t="str">
        <x:v>https://www.reliantfunding.com/
https://reliantfunding.lcfventures.com/contact</x:v>
      </x:c>
      <x:c r="V1628" s="26" t="d">
        <x:v>2026-10-02T00:00:00.000Z</x:v>
      </x:c>
      <x:c r="W1628" s="26" t="d">
        <x:v>2026-09-30T00:00:00.000Z</x:v>
      </x:c>
      <x:c r="X1628" s="25" t="str">
        <x:v>Saved public company, industry-directory or regulatory source; source date retained</x:v>
      </x:c>
      <x:c r="Y1628" s="25" t="str">
        <x:v>https://www.reliantfunding.com/</x:v>
      </x:c>
      <x:c r="Z1628" s="25" t="str">
        <x:v>https://www.reliantfunding.com/</x:v>
      </x:c>
      <x:c r="AA1628" s="25" t="str">
        <x:v>[]</x:v>
      </x:c>
      <x:c r="AB1628" s="3" t="str">
        <x:v>Existing CapitalForge research, newly screened for this campaign</x:v>
      </x:c>
      <x:c r="AC1628" s="3" t="str">
        <x:v>unverified</x:v>
      </x:c>
      <x:c r="AD1628" s="3" t="str">
        <x:v>Not contacted / unconfirmed</x:v>
      </x:c>
      <x:c r="AE1628" s="3" t="str">
        <x:v>No</x:v>
      </x:c>
      <x:c r="AF1628" s="3" t="str">
        <x:v>No</x:v>
      </x:c>
      <x:c r="AG1628" s="3"/>
      <x:c r="AH1628" s="3"/>
      <x:c r="AI1628" s="18"/>
      <x:c r="AJ1628" s="3" t="str">
        <x:v>CF2500-35091DD8C189</x:v>
      </x:c>
      <x:c r="AK1628" s="3" t="str">
        <x:v>working_capital</x:v>
      </x:c>
      <x:c r="AL1628" s="19" t="n">
        <x:v>100000</x:v>
      </x:c>
      <x:c r="AM1628" s="19" t="n">
        <x:v>500000</x:v>
      </x:c>
      <x:c r="AN1628" s="3" t="str">
        <x:v>https://www.reliantfunding.com/</x:v>
      </x:c>
      <x:c r="AO1628" s="3" t="str">
        <x:v>public_directory.jsonl</x:v>
      </x:c>
      <x:c r="AP1628" s="19"/>
    </x:row>
    <x:row r="1629" ht="36" customHeight="1">
      <x:c r="A1629" s="23" t="n">
        <x:v>1628</x:v>
      </x:c>
      <x:c r="B1629" s="15" t="str">
        <x:v>ROK Financial</x:v>
      </x:c>
      <x:c r="C1629" s="15" t="str">
        <x:v>ROK Financial</x:v>
      </x:c>
      <x:c r="D1629" s="15" t="str">
        <x:v>Operating-capital lender, broker or finance route; eligibility unconfirmed</x:v>
      </x:c>
      <x:c r="E1629" s="15" t="str">
        <x:v>Operating-capital eligibility inquiry</x:v>
      </x:c>
      <x:c r="F1629" s="17" t="str">
        <x:v>New</x:v>
      </x:c>
      <x:c r="G1629" s="24" t="str">
        <x:v>info@rok.biz</x:v>
      </x:c>
      <x:c r="H1629" s="24" t="str">
        <x:v>+18333765249</x:v>
      </x:c>
      <x:c r="I1629" s="24" t="str">
        <x:v>https://www.rok.biz/</x:v>
      </x:c>
      <x:c r="J1629" s="16"/>
      <x:c r="K1629" s="16"/>
      <x:c r="L1629" s="16" t="str">
        <x:v>published_professional_contact_directness_unconfirmed</x:v>
      </x:c>
      <x:c r="M1629" s="16" t="str">
        <x:v>https://www.rok.biz/</x:v>
      </x:c>
      <x:c r="N1629" s="16" t="str">
        <x:v>$100K-$500K ticket not published / unconfirmed</x:v>
      </x:c>
      <x:c r="O1629" s="20"/>
      <x:c r="P1629" s="20"/>
      <x:c r="Q1629" s="25" t="str">
        <x:v>No direct corporate-capital range established in checked source</x:v>
      </x:c>
      <x:c r="R1629" s="25" t="str">
        <x:v>Small Business Financing - FAST access to Working Capital call now (833) 3-ROKBIZ Open main menu Business Financing Small Business Loans Business Line of Credit SBA Loans Equipment Financing Accounts Receivable Financing Merchant Cash Advance / Working Capital Franchise Financing Residential Investment Loans Startup Funding Commercial Real Estate Financing Middle Market Lending Resources Cash Advance Calculator Startup Resources ROK Blog eBooks, Videos, &amp; More! Company Our Founder Our Story Our Team Become a Partner Partner Login Secure an Instant Pre-Approval Business Financing Small Business Loans Business Line of Credit SBA Loans Equipment Financing Accounts Receivable Financing Merchant </x:v>
      </x:c>
      <x:c r="S1629" s="25"/>
      <x:c r="T1629" s="25" t="str">
        <x:v>Confirm $100K-$500K ticket, company-stage and sector eligibility, investment authority, available allocation and proposed terms.</x:v>
      </x:c>
      <x:c r="U1629" s="25" t="str">
        <x:v>https://nplaconference.com/private-lending-directory/page/14/
https://www.rok.biz/
https://members.aacfb.org/AACFBMembers/AACFBMembers/Members_Only/NewFundDir.aspx</x:v>
      </x:c>
      <x:c r="V1629" s="26" t="d">
        <x:v>2026-10-02T00:00:00.000Z</x:v>
      </x:c>
      <x:c r="W1629" s="26" t="d">
        <x:v>2026-09-30T00:00:00.000Z</x:v>
      </x:c>
      <x:c r="X1629" s="25" t="str">
        <x:v>Saved public company, industry-directory or regulatory source; source date retained</x:v>
      </x:c>
      <x:c r="Y1629" s="25" t="str">
        <x:v>https://www.rok.biz/</x:v>
      </x:c>
      <x:c r="Z1629" s="25" t="str">
        <x:v>https://www.rok.biz/</x:v>
      </x:c>
      <x:c r="AA1629" s="25" t="str">
        <x:v>[]</x:v>
      </x:c>
      <x:c r="AB1629" s="3" t="str">
        <x:v>Existing CapitalForge research, newly screened for this campaign</x:v>
      </x:c>
      <x:c r="AC1629" s="3" t="str">
        <x:v>unverified</x:v>
      </x:c>
      <x:c r="AD1629" s="3" t="str">
        <x:v>Not contacted / unconfirmed</x:v>
      </x:c>
      <x:c r="AE1629" s="3" t="str">
        <x:v>No</x:v>
      </x:c>
      <x:c r="AF1629" s="3" t="str">
        <x:v>No</x:v>
      </x:c>
      <x:c r="AG1629" s="3"/>
      <x:c r="AH1629" s="3"/>
      <x:c r="AI1629" s="18"/>
      <x:c r="AJ1629" s="3" t="str">
        <x:v>CF2500-0919B22793E4</x:v>
      </x:c>
      <x:c r="AK1629" s="3" t="str">
        <x:v>business_finance</x:v>
      </x:c>
      <x:c r="AL1629" s="19" t="n">
        <x:v>100000</x:v>
      </x:c>
      <x:c r="AM1629" s="19" t="n">
        <x:v>500000</x:v>
      </x:c>
      <x:c r="AN1629" s="3" t="str">
        <x:v>https://nplaconference.com/private-lending-directory/page/14/</x:v>
      </x:c>
      <x:c r="AO1629" s="3" t="str">
        <x:v>public_directory.jsonl</x:v>
      </x:c>
      <x:c r="AP1629" s="19"/>
    </x:row>
    <x:row r="1630" ht="36" customHeight="1">
      <x:c r="A1630" s="23" t="n">
        <x:v>1629</x:v>
      </x:c>
      <x:c r="B1630" s="15" t="str">
        <x:v>SouthStar Capital</x:v>
      </x:c>
      <x:c r="C1630" s="15" t="str">
        <x:v>Jon Shane</x:v>
      </x:c>
      <x:c r="D1630" s="15" t="str">
        <x:v>Operating-capital lender, broker or finance route; eligibility unconfirmed</x:v>
      </x:c>
      <x:c r="E1630" s="15" t="str">
        <x:v>Operating-capital eligibility inquiry</x:v>
      </x:c>
      <x:c r="F1630" s="17" t="str">
        <x:v>New</x:v>
      </x:c>
      <x:c r="G1630" s="24" t="str">
        <x:v>info@southstar.com</x:v>
      </x:c>
      <x:c r="H1630" s="24" t="str">
        <x:v>+18007633021</x:v>
      </x:c>
      <x:c r="I1630" s="24" t="str">
        <x:v>https://www.southstarcapital.com/</x:v>
      </x:c>
      <x:c r="J1630" s="16"/>
      <x:c r="K1630" s="16"/>
      <x:c r="L1630" s="16" t="str">
        <x:v>published_professional_contact_directness_unconfirmed</x:v>
      </x:c>
      <x:c r="M1630" s="16" t="str">
        <x:v>https://www.southstarcapital.com/</x:v>
      </x:c>
      <x:c r="N1630" s="16" t="str">
        <x:v>$100K-$500K ticket not published / unconfirmed</x:v>
      </x:c>
      <x:c r="O1630" s="20"/>
      <x:c r="P1630" s="20"/>
      <x:c r="Q1630" s="25" t="str">
        <x:v>No direct corporate-capital range established in checked source</x:v>
      </x:c>
      <x:c r="R1630" s="25" t="str">
        <x:v>Supplier/order funding and factoring. Fee estimates contingent on future closings are not currently eligible invoices.
Anonymously accessible public AACFB funding directory Show all list, association member claim as funding source. Public named funding contact, phone and email; current liquid cash &gt;=$500K, fulfillment mandate, real estate mandate and equity willingness not verified. Directory includes equipment and business finance firms, so collateral/mandate fit must be confirmed. No account/login used.</x:v>
      </x:c>
      <x:c r="S1630" s="25"/>
      <x:c r="T1630" s="25" t="str">
        <x:v>Confirm $100K-$500K ticket, company-stage and sector eligibility, investment authority, available allocation and proposed terms.</x:v>
      </x:c>
      <x:c r="U1630" s="25" t="str">
        <x:v>https://www.southstarcapital.com/
https://www.southstarcapital.com/purchase-order-financing/
https://www.southstarcapital.com/contact-us/
https://www.southstarcapital.com/contact/
https://www.southstarcapital.com/about/#team
https://members.aacfb.org/AACFBMembers/AACFBMembers/Members_Only/NewFundDir.aspx</x:v>
      </x:c>
      <x:c r="V1630" s="26" t="d">
        <x:v>2026-10-02T00:00:00.000Z</x:v>
      </x:c>
      <x:c r="W1630" s="26" t="d">
        <x:v>2026-09-30T00:00:00.000Z</x:v>
      </x:c>
      <x:c r="X1630" s="25" t="str">
        <x:v>Saved public company, industry-directory or regulatory source; source date retained</x:v>
      </x:c>
      <x:c r="Y1630" s="25" t="str">
        <x:v>https://www.southstarcapital.com/</x:v>
      </x:c>
      <x:c r="Z1630" s="25" t="str">
        <x:v>https://www.southstarcapital.com/</x:v>
      </x:c>
      <x:c r="AA1630" s="25" t="str">
        <x:v>[]</x:v>
      </x:c>
      <x:c r="AB1630" s="3" t="str">
        <x:v>Existing CapitalForge research, newly screened for this campaign</x:v>
      </x:c>
      <x:c r="AC1630" s="3" t="str">
        <x:v>unverified</x:v>
      </x:c>
      <x:c r="AD1630" s="3" t="str">
        <x:v>Not contacted / unconfirmed</x:v>
      </x:c>
      <x:c r="AE1630" s="3" t="str">
        <x:v>No</x:v>
      </x:c>
      <x:c r="AF1630" s="3" t="str">
        <x:v>No</x:v>
      </x:c>
      <x:c r="AG1630" s="3"/>
      <x:c r="AH1630" s="3"/>
      <x:c r="AI1630" s="18"/>
      <x:c r="AJ1630" s="3" t="str">
        <x:v>CF2500-AFABD3CBD634</x:v>
      </x:c>
      <x:c r="AK1630" s="3" t="str">
        <x:v>contract_and_receivables</x:v>
      </x:c>
      <x:c r="AL1630" s="19" t="n">
        <x:v>100000</x:v>
      </x:c>
      <x:c r="AM1630" s="19" t="n">
        <x:v>500000</x:v>
      </x:c>
      <x:c r="AN1630" s="3" t="str">
        <x:v>https://www.southstarcapital.com/</x:v>
      </x:c>
      <x:c r="AO1630" s="3" t="str">
        <x:v>public_directory.jsonl</x:v>
      </x:c>
      <x:c r="AP1630" s="19"/>
    </x:row>
    <x:row r="1631" ht="36" customHeight="1">
      <x:c r="A1631" s="23" t="n">
        <x:v>1630</x:v>
      </x:c>
      <x:c r="B1631" s="15" t="str">
        <x:v>Solvic Capital</x:v>
      </x:c>
      <x:c r="C1631" s="15"/>
      <x:c r="D1631" s="15" t="str">
        <x:v>Operating-capital lender, broker or finance route; eligibility unconfirmed</x:v>
      </x:c>
      <x:c r="E1631" s="15" t="str">
        <x:v>Operating-capital eligibility inquiry</x:v>
      </x:c>
      <x:c r="F1631" s="17" t="str">
        <x:v>New</x:v>
      </x:c>
      <x:c r="G1631" s="24" t="str">
        <x:v>funding@solviccapital.com</x:v>
      </x:c>
      <x:c r="H1631" s="24"/>
      <x:c r="I1631" s="24" t="str">
        <x:v>https://www.solviccapital.com/</x:v>
      </x:c>
      <x:c r="J1631" s="16"/>
      <x:c r="K1631" s="16"/>
      <x:c r="L1631" s="16" t="str">
        <x:v>firm_business_routing</x:v>
      </x:c>
      <x:c r="M1631" s="16" t="str">
        <x:v>https://www.solviccapital.com/</x:v>
      </x:c>
      <x:c r="N1631" s="16" t="str">
        <x:v>Published source range; proposed allocation and structure require confirmation</x:v>
      </x:c>
      <x:c r="O1631" s="20" t="n">
        <x:v>10000</x:v>
      </x:c>
      <x:c r="P1631" s="20" t="n">
        <x:v>2000000</x:v>
      </x:c>
      <x:c r="Q1631" s="25" t="str">
        <x:v>No direct corporate-capital range established in checked source</x:v>
      </x:c>
      <x:c r="R1631" s="25" t="str">
        <x:v>Revenue underwriting; published program range $10K-$2M, not available cash.</x:v>
      </x:c>
      <x:c r="S1631" s="25"/>
      <x:c r="T1631" s="25" t="str">
        <x:v>Confirm $100K-$500K ticket, company-stage and sector eligibility, investment authority, available allocation and proposed terms.</x:v>
      </x:c>
      <x:c r="U1631" s="25" t="str">
        <x:v>https://www.solviccapital.com/
https://www.solviccapital.com/unsecured-business-loans
https://www.solviccapital.com/business-line-of-credit
https://www.solviccapital.com/contact</x:v>
      </x:c>
      <x:c r="V1631" s="26" t="d">
        <x:v>2026-10-02T00:00:00.000Z</x:v>
      </x:c>
      <x:c r="W1631" s="26" t="d">
        <x:v>2026-09-30T00:00:00.000Z</x:v>
      </x:c>
      <x:c r="X1631" s="25" t="str">
        <x:v>Saved public company, industry-directory or regulatory source; source date retained</x:v>
      </x:c>
      <x:c r="Y1631" s="25" t="str">
        <x:v>https://www.solviccapital.com/</x:v>
      </x:c>
      <x:c r="Z1631" s="25"/>
      <x:c r="AA1631" s="25" t="str">
        <x:v>[]</x:v>
      </x:c>
      <x:c r="AB1631" s="3" t="str">
        <x:v>Existing CapitalForge research, newly screened for this campaign</x:v>
      </x:c>
      <x:c r="AC1631" s="3" t="str">
        <x:v>unverified</x:v>
      </x:c>
      <x:c r="AD1631" s="3" t="str">
        <x:v>Not contacted / unconfirmed</x:v>
      </x:c>
      <x:c r="AE1631" s="3" t="str">
        <x:v>No</x:v>
      </x:c>
      <x:c r="AF1631" s="3" t="str">
        <x:v>No</x:v>
      </x:c>
      <x:c r="AG1631" s="3"/>
      <x:c r="AH1631" s="3"/>
      <x:c r="AI1631" s="18"/>
      <x:c r="AJ1631" s="3" t="str">
        <x:v>CF2500-8A5ADAC02C89</x:v>
      </x:c>
      <x:c r="AK1631" s="3" t="str">
        <x:v>unsecured_business</x:v>
      </x:c>
      <x:c r="AL1631" s="19" t="n">
        <x:v>100000</x:v>
      </x:c>
      <x:c r="AM1631" s="19" t="n">
        <x:v>500000</x:v>
      </x:c>
      <x:c r="AN1631" s="3" t="str">
        <x:v>https://www.solviccapital.com/</x:v>
      </x:c>
      <x:c r="AO1631" s="3" t="str">
        <x:v>public_directory.jsonl</x:v>
      </x:c>
      <x:c r="AP1631" s="19"/>
    </x:row>
    <x:row r="1632" ht="36" customHeight="1">
      <x:c r="A1632" s="23" t="n">
        <x:v>1631</x:v>
      </x:c>
      <x:c r="B1632" s="15" t="str">
        <x:v>Custom Capital Advisors</x:v>
      </x:c>
      <x:c r="C1632" s="15"/>
      <x:c r="D1632" s="15" t="str">
        <x:v>Operating-capital lender, broker or finance route; eligibility unconfirmed</x:v>
      </x:c>
      <x:c r="E1632" s="15" t="str">
        <x:v>Operating-capital eligibility inquiry</x:v>
      </x:c>
      <x:c r="F1632" s="17" t="str">
        <x:v>New</x:v>
      </x:c>
      <x:c r="G1632" s="24" t="str">
        <x:v>info@customcapitaladvisors.com</x:v>
      </x:c>
      <x:c r="H1632" s="24"/>
      <x:c r="I1632" s="24" t="str">
        <x:v>https://www.customcapitaladvisors.com/</x:v>
      </x:c>
      <x:c r="J1632" s="16"/>
      <x:c r="K1632" s="16"/>
      <x:c r="L1632" s="16" t="str">
        <x:v>firm_business_routing</x:v>
      </x:c>
      <x:c r="M1632" s="16" t="str">
        <x:v>https://www.customcapitaladvisors.com/</x:v>
      </x:c>
      <x:c r="N1632" s="16" t="str">
        <x:v>$100K-$500K ticket not published / unconfirmed</x:v>
      </x:c>
      <x:c r="O1632" s="20"/>
      <x:c r="P1632" s="20"/>
      <x:c r="Q1632" s="25" t="str">
        <x:v>No direct corporate-capital range established in checked source</x:v>
      </x:c>
      <x:c r="R1632" s="25" t="str">
        <x:v>Advertised business financing capability only; no borrower approval or minimum available cash verified.</x:v>
      </x:c>
      <x:c r="S1632" s="25"/>
      <x:c r="T1632" s="25" t="str">
        <x:v>Confirm $100K-$500K ticket, company-stage and sector eligibility, investment authority, available allocation and proposed terms.</x:v>
      </x:c>
      <x:c r="U1632" s="25" t="str">
        <x:v>https://www.customcapitaladvisors.com/
https://www.customcapitaladvisors.com/use-case/expansion
https://www.customcapitaladvisors.com/company/contact</x:v>
      </x:c>
      <x:c r="V1632" s="26" t="d">
        <x:v>2026-10-02T00:00:00.000Z</x:v>
      </x:c>
      <x:c r="W1632" s="26" t="d">
        <x:v>2026-09-30T00:00:00.000Z</x:v>
      </x:c>
      <x:c r="X1632" s="25" t="str">
        <x:v>Saved public company, industry-directory or regulatory source; source date retained</x:v>
      </x:c>
      <x:c r="Y1632" s="25" t="str">
        <x:v>https://www.customcapitaladvisors.com/</x:v>
      </x:c>
      <x:c r="Z1632" s="25"/>
      <x:c r="AA1632" s="25" t="str">
        <x:v>[]</x:v>
      </x:c>
      <x:c r="AB1632" s="3" t="str">
        <x:v>Existing CapitalForge research, newly screened for this campaign</x:v>
      </x:c>
      <x:c r="AC1632" s="3" t="str">
        <x:v>unverified</x:v>
      </x:c>
      <x:c r="AD1632" s="3" t="str">
        <x:v>Not contacted / unconfirmed</x:v>
      </x:c>
      <x:c r="AE1632" s="3" t="str">
        <x:v>No</x:v>
      </x:c>
      <x:c r="AF1632" s="3" t="str">
        <x:v>No</x:v>
      </x:c>
      <x:c r="AG1632" s="3"/>
      <x:c r="AH1632" s="3"/>
      <x:c r="AI1632" s="18"/>
      <x:c r="AJ1632" s="3" t="str">
        <x:v>CF2500-5A95D32EBD61</x:v>
      </x:c>
      <x:c r="AK1632" s="3" t="str">
        <x:v>unsecured_business</x:v>
      </x:c>
      <x:c r="AL1632" s="19" t="n">
        <x:v>100000</x:v>
      </x:c>
      <x:c r="AM1632" s="19" t="n">
        <x:v>500000</x:v>
      </x:c>
      <x:c r="AN1632" s="3" t="str">
        <x:v>https://www.customcapitaladvisors.com/</x:v>
      </x:c>
      <x:c r="AO1632" s="3" t="str">
        <x:v>public_directory.jsonl</x:v>
      </x:c>
      <x:c r="AP1632" s="19"/>
    </x:row>
    <x:row r="1633" ht="36" customHeight="1">
      <x:c r="A1633" s="23" t="n">
        <x:v>1632</x:v>
      </x:c>
      <x:c r="B1633" s="15" t="str">
        <x:v>Sunset Portfolios</x:v>
      </x:c>
      <x:c r="C1633" s="15" t="str">
        <x:v>Sunset Portfolios</x:v>
      </x:c>
      <x:c r="D1633" s="15" t="str">
        <x:v>Operating-capital lender, broker or finance route; eligibility unconfirmed</x:v>
      </x:c>
      <x:c r="E1633" s="15" t="str">
        <x:v>Operating-capital eligibility inquiry</x:v>
      </x:c>
      <x:c r="F1633" s="17" t="str">
        <x:v>New</x:v>
      </x:c>
      <x:c r="G1633" s="24" t="str">
        <x:v>contact@sunsetportfolios.com</x:v>
      </x:c>
      <x:c r="H1633" s="24"/>
      <x:c r="I1633" s="24" t="str">
        <x:v>https://www.sunsetportfolios.com/</x:v>
      </x:c>
      <x:c r="J1633" s="16"/>
      <x:c r="K1633" s="16"/>
      <x:c r="L1633" s="16" t="str">
        <x:v>published_professional_contact_directness_unconfirmed</x:v>
      </x:c>
      <x:c r="M1633" s="16" t="str">
        <x:v>https://www.sunsetportfolios.com/</x:v>
      </x:c>
      <x:c r="N1633" s="16" t="str">
        <x:v>$100K-$500K ticket not published / unconfirmed</x:v>
      </x:c>
      <x:c r="O1633" s="20"/>
      <x:c r="P1633" s="20"/>
      <x:c r="Q1633" s="25" t="str">
        <x:v>No direct corporate-capital range established in checked source</x:v>
      </x:c>
      <x:c r="R1633" s="25" t="str">
        <x:v>Home | Sunset Portfolios, LLC top of pageHomeServicesTruck Insurance FinanceCredit LinesSupplier CreditBusiness LoansReal EstateEquipment FinancingConsultationReferral PartnersFunded DealsAboutMoreUse tab to navigate through the menu items.1-833-SUNSET-5SUNSET PORTFOLIOS, LLCSunset Portfolios, LLC is a firm specializing in small business finance &amp; growth. Our focus is in fueling American business expansion and stabilizing the front line of the U.S. Economy. Our firm supports a wide range of financial services with the necessary tools and expertise to help grow your business. We partner with our clients from start to finish, focusing on their working capital needs while producing new ideas an</x:v>
      </x:c>
      <x:c r="S1633" s="25"/>
      <x:c r="T1633" s="25" t="str">
        <x:v>Confirm $100K-$500K ticket, company-stage and sector eligibility, investment authority, available allocation and proposed terms.</x:v>
      </x:c>
      <x:c r="U1633" s="25" t="str">
        <x:v>https://nplaconference.com/private-lending-directory/page/16/
https://www.sunsetportfolios.com#footer</x:v>
      </x:c>
      <x:c r="V1633" s="26" t="d">
        <x:v>2026-10-02T00:00:00.000Z</x:v>
      </x:c>
      <x:c r="W1633" s="26" t="d">
        <x:v>2026-09-30T00:00:00.000Z</x:v>
      </x:c>
      <x:c r="X1633" s="25" t="str">
        <x:v>Saved public company, industry-directory or regulatory source; source date retained</x:v>
      </x:c>
      <x:c r="Y1633" s="25" t="str">
        <x:v>https://www.sunsetportfolios.com#footer</x:v>
      </x:c>
      <x:c r="Z1633" s="25"/>
      <x:c r="AA1633" s="25" t="str">
        <x:v>[]</x:v>
      </x:c>
      <x:c r="AB1633" s="3" t="str">
        <x:v>Existing CapitalForge research, newly screened for this campaign</x:v>
      </x:c>
      <x:c r="AC1633" s="3" t="str">
        <x:v>unverified</x:v>
      </x:c>
      <x:c r="AD1633" s="3" t="str">
        <x:v>Not contacted / unconfirmed</x:v>
      </x:c>
      <x:c r="AE1633" s="3" t="str">
        <x:v>No</x:v>
      </x:c>
      <x:c r="AF1633" s="3" t="str">
        <x:v>No</x:v>
      </x:c>
      <x:c r="AG1633" s="3"/>
      <x:c r="AH1633" s="3"/>
      <x:c r="AI1633" s="18"/>
      <x:c r="AJ1633" s="3" t="str">
        <x:v>CF2500-A1B63A33999E</x:v>
      </x:c>
      <x:c r="AK1633" s="3" t="str">
        <x:v>business_finance</x:v>
      </x:c>
      <x:c r="AL1633" s="19" t="n">
        <x:v>100000</x:v>
      </x:c>
      <x:c r="AM1633" s="19" t="n">
        <x:v>500000</x:v>
      </x:c>
      <x:c r="AN1633" s="3" t="str">
        <x:v>https://nplaconference.com/private-lending-directory/page/16/</x:v>
      </x:c>
      <x:c r="AO1633" s="3" t="str">
        <x:v>public_directory.jsonl</x:v>
      </x:c>
      <x:c r="AP1633" s="19"/>
    </x:row>
    <x:row r="1634" ht="36" customHeight="1">
      <x:c r="A1634" s="23" t="n">
        <x:v>1633</x:v>
      </x:c>
      <x:c r="B1634" s="15" t="str">
        <x:v>Optive Commercial Capital</x:v>
      </x:c>
      <x:c r="C1634" s="15"/>
      <x:c r="D1634" s="15" t="str">
        <x:v>Operating-capital lender, broker or finance route; eligibility unconfirmed</x:v>
      </x:c>
      <x:c r="E1634" s="15" t="str">
        <x:v>Operating-capital eligibility inquiry</x:v>
      </x:c>
      <x:c r="F1634" s="17" t="str">
        <x:v>New</x:v>
      </x:c>
      <x:c r="G1634" s="24"/>
      <x:c r="H1634" s="24" t="str">
        <x:v>+13038859701</x:v>
      </x:c>
      <x:c r="I1634" s="24" t="str">
        <x:v>https://optivecommercialcapital.com/</x:v>
      </x:c>
      <x:c r="J1634" s="16"/>
      <x:c r="K1634" s="16"/>
      <x:c r="L1634" s="16" t="str">
        <x:v>firm_business_routing</x:v>
      </x:c>
      <x:c r="M1634" s="16" t="str">
        <x:v>https://optivecommercialcapital.com/</x:v>
      </x:c>
      <x:c r="N1634" s="16" t="str">
        <x:v>Published source range; proposed allocation and structure require confirmation</x:v>
      </x:c>
      <x:c r="O1634" s="20" t="n">
        <x:v>100000</x:v>
      </x:c>
      <x:c r="P1634" s="20" t="n">
        <x:v>500000</x:v>
      </x:c>
      <x:c r="Q1634" s="25" t="str">
        <x:v>No direct corporate-capital range established in checked source</x:v>
      </x:c>
      <x:c r="R1634" s="25" t="str">
        <x:v>$1M-$10M established annual revenue requirement.</x:v>
      </x:c>
      <x:c r="S1634" s="25"/>
      <x:c r="T1634" s="25" t="str">
        <x:v>Confirm $100K-$500K ticket, company-stage and sector eligibility, investment authority, available allocation and proposed terms.</x:v>
      </x:c>
      <x:c r="U1634" s="25" t="str">
        <x:v>https://optivecommercialcapital.com/
https://optivecommercialcapital.com/commercial-financing/unsecured-business-line-of-credit/
https://optivecommercialcapital.com/contact-us/</x:v>
      </x:c>
      <x:c r="V1634" s="26" t="d">
        <x:v>2026-10-02T00:00:00.000Z</x:v>
      </x:c>
      <x:c r="W1634" s="26" t="d">
        <x:v>2026-09-30T00:00:00.000Z</x:v>
      </x:c>
      <x:c r="X1634" s="25" t="str">
        <x:v>Saved public company, industry-directory or regulatory source; source date retained</x:v>
      </x:c>
      <x:c r="Y1634" s="25"/>
      <x:c r="Z1634" s="25" t="str">
        <x:v>https://optivecommercialcapital.com/</x:v>
      </x:c>
      <x:c r="AA1634" s="25" t="str">
        <x:v>[]</x:v>
      </x:c>
      <x:c r="AB1634" s="3" t="str">
        <x:v>Existing CapitalForge research, newly screened for this campaign</x:v>
      </x:c>
      <x:c r="AC1634" s="3" t="str">
        <x:v>unverified</x:v>
      </x:c>
      <x:c r="AD1634" s="3" t="str">
        <x:v>Not contacted / unconfirmed</x:v>
      </x:c>
      <x:c r="AE1634" s="3" t="str">
        <x:v>No</x:v>
      </x:c>
      <x:c r="AF1634" s="3" t="str">
        <x:v>No</x:v>
      </x:c>
      <x:c r="AG1634" s="3"/>
      <x:c r="AH1634" s="3"/>
      <x:c r="AI1634" s="18"/>
      <x:c r="AJ1634" s="3" t="str">
        <x:v>CF2500-57D88209F8BB</x:v>
      </x:c>
      <x:c r="AK1634" s="3" t="str">
        <x:v>unsecured_business</x:v>
      </x:c>
      <x:c r="AL1634" s="19" t="n">
        <x:v>100000</x:v>
      </x:c>
      <x:c r="AM1634" s="19" t="n">
        <x:v>500000</x:v>
      </x:c>
      <x:c r="AN1634" s="3" t="str">
        <x:v>https://optivecommercialcapital.com/</x:v>
      </x:c>
      <x:c r="AO1634" s="3" t="str">
        <x:v>public_directory.jsonl</x:v>
      </x:c>
      <x:c r="AP1634" s="19"/>
    </x:row>
    <x:row r="1635" ht="36" customHeight="1">
      <x:c r="A1635" s="23" t="n">
        <x:v>1634</x:v>
      </x:c>
      <x:c r="B1635" s="15" t="str">
        <x:v>Prime Pinnacle</x:v>
      </x:c>
      <x:c r="C1635" s="15"/>
      <x:c r="D1635" s="15" t="str">
        <x:v>Operating-capital lender, broker or finance route; eligibility unconfirmed</x:v>
      </x:c>
      <x:c r="E1635" s="15" t="str">
        <x:v>Operating-capital eligibility inquiry</x:v>
      </x:c>
      <x:c r="F1635" s="17" t="str">
        <x:v>New</x:v>
      </x:c>
      <x:c r="G1635" s="24"/>
      <x:c r="H1635" s="24" t="str">
        <x:v>+14077525996</x:v>
      </x:c>
      <x:c r="I1635" s="24" t="str">
        <x:v>https://primepinnacle.com/</x:v>
      </x:c>
      <x:c r="J1635" s="16"/>
      <x:c r="K1635" s="16"/>
      <x:c r="L1635" s="16" t="str">
        <x:v>firm_business_routing</x:v>
      </x:c>
      <x:c r="M1635" s="16" t="str">
        <x:v>https://primepinnacle.com/</x:v>
      </x:c>
      <x:c r="N1635" s="16" t="str">
        <x:v>Published source range; proposed allocation and structure require confirmation</x:v>
      </x:c>
      <x:c r="O1635" s="20" t="n">
        <x:v>50000</x:v>
      </x:c>
      <x:c r="P1635" s="20" t="n">
        <x:v>500000</x:v>
      </x:c>
      <x:c r="Q1635" s="25" t="str">
        <x:v>No direct corporate-capital range established in checked source</x:v>
      </x:c>
      <x:c r="R1635" s="25" t="str">
        <x:v>Published program eligibility requires underwriting; available cash and borrower approval unverified.</x:v>
      </x:c>
      <x:c r="S1635" s="25"/>
      <x:c r="T1635" s="25" t="str">
        <x:v>Confirm $100K-$500K ticket, company-stage and sector eligibility, investment authority, available allocation and proposed terms.</x:v>
      </x:c>
      <x:c r="U1635" s="25" t="str">
        <x:v>https://primepinnacle.com/
https://primepinnacle.com/contact</x:v>
      </x:c>
      <x:c r="V1635" s="26" t="d">
        <x:v>2026-10-02T00:00:00.000Z</x:v>
      </x:c>
      <x:c r="W1635" s="26" t="d">
        <x:v>2026-09-30T00:00:00.000Z</x:v>
      </x:c>
      <x:c r="X1635" s="25" t="str">
        <x:v>Saved public company, industry-directory or regulatory source; source date retained</x:v>
      </x:c>
      <x:c r="Y1635" s="25"/>
      <x:c r="Z1635" s="25" t="str">
        <x:v>https://primepinnacle.com/</x:v>
      </x:c>
      <x:c r="AA1635" s="25" t="str">
        <x:v>[]</x:v>
      </x:c>
      <x:c r="AB1635" s="3" t="str">
        <x:v>Existing CapitalForge research, newly screened for this campaign</x:v>
      </x:c>
      <x:c r="AC1635" s="3" t="str">
        <x:v>unverified</x:v>
      </x:c>
      <x:c r="AD1635" s="3" t="str">
        <x:v>Not contacted / unconfirmed</x:v>
      </x:c>
      <x:c r="AE1635" s="3" t="str">
        <x:v>No</x:v>
      </x:c>
      <x:c r="AF1635" s="3" t="str">
        <x:v>No</x:v>
      </x:c>
      <x:c r="AG1635" s="3"/>
      <x:c r="AH1635" s="3"/>
      <x:c r="AI1635" s="18"/>
      <x:c r="AJ1635" s="3" t="str">
        <x:v>CF2500-F2CE3264EBE1</x:v>
      </x:c>
      <x:c r="AK1635" s="3" t="str">
        <x:v>unsecured_business</x:v>
      </x:c>
      <x:c r="AL1635" s="19" t="n">
        <x:v>100000</x:v>
      </x:c>
      <x:c r="AM1635" s="19" t="n">
        <x:v>500000</x:v>
      </x:c>
      <x:c r="AN1635" s="3" t="str">
        <x:v>https://primepinnacle.com/</x:v>
      </x:c>
      <x:c r="AO1635" s="3" t="str">
        <x:v>public_directory.jsonl</x:v>
      </x:c>
      <x:c r="AP1635" s="19"/>
    </x:row>
    <x:row r="1636" ht="36" customHeight="1">
      <x:c r="A1636" s="23" t="n">
        <x:v>1635</x:v>
      </x:c>
      <x:c r="B1636" s="15" t="str">
        <x:v>Brightview Commercial Capital</x:v>
      </x:c>
      <x:c r="C1636" s="15" t="str">
        <x:v>Brightview Commercial Capital</x:v>
      </x:c>
      <x:c r="D1636" s="15" t="str">
        <x:v>Operating-capital lender, broker or finance route; eligibility unconfirmed</x:v>
      </x:c>
      <x:c r="E1636" s="15" t="str">
        <x:v>Operating-capital eligibility inquiry</x:v>
      </x:c>
      <x:c r="F1636" s="17" t="str">
        <x:v>New</x:v>
      </x:c>
      <x:c r="G1636" s="24"/>
      <x:c r="H1636" s="24" t="str">
        <x:v>+18047150114</x:v>
      </x:c>
      <x:c r="I1636" s="24" t="str">
        <x:v>https://brightviewcommercialcapital.com/</x:v>
      </x:c>
      <x:c r="J1636" s="16"/>
      <x:c r="K1636" s="16"/>
      <x:c r="L1636" s="16" t="str">
        <x:v>published_professional_contact_directness_unconfirmed</x:v>
      </x:c>
      <x:c r="M1636" s="16" t="str">
        <x:v>https://brightviewcommercialcapital.com/</x:v>
      </x:c>
      <x:c r="N1636" s="16" t="str">
        <x:v>$100K-$500K ticket not published / unconfirmed</x:v>
      </x:c>
      <x:c r="O1636" s="20"/>
      <x:c r="P1636" s="20"/>
      <x:c r="Q1636" s="25" t="str">
        <x:v>No direct corporate-capital range established in checked source</x:v>
      </x:c>
      <x:c r="R1636" s="25" t="str">
        <x:v>Home - Brightview Commercial Capital Business Loans &amp; Finance Solutions in Richmond, VA Menu Close Home Financial Options Equipment Financing SBA Financing Residential Real Estate Financing Commercial Real Estate Financing Factoring Financing Referral Program Contact Brightview Commercial Capital Business Loans &amp; Finance Solutions in Richmond, VA Home Financial Options Equipment Financing SBA Financing Residential Real Estate Financing Commercial Real Estate Financing Factoring Financing Referral Program Contact Home Flexible Financing, Smarter Growth At Brightview Commercial Capital, we connect businesses with industry-leading funding solutions tailored to their unique needs. Whether you’re</x:v>
      </x:c>
      <x:c r="S1636" s="25"/>
      <x:c r="T1636" s="25" t="str">
        <x:v>Confirm $100K-$500K ticket, company-stage and sector eligibility, investment authority, available allocation and proposed terms.</x:v>
      </x:c>
      <x:c r="U1636" s="25" t="str">
        <x:v>https://nplaconference.com/private-lending-directory/page/3/
https://brightviewcommercialcapital.com/contact/</x:v>
      </x:c>
      <x:c r="V1636" s="26" t="d">
        <x:v>2026-10-02T00:00:00.000Z</x:v>
      </x:c>
      <x:c r="W1636" s="26" t="d">
        <x:v>2026-09-30T00:00:00.000Z</x:v>
      </x:c>
      <x:c r="X1636" s="25" t="str">
        <x:v>Saved public company, industry-directory or regulatory source; source date retained</x:v>
      </x:c>
      <x:c r="Y1636" s="25"/>
      <x:c r="Z1636" s="25" t="str">
        <x:v>https://brightviewcommercialcapital.com/contact/</x:v>
      </x:c>
      <x:c r="AA1636" s="25" t="str">
        <x:v>[]</x:v>
      </x:c>
      <x:c r="AB1636" s="3" t="str">
        <x:v>Existing CapitalForge research, newly screened for this campaign</x:v>
      </x:c>
      <x:c r="AC1636" s="3" t="str">
        <x:v>unverified</x:v>
      </x:c>
      <x:c r="AD1636" s="3" t="str">
        <x:v>Not contacted / unconfirmed</x:v>
      </x:c>
      <x:c r="AE1636" s="3" t="str">
        <x:v>No</x:v>
      </x:c>
      <x:c r="AF1636" s="3" t="str">
        <x:v>No</x:v>
      </x:c>
      <x:c r="AG1636" s="3"/>
      <x:c r="AH1636" s="3"/>
      <x:c r="AI1636" s="18"/>
      <x:c r="AJ1636" s="3" t="str">
        <x:v>CF2500-08297791EE9B</x:v>
      </x:c>
      <x:c r="AK1636" s="3" t="str">
        <x:v>business_finance</x:v>
      </x:c>
      <x:c r="AL1636" s="19" t="n">
        <x:v>100000</x:v>
      </x:c>
      <x:c r="AM1636" s="19" t="n">
        <x:v>500000</x:v>
      </x:c>
      <x:c r="AN1636" s="3" t="str">
        <x:v>https://nplaconference.com/private-lending-directory/page/3/</x:v>
      </x:c>
      <x:c r="AO1636" s="3" t="str">
        <x:v>public_directory.jsonl</x:v>
      </x:c>
      <x:c r="AP1636" s="19"/>
    </x:row>
    <x:row r="1637" ht="36" customHeight="1">
      <x:c r="A1637" s="23" t="n">
        <x:v>1636</x:v>
      </x:c>
      <x:c r="B1637" s="15" t="str">
        <x:v>One Park Financial</x:v>
      </x:c>
      <x:c r="C1637" s="15"/>
      <x:c r="D1637" s="15" t="str">
        <x:v>Operating-capital lender, broker or finance route; eligibility unconfirmed</x:v>
      </x:c>
      <x:c r="E1637" s="15" t="str">
        <x:v>Operating-capital eligibility inquiry</x:v>
      </x:c>
      <x:c r="F1637" s="17" t="str">
        <x:v>New</x:v>
      </x:c>
      <x:c r="G1637" s="24"/>
      <x:c r="H1637" s="24" t="str">
        <x:v>+18662153581</x:v>
      </x:c>
      <x:c r="I1637" s="24" t="str">
        <x:v>https://www.oneparkfinancial.com/</x:v>
      </x:c>
      <x:c r="J1637" s="16"/>
      <x:c r="K1637" s="16"/>
      <x:c r="L1637" s="16" t="str">
        <x:v>firm_business_routing</x:v>
      </x:c>
      <x:c r="M1637" s="16" t="str">
        <x:v>https://www.oneparkfinancial.com/</x:v>
      </x:c>
      <x:c r="N1637" s="16" t="str">
        <x:v>$100K-$500K ticket not published / unconfirmed</x:v>
      </x:c>
      <x:c r="O1637" s="20"/>
      <x:c r="P1637" s="20"/>
      <x:c r="Q1637" s="25" t="str">
        <x:v>No direct corporate-capital range established in checked source</x:v>
      </x:c>
      <x:c r="R1637" s="25" t="str">
        <x:v>No borrower approval or available cash verified. Any published borrowing limits are marketing capacity, not verified liquidity.
HR, employment, webmaster, privacy, legal or press-only inbox is not a financing inquiry contact.</x:v>
      </x:c>
      <x:c r="S1637" s="25"/>
      <x:c r="T1637" s="25" t="str">
        <x:v>Confirm $100K-$500K ticket, company-stage and sector eligibility, investment authority, available allocation and proposed terms.</x:v>
      </x:c>
      <x:c r="U1637" s="25" t="str">
        <x:v>https://www.oneparkfinancial.com/
https://www.oneparkfinancial.com/contact-us
https://www.oneparkfinancial.com/about-us
https://www.oneparkfinancial.com/contact/</x:v>
      </x:c>
      <x:c r="V1637" s="26" t="d">
        <x:v>2026-10-02T00:00:00.000Z</x:v>
      </x:c>
      <x:c r="W1637" s="26" t="d">
        <x:v>2026-09-30T00:00:00.000Z</x:v>
      </x:c>
      <x:c r="X1637" s="25" t="str">
        <x:v>Saved public company, industry-directory or regulatory source; source date retained</x:v>
      </x:c>
      <x:c r="Y1637" s="25"/>
      <x:c r="Z1637" s="25" t="str">
        <x:v>https://www.oneparkfinancial.com/</x:v>
      </x:c>
      <x:c r="AA1637" s="25" t="str">
        <x:v>[]</x:v>
      </x:c>
      <x:c r="AB1637" s="3" t="str">
        <x:v>Existing CapitalForge research, newly screened for this campaign</x:v>
      </x:c>
      <x:c r="AC1637" s="3" t="str">
        <x:v>unverified</x:v>
      </x:c>
      <x:c r="AD1637" s="3" t="str">
        <x:v>Not contacted / unconfirmed</x:v>
      </x:c>
      <x:c r="AE1637" s="3" t="str">
        <x:v>No</x:v>
      </x:c>
      <x:c r="AF1637" s="3" t="str">
        <x:v>No</x:v>
      </x:c>
      <x:c r="AG1637" s="3"/>
      <x:c r="AH1637" s="3"/>
      <x:c r="AI1637" s="18"/>
      <x:c r="AJ1637" s="3" t="str">
        <x:v>CF2500-059E291D8FFE</x:v>
      </x:c>
      <x:c r="AK1637" s="3" t="str">
        <x:v>working_capital</x:v>
      </x:c>
      <x:c r="AL1637" s="19" t="n">
        <x:v>100000</x:v>
      </x:c>
      <x:c r="AM1637" s="19" t="n">
        <x:v>500000</x:v>
      </x:c>
      <x:c r="AN1637" s="3" t="str">
        <x:v>https://www.oneparkfinancial.com/</x:v>
      </x:c>
      <x:c r="AO1637" s="3" t="str">
        <x:v>public_directory.jsonl</x:v>
      </x:c>
      <x:c r="AP1637" s="19"/>
    </x:row>
    <x:row r="1638" ht="36" customHeight="1">
      <x:c r="A1638" s="23" t="n">
        <x:v>1637</x:v>
      </x:c>
      <x:c r="B1638" s="15" t="str">
        <x:v>212 Loans</x:v>
      </x:c>
      <x:c r="C1638" s="15"/>
      <x:c r="D1638" s="15" t="str">
        <x:v>Property lender or directory member; operating-company capital unconfirmed</x:v>
      </x:c>
      <x:c r="E1638" s="15" t="str">
        <x:v>Property lender / private-money inquiry</x:v>
      </x:c>
      <x:c r="F1638" s="17" t="str">
        <x:v>New</x:v>
      </x:c>
      <x:c r="G1638" s="24" t="str">
        <x:v>loans@loans212.com</x:v>
      </x:c>
      <x:c r="H1638" s="24" t="str">
        <x:v>+18555626212</x:v>
      </x:c>
      <x:c r="I1638" s="24" t="str">
        <x:v>https://www.loans212.com/</x:v>
      </x:c>
      <x:c r="J1638" s="16" t="str">
        <x:v>TX</x:v>
      </x:c>
      <x:c r="K1638" s="16" t="str">
        <x:v>San Antonio</x:v>
      </x:c>
      <x:c r="L1638" s="16" t="str">
        <x:v>firm_business_routing</x:v>
      </x:c>
      <x:c r="M1638" s="16" t="str">
        <x:v>https://www.loans212.com/</x:v>
      </x:c>
      <x:c r="N1638" s="16" t="str">
        <x:v>Published source range; proposed allocation and structure require confirmation</x:v>
      </x:c>
      <x:c r="O1638" s="20"/>
      <x:c r="P1638" s="20" t="n">
        <x:v>500000</x:v>
      </x:c>
      <x:c r="Q1638" s="25" t="str">
        <x:v>Property-loan range, not a corporate-capital commitment</x:v>
      </x:c>
      <x:c r="R1638" s="25" t="str">
        <x:v>Private real-estate finance experience. Corporate working capital, minority equity or profit participation requires a separate agreement from a property loan.</x:v>
      </x:c>
      <x:c r="S1638" s="25"/>
      <x:c r="T1638" s="25" t="str">
        <x:v>Confirm direct principal versus broker, $100K-$500K appetite, and whether capital can fund the operating company without a property mortgage.</x:v>
      </x:c>
      <x:c r="U1638" s="25" t="str">
        <x:v>https://www.hardmoneyhome.com/lenders/view/212-loans
https://www.loans212.com/
https://privatelenderlink.com/profile/212-loans/</x:v>
      </x:c>
      <x:c r="V1638" s="26" t="d">
        <x:v>2026-10-02T00:00:00.000Z</x:v>
      </x:c>
      <x:c r="W1638" s="26" t="d">
        <x:v>2026-09-30T00:00:00.000Z</x:v>
      </x:c>
      <x:c r="X1638" s="25" t="str">
        <x:v>Saved public company, industry-directory or regulatory source; source date retained</x:v>
      </x:c>
      <x:c r="Y1638" s="25" t="str">
        <x:v>https://www.loans212.com/</x:v>
      </x:c>
      <x:c r="Z1638" s="25" t="str">
        <x:v>https://www.hardmoneyhome.com/lenders/view/212-loans</x:v>
      </x:c>
      <x:c r="AA1638" s="25" t="str">
        <x:v>[]</x:v>
      </x:c>
      <x:c r="AB1638" s="3" t="str">
        <x:v>Existing CapitalForge research, newly screened for this campaign</x:v>
      </x:c>
      <x:c r="AC1638" s="3" t="str">
        <x:v>unverified</x:v>
      </x:c>
      <x:c r="AD1638" s="3" t="str">
        <x:v>Not contacted / unconfirmed</x:v>
      </x:c>
      <x:c r="AE1638" s="3" t="str">
        <x:v>No</x:v>
      </x:c>
      <x:c r="AF1638" s="3" t="str">
        <x:v>No</x:v>
      </x:c>
      <x:c r="AG1638" s="3"/>
      <x:c r="AH1638" s="3"/>
      <x:c r="AI1638" s="18"/>
      <x:c r="AJ1638" s="3" t="str">
        <x:v>CF2500-59AE9E1E671F</x:v>
      </x:c>
      <x:c r="AK1638" s="3" t="str">
        <x:v>private_real_estate_lender</x:v>
      </x:c>
      <x:c r="AL1638" s="19" t="n">
        <x:v>100000</x:v>
      </x:c>
      <x:c r="AM1638" s="19" t="n">
        <x:v>500000</x:v>
      </x:c>
      <x:c r="AN1638" s="3" t="str">
        <x:v>https://www.hardmoneyhome.com/lenders/view/212-loans</x:v>
      </x:c>
      <x:c r="AO1638" s="3" t="str">
        <x:v>public_directory.jsonl</x:v>
      </x:c>
      <x:c r="AP1638" s="19"/>
    </x:row>
    <x:row r="1639" ht="36" customHeight="1">
      <x:c r="A1639" s="23" t="n">
        <x:v>1638</x:v>
      </x:c>
      <x:c r="B1639" s="15" t="str">
        <x:v>American Life Financial</x:v>
      </x:c>
      <x:c r="C1639" s="15"/>
      <x:c r="D1639" s="15" t="str">
        <x:v>Property lender or directory member; operating-company capital unconfirmed</x:v>
      </x:c>
      <x:c r="E1639" s="15" t="str">
        <x:v>Property lender / private-money inquiry</x:v>
      </x:c>
      <x:c r="F1639" s="17" t="str">
        <x:v>New</x:v>
      </x:c>
      <x:c r="G1639" s="24" t="str">
        <x:v>loanofficers@americanlifefinancial.com</x:v>
      </x:c>
      <x:c r="H1639" s="24" t="str">
        <x:v>+18775897533</x:v>
      </x:c>
      <x:c r="I1639" s="24" t="str">
        <x:v>https://www.notsohardmoney.com</x:v>
      </x:c>
      <x:c r="J1639" s="16" t="str">
        <x:v>AZ</x:v>
      </x:c>
      <x:c r="K1639" s="16" t="str">
        <x:v>Mesa</x:v>
      </x:c>
      <x:c r="L1639" s="16" t="str">
        <x:v>firm_business_routing</x:v>
      </x:c>
      <x:c r="M1639" s="16" t="str">
        <x:v>https://www.notsohardmoney.com</x:v>
      </x:c>
      <x:c r="N1639" s="16" t="str">
        <x:v>Published source range; proposed allocation and structure require confirmation</x:v>
      </x:c>
      <x:c r="O1639" s="20"/>
      <x:c r="P1639" s="20" t="n">
        <x:v>8000000</x:v>
      </x:c>
      <x:c r="Q1639" s="25" t="str">
        <x:v>Property-loan range, not a corporate-capital commitment</x:v>
      </x:c>
      <x:c r="R1639" s="25" t="str">
        <x:v>Private real-estate finance experience. Corporate working capital, minority equity or profit participation requires a separate agreement from a property loan.</x:v>
      </x:c>
      <x:c r="S1639" s="25"/>
      <x:c r="T1639" s="25" t="str">
        <x:v>Confirm direct principal versus broker, $100K-$500K appetite, and whether capital can fund the operating company without a property mortgage.</x:v>
      </x:c>
      <x:c r="U1639" s="25" t="str">
        <x:v>https://www.hardmoneyhome.com/lenders/view/american-life-financial
https://www.privatelendersdirectory.com/united-states/mesa/top-level-category/american-life-financial
https://www.americanlifefinancial.com/
https://www.americanlifefinancial.com/contact-us</x:v>
      </x:c>
      <x:c r="V1639" s="26" t="d">
        <x:v>2026-10-02T00:00:00.000Z</x:v>
      </x:c>
      <x:c r="W1639" s="26" t="d">
        <x:v>2026-09-30T00:00:00.000Z</x:v>
      </x:c>
      <x:c r="X1639" s="25" t="str">
        <x:v>Saved public company, industry-directory or regulatory source; source date retained</x:v>
      </x:c>
      <x:c r="Y1639" s="25" t="str">
        <x:v>https://www.americanlifefinancial.com/contact-us</x:v>
      </x:c>
      <x:c r="Z1639" s="25" t="str">
        <x:v>https://www.hardmoneyhome.com/lenders/view/american-life-financial</x:v>
      </x:c>
      <x:c r="AA1639" s="25" t="str">
        <x:v>[]</x:v>
      </x:c>
      <x:c r="AB1639" s="3" t="str">
        <x:v>Existing CapitalForge research, newly screened for this campaign</x:v>
      </x:c>
      <x:c r="AC1639" s="3" t="str">
        <x:v>unverified</x:v>
      </x:c>
      <x:c r="AD1639" s="3" t="str">
        <x:v>Not contacted / unconfirmed</x:v>
      </x:c>
      <x:c r="AE1639" s="3" t="str">
        <x:v>No</x:v>
      </x:c>
      <x:c r="AF1639" s="3" t="str">
        <x:v>No</x:v>
      </x:c>
      <x:c r="AG1639" s="3"/>
      <x:c r="AH1639" s="3"/>
      <x:c r="AI1639" s="18"/>
      <x:c r="AJ1639" s="3" t="str">
        <x:v>CF2500-CDF7FADE46B5</x:v>
      </x:c>
      <x:c r="AK1639" s="3" t="str">
        <x:v>private_real_estate_lender</x:v>
      </x:c>
      <x:c r="AL1639" s="19" t="n">
        <x:v>100000</x:v>
      </x:c>
      <x:c r="AM1639" s="19" t="n">
        <x:v>500000</x:v>
      </x:c>
      <x:c r="AN1639" s="3" t="str">
        <x:v>https://www.hardmoneyhome.com/lenders/view/american-life-financial</x:v>
      </x:c>
      <x:c r="AO1639" s="3" t="str">
        <x:v>public_directory.jsonl</x:v>
      </x:c>
      <x:c r="AP1639" s="19"/>
    </x:row>
    <x:row r="1640" ht="36" customHeight="1">
      <x:c r="A1640" s="23" t="n">
        <x:v>1639</x:v>
      </x:c>
      <x:c r="B1640" s="15" t="str">
        <x:v>AMUSA Commercial Capital</x:v>
      </x:c>
      <x:c r="C1640" s="15"/>
      <x:c r="D1640" s="15" t="str">
        <x:v>Property lender or directory member; operating-company capital unconfirmed</x:v>
      </x:c>
      <x:c r="E1640" s="15" t="str">
        <x:v>Property lender / private-money inquiry</x:v>
      </x:c>
      <x:c r="F1640" s="17" t="str">
        <x:v>New</x:v>
      </x:c>
      <x:c r="G1640" s="24" t="str">
        <x:v>dealdesk@amusacommercialcapital.com</x:v>
      </x:c>
      <x:c r="H1640" s="24" t="str">
        <x:v>+18006865679</x:v>
      </x:c>
      <x:c r="I1640" s="24" t="str">
        <x:v>http://www.amusacommercialcapital.com</x:v>
      </x:c>
      <x:c r="J1640" s="16" t="str">
        <x:v>TX</x:v>
      </x:c>
      <x:c r="K1640" s="16" t="str">
        <x:v>Fort Worth</x:v>
      </x:c>
      <x:c r="L1640" s="16" t="str">
        <x:v>firm_business_routing</x:v>
      </x:c>
      <x:c r="M1640" s="16" t="str">
        <x:v>http://www.amusacommercialcapital.com</x:v>
      </x:c>
      <x:c r="N1640" s="16" t="str">
        <x:v>Published source range; proposed allocation and structure require confirmation</x:v>
      </x:c>
      <x:c r="O1640" s="20"/>
      <x:c r="P1640" s="20" t="n">
        <x:v>10000000</x:v>
      </x:c>
      <x:c r="Q1640" s="25" t="str">
        <x:v>Property-loan range, not a corporate-capital commitment</x:v>
      </x:c>
      <x:c r="R1640" s="25" t="str">
        <x:v>Private real-estate finance experience. Corporate working capital, minority equity or profit participation requires a separate agreement from a property loan.</x:v>
      </x:c>
      <x:c r="S1640" s="25"/>
      <x:c r="T1640" s="25" t="str">
        <x:v>Confirm direct principal versus broker, $100K-$500K appetite, and whether capital can fund the operating company without a property mortgage.</x:v>
      </x:c>
      <x:c r="U1640" s="25" t="str">
        <x:v>https://www.hardmoneyhome.com/lenders/view/amusa-commercial-capital
https://www.amusacommercialcapital.com
https://www.privatelendersdirectory.com/united-states/fort-worth/top-level-category/amusa-commercial-capital
https://www.amusacommercialcapital.com/</x:v>
      </x:c>
      <x:c r="V1640" s="26" t="d">
        <x:v>2026-10-02T00:00:00.000Z</x:v>
      </x:c>
      <x:c r="W1640" s="26" t="d">
        <x:v>2026-09-30T00:00:00.000Z</x:v>
      </x:c>
      <x:c r="X1640" s="25" t="str">
        <x:v>Saved public company, industry-directory or regulatory source; source date retained</x:v>
      </x:c>
      <x:c r="Y1640" s="25" t="str">
        <x:v>https://www.amusacommercialcapital.com</x:v>
      </x:c>
      <x:c r="Z1640" s="25" t="str">
        <x:v>https://www.hardmoneyhome.com/lenders/view/amusa-commercial-capital</x:v>
      </x:c>
      <x:c r="AA1640" s="25" t="str">
        <x:v>[]</x:v>
      </x:c>
      <x:c r="AB1640" s="3" t="str">
        <x:v>Existing CapitalForge research, newly screened for this campaign</x:v>
      </x:c>
      <x:c r="AC1640" s="3" t="str">
        <x:v>unverified</x:v>
      </x:c>
      <x:c r="AD1640" s="3" t="str">
        <x:v>Not contacted / unconfirmed</x:v>
      </x:c>
      <x:c r="AE1640" s="3" t="str">
        <x:v>No</x:v>
      </x:c>
      <x:c r="AF1640" s="3" t="str">
        <x:v>No</x:v>
      </x:c>
      <x:c r="AG1640" s="3"/>
      <x:c r="AH1640" s="3"/>
      <x:c r="AI1640" s="18"/>
      <x:c r="AJ1640" s="3" t="str">
        <x:v>CF2500-29EB5BE22721</x:v>
      </x:c>
      <x:c r="AK1640" s="3" t="str">
        <x:v>private_real_estate_lender</x:v>
      </x:c>
      <x:c r="AL1640" s="19" t="n">
        <x:v>100000</x:v>
      </x:c>
      <x:c r="AM1640" s="19" t="n">
        <x:v>500000</x:v>
      </x:c>
      <x:c r="AN1640" s="3" t="str">
        <x:v>https://www.hardmoneyhome.com/lenders/view/amusa-commercial-capital</x:v>
      </x:c>
      <x:c r="AO1640" s="3" t="str">
        <x:v>public_directory.jsonl</x:v>
      </x:c>
      <x:c r="AP1640" s="19"/>
    </x:row>
    <x:row r="1641" ht="36" customHeight="1">
      <x:c r="A1641" s="23" t="n">
        <x:v>1640</x:v>
      </x:c>
      <x:c r="B1641" s="15" t="str">
        <x:v>Artemis Realty Capital</x:v>
      </x:c>
      <x:c r="C1641" s="15"/>
      <x:c r="D1641" s="15" t="str">
        <x:v>Property lender or directory member; operating-company capital unconfirmed</x:v>
      </x:c>
      <x:c r="E1641" s="15" t="str">
        <x:v>Property lender / private-money inquiry</x:v>
      </x:c>
      <x:c r="F1641" s="17" t="str">
        <x:v>New</x:v>
      </x:c>
      <x:c r="G1641" s="24" t="str">
        <x:v>loans@artemisrealtycapitalllc.com</x:v>
      </x:c>
      <x:c r="H1641" s="24" t="str">
        <x:v>+16023810238</x:v>
      </x:c>
      <x:c r="I1641" s="24" t="str">
        <x:v>https://www.artemisrealtycapitalllc.com/</x:v>
      </x:c>
      <x:c r="J1641" s="16" t="str">
        <x:v>AZ</x:v>
      </x:c>
      <x:c r="K1641" s="16" t="str">
        <x:v>Phoenix</x:v>
      </x:c>
      <x:c r="L1641" s="16" t="str">
        <x:v>firm_business_routing</x:v>
      </x:c>
      <x:c r="M1641" s="16" t="str">
        <x:v>https://www.artemisrealtycapitalllc.com/</x:v>
      </x:c>
      <x:c r="N1641" s="16" t="str">
        <x:v>Published source range; proposed allocation and structure require confirmation</x:v>
      </x:c>
      <x:c r="O1641" s="20"/>
      <x:c r="P1641" s="20" t="n">
        <x:v>25000000</x:v>
      </x:c>
      <x:c r="Q1641" s="25" t="str">
        <x:v>Property-loan range, not a corporate-capital commitment</x:v>
      </x:c>
      <x:c r="R1641" s="25" t="str">
        <x:v>Private real-estate finance experience. Corporate working capital, minority equity or profit participation requires a separate agreement from a property loan.</x:v>
      </x:c>
      <x:c r="S1641" s="25"/>
      <x:c r="T1641" s="25" t="str">
        <x:v>Confirm direct principal versus broker, $100K-$500K appetite, and whether capital can fund the operating company without a property mortgage.</x:v>
      </x:c>
      <x:c r="U1641" s="25" t="str">
        <x:v>https://www.hardmoneyhome.com/lenders/view/artemis-realty-capital
https://artemisrealtycapitalllc.com/contact/</x:v>
      </x:c>
      <x:c r="V1641" s="26" t="d">
        <x:v>2026-10-02T00:00:00.000Z</x:v>
      </x:c>
      <x:c r="W1641" s="26" t="d">
        <x:v>2026-09-30T00:00:00.000Z</x:v>
      </x:c>
      <x:c r="X1641" s="25" t="str">
        <x:v>Saved public company, industry-directory or regulatory source; source date retained</x:v>
      </x:c>
      <x:c r="Y1641" s="25" t="str">
        <x:v>https://artemisrealtycapitalllc.com/contact/</x:v>
      </x:c>
      <x:c r="Z1641" s="25" t="str">
        <x:v>https://www.hardmoneyhome.com/lenders/view/artemis-realty-capital</x:v>
      </x:c>
      <x:c r="AA1641" s="25" t="str">
        <x:v>[]</x:v>
      </x:c>
      <x:c r="AB1641" s="3" t="str">
        <x:v>Existing CapitalForge research, newly screened for this campaign</x:v>
      </x:c>
      <x:c r="AC1641" s="3" t="str">
        <x:v>unverified</x:v>
      </x:c>
      <x:c r="AD1641" s="3" t="str">
        <x:v>Not contacted / unconfirmed</x:v>
      </x:c>
      <x:c r="AE1641" s="3" t="str">
        <x:v>No</x:v>
      </x:c>
      <x:c r="AF1641" s="3" t="str">
        <x:v>No</x:v>
      </x:c>
      <x:c r="AG1641" s="3"/>
      <x:c r="AH1641" s="3"/>
      <x:c r="AI1641" s="18"/>
      <x:c r="AJ1641" s="3" t="str">
        <x:v>CF2500-737BA6292970</x:v>
      </x:c>
      <x:c r="AK1641" s="3" t="str">
        <x:v>private_real_estate_lender</x:v>
      </x:c>
      <x:c r="AL1641" s="19" t="n">
        <x:v>100000</x:v>
      </x:c>
      <x:c r="AM1641" s="19" t="n">
        <x:v>500000</x:v>
      </x:c>
      <x:c r="AN1641" s="3" t="str">
        <x:v>https://www.hardmoneyhome.com/lenders/view/artemis-realty-capital</x:v>
      </x:c>
      <x:c r="AO1641" s="3" t="str">
        <x:v>public_directory.jsonl</x:v>
      </x:c>
      <x:c r="AP1641" s="19"/>
    </x:row>
    <x:row r="1642" ht="36" customHeight="1">
      <x:c r="A1642" s="23" t="n">
        <x:v>1641</x:v>
      </x:c>
      <x:c r="B1642" s="15" t="str">
        <x:v>Bay Mountain Capital</x:v>
      </x:c>
      <x:c r="C1642" s="15"/>
      <x:c r="D1642" s="15" t="str">
        <x:v>Property lender or directory member; operating-company capital unconfirmed</x:v>
      </x:c>
      <x:c r="E1642" s="15" t="str">
        <x:v>Property lender / private-money inquiry</x:v>
      </x:c>
      <x:c r="F1642" s="17" t="str">
        <x:v>New</x:v>
      </x:c>
      <x:c r="G1642" s="24" t="str">
        <x:v>info@baymountaincapital.com</x:v>
      </x:c>
      <x:c r="H1642" s="24" t="str">
        <x:v>+12149533188</x:v>
      </x:c>
      <x:c r="I1642" s="24" t="str">
        <x:v>https://www.baymountaincapital.com/</x:v>
      </x:c>
      <x:c r="J1642" s="16" t="str">
        <x:v>TX</x:v>
      </x:c>
      <x:c r="K1642" s="16" t="str">
        <x:v>Dallas</x:v>
      </x:c>
      <x:c r="L1642" s="16" t="str">
        <x:v>firm_business_routing</x:v>
      </x:c>
      <x:c r="M1642" s="16" t="str">
        <x:v>https://www.baymountaincapital.com/</x:v>
      </x:c>
      <x:c r="N1642" s="16" t="str">
        <x:v>Published source range; proposed allocation and structure require confirmation</x:v>
      </x:c>
      <x:c r="O1642" s="20"/>
      <x:c r="P1642" s="20" t="n">
        <x:v>10000000</x:v>
      </x:c>
      <x:c r="Q1642" s="25" t="str">
        <x:v>Property-loan range, not a corporate-capital commitment</x:v>
      </x:c>
      <x:c r="R1642" s="25" t="str">
        <x:v>Private real-estate finance experience. Corporate working capital, minority equity or profit participation requires a separate agreement from a property loan.</x:v>
      </x:c>
      <x:c r="S1642" s="25"/>
      <x:c r="T1642" s="25" t="str">
        <x:v>Confirm direct principal versus broker, $100K-$500K appetite, and whether capital can fund the operating company without a property mortgage.</x:v>
      </x:c>
      <x:c r="U1642" s="25" t="str">
        <x:v>https://www.hardmoneyhome.com/lenders/view/bay-mountain-capital
https://privatelenderlink.com/profile/bay-mountain-capital/
https://www.privatelendersdirectory.com/united-states/dallas/top-level-category/bay-mountain-capital</x:v>
      </x:c>
      <x:c r="V1642" s="26" t="d">
        <x:v>2026-10-02T00:00:00.000Z</x:v>
      </x:c>
      <x:c r="W1642" s="26" t="d">
        <x:v>2026-09-30T00:00:00.000Z</x:v>
      </x:c>
      <x:c r="X1642" s="25" t="str">
        <x:v>Saved public company, industry-directory or regulatory source; source date retained</x:v>
      </x:c>
      <x:c r="Y1642" s="25" t="str">
        <x:v>https://privatelenderlink.com/profile/bay-mountain-capital/</x:v>
      </x:c>
      <x:c r="Z1642" s="25" t="str">
        <x:v>https://www.hardmoneyhome.com/lenders/view/bay-mountain-capital</x:v>
      </x:c>
      <x:c r="AA1642" s="25" t="str">
        <x:v>[]</x:v>
      </x:c>
      <x:c r="AB1642" s="3" t="str">
        <x:v>Existing CapitalForge research, newly screened for this campaign</x:v>
      </x:c>
      <x:c r="AC1642" s="3" t="str">
        <x:v>unverified</x:v>
      </x:c>
      <x:c r="AD1642" s="3" t="str">
        <x:v>Not contacted / unconfirmed</x:v>
      </x:c>
      <x:c r="AE1642" s="3" t="str">
        <x:v>No</x:v>
      </x:c>
      <x:c r="AF1642" s="3" t="str">
        <x:v>No</x:v>
      </x:c>
      <x:c r="AG1642" s="3"/>
      <x:c r="AH1642" s="3"/>
      <x:c r="AI1642" s="18"/>
      <x:c r="AJ1642" s="3" t="str">
        <x:v>CF2500-96FDCCD7C50F</x:v>
      </x:c>
      <x:c r="AK1642" s="3" t="str">
        <x:v>private_real_estate_lender</x:v>
      </x:c>
      <x:c r="AL1642" s="19" t="n">
        <x:v>100000</x:v>
      </x:c>
      <x:c r="AM1642" s="19" t="n">
        <x:v>500000</x:v>
      </x:c>
      <x:c r="AN1642" s="3" t="str">
        <x:v>https://www.hardmoneyhome.com/lenders/view/bay-mountain-capital</x:v>
      </x:c>
      <x:c r="AO1642" s="3" t="str">
        <x:v>public_directory.jsonl</x:v>
      </x:c>
      <x:c r="AP1642" s="19"/>
    </x:row>
    <x:row r="1643" ht="36" customHeight="1">
      <x:c r="A1643" s="23" t="n">
        <x:v>1642</x:v>
      </x:c>
      <x:c r="B1643" s="15" t="str">
        <x:v>Benworth Capital</x:v>
      </x:c>
      <x:c r="C1643" s="15"/>
      <x:c r="D1643" s="15" t="str">
        <x:v>Property lender or directory member; operating-company capital unconfirmed</x:v>
      </x:c>
      <x:c r="E1643" s="15" t="str">
        <x:v>Property lender / private-money inquiry</x:v>
      </x:c>
      <x:c r="F1643" s="17" t="str">
        <x:v>New</x:v>
      </x:c>
      <x:c r="G1643" s="24" t="str">
        <x:v>info@benworthcapital.com</x:v>
      </x:c>
      <x:c r="H1643" s="24" t="str">
        <x:v>+13056769632</x:v>
      </x:c>
      <x:c r="I1643" s="24" t="str">
        <x:v>http://benworthcapital.com</x:v>
      </x:c>
      <x:c r="J1643" s="16" t="str">
        <x:v>FL</x:v>
      </x:c>
      <x:c r="K1643" s="16" t="str">
        <x:v>Miami</x:v>
      </x:c>
      <x:c r="L1643" s="16" t="str">
        <x:v>firm_business_routing</x:v>
      </x:c>
      <x:c r="M1643" s="16" t="str">
        <x:v>http://benworthcapital.com</x:v>
      </x:c>
      <x:c r="N1643" s="16" t="str">
        <x:v>Published source range; proposed allocation and structure require confirmation</x:v>
      </x:c>
      <x:c r="O1643" s="20"/>
      <x:c r="P1643" s="20" t="n">
        <x:v>4000000</x:v>
      </x:c>
      <x:c r="Q1643" s="25" t="str">
        <x:v>Property-loan range, not a corporate-capital commitment</x:v>
      </x:c>
      <x:c r="R1643" s="25" t="str">
        <x:v>Private real-estate finance experience. Corporate working capital, minority equity or profit participation requires a separate agreement from a property loan.</x:v>
      </x:c>
      <x:c r="S1643" s="25"/>
      <x:c r="T1643" s="25" t="str">
        <x:v>Confirm direct principal versus broker, $100K-$500K appetite, and whether capital can fund the operating company without a property mortgage.</x:v>
      </x:c>
      <x:c r="U1643" s="25" t="str">
        <x:v>https://www.hardmoneyhome.com/lenders/view/benworth-capital
https://privatelenderlink.com/profile/benworth-capital-partners-llc/
https://www.privatelendersdirectory.com/united-states/coral-gables/top-level-category/benworth-capital</x:v>
      </x:c>
      <x:c r="V1643" s="26" t="d">
        <x:v>2026-10-02T00:00:00.000Z</x:v>
      </x:c>
      <x:c r="W1643" s="26" t="d">
        <x:v>2026-09-30T00:00:00.000Z</x:v>
      </x:c>
      <x:c r="X1643" s="25" t="str">
        <x:v>Saved public company, industry-directory or regulatory source; source date retained</x:v>
      </x:c>
      <x:c r="Y1643" s="25" t="str">
        <x:v>https://privatelenderlink.com/profile/benworth-capital-partners-llc/</x:v>
      </x:c>
      <x:c r="Z1643" s="25" t="str">
        <x:v>https://www.hardmoneyhome.com/lenders/view/benworth-capital</x:v>
      </x:c>
      <x:c r="AA1643" s="25" t="str">
        <x:v>[]</x:v>
      </x:c>
      <x:c r="AB1643" s="3" t="str">
        <x:v>Existing CapitalForge research, newly screened for this campaign</x:v>
      </x:c>
      <x:c r="AC1643" s="3" t="str">
        <x:v>unverified</x:v>
      </x:c>
      <x:c r="AD1643" s="3" t="str">
        <x:v>Not contacted / unconfirmed</x:v>
      </x:c>
      <x:c r="AE1643" s="3" t="str">
        <x:v>No</x:v>
      </x:c>
      <x:c r="AF1643" s="3" t="str">
        <x:v>No</x:v>
      </x:c>
      <x:c r="AG1643" s="3"/>
      <x:c r="AH1643" s="3"/>
      <x:c r="AI1643" s="18"/>
      <x:c r="AJ1643" s="3" t="str">
        <x:v>CF2500-1BA712D02F35</x:v>
      </x:c>
      <x:c r="AK1643" s="3" t="str">
        <x:v>private_real_estate_lender</x:v>
      </x:c>
      <x:c r="AL1643" s="19" t="n">
        <x:v>100000</x:v>
      </x:c>
      <x:c r="AM1643" s="19" t="n">
        <x:v>500000</x:v>
      </x:c>
      <x:c r="AN1643" s="3" t="str">
        <x:v>https://www.hardmoneyhome.com/lenders/view/benworth-capital</x:v>
      </x:c>
      <x:c r="AO1643" s="3" t="str">
        <x:v>public_directory.jsonl</x:v>
      </x:c>
      <x:c r="AP1643" s="19"/>
    </x:row>
    <x:row r="1644" ht="36" customHeight="1">
      <x:c r="A1644" s="23" t="n">
        <x:v>1643</x:v>
      </x:c>
      <x:c r="B1644" s="15" t="str">
        <x:v>Bridge Well Capital</x:v>
      </x:c>
      <x:c r="C1644" s="15"/>
      <x:c r="D1644" s="15" t="str">
        <x:v>Property lender or directory member; operating-company capital unconfirmed</x:v>
      </x:c>
      <x:c r="E1644" s="15" t="str">
        <x:v>Property lender / private-money inquiry</x:v>
      </x:c>
      <x:c r="F1644" s="17" t="str">
        <x:v>New</x:v>
      </x:c>
      <x:c r="G1644" s="24" t="str">
        <x:v>webmarketing@bridgewellcapital.com</x:v>
      </x:c>
      <x:c r="H1644" s="24" t="str">
        <x:v>+14074471000</x:v>
      </x:c>
      <x:c r="I1644" s="24" t="str">
        <x:v>https://www.bridgewellcapital.com</x:v>
      </x:c>
      <x:c r="J1644" s="16" t="str">
        <x:v>FL</x:v>
      </x:c>
      <x:c r="K1644" s="16" t="str">
        <x:v>Orlando</x:v>
      </x:c>
      <x:c r="L1644" s="16" t="str">
        <x:v>firm_business_routing</x:v>
      </x:c>
      <x:c r="M1644" s="16" t="str">
        <x:v>https://www.bridgewellcapital.com</x:v>
      </x:c>
      <x:c r="N1644" s="16" t="str">
        <x:v>Published source range; proposed allocation and structure require confirmation</x:v>
      </x:c>
      <x:c r="O1644" s="20"/>
      <x:c r="P1644" s="20" t="n">
        <x:v>5000000</x:v>
      </x:c>
      <x:c r="Q1644" s="25" t="str">
        <x:v>Property-loan range, not a corporate-capital commitment</x:v>
      </x:c>
      <x:c r="R1644" s="25" t="str">
        <x:v>Private real-estate finance experience. Corporate working capital, minority equity or profit participation requires a separate agreement from a property loan.</x:v>
      </x:c>
      <x:c r="S1644" s="25"/>
      <x:c r="T1644" s="25" t="str">
        <x:v>Confirm direct principal versus broker, $100K-$500K appetite, and whether capital can fund the operating company without a property mortgage.</x:v>
      </x:c>
      <x:c r="U1644" s="25" t="str">
        <x:v>https://www.hardmoneyhome.com/lenders/view/bridge-well-capital
https://privatelenderlink.com/profile/bridgewell-capital/
https://www.privatelendersdirectory.com/united-states/orlando/top-level-category/bridgewell-capital
https://www.bridgewellcapital.com/</x:v>
      </x:c>
      <x:c r="V1644" s="26" t="d">
        <x:v>2026-10-02T00:00:00.000Z</x:v>
      </x:c>
      <x:c r="W1644" s="26" t="d">
        <x:v>2026-09-30T00:00:00.000Z</x:v>
      </x:c>
      <x:c r="X1644" s="25" t="str">
        <x:v>Saved public company, industry-directory or regulatory source; source date retained</x:v>
      </x:c>
      <x:c r="Y1644" s="25" t="str">
        <x:v>https://privatelenderlink.com/profile/bridgewell-capital/</x:v>
      </x:c>
      <x:c r="Z1644" s="25" t="str">
        <x:v>https://www.hardmoneyhome.com/lenders/view/bridge-well-capital</x:v>
      </x:c>
      <x:c r="AA1644" s="25" t="str">
        <x:v>[]</x:v>
      </x:c>
      <x:c r="AB1644" s="3" t="str">
        <x:v>Existing CapitalForge research, newly screened for this campaign</x:v>
      </x:c>
      <x:c r="AC1644" s="3" t="str">
        <x:v>unverified</x:v>
      </x:c>
      <x:c r="AD1644" s="3" t="str">
        <x:v>Not contacted / unconfirmed</x:v>
      </x:c>
      <x:c r="AE1644" s="3" t="str">
        <x:v>No</x:v>
      </x:c>
      <x:c r="AF1644" s="3" t="str">
        <x:v>No</x:v>
      </x:c>
      <x:c r="AG1644" s="3"/>
      <x:c r="AH1644" s="3"/>
      <x:c r="AI1644" s="18"/>
      <x:c r="AJ1644" s="3" t="str">
        <x:v>CF2500-D459E354987B</x:v>
      </x:c>
      <x:c r="AK1644" s="3" t="str">
        <x:v>private_real_estate_lender</x:v>
      </x:c>
      <x:c r="AL1644" s="19" t="n">
        <x:v>100000</x:v>
      </x:c>
      <x:c r="AM1644" s="19" t="n">
        <x:v>500000</x:v>
      </x:c>
      <x:c r="AN1644" s="3" t="str">
        <x:v>https://www.hardmoneyhome.com/lenders/view/bridge-well-capital</x:v>
      </x:c>
      <x:c r="AO1644" s="3" t="str">
        <x:v>public_directory.jsonl</x:v>
      </x:c>
      <x:c r="AP1644" s="19"/>
    </x:row>
    <x:row r="1645" ht="36" customHeight="1">
      <x:c r="A1645" s="23" t="n">
        <x:v>1644</x:v>
      </x:c>
      <x:c r="B1645" s="15" t="str">
        <x:v>Capital For Real Estate</x:v>
      </x:c>
      <x:c r="C1645" s="15"/>
      <x:c r="D1645" s="15" t="str">
        <x:v>Property lender or directory member; operating-company capital unconfirmed</x:v>
      </x:c>
      <x:c r="E1645" s="15" t="str">
        <x:v>Property lender / private-money inquiry</x:v>
      </x:c>
      <x:c r="F1645" s="17" t="str">
        <x:v>New</x:v>
      </x:c>
      <x:c r="G1645" s="24" t="str">
        <x:v>info@capitalforrealestate.net</x:v>
      </x:c>
      <x:c r="H1645" s="24" t="str">
        <x:v>+17135895882</x:v>
      </x:c>
      <x:c r="I1645" s="24" t="str">
        <x:v>https://www.capitalforrealestate.net</x:v>
      </x:c>
      <x:c r="J1645" s="16" t="str">
        <x:v>TX</x:v>
      </x:c>
      <x:c r="K1645" s="16" t="str">
        <x:v>Houston</x:v>
      </x:c>
      <x:c r="L1645" s="16" t="str">
        <x:v>firm_business_routing</x:v>
      </x:c>
      <x:c r="M1645" s="16" t="str">
        <x:v>https://www.capitalforrealestate.net</x:v>
      </x:c>
      <x:c r="N1645" s="16" t="str">
        <x:v>Published source range; proposed allocation and structure require confirmation</x:v>
      </x:c>
      <x:c r="O1645" s="20"/>
      <x:c r="P1645" s="20" t="n">
        <x:v>10000000</x:v>
      </x:c>
      <x:c r="Q1645" s="25" t="str">
        <x:v>Property-loan range, not a corporate-capital commitment</x:v>
      </x:c>
      <x:c r="R1645" s="25" t="str">
        <x:v>Private real-estate finance experience. Corporate working capital, minority equity or profit participation requires a separate agreement from a property loan.</x:v>
      </x:c>
      <x:c r="S1645" s="25"/>
      <x:c r="T1645" s="25" t="str">
        <x:v>Confirm direct principal versus broker, $100K-$500K appetite, and whether capital can fund the operating company without a property mortgage.</x:v>
      </x:c>
      <x:c r="U1645" s="25" t="str">
        <x:v>https://www.hardmoneyhome.com/lenders/view/capital-for-real-estate
https://www.capitalforrealestate.net/contact</x:v>
      </x:c>
      <x:c r="V1645" s="26" t="d">
        <x:v>2026-10-02T00:00:00.000Z</x:v>
      </x:c>
      <x:c r="W1645" s="26" t="d">
        <x:v>2026-09-30T00:00:00.000Z</x:v>
      </x:c>
      <x:c r="X1645" s="25" t="str">
        <x:v>Saved public company, industry-directory or regulatory source; source date retained</x:v>
      </x:c>
      <x:c r="Y1645" s="25" t="str">
        <x:v>https://www.capitalforrealestate.net/contact</x:v>
      </x:c>
      <x:c r="Z1645" s="25" t="str">
        <x:v>https://www.hardmoneyhome.com/lenders/view/capital-for-real-estate</x:v>
      </x:c>
      <x:c r="AA1645" s="25" t="str">
        <x:v>[]</x:v>
      </x:c>
      <x:c r="AB1645" s="3" t="str">
        <x:v>Existing CapitalForge research, newly screened for this campaign</x:v>
      </x:c>
      <x:c r="AC1645" s="3" t="str">
        <x:v>unverified</x:v>
      </x:c>
      <x:c r="AD1645" s="3" t="str">
        <x:v>Not contacted / unconfirmed</x:v>
      </x:c>
      <x:c r="AE1645" s="3" t="str">
        <x:v>No</x:v>
      </x:c>
      <x:c r="AF1645" s="3" t="str">
        <x:v>No</x:v>
      </x:c>
      <x:c r="AG1645" s="3"/>
      <x:c r="AH1645" s="3"/>
      <x:c r="AI1645" s="18"/>
      <x:c r="AJ1645" s="3" t="str">
        <x:v>CF2500-44E854CB2587</x:v>
      </x:c>
      <x:c r="AK1645" s="3" t="str">
        <x:v>private_real_estate_lender</x:v>
      </x:c>
      <x:c r="AL1645" s="19" t="n">
        <x:v>100000</x:v>
      </x:c>
      <x:c r="AM1645" s="19" t="n">
        <x:v>500000</x:v>
      </x:c>
      <x:c r="AN1645" s="3" t="str">
        <x:v>https://www.hardmoneyhome.com/lenders/view/capital-for-real-estate</x:v>
      </x:c>
      <x:c r="AO1645" s="3" t="str">
        <x:v>public_directory.jsonl</x:v>
      </x:c>
      <x:c r="AP1645" s="19"/>
    </x:row>
    <x:row r="1646" ht="36" customHeight="1">
      <x:c r="A1646" s="23" t="n">
        <x:v>1645</x:v>
      </x:c>
      <x:c r="B1646" s="15" t="str">
        <x:v>Capital Fund 1</x:v>
      </x:c>
      <x:c r="C1646" s="15"/>
      <x:c r="D1646" s="15" t="str">
        <x:v>Property lender or directory member; operating-company capital unconfirmed</x:v>
      </x:c>
      <x:c r="E1646" s="15" t="str">
        <x:v>Property lender / private-money inquiry</x:v>
      </x:c>
      <x:c r="F1646" s="17" t="str">
        <x:v>New</x:v>
      </x:c>
      <x:c r="G1646" s="24" t="str">
        <x:v>john@capitalfund1.com</x:v>
      </x:c>
      <x:c r="H1646" s="24" t="str">
        <x:v>+14808896100</x:v>
      </x:c>
      <x:c r="I1646" s="24" t="str">
        <x:v>https://capitalfund1.com/</x:v>
      </x:c>
      <x:c r="J1646" s="16" t="str">
        <x:v>AZ</x:v>
      </x:c>
      <x:c r="K1646" s="16" t="str">
        <x:v>Scottsdale</x:v>
      </x:c>
      <x:c r="L1646" s="16" t="str">
        <x:v>firm_business_routing</x:v>
      </x:c>
      <x:c r="M1646" s="16" t="str">
        <x:v>https://capitalfund1.com/</x:v>
      </x:c>
      <x:c r="N1646" s="16" t="str">
        <x:v>Published source range; proposed allocation and structure require confirmation</x:v>
      </x:c>
      <x:c r="O1646" s="20"/>
      <x:c r="P1646" s="20" t="n">
        <x:v>10000000</x:v>
      </x:c>
      <x:c r="Q1646" s="25" t="str">
        <x:v>Property-loan range, not a corporate-capital commitment</x:v>
      </x:c>
      <x:c r="R1646" s="25" t="str">
        <x:v>Private real-estate finance experience. Corporate working capital, minority equity or profit participation requires a separate agreement from a property loan.</x:v>
      </x:c>
      <x:c r="S1646" s="25"/>
      <x:c r="T1646" s="25" t="str">
        <x:v>Confirm direct principal versus broker, $100K-$500K appetite, and whether capital can fund the operating company without a property mortgage.</x:v>
      </x:c>
      <x:c r="U1646" s="25" t="str">
        <x:v>https://www.hardmoneyhome.com/lenders/view/capital-fund-1
https://privatelenderlink.com/profile/capital-fund-1/
https://www.privatelendersdirectory.com/united-states/scottsdale/real-estate-investment-lending/capital-fund-i
https://capitalfund1.com/
https://www.privatelendersdirectory.com/united-states/scottsdale/top-level-category/capital-1-fund</x:v>
      </x:c>
      <x:c r="V1646" s="26" t="d">
        <x:v>2026-10-02T00:00:00.000Z</x:v>
      </x:c>
      <x:c r="W1646" s="26" t="d">
        <x:v>2026-09-30T00:00:00.000Z</x:v>
      </x:c>
      <x:c r="X1646" s="25" t="str">
        <x:v>Saved public company, industry-directory or regulatory source; source date retained</x:v>
      </x:c>
      <x:c r="Y1646" s="25" t="str">
        <x:v>https://privatelenderlink.com/profile/capital-fund-1/</x:v>
      </x:c>
      <x:c r="Z1646" s="25" t="str">
        <x:v>https://www.hardmoneyhome.com/lenders/view/capital-fund-1</x:v>
      </x:c>
      <x:c r="AA1646" s="25" t="str">
        <x:v>[]</x:v>
      </x:c>
      <x:c r="AB1646" s="3" t="str">
        <x:v>Existing CapitalForge research, newly screened for this campaign</x:v>
      </x:c>
      <x:c r="AC1646" s="3" t="str">
        <x:v>unverified</x:v>
      </x:c>
      <x:c r="AD1646" s="3" t="str">
        <x:v>Not contacted / unconfirmed</x:v>
      </x:c>
      <x:c r="AE1646" s="3" t="str">
        <x:v>No</x:v>
      </x:c>
      <x:c r="AF1646" s="3" t="str">
        <x:v>No</x:v>
      </x:c>
      <x:c r="AG1646" s="3"/>
      <x:c r="AH1646" s="3"/>
      <x:c r="AI1646" s="18"/>
      <x:c r="AJ1646" s="3" t="str">
        <x:v>CF2500-A7BF9AD0D162</x:v>
      </x:c>
      <x:c r="AK1646" s="3" t="str">
        <x:v>private_real_estate_lender</x:v>
      </x:c>
      <x:c r="AL1646" s="19" t="n">
        <x:v>100000</x:v>
      </x:c>
      <x:c r="AM1646" s="19" t="n">
        <x:v>500000</x:v>
      </x:c>
      <x:c r="AN1646" s="3" t="str">
        <x:v>https://www.hardmoneyhome.com/lenders/view/capital-fund-1</x:v>
      </x:c>
      <x:c r="AO1646" s="3" t="str">
        <x:v>public_directory.jsonl</x:v>
      </x:c>
      <x:c r="AP1646" s="19"/>
    </x:row>
    <x:row r="1647" ht="36" customHeight="1">
      <x:c r="A1647" s="23" t="n">
        <x:v>1646</x:v>
      </x:c>
      <x:c r="B1647" s="15" t="str">
        <x:v>Capital Funding Financial</x:v>
      </x:c>
      <x:c r="C1647" s="15"/>
      <x:c r="D1647" s="15" t="str">
        <x:v>Property lender or directory member; operating-company capital unconfirmed</x:v>
      </x:c>
      <x:c r="E1647" s="15" t="str">
        <x:v>Property lender / private-money inquiry</x:v>
      </x:c>
      <x:c r="F1647" s="17" t="str">
        <x:v>New</x:v>
      </x:c>
      <x:c r="G1647" s="24" t="str">
        <x:v>loans@capitalfundingfinancial.com</x:v>
      </x:c>
      <x:c r="H1647" s="24" t="str">
        <x:v>+19543200242</x:v>
      </x:c>
      <x:c r="I1647" s="24" t="str">
        <x:v>https://capitalfundingfinancial.com/</x:v>
      </x:c>
      <x:c r="J1647" s="16" t="str">
        <x:v>FL</x:v>
      </x:c>
      <x:c r="K1647" s="16" t="str">
        <x:v>Boca Raton</x:v>
      </x:c>
      <x:c r="L1647" s="16" t="str">
        <x:v>firm_business_routing</x:v>
      </x:c>
      <x:c r="M1647" s="16" t="str">
        <x:v>https://capitalfundingfinancial.com/</x:v>
      </x:c>
      <x:c r="N1647" s="16" t="str">
        <x:v>Published source range; proposed allocation and structure require confirmation</x:v>
      </x:c>
      <x:c r="O1647" s="20"/>
      <x:c r="P1647" s="20" t="n">
        <x:v>10000000</x:v>
      </x:c>
      <x:c r="Q1647" s="25" t="str">
        <x:v>Property-loan range, not a corporate-capital commitment</x:v>
      </x:c>
      <x:c r="R1647" s="25" t="str">
        <x:v>Private real-estate finance experience. Corporate working capital, minority equity or profit participation requires a separate agreement from a property loan.</x:v>
      </x:c>
      <x:c r="S1647" s="25"/>
      <x:c r="T1647" s="25" t="str">
        <x:v>Confirm direct principal versus broker, $100K-$500K appetite, and whether capital can fund the operating company without a property mortgage.</x:v>
      </x:c>
      <x:c r="U1647" s="25" t="str">
        <x:v>https://www.hardmoneyhome.com/lenders/view/capital-funding-financial
https://privatelenderlink.com/profile/capital-funding-financial/
https://www.privatelendersdirectory.com/united-states/boca-raton/top-level-category/capital-funding-financial
https://www.hardmoneyhome.com/lenders/view/city-financial-mortgage</x:v>
      </x:c>
      <x:c r="V1647" s="26" t="d">
        <x:v>2026-10-02T00:00:00.000Z</x:v>
      </x:c>
      <x:c r="W1647" s="26" t="d">
        <x:v>2026-09-30T00:00:00.000Z</x:v>
      </x:c>
      <x:c r="X1647" s="25" t="str">
        <x:v>Saved public company, industry-directory or regulatory source; source date retained</x:v>
      </x:c>
      <x:c r="Y1647" s="25" t="str">
        <x:v>https://privatelenderlink.com/profile/capital-funding-financial/</x:v>
      </x:c>
      <x:c r="Z1647" s="25" t="str">
        <x:v>https://www.hardmoneyhome.com/lenders/view/capital-funding-financial</x:v>
      </x:c>
      <x:c r="AA1647" s="25" t="str">
        <x:v>[]</x:v>
      </x:c>
      <x:c r="AB1647" s="3" t="str">
        <x:v>Existing CapitalForge research, newly screened for this campaign</x:v>
      </x:c>
      <x:c r="AC1647" s="3" t="str">
        <x:v>unverified</x:v>
      </x:c>
      <x:c r="AD1647" s="3" t="str">
        <x:v>Not contacted / unconfirmed</x:v>
      </x:c>
      <x:c r="AE1647" s="3" t="str">
        <x:v>No</x:v>
      </x:c>
      <x:c r="AF1647" s="3" t="str">
        <x:v>No</x:v>
      </x:c>
      <x:c r="AG1647" s="3"/>
      <x:c r="AH1647" s="3" t="str">
        <x:v>City Financial Mortgage</x:v>
      </x:c>
      <x:c r="AI1647" s="18"/>
      <x:c r="AJ1647" s="3" t="str">
        <x:v>CF2500-5E64C84D7475</x:v>
      </x:c>
      <x:c r="AK1647" s="3" t="str">
        <x:v>private_real_estate_lender</x:v>
      </x:c>
      <x:c r="AL1647" s="19" t="n">
        <x:v>100000</x:v>
      </x:c>
      <x:c r="AM1647" s="19" t="n">
        <x:v>500000</x:v>
      </x:c>
      <x:c r="AN1647" s="3" t="str">
        <x:v>https://www.hardmoneyhome.com/lenders/view/capital-funding-financial</x:v>
      </x:c>
      <x:c r="AO1647" s="3" t="str">
        <x:v>public_directory.jsonl</x:v>
      </x:c>
      <x:c r="AP1647" s="19"/>
    </x:row>
    <x:row r="1648" ht="36" customHeight="1">
      <x:c r="A1648" s="23" t="n">
        <x:v>1647</x:v>
      </x:c>
      <x:c r="B1648" s="15" t="str">
        <x:v>Capital Funding Services</x:v>
      </x:c>
      <x:c r="C1648" s="15"/>
      <x:c r="D1648" s="15" t="str">
        <x:v>Property lender or directory member; operating-company capital unconfirmed</x:v>
      </x:c>
      <x:c r="E1648" s="15" t="str">
        <x:v>Property lender / private-money inquiry</x:v>
      </x:c>
      <x:c r="F1648" s="17" t="str">
        <x:v>New</x:v>
      </x:c>
      <x:c r="G1648" s="24" t="str">
        <x:v>info@capitalfundingsvcs.com</x:v>
      </x:c>
      <x:c r="H1648" s="24" t="str">
        <x:v>+17865581831</x:v>
      </x:c>
      <x:c r="I1648" s="24" t="str">
        <x:v>http://www.capitalfundingsvcs.com/</x:v>
      </x:c>
      <x:c r="J1648" s="16" t="str">
        <x:v>FL</x:v>
      </x:c>
      <x:c r="K1648" s="16" t="str">
        <x:v>Miami</x:v>
      </x:c>
      <x:c r="L1648" s="16" t="str">
        <x:v>firm_business_routing</x:v>
      </x:c>
      <x:c r="M1648" s="16" t="str">
        <x:v>http://www.capitalfundingsvcs.com/</x:v>
      </x:c>
      <x:c r="N1648" s="16" t="str">
        <x:v>Published source range; proposed allocation and structure require confirmation</x:v>
      </x:c>
      <x:c r="O1648" s="20"/>
      <x:c r="P1648" s="20" t="n">
        <x:v>100000000</x:v>
      </x:c>
      <x:c r="Q1648" s="25" t="str">
        <x:v>Property-loan range, not a corporate-capital commitment</x:v>
      </x:c>
      <x:c r="R1648" s="25" t="str">
        <x:v>Private real-estate finance experience. Corporate working capital, minority equity or profit participation requires a separate agreement from a property loan.</x:v>
      </x:c>
      <x:c r="S1648" s="25"/>
      <x:c r="T1648" s="25" t="str">
        <x:v>Confirm direct principal versus broker, $100K-$500K appetite, and whether capital can fund the operating company without a property mortgage.</x:v>
      </x:c>
      <x:c r="U1648" s="25" t="str">
        <x:v>https://www.hardmoneyhome.com/lenders/view/capital-funding-services
https://capitalfundingsvcs.com/contact-us/</x:v>
      </x:c>
      <x:c r="V1648" s="26" t="d">
        <x:v>2026-10-02T00:00:00.000Z</x:v>
      </x:c>
      <x:c r="W1648" s="26" t="d">
        <x:v>2026-09-30T00:00:00.000Z</x:v>
      </x:c>
      <x:c r="X1648" s="25" t="str">
        <x:v>Saved public company, industry-directory or regulatory source; source date retained</x:v>
      </x:c>
      <x:c r="Y1648" s="25" t="str">
        <x:v>https://capitalfundingsvcs.com/contact-us/</x:v>
      </x:c>
      <x:c r="Z1648" s="25" t="str">
        <x:v>https://www.hardmoneyhome.com/lenders/view/capital-funding-services</x:v>
      </x:c>
      <x:c r="AA1648" s="25" t="str">
        <x:v>[]</x:v>
      </x:c>
      <x:c r="AB1648" s="3" t="str">
        <x:v>Existing CapitalForge research, newly screened for this campaign</x:v>
      </x:c>
      <x:c r="AC1648" s="3" t="str">
        <x:v>unverified</x:v>
      </x:c>
      <x:c r="AD1648" s="3" t="str">
        <x:v>Not contacted / unconfirmed</x:v>
      </x:c>
      <x:c r="AE1648" s="3" t="str">
        <x:v>No</x:v>
      </x:c>
      <x:c r="AF1648" s="3" t="str">
        <x:v>No</x:v>
      </x:c>
      <x:c r="AG1648" s="3"/>
      <x:c r="AH1648" s="3"/>
      <x:c r="AI1648" s="18"/>
      <x:c r="AJ1648" s="3" t="str">
        <x:v>CF2500-6C411F4AA803</x:v>
      </x:c>
      <x:c r="AK1648" s="3" t="str">
        <x:v>private_real_estate_lender</x:v>
      </x:c>
      <x:c r="AL1648" s="19" t="n">
        <x:v>100000</x:v>
      </x:c>
      <x:c r="AM1648" s="19" t="n">
        <x:v>500000</x:v>
      </x:c>
      <x:c r="AN1648" s="3" t="str">
        <x:v>https://www.hardmoneyhome.com/lenders/view/capital-funding-services</x:v>
      </x:c>
      <x:c r="AO1648" s="3" t="str">
        <x:v>public_directory.jsonl</x:v>
      </x:c>
      <x:c r="AP1648" s="19"/>
    </x:row>
    <x:row r="1649" ht="36" customHeight="1">
      <x:c r="A1649" s="23" t="n">
        <x:v>1648</x:v>
      </x:c>
      <x:c r="B1649" s="15" t="str">
        <x:v>Capstone Capital Partners</x:v>
      </x:c>
      <x:c r="C1649" s="15"/>
      <x:c r="D1649" s="15" t="str">
        <x:v>Property lender or directory member; operating-company capital unconfirmed</x:v>
      </x:c>
      <x:c r="E1649" s="15" t="str">
        <x:v>Property lender / private-money inquiry</x:v>
      </x:c>
      <x:c r="F1649" s="17" t="str">
        <x:v>New</x:v>
      </x:c>
      <x:c r="G1649" s="24" t="str">
        <x:v>team@capstonelending.com</x:v>
      </x:c>
      <x:c r="H1649" s="24" t="str">
        <x:v>+15122571330</x:v>
      </x:c>
      <x:c r="I1649" s="24" t="str">
        <x:v>http://capstonelending.com</x:v>
      </x:c>
      <x:c r="J1649" s="16" t="str">
        <x:v>TX</x:v>
      </x:c>
      <x:c r="K1649" s="16" t="str">
        <x:v>Austin</x:v>
      </x:c>
      <x:c r="L1649" s="16" t="str">
        <x:v>firm_business_routing</x:v>
      </x:c>
      <x:c r="M1649" s="16" t="str">
        <x:v>http://capstonelending.com</x:v>
      </x:c>
      <x:c r="N1649" s="16" t="str">
        <x:v>Published source range; proposed allocation and structure require confirmation</x:v>
      </x:c>
      <x:c r="O1649" s="20"/>
      <x:c r="P1649" s="20" t="n">
        <x:v>3000000</x:v>
      </x:c>
      <x:c r="Q1649" s="25" t="str">
        <x:v>Property-loan range, not a corporate-capital commitment</x:v>
      </x:c>
      <x:c r="R1649" s="25" t="str">
        <x:v>Private real-estate finance experience. Corporate working capital, minority equity or profit participation requires a separate agreement from a property loan.</x:v>
      </x:c>
      <x:c r="S1649" s="25"/>
      <x:c r="T1649" s="25" t="str">
        <x:v>Confirm direct principal versus broker, $100K-$500K appetite, and whether capital can fund the operating company without a property mortgage.</x:v>
      </x:c>
      <x:c r="U1649" s="25" t="str">
        <x:v>https://www.hardmoneyhome.com/lenders/view/capstone-capital-partners
https://capstonelending.com
https://www.privatelendersdirectory.com/united-states/cedar-park/top-level-category/capstone-lending
https://www.capstonelending.com/</x:v>
      </x:c>
      <x:c r="V1649" s="26" t="d">
        <x:v>2026-10-02T00:00:00.000Z</x:v>
      </x:c>
      <x:c r="W1649" s="26" t="d">
        <x:v>2026-09-30T00:00:00.000Z</x:v>
      </x:c>
      <x:c r="X1649" s="25" t="str">
        <x:v>Saved public company, industry-directory or regulatory source; source date retained</x:v>
      </x:c>
      <x:c r="Y1649" s="25" t="str">
        <x:v>https://capstonelending.com</x:v>
      </x:c>
      <x:c r="Z1649" s="25" t="str">
        <x:v>https://www.hardmoneyhome.com/lenders/view/capstone-capital-partners</x:v>
      </x:c>
      <x:c r="AA1649" s="25" t="str">
        <x:v>[]</x:v>
      </x:c>
      <x:c r="AB1649" s="3" t="str">
        <x:v>Existing CapitalForge research, newly screened for this campaign</x:v>
      </x:c>
      <x:c r="AC1649" s="3" t="str">
        <x:v>unverified</x:v>
      </x:c>
      <x:c r="AD1649" s="3" t="str">
        <x:v>Not contacted / unconfirmed</x:v>
      </x:c>
      <x:c r="AE1649" s="3" t="str">
        <x:v>No</x:v>
      </x:c>
      <x:c r="AF1649" s="3" t="str">
        <x:v>No</x:v>
      </x:c>
      <x:c r="AG1649" s="3"/>
      <x:c r="AH1649" s="3"/>
      <x:c r="AI1649" s="18"/>
      <x:c r="AJ1649" s="3" t="str">
        <x:v>CF2500-D95409B7B3A6</x:v>
      </x:c>
      <x:c r="AK1649" s="3" t="str">
        <x:v>private_real_estate_lender</x:v>
      </x:c>
      <x:c r="AL1649" s="19" t="n">
        <x:v>100000</x:v>
      </x:c>
      <x:c r="AM1649" s="19" t="n">
        <x:v>500000</x:v>
      </x:c>
      <x:c r="AN1649" s="3" t="str">
        <x:v>https://www.hardmoneyhome.com/lenders/view/capstone-capital-partners</x:v>
      </x:c>
      <x:c r="AO1649" s="3" t="str">
        <x:v>public_directory.jsonl</x:v>
      </x:c>
      <x:c r="AP1649" s="19"/>
    </x:row>
    <x:row r="1650" ht="36" customHeight="1">
      <x:c r="A1650" s="23" t="n">
        <x:v>1649</x:v>
      </x:c>
      <x:c r="B1650" s="15" t="str">
        <x:v>CMG Capital</x:v>
      </x:c>
      <x:c r="C1650" s="15"/>
      <x:c r="D1650" s="15" t="str">
        <x:v>Property lender or directory member; operating-company capital unconfirmed</x:v>
      </x:c>
      <x:c r="E1650" s="15" t="str">
        <x:v>Property lender / private-money inquiry</x:v>
      </x:c>
      <x:c r="F1650" s="17" t="str">
        <x:v>New</x:v>
      </x:c>
      <x:c r="G1650" s="24" t="str">
        <x:v>info@cmgcapital.com</x:v>
      </x:c>
      <x:c r="H1650" s="24" t="str">
        <x:v>+13054551800</x:v>
      </x:c>
      <x:c r="I1650" s="24" t="str">
        <x:v>https://www.cmgcapital.com</x:v>
      </x:c>
      <x:c r="J1650" s="16" t="str">
        <x:v>FL</x:v>
      </x:c>
      <x:c r="K1650" s="16" t="str">
        <x:v>Miami</x:v>
      </x:c>
      <x:c r="L1650" s="16" t="str">
        <x:v>firm_business_routing</x:v>
      </x:c>
      <x:c r="M1650" s="16" t="str">
        <x:v>https://www.cmgcapital.com</x:v>
      </x:c>
      <x:c r="N1650" s="16" t="str">
        <x:v>Published source range; proposed allocation and structure require confirmation</x:v>
      </x:c>
      <x:c r="O1650" s="20"/>
      <x:c r="P1650" s="20" t="n">
        <x:v>10000000</x:v>
      </x:c>
      <x:c r="Q1650" s="25" t="str">
        <x:v>Property-loan range, not a corporate-capital commitment</x:v>
      </x:c>
      <x:c r="R1650" s="25" t="str">
        <x:v>Private real-estate finance experience. Corporate working capital, minority equity or profit participation requires a separate agreement from a property loan.</x:v>
      </x:c>
      <x:c r="S1650" s="25"/>
      <x:c r="T1650" s="25" t="str">
        <x:v>Confirm direct principal versus broker, $100K-$500K appetite, and whether capital can fund the operating company without a property mortgage.</x:v>
      </x:c>
      <x:c r="U1650" s="25" t="str">
        <x:v>https://www.hardmoneyhome.com/lenders/view/cmg-capital
https://www.cmgcapital.com</x:v>
      </x:c>
      <x:c r="V1650" s="26" t="d">
        <x:v>2026-10-02T00:00:00.000Z</x:v>
      </x:c>
      <x:c r="W1650" s="26" t="d">
        <x:v>2026-09-30T00:00:00.000Z</x:v>
      </x:c>
      <x:c r="X1650" s="25" t="str">
        <x:v>Saved public company, industry-directory or regulatory source; source date retained</x:v>
      </x:c>
      <x:c r="Y1650" s="25" t="str">
        <x:v>https://www.cmgcapital.com</x:v>
      </x:c>
      <x:c r="Z1650" s="25" t="str">
        <x:v>https://www.cmgcapital.com</x:v>
      </x:c>
      <x:c r="AA1650" s="25" t="str">
        <x:v>[]</x:v>
      </x:c>
      <x:c r="AB1650" s="3" t="str">
        <x:v>Existing CapitalForge research, newly screened for this campaign</x:v>
      </x:c>
      <x:c r="AC1650" s="3" t="str">
        <x:v>unverified</x:v>
      </x:c>
      <x:c r="AD1650" s="3" t="str">
        <x:v>Not contacted / unconfirmed</x:v>
      </x:c>
      <x:c r="AE1650" s="3" t="str">
        <x:v>No</x:v>
      </x:c>
      <x:c r="AF1650" s="3" t="str">
        <x:v>No</x:v>
      </x:c>
      <x:c r="AG1650" s="3"/>
      <x:c r="AH1650" s="3"/>
      <x:c r="AI1650" s="18"/>
      <x:c r="AJ1650" s="3" t="str">
        <x:v>CF2500-3B54C02C036B</x:v>
      </x:c>
      <x:c r="AK1650" s="3" t="str">
        <x:v>private_real_estate_lender</x:v>
      </x:c>
      <x:c r="AL1650" s="19" t="n">
        <x:v>100000</x:v>
      </x:c>
      <x:c r="AM1650" s="19" t="n">
        <x:v>500000</x:v>
      </x:c>
      <x:c r="AN1650" s="3" t="str">
        <x:v>https://www.hardmoneyhome.com/lenders/view/cmg-capital</x:v>
      </x:c>
      <x:c r="AO1650" s="3" t="str">
        <x:v>public_directory.jsonl</x:v>
      </x:c>
      <x:c r="AP1650" s="19"/>
    </x:row>
    <x:row r="1651" ht="36" customHeight="1">
      <x:c r="A1651" s="23" t="n">
        <x:v>1650</x:v>
      </x:c>
      <x:c r="B1651" s="15" t="str">
        <x:v>Corridor Funding</x:v>
      </x:c>
      <x:c r="C1651" s="15"/>
      <x:c r="D1651" s="15" t="str">
        <x:v>Property lender or directory member; operating-company capital unconfirmed</x:v>
      </x:c>
      <x:c r="E1651" s="15" t="str">
        <x:v>Property lender / private-money inquiry</x:v>
      </x:c>
      <x:c r="F1651" s="17" t="str">
        <x:v>New</x:v>
      </x:c>
      <x:c r="G1651" s="24" t="str">
        <x:v>info@corridorfunding.com</x:v>
      </x:c>
      <x:c r="H1651" s="24" t="str">
        <x:v>+15128171511</x:v>
      </x:c>
      <x:c r="I1651" s="24" t="str">
        <x:v>http://www.corridorfunding.com</x:v>
      </x:c>
      <x:c r="J1651" s="16" t="str">
        <x:v>TX</x:v>
      </x:c>
      <x:c r="K1651" s="16" t="str">
        <x:v>New Braunfels</x:v>
      </x:c>
      <x:c r="L1651" s="16" t="str">
        <x:v>firm_business_routing</x:v>
      </x:c>
      <x:c r="M1651" s="16" t="str">
        <x:v>http://www.corridorfunding.com</x:v>
      </x:c>
      <x:c r="N1651" s="16" t="str">
        <x:v>Published source range; proposed allocation and structure require confirmation</x:v>
      </x:c>
      <x:c r="O1651" s="20"/>
      <x:c r="P1651" s="20" t="n">
        <x:v>6000000</x:v>
      </x:c>
      <x:c r="Q1651" s="25" t="str">
        <x:v>Property-loan range, not a corporate-capital commitment</x:v>
      </x:c>
      <x:c r="R1651" s="25" t="str">
        <x:v>Private real-estate finance experience. Corporate working capital, minority equity or profit participation requires a separate agreement from a property loan.</x:v>
      </x:c>
      <x:c r="S1651" s="25"/>
      <x:c r="T1651" s="25" t="str">
        <x:v>Confirm direct principal versus broker, $100K-$500K appetite, and whether capital can fund the operating company without a property mortgage.</x:v>
      </x:c>
      <x:c r="U1651" s="25" t="str">
        <x:v>https://www.hardmoneyhome.com/lenders/view/corridor-funding
https://privatelenderlink.com/profile/corridor-funding/
https://nplaconference.com/private-lending-directory/page/5/
https://corridorfunding.com/contact/
https://www.privatelendersdirectory.com/united-states/spring-branch/top-level-category/corridor-funding
https://corridorfunding.com/</x:v>
      </x:c>
      <x:c r="V1651" s="26" t="d">
        <x:v>2026-10-02T00:00:00.000Z</x:v>
      </x:c>
      <x:c r="W1651" s="26" t="d">
        <x:v>2026-09-30T00:00:00.000Z</x:v>
      </x:c>
      <x:c r="X1651" s="25" t="str">
        <x:v>Saved public company, industry-directory or regulatory source; source date retained</x:v>
      </x:c>
      <x:c r="Y1651" s="25" t="str">
        <x:v>https://privatelenderlink.com/profile/corridor-funding/</x:v>
      </x:c>
      <x:c r="Z1651" s="25" t="str">
        <x:v>https://www.hardmoneyhome.com/lenders/view/corridor-funding</x:v>
      </x:c>
      <x:c r="AA1651" s="25" t="str">
        <x:v>[]</x:v>
      </x:c>
      <x:c r="AB1651" s="3" t="str">
        <x:v>Existing CapitalForge research, newly screened for this campaign</x:v>
      </x:c>
      <x:c r="AC1651" s="3" t="str">
        <x:v>unverified</x:v>
      </x:c>
      <x:c r="AD1651" s="3" t="str">
        <x:v>Not contacted / unconfirmed</x:v>
      </x:c>
      <x:c r="AE1651" s="3" t="str">
        <x:v>No</x:v>
      </x:c>
      <x:c r="AF1651" s="3" t="str">
        <x:v>No</x:v>
      </x:c>
      <x:c r="AG1651" s="3"/>
      <x:c r="AH1651" s="3"/>
      <x:c r="AI1651" s="18"/>
      <x:c r="AJ1651" s="3" t="str">
        <x:v>CF2500-51BCD5835968</x:v>
      </x:c>
      <x:c r="AK1651" s="3" t="str">
        <x:v>private_real_estate_lender</x:v>
      </x:c>
      <x:c r="AL1651" s="19" t="n">
        <x:v>100000</x:v>
      </x:c>
      <x:c r="AM1651" s="19" t="n">
        <x:v>500000</x:v>
      </x:c>
      <x:c r="AN1651" s="3" t="str">
        <x:v>https://www.hardmoneyhome.com/lenders/view/corridor-funding</x:v>
      </x:c>
      <x:c r="AO1651" s="3" t="str">
        <x:v>public_directory.jsonl</x:v>
      </x:c>
      <x:c r="AP1651" s="19"/>
    </x:row>
    <x:row r="1652" ht="36" customHeight="1">
      <x:c r="A1652" s="23" t="n">
        <x:v>1651</x:v>
      </x:c>
      <x:c r="B1652" s="15" t="str">
        <x:v>CR Lending</x:v>
      </x:c>
      <x:c r="C1652" s="15"/>
      <x:c r="D1652" s="15" t="str">
        <x:v>Property lender or directory member; operating-company capital unconfirmed</x:v>
      </x:c>
      <x:c r="E1652" s="15" t="str">
        <x:v>Property lender / private-money inquiry</x:v>
      </x:c>
      <x:c r="F1652" s="17" t="str">
        <x:v>New</x:v>
      </x:c>
      <x:c r="G1652" s="24" t="str">
        <x:v>brentconrad123@gmail.com</x:v>
      </x:c>
      <x:c r="H1652" s="24" t="str">
        <x:v>+12149125539</x:v>
      </x:c>
      <x:c r="I1652" s="24" t="str">
        <x:v>http://www.crlend.com/</x:v>
      </x:c>
      <x:c r="J1652" s="16" t="str">
        <x:v>TX</x:v>
      </x:c>
      <x:c r="K1652" s="16" t="str">
        <x:v>Prosper</x:v>
      </x:c>
      <x:c r="L1652" s="16" t="str">
        <x:v>firm_business_routing</x:v>
      </x:c>
      <x:c r="M1652" s="16" t="str">
        <x:v>http://www.crlend.com/</x:v>
      </x:c>
      <x:c r="N1652" s="16" t="str">
        <x:v>Published source range; proposed allocation and structure require confirmation</x:v>
      </x:c>
      <x:c r="O1652" s="20"/>
      <x:c r="P1652" s="20" t="n">
        <x:v>5000000</x:v>
      </x:c>
      <x:c r="Q1652" s="25" t="str">
        <x:v>Property-loan range, not a corporate-capital commitment</x:v>
      </x:c>
      <x:c r="R1652" s="25" t="str">
        <x:v>Private real-estate finance experience. Corporate working capital, minority equity or profit participation requires a separate agreement from a property loan.</x:v>
      </x:c>
      <x:c r="S1652" s="25"/>
      <x:c r="T1652" s="25" t="str">
        <x:v>Confirm direct principal versus broker, $100K-$500K appetite, and whether capital can fund the operating company without a property mortgage.</x:v>
      </x:c>
      <x:c r="U1652" s="25" t="str">
        <x:v>https://www.hardmoneyhome.com/lenders/view/cr-lending
https://privatelenderlink.com/profile/cr-lending/</x:v>
      </x:c>
      <x:c r="V1652" s="26" t="d">
        <x:v>2026-10-02T00:00:00.000Z</x:v>
      </x:c>
      <x:c r="W1652" s="26" t="d">
        <x:v>2026-09-30T00:00:00.000Z</x:v>
      </x:c>
      <x:c r="X1652" s="25" t="str">
        <x:v>Saved public company, industry-directory or regulatory source; source date retained</x:v>
      </x:c>
      <x:c r="Y1652" s="25" t="str">
        <x:v>https://privatelenderlink.com/profile/cr-lending/</x:v>
      </x:c>
      <x:c r="Z1652" s="25" t="str">
        <x:v>https://www.hardmoneyhome.com/lenders/view/cr-lending</x:v>
      </x:c>
      <x:c r="AA1652" s="25" t="str">
        <x:v>[]</x:v>
      </x:c>
      <x:c r="AB1652" s="3" t="str">
        <x:v>Existing CapitalForge research, newly screened for this campaign</x:v>
      </x:c>
      <x:c r="AC1652" s="3" t="str">
        <x:v>unverified</x:v>
      </x:c>
      <x:c r="AD1652" s="3" t="str">
        <x:v>Not contacted / unconfirmed</x:v>
      </x:c>
      <x:c r="AE1652" s="3" t="str">
        <x:v>No</x:v>
      </x:c>
      <x:c r="AF1652" s="3" t="str">
        <x:v>No</x:v>
      </x:c>
      <x:c r="AG1652" s="3"/>
      <x:c r="AH1652" s="3"/>
      <x:c r="AI1652" s="18"/>
      <x:c r="AJ1652" s="3" t="str">
        <x:v>CF2500-20CB0F1AE0F5</x:v>
      </x:c>
      <x:c r="AK1652" s="3" t="str">
        <x:v>private_real_estate_lender</x:v>
      </x:c>
      <x:c r="AL1652" s="19" t="n">
        <x:v>100000</x:v>
      </x:c>
      <x:c r="AM1652" s="19" t="n">
        <x:v>500000</x:v>
      </x:c>
      <x:c r="AN1652" s="3" t="str">
        <x:v>https://www.hardmoneyhome.com/lenders/view/cr-lending</x:v>
      </x:c>
      <x:c r="AO1652" s="3" t="str">
        <x:v>public_directory.jsonl</x:v>
      </x:c>
      <x:c r="AP1652" s="19"/>
    </x:row>
    <x:row r="1653" ht="36" customHeight="1">
      <x:c r="A1653" s="23" t="n">
        <x:v>1652</x:v>
      </x:c>
      <x:c r="B1653" s="15" t="str">
        <x:v>Delta 8 Capital</x:v>
      </x:c>
      <x:c r="C1653" s="15"/>
      <x:c r="D1653" s="15" t="str">
        <x:v>Property lender or directory member; operating-company capital unconfirmed</x:v>
      </x:c>
      <x:c r="E1653" s="15" t="str">
        <x:v>Property lender / private-money inquiry</x:v>
      </x:c>
      <x:c r="F1653" s="17" t="str">
        <x:v>New</x:v>
      </x:c>
      <x:c r="G1653" s="24" t="str">
        <x:v>carolyn@delta8properties.com</x:v>
      </x:c>
      <x:c r="H1653" s="24" t="str">
        <x:v>+14699646837</x:v>
      </x:c>
      <x:c r="I1653" s="24" t="str">
        <x:v>http://www.delta8properties.com</x:v>
      </x:c>
      <x:c r="J1653" s="16" t="str">
        <x:v>TX</x:v>
      </x:c>
      <x:c r="K1653" s="16" t="str">
        <x:v>North Richland Hills</x:v>
      </x:c>
      <x:c r="L1653" s="16" t="str">
        <x:v>firm_business_routing</x:v>
      </x:c>
      <x:c r="M1653" s="16" t="str">
        <x:v>http://www.delta8properties.com</x:v>
      </x:c>
      <x:c r="N1653" s="16" t="str">
        <x:v>Published source range; proposed allocation and structure require confirmation</x:v>
      </x:c>
      <x:c r="O1653" s="20"/>
      <x:c r="P1653" s="20" t="n">
        <x:v>2500000</x:v>
      </x:c>
      <x:c r="Q1653" s="25" t="str">
        <x:v>Property-loan range, not a corporate-capital commitment</x:v>
      </x:c>
      <x:c r="R1653" s="25" t="str">
        <x:v>Private real-estate finance experience. Corporate working capital, minority equity or profit participation requires a separate agreement from a property loan.</x:v>
      </x:c>
      <x:c r="S1653" s="25"/>
      <x:c r="T1653" s="25" t="str">
        <x:v>Confirm direct principal versus broker, $100K-$500K appetite, and whether capital can fund the operating company without a property mortgage.</x:v>
      </x:c>
      <x:c r="U1653" s="25" t="str">
        <x:v>https://www.hardmoneyhome.com/lenders/view/delta-8-capital
https://www.delta8properties.com</x:v>
      </x:c>
      <x:c r="V1653" s="26" t="d">
        <x:v>2026-10-02T00:00:00.000Z</x:v>
      </x:c>
      <x:c r="W1653" s="26" t="d">
        <x:v>2026-09-30T00:00:00.000Z</x:v>
      </x:c>
      <x:c r="X1653" s="25" t="str">
        <x:v>Saved public company, industry-directory or regulatory source; source date retained</x:v>
      </x:c>
      <x:c r="Y1653" s="25" t="str">
        <x:v>https://www.delta8properties.com</x:v>
      </x:c>
      <x:c r="Z1653" s="25" t="str">
        <x:v>https://www.hardmoneyhome.com/lenders/view/delta-8-capital</x:v>
      </x:c>
      <x:c r="AA1653" s="25" t="str">
        <x:v>[]</x:v>
      </x:c>
      <x:c r="AB1653" s="3" t="str">
        <x:v>Existing CapitalForge research, newly screened for this campaign</x:v>
      </x:c>
      <x:c r="AC1653" s="3" t="str">
        <x:v>unverified</x:v>
      </x:c>
      <x:c r="AD1653" s="3" t="str">
        <x:v>Not contacted / unconfirmed</x:v>
      </x:c>
      <x:c r="AE1653" s="3" t="str">
        <x:v>No</x:v>
      </x:c>
      <x:c r="AF1653" s="3" t="str">
        <x:v>No</x:v>
      </x:c>
      <x:c r="AG1653" s="3"/>
      <x:c r="AH1653" s="3"/>
      <x:c r="AI1653" s="18"/>
      <x:c r="AJ1653" s="3" t="str">
        <x:v>CF2500-8125116E8B90</x:v>
      </x:c>
      <x:c r="AK1653" s="3" t="str">
        <x:v>private_real_estate_lender</x:v>
      </x:c>
      <x:c r="AL1653" s="19" t="n">
        <x:v>100000</x:v>
      </x:c>
      <x:c r="AM1653" s="19" t="n">
        <x:v>500000</x:v>
      </x:c>
      <x:c r="AN1653" s="3" t="str">
        <x:v>https://www.hardmoneyhome.com/lenders/view/delta-8-capital</x:v>
      </x:c>
      <x:c r="AO1653" s="3" t="str">
        <x:v>public_directory.jsonl</x:v>
      </x:c>
      <x:c r="AP1653" s="19"/>
    </x:row>
    <x:row r="1654" ht="36" customHeight="1">
      <x:c r="A1654" s="23" t="n">
        <x:v>1653</x:v>
      </x:c>
      <x:c r="B1654" s="15" t="str">
        <x:v>DFW Hard Money</x:v>
      </x:c>
      <x:c r="C1654" s="15"/>
      <x:c r="D1654" s="15" t="str">
        <x:v>Property lender or directory member; operating-company capital unconfirmed</x:v>
      </x:c>
      <x:c r="E1654" s="15" t="str">
        <x:v>Property lender / private-money inquiry</x:v>
      </x:c>
      <x:c r="F1654" s="17" t="str">
        <x:v>New</x:v>
      </x:c>
      <x:c r="G1654" s="24" t="str">
        <x:v>info@dfw-hardmoney.com</x:v>
      </x:c>
      <x:c r="H1654" s="24" t="str">
        <x:v>+18172007575</x:v>
      </x:c>
      <x:c r="I1654" s="24" t="str">
        <x:v>http://www.dfw-hardmoney.com</x:v>
      </x:c>
      <x:c r="J1654" s="16" t="str">
        <x:v>TX</x:v>
      </x:c>
      <x:c r="K1654" s="16" t="str">
        <x:v>Fort Worth</x:v>
      </x:c>
      <x:c r="L1654" s="16" t="str">
        <x:v>firm_business_routing</x:v>
      </x:c>
      <x:c r="M1654" s="16" t="str">
        <x:v>http://www.dfw-hardmoney.com</x:v>
      </x:c>
      <x:c r="N1654" s="16" t="str">
        <x:v>Published source range; proposed allocation and structure require confirmation</x:v>
      </x:c>
      <x:c r="O1654" s="20"/>
      <x:c r="P1654" s="20" t="n">
        <x:v>400000</x:v>
      </x:c>
      <x:c r="Q1654" s="25" t="str">
        <x:v>Property-loan range, not a corporate-capital commitment</x:v>
      </x:c>
      <x:c r="R1654" s="25" t="str">
        <x:v>Private real-estate finance experience. Corporate working capital, minority equity or profit participation requires a separate agreement from a property loan.</x:v>
      </x:c>
      <x:c r="S1654" s="25"/>
      <x:c r="T1654" s="25" t="str">
        <x:v>Confirm direct principal versus broker, $100K-$500K appetite, and whether capital can fund the operating company without a property mortgage.</x:v>
      </x:c>
      <x:c r="U1654" s="25" t="str">
        <x:v>https://www.hardmoneyhome.com/lenders/view/dfw-hard-money
https://www.dfw-hardmoney.com
https://www.privatelendersdirectory.com/united-states/arlington/top-level-category/dfw-hard-money</x:v>
      </x:c>
      <x:c r="V1654" s="26" t="d">
        <x:v>2026-10-02T00:00:00.000Z</x:v>
      </x:c>
      <x:c r="W1654" s="26" t="d">
        <x:v>2026-09-30T00:00:00.000Z</x:v>
      </x:c>
      <x:c r="X1654" s="25" t="str">
        <x:v>Saved public company, industry-directory or regulatory source; source date retained</x:v>
      </x:c>
      <x:c r="Y1654" s="25" t="str">
        <x:v>https://www.dfw-hardmoney.com</x:v>
      </x:c>
      <x:c r="Z1654" s="25" t="str">
        <x:v>https://www.dfw-hardmoney.com</x:v>
      </x:c>
      <x:c r="AA1654" s="25" t="str">
        <x:v>[]</x:v>
      </x:c>
      <x:c r="AB1654" s="3" t="str">
        <x:v>Existing CapitalForge research, newly screened for this campaign</x:v>
      </x:c>
      <x:c r="AC1654" s="3" t="str">
        <x:v>unverified</x:v>
      </x:c>
      <x:c r="AD1654" s="3" t="str">
        <x:v>Not contacted / unconfirmed</x:v>
      </x:c>
      <x:c r="AE1654" s="3" t="str">
        <x:v>No</x:v>
      </x:c>
      <x:c r="AF1654" s="3" t="str">
        <x:v>No</x:v>
      </x:c>
      <x:c r="AG1654" s="3"/>
      <x:c r="AH1654" s="3"/>
      <x:c r="AI1654" s="18"/>
      <x:c r="AJ1654" s="3" t="str">
        <x:v>CF2500-9DCA01E66C5D</x:v>
      </x:c>
      <x:c r="AK1654" s="3" t="str">
        <x:v>private_real_estate_lender</x:v>
      </x:c>
      <x:c r="AL1654" s="19" t="n">
        <x:v>100000</x:v>
      </x:c>
      <x:c r="AM1654" s="19" t="n">
        <x:v>500000</x:v>
      </x:c>
      <x:c r="AN1654" s="3" t="str">
        <x:v>https://www.hardmoneyhome.com/lenders/view/dfw-hard-money</x:v>
      </x:c>
      <x:c r="AO1654" s="3" t="str">
        <x:v>public_directory.jsonl</x:v>
      </x:c>
      <x:c r="AP1654" s="19"/>
    </x:row>
    <x:row r="1655" ht="36" customHeight="1">
      <x:c r="A1655" s="23" t="n">
        <x:v>1654</x:v>
      </x:c>
      <x:c r="B1655" s="15" t="str">
        <x:v>Easy Street Capital</x:v>
      </x:c>
      <x:c r="C1655" s="15"/>
      <x:c r="D1655" s="15" t="str">
        <x:v>Property lender or directory member; operating-company capital unconfirmed</x:v>
      </x:c>
      <x:c r="E1655" s="15" t="str">
        <x:v>Property lender / private-money inquiry</x:v>
      </x:c>
      <x:c r="F1655" s="17" t="str">
        <x:v>New</x:v>
      </x:c>
      <x:c r="G1655" s="24" t="str">
        <x:v>jamie@easystreetcap.com</x:v>
      </x:c>
      <x:c r="H1655" s="24" t="str">
        <x:v>+15122710941</x:v>
      </x:c>
      <x:c r="I1655" s="24" t="str">
        <x:v>http://www.easystreetcap.com/</x:v>
      </x:c>
      <x:c r="J1655" s="16" t="str">
        <x:v>TX</x:v>
      </x:c>
      <x:c r="K1655" s="16" t="str">
        <x:v>Austin</x:v>
      </x:c>
      <x:c r="L1655" s="16" t="str">
        <x:v>firm_business_routing</x:v>
      </x:c>
      <x:c r="M1655" s="16" t="str">
        <x:v>http://www.easystreetcap.com/</x:v>
      </x:c>
      <x:c r="N1655" s="16" t="str">
        <x:v>Published source range; proposed allocation and structure require confirmation</x:v>
      </x:c>
      <x:c r="O1655" s="20"/>
      <x:c r="P1655" s="20" t="n">
        <x:v>10000000</x:v>
      </x:c>
      <x:c r="Q1655" s="25" t="str">
        <x:v>Property-loan range, not a corporate-capital commitment</x:v>
      </x:c>
      <x:c r="R1655" s="25" t="str">
        <x:v>Private real-estate finance experience. Corporate working capital, minority equity or profit participation requires a separate agreement from a property loan.</x:v>
      </x:c>
      <x:c r="S1655" s="25"/>
      <x:c r="T1655" s="25" t="str">
        <x:v>Confirm direct principal versus broker, $100K-$500K appetite, and whether capital can fund the operating company without a property mortgage.</x:v>
      </x:c>
      <x:c r="U1655" s="25" t="str">
        <x:v>https://www.hardmoneyhome.com/lenders/view/easy-street-capital
https://privatelenderlink.com/profile/easy-street-capital/</x:v>
      </x:c>
      <x:c r="V1655" s="26" t="d">
        <x:v>2026-10-02T00:00:00.000Z</x:v>
      </x:c>
      <x:c r="W1655" s="26" t="d">
        <x:v>2026-09-30T00:00:00.000Z</x:v>
      </x:c>
      <x:c r="X1655" s="25" t="str">
        <x:v>Saved public company, industry-directory or regulatory source; source date retained</x:v>
      </x:c>
      <x:c r="Y1655" s="25" t="str">
        <x:v>https://privatelenderlink.com/profile/easy-street-capital/</x:v>
      </x:c>
      <x:c r="Z1655" s="25" t="str">
        <x:v>https://www.hardmoneyhome.com/lenders/view/easy-street-capital</x:v>
      </x:c>
      <x:c r="AA1655" s="25" t="str">
        <x:v>[]</x:v>
      </x:c>
      <x:c r="AB1655" s="3" t="str">
        <x:v>Existing CapitalForge research, newly screened for this campaign</x:v>
      </x:c>
      <x:c r="AC1655" s="3" t="str">
        <x:v>unverified</x:v>
      </x:c>
      <x:c r="AD1655" s="3" t="str">
        <x:v>Not contacted / unconfirmed</x:v>
      </x:c>
      <x:c r="AE1655" s="3" t="str">
        <x:v>No</x:v>
      </x:c>
      <x:c r="AF1655" s="3" t="str">
        <x:v>No</x:v>
      </x:c>
      <x:c r="AG1655" s="3"/>
      <x:c r="AH1655" s="3"/>
      <x:c r="AI1655" s="18"/>
      <x:c r="AJ1655" s="3" t="str">
        <x:v>CF2500-8857FA5A943F</x:v>
      </x:c>
      <x:c r="AK1655" s="3" t="str">
        <x:v>private_real_estate_lender</x:v>
      </x:c>
      <x:c r="AL1655" s="19" t="n">
        <x:v>100000</x:v>
      </x:c>
      <x:c r="AM1655" s="19" t="n">
        <x:v>500000</x:v>
      </x:c>
      <x:c r="AN1655" s="3" t="str">
        <x:v>https://www.hardmoneyhome.com/lenders/view/easy-street-capital</x:v>
      </x:c>
      <x:c r="AO1655" s="3" t="str">
        <x:v>public_directory.jsonl</x:v>
      </x:c>
      <x:c r="AP1655" s="19"/>
    </x:row>
    <x:row r="1656" ht="36" customHeight="1">
      <x:c r="A1656" s="23" t="n">
        <x:v>1655</x:v>
      </x:c>
      <x:c r="B1656" s="15" t="str">
        <x:v>Entrust Equity Funding</x:v>
      </x:c>
      <x:c r="C1656" s="15"/>
      <x:c r="D1656" s="15" t="str">
        <x:v>Property lender or directory member; operating-company capital unconfirmed</x:v>
      </x:c>
      <x:c r="E1656" s="15" t="str">
        <x:v>Property lender / private-money inquiry</x:v>
      </x:c>
      <x:c r="F1656" s="17" t="str">
        <x:v>New</x:v>
      </x:c>
      <x:c r="G1656" s="24" t="str">
        <x:v>marco@entrustequityfunding.com</x:v>
      </x:c>
      <x:c r="H1656" s="24" t="str">
        <x:v>+12105495777</x:v>
      </x:c>
      <x:c r="I1656" s="24" t="str">
        <x:v>http://www.entrustequityfunding.com/</x:v>
      </x:c>
      <x:c r="J1656" s="16" t="str">
        <x:v>TX</x:v>
      </x:c>
      <x:c r="K1656" s="16" t="str">
        <x:v>San Antonio</x:v>
      </x:c>
      <x:c r="L1656" s="16" t="str">
        <x:v>firm_business_routing</x:v>
      </x:c>
      <x:c r="M1656" s="16" t="str">
        <x:v>http://www.entrustequityfunding.com/</x:v>
      </x:c>
      <x:c r="N1656" s="16" t="str">
        <x:v>Published source range; proposed allocation and structure require confirmation</x:v>
      </x:c>
      <x:c r="O1656" s="20"/>
      <x:c r="P1656" s="20" t="n">
        <x:v>2000000</x:v>
      </x:c>
      <x:c r="Q1656" s="25" t="str">
        <x:v>Property-loan range, not a corporate-capital commitment</x:v>
      </x:c>
      <x:c r="R1656" s="25" t="str">
        <x:v>Private real-estate finance experience. Corporate working capital, minority equity or profit participation requires a separate agreement from a property loan.</x:v>
      </x:c>
      <x:c r="S1656" s="25"/>
      <x:c r="T1656" s="25" t="str">
        <x:v>Confirm direct principal versus broker, $100K-$500K appetite, and whether capital can fund the operating company without a property mortgage.</x:v>
      </x:c>
      <x:c r="U1656" s="25" t="str">
        <x:v>https://www.hardmoneyhome.com/lenders/view/entrust-equity-funding
https://www.entrustequityfunding.com/</x:v>
      </x:c>
      <x:c r="V1656" s="26" t="d">
        <x:v>2026-10-02T00:00:00.000Z</x:v>
      </x:c>
      <x:c r="W1656" s="26" t="d">
        <x:v>2026-09-30T00:00:00.000Z</x:v>
      </x:c>
      <x:c r="X1656" s="25" t="str">
        <x:v>Saved public company, industry-directory or regulatory source; source date retained</x:v>
      </x:c>
      <x:c r="Y1656" s="25" t="str">
        <x:v>https://www.entrustequityfunding.com/</x:v>
      </x:c>
      <x:c r="Z1656" s="25" t="str">
        <x:v>https://www.hardmoneyhome.com/lenders/view/entrust-equity-funding</x:v>
      </x:c>
      <x:c r="AA1656" s="25" t="str">
        <x:v>[]</x:v>
      </x:c>
      <x:c r="AB1656" s="3" t="str">
        <x:v>Existing CapitalForge research, newly screened for this campaign</x:v>
      </x:c>
      <x:c r="AC1656" s="3" t="str">
        <x:v>unverified</x:v>
      </x:c>
      <x:c r="AD1656" s="3" t="str">
        <x:v>Not contacted / unconfirmed</x:v>
      </x:c>
      <x:c r="AE1656" s="3" t="str">
        <x:v>No</x:v>
      </x:c>
      <x:c r="AF1656" s="3" t="str">
        <x:v>No</x:v>
      </x:c>
      <x:c r="AG1656" s="3"/>
      <x:c r="AH1656" s="3"/>
      <x:c r="AI1656" s="18"/>
      <x:c r="AJ1656" s="3" t="str">
        <x:v>CF2500-F92B555EC821</x:v>
      </x:c>
      <x:c r="AK1656" s="3" t="str">
        <x:v>private_real_estate_lender</x:v>
      </x:c>
      <x:c r="AL1656" s="19" t="n">
        <x:v>100000</x:v>
      </x:c>
      <x:c r="AM1656" s="19" t="n">
        <x:v>500000</x:v>
      </x:c>
      <x:c r="AN1656" s="3" t="str">
        <x:v>https://www.hardmoneyhome.com/lenders/view/entrust-equity-funding</x:v>
      </x:c>
      <x:c r="AO1656" s="3" t="str">
        <x:v>public_directory.jsonl</x:v>
      </x:c>
      <x:c r="AP1656" s="19"/>
    </x:row>
    <x:row r="1657" ht="36" customHeight="1">
      <x:c r="A1657" s="23" t="n">
        <x:v>1656</x:v>
      </x:c>
      <x:c r="B1657" s="15" t="str">
        <x:v>FBC Funding</x:v>
      </x:c>
      <x:c r="C1657" s="15"/>
      <x:c r="D1657" s="15" t="str">
        <x:v>Property lender or directory member; operating-company capital unconfirmed</x:v>
      </x:c>
      <x:c r="E1657" s="15" t="str">
        <x:v>Property lender / private-money inquiry</x:v>
      </x:c>
      <x:c r="F1657" s="17" t="str">
        <x:v>New</x:v>
      </x:c>
      <x:c r="G1657" s="24" t="str">
        <x:v>louisj@fbcfunding.com</x:v>
      </x:c>
      <x:c r="H1657" s="24" t="str">
        <x:v>+18888483114</x:v>
      </x:c>
      <x:c r="I1657" s="24" t="str">
        <x:v>http://www.rehablender.net/</x:v>
      </x:c>
      <x:c r="J1657" s="16" t="str">
        <x:v>IL</x:v>
      </x:c>
      <x:c r="K1657" s="16" t="str">
        <x:v>South Holland</x:v>
      </x:c>
      <x:c r="L1657" s="16" t="str">
        <x:v>firm_business_routing</x:v>
      </x:c>
      <x:c r="M1657" s="16" t="str">
        <x:v>http://www.rehablender.net/</x:v>
      </x:c>
      <x:c r="N1657" s="16" t="str">
        <x:v>Published source range; proposed allocation and structure require confirmation</x:v>
      </x:c>
      <x:c r="O1657" s="20"/>
      <x:c r="P1657" s="20" t="n">
        <x:v>1500000</x:v>
      </x:c>
      <x:c r="Q1657" s="25" t="str">
        <x:v>Property-loan range, not a corporate-capital commitment</x:v>
      </x:c>
      <x:c r="R1657" s="25" t="str">
        <x:v>Private real-estate finance experience. Corporate working capital, minority equity or profit participation requires a separate agreement from a property loan.</x:v>
      </x:c>
      <x:c r="S1657" s="25"/>
      <x:c r="T1657" s="25" t="str">
        <x:v>Confirm direct principal versus broker, $100K-$500K appetite, and whether capital can fund the operating company without a property mortgage.</x:v>
      </x:c>
      <x:c r="U1657" s="25" t="str">
        <x:v>https://www.hardmoneyhome.com/lenders/view/fbc-funding
https://www.rehablender.net/
https://privatelenderlink.com/profile/fbc-funding/
https://www.privatelendersdirectory.com/illinois/chicago/top-level-category/fbc-funding-llc</x:v>
      </x:c>
      <x:c r="V1657" s="26" t="d">
        <x:v>2026-10-02T00:00:00.000Z</x:v>
      </x:c>
      <x:c r="W1657" s="26" t="d">
        <x:v>2026-09-30T00:00:00.000Z</x:v>
      </x:c>
      <x:c r="X1657" s="25" t="str">
        <x:v>Saved public company, industry-directory or regulatory source; source date retained</x:v>
      </x:c>
      <x:c r="Y1657" s="25" t="str">
        <x:v>https://privatelenderlink.com/profile/fbc-funding/</x:v>
      </x:c>
      <x:c r="Z1657" s="25" t="str">
        <x:v>https://www.rehablender.net/</x:v>
      </x:c>
      <x:c r="AA1657" s="25" t="str">
        <x:v>[]</x:v>
      </x:c>
      <x:c r="AB1657" s="3" t="str">
        <x:v>Existing CapitalForge research, newly screened for this campaign</x:v>
      </x:c>
      <x:c r="AC1657" s="3" t="str">
        <x:v>unverified</x:v>
      </x:c>
      <x:c r="AD1657" s="3" t="str">
        <x:v>Not contacted / unconfirmed</x:v>
      </x:c>
      <x:c r="AE1657" s="3" t="str">
        <x:v>No</x:v>
      </x:c>
      <x:c r="AF1657" s="3" t="str">
        <x:v>No</x:v>
      </x:c>
      <x:c r="AG1657" s="3"/>
      <x:c r="AH1657" s="3"/>
      <x:c r="AI1657" s="18"/>
      <x:c r="AJ1657" s="3" t="str">
        <x:v>CF2500-8B5D1AD63E6A</x:v>
      </x:c>
      <x:c r="AK1657" s="3" t="str">
        <x:v>private_real_estate_lender</x:v>
      </x:c>
      <x:c r="AL1657" s="19" t="n">
        <x:v>100000</x:v>
      </x:c>
      <x:c r="AM1657" s="19" t="n">
        <x:v>500000</x:v>
      </x:c>
      <x:c r="AN1657" s="3" t="str">
        <x:v>https://www.hardmoneyhome.com/lenders/view/fbc-funding</x:v>
      </x:c>
      <x:c r="AO1657" s="3" t="str">
        <x:v>public_directory.jsonl</x:v>
      </x:c>
      <x:c r="AP1657" s="19"/>
    </x:row>
    <x:row r="1658" ht="36" customHeight="1">
      <x:c r="A1658" s="23" t="n">
        <x:v>1657</x:v>
      </x:c>
      <x:c r="B1658" s="15" t="str">
        <x:v>Gelt Financial</x:v>
      </x:c>
      <x:c r="C1658" s="15"/>
      <x:c r="D1658" s="15" t="str">
        <x:v>Property lender or directory member; operating-company capital unconfirmed</x:v>
      </x:c>
      <x:c r="E1658" s="15" t="str">
        <x:v>Property lender / private-money inquiry</x:v>
      </x:c>
      <x:c r="F1658" s="17" t="str">
        <x:v>New</x:v>
      </x:c>
      <x:c r="G1658" s="24" t="str">
        <x:v>loans@geltfinancial.com</x:v>
      </x:c>
      <x:c r="H1658" s="24" t="str">
        <x:v>+15612210900</x:v>
      </x:c>
      <x:c r="I1658" s="24" t="str">
        <x:v>https://geltfinancial.com</x:v>
      </x:c>
      <x:c r="J1658" s="16" t="str">
        <x:v>FL</x:v>
      </x:c>
      <x:c r="K1658" s="16" t="str">
        <x:v>Boca Raton</x:v>
      </x:c>
      <x:c r="L1658" s="16" t="str">
        <x:v>firm_business_routing</x:v>
      </x:c>
      <x:c r="M1658" s="16" t="str">
        <x:v>https://geltfinancial.com</x:v>
      </x:c>
      <x:c r="N1658" s="16" t="str">
        <x:v>Published source range; proposed allocation and structure require confirmation</x:v>
      </x:c>
      <x:c r="O1658" s="20"/>
      <x:c r="P1658" s="20" t="n">
        <x:v>5000000</x:v>
      </x:c>
      <x:c r="Q1658" s="25" t="str">
        <x:v>Property-loan range, not a corporate-capital commitment</x:v>
      </x:c>
      <x:c r="R1658" s="25" t="str">
        <x:v>Private real-estate finance experience. Corporate working capital, minority equity or profit participation requires a separate agreement from a property loan.</x:v>
      </x:c>
      <x:c r="S1658" s="25"/>
      <x:c r="T1658" s="25" t="str">
        <x:v>Confirm direct principal versus broker, $100K-$500K appetite, and whether capital can fund the operating company without a property mortgage.</x:v>
      </x:c>
      <x:c r="U1658" s="25" t="str">
        <x:v>https://www.hardmoneyhome.com/lenders/view/gelt-financial
https://privatelenderlink.com/profile/gelt-financial/</x:v>
      </x:c>
      <x:c r="V1658" s="26" t="d">
        <x:v>2026-10-02T00:00:00.000Z</x:v>
      </x:c>
      <x:c r="W1658" s="26" t="d">
        <x:v>2026-09-30T00:00:00.000Z</x:v>
      </x:c>
      <x:c r="X1658" s="25" t="str">
        <x:v>Saved public company, industry-directory or regulatory source; source date retained</x:v>
      </x:c>
      <x:c r="Y1658" s="25" t="str">
        <x:v>https://privatelenderlink.com/profile/gelt-financial/</x:v>
      </x:c>
      <x:c r="Z1658" s="25" t="str">
        <x:v>https://www.hardmoneyhome.com/lenders/view/gelt-financial</x:v>
      </x:c>
      <x:c r="AA1658" s="25" t="str">
        <x:v>[]</x:v>
      </x:c>
      <x:c r="AB1658" s="3" t="str">
        <x:v>Existing CapitalForge research, newly screened for this campaign</x:v>
      </x:c>
      <x:c r="AC1658" s="3" t="str">
        <x:v>unverified</x:v>
      </x:c>
      <x:c r="AD1658" s="3" t="str">
        <x:v>Not contacted / unconfirmed</x:v>
      </x:c>
      <x:c r="AE1658" s="3" t="str">
        <x:v>No</x:v>
      </x:c>
      <x:c r="AF1658" s="3" t="str">
        <x:v>No</x:v>
      </x:c>
      <x:c r="AG1658" s="3"/>
      <x:c r="AH1658" s="3"/>
      <x:c r="AI1658" s="18"/>
      <x:c r="AJ1658" s="3" t="str">
        <x:v>CF2500-2DB5723CE39E</x:v>
      </x:c>
      <x:c r="AK1658" s="3" t="str">
        <x:v>private_real_estate_lender</x:v>
      </x:c>
      <x:c r="AL1658" s="19" t="n">
        <x:v>100000</x:v>
      </x:c>
      <x:c r="AM1658" s="19" t="n">
        <x:v>500000</x:v>
      </x:c>
      <x:c r="AN1658" s="3" t="str">
        <x:v>https://www.hardmoneyhome.com/lenders/view/gelt-financial</x:v>
      </x:c>
      <x:c r="AO1658" s="3" t="str">
        <x:v>public_directory.jsonl</x:v>
      </x:c>
      <x:c r="AP1658" s="19"/>
    </x:row>
    <x:row r="1659" ht="36" customHeight="1">
      <x:c r="A1659" s="23" t="n">
        <x:v>1658</x:v>
      </x:c>
      <x:c r="B1659" s="15" t="str">
        <x:v>Great Central Mortgage Acceptance Co</x:v>
      </x:c>
      <x:c r="C1659" s="15"/>
      <x:c r="D1659" s="15" t="str">
        <x:v>Property lender or directory member; operating-company capital unconfirmed</x:v>
      </x:c>
      <x:c r="E1659" s="15" t="str">
        <x:v>Property lender / private-money inquiry</x:v>
      </x:c>
      <x:c r="F1659" s="17" t="str">
        <x:v>New</x:v>
      </x:c>
      <x:c r="G1659" s="24" t="str">
        <x:v>chris@texasequitylending.com</x:v>
      </x:c>
      <x:c r="H1659" s="24" t="str">
        <x:v>+18003338323</x:v>
      </x:c>
      <x:c r="I1659" s="24" t="str">
        <x:v>http://www.texas-hardmoney.com/</x:v>
      </x:c>
      <x:c r="J1659" s="16" t="str">
        <x:v>TX</x:v>
      </x:c>
      <x:c r="K1659" s="16" t="str">
        <x:v>San Antonio</x:v>
      </x:c>
      <x:c r="L1659" s="16" t="str">
        <x:v>firm_business_routing</x:v>
      </x:c>
      <x:c r="M1659" s="16" t="str">
        <x:v>http://www.texas-hardmoney.com/</x:v>
      </x:c>
      <x:c r="N1659" s="16" t="str">
        <x:v>Published source range; proposed allocation and structure require confirmation</x:v>
      </x:c>
      <x:c r="O1659" s="20"/>
      <x:c r="P1659" s="20" t="n">
        <x:v>2500000</x:v>
      </x:c>
      <x:c r="Q1659" s="25" t="str">
        <x:v>Property-loan range, not a corporate-capital commitment</x:v>
      </x:c>
      <x:c r="R1659" s="25" t="str">
        <x:v>Private real-estate finance experience. Corporate working capital, minority equity or profit participation requires a separate agreement from a property loan.</x:v>
      </x:c>
      <x:c r="S1659" s="25"/>
      <x:c r="T1659" s="25" t="str">
        <x:v>Confirm direct principal versus broker, $100K-$500K appetite, and whether capital can fund the operating company without a property mortgage.</x:v>
      </x:c>
      <x:c r="U1659" s="25" t="str">
        <x:v>https://www.hardmoneyhome.com/lenders/view/great-central-mortgage-acceptance-co
https://privatelenderlink.com/profile/texas-equity-lending/</x:v>
      </x:c>
      <x:c r="V1659" s="26" t="d">
        <x:v>2026-10-02T00:00:00.000Z</x:v>
      </x:c>
      <x:c r="W1659" s="26" t="d">
        <x:v>2026-09-30T00:00:00.000Z</x:v>
      </x:c>
      <x:c r="X1659" s="25" t="str">
        <x:v>Saved public company, industry-directory or regulatory source; source date retained</x:v>
      </x:c>
      <x:c r="Y1659" s="25" t="str">
        <x:v>https://privatelenderlink.com/profile/texas-equity-lending/</x:v>
      </x:c>
      <x:c r="Z1659" s="25" t="str">
        <x:v>https://www.hardmoneyhome.com/lenders/view/great-central-mortgage-acceptance-co</x:v>
      </x:c>
      <x:c r="AA1659" s="25" t="str">
        <x:v>[]</x:v>
      </x:c>
      <x:c r="AB1659" s="3" t="str">
        <x:v>Existing CapitalForge research, newly screened for this campaign</x:v>
      </x:c>
      <x:c r="AC1659" s="3" t="str">
        <x:v>unverified</x:v>
      </x:c>
      <x:c r="AD1659" s="3" t="str">
        <x:v>Not contacted / unconfirmed</x:v>
      </x:c>
      <x:c r="AE1659" s="3" t="str">
        <x:v>No</x:v>
      </x:c>
      <x:c r="AF1659" s="3" t="str">
        <x:v>No</x:v>
      </x:c>
      <x:c r="AG1659" s="3"/>
      <x:c r="AH1659" s="3"/>
      <x:c r="AI1659" s="18"/>
      <x:c r="AJ1659" s="3" t="str">
        <x:v>CF2500-ECE3B0F74C06</x:v>
      </x:c>
      <x:c r="AK1659" s="3" t="str">
        <x:v>private_real_estate_lender</x:v>
      </x:c>
      <x:c r="AL1659" s="19" t="n">
        <x:v>100000</x:v>
      </x:c>
      <x:c r="AM1659" s="19" t="n">
        <x:v>500000</x:v>
      </x:c>
      <x:c r="AN1659" s="3" t="str">
        <x:v>https://www.hardmoneyhome.com/lenders/view/great-central-mortgage-acceptance-co</x:v>
      </x:c>
      <x:c r="AO1659" s="3" t="str">
        <x:v>public_directory.jsonl</x:v>
      </x:c>
      <x:c r="AP1659" s="19"/>
    </x:row>
    <x:row r="1660" ht="36" customHeight="1">
      <x:c r="A1660" s="23" t="n">
        <x:v>1659</x:v>
      </x:c>
      <x:c r="B1660" s="15" t="str">
        <x:v>Hard Money Loan Solutions</x:v>
      </x:c>
      <x:c r="C1660" s="15"/>
      <x:c r="D1660" s="15" t="str">
        <x:v>Property lender or directory member; operating-company capital unconfirmed</x:v>
      </x:c>
      <x:c r="E1660" s="15" t="str">
        <x:v>Property lender / private-money inquiry</x:v>
      </x:c>
      <x:c r="F1660" s="17" t="str">
        <x:v>New</x:v>
      </x:c>
      <x:c r="G1660" s="24" t="str">
        <x:v>info@hardmoneyloansolutions.com</x:v>
      </x:c>
      <x:c r="H1660" s="24" t="str">
        <x:v>+18552442220</x:v>
      </x:c>
      <x:c r="I1660" s="24" t="str">
        <x:v>http://hardmoneyloansolutions.com</x:v>
      </x:c>
      <x:c r="J1660" s="16" t="str">
        <x:v>FL</x:v>
      </x:c>
      <x:c r="K1660" s="16" t="str">
        <x:v>Delray Beach</x:v>
      </x:c>
      <x:c r="L1660" s="16" t="str">
        <x:v>firm_business_routing</x:v>
      </x:c>
      <x:c r="M1660" s="16" t="str">
        <x:v>http://hardmoneyloansolutions.com</x:v>
      </x:c>
      <x:c r="N1660" s="16" t="str">
        <x:v>Published source range; proposed allocation and structure require confirmation</x:v>
      </x:c>
      <x:c r="O1660" s="20"/>
      <x:c r="P1660" s="20" t="n">
        <x:v>50000000</x:v>
      </x:c>
      <x:c r="Q1660" s="25" t="str">
        <x:v>Property-loan range, not a corporate-capital commitment</x:v>
      </x:c>
      <x:c r="R1660" s="25" t="str">
        <x:v>Private real-estate finance experience. Corporate working capital, minority equity or profit participation requires a separate agreement from a property loan.</x:v>
      </x:c>
      <x:c r="S1660" s="25"/>
      <x:c r="T1660" s="25" t="str">
        <x:v>Confirm direct principal versus broker, $100K-$500K appetite, and whether capital can fund the operating company without a property mortgage.</x:v>
      </x:c>
      <x:c r="U1660" s="25" t="str">
        <x:v>https://www.hardmoneyhome.com/lenders/view/hard-money-loan-solutions
https://hardmoneyloansolutions.com
https://nplaconference.com/private-lending-directory/page/7/
https://hardmoneyloansolutions.com/</x:v>
      </x:c>
      <x:c r="V1660" s="26" t="d">
        <x:v>2026-10-02T00:00:00.000Z</x:v>
      </x:c>
      <x:c r="W1660" s="26" t="d">
        <x:v>2026-09-30T00:00:00.000Z</x:v>
      </x:c>
      <x:c r="X1660" s="25" t="str">
        <x:v>Saved public company, industry-directory or regulatory source; source date retained</x:v>
      </x:c>
      <x:c r="Y1660" s="25" t="str">
        <x:v>https://hardmoneyloansolutions.com</x:v>
      </x:c>
      <x:c r="Z1660" s="25" t="str">
        <x:v>https://www.hardmoneyhome.com/lenders/view/hard-money-loan-solutions</x:v>
      </x:c>
      <x:c r="AA1660" s="25" t="str">
        <x:v>[]</x:v>
      </x:c>
      <x:c r="AB1660" s="3" t="str">
        <x:v>Existing CapitalForge research, newly screened for this campaign</x:v>
      </x:c>
      <x:c r="AC1660" s="3" t="str">
        <x:v>unverified</x:v>
      </x:c>
      <x:c r="AD1660" s="3" t="str">
        <x:v>Not contacted / unconfirmed</x:v>
      </x:c>
      <x:c r="AE1660" s="3" t="str">
        <x:v>No</x:v>
      </x:c>
      <x:c r="AF1660" s="3" t="str">
        <x:v>No</x:v>
      </x:c>
      <x:c r="AG1660" s="3"/>
      <x:c r="AH1660" s="3"/>
      <x:c r="AI1660" s="18"/>
      <x:c r="AJ1660" s="3" t="str">
        <x:v>CF2500-7ED26348B322</x:v>
      </x:c>
      <x:c r="AK1660" s="3" t="str">
        <x:v>private_real_estate_lender</x:v>
      </x:c>
      <x:c r="AL1660" s="19" t="n">
        <x:v>100000</x:v>
      </x:c>
      <x:c r="AM1660" s="19" t="n">
        <x:v>500000</x:v>
      </x:c>
      <x:c r="AN1660" s="3" t="str">
        <x:v>https://www.hardmoneyhome.com/lenders/view/hard-money-loan-solutions</x:v>
      </x:c>
      <x:c r="AO1660" s="3" t="str">
        <x:v>public_directory.jsonl</x:v>
      </x:c>
      <x:c r="AP1660" s="19"/>
    </x:row>
    <x:row r="1661" ht="36" customHeight="1">
      <x:c r="A1661" s="23" t="n">
        <x:v>1660</x:v>
      </x:c>
      <x:c r="B1661" s="15" t="str">
        <x:v>Hilton Financial Corporation</x:v>
      </x:c>
      <x:c r="C1661" s="15"/>
      <x:c r="D1661" s="15" t="str">
        <x:v>Property lender or directory member; operating-company capital unconfirmed</x:v>
      </x:c>
      <x:c r="E1661" s="15" t="str">
        <x:v>Property lender / private-money inquiry</x:v>
      </x:c>
      <x:c r="F1661" s="17" t="str">
        <x:v>New</x:v>
      </x:c>
      <x:c r="G1661" s="24" t="str">
        <x:v>getquotes@hiltoncorp.com</x:v>
      </x:c>
      <x:c r="H1661" s="24" t="str">
        <x:v>+16023758951</x:v>
      </x:c>
      <x:c r="I1661" s="24" t="str">
        <x:v>http://www.hiltonloans.com/</x:v>
      </x:c>
      <x:c r="J1661" s="16" t="str">
        <x:v>AZ</x:v>
      </x:c>
      <x:c r="K1661" s="16" t="str">
        <x:v>Phoenix</x:v>
      </x:c>
      <x:c r="L1661" s="16" t="str">
        <x:v>firm_business_routing</x:v>
      </x:c>
      <x:c r="M1661" s="16" t="str">
        <x:v>http://www.hiltonloans.com/</x:v>
      </x:c>
      <x:c r="N1661" s="16" t="str">
        <x:v>Published source range; proposed allocation and structure require confirmation</x:v>
      </x:c>
      <x:c r="O1661" s="20"/>
      <x:c r="P1661" s="20" t="n">
        <x:v>1000000</x:v>
      </x:c>
      <x:c r="Q1661" s="25" t="str">
        <x:v>Property-loan range, not a corporate-capital commitment</x:v>
      </x:c>
      <x:c r="R1661" s="25" t="str">
        <x:v>Private real-estate finance experience. Corporate working capital, minority equity or profit participation requires a separate agreement from a property loan.</x:v>
      </x:c>
      <x:c r="S1661" s="25"/>
      <x:c r="T1661" s="25" t="str">
        <x:v>Confirm direct principal versus broker, $100K-$500K appetite, and whether capital can fund the operating company without a property mortgage.</x:v>
      </x:c>
      <x:c r="U1661" s="25" t="str">
        <x:v>https://www.hardmoneyhome.com/lenders/view/hilton-financial-corporation
https://privatelenderlink.com/profile/hilton-financial-corp/</x:v>
      </x:c>
      <x:c r="V1661" s="26" t="d">
        <x:v>2026-10-02T00:00:00.000Z</x:v>
      </x:c>
      <x:c r="W1661" s="26" t="d">
        <x:v>2026-09-30T00:00:00.000Z</x:v>
      </x:c>
      <x:c r="X1661" s="25" t="str">
        <x:v>Saved public company, industry-directory or regulatory source; source date retained</x:v>
      </x:c>
      <x:c r="Y1661" s="25" t="str">
        <x:v>https://privatelenderlink.com/profile/hilton-financial-corp/</x:v>
      </x:c>
      <x:c r="Z1661" s="25" t="str">
        <x:v>https://www.hardmoneyhome.com/lenders/view/hilton-financial-corporation</x:v>
      </x:c>
      <x:c r="AA1661" s="25" t="str">
        <x:v>[]</x:v>
      </x:c>
      <x:c r="AB1661" s="3" t="str">
        <x:v>Existing CapitalForge research, newly screened for this campaign</x:v>
      </x:c>
      <x:c r="AC1661" s="3" t="str">
        <x:v>unverified</x:v>
      </x:c>
      <x:c r="AD1661" s="3" t="str">
        <x:v>Not contacted / unconfirmed</x:v>
      </x:c>
      <x:c r="AE1661" s="3" t="str">
        <x:v>No</x:v>
      </x:c>
      <x:c r="AF1661" s="3" t="str">
        <x:v>No</x:v>
      </x:c>
      <x:c r="AG1661" s="3"/>
      <x:c r="AH1661" s="3"/>
      <x:c r="AI1661" s="18"/>
      <x:c r="AJ1661" s="3" t="str">
        <x:v>CF2500-417353CDD7D6</x:v>
      </x:c>
      <x:c r="AK1661" s="3" t="str">
        <x:v>private_real_estate_lender</x:v>
      </x:c>
      <x:c r="AL1661" s="19" t="n">
        <x:v>100000</x:v>
      </x:c>
      <x:c r="AM1661" s="19" t="n">
        <x:v>500000</x:v>
      </x:c>
      <x:c r="AN1661" s="3" t="str">
        <x:v>https://www.hardmoneyhome.com/lenders/view/hilton-financial-corporation</x:v>
      </x:c>
      <x:c r="AO1661" s="3" t="str">
        <x:v>public_directory.jsonl</x:v>
      </x:c>
      <x:c r="AP1661" s="19"/>
    </x:row>
    <x:row r="1662" ht="36" customHeight="1">
      <x:c r="A1662" s="23" t="n">
        <x:v>1661</x:v>
      </x:c>
      <x:c r="B1662" s="15" t="str">
        <x:v>Inca Capital</x:v>
      </x:c>
      <x:c r="C1662" s="15"/>
      <x:c r="D1662" s="15" t="str">
        <x:v>Property lender or directory member; operating-company capital unconfirmed</x:v>
      </x:c>
      <x:c r="E1662" s="15" t="str">
        <x:v>Property lender / private-money inquiry</x:v>
      </x:c>
      <x:c r="F1662" s="17" t="str">
        <x:v>New</x:v>
      </x:c>
      <x:c r="G1662" s="24" t="str">
        <x:v>michael@incacapital.com</x:v>
      </x:c>
      <x:c r="H1662" s="24" t="str">
        <x:v>+14809475900</x:v>
      </x:c>
      <x:c r="I1662" s="24" t="str">
        <x:v>http://incacapital.com/</x:v>
      </x:c>
      <x:c r="J1662" s="16" t="str">
        <x:v>AZ</x:v>
      </x:c>
      <x:c r="K1662" s="16" t="str">
        <x:v>Scottsdale</x:v>
      </x:c>
      <x:c r="L1662" s="16" t="str">
        <x:v>firm_business_routing</x:v>
      </x:c>
      <x:c r="M1662" s="16" t="str">
        <x:v>http://incacapital.com/</x:v>
      </x:c>
      <x:c r="N1662" s="16" t="str">
        <x:v>Published source range; proposed allocation and structure require confirmation</x:v>
      </x:c>
      <x:c r="O1662" s="20"/>
      <x:c r="P1662" s="20" t="n">
        <x:v>15000000</x:v>
      </x:c>
      <x:c r="Q1662" s="25" t="str">
        <x:v>Property-loan range, not a corporate-capital commitment</x:v>
      </x:c>
      <x:c r="R1662" s="25" t="str">
        <x:v>Private real-estate finance experience. Corporate working capital, minority equity or profit participation requires a separate agreement from a property loan.</x:v>
      </x:c>
      <x:c r="S1662" s="25"/>
      <x:c r="T1662" s="25" t="str">
        <x:v>Confirm direct principal versus broker, $100K-$500K appetite, and whether capital can fund the operating company without a property mortgage.</x:v>
      </x:c>
      <x:c r="U1662" s="25" t="str">
        <x:v>https://www.hardmoneyhome.com/lenders/view/inca-capital
https://privatelenderlink.com/profile/inca-capital/</x:v>
      </x:c>
      <x:c r="V1662" s="26" t="d">
        <x:v>2026-10-02T00:00:00.000Z</x:v>
      </x:c>
      <x:c r="W1662" s="26" t="d">
        <x:v>2026-09-30T00:00:00.000Z</x:v>
      </x:c>
      <x:c r="X1662" s="25" t="str">
        <x:v>Saved public company, industry-directory or regulatory source; source date retained</x:v>
      </x:c>
      <x:c r="Y1662" s="25" t="str">
        <x:v>https://privatelenderlink.com/profile/inca-capital/</x:v>
      </x:c>
      <x:c r="Z1662" s="25" t="str">
        <x:v>https://www.hardmoneyhome.com/lenders/view/inca-capital</x:v>
      </x:c>
      <x:c r="AA1662" s="25" t="str">
        <x:v>[]</x:v>
      </x:c>
      <x:c r="AB1662" s="3" t="str">
        <x:v>Existing CapitalForge research, newly screened for this campaign</x:v>
      </x:c>
      <x:c r="AC1662" s="3" t="str">
        <x:v>unverified</x:v>
      </x:c>
      <x:c r="AD1662" s="3" t="str">
        <x:v>Not contacted / unconfirmed</x:v>
      </x:c>
      <x:c r="AE1662" s="3" t="str">
        <x:v>No</x:v>
      </x:c>
      <x:c r="AF1662" s="3" t="str">
        <x:v>No</x:v>
      </x:c>
      <x:c r="AG1662" s="3"/>
      <x:c r="AH1662" s="3"/>
      <x:c r="AI1662" s="18"/>
      <x:c r="AJ1662" s="3" t="str">
        <x:v>CF2500-E2A98527CE9D</x:v>
      </x:c>
      <x:c r="AK1662" s="3" t="str">
        <x:v>private_real_estate_lender</x:v>
      </x:c>
      <x:c r="AL1662" s="19" t="n">
        <x:v>100000</x:v>
      </x:c>
      <x:c r="AM1662" s="19" t="n">
        <x:v>500000</x:v>
      </x:c>
      <x:c r="AN1662" s="3" t="str">
        <x:v>https://www.hardmoneyhome.com/lenders/view/inca-capital</x:v>
      </x:c>
      <x:c r="AO1662" s="3" t="str">
        <x:v>public_directory.jsonl</x:v>
      </x:c>
      <x:c r="AP1662" s="19"/>
    </x:row>
    <x:row r="1663" ht="36" customHeight="1">
      <x:c r="A1663" s="23" t="n">
        <x:v>1662</x:v>
      </x:c>
      <x:c r="B1663" s="15" t="str">
        <x:v>Insource Funding</x:v>
      </x:c>
      <x:c r="C1663" s="15"/>
      <x:c r="D1663" s="15" t="str">
        <x:v>Property lender or directory member; operating-company capital unconfirmed</x:v>
      </x:c>
      <x:c r="E1663" s="15" t="str">
        <x:v>Property lender / private-money inquiry</x:v>
      </x:c>
      <x:c r="F1663" s="17" t="str">
        <x:v>New</x:v>
      </x:c>
      <x:c r="G1663" s="24" t="str">
        <x:v>jerry@insourcefunding.net</x:v>
      </x:c>
      <x:c r="H1663" s="24" t="str">
        <x:v>+18008053391</x:v>
      </x:c>
      <x:c r="I1663" s="24" t="str">
        <x:v>https://www.insourcefunding.net/</x:v>
      </x:c>
      <x:c r="J1663" s="16" t="str">
        <x:v>FL</x:v>
      </x:c>
      <x:c r="K1663" s="16" t="str">
        <x:v>West Palm Beach</x:v>
      </x:c>
      <x:c r="L1663" s="16" t="str">
        <x:v>firm_business_routing</x:v>
      </x:c>
      <x:c r="M1663" s="16" t="str">
        <x:v>https://www.insourcefunding.net/</x:v>
      </x:c>
      <x:c r="N1663" s="16" t="str">
        <x:v>Published source range; proposed allocation and structure require confirmation</x:v>
      </x:c>
      <x:c r="O1663" s="20"/>
      <x:c r="P1663" s="20" t="n">
        <x:v>2500000</x:v>
      </x:c>
      <x:c r="Q1663" s="25" t="str">
        <x:v>Property-loan range, not a corporate-capital commitment</x:v>
      </x:c>
      <x:c r="R1663" s="25" t="str">
        <x:v>Private real-estate finance experience. Corporate working capital, minority equity or profit participation requires a separate agreement from a property loan.</x:v>
      </x:c>
      <x:c r="S1663" s="25"/>
      <x:c r="T1663" s="25" t="str">
        <x:v>Confirm direct principal versus broker, $100K-$500K appetite, and whether capital can fund the operating company without a property mortgage.</x:v>
      </x:c>
      <x:c r="U1663" s="25" t="str">
        <x:v>https://www.hardmoneyhome.com/lenders/view/insource-funding
https://privatelenderlink.com/profile/insource-funding/</x:v>
      </x:c>
      <x:c r="V1663" s="26" t="d">
        <x:v>2026-10-02T00:00:00.000Z</x:v>
      </x:c>
      <x:c r="W1663" s="26" t="d">
        <x:v>2026-09-30T00:00:00.000Z</x:v>
      </x:c>
      <x:c r="X1663" s="25" t="str">
        <x:v>Saved public company, industry-directory or regulatory source; source date retained</x:v>
      </x:c>
      <x:c r="Y1663" s="25" t="str">
        <x:v>https://privatelenderlink.com/profile/insource-funding/</x:v>
      </x:c>
      <x:c r="Z1663" s="25" t="str">
        <x:v>https://www.hardmoneyhome.com/lenders/view/insource-funding</x:v>
      </x:c>
      <x:c r="AA1663" s="25" t="str">
        <x:v>[]</x:v>
      </x:c>
      <x:c r="AB1663" s="3" t="str">
        <x:v>Existing CapitalForge research, newly screened for this campaign</x:v>
      </x:c>
      <x:c r="AC1663" s="3" t="str">
        <x:v>unverified</x:v>
      </x:c>
      <x:c r="AD1663" s="3" t="str">
        <x:v>Not contacted / unconfirmed</x:v>
      </x:c>
      <x:c r="AE1663" s="3" t="str">
        <x:v>No</x:v>
      </x:c>
      <x:c r="AF1663" s="3" t="str">
        <x:v>No</x:v>
      </x:c>
      <x:c r="AG1663" s="3"/>
      <x:c r="AH1663" s="3"/>
      <x:c r="AI1663" s="18"/>
      <x:c r="AJ1663" s="3" t="str">
        <x:v>CF2500-F95811347F0A</x:v>
      </x:c>
      <x:c r="AK1663" s="3" t="str">
        <x:v>private_real_estate_lender</x:v>
      </x:c>
      <x:c r="AL1663" s="19" t="n">
        <x:v>100000</x:v>
      </x:c>
      <x:c r="AM1663" s="19" t="n">
        <x:v>500000</x:v>
      </x:c>
      <x:c r="AN1663" s="3" t="str">
        <x:v>https://www.hardmoneyhome.com/lenders/view/insource-funding</x:v>
      </x:c>
      <x:c r="AO1663" s="3" t="str">
        <x:v>public_directory.jsonl</x:v>
      </x:c>
      <x:c r="AP1663" s="19"/>
    </x:row>
    <x:row r="1664" ht="36" customHeight="1">
      <x:c r="A1664" s="23" t="n">
        <x:v>1663</x:v>
      </x:c>
      <x:c r="B1664" s="15" t="str">
        <x:v>Kell Capital</x:v>
      </x:c>
      <x:c r="C1664" s="15"/>
      <x:c r="D1664" s="15" t="str">
        <x:v>Property lender or directory member; operating-company capital unconfirmed</x:v>
      </x:c>
      <x:c r="E1664" s="15" t="str">
        <x:v>Property lender / private-money inquiry</x:v>
      </x:c>
      <x:c r="F1664" s="17" t="str">
        <x:v>New</x:v>
      </x:c>
      <x:c r="G1664" s="24" t="str">
        <x:v>patrick@kellcapital.com</x:v>
      </x:c>
      <x:c r="H1664" s="24" t="str">
        <x:v>+19154448449</x:v>
      </x:c>
      <x:c r="I1664" s="24" t="str">
        <x:v>http://www.kellcapital.com/</x:v>
      </x:c>
      <x:c r="J1664" s="16" t="str">
        <x:v>TX</x:v>
      </x:c>
      <x:c r="K1664" s="16" t="str">
        <x:v>El Paso</x:v>
      </x:c>
      <x:c r="L1664" s="16" t="str">
        <x:v>firm_business_routing</x:v>
      </x:c>
      <x:c r="M1664" s="16" t="str">
        <x:v>http://www.kellcapital.com/</x:v>
      </x:c>
      <x:c r="N1664" s="16" t="str">
        <x:v>Published source range; proposed allocation and structure require confirmation</x:v>
      </x:c>
      <x:c r="O1664" s="20"/>
      <x:c r="P1664" s="20" t="n">
        <x:v>1000000</x:v>
      </x:c>
      <x:c r="Q1664" s="25" t="str">
        <x:v>Property-loan range, not a corporate-capital commitment</x:v>
      </x:c>
      <x:c r="R1664" s="25" t="str">
        <x:v>Private real-estate finance experience. Corporate working capital, minority equity or profit participation requires a separate agreement from a property loan.</x:v>
      </x:c>
      <x:c r="S1664" s="25"/>
      <x:c r="T1664" s="25" t="str">
        <x:v>Confirm direct principal versus broker, $100K-$500K appetite, and whether capital can fund the operating company without a property mortgage.</x:v>
      </x:c>
      <x:c r="U1664" s="25" t="str">
        <x:v>https://www.hardmoneyhome.com/lenders/view/kell-capital
https://www.kellcapital.com/</x:v>
      </x:c>
      <x:c r="V1664" s="26" t="d">
        <x:v>2026-10-02T00:00:00.000Z</x:v>
      </x:c>
      <x:c r="W1664" s="26" t="d">
        <x:v>2026-09-30T00:00:00.000Z</x:v>
      </x:c>
      <x:c r="X1664" s="25" t="str">
        <x:v>Saved public company, industry-directory or regulatory source; source date retained</x:v>
      </x:c>
      <x:c r="Y1664" s="25" t="str">
        <x:v>https://www.kellcapital.com/</x:v>
      </x:c>
      <x:c r="Z1664" s="25" t="str">
        <x:v>https://www.hardmoneyhome.com/lenders/view/kell-capital</x:v>
      </x:c>
      <x:c r="AA1664" s="25" t="str">
        <x:v>[]</x:v>
      </x:c>
      <x:c r="AB1664" s="3" t="str">
        <x:v>Existing CapitalForge research, newly screened for this campaign</x:v>
      </x:c>
      <x:c r="AC1664" s="3" t="str">
        <x:v>unverified</x:v>
      </x:c>
      <x:c r="AD1664" s="3" t="str">
        <x:v>Not contacted / unconfirmed</x:v>
      </x:c>
      <x:c r="AE1664" s="3" t="str">
        <x:v>No</x:v>
      </x:c>
      <x:c r="AF1664" s="3" t="str">
        <x:v>No</x:v>
      </x:c>
      <x:c r="AG1664" s="3"/>
      <x:c r="AH1664" s="3"/>
      <x:c r="AI1664" s="18"/>
      <x:c r="AJ1664" s="3" t="str">
        <x:v>CF2500-F44614E559D6</x:v>
      </x:c>
      <x:c r="AK1664" s="3" t="str">
        <x:v>private_real_estate_lender</x:v>
      </x:c>
      <x:c r="AL1664" s="19" t="n">
        <x:v>100000</x:v>
      </x:c>
      <x:c r="AM1664" s="19" t="n">
        <x:v>500000</x:v>
      </x:c>
      <x:c r="AN1664" s="3" t="str">
        <x:v>https://www.hardmoneyhome.com/lenders/view/kell-capital</x:v>
      </x:c>
      <x:c r="AO1664" s="3" t="str">
        <x:v>public_directory.jsonl</x:v>
      </x:c>
      <x:c r="AP1664" s="19"/>
    </x:row>
    <x:row r="1665" ht="36" customHeight="1">
      <x:c r="A1665" s="23" t="n">
        <x:v>1664</x:v>
      </x:c>
      <x:c r="B1665" s="15" t="str">
        <x:v>Kenwood Mortgage Investments</x:v>
      </x:c>
      <x:c r="C1665" s="15"/>
      <x:c r="D1665" s="15" t="str">
        <x:v>Property lender or directory member; operating-company capital unconfirmed</x:v>
      </x:c>
      <x:c r="E1665" s="15" t="str">
        <x:v>Property lender / private-money inquiry</x:v>
      </x:c>
      <x:c r="F1665" s="17" t="str">
        <x:v>New</x:v>
      </x:c>
      <x:c r="G1665" s="24" t="str">
        <x:v>loans@kenwoodmortgage.com</x:v>
      </x:c>
      <x:c r="H1665" s="24" t="str">
        <x:v>+14807838800</x:v>
      </x:c>
      <x:c r="I1665" s="24" t="str">
        <x:v>http://kenwoodmortgage.com/</x:v>
      </x:c>
      <x:c r="J1665" s="16" t="str">
        <x:v>AZ</x:v>
      </x:c>
      <x:c r="K1665" s="16" t="str">
        <x:v>Scottsdale</x:v>
      </x:c>
      <x:c r="L1665" s="16" t="str">
        <x:v>firm_business_routing</x:v>
      </x:c>
      <x:c r="M1665" s="16" t="str">
        <x:v>http://kenwoodmortgage.com/</x:v>
      </x:c>
      <x:c r="N1665" s="16" t="str">
        <x:v>Published source range; proposed allocation and structure require confirmation</x:v>
      </x:c>
      <x:c r="O1665" s="20"/>
      <x:c r="P1665" s="20" t="n">
        <x:v>25000000</x:v>
      </x:c>
      <x:c r="Q1665" s="25" t="str">
        <x:v>Property-loan range, not a corporate-capital commitment</x:v>
      </x:c>
      <x:c r="R1665" s="25" t="str">
        <x:v>Private real-estate finance experience. Corporate working capital, minority equity or profit participation requires a separate agreement from a property loan.</x:v>
      </x:c>
      <x:c r="S1665" s="25"/>
      <x:c r="T1665" s="25" t="str">
        <x:v>Confirm direct principal versus broker, $100K-$500K appetite, and whether capital can fund the operating company without a property mortgage.</x:v>
      </x:c>
      <x:c r="U1665" s="25" t="str">
        <x:v>https://www.hardmoneyhome.com/lenders/view/kenwood-mortgage-investments
https://kenwoodmortgage.com/</x:v>
      </x:c>
      <x:c r="V1665" s="26" t="d">
        <x:v>2026-10-02T00:00:00.000Z</x:v>
      </x:c>
      <x:c r="W1665" s="26" t="d">
        <x:v>2026-09-30T00:00:00.000Z</x:v>
      </x:c>
      <x:c r="X1665" s="25" t="str">
        <x:v>Saved public company, industry-directory or regulatory source; source date retained</x:v>
      </x:c>
      <x:c r="Y1665" s="25" t="str">
        <x:v>https://kenwoodmortgage.com/</x:v>
      </x:c>
      <x:c r="Z1665" s="25" t="str">
        <x:v>https://www.hardmoneyhome.com/lenders/view/kenwood-mortgage-investments</x:v>
      </x:c>
      <x:c r="AA1665" s="25" t="str">
        <x:v>[]</x:v>
      </x:c>
      <x:c r="AB1665" s="3" t="str">
        <x:v>Existing CapitalForge research, newly screened for this campaign</x:v>
      </x:c>
      <x:c r="AC1665" s="3" t="str">
        <x:v>unverified</x:v>
      </x:c>
      <x:c r="AD1665" s="3" t="str">
        <x:v>Not contacted / unconfirmed</x:v>
      </x:c>
      <x:c r="AE1665" s="3" t="str">
        <x:v>No</x:v>
      </x:c>
      <x:c r="AF1665" s="3" t="str">
        <x:v>No</x:v>
      </x:c>
      <x:c r="AG1665" s="3"/>
      <x:c r="AH1665" s="3"/>
      <x:c r="AI1665" s="18"/>
      <x:c r="AJ1665" s="3" t="str">
        <x:v>CF2500-9AE9E5E6C7FA</x:v>
      </x:c>
      <x:c r="AK1665" s="3" t="str">
        <x:v>private_real_estate_lender</x:v>
      </x:c>
      <x:c r="AL1665" s="19" t="n">
        <x:v>100000</x:v>
      </x:c>
      <x:c r="AM1665" s="19" t="n">
        <x:v>500000</x:v>
      </x:c>
      <x:c r="AN1665" s="3" t="str">
        <x:v>https://www.hardmoneyhome.com/lenders/view/kenwood-mortgage-investments</x:v>
      </x:c>
      <x:c r="AO1665" s="3" t="str">
        <x:v>public_directory.jsonl</x:v>
      </x:c>
      <x:c r="AP1665" s="19"/>
    </x:row>
    <x:row r="1666" ht="36" customHeight="1">
      <x:c r="A1666" s="23" t="n">
        <x:v>1665</x:v>
      </x:c>
      <x:c r="B1666" s="15" t="str">
        <x:v>Layla Capital</x:v>
      </x:c>
      <x:c r="C1666" s="15" t="str">
        <x:v>JUSTIN COOPER</x:v>
      </x:c>
      <x:c r="D1666" s="15" t="str">
        <x:v>Property lender or directory member; operating-company capital unconfirmed</x:v>
      </x:c>
      <x:c r="E1666" s="15" t="str">
        <x:v>Property lender / private-money inquiry</x:v>
      </x:c>
      <x:c r="F1666" s="17" t="str">
        <x:v>New</x:v>
      </x:c>
      <x:c r="G1666" s="24" t="str">
        <x:v>justin@laylacapital.com</x:v>
      </x:c>
      <x:c r="H1666" s="24" t="str">
        <x:v>+15615715200</x:v>
      </x:c>
      <x:c r="I1666" s="24" t="str">
        <x:v>http://www.laylacapital.com</x:v>
      </x:c>
      <x:c r="J1666" s="16" t="str">
        <x:v>FL</x:v>
      </x:c>
      <x:c r="K1666" s="16" t="str">
        <x:v>Boca Raton</x:v>
      </x:c>
      <x:c r="L1666" s="16" t="str">
        <x:v>published_professional_contact_directness_unconfirmed</x:v>
      </x:c>
      <x:c r="M1666" s="16" t="str">
        <x:v>http://www.laylacapital.com</x:v>
      </x:c>
      <x:c r="N1666" s="16" t="str">
        <x:v>Published source range; proposed allocation and structure require confirmation</x:v>
      </x:c>
      <x:c r="O1666" s="20"/>
      <x:c r="P1666" s="20" t="n">
        <x:v>15000000</x:v>
      </x:c>
      <x:c r="Q1666" s="25" t="str">
        <x:v>Property-loan range, not a corporate-capital commitment</x:v>
      </x:c>
      <x:c r="R1666" s="25" t="str">
        <x:v>Private real-estate finance experience. Corporate working capital, minority equity or profit participation requires a separate agreement from a property loan.</x:v>
      </x:c>
      <x:c r="S1666" s="25"/>
      <x:c r="T1666" s="25" t="str">
        <x:v>Confirm direct principal versus broker, $100K-$500K appetite, and whether capital can fund the operating company without a property mortgage.</x:v>
      </x:c>
      <x:c r="U1666" s="25" t="str">
        <x:v>https://www.hardmoneyhome.com/lenders/view/layla-capital
https://privatelenderlink.com/profile/layla-capital/
https://adviserinfo.sec.gov/firm/summary/328601
https://reports.adviserinfo.sec.gov/reports/CompilationReports/IA_FIRM_SEC_Feed_09_29_2026.xml.gz
https://www.laylacapital.com
https://reports.adviserinfo.sec.gov/reports/foia/advFilingData/2026/ADV_Filing_Data_20260301_20260331.zip</x:v>
      </x:c>
      <x:c r="V1666" s="26" t="d">
        <x:v>2026-10-02T00:00:00.000Z</x:v>
      </x:c>
      <x:c r="W1666" s="26" t="d">
        <x:v>2026-09-30T00:00:00.000Z</x:v>
      </x:c>
      <x:c r="X1666" s="25" t="str">
        <x:v>Saved public company, industry-directory or regulatory source; source date retained</x:v>
      </x:c>
      <x:c r="Y1666" s="25" t="str">
        <x:v>https://privatelenderlink.com/profile/layla-capital/</x:v>
      </x:c>
      <x:c r="Z1666" s="25" t="str">
        <x:v>https://www.hardmoneyhome.com/lenders/view/layla-capital</x:v>
      </x:c>
      <x:c r="AA1666" s="25" t="str">
        <x:v>[]</x:v>
      </x:c>
      <x:c r="AB1666" s="3" t="str">
        <x:v>Existing CapitalForge research, newly screened for this campaign</x:v>
      </x:c>
      <x:c r="AC1666" s="3" t="str">
        <x:v>unverified</x:v>
      </x:c>
      <x:c r="AD1666" s="3" t="str">
        <x:v>Not contacted / unconfirmed</x:v>
      </x:c>
      <x:c r="AE1666" s="3" t="str">
        <x:v>No</x:v>
      </x:c>
      <x:c r="AF1666" s="3" t="str">
        <x:v>No</x:v>
      </x:c>
      <x:c r="AG1666" s="3"/>
      <x:c r="AH1666" s="3"/>
      <x:c r="AI1666" s="18"/>
      <x:c r="AJ1666" s="3" t="str">
        <x:v>CF2500-A84800732202</x:v>
      </x:c>
      <x:c r="AK1666" s="3" t="str">
        <x:v>private_real_estate_lender</x:v>
      </x:c>
      <x:c r="AL1666" s="19" t="n">
        <x:v>100000</x:v>
      </x:c>
      <x:c r="AM1666" s="19" t="n">
        <x:v>500000</x:v>
      </x:c>
      <x:c r="AN1666" s="3" t="str">
        <x:v>https://www.hardmoneyhome.com/lenders/view/layla-capital</x:v>
      </x:c>
      <x:c r="AO1666" s="3" t="str">
        <x:v>public_directory.jsonl</x:v>
      </x:c>
      <x:c r="AP1666" s="19"/>
    </x:row>
    <x:row r="1667" ht="36" customHeight="1">
      <x:c r="A1667" s="23" t="n">
        <x:v>1666</x:v>
      </x:c>
      <x:c r="B1667" s="15" t="str">
        <x:v>LendingOne</x:v>
      </x:c>
      <x:c r="C1667" s="15"/>
      <x:c r="D1667" s="15" t="str">
        <x:v>Property lender or directory member; operating-company capital unconfirmed</x:v>
      </x:c>
      <x:c r="E1667" s="15" t="str">
        <x:v>Property lender / private-money inquiry</x:v>
      </x:c>
      <x:c r="F1667" s="17" t="str">
        <x:v>New</x:v>
      </x:c>
      <x:c r="G1667" s="24" t="str">
        <x:v>pllleads@lendingone.com</x:v>
      </x:c>
      <x:c r="H1667" s="24" t="str">
        <x:v>+18667823464</x:v>
      </x:c>
      <x:c r="I1667" s="24" t="str">
        <x:v>http://www.lendingone.com/</x:v>
      </x:c>
      <x:c r="J1667" s="16" t="str">
        <x:v>FL</x:v>
      </x:c>
      <x:c r="K1667" s="16" t="str">
        <x:v>Boca Raton</x:v>
      </x:c>
      <x:c r="L1667" s="16" t="str">
        <x:v>firm_business_routing</x:v>
      </x:c>
      <x:c r="M1667" s="16" t="str">
        <x:v>http://www.lendingone.com/</x:v>
      </x:c>
      <x:c r="N1667" s="16" t="str">
        <x:v>Published source range; proposed allocation and structure require confirmation</x:v>
      </x:c>
      <x:c r="O1667" s="20"/>
      <x:c r="P1667" s="20" t="n">
        <x:v>2000000</x:v>
      </x:c>
      <x:c r="Q1667" s="25" t="str">
        <x:v>Property-loan range, not a corporate-capital commitment</x:v>
      </x:c>
      <x:c r="R1667" s="25" t="str">
        <x:v>Private real-estate finance experience. Corporate working capital, minority equity or profit participation requires a separate agreement from a property loan.</x:v>
      </x:c>
      <x:c r="S1667" s="25"/>
      <x:c r="T1667" s="25" t="str">
        <x:v>Confirm direct principal versus broker, $100K-$500K appetite, and whether capital can fund the operating company without a property mortgage.</x:v>
      </x:c>
      <x:c r="U1667" s="25" t="str">
        <x:v>https://www.hardmoneyhome.com/lenders/view/lendingone
https://privatelenderlink.com/profile/lendingone/
https://nplaconference.com/private-lending-directory/page/10/</x:v>
      </x:c>
      <x:c r="V1667" s="26" t="d">
        <x:v>2026-10-02T00:00:00.000Z</x:v>
      </x:c>
      <x:c r="W1667" s="26" t="d">
        <x:v>2026-09-30T00:00:00.000Z</x:v>
      </x:c>
      <x:c r="X1667" s="25" t="str">
        <x:v>Saved public company, industry-directory or regulatory source; source date retained</x:v>
      </x:c>
      <x:c r="Y1667" s="25" t="str">
        <x:v>https://privatelenderlink.com/profile/lendingone/</x:v>
      </x:c>
      <x:c r="Z1667" s="25" t="str">
        <x:v>https://www.hardmoneyhome.com/lenders/view/lendingone</x:v>
      </x:c>
      <x:c r="AA1667" s="25" t="str">
        <x:v>[]</x:v>
      </x:c>
      <x:c r="AB1667" s="3" t="str">
        <x:v>Existing CapitalForge research, newly screened for this campaign</x:v>
      </x:c>
      <x:c r="AC1667" s="3" t="str">
        <x:v>unverified</x:v>
      </x:c>
      <x:c r="AD1667" s="3" t="str">
        <x:v>Not contacted / unconfirmed</x:v>
      </x:c>
      <x:c r="AE1667" s="3" t="str">
        <x:v>No</x:v>
      </x:c>
      <x:c r="AF1667" s="3" t="str">
        <x:v>No</x:v>
      </x:c>
      <x:c r="AG1667" s="3"/>
      <x:c r="AH1667" s="3"/>
      <x:c r="AI1667" s="18"/>
      <x:c r="AJ1667" s="3" t="str">
        <x:v>CF2500-7F17F583CB5C</x:v>
      </x:c>
      <x:c r="AK1667" s="3" t="str">
        <x:v>private_real_estate_lender</x:v>
      </x:c>
      <x:c r="AL1667" s="19" t="n">
        <x:v>100000</x:v>
      </x:c>
      <x:c r="AM1667" s="19" t="n">
        <x:v>500000</x:v>
      </x:c>
      <x:c r="AN1667" s="3" t="str">
        <x:v>https://www.hardmoneyhome.com/lenders/view/lendingone</x:v>
      </x:c>
      <x:c r="AO1667" s="3" t="str">
        <x:v>public_directory.jsonl</x:v>
      </x:c>
      <x:c r="AP1667" s="19"/>
    </x:row>
    <x:row r="1668" ht="36" customHeight="1">
      <x:c r="A1668" s="23" t="n">
        <x:v>1667</x:v>
      </x:c>
      <x:c r="B1668" s="15" t="str">
        <x:v>Little City Investments</x:v>
      </x:c>
      <x:c r="C1668" s="15"/>
      <x:c r="D1668" s="15" t="str">
        <x:v>Property lender or directory member; operating-company capital unconfirmed</x:v>
      </x:c>
      <x:c r="E1668" s="15" t="str">
        <x:v>Property lender / private-money inquiry</x:v>
      </x:c>
      <x:c r="F1668" s="17" t="str">
        <x:v>New</x:v>
      </x:c>
      <x:c r="G1668" s="24" t="str">
        <x:v>jerad@littlecityinvestments.com</x:v>
      </x:c>
      <x:c r="H1668" s="24" t="str">
        <x:v>+15125778089</x:v>
      </x:c>
      <x:c r="I1668" s="24" t="str">
        <x:v>http://www.littlecity.com/</x:v>
      </x:c>
      <x:c r="J1668" s="16" t="str">
        <x:v>TX</x:v>
      </x:c>
      <x:c r="K1668" s="16" t="str">
        <x:v>Austin</x:v>
      </x:c>
      <x:c r="L1668" s="16" t="str">
        <x:v>firm_business_routing</x:v>
      </x:c>
      <x:c r="M1668" s="16" t="str">
        <x:v>http://www.littlecity.com/</x:v>
      </x:c>
      <x:c r="N1668" s="16" t="str">
        <x:v>Published source range; proposed allocation and structure require confirmation</x:v>
      </x:c>
      <x:c r="O1668" s="20"/>
      <x:c r="P1668" s="20" t="n">
        <x:v>1000000</x:v>
      </x:c>
      <x:c r="Q1668" s="25" t="str">
        <x:v>Property-loan range, not a corporate-capital commitment</x:v>
      </x:c>
      <x:c r="R1668" s="25" t="str">
        <x:v>Private real-estate finance experience. Corporate working capital, minority equity or profit participation requires a separate agreement from a property loan.</x:v>
      </x:c>
      <x:c r="S1668" s="25"/>
      <x:c r="T1668" s="25" t="str">
        <x:v>Confirm direct principal versus broker, $100K-$500K appetite, and whether capital can fund the operating company without a property mortgage.</x:v>
      </x:c>
      <x:c r="U1668" s="25" t="str">
        <x:v>https://www.hardmoneyhome.com/lenders/view/little-city-investments
https://privatelenderlink.com/profile/little-city-investments/
https://www.littlecityinvestments.com/</x:v>
      </x:c>
      <x:c r="V1668" s="26" t="d">
        <x:v>2026-10-02T00:00:00.000Z</x:v>
      </x:c>
      <x:c r="W1668" s="26" t="d">
        <x:v>2026-09-30T00:00:00.000Z</x:v>
      </x:c>
      <x:c r="X1668" s="25" t="str">
        <x:v>Saved public company, industry-directory or regulatory source; source date retained</x:v>
      </x:c>
      <x:c r="Y1668" s="25" t="str">
        <x:v>https://privatelenderlink.com/profile/little-city-investments/</x:v>
      </x:c>
      <x:c r="Z1668" s="25" t="str">
        <x:v>https://www.hardmoneyhome.com/lenders/view/little-city-investments</x:v>
      </x:c>
      <x:c r="AA1668" s="25" t="str">
        <x:v>[]</x:v>
      </x:c>
      <x:c r="AB1668" s="3" t="str">
        <x:v>Existing CapitalForge research, newly screened for this campaign</x:v>
      </x:c>
      <x:c r="AC1668" s="3" t="str">
        <x:v>unverified</x:v>
      </x:c>
      <x:c r="AD1668" s="3" t="str">
        <x:v>Not contacted / unconfirmed</x:v>
      </x:c>
      <x:c r="AE1668" s="3" t="str">
        <x:v>No</x:v>
      </x:c>
      <x:c r="AF1668" s="3" t="str">
        <x:v>No</x:v>
      </x:c>
      <x:c r="AG1668" s="3"/>
      <x:c r="AH1668" s="3"/>
      <x:c r="AI1668" s="18"/>
      <x:c r="AJ1668" s="3" t="str">
        <x:v>CF2500-11D7B5882868</x:v>
      </x:c>
      <x:c r="AK1668" s="3" t="str">
        <x:v>private_real_estate_lender</x:v>
      </x:c>
      <x:c r="AL1668" s="19" t="n">
        <x:v>100000</x:v>
      </x:c>
      <x:c r="AM1668" s="19" t="n">
        <x:v>500000</x:v>
      </x:c>
      <x:c r="AN1668" s="3" t="str">
        <x:v>https://www.hardmoneyhome.com/lenders/view/little-city-investments</x:v>
      </x:c>
      <x:c r="AO1668" s="3" t="str">
        <x:v>public_directory.jsonl</x:v>
      </x:c>
      <x:c r="AP1668" s="19"/>
    </x:row>
    <x:row r="1669" ht="36" customHeight="1">
      <x:c r="A1669" s="23" t="n">
        <x:v>1668</x:v>
      </x:c>
      <x:c r="B1669" s="15" t="str">
        <x:v>Loan Ranger Capital</x:v>
      </x:c>
      <x:c r="C1669" s="15"/>
      <x:c r="D1669" s="15" t="str">
        <x:v>Property lender or directory member; operating-company capital unconfirmed</x:v>
      </x:c>
      <x:c r="E1669" s="15" t="str">
        <x:v>Property lender / private-money inquiry</x:v>
      </x:c>
      <x:c r="F1669" s="17" t="str">
        <x:v>New</x:v>
      </x:c>
      <x:c r="G1669" s="24" t="str">
        <x:v>info@loanrangercapital.com</x:v>
      </x:c>
      <x:c r="H1669" s="24" t="str">
        <x:v>+15122209916</x:v>
      </x:c>
      <x:c r="I1669" s="24" t="str">
        <x:v>https://www.loanrangercapital.com/</x:v>
      </x:c>
      <x:c r="J1669" s="16" t="str">
        <x:v>TX</x:v>
      </x:c>
      <x:c r="K1669" s="16" t="str">
        <x:v>Austin</x:v>
      </x:c>
      <x:c r="L1669" s="16" t="str">
        <x:v>firm_business_routing</x:v>
      </x:c>
      <x:c r="M1669" s="16" t="str">
        <x:v>https://www.loanrangercapital.com/</x:v>
      </x:c>
      <x:c r="N1669" s="16" t="str">
        <x:v>Published source range; proposed allocation and structure require confirmation</x:v>
      </x:c>
      <x:c r="O1669" s="20"/>
      <x:c r="P1669" s="20" t="n">
        <x:v>2000000</x:v>
      </x:c>
      <x:c r="Q1669" s="25" t="str">
        <x:v>Property-loan range, not a corporate-capital commitment</x:v>
      </x:c>
      <x:c r="R1669" s="25" t="str">
        <x:v>Private real-estate finance experience. Corporate working capital, minority equity or profit participation requires a separate agreement from a property loan.</x:v>
      </x:c>
      <x:c r="S1669" s="25"/>
      <x:c r="T1669" s="25" t="str">
        <x:v>Confirm direct principal versus broker, $100K-$500K appetite, and whether capital can fund the operating company without a property mortgage.</x:v>
      </x:c>
      <x:c r="U1669" s="25" t="str">
        <x:v>https://www.hardmoneyhome.com/lenders/view/loan-ranger-capital
https://privatelenderlink.com/profile/loan-ranger-capital/</x:v>
      </x:c>
      <x:c r="V1669" s="26" t="d">
        <x:v>2026-10-02T00:00:00.000Z</x:v>
      </x:c>
      <x:c r="W1669" s="26" t="d">
        <x:v>2026-09-30T00:00:00.000Z</x:v>
      </x:c>
      <x:c r="X1669" s="25" t="str">
        <x:v>Saved public company, industry-directory or regulatory source; source date retained</x:v>
      </x:c>
      <x:c r="Y1669" s="25" t="str">
        <x:v>https://privatelenderlink.com/profile/loan-ranger-capital/</x:v>
      </x:c>
      <x:c r="Z1669" s="25" t="str">
        <x:v>https://www.hardmoneyhome.com/lenders/view/loan-ranger-capital</x:v>
      </x:c>
      <x:c r="AA1669" s="25" t="str">
        <x:v>[]</x:v>
      </x:c>
      <x:c r="AB1669" s="3" t="str">
        <x:v>Existing CapitalForge research, newly screened for this campaign</x:v>
      </x:c>
      <x:c r="AC1669" s="3" t="str">
        <x:v>unverified</x:v>
      </x:c>
      <x:c r="AD1669" s="3" t="str">
        <x:v>Not contacted / unconfirmed</x:v>
      </x:c>
      <x:c r="AE1669" s="3" t="str">
        <x:v>No</x:v>
      </x:c>
      <x:c r="AF1669" s="3" t="str">
        <x:v>No</x:v>
      </x:c>
      <x:c r="AG1669" s="3"/>
      <x:c r="AH1669" s="3"/>
      <x:c r="AI1669" s="18"/>
      <x:c r="AJ1669" s="3" t="str">
        <x:v>CF2500-6CE7E16BE15B</x:v>
      </x:c>
      <x:c r="AK1669" s="3" t="str">
        <x:v>private_real_estate_lender</x:v>
      </x:c>
      <x:c r="AL1669" s="19" t="n">
        <x:v>100000</x:v>
      </x:c>
      <x:c r="AM1669" s="19" t="n">
        <x:v>500000</x:v>
      </x:c>
      <x:c r="AN1669" s="3" t="str">
        <x:v>https://www.hardmoneyhome.com/lenders/view/loan-ranger-capital</x:v>
      </x:c>
      <x:c r="AO1669" s="3" t="str">
        <x:v>public_directory.jsonl</x:v>
      </x:c>
      <x:c r="AP1669" s="19"/>
    </x:row>
    <x:row r="1670" ht="36" customHeight="1">
      <x:c r="A1670" s="23" t="n">
        <x:v>1669</x:v>
      </x:c>
      <x:c r="B1670" s="15" t="str">
        <x:v>LYNK Capital</x:v>
      </x:c>
      <x:c r="C1670" s="15"/>
      <x:c r="D1670" s="15" t="str">
        <x:v>Property lender or directory member; operating-company capital unconfirmed</x:v>
      </x:c>
      <x:c r="E1670" s="15" t="str">
        <x:v>Property lender / private-money inquiry</x:v>
      </x:c>
      <x:c r="F1670" s="17" t="str">
        <x:v>New</x:v>
      </x:c>
      <x:c r="G1670" s="24" t="str">
        <x:v>investorcare@lynkcapital.com</x:v>
      </x:c>
      <x:c r="H1670" s="24" t="str">
        <x:v>+14074762500</x:v>
      </x:c>
      <x:c r="I1670" s="24" t="str">
        <x:v>https://www.lynkcapital.com</x:v>
      </x:c>
      <x:c r="J1670" s="16" t="str">
        <x:v>NC</x:v>
      </x:c>
      <x:c r="K1670" s="16" t="str">
        <x:v>Raleigh</x:v>
      </x:c>
      <x:c r="L1670" s="16" t="str">
        <x:v>firm_business_routing</x:v>
      </x:c>
      <x:c r="M1670" s="16" t="str">
        <x:v>https://www.lynkcapital.com</x:v>
      </x:c>
      <x:c r="N1670" s="16" t="str">
        <x:v>Published source range; proposed allocation and structure require confirmation</x:v>
      </x:c>
      <x:c r="O1670" s="20"/>
      <x:c r="P1670" s="20" t="n">
        <x:v>5000000</x:v>
      </x:c>
      <x:c r="Q1670" s="25" t="str">
        <x:v>Property-loan range, not a corporate-capital commitment</x:v>
      </x:c>
      <x:c r="R1670" s="25" t="str">
        <x:v>Private real-estate finance experience. Corporate working capital, minority equity or profit participation requires a separate agreement from a property loan.</x:v>
      </x:c>
      <x:c r="S1670" s="25"/>
      <x:c r="T1670" s="25" t="str">
        <x:v>Confirm direct principal versus broker, $100K-$500K appetite, and whether capital can fund the operating company without a property mortgage.</x:v>
      </x:c>
      <x:c r="U1670" s="25" t="str">
        <x:v>https://www.hardmoneyhome.com/lenders/view/lynk-capital
https://www.lynkcapital.com
https://nplaconference.com/private-lending-directory/page/10/
https://www.lynkcapital.com/contact-us
https://privatelenderlink.com/profile/lynk-capital/
https://www.lynkmortgage.com</x:v>
      </x:c>
      <x:c r="V1670" s="26" t="d">
        <x:v>2026-10-02T00:00:00.000Z</x:v>
      </x:c>
      <x:c r="W1670" s="26" t="d">
        <x:v>2026-09-30T00:00:00.000Z</x:v>
      </x:c>
      <x:c r="X1670" s="25" t="str">
        <x:v>Saved public company, industry-directory or regulatory source; source date retained</x:v>
      </x:c>
      <x:c r="Y1670" s="25" t="str">
        <x:v>https://www.lynkcapital.com</x:v>
      </x:c>
      <x:c r="Z1670" s="25" t="str">
        <x:v>https://www.hardmoneyhome.com/lenders/view/lynk-capital</x:v>
      </x:c>
      <x:c r="AA1670" s="25" t="str">
        <x:v>[]</x:v>
      </x:c>
      <x:c r="AB1670" s="3" t="str">
        <x:v>Existing CapitalForge research, newly screened for this campaign</x:v>
      </x:c>
      <x:c r="AC1670" s="3" t="str">
        <x:v>unverified</x:v>
      </x:c>
      <x:c r="AD1670" s="3" t="str">
        <x:v>Not contacted / unconfirmed</x:v>
      </x:c>
      <x:c r="AE1670" s="3" t="str">
        <x:v>No</x:v>
      </x:c>
      <x:c r="AF1670" s="3" t="str">
        <x:v>No</x:v>
      </x:c>
      <x:c r="AG1670" s="3"/>
      <x:c r="AH1670" s="3" t="str">
        <x:v>LYNK Mortgage</x:v>
      </x:c>
      <x:c r="AI1670" s="18"/>
      <x:c r="AJ1670" s="3" t="str">
        <x:v>CF2500-8E37CED0AA8F</x:v>
      </x:c>
      <x:c r="AK1670" s="3" t="str">
        <x:v>private_real_estate_lender</x:v>
      </x:c>
      <x:c r="AL1670" s="19" t="n">
        <x:v>100000</x:v>
      </x:c>
      <x:c r="AM1670" s="19" t="n">
        <x:v>500000</x:v>
      </x:c>
      <x:c r="AN1670" s="3" t="str">
        <x:v>https://www.hardmoneyhome.com/lenders/view/lynk-capital</x:v>
      </x:c>
      <x:c r="AO1670" s="3" t="str">
        <x:v>public_directory.jsonl</x:v>
      </x:c>
      <x:c r="AP1670" s="19"/>
    </x:row>
    <x:row r="1671" ht="36" customHeight="1">
      <x:c r="A1671" s="23" t="n">
        <x:v>1670</x:v>
      </x:c>
      <x:c r="B1671" s="15" t="str">
        <x:v>M&amp;M Private Lending Group</x:v>
      </x:c>
      <x:c r="C1671" s="15"/>
      <x:c r="D1671" s="15" t="str">
        <x:v>Property lender or directory member; operating-company capital unconfirmed</x:v>
      </x:c>
      <x:c r="E1671" s="15" t="str">
        <x:v>Property lender / private-money inquiry</x:v>
      </x:c>
      <x:c r="F1671" s="17" t="str">
        <x:v>New</x:v>
      </x:c>
      <x:c r="G1671" s="24" t="str">
        <x:v>loans@mmprivatelending.com</x:v>
      </x:c>
      <x:c r="H1671" s="24" t="str">
        <x:v>+13052901019</x:v>
      </x:c>
      <x:c r="I1671" s="24" t="str">
        <x:v>https://mmprivatelending.com/</x:v>
      </x:c>
      <x:c r="J1671" s="16" t="str">
        <x:v>FL</x:v>
      </x:c>
      <x:c r="K1671" s="16" t="str">
        <x:v>Ft. Lauderdale</x:v>
      </x:c>
      <x:c r="L1671" s="16" t="str">
        <x:v>firm_business_routing</x:v>
      </x:c>
      <x:c r="M1671" s="16" t="str">
        <x:v>https://mmprivatelending.com/</x:v>
      </x:c>
      <x:c r="N1671" s="16" t="str">
        <x:v>Published source range; proposed allocation and structure require confirmation</x:v>
      </x:c>
      <x:c r="O1671" s="20"/>
      <x:c r="P1671" s="20" t="n">
        <x:v>2000000</x:v>
      </x:c>
      <x:c r="Q1671" s="25" t="str">
        <x:v>Property-loan range, not a corporate-capital commitment</x:v>
      </x:c>
      <x:c r="R1671" s="25" t="str">
        <x:v>Private real-estate finance experience. Corporate working capital, minority equity or profit participation requires a separate agreement from a property loan.</x:v>
      </x:c>
      <x:c r="S1671" s="25"/>
      <x:c r="T1671" s="25" t="str">
        <x:v>Confirm direct principal versus broker, $100K-$500K appetite, and whether capital can fund the operating company without a property mortgage.</x:v>
      </x:c>
      <x:c r="U1671" s="25" t="str">
        <x:v>https://www.hardmoneyhome.com/lenders/view/mandm-private-lending-group
https://mmprivatelending.com/contact-us/</x:v>
      </x:c>
      <x:c r="V1671" s="26" t="d">
        <x:v>2026-10-02T00:00:00.000Z</x:v>
      </x:c>
      <x:c r="W1671" s="26" t="d">
        <x:v>2026-09-30T00:00:00.000Z</x:v>
      </x:c>
      <x:c r="X1671" s="25" t="str">
        <x:v>Saved public company, industry-directory or regulatory source; source date retained</x:v>
      </x:c>
      <x:c r="Y1671" s="25" t="str">
        <x:v>https://mmprivatelending.com/contact-us/</x:v>
      </x:c>
      <x:c r="Z1671" s="25" t="str">
        <x:v>https://www.hardmoneyhome.com/lenders/view/mandm-private-lending-group</x:v>
      </x:c>
      <x:c r="AA1671" s="25" t="str">
        <x:v>[]</x:v>
      </x:c>
      <x:c r="AB1671" s="3" t="str">
        <x:v>Existing CapitalForge research, newly screened for this campaign</x:v>
      </x:c>
      <x:c r="AC1671" s="3" t="str">
        <x:v>unverified</x:v>
      </x:c>
      <x:c r="AD1671" s="3" t="str">
        <x:v>Not contacted / unconfirmed</x:v>
      </x:c>
      <x:c r="AE1671" s="3" t="str">
        <x:v>No</x:v>
      </x:c>
      <x:c r="AF1671" s="3" t="str">
        <x:v>No</x:v>
      </x:c>
      <x:c r="AG1671" s="3"/>
      <x:c r="AH1671" s="3"/>
      <x:c r="AI1671" s="18"/>
      <x:c r="AJ1671" s="3" t="str">
        <x:v>CF2500-9D7C917C08ED</x:v>
      </x:c>
      <x:c r="AK1671" s="3" t="str">
        <x:v>private_real_estate_lender</x:v>
      </x:c>
      <x:c r="AL1671" s="19" t="n">
        <x:v>100000</x:v>
      </x:c>
      <x:c r="AM1671" s="19" t="n">
        <x:v>500000</x:v>
      </x:c>
      <x:c r="AN1671" s="3" t="str">
        <x:v>https://www.hardmoneyhome.com/lenders/view/mandm-private-lending-group</x:v>
      </x:c>
      <x:c r="AO1671" s="3" t="str">
        <x:v>public_directory.jsonl</x:v>
      </x:c>
      <x:c r="AP1671" s="19"/>
    </x:row>
    <x:row r="1672" ht="36" customHeight="1">
      <x:c r="A1672" s="23" t="n">
        <x:v>1671</x:v>
      </x:c>
      <x:c r="B1672" s="15" t="str">
        <x:v>New Wave Loans</x:v>
      </x:c>
      <x:c r="C1672" s="15"/>
      <x:c r="D1672" s="15" t="str">
        <x:v>Property lender or directory member; operating-company capital unconfirmed</x:v>
      </x:c>
      <x:c r="E1672" s="15" t="str">
        <x:v>Property lender / private-money inquiry</x:v>
      </x:c>
      <x:c r="F1672" s="17" t="str">
        <x:v>New</x:v>
      </x:c>
      <x:c r="G1672" s="24" t="str">
        <x:v>info@newwaveloans.com</x:v>
      </x:c>
      <x:c r="H1672" s="24" t="str">
        <x:v>+13055286846</x:v>
      </x:c>
      <x:c r="I1672" s="24" t="str">
        <x:v>https://newwaveloans.com</x:v>
      </x:c>
      <x:c r="J1672" s="16" t="str">
        <x:v>FL</x:v>
      </x:c>
      <x:c r="K1672" s="16" t="str">
        <x:v>Aventura</x:v>
      </x:c>
      <x:c r="L1672" s="16" t="str">
        <x:v>firm_business_routing</x:v>
      </x:c>
      <x:c r="M1672" s="16" t="str">
        <x:v>https://newwaveloans.com</x:v>
      </x:c>
      <x:c r="N1672" s="16" t="str">
        <x:v>Published source range; proposed allocation and structure require confirmation</x:v>
      </x:c>
      <x:c r="O1672" s="20"/>
      <x:c r="P1672" s="20" t="n">
        <x:v>15000000</x:v>
      </x:c>
      <x:c r="Q1672" s="25" t="str">
        <x:v>Property-loan range, not a corporate-capital commitment</x:v>
      </x:c>
      <x:c r="R1672" s="25" t="str">
        <x:v>Private real-estate finance experience. Corporate working capital, minority equity or profit participation requires a separate agreement from a property loan.</x:v>
      </x:c>
      <x:c r="S1672" s="25"/>
      <x:c r="T1672" s="25" t="str">
        <x:v>Confirm direct principal versus broker, $100K-$500K appetite, and whether capital can fund the operating company without a property mortgage.</x:v>
      </x:c>
      <x:c r="U1672" s="25" t="str">
        <x:v>https://www.hardmoneyhome.com/lenders/view/new-wave-loans
https://privatelenderlink.com/profile/new-wave-loans/</x:v>
      </x:c>
      <x:c r="V1672" s="26" t="d">
        <x:v>2026-10-02T00:00:00.000Z</x:v>
      </x:c>
      <x:c r="W1672" s="26" t="d">
        <x:v>2026-09-30T00:00:00.000Z</x:v>
      </x:c>
      <x:c r="X1672" s="25" t="str">
        <x:v>Saved public company, industry-directory or regulatory source; source date retained</x:v>
      </x:c>
      <x:c r="Y1672" s="25" t="str">
        <x:v>https://privatelenderlink.com/profile/new-wave-loans/</x:v>
      </x:c>
      <x:c r="Z1672" s="25" t="str">
        <x:v>https://www.hardmoneyhome.com/lenders/view/new-wave-loans</x:v>
      </x:c>
      <x:c r="AA1672" s="25" t="str">
        <x:v>[]</x:v>
      </x:c>
      <x:c r="AB1672" s="3" t="str">
        <x:v>Existing CapitalForge research, newly screened for this campaign</x:v>
      </x:c>
      <x:c r="AC1672" s="3" t="str">
        <x:v>unverified</x:v>
      </x:c>
      <x:c r="AD1672" s="3" t="str">
        <x:v>Not contacted / unconfirmed</x:v>
      </x:c>
      <x:c r="AE1672" s="3" t="str">
        <x:v>No</x:v>
      </x:c>
      <x:c r="AF1672" s="3" t="str">
        <x:v>No</x:v>
      </x:c>
      <x:c r="AG1672" s="3"/>
      <x:c r="AH1672" s="3"/>
      <x:c r="AI1672" s="18"/>
      <x:c r="AJ1672" s="3" t="str">
        <x:v>CF2500-D59CFF90B44B</x:v>
      </x:c>
      <x:c r="AK1672" s="3" t="str">
        <x:v>private_real_estate_lender</x:v>
      </x:c>
      <x:c r="AL1672" s="19" t="n">
        <x:v>100000</x:v>
      </x:c>
      <x:c r="AM1672" s="19" t="n">
        <x:v>500000</x:v>
      </x:c>
      <x:c r="AN1672" s="3" t="str">
        <x:v>https://www.hardmoneyhome.com/lenders/view/new-wave-loans</x:v>
      </x:c>
      <x:c r="AO1672" s="3" t="str">
        <x:v>public_directory.jsonl</x:v>
      </x:c>
      <x:c r="AP1672" s="19"/>
    </x:row>
    <x:row r="1673" ht="36" customHeight="1">
      <x:c r="A1673" s="23" t="n">
        <x:v>1672</x:v>
      </x:c>
      <x:c r="B1673" s="15" t="str">
        <x:v>Noble Mortgage &amp; Investments</x:v>
      </x:c>
      <x:c r="C1673" s="15"/>
      <x:c r="D1673" s="15" t="str">
        <x:v>Property lender or directory member; operating-company capital unconfirmed</x:v>
      </x:c>
      <x:c r="E1673" s="15" t="str">
        <x:v>Property lender / private-money inquiry</x:v>
      </x:c>
      <x:c r="F1673" s="17" t="str">
        <x:v>New</x:v>
      </x:c>
      <x:c r="G1673" s="24" t="str">
        <x:v>info@noblemortgage.com</x:v>
      </x:c>
      <x:c r="H1673" s="24" t="str">
        <x:v>+17136808100</x:v>
      </x:c>
      <x:c r="I1673" s="24" t="str">
        <x:v>https://www.noblemoney.com/</x:v>
      </x:c>
      <x:c r="J1673" s="16" t="str">
        <x:v>TX</x:v>
      </x:c>
      <x:c r="K1673" s="16" t="str">
        <x:v>Houston</x:v>
      </x:c>
      <x:c r="L1673" s="16" t="str">
        <x:v>firm_business_routing</x:v>
      </x:c>
      <x:c r="M1673" s="16" t="str">
        <x:v>https://www.noblemoney.com/</x:v>
      </x:c>
      <x:c r="N1673" s="16" t="str">
        <x:v>Published source range; proposed allocation and structure require confirmation</x:v>
      </x:c>
      <x:c r="O1673" s="20"/>
      <x:c r="P1673" s="20" t="n">
        <x:v>5000000</x:v>
      </x:c>
      <x:c r="Q1673" s="25" t="str">
        <x:v>Property-loan range, not a corporate-capital commitment</x:v>
      </x:c>
      <x:c r="R1673" s="25" t="str">
        <x:v>Private real-estate finance experience. Corporate working capital, minority equity or profit participation requires a separate agreement from a property loan.</x:v>
      </x:c>
      <x:c r="S1673" s="25"/>
      <x:c r="T1673" s="25" t="str">
        <x:v>Confirm direct principal versus broker, $100K-$500K appetite, and whether capital can fund the operating company without a property mortgage.</x:v>
      </x:c>
      <x:c r="U1673" s="25" t="str">
        <x:v>https://www.hardmoneyhome.com/lenders/view/noble-mortgage-and-investments
https://privatelenderlink.com/profile/noble-mortgage-investments-llc/</x:v>
      </x:c>
      <x:c r="V1673" s="26" t="d">
        <x:v>2026-10-02T00:00:00.000Z</x:v>
      </x:c>
      <x:c r="W1673" s="26" t="d">
        <x:v>2026-09-30T00:00:00.000Z</x:v>
      </x:c>
      <x:c r="X1673" s="25" t="str">
        <x:v>Saved public company, industry-directory or regulatory source; source date retained</x:v>
      </x:c>
      <x:c r="Y1673" s="25" t="str">
        <x:v>https://privatelenderlink.com/profile/noble-mortgage-investments-llc/</x:v>
      </x:c>
      <x:c r="Z1673" s="25" t="str">
        <x:v>https://www.hardmoneyhome.com/lenders/view/noble-mortgage-and-investments</x:v>
      </x:c>
      <x:c r="AA1673" s="25" t="str">
        <x:v>[]</x:v>
      </x:c>
      <x:c r="AB1673" s="3" t="str">
        <x:v>Existing CapitalForge research, newly screened for this campaign</x:v>
      </x:c>
      <x:c r="AC1673" s="3" t="str">
        <x:v>unverified</x:v>
      </x:c>
      <x:c r="AD1673" s="3" t="str">
        <x:v>Not contacted / unconfirmed</x:v>
      </x:c>
      <x:c r="AE1673" s="3" t="str">
        <x:v>No</x:v>
      </x:c>
      <x:c r="AF1673" s="3" t="str">
        <x:v>No</x:v>
      </x:c>
      <x:c r="AG1673" s="3"/>
      <x:c r="AH1673" s="3"/>
      <x:c r="AI1673" s="18"/>
      <x:c r="AJ1673" s="3" t="str">
        <x:v>CF2500-2B988CF8BCF9</x:v>
      </x:c>
      <x:c r="AK1673" s="3" t="str">
        <x:v>private_real_estate_lender</x:v>
      </x:c>
      <x:c r="AL1673" s="19" t="n">
        <x:v>100000</x:v>
      </x:c>
      <x:c r="AM1673" s="19" t="n">
        <x:v>500000</x:v>
      </x:c>
      <x:c r="AN1673" s="3" t="str">
        <x:v>https://www.hardmoneyhome.com/lenders/view/noble-mortgage-and-investments</x:v>
      </x:c>
      <x:c r="AO1673" s="3" t="str">
        <x:v>public_directory.jsonl</x:v>
      </x:c>
      <x:c r="AP1673" s="19"/>
    </x:row>
    <x:row r="1674" ht="36" customHeight="1">
      <x:c r="A1674" s="23" t="n">
        <x:v>1673</x:v>
      </x:c>
      <x:c r="B1674" s="15" t="str">
        <x:v>One Source Business Capital</x:v>
      </x:c>
      <x:c r="C1674" s="15"/>
      <x:c r="D1674" s="15" t="str">
        <x:v>Property lender or directory member; operating-company capital unconfirmed</x:v>
      </x:c>
      <x:c r="E1674" s="15" t="str">
        <x:v>Property lender / private-money inquiry</x:v>
      </x:c>
      <x:c r="F1674" s="17" t="str">
        <x:v>New</x:v>
      </x:c>
      <x:c r="G1674" s="24" t="str">
        <x:v>davidm@osbcapital.com</x:v>
      </x:c>
      <x:c r="H1674" s="24" t="str">
        <x:v>+12397894767</x:v>
      </x:c>
      <x:c r="I1674" s="24" t="str">
        <x:v>https://osbcapital.com</x:v>
      </x:c>
      <x:c r="J1674" s="16" t="str">
        <x:v>FL</x:v>
      </x:c>
      <x:c r="K1674" s="16" t="str">
        <x:v>Fort Myers</x:v>
      </x:c>
      <x:c r="L1674" s="16" t="str">
        <x:v>firm_business_routing</x:v>
      </x:c>
      <x:c r="M1674" s="16" t="str">
        <x:v>https://osbcapital.com</x:v>
      </x:c>
      <x:c r="N1674" s="16" t="str">
        <x:v>Published source range; proposed allocation and structure require confirmation</x:v>
      </x:c>
      <x:c r="O1674" s="20"/>
      <x:c r="P1674" s="20" t="n">
        <x:v>250000000</x:v>
      </x:c>
      <x:c r="Q1674" s="25" t="str">
        <x:v>Property-loan range, not a corporate-capital commitment</x:v>
      </x:c>
      <x:c r="R1674" s="25" t="str">
        <x:v>Private real-estate finance experience. Corporate working capital, minority equity or profit participation requires a separate agreement from a property loan.</x:v>
      </x:c>
      <x:c r="S1674" s="25"/>
      <x:c r="T1674" s="25" t="str">
        <x:v>Confirm direct principal versus broker, $100K-$500K appetite, and whether capital can fund the operating company without a property mortgage.</x:v>
      </x:c>
      <x:c r="U1674" s="25" t="str">
        <x:v>https://www.hardmoneyhome.com/lenders/view/one-source-business-capital
https://osbcapital.com</x:v>
      </x:c>
      <x:c r="V1674" s="26" t="d">
        <x:v>2026-10-02T00:00:00.000Z</x:v>
      </x:c>
      <x:c r="W1674" s="26" t="d">
        <x:v>2026-09-30T00:00:00.000Z</x:v>
      </x:c>
      <x:c r="X1674" s="25" t="str">
        <x:v>Saved public company, industry-directory or regulatory source; source date retained</x:v>
      </x:c>
      <x:c r="Y1674" s="25" t="str">
        <x:v>https://osbcapital.com</x:v>
      </x:c>
      <x:c r="Z1674" s="25" t="str">
        <x:v>https://www.hardmoneyhome.com/lenders/view/one-source-business-capital</x:v>
      </x:c>
      <x:c r="AA1674" s="25" t="str">
        <x:v>[]</x:v>
      </x:c>
      <x:c r="AB1674" s="3" t="str">
        <x:v>Existing CapitalForge research, newly screened for this campaign</x:v>
      </x:c>
      <x:c r="AC1674" s="3" t="str">
        <x:v>unverified</x:v>
      </x:c>
      <x:c r="AD1674" s="3" t="str">
        <x:v>Not contacted / unconfirmed</x:v>
      </x:c>
      <x:c r="AE1674" s="3" t="str">
        <x:v>No</x:v>
      </x:c>
      <x:c r="AF1674" s="3" t="str">
        <x:v>No</x:v>
      </x:c>
      <x:c r="AG1674" s="3"/>
      <x:c r="AH1674" s="3"/>
      <x:c r="AI1674" s="18"/>
      <x:c r="AJ1674" s="3" t="str">
        <x:v>CF2500-D29393BAC52F</x:v>
      </x:c>
      <x:c r="AK1674" s="3" t="str">
        <x:v>private_real_estate_lender</x:v>
      </x:c>
      <x:c r="AL1674" s="19" t="n">
        <x:v>100000</x:v>
      </x:c>
      <x:c r="AM1674" s="19" t="n">
        <x:v>500000</x:v>
      </x:c>
      <x:c r="AN1674" s="3" t="str">
        <x:v>https://www.hardmoneyhome.com/lenders/view/one-source-business-capital</x:v>
      </x:c>
      <x:c r="AO1674" s="3" t="str">
        <x:v>public_directory.jsonl</x:v>
      </x:c>
      <x:c r="AP1674" s="19"/>
    </x:row>
    <x:row r="1675" ht="36" customHeight="1">
      <x:c r="A1675" s="23" t="n">
        <x:v>1674</x:v>
      </x:c>
      <x:c r="B1675" s="15" t="str">
        <x:v>Park Place Finance</x:v>
      </x:c>
      <x:c r="C1675" s="15"/>
      <x:c r="D1675" s="15" t="str">
        <x:v>Property lender or directory member; operating-company capital unconfirmed</x:v>
      </x:c>
      <x:c r="E1675" s="15" t="str">
        <x:v>Property lender / private-money inquiry</x:v>
      </x:c>
      <x:c r="F1675" s="17" t="str">
        <x:v>New</x:v>
      </x:c>
      <x:c r="G1675" s="24" t="str">
        <x:v>marketing@parkplaceus.com</x:v>
      </x:c>
      <x:c r="H1675" s="24" t="str">
        <x:v>+18664953882</x:v>
      </x:c>
      <x:c r="I1675" s="24" t="str">
        <x:v>https://parkplacefinance.com/?utm_source=referral&amp;utm_medium=website&amp;utm_campaign=premiumlisting&amp;utm_id=hardmoneyhome</x:v>
      </x:c>
      <x:c r="J1675" s="16" t="str">
        <x:v>TX</x:v>
      </x:c>
      <x:c r="K1675" s="16" t="str">
        <x:v>Austin</x:v>
      </x:c>
      <x:c r="L1675" s="16" t="str">
        <x:v>firm_business_routing</x:v>
      </x:c>
      <x:c r="M1675" s="16" t="str">
        <x:v>https://parkplacefinance.com/?utm_source=referral&amp;utm_medium=website&amp;utm_campaign=premiumlisting&amp;utm_id=hardmoneyhome</x:v>
      </x:c>
      <x:c r="N1675" s="16" t="str">
        <x:v>Published source range; proposed allocation and structure require confirmation</x:v>
      </x:c>
      <x:c r="O1675" s="20"/>
      <x:c r="P1675" s="20" t="n">
        <x:v>3000000</x:v>
      </x:c>
      <x:c r="Q1675" s="25" t="str">
        <x:v>Property-loan range, not a corporate-capital commitment</x:v>
      </x:c>
      <x:c r="R1675" s="25" t="str">
        <x:v>Private real-estate finance experience. Corporate working capital, minority equity or profit participation requires a separate agreement from a property loan.</x:v>
      </x:c>
      <x:c r="S1675" s="25"/>
      <x:c r="T1675" s="25" t="str">
        <x:v>Confirm direct principal versus broker, $100K-$500K appetite, and whether capital can fund the operating company without a property mortgage.</x:v>
      </x:c>
      <x:c r="U1675" s="25" t="str">
        <x:v>https://www.hardmoneyhome.com/lenders/view/Park-Place-Finance
https://privatelenderlink.com/profile/park-place-finance/</x:v>
      </x:c>
      <x:c r="V1675" s="26" t="d">
        <x:v>2026-10-02T00:00:00.000Z</x:v>
      </x:c>
      <x:c r="W1675" s="26" t="d">
        <x:v>2026-09-30T00:00:00.000Z</x:v>
      </x:c>
      <x:c r="X1675" s="25" t="str">
        <x:v>Saved public company, industry-directory or regulatory source; source date retained</x:v>
      </x:c>
      <x:c r="Y1675" s="25" t="str">
        <x:v>https://privatelenderlink.com/profile/park-place-finance/</x:v>
      </x:c>
      <x:c r="Z1675" s="25" t="str">
        <x:v>https://www.hardmoneyhome.com/lenders/view/Park-Place-Finance</x:v>
      </x:c>
      <x:c r="AA1675" s="25" t="str">
        <x:v>[]</x:v>
      </x:c>
      <x:c r="AB1675" s="3" t="str">
        <x:v>Existing CapitalForge research, newly screened for this campaign</x:v>
      </x:c>
      <x:c r="AC1675" s="3" t="str">
        <x:v>unverified</x:v>
      </x:c>
      <x:c r="AD1675" s="3" t="str">
        <x:v>Not contacted / unconfirmed</x:v>
      </x:c>
      <x:c r="AE1675" s="3" t="str">
        <x:v>No</x:v>
      </x:c>
      <x:c r="AF1675" s="3" t="str">
        <x:v>No</x:v>
      </x:c>
      <x:c r="AG1675" s="3"/>
      <x:c r="AH1675" s="3"/>
      <x:c r="AI1675" s="18"/>
      <x:c r="AJ1675" s="3" t="str">
        <x:v>CF2500-20974B84C4F7</x:v>
      </x:c>
      <x:c r="AK1675" s="3" t="str">
        <x:v>private_real_estate_lender</x:v>
      </x:c>
      <x:c r="AL1675" s="19" t="n">
        <x:v>100000</x:v>
      </x:c>
      <x:c r="AM1675" s="19" t="n">
        <x:v>500000</x:v>
      </x:c>
      <x:c r="AN1675" s="3" t="str">
        <x:v>https://www.hardmoneyhome.com/lenders/view/Park-Place-Finance</x:v>
      </x:c>
      <x:c r="AO1675" s="3" t="str">
        <x:v>public_directory.jsonl</x:v>
      </x:c>
      <x:c r="AP1675" s="19"/>
    </x:row>
    <x:row r="1676" ht="36" customHeight="1">
      <x:c r="A1676" s="23" t="n">
        <x:v>1675</x:v>
      </x:c>
      <x:c r="B1676" s="15" t="str">
        <x:v>Proactive Lending Group</x:v>
      </x:c>
      <x:c r="C1676" s="15"/>
      <x:c r="D1676" s="15" t="str">
        <x:v>Property lender or directory member; operating-company capital unconfirmed</x:v>
      </x:c>
      <x:c r="E1676" s="15" t="str">
        <x:v>Property lender / private-money inquiry</x:v>
      </x:c>
      <x:c r="F1676" s="17" t="str">
        <x:v>New</x:v>
      </x:c>
      <x:c r="G1676" s="24" t="str">
        <x:v>bmyles@proactivelendinggroup.com</x:v>
      </x:c>
      <x:c r="H1676" s="24" t="str">
        <x:v>+18772514598</x:v>
      </x:c>
      <x:c r="I1676" s="24" t="str">
        <x:v>http://proactivelendinggroup.com/</x:v>
      </x:c>
      <x:c r="J1676" s="16" t="str">
        <x:v>TX</x:v>
      </x:c>
      <x:c r="K1676" s="16" t="str">
        <x:v>San Antonio</x:v>
      </x:c>
      <x:c r="L1676" s="16" t="str">
        <x:v>firm_business_routing</x:v>
      </x:c>
      <x:c r="M1676" s="16" t="str">
        <x:v>http://proactivelendinggroup.com/</x:v>
      </x:c>
      <x:c r="N1676" s="16" t="str">
        <x:v>Published source range; proposed allocation and structure require confirmation</x:v>
      </x:c>
      <x:c r="O1676" s="20"/>
      <x:c r="P1676" s="20" t="n">
        <x:v>5000000</x:v>
      </x:c>
      <x:c r="Q1676" s="25" t="str">
        <x:v>Property-loan range, not a corporate-capital commitment</x:v>
      </x:c>
      <x:c r="R1676" s="25" t="str">
        <x:v>Private real-estate finance experience. Corporate working capital, minority equity or profit participation requires a separate agreement from a property loan.</x:v>
      </x:c>
      <x:c r="S1676" s="25"/>
      <x:c r="T1676" s="25" t="str">
        <x:v>Confirm direct principal versus broker, $100K-$500K appetite, and whether capital can fund the operating company without a property mortgage.</x:v>
      </x:c>
      <x:c r="U1676" s="25" t="str">
        <x:v>https://www.hardmoneyhome.com/lenders/view/proactive-lending-group
https://proactivelendinggroup.com/</x:v>
      </x:c>
      <x:c r="V1676" s="26" t="d">
        <x:v>2026-10-02T00:00:00.000Z</x:v>
      </x:c>
      <x:c r="W1676" s="26" t="d">
        <x:v>2026-09-30T00:00:00.000Z</x:v>
      </x:c>
      <x:c r="X1676" s="25" t="str">
        <x:v>Saved public company, industry-directory or regulatory source; source date retained</x:v>
      </x:c>
      <x:c r="Y1676" s="25" t="str">
        <x:v>https://proactivelendinggroup.com/</x:v>
      </x:c>
      <x:c r="Z1676" s="25" t="str">
        <x:v>https://www.hardmoneyhome.com/lenders/view/proactive-lending-group</x:v>
      </x:c>
      <x:c r="AA1676" s="25" t="str">
        <x:v>[]</x:v>
      </x:c>
      <x:c r="AB1676" s="3" t="str">
        <x:v>Existing CapitalForge research, newly screened for this campaign</x:v>
      </x:c>
      <x:c r="AC1676" s="3" t="str">
        <x:v>unverified</x:v>
      </x:c>
      <x:c r="AD1676" s="3" t="str">
        <x:v>Not contacted / unconfirmed</x:v>
      </x:c>
      <x:c r="AE1676" s="3" t="str">
        <x:v>No</x:v>
      </x:c>
      <x:c r="AF1676" s="3" t="str">
        <x:v>No</x:v>
      </x:c>
      <x:c r="AG1676" s="3"/>
      <x:c r="AH1676" s="3"/>
      <x:c r="AI1676" s="18"/>
      <x:c r="AJ1676" s="3" t="str">
        <x:v>CF2500-A4EA3F16AC4A</x:v>
      </x:c>
      <x:c r="AK1676" s="3" t="str">
        <x:v>private_real_estate_lender</x:v>
      </x:c>
      <x:c r="AL1676" s="19" t="n">
        <x:v>100000</x:v>
      </x:c>
      <x:c r="AM1676" s="19" t="n">
        <x:v>500000</x:v>
      </x:c>
      <x:c r="AN1676" s="3" t="str">
        <x:v>https://www.hardmoneyhome.com/lenders/view/proactive-lending-group</x:v>
      </x:c>
      <x:c r="AO1676" s="3" t="str">
        <x:v>public_directory.jsonl</x:v>
      </x:c>
      <x:c r="AP1676" s="19"/>
    </x:row>
    <x:row r="1677" ht="36" customHeight="1">
      <x:c r="A1677" s="23" t="n">
        <x:v>1676</x:v>
      </x:c>
      <x:c r="B1677" s="15" t="str">
        <x:v>REI Capital</x:v>
      </x:c>
      <x:c r="C1677" s="15"/>
      <x:c r="D1677" s="15" t="str">
        <x:v>Property lender or directory member; operating-company capital unconfirmed</x:v>
      </x:c>
      <x:c r="E1677" s="15" t="str">
        <x:v>Property lender / private-money inquiry</x:v>
      </x:c>
      <x:c r="F1677" s="17" t="str">
        <x:v>New</x:v>
      </x:c>
      <x:c r="G1677" s="24" t="str">
        <x:v>reic@rei-cap.com</x:v>
      </x:c>
      <x:c r="H1677" s="24" t="str">
        <x:v>+18444488884</x:v>
      </x:c>
      <x:c r="I1677" s="24" t="str">
        <x:v>https://www.rei-cap.com</x:v>
      </x:c>
      <x:c r="J1677" s="16" t="str">
        <x:v>FL</x:v>
      </x:c>
      <x:c r="K1677" s="16" t="str">
        <x:v>Naples</x:v>
      </x:c>
      <x:c r="L1677" s="16" t="str">
        <x:v>firm_business_routing</x:v>
      </x:c>
      <x:c r="M1677" s="16" t="str">
        <x:v>https://www.rei-cap.com</x:v>
      </x:c>
      <x:c r="N1677" s="16" t="str">
        <x:v>Published source range; proposed allocation and structure require confirmation</x:v>
      </x:c>
      <x:c r="O1677" s="20"/>
      <x:c r="P1677" s="20" t="n">
        <x:v>100000000</x:v>
      </x:c>
      <x:c r="Q1677" s="25" t="str">
        <x:v>Property-loan range, not a corporate-capital commitment</x:v>
      </x:c>
      <x:c r="R1677" s="25" t="str">
        <x:v>Private real-estate finance experience. Corporate working capital, minority equity or profit participation requires a separate agreement from a property loan.</x:v>
      </x:c>
      <x:c r="S1677" s="25"/>
      <x:c r="T1677" s="25" t="str">
        <x:v>Confirm direct principal versus broker, $100K-$500K appetite, and whether capital can fund the operating company without a property mortgage.</x:v>
      </x:c>
      <x:c r="U1677" s="25" t="str">
        <x:v>https://www.hardmoneyhome.com/lenders/view/rei-capital</x:v>
      </x:c>
      <x:c r="V1677" s="26" t="d">
        <x:v>2026-10-02T00:00:00.000Z</x:v>
      </x:c>
      <x:c r="W1677" s="26" t="d">
        <x:v>2026-09-30T00:00:00.000Z</x:v>
      </x:c>
      <x:c r="X1677" s="25" t="str">
        <x:v>Saved public company, industry-directory or regulatory source; source date retained</x:v>
      </x:c>
      <x:c r="Y1677" s="25" t="str">
        <x:v>https://www.hardmoneyhome.com/lenders/view/rei-capital</x:v>
      </x:c>
      <x:c r="Z1677" s="25" t="str">
        <x:v>https://www.hardmoneyhome.com/lenders/view/rei-capital</x:v>
      </x:c>
      <x:c r="AA1677" s="25" t="str">
        <x:v>[]</x:v>
      </x:c>
      <x:c r="AB1677" s="3" t="str">
        <x:v>Existing CapitalForge research, newly screened for this campaign</x:v>
      </x:c>
      <x:c r="AC1677" s="3" t="str">
        <x:v>unverified</x:v>
      </x:c>
      <x:c r="AD1677" s="3" t="str">
        <x:v>Not contacted / unconfirmed</x:v>
      </x:c>
      <x:c r="AE1677" s="3" t="str">
        <x:v>No</x:v>
      </x:c>
      <x:c r="AF1677" s="3" t="str">
        <x:v>No</x:v>
      </x:c>
      <x:c r="AG1677" s="3"/>
      <x:c r="AH1677" s="3"/>
      <x:c r="AI1677" s="18"/>
      <x:c r="AJ1677" s="3" t="str">
        <x:v>CF2500-32041B1B9DDF</x:v>
      </x:c>
      <x:c r="AK1677" s="3" t="str">
        <x:v>private_real_estate_lender</x:v>
      </x:c>
      <x:c r="AL1677" s="19" t="n">
        <x:v>100000</x:v>
      </x:c>
      <x:c r="AM1677" s="19" t="n">
        <x:v>500000</x:v>
      </x:c>
      <x:c r="AN1677" s="3" t="str">
        <x:v>https://www.hardmoneyhome.com/lenders/view/rei-capital</x:v>
      </x:c>
      <x:c r="AO1677" s="3" t="str">
        <x:v>public_directory.jsonl</x:v>
      </x:c>
      <x:c r="AP1677" s="19"/>
    </x:row>
    <x:row r="1678" ht="36" customHeight="1">
      <x:c r="A1678" s="23" t="n">
        <x:v>1677</x:v>
      </x:c>
      <x:c r="B1678" s="15" t="str">
        <x:v>Ridge Street</x:v>
      </x:c>
      <x:c r="C1678" s="15"/>
      <x:c r="D1678" s="15" t="str">
        <x:v>Property lender or directory member; operating-company capital unconfirmed</x:v>
      </x:c>
      <x:c r="E1678" s="15" t="str">
        <x:v>Property lender / private-money inquiry</x:v>
      </x:c>
      <x:c r="F1678" s="17" t="str">
        <x:v>New</x:v>
      </x:c>
      <x:c r="G1678" s="24" t="str">
        <x:v>cohen@ridgestreetcap.com</x:v>
      </x:c>
      <x:c r="H1678" s="24" t="str">
        <x:v>+17863042751</x:v>
      </x:c>
      <x:c r="I1678" s="24" t="str">
        <x:v>https://www.ridgestreetcap.com/</x:v>
      </x:c>
      <x:c r="J1678" s="16" t="str">
        <x:v>FL</x:v>
      </x:c>
      <x:c r="K1678" s="16" t="str">
        <x:v>St. Petersburg</x:v>
      </x:c>
      <x:c r="L1678" s="16" t="str">
        <x:v>firm_business_routing</x:v>
      </x:c>
      <x:c r="M1678" s="16" t="str">
        <x:v>https://www.ridgestreetcap.com/</x:v>
      </x:c>
      <x:c r="N1678" s="16" t="str">
        <x:v>Published source range; proposed allocation and structure require confirmation</x:v>
      </x:c>
      <x:c r="O1678" s="20"/>
      <x:c r="P1678" s="20" t="n">
        <x:v>3000000</x:v>
      </x:c>
      <x:c r="Q1678" s="25" t="str">
        <x:v>Property-loan range, not a corporate-capital commitment</x:v>
      </x:c>
      <x:c r="R1678" s="25" t="str">
        <x:v>Private real-estate finance experience. Corporate working capital, minority equity or profit participation requires a separate agreement from a property loan.</x:v>
      </x:c>
      <x:c r="S1678" s="25"/>
      <x:c r="T1678" s="25" t="str">
        <x:v>Confirm direct principal versus broker, $100K-$500K appetite, and whether capital can fund the operating company without a property mortgage.</x:v>
      </x:c>
      <x:c r="U1678" s="25" t="str">
        <x:v>https://www.hardmoneyhome.com/lenders/view/ridge-street
https://www.ridgestreetcap.com/</x:v>
      </x:c>
      <x:c r="V1678" s="26" t="d">
        <x:v>2026-10-02T00:00:00.000Z</x:v>
      </x:c>
      <x:c r="W1678" s="26" t="d">
        <x:v>2026-09-30T00:00:00.000Z</x:v>
      </x:c>
      <x:c r="X1678" s="25" t="str">
        <x:v>Saved public company, industry-directory or regulatory source; source date retained</x:v>
      </x:c>
      <x:c r="Y1678" s="25" t="str">
        <x:v>https://www.ridgestreetcap.com/</x:v>
      </x:c>
      <x:c r="Z1678" s="25" t="str">
        <x:v>https://www.hardmoneyhome.com/lenders/view/ridge-street</x:v>
      </x:c>
      <x:c r="AA1678" s="25" t="str">
        <x:v>[]</x:v>
      </x:c>
      <x:c r="AB1678" s="3" t="str">
        <x:v>Existing CapitalForge research, newly screened for this campaign</x:v>
      </x:c>
      <x:c r="AC1678" s="3" t="str">
        <x:v>unverified</x:v>
      </x:c>
      <x:c r="AD1678" s="3" t="str">
        <x:v>Not contacted / unconfirmed</x:v>
      </x:c>
      <x:c r="AE1678" s="3" t="str">
        <x:v>No</x:v>
      </x:c>
      <x:c r="AF1678" s="3" t="str">
        <x:v>No</x:v>
      </x:c>
      <x:c r="AG1678" s="3"/>
      <x:c r="AH1678" s="3"/>
      <x:c r="AI1678" s="18"/>
      <x:c r="AJ1678" s="3" t="str">
        <x:v>CF2500-1F8866E4F27A</x:v>
      </x:c>
      <x:c r="AK1678" s="3" t="str">
        <x:v>private_real_estate_lender</x:v>
      </x:c>
      <x:c r="AL1678" s="19" t="n">
        <x:v>100000</x:v>
      </x:c>
      <x:c r="AM1678" s="19" t="n">
        <x:v>500000</x:v>
      </x:c>
      <x:c r="AN1678" s="3" t="str">
        <x:v>https://www.hardmoneyhome.com/lenders/view/ridge-street</x:v>
      </x:c>
      <x:c r="AO1678" s="3" t="str">
        <x:v>public_directory.jsonl</x:v>
      </x:c>
      <x:c r="AP1678" s="19"/>
    </x:row>
    <x:row r="1679" ht="36" customHeight="1">
      <x:c r="A1679" s="23" t="n">
        <x:v>1678</x:v>
      </x:c>
      <x:c r="B1679" s="15" t="str">
        <x:v>Secured Investment Lending</x:v>
      </x:c>
      <x:c r="C1679" s="15"/>
      <x:c r="D1679" s="15" t="str">
        <x:v>Property lender or directory member; operating-company capital unconfirmed</x:v>
      </x:c>
      <x:c r="E1679" s="15" t="str">
        <x:v>Property lender / private-money inquiry</x:v>
      </x:c>
      <x:c r="F1679" s="17" t="str">
        <x:v>New</x:v>
      </x:c>
      <x:c r="G1679" s="24" t="str">
        <x:v>info@securedinvestmentlending.com</x:v>
      </x:c>
      <x:c r="H1679" s="24" t="str">
        <x:v>+14078782830</x:v>
      </x:c>
      <x:c r="I1679" s="24" t="str">
        <x:v>https://www.securedinvestmentlending.com/</x:v>
      </x:c>
      <x:c r="J1679" s="16" t="str">
        <x:v>FL</x:v>
      </x:c>
      <x:c r="K1679" s="16" t="str">
        <x:v>Lake Mary</x:v>
      </x:c>
      <x:c r="L1679" s="16" t="str">
        <x:v>firm_business_routing</x:v>
      </x:c>
      <x:c r="M1679" s="16" t="str">
        <x:v>https://www.securedinvestmentlending.com/</x:v>
      </x:c>
      <x:c r="N1679" s="16" t="str">
        <x:v>Published source range; proposed allocation and structure require confirmation</x:v>
      </x:c>
      <x:c r="O1679" s="20"/>
      <x:c r="P1679" s="20" t="n">
        <x:v>5000000</x:v>
      </x:c>
      <x:c r="Q1679" s="25" t="str">
        <x:v>Property-loan range, not a corporate-capital commitment</x:v>
      </x:c>
      <x:c r="R1679" s="25" t="str">
        <x:v>Private real-estate finance experience. Corporate working capital, minority equity or profit participation requires a separate agreement from a property loan.</x:v>
      </x:c>
      <x:c r="S1679" s="25"/>
      <x:c r="T1679" s="25" t="str">
        <x:v>Confirm direct principal versus broker, $100K-$500K appetite, and whether capital can fund the operating company without a property mortgage.</x:v>
      </x:c>
      <x:c r="U1679" s="25" t="str">
        <x:v>https://www.hardmoneyhome.com/lenders/view/secured-investment-lending
https://securedinvestmentlending.com/</x:v>
      </x:c>
      <x:c r="V1679" s="26" t="d">
        <x:v>2026-10-02T00:00:00.000Z</x:v>
      </x:c>
      <x:c r="W1679" s="26" t="d">
        <x:v>2026-09-30T00:00:00.000Z</x:v>
      </x:c>
      <x:c r="X1679" s="25" t="str">
        <x:v>Saved public company, industry-directory or regulatory source; source date retained</x:v>
      </x:c>
      <x:c r="Y1679" s="25" t="str">
        <x:v>https://securedinvestmentlending.com/</x:v>
      </x:c>
      <x:c r="Z1679" s="25" t="str">
        <x:v>https://www.hardmoneyhome.com/lenders/view/secured-investment-lending</x:v>
      </x:c>
      <x:c r="AA1679" s="25" t="str">
        <x:v>[]</x:v>
      </x:c>
      <x:c r="AB1679" s="3" t="str">
        <x:v>Existing CapitalForge research, newly screened for this campaign</x:v>
      </x:c>
      <x:c r="AC1679" s="3" t="str">
        <x:v>unverified</x:v>
      </x:c>
      <x:c r="AD1679" s="3" t="str">
        <x:v>Not contacted / unconfirmed</x:v>
      </x:c>
      <x:c r="AE1679" s="3" t="str">
        <x:v>No</x:v>
      </x:c>
      <x:c r="AF1679" s="3" t="str">
        <x:v>No</x:v>
      </x:c>
      <x:c r="AG1679" s="3"/>
      <x:c r="AH1679" s="3"/>
      <x:c r="AI1679" s="18"/>
      <x:c r="AJ1679" s="3" t="str">
        <x:v>CF2500-AA001EE22F8E</x:v>
      </x:c>
      <x:c r="AK1679" s="3" t="str">
        <x:v>private_real_estate_lender</x:v>
      </x:c>
      <x:c r="AL1679" s="19" t="n">
        <x:v>100000</x:v>
      </x:c>
      <x:c r="AM1679" s="19" t="n">
        <x:v>500000</x:v>
      </x:c>
      <x:c r="AN1679" s="3" t="str">
        <x:v>https://www.hardmoneyhome.com/lenders/view/secured-investment-lending</x:v>
      </x:c>
      <x:c r="AO1679" s="3" t="str">
        <x:v>public_directory.jsonl</x:v>
      </x:c>
      <x:c r="AP1679" s="19"/>
    </x:row>
    <x:row r="1680" ht="36" customHeight="1">
      <x:c r="A1680" s="23" t="n">
        <x:v>1679</x:v>
      </x:c>
      <x:c r="B1680" s="15" t="str">
        <x:v>Sherman Bridge Lending</x:v>
      </x:c>
      <x:c r="C1680" s="15"/>
      <x:c r="D1680" s="15" t="str">
        <x:v>Property lender or directory member; operating-company capital unconfirmed</x:v>
      </x:c>
      <x:c r="E1680" s="15" t="str">
        <x:v>Property lender / private-money inquiry</x:v>
      </x:c>
      <x:c r="F1680" s="17" t="str">
        <x:v>New</x:v>
      </x:c>
      <x:c r="G1680" s="24" t="str">
        <x:v>info@shermanbridge.com</x:v>
      </x:c>
      <x:c r="H1680" s="24" t="str">
        <x:v>+18669549950</x:v>
      </x:c>
      <x:c r="I1680" s="24" t="str">
        <x:v>https://www.shermanbridge.com</x:v>
      </x:c>
      <x:c r="J1680" s="16" t="str">
        <x:v>TX</x:v>
      </x:c>
      <x:c r="K1680" s="16" t="str">
        <x:v>Irving</x:v>
      </x:c>
      <x:c r="L1680" s="16" t="str">
        <x:v>firm_business_routing</x:v>
      </x:c>
      <x:c r="M1680" s="16" t="str">
        <x:v>https://www.shermanbridge.com</x:v>
      </x:c>
      <x:c r="N1680" s="16" t="str">
        <x:v>Published source range; proposed allocation and structure require confirmation</x:v>
      </x:c>
      <x:c r="O1680" s="20"/>
      <x:c r="P1680" s="20" t="n">
        <x:v>1000000</x:v>
      </x:c>
      <x:c r="Q1680" s="25" t="str">
        <x:v>Property-loan range, not a corporate-capital commitment</x:v>
      </x:c>
      <x:c r="R1680" s="25" t="str">
        <x:v>Private real-estate finance experience. Corporate working capital, minority equity or profit participation requires a separate agreement from a property loan.</x:v>
      </x:c>
      <x:c r="S1680" s="25"/>
      <x:c r="T1680" s="25" t="str">
        <x:v>Confirm direct principal versus broker, $100K-$500K appetite, and whether capital can fund the operating company without a property mortgage.</x:v>
      </x:c>
      <x:c r="U1680" s="25" t="str">
        <x:v>https://www.hardmoneyhome.com/lenders/view/sherman-bridge-lending
https://shermanbridge.com/contact-us/
https://nplaconference.com/private-lending-directory/page/15/</x:v>
      </x:c>
      <x:c r="V1680" s="26" t="d">
        <x:v>2026-10-02T00:00:00.000Z</x:v>
      </x:c>
      <x:c r="W1680" s="26" t="d">
        <x:v>2026-09-30T00:00:00.000Z</x:v>
      </x:c>
      <x:c r="X1680" s="25" t="str">
        <x:v>Saved public company, industry-directory or regulatory source; source date retained</x:v>
      </x:c>
      <x:c r="Y1680" s="25" t="str">
        <x:v>https://shermanbridge.com/contact-us/</x:v>
      </x:c>
      <x:c r="Z1680" s="25" t="str">
        <x:v>https://www.hardmoneyhome.com/lenders/view/sherman-bridge-lending</x:v>
      </x:c>
      <x:c r="AA1680" s="25" t="str">
        <x:v>[]</x:v>
      </x:c>
      <x:c r="AB1680" s="3" t="str">
        <x:v>Existing CapitalForge research, newly screened for this campaign</x:v>
      </x:c>
      <x:c r="AC1680" s="3" t="str">
        <x:v>unverified</x:v>
      </x:c>
      <x:c r="AD1680" s="3" t="str">
        <x:v>Not contacted / unconfirmed</x:v>
      </x:c>
      <x:c r="AE1680" s="3" t="str">
        <x:v>No</x:v>
      </x:c>
      <x:c r="AF1680" s="3" t="str">
        <x:v>No</x:v>
      </x:c>
      <x:c r="AG1680" s="3"/>
      <x:c r="AH1680" s="3"/>
      <x:c r="AI1680" s="18"/>
      <x:c r="AJ1680" s="3" t="str">
        <x:v>CF2500-F789D98307E5</x:v>
      </x:c>
      <x:c r="AK1680" s="3" t="str">
        <x:v>private_real_estate_lender</x:v>
      </x:c>
      <x:c r="AL1680" s="19" t="n">
        <x:v>100000</x:v>
      </x:c>
      <x:c r="AM1680" s="19" t="n">
        <x:v>500000</x:v>
      </x:c>
      <x:c r="AN1680" s="3" t="str">
        <x:v>https://www.hardmoneyhome.com/lenders/view/sherman-bridge-lending</x:v>
      </x:c>
      <x:c r="AO1680" s="3" t="str">
        <x:v>public_directory.jsonl</x:v>
      </x:c>
      <x:c r="AP1680" s="19"/>
    </x:row>
    <x:row r="1681" ht="36" customHeight="1">
      <x:c r="A1681" s="23" t="n">
        <x:v>1680</x:v>
      </x:c>
      <x:c r="B1681" s="15" t="str">
        <x:v>Sherpa Capital Group</x:v>
      </x:c>
      <x:c r="C1681" s="15"/>
      <x:c r="D1681" s="15" t="str">
        <x:v>Property lender or directory member; operating-company capital unconfirmed</x:v>
      </x:c>
      <x:c r="E1681" s="15" t="str">
        <x:v>Property lender / private-money inquiry</x:v>
      </x:c>
      <x:c r="F1681" s="17" t="str">
        <x:v>New</x:v>
      </x:c>
      <x:c r="G1681" s="24" t="str">
        <x:v>rshah@sherpacapitalgroup.com</x:v>
      </x:c>
      <x:c r="H1681" s="24" t="str">
        <x:v>+13126026211</x:v>
      </x:c>
      <x:c r="I1681" s="24" t="str">
        <x:v>http://www.sherpacapitalgroup.com/</x:v>
      </x:c>
      <x:c r="J1681" s="16" t="str">
        <x:v>IL</x:v>
      </x:c>
      <x:c r="K1681" s="16" t="str">
        <x:v>Chicago</x:v>
      </x:c>
      <x:c r="L1681" s="16" t="str">
        <x:v>firm_business_routing</x:v>
      </x:c>
      <x:c r="M1681" s="16" t="str">
        <x:v>http://www.sherpacapitalgroup.com/</x:v>
      </x:c>
      <x:c r="N1681" s="16" t="str">
        <x:v>Published source range; proposed allocation and structure require confirmation</x:v>
      </x:c>
      <x:c r="O1681" s="20"/>
      <x:c r="P1681" s="20" t="n">
        <x:v>4000000</x:v>
      </x:c>
      <x:c r="Q1681" s="25" t="str">
        <x:v>Property-loan range, not a corporate-capital commitment</x:v>
      </x:c>
      <x:c r="R1681" s="25" t="str">
        <x:v>Private real-estate finance experience. Corporate working capital, minority equity or profit participation requires a separate agreement from a property loan.</x:v>
      </x:c>
      <x:c r="S1681" s="25"/>
      <x:c r="T1681" s="25" t="str">
        <x:v>Confirm direct principal versus broker, $100K-$500K appetite, and whether capital can fund the operating company without a property mortgage.</x:v>
      </x:c>
      <x:c r="U1681" s="25" t="str">
        <x:v>https://www.hardmoneyhome.com/lenders/view/sherpa-capital-group
https://privatelenderlink.com/profile/sherpa-capital-group/</x:v>
      </x:c>
      <x:c r="V1681" s="26" t="d">
        <x:v>2026-10-02T00:00:00.000Z</x:v>
      </x:c>
      <x:c r="W1681" s="26" t="d">
        <x:v>2026-09-30T00:00:00.000Z</x:v>
      </x:c>
      <x:c r="X1681" s="25" t="str">
        <x:v>Saved public company, industry-directory or regulatory source; source date retained</x:v>
      </x:c>
      <x:c r="Y1681" s="25" t="str">
        <x:v>https://privatelenderlink.com/profile/sherpa-capital-group/</x:v>
      </x:c>
      <x:c r="Z1681" s="25" t="str">
        <x:v>https://www.hardmoneyhome.com/lenders/view/sherpa-capital-group</x:v>
      </x:c>
      <x:c r="AA1681" s="25" t="str">
        <x:v>[]</x:v>
      </x:c>
      <x:c r="AB1681" s="3" t="str">
        <x:v>Existing CapitalForge research, newly screened for this campaign</x:v>
      </x:c>
      <x:c r="AC1681" s="3" t="str">
        <x:v>unverified</x:v>
      </x:c>
      <x:c r="AD1681" s="3" t="str">
        <x:v>Not contacted / unconfirmed</x:v>
      </x:c>
      <x:c r="AE1681" s="3" t="str">
        <x:v>No</x:v>
      </x:c>
      <x:c r="AF1681" s="3" t="str">
        <x:v>No</x:v>
      </x:c>
      <x:c r="AG1681" s="3"/>
      <x:c r="AH1681" s="3"/>
      <x:c r="AI1681" s="18"/>
      <x:c r="AJ1681" s="3" t="str">
        <x:v>CF2500-49F14463BE15</x:v>
      </x:c>
      <x:c r="AK1681" s="3" t="str">
        <x:v>private_real_estate_lender</x:v>
      </x:c>
      <x:c r="AL1681" s="19" t="n">
        <x:v>100000</x:v>
      </x:c>
      <x:c r="AM1681" s="19" t="n">
        <x:v>500000</x:v>
      </x:c>
      <x:c r="AN1681" s="3" t="str">
        <x:v>https://www.hardmoneyhome.com/lenders/view/sherpa-capital-group</x:v>
      </x:c>
      <x:c r="AO1681" s="3" t="str">
        <x:v>public_directory.jsonl</x:v>
      </x:c>
      <x:c r="AP1681" s="19"/>
    </x:row>
    <x:row r="1682" ht="36" customHeight="1">
      <x:c r="A1682" s="23" t="n">
        <x:v>1681</x:v>
      </x:c>
      <x:c r="B1682" s="15" t="str">
        <x:v>Stallion Funding</x:v>
      </x:c>
      <x:c r="C1682" s="15"/>
      <x:c r="D1682" s="15" t="str">
        <x:v>Property lender or directory member; operating-company capital unconfirmed</x:v>
      </x:c>
      <x:c r="E1682" s="15" t="str">
        <x:v>Property lender / private-money inquiry</x:v>
      </x:c>
      <x:c r="F1682" s="17" t="str">
        <x:v>New</x:v>
      </x:c>
      <x:c r="G1682" s="24" t="str">
        <x:v>info@stallionfunding.com</x:v>
      </x:c>
      <x:c r="H1682" s="24" t="str">
        <x:v>+15122195558</x:v>
      </x:c>
      <x:c r="I1682" s="24" t="str">
        <x:v>https://stallionfunding.com/</x:v>
      </x:c>
      <x:c r="J1682" s="16" t="str">
        <x:v>TX</x:v>
      </x:c>
      <x:c r="K1682" s="16" t="str">
        <x:v>Austin</x:v>
      </x:c>
      <x:c r="L1682" s="16" t="str">
        <x:v>firm_business_routing</x:v>
      </x:c>
      <x:c r="M1682" s="16" t="str">
        <x:v>https://stallionfunding.com/</x:v>
      </x:c>
      <x:c r="N1682" s="16" t="str">
        <x:v>Published source range; proposed allocation and structure require confirmation</x:v>
      </x:c>
      <x:c r="O1682" s="20"/>
      <x:c r="P1682" s="20" t="n">
        <x:v>10000000</x:v>
      </x:c>
      <x:c r="Q1682" s="25" t="str">
        <x:v>Property-loan range, not a corporate-capital commitment</x:v>
      </x:c>
      <x:c r="R1682" s="25" t="str">
        <x:v>Private real-estate finance experience. Corporate working capital, minority equity or profit participation requires a separate agreement from a property loan.</x:v>
      </x:c>
      <x:c r="S1682" s="25"/>
      <x:c r="T1682" s="25" t="str">
        <x:v>Confirm direct principal versus broker, $100K-$500K appetite, and whether capital can fund the operating company without a property mortgage.</x:v>
      </x:c>
      <x:c r="U1682" s="25" t="str">
        <x:v>https://www.hardmoneyhome.com/lenders/view/stallion-funding
https://stallionfunding.com/</x:v>
      </x:c>
      <x:c r="V1682" s="26" t="d">
        <x:v>2026-10-02T00:00:00.000Z</x:v>
      </x:c>
      <x:c r="W1682" s="26" t="d">
        <x:v>2026-09-30T00:00:00.000Z</x:v>
      </x:c>
      <x:c r="X1682" s="25" t="str">
        <x:v>Saved public company, industry-directory or regulatory source; source date retained</x:v>
      </x:c>
      <x:c r="Y1682" s="25" t="str">
        <x:v>https://stallionfunding.com/</x:v>
      </x:c>
      <x:c r="Z1682" s="25" t="str">
        <x:v>https://www.hardmoneyhome.com/lenders/view/stallion-funding</x:v>
      </x:c>
      <x:c r="AA1682" s="25" t="str">
        <x:v>[]</x:v>
      </x:c>
      <x:c r="AB1682" s="3" t="str">
        <x:v>Existing CapitalForge research, newly screened for this campaign</x:v>
      </x:c>
      <x:c r="AC1682" s="3" t="str">
        <x:v>unverified</x:v>
      </x:c>
      <x:c r="AD1682" s="3" t="str">
        <x:v>Not contacted / unconfirmed</x:v>
      </x:c>
      <x:c r="AE1682" s="3" t="str">
        <x:v>No</x:v>
      </x:c>
      <x:c r="AF1682" s="3" t="str">
        <x:v>No</x:v>
      </x:c>
      <x:c r="AG1682" s="3"/>
      <x:c r="AH1682" s="3"/>
      <x:c r="AI1682" s="18"/>
      <x:c r="AJ1682" s="3" t="str">
        <x:v>CF2500-461D555ED30A</x:v>
      </x:c>
      <x:c r="AK1682" s="3" t="str">
        <x:v>private_real_estate_lender</x:v>
      </x:c>
      <x:c r="AL1682" s="19" t="n">
        <x:v>100000</x:v>
      </x:c>
      <x:c r="AM1682" s="19" t="n">
        <x:v>500000</x:v>
      </x:c>
      <x:c r="AN1682" s="3" t="str">
        <x:v>https://www.hardmoneyhome.com/lenders/view/stallion-funding</x:v>
      </x:c>
      <x:c r="AO1682" s="3" t="str">
        <x:v>public_directory.jsonl</x:v>
      </x:c>
      <x:c r="AP1682" s="19"/>
    </x:row>
    <x:row r="1683" ht="36" customHeight="1">
      <x:c r="A1683" s="23" t="n">
        <x:v>1682</x:v>
      </x:c>
      <x:c r="B1683" s="15" t="str">
        <x:v>Steadfast Funding</x:v>
      </x:c>
      <x:c r="C1683" s="15"/>
      <x:c r="D1683" s="15" t="str">
        <x:v>Property lender or directory member; operating-company capital unconfirmed</x:v>
      </x:c>
      <x:c r="E1683" s="15" t="str">
        <x:v>Property lender / private-money inquiry</x:v>
      </x:c>
      <x:c r="F1683" s="17" t="str">
        <x:v>New</x:v>
      </x:c>
      <x:c r="G1683" s="24" t="str">
        <x:v>info@steadfastfunding.com</x:v>
      </x:c>
      <x:c r="H1683" s="24" t="str">
        <x:v>+15129139123</x:v>
      </x:c>
      <x:c r="I1683" s="24" t="str">
        <x:v>http://steadfastfunding.com/</x:v>
      </x:c>
      <x:c r="J1683" s="16" t="str">
        <x:v>TX</x:v>
      </x:c>
      <x:c r="K1683" s="16" t="str">
        <x:v>Austin</x:v>
      </x:c>
      <x:c r="L1683" s="16" t="str">
        <x:v>firm_business_routing</x:v>
      </x:c>
      <x:c r="M1683" s="16" t="str">
        <x:v>http://steadfastfunding.com/</x:v>
      </x:c>
      <x:c r="N1683" s="16" t="str">
        <x:v>Published source range; proposed allocation and structure require confirmation</x:v>
      </x:c>
      <x:c r="O1683" s="20"/>
      <x:c r="P1683" s="20" t="n">
        <x:v>2000000</x:v>
      </x:c>
      <x:c r="Q1683" s="25" t="str">
        <x:v>Property-loan range, not a corporate-capital commitment</x:v>
      </x:c>
      <x:c r="R1683" s="25" t="str">
        <x:v>Private real-estate finance experience. Corporate working capital, minority equity or profit participation requires a separate agreement from a property loan.</x:v>
      </x:c>
      <x:c r="S1683" s="25"/>
      <x:c r="T1683" s="25" t="str">
        <x:v>Confirm direct principal versus broker, $100K-$500K appetite, and whether capital can fund the operating company without a property mortgage.</x:v>
      </x:c>
      <x:c r="U1683" s="25" t="str">
        <x:v>https://www.hardmoneyhome.com/lenders/view/steadfast-funding
https://steadfastfunding.com/</x:v>
      </x:c>
      <x:c r="V1683" s="26" t="d">
        <x:v>2026-10-02T00:00:00.000Z</x:v>
      </x:c>
      <x:c r="W1683" s="26" t="d">
        <x:v>2026-09-30T00:00:00.000Z</x:v>
      </x:c>
      <x:c r="X1683" s="25" t="str">
        <x:v>Saved public company, industry-directory or regulatory source; source date retained</x:v>
      </x:c>
      <x:c r="Y1683" s="25" t="str">
        <x:v>https://steadfastfunding.com/</x:v>
      </x:c>
      <x:c r="Z1683" s="25" t="str">
        <x:v>https://www.hardmoneyhome.com/lenders/view/steadfast-funding</x:v>
      </x:c>
      <x:c r="AA1683" s="25" t="str">
        <x:v>[]</x:v>
      </x:c>
      <x:c r="AB1683" s="3" t="str">
        <x:v>Existing CapitalForge research, newly screened for this campaign</x:v>
      </x:c>
      <x:c r="AC1683" s="3" t="str">
        <x:v>unverified</x:v>
      </x:c>
      <x:c r="AD1683" s="3" t="str">
        <x:v>Not contacted / unconfirmed</x:v>
      </x:c>
      <x:c r="AE1683" s="3" t="str">
        <x:v>No</x:v>
      </x:c>
      <x:c r="AF1683" s="3" t="str">
        <x:v>No</x:v>
      </x:c>
      <x:c r="AG1683" s="3"/>
      <x:c r="AH1683" s="3"/>
      <x:c r="AI1683" s="18"/>
      <x:c r="AJ1683" s="3" t="str">
        <x:v>CF2500-DD263B06995C</x:v>
      </x:c>
      <x:c r="AK1683" s="3" t="str">
        <x:v>private_real_estate_lender</x:v>
      </x:c>
      <x:c r="AL1683" s="19" t="n">
        <x:v>100000</x:v>
      </x:c>
      <x:c r="AM1683" s="19" t="n">
        <x:v>500000</x:v>
      </x:c>
      <x:c r="AN1683" s="3" t="str">
        <x:v>https://www.hardmoneyhome.com/lenders/view/steadfast-funding</x:v>
      </x:c>
      <x:c r="AO1683" s="3" t="str">
        <x:v>public_directory.jsonl</x:v>
      </x:c>
      <x:c r="AP1683" s="19"/>
    </x:row>
    <x:row r="1684" ht="36" customHeight="1">
      <x:c r="A1684" s="23" t="n">
        <x:v>1683</x:v>
      </x:c>
      <x:c r="B1684" s="15" t="str">
        <x:v>Straightline Funding</x:v>
      </x:c>
      <x:c r="C1684" s="15"/>
      <x:c r="D1684" s="15" t="str">
        <x:v>Property lender or directory member; operating-company capital unconfirmed</x:v>
      </x:c>
      <x:c r="E1684" s="15" t="str">
        <x:v>Property lender / private-money inquiry</x:v>
      </x:c>
      <x:c r="F1684" s="17" t="str">
        <x:v>New</x:v>
      </x:c>
      <x:c r="G1684" s="24" t="str">
        <x:v>info@straightlinefunding.com</x:v>
      </x:c>
      <x:c r="H1684" s="24" t="str">
        <x:v>+18883091972</x:v>
      </x:c>
      <x:c r="I1684" s="24" t="str">
        <x:v>https://www.straightlinefunding.com/</x:v>
      </x:c>
      <x:c r="J1684" s="16" t="str">
        <x:v>NC</x:v>
      </x:c>
      <x:c r="K1684" s="16" t="str">
        <x:v>Matthews</x:v>
      </x:c>
      <x:c r="L1684" s="16" t="str">
        <x:v>firm_business_routing</x:v>
      </x:c>
      <x:c r="M1684" s="16" t="str">
        <x:v>https://www.straightlinefunding.com/</x:v>
      </x:c>
      <x:c r="N1684" s="16" t="str">
        <x:v>Published source range; proposed allocation and structure require confirmation</x:v>
      </x:c>
      <x:c r="O1684" s="20"/>
      <x:c r="P1684" s="20" t="n">
        <x:v>1000000</x:v>
      </x:c>
      <x:c r="Q1684" s="25" t="str">
        <x:v>Property-loan range, not a corporate-capital commitment</x:v>
      </x:c>
      <x:c r="R1684" s="25" t="str">
        <x:v>Private real-estate finance experience. Corporate working capital, minority equity or profit participation requires a separate agreement from a property loan.</x:v>
      </x:c>
      <x:c r="S1684" s="25"/>
      <x:c r="T1684" s="25" t="str">
        <x:v>Confirm direct principal versus broker, $100K-$500K appetite, and whether capital can fund the operating company without a property mortgage.</x:v>
      </x:c>
      <x:c r="U1684" s="25" t="str">
        <x:v>https://www.hardmoneyhome.com/lenders/view/straightline-funding
https://privatelenderlink.com/profile/straightline-funding/</x:v>
      </x:c>
      <x:c r="V1684" s="26" t="d">
        <x:v>2026-10-02T00:00:00.000Z</x:v>
      </x:c>
      <x:c r="W1684" s="26" t="d">
        <x:v>2026-09-30T00:00:00.000Z</x:v>
      </x:c>
      <x:c r="X1684" s="25" t="str">
        <x:v>Saved public company, industry-directory or regulatory source; source date retained</x:v>
      </x:c>
      <x:c r="Y1684" s="25" t="str">
        <x:v>https://privatelenderlink.com/profile/straightline-funding/</x:v>
      </x:c>
      <x:c r="Z1684" s="25" t="str">
        <x:v>https://www.hardmoneyhome.com/lenders/view/straightline-funding</x:v>
      </x:c>
      <x:c r="AA1684" s="25" t="str">
        <x:v>[]</x:v>
      </x:c>
      <x:c r="AB1684" s="3" t="str">
        <x:v>Existing CapitalForge research, newly screened for this campaign</x:v>
      </x:c>
      <x:c r="AC1684" s="3" t="str">
        <x:v>unverified</x:v>
      </x:c>
      <x:c r="AD1684" s="3" t="str">
        <x:v>Not contacted / unconfirmed</x:v>
      </x:c>
      <x:c r="AE1684" s="3" t="str">
        <x:v>No</x:v>
      </x:c>
      <x:c r="AF1684" s="3" t="str">
        <x:v>No</x:v>
      </x:c>
      <x:c r="AG1684" s="3"/>
      <x:c r="AH1684" s="3"/>
      <x:c r="AI1684" s="18"/>
      <x:c r="AJ1684" s="3" t="str">
        <x:v>CF2500-41D0D9B41E95</x:v>
      </x:c>
      <x:c r="AK1684" s="3" t="str">
        <x:v>private_real_estate_lender</x:v>
      </x:c>
      <x:c r="AL1684" s="19" t="n">
        <x:v>100000</x:v>
      </x:c>
      <x:c r="AM1684" s="19" t="n">
        <x:v>500000</x:v>
      </x:c>
      <x:c r="AN1684" s="3" t="str">
        <x:v>https://www.hardmoneyhome.com/lenders/view/straightline-funding</x:v>
      </x:c>
      <x:c r="AO1684" s="3" t="str">
        <x:v>public_directory.jsonl</x:v>
      </x:c>
      <x:c r="AP1684" s="19"/>
    </x:row>
    <x:row r="1685" ht="36" customHeight="1">
      <x:c r="A1685" s="23" t="n">
        <x:v>1684</x:v>
      </x:c>
      <x:c r="B1685" s="15" t="str">
        <x:v>Xpress Loans 911</x:v>
      </x:c>
      <x:c r="C1685" s="15"/>
      <x:c r="D1685" s="15" t="str">
        <x:v>Property lender or directory member; operating-company capital unconfirmed</x:v>
      </x:c>
      <x:c r="E1685" s="15" t="str">
        <x:v>Property lender / private-money inquiry</x:v>
      </x:c>
      <x:c r="F1685" s="17" t="str">
        <x:v>New</x:v>
      </x:c>
      <x:c r="G1685" s="24" t="str">
        <x:v>info@xpressloans911.com</x:v>
      </x:c>
      <x:c r="H1685" s="24" t="str">
        <x:v>+17042755500</x:v>
      </x:c>
      <x:c r="I1685" s="24" t="str">
        <x:v>https://www.xpressloans911.com/</x:v>
      </x:c>
      <x:c r="J1685" s="16" t="str">
        <x:v>NC</x:v>
      </x:c>
      <x:c r="K1685" s="16" t="str">
        <x:v>Charlotte</x:v>
      </x:c>
      <x:c r="L1685" s="16" t="str">
        <x:v>firm_business_routing</x:v>
      </x:c>
      <x:c r="M1685" s="16" t="str">
        <x:v>https://www.xpressloans911.com/</x:v>
      </x:c>
      <x:c r="N1685" s="16" t="str">
        <x:v>Published source range; proposed allocation and structure require confirmation</x:v>
      </x:c>
      <x:c r="O1685" s="20"/>
      <x:c r="P1685" s="20" t="n">
        <x:v>5000000</x:v>
      </x:c>
      <x:c r="Q1685" s="25" t="str">
        <x:v>Property-loan range, not a corporate-capital commitment</x:v>
      </x:c>
      <x:c r="R1685" s="25" t="str">
        <x:v>Private real-estate finance experience. Corporate working capital, minority equity or profit participation requires a separate agreement from a property loan.</x:v>
      </x:c>
      <x:c r="S1685" s="25"/>
      <x:c r="T1685" s="25" t="str">
        <x:v>Confirm direct principal versus broker, $100K-$500K appetite, and whether capital can fund the operating company without a property mortgage.</x:v>
      </x:c>
      <x:c r="U1685" s="25" t="str">
        <x:v>https://www.hardmoneyhome.com/lenders/view/Xpress-loans-911
https://xpressloans911.com/contact/</x:v>
      </x:c>
      <x:c r="V1685" s="26" t="d">
        <x:v>2026-10-02T00:00:00.000Z</x:v>
      </x:c>
      <x:c r="W1685" s="26" t="d">
        <x:v>2026-09-30T00:00:00.000Z</x:v>
      </x:c>
      <x:c r="X1685" s="25" t="str">
        <x:v>Saved public company, industry-directory or regulatory source; source date retained</x:v>
      </x:c>
      <x:c r="Y1685" s="25" t="str">
        <x:v>https://xpressloans911.com/contact/</x:v>
      </x:c>
      <x:c r="Z1685" s="25" t="str">
        <x:v>https://www.hardmoneyhome.com/lenders/view/Xpress-loans-911</x:v>
      </x:c>
      <x:c r="AA1685" s="25" t="str">
        <x:v>[]</x:v>
      </x:c>
      <x:c r="AB1685" s="3" t="str">
        <x:v>Existing CapitalForge research, newly screened for this campaign</x:v>
      </x:c>
      <x:c r="AC1685" s="3" t="str">
        <x:v>unverified</x:v>
      </x:c>
      <x:c r="AD1685" s="3" t="str">
        <x:v>Not contacted / unconfirmed</x:v>
      </x:c>
      <x:c r="AE1685" s="3" t="str">
        <x:v>No</x:v>
      </x:c>
      <x:c r="AF1685" s="3" t="str">
        <x:v>No</x:v>
      </x:c>
      <x:c r="AG1685" s="3"/>
      <x:c r="AH1685" s="3"/>
      <x:c r="AI1685" s="18"/>
      <x:c r="AJ1685" s="3" t="str">
        <x:v>CF2500-C6DBEBB6B87C</x:v>
      </x:c>
      <x:c r="AK1685" s="3" t="str">
        <x:v>private_real_estate_lender</x:v>
      </x:c>
      <x:c r="AL1685" s="19" t="n">
        <x:v>100000</x:v>
      </x:c>
      <x:c r="AM1685" s="19" t="n">
        <x:v>500000</x:v>
      </x:c>
      <x:c r="AN1685" s="3" t="str">
        <x:v>https://www.hardmoneyhome.com/lenders/view/Xpress-loans-911</x:v>
      </x:c>
      <x:c r="AO1685" s="3" t="str">
        <x:v>public_directory.jsonl</x:v>
      </x:c>
      <x:c r="AP1685" s="19"/>
    </x:row>
    <x:row r="1686" ht="36" customHeight="1">
      <x:c r="A1686" s="23" t="n">
        <x:v>1685</x:v>
      </x:c>
      <x:c r="B1686" s="15" t="str">
        <x:v>1ST CAPITAL GROUP</x:v>
      </x:c>
      <x:c r="C1686" s="15"/>
      <x:c r="D1686" s="15" t="str">
        <x:v>Property lender or directory member; operating-company capital unconfirmed</x:v>
      </x:c>
      <x:c r="E1686" s="15" t="str">
        <x:v>Property lender / private-money inquiry</x:v>
      </x:c>
      <x:c r="F1686" s="17" t="str">
        <x:v>New</x:v>
      </x:c>
      <x:c r="G1686" s="24" t="str">
        <x:v>info@1st-capitalgroup.com</x:v>
      </x:c>
      <x:c r="H1686" s="24" t="str">
        <x:v>+18136733625</x:v>
      </x:c>
      <x:c r="I1686" s="24" t="str">
        <x:v>https://1st-capitalgroup.com/</x:v>
      </x:c>
      <x:c r="J1686" s="16" t="str">
        <x:v>FL</x:v>
      </x:c>
      <x:c r="K1686" s="16" t="str">
        <x:v>Lauderdale-by-the-Sea</x:v>
      </x:c>
      <x:c r="L1686" s="16" t="str">
        <x:v>firm_business_routing</x:v>
      </x:c>
      <x:c r="M1686" s="16" t="str">
        <x:v>https://1st-capitalgroup.com/</x:v>
      </x:c>
      <x:c r="N1686" s="16" t="str">
        <x:v>$100K-$500K ticket not published / unconfirmed</x:v>
      </x:c>
      <x:c r="O1686" s="20"/>
      <x:c r="P1686" s="20"/>
      <x:c r="Q1686" s="25" t="str">
        <x:v>Property-loan range, not a corporate-capital commitment</x:v>
      </x:c>
      <x:c r="R1686" s="25" t="str">
        <x:v>Private real-estate finance experience. Corporate working capital, minority equity or profit participation requires a separate agreement from a property loan.</x:v>
      </x:c>
      <x:c r="S1686" s="25"/>
      <x:c r="T1686" s="25" t="str">
        <x:v>Confirm direct principal versus broker, $100K-$500K appetite, and whether capital can fund the operating company without a property mortgage.</x:v>
      </x:c>
      <x:c r="U1686" s="25" t="str">
        <x:v>https://www.privatelendersdirectory.com/united-states/lauderdale-by-the-sea/top-level-category/1st-capital-group
https://1st-capitalgroup.com/</x:v>
      </x:c>
      <x:c r="V1686" s="26" t="d">
        <x:v>2026-10-02T00:00:00.000Z</x:v>
      </x:c>
      <x:c r="W1686" s="26" t="d">
        <x:v>2026-09-30T00:00:00.000Z</x:v>
      </x:c>
      <x:c r="X1686" s="25" t="str">
        <x:v>Saved public company, industry-directory or regulatory source; source date retained</x:v>
      </x:c>
      <x:c r="Y1686" s="25" t="str">
        <x:v>https://1st-capitalgroup.com/</x:v>
      </x:c>
      <x:c r="Z1686" s="25" t="str">
        <x:v>https://1st-capitalgroup.com/</x:v>
      </x:c>
      <x:c r="AA1686" s="25" t="str">
        <x:v>[]</x:v>
      </x:c>
      <x:c r="AB1686" s="3" t="str">
        <x:v>Existing CapitalForge research, newly screened for this campaign</x:v>
      </x:c>
      <x:c r="AC1686" s="3" t="str">
        <x:v>unverified</x:v>
      </x:c>
      <x:c r="AD1686" s="3" t="str">
        <x:v>Not contacted / unconfirmed</x:v>
      </x:c>
      <x:c r="AE1686" s="3" t="str">
        <x:v>No</x:v>
      </x:c>
      <x:c r="AF1686" s="3" t="str">
        <x:v>No</x:v>
      </x:c>
      <x:c r="AG1686" s="3"/>
      <x:c r="AH1686" s="3"/>
      <x:c r="AI1686" s="18"/>
      <x:c r="AJ1686" s="3" t="str">
        <x:v>CF2500-E5FD8F2CAFAE</x:v>
      </x:c>
      <x:c r="AK1686" s="3" t="str">
        <x:v>private_real_estate_lender</x:v>
      </x:c>
      <x:c r="AL1686" s="19" t="n">
        <x:v>100000</x:v>
      </x:c>
      <x:c r="AM1686" s="19" t="n">
        <x:v>500000</x:v>
      </x:c>
      <x:c r="AN1686" s="3" t="str">
        <x:v>https://www.privatelendersdirectory.com/united-states/lauderdale-by-the-sea/top-level-category/1st-capital-group</x:v>
      </x:c>
      <x:c r="AO1686" s="3" t="str">
        <x:v>public_directory.jsonl</x:v>
      </x:c>
      <x:c r="AP1686" s="19"/>
    </x:row>
    <x:row r="1687" ht="36" customHeight="1">
      <x:c r="A1687" s="23" t="n">
        <x:v>1686</x:v>
      </x:c>
      <x:c r="B1687" s="15" t="str">
        <x:v>1ST FLORIDA LENDING</x:v>
      </x:c>
      <x:c r="C1687" s="15"/>
      <x:c r="D1687" s="15" t="str">
        <x:v>Property lender or directory member; operating-company capital unconfirmed</x:v>
      </x:c>
      <x:c r="E1687" s="15" t="str">
        <x:v>Property lender / private-money inquiry</x:v>
      </x:c>
      <x:c r="F1687" s="17" t="str">
        <x:v>New</x:v>
      </x:c>
      <x:c r="G1687" s="24" t="str">
        <x:v>support@1floridalending.com</x:v>
      </x:c>
      <x:c r="H1687" s="24" t="str">
        <x:v>+14073002558</x:v>
      </x:c>
      <x:c r="I1687" s="24" t="str">
        <x:v>https://1floridalending.com/</x:v>
      </x:c>
      <x:c r="J1687" s="16" t="str">
        <x:v>FL</x:v>
      </x:c>
      <x:c r="K1687" s="16" t="str">
        <x:v>Orlando</x:v>
      </x:c>
      <x:c r="L1687" s="16" t="str">
        <x:v>firm_business_routing</x:v>
      </x:c>
      <x:c r="M1687" s="16" t="str">
        <x:v>https://1floridalending.com/</x:v>
      </x:c>
      <x:c r="N1687" s="16" t="str">
        <x:v>$100K-$500K ticket not published / unconfirmed</x:v>
      </x:c>
      <x:c r="O1687" s="20"/>
      <x:c r="P1687" s="20"/>
      <x:c r="Q1687" s="25" t="str">
        <x:v>Property-loan range, not a corporate-capital commitment</x:v>
      </x:c>
      <x:c r="R1687" s="25" t="str">
        <x:v>Private real-estate finance experience. Corporate working capital, minority equity or profit participation requires a separate agreement from a property loan.</x:v>
      </x:c>
      <x:c r="S1687" s="25"/>
      <x:c r="T1687" s="25" t="str">
        <x:v>Confirm direct principal versus broker, $100K-$500K appetite, and whether capital can fund the operating company without a property mortgage.</x:v>
      </x:c>
      <x:c r="U1687" s="25" t="str">
        <x:v>https://www.privatelendersdirectory.com/united-states/orlando/top-level-category/1st-florida-lending
https://1floridalending.com/</x:v>
      </x:c>
      <x:c r="V1687" s="26" t="d">
        <x:v>2026-10-02T00:00:00.000Z</x:v>
      </x:c>
      <x:c r="W1687" s="26" t="d">
        <x:v>2026-09-30T00:00:00.000Z</x:v>
      </x:c>
      <x:c r="X1687" s="25" t="str">
        <x:v>Saved public company, industry-directory or regulatory source; source date retained</x:v>
      </x:c>
      <x:c r="Y1687" s="25" t="str">
        <x:v>https://1floridalending.com/</x:v>
      </x:c>
      <x:c r="Z1687" s="25" t="str">
        <x:v>https://1floridalending.com/</x:v>
      </x:c>
      <x:c r="AA1687" s="25" t="str">
        <x:v>[]</x:v>
      </x:c>
      <x:c r="AB1687" s="3" t="str">
        <x:v>Existing CapitalForge research, newly screened for this campaign</x:v>
      </x:c>
      <x:c r="AC1687" s="3" t="str">
        <x:v>unverified</x:v>
      </x:c>
      <x:c r="AD1687" s="3" t="str">
        <x:v>Not contacted / unconfirmed</x:v>
      </x:c>
      <x:c r="AE1687" s="3" t="str">
        <x:v>No</x:v>
      </x:c>
      <x:c r="AF1687" s="3" t="str">
        <x:v>No</x:v>
      </x:c>
      <x:c r="AG1687" s="3"/>
      <x:c r="AH1687" s="3"/>
      <x:c r="AI1687" s="18"/>
      <x:c r="AJ1687" s="3" t="str">
        <x:v>CF2500-25330F897306</x:v>
      </x:c>
      <x:c r="AK1687" s="3" t="str">
        <x:v>private_real_estate_lender</x:v>
      </x:c>
      <x:c r="AL1687" s="19" t="n">
        <x:v>100000</x:v>
      </x:c>
      <x:c r="AM1687" s="19" t="n">
        <x:v>500000</x:v>
      </x:c>
      <x:c r="AN1687" s="3" t="str">
        <x:v>https://www.privatelendersdirectory.com/united-states/orlando/top-level-category/1st-florida-lending</x:v>
      </x:c>
      <x:c r="AO1687" s="3" t="str">
        <x:v>public_directory.jsonl</x:v>
      </x:c>
      <x:c r="AP1687" s="19"/>
    </x:row>
    <x:row r="1688" ht="36" customHeight="1">
      <x:c r="A1688" s="23" t="n">
        <x:v>1687</x:v>
      </x:c>
      <x:c r="B1688" s="15" t="str">
        <x:v>2X2 CAPITAL MANAGEMENT</x:v>
      </x:c>
      <x:c r="C1688" s="15"/>
      <x:c r="D1688" s="15" t="str">
        <x:v>Property lender or directory member; operating-company capital unconfirmed</x:v>
      </x:c>
      <x:c r="E1688" s="15" t="str">
        <x:v>Property lender / private-money inquiry</x:v>
      </x:c>
      <x:c r="F1688" s="17" t="str">
        <x:v>New</x:v>
      </x:c>
      <x:c r="G1688" s="24" t="str">
        <x:v>investors@2x2capitalmanagement.com</x:v>
      </x:c>
      <x:c r="H1688" s="24" t="str">
        <x:v>+18009908494</x:v>
      </x:c>
      <x:c r="I1688" s="24" t="str">
        <x:v>https://2x2capitalmanagement.com/</x:v>
      </x:c>
      <x:c r="J1688" s="16" t="str">
        <x:v>TX</x:v>
      </x:c>
      <x:c r="K1688" s="16" t="str">
        <x:v>Dripping Springs</x:v>
      </x:c>
      <x:c r="L1688" s="16" t="str">
        <x:v>firm_business_routing</x:v>
      </x:c>
      <x:c r="M1688" s="16" t="str">
        <x:v>https://2x2capitalmanagement.com/</x:v>
      </x:c>
      <x:c r="N1688" s="16" t="str">
        <x:v>$100K-$500K ticket not published / unconfirmed</x:v>
      </x:c>
      <x:c r="O1688" s="20"/>
      <x:c r="P1688" s="20"/>
      <x:c r="Q1688" s="25" t="str">
        <x:v>Property-loan range, not a corporate-capital commitment</x:v>
      </x:c>
      <x:c r="R1688" s="25" t="str">
        <x:v>Private real-estate finance experience. Corporate working capital, minority equity or profit participation requires a separate agreement from a property loan.</x:v>
      </x:c>
      <x:c r="S1688" s="25"/>
      <x:c r="T1688" s="25" t="str">
        <x:v>Confirm direct principal versus broker, $100K-$500K appetite, and whether capital can fund the operating company without a property mortgage.</x:v>
      </x:c>
      <x:c r="U1688" s="25" t="str">
        <x:v>https://www.privatelendersdirectory.com/united-states/dripping-springs/top-level-category/2x2-capital-management
https://2x2capitalmanagement.com/contact</x:v>
      </x:c>
      <x:c r="V1688" s="26" t="d">
        <x:v>2026-10-02T00:00:00.000Z</x:v>
      </x:c>
      <x:c r="W1688" s="26" t="d">
        <x:v>2026-09-30T00:00:00.000Z</x:v>
      </x:c>
      <x:c r="X1688" s="25" t="str">
        <x:v>Saved public company, industry-directory or regulatory source; source date retained</x:v>
      </x:c>
      <x:c r="Y1688" s="25" t="str">
        <x:v>https://2x2capitalmanagement.com/contact</x:v>
      </x:c>
      <x:c r="Z1688" s="25" t="str">
        <x:v>https://2x2capitalmanagement.com/contact</x:v>
      </x:c>
      <x:c r="AA1688" s="25" t="str">
        <x:v>[]</x:v>
      </x:c>
      <x:c r="AB1688" s="3" t="str">
        <x:v>Existing CapitalForge research, newly screened for this campaign</x:v>
      </x:c>
      <x:c r="AC1688" s="3" t="str">
        <x:v>unverified</x:v>
      </x:c>
      <x:c r="AD1688" s="3" t="str">
        <x:v>Not contacted / unconfirmed</x:v>
      </x:c>
      <x:c r="AE1688" s="3" t="str">
        <x:v>No</x:v>
      </x:c>
      <x:c r="AF1688" s="3" t="str">
        <x:v>No</x:v>
      </x:c>
      <x:c r="AG1688" s="3"/>
      <x:c r="AH1688" s="3"/>
      <x:c r="AI1688" s="18"/>
      <x:c r="AJ1688" s="3" t="str">
        <x:v>CF2500-9C0CD4A5291E</x:v>
      </x:c>
      <x:c r="AK1688" s="3" t="str">
        <x:v>private_real_estate_lender</x:v>
      </x:c>
      <x:c r="AL1688" s="19" t="n">
        <x:v>100000</x:v>
      </x:c>
      <x:c r="AM1688" s="19" t="n">
        <x:v>500000</x:v>
      </x:c>
      <x:c r="AN1688" s="3" t="str">
        <x:v>https://www.privatelendersdirectory.com/united-states/dripping-springs/top-level-category/2x2-capital-management</x:v>
      </x:c>
      <x:c r="AO1688" s="3" t="str">
        <x:v>public_directory.jsonl</x:v>
      </x:c>
      <x:c r="AP1688" s="19"/>
    </x:row>
    <x:row r="1689" ht="36" customHeight="1">
      <x:c r="A1689" s="23" t="n">
        <x:v>1688</x:v>
      </x:c>
      <x:c r="B1689" s="15" t="str">
        <x:v>3 Shacks LLC</x:v>
      </x:c>
      <x:c r="C1689" s="15"/>
      <x:c r="D1689" s="15" t="str">
        <x:v>Property lender or directory member; operating-company capital unconfirmed</x:v>
      </x:c>
      <x:c r="E1689" s="15" t="str">
        <x:v>Property lender / private-money inquiry</x:v>
      </x:c>
      <x:c r="F1689" s="17" t="str">
        <x:v>New</x:v>
      </x:c>
      <x:c r="G1689" s="24" t="str">
        <x:v>3shackscapitalpartners@gmail.com</x:v>
      </x:c>
      <x:c r="H1689" s="24" t="str">
        <x:v>+19044244154</x:v>
      </x:c>
      <x:c r="I1689" s="24" t="str">
        <x:v>https://www.northfloridahardmoney.com/?utm_source=private-lender-link</x:v>
      </x:c>
      <x:c r="J1689" s="16" t="str">
        <x:v>FL</x:v>
      </x:c>
      <x:c r="K1689" s="16" t="str">
        <x:v>Keystone Heights</x:v>
      </x:c>
      <x:c r="L1689" s="16" t="str">
        <x:v>firm_business_routing</x:v>
      </x:c>
      <x:c r="M1689" s="16" t="str">
        <x:v>https://www.northfloridahardmoney.com/?utm_source=private-lender-link</x:v>
      </x:c>
      <x:c r="N1689" s="16" t="str">
        <x:v>$100K-$500K ticket not published / unconfirmed</x:v>
      </x:c>
      <x:c r="O1689" s="20"/>
      <x:c r="P1689" s="20"/>
      <x:c r="Q1689" s="25" t="str">
        <x:v>Property-loan range, not a corporate-capital commitment</x:v>
      </x:c>
      <x:c r="R1689" s="25" t="str">
        <x:v>Private real-estate finance experience. Corporate working capital, minority equity or profit participation requires a separate agreement from a property loan.</x:v>
      </x:c>
      <x:c r="S1689" s="25"/>
      <x:c r="T1689" s="25" t="str">
        <x:v>Confirm direct principal versus broker, $100K-$500K appetite, and whether capital can fund the operating company without a property mortgage.</x:v>
      </x:c>
      <x:c r="U1689" s="25" t="str">
        <x:v>https://privatelenderlink.com/profile/3-shacks-llc/
https://www.northfloridahardmoney.com/?utm_source=private-lender-link
https://www.privatelendersdirectory.com/united-states/melrose/top-level-category/3-shacks-capital
https://www.northfloridahardmoney.com/</x:v>
      </x:c>
      <x:c r="V1689" s="26" t="d">
        <x:v>2026-10-02T00:00:00.000Z</x:v>
      </x:c>
      <x:c r="W1689" s="26" t="d">
        <x:v>2026-09-30T00:00:00.000Z</x:v>
      </x:c>
      <x:c r="X1689" s="25" t="str">
        <x:v>Saved public company, industry-directory or regulatory source; source date retained</x:v>
      </x:c>
      <x:c r="Y1689" s="25" t="str">
        <x:v>https://www.northfloridahardmoney.com/?utm_source=private-lender-link</x:v>
      </x:c>
      <x:c r="Z1689" s="25" t="str">
        <x:v>https://www.northfloridahardmoney.com/?utm_source=private-lender-link</x:v>
      </x:c>
      <x:c r="AA1689" s="25" t="str">
        <x:v>[]</x:v>
      </x:c>
      <x:c r="AB1689" s="3" t="str">
        <x:v>Existing CapitalForge research, newly screened for this campaign</x:v>
      </x:c>
      <x:c r="AC1689" s="3" t="str">
        <x:v>unverified</x:v>
      </x:c>
      <x:c r="AD1689" s="3" t="str">
        <x:v>Not contacted / unconfirmed</x:v>
      </x:c>
      <x:c r="AE1689" s="3" t="str">
        <x:v>No</x:v>
      </x:c>
      <x:c r="AF1689" s="3" t="str">
        <x:v>No</x:v>
      </x:c>
      <x:c r="AG1689" s="3"/>
      <x:c r="AH1689" s="3"/>
      <x:c r="AI1689" s="18"/>
      <x:c r="AJ1689" s="3" t="str">
        <x:v>CF2500-C84B244DF588</x:v>
      </x:c>
      <x:c r="AK1689" s="3" t="str">
        <x:v>private_real_estate_lender</x:v>
      </x:c>
      <x:c r="AL1689" s="19" t="n">
        <x:v>100000</x:v>
      </x:c>
      <x:c r="AM1689" s="19" t="n">
        <x:v>500000</x:v>
      </x:c>
      <x:c r="AN1689" s="3" t="str">
        <x:v>https://privatelenderlink.com/profile/3-shacks-llc/</x:v>
      </x:c>
      <x:c r="AO1689" s="3" t="str">
        <x:v>public_directory.jsonl</x:v>
      </x:c>
      <x:c r="AP1689" s="19"/>
    </x:row>
    <x:row r="1690" ht="36" customHeight="1">
      <x:c r="A1690" s="23" t="n">
        <x:v>1689</x:v>
      </x:c>
      <x:c r="B1690" s="15" t="str">
        <x:v>360 HOME LENDING</x:v>
      </x:c>
      <x:c r="C1690" s="15"/>
      <x:c r="D1690" s="15" t="str">
        <x:v>Property lender or directory member; operating-company capital unconfirmed</x:v>
      </x:c>
      <x:c r="E1690" s="15" t="str">
        <x:v>Property lender / private-money inquiry</x:v>
      </x:c>
      <x:c r="F1690" s="17" t="str">
        <x:v>New</x:v>
      </x:c>
      <x:c r="G1690" s="24" t="str">
        <x:v>info@360homelending.com</x:v>
      </x:c>
      <x:c r="H1690" s="24" t="str">
        <x:v>+14692083311</x:v>
      </x:c>
      <x:c r="I1690" s="24" t="str">
        <x:v>https://www.360homelending.com/</x:v>
      </x:c>
      <x:c r="J1690" s="16" t="str">
        <x:v>TX</x:v>
      </x:c>
      <x:c r="K1690" s="16" t="str">
        <x:v>Dallas</x:v>
      </x:c>
      <x:c r="L1690" s="16" t="str">
        <x:v>firm_business_routing</x:v>
      </x:c>
      <x:c r="M1690" s="16" t="str">
        <x:v>https://www.360homelending.com/</x:v>
      </x:c>
      <x:c r="N1690" s="16" t="str">
        <x:v>$100K-$500K ticket not published / unconfirmed</x:v>
      </x:c>
      <x:c r="O1690" s="20"/>
      <x:c r="P1690" s="20"/>
      <x:c r="Q1690" s="25" t="str">
        <x:v>Property-loan range, not a corporate-capital commitment</x:v>
      </x:c>
      <x:c r="R1690" s="25" t="str">
        <x:v>Private real-estate finance experience. Corporate working capital, minority equity or profit participation requires a separate agreement from a property loan.</x:v>
      </x:c>
      <x:c r="S1690" s="25"/>
      <x:c r="T1690" s="25" t="str">
        <x:v>Confirm direct principal versus broker, $100K-$500K appetite, and whether capital can fund the operating company without a property mortgage.</x:v>
      </x:c>
      <x:c r="U1690" s="25" t="str">
        <x:v>https://www.privatelendersdirectory.com/united-states/dallas/top-level-category/360-home-lending
https://www.360homelending.com/</x:v>
      </x:c>
      <x:c r="V1690" s="26" t="d">
        <x:v>2026-10-02T00:00:00.000Z</x:v>
      </x:c>
      <x:c r="W1690" s="26" t="d">
        <x:v>2026-09-30T00:00:00.000Z</x:v>
      </x:c>
      <x:c r="X1690" s="25" t="str">
        <x:v>Saved public company, industry-directory or regulatory source; source date retained</x:v>
      </x:c>
      <x:c r="Y1690" s="25" t="str">
        <x:v>https://www.360homelending.com/</x:v>
      </x:c>
      <x:c r="Z1690" s="25" t="str">
        <x:v>https://www.360homelending.com/</x:v>
      </x:c>
      <x:c r="AA1690" s="25" t="str">
        <x:v>[]</x:v>
      </x:c>
      <x:c r="AB1690" s="3" t="str">
        <x:v>Existing CapitalForge research, newly screened for this campaign</x:v>
      </x:c>
      <x:c r="AC1690" s="3" t="str">
        <x:v>unverified</x:v>
      </x:c>
      <x:c r="AD1690" s="3" t="str">
        <x:v>Not contacted / unconfirmed</x:v>
      </x:c>
      <x:c r="AE1690" s="3" t="str">
        <x:v>No</x:v>
      </x:c>
      <x:c r="AF1690" s="3" t="str">
        <x:v>No</x:v>
      </x:c>
      <x:c r="AG1690" s="3"/>
      <x:c r="AH1690" s="3"/>
      <x:c r="AI1690" s="18"/>
      <x:c r="AJ1690" s="3" t="str">
        <x:v>CF2500-64D437C21F14</x:v>
      </x:c>
      <x:c r="AK1690" s="3" t="str">
        <x:v>private_real_estate_lender</x:v>
      </x:c>
      <x:c r="AL1690" s="19" t="n">
        <x:v>100000</x:v>
      </x:c>
      <x:c r="AM1690" s="19" t="n">
        <x:v>500000</x:v>
      </x:c>
      <x:c r="AN1690" s="3" t="str">
        <x:v>https://www.privatelendersdirectory.com/united-states/dallas/top-level-category/360-home-lending</x:v>
      </x:c>
      <x:c r="AO1690" s="3" t="str">
        <x:v>public_directory.jsonl</x:v>
      </x:c>
      <x:c r="AP1690" s="19"/>
    </x:row>
    <x:row r="1691" ht="36" customHeight="1">
      <x:c r="A1691" s="23" t="n">
        <x:v>1690</x:v>
      </x:c>
      <x:c r="B1691" s="15" t="str">
        <x:v>A&amp;A Funding Corporation</x:v>
      </x:c>
      <x:c r="C1691" s="15"/>
      <x:c r="D1691" s="15" t="str">
        <x:v>Property lender or directory member; operating-company capital unconfirmed</x:v>
      </x:c>
      <x:c r="E1691" s="15" t="str">
        <x:v>Property lender / private-money inquiry</x:v>
      </x:c>
      <x:c r="F1691" s="17" t="str">
        <x:v>New</x:v>
      </x:c>
      <x:c r="G1691" s="24" t="str">
        <x:v>info@aafundcorp.com</x:v>
      </x:c>
      <x:c r="H1691" s="24" t="str">
        <x:v>+16024948980</x:v>
      </x:c>
      <x:c r="I1691" s="24" t="str">
        <x:v>http://www.aafundcorp.com/</x:v>
      </x:c>
      <x:c r="J1691" s="16" t="str">
        <x:v>AZ</x:v>
      </x:c>
      <x:c r="K1691" s="16" t="str">
        <x:v>Phoenix</x:v>
      </x:c>
      <x:c r="L1691" s="16" t="str">
        <x:v>firm_business_routing</x:v>
      </x:c>
      <x:c r="M1691" s="16" t="str">
        <x:v>http://www.aafundcorp.com/</x:v>
      </x:c>
      <x:c r="N1691" s="16" t="str">
        <x:v>$100K-$500K ticket not published / unconfirmed</x:v>
      </x:c>
      <x:c r="O1691" s="20"/>
      <x:c r="P1691" s="20"/>
      <x:c r="Q1691" s="25" t="str">
        <x:v>Property-loan range, not a corporate-capital commitment</x:v>
      </x:c>
      <x:c r="R1691" s="25" t="str">
        <x:v>Private real-estate finance experience. Corporate working capital, minority equity or profit participation requires a separate agreement from a property loan.</x:v>
      </x:c>
      <x:c r="S1691" s="25"/>
      <x:c r="T1691" s="25" t="str">
        <x:v>Confirm direct principal versus broker, $100K-$500K appetite, and whether capital can fund the operating company without a property mortgage.</x:v>
      </x:c>
      <x:c r="U1691" s="25" t="str">
        <x:v>https://www.hardmoneyhome.com/lenders/view/aanda-funding-corporation
https://www.aafundcorp.com/
https://www.privatelendersdirectory.com/united-states/scottsdale/top-level-category/a-a-funding</x:v>
      </x:c>
      <x:c r="V1691" s="26" t="d">
        <x:v>2026-10-02T00:00:00.000Z</x:v>
      </x:c>
      <x:c r="W1691" s="26" t="d">
        <x:v>2026-09-30T00:00:00.000Z</x:v>
      </x:c>
      <x:c r="X1691" s="25" t="str">
        <x:v>Saved public company, industry-directory or regulatory source; source date retained</x:v>
      </x:c>
      <x:c r="Y1691" s="25" t="str">
        <x:v>https://www.aafundcorp.com/</x:v>
      </x:c>
      <x:c r="Z1691" s="25" t="str">
        <x:v>https://www.hardmoneyhome.com/lenders/view/aanda-funding-corporation</x:v>
      </x:c>
      <x:c r="AA1691" s="25" t="str">
        <x:v>[]</x:v>
      </x:c>
      <x:c r="AB1691" s="3" t="str">
        <x:v>Existing CapitalForge research, newly screened for this campaign</x:v>
      </x:c>
      <x:c r="AC1691" s="3" t="str">
        <x:v>unverified</x:v>
      </x:c>
      <x:c r="AD1691" s="3" t="str">
        <x:v>Not contacted / unconfirmed</x:v>
      </x:c>
      <x:c r="AE1691" s="3" t="str">
        <x:v>No</x:v>
      </x:c>
      <x:c r="AF1691" s="3" t="str">
        <x:v>No</x:v>
      </x:c>
      <x:c r="AG1691" s="3"/>
      <x:c r="AH1691" s="3"/>
      <x:c r="AI1691" s="18"/>
      <x:c r="AJ1691" s="3" t="str">
        <x:v>CF2500-266552F987E0</x:v>
      </x:c>
      <x:c r="AK1691" s="3" t="str">
        <x:v>private_real_estate_lender</x:v>
      </x:c>
      <x:c r="AL1691" s="19" t="n">
        <x:v>100000</x:v>
      </x:c>
      <x:c r="AM1691" s="19" t="n">
        <x:v>500000</x:v>
      </x:c>
      <x:c r="AN1691" s="3" t="str">
        <x:v>https://www.hardmoneyhome.com/lenders/view/aanda-funding-corporation</x:v>
      </x:c>
      <x:c r="AO1691" s="3" t="str">
        <x:v>public_directory.jsonl</x:v>
      </x:c>
      <x:c r="AP1691" s="19"/>
    </x:row>
    <x:row r="1692" ht="36" customHeight="1">
      <x:c r="A1692" s="23" t="n">
        <x:v>1691</x:v>
      </x:c>
      <x:c r="B1692" s="15" t="str">
        <x:v>A3 MORTGAGE</x:v>
      </x:c>
      <x:c r="C1692" s="15"/>
      <x:c r="D1692" s="15" t="str">
        <x:v>Property lender or directory member; operating-company capital unconfirmed</x:v>
      </x:c>
      <x:c r="E1692" s="15" t="str">
        <x:v>Property lender / private-money inquiry</x:v>
      </x:c>
      <x:c r="F1692" s="17" t="str">
        <x:v>New</x:v>
      </x:c>
      <x:c r="G1692" s="24" t="str">
        <x:v>anthony@a3mtg.com</x:v>
      </x:c>
      <x:c r="H1692" s="24" t="str">
        <x:v>+18134996870</x:v>
      </x:c>
      <x:c r="I1692" s="24" t="str">
        <x:v>https://www.a3mtg.com/</x:v>
      </x:c>
      <x:c r="J1692" s="16" t="str">
        <x:v>FL</x:v>
      </x:c>
      <x:c r="K1692" s="16" t="str">
        <x:v>Lutz</x:v>
      </x:c>
      <x:c r="L1692" s="16" t="str">
        <x:v>firm_business_routing</x:v>
      </x:c>
      <x:c r="M1692" s="16" t="str">
        <x:v>https://www.a3mtg.com/</x:v>
      </x:c>
      <x:c r="N1692" s="16" t="str">
        <x:v>$100K-$500K ticket not published / unconfirmed</x:v>
      </x:c>
      <x:c r="O1692" s="20"/>
      <x:c r="P1692" s="20"/>
      <x:c r="Q1692" s="25" t="str">
        <x:v>Property-loan range, not a corporate-capital commitment</x:v>
      </x:c>
      <x:c r="R1692" s="25" t="str">
        <x:v>Private real-estate finance experience. Corporate working capital, minority equity or profit participation requires a separate agreement from a property loan.</x:v>
      </x:c>
      <x:c r="S1692" s="25"/>
      <x:c r="T1692" s="25" t="str">
        <x:v>Confirm direct principal versus broker, $100K-$500K appetite, and whether capital can fund the operating company without a property mortgage.</x:v>
      </x:c>
      <x:c r="U1692" s="25" t="str">
        <x:v>https://www.privatelendersdirectory.com/united-states/lutz/top-level-category/a3-mortgage
https://www.a3mtg.com/
https://www.a3mtg.com/contactus</x:v>
      </x:c>
      <x:c r="V1692" s="26" t="d">
        <x:v>2026-10-02T00:00:00.000Z</x:v>
      </x:c>
      <x:c r="W1692" s="26" t="d">
        <x:v>2026-09-30T00:00:00.000Z</x:v>
      </x:c>
      <x:c r="X1692" s="25" t="str">
        <x:v>Saved public company, industry-directory or regulatory source; source date retained</x:v>
      </x:c>
      <x:c r="Y1692" s="25" t="str">
        <x:v>https://www.a3mtg.com/contactus</x:v>
      </x:c>
      <x:c r="Z1692" s="25" t="str">
        <x:v>https://www.a3mtg.com/</x:v>
      </x:c>
      <x:c r="AA1692" s="25" t="str">
        <x:v>[]</x:v>
      </x:c>
      <x:c r="AB1692" s="3" t="str">
        <x:v>Existing CapitalForge research, newly screened for this campaign</x:v>
      </x:c>
      <x:c r="AC1692" s="3" t="str">
        <x:v>unverified</x:v>
      </x:c>
      <x:c r="AD1692" s="3" t="str">
        <x:v>Not contacted / unconfirmed</x:v>
      </x:c>
      <x:c r="AE1692" s="3" t="str">
        <x:v>No</x:v>
      </x:c>
      <x:c r="AF1692" s="3" t="str">
        <x:v>No</x:v>
      </x:c>
      <x:c r="AG1692" s="3"/>
      <x:c r="AH1692" s="3"/>
      <x:c r="AI1692" s="18"/>
      <x:c r="AJ1692" s="3" t="str">
        <x:v>CF2500-4CD11EBAE4E5</x:v>
      </x:c>
      <x:c r="AK1692" s="3" t="str">
        <x:v>private_real_estate_lender</x:v>
      </x:c>
      <x:c r="AL1692" s="19" t="n">
        <x:v>100000</x:v>
      </x:c>
      <x:c r="AM1692" s="19" t="n">
        <x:v>500000</x:v>
      </x:c>
      <x:c r="AN1692" s="3" t="str">
        <x:v>https://www.privatelendersdirectory.com/united-states/lutz/top-level-category/a3-mortgage</x:v>
      </x:c>
      <x:c r="AO1692" s="3" t="str">
        <x:v>public_directory.jsonl</x:v>
      </x:c>
      <x:c r="AP1692" s="19"/>
    </x:row>
    <x:row r="1693" ht="36" customHeight="1">
      <x:c r="A1693" s="23" t="n">
        <x:v>1692</x:v>
      </x:c>
      <x:c r="B1693" s="15" t="str">
        <x:v>ABMC LOANS</x:v>
      </x:c>
      <x:c r="C1693" s="15"/>
      <x:c r="D1693" s="15" t="str">
        <x:v>Property lender or directory member; operating-company capital unconfirmed</x:v>
      </x:c>
      <x:c r="E1693" s="15" t="str">
        <x:v>Property lender / private-money inquiry</x:v>
      </x:c>
      <x:c r="F1693" s="17" t="str">
        <x:v>New</x:v>
      </x:c>
      <x:c r="G1693" s="24" t="str">
        <x:v>mojeda@abmcloans.com</x:v>
      </x:c>
      <x:c r="H1693" s="24" t="str">
        <x:v>+13054486446</x:v>
      </x:c>
      <x:c r="I1693" s="24" t="str">
        <x:v>https://www.abmcloans.com/</x:v>
      </x:c>
      <x:c r="J1693" s="16" t="str">
        <x:v>FL</x:v>
      </x:c>
      <x:c r="K1693" s="16" t="str">
        <x:v>Hollywood</x:v>
      </x:c>
      <x:c r="L1693" s="16" t="str">
        <x:v>firm_business_routing</x:v>
      </x:c>
      <x:c r="M1693" s="16" t="str">
        <x:v>https://www.abmcloans.com/</x:v>
      </x:c>
      <x:c r="N1693" s="16" t="str">
        <x:v>$100K-$500K ticket not published / unconfirmed</x:v>
      </x:c>
      <x:c r="O1693" s="20"/>
      <x:c r="P1693" s="20"/>
      <x:c r="Q1693" s="25" t="str">
        <x:v>Property-loan range, not a corporate-capital commitment</x:v>
      </x:c>
      <x:c r="R1693" s="25" t="str">
        <x:v>Private real-estate finance experience. Corporate working capital, minority equity or profit participation requires a separate agreement from a property loan.</x:v>
      </x:c>
      <x:c r="S1693" s="25"/>
      <x:c r="T1693" s="25" t="str">
        <x:v>Confirm direct principal versus broker, $100K-$500K appetite, and whether capital can fund the operating company without a property mortgage.</x:v>
      </x:c>
      <x:c r="U1693" s="25" t="str">
        <x:v>https://www.privatelendersdirectory.com/united-states/hollywood/top-level-category/abmc-loans
https://www.abmcloans.com/</x:v>
      </x:c>
      <x:c r="V1693" s="26" t="d">
        <x:v>2026-10-02T00:00:00.000Z</x:v>
      </x:c>
      <x:c r="W1693" s="26" t="d">
        <x:v>2026-09-30T00:00:00.000Z</x:v>
      </x:c>
      <x:c r="X1693" s="25" t="str">
        <x:v>Saved public company, industry-directory or regulatory source; source date retained</x:v>
      </x:c>
      <x:c r="Y1693" s="25" t="str">
        <x:v>https://www.abmcloans.com/</x:v>
      </x:c>
      <x:c r="Z1693" s="25" t="str">
        <x:v>https://www.abmcloans.com/</x:v>
      </x:c>
      <x:c r="AA1693" s="25" t="str">
        <x:v>[]</x:v>
      </x:c>
      <x:c r="AB1693" s="3" t="str">
        <x:v>Existing CapitalForge research, newly screened for this campaign</x:v>
      </x:c>
      <x:c r="AC1693" s="3" t="str">
        <x:v>unverified</x:v>
      </x:c>
      <x:c r="AD1693" s="3" t="str">
        <x:v>Not contacted / unconfirmed</x:v>
      </x:c>
      <x:c r="AE1693" s="3" t="str">
        <x:v>No</x:v>
      </x:c>
      <x:c r="AF1693" s="3" t="str">
        <x:v>No</x:v>
      </x:c>
      <x:c r="AG1693" s="3"/>
      <x:c r="AH1693" s="3"/>
      <x:c r="AI1693" s="18"/>
      <x:c r="AJ1693" s="3" t="str">
        <x:v>CF2500-57683590B59D</x:v>
      </x:c>
      <x:c r="AK1693" s="3" t="str">
        <x:v>private_real_estate_lender</x:v>
      </x:c>
      <x:c r="AL1693" s="19" t="n">
        <x:v>100000</x:v>
      </x:c>
      <x:c r="AM1693" s="19" t="n">
        <x:v>500000</x:v>
      </x:c>
      <x:c r="AN1693" s="3" t="str">
        <x:v>https://www.privatelendersdirectory.com/united-states/hollywood/top-level-category/abmc-loans</x:v>
      </x:c>
      <x:c r="AO1693" s="3" t="str">
        <x:v>public_directory.jsonl</x:v>
      </x:c>
      <x:c r="AP1693" s="19"/>
    </x:row>
    <x:row r="1694" ht="36" customHeight="1">
      <x:c r="A1694" s="23" t="n">
        <x:v>1693</x:v>
      </x:c>
      <x:c r="B1694" s="15" t="str">
        <x:v>Active Funding Group</x:v>
      </x:c>
      <x:c r="C1694" s="15"/>
      <x:c r="D1694" s="15" t="str">
        <x:v>Property lender or directory member; operating-company capital unconfirmed</x:v>
      </x:c>
      <x:c r="E1694" s="15" t="str">
        <x:v>Property lender / private-money inquiry</x:v>
      </x:c>
      <x:c r="F1694" s="17" t="str">
        <x:v>New</x:v>
      </x:c>
      <x:c r="G1694" s="24" t="str">
        <x:v>info@activefundinggroup.com</x:v>
      </x:c>
      <x:c r="H1694" s="24" t="str">
        <x:v>+16022521155</x:v>
      </x:c>
      <x:c r="I1694" s="24" t="str">
        <x:v>http://www.activefundinggroup.com</x:v>
      </x:c>
      <x:c r="J1694" s="16" t="str">
        <x:v>AZ</x:v>
      </x:c>
      <x:c r="K1694" s="16" t="str">
        <x:v>Scottsdale</x:v>
      </x:c>
      <x:c r="L1694" s="16" t="str">
        <x:v>firm_business_routing</x:v>
      </x:c>
      <x:c r="M1694" s="16" t="str">
        <x:v>http://www.activefundinggroup.com</x:v>
      </x:c>
      <x:c r="N1694" s="16" t="str">
        <x:v>$100K-$500K ticket not published / unconfirmed</x:v>
      </x:c>
      <x:c r="O1694" s="20"/>
      <x:c r="P1694" s="20"/>
      <x:c r="Q1694" s="25" t="str">
        <x:v>Property-loan range, not a corporate-capital commitment</x:v>
      </x:c>
      <x:c r="R1694" s="25" t="str">
        <x:v>Private real-estate finance experience. Corporate working capital, minority equity or profit participation requires a separate agreement from a property loan.</x:v>
      </x:c>
      <x:c r="S1694" s="25"/>
      <x:c r="T1694" s="25" t="str">
        <x:v>Confirm direct principal versus broker, $100K-$500K appetite, and whether capital can fund the operating company without a property mortgage.</x:v>
      </x:c>
      <x:c r="U1694" s="25" t="str">
        <x:v>https://www.hardmoneyhome.com/lenders/view/active-funding-group
https://www.activefundinggroup.com
https://www.privatelendersdirectory.com/united-states/scottsdale/top-level-category/active-funding
https://activefundinggroup.com/</x:v>
      </x:c>
      <x:c r="V1694" s="26" t="d">
        <x:v>2026-10-02T00:00:00.000Z</x:v>
      </x:c>
      <x:c r="W1694" s="26" t="d">
        <x:v>2026-09-30T00:00:00.000Z</x:v>
      </x:c>
      <x:c r="X1694" s="25" t="str">
        <x:v>Saved public company, industry-directory or regulatory source; source date retained</x:v>
      </x:c>
      <x:c r="Y1694" s="25" t="str">
        <x:v>https://www.activefundinggroup.com</x:v>
      </x:c>
      <x:c r="Z1694" s="25" t="str">
        <x:v>https://www.hardmoneyhome.com/lenders/view/active-funding-group</x:v>
      </x:c>
      <x:c r="AA1694" s="25" t="str">
        <x:v>[]</x:v>
      </x:c>
      <x:c r="AB1694" s="3" t="str">
        <x:v>Existing CapitalForge research, newly screened for this campaign</x:v>
      </x:c>
      <x:c r="AC1694" s="3" t="str">
        <x:v>unverified</x:v>
      </x:c>
      <x:c r="AD1694" s="3" t="str">
        <x:v>Not contacted / unconfirmed</x:v>
      </x:c>
      <x:c r="AE1694" s="3" t="str">
        <x:v>No</x:v>
      </x:c>
      <x:c r="AF1694" s="3" t="str">
        <x:v>No</x:v>
      </x:c>
      <x:c r="AG1694" s="3"/>
      <x:c r="AH1694" s="3"/>
      <x:c r="AI1694" s="18"/>
      <x:c r="AJ1694" s="3" t="str">
        <x:v>CF2500-4548D7E8F383</x:v>
      </x:c>
      <x:c r="AK1694" s="3" t="str">
        <x:v>private_real_estate_lender</x:v>
      </x:c>
      <x:c r="AL1694" s="19" t="n">
        <x:v>100000</x:v>
      </x:c>
      <x:c r="AM1694" s="19" t="n">
        <x:v>500000</x:v>
      </x:c>
      <x:c r="AN1694" s="3" t="str">
        <x:v>https://www.hardmoneyhome.com/lenders/view/active-funding-group</x:v>
      </x:c>
      <x:c r="AO1694" s="3" t="str">
        <x:v>public_directory.jsonl</x:v>
      </x:c>
      <x:c r="AP1694" s="19"/>
    </x:row>
    <x:row r="1695" ht="36" customHeight="1">
      <x:c r="A1695" s="23" t="n">
        <x:v>1694</x:v>
      </x:c>
      <x:c r="B1695" s="15" t="str">
        <x:v>AD MORTGAGE</x:v>
      </x:c>
      <x:c r="C1695" s="15"/>
      <x:c r="D1695" s="15" t="str">
        <x:v>Property lender or directory member; operating-company capital unconfirmed</x:v>
      </x:c>
      <x:c r="E1695" s="15" t="str">
        <x:v>Property lender / private-money inquiry</x:v>
      </x:c>
      <x:c r="F1695" s="17" t="str">
        <x:v>New</x:v>
      </x:c>
      <x:c r="G1695" s="24" t="str">
        <x:v>info@admortgage.com</x:v>
      </x:c>
      <x:c r="H1695" s="24" t="str">
        <x:v>+18552356267</x:v>
      </x:c>
      <x:c r="I1695" s="24" t="str">
        <x:v>https://admortgage.com</x:v>
      </x:c>
      <x:c r="J1695" s="16" t="str">
        <x:v>FL</x:v>
      </x:c>
      <x:c r="K1695" s="16" t="str">
        <x:v>Hollywood</x:v>
      </x:c>
      <x:c r="L1695" s="16" t="str">
        <x:v>firm_business_routing</x:v>
      </x:c>
      <x:c r="M1695" s="16" t="str">
        <x:v>https://admortgage.com</x:v>
      </x:c>
      <x:c r="N1695" s="16" t="str">
        <x:v>$100K-$500K ticket not published / unconfirmed</x:v>
      </x:c>
      <x:c r="O1695" s="20"/>
      <x:c r="P1695" s="20"/>
      <x:c r="Q1695" s="25" t="str">
        <x:v>Property-loan range, not a corporate-capital commitment</x:v>
      </x:c>
      <x:c r="R1695" s="25" t="str">
        <x:v>Private real-estate finance experience. Corporate working capital, minority equity or profit participation requires a separate agreement from a property loan.</x:v>
      </x:c>
      <x:c r="S1695" s="25"/>
      <x:c r="T1695" s="25" t="str">
        <x:v>Confirm direct principal versus broker, $100K-$500K appetite, and whether capital can fund the operating company without a property mortgage.</x:v>
      </x:c>
      <x:c r="U1695" s="25" t="str">
        <x:v>https://www.privatelendersdirectory.com/united-states/hollywood/top-level-category/ad-mortgage
https://admortgage.com/</x:v>
      </x:c>
      <x:c r="V1695" s="26" t="d">
        <x:v>2026-10-02T00:00:00.000Z</x:v>
      </x:c>
      <x:c r="W1695" s="26" t="d">
        <x:v>2026-09-30T00:00:00.000Z</x:v>
      </x:c>
      <x:c r="X1695" s="25" t="str">
        <x:v>Saved public company, industry-directory or regulatory source; source date retained</x:v>
      </x:c>
      <x:c r="Y1695" s="25" t="str">
        <x:v>https://admortgage.com/</x:v>
      </x:c>
      <x:c r="Z1695" s="25" t="str">
        <x:v>https://admortgage.com/</x:v>
      </x:c>
      <x:c r="AA1695" s="25" t="str">
        <x:v>[]</x:v>
      </x:c>
      <x:c r="AB1695" s="3" t="str">
        <x:v>Existing CapitalForge research, newly screened for this campaign</x:v>
      </x:c>
      <x:c r="AC1695" s="3" t="str">
        <x:v>unverified</x:v>
      </x:c>
      <x:c r="AD1695" s="3" t="str">
        <x:v>Not contacted / unconfirmed</x:v>
      </x:c>
      <x:c r="AE1695" s="3" t="str">
        <x:v>No</x:v>
      </x:c>
      <x:c r="AF1695" s="3" t="str">
        <x:v>No</x:v>
      </x:c>
      <x:c r="AG1695" s="3"/>
      <x:c r="AH1695" s="3"/>
      <x:c r="AI1695" s="18"/>
      <x:c r="AJ1695" s="3" t="str">
        <x:v>CF2500-9473FC265915</x:v>
      </x:c>
      <x:c r="AK1695" s="3" t="str">
        <x:v>private_real_estate_lender</x:v>
      </x:c>
      <x:c r="AL1695" s="19" t="n">
        <x:v>100000</x:v>
      </x:c>
      <x:c r="AM1695" s="19" t="n">
        <x:v>500000</x:v>
      </x:c>
      <x:c r="AN1695" s="3" t="str">
        <x:v>https://www.privatelendersdirectory.com/united-states/hollywood/top-level-category/ad-mortgage</x:v>
      </x:c>
      <x:c r="AO1695" s="3" t="str">
        <x:v>public_directory.jsonl</x:v>
      </x:c>
      <x:c r="AP1695" s="19"/>
    </x:row>
    <x:row r="1696" ht="36" customHeight="1">
      <x:c r="A1696" s="23" t="n">
        <x:v>1695</x:v>
      </x:c>
      <x:c r="B1696" s="15" t="str">
        <x:v>Adelante Funding</x:v>
      </x:c>
      <x:c r="C1696" s="15"/>
      <x:c r="D1696" s="15" t="str">
        <x:v>Property lender or directory member; operating-company capital unconfirmed</x:v>
      </x:c>
      <x:c r="E1696" s="15" t="str">
        <x:v>Property lender / private-money inquiry</x:v>
      </x:c>
      <x:c r="F1696" s="17" t="str">
        <x:v>New</x:v>
      </x:c>
      <x:c r="G1696" s="24" t="str">
        <x:v>maxjr@adelantefunding.com</x:v>
      </x:c>
      <x:c r="H1696" s="24" t="str">
        <x:v>+19566885626</x:v>
      </x:c>
      <x:c r="I1696" s="24" t="str">
        <x:v>http://www.adelantefunding.com/</x:v>
      </x:c>
      <x:c r="J1696" s="16" t="str">
        <x:v>TX</x:v>
      </x:c>
      <x:c r="K1696" s="16" t="str">
        <x:v>McAllen</x:v>
      </x:c>
      <x:c r="L1696" s="16" t="str">
        <x:v>firm_business_routing</x:v>
      </x:c>
      <x:c r="M1696" s="16" t="str">
        <x:v>http://www.adelantefunding.com/</x:v>
      </x:c>
      <x:c r="N1696" s="16" t="str">
        <x:v>$100K-$500K ticket not published / unconfirmed</x:v>
      </x:c>
      <x:c r="O1696" s="20"/>
      <x:c r="P1696" s="20"/>
      <x:c r="Q1696" s="25" t="str">
        <x:v>Property-loan range, not a corporate-capital commitment</x:v>
      </x:c>
      <x:c r="R1696" s="25" t="str">
        <x:v>Private real-estate finance experience. Corporate working capital, minority equity or profit participation requires a separate agreement from a property loan.</x:v>
      </x:c>
      <x:c r="S1696" s="25"/>
      <x:c r="T1696" s="25" t="str">
        <x:v>Confirm direct principal versus broker, $100K-$500K appetite, and whether capital can fund the operating company without a property mortgage.</x:v>
      </x:c>
      <x:c r="U1696" s="25" t="str">
        <x:v>https://www.hardmoneyhome.com/lenders/view/adelante-funding
https://www.adelantefunding.com/
https://www.privatelendersdirectory.com/united-states/mcallen/top-level-category/adelante-funding
https://www.privatelendersdirectory.com/united-states/mcallen/real-estate-investment-lending/adelante-funding-ltd</x:v>
      </x:c>
      <x:c r="V1696" s="26" t="d">
        <x:v>2026-10-02T00:00:00.000Z</x:v>
      </x:c>
      <x:c r="W1696" s="26" t="d">
        <x:v>2026-09-30T00:00:00.000Z</x:v>
      </x:c>
      <x:c r="X1696" s="25" t="str">
        <x:v>Saved public company, industry-directory or regulatory source; source date retained</x:v>
      </x:c>
      <x:c r="Y1696" s="25" t="str">
        <x:v>https://www.adelantefunding.com/</x:v>
      </x:c>
      <x:c r="Z1696" s="25" t="str">
        <x:v>https://www.hardmoneyhome.com/lenders/view/adelante-funding</x:v>
      </x:c>
      <x:c r="AA1696" s="25" t="str">
        <x:v>[]</x:v>
      </x:c>
      <x:c r="AB1696" s="3" t="str">
        <x:v>Existing CapitalForge research, newly screened for this campaign</x:v>
      </x:c>
      <x:c r="AC1696" s="3" t="str">
        <x:v>unverified</x:v>
      </x:c>
      <x:c r="AD1696" s="3" t="str">
        <x:v>Not contacted / unconfirmed</x:v>
      </x:c>
      <x:c r="AE1696" s="3" t="str">
        <x:v>No</x:v>
      </x:c>
      <x:c r="AF1696" s="3" t="str">
        <x:v>No</x:v>
      </x:c>
      <x:c r="AG1696" s="3"/>
      <x:c r="AH1696" s="3"/>
      <x:c r="AI1696" s="18"/>
      <x:c r="AJ1696" s="3" t="str">
        <x:v>CF2500-779B151B6482</x:v>
      </x:c>
      <x:c r="AK1696" s="3" t="str">
        <x:v>private_real_estate_lender</x:v>
      </x:c>
      <x:c r="AL1696" s="19" t="n">
        <x:v>100000</x:v>
      </x:c>
      <x:c r="AM1696" s="19" t="n">
        <x:v>500000</x:v>
      </x:c>
      <x:c r="AN1696" s="3" t="str">
        <x:v>https://www.hardmoneyhome.com/lenders/view/adelante-funding</x:v>
      </x:c>
      <x:c r="AO1696" s="3" t="str">
        <x:v>public_directory.jsonl</x:v>
      </x:c>
      <x:c r="AP1696" s="19"/>
    </x:row>
    <x:row r="1697" ht="36" customHeight="1">
      <x:c r="A1697" s="23" t="n">
        <x:v>1696</x:v>
      </x:c>
      <x:c r="B1697" s="15" t="str">
        <x:v>AFL LENDING</x:v>
      </x:c>
      <x:c r="C1697" s="15"/>
      <x:c r="D1697" s="15" t="str">
        <x:v>Property lender or directory member; operating-company capital unconfirmed</x:v>
      </x:c>
      <x:c r="E1697" s="15" t="str">
        <x:v>Property lender / private-money inquiry</x:v>
      </x:c>
      <x:c r="F1697" s="17" t="str">
        <x:v>New</x:v>
      </x:c>
      <x:c r="G1697" s="24" t="str">
        <x:v>company@aflending.com</x:v>
      </x:c>
      <x:c r="H1697" s="24" t="str">
        <x:v>+16022773800</x:v>
      </x:c>
      <x:c r="I1697" s="24" t="str">
        <x:v>https://www.aflending.com/</x:v>
      </x:c>
      <x:c r="J1697" s="16" t="str">
        <x:v>AZ</x:v>
      </x:c>
      <x:c r="K1697" s="16" t="str">
        <x:v>Phoenix</x:v>
      </x:c>
      <x:c r="L1697" s="16" t="str">
        <x:v>firm_business_routing</x:v>
      </x:c>
      <x:c r="M1697" s="16" t="str">
        <x:v>https://www.aflending.com/</x:v>
      </x:c>
      <x:c r="N1697" s="16" t="str">
        <x:v>$100K-$500K ticket not published / unconfirmed</x:v>
      </x:c>
      <x:c r="O1697" s="20"/>
      <x:c r="P1697" s="20"/>
      <x:c r="Q1697" s="25" t="str">
        <x:v>Property-loan range, not a corporate-capital commitment</x:v>
      </x:c>
      <x:c r="R1697" s="25" t="str">
        <x:v>Private real-estate finance experience. Corporate working capital, minority equity or profit participation requires a separate agreement from a property loan.</x:v>
      </x:c>
      <x:c r="S1697" s="25"/>
      <x:c r="T1697" s="25" t="str">
        <x:v>Confirm direct principal versus broker, $100K-$500K appetite, and whether capital can fund the operating company without a property mortgage.</x:v>
      </x:c>
      <x:c r="U1697" s="25" t="str">
        <x:v>https://www.privatelendersdirectory.com/united-states/phoenix/top-level-category/afl-lending
https://www.aflending.com/</x:v>
      </x:c>
      <x:c r="V1697" s="26" t="d">
        <x:v>2026-10-02T00:00:00.000Z</x:v>
      </x:c>
      <x:c r="W1697" s="26" t="d">
        <x:v>2026-09-30T00:00:00.000Z</x:v>
      </x:c>
      <x:c r="X1697" s="25" t="str">
        <x:v>Saved public company, industry-directory or regulatory source; source date retained</x:v>
      </x:c>
      <x:c r="Y1697" s="25" t="str">
        <x:v>https://www.aflending.com/</x:v>
      </x:c>
      <x:c r="Z1697" s="25" t="str">
        <x:v>https://www.aflending.com/</x:v>
      </x:c>
      <x:c r="AA1697" s="25" t="str">
        <x:v>[]</x:v>
      </x:c>
      <x:c r="AB1697" s="3" t="str">
        <x:v>Existing CapitalForge research, newly screened for this campaign</x:v>
      </x:c>
      <x:c r="AC1697" s="3" t="str">
        <x:v>unverified</x:v>
      </x:c>
      <x:c r="AD1697" s="3" t="str">
        <x:v>Not contacted / unconfirmed</x:v>
      </x:c>
      <x:c r="AE1697" s="3" t="str">
        <x:v>No</x:v>
      </x:c>
      <x:c r="AF1697" s="3" t="str">
        <x:v>No</x:v>
      </x:c>
      <x:c r="AG1697" s="3"/>
      <x:c r="AH1697" s="3"/>
      <x:c r="AI1697" s="18"/>
      <x:c r="AJ1697" s="3" t="str">
        <x:v>CF2500-423615903392</x:v>
      </x:c>
      <x:c r="AK1697" s="3" t="str">
        <x:v>private_real_estate_lender</x:v>
      </x:c>
      <x:c r="AL1697" s="19" t="n">
        <x:v>100000</x:v>
      </x:c>
      <x:c r="AM1697" s="19" t="n">
        <x:v>500000</x:v>
      </x:c>
      <x:c r="AN1697" s="3" t="str">
        <x:v>https://www.privatelendersdirectory.com/united-states/phoenix/top-level-category/afl-lending</x:v>
      </x:c>
      <x:c r="AO1697" s="3" t="str">
        <x:v>public_directory.jsonl</x:v>
      </x:c>
      <x:c r="AP1697" s="19"/>
    </x:row>
    <x:row r="1698" ht="36" customHeight="1">
      <x:c r="A1698" s="23" t="n">
        <x:v>1697</x:v>
      </x:c>
      <x:c r="B1698" s="15" t="str">
        <x:v>AHL HARD MONEY</x:v>
      </x:c>
      <x:c r="C1698" s="15"/>
      <x:c r="D1698" s="15" t="str">
        <x:v>Property lender or directory member; operating-company capital unconfirmed</x:v>
      </x:c>
      <x:c r="E1698" s="15" t="str">
        <x:v>Property lender / private-money inquiry</x:v>
      </x:c>
      <x:c r="F1698" s="17" t="str">
        <x:v>New</x:v>
      </x:c>
      <x:c r="G1698" s="24" t="str">
        <x:v>info@ahlhardmoney.com</x:v>
      </x:c>
      <x:c r="H1698" s="24" t="str">
        <x:v>+18136580911</x:v>
      </x:c>
      <x:c r="I1698" s="24" t="str">
        <x:v>https://www.ahlhardmoney.com/</x:v>
      </x:c>
      <x:c r="J1698" s="16" t="str">
        <x:v>FL</x:v>
      </x:c>
      <x:c r="K1698" s="16" t="str">
        <x:v>Tampa</x:v>
      </x:c>
      <x:c r="L1698" s="16" t="str">
        <x:v>firm_business_routing</x:v>
      </x:c>
      <x:c r="M1698" s="16" t="str">
        <x:v>https://www.ahlhardmoney.com/</x:v>
      </x:c>
      <x:c r="N1698" s="16" t="str">
        <x:v>$100K-$500K ticket not published / unconfirmed</x:v>
      </x:c>
      <x:c r="O1698" s="20"/>
      <x:c r="P1698" s="20"/>
      <x:c r="Q1698" s="25" t="str">
        <x:v>Property-loan range, not a corporate-capital commitment</x:v>
      </x:c>
      <x:c r="R1698" s="25" t="str">
        <x:v>Private real-estate finance experience. Corporate working capital, minority equity or profit participation requires a separate agreement from a property loan.</x:v>
      </x:c>
      <x:c r="S1698" s="25"/>
      <x:c r="T1698" s="25" t="str">
        <x:v>Confirm direct principal versus broker, $100K-$500K appetite, and whether capital can fund the operating company without a property mortgage.</x:v>
      </x:c>
      <x:c r="U1698" s="25" t="str">
        <x:v>https://www.privatelendersdirectory.com/united-states/tampa/top-level-category/ahl-hard-money
https://www.ahlhardmoney.com/</x:v>
      </x:c>
      <x:c r="V1698" s="26" t="d">
        <x:v>2026-10-02T00:00:00.000Z</x:v>
      </x:c>
      <x:c r="W1698" s="26" t="d">
        <x:v>2026-09-30T00:00:00.000Z</x:v>
      </x:c>
      <x:c r="X1698" s="25" t="str">
        <x:v>Saved public company, industry-directory or regulatory source; source date retained</x:v>
      </x:c>
      <x:c r="Y1698" s="25" t="str">
        <x:v>https://www.ahlhardmoney.com/</x:v>
      </x:c>
      <x:c r="Z1698" s="25" t="str">
        <x:v>https://www.ahlhardmoney.com/</x:v>
      </x:c>
      <x:c r="AA1698" s="25" t="str">
        <x:v>[]</x:v>
      </x:c>
      <x:c r="AB1698" s="3" t="str">
        <x:v>Existing CapitalForge research, newly screened for this campaign</x:v>
      </x:c>
      <x:c r="AC1698" s="3" t="str">
        <x:v>unverified</x:v>
      </x:c>
      <x:c r="AD1698" s="3" t="str">
        <x:v>Not contacted / unconfirmed</x:v>
      </x:c>
      <x:c r="AE1698" s="3" t="str">
        <x:v>No</x:v>
      </x:c>
      <x:c r="AF1698" s="3" t="str">
        <x:v>No</x:v>
      </x:c>
      <x:c r="AG1698" s="3"/>
      <x:c r="AH1698" s="3"/>
      <x:c r="AI1698" s="18"/>
      <x:c r="AJ1698" s="3" t="str">
        <x:v>CF2500-F60A3EE3D1BA</x:v>
      </x:c>
      <x:c r="AK1698" s="3" t="str">
        <x:v>private_real_estate_lender</x:v>
      </x:c>
      <x:c r="AL1698" s="19" t="n">
        <x:v>100000</x:v>
      </x:c>
      <x:c r="AM1698" s="19" t="n">
        <x:v>500000</x:v>
      </x:c>
      <x:c r="AN1698" s="3" t="str">
        <x:v>https://www.privatelendersdirectory.com/united-states/tampa/top-level-category/ahl-hard-money</x:v>
      </x:c>
      <x:c r="AO1698" s="3" t="str">
        <x:v>public_directory.jsonl</x:v>
      </x:c>
      <x:c r="AP1698" s="19"/>
    </x:row>
    <x:row r="1699" ht="36" customHeight="1">
      <x:c r="A1699" s="23" t="n">
        <x:v>1698</x:v>
      </x:c>
      <x:c r="B1699" s="15" t="str">
        <x:v>ALAMO BROKERS</x:v>
      </x:c>
      <x:c r="C1699" s="15"/>
      <x:c r="D1699" s="15" t="str">
        <x:v>Property lender or directory member; operating-company capital unconfirmed</x:v>
      </x:c>
      <x:c r="E1699" s="15" t="str">
        <x:v>Property lender / private-money inquiry</x:v>
      </x:c>
      <x:c r="F1699" s="17" t="str">
        <x:v>New</x:v>
      </x:c>
      <x:c r="G1699" s="24" t="str">
        <x:v>info@alamobrokersoftexas.com</x:v>
      </x:c>
      <x:c r="H1699" s="24" t="str">
        <x:v>+12104184840</x:v>
      </x:c>
      <x:c r="I1699" s="24" t="str">
        <x:v>https://alamobrokersoftexas.com/</x:v>
      </x:c>
      <x:c r="J1699" s="16" t="str">
        <x:v>TX</x:v>
      </x:c>
      <x:c r="K1699" s="16" t="str">
        <x:v>San Antonio</x:v>
      </x:c>
      <x:c r="L1699" s="16" t="str">
        <x:v>firm_business_routing</x:v>
      </x:c>
      <x:c r="M1699" s="16" t="str">
        <x:v>https://alamobrokersoftexas.com/</x:v>
      </x:c>
      <x:c r="N1699" s="16" t="str">
        <x:v>$100K-$500K ticket not published / unconfirmed</x:v>
      </x:c>
      <x:c r="O1699" s="20"/>
      <x:c r="P1699" s="20"/>
      <x:c r="Q1699" s="25" t="str">
        <x:v>Property-loan range, not a corporate-capital commitment</x:v>
      </x:c>
      <x:c r="R1699" s="25" t="str">
        <x:v>Private real-estate finance experience. Corporate working capital, minority equity or profit participation requires a separate agreement from a property loan.</x:v>
      </x:c>
      <x:c r="S1699" s="25"/>
      <x:c r="T1699" s="25" t="str">
        <x:v>Confirm direct principal versus broker, $100K-$500K appetite, and whether capital can fund the operating company without a property mortgage.</x:v>
      </x:c>
      <x:c r="U1699" s="25" t="str">
        <x:v>https://www.privatelendersdirectory.com/united-states/san-antonio/top-level-category/alamo-brokers
https://alamobrokersoftexas.com/
https://alamobrokersoftexas.com/contact-us/</x:v>
      </x:c>
      <x:c r="V1699" s="26" t="d">
        <x:v>2026-10-02T00:00:00.000Z</x:v>
      </x:c>
      <x:c r="W1699" s="26" t="d">
        <x:v>2026-09-30T00:00:00.000Z</x:v>
      </x:c>
      <x:c r="X1699" s="25" t="str">
        <x:v>Saved public company, industry-directory or regulatory source; source date retained</x:v>
      </x:c>
      <x:c r="Y1699" s="25" t="str">
        <x:v>https://alamobrokersoftexas.com/</x:v>
      </x:c>
      <x:c r="Z1699" s="25" t="str">
        <x:v>https://alamobrokersoftexas.com/contact-us/</x:v>
      </x:c>
      <x:c r="AA1699" s="25" t="str">
        <x:v>[]</x:v>
      </x:c>
      <x:c r="AB1699" s="3" t="str">
        <x:v>Existing CapitalForge research, newly screened for this campaign</x:v>
      </x:c>
      <x:c r="AC1699" s="3" t="str">
        <x:v>unverified</x:v>
      </x:c>
      <x:c r="AD1699" s="3" t="str">
        <x:v>Not contacted / unconfirmed</x:v>
      </x:c>
      <x:c r="AE1699" s="3" t="str">
        <x:v>No</x:v>
      </x:c>
      <x:c r="AF1699" s="3" t="str">
        <x:v>No</x:v>
      </x:c>
      <x:c r="AG1699" s="3"/>
      <x:c r="AH1699" s="3"/>
      <x:c r="AI1699" s="18"/>
      <x:c r="AJ1699" s="3" t="str">
        <x:v>CF2500-EF20B6BE67BF</x:v>
      </x:c>
      <x:c r="AK1699" s="3" t="str">
        <x:v>private_real_estate_lender</x:v>
      </x:c>
      <x:c r="AL1699" s="19" t="n">
        <x:v>100000</x:v>
      </x:c>
      <x:c r="AM1699" s="19" t="n">
        <x:v>500000</x:v>
      </x:c>
      <x:c r="AN1699" s="3" t="str">
        <x:v>https://www.privatelendersdirectory.com/united-states/san-antonio/top-level-category/alamo-brokers</x:v>
      </x:c>
      <x:c r="AO1699" s="3" t="str">
        <x:v>public_directory.jsonl</x:v>
      </x:c>
      <x:c r="AP1699" s="19"/>
    </x:row>
    <x:row r="1700" ht="36" customHeight="1">
      <x:c r="A1700" s="23" t="n">
        <x:v>1699</x:v>
      </x:c>
      <x:c r="B1700" s="15" t="str">
        <x:v>Alfie Loans LLC</x:v>
      </x:c>
      <x:c r="C1700" s="15"/>
      <x:c r="D1700" s="15" t="str">
        <x:v>Property lender or directory member; operating-company capital unconfirmed</x:v>
      </x:c>
      <x:c r="E1700" s="15" t="str">
        <x:v>Property lender / private-money inquiry</x:v>
      </x:c>
      <x:c r="F1700" s="17" t="str">
        <x:v>New</x:v>
      </x:c>
      <x:c r="G1700" s="24" t="str">
        <x:v>info@alfieloans.com</x:v>
      </x:c>
      <x:c r="H1700" s="24" t="str">
        <x:v>+18287768632</x:v>
      </x:c>
      <x:c r="I1700" s="24" t="str">
        <x:v>https://alfieloans.com/?utm_source=private-lender-link</x:v>
      </x:c>
      <x:c r="J1700" s="16" t="str">
        <x:v>NC</x:v>
      </x:c>
      <x:c r="K1700" s="16" t="str">
        <x:v>Asheville</x:v>
      </x:c>
      <x:c r="L1700" s="16" t="str">
        <x:v>firm_business_routing</x:v>
      </x:c>
      <x:c r="M1700" s="16" t="str">
        <x:v>https://alfieloans.com/?utm_source=private-lender-link</x:v>
      </x:c>
      <x:c r="N1700" s="16" t="str">
        <x:v>$100K-$500K ticket not published / unconfirmed</x:v>
      </x:c>
      <x:c r="O1700" s="20"/>
      <x:c r="P1700" s="20"/>
      <x:c r="Q1700" s="25" t="str">
        <x:v>Property-loan range, not a corporate-capital commitment</x:v>
      </x:c>
      <x:c r="R1700" s="25" t="str">
        <x:v>Private real-estate finance experience. Corporate working capital, minority equity or profit participation requires a separate agreement from a property loan.</x:v>
      </x:c>
      <x:c r="S1700" s="25"/>
      <x:c r="T1700" s="25" t="str">
        <x:v>Confirm direct principal versus broker, $100K-$500K appetite, and whether capital can fund the operating company without a property mortgage.</x:v>
      </x:c>
      <x:c r="U1700" s="25" t="str">
        <x:v>https://privatelenderlink.com/profile/alfie-loans-llc/
https://alfieloans.com/?utm_source=private-lender-link</x:v>
      </x:c>
      <x:c r="V1700" s="26" t="d">
        <x:v>2026-10-02T00:00:00.000Z</x:v>
      </x:c>
      <x:c r="W1700" s="26" t="d">
        <x:v>2026-09-30T00:00:00.000Z</x:v>
      </x:c>
      <x:c r="X1700" s="25" t="str">
        <x:v>Saved public company, industry-directory or regulatory source; source date retained</x:v>
      </x:c>
      <x:c r="Y1700" s="25" t="str">
        <x:v>https://privatelenderlink.com/profile/alfie-loans-llc/</x:v>
      </x:c>
      <x:c r="Z1700" s="25" t="str">
        <x:v>https://alfieloans.com/?utm_source=private-lender-link</x:v>
      </x:c>
      <x:c r="AA1700" s="25" t="str">
        <x:v>[]</x:v>
      </x:c>
      <x:c r="AB1700" s="3" t="str">
        <x:v>Existing CapitalForge research, newly screened for this campaign</x:v>
      </x:c>
      <x:c r="AC1700" s="3" t="str">
        <x:v>unverified</x:v>
      </x:c>
      <x:c r="AD1700" s="3" t="str">
        <x:v>Not contacted / unconfirmed</x:v>
      </x:c>
      <x:c r="AE1700" s="3" t="str">
        <x:v>No</x:v>
      </x:c>
      <x:c r="AF1700" s="3" t="str">
        <x:v>No</x:v>
      </x:c>
      <x:c r="AG1700" s="3"/>
      <x:c r="AH1700" s="3"/>
      <x:c r="AI1700" s="18"/>
      <x:c r="AJ1700" s="3" t="str">
        <x:v>CF2500-5AD3764BCDDF</x:v>
      </x:c>
      <x:c r="AK1700" s="3" t="str">
        <x:v>private_real_estate_lender</x:v>
      </x:c>
      <x:c r="AL1700" s="19" t="n">
        <x:v>100000</x:v>
      </x:c>
      <x:c r="AM1700" s="19" t="n">
        <x:v>500000</x:v>
      </x:c>
      <x:c r="AN1700" s="3" t="str">
        <x:v>https://privatelenderlink.com/profile/alfie-loans-llc/</x:v>
      </x:c>
      <x:c r="AO1700" s="3" t="str">
        <x:v>public_directory.jsonl</x:v>
      </x:c>
      <x:c r="AP1700" s="19"/>
    </x:row>
    <x:row r="1701" ht="36" customHeight="1">
      <x:c r="A1701" s="23" t="n">
        <x:v>1700</x:v>
      </x:c>
      <x:c r="B1701" s="15" t="str">
        <x:v>ALPHA CAPITAL</x:v>
      </x:c>
      <x:c r="C1701" s="15"/>
      <x:c r="D1701" s="15" t="str">
        <x:v>Property lender or directory member; operating-company capital unconfirmed</x:v>
      </x:c>
      <x:c r="E1701" s="15" t="str">
        <x:v>Property lender / private-money inquiry</x:v>
      </x:c>
      <x:c r="F1701" s="17" t="str">
        <x:v>New</x:v>
      </x:c>
      <x:c r="G1701" s="24" t="str">
        <x:v>wsmythe@alphaprimecapital.com</x:v>
      </x:c>
      <x:c r="H1701" s="24" t="str">
        <x:v>+13305079409</x:v>
      </x:c>
      <x:c r="I1701" s="24" t="str">
        <x:v>https://www.alphaprimecapital.com/</x:v>
      </x:c>
      <x:c r="J1701" s="16" t="str">
        <x:v>FL</x:v>
      </x:c>
      <x:c r="K1701" s="16" t="str">
        <x:v>Miami</x:v>
      </x:c>
      <x:c r="L1701" s="16" t="str">
        <x:v>firm_business_routing</x:v>
      </x:c>
      <x:c r="M1701" s="16" t="str">
        <x:v>https://www.alphaprimecapital.com/</x:v>
      </x:c>
      <x:c r="N1701" s="16" t="str">
        <x:v>$100K-$500K ticket not published / unconfirmed</x:v>
      </x:c>
      <x:c r="O1701" s="20"/>
      <x:c r="P1701" s="20"/>
      <x:c r="Q1701" s="25" t="str">
        <x:v>Property-loan range, not a corporate-capital commitment</x:v>
      </x:c>
      <x:c r="R1701" s="25" t="str">
        <x:v>Private real-estate finance experience. Corporate working capital, minority equity or profit participation requires a separate agreement from a property loan.</x:v>
      </x:c>
      <x:c r="S1701" s="25"/>
      <x:c r="T1701" s="25" t="str">
        <x:v>Confirm direct principal versus broker, $100K-$500K appetite, and whether capital can fund the operating company without a property mortgage.</x:v>
      </x:c>
      <x:c r="U1701" s="25" t="str">
        <x:v>https://www.privatelendersdirectory.com/united-states/miami/top-level-category/alpha-capital
https://www.alphaprimecapital.com/</x:v>
      </x:c>
      <x:c r="V1701" s="26" t="d">
        <x:v>2026-10-02T00:00:00.000Z</x:v>
      </x:c>
      <x:c r="W1701" s="26" t="d">
        <x:v>2026-09-30T00:00:00.000Z</x:v>
      </x:c>
      <x:c r="X1701" s="25" t="str">
        <x:v>Saved public company, industry-directory or regulatory source; source date retained</x:v>
      </x:c>
      <x:c r="Y1701" s="25" t="str">
        <x:v>https://www.alphaprimecapital.com/</x:v>
      </x:c>
      <x:c r="Z1701" s="25" t="str">
        <x:v>https://www.alphaprimecapital.com/</x:v>
      </x:c>
      <x:c r="AA1701" s="25" t="str">
        <x:v>[]</x:v>
      </x:c>
      <x:c r="AB1701" s="3" t="str">
        <x:v>Existing CapitalForge research, newly screened for this campaign</x:v>
      </x:c>
      <x:c r="AC1701" s="3" t="str">
        <x:v>unverified</x:v>
      </x:c>
      <x:c r="AD1701" s="3" t="str">
        <x:v>Not contacted / unconfirmed</x:v>
      </x:c>
      <x:c r="AE1701" s="3" t="str">
        <x:v>No</x:v>
      </x:c>
      <x:c r="AF1701" s="3" t="str">
        <x:v>No</x:v>
      </x:c>
      <x:c r="AG1701" s="3"/>
      <x:c r="AH1701" s="3"/>
      <x:c r="AI1701" s="18"/>
      <x:c r="AJ1701" s="3" t="str">
        <x:v>CF2500-5DC1194D4857</x:v>
      </x:c>
      <x:c r="AK1701" s="3" t="str">
        <x:v>private_real_estate_lender</x:v>
      </x:c>
      <x:c r="AL1701" s="19" t="n">
        <x:v>100000</x:v>
      </x:c>
      <x:c r="AM1701" s="19" t="n">
        <x:v>500000</x:v>
      </x:c>
      <x:c r="AN1701" s="3" t="str">
        <x:v>https://www.privatelendersdirectory.com/united-states/miami/top-level-category/alpha-capital</x:v>
      </x:c>
      <x:c r="AO1701" s="3" t="str">
        <x:v>public_directory.jsonl</x:v>
      </x:c>
      <x:c r="AP1701" s="19"/>
    </x:row>
    <x:row r="1702" ht="36" customHeight="1">
      <x:c r="A1702" s="23" t="n">
        <x:v>1701</x:v>
      </x:c>
      <x:c r="B1702" s="15" t="str">
        <x:v>ALPINE FUNDING</x:v>
      </x:c>
      <x:c r="C1702" s="15"/>
      <x:c r="D1702" s="15" t="str">
        <x:v>Property lender or directory member; operating-company capital unconfirmed</x:v>
      </x:c>
      <x:c r="E1702" s="15" t="str">
        <x:v>Property lender / private-money inquiry</x:v>
      </x:c>
      <x:c r="F1702" s="17" t="str">
        <x:v>New</x:v>
      </x:c>
      <x:c r="G1702" s="24" t="str">
        <x:v>info@alpinefundingcorp.com</x:v>
      </x:c>
      <x:c r="H1702" s="24" t="str">
        <x:v>+12019812566</x:v>
      </x:c>
      <x:c r="I1702" s="24" t="str">
        <x:v>https://alpinefundingcorp.com/</x:v>
      </x:c>
      <x:c r="J1702" s="16" t="str">
        <x:v>FL</x:v>
      </x:c>
      <x:c r="K1702" s="16" t="str">
        <x:v>Delray Beach</x:v>
      </x:c>
      <x:c r="L1702" s="16" t="str">
        <x:v>firm_business_routing</x:v>
      </x:c>
      <x:c r="M1702" s="16" t="str">
        <x:v>https://alpinefundingcorp.com/</x:v>
      </x:c>
      <x:c r="N1702" s="16" t="str">
        <x:v>$100K-$500K ticket not published / unconfirmed</x:v>
      </x:c>
      <x:c r="O1702" s="20"/>
      <x:c r="P1702" s="20"/>
      <x:c r="Q1702" s="25" t="str">
        <x:v>Property-loan range, not a corporate-capital commitment</x:v>
      </x:c>
      <x:c r="R1702" s="25" t="str">
        <x:v>Private real-estate finance experience. Corporate working capital, minority equity or profit participation requires a separate agreement from a property loan.</x:v>
      </x:c>
      <x:c r="S1702" s="25"/>
      <x:c r="T1702" s="25" t="str">
        <x:v>Confirm direct principal versus broker, $100K-$500K appetite, and whether capital can fund the operating company without a property mortgage.</x:v>
      </x:c>
      <x:c r="U1702" s="25" t="str">
        <x:v>https://www.privatelendersdirectory.com/united-states/delray-beach/top-level-category/alpine-funding
https://alpinefundingcorp.com/</x:v>
      </x:c>
      <x:c r="V1702" s="26" t="d">
        <x:v>2026-10-02T00:00:00.000Z</x:v>
      </x:c>
      <x:c r="W1702" s="26" t="d">
        <x:v>2026-09-30T00:00:00.000Z</x:v>
      </x:c>
      <x:c r="X1702" s="25" t="str">
        <x:v>Saved public company, industry-directory or regulatory source; source date retained</x:v>
      </x:c>
      <x:c r="Y1702" s="25" t="str">
        <x:v>https://alpinefundingcorp.com/</x:v>
      </x:c>
      <x:c r="Z1702" s="25" t="str">
        <x:v>https://alpinefundingcorp.com/</x:v>
      </x:c>
      <x:c r="AA1702" s="25" t="str">
        <x:v>[]</x:v>
      </x:c>
      <x:c r="AB1702" s="3" t="str">
        <x:v>Existing CapitalForge research, newly screened for this campaign</x:v>
      </x:c>
      <x:c r="AC1702" s="3" t="str">
        <x:v>unverified</x:v>
      </x:c>
      <x:c r="AD1702" s="3" t="str">
        <x:v>Not contacted / unconfirmed</x:v>
      </x:c>
      <x:c r="AE1702" s="3" t="str">
        <x:v>No</x:v>
      </x:c>
      <x:c r="AF1702" s="3" t="str">
        <x:v>No</x:v>
      </x:c>
      <x:c r="AG1702" s="3"/>
      <x:c r="AH1702" s="3"/>
      <x:c r="AI1702" s="18"/>
      <x:c r="AJ1702" s="3" t="str">
        <x:v>CF2500-296BAF03A4C1</x:v>
      </x:c>
      <x:c r="AK1702" s="3" t="str">
        <x:v>private_real_estate_lender</x:v>
      </x:c>
      <x:c r="AL1702" s="19" t="n">
        <x:v>100000</x:v>
      </x:c>
      <x:c r="AM1702" s="19" t="n">
        <x:v>500000</x:v>
      </x:c>
      <x:c r="AN1702" s="3" t="str">
        <x:v>https://www.privatelendersdirectory.com/united-states/delray-beach/top-level-category/alpine-funding</x:v>
      </x:c>
      <x:c r="AO1702" s="3" t="str">
        <x:v>public_directory.jsonl</x:v>
      </x:c>
      <x:c r="AP1702" s="19"/>
    </x:row>
    <x:row r="1703" ht="36" customHeight="1">
      <x:c r="A1703" s="23" t="n">
        <x:v>1702</x:v>
      </x:c>
      <x:c r="B1703" s="15" t="str">
        <x:v>ALTERNATIVE FUNDING</x:v>
      </x:c>
      <x:c r="C1703" s="15"/>
      <x:c r="D1703" s="15" t="str">
        <x:v>Property lender or directory member; operating-company capital unconfirmed</x:v>
      </x:c>
      <x:c r="E1703" s="15" t="str">
        <x:v>Property lender / private-money inquiry</x:v>
      </x:c>
      <x:c r="F1703" s="17" t="str">
        <x:v>New</x:v>
      </x:c>
      <x:c r="G1703" s="24" t="str">
        <x:v>info@altfunding.com</x:v>
      </x:c>
      <x:c r="H1703" s="24" t="str">
        <x:v>+18882586279</x:v>
      </x:c>
      <x:c r="I1703" s="24" t="str">
        <x:v>https://www.altfunding.com/</x:v>
      </x:c>
      <x:c r="J1703" s="16" t="str">
        <x:v>FL</x:v>
      </x:c>
      <x:c r="K1703" s="16" t="str">
        <x:v>Fort Lauderdale</x:v>
      </x:c>
      <x:c r="L1703" s="16" t="str">
        <x:v>firm_business_routing</x:v>
      </x:c>
      <x:c r="M1703" s="16" t="str">
        <x:v>https://www.altfunding.com/</x:v>
      </x:c>
      <x:c r="N1703" s="16" t="str">
        <x:v>$100K-$500K ticket not published / unconfirmed</x:v>
      </x:c>
      <x:c r="O1703" s="20"/>
      <x:c r="P1703" s="20"/>
      <x:c r="Q1703" s="25" t="str">
        <x:v>Property-loan range, not a corporate-capital commitment</x:v>
      </x:c>
      <x:c r="R1703" s="25" t="str">
        <x:v>Private real-estate finance experience. Corporate working capital, minority equity or profit participation requires a separate agreement from a property loan.</x:v>
      </x:c>
      <x:c r="S1703" s="25"/>
      <x:c r="T1703" s="25" t="str">
        <x:v>Confirm direct principal versus broker, $100K-$500K appetite, and whether capital can fund the operating company without a property mortgage.</x:v>
      </x:c>
      <x:c r="U1703" s="25" t="str">
        <x:v>https://www.privatelendersdirectory.com/united-states/fort-lauderdale/top-level-category/alternative-funding
https://www.altfunding.com/
https://www.privatelendersdirectory.com/united-states/fort-lauderdale/real-estate-investment-lending/alternative-funding-group</x:v>
      </x:c>
      <x:c r="V1703" s="26" t="d">
        <x:v>2026-10-02T00:00:00.000Z</x:v>
      </x:c>
      <x:c r="W1703" s="26" t="d">
        <x:v>2026-09-30T00:00:00.000Z</x:v>
      </x:c>
      <x:c r="X1703" s="25" t="str">
        <x:v>Saved public company, industry-directory or regulatory source; source date retained</x:v>
      </x:c>
      <x:c r="Y1703" s="25" t="str">
        <x:v>https://www.altfunding.com/</x:v>
      </x:c>
      <x:c r="Z1703" s="25" t="str">
        <x:v>https://www.altfunding.com/</x:v>
      </x:c>
      <x:c r="AA1703" s="25" t="str">
        <x:v>[]</x:v>
      </x:c>
      <x:c r="AB1703" s="3" t="str">
        <x:v>Existing CapitalForge research, newly screened for this campaign</x:v>
      </x:c>
      <x:c r="AC1703" s="3" t="str">
        <x:v>unverified</x:v>
      </x:c>
      <x:c r="AD1703" s="3" t="str">
        <x:v>Not contacted / unconfirmed</x:v>
      </x:c>
      <x:c r="AE1703" s="3" t="str">
        <x:v>No</x:v>
      </x:c>
      <x:c r="AF1703" s="3" t="str">
        <x:v>No</x:v>
      </x:c>
      <x:c r="AG1703" s="3"/>
      <x:c r="AH1703" s="3"/>
      <x:c r="AI1703" s="18"/>
      <x:c r="AJ1703" s="3" t="str">
        <x:v>CF2500-ACB47DFE4934</x:v>
      </x:c>
      <x:c r="AK1703" s="3" t="str">
        <x:v>private_real_estate_lender</x:v>
      </x:c>
      <x:c r="AL1703" s="19" t="n">
        <x:v>100000</x:v>
      </x:c>
      <x:c r="AM1703" s="19" t="n">
        <x:v>500000</x:v>
      </x:c>
      <x:c r="AN1703" s="3" t="str">
        <x:v>https://www.privatelendersdirectory.com/united-states/fort-lauderdale/top-level-category/alternative-funding</x:v>
      </x:c>
      <x:c r="AO1703" s="3" t="str">
        <x:v>public_directory.jsonl</x:v>
      </x:c>
      <x:c r="AP1703" s="19"/>
    </x:row>
    <x:row r="1704" ht="36" customHeight="1">
      <x:c r="A1704" s="23" t="n">
        <x:v>1703</x:v>
      </x:c>
      <x:c r="B1704" s="15" t="str">
        <x:v>AMERICA MORTGAGES</x:v>
      </x:c>
      <x:c r="C1704" s="15"/>
      <x:c r="D1704" s="15" t="str">
        <x:v>Property lender or directory member; operating-company capital unconfirmed</x:v>
      </x:c>
      <x:c r="E1704" s="15" t="str">
        <x:v>Property lender / private-money inquiry</x:v>
      </x:c>
      <x:c r="F1704" s="17" t="str">
        <x:v>New</x:v>
      </x:c>
      <x:c r="G1704" s="24" t="str">
        <x:v>hello@americamortgages.com</x:v>
      </x:c>
      <x:c r="H1704" s="24" t="str">
        <x:v>+18455830830</x:v>
      </x:c>
      <x:c r="I1704" s="24" t="str">
        <x:v>https://www.americamortgages.com/</x:v>
      </x:c>
      <x:c r="J1704" s="16" t="str">
        <x:v>TX</x:v>
      </x:c>
      <x:c r="K1704" s="16" t="str">
        <x:v>Dallas</x:v>
      </x:c>
      <x:c r="L1704" s="16" t="str">
        <x:v>firm_business_routing</x:v>
      </x:c>
      <x:c r="M1704" s="16" t="str">
        <x:v>https://www.americamortgages.com/</x:v>
      </x:c>
      <x:c r="N1704" s="16" t="str">
        <x:v>$100K-$500K ticket not published / unconfirmed</x:v>
      </x:c>
      <x:c r="O1704" s="20"/>
      <x:c r="P1704" s="20"/>
      <x:c r="Q1704" s="25" t="str">
        <x:v>Property-loan range, not a corporate-capital commitment</x:v>
      </x:c>
      <x:c r="R1704" s="25" t="str">
        <x:v>Private real-estate finance experience. Corporate working capital, minority equity or profit participation requires a separate agreement from a property loan.</x:v>
      </x:c>
      <x:c r="S1704" s="25"/>
      <x:c r="T1704" s="25" t="str">
        <x:v>Confirm direct principal versus broker, $100K-$500K appetite, and whether capital can fund the operating company without a property mortgage.</x:v>
      </x:c>
      <x:c r="U1704" s="25" t="str">
        <x:v>https://www.privatelendersdirectory.com/united-states/dallas/top-level-category/america-mortgages
https://www.americamortgages.com/</x:v>
      </x:c>
      <x:c r="V1704" s="26" t="d">
        <x:v>2026-10-02T00:00:00.000Z</x:v>
      </x:c>
      <x:c r="W1704" s="26" t="d">
        <x:v>2026-09-30T00:00:00.000Z</x:v>
      </x:c>
      <x:c r="X1704" s="25" t="str">
        <x:v>Saved public company, industry-directory or regulatory source; source date retained</x:v>
      </x:c>
      <x:c r="Y1704" s="25" t="str">
        <x:v>https://www.americamortgages.com/</x:v>
      </x:c>
      <x:c r="Z1704" s="25" t="str">
        <x:v>https://www.americamortgages.com/</x:v>
      </x:c>
      <x:c r="AA1704" s="25" t="str">
        <x:v>[]</x:v>
      </x:c>
      <x:c r="AB1704" s="3" t="str">
        <x:v>Existing CapitalForge research, newly screened for this campaign</x:v>
      </x:c>
      <x:c r="AC1704" s="3" t="str">
        <x:v>unverified</x:v>
      </x:c>
      <x:c r="AD1704" s="3" t="str">
        <x:v>Not contacted / unconfirmed</x:v>
      </x:c>
      <x:c r="AE1704" s="3" t="str">
        <x:v>No</x:v>
      </x:c>
      <x:c r="AF1704" s="3" t="str">
        <x:v>No</x:v>
      </x:c>
      <x:c r="AG1704" s="3"/>
      <x:c r="AH1704" s="3"/>
      <x:c r="AI1704" s="18"/>
      <x:c r="AJ1704" s="3" t="str">
        <x:v>CF2500-0174F70B69D8</x:v>
      </x:c>
      <x:c r="AK1704" s="3" t="str">
        <x:v>private_real_estate_lender</x:v>
      </x:c>
      <x:c r="AL1704" s="19" t="n">
        <x:v>100000</x:v>
      </x:c>
      <x:c r="AM1704" s="19" t="n">
        <x:v>500000</x:v>
      </x:c>
      <x:c r="AN1704" s="3" t="str">
        <x:v>https://www.privatelendersdirectory.com/united-states/dallas/top-level-category/america-mortgages</x:v>
      </x:c>
      <x:c r="AO1704" s="3" t="str">
        <x:v>public_directory.jsonl</x:v>
      </x:c>
      <x:c r="AP1704" s="19"/>
    </x:row>
    <x:row r="1705" ht="36" customHeight="1">
      <x:c r="A1705" s="23" t="n">
        <x:v>1704</x:v>
      </x:c>
      <x:c r="B1705" s="15" t="str">
        <x:v>AMERICA'S CAPITAL PROVIDER</x:v>
      </x:c>
      <x:c r="C1705" s="15"/>
      <x:c r="D1705" s="15" t="str">
        <x:v>Property lender or directory member; operating-company capital unconfirmed</x:v>
      </x:c>
      <x:c r="E1705" s="15" t="str">
        <x:v>Property lender / private-money inquiry</x:v>
      </x:c>
      <x:c r="F1705" s="17" t="str">
        <x:v>New</x:v>
      </x:c>
      <x:c r="G1705" s="24" t="str">
        <x:v>tracy@americascapitalprovider.com</x:v>
      </x:c>
      <x:c r="H1705" s="24" t="str">
        <x:v>+19542756212</x:v>
      </x:c>
      <x:c r="I1705" s="24" t="str">
        <x:v>https://americascapitalprovider.com/</x:v>
      </x:c>
      <x:c r="J1705" s="16" t="str">
        <x:v>FL</x:v>
      </x:c>
      <x:c r="K1705" s="16" t="str">
        <x:v>Pompano Beach</x:v>
      </x:c>
      <x:c r="L1705" s="16" t="str">
        <x:v>firm_business_routing</x:v>
      </x:c>
      <x:c r="M1705" s="16" t="str">
        <x:v>https://americascapitalprovider.com/</x:v>
      </x:c>
      <x:c r="N1705" s="16" t="str">
        <x:v>$100K-$500K ticket not published / unconfirmed</x:v>
      </x:c>
      <x:c r="O1705" s="20"/>
      <x:c r="P1705" s="20"/>
      <x:c r="Q1705" s="25" t="str">
        <x:v>Property-loan range, not a corporate-capital commitment</x:v>
      </x:c>
      <x:c r="R1705" s="25" t="str">
        <x:v>Private real-estate finance experience. Corporate working capital, minority equity or profit participation requires a separate agreement from a property loan.</x:v>
      </x:c>
      <x:c r="S1705" s="25"/>
      <x:c r="T1705" s="25" t="str">
        <x:v>Confirm direct principal versus broker, $100K-$500K appetite, and whether capital can fund the operating company without a property mortgage.</x:v>
      </x:c>
      <x:c r="U1705" s="25" t="str">
        <x:v>https://www.privatelendersdirectory.com/united-states/pompano-beach/top-level-category/america-s-capital-provider
https://americascapitalprovider.com/</x:v>
      </x:c>
      <x:c r="V1705" s="26" t="d">
        <x:v>2026-10-02T00:00:00.000Z</x:v>
      </x:c>
      <x:c r="W1705" s="26" t="d">
        <x:v>2026-09-30T00:00:00.000Z</x:v>
      </x:c>
      <x:c r="X1705" s="25" t="str">
        <x:v>Saved public company, industry-directory or regulatory source; source date retained</x:v>
      </x:c>
      <x:c r="Y1705" s="25" t="str">
        <x:v>https://americascapitalprovider.com/</x:v>
      </x:c>
      <x:c r="Z1705" s="25" t="str">
        <x:v>https://americascapitalprovider.com/</x:v>
      </x:c>
      <x:c r="AA1705" s="25" t="str">
        <x:v>[]</x:v>
      </x:c>
      <x:c r="AB1705" s="3" t="str">
        <x:v>Existing CapitalForge research, newly screened for this campaign</x:v>
      </x:c>
      <x:c r="AC1705" s="3" t="str">
        <x:v>unverified</x:v>
      </x:c>
      <x:c r="AD1705" s="3" t="str">
        <x:v>Not contacted / unconfirmed</x:v>
      </x:c>
      <x:c r="AE1705" s="3" t="str">
        <x:v>No</x:v>
      </x:c>
      <x:c r="AF1705" s="3" t="str">
        <x:v>No</x:v>
      </x:c>
      <x:c r="AG1705" s="3"/>
      <x:c r="AH1705" s="3"/>
      <x:c r="AI1705" s="18"/>
      <x:c r="AJ1705" s="3" t="str">
        <x:v>CF2500-FEBF2A3E7211</x:v>
      </x:c>
      <x:c r="AK1705" s="3" t="str">
        <x:v>private_real_estate_lender</x:v>
      </x:c>
      <x:c r="AL1705" s="19" t="n">
        <x:v>100000</x:v>
      </x:c>
      <x:c r="AM1705" s="19" t="n">
        <x:v>500000</x:v>
      </x:c>
      <x:c r="AN1705" s="3" t="str">
        <x:v>https://www.privatelendersdirectory.com/united-states/pompano-beach/top-level-category/america-s-capital-provider</x:v>
      </x:c>
      <x:c r="AO1705" s="3" t="str">
        <x:v>public_directory.jsonl</x:v>
      </x:c>
      <x:c r="AP1705" s="19"/>
    </x:row>
    <x:row r="1706" ht="36" customHeight="1">
      <x:c r="A1706" s="23" t="n">
        <x:v>1705</x:v>
      </x:c>
      <x:c r="B1706" s="15" t="str">
        <x:v>AMERICAN DREAM LENDING</x:v>
      </x:c>
      <x:c r="C1706" s="15"/>
      <x:c r="D1706" s="15" t="str">
        <x:v>Property lender or directory member; operating-company capital unconfirmed</x:v>
      </x:c>
      <x:c r="E1706" s="15" t="str">
        <x:v>Property lender / private-money inquiry</x:v>
      </x:c>
      <x:c r="F1706" s="17" t="str">
        <x:v>New</x:v>
      </x:c>
      <x:c r="G1706" s="24" t="str">
        <x:v>danielamartinezmt@gmail.com</x:v>
      </x:c>
      <x:c r="H1706" s="24" t="str">
        <x:v>+17868339146</x:v>
      </x:c>
      <x:c r="I1706" s="24" t="str">
        <x:v>https://adreamlending.com/</x:v>
      </x:c>
      <x:c r="J1706" s="16" t="str">
        <x:v>FL</x:v>
      </x:c>
      <x:c r="K1706" s="16" t="str">
        <x:v>Miami</x:v>
      </x:c>
      <x:c r="L1706" s="16" t="str">
        <x:v>firm_business_routing</x:v>
      </x:c>
      <x:c r="M1706" s="16" t="str">
        <x:v>https://adreamlending.com/</x:v>
      </x:c>
      <x:c r="N1706" s="16" t="str">
        <x:v>$100K-$500K ticket not published / unconfirmed</x:v>
      </x:c>
      <x:c r="O1706" s="20"/>
      <x:c r="P1706" s="20"/>
      <x:c r="Q1706" s="25" t="str">
        <x:v>Property-loan range, not a corporate-capital commitment</x:v>
      </x:c>
      <x:c r="R1706" s="25" t="str">
        <x:v>Private real-estate finance experience. Corporate working capital, minority equity or profit participation requires a separate agreement from a property loan.</x:v>
      </x:c>
      <x:c r="S1706" s="25"/>
      <x:c r="T1706" s="25" t="str">
        <x:v>Confirm direct principal versus broker, $100K-$500K appetite, and whether capital can fund the operating company without a property mortgage.</x:v>
      </x:c>
      <x:c r="U1706" s="25" t="str">
        <x:v>https://www.privatelendersdirectory.com/united-states/miami/real-estate-investment-lending/american-dream-lending
https://adreamlending.com/</x:v>
      </x:c>
      <x:c r="V1706" s="26" t="d">
        <x:v>2026-10-02T00:00:00.000Z</x:v>
      </x:c>
      <x:c r="W1706" s="26" t="d">
        <x:v>2026-09-30T00:00:00.000Z</x:v>
      </x:c>
      <x:c r="X1706" s="25" t="str">
        <x:v>Saved public company, industry-directory or regulatory source; source date retained</x:v>
      </x:c>
      <x:c r="Y1706" s="25" t="str">
        <x:v>https://adreamlending.com/</x:v>
      </x:c>
      <x:c r="Z1706" s="25" t="str">
        <x:v>https://adreamlending.com/</x:v>
      </x:c>
      <x:c r="AA1706" s="25" t="str">
        <x:v>[]</x:v>
      </x:c>
      <x:c r="AB1706" s="3" t="str">
        <x:v>Existing CapitalForge research, newly screened for this campaign</x:v>
      </x:c>
      <x:c r="AC1706" s="3" t="str">
        <x:v>unverified</x:v>
      </x:c>
      <x:c r="AD1706" s="3" t="str">
        <x:v>Not contacted / unconfirmed</x:v>
      </x:c>
      <x:c r="AE1706" s="3" t="str">
        <x:v>No</x:v>
      </x:c>
      <x:c r="AF1706" s="3" t="str">
        <x:v>No</x:v>
      </x:c>
      <x:c r="AG1706" s="3"/>
      <x:c r="AH1706" s="3"/>
      <x:c r="AI1706" s="18"/>
      <x:c r="AJ1706" s="3" t="str">
        <x:v>CF2500-A35F8BBF5D7C</x:v>
      </x:c>
      <x:c r="AK1706" s="3" t="str">
        <x:v>private_real_estate_lender</x:v>
      </x:c>
      <x:c r="AL1706" s="19" t="n">
        <x:v>100000</x:v>
      </x:c>
      <x:c r="AM1706" s="19" t="n">
        <x:v>500000</x:v>
      </x:c>
      <x:c r="AN1706" s="3" t="str">
        <x:v>https://www.privatelendersdirectory.com/united-states/miami/real-estate-investment-lending/american-dream-lending</x:v>
      </x:c>
      <x:c r="AO1706" s="3" t="str">
        <x:v>public_directory.jsonl</x:v>
      </x:c>
      <x:c r="AP1706" s="19"/>
    </x:row>
    <x:row r="1707" ht="36" customHeight="1">
      <x:c r="A1707" s="23" t="n">
        <x:v>1706</x:v>
      </x:c>
      <x:c r="B1707" s="15" t="str">
        <x:v>AMI Lenders</x:v>
      </x:c>
      <x:c r="C1707" s="15"/>
      <x:c r="D1707" s="15" t="str">
        <x:v>Property lender or directory member; operating-company capital unconfirmed</x:v>
      </x:c>
      <x:c r="E1707" s="15" t="str">
        <x:v>Property lender / private-money inquiry</x:v>
      </x:c>
      <x:c r="F1707" s="17" t="str">
        <x:v>New</x:v>
      </x:c>
      <x:c r="G1707" s="24" t="str">
        <x:v>info@amilenders.com</x:v>
      </x:c>
      <x:c r="H1707" s="24" t="str">
        <x:v>+17136824400</x:v>
      </x:c>
      <x:c r="I1707" s="24" t="str">
        <x:v>http://www.amilenders.com</x:v>
      </x:c>
      <x:c r="J1707" s="16" t="str">
        <x:v>TX</x:v>
      </x:c>
      <x:c r="K1707" s="16" t="str">
        <x:v>Houston</x:v>
      </x:c>
      <x:c r="L1707" s="16" t="str">
        <x:v>firm_business_routing</x:v>
      </x:c>
      <x:c r="M1707" s="16" t="str">
        <x:v>http://www.amilenders.com</x:v>
      </x:c>
      <x:c r="N1707" s="16" t="str">
        <x:v>$100K-$500K ticket not published / unconfirmed</x:v>
      </x:c>
      <x:c r="O1707" s="20"/>
      <x:c r="P1707" s="20"/>
      <x:c r="Q1707" s="25" t="str">
        <x:v>Property-loan range, not a corporate-capital commitment</x:v>
      </x:c>
      <x:c r="R1707" s="25" t="str">
        <x:v>Private real-estate finance experience. Corporate working capital, minority equity or profit participation requires a separate agreement from a property loan.</x:v>
      </x:c>
      <x:c r="S1707" s="25"/>
      <x:c r="T1707" s="25" t="str">
        <x:v>Confirm direct principal versus broker, $100K-$500K appetite, and whether capital can fund the operating company without a property mortgage.</x:v>
      </x:c>
      <x:c r="U1707" s="25" t="str">
        <x:v>https://www.hardmoneyhome.com/lenders/view/ami-lenders
https://www.amilenders.com/contact_us</x:v>
      </x:c>
      <x:c r="V1707" s="26" t="d">
        <x:v>2026-10-02T00:00:00.000Z</x:v>
      </x:c>
      <x:c r="W1707" s="26" t="d">
        <x:v>2026-09-30T00:00:00.000Z</x:v>
      </x:c>
      <x:c r="X1707" s="25" t="str">
        <x:v>Saved public company, industry-directory or regulatory source; source date retained</x:v>
      </x:c>
      <x:c r="Y1707" s="25" t="str">
        <x:v>https://www.amilenders.com/contact_us</x:v>
      </x:c>
      <x:c r="Z1707" s="25" t="str">
        <x:v>https://www.hardmoneyhome.com/lenders/view/ami-lenders</x:v>
      </x:c>
      <x:c r="AA1707" s="25" t="str">
        <x:v>[]</x:v>
      </x:c>
      <x:c r="AB1707" s="3" t="str">
        <x:v>Existing CapitalForge research, newly screened for this campaign</x:v>
      </x:c>
      <x:c r="AC1707" s="3" t="str">
        <x:v>unverified</x:v>
      </x:c>
      <x:c r="AD1707" s="3" t="str">
        <x:v>Not contacted / unconfirmed</x:v>
      </x:c>
      <x:c r="AE1707" s="3" t="str">
        <x:v>No</x:v>
      </x:c>
      <x:c r="AF1707" s="3" t="str">
        <x:v>No</x:v>
      </x:c>
      <x:c r="AG1707" s="3"/>
      <x:c r="AH1707" s="3"/>
      <x:c r="AI1707" s="18"/>
      <x:c r="AJ1707" s="3" t="str">
        <x:v>CF2500-20FFCC968863</x:v>
      </x:c>
      <x:c r="AK1707" s="3" t="str">
        <x:v>private_real_estate_lender</x:v>
      </x:c>
      <x:c r="AL1707" s="19" t="n">
        <x:v>100000</x:v>
      </x:c>
      <x:c r="AM1707" s="19" t="n">
        <x:v>500000</x:v>
      </x:c>
      <x:c r="AN1707" s="3" t="str">
        <x:v>https://www.hardmoneyhome.com/lenders/view/ami-lenders</x:v>
      </x:c>
      <x:c r="AO1707" s="3" t="str">
        <x:v>public_directory.jsonl</x:v>
      </x:c>
      <x:c r="AP1707" s="19"/>
    </x:row>
    <x:row r="1708" ht="36" customHeight="1">
      <x:c r="A1708" s="23" t="n">
        <x:v>1707</x:v>
      </x:c>
      <x:c r="B1708" s="15" t="str">
        <x:v>ANTONIOLI FUNDING</x:v>
      </x:c>
      <x:c r="C1708" s="15"/>
      <x:c r="D1708" s="15" t="str">
        <x:v>Property lender or directory member; operating-company capital unconfirmed</x:v>
      </x:c>
      <x:c r="E1708" s="15" t="str">
        <x:v>Property lender / private-money inquiry</x:v>
      </x:c>
      <x:c r="F1708" s="17" t="str">
        <x:v>New</x:v>
      </x:c>
      <x:c r="G1708" s="24" t="str">
        <x:v>info@antoniolifunding.com</x:v>
      </x:c>
      <x:c r="H1708" s="24" t="str">
        <x:v>+18152227597</x:v>
      </x:c>
      <x:c r="I1708" s="24" t="str">
        <x:v>https://www.antoniolifunding.com/</x:v>
      </x:c>
      <x:c r="J1708" s="16" t="str">
        <x:v>IL</x:v>
      </x:c>
      <x:c r="K1708" s="16" t="str">
        <x:v>Rockford</x:v>
      </x:c>
      <x:c r="L1708" s="16" t="str">
        <x:v>firm_business_routing</x:v>
      </x:c>
      <x:c r="M1708" s="16" t="str">
        <x:v>https://www.antoniolifunding.com/</x:v>
      </x:c>
      <x:c r="N1708" s="16" t="str">
        <x:v>$100K-$500K ticket not published / unconfirmed</x:v>
      </x:c>
      <x:c r="O1708" s="20"/>
      <x:c r="P1708" s="20"/>
      <x:c r="Q1708" s="25" t="str">
        <x:v>Property-loan range, not a corporate-capital commitment</x:v>
      </x:c>
      <x:c r="R1708" s="25" t="str">
        <x:v>Private real-estate finance experience. Corporate working capital, minority equity or profit participation requires a separate agreement from a property loan.</x:v>
      </x:c>
      <x:c r="S1708" s="25"/>
      <x:c r="T1708" s="25" t="str">
        <x:v>Confirm direct principal versus broker, $100K-$500K appetite, and whether capital can fund the operating company without a property mortgage.</x:v>
      </x:c>
      <x:c r="U1708" s="25" t="str">
        <x:v>https://www.privatelendersdirectory.com/united-states/rockford/top-level-category/antonioli-funding
https://www.antoniolifunding.com/</x:v>
      </x:c>
      <x:c r="V1708" s="26" t="d">
        <x:v>2026-10-02T00:00:00.000Z</x:v>
      </x:c>
      <x:c r="W1708" s="26" t="d">
        <x:v>2026-09-30T00:00:00.000Z</x:v>
      </x:c>
      <x:c r="X1708" s="25" t="str">
        <x:v>Saved public company, industry-directory or regulatory source; source date retained</x:v>
      </x:c>
      <x:c r="Y1708" s="25" t="str">
        <x:v>https://www.antoniolifunding.com/</x:v>
      </x:c>
      <x:c r="Z1708" s="25" t="str">
        <x:v>https://www.antoniolifunding.com/</x:v>
      </x:c>
      <x:c r="AA1708" s="25" t="str">
        <x:v>[]</x:v>
      </x:c>
      <x:c r="AB1708" s="3" t="str">
        <x:v>Existing CapitalForge research, newly screened for this campaign</x:v>
      </x:c>
      <x:c r="AC1708" s="3" t="str">
        <x:v>unverified</x:v>
      </x:c>
      <x:c r="AD1708" s="3" t="str">
        <x:v>Not contacted / unconfirmed</x:v>
      </x:c>
      <x:c r="AE1708" s="3" t="str">
        <x:v>No</x:v>
      </x:c>
      <x:c r="AF1708" s="3" t="str">
        <x:v>No</x:v>
      </x:c>
      <x:c r="AG1708" s="3"/>
      <x:c r="AH1708" s="3"/>
      <x:c r="AI1708" s="18"/>
      <x:c r="AJ1708" s="3" t="str">
        <x:v>CF2500-ED2D5261B585</x:v>
      </x:c>
      <x:c r="AK1708" s="3" t="str">
        <x:v>private_real_estate_lender</x:v>
      </x:c>
      <x:c r="AL1708" s="19" t="n">
        <x:v>100000</x:v>
      </x:c>
      <x:c r="AM1708" s="19" t="n">
        <x:v>500000</x:v>
      </x:c>
      <x:c r="AN1708" s="3" t="str">
        <x:v>https://www.privatelendersdirectory.com/united-states/rockford/top-level-category/antonioli-funding</x:v>
      </x:c>
      <x:c r="AO1708" s="3" t="str">
        <x:v>public_directory.jsonl</x:v>
      </x:c>
      <x:c r="AP1708" s="19"/>
    </x:row>
    <x:row r="1709" ht="36" customHeight="1">
      <x:c r="A1709" s="23" t="n">
        <x:v>1708</x:v>
      </x:c>
      <x:c r="B1709" s="15" t="str">
        <x:v>APPLY COMMERCIAL LOANS</x:v>
      </x:c>
      <x:c r="C1709" s="15"/>
      <x:c r="D1709" s="15" t="str">
        <x:v>Property lender or directory member; operating-company capital unconfirmed</x:v>
      </x:c>
      <x:c r="E1709" s="15" t="str">
        <x:v>Property lender / private-money inquiry</x:v>
      </x:c>
      <x:c r="F1709" s="17" t="str">
        <x:v>New</x:v>
      </x:c>
      <x:c r="G1709" s="24" t="str">
        <x:v>karen@applycommercialloans.com</x:v>
      </x:c>
      <x:c r="H1709" s="24" t="str">
        <x:v>+15123545949</x:v>
      </x:c>
      <x:c r="I1709" s="24" t="str">
        <x:v>https://applycommercialloans.com/</x:v>
      </x:c>
      <x:c r="J1709" s="16" t="str">
        <x:v>TX</x:v>
      </x:c>
      <x:c r="K1709" s="16" t="str">
        <x:v>Cedar Park</x:v>
      </x:c>
      <x:c r="L1709" s="16" t="str">
        <x:v>firm_business_routing</x:v>
      </x:c>
      <x:c r="M1709" s="16" t="str">
        <x:v>https://applycommercialloans.com/</x:v>
      </x:c>
      <x:c r="N1709" s="16" t="str">
        <x:v>$100K-$500K ticket not published / unconfirmed</x:v>
      </x:c>
      <x:c r="O1709" s="20"/>
      <x:c r="P1709" s="20"/>
      <x:c r="Q1709" s="25" t="str">
        <x:v>Property-loan range, not a corporate-capital commitment</x:v>
      </x:c>
      <x:c r="R1709" s="25" t="str">
        <x:v>Private real-estate finance experience. Corporate working capital, minority equity or profit participation requires a separate agreement from a property loan.</x:v>
      </x:c>
      <x:c r="S1709" s="25"/>
      <x:c r="T1709" s="25" t="str">
        <x:v>Confirm direct principal versus broker, $100K-$500K appetite, and whether capital can fund the operating company without a property mortgage.</x:v>
      </x:c>
      <x:c r="U1709" s="25" t="str">
        <x:v>https://www.privatelendersdirectory.com/united-states/cedar-park/top-level-category/apply-commercial-loans
https://applycommercialloans.com/</x:v>
      </x:c>
      <x:c r="V1709" s="26" t="d">
        <x:v>2026-10-02T00:00:00.000Z</x:v>
      </x:c>
      <x:c r="W1709" s="26" t="d">
        <x:v>2026-09-30T00:00:00.000Z</x:v>
      </x:c>
      <x:c r="X1709" s="25" t="str">
        <x:v>Saved public company, industry-directory or regulatory source; source date retained</x:v>
      </x:c>
      <x:c r="Y1709" s="25" t="str">
        <x:v>https://applycommercialloans.com/</x:v>
      </x:c>
      <x:c r="Z1709" s="25" t="str">
        <x:v>https://applycommercialloans.com/</x:v>
      </x:c>
      <x:c r="AA1709" s="25" t="str">
        <x:v>[]</x:v>
      </x:c>
      <x:c r="AB1709" s="3" t="str">
        <x:v>Existing CapitalForge research, newly screened for this campaign</x:v>
      </x:c>
      <x:c r="AC1709" s="3" t="str">
        <x:v>unverified</x:v>
      </x:c>
      <x:c r="AD1709" s="3" t="str">
        <x:v>Not contacted / unconfirmed</x:v>
      </x:c>
      <x:c r="AE1709" s="3" t="str">
        <x:v>No</x:v>
      </x:c>
      <x:c r="AF1709" s="3" t="str">
        <x:v>No</x:v>
      </x:c>
      <x:c r="AG1709" s="3"/>
      <x:c r="AH1709" s="3"/>
      <x:c r="AI1709" s="18"/>
      <x:c r="AJ1709" s="3" t="str">
        <x:v>CF2500-58A97FB3D58E</x:v>
      </x:c>
      <x:c r="AK1709" s="3" t="str">
        <x:v>private_real_estate_lender</x:v>
      </x:c>
      <x:c r="AL1709" s="19" t="n">
        <x:v>100000</x:v>
      </x:c>
      <x:c r="AM1709" s="19" t="n">
        <x:v>500000</x:v>
      </x:c>
      <x:c r="AN1709" s="3" t="str">
        <x:v>https://www.privatelendersdirectory.com/united-states/cedar-park/top-level-category/apply-commercial-loans</x:v>
      </x:c>
      <x:c r="AO1709" s="3" t="str">
        <x:v>public_directory.jsonl</x:v>
      </x:c>
      <x:c r="AP1709" s="19"/>
    </x:row>
    <x:row r="1710" ht="36" customHeight="1">
      <x:c r="A1710" s="23" t="n">
        <x:v>1709</x:v>
      </x:c>
      <x:c r="B1710" s="15" t="str">
        <x:v>ARCH RESIDENTIAL</x:v>
      </x:c>
      <x:c r="C1710" s="15"/>
      <x:c r="D1710" s="15" t="str">
        <x:v>Property lender or directory member; operating-company capital unconfirmed</x:v>
      </x:c>
      <x:c r="E1710" s="15" t="str">
        <x:v>Property lender / private-money inquiry</x:v>
      </x:c>
      <x:c r="F1710" s="17" t="str">
        <x:v>New</x:v>
      </x:c>
      <x:c r="G1710" s="24" t="str">
        <x:v>info@arch.investments</x:v>
      </x:c>
      <x:c r="H1710" s="24" t="str">
        <x:v>+17867986558</x:v>
      </x:c>
      <x:c r="I1710" s="24" t="str">
        <x:v>https://www.arch.investments/</x:v>
      </x:c>
      <x:c r="J1710" s="16" t="str">
        <x:v>FL</x:v>
      </x:c>
      <x:c r="K1710" s="16" t="str">
        <x:v>Miami</x:v>
      </x:c>
      <x:c r="L1710" s="16" t="str">
        <x:v>firm_business_routing</x:v>
      </x:c>
      <x:c r="M1710" s="16" t="str">
        <x:v>https://www.arch.investments/</x:v>
      </x:c>
      <x:c r="N1710" s="16" t="str">
        <x:v>$100K-$500K ticket not published / unconfirmed</x:v>
      </x:c>
      <x:c r="O1710" s="20"/>
      <x:c r="P1710" s="20"/>
      <x:c r="Q1710" s="25" t="str">
        <x:v>Property-loan range, not a corporate-capital commitment</x:v>
      </x:c>
      <x:c r="R1710" s="25" t="str">
        <x:v>Private real-estate finance experience. Corporate working capital, minority equity or profit participation requires a separate agreement from a property loan.</x:v>
      </x:c>
      <x:c r="S1710" s="25"/>
      <x:c r="T1710" s="25" t="str">
        <x:v>Confirm direct principal versus broker, $100K-$500K appetite, and whether capital can fund the operating company without a property mortgage.</x:v>
      </x:c>
      <x:c r="U1710" s="25" t="str">
        <x:v>https://www.privatelendersdirectory.com/united-states/miami/top-level-category/arch-residential
https://www.arch.investments/</x:v>
      </x:c>
      <x:c r="V1710" s="26" t="d">
        <x:v>2026-10-02T00:00:00.000Z</x:v>
      </x:c>
      <x:c r="W1710" s="26" t="d">
        <x:v>2026-09-30T00:00:00.000Z</x:v>
      </x:c>
      <x:c r="X1710" s="25" t="str">
        <x:v>Saved public company, industry-directory or regulatory source; source date retained</x:v>
      </x:c>
      <x:c r="Y1710" s="25" t="str">
        <x:v>https://www.arch.investments/</x:v>
      </x:c>
      <x:c r="Z1710" s="25" t="str">
        <x:v>https://www.arch.investments/</x:v>
      </x:c>
      <x:c r="AA1710" s="25" t="str">
        <x:v>[]</x:v>
      </x:c>
      <x:c r="AB1710" s="3" t="str">
        <x:v>Existing CapitalForge research, newly screened for this campaign</x:v>
      </x:c>
      <x:c r="AC1710" s="3" t="str">
        <x:v>unverified</x:v>
      </x:c>
      <x:c r="AD1710" s="3" t="str">
        <x:v>Not contacted / unconfirmed</x:v>
      </x:c>
      <x:c r="AE1710" s="3" t="str">
        <x:v>No</x:v>
      </x:c>
      <x:c r="AF1710" s="3" t="str">
        <x:v>No</x:v>
      </x:c>
      <x:c r="AG1710" s="3"/>
      <x:c r="AH1710" s="3"/>
      <x:c r="AI1710" s="18"/>
      <x:c r="AJ1710" s="3" t="str">
        <x:v>CF2500-946877932FFA</x:v>
      </x:c>
      <x:c r="AK1710" s="3" t="str">
        <x:v>private_real_estate_lender</x:v>
      </x:c>
      <x:c r="AL1710" s="19" t="n">
        <x:v>100000</x:v>
      </x:c>
      <x:c r="AM1710" s="19" t="n">
        <x:v>500000</x:v>
      </x:c>
      <x:c r="AN1710" s="3" t="str">
        <x:v>https://www.privatelendersdirectory.com/united-states/miami/top-level-category/arch-residential</x:v>
      </x:c>
      <x:c r="AO1710" s="3" t="str">
        <x:v>public_directory.jsonl</x:v>
      </x:c>
      <x:c r="AP1710" s="19"/>
    </x:row>
    <x:row r="1711" ht="36" customHeight="1">
      <x:c r="A1711" s="23" t="n">
        <x:v>1710</x:v>
      </x:c>
      <x:c r="B1711" s="15" t="str">
        <x:v>ARIZONA MORTGAGE &amp; INVESTMENTS</x:v>
      </x:c>
      <x:c r="C1711" s="15"/>
      <x:c r="D1711" s="15" t="str">
        <x:v>Property lender or directory member; operating-company capital unconfirmed</x:v>
      </x:c>
      <x:c r="E1711" s="15" t="str">
        <x:v>Property lender / private-money inquiry</x:v>
      </x:c>
      <x:c r="F1711" s="17" t="str">
        <x:v>New</x:v>
      </x:c>
      <x:c r="G1711" s="24" t="str">
        <x:v>jim@azmtgi.com</x:v>
      </x:c>
      <x:c r="H1711" s="24" t="str">
        <x:v>+14805651200</x:v>
      </x:c>
      <x:c r="I1711" s="24" t="str">
        <x:v>https://azmtgi.com/</x:v>
      </x:c>
      <x:c r="J1711" s="16" t="str">
        <x:v>AZ</x:v>
      </x:c>
      <x:c r="K1711" s="16" t="str">
        <x:v>Scottsdale</x:v>
      </x:c>
      <x:c r="L1711" s="16" t="str">
        <x:v>firm_business_routing</x:v>
      </x:c>
      <x:c r="M1711" s="16" t="str">
        <x:v>https://azmtgi.com/</x:v>
      </x:c>
      <x:c r="N1711" s="16" t="str">
        <x:v>$100K-$500K ticket not published / unconfirmed</x:v>
      </x:c>
      <x:c r="O1711" s="20"/>
      <x:c r="P1711" s="20"/>
      <x:c r="Q1711" s="25" t="str">
        <x:v>Property-loan range, not a corporate-capital commitment</x:v>
      </x:c>
      <x:c r="R1711" s="25" t="str">
        <x:v>Private real-estate finance experience. Corporate working capital, minority equity or profit participation requires a separate agreement from a property loan.</x:v>
      </x:c>
      <x:c r="S1711" s="25"/>
      <x:c r="T1711" s="25" t="str">
        <x:v>Confirm direct principal versus broker, $100K-$500K appetite, and whether capital can fund the operating company without a property mortgage.</x:v>
      </x:c>
      <x:c r="U1711" s="25" t="str">
        <x:v>https://www.privatelendersdirectory.com/united-states/scottsdale/top-level-category/arizona-mortgage-investments
https://azmtgi.com/
https://www.privatelendersdirectory.com/united-states/scottsdale/top-level-category/arizona-mortgage-and-investment</x:v>
      </x:c>
      <x:c r="V1711" s="26" t="d">
        <x:v>2026-10-02T00:00:00.000Z</x:v>
      </x:c>
      <x:c r="W1711" s="26" t="d">
        <x:v>2026-09-30T00:00:00.000Z</x:v>
      </x:c>
      <x:c r="X1711" s="25" t="str">
        <x:v>Saved public company, industry-directory or regulatory source; source date retained</x:v>
      </x:c>
      <x:c r="Y1711" s="25" t="str">
        <x:v>https://azmtgi.com/</x:v>
      </x:c>
      <x:c r="Z1711" s="25" t="str">
        <x:v>https://azmtgi.com/</x:v>
      </x:c>
      <x:c r="AA1711" s="25" t="str">
        <x:v>[]</x:v>
      </x:c>
      <x:c r="AB1711" s="3" t="str">
        <x:v>Existing CapitalForge research, newly screened for this campaign</x:v>
      </x:c>
      <x:c r="AC1711" s="3" t="str">
        <x:v>unverified</x:v>
      </x:c>
      <x:c r="AD1711" s="3" t="str">
        <x:v>Not contacted / unconfirmed</x:v>
      </x:c>
      <x:c r="AE1711" s="3" t="str">
        <x:v>No</x:v>
      </x:c>
      <x:c r="AF1711" s="3" t="str">
        <x:v>No</x:v>
      </x:c>
      <x:c r="AG1711" s="3"/>
      <x:c r="AH1711" s="3"/>
      <x:c r="AI1711" s="18"/>
      <x:c r="AJ1711" s="3" t="str">
        <x:v>CF2500-DF9127C3C284</x:v>
      </x:c>
      <x:c r="AK1711" s="3" t="str">
        <x:v>private_real_estate_lender</x:v>
      </x:c>
      <x:c r="AL1711" s="19" t="n">
        <x:v>100000</x:v>
      </x:c>
      <x:c r="AM1711" s="19" t="n">
        <x:v>500000</x:v>
      </x:c>
      <x:c r="AN1711" s="3" t="str">
        <x:v>https://www.privatelendersdirectory.com/united-states/scottsdale/top-level-category/arizona-mortgage-investments</x:v>
      </x:c>
      <x:c r="AO1711" s="3" t="str">
        <x:v>public_directory.jsonl</x:v>
      </x:c>
      <x:c r="AP1711" s="19"/>
    </x:row>
    <x:row r="1712" ht="36" customHeight="1">
      <x:c r="A1712" s="23" t="n">
        <x:v>1711</x:v>
      </x:c>
      <x:c r="B1712" s="15" t="str">
        <x:v>ARTISAN CAPITAL</x:v>
      </x:c>
      <x:c r="C1712" s="15"/>
      <x:c r="D1712" s="15" t="str">
        <x:v>Property lender or directory member; operating-company capital unconfirmed</x:v>
      </x:c>
      <x:c r="E1712" s="15" t="str">
        <x:v>Property lender / private-money inquiry</x:v>
      </x:c>
      <x:c r="F1712" s="17" t="str">
        <x:v>New</x:v>
      </x:c>
      <x:c r="G1712" s="24" t="str">
        <x:v>info@artisancapitalgroup.com</x:v>
      </x:c>
      <x:c r="H1712" s="24" t="str">
        <x:v>+13127663501</x:v>
      </x:c>
      <x:c r="I1712" s="24" t="str">
        <x:v>https://www.artisancapitalgroup.com/</x:v>
      </x:c>
      <x:c r="J1712" s="16" t="str">
        <x:v>IL</x:v>
      </x:c>
      <x:c r="K1712" s="16" t="str">
        <x:v>Chicago</x:v>
      </x:c>
      <x:c r="L1712" s="16" t="str">
        <x:v>firm_business_routing</x:v>
      </x:c>
      <x:c r="M1712" s="16" t="str">
        <x:v>https://www.artisancapitalgroup.com/</x:v>
      </x:c>
      <x:c r="N1712" s="16" t="str">
        <x:v>$100K-$500K ticket not published / unconfirmed</x:v>
      </x:c>
      <x:c r="O1712" s="20"/>
      <x:c r="P1712" s="20"/>
      <x:c r="Q1712" s="25" t="str">
        <x:v>Property-loan range, not a corporate-capital commitment</x:v>
      </x:c>
      <x:c r="R1712" s="25" t="str">
        <x:v>Private real-estate finance experience. Corporate working capital, minority equity or profit participation requires a separate agreement from a property loan.</x:v>
      </x:c>
      <x:c r="S1712" s="25"/>
      <x:c r="T1712" s="25" t="str">
        <x:v>Confirm direct principal versus broker, $100K-$500K appetite, and whether capital can fund the operating company without a property mortgage.</x:v>
      </x:c>
      <x:c r="U1712" s="25" t="str">
        <x:v>https://www.privatelendersdirectory.com/united-states/chicago/top-level-category/artisan-capital
https://www.artisancapitalgroup.com/</x:v>
      </x:c>
      <x:c r="V1712" s="26" t="d">
        <x:v>2026-10-02T00:00:00.000Z</x:v>
      </x:c>
      <x:c r="W1712" s="26" t="d">
        <x:v>2026-09-30T00:00:00.000Z</x:v>
      </x:c>
      <x:c r="X1712" s="25" t="str">
        <x:v>Saved public company, industry-directory or regulatory source; source date retained</x:v>
      </x:c>
      <x:c r="Y1712" s="25" t="str">
        <x:v>https://www.artisancapitalgroup.com/</x:v>
      </x:c>
      <x:c r="Z1712" s="25" t="str">
        <x:v>https://www.artisancapitalgroup.com/</x:v>
      </x:c>
      <x:c r="AA1712" s="25" t="str">
        <x:v>[]</x:v>
      </x:c>
      <x:c r="AB1712" s="3" t="str">
        <x:v>Existing CapitalForge research, newly screened for this campaign</x:v>
      </x:c>
      <x:c r="AC1712" s="3" t="str">
        <x:v>unverified</x:v>
      </x:c>
      <x:c r="AD1712" s="3" t="str">
        <x:v>Not contacted / unconfirmed</x:v>
      </x:c>
      <x:c r="AE1712" s="3" t="str">
        <x:v>No</x:v>
      </x:c>
      <x:c r="AF1712" s="3" t="str">
        <x:v>No</x:v>
      </x:c>
      <x:c r="AG1712" s="3"/>
      <x:c r="AH1712" s="3"/>
      <x:c r="AI1712" s="18"/>
      <x:c r="AJ1712" s="3" t="str">
        <x:v>CF2500-80A7DE41C6BC</x:v>
      </x:c>
      <x:c r="AK1712" s="3" t="str">
        <x:v>private_real_estate_lender</x:v>
      </x:c>
      <x:c r="AL1712" s="19" t="n">
        <x:v>100000</x:v>
      </x:c>
      <x:c r="AM1712" s="19" t="n">
        <x:v>500000</x:v>
      </x:c>
      <x:c r="AN1712" s="3" t="str">
        <x:v>https://www.privatelendersdirectory.com/united-states/chicago/top-level-category/artisan-capital</x:v>
      </x:c>
      <x:c r="AO1712" s="3" t="str">
        <x:v>public_directory.jsonl</x:v>
      </x:c>
      <x:c r="AP1712" s="19"/>
    </x:row>
    <x:row r="1713" ht="36" customHeight="1">
      <x:c r="A1713" s="23" t="n">
        <x:v>1712</x:v>
      </x:c>
      <x:c r="B1713" s="15" t="str">
        <x:v>Artisan Real Estate Group</x:v>
      </x:c>
      <x:c r="C1713" s="15"/>
      <x:c r="D1713" s="15" t="str">
        <x:v>Property lender or directory member; operating-company capital unconfirmed</x:v>
      </x:c>
      <x:c r="E1713" s="15" t="str">
        <x:v>Property lender / private-money inquiry</x:v>
      </x:c>
      <x:c r="F1713" s="17" t="str">
        <x:v>New</x:v>
      </x:c>
      <x:c r="G1713" s="24" t="str">
        <x:v>info@550-fast.com</x:v>
      </x:c>
      <x:c r="H1713" s="24" t="str">
        <x:v>+16026441280</x:v>
      </x:c>
      <x:c r="I1713" s="24" t="str">
        <x:v>http://www.artisanrealestategroup.com</x:v>
      </x:c>
      <x:c r="J1713" s="16" t="str">
        <x:v>AZ</x:v>
      </x:c>
      <x:c r="K1713" s="16" t="str">
        <x:v>Phoenix</x:v>
      </x:c>
      <x:c r="L1713" s="16" t="str">
        <x:v>firm_business_routing</x:v>
      </x:c>
      <x:c r="M1713" s="16" t="str">
        <x:v>http://www.artisanrealestategroup.com</x:v>
      </x:c>
      <x:c r="N1713" s="16" t="str">
        <x:v>$100K-$500K ticket not published / unconfirmed</x:v>
      </x:c>
      <x:c r="O1713" s="20"/>
      <x:c r="P1713" s="20"/>
      <x:c r="Q1713" s="25" t="str">
        <x:v>Property-loan range, not a corporate-capital commitment</x:v>
      </x:c>
      <x:c r="R1713" s="25" t="str">
        <x:v>Private real-estate finance experience. Corporate working capital, minority equity or profit participation requires a separate agreement from a property loan.</x:v>
      </x:c>
      <x:c r="S1713" s="25"/>
      <x:c r="T1713" s="25" t="str">
        <x:v>Confirm direct principal versus broker, $100K-$500K appetite, and whether capital can fund the operating company without a property mortgage.</x:v>
      </x:c>
      <x:c r="U1713" s="25" t="str">
        <x:v>https://www.hardmoneyhome.com/lenders/view/artisan-real-estate-group
https://www.privatelendersdirectory.com/united-states/phoenix/top-level-category/artisan-real-estate-group
https://550-fast.com/</x:v>
      </x:c>
      <x:c r="V1713" s="26" t="d">
        <x:v>2026-10-02T00:00:00.000Z</x:v>
      </x:c>
      <x:c r="W1713" s="26" t="d">
        <x:v>2026-09-30T00:00:00.000Z</x:v>
      </x:c>
      <x:c r="X1713" s="25" t="str">
        <x:v>Saved public company, industry-directory or regulatory source; source date retained</x:v>
      </x:c>
      <x:c r="Y1713" s="25" t="str">
        <x:v>https://550-fast.com/</x:v>
      </x:c>
      <x:c r="Z1713" s="25" t="str">
        <x:v>https://www.hardmoneyhome.com/lenders/view/artisan-real-estate-group</x:v>
      </x:c>
      <x:c r="AA1713" s="25" t="str">
        <x:v>[]</x:v>
      </x:c>
      <x:c r="AB1713" s="3" t="str">
        <x:v>Existing CapitalForge research, newly screened for this campaign</x:v>
      </x:c>
      <x:c r="AC1713" s="3" t="str">
        <x:v>unverified</x:v>
      </x:c>
      <x:c r="AD1713" s="3" t="str">
        <x:v>Not contacted / unconfirmed</x:v>
      </x:c>
      <x:c r="AE1713" s="3" t="str">
        <x:v>No</x:v>
      </x:c>
      <x:c r="AF1713" s="3" t="str">
        <x:v>No</x:v>
      </x:c>
      <x:c r="AG1713" s="3"/>
      <x:c r="AH1713" s="3"/>
      <x:c r="AI1713" s="18"/>
      <x:c r="AJ1713" s="3" t="str">
        <x:v>CF2500-63E191AC9A97</x:v>
      </x:c>
      <x:c r="AK1713" s="3" t="str">
        <x:v>private_real_estate_lender</x:v>
      </x:c>
      <x:c r="AL1713" s="19" t="n">
        <x:v>100000</x:v>
      </x:c>
      <x:c r="AM1713" s="19" t="n">
        <x:v>500000</x:v>
      </x:c>
      <x:c r="AN1713" s="3" t="str">
        <x:v>https://www.hardmoneyhome.com/lenders/view/artisan-real-estate-group</x:v>
      </x:c>
      <x:c r="AO1713" s="3" t="str">
        <x:v>public_directory.jsonl</x:v>
      </x:c>
      <x:c r="AP1713" s="19"/>
    </x:row>
    <x:row r="1714" ht="36" customHeight="1">
      <x:c r="A1714" s="23" t="n">
        <x:v>1713</x:v>
      </x:c>
      <x:c r="B1714" s="15" t="str">
        <x:v>ASSET POINT CAPITAL</x:v>
      </x:c>
      <x:c r="C1714" s="15"/>
      <x:c r="D1714" s="15" t="str">
        <x:v>Property lender or directory member; operating-company capital unconfirmed</x:v>
      </x:c>
      <x:c r="E1714" s="15" t="str">
        <x:v>Property lender / private-money inquiry</x:v>
      </x:c>
      <x:c r="F1714" s="17" t="str">
        <x:v>New</x:v>
      </x:c>
      <x:c r="G1714" s="24" t="str">
        <x:v>deals@assetpointcapital.com</x:v>
      </x:c>
      <x:c r="H1714" s="24" t="str">
        <x:v>+19046474776</x:v>
      </x:c>
      <x:c r="I1714" s="24" t="str">
        <x:v>https://assetpointcapital.com/</x:v>
      </x:c>
      <x:c r="J1714" s="16" t="str">
        <x:v>FL</x:v>
      </x:c>
      <x:c r="K1714" s="16" t="str">
        <x:v>Jacksonville Beach</x:v>
      </x:c>
      <x:c r="L1714" s="16" t="str">
        <x:v>firm_business_routing</x:v>
      </x:c>
      <x:c r="M1714" s="16" t="str">
        <x:v>https://assetpointcapital.com/</x:v>
      </x:c>
      <x:c r="N1714" s="16" t="str">
        <x:v>$100K-$500K ticket not published / unconfirmed</x:v>
      </x:c>
      <x:c r="O1714" s="20"/>
      <x:c r="P1714" s="20"/>
      <x:c r="Q1714" s="25" t="str">
        <x:v>Property-loan range, not a corporate-capital commitment</x:v>
      </x:c>
      <x:c r="R1714" s="25" t="str">
        <x:v>Private real-estate finance experience. Corporate working capital, minority equity or profit participation requires a separate agreement from a property loan.</x:v>
      </x:c>
      <x:c r="S1714" s="25"/>
      <x:c r="T1714" s="25" t="str">
        <x:v>Confirm direct principal versus broker, $100K-$500K appetite, and whether capital can fund the operating company without a property mortgage.</x:v>
      </x:c>
      <x:c r="U1714" s="25" t="str">
        <x:v>https://www.privatelendersdirectory.com/united-states/jacksonville-beach/real-estate-investment-lending/asset-point-capital
https://assetpointcapital.com/</x:v>
      </x:c>
      <x:c r="V1714" s="26" t="d">
        <x:v>2026-10-02T00:00:00.000Z</x:v>
      </x:c>
      <x:c r="W1714" s="26" t="d">
        <x:v>2026-09-30T00:00:00.000Z</x:v>
      </x:c>
      <x:c r="X1714" s="25" t="str">
        <x:v>Saved public company, industry-directory or regulatory source; source date retained</x:v>
      </x:c>
      <x:c r="Y1714" s="25" t="str">
        <x:v>https://assetpointcapital.com/</x:v>
      </x:c>
      <x:c r="Z1714" s="25" t="str">
        <x:v>https://assetpointcapital.com/</x:v>
      </x:c>
      <x:c r="AA1714" s="25" t="str">
        <x:v>[]</x:v>
      </x:c>
      <x:c r="AB1714" s="3" t="str">
        <x:v>Existing CapitalForge research, newly screened for this campaign</x:v>
      </x:c>
      <x:c r="AC1714" s="3" t="str">
        <x:v>unverified</x:v>
      </x:c>
      <x:c r="AD1714" s="3" t="str">
        <x:v>Not contacted / unconfirmed</x:v>
      </x:c>
      <x:c r="AE1714" s="3" t="str">
        <x:v>No</x:v>
      </x:c>
      <x:c r="AF1714" s="3" t="str">
        <x:v>No</x:v>
      </x:c>
      <x:c r="AG1714" s="3"/>
      <x:c r="AH1714" s="3"/>
      <x:c r="AI1714" s="18"/>
      <x:c r="AJ1714" s="3" t="str">
        <x:v>CF2500-80F2BC64291E</x:v>
      </x:c>
      <x:c r="AK1714" s="3" t="str">
        <x:v>private_real_estate_lender</x:v>
      </x:c>
      <x:c r="AL1714" s="19" t="n">
        <x:v>100000</x:v>
      </x:c>
      <x:c r="AM1714" s="19" t="n">
        <x:v>500000</x:v>
      </x:c>
      <x:c r="AN1714" s="3" t="str">
        <x:v>https://www.privatelendersdirectory.com/united-states/jacksonville-beach/real-estate-investment-lending/asset-point-capital</x:v>
      </x:c>
      <x:c r="AO1714" s="3" t="str">
        <x:v>public_directory.jsonl</x:v>
      </x:c>
      <x:c r="AP1714" s="19"/>
    </x:row>
    <x:row r="1715" ht="36" customHeight="1">
      <x:c r="A1715" s="23" t="n">
        <x:v>1714</x:v>
      </x:c>
      <x:c r="B1715" s="15" t="str">
        <x:v>ATHLOS MORTGAGE SOLUTIONS</x:v>
      </x:c>
      <x:c r="C1715" s="15"/>
      <x:c r="D1715" s="15" t="str">
        <x:v>Property lender or directory member; operating-company capital unconfirmed</x:v>
      </x:c>
      <x:c r="E1715" s="15" t="str">
        <x:v>Property lender / private-money inquiry</x:v>
      </x:c>
      <x:c r="F1715" s="17" t="str">
        <x:v>New</x:v>
      </x:c>
      <x:c r="G1715" s="24" t="str">
        <x:v>info@athlosms.com</x:v>
      </x:c>
      <x:c r="H1715" s="24" t="str">
        <x:v>+17863974093</x:v>
      </x:c>
      <x:c r="I1715" s="24" t="str">
        <x:v>https://www.athlosms.com</x:v>
      </x:c>
      <x:c r="J1715" s="16" t="str">
        <x:v>FL</x:v>
      </x:c>
      <x:c r="K1715" s="16" t="str">
        <x:v>Miami Beach</x:v>
      </x:c>
      <x:c r="L1715" s="16" t="str">
        <x:v>firm_business_routing</x:v>
      </x:c>
      <x:c r="M1715" s="16" t="str">
        <x:v>https://www.athlosms.com</x:v>
      </x:c>
      <x:c r="N1715" s="16" t="str">
        <x:v>$100K-$500K ticket not published / unconfirmed</x:v>
      </x:c>
      <x:c r="O1715" s="20"/>
      <x:c r="P1715" s="20"/>
      <x:c r="Q1715" s="25" t="str">
        <x:v>Property-loan range, not a corporate-capital commitment</x:v>
      </x:c>
      <x:c r="R1715" s="25" t="str">
        <x:v>Private real-estate finance experience. Corporate working capital, minority equity or profit participation requires a separate agreement from a property loan.</x:v>
      </x:c>
      <x:c r="S1715" s="25"/>
      <x:c r="T1715" s="25" t="str">
        <x:v>Confirm direct principal versus broker, $100K-$500K appetite, and whether capital can fund the operating company without a property mortgage.</x:v>
      </x:c>
      <x:c r="U1715" s="25" t="str">
        <x:v>https://www.privatelendersdirectory.com/united-states/miami-beach/top-level-category/athlos-mortgage-solutions
https://athlosms.com/</x:v>
      </x:c>
      <x:c r="V1715" s="26" t="d">
        <x:v>2026-10-02T00:00:00.000Z</x:v>
      </x:c>
      <x:c r="W1715" s="26" t="d">
        <x:v>2026-09-30T00:00:00.000Z</x:v>
      </x:c>
      <x:c r="X1715" s="25" t="str">
        <x:v>Saved public company, industry-directory or regulatory source; source date retained</x:v>
      </x:c>
      <x:c r="Y1715" s="25" t="str">
        <x:v>https://athlosms.com/</x:v>
      </x:c>
      <x:c r="Z1715" s="25" t="str">
        <x:v>https://athlosms.com/</x:v>
      </x:c>
      <x:c r="AA1715" s="25" t="str">
        <x:v>[]</x:v>
      </x:c>
      <x:c r="AB1715" s="3" t="str">
        <x:v>Existing CapitalForge research, newly screened for this campaign</x:v>
      </x:c>
      <x:c r="AC1715" s="3" t="str">
        <x:v>unverified</x:v>
      </x:c>
      <x:c r="AD1715" s="3" t="str">
        <x:v>Not contacted / unconfirmed</x:v>
      </x:c>
      <x:c r="AE1715" s="3" t="str">
        <x:v>No</x:v>
      </x:c>
      <x:c r="AF1715" s="3" t="str">
        <x:v>No</x:v>
      </x:c>
      <x:c r="AG1715" s="3"/>
      <x:c r="AH1715" s="3"/>
      <x:c r="AI1715" s="18"/>
      <x:c r="AJ1715" s="3" t="str">
        <x:v>CF2500-52636251D942</x:v>
      </x:c>
      <x:c r="AK1715" s="3" t="str">
        <x:v>private_real_estate_lender</x:v>
      </x:c>
      <x:c r="AL1715" s="19" t="n">
        <x:v>100000</x:v>
      </x:c>
      <x:c r="AM1715" s="19" t="n">
        <x:v>500000</x:v>
      </x:c>
      <x:c r="AN1715" s="3" t="str">
        <x:v>https://www.privatelendersdirectory.com/united-states/miami-beach/top-level-category/athlos-mortgage-solutions</x:v>
      </x:c>
      <x:c r="AO1715" s="3" t="str">
        <x:v>public_directory.jsonl</x:v>
      </x:c>
      <x:c r="AP1715" s="19"/>
    </x:row>
    <x:row r="1716" ht="36" customHeight="1">
      <x:c r="A1716" s="23" t="n">
        <x:v>1715</x:v>
      </x:c>
      <x:c r="B1716" s="15" t="str">
        <x:v>AXEN MORTGAGE</x:v>
      </x:c>
      <x:c r="C1716" s="15"/>
      <x:c r="D1716" s="15" t="str">
        <x:v>Property lender or directory member; operating-company capital unconfirmed</x:v>
      </x:c>
      <x:c r="E1716" s="15" t="str">
        <x:v>Property lender / private-money inquiry</x:v>
      </x:c>
      <x:c r="F1716" s="17" t="str">
        <x:v>New</x:v>
      </x:c>
      <x:c r="G1716" s="24" t="str">
        <x:v>ross.wright@axenmortgage.com</x:v>
      </x:c>
      <x:c r="H1716" s="24" t="str">
        <x:v>+18772765550</x:v>
      </x:c>
      <x:c r="I1716" s="24" t="str">
        <x:v>https://axenmortgage.com/</x:v>
      </x:c>
      <x:c r="J1716" s="16" t="str">
        <x:v>AZ</x:v>
      </x:c>
      <x:c r="K1716" s="16" t="str">
        <x:v>Chandler</x:v>
      </x:c>
      <x:c r="L1716" s="16" t="str">
        <x:v>firm_business_routing</x:v>
      </x:c>
      <x:c r="M1716" s="16" t="str">
        <x:v>https://axenmortgage.com/</x:v>
      </x:c>
      <x:c r="N1716" s="16" t="str">
        <x:v>$100K-$500K ticket not published / unconfirmed</x:v>
      </x:c>
      <x:c r="O1716" s="20"/>
      <x:c r="P1716" s="20"/>
      <x:c r="Q1716" s="25" t="str">
        <x:v>Property-loan range, not a corporate-capital commitment</x:v>
      </x:c>
      <x:c r="R1716" s="25" t="str">
        <x:v>Private real-estate finance experience. Corporate working capital, minority equity or profit participation requires a separate agreement from a property loan.</x:v>
      </x:c>
      <x:c r="S1716" s="25"/>
      <x:c r="T1716" s="25" t="str">
        <x:v>Confirm direct principal versus broker, $100K-$500K appetite, and whether capital can fund the operating company without a property mortgage.</x:v>
      </x:c>
      <x:c r="U1716" s="25" t="str">
        <x:v>https://www.privatelendersdirectory.com/united-states/chandler/top-level-category/axen-mortgage
https://axenmortgage.com/</x:v>
      </x:c>
      <x:c r="V1716" s="26" t="d">
        <x:v>2026-10-02T00:00:00.000Z</x:v>
      </x:c>
      <x:c r="W1716" s="26" t="d">
        <x:v>2026-09-30T00:00:00.000Z</x:v>
      </x:c>
      <x:c r="X1716" s="25" t="str">
        <x:v>Saved public company, industry-directory or regulatory source; source date retained</x:v>
      </x:c>
      <x:c r="Y1716" s="25" t="str">
        <x:v>https://axenmortgage.com/</x:v>
      </x:c>
      <x:c r="Z1716" s="25" t="str">
        <x:v>https://axenmortgage.com/</x:v>
      </x:c>
      <x:c r="AA1716" s="25" t="str">
        <x:v>[]</x:v>
      </x:c>
      <x:c r="AB1716" s="3" t="str">
        <x:v>Existing CapitalForge research, newly screened for this campaign</x:v>
      </x:c>
      <x:c r="AC1716" s="3" t="str">
        <x:v>unverified</x:v>
      </x:c>
      <x:c r="AD1716" s="3" t="str">
        <x:v>Not contacted / unconfirmed</x:v>
      </x:c>
      <x:c r="AE1716" s="3" t="str">
        <x:v>No</x:v>
      </x:c>
      <x:c r="AF1716" s="3" t="str">
        <x:v>No</x:v>
      </x:c>
      <x:c r="AG1716" s="3"/>
      <x:c r="AH1716" s="3"/>
      <x:c r="AI1716" s="18"/>
      <x:c r="AJ1716" s="3" t="str">
        <x:v>CF2500-91FCCAEAA32F</x:v>
      </x:c>
      <x:c r="AK1716" s="3" t="str">
        <x:v>private_real_estate_lender</x:v>
      </x:c>
      <x:c r="AL1716" s="19" t="n">
        <x:v>100000</x:v>
      </x:c>
      <x:c r="AM1716" s="19" t="n">
        <x:v>500000</x:v>
      </x:c>
      <x:c r="AN1716" s="3" t="str">
        <x:v>https://www.privatelendersdirectory.com/united-states/chandler/top-level-category/axen-mortgage</x:v>
      </x:c>
      <x:c r="AO1716" s="3" t="str">
        <x:v>public_directory.jsonl</x:v>
      </x:c>
      <x:c r="AP1716" s="19"/>
    </x:row>
    <x:row r="1717" ht="36" customHeight="1">
      <x:c r="A1717" s="23" t="n">
        <x:v>1716</x:v>
      </x:c>
      <x:c r="B1717" s="15" t="str">
        <x:v>AZ MORTGAGE BROTHERS</x:v>
      </x:c>
      <x:c r="C1717" s="15"/>
      <x:c r="D1717" s="15" t="str">
        <x:v>Property lender or directory member; operating-company capital unconfirmed</x:v>
      </x:c>
      <x:c r="E1717" s="15" t="str">
        <x:v>Property lender / private-money inquiry</x:v>
      </x:c>
      <x:c r="F1717" s="17" t="str">
        <x:v>New</x:v>
      </x:c>
      <x:c r="G1717" s="24" t="str">
        <x:v>team@azmortgagebrothers.com</x:v>
      </x:c>
      <x:c r="H1717" s="24" t="str">
        <x:v>+16025352171</x:v>
      </x:c>
      <x:c r="I1717" s="24" t="str">
        <x:v>https://www.azmortgagebrothers.com/</x:v>
      </x:c>
      <x:c r="J1717" s="16" t="str">
        <x:v>AZ</x:v>
      </x:c>
      <x:c r="K1717" s="16" t="str">
        <x:v>Phoenix</x:v>
      </x:c>
      <x:c r="L1717" s="16" t="str">
        <x:v>firm_business_routing</x:v>
      </x:c>
      <x:c r="M1717" s="16" t="str">
        <x:v>https://www.azmortgagebrothers.com/</x:v>
      </x:c>
      <x:c r="N1717" s="16" t="str">
        <x:v>$100K-$500K ticket not published / unconfirmed</x:v>
      </x:c>
      <x:c r="O1717" s="20"/>
      <x:c r="P1717" s="20"/>
      <x:c r="Q1717" s="25" t="str">
        <x:v>Property-loan range, not a corporate-capital commitment</x:v>
      </x:c>
      <x:c r="R1717" s="25" t="str">
        <x:v>Private real-estate finance experience. Corporate working capital, minority equity or profit participation requires a separate agreement from a property loan.</x:v>
      </x:c>
      <x:c r="S1717" s="25"/>
      <x:c r="T1717" s="25" t="str">
        <x:v>Confirm direct principal versus broker, $100K-$500K appetite, and whether capital can fund the operating company without a property mortgage.</x:v>
      </x:c>
      <x:c r="U1717" s="25" t="str">
        <x:v>https://www.privatelendersdirectory.com/united-states/phoenix/top-level-category/az-mortgage-brothers
https://azmortgagebrothers.com/</x:v>
      </x:c>
      <x:c r="V1717" s="26" t="d">
        <x:v>2026-10-02T00:00:00.000Z</x:v>
      </x:c>
      <x:c r="W1717" s="26" t="d">
        <x:v>2026-09-30T00:00:00.000Z</x:v>
      </x:c>
      <x:c r="X1717" s="25" t="str">
        <x:v>Saved public company, industry-directory or regulatory source; source date retained</x:v>
      </x:c>
      <x:c r="Y1717" s="25" t="str">
        <x:v>https://azmortgagebrothers.com/</x:v>
      </x:c>
      <x:c r="Z1717" s="25" t="str">
        <x:v>https://azmortgagebrothers.com/</x:v>
      </x:c>
      <x:c r="AA1717" s="25" t="str">
        <x:v>[]</x:v>
      </x:c>
      <x:c r="AB1717" s="3" t="str">
        <x:v>Existing CapitalForge research, newly screened for this campaign</x:v>
      </x:c>
      <x:c r="AC1717" s="3" t="str">
        <x:v>unverified</x:v>
      </x:c>
      <x:c r="AD1717" s="3" t="str">
        <x:v>Not contacted / unconfirmed</x:v>
      </x:c>
      <x:c r="AE1717" s="3" t="str">
        <x:v>No</x:v>
      </x:c>
      <x:c r="AF1717" s="3" t="str">
        <x:v>No</x:v>
      </x:c>
      <x:c r="AG1717" s="3"/>
      <x:c r="AH1717" s="3"/>
      <x:c r="AI1717" s="18"/>
      <x:c r="AJ1717" s="3" t="str">
        <x:v>CF2500-A1F8014F32A7</x:v>
      </x:c>
      <x:c r="AK1717" s="3" t="str">
        <x:v>private_real_estate_lender</x:v>
      </x:c>
      <x:c r="AL1717" s="19" t="n">
        <x:v>100000</x:v>
      </x:c>
      <x:c r="AM1717" s="19" t="n">
        <x:v>500000</x:v>
      </x:c>
      <x:c r="AN1717" s="3" t="str">
        <x:v>https://www.privatelendersdirectory.com/united-states/phoenix/top-level-category/az-mortgage-brothers</x:v>
      </x:c>
      <x:c r="AO1717" s="3" t="str">
        <x:v>public_directory.jsonl</x:v>
      </x:c>
      <x:c r="AP1717" s="19"/>
    </x:row>
    <x:row r="1718" ht="36" customHeight="1">
      <x:c r="A1718" s="23" t="n">
        <x:v>1717</x:v>
      </x:c>
      <x:c r="B1718" s="15" t="str">
        <x:v>B&amp;B Capital Group</x:v>
      </x:c>
      <x:c r="C1718" s="15"/>
      <x:c r="D1718" s="15" t="str">
        <x:v>Property lender or directory member; operating-company capital unconfirmed</x:v>
      </x:c>
      <x:c r="E1718" s="15" t="str">
        <x:v>Property lender / private-money inquiry</x:v>
      </x:c>
      <x:c r="F1718" s="17" t="str">
        <x:v>New</x:v>
      </x:c>
      <x:c r="G1718" s="24" t="str">
        <x:v>daniel@bbcapitalgroup.com</x:v>
      </x:c>
      <x:c r="H1718" s="24" t="str">
        <x:v>+13054988108</x:v>
      </x:c>
      <x:c r="I1718" s="24" t="str">
        <x:v>https://bbcapitalgroup.com/?utm_source=private-lender-link</x:v>
      </x:c>
      <x:c r="J1718" s="16" t="str">
        <x:v>FL</x:v>
      </x:c>
      <x:c r="K1718" s="16" t="str">
        <x:v>Hallandale Beach</x:v>
      </x:c>
      <x:c r="L1718" s="16" t="str">
        <x:v>firm_business_routing</x:v>
      </x:c>
      <x:c r="M1718" s="16" t="str">
        <x:v>https://bbcapitalgroup.com/?utm_source=private-lender-link</x:v>
      </x:c>
      <x:c r="N1718" s="16" t="str">
        <x:v>$100K-$500K ticket not published / unconfirmed</x:v>
      </x:c>
      <x:c r="O1718" s="20"/>
      <x:c r="P1718" s="20"/>
      <x:c r="Q1718" s="25" t="str">
        <x:v>Property-loan range, not a corporate-capital commitment</x:v>
      </x:c>
      <x:c r="R1718" s="25" t="str">
        <x:v>Private real-estate finance experience. Corporate working capital, minority equity or profit participation requires a separate agreement from a property loan.</x:v>
      </x:c>
      <x:c r="S1718" s="25"/>
      <x:c r="T1718" s="25" t="str">
        <x:v>Confirm direct principal versus broker, $100K-$500K appetite, and whether capital can fund the operating company without a property mortgage.</x:v>
      </x:c>
      <x:c r="U1718" s="25" t="str">
        <x:v>https://privatelenderlink.com/profile/bb-capital-group/
https://bbcapitalgroup.com/?utm_source=private-lender-link
https://nplaconference.com/private-lending-directory/page/2/
https://bbcapitalgroup.com/contact-us/</x:v>
      </x:c>
      <x:c r="V1718" s="26" t="d">
        <x:v>2026-10-02T00:00:00.000Z</x:v>
      </x:c>
      <x:c r="W1718" s="26" t="d">
        <x:v>2026-09-30T00:00:00.000Z</x:v>
      </x:c>
      <x:c r="X1718" s="25" t="str">
        <x:v>Saved public company, industry-directory or regulatory source; source date retained</x:v>
      </x:c>
      <x:c r="Y1718" s="25" t="str">
        <x:v>https://privatelenderlink.com/profile/bb-capital-group/</x:v>
      </x:c>
      <x:c r="Z1718" s="25" t="str">
        <x:v>https://bbcapitalgroup.com/?utm_source=private-lender-link</x:v>
      </x:c>
      <x:c r="AA1718" s="25" t="str">
        <x:v>[]</x:v>
      </x:c>
      <x:c r="AB1718" s="3" t="str">
        <x:v>Existing CapitalForge research, newly screened for this campaign</x:v>
      </x:c>
      <x:c r="AC1718" s="3" t="str">
        <x:v>unverified</x:v>
      </x:c>
      <x:c r="AD1718" s="3" t="str">
        <x:v>Not contacted / unconfirmed</x:v>
      </x:c>
      <x:c r="AE1718" s="3" t="str">
        <x:v>No</x:v>
      </x:c>
      <x:c r="AF1718" s="3" t="str">
        <x:v>No</x:v>
      </x:c>
      <x:c r="AG1718" s="3"/>
      <x:c r="AH1718" s="3"/>
      <x:c r="AI1718" s="18"/>
      <x:c r="AJ1718" s="3" t="str">
        <x:v>CF2500-052970B01056</x:v>
      </x:c>
      <x:c r="AK1718" s="3" t="str">
        <x:v>private_real_estate_lender</x:v>
      </x:c>
      <x:c r="AL1718" s="19" t="n">
        <x:v>100000</x:v>
      </x:c>
      <x:c r="AM1718" s="19" t="n">
        <x:v>500000</x:v>
      </x:c>
      <x:c r="AN1718" s="3" t="str">
        <x:v>https://privatelenderlink.com/profile/bb-capital-group/</x:v>
      </x:c>
      <x:c r="AO1718" s="3" t="str">
        <x:v>public_directory.jsonl</x:v>
      </x:c>
      <x:c r="AP1718" s="19"/>
    </x:row>
    <x:row r="1719" ht="36" customHeight="1">
      <x:c r="A1719" s="23" t="n">
        <x:v>1718</x:v>
      </x:c>
      <x:c r="B1719" s="15" t="str">
        <x:v>B.E. Lending</x:v>
      </x:c>
      <x:c r="C1719" s="15"/>
      <x:c r="D1719" s="15" t="str">
        <x:v>Property lender or directory member; operating-company capital unconfirmed</x:v>
      </x:c>
      <x:c r="E1719" s="15" t="str">
        <x:v>Property lender / private-money inquiry</x:v>
      </x:c>
      <x:c r="F1719" s="17" t="str">
        <x:v>New</x:v>
      </x:c>
      <x:c r="G1719" s="24" t="str">
        <x:v>isaiah@belending.com</x:v>
      </x:c>
      <x:c r="H1719" s="24" t="str">
        <x:v>+14807060260</x:v>
      </x:c>
      <x:c r="I1719" s="24" t="str">
        <x:v>https://belending.com/?utm_source=private-lender-link</x:v>
      </x:c>
      <x:c r="J1719" s="16" t="str">
        <x:v>AZ</x:v>
      </x:c>
      <x:c r="K1719" s="16" t="str">
        <x:v>Phoenix</x:v>
      </x:c>
      <x:c r="L1719" s="16" t="str">
        <x:v>firm_business_routing</x:v>
      </x:c>
      <x:c r="M1719" s="16" t="str">
        <x:v>https://belending.com/?utm_source=private-lender-link</x:v>
      </x:c>
      <x:c r="N1719" s="16" t="str">
        <x:v>$100K-$500K ticket not published / unconfirmed</x:v>
      </x:c>
      <x:c r="O1719" s="20"/>
      <x:c r="P1719" s="20"/>
      <x:c r="Q1719" s="25" t="str">
        <x:v>Property-loan range, not a corporate-capital commitment</x:v>
      </x:c>
      <x:c r="R1719" s="25" t="str">
        <x:v>Private real-estate finance experience. Corporate working capital, minority equity or profit participation requires a separate agreement from a property loan.</x:v>
      </x:c>
      <x:c r="S1719" s="25"/>
      <x:c r="T1719" s="25" t="str">
        <x:v>Confirm direct principal versus broker, $100K-$500K appetite, and whether capital can fund the operating company without a property mortgage.</x:v>
      </x:c>
      <x:c r="U1719" s="25" t="str">
        <x:v>https://privatelenderlink.com/profile/b-e-lending/
https://belending.com/team
https://www.privatelendersdirectory.com/united-states/phoenix/top-level-category/b-e-lending
https://belending.com/</x:v>
      </x:c>
      <x:c r="V1719" s="26" t="d">
        <x:v>2026-10-02T00:00:00.000Z</x:v>
      </x:c>
      <x:c r="W1719" s="26" t="d">
        <x:v>2026-09-30T00:00:00.000Z</x:v>
      </x:c>
      <x:c r="X1719" s="25" t="str">
        <x:v>Saved public company, industry-directory or regulatory source; source date retained</x:v>
      </x:c>
      <x:c r="Y1719" s="25" t="str">
        <x:v>https://belending.com/team</x:v>
      </x:c>
      <x:c r="Z1719" s="25" t="str">
        <x:v>https://privatelenderlink.com/profile/b-e-lending/</x:v>
      </x:c>
      <x:c r="AA1719" s="25" t="str">
        <x:v>[]</x:v>
      </x:c>
      <x:c r="AB1719" s="3" t="str">
        <x:v>Existing CapitalForge research, newly screened for this campaign</x:v>
      </x:c>
      <x:c r="AC1719" s="3" t="str">
        <x:v>unverified</x:v>
      </x:c>
      <x:c r="AD1719" s="3" t="str">
        <x:v>Not contacted / unconfirmed</x:v>
      </x:c>
      <x:c r="AE1719" s="3" t="str">
        <x:v>No</x:v>
      </x:c>
      <x:c r="AF1719" s="3" t="str">
        <x:v>No</x:v>
      </x:c>
      <x:c r="AG1719" s="3"/>
      <x:c r="AH1719" s="3"/>
      <x:c r="AI1719" s="18"/>
      <x:c r="AJ1719" s="3" t="str">
        <x:v>CF2500-B70A5EFB0814</x:v>
      </x:c>
      <x:c r="AK1719" s="3" t="str">
        <x:v>private_real_estate_lender</x:v>
      </x:c>
      <x:c r="AL1719" s="19" t="n">
        <x:v>100000</x:v>
      </x:c>
      <x:c r="AM1719" s="19" t="n">
        <x:v>500000</x:v>
      </x:c>
      <x:c r="AN1719" s="3" t="str">
        <x:v>https://privatelenderlink.com/profile/b-e-lending/</x:v>
      </x:c>
      <x:c r="AO1719" s="3" t="str">
        <x:v>public_directory.jsonl</x:v>
      </x:c>
      <x:c r="AP1719" s="19"/>
    </x:row>
    <x:row r="1720" ht="36" customHeight="1">
      <x:c r="A1720" s="23" t="n">
        <x:v>1719</x:v>
      </x:c>
      <x:c r="B1720" s="15" t="str">
        <x:v>BALCONES COMMERCIAL CAPITAL</x:v>
      </x:c>
      <x:c r="C1720" s="15"/>
      <x:c r="D1720" s="15" t="str">
        <x:v>Property lender or directory member; operating-company capital unconfirmed</x:v>
      </x:c>
      <x:c r="E1720" s="15" t="str">
        <x:v>Property lender / private-money inquiry</x:v>
      </x:c>
      <x:c r="F1720" s="17" t="str">
        <x:v>New</x:v>
      </x:c>
      <x:c r="G1720" s="24" t="str">
        <x:v>brent@balconescommercialcapital.com</x:v>
      </x:c>
      <x:c r="H1720" s="24" t="str">
        <x:v>+12547607560</x:v>
      </x:c>
      <x:c r="I1720" s="24" t="str">
        <x:v>https://balconescommercialcapital.com/</x:v>
      </x:c>
      <x:c r="J1720" s="16" t="str">
        <x:v>TX</x:v>
      </x:c>
      <x:c r="K1720" s="16" t="str">
        <x:v>Austin</x:v>
      </x:c>
      <x:c r="L1720" s="16" t="str">
        <x:v>firm_business_routing</x:v>
      </x:c>
      <x:c r="M1720" s="16" t="str">
        <x:v>https://balconescommercialcapital.com/</x:v>
      </x:c>
      <x:c r="N1720" s="16" t="str">
        <x:v>$100K-$500K ticket not published / unconfirmed</x:v>
      </x:c>
      <x:c r="O1720" s="20"/>
      <x:c r="P1720" s="20"/>
      <x:c r="Q1720" s="25" t="str">
        <x:v>Property-loan range, not a corporate-capital commitment</x:v>
      </x:c>
      <x:c r="R1720" s="25" t="str">
        <x:v>Private real-estate finance experience. Corporate working capital, minority equity or profit participation requires a separate agreement from a property loan.</x:v>
      </x:c>
      <x:c r="S1720" s="25"/>
      <x:c r="T1720" s="25" t="str">
        <x:v>Confirm direct principal versus broker, $100K-$500K appetite, and whether capital can fund the operating company without a property mortgage.</x:v>
      </x:c>
      <x:c r="U1720" s="25" t="str">
        <x:v>https://www.privatelendersdirectory.com/united-states/austin/top-level-category/balcones-commercial-capital
https://balconescommercialcapital.com/</x:v>
      </x:c>
      <x:c r="V1720" s="26" t="d">
        <x:v>2026-10-02T00:00:00.000Z</x:v>
      </x:c>
      <x:c r="W1720" s="26" t="d">
        <x:v>2026-09-30T00:00:00.000Z</x:v>
      </x:c>
      <x:c r="X1720" s="25" t="str">
        <x:v>Saved public company, industry-directory or regulatory source; source date retained</x:v>
      </x:c>
      <x:c r="Y1720" s="25" t="str">
        <x:v>https://balconescommercialcapital.com/</x:v>
      </x:c>
      <x:c r="Z1720" s="25" t="str">
        <x:v>https://balconescommercialcapital.com/</x:v>
      </x:c>
      <x:c r="AA1720" s="25" t="str">
        <x:v>[]</x:v>
      </x:c>
      <x:c r="AB1720" s="3" t="str">
        <x:v>Existing CapitalForge research, newly screened for this campaign</x:v>
      </x:c>
      <x:c r="AC1720" s="3" t="str">
        <x:v>unverified</x:v>
      </x:c>
      <x:c r="AD1720" s="3" t="str">
        <x:v>Not contacted / unconfirmed</x:v>
      </x:c>
      <x:c r="AE1720" s="3" t="str">
        <x:v>No</x:v>
      </x:c>
      <x:c r="AF1720" s="3" t="str">
        <x:v>No</x:v>
      </x:c>
      <x:c r="AG1720" s="3"/>
      <x:c r="AH1720" s="3"/>
      <x:c r="AI1720" s="18"/>
      <x:c r="AJ1720" s="3" t="str">
        <x:v>CF2500-6B880B2D4855</x:v>
      </x:c>
      <x:c r="AK1720" s="3" t="str">
        <x:v>private_real_estate_lender</x:v>
      </x:c>
      <x:c r="AL1720" s="19" t="n">
        <x:v>100000</x:v>
      </x:c>
      <x:c r="AM1720" s="19" t="n">
        <x:v>500000</x:v>
      </x:c>
      <x:c r="AN1720" s="3" t="str">
        <x:v>https://www.privatelendersdirectory.com/united-states/austin/top-level-category/balcones-commercial-capital</x:v>
      </x:c>
      <x:c r="AO1720" s="3" t="str">
        <x:v>public_directory.jsonl</x:v>
      </x:c>
      <x:c r="AP1720" s="19"/>
    </x:row>
    <x:row r="1721" ht="36" customHeight="1">
      <x:c r="A1721" s="23" t="n">
        <x:v>1720</x:v>
      </x:c>
      <x:c r="B1721" s="15" t="str">
        <x:v>BARDISA FAMILY HOLDINGS</x:v>
      </x:c>
      <x:c r="C1721" s="15"/>
      <x:c r="D1721" s="15" t="str">
        <x:v>Property lender or directory member; operating-company capital unconfirmed</x:v>
      </x:c>
      <x:c r="E1721" s="15" t="str">
        <x:v>Property lender / private-money inquiry</x:v>
      </x:c>
      <x:c r="F1721" s="17" t="str">
        <x:v>New</x:v>
      </x:c>
      <x:c r="G1721" s="24" t="str">
        <x:v>info@bardisafamilyholdings.com</x:v>
      </x:c>
      <x:c r="H1721" s="24" t="str">
        <x:v>+12425654758</x:v>
      </x:c>
      <x:c r="I1721" s="24" t="str">
        <x:v>https://bardisafamilyholdings.com/</x:v>
      </x:c>
      <x:c r="J1721" s="16" t="str">
        <x:v>FL</x:v>
      </x:c>
      <x:c r="K1721" s="16" t="str">
        <x:v>Miami</x:v>
      </x:c>
      <x:c r="L1721" s="16" t="str">
        <x:v>firm_business_routing</x:v>
      </x:c>
      <x:c r="M1721" s="16" t="str">
        <x:v>https://bardisafamilyholdings.com/</x:v>
      </x:c>
      <x:c r="N1721" s="16" t="str">
        <x:v>$100K-$500K ticket not published / unconfirmed</x:v>
      </x:c>
      <x:c r="O1721" s="20"/>
      <x:c r="P1721" s="20"/>
      <x:c r="Q1721" s="25" t="str">
        <x:v>Property-loan range, not a corporate-capital commitment</x:v>
      </x:c>
      <x:c r="R1721" s="25" t="str">
        <x:v>Private real-estate finance experience. Corporate working capital, minority equity or profit participation requires a separate agreement from a property loan.</x:v>
      </x:c>
      <x:c r="S1721" s="25"/>
      <x:c r="T1721" s="25" t="str">
        <x:v>Confirm direct principal versus broker, $100K-$500K appetite, and whether capital can fund the operating company without a property mortgage.</x:v>
      </x:c>
      <x:c r="U1721" s="25" t="str">
        <x:v>https://www.privatelendersdirectory.com/united-states/miami/real-estate-investment-lending/bardisa-family-holdings
https://bardisafamilyholdings.com/contact/</x:v>
      </x:c>
      <x:c r="V1721" s="26" t="d">
        <x:v>2026-10-02T00:00:00.000Z</x:v>
      </x:c>
      <x:c r="W1721" s="26" t="d">
        <x:v>2026-09-30T00:00:00.000Z</x:v>
      </x:c>
      <x:c r="X1721" s="25" t="str">
        <x:v>Saved public company, industry-directory or regulatory source; source date retained</x:v>
      </x:c>
      <x:c r="Y1721" s="25" t="str">
        <x:v>https://bardisafamilyholdings.com/contact/</x:v>
      </x:c>
      <x:c r="Z1721" s="25" t="str">
        <x:v>https://bardisafamilyholdings.com/contact/</x:v>
      </x:c>
      <x:c r="AA1721" s="25" t="str">
        <x:v>[]</x:v>
      </x:c>
      <x:c r="AB1721" s="3" t="str">
        <x:v>Existing CapitalForge research, newly screened for this campaign</x:v>
      </x:c>
      <x:c r="AC1721" s="3" t="str">
        <x:v>unverified</x:v>
      </x:c>
      <x:c r="AD1721" s="3" t="str">
        <x:v>Not contacted / unconfirmed</x:v>
      </x:c>
      <x:c r="AE1721" s="3" t="str">
        <x:v>No</x:v>
      </x:c>
      <x:c r="AF1721" s="3" t="str">
        <x:v>No</x:v>
      </x:c>
      <x:c r="AG1721" s="3"/>
      <x:c r="AH1721" s="3"/>
      <x:c r="AI1721" s="18"/>
      <x:c r="AJ1721" s="3" t="str">
        <x:v>CF2500-B8408C6129F8</x:v>
      </x:c>
      <x:c r="AK1721" s="3" t="str">
        <x:v>private_real_estate_lender</x:v>
      </x:c>
      <x:c r="AL1721" s="19" t="n">
        <x:v>100000</x:v>
      </x:c>
      <x:c r="AM1721" s="19" t="n">
        <x:v>500000</x:v>
      </x:c>
      <x:c r="AN1721" s="3" t="str">
        <x:v>https://www.privatelendersdirectory.com/united-states/miami/real-estate-investment-lending/bardisa-family-holdings</x:v>
      </x:c>
      <x:c r="AO1721" s="3" t="str">
        <x:v>public_directory.jsonl</x:v>
      </x:c>
      <x:c r="AP1721" s="19"/>
    </x:row>
    <x:row r="1722" ht="36" customHeight="1">
      <x:c r="A1722" s="23" t="n">
        <x:v>1721</x:v>
      </x:c>
      <x:c r="B1722" s="15" t="str">
        <x:v>BARON CREEK</x:v>
      </x:c>
      <x:c r="C1722" s="15"/>
      <x:c r="D1722" s="15" t="str">
        <x:v>Property lender or directory member; operating-company capital unconfirmed</x:v>
      </x:c>
      <x:c r="E1722" s="15" t="str">
        <x:v>Property lender / private-money inquiry</x:v>
      </x:c>
      <x:c r="F1722" s="17" t="str">
        <x:v>New</x:v>
      </x:c>
      <x:c r="G1722" s="24" t="str">
        <x:v>eric@baroncreek.com</x:v>
      </x:c>
      <x:c r="H1722" s="24" t="str">
        <x:v>+12104102596</x:v>
      </x:c>
      <x:c r="I1722" s="24" t="str">
        <x:v>https://baroncreek.com/</x:v>
      </x:c>
      <x:c r="J1722" s="16" t="str">
        <x:v>TX</x:v>
      </x:c>
      <x:c r="K1722" s="16" t="str">
        <x:v>San Antonio</x:v>
      </x:c>
      <x:c r="L1722" s="16" t="str">
        <x:v>firm_business_routing</x:v>
      </x:c>
      <x:c r="M1722" s="16" t="str">
        <x:v>https://baroncreek.com/</x:v>
      </x:c>
      <x:c r="N1722" s="16" t="str">
        <x:v>$100K-$500K ticket not published / unconfirmed</x:v>
      </x:c>
      <x:c r="O1722" s="20"/>
      <x:c r="P1722" s="20"/>
      <x:c r="Q1722" s="25" t="str">
        <x:v>Property-loan range, not a corporate-capital commitment</x:v>
      </x:c>
      <x:c r="R1722" s="25" t="str">
        <x:v>Private real-estate finance experience. Corporate working capital, minority equity or profit participation requires a separate agreement from a property loan.</x:v>
      </x:c>
      <x:c r="S1722" s="25"/>
      <x:c r="T1722" s="25" t="str">
        <x:v>Confirm direct principal versus broker, $100K-$500K appetite, and whether capital can fund the operating company without a property mortgage.</x:v>
      </x:c>
      <x:c r="U1722" s="25" t="str">
        <x:v>https://www.privatelendersdirectory.com/united-states/san-antonio/top-level-category/baron-creek
https://baroncreek.com/
https://baroncreek.com/about
https://www.privatelendersdirectory.com/united-states/san-antonio/real-estate-investment-lending/baron-creek-partners</x:v>
      </x:c>
      <x:c r="V1722" s="26" t="d">
        <x:v>2026-10-02T00:00:00.000Z</x:v>
      </x:c>
      <x:c r="W1722" s="26" t="d">
        <x:v>2026-09-30T00:00:00.000Z</x:v>
      </x:c>
      <x:c r="X1722" s="25" t="str">
        <x:v>Saved public company, industry-directory or regulatory source; source date retained</x:v>
      </x:c>
      <x:c r="Y1722" s="25" t="str">
        <x:v>https://baroncreek.com/about</x:v>
      </x:c>
      <x:c r="Z1722" s="25" t="str">
        <x:v>https://baroncreek.com/</x:v>
      </x:c>
      <x:c r="AA1722" s="25" t="str">
        <x:v>[]</x:v>
      </x:c>
      <x:c r="AB1722" s="3" t="str">
        <x:v>Existing CapitalForge research, newly screened for this campaign</x:v>
      </x:c>
      <x:c r="AC1722" s="3" t="str">
        <x:v>unverified</x:v>
      </x:c>
      <x:c r="AD1722" s="3" t="str">
        <x:v>Not contacted / unconfirmed</x:v>
      </x:c>
      <x:c r="AE1722" s="3" t="str">
        <x:v>No</x:v>
      </x:c>
      <x:c r="AF1722" s="3" t="str">
        <x:v>No</x:v>
      </x:c>
      <x:c r="AG1722" s="3"/>
      <x:c r="AH1722" s="3"/>
      <x:c r="AI1722" s="18"/>
      <x:c r="AJ1722" s="3" t="str">
        <x:v>CF2500-E60F3F6A8EA8</x:v>
      </x:c>
      <x:c r="AK1722" s="3" t="str">
        <x:v>private_real_estate_lender</x:v>
      </x:c>
      <x:c r="AL1722" s="19" t="n">
        <x:v>100000</x:v>
      </x:c>
      <x:c r="AM1722" s="19" t="n">
        <x:v>500000</x:v>
      </x:c>
      <x:c r="AN1722" s="3" t="str">
        <x:v>https://www.privatelendersdirectory.com/united-states/san-antonio/top-level-category/baron-creek</x:v>
      </x:c>
      <x:c r="AO1722" s="3" t="str">
        <x:v>public_directory.jsonl</x:v>
      </x:c>
      <x:c r="AP1722" s="19"/>
    </x:row>
    <x:row r="1723" ht="36" customHeight="1">
      <x:c r="A1723" s="23" t="n">
        <x:v>1722</x:v>
      </x:c>
      <x:c r="B1723" s="15" t="str">
        <x:v>BASIL HOLDINGS</x:v>
      </x:c>
      <x:c r="C1723" s="15"/>
      <x:c r="D1723" s="15" t="str">
        <x:v>Property lender or directory member; operating-company capital unconfirmed</x:v>
      </x:c>
      <x:c r="E1723" s="15" t="str">
        <x:v>Property lender / private-money inquiry</x:v>
      </x:c>
      <x:c r="F1723" s="17" t="str">
        <x:v>New</x:v>
      </x:c>
      <x:c r="G1723" s="24" t="str">
        <x:v>info@basilholdings.com</x:v>
      </x:c>
      <x:c r="H1723" s="24" t="str">
        <x:v>+16028337071</x:v>
      </x:c>
      <x:c r="I1723" s="24" t="str">
        <x:v>https://www.basilholdings.com/</x:v>
      </x:c>
      <x:c r="J1723" s="16" t="str">
        <x:v>AZ</x:v>
      </x:c>
      <x:c r="K1723" s="16" t="str">
        <x:v>Tempe</x:v>
      </x:c>
      <x:c r="L1723" s="16" t="str">
        <x:v>firm_business_routing</x:v>
      </x:c>
      <x:c r="M1723" s="16" t="str">
        <x:v>https://www.basilholdings.com/</x:v>
      </x:c>
      <x:c r="N1723" s="16" t="str">
        <x:v>$100K-$500K ticket not published / unconfirmed</x:v>
      </x:c>
      <x:c r="O1723" s="20"/>
      <x:c r="P1723" s="20"/>
      <x:c r="Q1723" s="25" t="str">
        <x:v>Property-loan range, not a corporate-capital commitment</x:v>
      </x:c>
      <x:c r="R1723" s="25" t="str">
        <x:v>Private real-estate finance experience. Corporate working capital, minority equity or profit participation requires a separate agreement from a property loan.</x:v>
      </x:c>
      <x:c r="S1723" s="25"/>
      <x:c r="T1723" s="25" t="str">
        <x:v>Confirm direct principal versus broker, $100K-$500K appetite, and whether capital can fund the operating company without a property mortgage.</x:v>
      </x:c>
      <x:c r="U1723" s="25" t="str">
        <x:v>https://www.privatelendersdirectory.com/united-states/tempe/top-level-category/basil-holdings
https://www.basilholdings.com/
https://www.basilholdings.com/contact-us/</x:v>
      </x:c>
      <x:c r="V1723" s="26" t="d">
        <x:v>2026-10-02T00:00:00.000Z</x:v>
      </x:c>
      <x:c r="W1723" s="26" t="d">
        <x:v>2026-09-30T00:00:00.000Z</x:v>
      </x:c>
      <x:c r="X1723" s="25" t="str">
        <x:v>Saved public company, industry-directory or regulatory source; source date retained</x:v>
      </x:c>
      <x:c r="Y1723" s="25" t="str">
        <x:v>https://www.basilholdings.com/contact-us/</x:v>
      </x:c>
      <x:c r="Z1723" s="25" t="str">
        <x:v>https://www.basilholdings.com/</x:v>
      </x:c>
      <x:c r="AA1723" s="25" t="str">
        <x:v>[]</x:v>
      </x:c>
      <x:c r="AB1723" s="3" t="str">
        <x:v>Existing CapitalForge research, newly screened for this campaign</x:v>
      </x:c>
      <x:c r="AC1723" s="3" t="str">
        <x:v>unverified</x:v>
      </x:c>
      <x:c r="AD1723" s="3" t="str">
        <x:v>Not contacted / unconfirmed</x:v>
      </x:c>
      <x:c r="AE1723" s="3" t="str">
        <x:v>No</x:v>
      </x:c>
      <x:c r="AF1723" s="3" t="str">
        <x:v>No</x:v>
      </x:c>
      <x:c r="AG1723" s="3"/>
      <x:c r="AH1723" s="3"/>
      <x:c r="AI1723" s="18"/>
      <x:c r="AJ1723" s="3" t="str">
        <x:v>CF2500-D881274E44FE</x:v>
      </x:c>
      <x:c r="AK1723" s="3" t="str">
        <x:v>private_real_estate_lender</x:v>
      </x:c>
      <x:c r="AL1723" s="19" t="n">
        <x:v>100000</x:v>
      </x:c>
      <x:c r="AM1723" s="19" t="n">
        <x:v>500000</x:v>
      </x:c>
      <x:c r="AN1723" s="3" t="str">
        <x:v>https://www.privatelendersdirectory.com/united-states/tempe/top-level-category/basil-holdings</x:v>
      </x:c>
      <x:c r="AO1723" s="3" t="str">
        <x:v>public_directory.jsonl</x:v>
      </x:c>
      <x:c r="AP1723" s="19"/>
    </x:row>
    <x:row r="1724" ht="36" customHeight="1">
      <x:c r="A1724" s="23" t="n">
        <x:v>1723</x:v>
      </x:c>
      <x:c r="B1724" s="15" t="str">
        <x:v>BASON CAPITAL</x:v>
      </x:c>
      <x:c r="C1724" s="15"/>
      <x:c r="D1724" s="15" t="str">
        <x:v>Property lender or directory member; operating-company capital unconfirmed</x:v>
      </x:c>
      <x:c r="E1724" s="15" t="str">
        <x:v>Property lender / private-money inquiry</x:v>
      </x:c>
      <x:c r="F1724" s="17" t="str">
        <x:v>New</x:v>
      </x:c>
      <x:c r="G1724" s="24" t="str">
        <x:v>submissions@basoncapital.com</x:v>
      </x:c>
      <x:c r="H1724" s="24" t="str">
        <x:v>+18009852083</x:v>
      </x:c>
      <x:c r="I1724" s="24" t="str">
        <x:v>https://basoncapital.com/</x:v>
      </x:c>
      <x:c r="J1724" s="16" t="str">
        <x:v>FL</x:v>
      </x:c>
      <x:c r="K1724" s="16" t="str">
        <x:v>Sunny Isles Beach</x:v>
      </x:c>
      <x:c r="L1724" s="16" t="str">
        <x:v>firm_business_routing</x:v>
      </x:c>
      <x:c r="M1724" s="16" t="str">
        <x:v>https://basoncapital.com/</x:v>
      </x:c>
      <x:c r="N1724" s="16" t="str">
        <x:v>$100K-$500K ticket not published / unconfirmed</x:v>
      </x:c>
      <x:c r="O1724" s="20"/>
      <x:c r="P1724" s="20"/>
      <x:c r="Q1724" s="25" t="str">
        <x:v>Property-loan range, not a corporate-capital commitment</x:v>
      </x:c>
      <x:c r="R1724" s="25" t="str">
        <x:v>Private real-estate finance experience. Corporate working capital, minority equity or profit participation requires a separate agreement from a property loan.</x:v>
      </x:c>
      <x:c r="S1724" s="25"/>
      <x:c r="T1724" s="25" t="str">
        <x:v>Confirm direct principal versus broker, $100K-$500K appetite, and whether capital can fund the operating company without a property mortgage.</x:v>
      </x:c>
      <x:c r="U1724" s="25" t="str">
        <x:v>https://www.privatelendersdirectory.com/united-states/sunny-isles-beach/top-level-category/bason-capital
https://basoncapital.com/</x:v>
      </x:c>
      <x:c r="V1724" s="26" t="d">
        <x:v>2026-10-02T00:00:00.000Z</x:v>
      </x:c>
      <x:c r="W1724" s="26" t="d">
        <x:v>2026-09-30T00:00:00.000Z</x:v>
      </x:c>
      <x:c r="X1724" s="25" t="str">
        <x:v>Saved public company, industry-directory or regulatory source; source date retained</x:v>
      </x:c>
      <x:c r="Y1724" s="25" t="str">
        <x:v>https://basoncapital.com/</x:v>
      </x:c>
      <x:c r="Z1724" s="25" t="str">
        <x:v>https://basoncapital.com/</x:v>
      </x:c>
      <x:c r="AA1724" s="25" t="str">
        <x:v>[]</x:v>
      </x:c>
      <x:c r="AB1724" s="3" t="str">
        <x:v>Existing CapitalForge research, newly screened for this campaign</x:v>
      </x:c>
      <x:c r="AC1724" s="3" t="str">
        <x:v>unverified</x:v>
      </x:c>
      <x:c r="AD1724" s="3" t="str">
        <x:v>Not contacted / unconfirmed</x:v>
      </x:c>
      <x:c r="AE1724" s="3" t="str">
        <x:v>No</x:v>
      </x:c>
      <x:c r="AF1724" s="3" t="str">
        <x:v>No</x:v>
      </x:c>
      <x:c r="AG1724" s="3"/>
      <x:c r="AH1724" s="3"/>
      <x:c r="AI1724" s="18"/>
      <x:c r="AJ1724" s="3" t="str">
        <x:v>CF2500-6DAEABDEBC52</x:v>
      </x:c>
      <x:c r="AK1724" s="3" t="str">
        <x:v>private_real_estate_lender</x:v>
      </x:c>
      <x:c r="AL1724" s="19" t="n">
        <x:v>100000</x:v>
      </x:c>
      <x:c r="AM1724" s="19" t="n">
        <x:v>500000</x:v>
      </x:c>
      <x:c r="AN1724" s="3" t="str">
        <x:v>https://www.privatelendersdirectory.com/united-states/sunny-isles-beach/top-level-category/bason-capital</x:v>
      </x:c>
      <x:c r="AO1724" s="3" t="str">
        <x:v>public_directory.jsonl</x:v>
      </x:c>
      <x:c r="AP1724" s="19"/>
    </x:row>
    <x:row r="1725" ht="36" customHeight="1">
      <x:c r="A1725" s="23" t="n">
        <x:v>1724</x:v>
      </x:c>
      <x:c r="B1725" s="15" t="str">
        <x:v>BATTLE CAPITAL</x:v>
      </x:c>
      <x:c r="C1725" s="15"/>
      <x:c r="D1725" s="15" t="str">
        <x:v>Property lender or directory member; operating-company capital unconfirmed</x:v>
      </x:c>
      <x:c r="E1725" s="15" t="str">
        <x:v>Property lender / private-money inquiry</x:v>
      </x:c>
      <x:c r="F1725" s="17" t="str">
        <x:v>New</x:v>
      </x:c>
      <x:c r="G1725" s="24" t="str">
        <x:v>info@battlecapital.com</x:v>
      </x:c>
      <x:c r="H1725" s="24" t="str">
        <x:v>+19804707045</x:v>
      </x:c>
      <x:c r="I1725" s="24" t="str">
        <x:v>https://www.battlecapital.com/</x:v>
      </x:c>
      <x:c r="J1725" s="16" t="str">
        <x:v>NC</x:v>
      </x:c>
      <x:c r="K1725" s="16" t="str">
        <x:v>Charlotte</x:v>
      </x:c>
      <x:c r="L1725" s="16" t="str">
        <x:v>firm_business_routing</x:v>
      </x:c>
      <x:c r="M1725" s="16" t="str">
        <x:v>https://www.battlecapital.com/</x:v>
      </x:c>
      <x:c r="N1725" s="16" t="str">
        <x:v>$100K-$500K ticket not published / unconfirmed</x:v>
      </x:c>
      <x:c r="O1725" s="20"/>
      <x:c r="P1725" s="20"/>
      <x:c r="Q1725" s="25" t="str">
        <x:v>Property-loan range, not a corporate-capital commitment</x:v>
      </x:c>
      <x:c r="R1725" s="25" t="str">
        <x:v>Private real-estate finance experience. Corporate working capital, minority equity or profit participation requires a separate agreement from a property loan.</x:v>
      </x:c>
      <x:c r="S1725" s="25"/>
      <x:c r="T1725" s="25" t="str">
        <x:v>Confirm direct principal versus broker, $100K-$500K appetite, and whether capital can fund the operating company without a property mortgage.</x:v>
      </x:c>
      <x:c r="U1725" s="25" t="str">
        <x:v>https://www.privatelendersdirectory.com/united-states/charlotte/top-level-category/battle-capital
https://www.battlecapital.com/</x:v>
      </x:c>
      <x:c r="V1725" s="26" t="d">
        <x:v>2026-10-02T00:00:00.000Z</x:v>
      </x:c>
      <x:c r="W1725" s="26" t="d">
        <x:v>2026-09-30T00:00:00.000Z</x:v>
      </x:c>
      <x:c r="X1725" s="25" t="str">
        <x:v>Saved public company, industry-directory or regulatory source; source date retained</x:v>
      </x:c>
      <x:c r="Y1725" s="25" t="str">
        <x:v>https://www.battlecapital.com/</x:v>
      </x:c>
      <x:c r="Z1725" s="25" t="str">
        <x:v>https://www.battlecapital.com/</x:v>
      </x:c>
      <x:c r="AA1725" s="25" t="str">
        <x:v>[]</x:v>
      </x:c>
      <x:c r="AB1725" s="3" t="str">
        <x:v>Existing CapitalForge research, newly screened for this campaign</x:v>
      </x:c>
      <x:c r="AC1725" s="3" t="str">
        <x:v>unverified</x:v>
      </x:c>
      <x:c r="AD1725" s="3" t="str">
        <x:v>Not contacted / unconfirmed</x:v>
      </x:c>
      <x:c r="AE1725" s="3" t="str">
        <x:v>No</x:v>
      </x:c>
      <x:c r="AF1725" s="3" t="str">
        <x:v>No</x:v>
      </x:c>
      <x:c r="AG1725" s="3"/>
      <x:c r="AH1725" s="3"/>
      <x:c r="AI1725" s="18"/>
      <x:c r="AJ1725" s="3" t="str">
        <x:v>CF2500-4837F1F2BE72</x:v>
      </x:c>
      <x:c r="AK1725" s="3" t="str">
        <x:v>private_real_estate_lender</x:v>
      </x:c>
      <x:c r="AL1725" s="19" t="n">
        <x:v>100000</x:v>
      </x:c>
      <x:c r="AM1725" s="19" t="n">
        <x:v>500000</x:v>
      </x:c>
      <x:c r="AN1725" s="3" t="str">
        <x:v>https://www.privatelendersdirectory.com/united-states/charlotte/top-level-category/battle-capital</x:v>
      </x:c>
      <x:c r="AO1725" s="3" t="str">
        <x:v>public_directory.jsonl</x:v>
      </x:c>
      <x:c r="AP1725" s="19"/>
    </x:row>
    <x:row r="1726" ht="36" customHeight="1">
      <x:c r="A1726" s="23" t="n">
        <x:v>1725</x:v>
      </x:c>
      <x:c r="B1726" s="15" t="str">
        <x:v>BEL AIR LENDING</x:v>
      </x:c>
      <x:c r="C1726" s="15"/>
      <x:c r="D1726" s="15" t="str">
        <x:v>Property lender or directory member; operating-company capital unconfirmed</x:v>
      </x:c>
      <x:c r="E1726" s="15" t="str">
        <x:v>Property lender / private-money inquiry</x:v>
      </x:c>
      <x:c r="F1726" s="17" t="str">
        <x:v>New</x:v>
      </x:c>
      <x:c r="G1726" s="24" t="str">
        <x:v>info@belairlending.com</x:v>
      </x:c>
      <x:c r="H1726" s="24" t="str">
        <x:v>+19199616611</x:v>
      </x:c>
      <x:c r="I1726" s="24" t="str">
        <x:v>https://www.belairlending.com/</x:v>
      </x:c>
      <x:c r="J1726" s="16" t="str">
        <x:v>NC</x:v>
      </x:c>
      <x:c r="K1726" s="16" t="str">
        <x:v>Raleigh</x:v>
      </x:c>
      <x:c r="L1726" s="16" t="str">
        <x:v>firm_business_routing</x:v>
      </x:c>
      <x:c r="M1726" s="16" t="str">
        <x:v>https://www.belairlending.com/</x:v>
      </x:c>
      <x:c r="N1726" s="16" t="str">
        <x:v>$100K-$500K ticket not published / unconfirmed</x:v>
      </x:c>
      <x:c r="O1726" s="20"/>
      <x:c r="P1726" s="20"/>
      <x:c r="Q1726" s="25" t="str">
        <x:v>Property-loan range, not a corporate-capital commitment</x:v>
      </x:c>
      <x:c r="R1726" s="25" t="str">
        <x:v>Private real-estate finance experience. Corporate working capital, minority equity or profit participation requires a separate agreement from a property loan.</x:v>
      </x:c>
      <x:c r="S1726" s="25"/>
      <x:c r="T1726" s="25" t="str">
        <x:v>Confirm direct principal versus broker, $100K-$500K appetite, and whether capital can fund the operating company without a property mortgage.</x:v>
      </x:c>
      <x:c r="U1726" s="25" t="str">
        <x:v>https://www.privatelendersdirectory.com/united-states/raleigh/top-level-category/bel-air-lending
https://www.belairlending.com/</x:v>
      </x:c>
      <x:c r="V1726" s="26" t="d">
        <x:v>2026-10-02T00:00:00.000Z</x:v>
      </x:c>
      <x:c r="W1726" s="26" t="d">
        <x:v>2026-09-30T00:00:00.000Z</x:v>
      </x:c>
      <x:c r="X1726" s="25" t="str">
        <x:v>Saved public company, industry-directory or regulatory source; source date retained</x:v>
      </x:c>
      <x:c r="Y1726" s="25" t="str">
        <x:v>https://www.belairlending.com/</x:v>
      </x:c>
      <x:c r="Z1726" s="25" t="str">
        <x:v>https://www.belairlending.com/</x:v>
      </x:c>
      <x:c r="AA1726" s="25" t="str">
        <x:v>[]</x:v>
      </x:c>
      <x:c r="AB1726" s="3" t="str">
        <x:v>Existing CapitalForge research, newly screened for this campaign</x:v>
      </x:c>
      <x:c r="AC1726" s="3" t="str">
        <x:v>unverified</x:v>
      </x:c>
      <x:c r="AD1726" s="3" t="str">
        <x:v>Not contacted / unconfirmed</x:v>
      </x:c>
      <x:c r="AE1726" s="3" t="str">
        <x:v>No</x:v>
      </x:c>
      <x:c r="AF1726" s="3" t="str">
        <x:v>No</x:v>
      </x:c>
      <x:c r="AG1726" s="3"/>
      <x:c r="AH1726" s="3"/>
      <x:c r="AI1726" s="18"/>
      <x:c r="AJ1726" s="3" t="str">
        <x:v>CF2500-15206F2E4EBC</x:v>
      </x:c>
      <x:c r="AK1726" s="3" t="str">
        <x:v>private_real_estate_lender</x:v>
      </x:c>
      <x:c r="AL1726" s="19" t="n">
        <x:v>100000</x:v>
      </x:c>
      <x:c r="AM1726" s="19" t="n">
        <x:v>500000</x:v>
      </x:c>
      <x:c r="AN1726" s="3" t="str">
        <x:v>https://www.privatelendersdirectory.com/united-states/raleigh/top-level-category/bel-air-lending</x:v>
      </x:c>
      <x:c r="AO1726" s="3" t="str">
        <x:v>public_directory.jsonl</x:v>
      </x:c>
      <x:c r="AP1726" s="19"/>
    </x:row>
    <x:row r="1727" ht="36" customHeight="1">
      <x:c r="A1727" s="23" t="n">
        <x:v>1726</x:v>
      </x:c>
      <x:c r="B1727" s="15" t="str">
        <x:v>Bell Rock Finance</x:v>
      </x:c>
      <x:c r="C1727" s="15"/>
      <x:c r="D1727" s="15" t="str">
        <x:v>Property lender or directory member; operating-company capital unconfirmed</x:v>
      </x:c>
      <x:c r="E1727" s="15" t="str">
        <x:v>Property lender / private-money inquiry</x:v>
      </x:c>
      <x:c r="F1727" s="17" t="str">
        <x:v>New</x:v>
      </x:c>
      <x:c r="G1727" s="24" t="str">
        <x:v>info@bellrockfinance.com</x:v>
      </x:c>
      <x:c r="H1727" s="24" t="str">
        <x:v>+14802195317</x:v>
      </x:c>
      <x:c r="I1727" s="24" t="str">
        <x:v>https://www.bellrockfinance.com/?utm_source=private-lender-link</x:v>
      </x:c>
      <x:c r="J1727" s="16" t="str">
        <x:v>AZ</x:v>
      </x:c>
      <x:c r="K1727" s="16" t="str">
        <x:v>Mesa</x:v>
      </x:c>
      <x:c r="L1727" s="16" t="str">
        <x:v>firm_business_routing</x:v>
      </x:c>
      <x:c r="M1727" s="16" t="str">
        <x:v>https://www.bellrockfinance.com/?utm_source=private-lender-link</x:v>
      </x:c>
      <x:c r="N1727" s="16" t="str">
        <x:v>$100K-$500K ticket not published / unconfirmed</x:v>
      </x:c>
      <x:c r="O1727" s="20"/>
      <x:c r="P1727" s="20"/>
      <x:c r="Q1727" s="25" t="str">
        <x:v>Property-loan range, not a corporate-capital commitment</x:v>
      </x:c>
      <x:c r="R1727" s="25" t="str">
        <x:v>Private real-estate finance experience. Corporate working capital, minority equity or profit participation requires a separate agreement from a property loan.</x:v>
      </x:c>
      <x:c r="S1727" s="25"/>
      <x:c r="T1727" s="25" t="str">
        <x:v>Confirm direct principal versus broker, $100K-$500K appetite, and whether capital can fund the operating company without a property mortgage.</x:v>
      </x:c>
      <x:c r="U1727" s="25" t="str">
        <x:v>https://privatelenderlink.com/profile/bell-rock-finance/</x:v>
      </x:c>
      <x:c r="V1727" s="26" t="d">
        <x:v>2026-10-02T00:00:00.000Z</x:v>
      </x:c>
      <x:c r="W1727" s="26" t="d">
        <x:v>2026-09-30T00:00:00.000Z</x:v>
      </x:c>
      <x:c r="X1727" s="25" t="str">
        <x:v>Saved public company, industry-directory or regulatory source; source date retained</x:v>
      </x:c>
      <x:c r="Y1727" s="25" t="str">
        <x:v>https://privatelenderlink.com/profile/bell-rock-finance/</x:v>
      </x:c>
      <x:c r="Z1727" s="25" t="str">
        <x:v>https://privatelenderlink.com/profile/bell-rock-finance/</x:v>
      </x:c>
      <x:c r="AA1727" s="25" t="str">
        <x:v>[]</x:v>
      </x:c>
      <x:c r="AB1727" s="3" t="str">
        <x:v>Existing CapitalForge research, newly screened for this campaign</x:v>
      </x:c>
      <x:c r="AC1727" s="3" t="str">
        <x:v>unverified</x:v>
      </x:c>
      <x:c r="AD1727" s="3" t="str">
        <x:v>Not contacted / unconfirmed</x:v>
      </x:c>
      <x:c r="AE1727" s="3" t="str">
        <x:v>No</x:v>
      </x:c>
      <x:c r="AF1727" s="3" t="str">
        <x:v>No</x:v>
      </x:c>
      <x:c r="AG1727" s="3"/>
      <x:c r="AH1727" s="3"/>
      <x:c r="AI1727" s="18"/>
      <x:c r="AJ1727" s="3" t="str">
        <x:v>CF2500-4ABBB5E1A7F5</x:v>
      </x:c>
      <x:c r="AK1727" s="3" t="str">
        <x:v>private_real_estate_lender</x:v>
      </x:c>
      <x:c r="AL1727" s="19" t="n">
        <x:v>100000</x:v>
      </x:c>
      <x:c r="AM1727" s="19" t="n">
        <x:v>500000</x:v>
      </x:c>
      <x:c r="AN1727" s="3" t="str">
        <x:v>https://privatelenderlink.com/profile/bell-rock-finance/</x:v>
      </x:c>
      <x:c r="AO1727" s="3" t="str">
        <x:v>public_directory.jsonl</x:v>
      </x:c>
      <x:c r="AP1727" s="19"/>
    </x:row>
    <x:row r="1728" ht="36" customHeight="1">
      <x:c r="A1728" s="23" t="n">
        <x:v>1727</x:v>
      </x:c>
      <x:c r="B1728" s="15" t="str">
        <x:v>BIRCHWOOD LOANS</x:v>
      </x:c>
      <x:c r="C1728" s="15"/>
      <x:c r="D1728" s="15" t="str">
        <x:v>Property lender or directory member; operating-company capital unconfirmed</x:v>
      </x:c>
      <x:c r="E1728" s="15" t="str">
        <x:v>Property lender / private-money inquiry</x:v>
      </x:c>
      <x:c r="F1728" s="17" t="str">
        <x:v>New</x:v>
      </x:c>
      <x:c r="G1728" s="24" t="str">
        <x:v>info@birchwoodloans.com</x:v>
      </x:c>
      <x:c r="H1728" s="24" t="str">
        <x:v>+17273001793</x:v>
      </x:c>
      <x:c r="I1728" s="24" t="str">
        <x:v>https://birchwoodloans.com/</x:v>
      </x:c>
      <x:c r="J1728" s="16" t="str">
        <x:v>FL</x:v>
      </x:c>
      <x:c r="K1728" s="16" t="str">
        <x:v>Tampa</x:v>
      </x:c>
      <x:c r="L1728" s="16" t="str">
        <x:v>firm_business_routing</x:v>
      </x:c>
      <x:c r="M1728" s="16" t="str">
        <x:v>https://birchwoodloans.com/</x:v>
      </x:c>
      <x:c r="N1728" s="16" t="str">
        <x:v>$100K-$500K ticket not published / unconfirmed</x:v>
      </x:c>
      <x:c r="O1728" s="20"/>
      <x:c r="P1728" s="20"/>
      <x:c r="Q1728" s="25" t="str">
        <x:v>Property-loan range, not a corporate-capital commitment</x:v>
      </x:c>
      <x:c r="R1728" s="25" t="str">
        <x:v>Private real-estate finance experience. Corporate working capital, minority equity or profit participation requires a separate agreement from a property loan.</x:v>
      </x:c>
      <x:c r="S1728" s="25"/>
      <x:c r="T1728" s="25" t="str">
        <x:v>Confirm direct principal versus broker, $100K-$500K appetite, and whether capital can fund the operating company without a property mortgage.</x:v>
      </x:c>
      <x:c r="U1728" s="25" t="str">
        <x:v>https://www.privatelendersdirectory.com/united-states/tampa/top-level-category/birchwood-loans
https://birchwoodloans.com/</x:v>
      </x:c>
      <x:c r="V1728" s="26" t="d">
        <x:v>2026-10-02T00:00:00.000Z</x:v>
      </x:c>
      <x:c r="W1728" s="26" t="d">
        <x:v>2026-09-30T00:00:00.000Z</x:v>
      </x:c>
      <x:c r="X1728" s="25" t="str">
        <x:v>Saved public company, industry-directory or regulatory source; source date retained</x:v>
      </x:c>
      <x:c r="Y1728" s="25" t="str">
        <x:v>https://birchwoodloans.com/</x:v>
      </x:c>
      <x:c r="Z1728" s="25" t="str">
        <x:v>https://birchwoodloans.com/</x:v>
      </x:c>
      <x:c r="AA1728" s="25" t="str">
        <x:v>[]</x:v>
      </x:c>
      <x:c r="AB1728" s="3" t="str">
        <x:v>Existing CapitalForge research, newly screened for this campaign</x:v>
      </x:c>
      <x:c r="AC1728" s="3" t="str">
        <x:v>unverified</x:v>
      </x:c>
      <x:c r="AD1728" s="3" t="str">
        <x:v>Not contacted / unconfirmed</x:v>
      </x:c>
      <x:c r="AE1728" s="3" t="str">
        <x:v>No</x:v>
      </x:c>
      <x:c r="AF1728" s="3" t="str">
        <x:v>No</x:v>
      </x:c>
      <x:c r="AG1728" s="3"/>
      <x:c r="AH1728" s="3"/>
      <x:c r="AI1728" s="18"/>
      <x:c r="AJ1728" s="3" t="str">
        <x:v>CF2500-19AF39565D5B</x:v>
      </x:c>
      <x:c r="AK1728" s="3" t="str">
        <x:v>private_real_estate_lender</x:v>
      </x:c>
      <x:c r="AL1728" s="19" t="n">
        <x:v>100000</x:v>
      </x:c>
      <x:c r="AM1728" s="19" t="n">
        <x:v>500000</x:v>
      </x:c>
      <x:c r="AN1728" s="3" t="str">
        <x:v>https://www.privatelendersdirectory.com/united-states/tampa/top-level-category/birchwood-loans</x:v>
      </x:c>
      <x:c r="AO1728" s="3" t="str">
        <x:v>public_directory.jsonl</x:v>
      </x:c>
      <x:c r="AP1728" s="19"/>
    </x:row>
    <x:row r="1729" ht="36" customHeight="1">
      <x:c r="A1729" s="23" t="n">
        <x:v>1728</x:v>
      </x:c>
      <x:c r="B1729" s="15" t="str">
        <x:v>Black Label Capital</x:v>
      </x:c>
      <x:c r="C1729" s="15"/>
      <x:c r="D1729" s="15" t="str">
        <x:v>Property lender or directory member; operating-company capital unconfirmed</x:v>
      </x:c>
      <x:c r="E1729" s="15" t="str">
        <x:v>Property lender / private-money inquiry</x:v>
      </x:c>
      <x:c r="F1729" s="17" t="str">
        <x:v>New</x:v>
      </x:c>
      <x:c r="G1729" s="24" t="str">
        <x:v>info@blacklabelcapital.com</x:v>
      </x:c>
      <x:c r="H1729" s="24" t="str">
        <x:v>+19402524404</x:v>
      </x:c>
      <x:c r="I1729" s="24" t="str">
        <x:v>https://blacklabelcapital.com/?utm_source=private-lender-link</x:v>
      </x:c>
      <x:c r="J1729" s="16" t="str">
        <x:v>TX</x:v>
      </x:c>
      <x:c r="K1729" s="16" t="str">
        <x:v>Plano</x:v>
      </x:c>
      <x:c r="L1729" s="16" t="str">
        <x:v>firm_business_routing</x:v>
      </x:c>
      <x:c r="M1729" s="16" t="str">
        <x:v>https://blacklabelcapital.com/?utm_source=private-lender-link</x:v>
      </x:c>
      <x:c r="N1729" s="16" t="str">
        <x:v>$100K-$500K ticket not published / unconfirmed</x:v>
      </x:c>
      <x:c r="O1729" s="20"/>
      <x:c r="P1729" s="20"/>
      <x:c r="Q1729" s="25" t="str">
        <x:v>Property-loan range, not a corporate-capital commitment</x:v>
      </x:c>
      <x:c r="R1729" s="25" t="str">
        <x:v>Private real-estate finance experience. Corporate working capital, minority equity or profit participation requires a separate agreement from a property loan.</x:v>
      </x:c>
      <x:c r="S1729" s="25"/>
      <x:c r="T1729" s="25" t="str">
        <x:v>Confirm direct principal versus broker, $100K-$500K appetite, and whether capital can fund the operating company without a property mortgage.</x:v>
      </x:c>
      <x:c r="U1729" s="25" t="str">
        <x:v>https://privatelenderlink.com/profile/black-label-capital/
https://blacklabelcapital.com/contact-us/
https://www.privatelendersdirectory.com/united-states/plano/top-level-category/black-label-capital</x:v>
      </x:c>
      <x:c r="V1729" s="26" t="d">
        <x:v>2026-10-02T00:00:00.000Z</x:v>
      </x:c>
      <x:c r="W1729" s="26" t="d">
        <x:v>2026-09-30T00:00:00.000Z</x:v>
      </x:c>
      <x:c r="X1729" s="25" t="str">
        <x:v>Saved public company, industry-directory or regulatory source; source date retained</x:v>
      </x:c>
      <x:c r="Y1729" s="25" t="str">
        <x:v>https://blacklabelcapital.com/contact-us/</x:v>
      </x:c>
      <x:c r="Z1729" s="25" t="str">
        <x:v>https://privatelenderlink.com/profile/black-label-capital/</x:v>
      </x:c>
      <x:c r="AA1729" s="25" t="str">
        <x:v>[]</x:v>
      </x:c>
      <x:c r="AB1729" s="3" t="str">
        <x:v>Existing CapitalForge research, newly screened for this campaign</x:v>
      </x:c>
      <x:c r="AC1729" s="3" t="str">
        <x:v>unverified</x:v>
      </x:c>
      <x:c r="AD1729" s="3" t="str">
        <x:v>Not contacted / unconfirmed</x:v>
      </x:c>
      <x:c r="AE1729" s="3" t="str">
        <x:v>No</x:v>
      </x:c>
      <x:c r="AF1729" s="3" t="str">
        <x:v>No</x:v>
      </x:c>
      <x:c r="AG1729" s="3"/>
      <x:c r="AH1729" s="3"/>
      <x:c r="AI1729" s="18"/>
      <x:c r="AJ1729" s="3" t="str">
        <x:v>CF2500-7B0EFC48F29A</x:v>
      </x:c>
      <x:c r="AK1729" s="3" t="str">
        <x:v>private_real_estate_lender</x:v>
      </x:c>
      <x:c r="AL1729" s="19" t="n">
        <x:v>100000</x:v>
      </x:c>
      <x:c r="AM1729" s="19" t="n">
        <x:v>500000</x:v>
      </x:c>
      <x:c r="AN1729" s="3" t="str">
        <x:v>https://privatelenderlink.com/profile/black-label-capital/</x:v>
      </x:c>
      <x:c r="AO1729" s="3" t="str">
        <x:v>public_directory.jsonl</x:v>
      </x:c>
      <x:c r="AP1729" s="19"/>
    </x:row>
    <x:row r="1730" ht="36" customHeight="1">
      <x:c r="A1730" s="23" t="n">
        <x:v>1729</x:v>
      </x:c>
      <x:c r="B1730" s="15" t="str">
        <x:v>BLACK ONYX LENDING</x:v>
      </x:c>
      <x:c r="C1730" s="15"/>
      <x:c r="D1730" s="15" t="str">
        <x:v>Property lender or directory member; operating-company capital unconfirmed</x:v>
      </x:c>
      <x:c r="E1730" s="15" t="str">
        <x:v>Property lender / private-money inquiry</x:v>
      </x:c>
      <x:c r="F1730" s="17" t="str">
        <x:v>New</x:v>
      </x:c>
      <x:c r="G1730" s="24" t="str">
        <x:v>info@blackonyxlending.com</x:v>
      </x:c>
      <x:c r="H1730" s="24" t="str">
        <x:v>+13312291413</x:v>
      </x:c>
      <x:c r="I1730" s="24" t="str">
        <x:v>https://blackonyxlending.com/</x:v>
      </x:c>
      <x:c r="J1730" s="16" t="str">
        <x:v>IL</x:v>
      </x:c>
      <x:c r="K1730" s="16" t="str">
        <x:v>Chicago</x:v>
      </x:c>
      <x:c r="L1730" s="16" t="str">
        <x:v>firm_business_routing</x:v>
      </x:c>
      <x:c r="M1730" s="16" t="str">
        <x:v>https://blackonyxlending.com/</x:v>
      </x:c>
      <x:c r="N1730" s="16" t="str">
        <x:v>$100K-$500K ticket not published / unconfirmed</x:v>
      </x:c>
      <x:c r="O1730" s="20"/>
      <x:c r="P1730" s="20"/>
      <x:c r="Q1730" s="25" t="str">
        <x:v>Property-loan range, not a corporate-capital commitment</x:v>
      </x:c>
      <x:c r="R1730" s="25" t="str">
        <x:v>Private real-estate finance experience. Corporate working capital, minority equity or profit participation requires a separate agreement from a property loan.</x:v>
      </x:c>
      <x:c r="S1730" s="25"/>
      <x:c r="T1730" s="25" t="str">
        <x:v>Confirm direct principal versus broker, $100K-$500K appetite, and whether capital can fund the operating company without a property mortgage.</x:v>
      </x:c>
      <x:c r="U1730" s="25" t="str">
        <x:v>https://www.privatelendersdirectory.com/united-states/chicago/top-level-category/black-onyx-lending
https://blackonyxlending.com/</x:v>
      </x:c>
      <x:c r="V1730" s="26" t="d">
        <x:v>2026-10-02T00:00:00.000Z</x:v>
      </x:c>
      <x:c r="W1730" s="26" t="d">
        <x:v>2026-09-30T00:00:00.000Z</x:v>
      </x:c>
      <x:c r="X1730" s="25" t="str">
        <x:v>Saved public company, industry-directory or regulatory source; source date retained</x:v>
      </x:c>
      <x:c r="Y1730" s="25" t="str">
        <x:v>https://blackonyxlending.com/</x:v>
      </x:c>
      <x:c r="Z1730" s="25" t="str">
        <x:v>https://blackonyxlending.com/</x:v>
      </x:c>
      <x:c r="AA1730" s="25" t="str">
        <x:v>[]</x:v>
      </x:c>
      <x:c r="AB1730" s="3" t="str">
        <x:v>Existing CapitalForge research, newly screened for this campaign</x:v>
      </x:c>
      <x:c r="AC1730" s="3" t="str">
        <x:v>unverified</x:v>
      </x:c>
      <x:c r="AD1730" s="3" t="str">
        <x:v>Not contacted / unconfirmed</x:v>
      </x:c>
      <x:c r="AE1730" s="3" t="str">
        <x:v>No</x:v>
      </x:c>
      <x:c r="AF1730" s="3" t="str">
        <x:v>No</x:v>
      </x:c>
      <x:c r="AG1730" s="3"/>
      <x:c r="AH1730" s="3"/>
      <x:c r="AI1730" s="18"/>
      <x:c r="AJ1730" s="3" t="str">
        <x:v>CF2500-EA006EA5125A</x:v>
      </x:c>
      <x:c r="AK1730" s="3" t="str">
        <x:v>private_real_estate_lender</x:v>
      </x:c>
      <x:c r="AL1730" s="19" t="n">
        <x:v>100000</x:v>
      </x:c>
      <x:c r="AM1730" s="19" t="n">
        <x:v>500000</x:v>
      </x:c>
      <x:c r="AN1730" s="3" t="str">
        <x:v>https://www.privatelendersdirectory.com/united-states/chicago/top-level-category/black-onyx-lending</x:v>
      </x:c>
      <x:c r="AO1730" s="3" t="str">
        <x:v>public_directory.jsonl</x:v>
      </x:c>
      <x:c r="AP1730" s="19"/>
    </x:row>
    <x:row r="1731" ht="36" customHeight="1">
      <x:c r="A1731" s="23" t="n">
        <x:v>1730</x:v>
      </x:c>
      <x:c r="B1731" s="15" t="str">
        <x:v>BLACK ROCK MORTGAGE</x:v>
      </x:c>
      <x:c r="C1731" s="15"/>
      <x:c r="D1731" s="15" t="str">
        <x:v>Property lender or directory member; operating-company capital unconfirmed</x:v>
      </x:c>
      <x:c r="E1731" s="15" t="str">
        <x:v>Property lender / private-money inquiry</x:v>
      </x:c>
      <x:c r="F1731" s="17" t="str">
        <x:v>New</x:v>
      </x:c>
      <x:c r="G1731" s="24" t="str">
        <x:v>keith@blackrockmortgage.com</x:v>
      </x:c>
      <x:c r="H1731" s="24" t="str">
        <x:v>+13526194959</x:v>
      </x:c>
      <x:c r="I1731" s="24" t="str">
        <x:v>https://www.blackrockmortgage.com/</x:v>
      </x:c>
      <x:c r="J1731" s="16" t="str">
        <x:v>FL</x:v>
      </x:c>
      <x:c r="K1731" s="16" t="str">
        <x:v>Ocala</x:v>
      </x:c>
      <x:c r="L1731" s="16" t="str">
        <x:v>firm_business_routing</x:v>
      </x:c>
      <x:c r="M1731" s="16" t="str">
        <x:v>https://www.blackrockmortgage.com/</x:v>
      </x:c>
      <x:c r="N1731" s="16" t="str">
        <x:v>$100K-$500K ticket not published / unconfirmed</x:v>
      </x:c>
      <x:c r="O1731" s="20"/>
      <x:c r="P1731" s="20"/>
      <x:c r="Q1731" s="25" t="str">
        <x:v>Property-loan range, not a corporate-capital commitment</x:v>
      </x:c>
      <x:c r="R1731" s="25" t="str">
        <x:v>Private real-estate finance experience. Corporate working capital, minority equity or profit participation requires a separate agreement from a property loan.</x:v>
      </x:c>
      <x:c r="S1731" s="25"/>
      <x:c r="T1731" s="25" t="str">
        <x:v>Confirm direct principal versus broker, $100K-$500K appetite, and whether capital can fund the operating company without a property mortgage.</x:v>
      </x:c>
      <x:c r="U1731" s="25" t="str">
        <x:v>https://www.privatelendersdirectory.com/united-states/ocala/top-level-category/black-rock-mortgage
https://www.blackrockmortgage.com/</x:v>
      </x:c>
      <x:c r="V1731" s="26" t="d">
        <x:v>2026-10-02T00:00:00.000Z</x:v>
      </x:c>
      <x:c r="W1731" s="26" t="d">
        <x:v>2026-09-30T00:00:00.000Z</x:v>
      </x:c>
      <x:c r="X1731" s="25" t="str">
        <x:v>Saved public company, industry-directory or regulatory source; source date retained</x:v>
      </x:c>
      <x:c r="Y1731" s="25" t="str">
        <x:v>https://www.blackrockmortgage.com/</x:v>
      </x:c>
      <x:c r="Z1731" s="25" t="str">
        <x:v>https://www.blackrockmortgage.com/</x:v>
      </x:c>
      <x:c r="AA1731" s="25" t="str">
        <x:v>[]</x:v>
      </x:c>
      <x:c r="AB1731" s="3" t="str">
        <x:v>Existing CapitalForge research, newly screened for this campaign</x:v>
      </x:c>
      <x:c r="AC1731" s="3" t="str">
        <x:v>unverified</x:v>
      </x:c>
      <x:c r="AD1731" s="3" t="str">
        <x:v>Not contacted / unconfirmed</x:v>
      </x:c>
      <x:c r="AE1731" s="3" t="str">
        <x:v>No</x:v>
      </x:c>
      <x:c r="AF1731" s="3" t="str">
        <x:v>No</x:v>
      </x:c>
      <x:c r="AG1731" s="3"/>
      <x:c r="AH1731" s="3"/>
      <x:c r="AI1731" s="18"/>
      <x:c r="AJ1731" s="3" t="str">
        <x:v>CF2500-9D9585090642</x:v>
      </x:c>
      <x:c r="AK1731" s="3" t="str">
        <x:v>private_real_estate_lender</x:v>
      </x:c>
      <x:c r="AL1731" s="19" t="n">
        <x:v>100000</x:v>
      </x:c>
      <x:c r="AM1731" s="19" t="n">
        <x:v>500000</x:v>
      </x:c>
      <x:c r="AN1731" s="3" t="str">
        <x:v>https://www.privatelendersdirectory.com/united-states/ocala/top-level-category/black-rock-mortgage</x:v>
      </x:c>
      <x:c r="AO1731" s="3" t="str">
        <x:v>public_directory.jsonl</x:v>
      </x:c>
      <x:c r="AP1731" s="19"/>
    </x:row>
    <x:row r="1732" ht="36" customHeight="1">
      <x:c r="A1732" s="23" t="n">
        <x:v>1731</x:v>
      </x:c>
      <x:c r="B1732" s="15" t="str">
        <x:v>BLESSING CAPITAL</x:v>
      </x:c>
      <x:c r="C1732" s="15"/>
      <x:c r="D1732" s="15" t="str">
        <x:v>Property lender or directory member; operating-company capital unconfirmed</x:v>
      </x:c>
      <x:c r="E1732" s="15" t="str">
        <x:v>Property lender / private-money inquiry</x:v>
      </x:c>
      <x:c r="F1732" s="17" t="str">
        <x:v>New</x:v>
      </x:c>
      <x:c r="G1732" s="24" t="str">
        <x:v>support@blessing.capital</x:v>
      </x:c>
      <x:c r="H1732" s="24" t="str">
        <x:v>+18885515388</x:v>
      </x:c>
      <x:c r="I1732" s="24" t="str">
        <x:v>https://blessing.capital/</x:v>
      </x:c>
      <x:c r="J1732" s="16" t="str">
        <x:v>AZ</x:v>
      </x:c>
      <x:c r="K1732" s="16" t="str">
        <x:v>Tucson</x:v>
      </x:c>
      <x:c r="L1732" s="16" t="str">
        <x:v>firm_business_routing</x:v>
      </x:c>
      <x:c r="M1732" s="16" t="str">
        <x:v>https://blessing.capital/</x:v>
      </x:c>
      <x:c r="N1732" s="16" t="str">
        <x:v>$100K-$500K ticket not published / unconfirmed</x:v>
      </x:c>
      <x:c r="O1732" s="20"/>
      <x:c r="P1732" s="20"/>
      <x:c r="Q1732" s="25" t="str">
        <x:v>Property-loan range, not a corporate-capital commitment</x:v>
      </x:c>
      <x:c r="R1732" s="25" t="str">
        <x:v>Private real-estate finance experience. Corporate working capital, minority equity or profit participation requires a separate agreement from a property loan.</x:v>
      </x:c>
      <x:c r="S1732" s="25"/>
      <x:c r="T1732" s="25" t="str">
        <x:v>Confirm direct principal versus broker, $100K-$500K appetite, and whether capital can fund the operating company without a property mortgage.</x:v>
      </x:c>
      <x:c r="U1732" s="25" t="str">
        <x:v>https://www.privatelendersdirectory.com/united-states/tucson/top-level-category/blessing-capital
https://blessing.capital/</x:v>
      </x:c>
      <x:c r="V1732" s="26" t="d">
        <x:v>2026-10-02T00:00:00.000Z</x:v>
      </x:c>
      <x:c r="W1732" s="26" t="d">
        <x:v>2026-09-30T00:00:00.000Z</x:v>
      </x:c>
      <x:c r="X1732" s="25" t="str">
        <x:v>Saved public company, industry-directory or regulatory source; source date retained</x:v>
      </x:c>
      <x:c r="Y1732" s="25" t="str">
        <x:v>https://blessing.capital/</x:v>
      </x:c>
      <x:c r="Z1732" s="25" t="str">
        <x:v>https://blessing.capital/</x:v>
      </x:c>
      <x:c r="AA1732" s="25" t="str">
        <x:v>[]</x:v>
      </x:c>
      <x:c r="AB1732" s="3" t="str">
        <x:v>Existing CapitalForge research, newly screened for this campaign</x:v>
      </x:c>
      <x:c r="AC1732" s="3" t="str">
        <x:v>unverified</x:v>
      </x:c>
      <x:c r="AD1732" s="3" t="str">
        <x:v>Not contacted / unconfirmed</x:v>
      </x:c>
      <x:c r="AE1732" s="3" t="str">
        <x:v>No</x:v>
      </x:c>
      <x:c r="AF1732" s="3" t="str">
        <x:v>No</x:v>
      </x:c>
      <x:c r="AG1732" s="3"/>
      <x:c r="AH1732" s="3"/>
      <x:c r="AI1732" s="18"/>
      <x:c r="AJ1732" s="3" t="str">
        <x:v>CF2500-AF64E64A921B</x:v>
      </x:c>
      <x:c r="AK1732" s="3" t="str">
        <x:v>private_real_estate_lender</x:v>
      </x:c>
      <x:c r="AL1732" s="19" t="n">
        <x:v>100000</x:v>
      </x:c>
      <x:c r="AM1732" s="19" t="n">
        <x:v>500000</x:v>
      </x:c>
      <x:c r="AN1732" s="3" t="str">
        <x:v>https://www.privatelendersdirectory.com/united-states/tucson/top-level-category/blessing-capital</x:v>
      </x:c>
      <x:c r="AO1732" s="3" t="str">
        <x:v>public_directory.jsonl</x:v>
      </x:c>
      <x:c r="AP1732" s="19"/>
    </x:row>
    <x:row r="1733" ht="36" customHeight="1">
      <x:c r="A1733" s="23" t="n">
        <x:v>1732</x:v>
      </x:c>
      <x:c r="B1733" s="15" t="str">
        <x:v>Blink Lending &amp; Investments</x:v>
      </x:c>
      <x:c r="C1733" s="15"/>
      <x:c r="D1733" s="15" t="str">
        <x:v>Property lender or directory member; operating-company capital unconfirmed</x:v>
      </x:c>
      <x:c r="E1733" s="15" t="str">
        <x:v>Property lender / private-money inquiry</x:v>
      </x:c>
      <x:c r="F1733" s="17" t="str">
        <x:v>New</x:v>
      </x:c>
      <x:c r="G1733" s="24" t="str">
        <x:v>hello@blinklending.com</x:v>
      </x:c>
      <x:c r="H1733" s="24" t="str">
        <x:v>+17134625465</x:v>
      </x:c>
      <x:c r="I1733" s="24" t="str">
        <x:v>https://blinklending.com/</x:v>
      </x:c>
      <x:c r="J1733" s="16" t="str">
        <x:v>TX</x:v>
      </x:c>
      <x:c r="K1733" s="16" t="str">
        <x:v>Houston</x:v>
      </x:c>
      <x:c r="L1733" s="16" t="str">
        <x:v>firm_business_routing</x:v>
      </x:c>
      <x:c r="M1733" s="16" t="str">
        <x:v>https://blinklending.com/</x:v>
      </x:c>
      <x:c r="N1733" s="16" t="str">
        <x:v>$100K-$500K ticket not published / unconfirmed</x:v>
      </x:c>
      <x:c r="O1733" s="20"/>
      <x:c r="P1733" s="20"/>
      <x:c r="Q1733" s="25" t="str">
        <x:v>Property-loan range, not a corporate-capital commitment</x:v>
      </x:c>
      <x:c r="R1733" s="25" t="str">
        <x:v>Private real-estate finance experience. Corporate working capital, minority equity or profit participation requires a separate agreement from a property loan.</x:v>
      </x:c>
      <x:c r="S1733" s="25"/>
      <x:c r="T1733" s="25" t="str">
        <x:v>Confirm direct principal versus broker, $100K-$500K appetite, and whether capital can fund the operating company without a property mortgage.</x:v>
      </x:c>
      <x:c r="U1733" s="25" t="str">
        <x:v>https://privatelenderlink.com/profile/blink-lending-investments/
https://www.privatelendersdirectory.com/united-states/houston/top-level-category/blink-lending
https://blinklending.com/</x:v>
      </x:c>
      <x:c r="V1733" s="26" t="d">
        <x:v>2026-10-02T00:00:00.000Z</x:v>
      </x:c>
      <x:c r="W1733" s="26" t="d">
        <x:v>2026-09-30T00:00:00.000Z</x:v>
      </x:c>
      <x:c r="X1733" s="25" t="str">
        <x:v>Saved public company, industry-directory or regulatory source; source date retained</x:v>
      </x:c>
      <x:c r="Y1733" s="25" t="str">
        <x:v>https://privatelenderlink.com/profile/blink-lending-investments/</x:v>
      </x:c>
      <x:c r="Z1733" s="25" t="str">
        <x:v>https://privatelenderlink.com/profile/blink-lending-investments/</x:v>
      </x:c>
      <x:c r="AA1733" s="25" t="str">
        <x:v>[]</x:v>
      </x:c>
      <x:c r="AB1733" s="3" t="str">
        <x:v>Existing CapitalForge research, newly screened for this campaign</x:v>
      </x:c>
      <x:c r="AC1733" s="3" t="str">
        <x:v>unverified</x:v>
      </x:c>
      <x:c r="AD1733" s="3" t="str">
        <x:v>Not contacted / unconfirmed</x:v>
      </x:c>
      <x:c r="AE1733" s="3" t="str">
        <x:v>No</x:v>
      </x:c>
      <x:c r="AF1733" s="3" t="str">
        <x:v>No</x:v>
      </x:c>
      <x:c r="AG1733" s="3"/>
      <x:c r="AH1733" s="3"/>
      <x:c r="AI1733" s="18"/>
      <x:c r="AJ1733" s="3" t="str">
        <x:v>CF2500-63FC98B0C900</x:v>
      </x:c>
      <x:c r="AK1733" s="3" t="str">
        <x:v>private_real_estate_lender</x:v>
      </x:c>
      <x:c r="AL1733" s="19" t="n">
        <x:v>100000</x:v>
      </x:c>
      <x:c r="AM1733" s="19" t="n">
        <x:v>500000</x:v>
      </x:c>
      <x:c r="AN1733" s="3" t="str">
        <x:v>https://privatelenderlink.com/profile/blink-lending-investments/</x:v>
      </x:c>
      <x:c r="AO1733" s="3" t="str">
        <x:v>public_directory.jsonl</x:v>
      </x:c>
      <x:c r="AP1733" s="19"/>
    </x:row>
    <x:row r="1734" ht="36" customHeight="1">
      <x:c r="A1734" s="23" t="n">
        <x:v>1733</x:v>
      </x:c>
      <x:c r="B1734" s="15" t="str">
        <x:v>BLOOM LENDING</x:v>
      </x:c>
      <x:c r="C1734" s="15"/>
      <x:c r="D1734" s="15" t="str">
        <x:v>Property lender or directory member; operating-company capital unconfirmed</x:v>
      </x:c>
      <x:c r="E1734" s="15" t="str">
        <x:v>Property lender / private-money inquiry</x:v>
      </x:c>
      <x:c r="F1734" s="17" t="str">
        <x:v>New</x:v>
      </x:c>
      <x:c r="G1734" s="24" t="str">
        <x:v>admin@bloomlending.com</x:v>
      </x:c>
      <x:c r="H1734" s="24" t="str">
        <x:v>+14805358796</x:v>
      </x:c>
      <x:c r="I1734" s="24" t="str">
        <x:v>https://www.bloomlending.com/</x:v>
      </x:c>
      <x:c r="J1734" s="16" t="str">
        <x:v>AZ</x:v>
      </x:c>
      <x:c r="K1734" s="16" t="str">
        <x:v>Gilbert</x:v>
      </x:c>
      <x:c r="L1734" s="16" t="str">
        <x:v>firm_business_routing</x:v>
      </x:c>
      <x:c r="M1734" s="16" t="str">
        <x:v>https://www.bloomlending.com/</x:v>
      </x:c>
      <x:c r="N1734" s="16" t="str">
        <x:v>$100K-$500K ticket not published / unconfirmed</x:v>
      </x:c>
      <x:c r="O1734" s="20"/>
      <x:c r="P1734" s="20"/>
      <x:c r="Q1734" s="25" t="str">
        <x:v>Property-loan range, not a corporate-capital commitment</x:v>
      </x:c>
      <x:c r="R1734" s="25" t="str">
        <x:v>Private real-estate finance experience. Corporate working capital, minority equity or profit participation requires a separate agreement from a property loan.</x:v>
      </x:c>
      <x:c r="S1734" s="25"/>
      <x:c r="T1734" s="25" t="str">
        <x:v>Confirm direct principal versus broker, $100K-$500K appetite, and whether capital can fund the operating company without a property mortgage.</x:v>
      </x:c>
      <x:c r="U1734" s="25" t="str">
        <x:v>https://www.privatelendersdirectory.com/united-states/gilbert/top-level-category/bloom-lending
https://www.bloomlending.com/</x:v>
      </x:c>
      <x:c r="V1734" s="26" t="d">
        <x:v>2026-10-02T00:00:00.000Z</x:v>
      </x:c>
      <x:c r="W1734" s="26" t="d">
        <x:v>2026-09-30T00:00:00.000Z</x:v>
      </x:c>
      <x:c r="X1734" s="25" t="str">
        <x:v>Saved public company, industry-directory or regulatory source; source date retained</x:v>
      </x:c>
      <x:c r="Y1734" s="25" t="str">
        <x:v>https://www.bloomlending.com/</x:v>
      </x:c>
      <x:c r="Z1734" s="25" t="str">
        <x:v>https://www.bloomlending.com/</x:v>
      </x:c>
      <x:c r="AA1734" s="25" t="str">
        <x:v>[]</x:v>
      </x:c>
      <x:c r="AB1734" s="3" t="str">
        <x:v>Existing CapitalForge research, newly screened for this campaign</x:v>
      </x:c>
      <x:c r="AC1734" s="3" t="str">
        <x:v>unverified</x:v>
      </x:c>
      <x:c r="AD1734" s="3" t="str">
        <x:v>Not contacted / unconfirmed</x:v>
      </x:c>
      <x:c r="AE1734" s="3" t="str">
        <x:v>No</x:v>
      </x:c>
      <x:c r="AF1734" s="3" t="str">
        <x:v>No</x:v>
      </x:c>
      <x:c r="AG1734" s="3"/>
      <x:c r="AH1734" s="3"/>
      <x:c r="AI1734" s="18"/>
      <x:c r="AJ1734" s="3" t="str">
        <x:v>CF2500-B3EACAC27072</x:v>
      </x:c>
      <x:c r="AK1734" s="3" t="str">
        <x:v>private_real_estate_lender</x:v>
      </x:c>
      <x:c r="AL1734" s="19" t="n">
        <x:v>100000</x:v>
      </x:c>
      <x:c r="AM1734" s="19" t="n">
        <x:v>500000</x:v>
      </x:c>
      <x:c r="AN1734" s="3" t="str">
        <x:v>https://www.privatelendersdirectory.com/united-states/gilbert/top-level-category/bloom-lending</x:v>
      </x:c>
      <x:c r="AO1734" s="3" t="str">
        <x:v>public_directory.jsonl</x:v>
      </x:c>
      <x:c r="AP1734" s="19"/>
    </x:row>
    <x:row r="1735" ht="36" customHeight="1">
      <x:c r="A1735" s="23" t="n">
        <x:v>1734</x:v>
      </x:c>
      <x:c r="B1735" s="15" t="str">
        <x:v>BLUE BAY FUND</x:v>
      </x:c>
      <x:c r="C1735" s="15"/>
      <x:c r="D1735" s="15" t="str">
        <x:v>Property lender or directory member; operating-company capital unconfirmed</x:v>
      </x:c>
      <x:c r="E1735" s="15" t="str">
        <x:v>Property lender / private-money inquiry</x:v>
      </x:c>
      <x:c r="F1735" s="17" t="str">
        <x:v>New</x:v>
      </x:c>
      <x:c r="G1735" s="24" t="str">
        <x:v>investor@bluebayfund.com</x:v>
      </x:c>
      <x:c r="H1735" s="24" t="str">
        <x:v>+18139014082</x:v>
      </x:c>
      <x:c r="I1735" s="24" t="str">
        <x:v>https://www.bluebayfund.com/</x:v>
      </x:c>
      <x:c r="J1735" s="16" t="str">
        <x:v>FL</x:v>
      </x:c>
      <x:c r="K1735" s="16" t="str">
        <x:v>Tampa</x:v>
      </x:c>
      <x:c r="L1735" s="16" t="str">
        <x:v>firm_business_routing</x:v>
      </x:c>
      <x:c r="M1735" s="16" t="str">
        <x:v>https://www.bluebayfund.com/</x:v>
      </x:c>
      <x:c r="N1735" s="16" t="str">
        <x:v>$100K-$500K ticket not published / unconfirmed</x:v>
      </x:c>
      <x:c r="O1735" s="20"/>
      <x:c r="P1735" s="20"/>
      <x:c r="Q1735" s="25" t="str">
        <x:v>Property-loan range, not a corporate-capital commitment</x:v>
      </x:c>
      <x:c r="R1735" s="25" t="str">
        <x:v>Private real-estate finance experience. Corporate working capital, minority equity or profit participation requires a separate agreement from a property loan.</x:v>
      </x:c>
      <x:c r="S1735" s="25"/>
      <x:c r="T1735" s="25" t="str">
        <x:v>Confirm direct principal versus broker, $100K-$500K appetite, and whether capital can fund the operating company without a property mortgage.</x:v>
      </x:c>
      <x:c r="U1735" s="25" t="str">
        <x:v>https://www.privatelendersdirectory.com/united-states/tampa/top-level-category/blue-bay-fund
https://www.bluebayfund.com/
https://privatelenderlink.com/profile/blue-bay-capital/
https://www.bbcfunding.com/</x:v>
      </x:c>
      <x:c r="V1735" s="26" t="d">
        <x:v>2026-10-02T00:00:00.000Z</x:v>
      </x:c>
      <x:c r="W1735" s="26" t="d">
        <x:v>2026-09-30T00:00:00.000Z</x:v>
      </x:c>
      <x:c r="X1735" s="25" t="str">
        <x:v>Saved public company, industry-directory or regulatory source; source date retained</x:v>
      </x:c>
      <x:c r="Y1735" s="25" t="str">
        <x:v>https://www.bluebayfund.com/</x:v>
      </x:c>
      <x:c r="Z1735" s="25" t="str">
        <x:v>https://www.bluebayfund.com/</x:v>
      </x:c>
      <x:c r="AA1735" s="25" t="str">
        <x:v>[]</x:v>
      </x:c>
      <x:c r="AB1735" s="3" t="str">
        <x:v>Existing CapitalForge research, newly screened for this campaign</x:v>
      </x:c>
      <x:c r="AC1735" s="3" t="str">
        <x:v>unverified</x:v>
      </x:c>
      <x:c r="AD1735" s="3" t="str">
        <x:v>Not contacted / unconfirmed</x:v>
      </x:c>
      <x:c r="AE1735" s="3" t="str">
        <x:v>No</x:v>
      </x:c>
      <x:c r="AF1735" s="3" t="str">
        <x:v>No</x:v>
      </x:c>
      <x:c r="AG1735" s="3"/>
      <x:c r="AH1735" s="3" t="str">
        <x:v>Blue Bay Capital</x:v>
      </x:c>
      <x:c r="AI1735" s="18"/>
      <x:c r="AJ1735" s="3" t="str">
        <x:v>CF2500-83CFFC784FFB</x:v>
      </x:c>
      <x:c r="AK1735" s="3" t="str">
        <x:v>private_real_estate_lender</x:v>
      </x:c>
      <x:c r="AL1735" s="19" t="n">
        <x:v>100000</x:v>
      </x:c>
      <x:c r="AM1735" s="19" t="n">
        <x:v>500000</x:v>
      </x:c>
      <x:c r="AN1735" s="3" t="str">
        <x:v>https://www.privatelendersdirectory.com/united-states/tampa/top-level-category/blue-bay-fund</x:v>
      </x:c>
      <x:c r="AO1735" s="3" t="str">
        <x:v>public_directory.jsonl</x:v>
      </x:c>
      <x:c r="AP1735" s="19"/>
    </x:row>
    <x:row r="1736" ht="36" customHeight="1">
      <x:c r="A1736" s="23" t="n">
        <x:v>1735</x:v>
      </x:c>
      <x:c r="B1736" s="15" t="str">
        <x:v>BLUE SKY FINANCIAL</x:v>
      </x:c>
      <x:c r="C1736" s="15"/>
      <x:c r="D1736" s="15" t="str">
        <x:v>Property lender or directory member; operating-company capital unconfirmed</x:v>
      </x:c>
      <x:c r="E1736" s="15" t="str">
        <x:v>Property lender / private-money inquiry</x:v>
      </x:c>
      <x:c r="F1736" s="17" t="str">
        <x:v>New</x:v>
      </x:c>
      <x:c r="G1736" s="24" t="str">
        <x:v>hello@blueskyfinancial.com</x:v>
      </x:c>
      <x:c r="H1736" s="24" t="str">
        <x:v>+18332587591</x:v>
      </x:c>
      <x:c r="I1736" s="24" t="str">
        <x:v>https://www.blueskyfinancial.com/</x:v>
      </x:c>
      <x:c r="J1736" s="16" t="str">
        <x:v>FL</x:v>
      </x:c>
      <x:c r="K1736" s="16" t="str">
        <x:v>West Palm Beach</x:v>
      </x:c>
      <x:c r="L1736" s="16" t="str">
        <x:v>firm_business_routing</x:v>
      </x:c>
      <x:c r="M1736" s="16" t="str">
        <x:v>https://www.blueskyfinancial.com/</x:v>
      </x:c>
      <x:c r="N1736" s="16" t="str">
        <x:v>$100K-$500K ticket not published / unconfirmed</x:v>
      </x:c>
      <x:c r="O1736" s="20"/>
      <x:c r="P1736" s="20"/>
      <x:c r="Q1736" s="25" t="str">
        <x:v>Property-loan range, not a corporate-capital commitment</x:v>
      </x:c>
      <x:c r="R1736" s="25" t="str">
        <x:v>Private real-estate finance experience. Corporate working capital, minority equity or profit participation requires a separate agreement from a property loan.</x:v>
      </x:c>
      <x:c r="S1736" s="25"/>
      <x:c r="T1736" s="25" t="str">
        <x:v>Confirm direct principal versus broker, $100K-$500K appetite, and whether capital can fund the operating company without a property mortgage.</x:v>
      </x:c>
      <x:c r="U1736" s="25" t="str">
        <x:v>https://www.privatelendersdirectory.com/united-states/west-palm-beach/top-level-category/blue-sky-financial
https://www.blueskyfinancial.com/</x:v>
      </x:c>
      <x:c r="V1736" s="26" t="d">
        <x:v>2026-10-02T00:00:00.000Z</x:v>
      </x:c>
      <x:c r="W1736" s="26" t="d">
        <x:v>2026-09-30T00:00:00.000Z</x:v>
      </x:c>
      <x:c r="X1736" s="25" t="str">
        <x:v>Saved public company, industry-directory or regulatory source; source date retained</x:v>
      </x:c>
      <x:c r="Y1736" s="25" t="str">
        <x:v>https://www.blueskyfinancial.com/</x:v>
      </x:c>
      <x:c r="Z1736" s="25" t="str">
        <x:v>https://www.blueskyfinancial.com/</x:v>
      </x:c>
      <x:c r="AA1736" s="25" t="str">
        <x:v>[]</x:v>
      </x:c>
      <x:c r="AB1736" s="3" t="str">
        <x:v>Existing CapitalForge research, newly screened for this campaign</x:v>
      </x:c>
      <x:c r="AC1736" s="3" t="str">
        <x:v>unverified</x:v>
      </x:c>
      <x:c r="AD1736" s="3" t="str">
        <x:v>Not contacted / unconfirmed</x:v>
      </x:c>
      <x:c r="AE1736" s="3" t="str">
        <x:v>No</x:v>
      </x:c>
      <x:c r="AF1736" s="3" t="str">
        <x:v>No</x:v>
      </x:c>
      <x:c r="AG1736" s="3"/>
      <x:c r="AH1736" s="3"/>
      <x:c r="AI1736" s="18"/>
      <x:c r="AJ1736" s="3" t="str">
        <x:v>CF2500-D451B9A2A43A</x:v>
      </x:c>
      <x:c r="AK1736" s="3" t="str">
        <x:v>private_real_estate_lender</x:v>
      </x:c>
      <x:c r="AL1736" s="19" t="n">
        <x:v>100000</x:v>
      </x:c>
      <x:c r="AM1736" s="19" t="n">
        <x:v>500000</x:v>
      </x:c>
      <x:c r="AN1736" s="3" t="str">
        <x:v>https://www.privatelendersdirectory.com/united-states/west-palm-beach/top-level-category/blue-sky-financial</x:v>
      </x:c>
      <x:c r="AO1736" s="3" t="str">
        <x:v>public_directory.jsonl</x:v>
      </x:c>
      <x:c r="AP1736" s="19"/>
    </x:row>
    <x:row r="1737" ht="36" customHeight="1">
      <x:c r="A1737" s="23" t="n">
        <x:v>1736</x:v>
      </x:c>
      <x:c r="B1737" s="15" t="str">
        <x:v>BLUESTAR MORTGAGE</x:v>
      </x:c>
      <x:c r="C1737" s="15"/>
      <x:c r="D1737" s="15" t="str">
        <x:v>Property lender or directory member; operating-company capital unconfirmed</x:v>
      </x:c>
      <x:c r="E1737" s="15" t="str">
        <x:v>Property lender / private-money inquiry</x:v>
      </x:c>
      <x:c r="F1737" s="17" t="str">
        <x:v>New</x:v>
      </x:c>
      <x:c r="G1737" s="24" t="str">
        <x:v>loans@bluestarhm.com</x:v>
      </x:c>
      <x:c r="H1737" s="24" t="str">
        <x:v>+13214005545</x:v>
      </x:c>
      <x:c r="I1737" s="24" t="str">
        <x:v>https://www.bluestarhm.com/</x:v>
      </x:c>
      <x:c r="J1737" s="16" t="str">
        <x:v>IL</x:v>
      </x:c>
      <x:c r="K1737" s="16" t="str">
        <x:v>Schaumburg</x:v>
      </x:c>
      <x:c r="L1737" s="16" t="str">
        <x:v>firm_business_routing</x:v>
      </x:c>
      <x:c r="M1737" s="16" t="str">
        <x:v>https://www.bluestarhm.com/</x:v>
      </x:c>
      <x:c r="N1737" s="16" t="str">
        <x:v>$100K-$500K ticket not published / unconfirmed</x:v>
      </x:c>
      <x:c r="O1737" s="20"/>
      <x:c r="P1737" s="20"/>
      <x:c r="Q1737" s="25" t="str">
        <x:v>Property-loan range, not a corporate-capital commitment</x:v>
      </x:c>
      <x:c r="R1737" s="25" t="str">
        <x:v>Private real-estate finance experience. Corporate working capital, minority equity or profit participation requires a separate agreement from a property loan.</x:v>
      </x:c>
      <x:c r="S1737" s="25"/>
      <x:c r="T1737" s="25" t="str">
        <x:v>Confirm direct principal versus broker, $100K-$500K appetite, and whether capital can fund the operating company without a property mortgage.</x:v>
      </x:c>
      <x:c r="U1737" s="25" t="str">
        <x:v>https://www.privatelendersdirectory.com/united-states/schaumburg/top-level-category/bluestar-mortgage
https://www.bluestarhm.com/</x:v>
      </x:c>
      <x:c r="V1737" s="26" t="d">
        <x:v>2026-10-02T00:00:00.000Z</x:v>
      </x:c>
      <x:c r="W1737" s="26" t="d">
        <x:v>2026-09-30T00:00:00.000Z</x:v>
      </x:c>
      <x:c r="X1737" s="25" t="str">
        <x:v>Saved public company, industry-directory or regulatory source; source date retained</x:v>
      </x:c>
      <x:c r="Y1737" s="25" t="str">
        <x:v>https://www.bluestarhm.com/</x:v>
      </x:c>
      <x:c r="Z1737" s="25" t="str">
        <x:v>https://www.bluestarhm.com/</x:v>
      </x:c>
      <x:c r="AA1737" s="25" t="str">
        <x:v>[]</x:v>
      </x:c>
      <x:c r="AB1737" s="3" t="str">
        <x:v>Existing CapitalForge research, newly screened for this campaign</x:v>
      </x:c>
      <x:c r="AC1737" s="3" t="str">
        <x:v>unverified</x:v>
      </x:c>
      <x:c r="AD1737" s="3" t="str">
        <x:v>Not contacted / unconfirmed</x:v>
      </x:c>
      <x:c r="AE1737" s="3" t="str">
        <x:v>No</x:v>
      </x:c>
      <x:c r="AF1737" s="3" t="str">
        <x:v>No</x:v>
      </x:c>
      <x:c r="AG1737" s="3"/>
      <x:c r="AH1737" s="3"/>
      <x:c r="AI1737" s="18"/>
      <x:c r="AJ1737" s="3" t="str">
        <x:v>CF2500-C6AE251B17B7</x:v>
      </x:c>
      <x:c r="AK1737" s="3" t="str">
        <x:v>private_real_estate_lender</x:v>
      </x:c>
      <x:c r="AL1737" s="19" t="n">
        <x:v>100000</x:v>
      </x:c>
      <x:c r="AM1737" s="19" t="n">
        <x:v>500000</x:v>
      </x:c>
      <x:c r="AN1737" s="3" t="str">
        <x:v>https://www.privatelendersdirectory.com/united-states/schaumburg/top-level-category/bluestar-mortgage</x:v>
      </x:c>
      <x:c r="AO1737" s="3" t="str">
        <x:v>public_directory.jsonl</x:v>
      </x:c>
      <x:c r="AP1737" s="19"/>
    </x:row>
    <x:row r="1738" ht="36" customHeight="1">
      <x:c r="A1738" s="23" t="n">
        <x:v>1737</x:v>
      </x:c>
      <x:c r="B1738" s="15" t="str">
        <x:v>Boomerang Capital</x:v>
      </x:c>
      <x:c r="C1738" s="15"/>
      <x:c r="D1738" s="15" t="str">
        <x:v>Property lender or directory member; operating-company capital unconfirmed</x:v>
      </x:c>
      <x:c r="E1738" s="15" t="str">
        <x:v>Property lender / private-money inquiry</x:v>
      </x:c>
      <x:c r="F1738" s="17" t="str">
        <x:v>New</x:v>
      </x:c>
      <x:c r="G1738" s="24" t="str">
        <x:v>quotes@boomerangcapital.com</x:v>
      </x:c>
      <x:c r="H1738" s="24" t="str">
        <x:v>+14807799779</x:v>
      </x:c>
      <x:c r="I1738" s="24" t="str">
        <x:v>https://boomerangcapital.com/</x:v>
      </x:c>
      <x:c r="J1738" s="16" t="str">
        <x:v>AZ</x:v>
      </x:c>
      <x:c r="K1738" s="16" t="str">
        <x:v>Mesa</x:v>
      </x:c>
      <x:c r="L1738" s="16" t="str">
        <x:v>firm_business_routing</x:v>
      </x:c>
      <x:c r="M1738" s="16" t="str">
        <x:v>https://boomerangcapital.com/</x:v>
      </x:c>
      <x:c r="N1738" s="16" t="str">
        <x:v>$100K-$500K ticket not published / unconfirmed</x:v>
      </x:c>
      <x:c r="O1738" s="20"/>
      <x:c r="P1738" s="20"/>
      <x:c r="Q1738" s="25" t="str">
        <x:v>Property-loan range, not a corporate-capital commitment</x:v>
      </x:c>
      <x:c r="R1738" s="25" t="str">
        <x:v>Private real-estate finance experience. Corporate working capital, minority equity or profit participation requires a separate agreement from a property loan.</x:v>
      </x:c>
      <x:c r="S1738" s="25"/>
      <x:c r="T1738" s="25" t="str">
        <x:v>Confirm direct principal versus broker, $100K-$500K appetite, and whether capital can fund the operating company without a property mortgage.</x:v>
      </x:c>
      <x:c r="U1738" s="25" t="str">
        <x:v>https://www.hardmoneyhome.com/lenders/view/Boomerang-capital
https://privatelenderlink.com/profile/boomerang-capital-partners/
https://www.privatelendersdirectory.com/united-states/mesa/top-level-category/boomerang-capital
https://boomerangcapital.com/</x:v>
      </x:c>
      <x:c r="V1738" s="26" t="d">
        <x:v>2026-10-02T00:00:00.000Z</x:v>
      </x:c>
      <x:c r="W1738" s="26" t="d">
        <x:v>2026-09-30T00:00:00.000Z</x:v>
      </x:c>
      <x:c r="X1738" s="25" t="str">
        <x:v>Saved public company, industry-directory or regulatory source; source date retained</x:v>
      </x:c>
      <x:c r="Y1738" s="25" t="str">
        <x:v>https://privatelenderlink.com/profile/boomerang-capital-partners/</x:v>
      </x:c>
      <x:c r="Z1738" s="25" t="str">
        <x:v>https://www.hardmoneyhome.com/lenders/view/Boomerang-capital</x:v>
      </x:c>
      <x:c r="AA1738" s="25" t="str">
        <x:v>[]</x:v>
      </x:c>
      <x:c r="AB1738" s="3" t="str">
        <x:v>Existing CapitalForge research, newly screened for this campaign</x:v>
      </x:c>
      <x:c r="AC1738" s="3" t="str">
        <x:v>unverified</x:v>
      </x:c>
      <x:c r="AD1738" s="3" t="str">
        <x:v>Not contacted / unconfirmed</x:v>
      </x:c>
      <x:c r="AE1738" s="3" t="str">
        <x:v>No</x:v>
      </x:c>
      <x:c r="AF1738" s="3" t="str">
        <x:v>No</x:v>
      </x:c>
      <x:c r="AG1738" s="3"/>
      <x:c r="AH1738" s="3"/>
      <x:c r="AI1738" s="18"/>
      <x:c r="AJ1738" s="3" t="str">
        <x:v>CF2500-00694120D277</x:v>
      </x:c>
      <x:c r="AK1738" s="3" t="str">
        <x:v>private_real_estate_lender</x:v>
      </x:c>
      <x:c r="AL1738" s="19" t="n">
        <x:v>100000</x:v>
      </x:c>
      <x:c r="AM1738" s="19" t="n">
        <x:v>500000</x:v>
      </x:c>
      <x:c r="AN1738" s="3" t="str">
        <x:v>https://www.hardmoneyhome.com/lenders/view/Boomerang-capital</x:v>
      </x:c>
      <x:c r="AO1738" s="3" t="str">
        <x:v>public_directory.jsonl</x:v>
      </x:c>
      <x:c r="AP1738" s="19"/>
    </x:row>
    <x:row r="1739" ht="36" customHeight="1">
      <x:c r="A1739" s="23" t="n">
        <x:v>1738</x:v>
      </x:c>
      <x:c r="B1739" s="15" t="str">
        <x:v>Bosse Lending LLC</x:v>
      </x:c>
      <x:c r="C1739" s="15"/>
      <x:c r="D1739" s="15" t="str">
        <x:v>Property lender or directory member; operating-company capital unconfirmed</x:v>
      </x:c>
      <x:c r="E1739" s="15" t="str">
        <x:v>Property lender / private-money inquiry</x:v>
      </x:c>
      <x:c r="F1739" s="17" t="str">
        <x:v>New</x:v>
      </x:c>
      <x:c r="G1739" s="24" t="str">
        <x:v>hello@bosselending.com</x:v>
      </x:c>
      <x:c r="H1739" s="24" t="str">
        <x:v>+19728400336</x:v>
      </x:c>
      <x:c r="I1739" s="24" t="str">
        <x:v>https://bosselending.com/?utm_source=private-lender-link</x:v>
      </x:c>
      <x:c r="J1739" s="16" t="str">
        <x:v>TX</x:v>
      </x:c>
      <x:c r="K1739" s="16" t="str">
        <x:v>Dallas</x:v>
      </x:c>
      <x:c r="L1739" s="16" t="str">
        <x:v>firm_business_routing</x:v>
      </x:c>
      <x:c r="M1739" s="16" t="str">
        <x:v>https://bosselending.com/?utm_source=private-lender-link</x:v>
      </x:c>
      <x:c r="N1739" s="16" t="str">
        <x:v>$100K-$500K ticket not published / unconfirmed</x:v>
      </x:c>
      <x:c r="O1739" s="20"/>
      <x:c r="P1739" s="20"/>
      <x:c r="Q1739" s="25" t="str">
        <x:v>Property-loan range, not a corporate-capital commitment</x:v>
      </x:c>
      <x:c r="R1739" s="25" t="str">
        <x:v>Private real-estate finance experience. Corporate working capital, minority equity or profit participation requires a separate agreement from a property loan.</x:v>
      </x:c>
      <x:c r="S1739" s="25"/>
      <x:c r="T1739" s="25" t="str">
        <x:v>Confirm direct principal versus broker, $100K-$500K appetite, and whether capital can fund the operating company without a property mortgage.</x:v>
      </x:c>
      <x:c r="U1739" s="25" t="str">
        <x:v>https://privatelenderlink.com/profile/bosse-lending-llc/
https://bosselending.com/?utm_source=private-lender-link</x:v>
      </x:c>
      <x:c r="V1739" s="26" t="d">
        <x:v>2026-10-02T00:00:00.000Z</x:v>
      </x:c>
      <x:c r="W1739" s="26" t="d">
        <x:v>2026-09-30T00:00:00.000Z</x:v>
      </x:c>
      <x:c r="X1739" s="25" t="str">
        <x:v>Saved public company, industry-directory or regulatory source; source date retained</x:v>
      </x:c>
      <x:c r="Y1739" s="25" t="str">
        <x:v>https://privatelenderlink.com/profile/bosse-lending-llc/</x:v>
      </x:c>
      <x:c r="Z1739" s="25" t="str">
        <x:v>https://bosselending.com/?utm_source=private-lender-link</x:v>
      </x:c>
      <x:c r="AA1739" s="25" t="str">
        <x:v>[]</x:v>
      </x:c>
      <x:c r="AB1739" s="3" t="str">
        <x:v>Existing CapitalForge research, newly screened for this campaign</x:v>
      </x:c>
      <x:c r="AC1739" s="3" t="str">
        <x:v>unverified</x:v>
      </x:c>
      <x:c r="AD1739" s="3" t="str">
        <x:v>Not contacted / unconfirmed</x:v>
      </x:c>
      <x:c r="AE1739" s="3" t="str">
        <x:v>No</x:v>
      </x:c>
      <x:c r="AF1739" s="3" t="str">
        <x:v>No</x:v>
      </x:c>
      <x:c r="AG1739" s="3"/>
      <x:c r="AH1739" s="3"/>
      <x:c r="AI1739" s="18"/>
      <x:c r="AJ1739" s="3" t="str">
        <x:v>CF2500-9BBE3A837E2F</x:v>
      </x:c>
      <x:c r="AK1739" s="3" t="str">
        <x:v>private_real_estate_lender</x:v>
      </x:c>
      <x:c r="AL1739" s="19" t="n">
        <x:v>100000</x:v>
      </x:c>
      <x:c r="AM1739" s="19" t="n">
        <x:v>500000</x:v>
      </x:c>
      <x:c r="AN1739" s="3" t="str">
        <x:v>https://privatelenderlink.com/profile/bosse-lending-llc/</x:v>
      </x:c>
      <x:c r="AO1739" s="3" t="str">
        <x:v>public_directory.jsonl</x:v>
      </x:c>
      <x:c r="AP1739" s="19"/>
    </x:row>
    <x:row r="1740" ht="36" customHeight="1">
      <x:c r="A1740" s="23" t="n">
        <x:v>1739</x:v>
      </x:c>
      <x:c r="B1740" s="15" t="str">
        <x:v>BradLoans</x:v>
      </x:c>
      <x:c r="C1740" s="15"/>
      <x:c r="D1740" s="15" t="str">
        <x:v>Property lender or directory member; operating-company capital unconfirmed</x:v>
      </x:c>
      <x:c r="E1740" s="15" t="str">
        <x:v>Property lender / private-money inquiry</x:v>
      </x:c>
      <x:c r="F1740" s="17" t="str">
        <x:v>New</x:v>
      </x:c>
      <x:c r="G1740" s="24" t="str">
        <x:v>brad@bradloans.com</x:v>
      </x:c>
      <x:c r="H1740" s="24" t="str">
        <x:v>+14809480880</x:v>
      </x:c>
      <x:c r="I1740" s="24" t="str">
        <x:v>http://bradloans.com/</x:v>
      </x:c>
      <x:c r="J1740" s="16" t="str">
        <x:v>AZ</x:v>
      </x:c>
      <x:c r="K1740" s="16" t="str">
        <x:v>Scottsdale</x:v>
      </x:c>
      <x:c r="L1740" s="16" t="str">
        <x:v>firm_business_routing</x:v>
      </x:c>
      <x:c r="M1740" s="16" t="str">
        <x:v>http://bradloans.com/</x:v>
      </x:c>
      <x:c r="N1740" s="16" t="str">
        <x:v>$100K-$500K ticket not published / unconfirmed</x:v>
      </x:c>
      <x:c r="O1740" s="20"/>
      <x:c r="P1740" s="20"/>
      <x:c r="Q1740" s="25" t="str">
        <x:v>Property-loan range, not a corporate-capital commitment</x:v>
      </x:c>
      <x:c r="R1740" s="25" t="str">
        <x:v>Private real-estate finance experience. Corporate working capital, minority equity or profit participation requires a separate agreement from a property loan.</x:v>
      </x:c>
      <x:c r="S1740" s="25"/>
      <x:c r="T1740" s="25" t="str">
        <x:v>Confirm direct principal versus broker, $100K-$500K appetite, and whether capital can fund the operating company without a property mortgage.</x:v>
      </x:c>
      <x:c r="U1740" s="25" t="str">
        <x:v>https://www.hardmoneyhome.com/lenders/view/bradloans
http://bradloans.com/about/contact/
https://www.privatelendersdirectory.com/united-states/scottsdale/top-level-category/brad-loans
https://bradloans.com/about/
https://bradloans.com/about/contact-us/</x:v>
      </x:c>
      <x:c r="V1740" s="26" t="d">
        <x:v>2026-10-02T00:00:00.000Z</x:v>
      </x:c>
      <x:c r="W1740" s="26" t="d">
        <x:v>2026-09-30T00:00:00.000Z</x:v>
      </x:c>
      <x:c r="X1740" s="25" t="str">
        <x:v>Saved public company, industry-directory or regulatory source; source date retained</x:v>
      </x:c>
      <x:c r="Y1740" s="25" t="str">
        <x:v>http://bradloans.com/about/contact/</x:v>
      </x:c>
      <x:c r="Z1740" s="25" t="str">
        <x:v>https://www.hardmoneyhome.com/lenders/view/bradloans</x:v>
      </x:c>
      <x:c r="AA1740" s="25" t="str">
        <x:v>[]</x:v>
      </x:c>
      <x:c r="AB1740" s="3" t="str">
        <x:v>Existing CapitalForge research, newly screened for this campaign</x:v>
      </x:c>
      <x:c r="AC1740" s="3" t="str">
        <x:v>unverified</x:v>
      </x:c>
      <x:c r="AD1740" s="3" t="str">
        <x:v>Not contacted / unconfirmed</x:v>
      </x:c>
      <x:c r="AE1740" s="3" t="str">
        <x:v>No</x:v>
      </x:c>
      <x:c r="AF1740" s="3" t="str">
        <x:v>No</x:v>
      </x:c>
      <x:c r="AG1740" s="3"/>
      <x:c r="AH1740" s="3"/>
      <x:c r="AI1740" s="18"/>
      <x:c r="AJ1740" s="3" t="str">
        <x:v>CF2500-B0AFA5C6CA4B</x:v>
      </x:c>
      <x:c r="AK1740" s="3" t="str">
        <x:v>private_real_estate_lender</x:v>
      </x:c>
      <x:c r="AL1740" s="19" t="n">
        <x:v>100000</x:v>
      </x:c>
      <x:c r="AM1740" s="19" t="n">
        <x:v>500000</x:v>
      </x:c>
      <x:c r="AN1740" s="3" t="str">
        <x:v>https://www.hardmoneyhome.com/lenders/view/bradloans</x:v>
      </x:c>
      <x:c r="AO1740" s="3" t="str">
        <x:v>public_directory.jsonl</x:v>
      </x:c>
      <x:c r="AP1740" s="19"/>
    </x:row>
    <x:row r="1741" ht="36" customHeight="1">
      <x:c r="A1741" s="23" t="n">
        <x:v>1740</x:v>
      </x:c>
      <x:c r="B1741" s="15" t="str">
        <x:v>BRECLAW LENDERS</x:v>
      </x:c>
      <x:c r="C1741" s="15"/>
      <x:c r="D1741" s="15" t="str">
        <x:v>Property lender or directory member; operating-company capital unconfirmed</x:v>
      </x:c>
      <x:c r="E1741" s="15" t="str">
        <x:v>Property lender / private-money inquiry</x:v>
      </x:c>
      <x:c r="F1741" s="17" t="str">
        <x:v>New</x:v>
      </x:c>
      <x:c r="G1741" s="24" t="str">
        <x:v>al@breclawlenders.com</x:v>
      </x:c>
      <x:c r="H1741" s="24" t="str">
        <x:v>+17086802090</x:v>
      </x:c>
      <x:c r="I1741" s="24" t="str">
        <x:v>https://www.breclawlenders.com/</x:v>
      </x:c>
      <x:c r="J1741" s="16" t="str">
        <x:v>IL</x:v>
      </x:c>
      <x:c r="K1741" s="16" t="str">
        <x:v>Chicago</x:v>
      </x:c>
      <x:c r="L1741" s="16" t="str">
        <x:v>firm_business_routing</x:v>
      </x:c>
      <x:c r="M1741" s="16" t="str">
        <x:v>https://www.breclawlenders.com/</x:v>
      </x:c>
      <x:c r="N1741" s="16" t="str">
        <x:v>$100K-$500K ticket not published / unconfirmed</x:v>
      </x:c>
      <x:c r="O1741" s="20"/>
      <x:c r="P1741" s="20"/>
      <x:c r="Q1741" s="25" t="str">
        <x:v>Property-loan range, not a corporate-capital commitment</x:v>
      </x:c>
      <x:c r="R1741" s="25" t="str">
        <x:v>Private real-estate finance experience. Corporate working capital, minority equity or profit participation requires a separate agreement from a property loan.</x:v>
      </x:c>
      <x:c r="S1741" s="25"/>
      <x:c r="T1741" s="25" t="str">
        <x:v>Confirm direct principal versus broker, $100K-$500K appetite, and whether capital can fund the operating company without a property mortgage.</x:v>
      </x:c>
      <x:c r="U1741" s="25" t="str">
        <x:v>https://www.privatelendersdirectory.com/united-states/chicago/top-level-category/breclaw-lenders
https://www.breclawlenders.com/contact</x:v>
      </x:c>
      <x:c r="V1741" s="26" t="d">
        <x:v>2026-10-02T00:00:00.000Z</x:v>
      </x:c>
      <x:c r="W1741" s="26" t="d">
        <x:v>2026-09-30T00:00:00.000Z</x:v>
      </x:c>
      <x:c r="X1741" s="25" t="str">
        <x:v>Saved public company, industry-directory or regulatory source; source date retained</x:v>
      </x:c>
      <x:c r="Y1741" s="25" t="str">
        <x:v>https://www.breclawlenders.com/contact</x:v>
      </x:c>
      <x:c r="Z1741" s="25" t="str">
        <x:v>https://www.breclawlenders.com/contact</x:v>
      </x:c>
      <x:c r="AA1741" s="25" t="str">
        <x:v>[]</x:v>
      </x:c>
      <x:c r="AB1741" s="3" t="str">
        <x:v>Existing CapitalForge research, newly screened for this campaign</x:v>
      </x:c>
      <x:c r="AC1741" s="3" t="str">
        <x:v>unverified</x:v>
      </x:c>
      <x:c r="AD1741" s="3" t="str">
        <x:v>Not contacted / unconfirmed</x:v>
      </x:c>
      <x:c r="AE1741" s="3" t="str">
        <x:v>No</x:v>
      </x:c>
      <x:c r="AF1741" s="3" t="str">
        <x:v>No</x:v>
      </x:c>
      <x:c r="AG1741" s="3"/>
      <x:c r="AH1741" s="3"/>
      <x:c r="AI1741" s="18"/>
      <x:c r="AJ1741" s="3" t="str">
        <x:v>CF2500-637D66218087</x:v>
      </x:c>
      <x:c r="AK1741" s="3" t="str">
        <x:v>private_real_estate_lender</x:v>
      </x:c>
      <x:c r="AL1741" s="19" t="n">
        <x:v>100000</x:v>
      </x:c>
      <x:c r="AM1741" s="19" t="n">
        <x:v>500000</x:v>
      </x:c>
      <x:c r="AN1741" s="3" t="str">
        <x:v>https://www.privatelendersdirectory.com/united-states/chicago/top-level-category/breclaw-lenders</x:v>
      </x:c>
      <x:c r="AO1741" s="3" t="str">
        <x:v>public_directory.jsonl</x:v>
      </x:c>
      <x:c r="AP1741" s="19"/>
    </x:row>
    <x:row r="1742" ht="36" customHeight="1">
      <x:c r="A1742" s="23" t="n">
        <x:v>1741</x:v>
      </x:c>
      <x:c r="B1742" s="15" t="str">
        <x:v>BRICKELL CAPITAL FINANCE</x:v>
      </x:c>
      <x:c r="C1742" s="15"/>
      <x:c r="D1742" s="15" t="str">
        <x:v>Property lender or directory member; operating-company capital unconfirmed</x:v>
      </x:c>
      <x:c r="E1742" s="15" t="str">
        <x:v>Property lender / private-money inquiry</x:v>
      </x:c>
      <x:c r="F1742" s="17" t="str">
        <x:v>New</x:v>
      </x:c>
      <x:c r="G1742" s="24" t="str">
        <x:v>info@brickellcapitalfinance.com</x:v>
      </x:c>
      <x:c r="H1742" s="24" t="str">
        <x:v>+17864677800</x:v>
      </x:c>
      <x:c r="I1742" s="24" t="str">
        <x:v>https://brickellcapitalfinance.com/</x:v>
      </x:c>
      <x:c r="J1742" s="16" t="str">
        <x:v>FL</x:v>
      </x:c>
      <x:c r="K1742" s="16" t="str">
        <x:v>Miami</x:v>
      </x:c>
      <x:c r="L1742" s="16" t="str">
        <x:v>firm_business_routing</x:v>
      </x:c>
      <x:c r="M1742" s="16" t="str">
        <x:v>https://brickellcapitalfinance.com/</x:v>
      </x:c>
      <x:c r="N1742" s="16" t="str">
        <x:v>$100K-$500K ticket not published / unconfirmed</x:v>
      </x:c>
      <x:c r="O1742" s="20"/>
      <x:c r="P1742" s="20"/>
      <x:c r="Q1742" s="25" t="str">
        <x:v>Property-loan range, not a corporate-capital commitment</x:v>
      </x:c>
      <x:c r="R1742" s="25" t="str">
        <x:v>Private real-estate finance experience. Corporate working capital, minority equity or profit participation requires a separate agreement from a property loan.</x:v>
      </x:c>
      <x:c r="S1742" s="25"/>
      <x:c r="T1742" s="25" t="str">
        <x:v>Confirm direct principal versus broker, $100K-$500K appetite, and whether capital can fund the operating company without a property mortgage.</x:v>
      </x:c>
      <x:c r="U1742" s="25" t="str">
        <x:v>https://www.privatelendersdirectory.com/united-states/miami/top-level-category/brickell-capital-finance
https://brickellcapitalfinance.com/
https://www.hardmoneyhome.com/lenders/view/brickell-financial</x:v>
      </x:c>
      <x:c r="V1742" s="26" t="d">
        <x:v>2026-10-02T00:00:00.000Z</x:v>
      </x:c>
      <x:c r="W1742" s="26" t="d">
        <x:v>2026-09-30T00:00:00.000Z</x:v>
      </x:c>
      <x:c r="X1742" s="25" t="str">
        <x:v>Saved public company, industry-directory or regulatory source; source date retained</x:v>
      </x:c>
      <x:c r="Y1742" s="25" t="str">
        <x:v>https://brickellcapitalfinance.com/</x:v>
      </x:c>
      <x:c r="Z1742" s="25" t="str">
        <x:v>https://brickellcapitalfinance.com/</x:v>
      </x:c>
      <x:c r="AA1742" s="25" t="str">
        <x:v>[]</x:v>
      </x:c>
      <x:c r="AB1742" s="3" t="str">
        <x:v>Existing CapitalForge research, newly screened for this campaign</x:v>
      </x:c>
      <x:c r="AC1742" s="3" t="str">
        <x:v>unverified</x:v>
      </x:c>
      <x:c r="AD1742" s="3" t="str">
        <x:v>Not contacted / unconfirmed</x:v>
      </x:c>
      <x:c r="AE1742" s="3" t="str">
        <x:v>No</x:v>
      </x:c>
      <x:c r="AF1742" s="3" t="str">
        <x:v>No</x:v>
      </x:c>
      <x:c r="AG1742" s="3"/>
      <x:c r="AH1742" s="3" t="str">
        <x:v>Brickell Financial</x:v>
      </x:c>
      <x:c r="AI1742" s="18"/>
      <x:c r="AJ1742" s="3" t="str">
        <x:v>CF2500-13E9CFF4CA86</x:v>
      </x:c>
      <x:c r="AK1742" s="3" t="str">
        <x:v>private_real_estate_lender</x:v>
      </x:c>
      <x:c r="AL1742" s="19" t="n">
        <x:v>100000</x:v>
      </x:c>
      <x:c r="AM1742" s="19" t="n">
        <x:v>500000</x:v>
      </x:c>
      <x:c r="AN1742" s="3" t="str">
        <x:v>https://www.privatelendersdirectory.com/united-states/miami/top-level-category/brickell-capital-finance</x:v>
      </x:c>
      <x:c r="AO1742" s="3" t="str">
        <x:v>public_directory.jsonl</x:v>
      </x:c>
      <x:c r="AP1742" s="19"/>
    </x:row>
    <x:row r="1743" ht="36" customHeight="1">
      <x:c r="A1743" s="23" t="n">
        <x:v>1742</x:v>
      </x:c>
      <x:c r="B1743" s="15" t="str">
        <x:v>BRIDGECO FINANCIAL</x:v>
      </x:c>
      <x:c r="C1743" s="15"/>
      <x:c r="D1743" s="15" t="str">
        <x:v>Property lender or directory member; operating-company capital unconfirmed</x:v>
      </x:c>
      <x:c r="E1743" s="15" t="str">
        <x:v>Property lender / private-money inquiry</x:v>
      </x:c>
      <x:c r="F1743" s="17" t="str">
        <x:v>New</x:v>
      </x:c>
      <x:c r="G1743" s="24" t="str">
        <x:v>info@bridgecofinancial.com</x:v>
      </x:c>
      <x:c r="H1743" s="24" t="str">
        <x:v>+17136002628</x:v>
      </x:c>
      <x:c r="I1743" s="24" t="str">
        <x:v>https://bridgecofinancial.com/</x:v>
      </x:c>
      <x:c r="J1743" s="16" t="str">
        <x:v>TX</x:v>
      </x:c>
      <x:c r="K1743" s="16" t="str">
        <x:v>Houston</x:v>
      </x:c>
      <x:c r="L1743" s="16" t="str">
        <x:v>firm_business_routing</x:v>
      </x:c>
      <x:c r="M1743" s="16" t="str">
        <x:v>https://bridgecofinancial.com/</x:v>
      </x:c>
      <x:c r="N1743" s="16" t="str">
        <x:v>$100K-$500K ticket not published / unconfirmed</x:v>
      </x:c>
      <x:c r="O1743" s="20"/>
      <x:c r="P1743" s="20"/>
      <x:c r="Q1743" s="25" t="str">
        <x:v>Property-loan range, not a corporate-capital commitment</x:v>
      </x:c>
      <x:c r="R1743" s="25" t="str">
        <x:v>Private real-estate finance experience. Corporate working capital, minority equity or profit participation requires a separate agreement from a property loan.</x:v>
      </x:c>
      <x:c r="S1743" s="25"/>
      <x:c r="T1743" s="25" t="str">
        <x:v>Confirm direct principal versus broker, $100K-$500K appetite, and whether capital can fund the operating company without a property mortgage.</x:v>
      </x:c>
      <x:c r="U1743" s="25" t="str">
        <x:v>https://www.privatelendersdirectory.com/united-states/houston/top-level-category/bridgeco-financial
https://bridgecofinancial.com/</x:v>
      </x:c>
      <x:c r="V1743" s="26" t="d">
        <x:v>2026-10-02T00:00:00.000Z</x:v>
      </x:c>
      <x:c r="W1743" s="26" t="d">
        <x:v>2026-09-30T00:00:00.000Z</x:v>
      </x:c>
      <x:c r="X1743" s="25" t="str">
        <x:v>Saved public company, industry-directory or regulatory source; source date retained</x:v>
      </x:c>
      <x:c r="Y1743" s="25" t="str">
        <x:v>https://bridgecofinancial.com/</x:v>
      </x:c>
      <x:c r="Z1743" s="25" t="str">
        <x:v>https://bridgecofinancial.com/</x:v>
      </x:c>
      <x:c r="AA1743" s="25" t="str">
        <x:v>[]</x:v>
      </x:c>
      <x:c r="AB1743" s="3" t="str">
        <x:v>Existing CapitalForge research, newly screened for this campaign</x:v>
      </x:c>
      <x:c r="AC1743" s="3" t="str">
        <x:v>unverified</x:v>
      </x:c>
      <x:c r="AD1743" s="3" t="str">
        <x:v>Not contacted / unconfirmed</x:v>
      </x:c>
      <x:c r="AE1743" s="3" t="str">
        <x:v>No</x:v>
      </x:c>
      <x:c r="AF1743" s="3" t="str">
        <x:v>No</x:v>
      </x:c>
      <x:c r="AG1743" s="3"/>
      <x:c r="AH1743" s="3"/>
      <x:c r="AI1743" s="18"/>
      <x:c r="AJ1743" s="3" t="str">
        <x:v>CF2500-413008419EAA</x:v>
      </x:c>
      <x:c r="AK1743" s="3" t="str">
        <x:v>private_real_estate_lender</x:v>
      </x:c>
      <x:c r="AL1743" s="19" t="n">
        <x:v>100000</x:v>
      </x:c>
      <x:c r="AM1743" s="19" t="n">
        <x:v>500000</x:v>
      </x:c>
      <x:c r="AN1743" s="3" t="str">
        <x:v>https://www.privatelendersdirectory.com/united-states/houston/top-level-category/bridgeco-financial</x:v>
      </x:c>
      <x:c r="AO1743" s="3" t="str">
        <x:v>public_directory.jsonl</x:v>
      </x:c>
      <x:c r="AP1743" s="19"/>
    </x:row>
    <x:row r="1744" ht="36" customHeight="1">
      <x:c r="A1744" s="23" t="n">
        <x:v>1743</x:v>
      </x:c>
      <x:c r="B1744" s="15" t="str">
        <x:v>CACTUS CAPITAL</x:v>
      </x:c>
      <x:c r="C1744" s="15"/>
      <x:c r="D1744" s="15" t="str">
        <x:v>Property lender or directory member; operating-company capital unconfirmed</x:v>
      </x:c>
      <x:c r="E1744" s="15" t="str">
        <x:v>Property lender / private-money inquiry</x:v>
      </x:c>
      <x:c r="F1744" s="17" t="str">
        <x:v>New</x:v>
      </x:c>
      <x:c r="G1744" s="24" t="str">
        <x:v>mark@cactus-capital.com</x:v>
      </x:c>
      <x:c r="H1744" s="24" t="str">
        <x:v>+16029223496</x:v>
      </x:c>
      <x:c r="I1744" s="24" t="str">
        <x:v>https://www.cactus-capital.com/</x:v>
      </x:c>
      <x:c r="J1744" s="16" t="str">
        <x:v>AZ</x:v>
      </x:c>
      <x:c r="K1744" s="16" t="str">
        <x:v>Phoenix</x:v>
      </x:c>
      <x:c r="L1744" s="16" t="str">
        <x:v>firm_business_routing</x:v>
      </x:c>
      <x:c r="M1744" s="16" t="str">
        <x:v>https://www.cactus-capital.com/</x:v>
      </x:c>
      <x:c r="N1744" s="16" t="str">
        <x:v>$100K-$500K ticket not published / unconfirmed</x:v>
      </x:c>
      <x:c r="O1744" s="20"/>
      <x:c r="P1744" s="20"/>
      <x:c r="Q1744" s="25" t="str">
        <x:v>Property-loan range, not a corporate-capital commitment</x:v>
      </x:c>
      <x:c r="R1744" s="25" t="str">
        <x:v>Private real-estate finance experience. Corporate working capital, minority equity or profit participation requires a separate agreement from a property loan.</x:v>
      </x:c>
      <x:c r="S1744" s="25"/>
      <x:c r="T1744" s="25" t="str">
        <x:v>Confirm direct principal versus broker, $100K-$500K appetite, and whether capital can fund the operating company without a property mortgage.</x:v>
      </x:c>
      <x:c r="U1744" s="25" t="str">
        <x:v>https://www.privatelendersdirectory.com/united-states/phoenix/real-estate-investment-lending/cactus-capital
https://www.cactus-capital.com/</x:v>
      </x:c>
      <x:c r="V1744" s="26" t="d">
        <x:v>2026-10-02T00:00:00.000Z</x:v>
      </x:c>
      <x:c r="W1744" s="26" t="d">
        <x:v>2026-09-30T00:00:00.000Z</x:v>
      </x:c>
      <x:c r="X1744" s="25" t="str">
        <x:v>Saved public company, industry-directory or regulatory source; source date retained</x:v>
      </x:c>
      <x:c r="Y1744" s="25" t="str">
        <x:v>https://www.cactus-capital.com/</x:v>
      </x:c>
      <x:c r="Z1744" s="25" t="str">
        <x:v>https://www.cactus-capital.com/</x:v>
      </x:c>
      <x:c r="AA1744" s="25" t="str">
        <x:v>[]</x:v>
      </x:c>
      <x:c r="AB1744" s="3" t="str">
        <x:v>Existing CapitalForge research, newly screened for this campaign</x:v>
      </x:c>
      <x:c r="AC1744" s="3" t="str">
        <x:v>unverified</x:v>
      </x:c>
      <x:c r="AD1744" s="3" t="str">
        <x:v>Not contacted / unconfirmed</x:v>
      </x:c>
      <x:c r="AE1744" s="3" t="str">
        <x:v>No</x:v>
      </x:c>
      <x:c r="AF1744" s="3" t="str">
        <x:v>No</x:v>
      </x:c>
      <x:c r="AG1744" s="3"/>
      <x:c r="AH1744" s="3"/>
      <x:c r="AI1744" s="18"/>
      <x:c r="AJ1744" s="3" t="str">
        <x:v>CF2500-523F24E7305F</x:v>
      </x:c>
      <x:c r="AK1744" s="3" t="str">
        <x:v>private_real_estate_lender</x:v>
      </x:c>
      <x:c r="AL1744" s="19" t="n">
        <x:v>100000</x:v>
      </x:c>
      <x:c r="AM1744" s="19" t="n">
        <x:v>500000</x:v>
      </x:c>
      <x:c r="AN1744" s="3" t="str">
        <x:v>https://www.privatelendersdirectory.com/united-states/phoenix/real-estate-investment-lending/cactus-capital</x:v>
      </x:c>
      <x:c r="AO1744" s="3" t="str">
        <x:v>public_directory.jsonl</x:v>
      </x:c>
      <x:c r="AP1744" s="19"/>
    </x:row>
    <x:row r="1745" ht="36" customHeight="1">
      <x:c r="A1745" s="23" t="n">
        <x:v>1744</x:v>
      </x:c>
      <x:c r="B1745" s="15" t="str">
        <x:v>CAP SOURCE</x:v>
      </x:c>
      <x:c r="C1745" s="15"/>
      <x:c r="D1745" s="15" t="str">
        <x:v>Property lender or directory member; operating-company capital unconfirmed</x:v>
      </x:c>
      <x:c r="E1745" s="15" t="str">
        <x:v>Property lender / private-money inquiry</x:v>
      </x:c>
      <x:c r="F1745" s="17" t="str">
        <x:v>New</x:v>
      </x:c>
      <x:c r="G1745" s="24" t="str">
        <x:v>loans@thecapsource.com</x:v>
      </x:c>
      <x:c r="H1745" s="24" t="str">
        <x:v>+18006634122</x:v>
      </x:c>
      <x:c r="I1745" s="24" t="str">
        <x:v>https://www.thecapsource.com/</x:v>
      </x:c>
      <x:c r="J1745" s="16" t="str">
        <x:v>FL</x:v>
      </x:c>
      <x:c r="K1745" s="16" t="str">
        <x:v>Maitland</x:v>
      </x:c>
      <x:c r="L1745" s="16" t="str">
        <x:v>firm_business_routing</x:v>
      </x:c>
      <x:c r="M1745" s="16" t="str">
        <x:v>https://www.thecapsource.com/</x:v>
      </x:c>
      <x:c r="N1745" s="16" t="str">
        <x:v>$100K-$500K ticket not published / unconfirmed</x:v>
      </x:c>
      <x:c r="O1745" s="20"/>
      <x:c r="P1745" s="20"/>
      <x:c r="Q1745" s="25" t="str">
        <x:v>Property-loan range, not a corporate-capital commitment</x:v>
      </x:c>
      <x:c r="R1745" s="25" t="str">
        <x:v>Private real-estate finance experience. Corporate working capital, minority equity or profit participation requires a separate agreement from a property loan.</x:v>
      </x:c>
      <x:c r="S1745" s="25"/>
      <x:c r="T1745" s="25" t="str">
        <x:v>Confirm direct principal versus broker, $100K-$500K appetite, and whether capital can fund the operating company without a property mortgage.</x:v>
      </x:c>
      <x:c r="U1745" s="25" t="str">
        <x:v>https://www.privatelendersdirectory.com/united-states/maitland/top-level-category/cap-source
https://www.thecapsource.com/</x:v>
      </x:c>
      <x:c r="V1745" s="26" t="d">
        <x:v>2026-10-02T00:00:00.000Z</x:v>
      </x:c>
      <x:c r="W1745" s="26" t="d">
        <x:v>2026-09-30T00:00:00.000Z</x:v>
      </x:c>
      <x:c r="X1745" s="25" t="str">
        <x:v>Saved public company, industry-directory or regulatory source; source date retained</x:v>
      </x:c>
      <x:c r="Y1745" s="25" t="str">
        <x:v>https://www.thecapsource.com/</x:v>
      </x:c>
      <x:c r="Z1745" s="25" t="str">
        <x:v>https://www.thecapsource.com/</x:v>
      </x:c>
      <x:c r="AA1745" s="25" t="str">
        <x:v>[]</x:v>
      </x:c>
      <x:c r="AB1745" s="3" t="str">
        <x:v>Existing CapitalForge research, newly screened for this campaign</x:v>
      </x:c>
      <x:c r="AC1745" s="3" t="str">
        <x:v>unverified</x:v>
      </x:c>
      <x:c r="AD1745" s="3" t="str">
        <x:v>Not contacted / unconfirmed</x:v>
      </x:c>
      <x:c r="AE1745" s="3" t="str">
        <x:v>No</x:v>
      </x:c>
      <x:c r="AF1745" s="3" t="str">
        <x:v>No</x:v>
      </x:c>
      <x:c r="AG1745" s="3"/>
      <x:c r="AH1745" s="3"/>
      <x:c r="AI1745" s="18"/>
      <x:c r="AJ1745" s="3" t="str">
        <x:v>CF2500-957DA5121E9D</x:v>
      </x:c>
      <x:c r="AK1745" s="3" t="str">
        <x:v>private_real_estate_lender</x:v>
      </x:c>
      <x:c r="AL1745" s="19" t="n">
        <x:v>100000</x:v>
      </x:c>
      <x:c r="AM1745" s="19" t="n">
        <x:v>500000</x:v>
      </x:c>
      <x:c r="AN1745" s="3" t="str">
        <x:v>https://www.privatelendersdirectory.com/united-states/maitland/top-level-category/cap-source</x:v>
      </x:c>
      <x:c r="AO1745" s="3" t="str">
        <x:v>public_directory.jsonl</x:v>
      </x:c>
      <x:c r="AP1745" s="19"/>
    </x:row>
    <x:row r="1746" ht="36" customHeight="1">
      <x:c r="A1746" s="23" t="n">
        <x:v>1745</x:v>
      </x:c>
      <x:c r="B1746" s="15" t="str">
        <x:v>CAPFI LENDING</x:v>
      </x:c>
      <x:c r="C1746" s="15"/>
      <x:c r="D1746" s="15" t="str">
        <x:v>Property lender or directory member; operating-company capital unconfirmed</x:v>
      </x:c>
      <x:c r="E1746" s="15" t="str">
        <x:v>Property lender / private-money inquiry</x:v>
      </x:c>
      <x:c r="F1746" s="17" t="str">
        <x:v>New</x:v>
      </x:c>
      <x:c r="G1746" s="24" t="str">
        <x:v>info@capfilending.com</x:v>
      </x:c>
      <x:c r="H1746" s="24" t="str">
        <x:v>+15125931336</x:v>
      </x:c>
      <x:c r="I1746" s="24" t="str">
        <x:v>https://capfilending.com/</x:v>
      </x:c>
      <x:c r="J1746" s="16" t="str">
        <x:v>TX</x:v>
      </x:c>
      <x:c r="K1746" s="16" t="str">
        <x:v>Austin</x:v>
      </x:c>
      <x:c r="L1746" s="16" t="str">
        <x:v>firm_business_routing</x:v>
      </x:c>
      <x:c r="M1746" s="16" t="str">
        <x:v>https://capfilending.com/</x:v>
      </x:c>
      <x:c r="N1746" s="16" t="str">
        <x:v>$100K-$500K ticket not published / unconfirmed</x:v>
      </x:c>
      <x:c r="O1746" s="20"/>
      <x:c r="P1746" s="20"/>
      <x:c r="Q1746" s="25" t="str">
        <x:v>Property-loan range, not a corporate-capital commitment</x:v>
      </x:c>
      <x:c r="R1746" s="25" t="str">
        <x:v>Private real-estate finance experience. Corporate working capital, minority equity or profit participation requires a separate agreement from a property loan.</x:v>
      </x:c>
      <x:c r="S1746" s="25"/>
      <x:c r="T1746" s="25" t="str">
        <x:v>Confirm direct principal versus broker, $100K-$500K appetite, and whether capital can fund the operating company without a property mortgage.</x:v>
      </x:c>
      <x:c r="U1746" s="25" t="str">
        <x:v>https://www.privatelendersdirectory.com/united-states/austin/top-level-category/capfi-lending
https://capfilending.com/</x:v>
      </x:c>
      <x:c r="V1746" s="26" t="d">
        <x:v>2026-10-02T00:00:00.000Z</x:v>
      </x:c>
      <x:c r="W1746" s="26" t="d">
        <x:v>2026-09-30T00:00:00.000Z</x:v>
      </x:c>
      <x:c r="X1746" s="25" t="str">
        <x:v>Saved public company, industry-directory or regulatory source; source date retained</x:v>
      </x:c>
      <x:c r="Y1746" s="25" t="str">
        <x:v>https://capfilending.com/</x:v>
      </x:c>
      <x:c r="Z1746" s="25" t="str">
        <x:v>https://capfilending.com/</x:v>
      </x:c>
      <x:c r="AA1746" s="25" t="str">
        <x:v>[]</x:v>
      </x:c>
      <x:c r="AB1746" s="3" t="str">
        <x:v>Existing CapitalForge research, newly screened for this campaign</x:v>
      </x:c>
      <x:c r="AC1746" s="3" t="str">
        <x:v>unverified</x:v>
      </x:c>
      <x:c r="AD1746" s="3" t="str">
        <x:v>Not contacted / unconfirmed</x:v>
      </x:c>
      <x:c r="AE1746" s="3" t="str">
        <x:v>No</x:v>
      </x:c>
      <x:c r="AF1746" s="3" t="str">
        <x:v>No</x:v>
      </x:c>
      <x:c r="AG1746" s="3"/>
      <x:c r="AH1746" s="3"/>
      <x:c r="AI1746" s="18"/>
      <x:c r="AJ1746" s="3" t="str">
        <x:v>CF2500-F59F6DB7DAA4</x:v>
      </x:c>
      <x:c r="AK1746" s="3" t="str">
        <x:v>private_real_estate_lender</x:v>
      </x:c>
      <x:c r="AL1746" s="19" t="n">
        <x:v>100000</x:v>
      </x:c>
      <x:c r="AM1746" s="19" t="n">
        <x:v>500000</x:v>
      </x:c>
      <x:c r="AN1746" s="3" t="str">
        <x:v>https://www.privatelendersdirectory.com/united-states/austin/top-level-category/capfi-lending</x:v>
      </x:c>
      <x:c r="AO1746" s="3" t="str">
        <x:v>public_directory.jsonl</x:v>
      </x:c>
      <x:c r="AP1746" s="19"/>
    </x:row>
    <x:row r="1747" ht="36" customHeight="1">
      <x:c r="A1747" s="23" t="n">
        <x:v>1746</x:v>
      </x:c>
      <x:c r="B1747" s="15" t="str">
        <x:v>CAPITAL DIRECT FINANCIAL CORP</x:v>
      </x:c>
      <x:c r="C1747" s="15"/>
      <x:c r="D1747" s="15" t="str">
        <x:v>Property lender or directory member; operating-company capital unconfirmed</x:v>
      </x:c>
      <x:c r="E1747" s="15" t="str">
        <x:v>Property lender / private-money inquiry</x:v>
      </x:c>
      <x:c r="F1747" s="17" t="str">
        <x:v>New</x:v>
      </x:c>
      <x:c r="G1747" s="24" t="str">
        <x:v>info@capitaldfc.com</x:v>
      </x:c>
      <x:c r="H1747" s="24" t="str">
        <x:v>+16027403838</x:v>
      </x:c>
      <x:c r="I1747" s="24" t="str">
        <x:v>https://www.capitaldfc.com/</x:v>
      </x:c>
      <x:c r="J1747" s="16" t="str">
        <x:v>AZ</x:v>
      </x:c>
      <x:c r="K1747" s="16" t="str">
        <x:v>Chandler</x:v>
      </x:c>
      <x:c r="L1747" s="16" t="str">
        <x:v>firm_business_routing</x:v>
      </x:c>
      <x:c r="M1747" s="16" t="str">
        <x:v>https://www.capitaldfc.com/</x:v>
      </x:c>
      <x:c r="N1747" s="16" t="str">
        <x:v>$100K-$500K ticket not published / unconfirmed</x:v>
      </x:c>
      <x:c r="O1747" s="20"/>
      <x:c r="P1747" s="20"/>
      <x:c r="Q1747" s="25" t="str">
        <x:v>Property-loan range, not a corporate-capital commitment</x:v>
      </x:c>
      <x:c r="R1747" s="25" t="str">
        <x:v>Private real-estate finance experience. Corporate working capital, minority equity or profit participation requires a separate agreement from a property loan.</x:v>
      </x:c>
      <x:c r="S1747" s="25"/>
      <x:c r="T1747" s="25" t="str">
        <x:v>Confirm direct principal versus broker, $100K-$500K appetite, and whether capital can fund the operating company without a property mortgage.</x:v>
      </x:c>
      <x:c r="U1747" s="25" t="str">
        <x:v>https://www.privatelendersdirectory.com/united-states/chandler/top-level-category/capital-direct-financial-corp
https://www.capitaldfc.com/</x:v>
      </x:c>
      <x:c r="V1747" s="26" t="d">
        <x:v>2026-10-02T00:00:00.000Z</x:v>
      </x:c>
      <x:c r="W1747" s="26" t="d">
        <x:v>2026-09-30T00:00:00.000Z</x:v>
      </x:c>
      <x:c r="X1747" s="25" t="str">
        <x:v>Saved public company, industry-directory or regulatory source; source date retained</x:v>
      </x:c>
      <x:c r="Y1747" s="25" t="str">
        <x:v>https://www.capitaldfc.com/</x:v>
      </x:c>
      <x:c r="Z1747" s="25" t="str">
        <x:v>https://www.capitaldfc.com/</x:v>
      </x:c>
      <x:c r="AA1747" s="25" t="str">
        <x:v>[]</x:v>
      </x:c>
      <x:c r="AB1747" s="3" t="str">
        <x:v>Existing CapitalForge research, newly screened for this campaign</x:v>
      </x:c>
      <x:c r="AC1747" s="3" t="str">
        <x:v>unverified</x:v>
      </x:c>
      <x:c r="AD1747" s="3" t="str">
        <x:v>Not contacted / unconfirmed</x:v>
      </x:c>
      <x:c r="AE1747" s="3" t="str">
        <x:v>No</x:v>
      </x:c>
      <x:c r="AF1747" s="3" t="str">
        <x:v>No</x:v>
      </x:c>
      <x:c r="AG1747" s="3"/>
      <x:c r="AH1747" s="3"/>
      <x:c r="AI1747" s="18"/>
      <x:c r="AJ1747" s="3" t="str">
        <x:v>CF2500-7DDB087E3357</x:v>
      </x:c>
      <x:c r="AK1747" s="3" t="str">
        <x:v>private_real_estate_lender</x:v>
      </x:c>
      <x:c r="AL1747" s="19" t="n">
        <x:v>100000</x:v>
      </x:c>
      <x:c r="AM1747" s="19" t="n">
        <x:v>500000</x:v>
      </x:c>
      <x:c r="AN1747" s="3" t="str">
        <x:v>https://www.privatelendersdirectory.com/united-states/chandler/top-level-category/capital-direct-financial-corp</x:v>
      </x:c>
      <x:c r="AO1747" s="3" t="str">
        <x:v>public_directory.jsonl</x:v>
      </x:c>
      <x:c r="AP1747" s="19"/>
    </x:row>
    <x:row r="1748" ht="36" customHeight="1">
      <x:c r="A1748" s="23" t="n">
        <x:v>1747</x:v>
      </x:c>
      <x:c r="B1748" s="15" t="str">
        <x:v>Capital Fundings</x:v>
      </x:c>
      <x:c r="C1748" s="15"/>
      <x:c r="D1748" s="15" t="str">
        <x:v>Property lender or directory member; operating-company capital unconfirmed</x:v>
      </x:c>
      <x:c r="E1748" s="15" t="str">
        <x:v>Property lender / private-money inquiry</x:v>
      </x:c>
      <x:c r="F1748" s="17" t="str">
        <x:v>New</x:v>
      </x:c>
      <x:c r="G1748" s="24" t="str">
        <x:v>info@capfund.com</x:v>
      </x:c>
      <x:c r="H1748" s="24" t="str">
        <x:v>+14072030300</x:v>
      </x:c>
      <x:c r="I1748" s="24" t="str">
        <x:v>https://www.capfundings.com/</x:v>
      </x:c>
      <x:c r="J1748" s="16" t="str">
        <x:v>FL</x:v>
      </x:c>
      <x:c r="K1748" s="16" t="str">
        <x:v>Orlando</x:v>
      </x:c>
      <x:c r="L1748" s="16" t="str">
        <x:v>firm_business_routing</x:v>
      </x:c>
      <x:c r="M1748" s="16" t="str">
        <x:v>https://www.capfundings.com/</x:v>
      </x:c>
      <x:c r="N1748" s="16" t="str">
        <x:v>$100K-$500K ticket not published / unconfirmed</x:v>
      </x:c>
      <x:c r="O1748" s="20"/>
      <x:c r="P1748" s="20"/>
      <x:c r="Q1748" s="25" t="str">
        <x:v>Property-loan range, not a corporate-capital commitment</x:v>
      </x:c>
      <x:c r="R1748" s="25" t="str">
        <x:v>Private real-estate finance experience. Corporate working capital, minority equity or profit participation requires a separate agreement from a property loan.</x:v>
      </x:c>
      <x:c r="S1748" s="25"/>
      <x:c r="T1748" s="25" t="str">
        <x:v>Confirm direct principal versus broker, $100K-$500K appetite, and whether capital can fund the operating company without a property mortgage.</x:v>
      </x:c>
      <x:c r="U1748" s="25" t="str">
        <x:v>https://www.hardmoneyhome.com/lenders/view/capital-fundings
https://privatelenderlink.com/profile/capital-fundings-llc/
https://capfund.com/?utm_source=private-lender-link</x:v>
      </x:c>
      <x:c r="V1748" s="26" t="d">
        <x:v>2026-10-02T00:00:00.000Z</x:v>
      </x:c>
      <x:c r="W1748" s="26" t="d">
        <x:v>2026-09-30T00:00:00.000Z</x:v>
      </x:c>
      <x:c r="X1748" s="25" t="str">
        <x:v>Saved public company, industry-directory or regulatory source; source date retained</x:v>
      </x:c>
      <x:c r="Y1748" s="25" t="str">
        <x:v>https://capfund.com/?utm_source=private-lender-link</x:v>
      </x:c>
      <x:c r="Z1748" s="25" t="str">
        <x:v>https://www.hardmoneyhome.com/lenders/view/capital-fundings</x:v>
      </x:c>
      <x:c r="AA1748" s="25" t="str">
        <x:v>[]</x:v>
      </x:c>
      <x:c r="AB1748" s="3" t="str">
        <x:v>Existing CapitalForge research, newly screened for this campaign</x:v>
      </x:c>
      <x:c r="AC1748" s="3" t="str">
        <x:v>unverified</x:v>
      </x:c>
      <x:c r="AD1748" s="3" t="str">
        <x:v>Not contacted / unconfirmed</x:v>
      </x:c>
      <x:c r="AE1748" s="3" t="str">
        <x:v>No</x:v>
      </x:c>
      <x:c r="AF1748" s="3" t="str">
        <x:v>No</x:v>
      </x:c>
      <x:c r="AG1748" s="3"/>
      <x:c r="AH1748" s="3"/>
      <x:c r="AI1748" s="18"/>
      <x:c r="AJ1748" s="3" t="str">
        <x:v>CF2500-1D9CF7787CF6</x:v>
      </x:c>
      <x:c r="AK1748" s="3" t="str">
        <x:v>private_real_estate_lender</x:v>
      </x:c>
      <x:c r="AL1748" s="19" t="n">
        <x:v>100000</x:v>
      </x:c>
      <x:c r="AM1748" s="19" t="n">
        <x:v>500000</x:v>
      </x:c>
      <x:c r="AN1748" s="3" t="str">
        <x:v>https://www.hardmoneyhome.com/lenders/view/capital-fundings</x:v>
      </x:c>
      <x:c r="AO1748" s="3" t="str">
        <x:v>public_directory.jsonl</x:v>
      </x:c>
      <x:c r="AP1748" s="19"/>
    </x:row>
    <x:row r="1749" ht="36" customHeight="1">
      <x:c r="A1749" s="23" t="n">
        <x:v>1748</x:v>
      </x:c>
      <x:c r="B1749" s="15" t="str">
        <x:v>CAPITAL INFUSION</x:v>
      </x:c>
      <x:c r="C1749" s="15"/>
      <x:c r="D1749" s="15" t="str">
        <x:v>Property lender or directory member; operating-company capital unconfirmed</x:v>
      </x:c>
      <x:c r="E1749" s="15" t="str">
        <x:v>Property lender / private-money inquiry</x:v>
      </x:c>
      <x:c r="F1749" s="17" t="str">
        <x:v>New</x:v>
      </x:c>
      <x:c r="G1749" s="24" t="str">
        <x:v>newdeals@capital-infusion.com</x:v>
      </x:c>
      <x:c r="H1749" s="24" t="str">
        <x:v>+18772620011</x:v>
      </x:c>
      <x:c r="I1749" s="24" t="str">
        <x:v>https://www.capital-infusion.com/</x:v>
      </x:c>
      <x:c r="J1749" s="16" t="str">
        <x:v>FL</x:v>
      </x:c>
      <x:c r="K1749" s="16" t="str">
        <x:v>Miami</x:v>
      </x:c>
      <x:c r="L1749" s="16" t="str">
        <x:v>firm_business_routing</x:v>
      </x:c>
      <x:c r="M1749" s="16" t="str">
        <x:v>https://www.capital-infusion.com/</x:v>
      </x:c>
      <x:c r="N1749" s="16" t="str">
        <x:v>$100K-$500K ticket not published / unconfirmed</x:v>
      </x:c>
      <x:c r="O1749" s="20"/>
      <x:c r="P1749" s="20"/>
      <x:c r="Q1749" s="25" t="str">
        <x:v>Property-loan range, not a corporate-capital commitment</x:v>
      </x:c>
      <x:c r="R1749" s="25" t="str">
        <x:v>Private real-estate finance experience. Corporate working capital, minority equity or profit participation requires a separate agreement from a property loan.</x:v>
      </x:c>
      <x:c r="S1749" s="25"/>
      <x:c r="T1749" s="25" t="str">
        <x:v>Confirm direct principal versus broker, $100K-$500K appetite, and whether capital can fund the operating company without a property mortgage.</x:v>
      </x:c>
      <x:c r="U1749" s="25" t="str">
        <x:v>https://www.privatelendersdirectory.com/united-states/miami/top-level-category/capital-infusion
https://www.capital-infusion.com/</x:v>
      </x:c>
      <x:c r="V1749" s="26" t="d">
        <x:v>2026-10-02T00:00:00.000Z</x:v>
      </x:c>
      <x:c r="W1749" s="26" t="d">
        <x:v>2026-09-30T00:00:00.000Z</x:v>
      </x:c>
      <x:c r="X1749" s="25" t="str">
        <x:v>Saved public company, industry-directory or regulatory source; source date retained</x:v>
      </x:c>
      <x:c r="Y1749" s="25" t="str">
        <x:v>https://www.capital-infusion.com/</x:v>
      </x:c>
      <x:c r="Z1749" s="25" t="str">
        <x:v>https://www.capital-infusion.com/</x:v>
      </x:c>
      <x:c r="AA1749" s="25" t="str">
        <x:v>[]</x:v>
      </x:c>
      <x:c r="AB1749" s="3" t="str">
        <x:v>Existing CapitalForge research, newly screened for this campaign</x:v>
      </x:c>
      <x:c r="AC1749" s="3" t="str">
        <x:v>unverified</x:v>
      </x:c>
      <x:c r="AD1749" s="3" t="str">
        <x:v>Not contacted / unconfirmed</x:v>
      </x:c>
      <x:c r="AE1749" s="3" t="str">
        <x:v>No</x:v>
      </x:c>
      <x:c r="AF1749" s="3" t="str">
        <x:v>No</x:v>
      </x:c>
      <x:c r="AG1749" s="3"/>
      <x:c r="AH1749" s="3"/>
      <x:c r="AI1749" s="18"/>
      <x:c r="AJ1749" s="3" t="str">
        <x:v>CF2500-901E5DCCA1A2</x:v>
      </x:c>
      <x:c r="AK1749" s="3" t="str">
        <x:v>private_real_estate_lender</x:v>
      </x:c>
      <x:c r="AL1749" s="19" t="n">
        <x:v>100000</x:v>
      </x:c>
      <x:c r="AM1749" s="19" t="n">
        <x:v>500000</x:v>
      </x:c>
      <x:c r="AN1749" s="3" t="str">
        <x:v>https://www.privatelendersdirectory.com/united-states/miami/top-level-category/capital-infusion</x:v>
      </x:c>
      <x:c r="AO1749" s="3" t="str">
        <x:v>public_directory.jsonl</x:v>
      </x:c>
      <x:c r="AP1749" s="19"/>
    </x:row>
    <x:row r="1750" ht="36" customHeight="1">
      <x:c r="A1750" s="23" t="n">
        <x:v>1749</x:v>
      </x:c>
      <x:c r="B1750" s="15" t="str">
        <x:v>Capital Insiders</x:v>
      </x:c>
      <x:c r="C1750" s="15"/>
      <x:c r="D1750" s="15" t="str">
        <x:v>Property lender or directory member; operating-company capital unconfirmed</x:v>
      </x:c>
      <x:c r="E1750" s="15" t="str">
        <x:v>Property lender / private-money inquiry</x:v>
      </x:c>
      <x:c r="F1750" s="17" t="str">
        <x:v>New</x:v>
      </x:c>
      <x:c r="G1750" s="24" t="str">
        <x:v>info@capitalinsiders.financial</x:v>
      </x:c>
      <x:c r="H1750" s="24" t="str">
        <x:v>+19569281111</x:v>
      </x:c>
      <x:c r="I1750" s="24" t="str">
        <x:v>https://www.capitalinsiders.financial/?utm_source=private-lender-link</x:v>
      </x:c>
      <x:c r="J1750" s="16" t="str">
        <x:v>TX</x:v>
      </x:c>
      <x:c r="K1750" s="16" t="str">
        <x:v>McAllen</x:v>
      </x:c>
      <x:c r="L1750" s="16" t="str">
        <x:v>firm_business_routing</x:v>
      </x:c>
      <x:c r="M1750" s="16" t="str">
        <x:v>https://www.capitalinsiders.financial/?utm_source=private-lender-link</x:v>
      </x:c>
      <x:c r="N1750" s="16" t="str">
        <x:v>$100K-$500K ticket not published / unconfirmed</x:v>
      </x:c>
      <x:c r="O1750" s="20"/>
      <x:c r="P1750" s="20"/>
      <x:c r="Q1750" s="25" t="str">
        <x:v>Property-loan range, not a corporate-capital commitment</x:v>
      </x:c>
      <x:c r="R1750" s="25" t="str">
        <x:v>Private real-estate finance experience. Corporate working capital, minority equity or profit participation requires a separate agreement from a property loan.</x:v>
      </x:c>
      <x:c r="S1750" s="25"/>
      <x:c r="T1750" s="25" t="str">
        <x:v>Confirm direct principal versus broker, $100K-$500K appetite, and whether capital can fund the operating company without a property mortgage.</x:v>
      </x:c>
      <x:c r="U1750" s="25" t="str">
        <x:v>https://privatelenderlink.com/profile/capital-insiders/
http://www.capitalinsiders.financial/?utm_source=private-lender-link</x:v>
      </x:c>
      <x:c r="V1750" s="26" t="d">
        <x:v>2026-10-02T00:00:00.000Z</x:v>
      </x:c>
      <x:c r="W1750" s="26" t="d">
        <x:v>2026-09-30T00:00:00.000Z</x:v>
      </x:c>
      <x:c r="X1750" s="25" t="str">
        <x:v>Saved public company, industry-directory or regulatory source; source date retained</x:v>
      </x:c>
      <x:c r="Y1750" s="25" t="str">
        <x:v>https://privatelenderlink.com/profile/capital-insiders/</x:v>
      </x:c>
      <x:c r="Z1750" s="25" t="str">
        <x:v>http://www.capitalinsiders.financial/?utm_source=private-lender-link</x:v>
      </x:c>
      <x:c r="AA1750" s="25" t="str">
        <x:v>[]</x:v>
      </x:c>
      <x:c r="AB1750" s="3" t="str">
        <x:v>Existing CapitalForge research, newly screened for this campaign</x:v>
      </x:c>
      <x:c r="AC1750" s="3" t="str">
        <x:v>unverified</x:v>
      </x:c>
      <x:c r="AD1750" s="3" t="str">
        <x:v>Not contacted / unconfirmed</x:v>
      </x:c>
      <x:c r="AE1750" s="3" t="str">
        <x:v>No</x:v>
      </x:c>
      <x:c r="AF1750" s="3" t="str">
        <x:v>No</x:v>
      </x:c>
      <x:c r="AG1750" s="3"/>
      <x:c r="AH1750" s="3"/>
      <x:c r="AI1750" s="18"/>
      <x:c r="AJ1750" s="3" t="str">
        <x:v>CF2500-7AF46DCC3791</x:v>
      </x:c>
      <x:c r="AK1750" s="3" t="str">
        <x:v>private_real_estate_lender</x:v>
      </x:c>
      <x:c r="AL1750" s="19" t="n">
        <x:v>100000</x:v>
      </x:c>
      <x:c r="AM1750" s="19" t="n">
        <x:v>500000</x:v>
      </x:c>
      <x:c r="AN1750" s="3" t="str">
        <x:v>https://privatelenderlink.com/profile/capital-insiders/</x:v>
      </x:c>
      <x:c r="AO1750" s="3" t="str">
        <x:v>public_directory.jsonl</x:v>
      </x:c>
      <x:c r="AP1750" s="19"/>
    </x:row>
    <x:row r="1751" ht="36" customHeight="1">
      <x:c r="A1751" s="23" t="n">
        <x:v>1750</x:v>
      </x:c>
      <x:c r="B1751" s="15" t="str">
        <x:v>CAPITAL PARTNERS MORTGAGE</x:v>
      </x:c>
      <x:c r="C1751" s="15"/>
      <x:c r="D1751" s="15" t="str">
        <x:v>Property lender or directory member; operating-company capital unconfirmed</x:v>
      </x:c>
      <x:c r="E1751" s="15" t="str">
        <x:v>Property lender / private-money inquiry</x:v>
      </x:c>
      <x:c r="F1751" s="17" t="str">
        <x:v>New</x:v>
      </x:c>
      <x:c r="G1751" s="24" t="str">
        <x:v>cgarcia@cp-mtg.com</x:v>
      </x:c>
      <x:c r="H1751" s="24" t="str">
        <x:v>+19542712024</x:v>
      </x:c>
      <x:c r="I1751" s="24" t="str">
        <x:v>https://www.cp-mtg.com/</x:v>
      </x:c>
      <x:c r="J1751" s="16" t="str">
        <x:v>FL</x:v>
      </x:c>
      <x:c r="K1751" s="16" t="str">
        <x:v>Miami</x:v>
      </x:c>
      <x:c r="L1751" s="16" t="str">
        <x:v>firm_business_routing</x:v>
      </x:c>
      <x:c r="M1751" s="16" t="str">
        <x:v>https://www.cp-mtg.com/</x:v>
      </x:c>
      <x:c r="N1751" s="16" t="str">
        <x:v>$100K-$500K ticket not published / unconfirmed</x:v>
      </x:c>
      <x:c r="O1751" s="20"/>
      <x:c r="P1751" s="20"/>
      <x:c r="Q1751" s="25" t="str">
        <x:v>Property-loan range, not a corporate-capital commitment</x:v>
      </x:c>
      <x:c r="R1751" s="25" t="str">
        <x:v>Private real-estate finance experience. Corporate working capital, minority equity or profit participation requires a separate agreement from a property loan.</x:v>
      </x:c>
      <x:c r="S1751" s="25"/>
      <x:c r="T1751" s="25" t="str">
        <x:v>Confirm direct principal versus broker, $100K-$500K appetite, and whether capital can fund the operating company without a property mortgage.</x:v>
      </x:c>
      <x:c r="U1751" s="25" t="str">
        <x:v>https://www.privatelendersdirectory.com/united-states/miami/top-level-category/capital-partners-mortgage
https://www.cp-mtg.com/</x:v>
      </x:c>
      <x:c r="V1751" s="26" t="d">
        <x:v>2026-10-02T00:00:00.000Z</x:v>
      </x:c>
      <x:c r="W1751" s="26" t="d">
        <x:v>2026-09-30T00:00:00.000Z</x:v>
      </x:c>
      <x:c r="X1751" s="25" t="str">
        <x:v>Saved public company, industry-directory or regulatory source; source date retained</x:v>
      </x:c>
      <x:c r="Y1751" s="25" t="str">
        <x:v>https://www.cp-mtg.com/</x:v>
      </x:c>
      <x:c r="Z1751" s="25" t="str">
        <x:v>https://www.cp-mtg.com/</x:v>
      </x:c>
      <x:c r="AA1751" s="25" t="str">
        <x:v>[]</x:v>
      </x:c>
      <x:c r="AB1751" s="3" t="str">
        <x:v>Existing CapitalForge research, newly screened for this campaign</x:v>
      </x:c>
      <x:c r="AC1751" s="3" t="str">
        <x:v>unverified</x:v>
      </x:c>
      <x:c r="AD1751" s="3" t="str">
        <x:v>Not contacted / unconfirmed</x:v>
      </x:c>
      <x:c r="AE1751" s="3" t="str">
        <x:v>No</x:v>
      </x:c>
      <x:c r="AF1751" s="3" t="str">
        <x:v>No</x:v>
      </x:c>
      <x:c r="AG1751" s="3"/>
      <x:c r="AH1751" s="3"/>
      <x:c r="AI1751" s="18"/>
      <x:c r="AJ1751" s="3" t="str">
        <x:v>CF2500-59DE7A4A0054</x:v>
      </x:c>
      <x:c r="AK1751" s="3" t="str">
        <x:v>private_real_estate_lender</x:v>
      </x:c>
      <x:c r="AL1751" s="19" t="n">
        <x:v>100000</x:v>
      </x:c>
      <x:c r="AM1751" s="19" t="n">
        <x:v>500000</x:v>
      </x:c>
      <x:c r="AN1751" s="3" t="str">
        <x:v>https://www.privatelendersdirectory.com/united-states/miami/top-level-category/capital-partners-mortgage</x:v>
      </x:c>
      <x:c r="AO1751" s="3" t="str">
        <x:v>public_directory.jsonl</x:v>
      </x:c>
      <x:c r="AP1751" s="19"/>
    </x:row>
    <x:row r="1752" ht="36" customHeight="1">
      <x:c r="A1752" s="23" t="n">
        <x:v>1751</x:v>
      </x:c>
      <x:c r="B1752" s="15" t="str">
        <x:v>CAPITAL PARTNERS TEXAS</x:v>
      </x:c>
      <x:c r="C1752" s="15"/>
      <x:c r="D1752" s="15" t="str">
        <x:v>Property lender or directory member; operating-company capital unconfirmed</x:v>
      </x:c>
      <x:c r="E1752" s="15" t="str">
        <x:v>Property lender / private-money inquiry</x:v>
      </x:c>
      <x:c r="F1752" s="17" t="str">
        <x:v>New</x:v>
      </x:c>
      <x:c r="G1752" s="24" t="str">
        <x:v>support@capitalpartnerstx.com</x:v>
      </x:c>
      <x:c r="H1752" s="24" t="str">
        <x:v>+18325831009</x:v>
      </x:c>
      <x:c r="I1752" s="24" t="str">
        <x:v>https://capitalpartnerstx.com/</x:v>
      </x:c>
      <x:c r="J1752" s="16" t="str">
        <x:v>TX</x:v>
      </x:c>
      <x:c r="K1752" s="16" t="str">
        <x:v>Houston</x:v>
      </x:c>
      <x:c r="L1752" s="16" t="str">
        <x:v>firm_business_routing</x:v>
      </x:c>
      <x:c r="M1752" s="16" t="str">
        <x:v>https://capitalpartnerstx.com/</x:v>
      </x:c>
      <x:c r="N1752" s="16" t="str">
        <x:v>$100K-$500K ticket not published / unconfirmed</x:v>
      </x:c>
      <x:c r="O1752" s="20"/>
      <x:c r="P1752" s="20"/>
      <x:c r="Q1752" s="25" t="str">
        <x:v>Property-loan range, not a corporate-capital commitment</x:v>
      </x:c>
      <x:c r="R1752" s="25" t="str">
        <x:v>Private real-estate finance experience. Corporate working capital, minority equity or profit participation requires a separate agreement from a property loan.</x:v>
      </x:c>
      <x:c r="S1752" s="25"/>
      <x:c r="T1752" s="25" t="str">
        <x:v>Confirm direct principal versus broker, $100K-$500K appetite, and whether capital can fund the operating company without a property mortgage.</x:v>
      </x:c>
      <x:c r="U1752" s="25" t="str">
        <x:v>https://www.privatelendersdirectory.com/united-states/houston/top-level-category/capital-partners-texas
https://capitalpartnerstx.com/</x:v>
      </x:c>
      <x:c r="V1752" s="26" t="d">
        <x:v>2026-10-02T00:00:00.000Z</x:v>
      </x:c>
      <x:c r="W1752" s="26" t="d">
        <x:v>2026-09-30T00:00:00.000Z</x:v>
      </x:c>
      <x:c r="X1752" s="25" t="str">
        <x:v>Saved public company, industry-directory or regulatory source; source date retained</x:v>
      </x:c>
      <x:c r="Y1752" s="25" t="str">
        <x:v>https://capitalpartnerstx.com/</x:v>
      </x:c>
      <x:c r="Z1752" s="25" t="str">
        <x:v>https://capitalpartnerstx.com/</x:v>
      </x:c>
      <x:c r="AA1752" s="25" t="str">
        <x:v>[]</x:v>
      </x:c>
      <x:c r="AB1752" s="3" t="str">
        <x:v>Existing CapitalForge research, newly screened for this campaign</x:v>
      </x:c>
      <x:c r="AC1752" s="3" t="str">
        <x:v>unverified</x:v>
      </x:c>
      <x:c r="AD1752" s="3" t="str">
        <x:v>Not contacted / unconfirmed</x:v>
      </x:c>
      <x:c r="AE1752" s="3" t="str">
        <x:v>No</x:v>
      </x:c>
      <x:c r="AF1752" s="3" t="str">
        <x:v>No</x:v>
      </x:c>
      <x:c r="AG1752" s="3"/>
      <x:c r="AH1752" s="3"/>
      <x:c r="AI1752" s="18"/>
      <x:c r="AJ1752" s="3" t="str">
        <x:v>CF2500-8231F858001A</x:v>
      </x:c>
      <x:c r="AK1752" s="3" t="str">
        <x:v>private_real_estate_lender</x:v>
      </x:c>
      <x:c r="AL1752" s="19" t="n">
        <x:v>100000</x:v>
      </x:c>
      <x:c r="AM1752" s="19" t="n">
        <x:v>500000</x:v>
      </x:c>
      <x:c r="AN1752" s="3" t="str">
        <x:v>https://www.privatelendersdirectory.com/united-states/houston/top-level-category/capital-partners-texas</x:v>
      </x:c>
      <x:c r="AO1752" s="3" t="str">
        <x:v>public_directory.jsonl</x:v>
      </x:c>
      <x:c r="AP1752" s="19"/>
    </x:row>
    <x:row r="1753" ht="36" customHeight="1">
      <x:c r="A1753" s="23" t="n">
        <x:v>1752</x:v>
      </x:c>
      <x:c r="B1753" s="15" t="str">
        <x:v>CAPITAL PRIME LENDING</x:v>
      </x:c>
      <x:c r="C1753" s="15"/>
      <x:c r="D1753" s="15" t="str">
        <x:v>Property lender or directory member; operating-company capital unconfirmed</x:v>
      </x:c>
      <x:c r="E1753" s="15" t="str">
        <x:v>Property lender / private-money inquiry</x:v>
      </x:c>
      <x:c r="F1753" s="17" t="str">
        <x:v>New</x:v>
      </x:c>
      <x:c r="G1753" s="24" t="str">
        <x:v>info@capitalprimelending.com</x:v>
      </x:c>
      <x:c r="H1753" s="24" t="str">
        <x:v>+13056920660</x:v>
      </x:c>
      <x:c r="I1753" s="24" t="str">
        <x:v>https://capitalprimelending.com/</x:v>
      </x:c>
      <x:c r="J1753" s="16" t="str">
        <x:v>FL</x:v>
      </x:c>
      <x:c r="K1753" s="16" t="str">
        <x:v>Miami</x:v>
      </x:c>
      <x:c r="L1753" s="16" t="str">
        <x:v>firm_business_routing</x:v>
      </x:c>
      <x:c r="M1753" s="16" t="str">
        <x:v>https://capitalprimelending.com/</x:v>
      </x:c>
      <x:c r="N1753" s="16" t="str">
        <x:v>$100K-$500K ticket not published / unconfirmed</x:v>
      </x:c>
      <x:c r="O1753" s="20"/>
      <x:c r="P1753" s="20"/>
      <x:c r="Q1753" s="25" t="str">
        <x:v>Property-loan range, not a corporate-capital commitment</x:v>
      </x:c>
      <x:c r="R1753" s="25" t="str">
        <x:v>Private real-estate finance experience. Corporate working capital, minority equity or profit participation requires a separate agreement from a property loan.</x:v>
      </x:c>
      <x:c r="S1753" s="25"/>
      <x:c r="T1753" s="25" t="str">
        <x:v>Confirm direct principal versus broker, $100K-$500K appetite, and whether capital can fund the operating company without a property mortgage.</x:v>
      </x:c>
      <x:c r="U1753" s="25" t="str">
        <x:v>https://www.privatelendersdirectory.com/united-states/miami/real-estate-investment-lending/capital-prime-lending
https://capitalprimelending.com/</x:v>
      </x:c>
      <x:c r="V1753" s="26" t="d">
        <x:v>2026-10-02T00:00:00.000Z</x:v>
      </x:c>
      <x:c r="W1753" s="26" t="d">
        <x:v>2026-09-30T00:00:00.000Z</x:v>
      </x:c>
      <x:c r="X1753" s="25" t="str">
        <x:v>Saved public company, industry-directory or regulatory source; source date retained</x:v>
      </x:c>
      <x:c r="Y1753" s="25" t="str">
        <x:v>https://capitalprimelending.com/</x:v>
      </x:c>
      <x:c r="Z1753" s="25" t="str">
        <x:v>https://capitalprimelending.com/</x:v>
      </x:c>
      <x:c r="AA1753" s="25" t="str">
        <x:v>[]</x:v>
      </x:c>
      <x:c r="AB1753" s="3" t="str">
        <x:v>Existing CapitalForge research, newly screened for this campaign</x:v>
      </x:c>
      <x:c r="AC1753" s="3" t="str">
        <x:v>unverified</x:v>
      </x:c>
      <x:c r="AD1753" s="3" t="str">
        <x:v>Not contacted / unconfirmed</x:v>
      </x:c>
      <x:c r="AE1753" s="3" t="str">
        <x:v>No</x:v>
      </x:c>
      <x:c r="AF1753" s="3" t="str">
        <x:v>No</x:v>
      </x:c>
      <x:c r="AG1753" s="3"/>
      <x:c r="AH1753" s="3"/>
      <x:c r="AI1753" s="18"/>
      <x:c r="AJ1753" s="3" t="str">
        <x:v>CF2500-491A13FAAEB6</x:v>
      </x:c>
      <x:c r="AK1753" s="3" t="str">
        <x:v>private_real_estate_lender</x:v>
      </x:c>
      <x:c r="AL1753" s="19" t="n">
        <x:v>100000</x:v>
      </x:c>
      <x:c r="AM1753" s="19" t="n">
        <x:v>500000</x:v>
      </x:c>
      <x:c r="AN1753" s="3" t="str">
        <x:v>https://www.privatelendersdirectory.com/united-states/miami/real-estate-investment-lending/capital-prime-lending</x:v>
      </x:c>
      <x:c r="AO1753" s="3" t="str">
        <x:v>public_directory.jsonl</x:v>
      </x:c>
      <x:c r="AP1753" s="19"/>
    </x:row>
    <x:row r="1754" ht="36" customHeight="1">
      <x:c r="A1754" s="23" t="n">
        <x:v>1753</x:v>
      </x:c>
      <x:c r="B1754" s="15" t="str">
        <x:v>CAPITAL SOURCE GROUP</x:v>
      </x:c>
      <x:c r="C1754" s="15"/>
      <x:c r="D1754" s="15" t="str">
        <x:v>Property lender or directory member; operating-company capital unconfirmed</x:v>
      </x:c>
      <x:c r="E1754" s="15" t="str">
        <x:v>Property lender / private-money inquiry</x:v>
      </x:c>
      <x:c r="F1754" s="17" t="str">
        <x:v>New</x:v>
      </x:c>
      <x:c r="G1754" s="24" t="str">
        <x:v>info@capitalsourcegroup.com</x:v>
      </x:c>
      <x:c r="H1754" s="24" t="str">
        <x:v>+18884433766</x:v>
      </x:c>
      <x:c r="I1754" s="24" t="str">
        <x:v>https://capitalsourcegroup.com/</x:v>
      </x:c>
      <x:c r="J1754" s="16" t="str">
        <x:v>IL</x:v>
      </x:c>
      <x:c r="K1754" s="16" t="str">
        <x:v>Chicago</x:v>
      </x:c>
      <x:c r="L1754" s="16" t="str">
        <x:v>firm_business_routing</x:v>
      </x:c>
      <x:c r="M1754" s="16" t="str">
        <x:v>https://capitalsourcegroup.com/</x:v>
      </x:c>
      <x:c r="N1754" s="16" t="str">
        <x:v>$100K-$500K ticket not published / unconfirmed</x:v>
      </x:c>
      <x:c r="O1754" s="20"/>
      <x:c r="P1754" s="20"/>
      <x:c r="Q1754" s="25" t="str">
        <x:v>Property-loan range, not a corporate-capital commitment</x:v>
      </x:c>
      <x:c r="R1754" s="25" t="str">
        <x:v>Private real-estate finance experience. Corporate working capital, minority equity or profit participation requires a separate agreement from a property loan.</x:v>
      </x:c>
      <x:c r="S1754" s="25"/>
      <x:c r="T1754" s="25" t="str">
        <x:v>Confirm direct principal versus broker, $100K-$500K appetite, and whether capital can fund the operating company without a property mortgage.</x:v>
      </x:c>
      <x:c r="U1754" s="25" t="str">
        <x:v>https://www.privatelendersdirectory.com/united-states/chicago/top-level-category/capital-source-group
https://capitalsourcegroup.com/</x:v>
      </x:c>
      <x:c r="V1754" s="26" t="d">
        <x:v>2026-10-02T00:00:00.000Z</x:v>
      </x:c>
      <x:c r="W1754" s="26" t="d">
        <x:v>2026-09-30T00:00:00.000Z</x:v>
      </x:c>
      <x:c r="X1754" s="25" t="str">
        <x:v>Saved public company, industry-directory or regulatory source; source date retained</x:v>
      </x:c>
      <x:c r="Y1754" s="25" t="str">
        <x:v>https://capitalsourcegroup.com/</x:v>
      </x:c>
      <x:c r="Z1754" s="25" t="str">
        <x:v>https://capitalsourcegroup.com/</x:v>
      </x:c>
      <x:c r="AA1754" s="25" t="str">
        <x:v>[]</x:v>
      </x:c>
      <x:c r="AB1754" s="3" t="str">
        <x:v>Existing CapitalForge research, newly screened for this campaign</x:v>
      </x:c>
      <x:c r="AC1754" s="3" t="str">
        <x:v>unverified</x:v>
      </x:c>
      <x:c r="AD1754" s="3" t="str">
        <x:v>Not contacted / unconfirmed</x:v>
      </x:c>
      <x:c r="AE1754" s="3" t="str">
        <x:v>No</x:v>
      </x:c>
      <x:c r="AF1754" s="3" t="str">
        <x:v>No</x:v>
      </x:c>
      <x:c r="AG1754" s="3"/>
      <x:c r="AH1754" s="3"/>
      <x:c r="AI1754" s="18"/>
      <x:c r="AJ1754" s="3" t="str">
        <x:v>CF2500-0E5B85E46A02</x:v>
      </x:c>
      <x:c r="AK1754" s="3" t="str">
        <x:v>private_real_estate_lender</x:v>
      </x:c>
      <x:c r="AL1754" s="19" t="n">
        <x:v>100000</x:v>
      </x:c>
      <x:c r="AM1754" s="19" t="n">
        <x:v>500000</x:v>
      </x:c>
      <x:c r="AN1754" s="3" t="str">
        <x:v>https://www.privatelendersdirectory.com/united-states/chicago/top-level-category/capital-source-group</x:v>
      </x:c>
      <x:c r="AO1754" s="3" t="str">
        <x:v>public_directory.jsonl</x:v>
      </x:c>
      <x:c r="AP1754" s="19"/>
    </x:row>
    <x:row r="1755" ht="36" customHeight="1">
      <x:c r="A1755" s="23" t="n">
        <x:v>1754</x:v>
      </x:c>
      <x:c r="B1755" s="15" t="str">
        <x:v>CARDONE CAPITAL</x:v>
      </x:c>
      <x:c r="C1755" s="15"/>
      <x:c r="D1755" s="15" t="str">
        <x:v>Property lender or directory member; operating-company capital unconfirmed</x:v>
      </x:c>
      <x:c r="E1755" s="15" t="str">
        <x:v>Property lender / private-money inquiry</x:v>
      </x:c>
      <x:c r="F1755" s="17" t="str">
        <x:v>New</x:v>
      </x:c>
      <x:c r="G1755" s="24" t="str">
        <x:v>invest@cardonecapital.com</x:v>
      </x:c>
      <x:c r="H1755" s="24" t="str">
        <x:v>+13054070276</x:v>
      </x:c>
      <x:c r="I1755" s="24" t="str">
        <x:v>https://cardonecapital.com/</x:v>
      </x:c>
      <x:c r="J1755" s="16" t="str">
        <x:v>AZ</x:v>
      </x:c>
      <x:c r="K1755" s="16" t="str">
        <x:v>Scottsdale</x:v>
      </x:c>
      <x:c r="L1755" s="16" t="str">
        <x:v>firm_business_routing</x:v>
      </x:c>
      <x:c r="M1755" s="16" t="str">
        <x:v>https://cardonecapital.com/</x:v>
      </x:c>
      <x:c r="N1755" s="16" t="str">
        <x:v>$100K-$500K ticket not published / unconfirmed</x:v>
      </x:c>
      <x:c r="O1755" s="20"/>
      <x:c r="P1755" s="20"/>
      <x:c r="Q1755" s="25" t="str">
        <x:v>Property-loan range, not a corporate-capital commitment</x:v>
      </x:c>
      <x:c r="R1755" s="25" t="str">
        <x:v>Private real-estate finance experience. Corporate working capital, minority equity or profit participation requires a separate agreement from a property loan.</x:v>
      </x:c>
      <x:c r="S1755" s="25"/>
      <x:c r="T1755" s="25" t="str">
        <x:v>Confirm direct principal versus broker, $100K-$500K appetite, and whether capital can fund the operating company without a property mortgage.</x:v>
      </x:c>
      <x:c r="U1755" s="25" t="str">
        <x:v>https://www.privatelendersdirectory.com/united-states/scottsdale/top-level-category/cardone-capital
https://cardonecapital.com/</x:v>
      </x:c>
      <x:c r="V1755" s="26" t="d">
        <x:v>2026-10-02T00:00:00.000Z</x:v>
      </x:c>
      <x:c r="W1755" s="26" t="d">
        <x:v>2026-09-30T00:00:00.000Z</x:v>
      </x:c>
      <x:c r="X1755" s="25" t="str">
        <x:v>Saved public company, industry-directory or regulatory source; source date retained</x:v>
      </x:c>
      <x:c r="Y1755" s="25" t="str">
        <x:v>https://cardonecapital.com/</x:v>
      </x:c>
      <x:c r="Z1755" s="25" t="str">
        <x:v>https://cardonecapital.com/</x:v>
      </x:c>
      <x:c r="AA1755" s="25" t="str">
        <x:v>[]</x:v>
      </x:c>
      <x:c r="AB1755" s="3" t="str">
        <x:v>Existing CapitalForge research, newly screened for this campaign</x:v>
      </x:c>
      <x:c r="AC1755" s="3" t="str">
        <x:v>unverified</x:v>
      </x:c>
      <x:c r="AD1755" s="3" t="str">
        <x:v>Not contacted / unconfirmed</x:v>
      </x:c>
      <x:c r="AE1755" s="3" t="str">
        <x:v>No</x:v>
      </x:c>
      <x:c r="AF1755" s="3" t="str">
        <x:v>No</x:v>
      </x:c>
      <x:c r="AG1755" s="3"/>
      <x:c r="AH1755" s="3"/>
      <x:c r="AI1755" s="18"/>
      <x:c r="AJ1755" s="3" t="str">
        <x:v>CF2500-A2B5F4AB249B</x:v>
      </x:c>
      <x:c r="AK1755" s="3" t="str">
        <x:v>private_real_estate_lender</x:v>
      </x:c>
      <x:c r="AL1755" s="19" t="n">
        <x:v>100000</x:v>
      </x:c>
      <x:c r="AM1755" s="19" t="n">
        <x:v>500000</x:v>
      </x:c>
      <x:c r="AN1755" s="3" t="str">
        <x:v>https://www.privatelendersdirectory.com/united-states/scottsdale/top-level-category/cardone-capital</x:v>
      </x:c>
      <x:c r="AO1755" s="3" t="str">
        <x:v>public_directory.jsonl</x:v>
      </x:c>
      <x:c r="AP1755" s="19"/>
    </x:row>
    <x:row r="1756" ht="36" customHeight="1">
      <x:c r="A1756" s="23" t="n">
        <x:v>1755</x:v>
      </x:c>
      <x:c r="B1756" s="15" t="str">
        <x:v>Casa Finance Group LLC</x:v>
      </x:c>
      <x:c r="C1756" s="15"/>
      <x:c r="D1756" s="15" t="str">
        <x:v>Property lender or directory member; operating-company capital unconfirmed</x:v>
      </x:c>
      <x:c r="E1756" s="15" t="str">
        <x:v>Property lender / private-money inquiry</x:v>
      </x:c>
      <x:c r="F1756" s="17" t="str">
        <x:v>New</x:v>
      </x:c>
      <x:c r="G1756" s="24" t="str">
        <x:v>contact@casa.finance</x:v>
      </x:c>
      <x:c r="H1756" s="24" t="str">
        <x:v>+15615564457</x:v>
      </x:c>
      <x:c r="I1756" s="24" t="str">
        <x:v>https://casa.finance/?utm_source=private-lender-link</x:v>
      </x:c>
      <x:c r="J1756" s="16" t="str">
        <x:v>FL</x:v>
      </x:c>
      <x:c r="K1756" s="16" t="str">
        <x:v>Boca Raton</x:v>
      </x:c>
      <x:c r="L1756" s="16" t="str">
        <x:v>firm_business_routing</x:v>
      </x:c>
      <x:c r="M1756" s="16" t="str">
        <x:v>https://casa.finance/?utm_source=private-lender-link</x:v>
      </x:c>
      <x:c r="N1756" s="16" t="str">
        <x:v>$100K-$500K ticket not published / unconfirmed</x:v>
      </x:c>
      <x:c r="O1756" s="20"/>
      <x:c r="P1756" s="20"/>
      <x:c r="Q1756" s="25" t="str">
        <x:v>Property-loan range, not a corporate-capital commitment</x:v>
      </x:c>
      <x:c r="R1756" s="25" t="str">
        <x:v>Private real-estate finance experience. Corporate working capital, minority equity or profit participation requires a separate agreement from a property loan.</x:v>
      </x:c>
      <x:c r="S1756" s="25"/>
      <x:c r="T1756" s="25" t="str">
        <x:v>Confirm direct principal versus broker, $100K-$500K appetite, and whether capital can fund the operating company without a property mortgage.</x:v>
      </x:c>
      <x:c r="U1756" s="25" t="str">
        <x:v>https://privatelenderlink.com/profile/casa-finance-group-llc/
https://casa.finance/?utm_source=private-lender-link</x:v>
      </x:c>
      <x:c r="V1756" s="26" t="d">
        <x:v>2026-10-02T00:00:00.000Z</x:v>
      </x:c>
      <x:c r="W1756" s="26" t="d">
        <x:v>2026-09-30T00:00:00.000Z</x:v>
      </x:c>
      <x:c r="X1756" s="25" t="str">
        <x:v>Saved public company, industry-directory or regulatory source; source date retained</x:v>
      </x:c>
      <x:c r="Y1756" s="25" t="str">
        <x:v>https://privatelenderlink.com/profile/casa-finance-group-llc/</x:v>
      </x:c>
      <x:c r="Z1756" s="25" t="str">
        <x:v>https://casa.finance/?utm_source=private-lender-link</x:v>
      </x:c>
      <x:c r="AA1756" s="25" t="str">
        <x:v>[]</x:v>
      </x:c>
      <x:c r="AB1756" s="3" t="str">
        <x:v>Existing CapitalForge research, newly screened for this campaign</x:v>
      </x:c>
      <x:c r="AC1756" s="3" t="str">
        <x:v>unverified</x:v>
      </x:c>
      <x:c r="AD1756" s="3" t="str">
        <x:v>Not contacted / unconfirmed</x:v>
      </x:c>
      <x:c r="AE1756" s="3" t="str">
        <x:v>No</x:v>
      </x:c>
      <x:c r="AF1756" s="3" t="str">
        <x:v>No</x:v>
      </x:c>
      <x:c r="AG1756" s="3"/>
      <x:c r="AH1756" s="3"/>
      <x:c r="AI1756" s="18"/>
      <x:c r="AJ1756" s="3" t="str">
        <x:v>CF2500-B41D9CC2877B</x:v>
      </x:c>
      <x:c r="AK1756" s="3" t="str">
        <x:v>private_real_estate_lender</x:v>
      </x:c>
      <x:c r="AL1756" s="19" t="n">
        <x:v>100000</x:v>
      </x:c>
      <x:c r="AM1756" s="19" t="n">
        <x:v>500000</x:v>
      </x:c>
      <x:c r="AN1756" s="3" t="str">
        <x:v>https://privatelenderlink.com/profile/casa-finance-group-llc/</x:v>
      </x:c>
      <x:c r="AO1756" s="3" t="str">
        <x:v>public_directory.jsonl</x:v>
      </x:c>
      <x:c r="AP1756" s="19"/>
    </x:row>
    <x:row r="1757" ht="36" customHeight="1">
      <x:c r="A1757" s="23" t="n">
        <x:v>1756</x:v>
      </x:c>
      <x:c r="B1757" s="15" t="str">
        <x:v>Catalyst Funding</x:v>
      </x:c>
      <x:c r="C1757" s="15"/>
      <x:c r="D1757" s="15" t="str">
        <x:v>Property lender or directory member; operating-company capital unconfirmed</x:v>
      </x:c>
      <x:c r="E1757" s="15" t="str">
        <x:v>Property lender / private-money inquiry</x:v>
      </x:c>
      <x:c r="F1757" s="17" t="str">
        <x:v>New</x:v>
      </x:c>
      <x:c r="G1757" s="24" t="str">
        <x:v>info@catalystfdg.com</x:v>
      </x:c>
      <x:c r="H1757" s="24" t="str">
        <x:v>+18326483626</x:v>
      </x:c>
      <x:c r="I1757" s="24" t="str">
        <x:v>https://catalystfdg.com/</x:v>
      </x:c>
      <x:c r="J1757" s="16" t="str">
        <x:v>TX</x:v>
      </x:c>
      <x:c r="K1757" s="16" t="str">
        <x:v>Houston</x:v>
      </x:c>
      <x:c r="L1757" s="16" t="str">
        <x:v>firm_business_routing</x:v>
      </x:c>
      <x:c r="M1757" s="16" t="str">
        <x:v>https://catalystfdg.com/</x:v>
      </x:c>
      <x:c r="N1757" s="16" t="str">
        <x:v>$100K-$500K ticket not published / unconfirmed</x:v>
      </x:c>
      <x:c r="O1757" s="20"/>
      <x:c r="P1757" s="20"/>
      <x:c r="Q1757" s="25" t="str">
        <x:v>Property-loan range, not a corporate-capital commitment</x:v>
      </x:c>
      <x:c r="R1757" s="25" t="str">
        <x:v>Private real-estate finance experience. Corporate working capital, minority equity or profit participation requires a separate agreement from a property loan.</x:v>
      </x:c>
      <x:c r="S1757" s="25"/>
      <x:c r="T1757" s="25" t="str">
        <x:v>Confirm direct principal versus broker, $100K-$500K appetite, and whether capital can fund the operating company without a property mortgage.</x:v>
      </x:c>
      <x:c r="U1757" s="25" t="str">
        <x:v>https://www.hardmoneyhome.com/lenders/view/catalyst-funding
https://privatelenderlink.com/profile/catalyst-funding/
https://www.privatelendersdirectory.com/united-states/houston/top-level-category/catalyst-funding
https://catalystfdg.com/</x:v>
      </x:c>
      <x:c r="V1757" s="26" t="d">
        <x:v>2026-10-02T00:00:00.000Z</x:v>
      </x:c>
      <x:c r="W1757" s="26" t="d">
        <x:v>2026-09-30T00:00:00.000Z</x:v>
      </x:c>
      <x:c r="X1757" s="25" t="str">
        <x:v>Saved public company, industry-directory or regulatory source; source date retained</x:v>
      </x:c>
      <x:c r="Y1757" s="25" t="str">
        <x:v>https://privatelenderlink.com/profile/catalyst-funding/</x:v>
      </x:c>
      <x:c r="Z1757" s="25" t="str">
        <x:v>https://www.hardmoneyhome.com/lenders/view/catalyst-funding</x:v>
      </x:c>
      <x:c r="AA1757" s="25" t="str">
        <x:v>[]</x:v>
      </x:c>
      <x:c r="AB1757" s="3" t="str">
        <x:v>Existing CapitalForge research, newly screened for this campaign</x:v>
      </x:c>
      <x:c r="AC1757" s="3" t="str">
        <x:v>unverified</x:v>
      </x:c>
      <x:c r="AD1757" s="3" t="str">
        <x:v>Not contacted / unconfirmed</x:v>
      </x:c>
      <x:c r="AE1757" s="3" t="str">
        <x:v>No</x:v>
      </x:c>
      <x:c r="AF1757" s="3" t="str">
        <x:v>No</x:v>
      </x:c>
      <x:c r="AG1757" s="3"/>
      <x:c r="AH1757" s="3"/>
      <x:c r="AI1757" s="18"/>
      <x:c r="AJ1757" s="3" t="str">
        <x:v>CF2500-D080283FBCEF</x:v>
      </x:c>
      <x:c r="AK1757" s="3" t="str">
        <x:v>private_real_estate_lender</x:v>
      </x:c>
      <x:c r="AL1757" s="19" t="n">
        <x:v>100000</x:v>
      </x:c>
      <x:c r="AM1757" s="19" t="n">
        <x:v>500000</x:v>
      </x:c>
      <x:c r="AN1757" s="3" t="str">
        <x:v>https://www.hardmoneyhome.com/lenders/view/catalyst-funding</x:v>
      </x:c>
      <x:c r="AO1757" s="3" t="str">
        <x:v>public_directory.jsonl</x:v>
      </x:c>
      <x:c r="AP1757" s="19"/>
    </x:row>
    <x:row r="1758" ht="36" customHeight="1">
      <x:c r="A1758" s="23" t="n">
        <x:v>1757</x:v>
      </x:c>
      <x:c r="B1758" s="15" t="str">
        <x:v>CEASONS HOLDINGS</x:v>
      </x:c>
      <x:c r="C1758" s="15"/>
      <x:c r="D1758" s="15" t="str">
        <x:v>Property lender or directory member; operating-company capital unconfirmed</x:v>
      </x:c>
      <x:c r="E1758" s="15" t="str">
        <x:v>Property lender / private-money inquiry</x:v>
      </x:c>
      <x:c r="F1758" s="17" t="str">
        <x:v>New</x:v>
      </x:c>
      <x:c r="G1758" s="24" t="str">
        <x:v>john@ceasonsholdings.com</x:v>
      </x:c>
      <x:c r="H1758" s="24" t="str">
        <x:v>+14692330450</x:v>
      </x:c>
      <x:c r="I1758" s="24" t="str">
        <x:v>https://ceasonsholdings.com/</x:v>
      </x:c>
      <x:c r="J1758" s="16" t="str">
        <x:v>TX</x:v>
      </x:c>
      <x:c r="K1758" s="16" t="str">
        <x:v>Dallas</x:v>
      </x:c>
      <x:c r="L1758" s="16" t="str">
        <x:v>firm_business_routing</x:v>
      </x:c>
      <x:c r="M1758" s="16" t="str">
        <x:v>https://ceasonsholdings.com/</x:v>
      </x:c>
      <x:c r="N1758" s="16" t="str">
        <x:v>$100K-$500K ticket not published / unconfirmed</x:v>
      </x:c>
      <x:c r="O1758" s="20"/>
      <x:c r="P1758" s="20"/>
      <x:c r="Q1758" s="25" t="str">
        <x:v>Property-loan range, not a corporate-capital commitment</x:v>
      </x:c>
      <x:c r="R1758" s="25" t="str">
        <x:v>Private real-estate finance experience. Corporate working capital, minority equity or profit participation requires a separate agreement from a property loan.</x:v>
      </x:c>
      <x:c r="S1758" s="25"/>
      <x:c r="T1758" s="25" t="str">
        <x:v>Confirm direct principal versus broker, $100K-$500K appetite, and whether capital can fund the operating company without a property mortgage.</x:v>
      </x:c>
      <x:c r="U1758" s="25" t="str">
        <x:v>https://www.privatelendersdirectory.com/united-states/dallas/top-level-category/ceasons-holdings
https://ceasonsholdings.com/</x:v>
      </x:c>
      <x:c r="V1758" s="26" t="d">
        <x:v>2026-10-02T00:00:00.000Z</x:v>
      </x:c>
      <x:c r="W1758" s="26" t="d">
        <x:v>2026-09-30T00:00:00.000Z</x:v>
      </x:c>
      <x:c r="X1758" s="25" t="str">
        <x:v>Saved public company, industry-directory or regulatory source; source date retained</x:v>
      </x:c>
      <x:c r="Y1758" s="25" t="str">
        <x:v>https://ceasonsholdings.com/</x:v>
      </x:c>
      <x:c r="Z1758" s="25" t="str">
        <x:v>https://ceasonsholdings.com/</x:v>
      </x:c>
      <x:c r="AA1758" s="25" t="str">
        <x:v>[]</x:v>
      </x:c>
      <x:c r="AB1758" s="3" t="str">
        <x:v>Existing CapitalForge research, newly screened for this campaign</x:v>
      </x:c>
      <x:c r="AC1758" s="3" t="str">
        <x:v>unverified</x:v>
      </x:c>
      <x:c r="AD1758" s="3" t="str">
        <x:v>Not contacted / unconfirmed</x:v>
      </x:c>
      <x:c r="AE1758" s="3" t="str">
        <x:v>No</x:v>
      </x:c>
      <x:c r="AF1758" s="3" t="str">
        <x:v>No</x:v>
      </x:c>
      <x:c r="AG1758" s="3"/>
      <x:c r="AH1758" s="3"/>
      <x:c r="AI1758" s="18"/>
      <x:c r="AJ1758" s="3" t="str">
        <x:v>CF2500-88A4E45A5EEA</x:v>
      </x:c>
      <x:c r="AK1758" s="3" t="str">
        <x:v>private_real_estate_lender</x:v>
      </x:c>
      <x:c r="AL1758" s="19" t="n">
        <x:v>100000</x:v>
      </x:c>
      <x:c r="AM1758" s="19" t="n">
        <x:v>500000</x:v>
      </x:c>
      <x:c r="AN1758" s="3" t="str">
        <x:v>https://www.privatelendersdirectory.com/united-states/dallas/top-level-category/ceasons-holdings</x:v>
      </x:c>
      <x:c r="AO1758" s="3" t="str">
        <x:v>public_directory.jsonl</x:v>
      </x:c>
      <x:c r="AP1758" s="19"/>
    </x:row>
    <x:row r="1759" ht="36" customHeight="1">
      <x:c r="A1759" s="23" t="n">
        <x:v>1758</x:v>
      </x:c>
      <x:c r="B1759" s="15" t="str">
        <x:v>CEDAR TOP LENDING</x:v>
      </x:c>
      <x:c r="C1759" s="15"/>
      <x:c r="D1759" s="15" t="str">
        <x:v>Property lender or directory member; operating-company capital unconfirmed</x:v>
      </x:c>
      <x:c r="E1759" s="15" t="str">
        <x:v>Property lender / private-money inquiry</x:v>
      </x:c>
      <x:c r="F1759" s="17" t="str">
        <x:v>New</x:v>
      </x:c>
      <x:c r="G1759" s="24" t="str">
        <x:v>info@cedartoplending.com</x:v>
      </x:c>
      <x:c r="H1759" s="24" t="str">
        <x:v>+18179843129</x:v>
      </x:c>
      <x:c r="I1759" s="24" t="str">
        <x:v>https://cedartoplending.com/</x:v>
      </x:c>
      <x:c r="J1759" s="16" t="str">
        <x:v>TX</x:v>
      </x:c>
      <x:c r="K1759" s="16" t="str">
        <x:v>Fort Worth</x:v>
      </x:c>
      <x:c r="L1759" s="16" t="str">
        <x:v>firm_business_routing</x:v>
      </x:c>
      <x:c r="M1759" s="16" t="str">
        <x:v>https://cedartoplending.com/</x:v>
      </x:c>
      <x:c r="N1759" s="16" t="str">
        <x:v>$100K-$500K ticket not published / unconfirmed</x:v>
      </x:c>
      <x:c r="O1759" s="20"/>
      <x:c r="P1759" s="20"/>
      <x:c r="Q1759" s="25" t="str">
        <x:v>Property-loan range, not a corporate-capital commitment</x:v>
      </x:c>
      <x:c r="R1759" s="25" t="str">
        <x:v>Private real-estate finance experience. Corporate working capital, minority equity or profit participation requires a separate agreement from a property loan.</x:v>
      </x:c>
      <x:c r="S1759" s="25"/>
      <x:c r="T1759" s="25" t="str">
        <x:v>Confirm direct principal versus broker, $100K-$500K appetite, and whether capital can fund the operating company without a property mortgage.</x:v>
      </x:c>
      <x:c r="U1759" s="25" t="str">
        <x:v>https://www.privatelendersdirectory.com/united-states/fort-worth/top-level-category/cedar-top-lending
https://cedartoplending.com/</x:v>
      </x:c>
      <x:c r="V1759" s="26" t="d">
        <x:v>2026-10-02T00:00:00.000Z</x:v>
      </x:c>
      <x:c r="W1759" s="26" t="d">
        <x:v>2026-09-30T00:00:00.000Z</x:v>
      </x:c>
      <x:c r="X1759" s="25" t="str">
        <x:v>Saved public company, industry-directory or regulatory source; source date retained</x:v>
      </x:c>
      <x:c r="Y1759" s="25" t="str">
        <x:v>https://cedartoplending.com/</x:v>
      </x:c>
      <x:c r="Z1759" s="25" t="str">
        <x:v>https://cedartoplending.com/</x:v>
      </x:c>
      <x:c r="AA1759" s="25" t="str">
        <x:v>[]</x:v>
      </x:c>
      <x:c r="AB1759" s="3" t="str">
        <x:v>Existing CapitalForge research, newly screened for this campaign</x:v>
      </x:c>
      <x:c r="AC1759" s="3" t="str">
        <x:v>unverified</x:v>
      </x:c>
      <x:c r="AD1759" s="3" t="str">
        <x:v>Not contacted / unconfirmed</x:v>
      </x:c>
      <x:c r="AE1759" s="3" t="str">
        <x:v>No</x:v>
      </x:c>
      <x:c r="AF1759" s="3" t="str">
        <x:v>No</x:v>
      </x:c>
      <x:c r="AG1759" s="3"/>
      <x:c r="AH1759" s="3"/>
      <x:c r="AI1759" s="18"/>
      <x:c r="AJ1759" s="3" t="str">
        <x:v>CF2500-4F40AF3854BB</x:v>
      </x:c>
      <x:c r="AK1759" s="3" t="str">
        <x:v>private_real_estate_lender</x:v>
      </x:c>
      <x:c r="AL1759" s="19" t="n">
        <x:v>100000</x:v>
      </x:c>
      <x:c r="AM1759" s="19" t="n">
        <x:v>500000</x:v>
      </x:c>
      <x:c r="AN1759" s="3" t="str">
        <x:v>https://www.privatelendersdirectory.com/united-states/fort-worth/top-level-category/cedar-top-lending</x:v>
      </x:c>
      <x:c r="AO1759" s="3" t="str">
        <x:v>public_directory.jsonl</x:v>
      </x:c>
      <x:c r="AP1759" s="19"/>
    </x:row>
    <x:row r="1760" ht="36" customHeight="1">
      <x:c r="A1760" s="23" t="n">
        <x:v>1759</x:v>
      </x:c>
      <x:c r="B1760" s="15" t="str">
        <x:v>CFAM</x:v>
      </x:c>
      <x:c r="C1760" s="15"/>
      <x:c r="D1760" s="15" t="str">
        <x:v>Property lender or directory member; operating-company capital unconfirmed</x:v>
      </x:c>
      <x:c r="E1760" s="15" t="str">
        <x:v>Property lender / private-money inquiry</x:v>
      </x:c>
      <x:c r="F1760" s="17" t="str">
        <x:v>New</x:v>
      </x:c>
      <x:c r="G1760" s="24" t="str">
        <x:v>contactus@canvasconsumer.com</x:v>
      </x:c>
      <x:c r="H1760" s="24" t="str">
        <x:v>+18333876677</x:v>
      </x:c>
      <x:c r="I1760" s="24" t="str">
        <x:v>https://cfamllc.com/</x:v>
      </x:c>
      <x:c r="J1760" s="16" t="str">
        <x:v>TX</x:v>
      </x:c>
      <x:c r="K1760" s="16" t="str">
        <x:v>Dallas</x:v>
      </x:c>
      <x:c r="L1760" s="16" t="str">
        <x:v>firm_business_routing</x:v>
      </x:c>
      <x:c r="M1760" s="16" t="str">
        <x:v>https://cfamllc.com/</x:v>
      </x:c>
      <x:c r="N1760" s="16" t="str">
        <x:v>$100K-$500K ticket not published / unconfirmed</x:v>
      </x:c>
      <x:c r="O1760" s="20"/>
      <x:c r="P1760" s="20"/>
      <x:c r="Q1760" s="25" t="str">
        <x:v>Property-loan range, not a corporate-capital commitment</x:v>
      </x:c>
      <x:c r="R1760" s="25" t="str">
        <x:v>Private real-estate finance experience. Corporate working capital, minority equity or profit participation requires a separate agreement from a property loan.</x:v>
      </x:c>
      <x:c r="S1760" s="25"/>
      <x:c r="T1760" s="25" t="str">
        <x:v>Confirm direct principal versus broker, $100K-$500K appetite, and whether capital can fund the operating company without a property mortgage.</x:v>
      </x:c>
      <x:c r="U1760" s="25" t="str">
        <x:v>https://www.privatelendersdirectory.com/united-states/dallas/top-level-category/cfam
https://canvasconsumer.com/about-canvas/</x:v>
      </x:c>
      <x:c r="V1760" s="26" t="d">
        <x:v>2026-10-02T00:00:00.000Z</x:v>
      </x:c>
      <x:c r="W1760" s="26" t="d">
        <x:v>2026-09-30T00:00:00.000Z</x:v>
      </x:c>
      <x:c r="X1760" s="25" t="str">
        <x:v>Saved public company, industry-directory or regulatory source; source date retained</x:v>
      </x:c>
      <x:c r="Y1760" s="25" t="str">
        <x:v>https://canvasconsumer.com/about-canvas/</x:v>
      </x:c>
      <x:c r="Z1760" s="25" t="str">
        <x:v>https://canvasconsumer.com/about-canvas/</x:v>
      </x:c>
      <x:c r="AA1760" s="25" t="str">
        <x:v>[]</x:v>
      </x:c>
      <x:c r="AB1760" s="3" t="str">
        <x:v>Existing CapitalForge research, newly screened for this campaign</x:v>
      </x:c>
      <x:c r="AC1760" s="3" t="str">
        <x:v>unverified</x:v>
      </x:c>
      <x:c r="AD1760" s="3" t="str">
        <x:v>Not contacted / unconfirmed</x:v>
      </x:c>
      <x:c r="AE1760" s="3" t="str">
        <x:v>No</x:v>
      </x:c>
      <x:c r="AF1760" s="3" t="str">
        <x:v>No</x:v>
      </x:c>
      <x:c r="AG1760" s="3"/>
      <x:c r="AH1760" s="3"/>
      <x:c r="AI1760" s="18"/>
      <x:c r="AJ1760" s="3" t="str">
        <x:v>CF2500-88D2D08E36DB</x:v>
      </x:c>
      <x:c r="AK1760" s="3" t="str">
        <x:v>private_real_estate_lender</x:v>
      </x:c>
      <x:c r="AL1760" s="19" t="n">
        <x:v>100000</x:v>
      </x:c>
      <x:c r="AM1760" s="19" t="n">
        <x:v>500000</x:v>
      </x:c>
      <x:c r="AN1760" s="3" t="str">
        <x:v>https://www.privatelendersdirectory.com/united-states/dallas/top-level-category/cfam</x:v>
      </x:c>
      <x:c r="AO1760" s="3" t="str">
        <x:v>public_directory.jsonl</x:v>
      </x:c>
      <x:c r="AP1760" s="19"/>
    </x:row>
    <x:row r="1761" ht="36" customHeight="1">
      <x:c r="A1761" s="23" t="n">
        <x:v>1760</x:v>
      </x:c>
      <x:c r="B1761" s="15" t="str">
        <x:v>CHAMPIONS FUNDING</x:v>
      </x:c>
      <x:c r="C1761" s="15"/>
      <x:c r="D1761" s="15" t="str">
        <x:v>Property lender or directory member; operating-company capital unconfirmed</x:v>
      </x:c>
      <x:c r="E1761" s="15" t="str">
        <x:v>Property lender / private-money inquiry</x:v>
      </x:c>
      <x:c r="F1761" s="17" t="str">
        <x:v>New</x:v>
      </x:c>
      <x:c r="G1761" s="24" t="str">
        <x:v>lockdesk@champstpo.com</x:v>
      </x:c>
      <x:c r="H1761" s="24" t="str">
        <x:v>+18882109881</x:v>
      </x:c>
      <x:c r="I1761" s="24" t="str">
        <x:v>https://www.champstpo.com/</x:v>
      </x:c>
      <x:c r="J1761" s="16" t="str">
        <x:v>AZ</x:v>
      </x:c>
      <x:c r="K1761" s="16" t="str">
        <x:v>Gilbert</x:v>
      </x:c>
      <x:c r="L1761" s="16" t="str">
        <x:v>firm_business_routing</x:v>
      </x:c>
      <x:c r="M1761" s="16" t="str">
        <x:v>https://www.champstpo.com/</x:v>
      </x:c>
      <x:c r="N1761" s="16" t="str">
        <x:v>$100K-$500K ticket not published / unconfirmed</x:v>
      </x:c>
      <x:c r="O1761" s="20"/>
      <x:c r="P1761" s="20"/>
      <x:c r="Q1761" s="25" t="str">
        <x:v>Property-loan range, not a corporate-capital commitment</x:v>
      </x:c>
      <x:c r="R1761" s="25" t="str">
        <x:v>Private real-estate finance experience. Corporate working capital, minority equity or profit participation requires a separate agreement from a property loan.</x:v>
      </x:c>
      <x:c r="S1761" s="25"/>
      <x:c r="T1761" s="25" t="str">
        <x:v>Confirm direct principal versus broker, $100K-$500K appetite, and whether capital can fund the operating company without a property mortgage.</x:v>
      </x:c>
      <x:c r="U1761" s="25" t="str">
        <x:v>https://www.privatelendersdirectory.com/united-states/gilbert/top-level-category/champions-funding
https://www.champstpo.com/</x:v>
      </x:c>
      <x:c r="V1761" s="26" t="d">
        <x:v>2026-10-02T00:00:00.000Z</x:v>
      </x:c>
      <x:c r="W1761" s="26" t="d">
        <x:v>2026-09-30T00:00:00.000Z</x:v>
      </x:c>
      <x:c r="X1761" s="25" t="str">
        <x:v>Saved public company, industry-directory or regulatory source; source date retained</x:v>
      </x:c>
      <x:c r="Y1761" s="25" t="str">
        <x:v>https://www.champstpo.com/</x:v>
      </x:c>
      <x:c r="Z1761" s="25" t="str">
        <x:v>https://www.champstpo.com/</x:v>
      </x:c>
      <x:c r="AA1761" s="25" t="str">
        <x:v>[]</x:v>
      </x:c>
      <x:c r="AB1761" s="3" t="str">
        <x:v>Existing CapitalForge research, newly screened for this campaign</x:v>
      </x:c>
      <x:c r="AC1761" s="3" t="str">
        <x:v>unverified</x:v>
      </x:c>
      <x:c r="AD1761" s="3" t="str">
        <x:v>Not contacted / unconfirmed</x:v>
      </x:c>
      <x:c r="AE1761" s="3" t="str">
        <x:v>No</x:v>
      </x:c>
      <x:c r="AF1761" s="3" t="str">
        <x:v>No</x:v>
      </x:c>
      <x:c r="AG1761" s="3"/>
      <x:c r="AH1761" s="3"/>
      <x:c r="AI1761" s="18"/>
      <x:c r="AJ1761" s="3" t="str">
        <x:v>CF2500-F68174E662C6</x:v>
      </x:c>
      <x:c r="AK1761" s="3" t="str">
        <x:v>private_real_estate_lender</x:v>
      </x:c>
      <x:c r="AL1761" s="19" t="n">
        <x:v>100000</x:v>
      </x:c>
      <x:c r="AM1761" s="19" t="n">
        <x:v>500000</x:v>
      </x:c>
      <x:c r="AN1761" s="3" t="str">
        <x:v>https://www.privatelendersdirectory.com/united-states/gilbert/top-level-category/champions-funding</x:v>
      </x:c>
      <x:c r="AO1761" s="3" t="str">
        <x:v>public_directory.jsonl</x:v>
      </x:c>
      <x:c r="AP1761" s="19"/>
    </x:row>
    <x:row r="1762" ht="36" customHeight="1">
      <x:c r="A1762" s="23" t="n">
        <x:v>1761</x:v>
      </x:c>
      <x:c r="B1762" s="15" t="str">
        <x:v>CHICAGO COMMUNITY LOAN FUND</x:v>
      </x:c>
      <x:c r="C1762" s="15"/>
      <x:c r="D1762" s="15" t="str">
        <x:v>Property lender or directory member; operating-company capital unconfirmed</x:v>
      </x:c>
      <x:c r="E1762" s="15" t="str">
        <x:v>Property lender / private-money inquiry</x:v>
      </x:c>
      <x:c r="F1762" s="17" t="str">
        <x:v>New</x:v>
      </x:c>
      <x:c r="G1762" s="24" t="str">
        <x:v>info@cclfchicago.org</x:v>
      </x:c>
      <x:c r="H1762" s="24" t="str">
        <x:v>+13122520440</x:v>
      </x:c>
      <x:c r="I1762" s="24" t="str">
        <x:v>https://cclfchicago.org/</x:v>
      </x:c>
      <x:c r="J1762" s="16" t="str">
        <x:v>IL</x:v>
      </x:c>
      <x:c r="K1762" s="16" t="str">
        <x:v>Chicago</x:v>
      </x:c>
      <x:c r="L1762" s="16" t="str">
        <x:v>firm_business_routing</x:v>
      </x:c>
      <x:c r="M1762" s="16" t="str">
        <x:v>https://cclfchicago.org/</x:v>
      </x:c>
      <x:c r="N1762" s="16" t="str">
        <x:v>$100K-$500K ticket not published / unconfirmed</x:v>
      </x:c>
      <x:c r="O1762" s="20"/>
      <x:c r="P1762" s="20"/>
      <x:c r="Q1762" s="25" t="str">
        <x:v>Property-loan range, not a corporate-capital commitment</x:v>
      </x:c>
      <x:c r="R1762" s="25" t="str">
        <x:v>Private real-estate finance experience. Corporate working capital, minority equity or profit participation requires a separate agreement from a property loan.</x:v>
      </x:c>
      <x:c r="S1762" s="25"/>
      <x:c r="T1762" s="25" t="str">
        <x:v>Confirm direct principal versus broker, $100K-$500K appetite, and whether capital can fund the operating company without a property mortgage.</x:v>
      </x:c>
      <x:c r="U1762" s="25" t="str">
        <x:v>https://www.privatelendersdirectory.com/united-states/chicago/real-estate-investment-lending/chicago-community-loan-fund
https://cclfchicago.org/</x:v>
      </x:c>
      <x:c r="V1762" s="26" t="d">
        <x:v>2026-10-02T00:00:00.000Z</x:v>
      </x:c>
      <x:c r="W1762" s="26" t="d">
        <x:v>2026-09-30T00:00:00.000Z</x:v>
      </x:c>
      <x:c r="X1762" s="25" t="str">
        <x:v>Saved public company, industry-directory or regulatory source; source date retained</x:v>
      </x:c>
      <x:c r="Y1762" s="25" t="str">
        <x:v>https://cclfchicago.org/</x:v>
      </x:c>
      <x:c r="Z1762" s="25" t="str">
        <x:v>https://cclfchicago.org/</x:v>
      </x:c>
      <x:c r="AA1762" s="25" t="str">
        <x:v>[]</x:v>
      </x:c>
      <x:c r="AB1762" s="3" t="str">
        <x:v>Existing CapitalForge research, newly screened for this campaign</x:v>
      </x:c>
      <x:c r="AC1762" s="3" t="str">
        <x:v>unverified</x:v>
      </x:c>
      <x:c r="AD1762" s="3" t="str">
        <x:v>Not contacted / unconfirmed</x:v>
      </x:c>
      <x:c r="AE1762" s="3" t="str">
        <x:v>No</x:v>
      </x:c>
      <x:c r="AF1762" s="3" t="str">
        <x:v>No</x:v>
      </x:c>
      <x:c r="AG1762" s="3"/>
      <x:c r="AH1762" s="3"/>
      <x:c r="AI1762" s="18"/>
      <x:c r="AJ1762" s="3" t="str">
        <x:v>CF2500-124F61EC9BDE</x:v>
      </x:c>
      <x:c r="AK1762" s="3" t="str">
        <x:v>private_real_estate_lender</x:v>
      </x:c>
      <x:c r="AL1762" s="19" t="n">
        <x:v>100000</x:v>
      </x:c>
      <x:c r="AM1762" s="19" t="n">
        <x:v>500000</x:v>
      </x:c>
      <x:c r="AN1762" s="3" t="str">
        <x:v>https://www.privatelendersdirectory.com/united-states/chicago/real-estate-investment-lending/chicago-community-loan-fund</x:v>
      </x:c>
      <x:c r="AO1762" s="3" t="str">
        <x:v>public_directory.jsonl</x:v>
      </x:c>
      <x:c r="AP1762" s="19"/>
    </x:row>
    <x:row r="1763" ht="36" customHeight="1">
      <x:c r="A1763" s="23" t="n">
        <x:v>1762</x:v>
      </x:c>
      <x:c r="B1763" s="15" t="str">
        <x:v>CHICAGO HARD MONEY</x:v>
      </x:c>
      <x:c r="C1763" s="15"/>
      <x:c r="D1763" s="15" t="str">
        <x:v>Property lender or directory member; operating-company capital unconfirmed</x:v>
      </x:c>
      <x:c r="E1763" s="15" t="str">
        <x:v>Property lender / private-money inquiry</x:v>
      </x:c>
      <x:c r="F1763" s="17" t="str">
        <x:v>New</x:v>
      </x:c>
      <x:c r="G1763" s="24" t="str">
        <x:v>loan@chicagohardmoney.com</x:v>
      </x:c>
      <x:c r="H1763" s="24" t="str">
        <x:v>+17732456265</x:v>
      </x:c>
      <x:c r="I1763" s="24" t="str">
        <x:v>https://chicagohardmoney.com/</x:v>
      </x:c>
      <x:c r="J1763" s="16" t="str">
        <x:v>IL</x:v>
      </x:c>
      <x:c r="K1763" s="16" t="str">
        <x:v>Chicago</x:v>
      </x:c>
      <x:c r="L1763" s="16" t="str">
        <x:v>firm_business_routing</x:v>
      </x:c>
      <x:c r="M1763" s="16" t="str">
        <x:v>https://chicagohardmoney.com/</x:v>
      </x:c>
      <x:c r="N1763" s="16" t="str">
        <x:v>$100K-$500K ticket not published / unconfirmed</x:v>
      </x:c>
      <x:c r="O1763" s="20"/>
      <x:c r="P1763" s="20"/>
      <x:c r="Q1763" s="25" t="str">
        <x:v>Property-loan range, not a corporate-capital commitment</x:v>
      </x:c>
      <x:c r="R1763" s="25" t="str">
        <x:v>Private real-estate finance experience. Corporate working capital, minority equity or profit participation requires a separate agreement from a property loan.</x:v>
      </x:c>
      <x:c r="S1763" s="25"/>
      <x:c r="T1763" s="25" t="str">
        <x:v>Confirm direct principal versus broker, $100K-$500K appetite, and whether capital can fund the operating company without a property mortgage.</x:v>
      </x:c>
      <x:c r="U1763" s="25" t="str">
        <x:v>https://www.privatelendersdirectory.com/united-states/chicago/top-level-category/chicago-hard-money
https://chicagohardmoney.com/
https://www.hardmoneyhome.com/lenders/view/chicago-bridge-loan</x:v>
      </x:c>
      <x:c r="V1763" s="26" t="d">
        <x:v>2026-10-02T00:00:00.000Z</x:v>
      </x:c>
      <x:c r="W1763" s="26" t="d">
        <x:v>2026-09-30T00:00:00.000Z</x:v>
      </x:c>
      <x:c r="X1763" s="25" t="str">
        <x:v>Saved public company, industry-directory or regulatory source; source date retained</x:v>
      </x:c>
      <x:c r="Y1763" s="25" t="str">
        <x:v>https://chicagohardmoney.com/</x:v>
      </x:c>
      <x:c r="Z1763" s="25" t="str">
        <x:v>https://chicagohardmoney.com/</x:v>
      </x:c>
      <x:c r="AA1763" s="25" t="str">
        <x:v>[]</x:v>
      </x:c>
      <x:c r="AB1763" s="3" t="str">
        <x:v>Existing CapitalForge research, newly screened for this campaign</x:v>
      </x:c>
      <x:c r="AC1763" s="3" t="str">
        <x:v>unverified</x:v>
      </x:c>
      <x:c r="AD1763" s="3" t="str">
        <x:v>Not contacted / unconfirmed</x:v>
      </x:c>
      <x:c r="AE1763" s="3" t="str">
        <x:v>No</x:v>
      </x:c>
      <x:c r="AF1763" s="3" t="str">
        <x:v>No</x:v>
      </x:c>
      <x:c r="AG1763" s="3"/>
      <x:c r="AH1763" s="3" t="str">
        <x:v>Chicago Bridge Loan</x:v>
      </x:c>
      <x:c r="AI1763" s="18"/>
      <x:c r="AJ1763" s="3" t="str">
        <x:v>CF2500-FBD18148B508</x:v>
      </x:c>
      <x:c r="AK1763" s="3" t="str">
        <x:v>private_real_estate_lender</x:v>
      </x:c>
      <x:c r="AL1763" s="19" t="n">
        <x:v>100000</x:v>
      </x:c>
      <x:c r="AM1763" s="19" t="n">
        <x:v>500000</x:v>
      </x:c>
      <x:c r="AN1763" s="3" t="str">
        <x:v>https://www.privatelendersdirectory.com/united-states/chicago/top-level-category/chicago-hard-money</x:v>
      </x:c>
      <x:c r="AO1763" s="3" t="str">
        <x:v>public_directory.jsonl</x:v>
      </x:c>
      <x:c r="AP1763" s="19"/>
    </x:row>
    <x:row r="1764" ht="36" customHeight="1">
      <x:c r="A1764" s="23" t="n">
        <x:v>1763</x:v>
      </x:c>
      <x:c r="B1764" s="15" t="str">
        <x:v>CHURCH CAPITAL</x:v>
      </x:c>
      <x:c r="C1764" s="15"/>
      <x:c r="D1764" s="15" t="str">
        <x:v>Property lender or directory member; operating-company capital unconfirmed</x:v>
      </x:c>
      <x:c r="E1764" s="15" t="str">
        <x:v>Property lender / private-money inquiry</x:v>
      </x:c>
      <x:c r="F1764" s="17" t="str">
        <x:v>New</x:v>
      </x:c>
      <x:c r="G1764" s="24" t="str">
        <x:v>info@churchcapital.net</x:v>
      </x:c>
      <x:c r="H1764" s="24" t="str">
        <x:v>+18668158560</x:v>
      </x:c>
      <x:c r="I1764" s="24" t="str">
        <x:v>https://churchcapital.net/</x:v>
      </x:c>
      <x:c r="J1764" s="16" t="str">
        <x:v>TX</x:v>
      </x:c>
      <x:c r="K1764" s="16" t="str">
        <x:v>Houston</x:v>
      </x:c>
      <x:c r="L1764" s="16" t="str">
        <x:v>firm_business_routing</x:v>
      </x:c>
      <x:c r="M1764" s="16" t="str">
        <x:v>https://churchcapital.net/</x:v>
      </x:c>
      <x:c r="N1764" s="16" t="str">
        <x:v>$100K-$500K ticket not published / unconfirmed</x:v>
      </x:c>
      <x:c r="O1764" s="20"/>
      <x:c r="P1764" s="20"/>
      <x:c r="Q1764" s="25" t="str">
        <x:v>Property-loan range, not a corporate-capital commitment</x:v>
      </x:c>
      <x:c r="R1764" s="25" t="str">
        <x:v>Private real-estate finance experience. Corporate working capital, minority equity or profit participation requires a separate agreement from a property loan.</x:v>
      </x:c>
      <x:c r="S1764" s="25"/>
      <x:c r="T1764" s="25" t="str">
        <x:v>Confirm direct principal versus broker, $100K-$500K appetite, and whether capital can fund the operating company without a property mortgage.</x:v>
      </x:c>
      <x:c r="U1764" s="25" t="str">
        <x:v>https://www.privatelendersdirectory.com/united-states/houston/top-level-category/church-capital
https://churchcapital.net/</x:v>
      </x:c>
      <x:c r="V1764" s="26" t="d">
        <x:v>2026-10-02T00:00:00.000Z</x:v>
      </x:c>
      <x:c r="W1764" s="26" t="d">
        <x:v>2026-09-30T00:00:00.000Z</x:v>
      </x:c>
      <x:c r="X1764" s="25" t="str">
        <x:v>Saved public company, industry-directory or regulatory source; source date retained</x:v>
      </x:c>
      <x:c r="Y1764" s="25" t="str">
        <x:v>https://churchcapital.net/</x:v>
      </x:c>
      <x:c r="Z1764" s="25" t="str">
        <x:v>https://churchcapital.net/</x:v>
      </x:c>
      <x:c r="AA1764" s="25" t="str">
        <x:v>[]</x:v>
      </x:c>
      <x:c r="AB1764" s="3" t="str">
        <x:v>Existing CapitalForge research, newly screened for this campaign</x:v>
      </x:c>
      <x:c r="AC1764" s="3" t="str">
        <x:v>unverified</x:v>
      </x:c>
      <x:c r="AD1764" s="3" t="str">
        <x:v>Not contacted / unconfirmed</x:v>
      </x:c>
      <x:c r="AE1764" s="3" t="str">
        <x:v>No</x:v>
      </x:c>
      <x:c r="AF1764" s="3" t="str">
        <x:v>No</x:v>
      </x:c>
      <x:c r="AG1764" s="3"/>
      <x:c r="AH1764" s="3"/>
      <x:c r="AI1764" s="18"/>
      <x:c r="AJ1764" s="3" t="str">
        <x:v>CF2500-49B6380EBEB1</x:v>
      </x:c>
      <x:c r="AK1764" s="3" t="str">
        <x:v>private_real_estate_lender</x:v>
      </x:c>
      <x:c r="AL1764" s="19" t="n">
        <x:v>100000</x:v>
      </x:c>
      <x:c r="AM1764" s="19" t="n">
        <x:v>500000</x:v>
      </x:c>
      <x:c r="AN1764" s="3" t="str">
        <x:v>https://www.privatelendersdirectory.com/united-states/houston/top-level-category/church-capital</x:v>
      </x:c>
      <x:c r="AO1764" s="3" t="str">
        <x:v>public_directory.jsonl</x:v>
      </x:c>
      <x:c r="AP1764" s="19"/>
    </x:row>
    <x:row r="1765" ht="36" customHeight="1">
      <x:c r="A1765" s="23" t="n">
        <x:v>1764</x:v>
      </x:c>
      <x:c r="B1765" s="15" t="str">
        <x:v>CHURCHILL STATESIDE GROUP</x:v>
      </x:c>
      <x:c r="C1765" s="15"/>
      <x:c r="D1765" s="15" t="str">
        <x:v>Property lender or directory member; operating-company capital unconfirmed</x:v>
      </x:c>
      <x:c r="E1765" s="15" t="str">
        <x:v>Property lender / private-money inquiry</x:v>
      </x:c>
      <x:c r="F1765" s="17" t="str">
        <x:v>New</x:v>
      </x:c>
      <x:c r="G1765" s="24" t="str">
        <x:v>info@csgfirst.com</x:v>
      </x:c>
      <x:c r="H1765" s="24" t="str">
        <x:v>+17274612200</x:v>
      </x:c>
      <x:c r="I1765" s="24" t="str">
        <x:v>https://csgfirst.com/</x:v>
      </x:c>
      <x:c r="J1765" s="16" t="str">
        <x:v>FL</x:v>
      </x:c>
      <x:c r="K1765" s="16" t="str">
        <x:v>Clearwater</x:v>
      </x:c>
      <x:c r="L1765" s="16" t="str">
        <x:v>firm_business_routing</x:v>
      </x:c>
      <x:c r="M1765" s="16" t="str">
        <x:v>https://csgfirst.com/</x:v>
      </x:c>
      <x:c r="N1765" s="16" t="str">
        <x:v>$100K-$500K ticket not published / unconfirmed</x:v>
      </x:c>
      <x:c r="O1765" s="20"/>
      <x:c r="P1765" s="20"/>
      <x:c r="Q1765" s="25" t="str">
        <x:v>Property-loan range, not a corporate-capital commitment</x:v>
      </x:c>
      <x:c r="R1765" s="25" t="str">
        <x:v>Private real-estate finance experience. Corporate working capital, minority equity or profit participation requires a separate agreement from a property loan.</x:v>
      </x:c>
      <x:c r="S1765" s="25"/>
      <x:c r="T1765" s="25" t="str">
        <x:v>Confirm direct principal versus broker, $100K-$500K appetite, and whether capital can fund the operating company without a property mortgage.</x:v>
      </x:c>
      <x:c r="U1765" s="25" t="str">
        <x:v>https://www.privatelendersdirectory.com/united-states/clearwater/real-estate-investment-lending/churchill-stateside-group
https://csgfirst.com/</x:v>
      </x:c>
      <x:c r="V1765" s="26" t="d">
        <x:v>2026-10-02T00:00:00.000Z</x:v>
      </x:c>
      <x:c r="W1765" s="26" t="d">
        <x:v>2026-09-30T00:00:00.000Z</x:v>
      </x:c>
      <x:c r="X1765" s="25" t="str">
        <x:v>Saved public company, industry-directory or regulatory source; source date retained</x:v>
      </x:c>
      <x:c r="Y1765" s="25" t="str">
        <x:v>https://csgfirst.com/</x:v>
      </x:c>
      <x:c r="Z1765" s="25" t="str">
        <x:v>https://csgfirst.com/</x:v>
      </x:c>
      <x:c r="AA1765" s="25" t="str">
        <x:v>[]</x:v>
      </x:c>
      <x:c r="AB1765" s="3" t="str">
        <x:v>Existing CapitalForge research, newly screened for this campaign</x:v>
      </x:c>
      <x:c r="AC1765" s="3" t="str">
        <x:v>unverified</x:v>
      </x:c>
      <x:c r="AD1765" s="3" t="str">
        <x:v>Not contacted / unconfirmed</x:v>
      </x:c>
      <x:c r="AE1765" s="3" t="str">
        <x:v>No</x:v>
      </x:c>
      <x:c r="AF1765" s="3" t="str">
        <x:v>No</x:v>
      </x:c>
      <x:c r="AG1765" s="3"/>
      <x:c r="AH1765" s="3"/>
      <x:c r="AI1765" s="18"/>
      <x:c r="AJ1765" s="3" t="str">
        <x:v>CF2500-FEB5B72392C7</x:v>
      </x:c>
      <x:c r="AK1765" s="3" t="str">
        <x:v>private_real_estate_lender</x:v>
      </x:c>
      <x:c r="AL1765" s="19" t="n">
        <x:v>100000</x:v>
      </x:c>
      <x:c r="AM1765" s="19" t="n">
        <x:v>500000</x:v>
      </x:c>
      <x:c r="AN1765" s="3" t="str">
        <x:v>https://www.privatelendersdirectory.com/united-states/clearwater/real-estate-investment-lending/churchill-stateside-group</x:v>
      </x:c>
      <x:c r="AO1765" s="3" t="str">
        <x:v>public_directory.jsonl</x:v>
      </x:c>
      <x:c r="AP1765" s="19"/>
    </x:row>
    <x:row r="1766" ht="36" customHeight="1">
      <x:c r="A1766" s="23" t="n">
        <x:v>1765</x:v>
      </x:c>
      <x:c r="B1766" s="15" t="str">
        <x:v>CLINGAN CAPITAL FUNDING</x:v>
      </x:c>
      <x:c r="C1766" s="15"/>
      <x:c r="D1766" s="15" t="str">
        <x:v>Property lender or directory member; operating-company capital unconfirmed</x:v>
      </x:c>
      <x:c r="E1766" s="15" t="str">
        <x:v>Property lender / private-money inquiry</x:v>
      </x:c>
      <x:c r="F1766" s="17" t="str">
        <x:v>New</x:v>
      </x:c>
      <x:c r="G1766" s="24" t="str">
        <x:v>bclingan@clingancapital.com</x:v>
      </x:c>
      <x:c r="H1766" s="24" t="str">
        <x:v>+18556389606</x:v>
      </x:c>
      <x:c r="I1766" s="24" t="str">
        <x:v>https://www.clingancapital.com/</x:v>
      </x:c>
      <x:c r="J1766" s="16" t="str">
        <x:v>FL</x:v>
      </x:c>
      <x:c r="K1766" s="16" t="str">
        <x:v>DeLand</x:v>
      </x:c>
      <x:c r="L1766" s="16" t="str">
        <x:v>firm_business_routing</x:v>
      </x:c>
      <x:c r="M1766" s="16" t="str">
        <x:v>https://www.clingancapital.com/</x:v>
      </x:c>
      <x:c r="N1766" s="16" t="str">
        <x:v>$100K-$500K ticket not published / unconfirmed</x:v>
      </x:c>
      <x:c r="O1766" s="20"/>
      <x:c r="P1766" s="20"/>
      <x:c r="Q1766" s="25" t="str">
        <x:v>Property-loan range, not a corporate-capital commitment</x:v>
      </x:c>
      <x:c r="R1766" s="25" t="str">
        <x:v>Private real-estate finance experience. Corporate working capital, minority equity or profit participation requires a separate agreement from a property loan.</x:v>
      </x:c>
      <x:c r="S1766" s="25"/>
      <x:c r="T1766" s="25" t="str">
        <x:v>Confirm direct principal versus broker, $100K-$500K appetite, and whether capital can fund the operating company without a property mortgage.</x:v>
      </x:c>
      <x:c r="U1766" s="25" t="str">
        <x:v>https://www.privatelendersdirectory.com/united-states/deland/real-estate-investment-lending/clingan-capital-funding
https://www.clingancapital.com/</x:v>
      </x:c>
      <x:c r="V1766" s="26" t="d">
        <x:v>2026-10-02T00:00:00.000Z</x:v>
      </x:c>
      <x:c r="W1766" s="26" t="d">
        <x:v>2026-09-30T00:00:00.000Z</x:v>
      </x:c>
      <x:c r="X1766" s="25" t="str">
        <x:v>Saved public company, industry-directory or regulatory source; source date retained</x:v>
      </x:c>
      <x:c r="Y1766" s="25" t="str">
        <x:v>https://www.clingancapital.com/</x:v>
      </x:c>
      <x:c r="Z1766" s="25" t="str">
        <x:v>https://www.clingancapital.com/</x:v>
      </x:c>
      <x:c r="AA1766" s="25" t="str">
        <x:v>[]</x:v>
      </x:c>
      <x:c r="AB1766" s="3" t="str">
        <x:v>Existing CapitalForge research, newly screened for this campaign</x:v>
      </x:c>
      <x:c r="AC1766" s="3" t="str">
        <x:v>unverified</x:v>
      </x:c>
      <x:c r="AD1766" s="3" t="str">
        <x:v>Not contacted / unconfirmed</x:v>
      </x:c>
      <x:c r="AE1766" s="3" t="str">
        <x:v>No</x:v>
      </x:c>
      <x:c r="AF1766" s="3" t="str">
        <x:v>No</x:v>
      </x:c>
      <x:c r="AG1766" s="3"/>
      <x:c r="AH1766" s="3"/>
      <x:c r="AI1766" s="18"/>
      <x:c r="AJ1766" s="3" t="str">
        <x:v>CF2500-B37F1752D1C7</x:v>
      </x:c>
      <x:c r="AK1766" s="3" t="str">
        <x:v>private_real_estate_lender</x:v>
      </x:c>
      <x:c r="AL1766" s="19" t="n">
        <x:v>100000</x:v>
      </x:c>
      <x:c r="AM1766" s="19" t="n">
        <x:v>500000</x:v>
      </x:c>
      <x:c r="AN1766" s="3" t="str">
        <x:v>https://www.privatelendersdirectory.com/united-states/deland/real-estate-investment-lending/clingan-capital-funding</x:v>
      </x:c>
      <x:c r="AO1766" s="3" t="str">
        <x:v>public_directory.jsonl</x:v>
      </x:c>
      <x:c r="AP1766" s="19"/>
    </x:row>
    <x:row r="1767" ht="36" customHeight="1">
      <x:c r="A1767" s="23" t="n">
        <x:v>1766</x:v>
      </x:c>
      <x:c r="B1767" s="15" t="str">
        <x:v>CLOVER LEAF LENDING</x:v>
      </x:c>
      <x:c r="C1767" s="15"/>
      <x:c r="D1767" s="15" t="str">
        <x:v>Property lender or directory member; operating-company capital unconfirmed</x:v>
      </x:c>
      <x:c r="E1767" s="15" t="str">
        <x:v>Property lender / private-money inquiry</x:v>
      </x:c>
      <x:c r="F1767" s="17" t="str">
        <x:v>New</x:v>
      </x:c>
      <x:c r="G1767" s="24" t="str">
        <x:v>info@cloverleaflending.com</x:v>
      </x:c>
      <x:c r="H1767" s="24" t="str">
        <x:v>+18006190683</x:v>
      </x:c>
      <x:c r="I1767" s="24" t="str">
        <x:v>https://cloverleaflending.com/</x:v>
      </x:c>
      <x:c r="J1767" s="16" t="str">
        <x:v>TX</x:v>
      </x:c>
      <x:c r="K1767" s="16" t="str">
        <x:v>Dallas</x:v>
      </x:c>
      <x:c r="L1767" s="16" t="str">
        <x:v>firm_business_routing</x:v>
      </x:c>
      <x:c r="M1767" s="16" t="str">
        <x:v>https://cloverleaflending.com/</x:v>
      </x:c>
      <x:c r="N1767" s="16" t="str">
        <x:v>$100K-$500K ticket not published / unconfirmed</x:v>
      </x:c>
      <x:c r="O1767" s="20"/>
      <x:c r="P1767" s="20"/>
      <x:c r="Q1767" s="25" t="str">
        <x:v>Property-loan range, not a corporate-capital commitment</x:v>
      </x:c>
      <x:c r="R1767" s="25" t="str">
        <x:v>Private real-estate finance experience. Corporate working capital, minority equity or profit participation requires a separate agreement from a property loan.</x:v>
      </x:c>
      <x:c r="S1767" s="25"/>
      <x:c r="T1767" s="25" t="str">
        <x:v>Confirm direct principal versus broker, $100K-$500K appetite, and whether capital can fund the operating company without a property mortgage.</x:v>
      </x:c>
      <x:c r="U1767" s="25" t="str">
        <x:v>https://www.privatelendersdirectory.com/united-states/dallas/top-level-category/clover-leaf-lending
https://cloverleaflending.com/</x:v>
      </x:c>
      <x:c r="V1767" s="26" t="d">
        <x:v>2026-10-02T00:00:00.000Z</x:v>
      </x:c>
      <x:c r="W1767" s="26" t="d">
        <x:v>2026-09-30T00:00:00.000Z</x:v>
      </x:c>
      <x:c r="X1767" s="25" t="str">
        <x:v>Saved public company, industry-directory or regulatory source; source date retained</x:v>
      </x:c>
      <x:c r="Y1767" s="25" t="str">
        <x:v>https://cloverleaflending.com/</x:v>
      </x:c>
      <x:c r="Z1767" s="25" t="str">
        <x:v>https://cloverleaflending.com/</x:v>
      </x:c>
      <x:c r="AA1767" s="25" t="str">
        <x:v>[]</x:v>
      </x:c>
      <x:c r="AB1767" s="3" t="str">
        <x:v>Existing CapitalForge research, newly screened for this campaign</x:v>
      </x:c>
      <x:c r="AC1767" s="3" t="str">
        <x:v>unverified</x:v>
      </x:c>
      <x:c r="AD1767" s="3" t="str">
        <x:v>Not contacted / unconfirmed</x:v>
      </x:c>
      <x:c r="AE1767" s="3" t="str">
        <x:v>No</x:v>
      </x:c>
      <x:c r="AF1767" s="3" t="str">
        <x:v>No</x:v>
      </x:c>
      <x:c r="AG1767" s="3"/>
      <x:c r="AH1767" s="3"/>
      <x:c r="AI1767" s="18"/>
      <x:c r="AJ1767" s="3" t="str">
        <x:v>CF2500-3DEF0E39F1C4</x:v>
      </x:c>
      <x:c r="AK1767" s="3" t="str">
        <x:v>private_real_estate_lender</x:v>
      </x:c>
      <x:c r="AL1767" s="19" t="n">
        <x:v>100000</x:v>
      </x:c>
      <x:c r="AM1767" s="19" t="n">
        <x:v>500000</x:v>
      </x:c>
      <x:c r="AN1767" s="3" t="str">
        <x:v>https://www.privatelendersdirectory.com/united-states/dallas/top-level-category/clover-leaf-lending</x:v>
      </x:c>
      <x:c r="AO1767" s="3" t="str">
        <x:v>public_directory.jsonl</x:v>
      </x:c>
      <x:c r="AP1767" s="19"/>
    </x:row>
    <x:row r="1768" ht="36" customHeight="1">
      <x:c r="A1768" s="23" t="n">
        <x:v>1767</x:v>
      </x:c>
      <x:c r="B1768" s="15" t="str">
        <x:v>COLONIAL CAPITAL</x:v>
      </x:c>
      <x:c r="C1768" s="15"/>
      <x:c r="D1768" s="15" t="str">
        <x:v>Property lender or directory member; operating-company capital unconfirmed</x:v>
      </x:c>
      <x:c r="E1768" s="15" t="str">
        <x:v>Property lender / private-money inquiry</x:v>
      </x:c>
      <x:c r="F1768" s="17" t="str">
        <x:v>New</x:v>
      </x:c>
      <x:c r="G1768" s="24" t="str">
        <x:v>info@colonial-capital.com</x:v>
      </x:c>
      <x:c r="H1768" s="24" t="str">
        <x:v>+16022240745</x:v>
      </x:c>
      <x:c r="I1768" s="24" t="str">
        <x:v>https://colonial-capital.com/</x:v>
      </x:c>
      <x:c r="J1768" s="16" t="str">
        <x:v>AZ</x:v>
      </x:c>
      <x:c r="K1768" s="16" t="str">
        <x:v>Phoenix</x:v>
      </x:c>
      <x:c r="L1768" s="16" t="str">
        <x:v>firm_business_routing</x:v>
      </x:c>
      <x:c r="M1768" s="16" t="str">
        <x:v>https://colonial-capital.com/</x:v>
      </x:c>
      <x:c r="N1768" s="16" t="str">
        <x:v>$100K-$500K ticket not published / unconfirmed</x:v>
      </x:c>
      <x:c r="O1768" s="20"/>
      <x:c r="P1768" s="20"/>
      <x:c r="Q1768" s="25" t="str">
        <x:v>Property-loan range, not a corporate-capital commitment</x:v>
      </x:c>
      <x:c r="R1768" s="25" t="str">
        <x:v>Private real-estate finance experience. Corporate working capital, minority equity or profit participation requires a separate agreement from a property loan.</x:v>
      </x:c>
      <x:c r="S1768" s="25"/>
      <x:c r="T1768" s="25" t="str">
        <x:v>Confirm direct principal versus broker, $100K-$500K appetite, and whether capital can fund the operating company without a property mortgage.</x:v>
      </x:c>
      <x:c r="U1768" s="25" t="str">
        <x:v>https://www.privatelendersdirectory.com/united-states/phoenix/top-level-category/colonial-capital
https://colonial-capital.com/</x:v>
      </x:c>
      <x:c r="V1768" s="26" t="d">
        <x:v>2026-10-02T00:00:00.000Z</x:v>
      </x:c>
      <x:c r="W1768" s="26" t="d">
        <x:v>2026-09-30T00:00:00.000Z</x:v>
      </x:c>
      <x:c r="X1768" s="25" t="str">
        <x:v>Saved public company, industry-directory or regulatory source; source date retained</x:v>
      </x:c>
      <x:c r="Y1768" s="25" t="str">
        <x:v>https://colonial-capital.com/</x:v>
      </x:c>
      <x:c r="Z1768" s="25" t="str">
        <x:v>https://colonial-capital.com/</x:v>
      </x:c>
      <x:c r="AA1768" s="25" t="str">
        <x:v>[]</x:v>
      </x:c>
      <x:c r="AB1768" s="3" t="str">
        <x:v>Existing CapitalForge research, newly screened for this campaign</x:v>
      </x:c>
      <x:c r="AC1768" s="3" t="str">
        <x:v>unverified</x:v>
      </x:c>
      <x:c r="AD1768" s="3" t="str">
        <x:v>Not contacted / unconfirmed</x:v>
      </x:c>
      <x:c r="AE1768" s="3" t="str">
        <x:v>No</x:v>
      </x:c>
      <x:c r="AF1768" s="3" t="str">
        <x:v>No</x:v>
      </x:c>
      <x:c r="AG1768" s="3"/>
      <x:c r="AH1768" s="3"/>
      <x:c r="AI1768" s="18"/>
      <x:c r="AJ1768" s="3" t="str">
        <x:v>CF2500-863BA2F3D2C2</x:v>
      </x:c>
      <x:c r="AK1768" s="3" t="str">
        <x:v>private_real_estate_lender</x:v>
      </x:c>
      <x:c r="AL1768" s="19" t="n">
        <x:v>100000</x:v>
      </x:c>
      <x:c r="AM1768" s="19" t="n">
        <x:v>500000</x:v>
      </x:c>
      <x:c r="AN1768" s="3" t="str">
        <x:v>https://www.privatelendersdirectory.com/united-states/phoenix/top-level-category/colonial-capital</x:v>
      </x:c>
      <x:c r="AO1768" s="3" t="str">
        <x:v>public_directory.jsonl</x:v>
      </x:c>
      <x:c r="AP1768" s="19"/>
    </x:row>
    <x:row r="1769" ht="36" customHeight="1">
      <x:c r="A1769" s="23" t="n">
        <x:v>1768</x:v>
      </x:c>
      <x:c r="B1769" s="15" t="str">
        <x:v>COMCAP FLORIDA</x:v>
      </x:c>
      <x:c r="C1769" s="15"/>
      <x:c r="D1769" s="15" t="str">
        <x:v>Property lender or directory member; operating-company capital unconfirmed</x:v>
      </x:c>
      <x:c r="E1769" s="15" t="str">
        <x:v>Property lender / private-money inquiry</x:v>
      </x:c>
      <x:c r="F1769" s="17" t="str">
        <x:v>New</x:v>
      </x:c>
      <x:c r="G1769" s="24" t="str">
        <x:v>info@comcapfl.com</x:v>
      </x:c>
      <x:c r="H1769" s="24" t="str">
        <x:v>+18889591648</x:v>
      </x:c>
      <x:c r="I1769" s="24" t="str">
        <x:v>https://comcapfl.com/our-firm/</x:v>
      </x:c>
      <x:c r="J1769" s="16" t="str">
        <x:v>FL</x:v>
      </x:c>
      <x:c r="K1769" s="16" t="str">
        <x:v>Indialantic</x:v>
      </x:c>
      <x:c r="L1769" s="16" t="str">
        <x:v>firm_business_routing</x:v>
      </x:c>
      <x:c r="M1769" s="16" t="str">
        <x:v>https://comcapfl.com/our-firm/</x:v>
      </x:c>
      <x:c r="N1769" s="16" t="str">
        <x:v>$100K-$500K ticket not published / unconfirmed</x:v>
      </x:c>
      <x:c r="O1769" s="20"/>
      <x:c r="P1769" s="20"/>
      <x:c r="Q1769" s="25" t="str">
        <x:v>Property-loan range, not a corporate-capital commitment</x:v>
      </x:c>
      <x:c r="R1769" s="25" t="str">
        <x:v>Private real-estate finance experience. Corporate working capital, minority equity or profit participation requires a separate agreement from a property loan.</x:v>
      </x:c>
      <x:c r="S1769" s="25"/>
      <x:c r="T1769" s="25" t="str">
        <x:v>Confirm direct principal versus broker, $100K-$500K appetite, and whether capital can fund the operating company without a property mortgage.</x:v>
      </x:c>
      <x:c r="U1769" s="25" t="str">
        <x:v>https://www.privatelendersdirectory.com/united-states/indialantic/top-level-category/comcap-florida
https://comcapfl.com/our-firm/</x:v>
      </x:c>
      <x:c r="V1769" s="26" t="d">
        <x:v>2026-10-02T00:00:00.000Z</x:v>
      </x:c>
      <x:c r="W1769" s="26" t="d">
        <x:v>2026-09-30T00:00:00.000Z</x:v>
      </x:c>
      <x:c r="X1769" s="25" t="str">
        <x:v>Saved public company, industry-directory or regulatory source; source date retained</x:v>
      </x:c>
      <x:c r="Y1769" s="25" t="str">
        <x:v>https://comcapfl.com/our-firm/</x:v>
      </x:c>
      <x:c r="Z1769" s="25" t="str">
        <x:v>https://comcapfl.com/our-firm/</x:v>
      </x:c>
      <x:c r="AA1769" s="25" t="str">
        <x:v>[]</x:v>
      </x:c>
      <x:c r="AB1769" s="3" t="str">
        <x:v>Existing CapitalForge research, newly screened for this campaign</x:v>
      </x:c>
      <x:c r="AC1769" s="3" t="str">
        <x:v>unverified</x:v>
      </x:c>
      <x:c r="AD1769" s="3" t="str">
        <x:v>Not contacted / unconfirmed</x:v>
      </x:c>
      <x:c r="AE1769" s="3" t="str">
        <x:v>No</x:v>
      </x:c>
      <x:c r="AF1769" s="3" t="str">
        <x:v>No</x:v>
      </x:c>
      <x:c r="AG1769" s="3"/>
      <x:c r="AH1769" s="3"/>
      <x:c r="AI1769" s="18"/>
      <x:c r="AJ1769" s="3" t="str">
        <x:v>CF2500-117991D0761A</x:v>
      </x:c>
      <x:c r="AK1769" s="3" t="str">
        <x:v>private_real_estate_lender</x:v>
      </x:c>
      <x:c r="AL1769" s="19" t="n">
        <x:v>100000</x:v>
      </x:c>
      <x:c r="AM1769" s="19" t="n">
        <x:v>500000</x:v>
      </x:c>
      <x:c r="AN1769" s="3" t="str">
        <x:v>https://www.privatelendersdirectory.com/united-states/indialantic/top-level-category/comcap-florida</x:v>
      </x:c>
      <x:c r="AO1769" s="3" t="str">
        <x:v>public_directory.jsonl</x:v>
      </x:c>
      <x:c r="AP1769" s="19"/>
    </x:row>
    <x:row r="1770" ht="36" customHeight="1">
      <x:c r="A1770" s="23" t="n">
        <x:v>1769</x:v>
      </x:c>
      <x:c r="B1770" s="15" t="str">
        <x:v>COMMERCIAL FINANCE NOW</x:v>
      </x:c>
      <x:c r="C1770" s="15"/>
      <x:c r="D1770" s="15" t="str">
        <x:v>Property lender or directory member; operating-company capital unconfirmed</x:v>
      </x:c>
      <x:c r="E1770" s="15" t="str">
        <x:v>Property lender / private-money inquiry</x:v>
      </x:c>
      <x:c r="F1770" s="17" t="str">
        <x:v>New</x:v>
      </x:c>
      <x:c r="G1770" s="24" t="str">
        <x:v>info@commercialfinancenow.com</x:v>
      </x:c>
      <x:c r="H1770" s="24" t="str">
        <x:v>+18444426634</x:v>
      </x:c>
      <x:c r="I1770" s="24" t="str">
        <x:v>https://www.commercialfinancenow.com/</x:v>
      </x:c>
      <x:c r="J1770" s="16" t="str">
        <x:v>FL</x:v>
      </x:c>
      <x:c r="K1770" s="16" t="str">
        <x:v>Tampa</x:v>
      </x:c>
      <x:c r="L1770" s="16" t="str">
        <x:v>firm_business_routing</x:v>
      </x:c>
      <x:c r="M1770" s="16" t="str">
        <x:v>https://www.commercialfinancenow.com/</x:v>
      </x:c>
      <x:c r="N1770" s="16" t="str">
        <x:v>$100K-$500K ticket not published / unconfirmed</x:v>
      </x:c>
      <x:c r="O1770" s="20"/>
      <x:c r="P1770" s="20"/>
      <x:c r="Q1770" s="25" t="str">
        <x:v>Property-loan range, not a corporate-capital commitment</x:v>
      </x:c>
      <x:c r="R1770" s="25" t="str">
        <x:v>Private real-estate finance experience. Corporate working capital, minority equity or profit participation requires a separate agreement from a property loan.</x:v>
      </x:c>
      <x:c r="S1770" s="25"/>
      <x:c r="T1770" s="25" t="str">
        <x:v>Confirm direct principal versus broker, $100K-$500K appetite, and whether capital can fund the operating company without a property mortgage.</x:v>
      </x:c>
      <x:c r="U1770" s="25" t="str">
        <x:v>https://www.privatelendersdirectory.com/united-states/tampa/top-level-category/commercial-finance-now
https://www.commercialfinancenow.com/</x:v>
      </x:c>
      <x:c r="V1770" s="26" t="d">
        <x:v>2026-10-02T00:00:00.000Z</x:v>
      </x:c>
      <x:c r="W1770" s="26" t="d">
        <x:v>2026-09-30T00:00:00.000Z</x:v>
      </x:c>
      <x:c r="X1770" s="25" t="str">
        <x:v>Saved public company, industry-directory or regulatory source; source date retained</x:v>
      </x:c>
      <x:c r="Y1770" s="25" t="str">
        <x:v>https://www.commercialfinancenow.com/</x:v>
      </x:c>
      <x:c r="Z1770" s="25" t="str">
        <x:v>https://www.commercialfinancenow.com/</x:v>
      </x:c>
      <x:c r="AA1770" s="25" t="str">
        <x:v>[]</x:v>
      </x:c>
      <x:c r="AB1770" s="3" t="str">
        <x:v>Existing CapitalForge research, newly screened for this campaign</x:v>
      </x:c>
      <x:c r="AC1770" s="3" t="str">
        <x:v>unverified</x:v>
      </x:c>
      <x:c r="AD1770" s="3" t="str">
        <x:v>Not contacted / unconfirmed</x:v>
      </x:c>
      <x:c r="AE1770" s="3" t="str">
        <x:v>No</x:v>
      </x:c>
      <x:c r="AF1770" s="3" t="str">
        <x:v>No</x:v>
      </x:c>
      <x:c r="AG1770" s="3"/>
      <x:c r="AH1770" s="3"/>
      <x:c r="AI1770" s="18"/>
      <x:c r="AJ1770" s="3" t="str">
        <x:v>CF2500-3BD73925CD02</x:v>
      </x:c>
      <x:c r="AK1770" s="3" t="str">
        <x:v>private_real_estate_lender</x:v>
      </x:c>
      <x:c r="AL1770" s="19" t="n">
        <x:v>100000</x:v>
      </x:c>
      <x:c r="AM1770" s="19" t="n">
        <x:v>500000</x:v>
      </x:c>
      <x:c r="AN1770" s="3" t="str">
        <x:v>https://www.privatelendersdirectory.com/united-states/tampa/top-level-category/commercial-finance-now</x:v>
      </x:c>
      <x:c r="AO1770" s="3" t="str">
        <x:v>public_directory.jsonl</x:v>
      </x:c>
      <x:c r="AP1770" s="19"/>
    </x:row>
    <x:row r="1771" ht="36" customHeight="1">
      <x:c r="A1771" s="23" t="n">
        <x:v>1770</x:v>
      </x:c>
      <x:c r="B1771" s="15" t="str">
        <x:v>CONTIGO CAPITAL</x:v>
      </x:c>
      <x:c r="C1771" s="15"/>
      <x:c r="D1771" s="15" t="str">
        <x:v>Property lender or directory member; operating-company capital unconfirmed</x:v>
      </x:c>
      <x:c r="E1771" s="15" t="str">
        <x:v>Property lender / private-money inquiry</x:v>
      </x:c>
      <x:c r="F1771" s="17" t="str">
        <x:v>New</x:v>
      </x:c>
      <x:c r="G1771" s="24" t="str">
        <x:v>info@contigocapitalcorp.com</x:v>
      </x:c>
      <x:c r="H1771" s="24" t="str">
        <x:v>+12143820800</x:v>
      </x:c>
      <x:c r="I1771" s="24" t="str">
        <x:v>http://contigocapitalcorp.com</x:v>
      </x:c>
      <x:c r="J1771" s="16" t="str">
        <x:v>TX</x:v>
      </x:c>
      <x:c r="K1771" s="16" t="str">
        <x:v>Farmers Branch</x:v>
      </x:c>
      <x:c r="L1771" s="16" t="str">
        <x:v>firm_business_routing</x:v>
      </x:c>
      <x:c r="M1771" s="16" t="str">
        <x:v>http://contigocapitalcorp.com</x:v>
      </x:c>
      <x:c r="N1771" s="16" t="str">
        <x:v>$100K-$500K ticket not published / unconfirmed</x:v>
      </x:c>
      <x:c r="O1771" s="20"/>
      <x:c r="P1771" s="20"/>
      <x:c r="Q1771" s="25" t="str">
        <x:v>Property-loan range, not a corporate-capital commitment</x:v>
      </x:c>
      <x:c r="R1771" s="25" t="str">
        <x:v>Private real-estate finance experience. Corporate working capital, minority equity or profit participation requires a separate agreement from a property loan.</x:v>
      </x:c>
      <x:c r="S1771" s="25"/>
      <x:c r="T1771" s="25" t="str">
        <x:v>Confirm direct principal versus broker, $100K-$500K appetite, and whether capital can fund the operating company without a property mortgage.</x:v>
      </x:c>
      <x:c r="U1771" s="25" t="str">
        <x:v>https://www.privatelendersdirectory.com/united-states/farmers-branch/real-estate-investment-lending/contigo-capital
https://contigocapitalcorp.com/</x:v>
      </x:c>
      <x:c r="V1771" s="26" t="d">
        <x:v>2026-10-02T00:00:00.000Z</x:v>
      </x:c>
      <x:c r="W1771" s="26" t="d">
        <x:v>2026-09-30T00:00:00.000Z</x:v>
      </x:c>
      <x:c r="X1771" s="25" t="str">
        <x:v>Saved public company, industry-directory or regulatory source; source date retained</x:v>
      </x:c>
      <x:c r="Y1771" s="25" t="str">
        <x:v>https://contigocapitalcorp.com/</x:v>
      </x:c>
      <x:c r="Z1771" s="25" t="str">
        <x:v>https://contigocapitalcorp.com/</x:v>
      </x:c>
      <x:c r="AA1771" s="25" t="str">
        <x:v>[]</x:v>
      </x:c>
      <x:c r="AB1771" s="3" t="str">
        <x:v>Existing CapitalForge research, newly screened for this campaign</x:v>
      </x:c>
      <x:c r="AC1771" s="3" t="str">
        <x:v>unverified</x:v>
      </x:c>
      <x:c r="AD1771" s="3" t="str">
        <x:v>Not contacted / unconfirmed</x:v>
      </x:c>
      <x:c r="AE1771" s="3" t="str">
        <x:v>No</x:v>
      </x:c>
      <x:c r="AF1771" s="3" t="str">
        <x:v>No</x:v>
      </x:c>
      <x:c r="AG1771" s="3"/>
      <x:c r="AH1771" s="3"/>
      <x:c r="AI1771" s="18"/>
      <x:c r="AJ1771" s="3" t="str">
        <x:v>CF2500-F2ABE9BD8F69</x:v>
      </x:c>
      <x:c r="AK1771" s="3" t="str">
        <x:v>private_real_estate_lender</x:v>
      </x:c>
      <x:c r="AL1771" s="19" t="n">
        <x:v>100000</x:v>
      </x:c>
      <x:c r="AM1771" s="19" t="n">
        <x:v>500000</x:v>
      </x:c>
      <x:c r="AN1771" s="3" t="str">
        <x:v>https://www.privatelendersdirectory.com/united-states/farmers-branch/real-estate-investment-lending/contigo-capital</x:v>
      </x:c>
      <x:c r="AO1771" s="3" t="str">
        <x:v>public_directory.jsonl</x:v>
      </x:c>
      <x:c r="AP1771" s="19"/>
    </x:row>
    <x:row r="1772" ht="36" customHeight="1">
      <x:c r="A1772" s="23" t="n">
        <x:v>1771</x:v>
      </x:c>
      <x:c r="B1772" s="15" t="str">
        <x:v>Copa Capital Partners</x:v>
      </x:c>
      <x:c r="C1772" s="15"/>
      <x:c r="D1772" s="15" t="str">
        <x:v>Property lender or directory member; operating-company capital unconfirmed</x:v>
      </x:c>
      <x:c r="E1772" s="15" t="str">
        <x:v>Property lender / private-money inquiry</x:v>
      </x:c>
      <x:c r="F1772" s="17" t="str">
        <x:v>New</x:v>
      </x:c>
      <x:c r="G1772" s="24" t="str">
        <x:v>info@copacapital.com</x:v>
      </x:c>
      <x:c r="H1772" s="24" t="str">
        <x:v>+16027152150</x:v>
      </x:c>
      <x:c r="I1772" s="24" t="str">
        <x:v>https://www.copacapital.com/?utm_source=private-lender-link</x:v>
      </x:c>
      <x:c r="J1772" s="16" t="str">
        <x:v>AZ</x:v>
      </x:c>
      <x:c r="K1772" s="16" t="str">
        <x:v>Mesa</x:v>
      </x:c>
      <x:c r="L1772" s="16" t="str">
        <x:v>firm_business_routing</x:v>
      </x:c>
      <x:c r="M1772" s="16" t="str">
        <x:v>https://www.copacapital.com/?utm_source=private-lender-link</x:v>
      </x:c>
      <x:c r="N1772" s="16" t="str">
        <x:v>$100K-$500K ticket not published / unconfirmed</x:v>
      </x:c>
      <x:c r="O1772" s="20"/>
      <x:c r="P1772" s="20"/>
      <x:c r="Q1772" s="25" t="str">
        <x:v>Property-loan range, not a corporate-capital commitment</x:v>
      </x:c>
      <x:c r="R1772" s="25" t="str">
        <x:v>Private real-estate finance experience. Corporate working capital, minority equity or profit participation requires a separate agreement from a property loan.</x:v>
      </x:c>
      <x:c r="S1772" s="25"/>
      <x:c r="T1772" s="25" t="str">
        <x:v>Confirm direct principal versus broker, $100K-$500K appetite, and whether capital can fund the operating company without a property mortgage.</x:v>
      </x:c>
      <x:c r="U1772" s="25" t="str">
        <x:v>https://privatelenderlink.com/profile/copa-capital-partners/</x:v>
      </x:c>
      <x:c r="V1772" s="26" t="d">
        <x:v>2026-10-02T00:00:00.000Z</x:v>
      </x:c>
      <x:c r="W1772" s="26" t="d">
        <x:v>2026-09-30T00:00:00.000Z</x:v>
      </x:c>
      <x:c r="X1772" s="25" t="str">
        <x:v>Saved public company, industry-directory or regulatory source; source date retained</x:v>
      </x:c>
      <x:c r="Y1772" s="25" t="str">
        <x:v>https://privatelenderlink.com/profile/copa-capital-partners/</x:v>
      </x:c>
      <x:c r="Z1772" s="25" t="str">
        <x:v>https://privatelenderlink.com/profile/copa-capital-partners/</x:v>
      </x:c>
      <x:c r="AA1772" s="25" t="str">
        <x:v>[]</x:v>
      </x:c>
      <x:c r="AB1772" s="3" t="str">
        <x:v>Existing CapitalForge research, newly screened for this campaign</x:v>
      </x:c>
      <x:c r="AC1772" s="3" t="str">
        <x:v>unverified</x:v>
      </x:c>
      <x:c r="AD1772" s="3" t="str">
        <x:v>Not contacted / unconfirmed</x:v>
      </x:c>
      <x:c r="AE1772" s="3" t="str">
        <x:v>No</x:v>
      </x:c>
      <x:c r="AF1772" s="3" t="str">
        <x:v>No</x:v>
      </x:c>
      <x:c r="AG1772" s="3"/>
      <x:c r="AH1772" s="3"/>
      <x:c r="AI1772" s="18"/>
      <x:c r="AJ1772" s="3" t="str">
        <x:v>CF2500-35658DD40703</x:v>
      </x:c>
      <x:c r="AK1772" s="3" t="str">
        <x:v>private_real_estate_lender</x:v>
      </x:c>
      <x:c r="AL1772" s="19" t="n">
        <x:v>100000</x:v>
      </x:c>
      <x:c r="AM1772" s="19" t="n">
        <x:v>500000</x:v>
      </x:c>
      <x:c r="AN1772" s="3" t="str">
        <x:v>https://privatelenderlink.com/profile/copa-capital-partners/</x:v>
      </x:c>
      <x:c r="AO1772" s="3" t="str">
        <x:v>public_directory.jsonl</x:v>
      </x:c>
      <x:c r="AP1772" s="19"/>
    </x:row>
    <x:row r="1773" ht="36" customHeight="1">
      <x:c r="A1773" s="23" t="n">
        <x:v>1772</x:v>
      </x:c>
      <x:c r="B1773" s="15" t="str">
        <x:v>CORNERSTONE LENDING ALLIANCE</x:v>
      </x:c>
      <x:c r="C1773" s="15"/>
      <x:c r="D1773" s="15" t="str">
        <x:v>Property lender or directory member; operating-company capital unconfirmed</x:v>
      </x:c>
      <x:c r="E1773" s="15" t="str">
        <x:v>Property lender / private-money inquiry</x:v>
      </x:c>
      <x:c r="F1773" s="17" t="str">
        <x:v>New</x:v>
      </x:c>
      <x:c r="G1773" s="24" t="str">
        <x:v>info@cornerstonelendingalliance.com</x:v>
      </x:c>
      <x:c r="H1773" s="24" t="str">
        <x:v>+12816153955</x:v>
      </x:c>
      <x:c r="I1773" s="24" t="str">
        <x:v>https://cornerstonelendingalliance.com/</x:v>
      </x:c>
      <x:c r="J1773" s="16" t="str">
        <x:v>TX</x:v>
      </x:c>
      <x:c r="K1773" s="16" t="str">
        <x:v>Houston</x:v>
      </x:c>
      <x:c r="L1773" s="16" t="str">
        <x:v>firm_business_routing</x:v>
      </x:c>
      <x:c r="M1773" s="16" t="str">
        <x:v>https://cornerstonelendingalliance.com/</x:v>
      </x:c>
      <x:c r="N1773" s="16" t="str">
        <x:v>$100K-$500K ticket not published / unconfirmed</x:v>
      </x:c>
      <x:c r="O1773" s="20"/>
      <x:c r="P1773" s="20"/>
      <x:c r="Q1773" s="25" t="str">
        <x:v>Property-loan range, not a corporate-capital commitment</x:v>
      </x:c>
      <x:c r="R1773" s="25" t="str">
        <x:v>Private real-estate finance experience. Corporate working capital, minority equity or profit participation requires a separate agreement from a property loan.</x:v>
      </x:c>
      <x:c r="S1773" s="25"/>
      <x:c r="T1773" s="25" t="str">
        <x:v>Confirm direct principal versus broker, $100K-$500K appetite, and whether capital can fund the operating company without a property mortgage.</x:v>
      </x:c>
      <x:c r="U1773" s="25" t="str">
        <x:v>https://www.privatelendersdirectory.com/united-states/houston/real-estate-investment-lending/cornerstone-lending-alliance
https://cornerstonelendingalliance.com/</x:v>
      </x:c>
      <x:c r="V1773" s="26" t="d">
        <x:v>2026-10-02T00:00:00.000Z</x:v>
      </x:c>
      <x:c r="W1773" s="26" t="d">
        <x:v>2026-09-30T00:00:00.000Z</x:v>
      </x:c>
      <x:c r="X1773" s="25" t="str">
        <x:v>Saved public company, industry-directory or regulatory source; source date retained</x:v>
      </x:c>
      <x:c r="Y1773" s="25" t="str">
        <x:v>https://cornerstonelendingalliance.com/</x:v>
      </x:c>
      <x:c r="Z1773" s="25" t="str">
        <x:v>https://cornerstonelendingalliance.com/</x:v>
      </x:c>
      <x:c r="AA1773" s="25" t="str">
        <x:v>[]</x:v>
      </x:c>
      <x:c r="AB1773" s="3" t="str">
        <x:v>Existing CapitalForge research, newly screened for this campaign</x:v>
      </x:c>
      <x:c r="AC1773" s="3" t="str">
        <x:v>unverified</x:v>
      </x:c>
      <x:c r="AD1773" s="3" t="str">
        <x:v>Not contacted / unconfirmed</x:v>
      </x:c>
      <x:c r="AE1773" s="3" t="str">
        <x:v>No</x:v>
      </x:c>
      <x:c r="AF1773" s="3" t="str">
        <x:v>No</x:v>
      </x:c>
      <x:c r="AG1773" s="3"/>
      <x:c r="AH1773" s="3"/>
      <x:c r="AI1773" s="18"/>
      <x:c r="AJ1773" s="3" t="str">
        <x:v>CF2500-77CCE18F7B99</x:v>
      </x:c>
      <x:c r="AK1773" s="3" t="str">
        <x:v>private_real_estate_lender</x:v>
      </x:c>
      <x:c r="AL1773" s="19" t="n">
        <x:v>100000</x:v>
      </x:c>
      <x:c r="AM1773" s="19" t="n">
        <x:v>500000</x:v>
      </x:c>
      <x:c r="AN1773" s="3" t="str">
        <x:v>https://www.privatelendersdirectory.com/united-states/houston/real-estate-investment-lending/cornerstone-lending-alliance</x:v>
      </x:c>
      <x:c r="AO1773" s="3" t="str">
        <x:v>public_directory.jsonl</x:v>
      </x:c>
      <x:c r="AP1773" s="19"/>
    </x:row>
    <x:row r="1774" ht="36" customHeight="1">
      <x:c r="A1774" s="23" t="n">
        <x:v>1773</x:v>
      </x:c>
      <x:c r="B1774" s="15" t="str">
        <x:v>Crebrid</x:v>
      </x:c>
      <x:c r="C1774" s="15"/>
      <x:c r="D1774" s="15" t="str">
        <x:v>Property lender or directory member; operating-company capital unconfirmed</x:v>
      </x:c>
      <x:c r="E1774" s="15" t="str">
        <x:v>Property lender / private-money inquiry</x:v>
      </x:c>
      <x:c r="F1774" s="17" t="str">
        <x:v>New</x:v>
      </x:c>
      <x:c r="G1774" s="24" t="str">
        <x:v>info@crebrid.com</x:v>
      </x:c>
      <x:c r="H1774" s="24" t="str">
        <x:v>+19725254777</x:v>
      </x:c>
      <x:c r="I1774" s="24" t="str">
        <x:v>https://crebrid.com/?utm_source=private-lender-link</x:v>
      </x:c>
      <x:c r="J1774" s="16" t="str">
        <x:v>TX</x:v>
      </x:c>
      <x:c r="K1774" s="16" t="str">
        <x:v>Plano</x:v>
      </x:c>
      <x:c r="L1774" s="16" t="str">
        <x:v>firm_business_routing</x:v>
      </x:c>
      <x:c r="M1774" s="16" t="str">
        <x:v>https://crebrid.com/?utm_source=private-lender-link</x:v>
      </x:c>
      <x:c r="N1774" s="16" t="str">
        <x:v>$100K-$500K ticket not published / unconfirmed</x:v>
      </x:c>
      <x:c r="O1774" s="20"/>
      <x:c r="P1774" s="20"/>
      <x:c r="Q1774" s="25" t="str">
        <x:v>Property-loan range, not a corporate-capital commitment</x:v>
      </x:c>
      <x:c r="R1774" s="25" t="str">
        <x:v>Private real-estate finance experience. Corporate working capital, minority equity or profit participation requires a separate agreement from a property loan.</x:v>
      </x:c>
      <x:c r="S1774" s="25"/>
      <x:c r="T1774" s="25" t="str">
        <x:v>Confirm direct principal versus broker, $100K-$500K appetite, and whether capital can fund the operating company without a property mortgage.</x:v>
      </x:c>
      <x:c r="U1774" s="25" t="str">
        <x:v>https://privatelenderlink.com/profile/crebrid/
https://nplaconference.com/private-lending-directory/page/5/
https://crebrid.com/</x:v>
      </x:c>
      <x:c r="V1774" s="26" t="d">
        <x:v>2026-10-02T00:00:00.000Z</x:v>
      </x:c>
      <x:c r="W1774" s="26" t="d">
        <x:v>2026-09-30T00:00:00.000Z</x:v>
      </x:c>
      <x:c r="X1774" s="25" t="str">
        <x:v>Saved public company, industry-directory or regulatory source; source date retained</x:v>
      </x:c>
      <x:c r="Y1774" s="25" t="str">
        <x:v>https://privatelenderlink.com/profile/crebrid/</x:v>
      </x:c>
      <x:c r="Z1774" s="25" t="str">
        <x:v>https://privatelenderlink.com/profile/crebrid/</x:v>
      </x:c>
      <x:c r="AA1774" s="25" t="str">
        <x:v>[]</x:v>
      </x:c>
      <x:c r="AB1774" s="3" t="str">
        <x:v>Existing CapitalForge research, newly screened for this campaign</x:v>
      </x:c>
      <x:c r="AC1774" s="3" t="str">
        <x:v>unverified</x:v>
      </x:c>
      <x:c r="AD1774" s="3" t="str">
        <x:v>Not contacted / unconfirmed</x:v>
      </x:c>
      <x:c r="AE1774" s="3" t="str">
        <x:v>No</x:v>
      </x:c>
      <x:c r="AF1774" s="3" t="str">
        <x:v>No</x:v>
      </x:c>
      <x:c r="AG1774" s="3"/>
      <x:c r="AH1774" s="3"/>
      <x:c r="AI1774" s="18"/>
      <x:c r="AJ1774" s="3" t="str">
        <x:v>CF2500-AAB4F86120B1</x:v>
      </x:c>
      <x:c r="AK1774" s="3" t="str">
        <x:v>private_real_estate_lender</x:v>
      </x:c>
      <x:c r="AL1774" s="19" t="n">
        <x:v>100000</x:v>
      </x:c>
      <x:c r="AM1774" s="19" t="n">
        <x:v>500000</x:v>
      </x:c>
      <x:c r="AN1774" s="3" t="str">
        <x:v>https://privatelenderlink.com/profile/crebrid/</x:v>
      </x:c>
      <x:c r="AO1774" s="3" t="str">
        <x:v>public_directory.jsonl</x:v>
      </x:c>
      <x:c r="AP1774" s="19"/>
    </x:row>
    <x:row r="1775" ht="36" customHeight="1">
      <x:c r="A1775" s="23" t="n">
        <x:v>1774</x:v>
      </x:c>
      <x:c r="B1775" s="15" t="str">
        <x:v>CREFCOA</x:v>
      </x:c>
      <x:c r="C1775" s="15"/>
      <x:c r="D1775" s="15" t="str">
        <x:v>Property lender or directory member; operating-company capital unconfirmed</x:v>
      </x:c>
      <x:c r="E1775" s="15" t="str">
        <x:v>Property lender / private-money inquiry</x:v>
      </x:c>
      <x:c r="F1775" s="17" t="str">
        <x:v>New</x:v>
      </x:c>
      <x:c r="G1775" s="24" t="str">
        <x:v>customercare@crefcoa.com</x:v>
      </x:c>
      <x:c r="H1775" s="24" t="str">
        <x:v>+18669921109</x:v>
      </x:c>
      <x:c r="I1775" s="24" t="str">
        <x:v>https://www.crefcoa.com/</x:v>
      </x:c>
      <x:c r="J1775" s="16" t="str">
        <x:v>FL</x:v>
      </x:c>
      <x:c r="K1775" s="16" t="str">
        <x:v>Jacksonville</x:v>
      </x:c>
      <x:c r="L1775" s="16" t="str">
        <x:v>firm_business_routing</x:v>
      </x:c>
      <x:c r="M1775" s="16" t="str">
        <x:v>https://www.crefcoa.com/</x:v>
      </x:c>
      <x:c r="N1775" s="16" t="str">
        <x:v>$100K-$500K ticket not published / unconfirmed</x:v>
      </x:c>
      <x:c r="O1775" s="20"/>
      <x:c r="P1775" s="20"/>
      <x:c r="Q1775" s="25" t="str">
        <x:v>Property-loan range, not a corporate-capital commitment</x:v>
      </x:c>
      <x:c r="R1775" s="25" t="str">
        <x:v>Private real-estate finance experience. Corporate working capital, minority equity or profit participation requires a separate agreement from a property loan.</x:v>
      </x:c>
      <x:c r="S1775" s="25"/>
      <x:c r="T1775" s="25" t="str">
        <x:v>Confirm direct principal versus broker, $100K-$500K appetite, and whether capital can fund the operating company without a property mortgage.</x:v>
      </x:c>
      <x:c r="U1775" s="25" t="str">
        <x:v>https://www.privatelendersdirectory.com/united-states/jacksonville/top-level-category/crefcoa
https://www.crefcoa.com/
https://www.crefcoa.com/contact.html</x:v>
      </x:c>
      <x:c r="V1775" s="26" t="d">
        <x:v>2026-10-02T00:00:00.000Z</x:v>
      </x:c>
      <x:c r="W1775" s="26" t="d">
        <x:v>2026-09-30T00:00:00.000Z</x:v>
      </x:c>
      <x:c r="X1775" s="25" t="str">
        <x:v>Saved public company, industry-directory or regulatory source; source date retained</x:v>
      </x:c>
      <x:c r="Y1775" s="25" t="str">
        <x:v>https://www.crefcoa.com/contact.html</x:v>
      </x:c>
      <x:c r="Z1775" s="25" t="str">
        <x:v>https://www.crefcoa.com/</x:v>
      </x:c>
      <x:c r="AA1775" s="25" t="str">
        <x:v>[]</x:v>
      </x:c>
      <x:c r="AB1775" s="3" t="str">
        <x:v>Existing CapitalForge research, newly screened for this campaign</x:v>
      </x:c>
      <x:c r="AC1775" s="3" t="str">
        <x:v>unverified</x:v>
      </x:c>
      <x:c r="AD1775" s="3" t="str">
        <x:v>Not contacted / unconfirmed</x:v>
      </x:c>
      <x:c r="AE1775" s="3" t="str">
        <x:v>No</x:v>
      </x:c>
      <x:c r="AF1775" s="3" t="str">
        <x:v>No</x:v>
      </x:c>
      <x:c r="AG1775" s="3"/>
      <x:c r="AH1775" s="3"/>
      <x:c r="AI1775" s="18"/>
      <x:c r="AJ1775" s="3" t="str">
        <x:v>CF2500-46130EE18FD0</x:v>
      </x:c>
      <x:c r="AK1775" s="3" t="str">
        <x:v>private_real_estate_lender</x:v>
      </x:c>
      <x:c r="AL1775" s="19" t="n">
        <x:v>100000</x:v>
      </x:c>
      <x:c r="AM1775" s="19" t="n">
        <x:v>500000</x:v>
      </x:c>
      <x:c r="AN1775" s="3" t="str">
        <x:v>https://www.privatelendersdirectory.com/united-states/jacksonville/top-level-category/crefcoa</x:v>
      </x:c>
      <x:c r="AO1775" s="3" t="str">
        <x:v>public_directory.jsonl</x:v>
      </x:c>
      <x:c r="AP1775" s="19"/>
    </x:row>
    <x:row r="1776" ht="36" customHeight="1">
      <x:c r="A1776" s="23" t="n">
        <x:v>1775</x:v>
      </x:c>
      <x:c r="B1776" s="15" t="str">
        <x:v>CSI Mortgage Corporation</x:v>
      </x:c>
      <x:c r="C1776" s="15"/>
      <x:c r="D1776" s="15" t="str">
        <x:v>Property lender or directory member; operating-company capital unconfirmed</x:v>
      </x:c>
      <x:c r="E1776" s="15" t="str">
        <x:v>Property lender / private-money inquiry</x:v>
      </x:c>
      <x:c r="F1776" s="17" t="str">
        <x:v>New</x:v>
      </x:c>
      <x:c r="G1776" s="24" t="str">
        <x:v>info@csimortgageaz.com</x:v>
      </x:c>
      <x:c r="H1776" s="24" t="str">
        <x:v>+14808604028</x:v>
      </x:c>
      <x:c r="I1776" s="24" t="str">
        <x:v>http://www.csimortgageaz.com</x:v>
      </x:c>
      <x:c r="J1776" s="16" t="str">
        <x:v>AZ</x:v>
      </x:c>
      <x:c r="K1776" s="16" t="str">
        <x:v>Scottsale</x:v>
      </x:c>
      <x:c r="L1776" s="16" t="str">
        <x:v>firm_business_routing</x:v>
      </x:c>
      <x:c r="M1776" s="16" t="str">
        <x:v>http://www.csimortgageaz.com</x:v>
      </x:c>
      <x:c r="N1776" s="16" t="str">
        <x:v>$100K-$500K ticket not published / unconfirmed</x:v>
      </x:c>
      <x:c r="O1776" s="20"/>
      <x:c r="P1776" s="20"/>
      <x:c r="Q1776" s="25" t="str">
        <x:v>Property-loan range, not a corporate-capital commitment</x:v>
      </x:c>
      <x:c r="R1776" s="25" t="str">
        <x:v>Private real-estate finance experience. Corporate working capital, minority equity or profit participation requires a separate agreement from a property loan.</x:v>
      </x:c>
      <x:c r="S1776" s="25"/>
      <x:c r="T1776" s="25" t="str">
        <x:v>Confirm direct principal versus broker, $100K-$500K appetite, and whether capital can fund the operating company without a property mortgage.</x:v>
      </x:c>
      <x:c r="U1776" s="25" t="str">
        <x:v>https://www.hardmoneyhome.com/lenders/view/csi-mortgage-corporation
https://www.csimortgageaz.com</x:v>
      </x:c>
      <x:c r="V1776" s="26" t="d">
        <x:v>2026-10-02T00:00:00.000Z</x:v>
      </x:c>
      <x:c r="W1776" s="26" t="d">
        <x:v>2026-09-30T00:00:00.000Z</x:v>
      </x:c>
      <x:c r="X1776" s="25" t="str">
        <x:v>Saved public company, industry-directory or regulatory source; source date retained</x:v>
      </x:c>
      <x:c r="Y1776" s="25" t="str">
        <x:v>https://www.csimortgageaz.com</x:v>
      </x:c>
      <x:c r="Z1776" s="25" t="str">
        <x:v>https://www.hardmoneyhome.com/lenders/view/csi-mortgage-corporation</x:v>
      </x:c>
      <x:c r="AA1776" s="25" t="str">
        <x:v>[]</x:v>
      </x:c>
      <x:c r="AB1776" s="3" t="str">
        <x:v>Existing CapitalForge research, newly screened for this campaign</x:v>
      </x:c>
      <x:c r="AC1776" s="3" t="str">
        <x:v>unverified</x:v>
      </x:c>
      <x:c r="AD1776" s="3" t="str">
        <x:v>Not contacted / unconfirmed</x:v>
      </x:c>
      <x:c r="AE1776" s="3" t="str">
        <x:v>No</x:v>
      </x:c>
      <x:c r="AF1776" s="3" t="str">
        <x:v>No</x:v>
      </x:c>
      <x:c r="AG1776" s="3"/>
      <x:c r="AH1776" s="3"/>
      <x:c r="AI1776" s="18"/>
      <x:c r="AJ1776" s="3" t="str">
        <x:v>CF2500-88F8ED9481E2</x:v>
      </x:c>
      <x:c r="AK1776" s="3" t="str">
        <x:v>private_real_estate_lender</x:v>
      </x:c>
      <x:c r="AL1776" s="19" t="n">
        <x:v>100000</x:v>
      </x:c>
      <x:c r="AM1776" s="19" t="n">
        <x:v>500000</x:v>
      </x:c>
      <x:c r="AN1776" s="3" t="str">
        <x:v>https://www.hardmoneyhome.com/lenders/view/csi-mortgage-corporation</x:v>
      </x:c>
      <x:c r="AO1776" s="3" t="str">
        <x:v>public_directory.jsonl</x:v>
      </x:c>
      <x:c r="AP1776" s="19"/>
    </x:row>
    <x:row r="1777" ht="36" customHeight="1">
      <x:c r="A1777" s="23" t="n">
        <x:v>1776</x:v>
      </x:c>
      <x:c r="B1777" s="15" t="str">
        <x:v>CTC FINANCIAL</x:v>
      </x:c>
      <x:c r="C1777" s="15"/>
      <x:c r="D1777" s="15" t="str">
        <x:v>Property lender or directory member; operating-company capital unconfirmed</x:v>
      </x:c>
      <x:c r="E1777" s="15" t="str">
        <x:v>Property lender / private-money inquiry</x:v>
      </x:c>
      <x:c r="F1777" s="17" t="str">
        <x:v>New</x:v>
      </x:c>
      <x:c r="G1777" s="24" t="str">
        <x:v>fabi.lima@ctc-financial.com</x:v>
      </x:c>
      <x:c r="H1777" s="24" t="str">
        <x:v>+17862183090</x:v>
      </x:c>
      <x:c r="I1777" s="24" t="str">
        <x:v>http://www.ctc-financial.com</x:v>
      </x:c>
      <x:c r="J1777" s="16" t="str">
        <x:v>FL</x:v>
      </x:c>
      <x:c r="K1777" s="16" t="str">
        <x:v>Boca Raton</x:v>
      </x:c>
      <x:c r="L1777" s="16" t="str">
        <x:v>firm_business_routing</x:v>
      </x:c>
      <x:c r="M1777" s="16" t="str">
        <x:v>http://www.ctc-financial.com</x:v>
      </x:c>
      <x:c r="N1777" s="16" t="str">
        <x:v>$100K-$500K ticket not published / unconfirmed</x:v>
      </x:c>
      <x:c r="O1777" s="20"/>
      <x:c r="P1777" s="20"/>
      <x:c r="Q1777" s="25" t="str">
        <x:v>Property-loan range, not a corporate-capital commitment</x:v>
      </x:c>
      <x:c r="R1777" s="25" t="str">
        <x:v>Private real-estate finance experience. Corporate working capital, minority equity or profit participation requires a separate agreement from a property loan.</x:v>
      </x:c>
      <x:c r="S1777" s="25"/>
      <x:c r="T1777" s="25" t="str">
        <x:v>Confirm direct principal versus broker, $100K-$500K appetite, and whether capital can fund the operating company without a property mortgage.</x:v>
      </x:c>
      <x:c r="U1777" s="25" t="str">
        <x:v>https://www.privatelendersdirectory.com/united-states/boca-raton/top-level-category/ctc-financial
https://ctc-financial.com/
https://ctc-financial.com/contact-us/</x:v>
      </x:c>
      <x:c r="V1777" s="26" t="d">
        <x:v>2026-10-02T00:00:00.000Z</x:v>
      </x:c>
      <x:c r="W1777" s="26" t="d">
        <x:v>2026-09-30T00:00:00.000Z</x:v>
      </x:c>
      <x:c r="X1777" s="25" t="str">
        <x:v>Saved public company, industry-directory or regulatory source; source date retained</x:v>
      </x:c>
      <x:c r="Y1777" s="25" t="str">
        <x:v>https://ctc-financial.com/contact-us/</x:v>
      </x:c>
      <x:c r="Z1777" s="25" t="str">
        <x:v>https://ctc-financial.com/</x:v>
      </x:c>
      <x:c r="AA1777" s="25" t="str">
        <x:v>[]</x:v>
      </x:c>
      <x:c r="AB1777" s="3" t="str">
        <x:v>Existing CapitalForge research, newly screened for this campaign</x:v>
      </x:c>
      <x:c r="AC1777" s="3" t="str">
        <x:v>unverified</x:v>
      </x:c>
      <x:c r="AD1777" s="3" t="str">
        <x:v>Not contacted / unconfirmed</x:v>
      </x:c>
      <x:c r="AE1777" s="3" t="str">
        <x:v>No</x:v>
      </x:c>
      <x:c r="AF1777" s="3" t="str">
        <x:v>No</x:v>
      </x:c>
      <x:c r="AG1777" s="3"/>
      <x:c r="AH1777" s="3"/>
      <x:c r="AI1777" s="18"/>
      <x:c r="AJ1777" s="3" t="str">
        <x:v>CF2500-AE6B4C582F62</x:v>
      </x:c>
      <x:c r="AK1777" s="3" t="str">
        <x:v>private_real_estate_lender</x:v>
      </x:c>
      <x:c r="AL1777" s="19" t="n">
        <x:v>100000</x:v>
      </x:c>
      <x:c r="AM1777" s="19" t="n">
        <x:v>500000</x:v>
      </x:c>
      <x:c r="AN1777" s="3" t="str">
        <x:v>https://www.privatelendersdirectory.com/united-states/boca-raton/top-level-category/ctc-financial</x:v>
      </x:c>
      <x:c r="AO1777" s="3" t="str">
        <x:v>public_directory.jsonl</x:v>
      </x:c>
      <x:c r="AP1777" s="19"/>
    </x:row>
    <x:row r="1778" ht="36" customHeight="1">
      <x:c r="A1778" s="23" t="n">
        <x:v>1777</x:v>
      </x:c>
      <x:c r="B1778" s="15" t="str">
        <x:v>CURLEE CAPITAL</x:v>
      </x:c>
      <x:c r="C1778" s="15"/>
      <x:c r="D1778" s="15" t="str">
        <x:v>Property lender or directory member; operating-company capital unconfirmed</x:v>
      </x:c>
      <x:c r="E1778" s="15" t="str">
        <x:v>Property lender / private-money inquiry</x:v>
      </x:c>
      <x:c r="F1778" s="17" t="str">
        <x:v>New</x:v>
      </x:c>
      <x:c r="G1778" s="24" t="str">
        <x:v>john@curleecapital.com</x:v>
      </x:c>
      <x:c r="H1778" s="24" t="str">
        <x:v>+15123994476</x:v>
      </x:c>
      <x:c r="I1778" s="24" t="str">
        <x:v>https://www.curleecapital.com/</x:v>
      </x:c>
      <x:c r="J1778" s="16" t="str">
        <x:v>TX</x:v>
      </x:c>
      <x:c r="K1778" s="16" t="str">
        <x:v>Austin</x:v>
      </x:c>
      <x:c r="L1778" s="16" t="str">
        <x:v>firm_business_routing</x:v>
      </x:c>
      <x:c r="M1778" s="16" t="str">
        <x:v>https://www.curleecapital.com/</x:v>
      </x:c>
      <x:c r="N1778" s="16" t="str">
        <x:v>$100K-$500K ticket not published / unconfirmed</x:v>
      </x:c>
      <x:c r="O1778" s="20"/>
      <x:c r="P1778" s="20"/>
      <x:c r="Q1778" s="25" t="str">
        <x:v>Property-loan range, not a corporate-capital commitment</x:v>
      </x:c>
      <x:c r="R1778" s="25" t="str">
        <x:v>Private real-estate finance experience. Corporate working capital, minority equity or profit participation requires a separate agreement from a property loan.</x:v>
      </x:c>
      <x:c r="S1778" s="25"/>
      <x:c r="T1778" s="25" t="str">
        <x:v>Confirm direct principal versus broker, $100K-$500K appetite, and whether capital can fund the operating company without a property mortgage.</x:v>
      </x:c>
      <x:c r="U1778" s="25" t="str">
        <x:v>https://www.privatelendersdirectory.com/united-states/austin/top-level-category/curlee-capital
https://www.curleecapital.com/</x:v>
      </x:c>
      <x:c r="V1778" s="26" t="d">
        <x:v>2026-10-02T00:00:00.000Z</x:v>
      </x:c>
      <x:c r="W1778" s="26" t="d">
        <x:v>2026-09-30T00:00:00.000Z</x:v>
      </x:c>
      <x:c r="X1778" s="25" t="str">
        <x:v>Saved public company, industry-directory or regulatory source; source date retained</x:v>
      </x:c>
      <x:c r="Y1778" s="25" t="str">
        <x:v>https://www.curleecapital.com/</x:v>
      </x:c>
      <x:c r="Z1778" s="25" t="str">
        <x:v>https://www.curleecapital.com/</x:v>
      </x:c>
      <x:c r="AA1778" s="25" t="str">
        <x:v>[]</x:v>
      </x:c>
      <x:c r="AB1778" s="3" t="str">
        <x:v>Existing CapitalForge research, newly screened for this campaign</x:v>
      </x:c>
      <x:c r="AC1778" s="3" t="str">
        <x:v>unverified</x:v>
      </x:c>
      <x:c r="AD1778" s="3" t="str">
        <x:v>Not contacted / unconfirmed</x:v>
      </x:c>
      <x:c r="AE1778" s="3" t="str">
        <x:v>No</x:v>
      </x:c>
      <x:c r="AF1778" s="3" t="str">
        <x:v>No</x:v>
      </x:c>
      <x:c r="AG1778" s="3"/>
      <x:c r="AH1778" s="3"/>
      <x:c r="AI1778" s="18"/>
      <x:c r="AJ1778" s="3" t="str">
        <x:v>CF2500-96A9F1C3946A</x:v>
      </x:c>
      <x:c r="AK1778" s="3" t="str">
        <x:v>private_real_estate_lender</x:v>
      </x:c>
      <x:c r="AL1778" s="19" t="n">
        <x:v>100000</x:v>
      </x:c>
      <x:c r="AM1778" s="19" t="n">
        <x:v>500000</x:v>
      </x:c>
      <x:c r="AN1778" s="3" t="str">
        <x:v>https://www.privatelendersdirectory.com/united-states/austin/top-level-category/curlee-capital</x:v>
      </x:c>
      <x:c r="AO1778" s="3" t="str">
        <x:v>public_directory.jsonl</x:v>
      </x:c>
      <x:c r="AP1778" s="19"/>
    </x:row>
    <x:row r="1779" ht="36" customHeight="1">
      <x:c r="A1779" s="23" t="n">
        <x:v>1778</x:v>
      </x:c>
      <x:c r="B1779" s="15" t="str">
        <x:v>DG PINNACLE HOME LOANS</x:v>
      </x:c>
      <x:c r="C1779" s="15"/>
      <x:c r="D1779" s="15" t="str">
        <x:v>Property lender or directory member; operating-company capital unconfirmed</x:v>
      </x:c>
      <x:c r="E1779" s="15" t="str">
        <x:v>Property lender / private-money inquiry</x:v>
      </x:c>
      <x:c r="F1779" s="17" t="str">
        <x:v>New</x:v>
      </x:c>
      <x:c r="G1779" s="24" t="str">
        <x:v>nveitia@dgpinnacle.com</x:v>
      </x:c>
      <x:c r="H1779" s="24" t="str">
        <x:v>+13058515225</x:v>
      </x:c>
      <x:c r="I1779" s="24" t="str">
        <x:v>https://dgpinnacle.com/</x:v>
      </x:c>
      <x:c r="J1779" s="16" t="str">
        <x:v>FL</x:v>
      </x:c>
      <x:c r="K1779" s="16" t="str">
        <x:v>Miami</x:v>
      </x:c>
      <x:c r="L1779" s="16" t="str">
        <x:v>firm_business_routing</x:v>
      </x:c>
      <x:c r="M1779" s="16" t="str">
        <x:v>https://dgpinnacle.com/</x:v>
      </x:c>
      <x:c r="N1779" s="16" t="str">
        <x:v>$100K-$500K ticket not published / unconfirmed</x:v>
      </x:c>
      <x:c r="O1779" s="20"/>
      <x:c r="P1779" s="20"/>
      <x:c r="Q1779" s="25" t="str">
        <x:v>Property-loan range, not a corporate-capital commitment</x:v>
      </x:c>
      <x:c r="R1779" s="25" t="str">
        <x:v>Private real-estate finance experience. Corporate working capital, minority equity or profit participation requires a separate agreement from a property loan.</x:v>
      </x:c>
      <x:c r="S1779" s="25"/>
      <x:c r="T1779" s="25" t="str">
        <x:v>Confirm direct principal versus broker, $100K-$500K appetite, and whether capital can fund the operating company without a property mortgage.</x:v>
      </x:c>
      <x:c r="U1779" s="25" t="str">
        <x:v>https://www.privatelendersdirectory.com/united-states/miami/real-estate-investment-lending/dg-pinnacle-home-loans
https://dgpinnacle.com/contact/</x:v>
      </x:c>
      <x:c r="V1779" s="26" t="d">
        <x:v>2026-10-02T00:00:00.000Z</x:v>
      </x:c>
      <x:c r="W1779" s="26" t="d">
        <x:v>2026-09-30T00:00:00.000Z</x:v>
      </x:c>
      <x:c r="X1779" s="25" t="str">
        <x:v>Saved public company, industry-directory or regulatory source; source date retained</x:v>
      </x:c>
      <x:c r="Y1779" s="25" t="str">
        <x:v>https://dgpinnacle.com/contact/</x:v>
      </x:c>
      <x:c r="Z1779" s="25" t="str">
        <x:v>https://dgpinnacle.com/contact/</x:v>
      </x:c>
      <x:c r="AA1779" s="25" t="str">
        <x:v>[]</x:v>
      </x:c>
      <x:c r="AB1779" s="3" t="str">
        <x:v>Existing CapitalForge research, newly screened for this campaign</x:v>
      </x:c>
      <x:c r="AC1779" s="3" t="str">
        <x:v>unverified</x:v>
      </x:c>
      <x:c r="AD1779" s="3" t="str">
        <x:v>Not contacted / unconfirmed</x:v>
      </x:c>
      <x:c r="AE1779" s="3" t="str">
        <x:v>No</x:v>
      </x:c>
      <x:c r="AF1779" s="3" t="str">
        <x:v>No</x:v>
      </x:c>
      <x:c r="AG1779" s="3"/>
      <x:c r="AH1779" s="3"/>
      <x:c r="AI1779" s="18"/>
      <x:c r="AJ1779" s="3" t="str">
        <x:v>CF2500-114E42AA0555</x:v>
      </x:c>
      <x:c r="AK1779" s="3" t="str">
        <x:v>private_real_estate_lender</x:v>
      </x:c>
      <x:c r="AL1779" s="19" t="n">
        <x:v>100000</x:v>
      </x:c>
      <x:c r="AM1779" s="19" t="n">
        <x:v>500000</x:v>
      </x:c>
      <x:c r="AN1779" s="3" t="str">
        <x:v>https://www.privatelendersdirectory.com/united-states/miami/real-estate-investment-lending/dg-pinnacle-home-loans</x:v>
      </x:c>
      <x:c r="AO1779" s="3" t="str">
        <x:v>public_directory.jsonl</x:v>
      </x:c>
      <x:c r="AP1779" s="19"/>
    </x:row>
    <x:row r="1780" ht="36" customHeight="1">
      <x:c r="A1780" s="23" t="n">
        <x:v>1779</x:v>
      </x:c>
      <x:c r="B1780" s="15" t="str">
        <x:v>DHLC INVESTMENTS</x:v>
      </x:c>
      <x:c r="C1780" s="15"/>
      <x:c r="D1780" s="15" t="str">
        <x:v>Property lender or directory member; operating-company capital unconfirmed</x:v>
      </x:c>
      <x:c r="E1780" s="15" t="str">
        <x:v>Property lender / private-money inquiry</x:v>
      </x:c>
      <x:c r="F1780" s="17" t="str">
        <x:v>New</x:v>
      </x:c>
      <x:c r="G1780" s="24" t="str">
        <x:v>contactus@dhlc.com</x:v>
      </x:c>
      <x:c r="H1780" s="24" t="str">
        <x:v>+12145015151</x:v>
      </x:c>
      <x:c r="I1780" s="24" t="str">
        <x:v>https://www.dhlc.com/</x:v>
      </x:c>
      <x:c r="J1780" s="16" t="str">
        <x:v>TX</x:v>
      </x:c>
      <x:c r="K1780" s="16" t="str">
        <x:v>Dallas</x:v>
      </x:c>
      <x:c r="L1780" s="16" t="str">
        <x:v>firm_business_routing</x:v>
      </x:c>
      <x:c r="M1780" s="16" t="str">
        <x:v>https://www.dhlc.com/</x:v>
      </x:c>
      <x:c r="N1780" s="16" t="str">
        <x:v>$100K-$500K ticket not published / unconfirmed</x:v>
      </x:c>
      <x:c r="O1780" s="20"/>
      <x:c r="P1780" s="20"/>
      <x:c r="Q1780" s="25" t="str">
        <x:v>Property-loan range, not a corporate-capital commitment</x:v>
      </x:c>
      <x:c r="R1780" s="25" t="str">
        <x:v>Private real-estate finance experience. Corporate working capital, minority equity or profit participation requires a separate agreement from a property loan.</x:v>
      </x:c>
      <x:c r="S1780" s="25"/>
      <x:c r="T1780" s="25" t="str">
        <x:v>Confirm direct principal versus broker, $100K-$500K appetite, and whether capital can fund the operating company without a property mortgage.</x:v>
      </x:c>
      <x:c r="U1780" s="25" t="str">
        <x:v>https://www.privatelendersdirectory.com/united-states/dallas/top-level-category/dhlc-investments
https://www.dhlc.com/</x:v>
      </x:c>
      <x:c r="V1780" s="26" t="d">
        <x:v>2026-10-02T00:00:00.000Z</x:v>
      </x:c>
      <x:c r="W1780" s="26" t="d">
        <x:v>2026-09-30T00:00:00.000Z</x:v>
      </x:c>
      <x:c r="X1780" s="25" t="str">
        <x:v>Saved public company, industry-directory or regulatory source; source date retained</x:v>
      </x:c>
      <x:c r="Y1780" s="25" t="str">
        <x:v>https://www.dhlc.com/</x:v>
      </x:c>
      <x:c r="Z1780" s="25" t="str">
        <x:v>https://www.dhlc.com/</x:v>
      </x:c>
      <x:c r="AA1780" s="25" t="str">
        <x:v>[]</x:v>
      </x:c>
      <x:c r="AB1780" s="3" t="str">
        <x:v>Existing CapitalForge research, newly screened for this campaign</x:v>
      </x:c>
      <x:c r="AC1780" s="3" t="str">
        <x:v>unverified</x:v>
      </x:c>
      <x:c r="AD1780" s="3" t="str">
        <x:v>Not contacted / unconfirmed</x:v>
      </x:c>
      <x:c r="AE1780" s="3" t="str">
        <x:v>No</x:v>
      </x:c>
      <x:c r="AF1780" s="3" t="str">
        <x:v>No</x:v>
      </x:c>
      <x:c r="AG1780" s="3"/>
      <x:c r="AH1780" s="3"/>
      <x:c r="AI1780" s="18"/>
      <x:c r="AJ1780" s="3" t="str">
        <x:v>CF2500-1626FF582B2C</x:v>
      </x:c>
      <x:c r="AK1780" s="3" t="str">
        <x:v>private_real_estate_lender</x:v>
      </x:c>
      <x:c r="AL1780" s="19" t="n">
        <x:v>100000</x:v>
      </x:c>
      <x:c r="AM1780" s="19" t="n">
        <x:v>500000</x:v>
      </x:c>
      <x:c r="AN1780" s="3" t="str">
        <x:v>https://www.privatelendersdirectory.com/united-states/dallas/top-level-category/dhlc-investments</x:v>
      </x:c>
      <x:c r="AO1780" s="3" t="str">
        <x:v>public_directory.jsonl</x:v>
      </x:c>
      <x:c r="AP1780" s="19"/>
    </x:row>
    <x:row r="1781" ht="36" customHeight="1">
      <x:c r="A1781" s="23" t="n">
        <x:v>1780</x:v>
      </x:c>
      <x:c r="B1781" s="15" t="str">
        <x:v>DIRECT EXPRESS MORTGAGE</x:v>
      </x:c>
      <x:c r="C1781" s="15"/>
      <x:c r="D1781" s="15" t="str">
        <x:v>Property lender or directory member; operating-company capital unconfirmed</x:v>
      </x:c>
      <x:c r="E1781" s="15" t="str">
        <x:v>Property lender / private-money inquiry</x:v>
      </x:c>
      <x:c r="F1781" s="17" t="str">
        <x:v>New</x:v>
      </x:c>
      <x:c r="G1781" s="24" t="str">
        <x:v>contactdirectexpress@gmail.com</x:v>
      </x:c>
      <x:c r="H1781" s="24" t="str">
        <x:v>+17278272884</x:v>
      </x:c>
      <x:c r="I1781" s="24" t="str">
        <x:v>https://withdirectexpress.com/</x:v>
      </x:c>
      <x:c r="J1781" s="16" t="str">
        <x:v>FL</x:v>
      </x:c>
      <x:c r="K1781" s="16" t="str">
        <x:v>St. Petersburg</x:v>
      </x:c>
      <x:c r="L1781" s="16" t="str">
        <x:v>firm_business_routing</x:v>
      </x:c>
      <x:c r="M1781" s="16" t="str">
        <x:v>https://withdirectexpress.com/</x:v>
      </x:c>
      <x:c r="N1781" s="16" t="str">
        <x:v>$100K-$500K ticket not published / unconfirmed</x:v>
      </x:c>
      <x:c r="O1781" s="20"/>
      <x:c r="P1781" s="20"/>
      <x:c r="Q1781" s="25" t="str">
        <x:v>Property-loan range, not a corporate-capital commitment</x:v>
      </x:c>
      <x:c r="R1781" s="25" t="str">
        <x:v>Private real-estate finance experience. Corporate working capital, minority equity or profit participation requires a separate agreement from a property loan.</x:v>
      </x:c>
      <x:c r="S1781" s="25"/>
      <x:c r="T1781" s="25" t="str">
        <x:v>Confirm direct principal versus broker, $100K-$500K appetite, and whether capital can fund the operating company without a property mortgage.</x:v>
      </x:c>
      <x:c r="U1781" s="25" t="str">
        <x:v>https://www.privatelendersdirectory.com/united-states/st-petersburg/top-level-category/direct-express-mortgage
https://withdirectexpress.com/
https://www.hardmoneyhome.com/lenders/view/direct-express-realty</x:v>
      </x:c>
      <x:c r="V1781" s="26" t="d">
        <x:v>2026-10-02T00:00:00.000Z</x:v>
      </x:c>
      <x:c r="W1781" s="26" t="d">
        <x:v>2026-09-30T00:00:00.000Z</x:v>
      </x:c>
      <x:c r="X1781" s="25" t="str">
        <x:v>Saved public company, industry-directory or regulatory source; source date retained</x:v>
      </x:c>
      <x:c r="Y1781" s="25" t="str">
        <x:v>https://withdirectexpress.com/</x:v>
      </x:c>
      <x:c r="Z1781" s="25" t="str">
        <x:v>https://withdirectexpress.com/</x:v>
      </x:c>
      <x:c r="AA1781" s="25" t="str">
        <x:v>[]</x:v>
      </x:c>
      <x:c r="AB1781" s="3" t="str">
        <x:v>Existing CapitalForge research, newly screened for this campaign</x:v>
      </x:c>
      <x:c r="AC1781" s="3" t="str">
        <x:v>unverified</x:v>
      </x:c>
      <x:c r="AD1781" s="3" t="str">
        <x:v>Not contacted / unconfirmed</x:v>
      </x:c>
      <x:c r="AE1781" s="3" t="str">
        <x:v>No</x:v>
      </x:c>
      <x:c r="AF1781" s="3" t="str">
        <x:v>No</x:v>
      </x:c>
      <x:c r="AG1781" s="3"/>
      <x:c r="AH1781" s="3" t="str">
        <x:v>Direct Express Realty</x:v>
      </x:c>
      <x:c r="AI1781" s="18"/>
      <x:c r="AJ1781" s="3" t="str">
        <x:v>CF2500-8B589F88D1EF</x:v>
      </x:c>
      <x:c r="AK1781" s="3" t="str">
        <x:v>private_real_estate_lender</x:v>
      </x:c>
      <x:c r="AL1781" s="19" t="n">
        <x:v>100000</x:v>
      </x:c>
      <x:c r="AM1781" s="19" t="n">
        <x:v>500000</x:v>
      </x:c>
      <x:c r="AN1781" s="3" t="str">
        <x:v>https://www.privatelendersdirectory.com/united-states/st-petersburg/top-level-category/direct-express-mortgage</x:v>
      </x:c>
      <x:c r="AO1781" s="3" t="str">
        <x:v>public_directory.jsonl</x:v>
      </x:c>
      <x:c r="AP1781" s="19"/>
    </x:row>
    <x:row r="1782" ht="36" customHeight="1">
      <x:c r="A1782" s="23" t="n">
        <x:v>1781</x:v>
      </x:c>
      <x:c r="B1782" s="15" t="str">
        <x:v>DISTRICT LENDING</x:v>
      </x:c>
      <x:c r="C1782" s="15"/>
      <x:c r="D1782" s="15" t="str">
        <x:v>Property lender or directory member; operating-company capital unconfirmed</x:v>
      </x:c>
      <x:c r="E1782" s="15" t="str">
        <x:v>Property lender / private-money inquiry</x:v>
      </x:c>
      <x:c r="F1782" s="17" t="str">
        <x:v>New</x:v>
      </x:c>
      <x:c r="G1782" s="24" t="str">
        <x:v>info@districtlending.com</x:v>
      </x:c>
      <x:c r="H1782" s="24" t="str">
        <x:v>+18886223004</x:v>
      </x:c>
      <x:c r="I1782" s="24" t="str">
        <x:v>https://districtlending.com/</x:v>
      </x:c>
      <x:c r="J1782" s="16" t="str">
        <x:v>AZ</x:v>
      </x:c>
      <x:c r="K1782" s="16" t="str">
        <x:v>Paradise Valley</x:v>
      </x:c>
      <x:c r="L1782" s="16" t="str">
        <x:v>firm_business_routing</x:v>
      </x:c>
      <x:c r="M1782" s="16" t="str">
        <x:v>https://districtlending.com/</x:v>
      </x:c>
      <x:c r="N1782" s="16" t="str">
        <x:v>$100K-$500K ticket not published / unconfirmed</x:v>
      </x:c>
      <x:c r="O1782" s="20"/>
      <x:c r="P1782" s="20"/>
      <x:c r="Q1782" s="25" t="str">
        <x:v>Property-loan range, not a corporate-capital commitment</x:v>
      </x:c>
      <x:c r="R1782" s="25" t="str">
        <x:v>Private real-estate finance experience. Corporate working capital, minority equity or profit participation requires a separate agreement from a property loan.</x:v>
      </x:c>
      <x:c r="S1782" s="25"/>
      <x:c r="T1782" s="25" t="str">
        <x:v>Confirm direct principal versus broker, $100K-$500K appetite, and whether capital can fund the operating company without a property mortgage.</x:v>
      </x:c>
      <x:c r="U1782" s="25" t="str">
        <x:v>https://www.privatelendersdirectory.com/united-states/paradise-valley/top-level-category/district-lending
https://districtlending.com/</x:v>
      </x:c>
      <x:c r="V1782" s="26" t="d">
        <x:v>2026-10-02T00:00:00.000Z</x:v>
      </x:c>
      <x:c r="W1782" s="26" t="d">
        <x:v>2026-09-30T00:00:00.000Z</x:v>
      </x:c>
      <x:c r="X1782" s="25" t="str">
        <x:v>Saved public company, industry-directory or regulatory source; source date retained</x:v>
      </x:c>
      <x:c r="Y1782" s="25" t="str">
        <x:v>https://districtlending.com/</x:v>
      </x:c>
      <x:c r="Z1782" s="25" t="str">
        <x:v>https://districtlending.com/</x:v>
      </x:c>
      <x:c r="AA1782" s="25" t="str">
        <x:v>[]</x:v>
      </x:c>
      <x:c r="AB1782" s="3" t="str">
        <x:v>Existing CapitalForge research, newly screened for this campaign</x:v>
      </x:c>
      <x:c r="AC1782" s="3" t="str">
        <x:v>unverified</x:v>
      </x:c>
      <x:c r="AD1782" s="3" t="str">
        <x:v>Not contacted / unconfirmed</x:v>
      </x:c>
      <x:c r="AE1782" s="3" t="str">
        <x:v>No</x:v>
      </x:c>
      <x:c r="AF1782" s="3" t="str">
        <x:v>No</x:v>
      </x:c>
      <x:c r="AG1782" s="3"/>
      <x:c r="AH1782" s="3"/>
      <x:c r="AI1782" s="18"/>
      <x:c r="AJ1782" s="3" t="str">
        <x:v>CF2500-A0F0D24030C4</x:v>
      </x:c>
      <x:c r="AK1782" s="3" t="str">
        <x:v>private_real_estate_lender</x:v>
      </x:c>
      <x:c r="AL1782" s="19" t="n">
        <x:v>100000</x:v>
      </x:c>
      <x:c r="AM1782" s="19" t="n">
        <x:v>500000</x:v>
      </x:c>
      <x:c r="AN1782" s="3" t="str">
        <x:v>https://www.privatelendersdirectory.com/united-states/paradise-valley/top-level-category/district-lending</x:v>
      </x:c>
      <x:c r="AO1782" s="3" t="str">
        <x:v>public_directory.jsonl</x:v>
      </x:c>
      <x:c r="AP1782" s="19"/>
    </x:row>
    <x:row r="1783" ht="36" customHeight="1">
      <x:c r="A1783" s="23" t="n">
        <x:v>1782</x:v>
      </x:c>
      <x:c r="B1783" s="15" t="str">
        <x:v>DIXON LINK CAPITAL</x:v>
      </x:c>
      <x:c r="C1783" s="15"/>
      <x:c r="D1783" s="15" t="str">
        <x:v>Property lender or directory member; operating-company capital unconfirmed</x:v>
      </x:c>
      <x:c r="E1783" s="15" t="str">
        <x:v>Property lender / private-money inquiry</x:v>
      </x:c>
      <x:c r="F1783" s="17" t="str">
        <x:v>New</x:v>
      </x:c>
      <x:c r="G1783" s="24" t="str">
        <x:v>loans@dixonlinkcapital.com</x:v>
      </x:c>
      <x:c r="H1783" s="24" t="str">
        <x:v>+19048537772</x:v>
      </x:c>
      <x:c r="I1783" s="24" t="str">
        <x:v>https://dixonlinkcapital.com/</x:v>
      </x:c>
      <x:c r="J1783" s="16" t="str">
        <x:v>FL</x:v>
      </x:c>
      <x:c r="K1783" s="16" t="str">
        <x:v>Jacksonville</x:v>
      </x:c>
      <x:c r="L1783" s="16" t="str">
        <x:v>firm_business_routing</x:v>
      </x:c>
      <x:c r="M1783" s="16" t="str">
        <x:v>https://dixonlinkcapital.com/</x:v>
      </x:c>
      <x:c r="N1783" s="16" t="str">
        <x:v>$100K-$500K ticket not published / unconfirmed</x:v>
      </x:c>
      <x:c r="O1783" s="20"/>
      <x:c r="P1783" s="20"/>
      <x:c r="Q1783" s="25" t="str">
        <x:v>Property-loan range, not a corporate-capital commitment</x:v>
      </x:c>
      <x:c r="R1783" s="25" t="str">
        <x:v>Private real-estate finance experience. Corporate working capital, minority equity or profit participation requires a separate agreement from a property loan.</x:v>
      </x:c>
      <x:c r="S1783" s="25"/>
      <x:c r="T1783" s="25" t="str">
        <x:v>Confirm direct principal versus broker, $100K-$500K appetite, and whether capital can fund the operating company without a property mortgage.</x:v>
      </x:c>
      <x:c r="U1783" s="25" t="str">
        <x:v>https://www.privatelendersdirectory.com/united-states/jacksonville/top-level-category/dixon-link-capital
https://dixonlinkcapital.com/</x:v>
      </x:c>
      <x:c r="V1783" s="26" t="d">
        <x:v>2026-10-02T00:00:00.000Z</x:v>
      </x:c>
      <x:c r="W1783" s="26" t="d">
        <x:v>2026-09-30T00:00:00.000Z</x:v>
      </x:c>
      <x:c r="X1783" s="25" t="str">
        <x:v>Saved public company, industry-directory or regulatory source; source date retained</x:v>
      </x:c>
      <x:c r="Y1783" s="25" t="str">
        <x:v>https://dixonlinkcapital.com/</x:v>
      </x:c>
      <x:c r="Z1783" s="25" t="str">
        <x:v>https://dixonlinkcapital.com/</x:v>
      </x:c>
      <x:c r="AA1783" s="25" t="str">
        <x:v>[]</x:v>
      </x:c>
      <x:c r="AB1783" s="3" t="str">
        <x:v>Existing CapitalForge research, newly screened for this campaign</x:v>
      </x:c>
      <x:c r="AC1783" s="3" t="str">
        <x:v>unverified</x:v>
      </x:c>
      <x:c r="AD1783" s="3" t="str">
        <x:v>Not contacted / unconfirmed</x:v>
      </x:c>
      <x:c r="AE1783" s="3" t="str">
        <x:v>No</x:v>
      </x:c>
      <x:c r="AF1783" s="3" t="str">
        <x:v>No</x:v>
      </x:c>
      <x:c r="AG1783" s="3"/>
      <x:c r="AH1783" s="3"/>
      <x:c r="AI1783" s="18"/>
      <x:c r="AJ1783" s="3" t="str">
        <x:v>CF2500-2D5223AF8FFF</x:v>
      </x:c>
      <x:c r="AK1783" s="3" t="str">
        <x:v>private_real_estate_lender</x:v>
      </x:c>
      <x:c r="AL1783" s="19" t="n">
        <x:v>100000</x:v>
      </x:c>
      <x:c r="AM1783" s="19" t="n">
        <x:v>500000</x:v>
      </x:c>
      <x:c r="AN1783" s="3" t="str">
        <x:v>https://www.privatelendersdirectory.com/united-states/jacksonville/top-level-category/dixon-link-capital</x:v>
      </x:c>
      <x:c r="AO1783" s="3" t="str">
        <x:v>public_directory.jsonl</x:v>
      </x:c>
      <x:c r="AP1783" s="19"/>
    </x:row>
    <x:row r="1784" ht="36" customHeight="1">
      <x:c r="A1784" s="23" t="n">
        <x:v>1783</x:v>
      </x:c>
      <x:c r="B1784" s="15" t="str">
        <x:v>DKC Lending</x:v>
      </x:c>
      <x:c r="C1784" s="15"/>
      <x:c r="D1784" s="15" t="str">
        <x:v>Property lender or directory member; operating-company capital unconfirmed</x:v>
      </x:c>
      <x:c r="E1784" s="15" t="str">
        <x:v>Property lender / private-money inquiry</x:v>
      </x:c>
      <x:c r="F1784" s="17" t="str">
        <x:v>New</x:v>
      </x:c>
      <x:c r="G1784" s="24" t="str">
        <x:v>info@dkclending.com</x:v>
      </x:c>
      <x:c r="H1784" s="24" t="str">
        <x:v>+17275910354</x:v>
      </x:c>
      <x:c r="I1784" s="24" t="str">
        <x:v>https://dkclending.com/?utm_source=private-lender-link</x:v>
      </x:c>
      <x:c r="J1784" s="16" t="str">
        <x:v>Fl</x:v>
      </x:c>
      <x:c r="K1784" s="16" t="str">
        <x:v>Clearwater</x:v>
      </x:c>
      <x:c r="L1784" s="16" t="str">
        <x:v>firm_business_routing</x:v>
      </x:c>
      <x:c r="M1784" s="16" t="str">
        <x:v>https://dkclending.com/?utm_source=private-lender-link</x:v>
      </x:c>
      <x:c r="N1784" s="16" t="str">
        <x:v>$100K-$500K ticket not published / unconfirmed</x:v>
      </x:c>
      <x:c r="O1784" s="20"/>
      <x:c r="P1784" s="20"/>
      <x:c r="Q1784" s="25" t="str">
        <x:v>Property-loan range, not a corporate-capital commitment</x:v>
      </x:c>
      <x:c r="R1784" s="25" t="str">
        <x:v>Private real-estate finance experience. Corporate working capital, minority equity or profit participation requires a separate agreement from a property loan.</x:v>
      </x:c>
      <x:c r="S1784" s="25"/>
      <x:c r="T1784" s="25" t="str">
        <x:v>Confirm direct principal versus broker, $100K-$500K appetite, and whether capital can fund the operating company without a property mortgage.</x:v>
      </x:c>
      <x:c r="U1784" s="25" t="str">
        <x:v>https://privatelenderlink.com/profile/dkc-lending/
https://nplaconference.com/private-lending-directory/page/5/
https://dkclending.com/</x:v>
      </x:c>
      <x:c r="V1784" s="26" t="d">
        <x:v>2026-10-02T00:00:00.000Z</x:v>
      </x:c>
      <x:c r="W1784" s="26" t="d">
        <x:v>2026-09-30T00:00:00.000Z</x:v>
      </x:c>
      <x:c r="X1784" s="25" t="str">
        <x:v>Saved public company, industry-directory or regulatory source; source date retained</x:v>
      </x:c>
      <x:c r="Y1784" s="25" t="str">
        <x:v>https://privatelenderlink.com/profile/dkc-lending/</x:v>
      </x:c>
      <x:c r="Z1784" s="25" t="str">
        <x:v>https://privatelenderlink.com/profile/dkc-lending/</x:v>
      </x:c>
      <x:c r="AA1784" s="25" t="str">
        <x:v>[]</x:v>
      </x:c>
      <x:c r="AB1784" s="3" t="str">
        <x:v>Existing CapitalForge research, newly screened for this campaign</x:v>
      </x:c>
      <x:c r="AC1784" s="3" t="str">
        <x:v>unverified</x:v>
      </x:c>
      <x:c r="AD1784" s="3" t="str">
        <x:v>Not contacted / unconfirmed</x:v>
      </x:c>
      <x:c r="AE1784" s="3" t="str">
        <x:v>No</x:v>
      </x:c>
      <x:c r="AF1784" s="3" t="str">
        <x:v>No</x:v>
      </x:c>
      <x:c r="AG1784" s="3"/>
      <x:c r="AH1784" s="3"/>
      <x:c r="AI1784" s="18"/>
      <x:c r="AJ1784" s="3" t="str">
        <x:v>CF2500-BE5490E8320B</x:v>
      </x:c>
      <x:c r="AK1784" s="3" t="str">
        <x:v>private_real_estate_lender</x:v>
      </x:c>
      <x:c r="AL1784" s="19" t="n">
        <x:v>100000</x:v>
      </x:c>
      <x:c r="AM1784" s="19" t="n">
        <x:v>500000</x:v>
      </x:c>
      <x:c r="AN1784" s="3" t="str">
        <x:v>https://privatelenderlink.com/profile/dkc-lending/</x:v>
      </x:c>
      <x:c r="AO1784" s="3" t="str">
        <x:v>public_directory.jsonl</x:v>
      </x:c>
      <x:c r="AP1784" s="19"/>
    </x:row>
    <x:row r="1785" ht="36" customHeight="1">
      <x:c r="A1785" s="23" t="n">
        <x:v>1784</x:v>
      </x:c>
      <x:c r="B1785" s="15" t="str">
        <x:v>DLP Capital</x:v>
      </x:c>
      <x:c r="C1785" s="15"/>
      <x:c r="D1785" s="15" t="str">
        <x:v>Property lender or directory member; operating-company capital unconfirmed</x:v>
      </x:c>
      <x:c r="E1785" s="15" t="str">
        <x:v>Property lender / private-money inquiry</x:v>
      </x:c>
      <x:c r="F1785" s="17" t="str">
        <x:v>New</x:v>
      </x:c>
      <x:c r="G1785" s="24" t="str">
        <x:v>lendingsales@dlpcapital.com</x:v>
      </x:c>
      <x:c r="H1785" s="24" t="str">
        <x:v>+19134062462</x:v>
      </x:c>
      <x:c r="I1785" s="24" t="str">
        <x:v>https://dlpcapital.com/?utm_source=private-lender-link</x:v>
      </x:c>
      <x:c r="J1785" s="16" t="str">
        <x:v>FL</x:v>
      </x:c>
      <x:c r="K1785" s="16" t="str">
        <x:v>St. Augustine</x:v>
      </x:c>
      <x:c r="L1785" s="16" t="str">
        <x:v>firm_business_routing</x:v>
      </x:c>
      <x:c r="M1785" s="16" t="str">
        <x:v>https://dlpcapital.com/?utm_source=private-lender-link</x:v>
      </x:c>
      <x:c r="N1785" s="16" t="str">
        <x:v>$100K-$500K ticket not published / unconfirmed</x:v>
      </x:c>
      <x:c r="O1785" s="20"/>
      <x:c r="P1785" s="20"/>
      <x:c r="Q1785" s="25" t="str">
        <x:v>Property-loan range, not a corporate-capital commitment</x:v>
      </x:c>
      <x:c r="R1785" s="25" t="str">
        <x:v>Private real-estate finance experience. Corporate working capital, minority equity or profit participation requires a separate agreement from a property loan.</x:v>
      </x:c>
      <x:c r="S1785" s="25"/>
      <x:c r="T1785" s="25" t="str">
        <x:v>Confirm direct principal versus broker, $100K-$500K appetite, and whether capital can fund the operating company without a property mortgage.</x:v>
      </x:c>
      <x:c r="U1785" s="25" t="str">
        <x:v>https://privatelenderlink.com/profile/dlp-capital/</x:v>
      </x:c>
      <x:c r="V1785" s="26" t="d">
        <x:v>2026-10-02T00:00:00.000Z</x:v>
      </x:c>
      <x:c r="W1785" s="26" t="d">
        <x:v>2026-09-30T00:00:00.000Z</x:v>
      </x:c>
      <x:c r="X1785" s="25" t="str">
        <x:v>Saved public company, industry-directory or regulatory source; source date retained</x:v>
      </x:c>
      <x:c r="Y1785" s="25" t="str">
        <x:v>https://privatelenderlink.com/profile/dlp-capital/</x:v>
      </x:c>
      <x:c r="Z1785" s="25" t="str">
        <x:v>https://privatelenderlink.com/profile/dlp-capital/</x:v>
      </x:c>
      <x:c r="AA1785" s="25" t="str">
        <x:v>[]</x:v>
      </x:c>
      <x:c r="AB1785" s="3" t="str">
        <x:v>Existing CapitalForge research, newly screened for this campaign</x:v>
      </x:c>
      <x:c r="AC1785" s="3" t="str">
        <x:v>unverified</x:v>
      </x:c>
      <x:c r="AD1785" s="3" t="str">
        <x:v>Not contacted / unconfirmed</x:v>
      </x:c>
      <x:c r="AE1785" s="3" t="str">
        <x:v>No</x:v>
      </x:c>
      <x:c r="AF1785" s="3" t="str">
        <x:v>No</x:v>
      </x:c>
      <x:c r="AG1785" s="3"/>
      <x:c r="AH1785" s="3"/>
      <x:c r="AI1785" s="18"/>
      <x:c r="AJ1785" s="3" t="str">
        <x:v>CF2500-4BD27E435FB7</x:v>
      </x:c>
      <x:c r="AK1785" s="3" t="str">
        <x:v>private_real_estate_lender</x:v>
      </x:c>
      <x:c r="AL1785" s="19" t="n">
        <x:v>100000</x:v>
      </x:c>
      <x:c r="AM1785" s="19" t="n">
        <x:v>500000</x:v>
      </x:c>
      <x:c r="AN1785" s="3" t="str">
        <x:v>https://privatelenderlink.com/profile/dlp-capital/</x:v>
      </x:c>
      <x:c r="AO1785" s="3" t="str">
        <x:v>public_directory.jsonl</x:v>
      </x:c>
      <x:c r="AP1785" s="19"/>
    </x:row>
    <x:row r="1786" ht="36" customHeight="1">
      <x:c r="A1786" s="23" t="n">
        <x:v>1785</x:v>
      </x:c>
      <x:c r="B1786" s="15" t="str">
        <x:v>ECAPITAL CORP.</x:v>
      </x:c>
      <x:c r="C1786" s="15"/>
      <x:c r="D1786" s="15" t="str">
        <x:v>Property lender or directory member; operating-company capital unconfirmed</x:v>
      </x:c>
      <x:c r="E1786" s="15" t="str">
        <x:v>Property lender / private-money inquiry</x:v>
      </x:c>
      <x:c r="F1786" s="17" t="str">
        <x:v>New</x:v>
      </x:c>
      <x:c r="G1786" s="24" t="str">
        <x:v>mandy.bortolussi@ecapital.com</x:v>
      </x:c>
      <x:c r="H1786" s="24" t="str">
        <x:v>+18666048489</x:v>
      </x:c>
      <x:c r="I1786" s="24" t="str">
        <x:v>https://ecapital.com/</x:v>
      </x:c>
      <x:c r="J1786" s="16" t="str">
        <x:v>FL</x:v>
      </x:c>
      <x:c r="K1786" s="16" t="str">
        <x:v>Miami</x:v>
      </x:c>
      <x:c r="L1786" s="16" t="str">
        <x:v>firm_business_routing</x:v>
      </x:c>
      <x:c r="M1786" s="16" t="str">
        <x:v>https://ecapital.com/</x:v>
      </x:c>
      <x:c r="N1786" s="16" t="str">
        <x:v>$100K-$500K ticket not published / unconfirmed</x:v>
      </x:c>
      <x:c r="O1786" s="20"/>
      <x:c r="P1786" s="20"/>
      <x:c r="Q1786" s="25" t="str">
        <x:v>Property-loan range, not a corporate-capital commitment</x:v>
      </x:c>
      <x:c r="R1786" s="25" t="str">
        <x:v>Private real-estate finance experience. Corporate working capital, minority equity or profit participation requires a separate agreement from a property loan.</x:v>
      </x:c>
      <x:c r="S1786" s="25"/>
      <x:c r="T1786" s="25" t="str">
        <x:v>Confirm direct principal versus broker, $100K-$500K appetite, and whether capital can fund the operating company without a property mortgage.</x:v>
      </x:c>
      <x:c r="U1786" s="25" t="str">
        <x:v>https://www.privatelendersdirectory.com/united-states/miami/real-estate-investment-lending/ecapital-corp
https://ecapital.com/
https://ecapital.com/contact/</x:v>
      </x:c>
      <x:c r="V1786" s="26" t="d">
        <x:v>2026-10-02T00:00:00.000Z</x:v>
      </x:c>
      <x:c r="W1786" s="26" t="d">
        <x:v>2026-09-30T00:00:00.000Z</x:v>
      </x:c>
      <x:c r="X1786" s="25" t="str">
        <x:v>Saved public company, industry-directory or regulatory source; source date retained</x:v>
      </x:c>
      <x:c r="Y1786" s="25" t="str">
        <x:v>https://ecapital.com/contact/</x:v>
      </x:c>
      <x:c r="Z1786" s="25" t="str">
        <x:v>https://ecapital.com/</x:v>
      </x:c>
      <x:c r="AA1786" s="25" t="str">
        <x:v>[]</x:v>
      </x:c>
      <x:c r="AB1786" s="3" t="str">
        <x:v>Existing CapitalForge research, newly screened for this campaign</x:v>
      </x:c>
      <x:c r="AC1786" s="3" t="str">
        <x:v>unverified</x:v>
      </x:c>
      <x:c r="AD1786" s="3" t="str">
        <x:v>Not contacted / unconfirmed</x:v>
      </x:c>
      <x:c r="AE1786" s="3" t="str">
        <x:v>No</x:v>
      </x:c>
      <x:c r="AF1786" s="3" t="str">
        <x:v>No</x:v>
      </x:c>
      <x:c r="AG1786" s="3"/>
      <x:c r="AH1786" s="3"/>
      <x:c r="AI1786" s="18"/>
      <x:c r="AJ1786" s="3" t="str">
        <x:v>CF2500-6867BD298323</x:v>
      </x:c>
      <x:c r="AK1786" s="3" t="str">
        <x:v>private_real_estate_lender</x:v>
      </x:c>
      <x:c r="AL1786" s="19" t="n">
        <x:v>100000</x:v>
      </x:c>
      <x:c r="AM1786" s="19" t="n">
        <x:v>500000</x:v>
      </x:c>
      <x:c r="AN1786" s="3" t="str">
        <x:v>https://www.privatelendersdirectory.com/united-states/miami/real-estate-investment-lending/ecapital-corp</x:v>
      </x:c>
      <x:c r="AO1786" s="3" t="str">
        <x:v>public_directory.jsonl</x:v>
      </x:c>
      <x:c r="AP1786" s="19"/>
    </x:row>
    <x:row r="1787" ht="36" customHeight="1">
      <x:c r="A1787" s="23" t="n">
        <x:v>1786</x:v>
      </x:c>
      <x:c r="B1787" s="15" t="str">
        <x:v>EFINITY MORTGAGE</x:v>
      </x:c>
      <x:c r="C1787" s="15"/>
      <x:c r="D1787" s="15" t="str">
        <x:v>Property lender or directory member; operating-company capital unconfirmed</x:v>
      </x:c>
      <x:c r="E1787" s="15" t="str">
        <x:v>Property lender / private-money inquiry</x:v>
      </x:c>
      <x:c r="F1787" s="17" t="str">
        <x:v>New</x:v>
      </x:c>
      <x:c r="G1787" s="24" t="str">
        <x:v>info@efinitymortgage.com</x:v>
      </x:c>
      <x:c r="H1787" s="24" t="str">
        <x:v>+18175818878</x:v>
      </x:c>
      <x:c r="I1787" s="24" t="str">
        <x:v>https://efinitymortgage.com/</x:v>
      </x:c>
      <x:c r="J1787" s="16" t="str">
        <x:v>TX</x:v>
      </x:c>
      <x:c r="K1787" s="16" t="str">
        <x:v>Bedford</x:v>
      </x:c>
      <x:c r="L1787" s="16" t="str">
        <x:v>firm_business_routing</x:v>
      </x:c>
      <x:c r="M1787" s="16" t="str">
        <x:v>https://efinitymortgage.com/</x:v>
      </x:c>
      <x:c r="N1787" s="16" t="str">
        <x:v>$100K-$500K ticket not published / unconfirmed</x:v>
      </x:c>
      <x:c r="O1787" s="20"/>
      <x:c r="P1787" s="20"/>
      <x:c r="Q1787" s="25" t="str">
        <x:v>Property-loan range, not a corporate-capital commitment</x:v>
      </x:c>
      <x:c r="R1787" s="25" t="str">
        <x:v>Private real-estate finance experience. Corporate working capital, minority equity or profit participation requires a separate agreement from a property loan.</x:v>
      </x:c>
      <x:c r="S1787" s="25"/>
      <x:c r="T1787" s="25" t="str">
        <x:v>Confirm direct principal versus broker, $100K-$500K appetite, and whether capital can fund the operating company without a property mortgage.</x:v>
      </x:c>
      <x:c r="U1787" s="25" t="str">
        <x:v>https://www.privatelendersdirectory.com/united-states/bedford/top-level-category/efinity-mortgage
https://efinitymortgage.com/
https://efinitymortgage.com/contact/</x:v>
      </x:c>
      <x:c r="V1787" s="26" t="d">
        <x:v>2026-10-02T00:00:00.000Z</x:v>
      </x:c>
      <x:c r="W1787" s="26" t="d">
        <x:v>2026-09-30T00:00:00.000Z</x:v>
      </x:c>
      <x:c r="X1787" s="25" t="str">
        <x:v>Saved public company, industry-directory or regulatory source; source date retained</x:v>
      </x:c>
      <x:c r="Y1787" s="25" t="str">
        <x:v>https://efinitymortgage.com/contact/</x:v>
      </x:c>
      <x:c r="Z1787" s="25" t="str">
        <x:v>https://efinitymortgage.com/</x:v>
      </x:c>
      <x:c r="AA1787" s="25" t="str">
        <x:v>[]</x:v>
      </x:c>
      <x:c r="AB1787" s="3" t="str">
        <x:v>Existing CapitalForge research, newly screened for this campaign</x:v>
      </x:c>
      <x:c r="AC1787" s="3" t="str">
        <x:v>unverified</x:v>
      </x:c>
      <x:c r="AD1787" s="3" t="str">
        <x:v>Not contacted / unconfirmed</x:v>
      </x:c>
      <x:c r="AE1787" s="3" t="str">
        <x:v>No</x:v>
      </x:c>
      <x:c r="AF1787" s="3" t="str">
        <x:v>No</x:v>
      </x:c>
      <x:c r="AG1787" s="3"/>
      <x:c r="AH1787" s="3"/>
      <x:c r="AI1787" s="18"/>
      <x:c r="AJ1787" s="3" t="str">
        <x:v>CF2500-97EFA84C45CD</x:v>
      </x:c>
      <x:c r="AK1787" s="3" t="str">
        <x:v>private_real_estate_lender</x:v>
      </x:c>
      <x:c r="AL1787" s="19" t="n">
        <x:v>100000</x:v>
      </x:c>
      <x:c r="AM1787" s="19" t="n">
        <x:v>500000</x:v>
      </x:c>
      <x:c r="AN1787" s="3" t="str">
        <x:v>https://www.privatelendersdirectory.com/united-states/bedford/top-level-category/efinity-mortgage</x:v>
      </x:c>
      <x:c r="AO1787" s="3" t="str">
        <x:v>public_directory.jsonl</x:v>
      </x:c>
      <x:c r="AP1787" s="19"/>
    </x:row>
    <x:row r="1788" ht="36" customHeight="1">
      <x:c r="A1788" s="23" t="n">
        <x:v>1787</x:v>
      </x:c>
      <x:c r="B1788" s="15" t="str">
        <x:v>ELITE LEDNING PARTNERS</x:v>
      </x:c>
      <x:c r="C1788" s="15"/>
      <x:c r="D1788" s="15" t="str">
        <x:v>Property lender or directory member; operating-company capital unconfirmed</x:v>
      </x:c>
      <x:c r="E1788" s="15" t="str">
        <x:v>Property lender / private-money inquiry</x:v>
      </x:c>
      <x:c r="F1788" s="17" t="str">
        <x:v>New</x:v>
      </x:c>
      <x:c r="G1788" s="24" t="str">
        <x:v>info@elitelendingpartners.com</x:v>
      </x:c>
      <x:c r="H1788" s="24" t="str">
        <x:v>+18553572363</x:v>
      </x:c>
      <x:c r="I1788" s="24" t="str">
        <x:v>https://elitelendingpartners.com/</x:v>
      </x:c>
      <x:c r="J1788" s="16" t="str">
        <x:v>FL</x:v>
      </x:c>
      <x:c r="K1788" s="16" t="str">
        <x:v>LaBelle</x:v>
      </x:c>
      <x:c r="L1788" s="16" t="str">
        <x:v>firm_business_routing</x:v>
      </x:c>
      <x:c r="M1788" s="16" t="str">
        <x:v>https://elitelendingpartners.com/</x:v>
      </x:c>
      <x:c r="N1788" s="16" t="str">
        <x:v>$100K-$500K ticket not published / unconfirmed</x:v>
      </x:c>
      <x:c r="O1788" s="20"/>
      <x:c r="P1788" s="20"/>
      <x:c r="Q1788" s="25" t="str">
        <x:v>Property-loan range, not a corporate-capital commitment</x:v>
      </x:c>
      <x:c r="R1788" s="25" t="str">
        <x:v>Private real-estate finance experience. Corporate working capital, minority equity or profit participation requires a separate agreement from a property loan.</x:v>
      </x:c>
      <x:c r="S1788" s="25"/>
      <x:c r="T1788" s="25" t="str">
        <x:v>Confirm direct principal versus broker, $100K-$500K appetite, and whether capital can fund the operating company without a property mortgage.</x:v>
      </x:c>
      <x:c r="U1788" s="25" t="str">
        <x:v>https://www.privatelendersdirectory.com/united-states/labelle/top-level-category/elite-ledning-partners
https://elitelendingpartners.com/
https://elitelendingpartners.com/contact/
https://www.privatelendersdirectory.com/united-states/boca-raton/top-level-category/elite-lending-partners</x:v>
      </x:c>
      <x:c r="V1788" s="26" t="d">
        <x:v>2026-10-02T00:00:00.000Z</x:v>
      </x:c>
      <x:c r="W1788" s="26" t="d">
        <x:v>2026-09-30T00:00:00.000Z</x:v>
      </x:c>
      <x:c r="X1788" s="25" t="str">
        <x:v>Saved public company, industry-directory or regulatory source; source date retained</x:v>
      </x:c>
      <x:c r="Y1788" s="25" t="str">
        <x:v>https://elitelendingpartners.com/contact/</x:v>
      </x:c>
      <x:c r="Z1788" s="25" t="str">
        <x:v>https://elitelendingpartners.com/</x:v>
      </x:c>
      <x:c r="AA1788" s="25" t="str">
        <x:v>[]</x:v>
      </x:c>
      <x:c r="AB1788" s="3" t="str">
        <x:v>Existing CapitalForge research, newly screened for this campaign</x:v>
      </x:c>
      <x:c r="AC1788" s="3" t="str">
        <x:v>unverified</x:v>
      </x:c>
      <x:c r="AD1788" s="3" t="str">
        <x:v>Not contacted / unconfirmed</x:v>
      </x:c>
      <x:c r="AE1788" s="3" t="str">
        <x:v>No</x:v>
      </x:c>
      <x:c r="AF1788" s="3" t="str">
        <x:v>No</x:v>
      </x:c>
      <x:c r="AG1788" s="3"/>
      <x:c r="AH1788" s="3"/>
      <x:c r="AI1788" s="18"/>
      <x:c r="AJ1788" s="3" t="str">
        <x:v>CF2500-29EC8971D0E3</x:v>
      </x:c>
      <x:c r="AK1788" s="3" t="str">
        <x:v>private_real_estate_lender</x:v>
      </x:c>
      <x:c r="AL1788" s="19" t="n">
        <x:v>100000</x:v>
      </x:c>
      <x:c r="AM1788" s="19" t="n">
        <x:v>500000</x:v>
      </x:c>
      <x:c r="AN1788" s="3" t="str">
        <x:v>https://www.privatelendersdirectory.com/united-states/labelle/top-level-category/elite-ledning-partners</x:v>
      </x:c>
      <x:c r="AO1788" s="3" t="str">
        <x:v>public_directory.jsonl</x:v>
      </x:c>
      <x:c r="AP1788" s="19"/>
    </x:row>
    <x:row r="1789" ht="36" customHeight="1">
      <x:c r="A1789" s="23" t="n">
        <x:v>1788</x:v>
      </x:c>
      <x:c r="B1789" s="15" t="str">
        <x:v>EMERALD CAPITAL INVESTMENTS</x:v>
      </x:c>
      <x:c r="C1789" s="15"/>
      <x:c r="D1789" s="15" t="str">
        <x:v>Property lender or directory member; operating-company capital unconfirmed</x:v>
      </x:c>
      <x:c r="E1789" s="15" t="str">
        <x:v>Property lender / private-money inquiry</x:v>
      </x:c>
      <x:c r="F1789" s="17" t="str">
        <x:v>New</x:v>
      </x:c>
      <x:c r="G1789" s="24" t="str">
        <x:v>patdonnelly@emeraldcapitalinvestment.com</x:v>
      </x:c>
      <x:c r="H1789" s="24" t="str">
        <x:v>+17733280667</x:v>
      </x:c>
      <x:c r="I1789" s="24" t="str">
        <x:v>https://emeraldcapitalinvestment.com/</x:v>
      </x:c>
      <x:c r="J1789" s="16" t="str">
        <x:v>IL</x:v>
      </x:c>
      <x:c r="K1789" s="16" t="str">
        <x:v>Chicago</x:v>
      </x:c>
      <x:c r="L1789" s="16" t="str">
        <x:v>firm_business_routing</x:v>
      </x:c>
      <x:c r="M1789" s="16" t="str">
        <x:v>https://emeraldcapitalinvestment.com/</x:v>
      </x:c>
      <x:c r="N1789" s="16" t="str">
        <x:v>$100K-$500K ticket not published / unconfirmed</x:v>
      </x:c>
      <x:c r="O1789" s="20"/>
      <x:c r="P1789" s="20"/>
      <x:c r="Q1789" s="25" t="str">
        <x:v>Property-loan range, not a corporate-capital commitment</x:v>
      </x:c>
      <x:c r="R1789" s="25" t="str">
        <x:v>Private real-estate finance experience. Corporate working capital, minority equity or profit participation requires a separate agreement from a property loan.</x:v>
      </x:c>
      <x:c r="S1789" s="25"/>
      <x:c r="T1789" s="25" t="str">
        <x:v>Confirm direct principal versus broker, $100K-$500K appetite, and whether capital can fund the operating company without a property mortgage.</x:v>
      </x:c>
      <x:c r="U1789" s="25" t="str">
        <x:v>https://www.privatelendersdirectory.com/united-states/chicago/top-level-category/emerald-capital-investments
https://emeraldcapitalinvestment.com/</x:v>
      </x:c>
      <x:c r="V1789" s="26" t="d">
        <x:v>2026-10-02T00:00:00.000Z</x:v>
      </x:c>
      <x:c r="W1789" s="26" t="d">
        <x:v>2026-09-30T00:00:00.000Z</x:v>
      </x:c>
      <x:c r="X1789" s="25" t="str">
        <x:v>Saved public company, industry-directory or regulatory source; source date retained</x:v>
      </x:c>
      <x:c r="Y1789" s="25" t="str">
        <x:v>https://emeraldcapitalinvestment.com/</x:v>
      </x:c>
      <x:c r="Z1789" s="25" t="str">
        <x:v>https://emeraldcapitalinvestment.com/</x:v>
      </x:c>
      <x:c r="AA1789" s="25" t="str">
        <x:v>[]</x:v>
      </x:c>
      <x:c r="AB1789" s="3" t="str">
        <x:v>Existing CapitalForge research, newly screened for this campaign</x:v>
      </x:c>
      <x:c r="AC1789" s="3" t="str">
        <x:v>unverified</x:v>
      </x:c>
      <x:c r="AD1789" s="3" t="str">
        <x:v>Not contacted / unconfirmed</x:v>
      </x:c>
      <x:c r="AE1789" s="3" t="str">
        <x:v>No</x:v>
      </x:c>
      <x:c r="AF1789" s="3" t="str">
        <x:v>No</x:v>
      </x:c>
      <x:c r="AG1789" s="3"/>
      <x:c r="AH1789" s="3"/>
      <x:c r="AI1789" s="18"/>
      <x:c r="AJ1789" s="3" t="str">
        <x:v>CF2500-26B9397DE20C</x:v>
      </x:c>
      <x:c r="AK1789" s="3" t="str">
        <x:v>private_real_estate_lender</x:v>
      </x:c>
      <x:c r="AL1789" s="19" t="n">
        <x:v>100000</x:v>
      </x:c>
      <x:c r="AM1789" s="19" t="n">
        <x:v>500000</x:v>
      </x:c>
      <x:c r="AN1789" s="3" t="str">
        <x:v>https://www.privatelendersdirectory.com/united-states/chicago/top-level-category/emerald-capital-investments</x:v>
      </x:c>
      <x:c r="AO1789" s="3" t="str">
        <x:v>public_directory.jsonl</x:v>
      </x:c>
      <x:c r="AP1789" s="19"/>
    </x:row>
    <x:row r="1790" ht="36" customHeight="1">
      <x:c r="A1790" s="23" t="n">
        <x:v>1789</x:v>
      </x:c>
      <x:c r="B1790" s="15" t="str">
        <x:v>Emerald Dolphin Enterprises</x:v>
      </x:c>
      <x:c r="C1790" s="15"/>
      <x:c r="D1790" s="15" t="str">
        <x:v>Property lender or directory member; operating-company capital unconfirmed</x:v>
      </x:c>
      <x:c r="E1790" s="15" t="str">
        <x:v>Property lender / private-money inquiry</x:v>
      </x:c>
      <x:c r="F1790" s="17" t="str">
        <x:v>New</x:v>
      </x:c>
      <x:c r="G1790" s="24" t="str">
        <x:v>weakley4@gmail.com</x:v>
      </x:c>
      <x:c r="H1790" s="24" t="str">
        <x:v>+18178314665</x:v>
      </x:c>
      <x:c r="I1790" s="24" t="str">
        <x:v>http://www.emeralddolphinenterprises.com/</x:v>
      </x:c>
      <x:c r="J1790" s="16" t="str">
        <x:v>TX</x:v>
      </x:c>
      <x:c r="K1790" s="16" t="str">
        <x:v>Haltom City</x:v>
      </x:c>
      <x:c r="L1790" s="16" t="str">
        <x:v>firm_business_routing</x:v>
      </x:c>
      <x:c r="M1790" s="16" t="str">
        <x:v>http://www.emeralddolphinenterprises.com/</x:v>
      </x:c>
      <x:c r="N1790" s="16" t="str">
        <x:v>$100K-$500K ticket not published / unconfirmed</x:v>
      </x:c>
      <x:c r="O1790" s="20"/>
      <x:c r="P1790" s="20"/>
      <x:c r="Q1790" s="25" t="str">
        <x:v>Property-loan range, not a corporate-capital commitment</x:v>
      </x:c>
      <x:c r="R1790" s="25" t="str">
        <x:v>Private real-estate finance experience. Corporate working capital, minority equity or profit participation requires a separate agreement from a property loan.</x:v>
      </x:c>
      <x:c r="S1790" s="25"/>
      <x:c r="T1790" s="25" t="str">
        <x:v>Confirm direct principal versus broker, $100K-$500K appetite, and whether capital can fund the operating company without a property mortgage.</x:v>
      </x:c>
      <x:c r="U1790" s="25" t="str">
        <x:v>https://www.hardmoneyhome.com/lenders/view/emerald-dolphin-enterprises
http://www.emeralddolphinenterprises.com/
https://www.privatelendersdirectory.com/united-states/haltom-city/top-level-category/emerald-dolphin-enterprises
https://emeralddolphinenterprises.com/</x:v>
      </x:c>
      <x:c r="V1790" s="26" t="d">
        <x:v>2026-10-02T00:00:00.000Z</x:v>
      </x:c>
      <x:c r="W1790" s="26" t="d">
        <x:v>2026-09-30T00:00:00.000Z</x:v>
      </x:c>
      <x:c r="X1790" s="25" t="str">
        <x:v>Saved public company, industry-directory or regulatory source; source date retained</x:v>
      </x:c>
      <x:c r="Y1790" s="25" t="str">
        <x:v>http://www.emeralddolphinenterprises.com/</x:v>
      </x:c>
      <x:c r="Z1790" s="25" t="str">
        <x:v>https://www.hardmoneyhome.com/lenders/view/emerald-dolphin-enterprises</x:v>
      </x:c>
      <x:c r="AA1790" s="25" t="str">
        <x:v>[]</x:v>
      </x:c>
      <x:c r="AB1790" s="3" t="str">
        <x:v>Existing CapitalForge research, newly screened for this campaign</x:v>
      </x:c>
      <x:c r="AC1790" s="3" t="str">
        <x:v>unverified</x:v>
      </x:c>
      <x:c r="AD1790" s="3" t="str">
        <x:v>Not contacted / unconfirmed</x:v>
      </x:c>
      <x:c r="AE1790" s="3" t="str">
        <x:v>No</x:v>
      </x:c>
      <x:c r="AF1790" s="3" t="str">
        <x:v>No</x:v>
      </x:c>
      <x:c r="AG1790" s="3"/>
      <x:c r="AH1790" s="3"/>
      <x:c r="AI1790" s="18"/>
      <x:c r="AJ1790" s="3" t="str">
        <x:v>CF2500-694D326F4F66</x:v>
      </x:c>
      <x:c r="AK1790" s="3" t="str">
        <x:v>private_real_estate_lender</x:v>
      </x:c>
      <x:c r="AL1790" s="19" t="n">
        <x:v>100000</x:v>
      </x:c>
      <x:c r="AM1790" s="19" t="n">
        <x:v>500000</x:v>
      </x:c>
      <x:c r="AN1790" s="3" t="str">
        <x:v>https://www.hardmoneyhome.com/lenders/view/emerald-dolphin-enterprises</x:v>
      </x:c>
      <x:c r="AO1790" s="3" t="str">
        <x:v>public_directory.jsonl</x:v>
      </x:c>
      <x:c r="AP1790" s="19"/>
    </x:row>
    <x:row r="1791" ht="36" customHeight="1">
      <x:c r="A1791" s="23" t="n">
        <x:v>1790</x:v>
      </x:c>
      <x:c r="B1791" s="15" t="str">
        <x:v>Equity Max</x:v>
      </x:c>
      <x:c r="C1791" s="15"/>
      <x:c r="D1791" s="15" t="str">
        <x:v>Property lender or directory member; operating-company capital unconfirmed</x:v>
      </x:c>
      <x:c r="E1791" s="15" t="str">
        <x:v>Property lender / private-money inquiry</x:v>
      </x:c>
      <x:c r="F1791" s="17" t="str">
        <x:v>New</x:v>
      </x:c>
      <x:c r="G1791" s="24" t="str">
        <x:v>gregoryemmer@equitymax.com</x:v>
      </x:c>
      <x:c r="H1791" s="24" t="str">
        <x:v>+19542679103</x:v>
      </x:c>
      <x:c r="I1791" s="24" t="str">
        <x:v>http://www.equitymax.com/</x:v>
      </x:c>
      <x:c r="J1791" s="16" t="str">
        <x:v>FL</x:v>
      </x:c>
      <x:c r="K1791" s="16" t="str">
        <x:v>Fort Lauderdale</x:v>
      </x:c>
      <x:c r="L1791" s="16" t="str">
        <x:v>firm_business_routing</x:v>
      </x:c>
      <x:c r="M1791" s="16" t="str">
        <x:v>http://www.equitymax.com/</x:v>
      </x:c>
      <x:c r="N1791" s="16" t="str">
        <x:v>$100K-$500K ticket not published / unconfirmed</x:v>
      </x:c>
      <x:c r="O1791" s="20"/>
      <x:c r="P1791" s="20"/>
      <x:c r="Q1791" s="25" t="str">
        <x:v>Property-loan range, not a corporate-capital commitment</x:v>
      </x:c>
      <x:c r="R1791" s="25" t="str">
        <x:v>Private real-estate finance experience. Corporate working capital, minority equity or profit participation requires a separate agreement from a property loan.</x:v>
      </x:c>
      <x:c r="S1791" s="25"/>
      <x:c r="T1791" s="25" t="str">
        <x:v>Confirm direct principal versus broker, $100K-$500K appetite, and whether capital can fund the operating company without a property mortgage.</x:v>
      </x:c>
      <x:c r="U1791" s="25" t="str">
        <x:v>https://www.hardmoneyhome.com/lenders/view/equity-max
https://privatelenderlink.com/profile/equitymax-financial/
https://www.privatelendersdirectory.com/united-states/fort-lauderdale/top-level-category/equity-max</x:v>
      </x:c>
      <x:c r="V1791" s="26" t="d">
        <x:v>2026-10-02T00:00:00.000Z</x:v>
      </x:c>
      <x:c r="W1791" s="26" t="d">
        <x:v>2026-09-30T00:00:00.000Z</x:v>
      </x:c>
      <x:c r="X1791" s="25" t="str">
        <x:v>Saved public company, industry-directory or regulatory source; source date retained</x:v>
      </x:c>
      <x:c r="Y1791" s="25" t="str">
        <x:v>https://privatelenderlink.com/profile/equitymax-financial/</x:v>
      </x:c>
      <x:c r="Z1791" s="25" t="str">
        <x:v>https://www.hardmoneyhome.com/lenders/view/equity-max</x:v>
      </x:c>
      <x:c r="AA1791" s="25" t="str">
        <x:v>[]</x:v>
      </x:c>
      <x:c r="AB1791" s="3" t="str">
        <x:v>Existing CapitalForge research, newly screened for this campaign</x:v>
      </x:c>
      <x:c r="AC1791" s="3" t="str">
        <x:v>unverified</x:v>
      </x:c>
      <x:c r="AD1791" s="3" t="str">
        <x:v>Not contacted / unconfirmed</x:v>
      </x:c>
      <x:c r="AE1791" s="3" t="str">
        <x:v>No</x:v>
      </x:c>
      <x:c r="AF1791" s="3" t="str">
        <x:v>No</x:v>
      </x:c>
      <x:c r="AG1791" s="3"/>
      <x:c r="AH1791" s="3"/>
      <x:c r="AI1791" s="18"/>
      <x:c r="AJ1791" s="3" t="str">
        <x:v>CF2500-C721CC9CE29B</x:v>
      </x:c>
      <x:c r="AK1791" s="3" t="str">
        <x:v>private_real_estate_lender</x:v>
      </x:c>
      <x:c r="AL1791" s="19" t="n">
        <x:v>100000</x:v>
      </x:c>
      <x:c r="AM1791" s="19" t="n">
        <x:v>500000</x:v>
      </x:c>
      <x:c r="AN1791" s="3" t="str">
        <x:v>https://www.hardmoneyhome.com/lenders/view/equity-max</x:v>
      </x:c>
      <x:c r="AO1791" s="3" t="str">
        <x:v>public_directory.jsonl</x:v>
      </x:c>
      <x:c r="AP1791" s="19"/>
    </x:row>
    <x:row r="1792" ht="36" customHeight="1">
      <x:c r="A1792" s="23" t="n">
        <x:v>1791</x:v>
      </x:c>
      <x:c r="B1792" s="15" t="str">
        <x:v>Equity Trac</x:v>
      </x:c>
      <x:c r="C1792" s="15"/>
      <x:c r="D1792" s="15" t="str">
        <x:v>Property lender or directory member; operating-company capital unconfirmed</x:v>
      </x:c>
      <x:c r="E1792" s="15" t="str">
        <x:v>Property lender / private-money inquiry</x:v>
      </x:c>
      <x:c r="F1792" s="17" t="str">
        <x:v>New</x:v>
      </x:c>
      <x:c r="G1792" s="24" t="str">
        <x:v>hello@equitytrac.com</x:v>
      </x:c>
      <x:c r="H1792" s="24" t="str">
        <x:v>+19412171000</x:v>
      </x:c>
      <x:c r="I1792" s="24" t="str">
        <x:v>http://equitytrac.com</x:v>
      </x:c>
      <x:c r="J1792" s="16" t="str">
        <x:v>FL</x:v>
      </x:c>
      <x:c r="K1792" s="16" t="str">
        <x:v>Ellenton</x:v>
      </x:c>
      <x:c r="L1792" s="16" t="str">
        <x:v>firm_business_routing</x:v>
      </x:c>
      <x:c r="M1792" s="16" t="str">
        <x:v>http://equitytrac.com</x:v>
      </x:c>
      <x:c r="N1792" s="16" t="str">
        <x:v>$100K-$500K ticket not published / unconfirmed</x:v>
      </x:c>
      <x:c r="O1792" s="20"/>
      <x:c r="P1792" s="20"/>
      <x:c r="Q1792" s="25" t="str">
        <x:v>Property-loan range, not a corporate-capital commitment</x:v>
      </x:c>
      <x:c r="R1792" s="25" t="str">
        <x:v>Private real-estate finance experience. Corporate working capital, minority equity or profit participation requires a separate agreement from a property loan.</x:v>
      </x:c>
      <x:c r="S1792" s="25"/>
      <x:c r="T1792" s="25" t="str">
        <x:v>Confirm direct principal versus broker, $100K-$500K appetite, and whether capital can fund the operating company without a property mortgage.</x:v>
      </x:c>
      <x:c r="U1792" s="25" t="str">
        <x:v>https://www.hardmoneyhome.com/lenders/view/equity-trac
https://equitytrac.com</x:v>
      </x:c>
      <x:c r="V1792" s="26" t="d">
        <x:v>2026-10-02T00:00:00.000Z</x:v>
      </x:c>
      <x:c r="W1792" s="26" t="d">
        <x:v>2026-09-30T00:00:00.000Z</x:v>
      </x:c>
      <x:c r="X1792" s="25" t="str">
        <x:v>Saved public company, industry-directory or regulatory source; source date retained</x:v>
      </x:c>
      <x:c r="Y1792" s="25" t="str">
        <x:v>https://equitytrac.com</x:v>
      </x:c>
      <x:c r="Z1792" s="25" t="str">
        <x:v>https://www.hardmoneyhome.com/lenders/view/equity-trac</x:v>
      </x:c>
      <x:c r="AA1792" s="25" t="str">
        <x:v>[]</x:v>
      </x:c>
      <x:c r="AB1792" s="3" t="str">
        <x:v>Existing CapitalForge research, newly screened for this campaign</x:v>
      </x:c>
      <x:c r="AC1792" s="3" t="str">
        <x:v>unverified</x:v>
      </x:c>
      <x:c r="AD1792" s="3" t="str">
        <x:v>Not contacted / unconfirmed</x:v>
      </x:c>
      <x:c r="AE1792" s="3" t="str">
        <x:v>No</x:v>
      </x:c>
      <x:c r="AF1792" s="3" t="str">
        <x:v>No</x:v>
      </x:c>
      <x:c r="AG1792" s="3"/>
      <x:c r="AH1792" s="3"/>
      <x:c r="AI1792" s="18"/>
      <x:c r="AJ1792" s="3" t="str">
        <x:v>CF2500-D61CF76424ED</x:v>
      </x:c>
      <x:c r="AK1792" s="3" t="str">
        <x:v>private_real_estate_lender</x:v>
      </x:c>
      <x:c r="AL1792" s="19" t="n">
        <x:v>100000</x:v>
      </x:c>
      <x:c r="AM1792" s="19" t="n">
        <x:v>500000</x:v>
      </x:c>
      <x:c r="AN1792" s="3" t="str">
        <x:v>https://www.hardmoneyhome.com/lenders/view/equity-trac</x:v>
      </x:c>
      <x:c r="AO1792" s="3" t="str">
        <x:v>public_directory.jsonl</x:v>
      </x:c>
      <x:c r="AP1792" s="19"/>
    </x:row>
    <x:row r="1793" ht="36" customHeight="1">
      <x:c r="A1793" s="23" t="n">
        <x:v>1792</x:v>
      </x:c>
      <x:c r="B1793" s="15" t="str">
        <x:v>EXPERT MORTGAGE FINANCING</x:v>
      </x:c>
      <x:c r="C1793" s="15"/>
      <x:c r="D1793" s="15" t="str">
        <x:v>Property lender or directory member; operating-company capital unconfirmed</x:v>
      </x:c>
      <x:c r="E1793" s="15" t="str">
        <x:v>Property lender / private-money inquiry</x:v>
      </x:c>
      <x:c r="F1793" s="17" t="str">
        <x:v>New</x:v>
      </x:c>
      <x:c r="G1793" s="24" t="str">
        <x:v>jacquie@expertmortgagefinancing.com</x:v>
      </x:c>
      <x:c r="H1793" s="24" t="str">
        <x:v>+16026775859</x:v>
      </x:c>
      <x:c r="I1793" s="24" t="str">
        <x:v>https://expertmortgagefinancing.com/</x:v>
      </x:c>
      <x:c r="J1793" s="16" t="str">
        <x:v>AZ</x:v>
      </x:c>
      <x:c r="K1793" s="16" t="str">
        <x:v>Scottsdale</x:v>
      </x:c>
      <x:c r="L1793" s="16" t="str">
        <x:v>firm_business_routing</x:v>
      </x:c>
      <x:c r="M1793" s="16" t="str">
        <x:v>https://expertmortgagefinancing.com/</x:v>
      </x:c>
      <x:c r="N1793" s="16" t="str">
        <x:v>$100K-$500K ticket not published / unconfirmed</x:v>
      </x:c>
      <x:c r="O1793" s="20"/>
      <x:c r="P1793" s="20"/>
      <x:c r="Q1793" s="25" t="str">
        <x:v>Property-loan range, not a corporate-capital commitment</x:v>
      </x:c>
      <x:c r="R1793" s="25" t="str">
        <x:v>Private real-estate finance experience. Corporate working capital, minority equity or profit participation requires a separate agreement from a property loan.</x:v>
      </x:c>
      <x:c r="S1793" s="25"/>
      <x:c r="T1793" s="25" t="str">
        <x:v>Confirm direct principal versus broker, $100K-$500K appetite, and whether capital can fund the operating company without a property mortgage.</x:v>
      </x:c>
      <x:c r="U1793" s="25" t="str">
        <x:v>https://www.privatelendersdirectory.com/united-states/scottsdale/real-estate-investment-lending/expert-mortgage-financing
https://expertmortgagefinancing.com/
https://expertmortgagefinancing.com/contact-us/</x:v>
      </x:c>
      <x:c r="V1793" s="26" t="d">
        <x:v>2026-10-02T00:00:00.000Z</x:v>
      </x:c>
      <x:c r="W1793" s="26" t="d">
        <x:v>2026-09-30T00:00:00.000Z</x:v>
      </x:c>
      <x:c r="X1793" s="25" t="str">
        <x:v>Saved public company, industry-directory or regulatory source; source date retained</x:v>
      </x:c>
      <x:c r="Y1793" s="25" t="str">
        <x:v>https://expertmortgagefinancing.com/contact-us/</x:v>
      </x:c>
      <x:c r="Z1793" s="25" t="str">
        <x:v>https://expertmortgagefinancing.com/</x:v>
      </x:c>
      <x:c r="AA1793" s="25" t="str">
        <x:v>[]</x:v>
      </x:c>
      <x:c r="AB1793" s="3" t="str">
        <x:v>Existing CapitalForge research, newly screened for this campaign</x:v>
      </x:c>
      <x:c r="AC1793" s="3" t="str">
        <x:v>unverified</x:v>
      </x:c>
      <x:c r="AD1793" s="3" t="str">
        <x:v>Not contacted / unconfirmed</x:v>
      </x:c>
      <x:c r="AE1793" s="3" t="str">
        <x:v>No</x:v>
      </x:c>
      <x:c r="AF1793" s="3" t="str">
        <x:v>No</x:v>
      </x:c>
      <x:c r="AG1793" s="3"/>
      <x:c r="AH1793" s="3"/>
      <x:c r="AI1793" s="18"/>
      <x:c r="AJ1793" s="3" t="str">
        <x:v>CF2500-C5B7CB1570A0</x:v>
      </x:c>
      <x:c r="AK1793" s="3" t="str">
        <x:v>private_real_estate_lender</x:v>
      </x:c>
      <x:c r="AL1793" s="19" t="n">
        <x:v>100000</x:v>
      </x:c>
      <x:c r="AM1793" s="19" t="n">
        <x:v>500000</x:v>
      </x:c>
      <x:c r="AN1793" s="3" t="str">
        <x:v>https://www.privatelendersdirectory.com/united-states/scottsdale/real-estate-investment-lending/expert-mortgage-financing</x:v>
      </x:c>
      <x:c r="AO1793" s="3" t="str">
        <x:v>public_directory.jsonl</x:v>
      </x:c>
      <x:c r="AP1793" s="19"/>
    </x:row>
    <x:row r="1794" ht="36" customHeight="1">
      <x:c r="A1794" s="23" t="n">
        <x:v>1793</x:v>
      </x:c>
      <x:c r="B1794" s="15" t="str">
        <x:v>FAST PRIVATE LENDING</x:v>
      </x:c>
      <x:c r="C1794" s="15"/>
      <x:c r="D1794" s="15" t="str">
        <x:v>Property lender or directory member; operating-company capital unconfirmed</x:v>
      </x:c>
      <x:c r="E1794" s="15" t="str">
        <x:v>Property lender / private-money inquiry</x:v>
      </x:c>
      <x:c r="F1794" s="17" t="str">
        <x:v>New</x:v>
      </x:c>
      <x:c r="G1794" s="24" t="str">
        <x:v>info@fastprivatelending.com</x:v>
      </x:c>
      <x:c r="H1794" s="24" t="str">
        <x:v>+17164444667</x:v>
      </x:c>
      <x:c r="I1794" s="24" t="str">
        <x:v>https://fastprivatelending.com/</x:v>
      </x:c>
      <x:c r="J1794" s="16" t="str">
        <x:v>FL</x:v>
      </x:c>
      <x:c r="K1794" s="16" t="str">
        <x:v>Clearwater</x:v>
      </x:c>
      <x:c r="L1794" s="16" t="str">
        <x:v>firm_business_routing</x:v>
      </x:c>
      <x:c r="M1794" s="16" t="str">
        <x:v>https://fastprivatelending.com/</x:v>
      </x:c>
      <x:c r="N1794" s="16" t="str">
        <x:v>$100K-$500K ticket not published / unconfirmed</x:v>
      </x:c>
      <x:c r="O1794" s="20"/>
      <x:c r="P1794" s="20"/>
      <x:c r="Q1794" s="25" t="str">
        <x:v>Property-loan range, not a corporate-capital commitment</x:v>
      </x:c>
      <x:c r="R1794" s="25" t="str">
        <x:v>Private real-estate finance experience. Corporate working capital, minority equity or profit participation requires a separate agreement from a property loan.</x:v>
      </x:c>
      <x:c r="S1794" s="25"/>
      <x:c r="T1794" s="25" t="str">
        <x:v>Confirm direct principal versus broker, $100K-$500K appetite, and whether capital can fund the operating company without a property mortgage.</x:v>
      </x:c>
      <x:c r="U1794" s="25" t="str">
        <x:v>https://www.privatelendersdirectory.com/united-states/clearwater/top-level-category/fast-private-lending
https://fastprivatelending.com/</x:v>
      </x:c>
      <x:c r="V1794" s="26" t="d">
        <x:v>2026-10-02T00:00:00.000Z</x:v>
      </x:c>
      <x:c r="W1794" s="26" t="d">
        <x:v>2026-09-30T00:00:00.000Z</x:v>
      </x:c>
      <x:c r="X1794" s="25" t="str">
        <x:v>Saved public company, industry-directory or regulatory source; source date retained</x:v>
      </x:c>
      <x:c r="Y1794" s="25" t="str">
        <x:v>https://fastprivatelending.com/</x:v>
      </x:c>
      <x:c r="Z1794" s="25" t="str">
        <x:v>https://fastprivatelending.com/</x:v>
      </x:c>
      <x:c r="AA1794" s="25" t="str">
        <x:v>[]</x:v>
      </x:c>
      <x:c r="AB1794" s="3" t="str">
        <x:v>Existing CapitalForge research, newly screened for this campaign</x:v>
      </x:c>
      <x:c r="AC1794" s="3" t="str">
        <x:v>unverified</x:v>
      </x:c>
      <x:c r="AD1794" s="3" t="str">
        <x:v>Not contacted / unconfirmed</x:v>
      </x:c>
      <x:c r="AE1794" s="3" t="str">
        <x:v>No</x:v>
      </x:c>
      <x:c r="AF1794" s="3" t="str">
        <x:v>No</x:v>
      </x:c>
      <x:c r="AG1794" s="3"/>
      <x:c r="AH1794" s="3"/>
      <x:c r="AI1794" s="18"/>
      <x:c r="AJ1794" s="3" t="str">
        <x:v>CF2500-C6AD276D7E21</x:v>
      </x:c>
      <x:c r="AK1794" s="3" t="str">
        <x:v>private_real_estate_lender</x:v>
      </x:c>
      <x:c r="AL1794" s="19" t="n">
        <x:v>100000</x:v>
      </x:c>
      <x:c r="AM1794" s="19" t="n">
        <x:v>500000</x:v>
      </x:c>
      <x:c r="AN1794" s="3" t="str">
        <x:v>https://www.privatelendersdirectory.com/united-states/clearwater/top-level-category/fast-private-lending</x:v>
      </x:c>
      <x:c r="AO1794" s="3" t="str">
        <x:v>public_directory.jsonl</x:v>
      </x:c>
      <x:c r="AP1794" s="19"/>
    </x:row>
    <x:row r="1795" ht="36" customHeight="1">
      <x:c r="A1795" s="23" t="n">
        <x:v>1794</x:v>
      </x:c>
      <x:c r="B1795" s="15" t="str">
        <x:v>FMS INVESTOR</x:v>
      </x:c>
      <x:c r="C1795" s="15"/>
      <x:c r="D1795" s="15" t="str">
        <x:v>Property lender or directory member; operating-company capital unconfirmed</x:v>
      </x:c>
      <x:c r="E1795" s="15" t="str">
        <x:v>Property lender / private-money inquiry</x:v>
      </x:c>
      <x:c r="F1795" s="17" t="str">
        <x:v>New</x:v>
      </x:c>
      <x:c r="G1795" s="24" t="str">
        <x:v>contact-us@fmsinvestor.com</x:v>
      </x:c>
      <x:c r="H1795" s="24" t="str">
        <x:v>+18332507634</x:v>
      </x:c>
      <x:c r="I1795" s="24" t="str">
        <x:v>https://fmsinvestor.com/</x:v>
      </x:c>
      <x:c r="J1795" s="16" t="str">
        <x:v>FL</x:v>
      </x:c>
      <x:c r="K1795" s="16" t="str">
        <x:v>Tampa</x:v>
      </x:c>
      <x:c r="L1795" s="16" t="str">
        <x:v>firm_business_routing</x:v>
      </x:c>
      <x:c r="M1795" s="16" t="str">
        <x:v>https://fmsinvestor.com/</x:v>
      </x:c>
      <x:c r="N1795" s="16" t="str">
        <x:v>$100K-$500K ticket not published / unconfirmed</x:v>
      </x:c>
      <x:c r="O1795" s="20"/>
      <x:c r="P1795" s="20"/>
      <x:c r="Q1795" s="25" t="str">
        <x:v>Property-loan range, not a corporate-capital commitment</x:v>
      </x:c>
      <x:c r="R1795" s="25" t="str">
        <x:v>Private real-estate finance experience. Corporate working capital, minority equity or profit participation requires a separate agreement from a property loan.</x:v>
      </x:c>
      <x:c r="S1795" s="25"/>
      <x:c r="T1795" s="25" t="str">
        <x:v>Confirm direct principal versus broker, $100K-$500K appetite, and whether capital can fund the operating company without a property mortgage.</x:v>
      </x:c>
      <x:c r="U1795" s="25" t="str">
        <x:v>https://www.privatelendersdirectory.com/united-states/tampa/top-level-category/fms-investor
https://fmsinvestor.com/</x:v>
      </x:c>
      <x:c r="V1795" s="26" t="d">
        <x:v>2026-10-02T00:00:00.000Z</x:v>
      </x:c>
      <x:c r="W1795" s="26" t="d">
        <x:v>2026-09-30T00:00:00.000Z</x:v>
      </x:c>
      <x:c r="X1795" s="25" t="str">
        <x:v>Saved public company, industry-directory or regulatory source; source date retained</x:v>
      </x:c>
      <x:c r="Y1795" s="25" t="str">
        <x:v>https://fmsinvestor.com/</x:v>
      </x:c>
      <x:c r="Z1795" s="25" t="str">
        <x:v>https://fmsinvestor.com/</x:v>
      </x:c>
      <x:c r="AA1795" s="25" t="str">
        <x:v>[]</x:v>
      </x:c>
      <x:c r="AB1795" s="3" t="str">
        <x:v>Existing CapitalForge research, newly screened for this campaign</x:v>
      </x:c>
      <x:c r="AC1795" s="3" t="str">
        <x:v>unverified</x:v>
      </x:c>
      <x:c r="AD1795" s="3" t="str">
        <x:v>Not contacted / unconfirmed</x:v>
      </x:c>
      <x:c r="AE1795" s="3" t="str">
        <x:v>No</x:v>
      </x:c>
      <x:c r="AF1795" s="3" t="str">
        <x:v>No</x:v>
      </x:c>
      <x:c r="AG1795" s="3"/>
      <x:c r="AH1795" s="3"/>
      <x:c r="AI1795" s="18"/>
      <x:c r="AJ1795" s="3" t="str">
        <x:v>CF2500-E460E588F633</x:v>
      </x:c>
      <x:c r="AK1795" s="3" t="str">
        <x:v>private_real_estate_lender</x:v>
      </x:c>
      <x:c r="AL1795" s="19" t="n">
        <x:v>100000</x:v>
      </x:c>
      <x:c r="AM1795" s="19" t="n">
        <x:v>500000</x:v>
      </x:c>
      <x:c r="AN1795" s="3" t="str">
        <x:v>https://www.privatelendersdirectory.com/united-states/tampa/top-level-category/fms-investor</x:v>
      </x:c>
      <x:c r="AO1795" s="3" t="str">
        <x:v>public_directory.jsonl</x:v>
      </x:c>
      <x:c r="AP1795" s="19"/>
    </x:row>
    <x:row r="1796" ht="36" customHeight="1">
      <x:c r="A1796" s="23" t="n">
        <x:v>1795</x:v>
      </x:c>
      <x:c r="B1796" s="15" t="str">
        <x:v>FUNDING ALTERNATIVES</x:v>
      </x:c>
      <x:c r="C1796" s="15"/>
      <x:c r="D1796" s="15" t="str">
        <x:v>Property lender or directory member; operating-company capital unconfirmed</x:v>
      </x:c>
      <x:c r="E1796" s="15" t="str">
        <x:v>Property lender / private-money inquiry</x:v>
      </x:c>
      <x:c r="F1796" s="17" t="str">
        <x:v>New</x:v>
      </x:c>
      <x:c r="G1796" s="24" t="str">
        <x:v>loans@fundingalts.com</x:v>
      </x:c>
      <x:c r="H1796" s="24" t="str">
        <x:v>+13053155165</x:v>
      </x:c>
      <x:c r="I1796" s="24" t="str">
        <x:v>https://www.fundingalts.com/</x:v>
      </x:c>
      <x:c r="J1796" s="16" t="str">
        <x:v>FL</x:v>
      </x:c>
      <x:c r="K1796" s="16" t="str">
        <x:v>Coral Springs</x:v>
      </x:c>
      <x:c r="L1796" s="16" t="str">
        <x:v>firm_business_routing</x:v>
      </x:c>
      <x:c r="M1796" s="16" t="str">
        <x:v>https://www.fundingalts.com/</x:v>
      </x:c>
      <x:c r="N1796" s="16" t="str">
        <x:v>$100K-$500K ticket not published / unconfirmed</x:v>
      </x:c>
      <x:c r="O1796" s="20"/>
      <x:c r="P1796" s="20"/>
      <x:c r="Q1796" s="25" t="str">
        <x:v>Property-loan range, not a corporate-capital commitment</x:v>
      </x:c>
      <x:c r="R1796" s="25" t="str">
        <x:v>Private real-estate finance experience. Corporate working capital, minority equity or profit participation requires a separate agreement from a property loan.</x:v>
      </x:c>
      <x:c r="S1796" s="25"/>
      <x:c r="T1796" s="25" t="str">
        <x:v>Confirm direct principal versus broker, $100K-$500K appetite, and whether capital can fund the operating company without a property mortgage.</x:v>
      </x:c>
      <x:c r="U1796" s="25" t="str">
        <x:v>https://www.privatelendersdirectory.com/united-states/coral-springs/top-level-category/funding-alternatives
https://www.fundingalts.com/</x:v>
      </x:c>
      <x:c r="V1796" s="26" t="d">
        <x:v>2026-10-02T00:00:00.000Z</x:v>
      </x:c>
      <x:c r="W1796" s="26" t="d">
        <x:v>2026-09-30T00:00:00.000Z</x:v>
      </x:c>
      <x:c r="X1796" s="25" t="str">
        <x:v>Saved public company, industry-directory or regulatory source; source date retained</x:v>
      </x:c>
      <x:c r="Y1796" s="25" t="str">
        <x:v>https://www.fundingalts.com/</x:v>
      </x:c>
      <x:c r="Z1796" s="25" t="str">
        <x:v>https://www.fundingalts.com/</x:v>
      </x:c>
      <x:c r="AA1796" s="25" t="str">
        <x:v>[]</x:v>
      </x:c>
      <x:c r="AB1796" s="3" t="str">
        <x:v>Existing CapitalForge research, newly screened for this campaign</x:v>
      </x:c>
      <x:c r="AC1796" s="3" t="str">
        <x:v>unverified</x:v>
      </x:c>
      <x:c r="AD1796" s="3" t="str">
        <x:v>Not contacted / unconfirmed</x:v>
      </x:c>
      <x:c r="AE1796" s="3" t="str">
        <x:v>No</x:v>
      </x:c>
      <x:c r="AF1796" s="3" t="str">
        <x:v>No</x:v>
      </x:c>
      <x:c r="AG1796" s="3"/>
      <x:c r="AH1796" s="3"/>
      <x:c r="AI1796" s="18"/>
      <x:c r="AJ1796" s="3" t="str">
        <x:v>CF2500-BB858717467E</x:v>
      </x:c>
      <x:c r="AK1796" s="3" t="str">
        <x:v>private_real_estate_lender</x:v>
      </x:c>
      <x:c r="AL1796" s="19" t="n">
        <x:v>100000</x:v>
      </x:c>
      <x:c r="AM1796" s="19" t="n">
        <x:v>500000</x:v>
      </x:c>
      <x:c r="AN1796" s="3" t="str">
        <x:v>https://www.privatelendersdirectory.com/united-states/coral-springs/top-level-category/funding-alternatives</x:v>
      </x:c>
      <x:c r="AO1796" s="3" t="str">
        <x:v>public_directory.jsonl</x:v>
      </x:c>
      <x:c r="AP1796" s="19"/>
    </x:row>
    <x:row r="1797" ht="36" customHeight="1">
      <x:c r="A1797" s="23" t="n">
        <x:v>1796</x:v>
      </x:c>
      <x:c r="B1797" s="15" t="str">
        <x:v>FUNDING HELP</x:v>
      </x:c>
      <x:c r="C1797" s="15"/>
      <x:c r="D1797" s="15" t="str">
        <x:v>Property lender or directory member; operating-company capital unconfirmed</x:v>
      </x:c>
      <x:c r="E1797" s="15" t="str">
        <x:v>Property lender / private-money inquiry</x:v>
      </x:c>
      <x:c r="F1797" s="17" t="str">
        <x:v>New</x:v>
      </x:c>
      <x:c r="G1797" s="24" t="str">
        <x:v>info@fundinghelp.com</x:v>
      </x:c>
      <x:c r="H1797" s="24" t="str">
        <x:v>+18004170109</x:v>
      </x:c>
      <x:c r="I1797" s="24" t="str">
        <x:v>https://www.fundinghelp.com/</x:v>
      </x:c>
      <x:c r="J1797" s="16" t="str">
        <x:v>FL</x:v>
      </x:c>
      <x:c r="K1797" s="16" t="str">
        <x:v>Orange Park</x:v>
      </x:c>
      <x:c r="L1797" s="16" t="str">
        <x:v>firm_business_routing</x:v>
      </x:c>
      <x:c r="M1797" s="16" t="str">
        <x:v>https://www.fundinghelp.com/</x:v>
      </x:c>
      <x:c r="N1797" s="16" t="str">
        <x:v>$100K-$500K ticket not published / unconfirmed</x:v>
      </x:c>
      <x:c r="O1797" s="20"/>
      <x:c r="P1797" s="20"/>
      <x:c r="Q1797" s="25" t="str">
        <x:v>Property-loan range, not a corporate-capital commitment</x:v>
      </x:c>
      <x:c r="R1797" s="25" t="str">
        <x:v>Private real-estate finance experience. Corporate working capital, minority equity or profit participation requires a separate agreement from a property loan.</x:v>
      </x:c>
      <x:c r="S1797" s="25"/>
      <x:c r="T1797" s="25" t="str">
        <x:v>Confirm direct principal versus broker, $100K-$500K appetite, and whether capital can fund the operating company without a property mortgage.</x:v>
      </x:c>
      <x:c r="U1797" s="25" t="str">
        <x:v>https://www.privatelendersdirectory.com/united-states/orange-park/top-level-category/funding-help
https://www.fundinghelp.com/</x:v>
      </x:c>
      <x:c r="V1797" s="26" t="d">
        <x:v>2026-10-02T00:00:00.000Z</x:v>
      </x:c>
      <x:c r="W1797" s="26" t="d">
        <x:v>2026-09-30T00:00:00.000Z</x:v>
      </x:c>
      <x:c r="X1797" s="25" t="str">
        <x:v>Saved public company, industry-directory or regulatory source; source date retained</x:v>
      </x:c>
      <x:c r="Y1797" s="25" t="str">
        <x:v>https://www.fundinghelp.com/</x:v>
      </x:c>
      <x:c r="Z1797" s="25" t="str">
        <x:v>https://www.fundinghelp.com/</x:v>
      </x:c>
      <x:c r="AA1797" s="25" t="str">
        <x:v>[]</x:v>
      </x:c>
      <x:c r="AB1797" s="3" t="str">
        <x:v>Existing CapitalForge research, newly screened for this campaign</x:v>
      </x:c>
      <x:c r="AC1797" s="3" t="str">
        <x:v>unverified</x:v>
      </x:c>
      <x:c r="AD1797" s="3" t="str">
        <x:v>Not contacted / unconfirmed</x:v>
      </x:c>
      <x:c r="AE1797" s="3" t="str">
        <x:v>No</x:v>
      </x:c>
      <x:c r="AF1797" s="3" t="str">
        <x:v>No</x:v>
      </x:c>
      <x:c r="AG1797" s="3"/>
      <x:c r="AH1797" s="3"/>
      <x:c r="AI1797" s="18"/>
      <x:c r="AJ1797" s="3" t="str">
        <x:v>CF2500-24BB28FB4363</x:v>
      </x:c>
      <x:c r="AK1797" s="3" t="str">
        <x:v>private_real_estate_lender</x:v>
      </x:c>
      <x:c r="AL1797" s="19" t="n">
        <x:v>100000</x:v>
      </x:c>
      <x:c r="AM1797" s="19" t="n">
        <x:v>500000</x:v>
      </x:c>
      <x:c r="AN1797" s="3" t="str">
        <x:v>https://www.privatelendersdirectory.com/united-states/orange-park/top-level-category/funding-help</x:v>
      </x:c>
      <x:c r="AO1797" s="3" t="str">
        <x:v>public_directory.jsonl</x:v>
      </x:c>
      <x:c r="AP1797" s="19"/>
    </x:row>
    <x:row r="1798" ht="36" customHeight="1">
      <x:c r="A1798" s="23" t="n">
        <x:v>1797</x:v>
      </x:c>
      <x:c r="B1798" s="15" t="str">
        <x:v>Fundviews Capital</x:v>
      </x:c>
      <x:c r="C1798" s="15" t="str">
        <x:v>GREGORY POAPST</x:v>
      </x:c>
      <x:c r="D1798" s="15" t="str">
        <x:v>Property lender or directory member; operating-company capital unconfirmed</x:v>
      </x:c>
      <x:c r="E1798" s="15" t="str">
        <x:v>Property lender / private-money inquiry</x:v>
      </x:c>
      <x:c r="F1798" s="17" t="str">
        <x:v>New</x:v>
      </x:c>
      <x:c r="G1798" s="24" t="str">
        <x:v>bd@fundviewscapital.com</x:v>
      </x:c>
      <x:c r="H1798" s="24" t="str">
        <x:v>+13058469175</x:v>
      </x:c>
      <x:c r="I1798" s="24" t="str">
        <x:v>https://www.fundviewscapital.com/?utm_source=private-lender-link</x:v>
      </x:c>
      <x:c r="J1798" s="16" t="str">
        <x:v>FL</x:v>
      </x:c>
      <x:c r="K1798" s="16" t="str">
        <x:v>Doral</x:v>
      </x:c>
      <x:c r="L1798" s="16" t="str">
        <x:v>published_professional_contact_directness_unconfirmed</x:v>
      </x:c>
      <x:c r="M1798" s="16" t="str">
        <x:v>https://www.fundviewscapital.com/?utm_source=private-lender-link</x:v>
      </x:c>
      <x:c r="N1798" s="16" t="str">
        <x:v>$100K-$500K ticket not published / unconfirmed</x:v>
      </x:c>
      <x:c r="O1798" s="20"/>
      <x:c r="P1798" s="20"/>
      <x:c r="Q1798" s="25" t="str">
        <x:v>Property-loan range, not a corporate-capital commitment</x:v>
      </x:c>
      <x:c r="R1798" s="25" t="str">
        <x:v>Private real-estate finance experience. Corporate working capital, minority equity or profit participation requires a separate agreement from a property loan.</x:v>
      </x:c>
      <x:c r="S1798" s="25"/>
      <x:c r="T1798" s="25" t="str">
        <x:v>Confirm direct principal versus broker, $100K-$500K appetite, and whether capital can fund the operating company without a property mortgage.</x:v>
      </x:c>
      <x:c r="U1798" s="25" t="str">
        <x:v>https://privatelenderlink.com/profile/fundviews-capital/
https://adviserinfo.sec.gov/firm/summary/325229
https://reports.adviserinfo.sec.gov/reports/CompilationReports/IA_FIRM_SEC_Feed_09_29_2026.xml.gz
https://www.fundviewscapital.com/
https://reports.adviserinfo.sec.gov/reports/foia/advFilingData/2026/ADV_Filing_Data_20260401_20260430.zip</x:v>
      </x:c>
      <x:c r="V1798" s="26" t="d">
        <x:v>2026-10-02T00:00:00.000Z</x:v>
      </x:c>
      <x:c r="W1798" s="26" t="d">
        <x:v>2026-09-30T00:00:00.000Z</x:v>
      </x:c>
      <x:c r="X1798" s="25" t="str">
        <x:v>Saved public company, industry-directory or regulatory source; source date retained</x:v>
      </x:c>
      <x:c r="Y1798" s="25" t="str">
        <x:v>https://privatelenderlink.com/profile/fundviews-capital/</x:v>
      </x:c>
      <x:c r="Z1798" s="25" t="str">
        <x:v>https://privatelenderlink.com/profile/fundviews-capital/</x:v>
      </x:c>
      <x:c r="AA1798" s="25" t="str">
        <x:v>[]</x:v>
      </x:c>
      <x:c r="AB1798" s="3" t="str">
        <x:v>Existing CapitalForge research, newly screened for this campaign</x:v>
      </x:c>
      <x:c r="AC1798" s="3" t="str">
        <x:v>unverified</x:v>
      </x:c>
      <x:c r="AD1798" s="3" t="str">
        <x:v>Not contacted / unconfirmed</x:v>
      </x:c>
      <x:c r="AE1798" s="3" t="str">
        <x:v>No</x:v>
      </x:c>
      <x:c r="AF1798" s="3" t="str">
        <x:v>No</x:v>
      </x:c>
      <x:c r="AG1798" s="3"/>
      <x:c r="AH1798" s="3"/>
      <x:c r="AI1798" s="18"/>
      <x:c r="AJ1798" s="3" t="str">
        <x:v>CF2500-15716B178752</x:v>
      </x:c>
      <x:c r="AK1798" s="3" t="str">
        <x:v>private_real_estate_lender</x:v>
      </x:c>
      <x:c r="AL1798" s="19" t="n">
        <x:v>100000</x:v>
      </x:c>
      <x:c r="AM1798" s="19" t="n">
        <x:v>500000</x:v>
      </x:c>
      <x:c r="AN1798" s="3" t="str">
        <x:v>https://privatelenderlink.com/profile/fundviews-capital/</x:v>
      </x:c>
      <x:c r="AO1798" s="3" t="str">
        <x:v>public_directory.jsonl</x:v>
      </x:c>
      <x:c r="AP1798" s="19"/>
    </x:row>
    <x:row r="1799" ht="36" customHeight="1">
      <x:c r="A1799" s="23" t="n">
        <x:v>1798</x:v>
      </x:c>
      <x:c r="B1799" s="15" t="str">
        <x:v>FUSE GROUP INVESTMENT COMPANIES</x:v>
      </x:c>
      <x:c r="C1799" s="15"/>
      <x:c r="D1799" s="15" t="str">
        <x:v>Property lender or directory member; operating-company capital unconfirmed</x:v>
      </x:c>
      <x:c r="E1799" s="15" t="str">
        <x:v>Property lender / private-money inquiry</x:v>
      </x:c>
      <x:c r="F1799" s="17" t="str">
        <x:v>New</x:v>
      </x:c>
      <x:c r="G1799" s="24" t="str">
        <x:v>info@fusegroupco.com</x:v>
      </x:c>
      <x:c r="H1799" s="24" t="str">
        <x:v>+19549267500</x:v>
      </x:c>
      <x:c r="I1799" s="24" t="str">
        <x:v>https://www.fusegroupco.com</x:v>
      </x:c>
      <x:c r="J1799" s="16" t="str">
        <x:v>FL</x:v>
      </x:c>
      <x:c r="K1799" s="16" t="str">
        <x:v>Fort Lauderdale</x:v>
      </x:c>
      <x:c r="L1799" s="16" t="str">
        <x:v>firm_business_routing</x:v>
      </x:c>
      <x:c r="M1799" s="16" t="str">
        <x:v>https://www.fusegroupco.com</x:v>
      </x:c>
      <x:c r="N1799" s="16" t="str">
        <x:v>$100K-$500K ticket not published / unconfirmed</x:v>
      </x:c>
      <x:c r="O1799" s="20"/>
      <x:c r="P1799" s="20"/>
      <x:c r="Q1799" s="25" t="str">
        <x:v>Property-loan range, not a corporate-capital commitment</x:v>
      </x:c>
      <x:c r="R1799" s="25" t="str">
        <x:v>Private real-estate finance experience. Corporate working capital, minority equity or profit participation requires a separate agreement from a property loan.</x:v>
      </x:c>
      <x:c r="S1799" s="25"/>
      <x:c r="T1799" s="25" t="str">
        <x:v>Confirm direct principal versus broker, $100K-$500K appetite, and whether capital can fund the operating company without a property mortgage.</x:v>
      </x:c>
      <x:c r="U1799" s="25" t="str">
        <x:v>https://www.privatelendersdirectory.com/united-states/fort-lauderdale/real-estate-investment-lending/fuse-group-investment-companies
https://www.fusegroupco.com/</x:v>
      </x:c>
      <x:c r="V1799" s="26" t="d">
        <x:v>2026-10-02T00:00:00.000Z</x:v>
      </x:c>
      <x:c r="W1799" s="26" t="d">
        <x:v>2026-09-30T00:00:00.000Z</x:v>
      </x:c>
      <x:c r="X1799" s="25" t="str">
        <x:v>Saved public company, industry-directory or regulatory source; source date retained</x:v>
      </x:c>
      <x:c r="Y1799" s="25" t="str">
        <x:v>https://www.fusegroupco.com/</x:v>
      </x:c>
      <x:c r="Z1799" s="25" t="str">
        <x:v>https://www.fusegroupco.com/</x:v>
      </x:c>
      <x:c r="AA1799" s="25" t="str">
        <x:v>[]</x:v>
      </x:c>
      <x:c r="AB1799" s="3" t="str">
        <x:v>Existing CapitalForge research, newly screened for this campaign</x:v>
      </x:c>
      <x:c r="AC1799" s="3" t="str">
        <x:v>unverified</x:v>
      </x:c>
      <x:c r="AD1799" s="3" t="str">
        <x:v>Not contacted / unconfirmed</x:v>
      </x:c>
      <x:c r="AE1799" s="3" t="str">
        <x:v>No</x:v>
      </x:c>
      <x:c r="AF1799" s="3" t="str">
        <x:v>No</x:v>
      </x:c>
      <x:c r="AG1799" s="3"/>
      <x:c r="AH1799" s="3"/>
      <x:c r="AI1799" s="18"/>
      <x:c r="AJ1799" s="3" t="str">
        <x:v>CF2500-04C2640541EB</x:v>
      </x:c>
      <x:c r="AK1799" s="3" t="str">
        <x:v>private_real_estate_lender</x:v>
      </x:c>
      <x:c r="AL1799" s="19" t="n">
        <x:v>100000</x:v>
      </x:c>
      <x:c r="AM1799" s="19" t="n">
        <x:v>500000</x:v>
      </x:c>
      <x:c r="AN1799" s="3" t="str">
        <x:v>https://www.privatelendersdirectory.com/united-states/fort-lauderdale/real-estate-investment-lending/fuse-group-investment-companies</x:v>
      </x:c>
      <x:c r="AO1799" s="3" t="str">
        <x:v>public_directory.jsonl</x:v>
      </x:c>
      <x:c r="AP1799" s="19"/>
    </x:row>
    <x:row r="1800" ht="36" customHeight="1">
      <x:c r="A1800" s="23" t="n">
        <x:v>1799</x:v>
      </x:c>
      <x:c r="B1800" s="15" t="str">
        <x:v>FW Funding</x:v>
      </x:c>
      <x:c r="C1800" s="15"/>
      <x:c r="D1800" s="15" t="str">
        <x:v>Property lender or directory member; operating-company capital unconfirmed</x:v>
      </x:c>
      <x:c r="E1800" s="15" t="str">
        <x:v>Property lender / private-money inquiry</x:v>
      </x:c>
      <x:c r="F1800" s="17" t="str">
        <x:v>New</x:v>
      </x:c>
      <x:c r="G1800" s="24" t="str">
        <x:v>sam@fwfunding.com</x:v>
      </x:c>
      <x:c r="H1800" s="24" t="str">
        <x:v>+14697671128</x:v>
      </x:c>
      <x:c r="I1800" s="24" t="str">
        <x:v>http://fwfunding.com/</x:v>
      </x:c>
      <x:c r="J1800" s="16" t="str">
        <x:v>TX</x:v>
      </x:c>
      <x:c r="K1800" s="16" t="str">
        <x:v>Dallas</x:v>
      </x:c>
      <x:c r="L1800" s="16" t="str">
        <x:v>firm_business_routing</x:v>
      </x:c>
      <x:c r="M1800" s="16" t="str">
        <x:v>http://fwfunding.com/</x:v>
      </x:c>
      <x:c r="N1800" s="16" t="str">
        <x:v>$100K-$500K ticket not published / unconfirmed</x:v>
      </x:c>
      <x:c r="O1800" s="20"/>
      <x:c r="P1800" s="20"/>
      <x:c r="Q1800" s="25" t="str">
        <x:v>Property-loan range, not a corporate-capital commitment</x:v>
      </x:c>
      <x:c r="R1800" s="25" t="str">
        <x:v>Private real-estate finance experience. Corporate working capital, minority equity or profit participation requires a separate agreement from a property loan.</x:v>
      </x:c>
      <x:c r="S1800" s="25"/>
      <x:c r="T1800" s="25" t="str">
        <x:v>Confirm direct principal versus broker, $100K-$500K appetite, and whether capital can fund the operating company without a property mortgage.</x:v>
      </x:c>
      <x:c r="U1800" s="25" t="str">
        <x:v>https://www.hardmoneyhome.com/lenders/view/fw-funding
https://fwfunding.com/</x:v>
      </x:c>
      <x:c r="V1800" s="26" t="d">
        <x:v>2026-10-02T00:00:00.000Z</x:v>
      </x:c>
      <x:c r="W1800" s="26" t="d">
        <x:v>2026-09-30T00:00:00.000Z</x:v>
      </x:c>
      <x:c r="X1800" s="25" t="str">
        <x:v>Saved public company, industry-directory or regulatory source; source date retained</x:v>
      </x:c>
      <x:c r="Y1800" s="25" t="str">
        <x:v>https://fwfunding.com/</x:v>
      </x:c>
      <x:c r="Z1800" s="25" t="str">
        <x:v>https://www.hardmoneyhome.com/lenders/view/fw-funding</x:v>
      </x:c>
      <x:c r="AA1800" s="25" t="str">
        <x:v>[]</x:v>
      </x:c>
      <x:c r="AB1800" s="3" t="str">
        <x:v>Existing CapitalForge research, newly screened for this campaign</x:v>
      </x:c>
      <x:c r="AC1800" s="3" t="str">
        <x:v>unverified</x:v>
      </x:c>
      <x:c r="AD1800" s="3" t="str">
        <x:v>Not contacted / unconfirmed</x:v>
      </x:c>
      <x:c r="AE1800" s="3" t="str">
        <x:v>No</x:v>
      </x:c>
      <x:c r="AF1800" s="3" t="str">
        <x:v>No</x:v>
      </x:c>
      <x:c r="AG1800" s="3"/>
      <x:c r="AH1800" s="3"/>
      <x:c r="AI1800" s="18"/>
      <x:c r="AJ1800" s="3" t="str">
        <x:v>CF2500-F702C33D2146</x:v>
      </x:c>
      <x:c r="AK1800" s="3" t="str">
        <x:v>private_real_estate_lender</x:v>
      </x:c>
      <x:c r="AL1800" s="19" t="n">
        <x:v>100000</x:v>
      </x:c>
      <x:c r="AM1800" s="19" t="n">
        <x:v>500000</x:v>
      </x:c>
      <x:c r="AN1800" s="3" t="str">
        <x:v>https://www.hardmoneyhome.com/lenders/view/fw-funding</x:v>
      </x:c>
      <x:c r="AO1800" s="3" t="str">
        <x:v>public_directory.jsonl</x:v>
      </x:c>
      <x:c r="AP1800" s="19"/>
    </x:row>
    <x:row r="1801" ht="36" customHeight="1">
      <x:c r="A1801" s="23" t="n">
        <x:v>1800</x:v>
      </x:c>
      <x:c r="B1801" s="15" t="str">
        <x:v>GCL MORTGAGE</x:v>
      </x:c>
      <x:c r="C1801" s="15"/>
      <x:c r="D1801" s="15" t="str">
        <x:v>Property lender or directory member; operating-company capital unconfirmed</x:v>
      </x:c>
      <x:c r="E1801" s="15" t="str">
        <x:v>Property lender / private-money inquiry</x:v>
      </x:c>
      <x:c r="F1801" s="17" t="str">
        <x:v>New</x:v>
      </x:c>
      <x:c r="G1801" s="24" t="str">
        <x:v>contact@gclmortgage.com</x:v>
      </x:c>
      <x:c r="H1801" s="24" t="str">
        <x:v>+18554321425</x:v>
      </x:c>
      <x:c r="I1801" s="24" t="str">
        <x:v>https://www.gclmortgage.com/</x:v>
      </x:c>
      <x:c r="J1801" s="16" t="str">
        <x:v>FL</x:v>
      </x:c>
      <x:c r="K1801" s="16" t="str">
        <x:v>Doral</x:v>
      </x:c>
      <x:c r="L1801" s="16" t="str">
        <x:v>firm_business_routing</x:v>
      </x:c>
      <x:c r="M1801" s="16" t="str">
        <x:v>https://www.gclmortgage.com/</x:v>
      </x:c>
      <x:c r="N1801" s="16" t="str">
        <x:v>$100K-$500K ticket not published / unconfirmed</x:v>
      </x:c>
      <x:c r="O1801" s="20"/>
      <x:c r="P1801" s="20"/>
      <x:c r="Q1801" s="25" t="str">
        <x:v>Property-loan range, not a corporate-capital commitment</x:v>
      </x:c>
      <x:c r="R1801" s="25" t="str">
        <x:v>Private real-estate finance experience. Corporate working capital, minority equity or profit participation requires a separate agreement from a property loan.</x:v>
      </x:c>
      <x:c r="S1801" s="25"/>
      <x:c r="T1801" s="25" t="str">
        <x:v>Confirm direct principal versus broker, $100K-$500K appetite, and whether capital can fund the operating company without a property mortgage.</x:v>
      </x:c>
      <x:c r="U1801" s="25" t="str">
        <x:v>https://www.privatelendersdirectory.com/united-states/doral/top-level-category/gcl-mortgage
https://www.gclmortgage.com/</x:v>
      </x:c>
      <x:c r="V1801" s="26" t="d">
        <x:v>2026-10-02T00:00:00.000Z</x:v>
      </x:c>
      <x:c r="W1801" s="26" t="d">
        <x:v>2026-09-30T00:00:00.000Z</x:v>
      </x:c>
      <x:c r="X1801" s="25" t="str">
        <x:v>Saved public company, industry-directory or regulatory source; source date retained</x:v>
      </x:c>
      <x:c r="Y1801" s="25" t="str">
        <x:v>https://www.gclmortgage.com/</x:v>
      </x:c>
      <x:c r="Z1801" s="25" t="str">
        <x:v>https://www.gclmortgage.com/</x:v>
      </x:c>
      <x:c r="AA1801" s="25" t="str">
        <x:v>[]</x:v>
      </x:c>
      <x:c r="AB1801" s="3" t="str">
        <x:v>Existing CapitalForge research, newly screened for this campaign</x:v>
      </x:c>
      <x:c r="AC1801" s="3" t="str">
        <x:v>unverified</x:v>
      </x:c>
      <x:c r="AD1801" s="3" t="str">
        <x:v>Not contacted / unconfirmed</x:v>
      </x:c>
      <x:c r="AE1801" s="3" t="str">
        <x:v>No</x:v>
      </x:c>
      <x:c r="AF1801" s="3" t="str">
        <x:v>No</x:v>
      </x:c>
      <x:c r="AG1801" s="3"/>
      <x:c r="AH1801" s="3"/>
      <x:c r="AI1801" s="18"/>
      <x:c r="AJ1801" s="3" t="str">
        <x:v>CF2500-C8F7C56941C3</x:v>
      </x:c>
      <x:c r="AK1801" s="3" t="str">
        <x:v>private_real_estate_lender</x:v>
      </x:c>
      <x:c r="AL1801" s="19" t="n">
        <x:v>100000</x:v>
      </x:c>
      <x:c r="AM1801" s="19" t="n">
        <x:v>500000</x:v>
      </x:c>
      <x:c r="AN1801" s="3" t="str">
        <x:v>https://www.privatelendersdirectory.com/united-states/doral/top-level-category/gcl-mortgage</x:v>
      </x:c>
      <x:c r="AO1801" s="3" t="str">
        <x:v>public_directory.jsonl</x:v>
      </x:c>
      <x:c r="AP1801" s="19"/>
    </x:row>
    <x:row r="1802" ht="36" customHeight="1">
      <x:c r="A1802" s="23" t="n">
        <x:v>1801</x:v>
      </x:c>
      <x:c r="B1802" s="15" t="str">
        <x:v>Genesis Lending Group</x:v>
      </x:c>
      <x:c r="C1802" s="15"/>
      <x:c r="D1802" s="15" t="str">
        <x:v>Property lender or directory member; operating-company capital unconfirmed</x:v>
      </x:c>
      <x:c r="E1802" s="15" t="str">
        <x:v>Property lender / private-money inquiry</x:v>
      </x:c>
      <x:c r="F1802" s="17" t="str">
        <x:v>New</x:v>
      </x:c>
      <x:c r="G1802" s="24" t="str">
        <x:v>chris@glendinggroup.com</x:v>
      </x:c>
      <x:c r="H1802" s="24" t="str">
        <x:v>+12392064872</x:v>
      </x:c>
      <x:c r="I1802" s="24" t="str">
        <x:v>http://www.glendinggroup.com/</x:v>
      </x:c>
      <x:c r="J1802" s="16" t="str">
        <x:v>FL</x:v>
      </x:c>
      <x:c r="K1802" s="16" t="str">
        <x:v>Cape Coral</x:v>
      </x:c>
      <x:c r="L1802" s="16" t="str">
        <x:v>firm_business_routing</x:v>
      </x:c>
      <x:c r="M1802" s="16" t="str">
        <x:v>http://www.glendinggroup.com/</x:v>
      </x:c>
      <x:c r="N1802" s="16" t="str">
        <x:v>$100K-$500K ticket not published / unconfirmed</x:v>
      </x:c>
      <x:c r="O1802" s="20"/>
      <x:c r="P1802" s="20"/>
      <x:c r="Q1802" s="25" t="str">
        <x:v>Property-loan range, not a corporate-capital commitment</x:v>
      </x:c>
      <x:c r="R1802" s="25" t="str">
        <x:v>Private real-estate finance experience. Corporate working capital, minority equity or profit participation requires a separate agreement from a property loan.</x:v>
      </x:c>
      <x:c r="S1802" s="25"/>
      <x:c r="T1802" s="25" t="str">
        <x:v>Confirm direct principal versus broker, $100K-$500K appetite, and whether capital can fund the operating company without a property mortgage.</x:v>
      </x:c>
      <x:c r="U1802" s="25" t="str">
        <x:v>https://www.hardmoneyhome.com/lenders/view/genesis-lending-group
https://www.glendinggroup.com/</x:v>
      </x:c>
      <x:c r="V1802" s="26" t="d">
        <x:v>2026-10-02T00:00:00.000Z</x:v>
      </x:c>
      <x:c r="W1802" s="26" t="d">
        <x:v>2026-09-30T00:00:00.000Z</x:v>
      </x:c>
      <x:c r="X1802" s="25" t="str">
        <x:v>Saved public company, industry-directory or regulatory source; source date retained</x:v>
      </x:c>
      <x:c r="Y1802" s="25" t="str">
        <x:v>https://www.glendinggroup.com/</x:v>
      </x:c>
      <x:c r="Z1802" s="25" t="str">
        <x:v>https://www.hardmoneyhome.com/lenders/view/genesis-lending-group</x:v>
      </x:c>
      <x:c r="AA1802" s="25" t="str">
        <x:v>[]</x:v>
      </x:c>
      <x:c r="AB1802" s="3" t="str">
        <x:v>Existing CapitalForge research, newly screened for this campaign</x:v>
      </x:c>
      <x:c r="AC1802" s="3" t="str">
        <x:v>unverified</x:v>
      </x:c>
      <x:c r="AD1802" s="3" t="str">
        <x:v>Not contacted / unconfirmed</x:v>
      </x:c>
      <x:c r="AE1802" s="3" t="str">
        <x:v>No</x:v>
      </x:c>
      <x:c r="AF1802" s="3" t="str">
        <x:v>No</x:v>
      </x:c>
      <x:c r="AG1802" s="3"/>
      <x:c r="AH1802" s="3"/>
      <x:c r="AI1802" s="18"/>
      <x:c r="AJ1802" s="3" t="str">
        <x:v>CF2500-A0079E483089</x:v>
      </x:c>
      <x:c r="AK1802" s="3" t="str">
        <x:v>private_real_estate_lender</x:v>
      </x:c>
      <x:c r="AL1802" s="19" t="n">
        <x:v>100000</x:v>
      </x:c>
      <x:c r="AM1802" s="19" t="n">
        <x:v>500000</x:v>
      </x:c>
      <x:c r="AN1802" s="3" t="str">
        <x:v>https://www.hardmoneyhome.com/lenders/view/genesis-lending-group</x:v>
      </x:c>
      <x:c r="AO1802" s="3" t="str">
        <x:v>public_directory.jsonl</x:v>
      </x:c>
      <x:c r="AP1802" s="19"/>
    </x:row>
    <x:row r="1803" ht="36" customHeight="1">
      <x:c r="A1803" s="23" t="n">
        <x:v>1802</x:v>
      </x:c>
      <x:c r="B1803" s="15" t="str">
        <x:v>Gold Quest Group</x:v>
      </x:c>
      <x:c r="C1803" s="15"/>
      <x:c r="D1803" s="15" t="str">
        <x:v>Property lender or directory member; operating-company capital unconfirmed</x:v>
      </x:c>
      <x:c r="E1803" s="15" t="str">
        <x:v>Property lender / private-money inquiry</x:v>
      </x:c>
      <x:c r="F1803" s="17" t="str">
        <x:v>New</x:v>
      </x:c>
      <x:c r="G1803" s="24" t="str">
        <x:v>info@goldquestgroup.com</x:v>
      </x:c>
      <x:c r="H1803" s="24" t="str">
        <x:v>+17136216466</x:v>
      </x:c>
      <x:c r="I1803" s="24" t="str">
        <x:v>http://www.goldquestgroup.com/</x:v>
      </x:c>
      <x:c r="J1803" s="16" t="str">
        <x:v>TX</x:v>
      </x:c>
      <x:c r="K1803" s="16" t="str">
        <x:v>Austin</x:v>
      </x:c>
      <x:c r="L1803" s="16" t="str">
        <x:v>firm_business_routing</x:v>
      </x:c>
      <x:c r="M1803" s="16" t="str">
        <x:v>http://www.goldquestgroup.com/</x:v>
      </x:c>
      <x:c r="N1803" s="16" t="str">
        <x:v>$100K-$500K ticket not published / unconfirmed</x:v>
      </x:c>
      <x:c r="O1803" s="20"/>
      <x:c r="P1803" s="20"/>
      <x:c r="Q1803" s="25" t="str">
        <x:v>Property-loan range, not a corporate-capital commitment</x:v>
      </x:c>
      <x:c r="R1803" s="25" t="str">
        <x:v>Private real-estate finance experience. Corporate working capital, minority equity or profit participation requires a separate agreement from a property loan.</x:v>
      </x:c>
      <x:c r="S1803" s="25"/>
      <x:c r="T1803" s="25" t="str">
        <x:v>Confirm direct principal versus broker, $100K-$500K appetite, and whether capital can fund the operating company without a property mortgage.</x:v>
      </x:c>
      <x:c r="U1803" s="25" t="str">
        <x:v>https://www.hardmoneyhome.com/lenders/view/gold-quest-group
https://www.goldquestgroup.com/contact-us/</x:v>
      </x:c>
      <x:c r="V1803" s="26" t="d">
        <x:v>2026-10-02T00:00:00.000Z</x:v>
      </x:c>
      <x:c r="W1803" s="26" t="d">
        <x:v>2026-09-30T00:00:00.000Z</x:v>
      </x:c>
      <x:c r="X1803" s="25" t="str">
        <x:v>Saved public company, industry-directory or regulatory source; source date retained</x:v>
      </x:c>
      <x:c r="Y1803" s="25" t="str">
        <x:v>https://www.goldquestgroup.com/contact-us/</x:v>
      </x:c>
      <x:c r="Z1803" s="25" t="str">
        <x:v>https://www.hardmoneyhome.com/lenders/view/gold-quest-group</x:v>
      </x:c>
      <x:c r="AA1803" s="25" t="str">
        <x:v>[]</x:v>
      </x:c>
      <x:c r="AB1803" s="3" t="str">
        <x:v>Existing CapitalForge research, newly screened for this campaign</x:v>
      </x:c>
      <x:c r="AC1803" s="3" t="str">
        <x:v>unverified</x:v>
      </x:c>
      <x:c r="AD1803" s="3" t="str">
        <x:v>Not contacted / unconfirmed</x:v>
      </x:c>
      <x:c r="AE1803" s="3" t="str">
        <x:v>No</x:v>
      </x:c>
      <x:c r="AF1803" s="3" t="str">
        <x:v>No</x:v>
      </x:c>
      <x:c r="AG1803" s="3"/>
      <x:c r="AH1803" s="3"/>
      <x:c r="AI1803" s="18"/>
      <x:c r="AJ1803" s="3" t="str">
        <x:v>CF2500-4F4AEE70DC3A</x:v>
      </x:c>
      <x:c r="AK1803" s="3" t="str">
        <x:v>private_real_estate_lender</x:v>
      </x:c>
      <x:c r="AL1803" s="19" t="n">
        <x:v>100000</x:v>
      </x:c>
      <x:c r="AM1803" s="19" t="n">
        <x:v>500000</x:v>
      </x:c>
      <x:c r="AN1803" s="3" t="str">
        <x:v>https://www.hardmoneyhome.com/lenders/view/gold-quest-group</x:v>
      </x:c>
      <x:c r="AO1803" s="3" t="str">
        <x:v>public_directory.jsonl</x:v>
      </x:c>
      <x:c r="AP1803" s="19"/>
    </x:row>
    <x:row r="1804" ht="36" customHeight="1">
      <x:c r="A1804" s="23" t="n">
        <x:v>1803</x:v>
      </x:c>
      <x:c r="B1804" s="15" t="str">
        <x:v>GRAFTON FUNDING</x:v>
      </x:c>
      <x:c r="C1804" s="15"/>
      <x:c r="D1804" s="15" t="str">
        <x:v>Property lender or directory member; operating-company capital unconfirmed</x:v>
      </x:c>
      <x:c r="E1804" s="15" t="str">
        <x:v>Property lender / private-money inquiry</x:v>
      </x:c>
      <x:c r="F1804" s="17" t="str">
        <x:v>New</x:v>
      </x:c>
      <x:c r="G1804" s="24" t="str">
        <x:v>info@graftonfunding.com</x:v>
      </x:c>
      <x:c r="H1804" s="24" t="str">
        <x:v>+18884314885</x:v>
      </x:c>
      <x:c r="I1804" s="24" t="str">
        <x:v>https://www.graftonfunding.com/</x:v>
      </x:c>
      <x:c r="J1804" s="16" t="str">
        <x:v>NC</x:v>
      </x:c>
      <x:c r="K1804" s="16" t="str">
        <x:v>Wilmington</x:v>
      </x:c>
      <x:c r="L1804" s="16" t="str">
        <x:v>firm_business_routing</x:v>
      </x:c>
      <x:c r="M1804" s="16" t="str">
        <x:v>https://www.graftonfunding.com/</x:v>
      </x:c>
      <x:c r="N1804" s="16" t="str">
        <x:v>$100K-$500K ticket not published / unconfirmed</x:v>
      </x:c>
      <x:c r="O1804" s="20"/>
      <x:c r="P1804" s="20"/>
      <x:c r="Q1804" s="25" t="str">
        <x:v>Property-loan range, not a corporate-capital commitment</x:v>
      </x:c>
      <x:c r="R1804" s="25" t="str">
        <x:v>Private real-estate finance experience. Corporate working capital, minority equity or profit participation requires a separate agreement from a property loan.</x:v>
      </x:c>
      <x:c r="S1804" s="25"/>
      <x:c r="T1804" s="25" t="str">
        <x:v>Confirm direct principal versus broker, $100K-$500K appetite, and whether capital can fund the operating company without a property mortgage.</x:v>
      </x:c>
      <x:c r="U1804" s="25" t="str">
        <x:v>https://www.privatelendersdirectory.com/united-states/wilmington/top-level-category/grafton-funding
https://www.graftonfunding.com/</x:v>
      </x:c>
      <x:c r="V1804" s="26" t="d">
        <x:v>2026-10-02T00:00:00.000Z</x:v>
      </x:c>
      <x:c r="W1804" s="26" t="d">
        <x:v>2026-09-30T00:00:00.000Z</x:v>
      </x:c>
      <x:c r="X1804" s="25" t="str">
        <x:v>Saved public company, industry-directory or regulatory source; source date retained</x:v>
      </x:c>
      <x:c r="Y1804" s="25" t="str">
        <x:v>https://www.graftonfunding.com/</x:v>
      </x:c>
      <x:c r="Z1804" s="25" t="str">
        <x:v>https://www.graftonfunding.com/</x:v>
      </x:c>
      <x:c r="AA1804" s="25" t="str">
        <x:v>[]</x:v>
      </x:c>
      <x:c r="AB1804" s="3" t="str">
        <x:v>Existing CapitalForge research, newly screened for this campaign</x:v>
      </x:c>
      <x:c r="AC1804" s="3" t="str">
        <x:v>unverified</x:v>
      </x:c>
      <x:c r="AD1804" s="3" t="str">
        <x:v>Not contacted / unconfirmed</x:v>
      </x:c>
      <x:c r="AE1804" s="3" t="str">
        <x:v>No</x:v>
      </x:c>
      <x:c r="AF1804" s="3" t="str">
        <x:v>No</x:v>
      </x:c>
      <x:c r="AG1804" s="3"/>
      <x:c r="AH1804" s="3"/>
      <x:c r="AI1804" s="18"/>
      <x:c r="AJ1804" s="3" t="str">
        <x:v>CF2500-68BAAA18B310</x:v>
      </x:c>
      <x:c r="AK1804" s="3" t="str">
        <x:v>private_real_estate_lender</x:v>
      </x:c>
      <x:c r="AL1804" s="19" t="n">
        <x:v>100000</x:v>
      </x:c>
      <x:c r="AM1804" s="19" t="n">
        <x:v>500000</x:v>
      </x:c>
      <x:c r="AN1804" s="3" t="str">
        <x:v>https://www.privatelendersdirectory.com/united-states/wilmington/top-level-category/grafton-funding</x:v>
      </x:c>
      <x:c r="AO1804" s="3" t="str">
        <x:v>public_directory.jsonl</x:v>
      </x:c>
      <x:c r="AP1804" s="19"/>
    </x:row>
    <x:row r="1805" ht="36" customHeight="1">
      <x:c r="A1805" s="23" t="n">
        <x:v>1804</x:v>
      </x:c>
      <x:c r="B1805" s="15" t="str">
        <x:v>GUSTANCHO</x:v>
      </x:c>
      <x:c r="C1805" s="15"/>
      <x:c r="D1805" s="15" t="str">
        <x:v>Property lender or directory member; operating-company capital unconfirmed</x:v>
      </x:c>
      <x:c r="E1805" s="15" t="str">
        <x:v>Property lender / private-money inquiry</x:v>
      </x:c>
      <x:c r="F1805" s="17" t="str">
        <x:v>New</x:v>
      </x:c>
      <x:c r="G1805" s="24" t="str">
        <x:v>alex@gustancho.com</x:v>
      </x:c>
      <x:c r="H1805" s="24" t="str">
        <x:v>+18009008569</x:v>
      </x:c>
      <x:c r="I1805" s="24" t="str">
        <x:v>https://gustancho.com/</x:v>
      </x:c>
      <x:c r="J1805" s="16" t="str">
        <x:v>IL</x:v>
      </x:c>
      <x:c r="K1805" s="16" t="str">
        <x:v>Oakbrook Terrace</x:v>
      </x:c>
      <x:c r="L1805" s="16" t="str">
        <x:v>firm_business_routing</x:v>
      </x:c>
      <x:c r="M1805" s="16" t="str">
        <x:v>https://gustancho.com/</x:v>
      </x:c>
      <x:c r="N1805" s="16" t="str">
        <x:v>$100K-$500K ticket not published / unconfirmed</x:v>
      </x:c>
      <x:c r="O1805" s="20"/>
      <x:c r="P1805" s="20"/>
      <x:c r="Q1805" s="25" t="str">
        <x:v>Property-loan range, not a corporate-capital commitment</x:v>
      </x:c>
      <x:c r="R1805" s="25" t="str">
        <x:v>Private real-estate finance experience. Corporate working capital, minority equity or profit participation requires a separate agreement from a property loan.</x:v>
      </x:c>
      <x:c r="S1805" s="25"/>
      <x:c r="T1805" s="25" t="str">
        <x:v>Confirm direct principal versus broker, $100K-$500K appetite, and whether capital can fund the operating company without a property mortgage.</x:v>
      </x:c>
      <x:c r="U1805" s="25" t="str">
        <x:v>https://www.privatelendersdirectory.com/united-states/oakbrook-terrace/top-level-category/gustancho
https://gustancho.com/</x:v>
      </x:c>
      <x:c r="V1805" s="26" t="d">
        <x:v>2026-10-02T00:00:00.000Z</x:v>
      </x:c>
      <x:c r="W1805" s="26" t="d">
        <x:v>2026-09-30T00:00:00.000Z</x:v>
      </x:c>
      <x:c r="X1805" s="25" t="str">
        <x:v>Saved public company, industry-directory or regulatory source; source date retained</x:v>
      </x:c>
      <x:c r="Y1805" s="25" t="str">
        <x:v>https://gustancho.com/</x:v>
      </x:c>
      <x:c r="Z1805" s="25" t="str">
        <x:v>https://gustancho.com/</x:v>
      </x:c>
      <x:c r="AA1805" s="25" t="str">
        <x:v>[]</x:v>
      </x:c>
      <x:c r="AB1805" s="3" t="str">
        <x:v>Existing CapitalForge research, newly screened for this campaign</x:v>
      </x:c>
      <x:c r="AC1805" s="3" t="str">
        <x:v>unverified</x:v>
      </x:c>
      <x:c r="AD1805" s="3" t="str">
        <x:v>Not contacted / unconfirmed</x:v>
      </x:c>
      <x:c r="AE1805" s="3" t="str">
        <x:v>No</x:v>
      </x:c>
      <x:c r="AF1805" s="3" t="str">
        <x:v>No</x:v>
      </x:c>
      <x:c r="AG1805" s="3"/>
      <x:c r="AH1805" s="3"/>
      <x:c r="AI1805" s="18"/>
      <x:c r="AJ1805" s="3" t="str">
        <x:v>CF2500-B9AF88E3A49A</x:v>
      </x:c>
      <x:c r="AK1805" s="3" t="str">
        <x:v>private_real_estate_lender</x:v>
      </x:c>
      <x:c r="AL1805" s="19" t="n">
        <x:v>100000</x:v>
      </x:c>
      <x:c r="AM1805" s="19" t="n">
        <x:v>500000</x:v>
      </x:c>
      <x:c r="AN1805" s="3" t="str">
        <x:v>https://www.privatelendersdirectory.com/united-states/oakbrook-terrace/top-level-category/gustancho</x:v>
      </x:c>
      <x:c r="AO1805" s="3" t="str">
        <x:v>public_directory.jsonl</x:v>
      </x:c>
      <x:c r="AP1805" s="19"/>
    </x:row>
    <x:row r="1806" ht="36" customHeight="1">
      <x:c r="A1806" s="23" t="n">
        <x:v>1805</x:v>
      </x:c>
      <x:c r="B1806" s="15" t="str">
        <x:v>HANSON</x:v>
      </x:c>
      <x:c r="C1806" s="15"/>
      <x:c r="D1806" s="15" t="str">
        <x:v>Property lender or directory member; operating-company capital unconfirmed</x:v>
      </x:c>
      <x:c r="E1806" s="15" t="str">
        <x:v>Property lender / private-money inquiry</x:v>
      </x:c>
      <x:c r="F1806" s="17" t="str">
        <x:v>New</x:v>
      </x:c>
      <x:c r="G1806" s="24" t="str">
        <x:v>operations@hansonre.com</x:v>
      </x:c>
      <x:c r="H1806" s="24" t="str">
        <x:v>+14806854923</x:v>
      </x:c>
      <x:c r="I1806" s="24" t="str">
        <x:v>https://hansonre.com/</x:v>
      </x:c>
      <x:c r="J1806" s="16" t="str">
        <x:v>AZ</x:v>
      </x:c>
      <x:c r="K1806" s="16" t="str">
        <x:v>Scottsdale</x:v>
      </x:c>
      <x:c r="L1806" s="16" t="str">
        <x:v>firm_business_routing</x:v>
      </x:c>
      <x:c r="M1806" s="16" t="str">
        <x:v>https://hansonre.com/</x:v>
      </x:c>
      <x:c r="N1806" s="16" t="str">
        <x:v>$100K-$500K ticket not published / unconfirmed</x:v>
      </x:c>
      <x:c r="O1806" s="20"/>
      <x:c r="P1806" s="20"/>
      <x:c r="Q1806" s="25" t="str">
        <x:v>Property-loan range, not a corporate-capital commitment</x:v>
      </x:c>
      <x:c r="R1806" s="25" t="str">
        <x:v>Private real-estate finance experience. Corporate working capital, minority equity or profit participation requires a separate agreement from a property loan.</x:v>
      </x:c>
      <x:c r="S1806" s="25"/>
      <x:c r="T1806" s="25" t="str">
        <x:v>Confirm direct principal versus broker, $100K-$500K appetite, and whether capital can fund the operating company without a property mortgage.</x:v>
      </x:c>
      <x:c r="U1806" s="25" t="str">
        <x:v>https://www.privatelendersdirectory.com/united-states/scottsdale/top-level-category/hanson
https://hansonre.com/
https://privatelenderlink.com/profile/hanson-capital/
https://hclends.com
https://www.hardmoneyhome.com/lenders/view/hanson-capital-group</x:v>
      </x:c>
      <x:c r="V1806" s="26" t="d">
        <x:v>2026-10-02T00:00:00.000Z</x:v>
      </x:c>
      <x:c r="W1806" s="26" t="d">
        <x:v>2026-09-30T00:00:00.000Z</x:v>
      </x:c>
      <x:c r="X1806" s="25" t="str">
        <x:v>Saved public company, industry-directory or regulatory source; source date retained</x:v>
      </x:c>
      <x:c r="Y1806" s="25" t="str">
        <x:v>https://hansonre.com/</x:v>
      </x:c>
      <x:c r="Z1806" s="25" t="str">
        <x:v>https://hansonre.com/</x:v>
      </x:c>
      <x:c r="AA1806" s="25" t="str">
        <x:v>[]</x:v>
      </x:c>
      <x:c r="AB1806" s="3" t="str">
        <x:v>Existing CapitalForge research, newly screened for this campaign</x:v>
      </x:c>
      <x:c r="AC1806" s="3" t="str">
        <x:v>unverified</x:v>
      </x:c>
      <x:c r="AD1806" s="3" t="str">
        <x:v>Not contacted / unconfirmed</x:v>
      </x:c>
      <x:c r="AE1806" s="3" t="str">
        <x:v>No</x:v>
      </x:c>
      <x:c r="AF1806" s="3" t="str">
        <x:v>No</x:v>
      </x:c>
      <x:c r="AG1806" s="3"/>
      <x:c r="AH1806" s="3" t="str">
        <x:v>Hanson Capital; Hanson Capital Group</x:v>
      </x:c>
      <x:c r="AI1806" s="18"/>
      <x:c r="AJ1806" s="3" t="str">
        <x:v>CF2500-D415BB12531F</x:v>
      </x:c>
      <x:c r="AK1806" s="3" t="str">
        <x:v>private_real_estate_lender</x:v>
      </x:c>
      <x:c r="AL1806" s="19" t="n">
        <x:v>100000</x:v>
      </x:c>
      <x:c r="AM1806" s="19" t="n">
        <x:v>500000</x:v>
      </x:c>
      <x:c r="AN1806" s="3" t="str">
        <x:v>https://www.privatelendersdirectory.com/united-states/scottsdale/top-level-category/hanson</x:v>
      </x:c>
      <x:c r="AO1806" s="3" t="str">
        <x:v>public_directory.jsonl</x:v>
      </x:c>
      <x:c r="AP1806" s="19"/>
    </x:row>
    <x:row r="1807" ht="36" customHeight="1">
      <x:c r="A1807" s="23" t="n">
        <x:v>1806</x:v>
      </x:c>
      <x:c r="B1807" s="15" t="str">
        <x:v>HARRIS NOTE INVESTORS</x:v>
      </x:c>
      <x:c r="C1807" s="15"/>
      <x:c r="D1807" s="15" t="str">
        <x:v>Property lender or directory member; operating-company capital unconfirmed</x:v>
      </x:c>
      <x:c r="E1807" s="15" t="str">
        <x:v>Property lender / private-money inquiry</x:v>
      </x:c>
      <x:c r="F1807" s="17" t="str">
        <x:v>New</x:v>
      </x:c>
      <x:c r="G1807" s="24" t="str">
        <x:v>harrisnote@yahoo.com</x:v>
      </x:c>
      <x:c r="H1807" s="24" t="str">
        <x:v>+18888039229</x:v>
      </x:c>
      <x:c r="I1807" s="24" t="str">
        <x:v>https://harrisnote.com/</x:v>
      </x:c>
      <x:c r="J1807" s="16" t="str">
        <x:v>IL</x:v>
      </x:c>
      <x:c r="K1807" s="16" t="str">
        <x:v>Chicago</x:v>
      </x:c>
      <x:c r="L1807" s="16" t="str">
        <x:v>firm_business_routing</x:v>
      </x:c>
      <x:c r="M1807" s="16" t="str">
        <x:v>https://harrisnote.com/</x:v>
      </x:c>
      <x:c r="N1807" s="16" t="str">
        <x:v>$100K-$500K ticket not published / unconfirmed</x:v>
      </x:c>
      <x:c r="O1807" s="20"/>
      <x:c r="P1807" s="20"/>
      <x:c r="Q1807" s="25" t="str">
        <x:v>Property-loan range, not a corporate-capital commitment</x:v>
      </x:c>
      <x:c r="R1807" s="25" t="str">
        <x:v>Private real-estate finance experience. Corporate working capital, minority equity or profit participation requires a separate agreement from a property loan.</x:v>
      </x:c>
      <x:c r="S1807" s="25"/>
      <x:c r="T1807" s="25" t="str">
        <x:v>Confirm direct principal versus broker, $100K-$500K appetite, and whether capital can fund the operating company without a property mortgage.</x:v>
      </x:c>
      <x:c r="U1807" s="25" t="str">
        <x:v>https://www.privatelendersdirectory.com/united-states/chicago/top-level-category/harris-note-investors
https://harrisnote.com/</x:v>
      </x:c>
      <x:c r="V1807" s="26" t="d">
        <x:v>2026-10-02T00:00:00.000Z</x:v>
      </x:c>
      <x:c r="W1807" s="26" t="d">
        <x:v>2026-09-30T00:00:00.000Z</x:v>
      </x:c>
      <x:c r="X1807" s="25" t="str">
        <x:v>Saved public company, industry-directory or regulatory source; source date retained</x:v>
      </x:c>
      <x:c r="Y1807" s="25" t="str">
        <x:v>https://harrisnote.com/</x:v>
      </x:c>
      <x:c r="Z1807" s="25" t="str">
        <x:v>https://harrisnote.com/</x:v>
      </x:c>
      <x:c r="AA1807" s="25" t="str">
        <x:v>[]</x:v>
      </x:c>
      <x:c r="AB1807" s="3" t="str">
        <x:v>Existing CapitalForge research, newly screened for this campaign</x:v>
      </x:c>
      <x:c r="AC1807" s="3" t="str">
        <x:v>unverified</x:v>
      </x:c>
      <x:c r="AD1807" s="3" t="str">
        <x:v>Not contacted / unconfirmed</x:v>
      </x:c>
      <x:c r="AE1807" s="3" t="str">
        <x:v>No</x:v>
      </x:c>
      <x:c r="AF1807" s="3" t="str">
        <x:v>No</x:v>
      </x:c>
      <x:c r="AG1807" s="3"/>
      <x:c r="AH1807" s="3"/>
      <x:c r="AI1807" s="18"/>
      <x:c r="AJ1807" s="3" t="str">
        <x:v>CF2500-F8D3DFE75922</x:v>
      </x:c>
      <x:c r="AK1807" s="3" t="str">
        <x:v>private_real_estate_lender</x:v>
      </x:c>
      <x:c r="AL1807" s="19" t="n">
        <x:v>100000</x:v>
      </x:c>
      <x:c r="AM1807" s="19" t="n">
        <x:v>500000</x:v>
      </x:c>
      <x:c r="AN1807" s="3" t="str">
        <x:v>https://www.privatelendersdirectory.com/united-states/chicago/top-level-category/harris-note-investors</x:v>
      </x:c>
      <x:c r="AO1807" s="3" t="str">
        <x:v>public_directory.jsonl</x:v>
      </x:c>
      <x:c r="AP1807" s="19"/>
    </x:row>
    <x:row r="1808" ht="36" customHeight="1">
      <x:c r="A1808" s="23" t="n">
        <x:v>1807</x:v>
      </x:c>
      <x:c r="B1808" s="15" t="str">
        <x:v>Hera Lending</x:v>
      </x:c>
      <x:c r="C1808" s="15"/>
      <x:c r="D1808" s="15" t="str">
        <x:v>Property lender or directory member; operating-company capital unconfirmed</x:v>
      </x:c>
      <x:c r="E1808" s="15" t="str">
        <x:v>Property lender / private-money inquiry</x:v>
      </x:c>
      <x:c r="F1808" s="17" t="str">
        <x:v>New</x:v>
      </x:c>
      <x:c r="G1808" s="24" t="str">
        <x:v>info@heralending.com</x:v>
      </x:c>
      <x:c r="H1808" s="24" t="str">
        <x:v>+13053946432</x:v>
      </x:c>
      <x:c r="I1808" s="24" t="str">
        <x:v>https://www.heralending.com/?utm_source=private-lender-link</x:v>
      </x:c>
      <x:c r="J1808" s="16" t="str">
        <x:v>FL</x:v>
      </x:c>
      <x:c r="K1808" s="16" t="str">
        <x:v>Miami</x:v>
      </x:c>
      <x:c r="L1808" s="16" t="str">
        <x:v>firm_business_routing</x:v>
      </x:c>
      <x:c r="M1808" s="16" t="str">
        <x:v>https://www.heralending.com/?utm_source=private-lender-link</x:v>
      </x:c>
      <x:c r="N1808" s="16" t="str">
        <x:v>$100K-$500K ticket not published / unconfirmed</x:v>
      </x:c>
      <x:c r="O1808" s="20"/>
      <x:c r="P1808" s="20"/>
      <x:c r="Q1808" s="25" t="str">
        <x:v>Property-loan range, not a corporate-capital commitment</x:v>
      </x:c>
      <x:c r="R1808" s="25" t="str">
        <x:v>Private real-estate finance experience. Corporate working capital, minority equity or profit participation requires a separate agreement from a property loan.</x:v>
      </x:c>
      <x:c r="S1808" s="25"/>
      <x:c r="T1808" s="25" t="str">
        <x:v>Confirm direct principal versus broker, $100K-$500K appetite, and whether capital can fund the operating company without a property mortgage.</x:v>
      </x:c>
      <x:c r="U1808" s="25" t="str">
        <x:v>https://privatelenderlink.com/profile/hera-lending/
https://nplaconference.com/private-lending-directory/page/8/</x:v>
      </x:c>
      <x:c r="V1808" s="26" t="d">
        <x:v>2026-10-02T00:00:00.000Z</x:v>
      </x:c>
      <x:c r="W1808" s="26" t="d">
        <x:v>2026-09-30T00:00:00.000Z</x:v>
      </x:c>
      <x:c r="X1808" s="25" t="str">
        <x:v>Saved public company, industry-directory or regulatory source; source date retained</x:v>
      </x:c>
      <x:c r="Y1808" s="25" t="str">
        <x:v>https://privatelenderlink.com/profile/hera-lending/</x:v>
      </x:c>
      <x:c r="Z1808" s="25" t="str">
        <x:v>https://privatelenderlink.com/profile/hera-lending/</x:v>
      </x:c>
      <x:c r="AA1808" s="25" t="str">
        <x:v>[]</x:v>
      </x:c>
      <x:c r="AB1808" s="3" t="str">
        <x:v>Existing CapitalForge research, newly screened for this campaign</x:v>
      </x:c>
      <x:c r="AC1808" s="3" t="str">
        <x:v>unverified</x:v>
      </x:c>
      <x:c r="AD1808" s="3" t="str">
        <x:v>Not contacted / unconfirmed</x:v>
      </x:c>
      <x:c r="AE1808" s="3" t="str">
        <x:v>No</x:v>
      </x:c>
      <x:c r="AF1808" s="3" t="str">
        <x:v>No</x:v>
      </x:c>
      <x:c r="AG1808" s="3"/>
      <x:c r="AH1808" s="3"/>
      <x:c r="AI1808" s="18"/>
      <x:c r="AJ1808" s="3" t="str">
        <x:v>CF2500-87F8D15D0AE8</x:v>
      </x:c>
      <x:c r="AK1808" s="3" t="str">
        <x:v>private_real_estate_lender</x:v>
      </x:c>
      <x:c r="AL1808" s="19" t="n">
        <x:v>100000</x:v>
      </x:c>
      <x:c r="AM1808" s="19" t="n">
        <x:v>500000</x:v>
      </x:c>
      <x:c r="AN1808" s="3" t="str">
        <x:v>https://privatelenderlink.com/profile/hera-lending/</x:v>
      </x:c>
      <x:c r="AO1808" s="3" t="str">
        <x:v>public_directory.jsonl</x:v>
      </x:c>
      <x:c r="AP1808" s="19"/>
    </x:row>
    <x:row r="1809" ht="36" customHeight="1">
      <x:c r="A1809" s="23" t="n">
        <x:v>1808</x:v>
      </x:c>
      <x:c r="B1809" s="15" t="str">
        <x:v>High Desert Capital</x:v>
      </x:c>
      <x:c r="C1809" s="15"/>
      <x:c r="D1809" s="15" t="str">
        <x:v>Property lender or directory member; operating-company capital unconfirmed</x:v>
      </x:c>
      <x:c r="E1809" s="15" t="str">
        <x:v>Property lender / private-money inquiry</x:v>
      </x:c>
      <x:c r="F1809" s="17" t="str">
        <x:v>New</x:v>
      </x:c>
      <x:c r="G1809" s="24" t="str">
        <x:v>info@highdesertcap.com</x:v>
      </x:c>
      <x:c r="H1809" s="24" t="str">
        <x:v>+19155937111</x:v>
      </x:c>
      <x:c r="I1809" s="24" t="str">
        <x:v>http://www.highdesertcap.com/</x:v>
      </x:c>
      <x:c r="J1809" s="16" t="str">
        <x:v>TX</x:v>
      </x:c>
      <x:c r="K1809" s="16" t="str">
        <x:v>El Paso</x:v>
      </x:c>
      <x:c r="L1809" s="16" t="str">
        <x:v>firm_business_routing</x:v>
      </x:c>
      <x:c r="M1809" s="16" t="str">
        <x:v>http://www.highdesertcap.com/</x:v>
      </x:c>
      <x:c r="N1809" s="16" t="str">
        <x:v>$100K-$500K ticket not published / unconfirmed</x:v>
      </x:c>
      <x:c r="O1809" s="20"/>
      <x:c r="P1809" s="20"/>
      <x:c r="Q1809" s="25" t="str">
        <x:v>Property-loan range, not a corporate-capital commitment</x:v>
      </x:c>
      <x:c r="R1809" s="25" t="str">
        <x:v>Private real-estate finance experience. Corporate working capital, minority equity or profit participation requires a separate agreement from a property loan.</x:v>
      </x:c>
      <x:c r="S1809" s="25"/>
      <x:c r="T1809" s="25" t="str">
        <x:v>Confirm direct principal versus broker, $100K-$500K appetite, and whether capital can fund the operating company without a property mortgage.</x:v>
      </x:c>
      <x:c r="U1809" s="25" t="str">
        <x:v>https://www.hardmoneyhome.com/lenders/view/high-desert-capital
https://www.highdesertcap.com/
https://www.privatelendersdirectory.com/united-states/el-paso/top-level-category/high-desert-capital</x:v>
      </x:c>
      <x:c r="V1809" s="26" t="d">
        <x:v>2026-10-02T00:00:00.000Z</x:v>
      </x:c>
      <x:c r="W1809" s="26" t="d">
        <x:v>2026-09-30T00:00:00.000Z</x:v>
      </x:c>
      <x:c r="X1809" s="25" t="str">
        <x:v>Saved public company, industry-directory or regulatory source; source date retained</x:v>
      </x:c>
      <x:c r="Y1809" s="25" t="str">
        <x:v>https://www.highdesertcap.com/</x:v>
      </x:c>
      <x:c r="Z1809" s="25" t="str">
        <x:v>https://www.hardmoneyhome.com/lenders/view/high-desert-capital</x:v>
      </x:c>
      <x:c r="AA1809" s="25" t="str">
        <x:v>[]</x:v>
      </x:c>
      <x:c r="AB1809" s="3" t="str">
        <x:v>Existing CapitalForge research, newly screened for this campaign</x:v>
      </x:c>
      <x:c r="AC1809" s="3" t="str">
        <x:v>unverified</x:v>
      </x:c>
      <x:c r="AD1809" s="3" t="str">
        <x:v>Not contacted / unconfirmed</x:v>
      </x:c>
      <x:c r="AE1809" s="3" t="str">
        <x:v>No</x:v>
      </x:c>
      <x:c r="AF1809" s="3" t="str">
        <x:v>No</x:v>
      </x:c>
      <x:c r="AG1809" s="3"/>
      <x:c r="AH1809" s="3"/>
      <x:c r="AI1809" s="18"/>
      <x:c r="AJ1809" s="3" t="str">
        <x:v>CF2500-70994D7F4940</x:v>
      </x:c>
      <x:c r="AK1809" s="3" t="str">
        <x:v>private_real_estate_lender</x:v>
      </x:c>
      <x:c r="AL1809" s="19" t="n">
        <x:v>100000</x:v>
      </x:c>
      <x:c r="AM1809" s="19" t="n">
        <x:v>500000</x:v>
      </x:c>
      <x:c r="AN1809" s="3" t="str">
        <x:v>https://www.hardmoneyhome.com/lenders/view/high-desert-capital</x:v>
      </x:c>
      <x:c r="AO1809" s="3" t="str">
        <x:v>public_directory.jsonl</x:v>
      </x:c>
      <x:c r="AP1809" s="19"/>
    </x:row>
    <x:row r="1810" ht="36" customHeight="1">
      <x:c r="A1810" s="23" t="n">
        <x:v>1809</x:v>
      </x:c>
      <x:c r="B1810" s="15" t="str">
        <x:v>HIGHLANDER MORTGAGE</x:v>
      </x:c>
      <x:c r="C1810" s="15"/>
      <x:c r="D1810" s="15" t="str">
        <x:v>Property lender or directory member; operating-company capital unconfirmed</x:v>
      </x:c>
      <x:c r="E1810" s="15" t="str">
        <x:v>Property lender / private-money inquiry</x:v>
      </x:c>
      <x:c r="F1810" s="17" t="str">
        <x:v>New</x:v>
      </x:c>
      <x:c r="G1810" s="24" t="str">
        <x:v>ashby@highlandermortgage.com</x:v>
      </x:c>
      <x:c r="H1810" s="24" t="str">
        <x:v>+15125013624</x:v>
      </x:c>
      <x:c r="I1810" s="24" t="str">
        <x:v>https://www.highlandermortgage.com/</x:v>
      </x:c>
      <x:c r="J1810" s="16" t="str">
        <x:v>TX</x:v>
      </x:c>
      <x:c r="K1810" s="16" t="str">
        <x:v>Austin</x:v>
      </x:c>
      <x:c r="L1810" s="16" t="str">
        <x:v>firm_business_routing</x:v>
      </x:c>
      <x:c r="M1810" s="16" t="str">
        <x:v>https://www.highlandermortgage.com/</x:v>
      </x:c>
      <x:c r="N1810" s="16" t="str">
        <x:v>$100K-$500K ticket not published / unconfirmed</x:v>
      </x:c>
      <x:c r="O1810" s="20"/>
      <x:c r="P1810" s="20"/>
      <x:c r="Q1810" s="25" t="str">
        <x:v>Property-loan range, not a corporate-capital commitment</x:v>
      </x:c>
      <x:c r="R1810" s="25" t="str">
        <x:v>Private real-estate finance experience. Corporate working capital, minority equity or profit participation requires a separate agreement from a property loan.</x:v>
      </x:c>
      <x:c r="S1810" s="25"/>
      <x:c r="T1810" s="25" t="str">
        <x:v>Confirm direct principal versus broker, $100K-$500K appetite, and whether capital can fund the operating company without a property mortgage.</x:v>
      </x:c>
      <x:c r="U1810" s="25" t="str">
        <x:v>https://www.privatelendersdirectory.com/united-states/austin/top-level-category/highlander-mortgage
https://www.highlandermortgage.com/
https://www.highlandermortgage.com/about/</x:v>
      </x:c>
      <x:c r="V1810" s="26" t="d">
        <x:v>2026-10-02T00:00:00.000Z</x:v>
      </x:c>
      <x:c r="W1810" s="26" t="d">
        <x:v>2026-09-30T00:00:00.000Z</x:v>
      </x:c>
      <x:c r="X1810" s="25" t="str">
        <x:v>Saved public company, industry-directory or regulatory source; source date retained</x:v>
      </x:c>
      <x:c r="Y1810" s="25" t="str">
        <x:v>https://www.highlandermortgage.com/about/</x:v>
      </x:c>
      <x:c r="Z1810" s="25" t="str">
        <x:v>https://www.highlandermortgage.com/</x:v>
      </x:c>
      <x:c r="AA1810" s="25" t="str">
        <x:v>[]</x:v>
      </x:c>
      <x:c r="AB1810" s="3" t="str">
        <x:v>Existing CapitalForge research, newly screened for this campaign</x:v>
      </x:c>
      <x:c r="AC1810" s="3" t="str">
        <x:v>unverified</x:v>
      </x:c>
      <x:c r="AD1810" s="3" t="str">
        <x:v>Not contacted / unconfirmed</x:v>
      </x:c>
      <x:c r="AE1810" s="3" t="str">
        <x:v>No</x:v>
      </x:c>
      <x:c r="AF1810" s="3" t="str">
        <x:v>No</x:v>
      </x:c>
      <x:c r="AG1810" s="3"/>
      <x:c r="AH1810" s="3"/>
      <x:c r="AI1810" s="18"/>
      <x:c r="AJ1810" s="3" t="str">
        <x:v>CF2500-E48F892670C6</x:v>
      </x:c>
      <x:c r="AK1810" s="3" t="str">
        <x:v>private_real_estate_lender</x:v>
      </x:c>
      <x:c r="AL1810" s="19" t="n">
        <x:v>100000</x:v>
      </x:c>
      <x:c r="AM1810" s="19" t="n">
        <x:v>500000</x:v>
      </x:c>
      <x:c r="AN1810" s="3" t="str">
        <x:v>https://www.privatelendersdirectory.com/united-states/austin/top-level-category/highlander-mortgage</x:v>
      </x:c>
      <x:c r="AO1810" s="3" t="str">
        <x:v>public_directory.jsonl</x:v>
      </x:c>
      <x:c r="AP1810" s="19"/>
    </x:row>
    <x:row r="1811" ht="36" customHeight="1">
      <x:c r="A1811" s="23" t="n">
        <x:v>1810</x:v>
      </x:c>
      <x:c r="B1811" s="15" t="str">
        <x:v>Hill Country Capital</x:v>
      </x:c>
      <x:c r="C1811" s="15"/>
      <x:c r="D1811" s="15" t="str">
        <x:v>Property lender or directory member; operating-company capital unconfirmed</x:v>
      </x:c>
      <x:c r="E1811" s="15" t="str">
        <x:v>Property lender / private-money inquiry</x:v>
      </x:c>
      <x:c r="F1811" s="17" t="str">
        <x:v>New</x:v>
      </x:c>
      <x:c r="G1811" s="24" t="str">
        <x:v>info@hillcountrycapital.com</x:v>
      </x:c>
      <x:c r="H1811" s="24" t="str">
        <x:v>+15127585628</x:v>
      </x:c>
      <x:c r="I1811" s="24" t="str">
        <x:v>https://hillcountrycapital.com/</x:v>
      </x:c>
      <x:c r="J1811" s="16" t="str">
        <x:v>TX</x:v>
      </x:c>
      <x:c r="K1811" s="16" t="str">
        <x:v>Belton</x:v>
      </x:c>
      <x:c r="L1811" s="16" t="str">
        <x:v>firm_business_routing</x:v>
      </x:c>
      <x:c r="M1811" s="16" t="str">
        <x:v>https://hillcountrycapital.com/</x:v>
      </x:c>
      <x:c r="N1811" s="16" t="str">
        <x:v>$100K-$500K ticket not published / unconfirmed</x:v>
      </x:c>
      <x:c r="O1811" s="20"/>
      <x:c r="P1811" s="20"/>
      <x:c r="Q1811" s="25" t="str">
        <x:v>Property-loan range, not a corporate-capital commitment</x:v>
      </x:c>
      <x:c r="R1811" s="25" t="str">
        <x:v>Private real-estate finance experience. Corporate working capital, minority equity or profit participation requires a separate agreement from a property loan.</x:v>
      </x:c>
      <x:c r="S1811" s="25"/>
      <x:c r="T1811" s="25" t="str">
        <x:v>Confirm direct principal versus broker, $100K-$500K appetite, and whether capital can fund the operating company without a property mortgage.</x:v>
      </x:c>
      <x:c r="U1811" s="25" t="str">
        <x:v>https://www.hardmoneyhome.com/lenders/view/hill-country-capital
https://hillcountrycapital.com/</x:v>
      </x:c>
      <x:c r="V1811" s="26" t="d">
        <x:v>2026-10-02T00:00:00.000Z</x:v>
      </x:c>
      <x:c r="W1811" s="26" t="d">
        <x:v>2026-09-30T00:00:00.000Z</x:v>
      </x:c>
      <x:c r="X1811" s="25" t="str">
        <x:v>Saved public company, industry-directory or regulatory source; source date retained</x:v>
      </x:c>
      <x:c r="Y1811" s="25" t="str">
        <x:v>https://hillcountrycapital.com/</x:v>
      </x:c>
      <x:c r="Z1811" s="25" t="str">
        <x:v>https://www.hardmoneyhome.com/lenders/view/hill-country-capital</x:v>
      </x:c>
      <x:c r="AA1811" s="25" t="str">
        <x:v>[]</x:v>
      </x:c>
      <x:c r="AB1811" s="3" t="str">
        <x:v>Existing CapitalForge research, newly screened for this campaign</x:v>
      </x:c>
      <x:c r="AC1811" s="3" t="str">
        <x:v>unverified</x:v>
      </x:c>
      <x:c r="AD1811" s="3" t="str">
        <x:v>Not contacted / unconfirmed</x:v>
      </x:c>
      <x:c r="AE1811" s="3" t="str">
        <x:v>No</x:v>
      </x:c>
      <x:c r="AF1811" s="3" t="str">
        <x:v>No</x:v>
      </x:c>
      <x:c r="AG1811" s="3"/>
      <x:c r="AH1811" s="3"/>
      <x:c r="AI1811" s="18"/>
      <x:c r="AJ1811" s="3" t="str">
        <x:v>CF2500-3DC37C0B4123</x:v>
      </x:c>
      <x:c r="AK1811" s="3" t="str">
        <x:v>private_real_estate_lender</x:v>
      </x:c>
      <x:c r="AL1811" s="19" t="n">
        <x:v>100000</x:v>
      </x:c>
      <x:c r="AM1811" s="19" t="n">
        <x:v>500000</x:v>
      </x:c>
      <x:c r="AN1811" s="3" t="str">
        <x:v>https://www.hardmoneyhome.com/lenders/view/hill-country-capital</x:v>
      </x:c>
      <x:c r="AO1811" s="3" t="str">
        <x:v>public_directory.jsonl</x:v>
      </x:c>
      <x:c r="AP1811" s="19"/>
    </x:row>
    <x:row r="1812" ht="36" customHeight="1">
      <x:c r="A1812" s="23" t="n">
        <x:v>1811</x:v>
      </x:c>
      <x:c r="B1812" s="15" t="str">
        <x:v>Hometown Capital Funding LLC</x:v>
      </x:c>
      <x:c r="C1812" s="15"/>
      <x:c r="D1812" s="15" t="str">
        <x:v>Property lender or directory member; operating-company capital unconfirmed</x:v>
      </x:c>
      <x:c r="E1812" s="15" t="str">
        <x:v>Property lender / private-money inquiry</x:v>
      </x:c>
      <x:c r="F1812" s="17" t="str">
        <x:v>New</x:v>
      </x:c>
      <x:c r="G1812" s="24" t="str">
        <x:v>service@texasquickfunding.com</x:v>
      </x:c>
      <x:c r="H1812" s="24" t="str">
        <x:v>+13059924004</x:v>
      </x:c>
      <x:c r="I1812" s="24" t="str">
        <x:v>https://texasquickfunding.com/?utm_source=private-lender-link</x:v>
      </x:c>
      <x:c r="J1812" s="16" t="str">
        <x:v>TX</x:v>
      </x:c>
      <x:c r="K1812" s="16" t="str">
        <x:v>Spring</x:v>
      </x:c>
      <x:c r="L1812" s="16" t="str">
        <x:v>firm_business_routing</x:v>
      </x:c>
      <x:c r="M1812" s="16" t="str">
        <x:v>https://texasquickfunding.com/?utm_source=private-lender-link</x:v>
      </x:c>
      <x:c r="N1812" s="16" t="str">
        <x:v>$100K-$500K ticket not published / unconfirmed</x:v>
      </x:c>
      <x:c r="O1812" s="20"/>
      <x:c r="P1812" s="20"/>
      <x:c r="Q1812" s="25" t="str">
        <x:v>Property-loan range, not a corporate-capital commitment</x:v>
      </x:c>
      <x:c r="R1812" s="25" t="str">
        <x:v>Private real-estate finance experience. Corporate working capital, minority equity or profit participation requires a separate agreement from a property loan.</x:v>
      </x:c>
      <x:c r="S1812" s="25"/>
      <x:c r="T1812" s="25" t="str">
        <x:v>Confirm direct principal versus broker, $100K-$500K appetite, and whether capital can fund the operating company without a property mortgage.</x:v>
      </x:c>
      <x:c r="U1812" s="25" t="str">
        <x:v>https://privatelenderlink.com/profile/hometown-capital-funding-llc/</x:v>
      </x:c>
      <x:c r="V1812" s="26" t="d">
        <x:v>2026-10-02T00:00:00.000Z</x:v>
      </x:c>
      <x:c r="W1812" s="26" t="d">
        <x:v>2026-09-30T00:00:00.000Z</x:v>
      </x:c>
      <x:c r="X1812" s="25" t="str">
        <x:v>Saved public company, industry-directory or regulatory source; source date retained</x:v>
      </x:c>
      <x:c r="Y1812" s="25" t="str">
        <x:v>https://privatelenderlink.com/profile/hometown-capital-funding-llc/</x:v>
      </x:c>
      <x:c r="Z1812" s="25" t="str">
        <x:v>https://privatelenderlink.com/profile/hometown-capital-funding-llc/</x:v>
      </x:c>
      <x:c r="AA1812" s="25" t="str">
        <x:v>[]</x:v>
      </x:c>
      <x:c r="AB1812" s="3" t="str">
        <x:v>Existing CapitalForge research, newly screened for this campaign</x:v>
      </x:c>
      <x:c r="AC1812" s="3" t="str">
        <x:v>unverified</x:v>
      </x:c>
      <x:c r="AD1812" s="3" t="str">
        <x:v>Not contacted / unconfirmed</x:v>
      </x:c>
      <x:c r="AE1812" s="3" t="str">
        <x:v>No</x:v>
      </x:c>
      <x:c r="AF1812" s="3" t="str">
        <x:v>No</x:v>
      </x:c>
      <x:c r="AG1812" s="3"/>
      <x:c r="AH1812" s="3"/>
      <x:c r="AI1812" s="18"/>
      <x:c r="AJ1812" s="3" t="str">
        <x:v>CF2500-F2432A6D88A8</x:v>
      </x:c>
      <x:c r="AK1812" s="3" t="str">
        <x:v>private_real_estate_lender</x:v>
      </x:c>
      <x:c r="AL1812" s="19" t="n">
        <x:v>100000</x:v>
      </x:c>
      <x:c r="AM1812" s="19" t="n">
        <x:v>500000</x:v>
      </x:c>
      <x:c r="AN1812" s="3" t="str">
        <x:v>https://privatelenderlink.com/profile/hometown-capital-funding-llc/</x:v>
      </x:c>
      <x:c r="AO1812" s="3" t="str">
        <x:v>public_directory.jsonl</x:v>
      </x:c>
      <x:c r="AP1812" s="19"/>
    </x:row>
    <x:row r="1813" ht="36" customHeight="1">
      <x:c r="A1813" s="23" t="n">
        <x:v>1812</x:v>
      </x:c>
      <x:c r="B1813" s="15" t="str">
        <x:v>HouseMax Funding</x:v>
      </x:c>
      <x:c r="C1813" s="15"/>
      <x:c r="D1813" s="15" t="str">
        <x:v>Property lender or directory member; operating-company capital unconfirmed</x:v>
      </x:c>
      <x:c r="E1813" s="15" t="str">
        <x:v>Property lender / private-money inquiry</x:v>
      </x:c>
      <x:c r="F1813" s="17" t="str">
        <x:v>New</x:v>
      </x:c>
      <x:c r="G1813" s="24" t="str">
        <x:v>kprovence@housemaxusa.com</x:v>
      </x:c>
      <x:c r="H1813" s="24" t="str">
        <x:v>+18339933863</x:v>
      </x:c>
      <x:c r="I1813" s="24" t="str">
        <x:v>https://housemaxfunding.com</x:v>
      </x:c>
      <x:c r="J1813" s="16" t="str">
        <x:v>TX</x:v>
      </x:c>
      <x:c r="K1813" s="16" t="str">
        <x:v>Austin</x:v>
      </x:c>
      <x:c r="L1813" s="16" t="str">
        <x:v>firm_business_routing</x:v>
      </x:c>
      <x:c r="M1813" s="16" t="str">
        <x:v>https://housemaxfunding.com</x:v>
      </x:c>
      <x:c r="N1813" s="16" t="str">
        <x:v>$100K-$500K ticket not published / unconfirmed</x:v>
      </x:c>
      <x:c r="O1813" s="20"/>
      <x:c r="P1813" s="20"/>
      <x:c r="Q1813" s="25" t="str">
        <x:v>Property-loan range, not a corporate-capital commitment</x:v>
      </x:c>
      <x:c r="R1813" s="25" t="str">
        <x:v>Private real-estate finance experience. Corporate working capital, minority equity or profit participation requires a separate agreement from a property loan.</x:v>
      </x:c>
      <x:c r="S1813" s="25"/>
      <x:c r="T1813" s="25" t="str">
        <x:v>Confirm direct principal versus broker, $100K-$500K appetite, and whether capital can fund the operating company without a property mortgage.</x:v>
      </x:c>
      <x:c r="U1813" s="25" t="str">
        <x:v>https://www.hardmoneyhome.com/lenders/view/house-max
https://privatelenderlink.com/profile/housemax-funding/
https://nplaconference.com/private-lending-directory/page/8/
https://housemaxfunding.com/
https://www.privatelendersdirectory.com/united-states/austin/top-level-category/house-max
https://housemaxfunding.com/contact</x:v>
      </x:c>
      <x:c r="V1813" s="26" t="d">
        <x:v>2026-10-02T00:00:00.000Z</x:v>
      </x:c>
      <x:c r="W1813" s="26" t="d">
        <x:v>2026-09-30T00:00:00.000Z</x:v>
      </x:c>
      <x:c r="X1813" s="25" t="str">
        <x:v>Saved public company, industry-directory or regulatory source; source date retained</x:v>
      </x:c>
      <x:c r="Y1813" s="25" t="str">
        <x:v>https://privatelenderlink.com/profile/housemax-funding/</x:v>
      </x:c>
      <x:c r="Z1813" s="25" t="str">
        <x:v>https://www.hardmoneyhome.com/lenders/view/house-max</x:v>
      </x:c>
      <x:c r="AA1813" s="25" t="str">
        <x:v>[]</x:v>
      </x:c>
      <x:c r="AB1813" s="3" t="str">
        <x:v>Existing CapitalForge research, newly screened for this campaign</x:v>
      </x:c>
      <x:c r="AC1813" s="3" t="str">
        <x:v>unverified</x:v>
      </x:c>
      <x:c r="AD1813" s="3" t="str">
        <x:v>Not contacted / unconfirmed</x:v>
      </x:c>
      <x:c r="AE1813" s="3" t="str">
        <x:v>No</x:v>
      </x:c>
      <x:c r="AF1813" s="3" t="str">
        <x:v>No</x:v>
      </x:c>
      <x:c r="AG1813" s="3"/>
      <x:c r="AH1813" s="3"/>
      <x:c r="AI1813" s="18"/>
      <x:c r="AJ1813" s="3" t="str">
        <x:v>CF2500-C389410DD053</x:v>
      </x:c>
      <x:c r="AK1813" s="3" t="str">
        <x:v>private_real_estate_lender</x:v>
      </x:c>
      <x:c r="AL1813" s="19" t="n">
        <x:v>100000</x:v>
      </x:c>
      <x:c r="AM1813" s="19" t="n">
        <x:v>500000</x:v>
      </x:c>
      <x:c r="AN1813" s="3" t="str">
        <x:v>https://www.hardmoneyhome.com/lenders/view/house-max</x:v>
      </x:c>
      <x:c r="AO1813" s="3" t="str">
        <x:v>public_directory.jsonl</x:v>
      </x:c>
      <x:c r="AP1813" s="19"/>
    </x:row>
    <x:row r="1814" ht="36" customHeight="1">
      <x:c r="A1814" s="23" t="n">
        <x:v>1813</x:v>
      </x:c>
      <x:c r="B1814" s="15" t="str">
        <x:v>Hurst Lending</x:v>
      </x:c>
      <x:c r="C1814" s="15"/>
      <x:c r="D1814" s="15" t="str">
        <x:v>Property lender or directory member; operating-company capital unconfirmed</x:v>
      </x:c>
      <x:c r="E1814" s="15" t="str">
        <x:v>Property lender / private-money inquiry</x:v>
      </x:c>
      <x:c r="F1814" s="17" t="str">
        <x:v>New</x:v>
      </x:c>
      <x:c r="G1814" s="24" t="str">
        <x:v>jhurst@hurstlending.com</x:v>
      </x:c>
      <x:c r="H1814" s="24" t="str">
        <x:v>+18772927350</x:v>
      </x:c>
      <x:c r="I1814" s="24" t="str">
        <x:v>https://hurstlending.com</x:v>
      </x:c>
      <x:c r="J1814" s="16" t="str">
        <x:v>TX</x:v>
      </x:c>
      <x:c r="K1814" s="16" t="str">
        <x:v>Dallas</x:v>
      </x:c>
      <x:c r="L1814" s="16" t="str">
        <x:v>firm_business_routing</x:v>
      </x:c>
      <x:c r="M1814" s="16" t="str">
        <x:v>https://hurstlending.com</x:v>
      </x:c>
      <x:c r="N1814" s="16" t="str">
        <x:v>$100K-$500K ticket not published / unconfirmed</x:v>
      </x:c>
      <x:c r="O1814" s="20"/>
      <x:c r="P1814" s="20"/>
      <x:c r="Q1814" s="25" t="str">
        <x:v>Property-loan range, not a corporate-capital commitment</x:v>
      </x:c>
      <x:c r="R1814" s="25" t="str">
        <x:v>Private real-estate finance experience. Corporate working capital, minority equity or profit participation requires a separate agreement from a property loan.</x:v>
      </x:c>
      <x:c r="S1814" s="25"/>
      <x:c r="T1814" s="25" t="str">
        <x:v>Confirm direct principal versus broker, $100K-$500K appetite, and whether capital can fund the operating company without a property mortgage.</x:v>
      </x:c>
      <x:c r="U1814" s="25" t="str">
        <x:v>https://www.hardmoneyhome.com/lenders/view/hurst-lending
https://hurstlending.com
https://nplaconference.com/private-lending-directory/page/8/</x:v>
      </x:c>
      <x:c r="V1814" s="26" t="d">
        <x:v>2026-10-02T00:00:00.000Z</x:v>
      </x:c>
      <x:c r="W1814" s="26" t="d">
        <x:v>2026-09-30T00:00:00.000Z</x:v>
      </x:c>
      <x:c r="X1814" s="25" t="str">
        <x:v>Saved public company, industry-directory or regulatory source; source date retained</x:v>
      </x:c>
      <x:c r="Y1814" s="25" t="str">
        <x:v>https://hurstlending.com</x:v>
      </x:c>
      <x:c r="Z1814" s="25" t="str">
        <x:v>https://www.hardmoneyhome.com/lenders/view/hurst-lending</x:v>
      </x:c>
      <x:c r="AA1814" s="25" t="str">
        <x:v>[]</x:v>
      </x:c>
      <x:c r="AB1814" s="3" t="str">
        <x:v>Existing CapitalForge research, newly screened for this campaign</x:v>
      </x:c>
      <x:c r="AC1814" s="3" t="str">
        <x:v>unverified</x:v>
      </x:c>
      <x:c r="AD1814" s="3" t="str">
        <x:v>Not contacted / unconfirmed</x:v>
      </x:c>
      <x:c r="AE1814" s="3" t="str">
        <x:v>No</x:v>
      </x:c>
      <x:c r="AF1814" s="3" t="str">
        <x:v>No</x:v>
      </x:c>
      <x:c r="AG1814" s="3"/>
      <x:c r="AH1814" s="3"/>
      <x:c r="AI1814" s="18"/>
      <x:c r="AJ1814" s="3" t="str">
        <x:v>CF2500-2D2045AEF7C3</x:v>
      </x:c>
      <x:c r="AK1814" s="3" t="str">
        <x:v>private_real_estate_lender</x:v>
      </x:c>
      <x:c r="AL1814" s="19" t="n">
        <x:v>100000</x:v>
      </x:c>
      <x:c r="AM1814" s="19" t="n">
        <x:v>500000</x:v>
      </x:c>
      <x:c r="AN1814" s="3" t="str">
        <x:v>https://www.hardmoneyhome.com/lenders/view/hurst-lending</x:v>
      </x:c>
      <x:c r="AO1814" s="3" t="str">
        <x:v>public_directory.jsonl</x:v>
      </x:c>
      <x:c r="AP1814" s="19"/>
    </x:row>
    <x:row r="1815" ht="36" customHeight="1">
      <x:c r="A1815" s="23" t="n">
        <x:v>1814</x:v>
      </x:c>
      <x:c r="B1815" s="15" t="str">
        <x:v>ICG10 Capital</x:v>
      </x:c>
      <x:c r="C1815" s="15"/>
      <x:c r="D1815" s="15" t="str">
        <x:v>Property lender or directory member; operating-company capital unconfirmed</x:v>
      </x:c>
      <x:c r="E1815" s="15" t="str">
        <x:v>Property lender / private-money inquiry</x:v>
      </x:c>
      <x:c r="F1815" s="17" t="str">
        <x:v>New</x:v>
      </x:c>
      <x:c r="G1815" s="24" t="str">
        <x:v>info@icg10.com</x:v>
      </x:c>
      <x:c r="H1815" s="24" t="str">
        <x:v>+19547980726</x:v>
      </x:c>
      <x:c r="I1815" s="24" t="str">
        <x:v>https://icg10.com/</x:v>
      </x:c>
      <x:c r="J1815" s="16" t="str">
        <x:v>FL</x:v>
      </x:c>
      <x:c r="K1815" s="16" t="str">
        <x:v>North Miami</x:v>
      </x:c>
      <x:c r="L1815" s="16" t="str">
        <x:v>firm_business_routing</x:v>
      </x:c>
      <x:c r="M1815" s="16" t="str">
        <x:v>https://icg10.com/</x:v>
      </x:c>
      <x:c r="N1815" s="16" t="str">
        <x:v>$100K-$500K ticket not published / unconfirmed</x:v>
      </x:c>
      <x:c r="O1815" s="20"/>
      <x:c r="P1815" s="20"/>
      <x:c r="Q1815" s="25" t="str">
        <x:v>Property-loan range, not a corporate-capital commitment</x:v>
      </x:c>
      <x:c r="R1815" s="25" t="str">
        <x:v>Private real-estate finance experience. Corporate working capital, minority equity or profit participation requires a separate agreement from a property loan.</x:v>
      </x:c>
      <x:c r="S1815" s="25"/>
      <x:c r="T1815" s="25" t="str">
        <x:v>Confirm direct principal versus broker, $100K-$500K appetite, and whether capital can fund the operating company without a property mortgage.</x:v>
      </x:c>
      <x:c r="U1815" s="25" t="str">
        <x:v>https://privatelenderlink.com/profile/icg10-capital/
https://icg10.com/
https://nplaconference.com/private-lending-directory/page/8/</x:v>
      </x:c>
      <x:c r="V1815" s="26" t="d">
        <x:v>2026-10-02T00:00:00.000Z</x:v>
      </x:c>
      <x:c r="W1815" s="26" t="d">
        <x:v>2026-09-30T00:00:00.000Z</x:v>
      </x:c>
      <x:c r="X1815" s="25" t="str">
        <x:v>Saved public company, industry-directory or regulatory source; source date retained</x:v>
      </x:c>
      <x:c r="Y1815" s="25" t="str">
        <x:v>https://privatelenderlink.com/profile/icg10-capital/</x:v>
      </x:c>
      <x:c r="Z1815" s="25" t="str">
        <x:v>https://icg10.com/</x:v>
      </x:c>
      <x:c r="AA1815" s="25" t="str">
        <x:v>[]</x:v>
      </x:c>
      <x:c r="AB1815" s="3" t="str">
        <x:v>Existing CapitalForge research, newly screened for this campaign</x:v>
      </x:c>
      <x:c r="AC1815" s="3" t="str">
        <x:v>unverified</x:v>
      </x:c>
      <x:c r="AD1815" s="3" t="str">
        <x:v>Not contacted / unconfirmed</x:v>
      </x:c>
      <x:c r="AE1815" s="3" t="str">
        <x:v>No</x:v>
      </x:c>
      <x:c r="AF1815" s="3" t="str">
        <x:v>No</x:v>
      </x:c>
      <x:c r="AG1815" s="3"/>
      <x:c r="AH1815" s="3"/>
      <x:c r="AI1815" s="18"/>
      <x:c r="AJ1815" s="3" t="str">
        <x:v>CF2500-EA7BD1407B1F</x:v>
      </x:c>
      <x:c r="AK1815" s="3" t="str">
        <x:v>private_real_estate_lender</x:v>
      </x:c>
      <x:c r="AL1815" s="19" t="n">
        <x:v>100000</x:v>
      </x:c>
      <x:c r="AM1815" s="19" t="n">
        <x:v>500000</x:v>
      </x:c>
      <x:c r="AN1815" s="3" t="str">
        <x:v>https://privatelenderlink.com/profile/icg10-capital/</x:v>
      </x:c>
      <x:c r="AO1815" s="3" t="str">
        <x:v>public_directory.jsonl</x:v>
      </x:c>
      <x:c r="AP1815" s="19"/>
    </x:row>
    <x:row r="1816" ht="36" customHeight="1">
      <x:c r="A1816" s="23" t="n">
        <x:v>1815</x:v>
      </x:c>
      <x:c r="B1816" s="15" t="str">
        <x:v>Investmark Mortgage</x:v>
      </x:c>
      <x:c r="C1816" s="15"/>
      <x:c r="D1816" s="15" t="str">
        <x:v>Property lender or directory member; operating-company capital unconfirmed</x:v>
      </x:c>
      <x:c r="E1816" s="15" t="str">
        <x:v>Property lender / private-money inquiry</x:v>
      </x:c>
      <x:c r="F1816" s="17" t="str">
        <x:v>New</x:v>
      </x:c>
      <x:c r="G1816" s="24" t="str">
        <x:v>info@investmarkmortgage.com</x:v>
      </x:c>
      <x:c r="H1816" s="24" t="str">
        <x:v>+12142190360</x:v>
      </x:c>
      <x:c r="I1816" s="24" t="str">
        <x:v>https://www.investmarkmortgage.com/</x:v>
      </x:c>
      <x:c r="J1816" s="16" t="str">
        <x:v>TX</x:v>
      </x:c>
      <x:c r="K1816" s="16" t="str">
        <x:v>Addison</x:v>
      </x:c>
      <x:c r="L1816" s="16" t="str">
        <x:v>firm_business_routing</x:v>
      </x:c>
      <x:c r="M1816" s="16" t="str">
        <x:v>https://www.investmarkmortgage.com/</x:v>
      </x:c>
      <x:c r="N1816" s="16" t="str">
        <x:v>$100K-$500K ticket not published / unconfirmed</x:v>
      </x:c>
      <x:c r="O1816" s="20"/>
      <x:c r="P1816" s="20"/>
      <x:c r="Q1816" s="25" t="str">
        <x:v>Property-loan range, not a corporate-capital commitment</x:v>
      </x:c>
      <x:c r="R1816" s="25" t="str">
        <x:v>Private real-estate finance experience. Corporate working capital, minority equity or profit participation requires a separate agreement from a property loan.</x:v>
      </x:c>
      <x:c r="S1816" s="25"/>
      <x:c r="T1816" s="25" t="str">
        <x:v>Confirm direct principal versus broker, $100K-$500K appetite, and whether capital can fund the operating company without a property mortgage.</x:v>
      </x:c>
      <x:c r="U1816" s="25" t="str">
        <x:v>https://www.hardmoneyhome.com/lenders/view/investmark-mortgage
https://privatelenderlink.com/profile/investmark-mortgage/</x:v>
      </x:c>
      <x:c r="V1816" s="26" t="d">
        <x:v>2026-10-02T00:00:00.000Z</x:v>
      </x:c>
      <x:c r="W1816" s="26" t="d">
        <x:v>2026-09-30T00:00:00.000Z</x:v>
      </x:c>
      <x:c r="X1816" s="25" t="str">
        <x:v>Saved public company, industry-directory or regulatory source; source date retained</x:v>
      </x:c>
      <x:c r="Y1816" s="25" t="str">
        <x:v>https://privatelenderlink.com/profile/investmark-mortgage/</x:v>
      </x:c>
      <x:c r="Z1816" s="25" t="str">
        <x:v>https://www.hardmoneyhome.com/lenders/view/investmark-mortgage</x:v>
      </x:c>
      <x:c r="AA1816" s="25" t="str">
        <x:v>[]</x:v>
      </x:c>
      <x:c r="AB1816" s="3" t="str">
        <x:v>Existing CapitalForge research, newly screened for this campaign</x:v>
      </x:c>
      <x:c r="AC1816" s="3" t="str">
        <x:v>unverified</x:v>
      </x:c>
      <x:c r="AD1816" s="3" t="str">
        <x:v>Not contacted / unconfirmed</x:v>
      </x:c>
      <x:c r="AE1816" s="3" t="str">
        <x:v>No</x:v>
      </x:c>
      <x:c r="AF1816" s="3" t="str">
        <x:v>No</x:v>
      </x:c>
      <x:c r="AG1816" s="3"/>
      <x:c r="AH1816" s="3"/>
      <x:c r="AI1816" s="18"/>
      <x:c r="AJ1816" s="3" t="str">
        <x:v>CF2500-0D9DC379377B</x:v>
      </x:c>
      <x:c r="AK1816" s="3" t="str">
        <x:v>private_real_estate_lender</x:v>
      </x:c>
      <x:c r="AL1816" s="19" t="n">
        <x:v>100000</x:v>
      </x:c>
      <x:c r="AM1816" s="19" t="n">
        <x:v>500000</x:v>
      </x:c>
      <x:c r="AN1816" s="3" t="str">
        <x:v>https://www.hardmoneyhome.com/lenders/view/investmark-mortgage</x:v>
      </x:c>
      <x:c r="AO1816" s="3" t="str">
        <x:v>public_directory.jsonl</x:v>
      </x:c>
      <x:c r="AP1816" s="19"/>
    </x:row>
    <x:row r="1817" ht="36" customHeight="1">
      <x:c r="A1817" s="23" t="n">
        <x:v>1816</x:v>
      </x:c>
      <x:c r="B1817" s="15" t="str">
        <x:v>Jet Lending</x:v>
      </x:c>
      <x:c r="C1817" s="15"/>
      <x:c r="D1817" s="15" t="str">
        <x:v>Property lender or directory member; operating-company capital unconfirmed</x:v>
      </x:c>
      <x:c r="E1817" s="15" t="str">
        <x:v>Property lender / private-money inquiry</x:v>
      </x:c>
      <x:c r="F1817" s="17" t="str">
        <x:v>New</x:v>
      </x:c>
      <x:c r="G1817" s="24" t="str">
        <x:v>info@jetlending.com</x:v>
      </x:c>
      <x:c r="H1817" s="24" t="str">
        <x:v>+12818727800</x:v>
      </x:c>
      <x:c r="I1817" s="24" t="str">
        <x:v>https://jetlending.com/</x:v>
      </x:c>
      <x:c r="J1817" s="16" t="str">
        <x:v>TX</x:v>
      </x:c>
      <x:c r="K1817" s="16" t="str">
        <x:v>Houston</x:v>
      </x:c>
      <x:c r="L1817" s="16" t="str">
        <x:v>firm_business_routing</x:v>
      </x:c>
      <x:c r="M1817" s="16" t="str">
        <x:v>https://jetlending.com/</x:v>
      </x:c>
      <x:c r="N1817" s="16" t="str">
        <x:v>$100K-$500K ticket not published / unconfirmed</x:v>
      </x:c>
      <x:c r="O1817" s="20"/>
      <x:c r="P1817" s="20"/>
      <x:c r="Q1817" s="25" t="str">
        <x:v>Property-loan range, not a corporate-capital commitment</x:v>
      </x:c>
      <x:c r="R1817" s="25" t="str">
        <x:v>Private real-estate finance experience. Corporate working capital, minority equity or profit participation requires a separate agreement from a property loan.</x:v>
      </x:c>
      <x:c r="S1817" s="25"/>
      <x:c r="T1817" s="25" t="str">
        <x:v>Confirm direct principal versus broker, $100K-$500K appetite, and whether capital can fund the operating company without a property mortgage.</x:v>
      </x:c>
      <x:c r="U1817" s="25" t="str">
        <x:v>https://www.hardmoneyhome.com/lenders/view/jet-lending
https://privatelenderlink.com/profile/jet-lending/</x:v>
      </x:c>
      <x:c r="V1817" s="26" t="d">
        <x:v>2026-10-02T00:00:00.000Z</x:v>
      </x:c>
      <x:c r="W1817" s="26" t="d">
        <x:v>2026-09-30T00:00:00.000Z</x:v>
      </x:c>
      <x:c r="X1817" s="25" t="str">
        <x:v>Saved public company, industry-directory or regulatory source; source date retained</x:v>
      </x:c>
      <x:c r="Y1817" s="25" t="str">
        <x:v>https://privatelenderlink.com/profile/jet-lending/</x:v>
      </x:c>
      <x:c r="Z1817" s="25" t="str">
        <x:v>https://www.hardmoneyhome.com/lenders/view/jet-lending</x:v>
      </x:c>
      <x:c r="AA1817" s="25" t="str">
        <x:v>[]</x:v>
      </x:c>
      <x:c r="AB1817" s="3" t="str">
        <x:v>Existing CapitalForge research, newly screened for this campaign</x:v>
      </x:c>
      <x:c r="AC1817" s="3" t="str">
        <x:v>unverified</x:v>
      </x:c>
      <x:c r="AD1817" s="3" t="str">
        <x:v>Not contacted / unconfirmed</x:v>
      </x:c>
      <x:c r="AE1817" s="3" t="str">
        <x:v>No</x:v>
      </x:c>
      <x:c r="AF1817" s="3" t="str">
        <x:v>No</x:v>
      </x:c>
      <x:c r="AG1817" s="3"/>
      <x:c r="AH1817" s="3"/>
      <x:c r="AI1817" s="18"/>
      <x:c r="AJ1817" s="3" t="str">
        <x:v>CF2500-AE2D6EF72B54</x:v>
      </x:c>
      <x:c r="AK1817" s="3" t="str">
        <x:v>private_real_estate_lender</x:v>
      </x:c>
      <x:c r="AL1817" s="19" t="n">
        <x:v>100000</x:v>
      </x:c>
      <x:c r="AM1817" s="19" t="n">
        <x:v>500000</x:v>
      </x:c>
      <x:c r="AN1817" s="3" t="str">
        <x:v>https://www.hardmoneyhome.com/lenders/view/jet-lending</x:v>
      </x:c>
      <x:c r="AO1817" s="3" t="str">
        <x:v>public_directory.jsonl</x:v>
      </x:c>
      <x:c r="AP1817" s="19"/>
    </x:row>
    <x:row r="1818" ht="36" customHeight="1">
      <x:c r="A1818" s="23" t="n">
        <x:v>1817</x:v>
      </x:c>
      <x:c r="B1818" s="15" t="str">
        <x:v>KDM Financial</x:v>
      </x:c>
      <x:c r="C1818" s="15" t="str">
        <x:v>MICHAEL GIBBONS</x:v>
      </x:c>
      <x:c r="D1818" s="15" t="str">
        <x:v>Property lender or directory member; operating-company capital unconfirmed</x:v>
      </x:c>
      <x:c r="E1818" s="15" t="str">
        <x:v>Property lender / private-money inquiry</x:v>
      </x:c>
      <x:c r="F1818" s="17" t="str">
        <x:v>New</x:v>
      </x:c>
      <x:c r="G1818" s="24" t="str">
        <x:v>jalonso@kdmfinancial.com</x:v>
      </x:c>
      <x:c r="H1818" s="24" t="str">
        <x:v>+18555365626</x:v>
      </x:c>
      <x:c r="I1818" s="24" t="str">
        <x:v>https://kdmfinancial.com/?utm_source=private-lender-link</x:v>
      </x:c>
      <x:c r="J1818" s="16" t="str">
        <x:v>FL</x:v>
      </x:c>
      <x:c r="K1818" s="16" t="str">
        <x:v>Miami</x:v>
      </x:c>
      <x:c r="L1818" s="16" t="str">
        <x:v>published_professional_contact_directness_unconfirmed</x:v>
      </x:c>
      <x:c r="M1818" s="16" t="str">
        <x:v>https://kdmfinancial.com/?utm_source=private-lender-link</x:v>
      </x:c>
      <x:c r="N1818" s="16" t="str">
        <x:v>$100K-$500K ticket not published / unconfirmed</x:v>
      </x:c>
      <x:c r="O1818" s="20"/>
      <x:c r="P1818" s="20"/>
      <x:c r="Q1818" s="25" t="str">
        <x:v>Property-loan range, not a corporate-capital commitment</x:v>
      </x:c>
      <x:c r="R1818" s="25" t="str">
        <x:v>Private real-estate finance experience. Corporate working capital, minority equity or profit participation requires a separate agreement from a property loan.</x:v>
      </x:c>
      <x:c r="S1818" s="25"/>
      <x:c r="T1818" s="25" t="str">
        <x:v>Confirm direct principal versus broker, $100K-$500K appetite, and whether capital can fund the operating company without a property mortgage.</x:v>
      </x:c>
      <x:c r="U1818" s="25" t="str">
        <x:v>https://privatelenderlink.com/profile/kdm-financial/
https://kdmfinancial.com/?utm_source=private-lender-link
https://adviserinfo.sec.gov/firm/summary/26455
https://reports.adviserinfo.sec.gov/reports/CompilationReports/IA_FIRM_SEC_Feed_09_29_2026.xml.gz
https://kdmfinancial.com
https://reports.adviserinfo.sec.gov/reports/foia/advFilingData/2026/ADV_Filing_Data_20260301_20260331.zip</x:v>
      </x:c>
      <x:c r="V1818" s="26" t="d">
        <x:v>2026-10-02T00:00:00.000Z</x:v>
      </x:c>
      <x:c r="W1818" s="26" t="d">
        <x:v>2026-09-30T00:00:00.000Z</x:v>
      </x:c>
      <x:c r="X1818" s="25" t="str">
        <x:v>Saved public company, industry-directory or regulatory source; source date retained</x:v>
      </x:c>
      <x:c r="Y1818" s="25" t="str">
        <x:v>https://privatelenderlink.com/profile/kdm-financial/</x:v>
      </x:c>
      <x:c r="Z1818" s="25" t="str">
        <x:v>https://kdmfinancial.com/?utm_source=private-lender-link</x:v>
      </x:c>
      <x:c r="AA1818" s="25" t="str">
        <x:v>[]</x:v>
      </x:c>
      <x:c r="AB1818" s="3" t="str">
        <x:v>Existing CapitalForge research, newly screened for this campaign</x:v>
      </x:c>
      <x:c r="AC1818" s="3" t="str">
        <x:v>unverified</x:v>
      </x:c>
      <x:c r="AD1818" s="3" t="str">
        <x:v>Not contacted / unconfirmed</x:v>
      </x:c>
      <x:c r="AE1818" s="3" t="str">
        <x:v>No</x:v>
      </x:c>
      <x:c r="AF1818" s="3" t="str">
        <x:v>No</x:v>
      </x:c>
      <x:c r="AG1818" s="3"/>
      <x:c r="AH1818" s="3"/>
      <x:c r="AI1818" s="18"/>
      <x:c r="AJ1818" s="3" t="str">
        <x:v>CF2500-B8CFDECAE37C</x:v>
      </x:c>
      <x:c r="AK1818" s="3" t="str">
        <x:v>private_real_estate_lender</x:v>
      </x:c>
      <x:c r="AL1818" s="19" t="n">
        <x:v>100000</x:v>
      </x:c>
      <x:c r="AM1818" s="19" t="n">
        <x:v>500000</x:v>
      </x:c>
      <x:c r="AN1818" s="3" t="str">
        <x:v>https://privatelenderlink.com/profile/kdm-financial/</x:v>
      </x:c>
      <x:c r="AO1818" s="3" t="str">
        <x:v>public_directory.jsonl</x:v>
      </x:c>
      <x:c r="AP1818" s="19"/>
    </x:row>
    <x:row r="1819" ht="36" customHeight="1">
      <x:c r="A1819" s="23" t="n">
        <x:v>1818</x:v>
      </x:c>
      <x:c r="B1819" s="15" t="str">
        <x:v>LendSimpli</x:v>
      </x:c>
      <x:c r="C1819" s="15"/>
      <x:c r="D1819" s="15" t="str">
        <x:v>Property lender or directory member; operating-company capital unconfirmed</x:v>
      </x:c>
      <x:c r="E1819" s="15" t="str">
        <x:v>Property lender / private-money inquiry</x:v>
      </x:c>
      <x:c r="F1819" s="17" t="str">
        <x:v>New</x:v>
      </x:c>
      <x:c r="G1819" s="24" t="str">
        <x:v>hello@lendsimpli.com</x:v>
      </x:c>
      <x:c r="H1819" s="24" t="str">
        <x:v>+18135900416</x:v>
      </x:c>
      <x:c r="I1819" s="24" t="str">
        <x:v>https://lendsimpli.com/?utm_source=private-lender-link</x:v>
      </x:c>
      <x:c r="J1819" s="16" t="str">
        <x:v>FL</x:v>
      </x:c>
      <x:c r="K1819" s="16" t="str">
        <x:v>Tampa</x:v>
      </x:c>
      <x:c r="L1819" s="16" t="str">
        <x:v>firm_business_routing</x:v>
      </x:c>
      <x:c r="M1819" s="16" t="str">
        <x:v>https://lendsimpli.com/?utm_source=private-lender-link</x:v>
      </x:c>
      <x:c r="N1819" s="16" t="str">
        <x:v>$100K-$500K ticket not published / unconfirmed</x:v>
      </x:c>
      <x:c r="O1819" s="20"/>
      <x:c r="P1819" s="20"/>
      <x:c r="Q1819" s="25" t="str">
        <x:v>Property-loan range, not a corporate-capital commitment</x:v>
      </x:c>
      <x:c r="R1819" s="25" t="str">
        <x:v>Private real-estate finance experience. Corporate working capital, minority equity or profit participation requires a separate agreement from a property loan.</x:v>
      </x:c>
      <x:c r="S1819" s="25"/>
      <x:c r="T1819" s="25" t="str">
        <x:v>Confirm direct principal versus broker, $100K-$500K appetite, and whether capital can fund the operating company without a property mortgage.</x:v>
      </x:c>
      <x:c r="U1819" s="25" t="str">
        <x:v>https://privatelenderlink.com/profile/lendsimpli/
https://lendsimpli.com/?utm_source=private-lender-link</x:v>
      </x:c>
      <x:c r="V1819" s="26" t="d">
        <x:v>2026-10-02T00:00:00.000Z</x:v>
      </x:c>
      <x:c r="W1819" s="26" t="d">
        <x:v>2026-09-30T00:00:00.000Z</x:v>
      </x:c>
      <x:c r="X1819" s="25" t="str">
        <x:v>Saved public company, industry-directory or regulatory source; source date retained</x:v>
      </x:c>
      <x:c r="Y1819" s="25" t="str">
        <x:v>https://privatelenderlink.com/profile/lendsimpli/</x:v>
      </x:c>
      <x:c r="Z1819" s="25" t="str">
        <x:v>https://lendsimpli.com/?utm_source=private-lender-link</x:v>
      </x:c>
      <x:c r="AA1819" s="25" t="str">
        <x:v>[]</x:v>
      </x:c>
      <x:c r="AB1819" s="3" t="str">
        <x:v>Existing CapitalForge research, newly screened for this campaign</x:v>
      </x:c>
      <x:c r="AC1819" s="3" t="str">
        <x:v>unverified</x:v>
      </x:c>
      <x:c r="AD1819" s="3" t="str">
        <x:v>Not contacted / unconfirmed</x:v>
      </x:c>
      <x:c r="AE1819" s="3" t="str">
        <x:v>No</x:v>
      </x:c>
      <x:c r="AF1819" s="3" t="str">
        <x:v>No</x:v>
      </x:c>
      <x:c r="AG1819" s="3"/>
      <x:c r="AH1819" s="3"/>
      <x:c r="AI1819" s="18"/>
      <x:c r="AJ1819" s="3" t="str">
        <x:v>CF2500-BC6D19B8365F</x:v>
      </x:c>
      <x:c r="AK1819" s="3" t="str">
        <x:v>private_real_estate_lender</x:v>
      </x:c>
      <x:c r="AL1819" s="19" t="n">
        <x:v>100000</x:v>
      </x:c>
      <x:c r="AM1819" s="19" t="n">
        <x:v>500000</x:v>
      </x:c>
      <x:c r="AN1819" s="3" t="str">
        <x:v>https://privatelenderlink.com/profile/lendsimpli/</x:v>
      </x:c>
      <x:c r="AO1819" s="3" t="str">
        <x:v>public_directory.jsonl</x:v>
      </x:c>
      <x:c r="AP1819" s="19"/>
    </x:row>
    <x:row r="1820" ht="36" customHeight="1">
      <x:c r="A1820" s="23" t="n">
        <x:v>1819</x:v>
      </x:c>
      <x:c r="B1820" s="15" t="str">
        <x:v>Leverage Lending Group</x:v>
      </x:c>
      <x:c r="C1820" s="15"/>
      <x:c r="D1820" s="15" t="str">
        <x:v>Property lender or directory member; operating-company capital unconfirmed</x:v>
      </x:c>
      <x:c r="E1820" s="15" t="str">
        <x:v>Property lender / private-money inquiry</x:v>
      </x:c>
      <x:c r="F1820" s="17" t="str">
        <x:v>New</x:v>
      </x:c>
      <x:c r="G1820" s="24" t="str">
        <x:v>info@lendwithleverage.com</x:v>
      </x:c>
      <x:c r="H1820" s="24" t="str">
        <x:v>+17046319276</x:v>
      </x:c>
      <x:c r="I1820" s="24" t="str">
        <x:v>http://lendwithleverage.com</x:v>
      </x:c>
      <x:c r="J1820" s="16" t="str">
        <x:v>NC</x:v>
      </x:c>
      <x:c r="K1820" s="16" t="str">
        <x:v>Charlotte</x:v>
      </x:c>
      <x:c r="L1820" s="16" t="str">
        <x:v>firm_business_routing</x:v>
      </x:c>
      <x:c r="M1820" s="16" t="str">
        <x:v>http://lendwithleverage.com</x:v>
      </x:c>
      <x:c r="N1820" s="16" t="str">
        <x:v>$100K-$500K ticket not published / unconfirmed</x:v>
      </x:c>
      <x:c r="O1820" s="20"/>
      <x:c r="P1820" s="20"/>
      <x:c r="Q1820" s="25" t="str">
        <x:v>Property-loan range, not a corporate-capital commitment</x:v>
      </x:c>
      <x:c r="R1820" s="25" t="str">
        <x:v>Private real-estate finance experience. Corporate working capital, minority equity or profit participation requires a separate agreement from a property loan.</x:v>
      </x:c>
      <x:c r="S1820" s="25"/>
      <x:c r="T1820" s="25" t="str">
        <x:v>Confirm direct principal versus broker, $100K-$500K appetite, and whether capital can fund the operating company without a property mortgage.</x:v>
      </x:c>
      <x:c r="U1820" s="25" t="str">
        <x:v>https://www.hardmoneyhome.com/lenders/view/leverage-lending-group
https://lendwithleverage.com</x:v>
      </x:c>
      <x:c r="V1820" s="26" t="d">
        <x:v>2026-10-02T00:00:00.000Z</x:v>
      </x:c>
      <x:c r="W1820" s="26" t="d">
        <x:v>2026-09-30T00:00:00.000Z</x:v>
      </x:c>
      <x:c r="X1820" s="25" t="str">
        <x:v>Saved public company, industry-directory or regulatory source; source date retained</x:v>
      </x:c>
      <x:c r="Y1820" s="25" t="str">
        <x:v>https://lendwithleverage.com</x:v>
      </x:c>
      <x:c r="Z1820" s="25" t="str">
        <x:v>https://www.hardmoneyhome.com/lenders/view/leverage-lending-group</x:v>
      </x:c>
      <x:c r="AA1820" s="25" t="str">
        <x:v>[]</x:v>
      </x:c>
      <x:c r="AB1820" s="3" t="str">
        <x:v>Existing CapitalForge research, newly screened for this campaign</x:v>
      </x:c>
      <x:c r="AC1820" s="3" t="str">
        <x:v>unverified</x:v>
      </x:c>
      <x:c r="AD1820" s="3" t="str">
        <x:v>Not contacted / unconfirmed</x:v>
      </x:c>
      <x:c r="AE1820" s="3" t="str">
        <x:v>No</x:v>
      </x:c>
      <x:c r="AF1820" s="3" t="str">
        <x:v>No</x:v>
      </x:c>
      <x:c r="AG1820" s="3"/>
      <x:c r="AH1820" s="3"/>
      <x:c r="AI1820" s="18"/>
      <x:c r="AJ1820" s="3" t="str">
        <x:v>CF2500-5F04E6731385</x:v>
      </x:c>
      <x:c r="AK1820" s="3" t="str">
        <x:v>private_real_estate_lender</x:v>
      </x:c>
      <x:c r="AL1820" s="19" t="n">
        <x:v>100000</x:v>
      </x:c>
      <x:c r="AM1820" s="19" t="n">
        <x:v>500000</x:v>
      </x:c>
      <x:c r="AN1820" s="3" t="str">
        <x:v>https://www.hardmoneyhome.com/lenders/view/leverage-lending-group</x:v>
      </x:c>
      <x:c r="AO1820" s="3" t="str">
        <x:v>public_directory.jsonl</x:v>
      </x:c>
      <x:c r="AP1820" s="19"/>
    </x:row>
    <x:row r="1821" ht="36" customHeight="1">
      <x:c r="A1821" s="23" t="n">
        <x:v>1820</x:v>
      </x:c>
      <x:c r="B1821" s="15" t="str">
        <x:v>Monroe Funding Corp</x:v>
      </x:c>
      <x:c r="C1821" s="15"/>
      <x:c r="D1821" s="15" t="str">
        <x:v>Property lender or directory member; operating-company capital unconfirmed</x:v>
      </x:c>
      <x:c r="E1821" s="15" t="str">
        <x:v>Property lender / private-money inquiry</x:v>
      </x:c>
      <x:c r="F1821" s="17" t="str">
        <x:v>New</x:v>
      </x:c>
      <x:c r="G1821" s="24" t="str">
        <x:v>monroefund@gmail.com</x:v>
      </x:c>
      <x:c r="H1821" s="24" t="str">
        <x:v>+19548160388</x:v>
      </x:c>
      <x:c r="I1821" s="24" t="str">
        <x:v>http://www.monroefundingcorp.com/</x:v>
      </x:c>
      <x:c r="J1821" s="16" t="str">
        <x:v>FL</x:v>
      </x:c>
      <x:c r="K1821" s="16" t="str">
        <x:v>Fort Lauderdale</x:v>
      </x:c>
      <x:c r="L1821" s="16" t="str">
        <x:v>firm_business_routing</x:v>
      </x:c>
      <x:c r="M1821" s="16" t="str">
        <x:v>http://www.monroefundingcorp.com/</x:v>
      </x:c>
      <x:c r="N1821" s="16" t="str">
        <x:v>$100K-$500K ticket not published / unconfirmed</x:v>
      </x:c>
      <x:c r="O1821" s="20"/>
      <x:c r="P1821" s="20"/>
      <x:c r="Q1821" s="25" t="str">
        <x:v>Property-loan range, not a corporate-capital commitment</x:v>
      </x:c>
      <x:c r="R1821" s="25" t="str">
        <x:v>Private real-estate finance experience. Corporate working capital, minority equity or profit participation requires a separate agreement from a property loan.</x:v>
      </x:c>
      <x:c r="S1821" s="25"/>
      <x:c r="T1821" s="25" t="str">
        <x:v>Confirm direct principal versus broker, $100K-$500K appetite, and whether capital can fund the operating company without a property mortgage.</x:v>
      </x:c>
      <x:c r="U1821" s="25" t="str">
        <x:v>https://www.hardmoneyhome.com/lenders/view/monroe-funding-group
https://privatelenderlink.com/profile/monroe-funding-corp/</x:v>
      </x:c>
      <x:c r="V1821" s="26" t="d">
        <x:v>2026-10-02T00:00:00.000Z</x:v>
      </x:c>
      <x:c r="W1821" s="26" t="d">
        <x:v>2026-09-30T00:00:00.000Z</x:v>
      </x:c>
      <x:c r="X1821" s="25" t="str">
        <x:v>Saved public company, industry-directory or regulatory source; source date retained</x:v>
      </x:c>
      <x:c r="Y1821" s="25" t="str">
        <x:v>https://privatelenderlink.com/profile/monroe-funding-corp/</x:v>
      </x:c>
      <x:c r="Z1821" s="25" t="str">
        <x:v>https://www.hardmoneyhome.com/lenders/view/monroe-funding-group</x:v>
      </x:c>
      <x:c r="AA1821" s="25" t="str">
        <x:v>[]</x:v>
      </x:c>
      <x:c r="AB1821" s="3" t="str">
        <x:v>Existing CapitalForge research, newly screened for this campaign</x:v>
      </x:c>
      <x:c r="AC1821" s="3" t="str">
        <x:v>unverified</x:v>
      </x:c>
      <x:c r="AD1821" s="3" t="str">
        <x:v>Not contacted / unconfirmed</x:v>
      </x:c>
      <x:c r="AE1821" s="3" t="str">
        <x:v>No</x:v>
      </x:c>
      <x:c r="AF1821" s="3" t="str">
        <x:v>No</x:v>
      </x:c>
      <x:c r="AG1821" s="3"/>
      <x:c r="AH1821" s="3"/>
      <x:c r="AI1821" s="18"/>
      <x:c r="AJ1821" s="3" t="str">
        <x:v>CF2500-B7AA91B52CCB</x:v>
      </x:c>
      <x:c r="AK1821" s="3" t="str">
        <x:v>private_real_estate_lender</x:v>
      </x:c>
      <x:c r="AL1821" s="19" t="n">
        <x:v>100000</x:v>
      </x:c>
      <x:c r="AM1821" s="19" t="n">
        <x:v>500000</x:v>
      </x:c>
      <x:c r="AN1821" s="3" t="str">
        <x:v>https://www.hardmoneyhome.com/lenders/view/monroe-funding-group</x:v>
      </x:c>
      <x:c r="AO1821" s="3" t="str">
        <x:v>public_directory.jsonl</x:v>
      </x:c>
      <x:c r="AP1821" s="19"/>
    </x:row>
    <x:row r="1822" ht="36" customHeight="1">
      <x:c r="A1822" s="23" t="n">
        <x:v>1821</x:v>
      </x:c>
      <x:c r="B1822" s="15" t="str">
        <x:v>Nvestor Funding</x:v>
      </x:c>
      <x:c r="C1822" s="15"/>
      <x:c r="D1822" s="15" t="str">
        <x:v>Property lender or directory member; operating-company capital unconfirmed</x:v>
      </x:c>
      <x:c r="E1822" s="15" t="str">
        <x:v>Property lender / private-money inquiry</x:v>
      </x:c>
      <x:c r="F1822" s="17" t="str">
        <x:v>New</x:v>
      </x:c>
      <x:c r="G1822" s="24" t="str">
        <x:v>info@nvestorfunding.com</x:v>
      </x:c>
      <x:c r="H1822" s="24" t="str">
        <x:v>+18772313111</x:v>
      </x:c>
      <x:c r="I1822" s="24" t="str">
        <x:v>https://nvestorfunding.com/?utm_source=private-lender-link</x:v>
      </x:c>
      <x:c r="J1822" s="16" t="str">
        <x:v>AZ</x:v>
      </x:c>
      <x:c r="K1822" s="16" t="str">
        <x:v>Tempe</x:v>
      </x:c>
      <x:c r="L1822" s="16" t="str">
        <x:v>firm_business_routing</x:v>
      </x:c>
      <x:c r="M1822" s="16" t="str">
        <x:v>https://nvestorfunding.com/?utm_source=private-lender-link</x:v>
      </x:c>
      <x:c r="N1822" s="16" t="str">
        <x:v>$100K-$500K ticket not published / unconfirmed</x:v>
      </x:c>
      <x:c r="O1822" s="20"/>
      <x:c r="P1822" s="20"/>
      <x:c r="Q1822" s="25" t="str">
        <x:v>Property-loan range, not a corporate-capital commitment</x:v>
      </x:c>
      <x:c r="R1822" s="25" t="str">
        <x:v>Private real-estate finance experience. Corporate working capital, minority equity or profit participation requires a separate agreement from a property loan.</x:v>
      </x:c>
      <x:c r="S1822" s="25"/>
      <x:c r="T1822" s="25" t="str">
        <x:v>Confirm direct principal versus broker, $100K-$500K appetite, and whether capital can fund the operating company without a property mortgage.</x:v>
      </x:c>
      <x:c r="U1822" s="25" t="str">
        <x:v>https://privatelenderlink.com/profile/nvestor-funding/</x:v>
      </x:c>
      <x:c r="V1822" s="26" t="d">
        <x:v>2026-10-02T00:00:00.000Z</x:v>
      </x:c>
      <x:c r="W1822" s="26" t="d">
        <x:v>2026-09-30T00:00:00.000Z</x:v>
      </x:c>
      <x:c r="X1822" s="25" t="str">
        <x:v>Saved public company, industry-directory or regulatory source; source date retained</x:v>
      </x:c>
      <x:c r="Y1822" s="25" t="str">
        <x:v>https://privatelenderlink.com/profile/nvestor-funding/</x:v>
      </x:c>
      <x:c r="Z1822" s="25" t="str">
        <x:v>https://privatelenderlink.com/profile/nvestor-funding/</x:v>
      </x:c>
      <x:c r="AA1822" s="25" t="str">
        <x:v>[]</x:v>
      </x:c>
      <x:c r="AB1822" s="3" t="str">
        <x:v>Existing CapitalForge research, newly screened for this campaign</x:v>
      </x:c>
      <x:c r="AC1822" s="3" t="str">
        <x:v>unverified</x:v>
      </x:c>
      <x:c r="AD1822" s="3" t="str">
        <x:v>Not contacted / unconfirmed</x:v>
      </x:c>
      <x:c r="AE1822" s="3" t="str">
        <x:v>No</x:v>
      </x:c>
      <x:c r="AF1822" s="3" t="str">
        <x:v>No</x:v>
      </x:c>
      <x:c r="AG1822" s="3"/>
      <x:c r="AH1822" s="3"/>
      <x:c r="AI1822" s="18"/>
      <x:c r="AJ1822" s="3" t="str">
        <x:v>CF2500-43022D612124</x:v>
      </x:c>
      <x:c r="AK1822" s="3" t="str">
        <x:v>private_real_estate_lender</x:v>
      </x:c>
      <x:c r="AL1822" s="19" t="n">
        <x:v>100000</x:v>
      </x:c>
      <x:c r="AM1822" s="19" t="n">
        <x:v>500000</x:v>
      </x:c>
      <x:c r="AN1822" s="3" t="str">
        <x:v>https://privatelenderlink.com/profile/nvestor-funding/</x:v>
      </x:c>
      <x:c r="AO1822" s="3" t="str">
        <x:v>public_directory.jsonl</x:v>
      </x:c>
      <x:c r="AP1822" s="19"/>
    </x:row>
    <x:row r="1823" ht="36" customHeight="1">
      <x:c r="A1823" s="23" t="n">
        <x:v>1822</x:v>
      </x:c>
      <x:c r="B1823" s="15" t="str">
        <x:v>Oakwood Lending</x:v>
      </x:c>
      <x:c r="C1823" s="15"/>
      <x:c r="D1823" s="15" t="str">
        <x:v>Property lender or directory member; operating-company capital unconfirmed</x:v>
      </x:c>
      <x:c r="E1823" s="15" t="str">
        <x:v>Property lender / private-money inquiry</x:v>
      </x:c>
      <x:c r="F1823" s="17" t="str">
        <x:v>New</x:v>
      </x:c>
      <x:c r="G1823" s="24" t="str">
        <x:v>info@oakwoodlending.com</x:v>
      </x:c>
      <x:c r="H1823" s="24" t="str">
        <x:v>+19198908592</x:v>
      </x:c>
      <x:c r="I1823" s="24" t="str">
        <x:v>https://www.oakwoodlending.com</x:v>
      </x:c>
      <x:c r="J1823" s="16" t="str">
        <x:v>NC</x:v>
      </x:c>
      <x:c r="K1823" s="16" t="str">
        <x:v>Raleigh</x:v>
      </x:c>
      <x:c r="L1823" s="16" t="str">
        <x:v>firm_business_routing</x:v>
      </x:c>
      <x:c r="M1823" s="16" t="str">
        <x:v>https://www.oakwoodlending.com</x:v>
      </x:c>
      <x:c r="N1823" s="16" t="str">
        <x:v>$100K-$500K ticket not published / unconfirmed</x:v>
      </x:c>
      <x:c r="O1823" s="20"/>
      <x:c r="P1823" s="20"/>
      <x:c r="Q1823" s="25" t="str">
        <x:v>Property-loan range, not a corporate-capital commitment</x:v>
      </x:c>
      <x:c r="R1823" s="25" t="str">
        <x:v>Private real-estate finance experience. Corporate working capital, minority equity or profit participation requires a separate agreement from a property loan.</x:v>
      </x:c>
      <x:c r="S1823" s="25"/>
      <x:c r="T1823" s="25" t="str">
        <x:v>Confirm direct principal versus broker, $100K-$500K appetite, and whether capital can fund the operating company without a property mortgage.</x:v>
      </x:c>
      <x:c r="U1823" s="25" t="str">
        <x:v>https://www.hardmoneyhome.com/lenders/view/oakwood-lending
https://privatelenderlink.com/profile/oakwood-lending/
https://www.oakwoodlending.com/contact</x:v>
      </x:c>
      <x:c r="V1823" s="26" t="d">
        <x:v>2026-10-02T00:00:00.000Z</x:v>
      </x:c>
      <x:c r="W1823" s="26" t="d">
        <x:v>2026-09-30T00:00:00.000Z</x:v>
      </x:c>
      <x:c r="X1823" s="25" t="str">
        <x:v>Saved public company, industry-directory or regulatory source; source date retained</x:v>
      </x:c>
      <x:c r="Y1823" s="25" t="str">
        <x:v>https://www.oakwoodlending.com/contact</x:v>
      </x:c>
      <x:c r="Z1823" s="25" t="str">
        <x:v>https://privatelenderlink.com/profile/oakwood-lending/</x:v>
      </x:c>
      <x:c r="AA1823" s="25" t="str">
        <x:v>[]</x:v>
      </x:c>
      <x:c r="AB1823" s="3" t="str">
        <x:v>Existing CapitalForge research, newly screened for this campaign</x:v>
      </x:c>
      <x:c r="AC1823" s="3" t="str">
        <x:v>unverified</x:v>
      </x:c>
      <x:c r="AD1823" s="3" t="str">
        <x:v>Not contacted / unconfirmed</x:v>
      </x:c>
      <x:c r="AE1823" s="3" t="str">
        <x:v>No</x:v>
      </x:c>
      <x:c r="AF1823" s="3" t="str">
        <x:v>No</x:v>
      </x:c>
      <x:c r="AG1823" s="3"/>
      <x:c r="AH1823" s="3"/>
      <x:c r="AI1823" s="18"/>
      <x:c r="AJ1823" s="3" t="str">
        <x:v>CF2500-48124A963C4C</x:v>
      </x:c>
      <x:c r="AK1823" s="3" t="str">
        <x:v>private_real_estate_lender</x:v>
      </x:c>
      <x:c r="AL1823" s="19" t="n">
        <x:v>100000</x:v>
      </x:c>
      <x:c r="AM1823" s="19" t="n">
        <x:v>500000</x:v>
      </x:c>
      <x:c r="AN1823" s="3" t="str">
        <x:v>https://www.hardmoneyhome.com/lenders/view/oakwood-lending</x:v>
      </x:c>
      <x:c r="AO1823" s="3" t="str">
        <x:v>public_directory.jsonl</x:v>
      </x:c>
      <x:c r="AP1823" s="19"/>
    </x:row>
    <x:row r="1824" ht="36" customHeight="1">
      <x:c r="A1824" s="23" t="n">
        <x:v>1823</x:v>
      </x:c>
      <x:c r="B1824" s="15" t="str">
        <x:v>Ops Loans</x:v>
      </x:c>
      <x:c r="C1824" s="15"/>
      <x:c r="D1824" s="15" t="str">
        <x:v>Property lender or directory member; operating-company capital unconfirmed</x:v>
      </x:c>
      <x:c r="E1824" s="15" t="str">
        <x:v>Property lender / private-money inquiry</x:v>
      </x:c>
      <x:c r="F1824" s="17" t="str">
        <x:v>New</x:v>
      </x:c>
      <x:c r="G1824" s="24" t="str">
        <x:v>contact@opsloansllc.com</x:v>
      </x:c>
      <x:c r="H1824" s="24" t="str">
        <x:v>+19543584092</x:v>
      </x:c>
      <x:c r="I1824" s="24" t="str">
        <x:v>https://www.opsloansllc.com/?utm_source=private-lender-link</x:v>
      </x:c>
      <x:c r="J1824" s="16" t="str">
        <x:v>FL</x:v>
      </x:c>
      <x:c r="K1824" s="16" t="str">
        <x:v>Pembroke Pines</x:v>
      </x:c>
      <x:c r="L1824" s="16" t="str">
        <x:v>firm_business_routing</x:v>
      </x:c>
      <x:c r="M1824" s="16" t="str">
        <x:v>https://www.opsloansllc.com/?utm_source=private-lender-link</x:v>
      </x:c>
      <x:c r="N1824" s="16" t="str">
        <x:v>$100K-$500K ticket not published / unconfirmed</x:v>
      </x:c>
      <x:c r="O1824" s="20"/>
      <x:c r="P1824" s="20"/>
      <x:c r="Q1824" s="25" t="str">
        <x:v>Property-loan range, not a corporate-capital commitment</x:v>
      </x:c>
      <x:c r="R1824" s="25" t="str">
        <x:v>Private real-estate finance experience. Corporate working capital, minority equity or profit participation requires a separate agreement from a property loan.</x:v>
      </x:c>
      <x:c r="S1824" s="25"/>
      <x:c r="T1824" s="25" t="str">
        <x:v>Confirm direct principal versus broker, $100K-$500K appetite, and whether capital can fund the operating company without a property mortgage.</x:v>
      </x:c>
      <x:c r="U1824" s="25" t="str">
        <x:v>https://privatelenderlink.com/profile/ops-loans/</x:v>
      </x:c>
      <x:c r="V1824" s="26" t="d">
        <x:v>2026-10-02T00:00:00.000Z</x:v>
      </x:c>
      <x:c r="W1824" s="26" t="d">
        <x:v>2026-09-30T00:00:00.000Z</x:v>
      </x:c>
      <x:c r="X1824" s="25" t="str">
        <x:v>Saved public company, industry-directory or regulatory source; source date retained</x:v>
      </x:c>
      <x:c r="Y1824" s="25" t="str">
        <x:v>https://privatelenderlink.com/profile/ops-loans/</x:v>
      </x:c>
      <x:c r="Z1824" s="25" t="str">
        <x:v>https://privatelenderlink.com/profile/ops-loans/</x:v>
      </x:c>
      <x:c r="AA1824" s="25" t="str">
        <x:v>[]</x:v>
      </x:c>
      <x:c r="AB1824" s="3" t="str">
        <x:v>Existing CapitalForge research, newly screened for this campaign</x:v>
      </x:c>
      <x:c r="AC1824" s="3" t="str">
        <x:v>unverified</x:v>
      </x:c>
      <x:c r="AD1824" s="3" t="str">
        <x:v>Not contacted / unconfirmed</x:v>
      </x:c>
      <x:c r="AE1824" s="3" t="str">
        <x:v>No</x:v>
      </x:c>
      <x:c r="AF1824" s="3" t="str">
        <x:v>No</x:v>
      </x:c>
      <x:c r="AG1824" s="3"/>
      <x:c r="AH1824" s="3"/>
      <x:c r="AI1824" s="18"/>
      <x:c r="AJ1824" s="3" t="str">
        <x:v>CF2500-00F673C791F5</x:v>
      </x:c>
      <x:c r="AK1824" s="3" t="str">
        <x:v>private_real_estate_lender</x:v>
      </x:c>
      <x:c r="AL1824" s="19" t="n">
        <x:v>100000</x:v>
      </x:c>
      <x:c r="AM1824" s="19" t="n">
        <x:v>500000</x:v>
      </x:c>
      <x:c r="AN1824" s="3" t="str">
        <x:v>https://privatelenderlink.com/profile/ops-loans/</x:v>
      </x:c>
      <x:c r="AO1824" s="3" t="str">
        <x:v>public_directory.jsonl</x:v>
      </x:c>
      <x:c r="AP1824" s="19"/>
    </x:row>
    <x:row r="1825" ht="36" customHeight="1">
      <x:c r="A1825" s="23" t="n">
        <x:v>1824</x:v>
      </x:c>
      <x:c r="B1825" s="15" t="str">
        <x:v>Perfecto Capital LLC</x:v>
      </x:c>
      <x:c r="C1825" s="15"/>
      <x:c r="D1825" s="15" t="str">
        <x:v>Property lender or directory member; operating-company capital unconfirmed</x:v>
      </x:c>
      <x:c r="E1825" s="15" t="str">
        <x:v>Property lender / private-money inquiry</x:v>
      </x:c>
      <x:c r="F1825" s="17" t="str">
        <x:v>New</x:v>
      </x:c>
      <x:c r="G1825" s="24" t="str">
        <x:v>funding@perfectocapital.com</x:v>
      </x:c>
      <x:c r="H1825" s="24" t="str">
        <x:v>+15619901884</x:v>
      </x:c>
      <x:c r="I1825" s="24" t="str">
        <x:v>https://perfectocapital.com/?utm_source=private-lender-link</x:v>
      </x:c>
      <x:c r="J1825" s="16" t="str">
        <x:v>FL</x:v>
      </x:c>
      <x:c r="K1825" s="16" t="str">
        <x:v>Boca Raton</x:v>
      </x:c>
      <x:c r="L1825" s="16" t="str">
        <x:v>firm_business_routing</x:v>
      </x:c>
      <x:c r="M1825" s="16" t="str">
        <x:v>https://perfectocapital.com/?utm_source=private-lender-link</x:v>
      </x:c>
      <x:c r="N1825" s="16" t="str">
        <x:v>$100K-$500K ticket not published / unconfirmed</x:v>
      </x:c>
      <x:c r="O1825" s="20"/>
      <x:c r="P1825" s="20"/>
      <x:c r="Q1825" s="25" t="str">
        <x:v>Property-loan range, not a corporate-capital commitment</x:v>
      </x:c>
      <x:c r="R1825" s="25" t="str">
        <x:v>Private real-estate finance experience. Corporate working capital, minority equity or profit participation requires a separate agreement from a property loan.</x:v>
      </x:c>
      <x:c r="S1825" s="25"/>
      <x:c r="T1825" s="25" t="str">
        <x:v>Confirm direct principal versus broker, $100K-$500K appetite, and whether capital can fund the operating company without a property mortgage.</x:v>
      </x:c>
      <x:c r="U1825" s="25" t="str">
        <x:v>https://privatelenderlink.com/profile/perfecto-capital-llc/
https://perfectocapital.com/?utm_source=private-lender-link
https://nplaconference.com/private-lending-directory/page/12/
https://perfectocapital.com/</x:v>
      </x:c>
      <x:c r="V1825" s="26" t="d">
        <x:v>2026-10-02T00:00:00.000Z</x:v>
      </x:c>
      <x:c r="W1825" s="26" t="d">
        <x:v>2026-09-30T00:00:00.000Z</x:v>
      </x:c>
      <x:c r="X1825" s="25" t="str">
        <x:v>Saved public company, industry-directory or regulatory source; source date retained</x:v>
      </x:c>
      <x:c r="Y1825" s="25" t="str">
        <x:v>https://privatelenderlink.com/profile/perfecto-capital-llc/</x:v>
      </x:c>
      <x:c r="Z1825" s="25" t="str">
        <x:v>https://perfectocapital.com/?utm_source=private-lender-link</x:v>
      </x:c>
      <x:c r="AA1825" s="25" t="str">
        <x:v>[]</x:v>
      </x:c>
      <x:c r="AB1825" s="3" t="str">
        <x:v>Existing CapitalForge research, newly screened for this campaign</x:v>
      </x:c>
      <x:c r="AC1825" s="3" t="str">
        <x:v>unverified</x:v>
      </x:c>
      <x:c r="AD1825" s="3" t="str">
        <x:v>Not contacted / unconfirmed</x:v>
      </x:c>
      <x:c r="AE1825" s="3" t="str">
        <x:v>No</x:v>
      </x:c>
      <x:c r="AF1825" s="3" t="str">
        <x:v>No</x:v>
      </x:c>
      <x:c r="AG1825" s="3"/>
      <x:c r="AH1825" s="3"/>
      <x:c r="AI1825" s="18"/>
      <x:c r="AJ1825" s="3" t="str">
        <x:v>CF2500-F5BCD53CB073</x:v>
      </x:c>
      <x:c r="AK1825" s="3" t="str">
        <x:v>private_real_estate_lender</x:v>
      </x:c>
      <x:c r="AL1825" s="19" t="n">
        <x:v>100000</x:v>
      </x:c>
      <x:c r="AM1825" s="19" t="n">
        <x:v>500000</x:v>
      </x:c>
      <x:c r="AN1825" s="3" t="str">
        <x:v>https://privatelenderlink.com/profile/perfecto-capital-llc/</x:v>
      </x:c>
      <x:c r="AO1825" s="3" t="str">
        <x:v>public_directory.jsonl</x:v>
      </x:c>
      <x:c r="AP1825" s="19"/>
    </x:row>
    <x:row r="1826" ht="36" customHeight="1">
      <x:c r="A1826" s="23" t="n">
        <x:v>1825</x:v>
      </x:c>
      <x:c r="B1826" s="15" t="str">
        <x:v>Prime Lenders</x:v>
      </x:c>
      <x:c r="C1826" s="15"/>
      <x:c r="D1826" s="15" t="str">
        <x:v>Property lender or directory member; operating-company capital unconfirmed</x:v>
      </x:c>
      <x:c r="E1826" s="15" t="str">
        <x:v>Property lender / private-money inquiry</x:v>
      </x:c>
      <x:c r="F1826" s="17" t="str">
        <x:v>New</x:v>
      </x:c>
      <x:c r="G1826" s="24" t="str">
        <x:v>info@primelenders.com</x:v>
      </x:c>
      <x:c r="H1826" s="24" t="str">
        <x:v>+19544866000</x:v>
      </x:c>
      <x:c r="I1826" s="24" t="str">
        <x:v>http://www.primelenders.com/</x:v>
      </x:c>
      <x:c r="J1826" s="16" t="str">
        <x:v>FL</x:v>
      </x:c>
      <x:c r="K1826" s="16" t="str">
        <x:v>Weston</x:v>
      </x:c>
      <x:c r="L1826" s="16" t="str">
        <x:v>firm_business_routing</x:v>
      </x:c>
      <x:c r="M1826" s="16" t="str">
        <x:v>http://www.primelenders.com/</x:v>
      </x:c>
      <x:c r="N1826" s="16" t="str">
        <x:v>$100K-$500K ticket not published / unconfirmed</x:v>
      </x:c>
      <x:c r="O1826" s="20"/>
      <x:c r="P1826" s="20"/>
      <x:c r="Q1826" s="25" t="str">
        <x:v>Property-loan range, not a corporate-capital commitment</x:v>
      </x:c>
      <x:c r="R1826" s="25" t="str">
        <x:v>Private real-estate finance experience. Corporate working capital, minority equity or profit participation requires a separate agreement from a property loan.</x:v>
      </x:c>
      <x:c r="S1826" s="25"/>
      <x:c r="T1826" s="25" t="str">
        <x:v>Confirm direct principal versus broker, $100K-$500K appetite, and whether capital can fund the operating company without a property mortgage.</x:v>
      </x:c>
      <x:c r="U1826" s="25" t="str">
        <x:v>https://www.hardmoneyhome.com/lenders/view/prime-lenders
https://www.primelenders.com/</x:v>
      </x:c>
      <x:c r="V1826" s="26" t="d">
        <x:v>2026-10-02T00:00:00.000Z</x:v>
      </x:c>
      <x:c r="W1826" s="26" t="d">
        <x:v>2026-09-30T00:00:00.000Z</x:v>
      </x:c>
      <x:c r="X1826" s="25" t="str">
        <x:v>Saved public company, industry-directory or regulatory source; source date retained</x:v>
      </x:c>
      <x:c r="Y1826" s="25" t="str">
        <x:v>https://www.primelenders.com/</x:v>
      </x:c>
      <x:c r="Z1826" s="25" t="str">
        <x:v>https://www.hardmoneyhome.com/lenders/view/prime-lenders</x:v>
      </x:c>
      <x:c r="AA1826" s="25" t="str">
        <x:v>[]</x:v>
      </x:c>
      <x:c r="AB1826" s="3" t="str">
        <x:v>Existing CapitalForge research, newly screened for this campaign</x:v>
      </x:c>
      <x:c r="AC1826" s="3" t="str">
        <x:v>unverified</x:v>
      </x:c>
      <x:c r="AD1826" s="3" t="str">
        <x:v>Not contacted / unconfirmed</x:v>
      </x:c>
      <x:c r="AE1826" s="3" t="str">
        <x:v>No</x:v>
      </x:c>
      <x:c r="AF1826" s="3" t="str">
        <x:v>No</x:v>
      </x:c>
      <x:c r="AG1826" s="3"/>
      <x:c r="AH1826" s="3"/>
      <x:c r="AI1826" s="18"/>
      <x:c r="AJ1826" s="3" t="str">
        <x:v>CF2500-DB843688086F</x:v>
      </x:c>
      <x:c r="AK1826" s="3" t="str">
        <x:v>private_real_estate_lender</x:v>
      </x:c>
      <x:c r="AL1826" s="19" t="n">
        <x:v>100000</x:v>
      </x:c>
      <x:c r="AM1826" s="19" t="n">
        <x:v>500000</x:v>
      </x:c>
      <x:c r="AN1826" s="3" t="str">
        <x:v>https://www.hardmoneyhome.com/lenders/view/prime-lenders</x:v>
      </x:c>
      <x:c r="AO1826" s="3" t="str">
        <x:v>public_directory.jsonl</x:v>
      </x:c>
      <x:c r="AP1826" s="19"/>
    </x:row>
    <x:row r="1827" ht="36" customHeight="1">
      <x:c r="A1827" s="23" t="n">
        <x:v>1826</x:v>
      </x:c>
      <x:c r="B1827" s="15" t="str">
        <x:v>Prime Plus Mortgages</x:v>
      </x:c>
      <x:c r="C1827" s="15"/>
      <x:c r="D1827" s="15" t="str">
        <x:v>Property lender or directory member; operating-company capital unconfirmed</x:v>
      </x:c>
      <x:c r="E1827" s="15" t="str">
        <x:v>Property lender / private-money inquiry</x:v>
      </x:c>
      <x:c r="F1827" s="17" t="str">
        <x:v>New</x:v>
      </x:c>
      <x:c r="G1827" s="24" t="str">
        <x:v>support@primeplushardmoney.com</x:v>
      </x:c>
      <x:c r="H1827" s="24" t="str">
        <x:v>+14807256126</x:v>
      </x:c>
      <x:c r="I1827" s="24" t="str">
        <x:v>http://www.primeplusmortgages.com/</x:v>
      </x:c>
      <x:c r="J1827" s="16" t="str">
        <x:v>AZ</x:v>
      </x:c>
      <x:c r="K1827" s="16" t="str">
        <x:v>Scottsdale</x:v>
      </x:c>
      <x:c r="L1827" s="16" t="str">
        <x:v>firm_business_routing</x:v>
      </x:c>
      <x:c r="M1827" s="16" t="str">
        <x:v>http://www.primeplusmortgages.com/</x:v>
      </x:c>
      <x:c r="N1827" s="16" t="str">
        <x:v>$100K-$500K ticket not published / unconfirmed</x:v>
      </x:c>
      <x:c r="O1827" s="20"/>
      <x:c r="P1827" s="20"/>
      <x:c r="Q1827" s="25" t="str">
        <x:v>Property-loan range, not a corporate-capital commitment</x:v>
      </x:c>
      <x:c r="R1827" s="25" t="str">
        <x:v>Private real-estate finance experience. Corporate working capital, minority equity or profit participation requires a separate agreement from a property loan.</x:v>
      </x:c>
      <x:c r="S1827" s="25"/>
      <x:c r="T1827" s="25" t="str">
        <x:v>Confirm direct principal versus broker, $100K-$500K appetite, and whether capital can fund the operating company without a property mortgage.</x:v>
      </x:c>
      <x:c r="U1827" s="25" t="str">
        <x:v>https://www.hardmoneyhome.com/lenders/view/prime-plus-mortgages
https://privatelenderlink.com/profile/prime-plus-mortgages/</x:v>
      </x:c>
      <x:c r="V1827" s="26" t="d">
        <x:v>2026-10-02T00:00:00.000Z</x:v>
      </x:c>
      <x:c r="W1827" s="26" t="d">
        <x:v>2026-09-30T00:00:00.000Z</x:v>
      </x:c>
      <x:c r="X1827" s="25" t="str">
        <x:v>Saved public company, industry-directory or regulatory source; source date retained</x:v>
      </x:c>
      <x:c r="Y1827" s="25" t="str">
        <x:v>https://privatelenderlink.com/profile/prime-plus-mortgages/</x:v>
      </x:c>
      <x:c r="Z1827" s="25" t="str">
        <x:v>https://www.hardmoneyhome.com/lenders/view/prime-plus-mortgages</x:v>
      </x:c>
      <x:c r="AA1827" s="25" t="str">
        <x:v>[]</x:v>
      </x:c>
      <x:c r="AB1827" s="3" t="str">
        <x:v>Existing CapitalForge research, newly screened for this campaign</x:v>
      </x:c>
      <x:c r="AC1827" s="3" t="str">
        <x:v>unverified</x:v>
      </x:c>
      <x:c r="AD1827" s="3" t="str">
        <x:v>Not contacted / unconfirmed</x:v>
      </x:c>
      <x:c r="AE1827" s="3" t="str">
        <x:v>No</x:v>
      </x:c>
      <x:c r="AF1827" s="3" t="str">
        <x:v>No</x:v>
      </x:c>
      <x:c r="AG1827" s="3"/>
      <x:c r="AH1827" s="3"/>
      <x:c r="AI1827" s="18"/>
      <x:c r="AJ1827" s="3" t="str">
        <x:v>CF2500-7E967D0D68FA</x:v>
      </x:c>
      <x:c r="AK1827" s="3" t="str">
        <x:v>private_real_estate_lender</x:v>
      </x:c>
      <x:c r="AL1827" s="19" t="n">
        <x:v>100000</x:v>
      </x:c>
      <x:c r="AM1827" s="19" t="n">
        <x:v>500000</x:v>
      </x:c>
      <x:c r="AN1827" s="3" t="str">
        <x:v>https://www.hardmoneyhome.com/lenders/view/prime-plus-mortgages</x:v>
      </x:c>
      <x:c r="AO1827" s="3" t="str">
        <x:v>public_directory.jsonl</x:v>
      </x:c>
      <x:c r="AP1827" s="19"/>
    </x:row>
    <x:row r="1828" ht="36" customHeight="1">
      <x:c r="A1828" s="23" t="n">
        <x:v>1827</x:v>
      </x:c>
      <x:c r="B1828" s="15" t="str">
        <x:v>Priority Investor Loans</x:v>
      </x:c>
      <x:c r="C1828" s="15"/>
      <x:c r="D1828" s="15" t="str">
        <x:v>Property lender or directory member; operating-company capital unconfirmed</x:v>
      </x:c>
      <x:c r="E1828" s="15" t="str">
        <x:v>Property lender / private-money inquiry</x:v>
      </x:c>
      <x:c r="F1828" s="17" t="str">
        <x:v>New</x:v>
      </x:c>
      <x:c r="G1828" s="24" t="str">
        <x:v>contact@priorityinvestorloans.com</x:v>
      </x:c>
      <x:c r="H1828" s="24" t="str">
        <x:v>+17139990619</x:v>
      </x:c>
      <x:c r="I1828" s="24" t="str">
        <x:v>http://www.priorityinvestorloans.com/</x:v>
      </x:c>
      <x:c r="J1828" s="16" t="str">
        <x:v>TX</x:v>
      </x:c>
      <x:c r="K1828" s="16" t="str">
        <x:v>Houston</x:v>
      </x:c>
      <x:c r="L1828" s="16" t="str">
        <x:v>firm_business_routing</x:v>
      </x:c>
      <x:c r="M1828" s="16" t="str">
        <x:v>http://www.priorityinvestorloans.com/</x:v>
      </x:c>
      <x:c r="N1828" s="16" t="str">
        <x:v>$100K-$500K ticket not published / unconfirmed</x:v>
      </x:c>
      <x:c r="O1828" s="20"/>
      <x:c r="P1828" s="20"/>
      <x:c r="Q1828" s="25" t="str">
        <x:v>Property-loan range, not a corporate-capital commitment</x:v>
      </x:c>
      <x:c r="R1828" s="25" t="str">
        <x:v>Private real-estate finance experience. Corporate working capital, minority equity or profit participation requires a separate agreement from a property loan.</x:v>
      </x:c>
      <x:c r="S1828" s="25"/>
      <x:c r="T1828" s="25" t="str">
        <x:v>Confirm direct principal versus broker, $100K-$500K appetite, and whether capital can fund the operating company without a property mortgage.</x:v>
      </x:c>
      <x:c r="U1828" s="25" t="str">
        <x:v>https://www.hardmoneyhome.com/lenders/view/priority-investor-loans
https://www.priorityinvestorloans.com/</x:v>
      </x:c>
      <x:c r="V1828" s="26" t="d">
        <x:v>2026-10-02T00:00:00.000Z</x:v>
      </x:c>
      <x:c r="W1828" s="26" t="d">
        <x:v>2026-09-30T00:00:00.000Z</x:v>
      </x:c>
      <x:c r="X1828" s="25" t="str">
        <x:v>Saved public company, industry-directory or regulatory source; source date retained</x:v>
      </x:c>
      <x:c r="Y1828" s="25" t="str">
        <x:v>https://www.priorityinvestorloans.com/</x:v>
      </x:c>
      <x:c r="Z1828" s="25" t="str">
        <x:v>https://www.hardmoneyhome.com/lenders/view/priority-investor-loans</x:v>
      </x:c>
      <x:c r="AA1828" s="25" t="str">
        <x:v>[]</x:v>
      </x:c>
      <x:c r="AB1828" s="3" t="str">
        <x:v>Existing CapitalForge research, newly screened for this campaign</x:v>
      </x:c>
      <x:c r="AC1828" s="3" t="str">
        <x:v>unverified</x:v>
      </x:c>
      <x:c r="AD1828" s="3" t="str">
        <x:v>Not contacted / unconfirmed</x:v>
      </x:c>
      <x:c r="AE1828" s="3" t="str">
        <x:v>No</x:v>
      </x:c>
      <x:c r="AF1828" s="3" t="str">
        <x:v>No</x:v>
      </x:c>
      <x:c r="AG1828" s="3"/>
      <x:c r="AH1828" s="3"/>
      <x:c r="AI1828" s="18"/>
      <x:c r="AJ1828" s="3" t="str">
        <x:v>CF2500-6B7DDC60FD78</x:v>
      </x:c>
      <x:c r="AK1828" s="3" t="str">
        <x:v>private_real_estate_lender</x:v>
      </x:c>
      <x:c r="AL1828" s="19" t="n">
        <x:v>100000</x:v>
      </x:c>
      <x:c r="AM1828" s="19" t="n">
        <x:v>500000</x:v>
      </x:c>
      <x:c r="AN1828" s="3" t="str">
        <x:v>https://www.hardmoneyhome.com/lenders/view/priority-investor-loans</x:v>
      </x:c>
      <x:c r="AO1828" s="3" t="str">
        <x:v>public_directory.jsonl</x:v>
      </x:c>
      <x:c r="AP1828" s="19"/>
    </x:row>
    <x:row r="1829" ht="36" customHeight="1">
      <x:c r="A1829" s="23" t="n">
        <x:v>1828</x:v>
      </x:c>
      <x:c r="B1829" s="15" t="str">
        <x:v>RBD Lending Inc</x:v>
      </x:c>
      <x:c r="C1829" s="15"/>
      <x:c r="D1829" s="15" t="str">
        <x:v>Property lender or directory member; operating-company capital unconfirmed</x:v>
      </x:c>
      <x:c r="E1829" s="15" t="str">
        <x:v>Property lender / private-money inquiry</x:v>
      </x:c>
      <x:c r="F1829" s="17" t="str">
        <x:v>New</x:v>
      </x:c>
      <x:c r="G1829" s="24" t="str">
        <x:v>prestigiousboca@aol.com</x:v>
      </x:c>
      <x:c r="H1829" s="24" t="str">
        <x:v>+19545682787</x:v>
      </x:c>
      <x:c r="I1829" s="24" t="str">
        <x:v>http://rbdhardequitylending.com</x:v>
      </x:c>
      <x:c r="J1829" s="16" t="str">
        <x:v>FL</x:v>
      </x:c>
      <x:c r="K1829" s="16" t="str">
        <x:v>Boca Raton</x:v>
      </x:c>
      <x:c r="L1829" s="16" t="str">
        <x:v>firm_business_routing</x:v>
      </x:c>
      <x:c r="M1829" s="16" t="str">
        <x:v>http://rbdhardequitylending.com</x:v>
      </x:c>
      <x:c r="N1829" s="16" t="str">
        <x:v>$100K-$500K ticket not published / unconfirmed</x:v>
      </x:c>
      <x:c r="O1829" s="20"/>
      <x:c r="P1829" s="20"/>
      <x:c r="Q1829" s="25" t="str">
        <x:v>Property-loan range, not a corporate-capital commitment</x:v>
      </x:c>
      <x:c r="R1829" s="25" t="str">
        <x:v>Private real-estate finance experience. Corporate working capital, minority equity or profit participation requires a separate agreement from a property loan.</x:v>
      </x:c>
      <x:c r="S1829" s="25"/>
      <x:c r="T1829" s="25" t="str">
        <x:v>Confirm direct principal versus broker, $100K-$500K appetite, and whether capital can fund the operating company without a property mortgage.</x:v>
      </x:c>
      <x:c r="U1829" s="25" t="str">
        <x:v>https://www.hardmoneyhome.com/lenders/view/rbd-lending-inc
https://rbdhardequitylending.com</x:v>
      </x:c>
      <x:c r="V1829" s="26" t="d">
        <x:v>2026-10-02T00:00:00.000Z</x:v>
      </x:c>
      <x:c r="W1829" s="26" t="d">
        <x:v>2026-09-30T00:00:00.000Z</x:v>
      </x:c>
      <x:c r="X1829" s="25" t="str">
        <x:v>Saved public company, industry-directory or regulatory source; source date retained</x:v>
      </x:c>
      <x:c r="Y1829" s="25" t="str">
        <x:v>https://rbdhardequitylending.com</x:v>
      </x:c>
      <x:c r="Z1829" s="25" t="str">
        <x:v>https://www.hardmoneyhome.com/lenders/view/rbd-lending-inc</x:v>
      </x:c>
      <x:c r="AA1829" s="25" t="str">
        <x:v>[]</x:v>
      </x:c>
      <x:c r="AB1829" s="3" t="str">
        <x:v>Existing CapitalForge research, newly screened for this campaign</x:v>
      </x:c>
      <x:c r="AC1829" s="3" t="str">
        <x:v>unverified</x:v>
      </x:c>
      <x:c r="AD1829" s="3" t="str">
        <x:v>Not contacted / unconfirmed</x:v>
      </x:c>
      <x:c r="AE1829" s="3" t="str">
        <x:v>No</x:v>
      </x:c>
      <x:c r="AF1829" s="3" t="str">
        <x:v>No</x:v>
      </x:c>
      <x:c r="AG1829" s="3"/>
      <x:c r="AH1829" s="3"/>
      <x:c r="AI1829" s="18"/>
      <x:c r="AJ1829" s="3" t="str">
        <x:v>CF2500-E0CC6BB4C271</x:v>
      </x:c>
      <x:c r="AK1829" s="3" t="str">
        <x:v>private_real_estate_lender</x:v>
      </x:c>
      <x:c r="AL1829" s="19" t="n">
        <x:v>100000</x:v>
      </x:c>
      <x:c r="AM1829" s="19" t="n">
        <x:v>500000</x:v>
      </x:c>
      <x:c r="AN1829" s="3" t="str">
        <x:v>https://www.hardmoneyhome.com/lenders/view/rbd-lending-inc</x:v>
      </x:c>
      <x:c r="AO1829" s="3" t="str">
        <x:v>public_directory.jsonl</x:v>
      </x:c>
      <x:c r="AP1829" s="19"/>
    </x:row>
    <x:row r="1830" ht="36" customHeight="1">
      <x:c r="A1830" s="23" t="n">
        <x:v>1829</x:v>
      </x:c>
      <x:c r="B1830" s="15" t="str">
        <x:v>Renovo Financial</x:v>
      </x:c>
      <x:c r="C1830" s="15"/>
      <x:c r="D1830" s="15" t="str">
        <x:v>Property lender or directory member; operating-company capital unconfirmed</x:v>
      </x:c>
      <x:c r="E1830" s="15" t="str">
        <x:v>Property lender / private-money inquiry</x:v>
      </x:c>
      <x:c r="F1830" s="17" t="str">
        <x:v>New</x:v>
      </x:c>
      <x:c r="G1830" s="24" t="str">
        <x:v>origination@renovofinancial.com</x:v>
      </x:c>
      <x:c r="H1830" s="24" t="str">
        <x:v>+13122797305</x:v>
      </x:c>
      <x:c r="I1830" s="24" t="str">
        <x:v>http://www.renovofinancial.com/</x:v>
      </x:c>
      <x:c r="J1830" s="16" t="str">
        <x:v>IL</x:v>
      </x:c>
      <x:c r="K1830" s="16" t="str">
        <x:v>Chicago</x:v>
      </x:c>
      <x:c r="L1830" s="16" t="str">
        <x:v>firm_business_routing</x:v>
      </x:c>
      <x:c r="M1830" s="16" t="str">
        <x:v>http://www.renovofinancial.com/</x:v>
      </x:c>
      <x:c r="N1830" s="16" t="str">
        <x:v>$100K-$500K ticket not published / unconfirmed</x:v>
      </x:c>
      <x:c r="O1830" s="20"/>
      <x:c r="P1830" s="20"/>
      <x:c r="Q1830" s="25" t="str">
        <x:v>Property-loan range, not a corporate-capital commitment</x:v>
      </x:c>
      <x:c r="R1830" s="25" t="str">
        <x:v>Private real-estate finance experience. Corporate working capital, minority equity or profit participation requires a separate agreement from a property loan.</x:v>
      </x:c>
      <x:c r="S1830" s="25"/>
      <x:c r="T1830" s="25" t="str">
        <x:v>Confirm direct principal versus broker, $100K-$500K appetite, and whether capital can fund the operating company without a property mortgage.</x:v>
      </x:c>
      <x:c r="U1830" s="25" t="str">
        <x:v>https://www.hardmoneyhome.com/lenders/view/renovo-financial
https://privatelenderlink.com/profile/renovo-financial/
https://nplaconference.com/private-lending-directory/page/14/</x:v>
      </x:c>
      <x:c r="V1830" s="26" t="d">
        <x:v>2026-10-02T00:00:00.000Z</x:v>
      </x:c>
      <x:c r="W1830" s="26" t="d">
        <x:v>2026-09-30T00:00:00.000Z</x:v>
      </x:c>
      <x:c r="X1830" s="25" t="str">
        <x:v>Saved public company, industry-directory or regulatory source; source date retained</x:v>
      </x:c>
      <x:c r="Y1830" s="25" t="str">
        <x:v>https://privatelenderlink.com/profile/renovo-financial/</x:v>
      </x:c>
      <x:c r="Z1830" s="25" t="str">
        <x:v>https://www.hardmoneyhome.com/lenders/view/renovo-financial</x:v>
      </x:c>
      <x:c r="AA1830" s="25" t="str">
        <x:v>[]</x:v>
      </x:c>
      <x:c r="AB1830" s="3" t="str">
        <x:v>Existing CapitalForge research, newly screened for this campaign</x:v>
      </x:c>
      <x:c r="AC1830" s="3" t="str">
        <x:v>unverified</x:v>
      </x:c>
      <x:c r="AD1830" s="3" t="str">
        <x:v>Not contacted / unconfirmed</x:v>
      </x:c>
      <x:c r="AE1830" s="3" t="str">
        <x:v>No</x:v>
      </x:c>
      <x:c r="AF1830" s="3" t="str">
        <x:v>No</x:v>
      </x:c>
      <x:c r="AG1830" s="3"/>
      <x:c r="AH1830" s="3"/>
      <x:c r="AI1830" s="18"/>
      <x:c r="AJ1830" s="3" t="str">
        <x:v>CF2500-C477602496C0</x:v>
      </x:c>
      <x:c r="AK1830" s="3" t="str">
        <x:v>private_real_estate_lender</x:v>
      </x:c>
      <x:c r="AL1830" s="19" t="n">
        <x:v>100000</x:v>
      </x:c>
      <x:c r="AM1830" s="19" t="n">
        <x:v>500000</x:v>
      </x:c>
      <x:c r="AN1830" s="3" t="str">
        <x:v>https://www.hardmoneyhome.com/lenders/view/renovo-financial</x:v>
      </x:c>
      <x:c r="AO1830" s="3" t="str">
        <x:v>public_directory.jsonl</x:v>
      </x:c>
      <x:c r="AP1830" s="19"/>
    </x:row>
    <x:row r="1831" ht="36" customHeight="1">
      <x:c r="A1831" s="23" t="n">
        <x:v>1830</x:v>
      </x:c>
      <x:c r="B1831" s="15" t="str">
        <x:v>Sky 18 Capital LLC</x:v>
      </x:c>
      <x:c r="C1831" s="15"/>
      <x:c r="D1831" s="15" t="str">
        <x:v>Property lender or directory member; operating-company capital unconfirmed</x:v>
      </x:c>
      <x:c r="E1831" s="15" t="str">
        <x:v>Property lender / private-money inquiry</x:v>
      </x:c>
      <x:c r="F1831" s="17" t="str">
        <x:v>New</x:v>
      </x:c>
      <x:c r="G1831" s="24" t="str">
        <x:v>moises@sky18capital.com</x:v>
      </x:c>
      <x:c r="H1831" s="24" t="str">
        <x:v>+17862809669</x:v>
      </x:c>
      <x:c r="I1831" s="24" t="str">
        <x:v>https://www.sky18capital.com/</x:v>
      </x:c>
      <x:c r="J1831" s="16" t="str">
        <x:v>FL</x:v>
      </x:c>
      <x:c r="K1831" s="16" t="str">
        <x:v>Miami</x:v>
      </x:c>
      <x:c r="L1831" s="16" t="str">
        <x:v>firm_business_routing</x:v>
      </x:c>
      <x:c r="M1831" s="16" t="str">
        <x:v>https://www.sky18capital.com/</x:v>
      </x:c>
      <x:c r="N1831" s="16" t="str">
        <x:v>$100K-$500K ticket not published / unconfirmed</x:v>
      </x:c>
      <x:c r="O1831" s="20"/>
      <x:c r="P1831" s="20"/>
      <x:c r="Q1831" s="25" t="str">
        <x:v>Property-loan range, not a corporate-capital commitment</x:v>
      </x:c>
      <x:c r="R1831" s="25" t="str">
        <x:v>Private real-estate finance experience. Corporate working capital, minority equity or profit participation requires a separate agreement from a property loan.</x:v>
      </x:c>
      <x:c r="S1831" s="25"/>
      <x:c r="T1831" s="25" t="str">
        <x:v>Confirm direct principal versus broker, $100K-$500K appetite, and whether capital can fund the operating company without a property mortgage.</x:v>
      </x:c>
      <x:c r="U1831" s="25" t="str">
        <x:v>https://privatelenderlink.com/profile/sky18-capital/
https://www.sky18capital.com/</x:v>
      </x:c>
      <x:c r="V1831" s="26" t="d">
        <x:v>2026-10-02T00:00:00.000Z</x:v>
      </x:c>
      <x:c r="W1831" s="26" t="d">
        <x:v>2026-09-30T00:00:00.000Z</x:v>
      </x:c>
      <x:c r="X1831" s="25" t="str">
        <x:v>Saved public company, industry-directory or regulatory source; source date retained</x:v>
      </x:c>
      <x:c r="Y1831" s="25" t="str">
        <x:v>https://privatelenderlink.com/profile/sky18-capital/</x:v>
      </x:c>
      <x:c r="Z1831" s="25" t="str">
        <x:v>https://www.sky18capital.com/</x:v>
      </x:c>
      <x:c r="AA1831" s="25" t="str">
        <x:v>[]</x:v>
      </x:c>
      <x:c r="AB1831" s="3" t="str">
        <x:v>Existing CapitalForge research, newly screened for this campaign</x:v>
      </x:c>
      <x:c r="AC1831" s="3" t="str">
        <x:v>unverified</x:v>
      </x:c>
      <x:c r="AD1831" s="3" t="str">
        <x:v>Not contacted / unconfirmed</x:v>
      </x:c>
      <x:c r="AE1831" s="3" t="str">
        <x:v>No</x:v>
      </x:c>
      <x:c r="AF1831" s="3" t="str">
        <x:v>No</x:v>
      </x:c>
      <x:c r="AG1831" s="3"/>
      <x:c r="AH1831" s="3"/>
      <x:c r="AI1831" s="18"/>
      <x:c r="AJ1831" s="3" t="str">
        <x:v>CF2500-5E2C5F4033E4</x:v>
      </x:c>
      <x:c r="AK1831" s="3" t="str">
        <x:v>private_real_estate_lender</x:v>
      </x:c>
      <x:c r="AL1831" s="19" t="n">
        <x:v>100000</x:v>
      </x:c>
      <x:c r="AM1831" s="19" t="n">
        <x:v>500000</x:v>
      </x:c>
      <x:c r="AN1831" s="3" t="str">
        <x:v>https://privatelenderlink.com/profile/sky18-capital/</x:v>
      </x:c>
      <x:c r="AO1831" s="3" t="str">
        <x:v>public_directory.jsonl</x:v>
      </x:c>
      <x:c r="AP1831" s="19"/>
    </x:row>
    <x:row r="1832" ht="36" customHeight="1">
      <x:c r="A1832" s="23" t="n">
        <x:v>1831</x:v>
      </x:c>
      <x:c r="B1832" s="15" t="str">
        <x:v>Streamline Funding</x:v>
      </x:c>
      <x:c r="C1832" s="15"/>
      <x:c r="D1832" s="15" t="str">
        <x:v>Property lender or directory member; operating-company capital unconfirmed</x:v>
      </x:c>
      <x:c r="E1832" s="15" t="str">
        <x:v>Property lender / private-money inquiry</x:v>
      </x:c>
      <x:c r="F1832" s="17" t="str">
        <x:v>New</x:v>
      </x:c>
      <x:c r="G1832" s="24" t="str">
        <x:v>info@streamlinefunding.com</x:v>
      </x:c>
      <x:c r="H1832" s="24" t="str">
        <x:v>+15122508575</x:v>
      </x:c>
      <x:c r="I1832" s="24" t="str">
        <x:v>http://streamlinefunding.com/</x:v>
      </x:c>
      <x:c r="J1832" s="16" t="str">
        <x:v>TX</x:v>
      </x:c>
      <x:c r="K1832" s="16" t="str">
        <x:v>Austin</x:v>
      </x:c>
      <x:c r="L1832" s="16" t="str">
        <x:v>firm_business_routing</x:v>
      </x:c>
      <x:c r="M1832" s="16" t="str">
        <x:v>http://streamlinefunding.com/</x:v>
      </x:c>
      <x:c r="N1832" s="16" t="str">
        <x:v>$100K-$500K ticket not published / unconfirmed</x:v>
      </x:c>
      <x:c r="O1832" s="20"/>
      <x:c r="P1832" s="20"/>
      <x:c r="Q1832" s="25" t="str">
        <x:v>Property-loan range, not a corporate-capital commitment</x:v>
      </x:c>
      <x:c r="R1832" s="25" t="str">
        <x:v>Private real-estate finance experience. Corporate working capital, minority equity or profit participation requires a separate agreement from a property loan.</x:v>
      </x:c>
      <x:c r="S1832" s="25"/>
      <x:c r="T1832" s="25" t="str">
        <x:v>Confirm direct principal versus broker, $100K-$500K appetite, and whether capital can fund the operating company without a property mortgage.</x:v>
      </x:c>
      <x:c r="U1832" s="25" t="str">
        <x:v>https://www.hardmoneyhome.com/lenders/view/streamline-funding
https://privatelenderlink.com/profile/streamline-funding/</x:v>
      </x:c>
      <x:c r="V1832" s="26" t="d">
        <x:v>2026-10-02T00:00:00.000Z</x:v>
      </x:c>
      <x:c r="W1832" s="26" t="d">
        <x:v>2026-09-30T00:00:00.000Z</x:v>
      </x:c>
      <x:c r="X1832" s="25" t="str">
        <x:v>Saved public company, industry-directory or regulatory source; source date retained</x:v>
      </x:c>
      <x:c r="Y1832" s="25" t="str">
        <x:v>https://privatelenderlink.com/profile/streamline-funding/</x:v>
      </x:c>
      <x:c r="Z1832" s="25" t="str">
        <x:v>https://www.hardmoneyhome.com/lenders/view/streamline-funding</x:v>
      </x:c>
      <x:c r="AA1832" s="25" t="str">
        <x:v>[]</x:v>
      </x:c>
      <x:c r="AB1832" s="3" t="str">
        <x:v>Existing CapitalForge research, newly screened for this campaign</x:v>
      </x:c>
      <x:c r="AC1832" s="3" t="str">
        <x:v>unverified</x:v>
      </x:c>
      <x:c r="AD1832" s="3" t="str">
        <x:v>Not contacted / unconfirmed</x:v>
      </x:c>
      <x:c r="AE1832" s="3" t="str">
        <x:v>No</x:v>
      </x:c>
      <x:c r="AF1832" s="3" t="str">
        <x:v>No</x:v>
      </x:c>
      <x:c r="AG1832" s="3"/>
      <x:c r="AH1832" s="3"/>
      <x:c r="AI1832" s="18"/>
      <x:c r="AJ1832" s="3" t="str">
        <x:v>CF2500-5B156B4596F4</x:v>
      </x:c>
      <x:c r="AK1832" s="3" t="str">
        <x:v>private_real_estate_lender</x:v>
      </x:c>
      <x:c r="AL1832" s="19" t="n">
        <x:v>100000</x:v>
      </x:c>
      <x:c r="AM1832" s="19" t="n">
        <x:v>500000</x:v>
      </x:c>
      <x:c r="AN1832" s="3" t="str">
        <x:v>https://www.hardmoneyhome.com/lenders/view/streamline-funding</x:v>
      </x:c>
      <x:c r="AO1832" s="3" t="str">
        <x:v>public_directory.jsonl</x:v>
      </x:c>
      <x:c r="AP1832" s="19"/>
    </x:row>
    <x:row r="1833" ht="36" customHeight="1">
      <x:c r="A1833" s="23" t="n">
        <x:v>1832</x:v>
      </x:c>
      <x:c r="B1833" s="15" t="str">
        <x:v>Ternus Lending</x:v>
      </x:c>
      <x:c r="C1833" s="15"/>
      <x:c r="D1833" s="15" t="str">
        <x:v>Property lender or directory member; operating-company capital unconfirmed</x:v>
      </x:c>
      <x:c r="E1833" s="15" t="str">
        <x:v>Property lender / private-money inquiry</x:v>
      </x:c>
      <x:c r="F1833" s="17" t="str">
        <x:v>New</x:v>
      </x:c>
      <x:c r="G1833" s="24" t="str">
        <x:v>info@ternus.com</x:v>
      </x:c>
      <x:c r="H1833" s="24" t="str">
        <x:v>+19727551880</x:v>
      </x:c>
      <x:c r="I1833" s="24" t="str">
        <x:v>https://www.ternus.com/?utm_source=private-lender-link</x:v>
      </x:c>
      <x:c r="J1833" s="16" t="str">
        <x:v>NC</x:v>
      </x:c>
      <x:c r="K1833" s="16" t="str">
        <x:v>Charlotte</x:v>
      </x:c>
      <x:c r="L1833" s="16" t="str">
        <x:v>firm_business_routing</x:v>
      </x:c>
      <x:c r="M1833" s="16" t="str">
        <x:v>https://www.ternus.com/?utm_source=private-lender-link</x:v>
      </x:c>
      <x:c r="N1833" s="16" t="str">
        <x:v>$100K-$500K ticket not published / unconfirmed</x:v>
      </x:c>
      <x:c r="O1833" s="20"/>
      <x:c r="P1833" s="20"/>
      <x:c r="Q1833" s="25" t="str">
        <x:v>Property-loan range, not a corporate-capital commitment</x:v>
      </x:c>
      <x:c r="R1833" s="25" t="str">
        <x:v>Private real-estate finance experience. Corporate working capital, minority equity or profit participation requires a separate agreement from a property loan.</x:v>
      </x:c>
      <x:c r="S1833" s="25"/>
      <x:c r="T1833" s="25" t="str">
        <x:v>Confirm direct principal versus broker, $100K-$500K appetite, and whether capital can fund the operating company without a property mortgage.</x:v>
      </x:c>
      <x:c r="U1833" s="25" t="str">
        <x:v>https://privatelenderlink.com/profile/ternus-lending/
https://nplaconference.com/private-lending-directory/page/16/
https://www.ternus.com</x:v>
      </x:c>
      <x:c r="V1833" s="26" t="d">
        <x:v>2026-10-02T00:00:00.000Z</x:v>
      </x:c>
      <x:c r="W1833" s="26" t="d">
        <x:v>2026-09-30T00:00:00.000Z</x:v>
      </x:c>
      <x:c r="X1833" s="25" t="str">
        <x:v>Saved public company, industry-directory or regulatory source; source date retained</x:v>
      </x:c>
      <x:c r="Y1833" s="25" t="str">
        <x:v>https://privatelenderlink.com/profile/ternus-lending/</x:v>
      </x:c>
      <x:c r="Z1833" s="25" t="str">
        <x:v>https://privatelenderlink.com/profile/ternus-lending/</x:v>
      </x:c>
      <x:c r="AA1833" s="25" t="str">
        <x:v>[]</x:v>
      </x:c>
      <x:c r="AB1833" s="3" t="str">
        <x:v>Existing CapitalForge research, newly screened for this campaign</x:v>
      </x:c>
      <x:c r="AC1833" s="3" t="str">
        <x:v>unverified</x:v>
      </x:c>
      <x:c r="AD1833" s="3" t="str">
        <x:v>Not contacted / unconfirmed</x:v>
      </x:c>
      <x:c r="AE1833" s="3" t="str">
        <x:v>No</x:v>
      </x:c>
      <x:c r="AF1833" s="3" t="str">
        <x:v>No</x:v>
      </x:c>
      <x:c r="AG1833" s="3"/>
      <x:c r="AH1833" s="3"/>
      <x:c r="AI1833" s="18"/>
      <x:c r="AJ1833" s="3" t="str">
        <x:v>CF2500-F52FA2B1EB8F</x:v>
      </x:c>
      <x:c r="AK1833" s="3" t="str">
        <x:v>private_real_estate_lender</x:v>
      </x:c>
      <x:c r="AL1833" s="19" t="n">
        <x:v>100000</x:v>
      </x:c>
      <x:c r="AM1833" s="19" t="n">
        <x:v>500000</x:v>
      </x:c>
      <x:c r="AN1833" s="3" t="str">
        <x:v>https://privatelenderlink.com/profile/ternus-lending/</x:v>
      </x:c>
      <x:c r="AO1833" s="3" t="str">
        <x:v>public_directory.jsonl</x:v>
      </x:c>
      <x:c r="AP1833" s="19"/>
    </x:row>
    <x:row r="1834" ht="36" customHeight="1">
      <x:c r="A1834" s="23" t="n">
        <x:v>1833</x:v>
      </x:c>
      <x:c r="B1834" s="15" t="str">
        <x:v>Tidal Loans</x:v>
      </x:c>
      <x:c r="C1834" s="15"/>
      <x:c r="D1834" s="15" t="str">
        <x:v>Property lender or directory member; operating-company capital unconfirmed</x:v>
      </x:c>
      <x:c r="E1834" s="15" t="str">
        <x:v>Property lender / private-money inquiry</x:v>
      </x:c>
      <x:c r="F1834" s="17" t="str">
        <x:v>New</x:v>
      </x:c>
      <x:c r="G1834" s="24" t="str">
        <x:v>info@tidalloans.com</x:v>
      </x:c>
      <x:c r="H1834" s="24" t="str">
        <x:v>+18327571262</x:v>
      </x:c>
      <x:c r="I1834" s="24" t="str">
        <x:v>https://www.tidalloans.com/</x:v>
      </x:c>
      <x:c r="J1834" s="16" t="str">
        <x:v>TX</x:v>
      </x:c>
      <x:c r="K1834" s="16" t="str">
        <x:v>Houston</x:v>
      </x:c>
      <x:c r="L1834" s="16" t="str">
        <x:v>firm_business_routing</x:v>
      </x:c>
      <x:c r="M1834" s="16" t="str">
        <x:v>https://www.tidalloans.com/</x:v>
      </x:c>
      <x:c r="N1834" s="16" t="str">
        <x:v>$100K-$500K ticket not published / unconfirmed</x:v>
      </x:c>
      <x:c r="O1834" s="20"/>
      <x:c r="P1834" s="20"/>
      <x:c r="Q1834" s="25" t="str">
        <x:v>Property-loan range, not a corporate-capital commitment</x:v>
      </x:c>
      <x:c r="R1834" s="25" t="str">
        <x:v>Private real-estate finance experience. Corporate working capital, minority equity or profit participation requires a separate agreement from a property loan.</x:v>
      </x:c>
      <x:c r="S1834" s="25"/>
      <x:c r="T1834" s="25" t="str">
        <x:v>Confirm direct principal versus broker, $100K-$500K appetite, and whether capital can fund the operating company without a property mortgage.</x:v>
      </x:c>
      <x:c r="U1834" s="25" t="str">
        <x:v>https://www.hardmoneyhome.com/lenders/view/tidal-loans
https://privatelenderlink.com/profile/tidal-loans-llc/</x:v>
      </x:c>
      <x:c r="V1834" s="26" t="d">
        <x:v>2026-10-02T00:00:00.000Z</x:v>
      </x:c>
      <x:c r="W1834" s="26" t="d">
        <x:v>2026-09-30T00:00:00.000Z</x:v>
      </x:c>
      <x:c r="X1834" s="25" t="str">
        <x:v>Saved public company, industry-directory or regulatory source; source date retained</x:v>
      </x:c>
      <x:c r="Y1834" s="25" t="str">
        <x:v>https://privatelenderlink.com/profile/tidal-loans-llc/</x:v>
      </x:c>
      <x:c r="Z1834" s="25" t="str">
        <x:v>https://www.hardmoneyhome.com/lenders/view/tidal-loans</x:v>
      </x:c>
      <x:c r="AA1834" s="25" t="str">
        <x:v>[]</x:v>
      </x:c>
      <x:c r="AB1834" s="3" t="str">
        <x:v>Existing CapitalForge research, newly screened for this campaign</x:v>
      </x:c>
      <x:c r="AC1834" s="3" t="str">
        <x:v>unverified</x:v>
      </x:c>
      <x:c r="AD1834" s="3" t="str">
        <x:v>Not contacted / unconfirmed</x:v>
      </x:c>
      <x:c r="AE1834" s="3" t="str">
        <x:v>No</x:v>
      </x:c>
      <x:c r="AF1834" s="3" t="str">
        <x:v>No</x:v>
      </x:c>
      <x:c r="AG1834" s="3"/>
      <x:c r="AH1834" s="3"/>
      <x:c r="AI1834" s="18"/>
      <x:c r="AJ1834" s="3" t="str">
        <x:v>CF2500-5217A1918607</x:v>
      </x:c>
      <x:c r="AK1834" s="3" t="str">
        <x:v>private_real_estate_lender</x:v>
      </x:c>
      <x:c r="AL1834" s="19" t="n">
        <x:v>100000</x:v>
      </x:c>
      <x:c r="AM1834" s="19" t="n">
        <x:v>500000</x:v>
      </x:c>
      <x:c r="AN1834" s="3" t="str">
        <x:v>https://www.hardmoneyhome.com/lenders/view/tidal-loans</x:v>
      </x:c>
      <x:c r="AO1834" s="3" t="str">
        <x:v>public_directory.jsonl</x:v>
      </x:c>
      <x:c r="AP1834" s="19"/>
    </x:row>
    <x:row r="1835" ht="36" customHeight="1">
      <x:c r="A1835" s="23" t="n">
        <x:v>1834</x:v>
      </x:c>
      <x:c r="B1835" s="15" t="str">
        <x:v>Truly Investor Funding</x:v>
      </x:c>
      <x:c r="C1835" s="15"/>
      <x:c r="D1835" s="15" t="str">
        <x:v>Property lender or directory member; operating-company capital unconfirmed</x:v>
      </x:c>
      <x:c r="E1835" s="15" t="str">
        <x:v>Property lender / private-money inquiry</x:v>
      </x:c>
      <x:c r="F1835" s="17" t="str">
        <x:v>New</x:v>
      </x:c>
      <x:c r="G1835" s="24" t="str">
        <x:v>info@trulyinvestorcap.com</x:v>
      </x:c>
      <x:c r="H1835" s="24" t="str">
        <x:v>+18662192294</x:v>
      </x:c>
      <x:c r="I1835" s="24" t="str">
        <x:v>https://www.trulyinvestorcap.com/?utm_source=private-lender-link</x:v>
      </x:c>
      <x:c r="J1835" s="16" t="str">
        <x:v>AZ</x:v>
      </x:c>
      <x:c r="K1835" s="16" t="str">
        <x:v>Chandler</x:v>
      </x:c>
      <x:c r="L1835" s="16" t="str">
        <x:v>firm_business_routing</x:v>
      </x:c>
      <x:c r="M1835" s="16" t="str">
        <x:v>https://www.trulyinvestorcap.com/?utm_source=private-lender-link</x:v>
      </x:c>
      <x:c r="N1835" s="16" t="str">
        <x:v>$100K-$500K ticket not published / unconfirmed</x:v>
      </x:c>
      <x:c r="O1835" s="20"/>
      <x:c r="P1835" s="20"/>
      <x:c r="Q1835" s="25" t="str">
        <x:v>Property-loan range, not a corporate-capital commitment</x:v>
      </x:c>
      <x:c r="R1835" s="25" t="str">
        <x:v>Private real-estate finance experience. Corporate working capital, minority equity or profit participation requires a separate agreement from a property loan.</x:v>
      </x:c>
      <x:c r="S1835" s="25"/>
      <x:c r="T1835" s="25" t="str">
        <x:v>Confirm direct principal versus broker, $100K-$500K appetite, and whether capital can fund the operating company without a property mortgage.</x:v>
      </x:c>
      <x:c r="U1835" s="25" t="str">
        <x:v>https://privatelenderlink.com/profile/truly-investor-funding/</x:v>
      </x:c>
      <x:c r="V1835" s="26" t="d">
        <x:v>2026-10-02T00:00:00.000Z</x:v>
      </x:c>
      <x:c r="W1835" s="26" t="d">
        <x:v>2026-09-30T00:00:00.000Z</x:v>
      </x:c>
      <x:c r="X1835" s="25" t="str">
        <x:v>Saved public company, industry-directory or regulatory source; source date retained</x:v>
      </x:c>
      <x:c r="Y1835" s="25" t="str">
        <x:v>https://privatelenderlink.com/profile/truly-investor-funding/</x:v>
      </x:c>
      <x:c r="Z1835" s="25" t="str">
        <x:v>https://privatelenderlink.com/profile/truly-investor-funding/</x:v>
      </x:c>
      <x:c r="AA1835" s="25" t="str">
        <x:v>[]</x:v>
      </x:c>
      <x:c r="AB1835" s="3" t="str">
        <x:v>Existing CapitalForge research, newly screened for this campaign</x:v>
      </x:c>
      <x:c r="AC1835" s="3" t="str">
        <x:v>unverified</x:v>
      </x:c>
      <x:c r="AD1835" s="3" t="str">
        <x:v>Not contacted / unconfirmed</x:v>
      </x:c>
      <x:c r="AE1835" s="3" t="str">
        <x:v>No</x:v>
      </x:c>
      <x:c r="AF1835" s="3" t="str">
        <x:v>No</x:v>
      </x:c>
      <x:c r="AG1835" s="3"/>
      <x:c r="AH1835" s="3"/>
      <x:c r="AI1835" s="18"/>
      <x:c r="AJ1835" s="3" t="str">
        <x:v>CF2500-4014A4FD88C5</x:v>
      </x:c>
      <x:c r="AK1835" s="3" t="str">
        <x:v>private_real_estate_lender</x:v>
      </x:c>
      <x:c r="AL1835" s="19" t="n">
        <x:v>100000</x:v>
      </x:c>
      <x:c r="AM1835" s="19" t="n">
        <x:v>500000</x:v>
      </x:c>
      <x:c r="AN1835" s="3" t="str">
        <x:v>https://privatelenderlink.com/profile/truly-investor-funding/</x:v>
      </x:c>
      <x:c r="AO1835" s="3" t="str">
        <x:v>public_directory.jsonl</x:v>
      </x:c>
      <x:c r="AP1835" s="19"/>
    </x:row>
    <x:row r="1836" ht="36" customHeight="1">
      <x:c r="A1836" s="23" t="n">
        <x:v>1835</x:v>
      </x:c>
      <x:c r="B1836" s="15" t="str">
        <x:v>USA Mortgage Funding</x:v>
      </x:c>
      <x:c r="C1836" s="15"/>
      <x:c r="D1836" s="15" t="str">
        <x:v>Property lender or directory member; operating-company capital unconfirmed</x:v>
      </x:c>
      <x:c r="E1836" s="15" t="str">
        <x:v>Property lender / private-money inquiry</x:v>
      </x:c>
      <x:c r="F1836" s="17" t="str">
        <x:v>New</x:v>
      </x:c>
      <x:c r="G1836" s="24" t="str">
        <x:v>jack@usam.net</x:v>
      </x:c>
      <x:c r="H1836" s="24" t="str">
        <x:v>+15126179400</x:v>
      </x:c>
      <x:c r="I1836" s="24" t="str">
        <x:v>https://usam.net/?utm_source=private-lender-link</x:v>
      </x:c>
      <x:c r="J1836" s="16" t="str">
        <x:v>TX</x:v>
      </x:c>
      <x:c r="K1836" s="16" t="str">
        <x:v>Bee Cave</x:v>
      </x:c>
      <x:c r="L1836" s="16" t="str">
        <x:v>firm_business_routing</x:v>
      </x:c>
      <x:c r="M1836" s="16" t="str">
        <x:v>https://usam.net/?utm_source=private-lender-link</x:v>
      </x:c>
      <x:c r="N1836" s="16" t="str">
        <x:v>$100K-$500K ticket not published / unconfirmed</x:v>
      </x:c>
      <x:c r="O1836" s="20"/>
      <x:c r="P1836" s="20"/>
      <x:c r="Q1836" s="25" t="str">
        <x:v>Property-loan range, not a corporate-capital commitment</x:v>
      </x:c>
      <x:c r="R1836" s="25" t="str">
        <x:v>Private real-estate finance experience. Corporate working capital, minority equity or profit participation requires a separate agreement from a property loan.</x:v>
      </x:c>
      <x:c r="S1836" s="25"/>
      <x:c r="T1836" s="25" t="str">
        <x:v>Confirm direct principal versus broker, $100K-$500K appetite, and whether capital can fund the operating company without a property mortgage.</x:v>
      </x:c>
      <x:c r="U1836" s="25" t="str">
        <x:v>https://privatelenderlink.com/profile/usa-mortgage-funding/</x:v>
      </x:c>
      <x:c r="V1836" s="26" t="d">
        <x:v>2026-10-02T00:00:00.000Z</x:v>
      </x:c>
      <x:c r="W1836" s="26" t="d">
        <x:v>2026-09-30T00:00:00.000Z</x:v>
      </x:c>
      <x:c r="X1836" s="25" t="str">
        <x:v>Saved public company, industry-directory or regulatory source; source date retained</x:v>
      </x:c>
      <x:c r="Y1836" s="25" t="str">
        <x:v>https://privatelenderlink.com/profile/usa-mortgage-funding/</x:v>
      </x:c>
      <x:c r="Z1836" s="25" t="str">
        <x:v>https://privatelenderlink.com/profile/usa-mortgage-funding/</x:v>
      </x:c>
      <x:c r="AA1836" s="25" t="str">
        <x:v>[]</x:v>
      </x:c>
      <x:c r="AB1836" s="3" t="str">
        <x:v>Existing CapitalForge research, newly screened for this campaign</x:v>
      </x:c>
      <x:c r="AC1836" s="3" t="str">
        <x:v>unverified</x:v>
      </x:c>
      <x:c r="AD1836" s="3" t="str">
        <x:v>Not contacted / unconfirmed</x:v>
      </x:c>
      <x:c r="AE1836" s="3" t="str">
        <x:v>No</x:v>
      </x:c>
      <x:c r="AF1836" s="3" t="str">
        <x:v>No</x:v>
      </x:c>
      <x:c r="AG1836" s="3"/>
      <x:c r="AH1836" s="3"/>
      <x:c r="AI1836" s="18"/>
      <x:c r="AJ1836" s="3" t="str">
        <x:v>CF2500-22A7B088BC55</x:v>
      </x:c>
      <x:c r="AK1836" s="3" t="str">
        <x:v>private_real_estate_lender</x:v>
      </x:c>
      <x:c r="AL1836" s="19" t="n">
        <x:v>100000</x:v>
      </x:c>
      <x:c r="AM1836" s="19" t="n">
        <x:v>500000</x:v>
      </x:c>
      <x:c r="AN1836" s="3" t="str">
        <x:v>https://privatelenderlink.com/profile/usa-mortgage-funding/</x:v>
      </x:c>
      <x:c r="AO1836" s="3" t="str">
        <x:v>public_directory.jsonl</x:v>
      </x:c>
      <x:c r="AP1836" s="19"/>
    </x:row>
    <x:row r="1837" ht="36" customHeight="1">
      <x:c r="A1837" s="23" t="n">
        <x:v>1836</x:v>
      </x:c>
      <x:c r="B1837" s="15" t="str">
        <x:v>COMMERCIAL LENDING X</x:v>
      </x:c>
      <x:c r="C1837" s="15"/>
      <x:c r="D1837" s="15" t="str">
        <x:v>Property lender / private real-estate capital prospect</x:v>
      </x:c>
      <x:c r="E1837" s="15" t="str">
        <x:v>Property lender / private-money inquiry</x:v>
      </x:c>
      <x:c r="F1837" s="17" t="str">
        <x:v>New</x:v>
      </x:c>
      <x:c r="G1837" s="24" t="str">
        <x:v>info@commerciallendingx.com</x:v>
      </x:c>
      <x:c r="H1837" s="24" t="str">
        <x:v>+18889750007</x:v>
      </x:c>
      <x:c r="I1837" s="24" t="str">
        <x:v>https://www.commerciallendingx.com/</x:v>
      </x:c>
      <x:c r="J1837" s="16" t="str">
        <x:v>IL</x:v>
      </x:c>
      <x:c r="K1837" s="16" t="str">
        <x:v>Naperville</x:v>
      </x:c>
      <x:c r="L1837" s="16" t="str">
        <x:v>firm_business_routing</x:v>
      </x:c>
      <x:c r="M1837" s="16" t="str">
        <x:v>https://www.commerciallendingx.com/</x:v>
      </x:c>
      <x:c r="N1837" s="16" t="str">
        <x:v>$100K-$500K ticket not published / unconfirmed</x:v>
      </x:c>
      <x:c r="O1837" s="20"/>
      <x:c r="P1837" s="20"/>
      <x:c r="Q1837" s="25" t="str">
        <x:v>Property-loan range, not a corporate-capital commitment</x:v>
      </x:c>
      <x:c r="R1837" s="25" t="str">
        <x:v>Private real-estate finance experience. Corporate working capital, minority equity or profit participation requires a separate agreement from a property loan.</x:v>
      </x:c>
      <x:c r="S1837" s="25"/>
      <x:c r="T1837" s="25" t="str">
        <x:v>Confirm direct principal versus broker, $100K-$500K appetite, and whether capital can fund the operating company without a property mortgage.</x:v>
      </x:c>
      <x:c r="U1837" s="25" t="str">
        <x:v>https://www.privatelendersdirectory.com/united-states/naperville/top-level-category/commercial-lending-x
https://www.commerciallendingx.com/
https://www.commerciallendingx.com/contact</x:v>
      </x:c>
      <x:c r="V1837" s="26" t="d">
        <x:v>2026-10-02T00:00:00.000Z</x:v>
      </x:c>
      <x:c r="W1837" s="26" t="d">
        <x:v>2026-10-02T00:00:00.000Z</x:v>
      </x:c>
      <x:c r="X1837" s="25" t="str">
        <x:v>Public investor directory; business role and contact ownership require qualification</x:v>
      </x:c>
      <x:c r="Y1837" s="25" t="str">
        <x:v>https://www.privatelendersdirectory.com/united-states/naperville/top-level-category/commercial-lending-x</x:v>
      </x:c>
      <x:c r="Z1837" s="25" t="str">
        <x:v>https://www.privatelendersdirectory.com/united-states/naperville/top-level-category/commercial-lending-x</x:v>
      </x:c>
      <x:c r="AA1837" s="25" t="str">
        <x:v>Directory member description excerpt: NAPERVILLE, IL PRIVATE LENDER We are success fee-based, our fee is only paid when we secure a loan approval, and</x:v>
      </x:c>
      <x:c r="AB1837" s="3" t="str">
        <x:v>New public-source collection</x:v>
      </x:c>
      <x:c r="AC1837" s="3" t="str">
        <x:v>unverified</x:v>
      </x:c>
      <x:c r="AD1837" s="3" t="str">
        <x:v>Not contacted / unconfirmed</x:v>
      </x:c>
      <x:c r="AE1837" s="3" t="str">
        <x:v>No</x:v>
      </x:c>
      <x:c r="AF1837" s="3" t="str">
        <x:v>No</x:v>
      </x:c>
      <x:c r="AG1837" s="3"/>
      <x:c r="AH1837" s="3"/>
      <x:c r="AI1837" s="18"/>
      <x:c r="AJ1837" s="3" t="str">
        <x:v>CF2500-8DF15C482CAD</x:v>
      </x:c>
      <x:c r="AK1837" s="3" t="str">
        <x:v>private real estate lender (directory claim)</x:v>
      </x:c>
      <x:c r="AL1837" s="19" t="n">
        <x:v>100000</x:v>
      </x:c>
      <x:c r="AM1837" s="19" t="n">
        <x:v>500000</x:v>
      </x:c>
      <x:c r="AN1837" s="3" t="str">
        <x:v>https://www.privatelendersdirectory.com/united-states/naperville/top-level-category/commercial-lending-x</x:v>
      </x:c>
      <x:c r="AO1837" s="3" t="str">
        <x:v>bulk_new_investors.jsonl</x:v>
      </x:c>
      <x:c r="AP1837" s="19"/>
    </x:row>
    <x:row r="1838" ht="36" customHeight="1">
      <x:c r="A1838" s="23" t="n">
        <x:v>1837</x:v>
      </x:c>
      <x:c r="B1838" s="15" t="str">
        <x:v>GerenTeam Capital / Stateside Private Capital</x:v>
      </x:c>
      <x:c r="C1838" s="15" t="str">
        <x:v>Wayne Gerenstein</x:v>
      </x:c>
      <x:c r="D1838" s="15" t="str">
        <x:v>Property lender / private real-estate capital prospect</x:v>
      </x:c>
      <x:c r="E1838" s="15" t="str">
        <x:v>Property lender / private-money inquiry</x:v>
      </x:c>
      <x:c r="F1838" s="17" t="str">
        <x:v>New</x:v>
      </x:c>
      <x:c r="G1838" s="24" t="str">
        <x:v>wayne.gerenstein@statesideprivatecapital.com</x:v>
      </x:c>
      <x:c r="H1838" s="24" t="str">
        <x:v>+13126710061</x:v>
      </x:c>
      <x:c r="I1838" s="24" t="str">
        <x:v>https://statesideprivatecapital.com/</x:v>
      </x:c>
      <x:c r="J1838" s="16" t="str">
        <x:v>IL</x:v>
      </x:c>
      <x:c r="K1838" s="16" t="str">
        <x:v>Lisle</x:v>
      </x:c>
      <x:c r="L1838" s="16" t="str">
        <x:v>published_professional_contact_directness_unconfirmed</x:v>
      </x:c>
      <x:c r="M1838" s="16" t="str">
        <x:v>https://statesideprivatecapital.com/loans__opportunities/business_loans</x:v>
      </x:c>
      <x:c r="N1838" s="16" t="str">
        <x:v>Published source range; proposed allocation and structure require confirmation</x:v>
      </x:c>
      <x:c r="O1838" s="20" t="n">
        <x:v>50000</x:v>
      </x:c>
      <x:c r="P1838" s="20" t="n">
        <x:v>1000000</x:v>
      </x:c>
      <x:c r="Q1838" s="25" t="str">
        <x:v>Property-loan range, not a corporate-capital commitment</x:v>
      </x:c>
      <x:c r="R1838" s="25" t="str">
        <x:v>Private real-estate finance experience. Corporate working capital, minority equity or profit participation requires a separate agreement from a property loan.</x:v>
      </x:c>
      <x:c r="S1838" s="25"/>
      <x:c r="T1838" s="25" t="str">
        <x:v>Confirm direct principal versus broker, $100K-$500K appetite, and whether capital can fund the operating company without a property mortgage.</x:v>
      </x:c>
      <x:c r="U1838" s="25" t="str">
        <x:v>https://www.privatelendersdirectory.com/united-states/lisle/top-level-category/stateside-private-capital
https://statesideprivatecapital.com/
https://statesideprivatecapital.com/contact_us__payments
https://statesideprivatecapital.com/founders_bio
https://statesideprivatecapital.com/loans__opportunities/business_loans</x:v>
      </x:c>
      <x:c r="V1838" s="26" t="d">
        <x:v>2026-10-02T00:00:00.000Z</x:v>
      </x:c>
      <x:c r="W1838" s="26" t="d">
        <x:v>2026-10-02T00:00:00.000Z</x:v>
      </x:c>
      <x:c r="X1838" s="25" t="str">
        <x:v>Public investor directory; business role and contact ownership require qualification</x:v>
      </x:c>
      <x:c r="Y1838" s="25" t="str">
        <x:v>https://www.privatelendersdirectory.com/united-states/lisle/top-level-category/stateside-private-capital</x:v>
      </x:c>
      <x:c r="Z1838" s="25" t="str">
        <x:v>https://www.privatelendersdirectory.com/united-states/lisle/top-level-category/stateside-private-capital</x:v>
      </x:c>
      <x:c r="AA1838" s="25" t="str">
        <x:v>Directory member description excerpt: LISLE, IL HARD MONEY LENDER We are a Company that focuses our finance and capital efforts within the borders of</x:v>
      </x:c>
      <x:c r="AB1838" s="3" t="str">
        <x:v>New public-source collection</x:v>
      </x:c>
      <x:c r="AC1838" s="3" t="str">
        <x:v>unverified</x:v>
      </x:c>
      <x:c r="AD1838" s="3" t="str">
        <x:v>Not contacted / unconfirmed</x:v>
      </x:c>
      <x:c r="AE1838" s="3" t="str">
        <x:v>No</x:v>
      </x:c>
      <x:c r="AF1838" s="3" t="str">
        <x:v>No</x:v>
      </x:c>
      <x:c r="AG1838" s="3"/>
      <x:c r="AH1838" s="3"/>
      <x:c r="AI1838" s="18"/>
      <x:c r="AJ1838" s="3" t="str">
        <x:v>CF2500-DE29C9365D59</x:v>
      </x:c>
      <x:c r="AK1838" s="3" t="str">
        <x:v>Capital intermediary / funding arranger</x:v>
      </x:c>
      <x:c r="AL1838" s="19" t="n">
        <x:v>100000</x:v>
      </x:c>
      <x:c r="AM1838" s="19" t="n">
        <x:v>500000</x:v>
      </x:c>
      <x:c r="AN1838" s="3" t="str">
        <x:v>https://www.privatelendersdirectory.com/united-states/lisle/top-level-category/stateside-private-capital</x:v>
      </x:c>
      <x:c r="AO1838" s="3" t="str">
        <x:v>bulk_new_investors.jsonl</x:v>
      </x:c>
      <x:c r="AP1838" s="19"/>
    </x:row>
    <x:row r="1839" ht="36" customHeight="1">
      <x:c r="A1839" s="23" t="n">
        <x:v>1838</x:v>
      </x:c>
      <x:c r="B1839" s="15" t="str">
        <x:v>INVESTORS FRIENDLY FUNDING</x:v>
      </x:c>
      <x:c r="C1839" s="15"/>
      <x:c r="D1839" s="15" t="str">
        <x:v>Property lender / private real-estate capital prospect</x:v>
      </x:c>
      <x:c r="E1839" s="15" t="str">
        <x:v>Property lender / private-money inquiry</x:v>
      </x:c>
      <x:c r="F1839" s="17" t="str">
        <x:v>New</x:v>
      </x:c>
      <x:c r="G1839" s="24" t="str">
        <x:v>lender@investorsfriendlyfunding.com</x:v>
      </x:c>
      <x:c r="H1839" s="24" t="str">
        <x:v>+18003992026</x:v>
      </x:c>
      <x:c r="I1839" s="24" t="str">
        <x:v>https://investorsfriendlyfunding.com/</x:v>
      </x:c>
      <x:c r="J1839" s="16" t="str">
        <x:v>AZ</x:v>
      </x:c>
      <x:c r="K1839" s="16" t="str">
        <x:v>Flagstaff</x:v>
      </x:c>
      <x:c r="L1839" s="16" t="str">
        <x:v>firm_business_routing</x:v>
      </x:c>
      <x:c r="M1839" s="16" t="str">
        <x:v>https://investorsfriendlyfunding.com/</x:v>
      </x:c>
      <x:c r="N1839" s="16" t="str">
        <x:v>$100K-$500K ticket not published / unconfirmed</x:v>
      </x:c>
      <x:c r="O1839" s="20"/>
      <x:c r="P1839" s="20"/>
      <x:c r="Q1839" s="25" t="str">
        <x:v>Property-loan range, not a corporate-capital commitment</x:v>
      </x:c>
      <x:c r="R1839" s="25" t="str">
        <x:v>Private real-estate finance experience. Corporate working capital, minority equity or profit participation requires a separate agreement from a property loan.</x:v>
      </x:c>
      <x:c r="S1839" s="25"/>
      <x:c r="T1839" s="25" t="str">
        <x:v>Confirm direct principal versus broker, $100K-$500K appetite, and whether capital can fund the operating company without a property mortgage.</x:v>
      </x:c>
      <x:c r="U1839" s="25" t="str">
        <x:v>https://www.privatelendersdirectory.com/united-states/flagstaff/top-level-category/investors-friendly-funding
https://investorsfriendlyfunding.com/</x:v>
      </x:c>
      <x:c r="V1839" s="26" t="d">
        <x:v>2026-10-02T00:00:00.000Z</x:v>
      </x:c>
      <x:c r="W1839" s="26" t="d">
        <x:v>2026-10-02T00:00:00.000Z</x:v>
      </x:c>
      <x:c r="X1839" s="25" t="str">
        <x:v>Public investor directory; business role and contact ownership require qualification</x:v>
      </x:c>
      <x:c r="Y1839" s="25" t="str">
        <x:v>https://www.privatelendersdirectory.com/united-states/flagstaff/top-level-category/investors-friendly-funding</x:v>
      </x:c>
      <x:c r="Z1839" s="25" t="str">
        <x:v>https://www.privatelendersdirectory.com/united-states/flagstaff/top-level-category/investors-friendly-funding</x:v>
      </x:c>
      <x:c r="AA1839" s="25" t="str">
        <x:v>Directory member description excerpt: FLAGSTAFF, AZ FIX AND FLIP LENDER</x:v>
      </x:c>
      <x:c r="AB1839" s="3" t="str">
        <x:v>New public-source collection</x:v>
      </x:c>
      <x:c r="AC1839" s="3" t="str">
        <x:v>unverified</x:v>
      </x:c>
      <x:c r="AD1839" s="3" t="str">
        <x:v>Not contacted / unconfirmed</x:v>
      </x:c>
      <x:c r="AE1839" s="3" t="str">
        <x:v>No</x:v>
      </x:c>
      <x:c r="AF1839" s="3" t="str">
        <x:v>No</x:v>
      </x:c>
      <x:c r="AG1839" s="3"/>
      <x:c r="AH1839" s="3"/>
      <x:c r="AI1839" s="18"/>
      <x:c r="AJ1839" s="3" t="str">
        <x:v>CF2500-F06474881190</x:v>
      </x:c>
      <x:c r="AK1839" s="3" t="str">
        <x:v>Private real estate funding provider (published claim)</x:v>
      </x:c>
      <x:c r="AL1839" s="19" t="n">
        <x:v>100000</x:v>
      </x:c>
      <x:c r="AM1839" s="19" t="n">
        <x:v>500000</x:v>
      </x:c>
      <x:c r="AN1839" s="3" t="str">
        <x:v>https://www.privatelendersdirectory.com/united-states/flagstaff/top-level-category/investors-friendly-funding</x:v>
      </x:c>
      <x:c r="AO1839" s="3" t="str">
        <x:v>bulk_new_investors.jsonl</x:v>
      </x:c>
      <x:c r="AP1839" s="19"/>
    </x:row>
    <x:row r="1840" ht="36" customHeight="1">
      <x:c r="A1840" s="23" t="n">
        <x:v>1839</x:v>
      </x:c>
      <x:c r="B1840" s="15" t="str">
        <x:v>LENDING MARK CAPITAL</x:v>
      </x:c>
      <x:c r="C1840" s="15" t="str">
        <x:v>KC Ejindu</x:v>
      </x:c>
      <x:c r="D1840" s="15" t="str">
        <x:v>Property lender / private real-estate capital prospect</x:v>
      </x:c>
      <x:c r="E1840" s="15" t="str">
        <x:v>Property lender / private-money inquiry</x:v>
      </x:c>
      <x:c r="F1840" s="17" t="str">
        <x:v>New</x:v>
      </x:c>
      <x:c r="G1840" s="24" t="str">
        <x:v>sales@lendingmarkcapital.com</x:v>
      </x:c>
      <x:c r="H1840" s="24" t="str">
        <x:v>+14698091500</x:v>
      </x:c>
      <x:c r="I1840" s="24" t="str">
        <x:v>https://www.lendingmarkcapital.com/</x:v>
      </x:c>
      <x:c r="J1840" s="16" t="str">
        <x:v>TX</x:v>
      </x:c>
      <x:c r="K1840" s="16" t="str">
        <x:v>Dallas</x:v>
      </x:c>
      <x:c r="L1840" s="16" t="str">
        <x:v>published_professional_contact_directness_unconfirmed</x:v>
      </x:c>
      <x:c r="M1840" s="16" t="str">
        <x:v>https://www.lendingmarkcapital.com/</x:v>
      </x:c>
      <x:c r="N1840" s="16" t="str">
        <x:v>$100K-$500K ticket not published / unconfirmed</x:v>
      </x:c>
      <x:c r="O1840" s="20"/>
      <x:c r="P1840" s="20"/>
      <x:c r="Q1840" s="25" t="str">
        <x:v>Property-loan range, not a corporate-capital commitment</x:v>
      </x:c>
      <x:c r="R1840" s="25" t="str">
        <x:v>Private real-estate finance experience. Corporate working capital, minority equity or profit participation requires a separate agreement from a property loan.</x:v>
      </x:c>
      <x:c r="S1840" s="25"/>
      <x:c r="T1840" s="25" t="str">
        <x:v>Confirm direct principal versus broker, $100K-$500K appetite, and whether capital can fund the operating company without a property mortgage.</x:v>
      </x:c>
      <x:c r="U1840" s="25" t="str">
        <x:v>https://www.privatelendersdirectory.com/united-states/dallas/top-level-category/lending-mark-capital
https://www.lendingmarkcapital.com/about-us
https://www.lendingmarkcapital.com/
https://www.lendingmarkcapital.com/loan-types</x:v>
      </x:c>
      <x:c r="V1840" s="26" t="d">
        <x:v>2026-10-02T00:00:00.000Z</x:v>
      </x:c>
      <x:c r="W1840" s="26" t="d">
        <x:v>2026-10-02T00:00:00.000Z</x:v>
      </x:c>
      <x:c r="X1840" s="25" t="str">
        <x:v>Public investor directory; business role and contact ownership require qualification</x:v>
      </x:c>
      <x:c r="Y1840" s="25" t="str">
        <x:v>https://www.privatelendersdirectory.com/united-states/dallas/top-level-category/lending-mark-capital</x:v>
      </x:c>
      <x:c r="Z1840" s="25" t="str">
        <x:v>https://www.privatelendersdirectory.com/united-states/dallas/top-level-category/lending-mark-capital</x:v>
      </x:c>
      <x:c r="AA1840" s="25" t="str">
        <x:v>Directory member description excerpt: DALLAS, TX PRIVATE LENDER At Lending Mark Capital, we provide funding solutions to fuel your financial growth.</x:v>
      </x:c>
      <x:c r="AB1840" s="3" t="str">
        <x:v>New public-source collection</x:v>
      </x:c>
      <x:c r="AC1840" s="3" t="str">
        <x:v>unverified</x:v>
      </x:c>
      <x:c r="AD1840" s="3" t="str">
        <x:v>Not contacted / unconfirmed</x:v>
      </x:c>
      <x:c r="AE1840" s="3" t="str">
        <x:v>No</x:v>
      </x:c>
      <x:c r="AF1840" s="3" t="str">
        <x:v>No</x:v>
      </x:c>
      <x:c r="AG1840" s="3"/>
      <x:c r="AH1840" s="3"/>
      <x:c r="AI1840" s="18"/>
      <x:c r="AJ1840" s="3" t="str">
        <x:v>CF2500-74D7B77B2C0E</x:v>
      </x:c>
      <x:c r="AK1840" s="3" t="str">
        <x:v>Private lender / commercial funding source (published claim)</x:v>
      </x:c>
      <x:c r="AL1840" s="19" t="n">
        <x:v>100000</x:v>
      </x:c>
      <x:c r="AM1840" s="19" t="n">
        <x:v>500000</x:v>
      </x:c>
      <x:c r="AN1840" s="3" t="str">
        <x:v>https://www.privatelendersdirectory.com/united-states/dallas/top-level-category/lending-mark-capital</x:v>
      </x:c>
      <x:c r="AO1840" s="3" t="str">
        <x:v>bulk_new_investors.jsonl</x:v>
      </x:c>
      <x:c r="AP1840" s="19"/>
    </x:row>
    <x:row r="1841" ht="36" customHeight="1">
      <x:c r="A1841" s="23" t="n">
        <x:v>1840</x:v>
      </x:c>
      <x:c r="B1841" s="15" t="str">
        <x:v>506 INVESTOR GROUP</x:v>
      </x:c>
      <x:c r="C1841" s="15"/>
      <x:c r="D1841" s="15" t="str">
        <x:v>Property lender or directory member; operating-company capital unconfirmed</x:v>
      </x:c>
      <x:c r="E1841" s="15" t="str">
        <x:v>Property lender / private-money inquiry</x:v>
      </x:c>
      <x:c r="F1841" s="17" t="str">
        <x:v>New</x:v>
      </x:c>
      <x:c r="G1841" s="24" t="str">
        <x:v>support@506investorgroup.com</x:v>
      </x:c>
      <x:c r="H1841" s="24"/>
      <x:c r="I1841" s="24" t="str">
        <x:v>https://506investorgroup.com/</x:v>
      </x:c>
      <x:c r="J1841" s="16" t="str">
        <x:v>NC</x:v>
      </x:c>
      <x:c r="K1841" s="16" t="str">
        <x:v>Salisbury</x:v>
      </x:c>
      <x:c r="L1841" s="16" t="str">
        <x:v>firm_business_routing</x:v>
      </x:c>
      <x:c r="M1841" s="16" t="str">
        <x:v>https://506investorgroup.com/</x:v>
      </x:c>
      <x:c r="N1841" s="16" t="str">
        <x:v>$100K-$500K ticket not published / unconfirmed</x:v>
      </x:c>
      <x:c r="O1841" s="20"/>
      <x:c r="P1841" s="20"/>
      <x:c r="Q1841" s="25" t="str">
        <x:v>Property-loan range, not a corporate-capital commitment</x:v>
      </x:c>
      <x:c r="R1841" s="25" t="str">
        <x:v>Private real-estate finance experience. Corporate working capital, minority equity or profit participation requires a separate agreement from a property loan.</x:v>
      </x:c>
      <x:c r="S1841" s="25"/>
      <x:c r="T1841" s="25" t="str">
        <x:v>Confirm direct principal versus broker, $100K-$500K appetite, and whether capital can fund the operating company without a property mortgage.</x:v>
      </x:c>
      <x:c r="U1841" s="25" t="str">
        <x:v>https://www.privatelendersdirectory.com/united-states/salisbury/top-level-category/506-investor-group
https://506investorgroup.com/</x:v>
      </x:c>
      <x:c r="V1841" s="26" t="d">
        <x:v>2026-10-02T00:00:00.000Z</x:v>
      </x:c>
      <x:c r="W1841" s="26" t="d">
        <x:v>2026-09-30T00:00:00.000Z</x:v>
      </x:c>
      <x:c r="X1841" s="25" t="str">
        <x:v>Saved public company, industry-directory or regulatory source; source date retained</x:v>
      </x:c>
      <x:c r="Y1841" s="25" t="str">
        <x:v>https://506investorgroup.com/</x:v>
      </x:c>
      <x:c r="Z1841" s="25"/>
      <x:c r="AA1841" s="25" t="str">
        <x:v>[]</x:v>
      </x:c>
      <x:c r="AB1841" s="3" t="str">
        <x:v>Existing CapitalForge research, newly screened for this campaign</x:v>
      </x:c>
      <x:c r="AC1841" s="3" t="str">
        <x:v>unverified</x:v>
      </x:c>
      <x:c r="AD1841" s="3" t="str">
        <x:v>Not contacted / unconfirmed</x:v>
      </x:c>
      <x:c r="AE1841" s="3" t="str">
        <x:v>No</x:v>
      </x:c>
      <x:c r="AF1841" s="3" t="str">
        <x:v>No</x:v>
      </x:c>
      <x:c r="AG1841" s="3"/>
      <x:c r="AH1841" s="3"/>
      <x:c r="AI1841" s="18"/>
      <x:c r="AJ1841" s="3" t="str">
        <x:v>CF2500-835CD8069137</x:v>
      </x:c>
      <x:c r="AK1841" s="3" t="str">
        <x:v>private_real_estate_lender</x:v>
      </x:c>
      <x:c r="AL1841" s="19" t="n">
        <x:v>100000</x:v>
      </x:c>
      <x:c r="AM1841" s="19" t="n">
        <x:v>500000</x:v>
      </x:c>
      <x:c r="AN1841" s="3" t="str">
        <x:v>https://www.privatelendersdirectory.com/united-states/salisbury/top-level-category/506-investor-group</x:v>
      </x:c>
      <x:c r="AO1841" s="3" t="str">
        <x:v>public_directory.jsonl</x:v>
      </x:c>
      <x:c r="AP1841" s="19"/>
    </x:row>
    <x:row r="1842" ht="36" customHeight="1">
      <x:c r="A1842" s="23" t="n">
        <x:v>1841</x:v>
      </x:c>
      <x:c r="B1842" s="15" t="str">
        <x:v>ABRIGO</x:v>
      </x:c>
      <x:c r="C1842" s="15"/>
      <x:c r="D1842" s="15" t="str">
        <x:v>Property lender or directory member; operating-company capital unconfirmed</x:v>
      </x:c>
      <x:c r="E1842" s="15" t="str">
        <x:v>Property lender / private-money inquiry</x:v>
      </x:c>
      <x:c r="F1842" s="17" t="str">
        <x:v>New</x:v>
      </x:c>
      <x:c r="G1842" s="24" t="str">
        <x:v>payroll@abrigo.com</x:v>
      </x:c>
      <x:c r="H1842" s="24"/>
      <x:c r="I1842" s="24" t="str">
        <x:v>https://www.abrigo.com/</x:v>
      </x:c>
      <x:c r="J1842" s="16" t="str">
        <x:v>TX</x:v>
      </x:c>
      <x:c r="K1842" s="16" t="str">
        <x:v>Austin</x:v>
      </x:c>
      <x:c r="L1842" s="16" t="str">
        <x:v>firm_business_routing</x:v>
      </x:c>
      <x:c r="M1842" s="16" t="str">
        <x:v>https://www.abrigo.com/</x:v>
      </x:c>
      <x:c r="N1842" s="16" t="str">
        <x:v>$100K-$500K ticket not published / unconfirmed</x:v>
      </x:c>
      <x:c r="O1842" s="20"/>
      <x:c r="P1842" s="20"/>
      <x:c r="Q1842" s="25" t="str">
        <x:v>Property-loan range, not a corporate-capital commitment</x:v>
      </x:c>
      <x:c r="R1842" s="25" t="str">
        <x:v>Private real-estate finance experience. Corporate working capital, minority equity or profit participation requires a separate agreement from a property loan.</x:v>
      </x:c>
      <x:c r="S1842" s="25"/>
      <x:c r="T1842" s="25" t="str">
        <x:v>Confirm direct principal versus broker, $100K-$500K appetite, and whether capital can fund the operating company without a property mortgage.</x:v>
      </x:c>
      <x:c r="U1842" s="25" t="str">
        <x:v>https://www.privatelendersdirectory.com/united-states/austin/top-level-category/abrigo
https://www.abrigo.com/contact-us/</x:v>
      </x:c>
      <x:c r="V1842" s="26" t="d">
        <x:v>2026-10-02T00:00:00.000Z</x:v>
      </x:c>
      <x:c r="W1842" s="26" t="d">
        <x:v>2026-09-30T00:00:00.000Z</x:v>
      </x:c>
      <x:c r="X1842" s="25" t="str">
        <x:v>Saved public company, industry-directory or regulatory source; source date retained</x:v>
      </x:c>
      <x:c r="Y1842" s="25" t="str">
        <x:v>https://www.abrigo.com/contact-us/</x:v>
      </x:c>
      <x:c r="Z1842" s="25"/>
      <x:c r="AA1842" s="25" t="str">
        <x:v>[]</x:v>
      </x:c>
      <x:c r="AB1842" s="3" t="str">
        <x:v>Existing CapitalForge research, newly screened for this campaign</x:v>
      </x:c>
      <x:c r="AC1842" s="3" t="str">
        <x:v>unverified</x:v>
      </x:c>
      <x:c r="AD1842" s="3" t="str">
        <x:v>Not contacted / unconfirmed</x:v>
      </x:c>
      <x:c r="AE1842" s="3" t="str">
        <x:v>No</x:v>
      </x:c>
      <x:c r="AF1842" s="3" t="str">
        <x:v>No</x:v>
      </x:c>
      <x:c r="AG1842" s="3"/>
      <x:c r="AH1842" s="3"/>
      <x:c r="AI1842" s="18"/>
      <x:c r="AJ1842" s="3" t="str">
        <x:v>CF2500-1D5969120113</x:v>
      </x:c>
      <x:c r="AK1842" s="3" t="str">
        <x:v>private_real_estate_lender</x:v>
      </x:c>
      <x:c r="AL1842" s="19" t="n">
        <x:v>100000</x:v>
      </x:c>
      <x:c r="AM1842" s="19" t="n">
        <x:v>500000</x:v>
      </x:c>
      <x:c r="AN1842" s="3" t="str">
        <x:v>https://www.privatelendersdirectory.com/united-states/austin/top-level-category/abrigo</x:v>
      </x:c>
      <x:c r="AO1842" s="3" t="str">
        <x:v>public_directory.jsonl</x:v>
      </x:c>
      <x:c r="AP1842" s="19"/>
    </x:row>
    <x:row r="1843" ht="36" customHeight="1">
      <x:c r="A1843" s="23" t="n">
        <x:v>1842</x:v>
      </x:c>
      <x:c r="B1843" s="15" t="str">
        <x:v>ANDERSEN CAPITAL FUNDING</x:v>
      </x:c>
      <x:c r="C1843" s="15"/>
      <x:c r="D1843" s="15" t="str">
        <x:v>Property lender or directory member; operating-company capital unconfirmed</x:v>
      </x:c>
      <x:c r="E1843" s="15" t="str">
        <x:v>Property lender / private-money inquiry</x:v>
      </x:c>
      <x:c r="F1843" s="17" t="str">
        <x:v>New</x:v>
      </x:c>
      <x:c r="G1843" s="24" t="str">
        <x:v>info@andersencp.com</x:v>
      </x:c>
      <x:c r="H1843" s="24"/>
      <x:c r="I1843" s="24" t="str">
        <x:v>https://www.andersencp.com/</x:v>
      </x:c>
      <x:c r="J1843" s="16" t="str">
        <x:v>AZ</x:v>
      </x:c>
      <x:c r="K1843" s="16" t="str">
        <x:v>Gilbert</x:v>
      </x:c>
      <x:c r="L1843" s="16" t="str">
        <x:v>firm_business_routing</x:v>
      </x:c>
      <x:c r="M1843" s="16" t="str">
        <x:v>https://www.andersencp.com/</x:v>
      </x:c>
      <x:c r="N1843" s="16" t="str">
        <x:v>$100K-$500K ticket not published / unconfirmed</x:v>
      </x:c>
      <x:c r="O1843" s="20"/>
      <x:c r="P1843" s="20"/>
      <x:c r="Q1843" s="25" t="str">
        <x:v>Property-loan range, not a corporate-capital commitment</x:v>
      </x:c>
      <x:c r="R1843" s="25" t="str">
        <x:v>Private real-estate finance experience. Corporate working capital, minority equity or profit participation requires a separate agreement from a property loan.</x:v>
      </x:c>
      <x:c r="S1843" s="25"/>
      <x:c r="T1843" s="25" t="str">
        <x:v>Confirm direct principal versus broker, $100K-$500K appetite, and whether capital can fund the operating company without a property mortgage.</x:v>
      </x:c>
      <x:c r="U1843" s="25" t="str">
        <x:v>https://www.privatelendersdirectory.com/united-states/gilbert/top-level-category/andersen-capital-funding
https://www.andersencp.com/contact/
https://www.privatelendersdirectory.com/united-states/gilbert/real-estate-investment-lending/andersen-capital-partners</x:v>
      </x:c>
      <x:c r="V1843" s="26" t="d">
        <x:v>2026-10-02T00:00:00.000Z</x:v>
      </x:c>
      <x:c r="W1843" s="26" t="d">
        <x:v>2026-09-30T00:00:00.000Z</x:v>
      </x:c>
      <x:c r="X1843" s="25" t="str">
        <x:v>Saved public company, industry-directory or regulatory source; source date retained</x:v>
      </x:c>
      <x:c r="Y1843" s="25" t="str">
        <x:v>https://www.andersencp.com/contact/</x:v>
      </x:c>
      <x:c r="Z1843" s="25"/>
      <x:c r="AA1843" s="25" t="str">
        <x:v>[]</x:v>
      </x:c>
      <x:c r="AB1843" s="3" t="str">
        <x:v>Existing CapitalForge research, newly screened for this campaign</x:v>
      </x:c>
      <x:c r="AC1843" s="3" t="str">
        <x:v>unverified</x:v>
      </x:c>
      <x:c r="AD1843" s="3" t="str">
        <x:v>Not contacted / unconfirmed</x:v>
      </x:c>
      <x:c r="AE1843" s="3" t="str">
        <x:v>No</x:v>
      </x:c>
      <x:c r="AF1843" s="3" t="str">
        <x:v>No</x:v>
      </x:c>
      <x:c r="AG1843" s="3"/>
      <x:c r="AH1843" s="3"/>
      <x:c r="AI1843" s="18"/>
      <x:c r="AJ1843" s="3" t="str">
        <x:v>CF2500-05652D4D5EDA</x:v>
      </x:c>
      <x:c r="AK1843" s="3" t="str">
        <x:v>private_real_estate_lender</x:v>
      </x:c>
      <x:c r="AL1843" s="19" t="n">
        <x:v>100000</x:v>
      </x:c>
      <x:c r="AM1843" s="19" t="n">
        <x:v>500000</x:v>
      </x:c>
      <x:c r="AN1843" s="3" t="str">
        <x:v>https://www.privatelendersdirectory.com/united-states/gilbert/top-level-category/andersen-capital-funding</x:v>
      </x:c>
      <x:c r="AO1843" s="3" t="str">
        <x:v>public_directory.jsonl</x:v>
      </x:c>
      <x:c r="AP1843" s="19"/>
    </x:row>
    <x:row r="1844" ht="36" customHeight="1">
      <x:c r="A1844" s="23" t="n">
        <x:v>1843</x:v>
      </x:c>
      <x:c r="B1844" s="15" t="str">
        <x:v>ARMITAGE PARTNERS</x:v>
      </x:c>
      <x:c r="C1844" s="15"/>
      <x:c r="D1844" s="15" t="str">
        <x:v>Property lender or directory member; operating-company capital unconfirmed</x:v>
      </x:c>
      <x:c r="E1844" s="15" t="str">
        <x:v>Property lender / private-money inquiry</x:v>
      </x:c>
      <x:c r="F1844" s="17" t="str">
        <x:v>New</x:v>
      </x:c>
      <x:c r="G1844" s="24" t="str">
        <x:v>support@armitagepartners.com</x:v>
      </x:c>
      <x:c r="H1844" s="24"/>
      <x:c r="I1844" s="24" t="str">
        <x:v>https://armitagepartners.com/</x:v>
      </x:c>
      <x:c r="J1844" s="16" t="str">
        <x:v>IL</x:v>
      </x:c>
      <x:c r="K1844" s="16" t="str">
        <x:v>Chicago</x:v>
      </x:c>
      <x:c r="L1844" s="16" t="str">
        <x:v>firm_business_routing</x:v>
      </x:c>
      <x:c r="M1844" s="16" t="str">
        <x:v>https://armitagepartners.com/</x:v>
      </x:c>
      <x:c r="N1844" s="16" t="str">
        <x:v>$100K-$500K ticket not published / unconfirmed</x:v>
      </x:c>
      <x:c r="O1844" s="20"/>
      <x:c r="P1844" s="20"/>
      <x:c r="Q1844" s="25" t="str">
        <x:v>Property-loan range, not a corporate-capital commitment</x:v>
      </x:c>
      <x:c r="R1844" s="25" t="str">
        <x:v>Private real-estate finance experience. Corporate working capital, minority equity or profit participation requires a separate agreement from a property loan.</x:v>
      </x:c>
      <x:c r="S1844" s="25"/>
      <x:c r="T1844" s="25" t="str">
        <x:v>Confirm direct principal versus broker, $100K-$500K appetite, and whether capital can fund the operating company without a property mortgage.</x:v>
      </x:c>
      <x:c r="U1844" s="25" t="str">
        <x:v>https://www.privatelendersdirectory.com/united-states/chicago/real-estate-investment-lending/armitage-partners
https://armitagepartners.com/</x:v>
      </x:c>
      <x:c r="V1844" s="26" t="d">
        <x:v>2026-10-02T00:00:00.000Z</x:v>
      </x:c>
      <x:c r="W1844" s="26" t="d">
        <x:v>2026-09-30T00:00:00.000Z</x:v>
      </x:c>
      <x:c r="X1844" s="25" t="str">
        <x:v>Saved public company, industry-directory or regulatory source; source date retained</x:v>
      </x:c>
      <x:c r="Y1844" s="25" t="str">
        <x:v>https://armitagepartners.com/</x:v>
      </x:c>
      <x:c r="Z1844" s="25"/>
      <x:c r="AA1844" s="25" t="str">
        <x:v>[]</x:v>
      </x:c>
      <x:c r="AB1844" s="3" t="str">
        <x:v>Existing CapitalForge research, newly screened for this campaign</x:v>
      </x:c>
      <x:c r="AC1844" s="3" t="str">
        <x:v>unverified</x:v>
      </x:c>
      <x:c r="AD1844" s="3" t="str">
        <x:v>Not contacted / unconfirmed</x:v>
      </x:c>
      <x:c r="AE1844" s="3" t="str">
        <x:v>No</x:v>
      </x:c>
      <x:c r="AF1844" s="3" t="str">
        <x:v>No</x:v>
      </x:c>
      <x:c r="AG1844" s="3"/>
      <x:c r="AH1844" s="3"/>
      <x:c r="AI1844" s="18"/>
      <x:c r="AJ1844" s="3" t="str">
        <x:v>CF2500-D9400D10A58D</x:v>
      </x:c>
      <x:c r="AK1844" s="3" t="str">
        <x:v>private_real_estate_lender</x:v>
      </x:c>
      <x:c r="AL1844" s="19" t="n">
        <x:v>100000</x:v>
      </x:c>
      <x:c r="AM1844" s="19" t="n">
        <x:v>500000</x:v>
      </x:c>
      <x:c r="AN1844" s="3" t="str">
        <x:v>https://www.privatelendersdirectory.com/united-states/chicago/real-estate-investment-lending/armitage-partners</x:v>
      </x:c>
      <x:c r="AO1844" s="3" t="str">
        <x:v>public_directory.jsonl</x:v>
      </x:c>
      <x:c r="AP1844" s="19"/>
    </x:row>
    <x:row r="1845" ht="36" customHeight="1">
      <x:c r="A1845" s="23" t="n">
        <x:v>1844</x:v>
      </x:c>
      <x:c r="B1845" s="15" t="str">
        <x:v>ARNO CAPITAL</x:v>
      </x:c>
      <x:c r="C1845" s="15"/>
      <x:c r="D1845" s="15" t="str">
        <x:v>Property lender or directory member; operating-company capital unconfirmed</x:v>
      </x:c>
      <x:c r="E1845" s="15" t="str">
        <x:v>Property lender / private-money inquiry</x:v>
      </x:c>
      <x:c r="F1845" s="17" t="str">
        <x:v>New</x:v>
      </x:c>
      <x:c r="G1845" s="24" t="str">
        <x:v>investors@arnocap.com</x:v>
      </x:c>
      <x:c r="H1845" s="24"/>
      <x:c r="I1845" s="24" t="str">
        <x:v>https://www.arnocap.com/</x:v>
      </x:c>
      <x:c r="J1845" s="16" t="str">
        <x:v>FL</x:v>
      </x:c>
      <x:c r="K1845" s="16" t="str">
        <x:v>Miami Beach</x:v>
      </x:c>
      <x:c r="L1845" s="16" t="str">
        <x:v>firm_business_routing</x:v>
      </x:c>
      <x:c r="M1845" s="16" t="str">
        <x:v>https://www.arnocap.com/</x:v>
      </x:c>
      <x:c r="N1845" s="16" t="str">
        <x:v>$100K-$500K ticket not published / unconfirmed</x:v>
      </x:c>
      <x:c r="O1845" s="20"/>
      <x:c r="P1845" s="20"/>
      <x:c r="Q1845" s="25" t="str">
        <x:v>Property-loan range, not a corporate-capital commitment</x:v>
      </x:c>
      <x:c r="R1845" s="25" t="str">
        <x:v>Private real-estate finance experience. Corporate working capital, minority equity or profit participation requires a separate agreement from a property loan.</x:v>
      </x:c>
      <x:c r="S1845" s="25"/>
      <x:c r="T1845" s="25" t="str">
        <x:v>Confirm direct principal versus broker, $100K-$500K appetite, and whether capital can fund the operating company without a property mortgage.</x:v>
      </x:c>
      <x:c r="U1845" s="25" t="str">
        <x:v>https://www.privatelendersdirectory.com/united-states/miami-beach/real-estate-investment-lending/arno-capital
https://www.arnocap.com/</x:v>
      </x:c>
      <x:c r="V1845" s="26" t="d">
        <x:v>2026-10-02T00:00:00.000Z</x:v>
      </x:c>
      <x:c r="W1845" s="26" t="d">
        <x:v>2026-09-30T00:00:00.000Z</x:v>
      </x:c>
      <x:c r="X1845" s="25" t="str">
        <x:v>Saved public company, industry-directory or regulatory source; source date retained</x:v>
      </x:c>
      <x:c r="Y1845" s="25" t="str">
        <x:v>https://www.arnocap.com/</x:v>
      </x:c>
      <x:c r="Z1845" s="25"/>
      <x:c r="AA1845" s="25" t="str">
        <x:v>[]</x:v>
      </x:c>
      <x:c r="AB1845" s="3" t="str">
        <x:v>Existing CapitalForge research, newly screened for this campaign</x:v>
      </x:c>
      <x:c r="AC1845" s="3" t="str">
        <x:v>unverified</x:v>
      </x:c>
      <x:c r="AD1845" s="3" t="str">
        <x:v>Not contacted / unconfirmed</x:v>
      </x:c>
      <x:c r="AE1845" s="3" t="str">
        <x:v>No</x:v>
      </x:c>
      <x:c r="AF1845" s="3" t="str">
        <x:v>No</x:v>
      </x:c>
      <x:c r="AG1845" s="3"/>
      <x:c r="AH1845" s="3"/>
      <x:c r="AI1845" s="18"/>
      <x:c r="AJ1845" s="3" t="str">
        <x:v>CF2500-4EF7EFBA2166</x:v>
      </x:c>
      <x:c r="AK1845" s="3" t="str">
        <x:v>private_real_estate_lender</x:v>
      </x:c>
      <x:c r="AL1845" s="19" t="n">
        <x:v>100000</x:v>
      </x:c>
      <x:c r="AM1845" s="19" t="n">
        <x:v>500000</x:v>
      </x:c>
      <x:c r="AN1845" s="3" t="str">
        <x:v>https://www.privatelendersdirectory.com/united-states/miami-beach/real-estate-investment-lending/arno-capital</x:v>
      </x:c>
      <x:c r="AO1845" s="3" t="str">
        <x:v>public_directory.jsonl</x:v>
      </x:c>
      <x:c r="AP1845" s="19"/>
    </x:row>
    <x:row r="1846" ht="36" customHeight="1">
      <x:c r="A1846" s="23" t="n">
        <x:v>1845</x:v>
      </x:c>
      <x:c r="B1846" s="15" t="str">
        <x:v>ARRIBA CAPITAL</x:v>
      </x:c>
      <x:c r="C1846" s="15"/>
      <x:c r="D1846" s="15" t="str">
        <x:v>Property lender or directory member; operating-company capital unconfirmed</x:v>
      </x:c>
      <x:c r="E1846" s="15" t="str">
        <x:v>Property lender / private-money inquiry</x:v>
      </x:c>
      <x:c r="F1846" s="17" t="str">
        <x:v>New</x:v>
      </x:c>
      <x:c r="G1846" s="24" t="str">
        <x:v>loans@arribacapital.com</x:v>
      </x:c>
      <x:c r="H1846" s="24"/>
      <x:c r="I1846" s="24" t="str">
        <x:v>http://www.arribacapital.com</x:v>
      </x:c>
      <x:c r="J1846" s="16" t="str">
        <x:v>AZ</x:v>
      </x:c>
      <x:c r="K1846" s="16" t="str">
        <x:v>Scottsdale</x:v>
      </x:c>
      <x:c r="L1846" s="16" t="str">
        <x:v>firm_business_routing</x:v>
      </x:c>
      <x:c r="M1846" s="16" t="str">
        <x:v>http://www.arribacapital.com</x:v>
      </x:c>
      <x:c r="N1846" s="16" t="str">
        <x:v>$100K-$500K ticket not published / unconfirmed</x:v>
      </x:c>
      <x:c r="O1846" s="20"/>
      <x:c r="P1846" s="20"/>
      <x:c r="Q1846" s="25" t="str">
        <x:v>Property-loan range, not a corporate-capital commitment</x:v>
      </x:c>
      <x:c r="R1846" s="25" t="str">
        <x:v>Private real-estate finance experience. Corporate working capital, minority equity or profit participation requires a separate agreement from a property loan.</x:v>
      </x:c>
      <x:c r="S1846" s="25"/>
      <x:c r="T1846" s="25" t="str">
        <x:v>Confirm direct principal versus broker, $100K-$500K appetite, and whether capital can fund the operating company without a property mortgage.</x:v>
      </x:c>
      <x:c r="U1846" s="25" t="str">
        <x:v>https://www.privatelendersdirectory.com/united-states/scottsdale/real-estate-investment-lending/arriba-capital
https://www.arribacapital.com/</x:v>
      </x:c>
      <x:c r="V1846" s="26" t="d">
        <x:v>2026-10-02T00:00:00.000Z</x:v>
      </x:c>
      <x:c r="W1846" s="26" t="d">
        <x:v>2026-09-30T00:00:00.000Z</x:v>
      </x:c>
      <x:c r="X1846" s="25" t="str">
        <x:v>Saved public company, industry-directory or regulatory source; source date retained</x:v>
      </x:c>
      <x:c r="Y1846" s="25" t="str">
        <x:v>https://www.arribacapital.com/</x:v>
      </x:c>
      <x:c r="Z1846" s="25"/>
      <x:c r="AA1846" s="25" t="str">
        <x:v>[]</x:v>
      </x:c>
      <x:c r="AB1846" s="3" t="str">
        <x:v>Existing CapitalForge research, newly screened for this campaign</x:v>
      </x:c>
      <x:c r="AC1846" s="3" t="str">
        <x:v>unverified</x:v>
      </x:c>
      <x:c r="AD1846" s="3" t="str">
        <x:v>Not contacted / unconfirmed</x:v>
      </x:c>
      <x:c r="AE1846" s="3" t="str">
        <x:v>No</x:v>
      </x:c>
      <x:c r="AF1846" s="3" t="str">
        <x:v>No</x:v>
      </x:c>
      <x:c r="AG1846" s="3"/>
      <x:c r="AH1846" s="3"/>
      <x:c r="AI1846" s="18"/>
      <x:c r="AJ1846" s="3" t="str">
        <x:v>CF2500-230B0BBCB2EA</x:v>
      </x:c>
      <x:c r="AK1846" s="3" t="str">
        <x:v>private_real_estate_lender</x:v>
      </x:c>
      <x:c r="AL1846" s="19" t="n">
        <x:v>100000</x:v>
      </x:c>
      <x:c r="AM1846" s="19" t="n">
        <x:v>500000</x:v>
      </x:c>
      <x:c r="AN1846" s="3" t="str">
        <x:v>https://www.privatelendersdirectory.com/united-states/scottsdale/real-estate-investment-lending/arriba-capital</x:v>
      </x:c>
      <x:c r="AO1846" s="3" t="str">
        <x:v>public_directory.jsonl</x:v>
      </x:c>
      <x:c r="AP1846" s="19"/>
    </x:row>
    <x:row r="1847" ht="36" customHeight="1">
      <x:c r="A1847" s="23" t="n">
        <x:v>1846</x:v>
      </x:c>
      <x:c r="B1847" s="15" t="str">
        <x:v>ATLANTIC PACIFIC COMPANIES</x:v>
      </x:c>
      <x:c r="C1847" s="15"/>
      <x:c r="D1847" s="15" t="str">
        <x:v>Property lender or directory member; operating-company capital unconfirmed</x:v>
      </x:c>
      <x:c r="E1847" s="15" t="str">
        <x:v>Property lender / private-money inquiry</x:v>
      </x:c>
      <x:c r="F1847" s="17" t="str">
        <x:v>New</x:v>
      </x:c>
      <x:c r="G1847" s="24" t="str">
        <x:v>ap_customerservice@apcompanies.com</x:v>
      </x:c>
      <x:c r="H1847" s="24"/>
      <x:c r="I1847" s="24" t="str">
        <x:v>https://www.apcompanies.com/</x:v>
      </x:c>
      <x:c r="J1847" s="16" t="str">
        <x:v>FL</x:v>
      </x:c>
      <x:c r="K1847" s="16" t="str">
        <x:v>Boca Raton</x:v>
      </x:c>
      <x:c r="L1847" s="16" t="str">
        <x:v>firm_business_routing</x:v>
      </x:c>
      <x:c r="M1847" s="16" t="str">
        <x:v>https://www.apcompanies.com/</x:v>
      </x:c>
      <x:c r="N1847" s="16" t="str">
        <x:v>$100K-$500K ticket not published / unconfirmed</x:v>
      </x:c>
      <x:c r="O1847" s="20"/>
      <x:c r="P1847" s="20"/>
      <x:c r="Q1847" s="25" t="str">
        <x:v>Property-loan range, not a corporate-capital commitment</x:v>
      </x:c>
      <x:c r="R1847" s="25" t="str">
        <x:v>Private real-estate finance experience. Corporate working capital, minority equity or profit participation requires a separate agreement from a property loan.</x:v>
      </x:c>
      <x:c r="S1847" s="25"/>
      <x:c r="T1847" s="25" t="str">
        <x:v>Confirm direct principal versus broker, $100K-$500K appetite, and whether capital can fund the operating company without a property mortgage.</x:v>
      </x:c>
      <x:c r="U1847" s="25" t="str">
        <x:v>https://www.privatelendersdirectory.com/united-states/boca-raton/top-level-category/atlantic-pacific-companies
https://apcompanies.com/contact/</x:v>
      </x:c>
      <x:c r="V1847" s="26" t="d">
        <x:v>2026-10-02T00:00:00.000Z</x:v>
      </x:c>
      <x:c r="W1847" s="26" t="d">
        <x:v>2026-09-30T00:00:00.000Z</x:v>
      </x:c>
      <x:c r="X1847" s="25" t="str">
        <x:v>Saved public company, industry-directory or regulatory source; source date retained</x:v>
      </x:c>
      <x:c r="Y1847" s="25" t="str">
        <x:v>https://apcompanies.com/contact/</x:v>
      </x:c>
      <x:c r="Z1847" s="25"/>
      <x:c r="AA1847" s="25" t="str">
        <x:v>[]</x:v>
      </x:c>
      <x:c r="AB1847" s="3" t="str">
        <x:v>Existing CapitalForge research, newly screened for this campaign</x:v>
      </x:c>
      <x:c r="AC1847" s="3" t="str">
        <x:v>unverified</x:v>
      </x:c>
      <x:c r="AD1847" s="3" t="str">
        <x:v>Not contacted / unconfirmed</x:v>
      </x:c>
      <x:c r="AE1847" s="3" t="str">
        <x:v>No</x:v>
      </x:c>
      <x:c r="AF1847" s="3" t="str">
        <x:v>No</x:v>
      </x:c>
      <x:c r="AG1847" s="3"/>
      <x:c r="AH1847" s="3"/>
      <x:c r="AI1847" s="18"/>
      <x:c r="AJ1847" s="3" t="str">
        <x:v>CF2500-440F3BED04AB</x:v>
      </x:c>
      <x:c r="AK1847" s="3" t="str">
        <x:v>private_real_estate_lender</x:v>
      </x:c>
      <x:c r="AL1847" s="19" t="n">
        <x:v>100000</x:v>
      </x:c>
      <x:c r="AM1847" s="19" t="n">
        <x:v>500000</x:v>
      </x:c>
      <x:c r="AN1847" s="3" t="str">
        <x:v>https://www.privatelendersdirectory.com/united-states/boca-raton/top-level-category/atlantic-pacific-companies</x:v>
      </x:c>
      <x:c r="AO1847" s="3" t="str">
        <x:v>public_directory.jsonl</x:v>
      </x:c>
      <x:c r="AP1847" s="19"/>
    </x:row>
    <x:row r="1848" ht="36" customHeight="1">
      <x:c r="A1848" s="23" t="n">
        <x:v>1847</x:v>
      </x:c>
      <x:c r="B1848" s="15" t="str">
        <x:v>ATLAS PHOENIX</x:v>
      </x:c>
      <x:c r="C1848" s="15"/>
      <x:c r="D1848" s="15" t="str">
        <x:v>Property lender or directory member; operating-company capital unconfirmed</x:v>
      </x:c>
      <x:c r="E1848" s="15" t="str">
        <x:v>Property lender / private-money inquiry</x:v>
      </x:c>
      <x:c r="F1848" s="17" t="str">
        <x:v>New</x:v>
      </x:c>
      <x:c r="G1848" s="24" t="str">
        <x:v>rebel@atlasphx.com</x:v>
      </x:c>
      <x:c r="H1848" s="24"/>
      <x:c r="I1848" s="24" t="str">
        <x:v>https://www.atlasphx.com/</x:v>
      </x:c>
      <x:c r="J1848" s="16" t="str">
        <x:v>AZ</x:v>
      </x:c>
      <x:c r="K1848" s="16" t="str">
        <x:v>Scottsdale</x:v>
      </x:c>
      <x:c r="L1848" s="16" t="str">
        <x:v>firm_business_routing</x:v>
      </x:c>
      <x:c r="M1848" s="16" t="str">
        <x:v>https://www.atlasphx.com/</x:v>
      </x:c>
      <x:c r="N1848" s="16" t="str">
        <x:v>$100K-$500K ticket not published / unconfirmed</x:v>
      </x:c>
      <x:c r="O1848" s="20"/>
      <x:c r="P1848" s="20"/>
      <x:c r="Q1848" s="25" t="str">
        <x:v>Property-loan range, not a corporate-capital commitment</x:v>
      </x:c>
      <x:c r="R1848" s="25" t="str">
        <x:v>Private real-estate finance experience. Corporate working capital, minority equity or profit participation requires a separate agreement from a property loan.</x:v>
      </x:c>
      <x:c r="S1848" s="25"/>
      <x:c r="T1848" s="25" t="str">
        <x:v>Confirm direct principal versus broker, $100K-$500K appetite, and whether capital can fund the operating company without a property mortgage.</x:v>
      </x:c>
      <x:c r="U1848" s="25" t="str">
        <x:v>https://www.privatelendersdirectory.com/united-states/scottsdale/top-level-category/atlas-phoenix
https://www.atlasphx.com/</x:v>
      </x:c>
      <x:c r="V1848" s="26" t="d">
        <x:v>2026-10-02T00:00:00.000Z</x:v>
      </x:c>
      <x:c r="W1848" s="26" t="d">
        <x:v>2026-09-30T00:00:00.000Z</x:v>
      </x:c>
      <x:c r="X1848" s="25" t="str">
        <x:v>Saved public company, industry-directory or regulatory source; source date retained</x:v>
      </x:c>
      <x:c r="Y1848" s="25" t="str">
        <x:v>https://www.atlasphx.com/</x:v>
      </x:c>
      <x:c r="Z1848" s="25"/>
      <x:c r="AA1848" s="25" t="str">
        <x:v>[]</x:v>
      </x:c>
      <x:c r="AB1848" s="3" t="str">
        <x:v>Existing CapitalForge research, newly screened for this campaign</x:v>
      </x:c>
      <x:c r="AC1848" s="3" t="str">
        <x:v>unverified</x:v>
      </x:c>
      <x:c r="AD1848" s="3" t="str">
        <x:v>Not contacted / unconfirmed</x:v>
      </x:c>
      <x:c r="AE1848" s="3" t="str">
        <x:v>No</x:v>
      </x:c>
      <x:c r="AF1848" s="3" t="str">
        <x:v>No</x:v>
      </x:c>
      <x:c r="AG1848" s="3"/>
      <x:c r="AH1848" s="3"/>
      <x:c r="AI1848" s="18"/>
      <x:c r="AJ1848" s="3" t="str">
        <x:v>CF2500-D2E2B8D97E5F</x:v>
      </x:c>
      <x:c r="AK1848" s="3" t="str">
        <x:v>private_real_estate_lender</x:v>
      </x:c>
      <x:c r="AL1848" s="19" t="n">
        <x:v>100000</x:v>
      </x:c>
      <x:c r="AM1848" s="19" t="n">
        <x:v>500000</x:v>
      </x:c>
      <x:c r="AN1848" s="3" t="str">
        <x:v>https://www.privatelendersdirectory.com/united-states/scottsdale/top-level-category/atlas-phoenix</x:v>
      </x:c>
      <x:c r="AO1848" s="3" t="str">
        <x:v>public_directory.jsonl</x:v>
      </x:c>
      <x:c r="AP1848" s="19"/>
    </x:row>
    <x:row r="1849" ht="36" customHeight="1">
      <x:c r="A1849" s="23" t="n">
        <x:v>1848</x:v>
      </x:c>
      <x:c r="B1849" s="15" t="str">
        <x:v>AVANTI CAPITAL MANAGEMENT</x:v>
      </x:c>
      <x:c r="C1849" s="15"/>
      <x:c r="D1849" s="15" t="str">
        <x:v>Property lender or directory member; operating-company capital unconfirmed</x:v>
      </x:c>
      <x:c r="E1849" s="15" t="str">
        <x:v>Property lender / private-money inquiry</x:v>
      </x:c>
      <x:c r="F1849" s="17" t="str">
        <x:v>New</x:v>
      </x:c>
      <x:c r="G1849" s="24" t="str">
        <x:v>info@avanti.us</x:v>
      </x:c>
      <x:c r="H1849" s="24"/>
      <x:c r="I1849" s="24" t="str">
        <x:v>https://www.avanti.us/</x:v>
      </x:c>
      <x:c r="J1849" s="16" t="str">
        <x:v>TX</x:v>
      </x:c>
      <x:c r="K1849" s="16" t="str">
        <x:v>Houston</x:v>
      </x:c>
      <x:c r="L1849" s="16" t="str">
        <x:v>firm_business_routing</x:v>
      </x:c>
      <x:c r="M1849" s="16" t="str">
        <x:v>https://www.avanti.us/</x:v>
      </x:c>
      <x:c r="N1849" s="16" t="str">
        <x:v>$100K-$500K ticket not published / unconfirmed</x:v>
      </x:c>
      <x:c r="O1849" s="20"/>
      <x:c r="P1849" s="20"/>
      <x:c r="Q1849" s="25" t="str">
        <x:v>Property-loan range, not a corporate-capital commitment</x:v>
      </x:c>
      <x:c r="R1849" s="25" t="str">
        <x:v>Private real-estate finance experience. Corporate working capital, minority equity or profit participation requires a separate agreement from a property loan.</x:v>
      </x:c>
      <x:c r="S1849" s="25"/>
      <x:c r="T1849" s="25" t="str">
        <x:v>Confirm direct principal versus broker, $100K-$500K appetite, and whether capital can fund the operating company without a property mortgage.</x:v>
      </x:c>
      <x:c r="U1849" s="25" t="str">
        <x:v>https://www.privatelendersdirectory.com/united-states/houston/real-estate-investment-lending/avanti-capital-management
https://www.avanti.us/</x:v>
      </x:c>
      <x:c r="V1849" s="26" t="d">
        <x:v>2026-10-02T00:00:00.000Z</x:v>
      </x:c>
      <x:c r="W1849" s="26" t="d">
        <x:v>2026-09-30T00:00:00.000Z</x:v>
      </x:c>
      <x:c r="X1849" s="25" t="str">
        <x:v>Saved public company, industry-directory or regulatory source; source date retained</x:v>
      </x:c>
      <x:c r="Y1849" s="25" t="str">
        <x:v>https://www.avanti.us/</x:v>
      </x:c>
      <x:c r="Z1849" s="25"/>
      <x:c r="AA1849" s="25" t="str">
        <x:v>[]</x:v>
      </x:c>
      <x:c r="AB1849" s="3" t="str">
        <x:v>Existing CapitalForge research, newly screened for this campaign</x:v>
      </x:c>
      <x:c r="AC1849" s="3" t="str">
        <x:v>unverified</x:v>
      </x:c>
      <x:c r="AD1849" s="3" t="str">
        <x:v>Not contacted / unconfirmed</x:v>
      </x:c>
      <x:c r="AE1849" s="3" t="str">
        <x:v>No</x:v>
      </x:c>
      <x:c r="AF1849" s="3" t="str">
        <x:v>No</x:v>
      </x:c>
      <x:c r="AG1849" s="3"/>
      <x:c r="AH1849" s="3"/>
      <x:c r="AI1849" s="18"/>
      <x:c r="AJ1849" s="3" t="str">
        <x:v>CF2500-CBBA7419C758</x:v>
      </x:c>
      <x:c r="AK1849" s="3" t="str">
        <x:v>private_real_estate_lender</x:v>
      </x:c>
      <x:c r="AL1849" s="19" t="n">
        <x:v>100000</x:v>
      </x:c>
      <x:c r="AM1849" s="19" t="n">
        <x:v>500000</x:v>
      </x:c>
      <x:c r="AN1849" s="3" t="str">
        <x:v>https://www.privatelendersdirectory.com/united-states/houston/real-estate-investment-lending/avanti-capital-management</x:v>
      </x:c>
      <x:c r="AO1849" s="3" t="str">
        <x:v>public_directory.jsonl</x:v>
      </x:c>
      <x:c r="AP1849" s="19"/>
    </x:row>
    <x:row r="1850" ht="36" customHeight="1">
      <x:c r="A1850" s="23" t="n">
        <x:v>1849</x:v>
      </x:c>
      <x:c r="B1850" s="15" t="str">
        <x:v>BRIDGE MORTGAGE BANKERS</x:v>
      </x:c>
      <x:c r="C1850" s="15"/>
      <x:c r="D1850" s="15" t="str">
        <x:v>Property lender or directory member; operating-company capital unconfirmed</x:v>
      </x:c>
      <x:c r="E1850" s="15" t="str">
        <x:v>Property lender / private-money inquiry</x:v>
      </x:c>
      <x:c r="F1850" s="17" t="str">
        <x:v>New</x:v>
      </x:c>
      <x:c r="G1850" s="24" t="str">
        <x:v>info@bmbankers.com</x:v>
      </x:c>
      <x:c r="H1850" s="24"/>
      <x:c r="I1850" s="24" t="str">
        <x:v>https://www.bmbankers.com/</x:v>
      </x:c>
      <x:c r="J1850" s="16" t="str">
        <x:v>FL</x:v>
      </x:c>
      <x:c r="K1850" s="16" t="str">
        <x:v>Miami</x:v>
      </x:c>
      <x:c r="L1850" s="16" t="str">
        <x:v>firm_business_routing</x:v>
      </x:c>
      <x:c r="M1850" s="16" t="str">
        <x:v>https://www.bmbankers.com/</x:v>
      </x:c>
      <x:c r="N1850" s="16" t="str">
        <x:v>$100K-$500K ticket not published / unconfirmed</x:v>
      </x:c>
      <x:c r="O1850" s="20"/>
      <x:c r="P1850" s="20"/>
      <x:c r="Q1850" s="25" t="str">
        <x:v>Property-loan range, not a corporate-capital commitment</x:v>
      </x:c>
      <x:c r="R1850" s="25" t="str">
        <x:v>Private real-estate finance experience. Corporate working capital, minority equity or profit participation requires a separate agreement from a property loan.</x:v>
      </x:c>
      <x:c r="S1850" s="25"/>
      <x:c r="T1850" s="25" t="str">
        <x:v>Confirm direct principal versus broker, $100K-$500K appetite, and whether capital can fund the operating company without a property mortgage.</x:v>
      </x:c>
      <x:c r="U1850" s="25" t="str">
        <x:v>https://www.privatelendersdirectory.com/united-states/miami/top-level-category/bridge-mortgage-bankers
https://www.bmbankers.com/contact-us/</x:v>
      </x:c>
      <x:c r="V1850" s="26" t="d">
        <x:v>2026-10-02T00:00:00.000Z</x:v>
      </x:c>
      <x:c r="W1850" s="26" t="d">
        <x:v>2026-09-30T00:00:00.000Z</x:v>
      </x:c>
      <x:c r="X1850" s="25" t="str">
        <x:v>Saved public company, industry-directory or regulatory source; source date retained</x:v>
      </x:c>
      <x:c r="Y1850" s="25" t="str">
        <x:v>https://www.bmbankers.com/contact-us/</x:v>
      </x:c>
      <x:c r="Z1850" s="25"/>
      <x:c r="AA1850" s="25" t="str">
        <x:v>[]</x:v>
      </x:c>
      <x:c r="AB1850" s="3" t="str">
        <x:v>Existing CapitalForge research, newly screened for this campaign</x:v>
      </x:c>
      <x:c r="AC1850" s="3" t="str">
        <x:v>unverified</x:v>
      </x:c>
      <x:c r="AD1850" s="3" t="str">
        <x:v>Not contacted / unconfirmed</x:v>
      </x:c>
      <x:c r="AE1850" s="3" t="str">
        <x:v>No</x:v>
      </x:c>
      <x:c r="AF1850" s="3" t="str">
        <x:v>No</x:v>
      </x:c>
      <x:c r="AG1850" s="3"/>
      <x:c r="AH1850" s="3"/>
      <x:c r="AI1850" s="18"/>
      <x:c r="AJ1850" s="3" t="str">
        <x:v>CF2500-62546C4668BD</x:v>
      </x:c>
      <x:c r="AK1850" s="3" t="str">
        <x:v>private_real_estate_lender</x:v>
      </x:c>
      <x:c r="AL1850" s="19" t="n">
        <x:v>100000</x:v>
      </x:c>
      <x:c r="AM1850" s="19" t="n">
        <x:v>500000</x:v>
      </x:c>
      <x:c r="AN1850" s="3" t="str">
        <x:v>https://www.privatelendersdirectory.com/united-states/miami/top-level-category/bridge-mortgage-bankers</x:v>
      </x:c>
      <x:c r="AO1850" s="3" t="str">
        <x:v>public_directory.jsonl</x:v>
      </x:c>
      <x:c r="AP1850" s="19"/>
    </x:row>
    <x:row r="1851" ht="36" customHeight="1">
      <x:c r="A1851" s="23" t="n">
        <x:v>1850</x:v>
      </x:c>
      <x:c r="B1851" s="15" t="str">
        <x:v>CAPITAL AX</x:v>
      </x:c>
      <x:c r="C1851" s="15"/>
      <x:c r="D1851" s="15" t="str">
        <x:v>Property lender or directory member; operating-company capital unconfirmed</x:v>
      </x:c>
      <x:c r="E1851" s="15" t="str">
        <x:v>Property lender / private-money inquiry</x:v>
      </x:c>
      <x:c r="F1851" s="17" t="str">
        <x:v>New</x:v>
      </x:c>
      <x:c r="G1851" s="24" t="str">
        <x:v>info@capitalax.com</x:v>
      </x:c>
      <x:c r="H1851" s="24"/>
      <x:c r="I1851" s="24" t="str">
        <x:v>https://capitalax.com/</x:v>
      </x:c>
      <x:c r="J1851" s="16" t="str">
        <x:v>TX</x:v>
      </x:c>
      <x:c r="K1851" s="16" t="str">
        <x:v>Austin</x:v>
      </x:c>
      <x:c r="L1851" s="16" t="str">
        <x:v>firm_business_routing</x:v>
      </x:c>
      <x:c r="M1851" s="16" t="str">
        <x:v>https://capitalax.com/</x:v>
      </x:c>
      <x:c r="N1851" s="16" t="str">
        <x:v>$100K-$500K ticket not published / unconfirmed</x:v>
      </x:c>
      <x:c r="O1851" s="20"/>
      <x:c r="P1851" s="20"/>
      <x:c r="Q1851" s="25" t="str">
        <x:v>Property-loan range, not a corporate-capital commitment</x:v>
      </x:c>
      <x:c r="R1851" s="25" t="str">
        <x:v>Private real-estate finance experience. Corporate working capital, minority equity or profit participation requires a separate agreement from a property loan.</x:v>
      </x:c>
      <x:c r="S1851" s="25"/>
      <x:c r="T1851" s="25" t="str">
        <x:v>Confirm direct principal versus broker, $100K-$500K appetite, and whether capital can fund the operating company without a property mortgage.</x:v>
      </x:c>
      <x:c r="U1851" s="25" t="str">
        <x:v>https://www.privatelendersdirectory.com/united-states/austin/top-level-category/capital-ax
https://capitalax.com/</x:v>
      </x:c>
      <x:c r="V1851" s="26" t="d">
        <x:v>2026-10-02T00:00:00.000Z</x:v>
      </x:c>
      <x:c r="W1851" s="26" t="d">
        <x:v>2026-09-30T00:00:00.000Z</x:v>
      </x:c>
      <x:c r="X1851" s="25" t="str">
        <x:v>Saved public company, industry-directory or regulatory source; source date retained</x:v>
      </x:c>
      <x:c r="Y1851" s="25" t="str">
        <x:v>https://capitalax.com/</x:v>
      </x:c>
      <x:c r="Z1851" s="25"/>
      <x:c r="AA1851" s="25" t="str">
        <x:v>[]</x:v>
      </x:c>
      <x:c r="AB1851" s="3" t="str">
        <x:v>Existing CapitalForge research, newly screened for this campaign</x:v>
      </x:c>
      <x:c r="AC1851" s="3" t="str">
        <x:v>unverified</x:v>
      </x:c>
      <x:c r="AD1851" s="3" t="str">
        <x:v>Not contacted / unconfirmed</x:v>
      </x:c>
      <x:c r="AE1851" s="3" t="str">
        <x:v>No</x:v>
      </x:c>
      <x:c r="AF1851" s="3" t="str">
        <x:v>No</x:v>
      </x:c>
      <x:c r="AG1851" s="3"/>
      <x:c r="AH1851" s="3"/>
      <x:c r="AI1851" s="18"/>
      <x:c r="AJ1851" s="3" t="str">
        <x:v>CF2500-BBBD81FEBEBB</x:v>
      </x:c>
      <x:c r="AK1851" s="3" t="str">
        <x:v>private_real_estate_lender</x:v>
      </x:c>
      <x:c r="AL1851" s="19" t="n">
        <x:v>100000</x:v>
      </x:c>
      <x:c r="AM1851" s="19" t="n">
        <x:v>500000</x:v>
      </x:c>
      <x:c r="AN1851" s="3" t="str">
        <x:v>https://www.privatelendersdirectory.com/united-states/austin/top-level-category/capital-ax</x:v>
      </x:c>
      <x:c r="AO1851" s="3" t="str">
        <x:v>public_directory.jsonl</x:v>
      </x:c>
      <x:c r="AP1851" s="19"/>
    </x:row>
    <x:row r="1852" ht="36" customHeight="1">
      <x:c r="A1852" s="23" t="n">
        <x:v>1851</x:v>
      </x:c>
      <x:c r="B1852" s="15" t="str">
        <x:v>CAPYTAL</x:v>
      </x:c>
      <x:c r="C1852" s="15"/>
      <x:c r="D1852" s="15" t="str">
        <x:v>Property lender or directory member; operating-company capital unconfirmed</x:v>
      </x:c>
      <x:c r="E1852" s="15" t="str">
        <x:v>Property lender / private-money inquiry</x:v>
      </x:c>
      <x:c r="F1852" s="17" t="str">
        <x:v>New</x:v>
      </x:c>
      <x:c r="G1852" s="24" t="str">
        <x:v>info@capytal.com</x:v>
      </x:c>
      <x:c r="H1852" s="24"/>
      <x:c r="I1852" s="24" t="str">
        <x:v>https://www.capytal.com/</x:v>
      </x:c>
      <x:c r="J1852" s="16" t="str">
        <x:v>FL</x:v>
      </x:c>
      <x:c r="K1852" s="16" t="str">
        <x:v>Miami</x:v>
      </x:c>
      <x:c r="L1852" s="16" t="str">
        <x:v>firm_business_routing</x:v>
      </x:c>
      <x:c r="M1852" s="16" t="str">
        <x:v>https://www.capytal.com/</x:v>
      </x:c>
      <x:c r="N1852" s="16" t="str">
        <x:v>$100K-$500K ticket not published / unconfirmed</x:v>
      </x:c>
      <x:c r="O1852" s="20"/>
      <x:c r="P1852" s="20"/>
      <x:c r="Q1852" s="25" t="str">
        <x:v>Property-loan range, not a corporate-capital commitment</x:v>
      </x:c>
      <x:c r="R1852" s="25" t="str">
        <x:v>Private real-estate finance experience. Corporate working capital, minority equity or profit participation requires a separate agreement from a property loan.</x:v>
      </x:c>
      <x:c r="S1852" s="25"/>
      <x:c r="T1852" s="25" t="str">
        <x:v>Confirm direct principal versus broker, $100K-$500K appetite, and whether capital can fund the operating company without a property mortgage.</x:v>
      </x:c>
      <x:c r="U1852" s="25" t="str">
        <x:v>https://www.privatelendersdirectory.com/united-states/miami/top-level-category/capytal
https://www.capytal.com/</x:v>
      </x:c>
      <x:c r="V1852" s="26" t="d">
        <x:v>2026-10-02T00:00:00.000Z</x:v>
      </x:c>
      <x:c r="W1852" s="26" t="d">
        <x:v>2026-09-30T00:00:00.000Z</x:v>
      </x:c>
      <x:c r="X1852" s="25" t="str">
        <x:v>Saved public company, industry-directory or regulatory source; source date retained</x:v>
      </x:c>
      <x:c r="Y1852" s="25" t="str">
        <x:v>https://www.capytal.com/</x:v>
      </x:c>
      <x:c r="Z1852" s="25"/>
      <x:c r="AA1852" s="25" t="str">
        <x:v>[]</x:v>
      </x:c>
      <x:c r="AB1852" s="3" t="str">
        <x:v>Existing CapitalForge research, newly screened for this campaign</x:v>
      </x:c>
      <x:c r="AC1852" s="3" t="str">
        <x:v>unverified</x:v>
      </x:c>
      <x:c r="AD1852" s="3" t="str">
        <x:v>Not contacted / unconfirmed</x:v>
      </x:c>
      <x:c r="AE1852" s="3" t="str">
        <x:v>No</x:v>
      </x:c>
      <x:c r="AF1852" s="3" t="str">
        <x:v>No</x:v>
      </x:c>
      <x:c r="AG1852" s="3"/>
      <x:c r="AH1852" s="3"/>
      <x:c r="AI1852" s="18"/>
      <x:c r="AJ1852" s="3" t="str">
        <x:v>CF2500-8F7836F57AED</x:v>
      </x:c>
      <x:c r="AK1852" s="3" t="str">
        <x:v>private_real_estate_lender</x:v>
      </x:c>
      <x:c r="AL1852" s="19" t="n">
        <x:v>100000</x:v>
      </x:c>
      <x:c r="AM1852" s="19" t="n">
        <x:v>500000</x:v>
      </x:c>
      <x:c r="AN1852" s="3" t="str">
        <x:v>https://www.privatelendersdirectory.com/united-states/miami/top-level-category/capytal</x:v>
      </x:c>
      <x:c r="AO1852" s="3" t="str">
        <x:v>public_directory.jsonl</x:v>
      </x:c>
      <x:c r="AP1852" s="19"/>
    </x:row>
    <x:row r="1853" ht="36" customHeight="1">
      <x:c r="A1853" s="23" t="n">
        <x:v>1852</x:v>
      </x:c>
      <x:c r="B1853" s="15" t="str">
        <x:v>CLEVER INVESTOR</x:v>
      </x:c>
      <x:c r="C1853" s="15"/>
      <x:c r="D1853" s="15" t="str">
        <x:v>Property lender or directory member; operating-company capital unconfirmed</x:v>
      </x:c>
      <x:c r="E1853" s="15" t="str">
        <x:v>Property lender / private-money inquiry</x:v>
      </x:c>
      <x:c r="F1853" s="17" t="str">
        <x:v>New</x:v>
      </x:c>
      <x:c r="G1853" s="24" t="str">
        <x:v>support@cleverinvestor.com</x:v>
      </x:c>
      <x:c r="H1853" s="24"/>
      <x:c r="I1853" s="24" t="str">
        <x:v>https://cleverinvestor.com/</x:v>
      </x:c>
      <x:c r="J1853" s="16" t="str">
        <x:v>AZ</x:v>
      </x:c>
      <x:c r="K1853" s="16" t="str">
        <x:v>Tempe</x:v>
      </x:c>
      <x:c r="L1853" s="16" t="str">
        <x:v>firm_business_routing</x:v>
      </x:c>
      <x:c r="M1853" s="16" t="str">
        <x:v>https://cleverinvestor.com/</x:v>
      </x:c>
      <x:c r="N1853" s="16" t="str">
        <x:v>$100K-$500K ticket not published / unconfirmed</x:v>
      </x:c>
      <x:c r="O1853" s="20"/>
      <x:c r="P1853" s="20"/>
      <x:c r="Q1853" s="25" t="str">
        <x:v>Property-loan range, not a corporate-capital commitment</x:v>
      </x:c>
      <x:c r="R1853" s="25" t="str">
        <x:v>Private real-estate finance experience. Corporate working capital, minority equity or profit participation requires a separate agreement from a property loan.</x:v>
      </x:c>
      <x:c r="S1853" s="25"/>
      <x:c r="T1853" s="25" t="str">
        <x:v>Confirm direct principal versus broker, $100K-$500K appetite, and whether capital can fund the operating company without a property mortgage.</x:v>
      </x:c>
      <x:c r="U1853" s="25" t="str">
        <x:v>https://www.privatelendersdirectory.com/united-states/tempe/top-level-category/clever-investor
https://cleverinvestor.com/</x:v>
      </x:c>
      <x:c r="V1853" s="26" t="d">
        <x:v>2026-10-02T00:00:00.000Z</x:v>
      </x:c>
      <x:c r="W1853" s="26" t="d">
        <x:v>2026-09-30T00:00:00.000Z</x:v>
      </x:c>
      <x:c r="X1853" s="25" t="str">
        <x:v>Saved public company, industry-directory or regulatory source; source date retained</x:v>
      </x:c>
      <x:c r="Y1853" s="25" t="str">
        <x:v>https://cleverinvestor.com/</x:v>
      </x:c>
      <x:c r="Z1853" s="25"/>
      <x:c r="AA1853" s="25" t="str">
        <x:v>[]</x:v>
      </x:c>
      <x:c r="AB1853" s="3" t="str">
        <x:v>Existing CapitalForge research, newly screened for this campaign</x:v>
      </x:c>
      <x:c r="AC1853" s="3" t="str">
        <x:v>unverified</x:v>
      </x:c>
      <x:c r="AD1853" s="3" t="str">
        <x:v>Not contacted / unconfirmed</x:v>
      </x:c>
      <x:c r="AE1853" s="3" t="str">
        <x:v>No</x:v>
      </x:c>
      <x:c r="AF1853" s="3" t="str">
        <x:v>No</x:v>
      </x:c>
      <x:c r="AG1853" s="3"/>
      <x:c r="AH1853" s="3"/>
      <x:c r="AI1853" s="18"/>
      <x:c r="AJ1853" s="3" t="str">
        <x:v>CF2500-A6D40B2552B3</x:v>
      </x:c>
      <x:c r="AK1853" s="3" t="str">
        <x:v>private_real_estate_lender</x:v>
      </x:c>
      <x:c r="AL1853" s="19" t="n">
        <x:v>100000</x:v>
      </x:c>
      <x:c r="AM1853" s="19" t="n">
        <x:v>500000</x:v>
      </x:c>
      <x:c r="AN1853" s="3" t="str">
        <x:v>https://www.privatelendersdirectory.com/united-states/tempe/top-level-category/clever-investor</x:v>
      </x:c>
      <x:c r="AO1853" s="3" t="str">
        <x:v>public_directory.jsonl</x:v>
      </x:c>
      <x:c r="AP1853" s="19"/>
    </x:row>
    <x:row r="1854" ht="36" customHeight="1">
      <x:c r="A1854" s="23" t="n">
        <x:v>1853</x:v>
      </x:c>
      <x:c r="B1854" s="15" t="str">
        <x:v>CLUTCH LENDING</x:v>
      </x:c>
      <x:c r="C1854" s="15"/>
      <x:c r="D1854" s="15" t="str">
        <x:v>Property lender or directory member; operating-company capital unconfirmed</x:v>
      </x:c>
      <x:c r="E1854" s="15" t="str">
        <x:v>Property lender / private-money inquiry</x:v>
      </x:c>
      <x:c r="F1854" s="17" t="str">
        <x:v>New</x:v>
      </x:c>
      <x:c r="G1854" s="24" t="str">
        <x:v>bobby@clutchloan.com</x:v>
      </x:c>
      <x:c r="H1854" s="24"/>
      <x:c r="I1854" s="24" t="str">
        <x:v>https://www.clutchloan.com/</x:v>
      </x:c>
      <x:c r="J1854" s="16" t="str">
        <x:v>TX</x:v>
      </x:c>
      <x:c r="K1854" s="16" t="str">
        <x:v>Fort Worth</x:v>
      </x:c>
      <x:c r="L1854" s="16" t="str">
        <x:v>firm_business_routing</x:v>
      </x:c>
      <x:c r="M1854" s="16" t="str">
        <x:v>https://www.clutchloan.com/</x:v>
      </x:c>
      <x:c r="N1854" s="16" t="str">
        <x:v>$100K-$500K ticket not published / unconfirmed</x:v>
      </x:c>
      <x:c r="O1854" s="20"/>
      <x:c r="P1854" s="20"/>
      <x:c r="Q1854" s="25" t="str">
        <x:v>Property-loan range, not a corporate-capital commitment</x:v>
      </x:c>
      <x:c r="R1854" s="25" t="str">
        <x:v>Private real-estate finance experience. Corporate working capital, minority equity or profit participation requires a separate agreement from a property loan.</x:v>
      </x:c>
      <x:c r="S1854" s="25"/>
      <x:c r="T1854" s="25" t="str">
        <x:v>Confirm direct principal versus broker, $100K-$500K appetite, and whether capital can fund the operating company without a property mortgage.</x:v>
      </x:c>
      <x:c r="U1854" s="25" t="str">
        <x:v>https://www.privatelendersdirectory.com/united-states/fort-worth/real-estate-investment-lending/clutch-lending
https://www.clutchloan.com/</x:v>
      </x:c>
      <x:c r="V1854" s="26" t="d">
        <x:v>2026-10-02T00:00:00.000Z</x:v>
      </x:c>
      <x:c r="W1854" s="26" t="d">
        <x:v>2026-09-30T00:00:00.000Z</x:v>
      </x:c>
      <x:c r="X1854" s="25" t="str">
        <x:v>Saved public company, industry-directory or regulatory source; source date retained</x:v>
      </x:c>
      <x:c r="Y1854" s="25" t="str">
        <x:v>https://www.clutchloan.com/</x:v>
      </x:c>
      <x:c r="Z1854" s="25"/>
      <x:c r="AA1854" s="25" t="str">
        <x:v>[]</x:v>
      </x:c>
      <x:c r="AB1854" s="3" t="str">
        <x:v>Existing CapitalForge research, newly screened for this campaign</x:v>
      </x:c>
      <x:c r="AC1854" s="3" t="str">
        <x:v>unverified</x:v>
      </x:c>
      <x:c r="AD1854" s="3" t="str">
        <x:v>Not contacted / unconfirmed</x:v>
      </x:c>
      <x:c r="AE1854" s="3" t="str">
        <x:v>No</x:v>
      </x:c>
      <x:c r="AF1854" s="3" t="str">
        <x:v>No</x:v>
      </x:c>
      <x:c r="AG1854" s="3"/>
      <x:c r="AH1854" s="3"/>
      <x:c r="AI1854" s="18"/>
      <x:c r="AJ1854" s="3" t="str">
        <x:v>CF2500-4A825EF603AA</x:v>
      </x:c>
      <x:c r="AK1854" s="3" t="str">
        <x:v>private_real_estate_lender</x:v>
      </x:c>
      <x:c r="AL1854" s="19" t="n">
        <x:v>100000</x:v>
      </x:c>
      <x:c r="AM1854" s="19" t="n">
        <x:v>500000</x:v>
      </x:c>
      <x:c r="AN1854" s="3" t="str">
        <x:v>https://www.privatelendersdirectory.com/united-states/fort-worth/real-estate-investment-lending/clutch-lending</x:v>
      </x:c>
      <x:c r="AO1854" s="3" t="str">
        <x:v>public_directory.jsonl</x:v>
      </x:c>
      <x:c r="AP1854" s="19"/>
    </x:row>
    <x:row r="1855" ht="36" customHeight="1">
      <x:c r="A1855" s="23" t="n">
        <x:v>1854</x:v>
      </x:c>
      <x:c r="B1855" s="15" t="str">
        <x:v>CV CONSULTING</x:v>
      </x:c>
      <x:c r="C1855" s="15"/>
      <x:c r="D1855" s="15" t="str">
        <x:v>Property lender or directory member; operating-company capital unconfirmed</x:v>
      </x:c>
      <x:c r="E1855" s="15" t="str">
        <x:v>Property lender / private-money inquiry</x:v>
      </x:c>
      <x:c r="F1855" s="17" t="str">
        <x:v>New</x:v>
      </x:c>
      <x:c r="G1855" s="24" t="str">
        <x:v>info@cvconsultingfirms.com</x:v>
      </x:c>
      <x:c r="H1855" s="24"/>
      <x:c r="I1855" s="24" t="str">
        <x:v>https://cvconsultingfirms.com/</x:v>
      </x:c>
      <x:c r="J1855" s="16" t="str">
        <x:v>IL</x:v>
      </x:c>
      <x:c r="K1855" s="16" t="str">
        <x:v>Chicago</x:v>
      </x:c>
      <x:c r="L1855" s="16" t="str">
        <x:v>firm_business_routing</x:v>
      </x:c>
      <x:c r="M1855" s="16" t="str">
        <x:v>https://cvconsultingfirms.com/</x:v>
      </x:c>
      <x:c r="N1855" s="16" t="str">
        <x:v>$100K-$500K ticket not published / unconfirmed</x:v>
      </x:c>
      <x:c r="O1855" s="20"/>
      <x:c r="P1855" s="20"/>
      <x:c r="Q1855" s="25" t="str">
        <x:v>Property-loan range, not a corporate-capital commitment</x:v>
      </x:c>
      <x:c r="R1855" s="25" t="str">
        <x:v>Private real-estate finance experience. Corporate working capital, minority equity or profit participation requires a separate agreement from a property loan.</x:v>
      </x:c>
      <x:c r="S1855" s="25"/>
      <x:c r="T1855" s="25" t="str">
        <x:v>Confirm direct principal versus broker, $100K-$500K appetite, and whether capital can fund the operating company without a property mortgage.</x:v>
      </x:c>
      <x:c r="U1855" s="25" t="str">
        <x:v>https://www.privatelendersdirectory.com/united-states/chicago/top-level-category/cv-consulting
https://cvconsultingfirms.com/</x:v>
      </x:c>
      <x:c r="V1855" s="26" t="d">
        <x:v>2026-10-02T00:00:00.000Z</x:v>
      </x:c>
      <x:c r="W1855" s="26" t="d">
        <x:v>2026-09-30T00:00:00.000Z</x:v>
      </x:c>
      <x:c r="X1855" s="25" t="str">
        <x:v>Saved public company, industry-directory or regulatory source; source date retained</x:v>
      </x:c>
      <x:c r="Y1855" s="25" t="str">
        <x:v>https://cvconsultingfirms.com/</x:v>
      </x:c>
      <x:c r="Z1855" s="25"/>
      <x:c r="AA1855" s="25" t="str">
        <x:v>[]</x:v>
      </x:c>
      <x:c r="AB1855" s="3" t="str">
        <x:v>Existing CapitalForge research, newly screened for this campaign</x:v>
      </x:c>
      <x:c r="AC1855" s="3" t="str">
        <x:v>unverified</x:v>
      </x:c>
      <x:c r="AD1855" s="3" t="str">
        <x:v>Not contacted / unconfirmed</x:v>
      </x:c>
      <x:c r="AE1855" s="3" t="str">
        <x:v>No</x:v>
      </x:c>
      <x:c r="AF1855" s="3" t="str">
        <x:v>No</x:v>
      </x:c>
      <x:c r="AG1855" s="3"/>
      <x:c r="AH1855" s="3"/>
      <x:c r="AI1855" s="18"/>
      <x:c r="AJ1855" s="3" t="str">
        <x:v>CF2500-051DDDD72D58</x:v>
      </x:c>
      <x:c r="AK1855" s="3" t="str">
        <x:v>private_real_estate_lender</x:v>
      </x:c>
      <x:c r="AL1855" s="19" t="n">
        <x:v>100000</x:v>
      </x:c>
      <x:c r="AM1855" s="19" t="n">
        <x:v>500000</x:v>
      </x:c>
      <x:c r="AN1855" s="3" t="str">
        <x:v>https://www.privatelendersdirectory.com/united-states/chicago/top-level-category/cv-consulting</x:v>
      </x:c>
      <x:c r="AO1855" s="3" t="str">
        <x:v>public_directory.jsonl</x:v>
      </x:c>
      <x:c r="AP1855" s="19"/>
    </x:row>
    <x:row r="1856" ht="36" customHeight="1">
      <x:c r="A1856" s="23" t="n">
        <x:v>1855</x:v>
      </x:c>
      <x:c r="B1856" s="15" t="str">
        <x:v>DARK HORSE CAPITAL</x:v>
      </x:c>
      <x:c r="C1856" s="15"/>
      <x:c r="D1856" s="15" t="str">
        <x:v>Property lender or directory member; operating-company capital unconfirmed</x:v>
      </x:c>
      <x:c r="E1856" s="15" t="str">
        <x:v>Property lender / private-money inquiry</x:v>
      </x:c>
      <x:c r="F1856" s="17" t="str">
        <x:v>New</x:v>
      </x:c>
      <x:c r="G1856" s="24" t="str">
        <x:v>investorrelations@darkhorse.capital</x:v>
      </x:c>
      <x:c r="H1856" s="24"/>
      <x:c r="I1856" s="24" t="str">
        <x:v>https://darkhorse.capital/</x:v>
      </x:c>
      <x:c r="J1856" s="16" t="str">
        <x:v>FL</x:v>
      </x:c>
      <x:c r="K1856" s="16" t="str">
        <x:v>Jacksonville</x:v>
      </x:c>
      <x:c r="L1856" s="16" t="str">
        <x:v>firm_business_routing</x:v>
      </x:c>
      <x:c r="M1856" s="16" t="str">
        <x:v>https://darkhorse.capital/</x:v>
      </x:c>
      <x:c r="N1856" s="16" t="str">
        <x:v>$100K-$500K ticket not published / unconfirmed</x:v>
      </x:c>
      <x:c r="O1856" s="20"/>
      <x:c r="P1856" s="20"/>
      <x:c r="Q1856" s="25" t="str">
        <x:v>Property-loan range, not a corporate-capital commitment</x:v>
      </x:c>
      <x:c r="R1856" s="25" t="str">
        <x:v>Private real-estate finance experience. Corporate working capital, minority equity or profit participation requires a separate agreement from a property loan.</x:v>
      </x:c>
      <x:c r="S1856" s="25"/>
      <x:c r="T1856" s="25" t="str">
        <x:v>Confirm direct principal versus broker, $100K-$500K appetite, and whether capital can fund the operating company without a property mortgage.</x:v>
      </x:c>
      <x:c r="U1856" s="25" t="str">
        <x:v>https://www.privatelendersdirectory.com/united-states/jacksonville/real-estate-investment-lending/dark-horse-capital
https://darkhorse.capital/</x:v>
      </x:c>
      <x:c r="V1856" s="26" t="d">
        <x:v>2026-10-02T00:00:00.000Z</x:v>
      </x:c>
      <x:c r="W1856" s="26" t="d">
        <x:v>2026-09-30T00:00:00.000Z</x:v>
      </x:c>
      <x:c r="X1856" s="25" t="str">
        <x:v>Saved public company, industry-directory or regulatory source; source date retained</x:v>
      </x:c>
      <x:c r="Y1856" s="25" t="str">
        <x:v>https://darkhorse.capital/</x:v>
      </x:c>
      <x:c r="Z1856" s="25"/>
      <x:c r="AA1856" s="25" t="str">
        <x:v>[]</x:v>
      </x:c>
      <x:c r="AB1856" s="3" t="str">
        <x:v>Existing CapitalForge research, newly screened for this campaign</x:v>
      </x:c>
      <x:c r="AC1856" s="3" t="str">
        <x:v>unverified</x:v>
      </x:c>
      <x:c r="AD1856" s="3" t="str">
        <x:v>Not contacted / unconfirmed</x:v>
      </x:c>
      <x:c r="AE1856" s="3" t="str">
        <x:v>No</x:v>
      </x:c>
      <x:c r="AF1856" s="3" t="str">
        <x:v>No</x:v>
      </x:c>
      <x:c r="AG1856" s="3"/>
      <x:c r="AH1856" s="3"/>
      <x:c r="AI1856" s="18"/>
      <x:c r="AJ1856" s="3" t="str">
        <x:v>CF2500-A9314F844840</x:v>
      </x:c>
      <x:c r="AK1856" s="3" t="str">
        <x:v>private_real_estate_lender</x:v>
      </x:c>
      <x:c r="AL1856" s="19" t="n">
        <x:v>100000</x:v>
      </x:c>
      <x:c r="AM1856" s="19" t="n">
        <x:v>500000</x:v>
      </x:c>
      <x:c r="AN1856" s="3" t="str">
        <x:v>https://www.privatelendersdirectory.com/united-states/jacksonville/real-estate-investment-lending/dark-horse-capital</x:v>
      </x:c>
      <x:c r="AO1856" s="3" t="str">
        <x:v>public_directory.jsonl</x:v>
      </x:c>
      <x:c r="AP1856" s="19"/>
    </x:row>
    <x:row r="1857" ht="36" customHeight="1">
      <x:c r="A1857" s="23" t="n">
        <x:v>1856</x:v>
      </x:c>
      <x:c r="B1857" s="15" t="str">
        <x:v>DRI FUND</x:v>
      </x:c>
      <x:c r="C1857" s="15"/>
      <x:c r="D1857" s="15" t="str">
        <x:v>Property lender or directory member; operating-company capital unconfirmed</x:v>
      </x:c>
      <x:c r="E1857" s="15" t="str">
        <x:v>Property lender / private-money inquiry</x:v>
      </x:c>
      <x:c r="F1857" s="17" t="str">
        <x:v>New</x:v>
      </x:c>
      <x:c r="G1857" s="24" t="str">
        <x:v>info@drifund.com</x:v>
      </x:c>
      <x:c r="H1857" s="24"/>
      <x:c r="I1857" s="24" t="str">
        <x:v>https://drifund.com/</x:v>
      </x:c>
      <x:c r="J1857" s="16" t="str">
        <x:v>FL</x:v>
      </x:c>
      <x:c r="K1857" s="16" t="str">
        <x:v>West Palm Beach</x:v>
      </x:c>
      <x:c r="L1857" s="16" t="str">
        <x:v>firm_business_routing</x:v>
      </x:c>
      <x:c r="M1857" s="16" t="str">
        <x:v>https://drifund.com/</x:v>
      </x:c>
      <x:c r="N1857" s="16" t="str">
        <x:v>$100K-$500K ticket not published / unconfirmed</x:v>
      </x:c>
      <x:c r="O1857" s="20"/>
      <x:c r="P1857" s="20"/>
      <x:c r="Q1857" s="25" t="str">
        <x:v>Property-loan range, not a corporate-capital commitment</x:v>
      </x:c>
      <x:c r="R1857" s="25" t="str">
        <x:v>Private real-estate finance experience. Corporate working capital, minority equity or profit participation requires a separate agreement from a property loan.</x:v>
      </x:c>
      <x:c r="S1857" s="25"/>
      <x:c r="T1857" s="25" t="str">
        <x:v>Confirm direct principal versus broker, $100K-$500K appetite, and whether capital can fund the operating company without a property mortgage.</x:v>
      </x:c>
      <x:c r="U1857" s="25" t="str">
        <x:v>https://www.privatelendersdirectory.com/united-states/west-palm-beach/real-estate-investment-lending/dri-fund
https://drifund.com/</x:v>
      </x:c>
      <x:c r="V1857" s="26" t="d">
        <x:v>2026-10-02T00:00:00.000Z</x:v>
      </x:c>
      <x:c r="W1857" s="26" t="d">
        <x:v>2026-09-30T00:00:00.000Z</x:v>
      </x:c>
      <x:c r="X1857" s="25" t="str">
        <x:v>Saved public company, industry-directory or regulatory source; source date retained</x:v>
      </x:c>
      <x:c r="Y1857" s="25" t="str">
        <x:v>https://drifund.com/</x:v>
      </x:c>
      <x:c r="Z1857" s="25"/>
      <x:c r="AA1857" s="25" t="str">
        <x:v>[]</x:v>
      </x:c>
      <x:c r="AB1857" s="3" t="str">
        <x:v>Existing CapitalForge research, newly screened for this campaign</x:v>
      </x:c>
      <x:c r="AC1857" s="3" t="str">
        <x:v>unverified</x:v>
      </x:c>
      <x:c r="AD1857" s="3" t="str">
        <x:v>Not contacted / unconfirmed</x:v>
      </x:c>
      <x:c r="AE1857" s="3" t="str">
        <x:v>No</x:v>
      </x:c>
      <x:c r="AF1857" s="3" t="str">
        <x:v>No</x:v>
      </x:c>
      <x:c r="AG1857" s="3"/>
      <x:c r="AH1857" s="3"/>
      <x:c r="AI1857" s="18"/>
      <x:c r="AJ1857" s="3" t="str">
        <x:v>CF2500-6506727D369E</x:v>
      </x:c>
      <x:c r="AK1857" s="3" t="str">
        <x:v>private_real_estate_lender</x:v>
      </x:c>
      <x:c r="AL1857" s="19" t="n">
        <x:v>100000</x:v>
      </x:c>
      <x:c r="AM1857" s="19" t="n">
        <x:v>500000</x:v>
      </x:c>
      <x:c r="AN1857" s="3" t="str">
        <x:v>https://www.privatelendersdirectory.com/united-states/west-palm-beach/real-estate-investment-lending/dri-fund</x:v>
      </x:c>
      <x:c r="AO1857" s="3" t="str">
        <x:v>public_directory.jsonl</x:v>
      </x:c>
      <x:c r="AP1857" s="19"/>
    </x:row>
    <x:row r="1858" ht="36" customHeight="1">
      <x:c r="A1858" s="23" t="n">
        <x:v>1857</x:v>
      </x:c>
      <x:c r="B1858" s="15" t="str">
        <x:v>EMPIRE DEVELOPMENT SOLUTIONS</x:v>
      </x:c>
      <x:c r="C1858" s="15"/>
      <x:c r="D1858" s="15" t="str">
        <x:v>Property lender or directory member; operating-company capital unconfirmed</x:v>
      </x:c>
      <x:c r="E1858" s="15" t="str">
        <x:v>Property lender / private-money inquiry</x:v>
      </x:c>
      <x:c r="F1858" s="17" t="str">
        <x:v>New</x:v>
      </x:c>
      <x:c r="G1858" s="24" t="str">
        <x:v>info@empireds.net</x:v>
      </x:c>
      <x:c r="H1858" s="24"/>
      <x:c r="I1858" s="24" t="str">
        <x:v>https://www.empireds.net/</x:v>
      </x:c>
      <x:c r="J1858" s="16" t="str">
        <x:v>TX</x:v>
      </x:c>
      <x:c r="K1858" s="16" t="str">
        <x:v>Frisco</x:v>
      </x:c>
      <x:c r="L1858" s="16" t="str">
        <x:v>firm_business_routing</x:v>
      </x:c>
      <x:c r="M1858" s="16" t="str">
        <x:v>https://www.empireds.net/</x:v>
      </x:c>
      <x:c r="N1858" s="16" t="str">
        <x:v>$100K-$500K ticket not published / unconfirmed</x:v>
      </x:c>
      <x:c r="O1858" s="20"/>
      <x:c r="P1858" s="20"/>
      <x:c r="Q1858" s="25" t="str">
        <x:v>Property-loan range, not a corporate-capital commitment</x:v>
      </x:c>
      <x:c r="R1858" s="25" t="str">
        <x:v>Private real-estate finance experience. Corporate working capital, minority equity or profit participation requires a separate agreement from a property loan.</x:v>
      </x:c>
      <x:c r="S1858" s="25"/>
      <x:c r="T1858" s="25" t="str">
        <x:v>Confirm direct principal versus broker, $100K-$500K appetite, and whether capital can fund the operating company without a property mortgage.</x:v>
      </x:c>
      <x:c r="U1858" s="25" t="str">
        <x:v>https://www.privatelendersdirectory.com/united-states/frisco/top-level-category/empire-development-solutions
https://www.empireds.net/contact-6</x:v>
      </x:c>
      <x:c r="V1858" s="26" t="d">
        <x:v>2026-10-02T00:00:00.000Z</x:v>
      </x:c>
      <x:c r="W1858" s="26" t="d">
        <x:v>2026-09-30T00:00:00.000Z</x:v>
      </x:c>
      <x:c r="X1858" s="25" t="str">
        <x:v>Saved public company, industry-directory or regulatory source; source date retained</x:v>
      </x:c>
      <x:c r="Y1858" s="25" t="str">
        <x:v>https://www.empireds.net/contact-6</x:v>
      </x:c>
      <x:c r="Z1858" s="25"/>
      <x:c r="AA1858" s="25" t="str">
        <x:v>[]</x:v>
      </x:c>
      <x:c r="AB1858" s="3" t="str">
        <x:v>Existing CapitalForge research, newly screened for this campaign</x:v>
      </x:c>
      <x:c r="AC1858" s="3" t="str">
        <x:v>unverified</x:v>
      </x:c>
      <x:c r="AD1858" s="3" t="str">
        <x:v>Not contacted / unconfirmed</x:v>
      </x:c>
      <x:c r="AE1858" s="3" t="str">
        <x:v>No</x:v>
      </x:c>
      <x:c r="AF1858" s="3" t="str">
        <x:v>No</x:v>
      </x:c>
      <x:c r="AG1858" s="3"/>
      <x:c r="AH1858" s="3"/>
      <x:c r="AI1858" s="18"/>
      <x:c r="AJ1858" s="3" t="str">
        <x:v>CF2500-126C8D1DE854</x:v>
      </x:c>
      <x:c r="AK1858" s="3" t="str">
        <x:v>private_real_estate_lender</x:v>
      </x:c>
      <x:c r="AL1858" s="19" t="n">
        <x:v>100000</x:v>
      </x:c>
      <x:c r="AM1858" s="19" t="n">
        <x:v>500000</x:v>
      </x:c>
      <x:c r="AN1858" s="3" t="str">
        <x:v>https://www.privatelendersdirectory.com/united-states/frisco/top-level-category/empire-development-solutions</x:v>
      </x:c>
      <x:c r="AO1858" s="3" t="str">
        <x:v>public_directory.jsonl</x:v>
      </x:c>
      <x:c r="AP1858" s="19"/>
    </x:row>
    <x:row r="1859" ht="36" customHeight="1">
      <x:c r="A1859" s="23" t="n">
        <x:v>1858</x:v>
      </x:c>
      <x:c r="B1859" s="15" t="str">
        <x:v>EQUITY SECURED</x:v>
      </x:c>
      <x:c r="C1859" s="15"/>
      <x:c r="D1859" s="15" t="str">
        <x:v>Property lender or directory member; operating-company capital unconfirmed</x:v>
      </x:c>
      <x:c r="E1859" s="15" t="str">
        <x:v>Property lender / private-money inquiry</x:v>
      </x:c>
      <x:c r="F1859" s="17" t="str">
        <x:v>New</x:v>
      </x:c>
      <x:c r="G1859" s="24" t="str">
        <x:v>info@equitysecured.com</x:v>
      </x:c>
      <x:c r="H1859" s="24"/>
      <x:c r="I1859" s="24" t="str">
        <x:v>https://www.equitysecured.com/</x:v>
      </x:c>
      <x:c r="J1859" s="16" t="str">
        <x:v>TX</x:v>
      </x:c>
      <x:c r="K1859" s="16" t="str">
        <x:v>Austin</x:v>
      </x:c>
      <x:c r="L1859" s="16" t="str">
        <x:v>firm_business_routing</x:v>
      </x:c>
      <x:c r="M1859" s="16" t="str">
        <x:v>https://www.equitysecured.com/</x:v>
      </x:c>
      <x:c r="N1859" s="16" t="str">
        <x:v>$100K-$500K ticket not published / unconfirmed</x:v>
      </x:c>
      <x:c r="O1859" s="20"/>
      <x:c r="P1859" s="20"/>
      <x:c r="Q1859" s="25" t="str">
        <x:v>Property-loan range, not a corporate-capital commitment</x:v>
      </x:c>
      <x:c r="R1859" s="25" t="str">
        <x:v>Private real-estate finance experience. Corporate working capital, minority equity or profit participation requires a separate agreement from a property loan.</x:v>
      </x:c>
      <x:c r="S1859" s="25"/>
      <x:c r="T1859" s="25" t="str">
        <x:v>Confirm direct principal versus broker, $100K-$500K appetite, and whether capital can fund the operating company without a property mortgage.</x:v>
      </x:c>
      <x:c r="U1859" s="25" t="str">
        <x:v>https://www.privatelendersdirectory.com/united-states/austin/top-level-category/equity-secured
https://www.equitysecured.com/</x:v>
      </x:c>
      <x:c r="V1859" s="26" t="d">
        <x:v>2026-10-02T00:00:00.000Z</x:v>
      </x:c>
      <x:c r="W1859" s="26" t="d">
        <x:v>2026-09-30T00:00:00.000Z</x:v>
      </x:c>
      <x:c r="X1859" s="25" t="str">
        <x:v>Saved public company, industry-directory or regulatory source; source date retained</x:v>
      </x:c>
      <x:c r="Y1859" s="25" t="str">
        <x:v>https://www.equitysecured.com/</x:v>
      </x:c>
      <x:c r="Z1859" s="25"/>
      <x:c r="AA1859" s="25" t="str">
        <x:v>[]</x:v>
      </x:c>
      <x:c r="AB1859" s="3" t="str">
        <x:v>Existing CapitalForge research, newly screened for this campaign</x:v>
      </x:c>
      <x:c r="AC1859" s="3" t="str">
        <x:v>unverified</x:v>
      </x:c>
      <x:c r="AD1859" s="3" t="str">
        <x:v>Not contacted / unconfirmed</x:v>
      </x:c>
      <x:c r="AE1859" s="3" t="str">
        <x:v>No</x:v>
      </x:c>
      <x:c r="AF1859" s="3" t="str">
        <x:v>No</x:v>
      </x:c>
      <x:c r="AG1859" s="3"/>
      <x:c r="AH1859" s="3"/>
      <x:c r="AI1859" s="18"/>
      <x:c r="AJ1859" s="3" t="str">
        <x:v>CF2500-2DFD2B16A4C8</x:v>
      </x:c>
      <x:c r="AK1859" s="3" t="str">
        <x:v>private_real_estate_lender</x:v>
      </x:c>
      <x:c r="AL1859" s="19" t="n">
        <x:v>100000</x:v>
      </x:c>
      <x:c r="AM1859" s="19" t="n">
        <x:v>500000</x:v>
      </x:c>
      <x:c r="AN1859" s="3" t="str">
        <x:v>https://www.privatelendersdirectory.com/united-states/austin/top-level-category/equity-secured</x:v>
      </x:c>
      <x:c r="AO1859" s="3" t="str">
        <x:v>public_directory.jsonl</x:v>
      </x:c>
      <x:c r="AP1859" s="19"/>
    </x:row>
    <x:row r="1860" ht="36" customHeight="1">
      <x:c r="A1860" s="23" t="n">
        <x:v>1859</x:v>
      </x:c>
      <x:c r="B1860" s="15" t="str">
        <x:v>FAST FUNDS GROUP</x:v>
      </x:c>
      <x:c r="C1860" s="15"/>
      <x:c r="D1860" s="15" t="str">
        <x:v>Property lender or directory member; operating-company capital unconfirmed</x:v>
      </x:c>
      <x:c r="E1860" s="15" t="str">
        <x:v>Property lender / private-money inquiry</x:v>
      </x:c>
      <x:c r="F1860" s="17" t="str">
        <x:v>New</x:v>
      </x:c>
      <x:c r="G1860" s="24" t="str">
        <x:v>admin@fastfundsgroup.com</x:v>
      </x:c>
      <x:c r="H1860" s="24"/>
      <x:c r="I1860" s="24" t="str">
        <x:v>https://fastfundsgroup.com/</x:v>
      </x:c>
      <x:c r="J1860" s="16" t="str">
        <x:v>FL</x:v>
      </x:c>
      <x:c r="K1860" s="16" t="str">
        <x:v>West Palm Beach</x:v>
      </x:c>
      <x:c r="L1860" s="16" t="str">
        <x:v>firm_business_routing</x:v>
      </x:c>
      <x:c r="M1860" s="16" t="str">
        <x:v>https://fastfundsgroup.com/</x:v>
      </x:c>
      <x:c r="N1860" s="16" t="str">
        <x:v>$100K-$500K ticket not published / unconfirmed</x:v>
      </x:c>
      <x:c r="O1860" s="20"/>
      <x:c r="P1860" s="20"/>
      <x:c r="Q1860" s="25" t="str">
        <x:v>Property-loan range, not a corporate-capital commitment</x:v>
      </x:c>
      <x:c r="R1860" s="25" t="str">
        <x:v>Private real-estate finance experience. Corporate working capital, minority equity or profit participation requires a separate agreement from a property loan.</x:v>
      </x:c>
      <x:c r="S1860" s="25"/>
      <x:c r="T1860" s="25" t="str">
        <x:v>Confirm direct principal versus broker, $100K-$500K appetite, and whether capital can fund the operating company without a property mortgage.</x:v>
      </x:c>
      <x:c r="U1860" s="25" t="str">
        <x:v>https://www.privatelendersdirectory.com/united-states/west-palm-beach/top-level-category/fast-funds-group
https://fastfundsgroup.com/</x:v>
      </x:c>
      <x:c r="V1860" s="26" t="d">
        <x:v>2026-10-02T00:00:00.000Z</x:v>
      </x:c>
      <x:c r="W1860" s="26" t="d">
        <x:v>2026-09-30T00:00:00.000Z</x:v>
      </x:c>
      <x:c r="X1860" s="25" t="str">
        <x:v>Saved public company, industry-directory or regulatory source; source date retained</x:v>
      </x:c>
      <x:c r="Y1860" s="25" t="str">
        <x:v>https://fastfundsgroup.com/</x:v>
      </x:c>
      <x:c r="Z1860" s="25"/>
      <x:c r="AA1860" s="25" t="str">
        <x:v>[]</x:v>
      </x:c>
      <x:c r="AB1860" s="3" t="str">
        <x:v>Existing CapitalForge research, newly screened for this campaign</x:v>
      </x:c>
      <x:c r="AC1860" s="3" t="str">
        <x:v>unverified</x:v>
      </x:c>
      <x:c r="AD1860" s="3" t="str">
        <x:v>Not contacted / unconfirmed</x:v>
      </x:c>
      <x:c r="AE1860" s="3" t="str">
        <x:v>No</x:v>
      </x:c>
      <x:c r="AF1860" s="3" t="str">
        <x:v>No</x:v>
      </x:c>
      <x:c r="AG1860" s="3"/>
      <x:c r="AH1860" s="3"/>
      <x:c r="AI1860" s="18"/>
      <x:c r="AJ1860" s="3" t="str">
        <x:v>CF2500-E1028512C4BA</x:v>
      </x:c>
      <x:c r="AK1860" s="3" t="str">
        <x:v>private_real_estate_lender</x:v>
      </x:c>
      <x:c r="AL1860" s="19" t="n">
        <x:v>100000</x:v>
      </x:c>
      <x:c r="AM1860" s="19" t="n">
        <x:v>500000</x:v>
      </x:c>
      <x:c r="AN1860" s="3" t="str">
        <x:v>https://www.privatelendersdirectory.com/united-states/west-palm-beach/top-level-category/fast-funds-group</x:v>
      </x:c>
      <x:c r="AO1860" s="3" t="str">
        <x:v>public_directory.jsonl</x:v>
      </x:c>
      <x:c r="AP1860" s="19"/>
    </x:row>
    <x:row r="1861" ht="36" customHeight="1">
      <x:c r="A1861" s="23" t="n">
        <x:v>1860</x:v>
      </x:c>
      <x:c r="B1861" s="15" t="str">
        <x:v>FIRST FINANCIAL</x:v>
      </x:c>
      <x:c r="C1861" s="15"/>
      <x:c r="D1861" s="15" t="str">
        <x:v>Property lender or directory member; operating-company capital unconfirmed</x:v>
      </x:c>
      <x:c r="E1861" s="15" t="str">
        <x:v>Property lender / private-money inquiry</x:v>
      </x:c>
      <x:c r="F1861" s="17" t="str">
        <x:v>New</x:v>
      </x:c>
      <x:c r="G1861" s="24" t="str">
        <x:v>info@ffiloans.com</x:v>
      </x:c>
      <x:c r="H1861" s="24"/>
      <x:c r="I1861" s="24" t="str">
        <x:v>https://www.ffiloans.com/</x:v>
      </x:c>
      <x:c r="J1861" s="16" t="str">
        <x:v>FL</x:v>
      </x:c>
      <x:c r="K1861" s="16" t="str">
        <x:v>Miami Lakes</x:v>
      </x:c>
      <x:c r="L1861" s="16" t="str">
        <x:v>firm_business_routing</x:v>
      </x:c>
      <x:c r="M1861" s="16" t="str">
        <x:v>https://www.ffiloans.com/</x:v>
      </x:c>
      <x:c r="N1861" s="16" t="str">
        <x:v>$100K-$500K ticket not published / unconfirmed</x:v>
      </x:c>
      <x:c r="O1861" s="20"/>
      <x:c r="P1861" s="20"/>
      <x:c r="Q1861" s="25" t="str">
        <x:v>Property-loan range, not a corporate-capital commitment</x:v>
      </x:c>
      <x:c r="R1861" s="25" t="str">
        <x:v>Private real-estate finance experience. Corporate working capital, minority equity or profit participation requires a separate agreement from a property loan.</x:v>
      </x:c>
      <x:c r="S1861" s="25"/>
      <x:c r="T1861" s="25" t="str">
        <x:v>Confirm direct principal versus broker, $100K-$500K appetite, and whether capital can fund the operating company without a property mortgage.</x:v>
      </x:c>
      <x:c r="U1861" s="25" t="str">
        <x:v>https://www.privatelendersdirectory.com/united-states/miami-lakes/top-level-category/first-financial
https://www.ffiloans.com/</x:v>
      </x:c>
      <x:c r="V1861" s="26" t="d">
        <x:v>2026-10-02T00:00:00.000Z</x:v>
      </x:c>
      <x:c r="W1861" s="26" t="d">
        <x:v>2026-09-30T00:00:00.000Z</x:v>
      </x:c>
      <x:c r="X1861" s="25" t="str">
        <x:v>Saved public company, industry-directory or regulatory source; source date retained</x:v>
      </x:c>
      <x:c r="Y1861" s="25" t="str">
        <x:v>https://www.ffiloans.com/</x:v>
      </x:c>
      <x:c r="Z1861" s="25"/>
      <x:c r="AA1861" s="25" t="str">
        <x:v>[]</x:v>
      </x:c>
      <x:c r="AB1861" s="3" t="str">
        <x:v>Existing CapitalForge research, newly screened for this campaign</x:v>
      </x:c>
      <x:c r="AC1861" s="3" t="str">
        <x:v>unverified</x:v>
      </x:c>
      <x:c r="AD1861" s="3" t="str">
        <x:v>Not contacted / unconfirmed</x:v>
      </x:c>
      <x:c r="AE1861" s="3" t="str">
        <x:v>No</x:v>
      </x:c>
      <x:c r="AF1861" s="3" t="str">
        <x:v>No</x:v>
      </x:c>
      <x:c r="AG1861" s="3"/>
      <x:c r="AH1861" s="3"/>
      <x:c r="AI1861" s="18"/>
      <x:c r="AJ1861" s="3" t="str">
        <x:v>CF2500-6B178A6F3C62</x:v>
      </x:c>
      <x:c r="AK1861" s="3" t="str">
        <x:v>private_real_estate_lender</x:v>
      </x:c>
      <x:c r="AL1861" s="19" t="n">
        <x:v>100000</x:v>
      </x:c>
      <x:c r="AM1861" s="19" t="n">
        <x:v>500000</x:v>
      </x:c>
      <x:c r="AN1861" s="3" t="str">
        <x:v>https://www.privatelendersdirectory.com/united-states/miami-lakes/top-level-category/first-financial</x:v>
      </x:c>
      <x:c r="AO1861" s="3" t="str">
        <x:v>public_directory.jsonl</x:v>
      </x:c>
      <x:c r="AP1861" s="19"/>
    </x:row>
    <x:row r="1862" ht="36" customHeight="1">
      <x:c r="A1862" s="23" t="n">
        <x:v>1861</x:v>
      </x:c>
      <x:c r="B1862" s="15" t="str">
        <x:v>FIVE 25 CAPITAL</x:v>
      </x:c>
      <x:c r="C1862" s="15"/>
      <x:c r="D1862" s="15" t="str">
        <x:v>Property lender or directory member; operating-company capital unconfirmed</x:v>
      </x:c>
      <x:c r="E1862" s="15" t="str">
        <x:v>Property lender / private-money inquiry</x:v>
      </x:c>
      <x:c r="F1862" s="17" t="str">
        <x:v>New</x:v>
      </x:c>
      <x:c r="G1862" s="24" t="str">
        <x:v>info@five25capital.com</x:v>
      </x:c>
      <x:c r="H1862" s="24"/>
      <x:c r="I1862" s="24" t="str">
        <x:v>https://www.five25capital.com/</x:v>
      </x:c>
      <x:c r="J1862" s="16" t="str">
        <x:v>FL</x:v>
      </x:c>
      <x:c r="K1862" s="16" t="str">
        <x:v>St. Augustine</x:v>
      </x:c>
      <x:c r="L1862" s="16" t="str">
        <x:v>firm_business_routing</x:v>
      </x:c>
      <x:c r="M1862" s="16" t="str">
        <x:v>https://www.five25capital.com/</x:v>
      </x:c>
      <x:c r="N1862" s="16" t="str">
        <x:v>$100K-$500K ticket not published / unconfirmed</x:v>
      </x:c>
      <x:c r="O1862" s="20"/>
      <x:c r="P1862" s="20"/>
      <x:c r="Q1862" s="25" t="str">
        <x:v>Property-loan range, not a corporate-capital commitment</x:v>
      </x:c>
      <x:c r="R1862" s="25" t="str">
        <x:v>Private real-estate finance experience. Corporate working capital, minority equity or profit participation requires a separate agreement from a property loan.</x:v>
      </x:c>
      <x:c r="S1862" s="25"/>
      <x:c r="T1862" s="25" t="str">
        <x:v>Confirm direct principal versus broker, $100K-$500K appetite, and whether capital can fund the operating company without a property mortgage.</x:v>
      </x:c>
      <x:c r="U1862" s="25" t="str">
        <x:v>https://www.privatelendersdirectory.com/united-states/st-augustine/top-level-category/five-25-capital
https://www.five25capital.com/</x:v>
      </x:c>
      <x:c r="V1862" s="26" t="d">
        <x:v>2026-10-02T00:00:00.000Z</x:v>
      </x:c>
      <x:c r="W1862" s="26" t="d">
        <x:v>2026-09-30T00:00:00.000Z</x:v>
      </x:c>
      <x:c r="X1862" s="25" t="str">
        <x:v>Saved public company, industry-directory or regulatory source; source date retained</x:v>
      </x:c>
      <x:c r="Y1862" s="25" t="str">
        <x:v>https://www.five25capital.com/</x:v>
      </x:c>
      <x:c r="Z1862" s="25"/>
      <x:c r="AA1862" s="25" t="str">
        <x:v>[]</x:v>
      </x:c>
      <x:c r="AB1862" s="3" t="str">
        <x:v>Existing CapitalForge research, newly screened for this campaign</x:v>
      </x:c>
      <x:c r="AC1862" s="3" t="str">
        <x:v>unverified</x:v>
      </x:c>
      <x:c r="AD1862" s="3" t="str">
        <x:v>Not contacted / unconfirmed</x:v>
      </x:c>
      <x:c r="AE1862" s="3" t="str">
        <x:v>No</x:v>
      </x:c>
      <x:c r="AF1862" s="3" t="str">
        <x:v>No</x:v>
      </x:c>
      <x:c r="AG1862" s="3"/>
      <x:c r="AH1862" s="3"/>
      <x:c r="AI1862" s="18"/>
      <x:c r="AJ1862" s="3" t="str">
        <x:v>CF2500-7671C9686E11</x:v>
      </x:c>
      <x:c r="AK1862" s="3" t="str">
        <x:v>private_real_estate_lender</x:v>
      </x:c>
      <x:c r="AL1862" s="19" t="n">
        <x:v>100000</x:v>
      </x:c>
      <x:c r="AM1862" s="19" t="n">
        <x:v>500000</x:v>
      </x:c>
      <x:c r="AN1862" s="3" t="str">
        <x:v>https://www.privatelendersdirectory.com/united-states/st-augustine/top-level-category/five-25-capital</x:v>
      </x:c>
      <x:c r="AO1862" s="3" t="str">
        <x:v>public_directory.jsonl</x:v>
      </x:c>
      <x:c r="AP1862" s="19"/>
    </x:row>
    <x:row r="1863" ht="36" customHeight="1">
      <x:c r="A1863" s="23" t="n">
        <x:v>1862</x:v>
      </x:c>
      <x:c r="B1863" s="15" t="str">
        <x:v>FLIP LENDER</x:v>
      </x:c>
      <x:c r="C1863" s="15"/>
      <x:c r="D1863" s="15" t="str">
        <x:v>Property lender or directory member; operating-company capital unconfirmed</x:v>
      </x:c>
      <x:c r="E1863" s="15" t="str">
        <x:v>Property lender / private-money inquiry</x:v>
      </x:c>
      <x:c r="F1863" s="17" t="str">
        <x:v>New</x:v>
      </x:c>
      <x:c r="G1863" s="24" t="str">
        <x:v>robert@realestateinvesting.com</x:v>
      </x:c>
      <x:c r="H1863" s="24"/>
      <x:c r="I1863" s="24" t="str">
        <x:v>https://realestateinvesting.com/</x:v>
      </x:c>
      <x:c r="J1863" s="16" t="str">
        <x:v>FL</x:v>
      </x:c>
      <x:c r="K1863" s="16" t="str">
        <x:v>Jacksonville</x:v>
      </x:c>
      <x:c r="L1863" s="16" t="str">
        <x:v>firm_business_routing</x:v>
      </x:c>
      <x:c r="M1863" s="16" t="str">
        <x:v>https://realestateinvesting.com/</x:v>
      </x:c>
      <x:c r="N1863" s="16" t="str">
        <x:v>$100K-$500K ticket not published / unconfirmed</x:v>
      </x:c>
      <x:c r="O1863" s="20"/>
      <x:c r="P1863" s="20"/>
      <x:c r="Q1863" s="25" t="str">
        <x:v>Property-loan range, not a corporate-capital commitment</x:v>
      </x:c>
      <x:c r="R1863" s="25" t="str">
        <x:v>Private real-estate finance experience. Corporate working capital, minority equity or profit participation requires a separate agreement from a property loan.</x:v>
      </x:c>
      <x:c r="S1863" s="25"/>
      <x:c r="T1863" s="25" t="str">
        <x:v>Confirm direct principal versus broker, $100K-$500K appetite, and whether capital can fund the operating company without a property mortgage.</x:v>
      </x:c>
      <x:c r="U1863" s="25" t="str">
        <x:v>https://www.privatelendersdirectory.com/united-states/jacksonville/top-level-category/flip-lender
https://realestateinvesting.com/contact-us/</x:v>
      </x:c>
      <x:c r="V1863" s="26" t="d">
        <x:v>2026-10-02T00:00:00.000Z</x:v>
      </x:c>
      <x:c r="W1863" s="26" t="d">
        <x:v>2026-09-30T00:00:00.000Z</x:v>
      </x:c>
      <x:c r="X1863" s="25" t="str">
        <x:v>Saved public company, industry-directory or regulatory source; source date retained</x:v>
      </x:c>
      <x:c r="Y1863" s="25" t="str">
        <x:v>https://realestateinvesting.com/contact-us/</x:v>
      </x:c>
      <x:c r="Z1863" s="25"/>
      <x:c r="AA1863" s="25" t="str">
        <x:v>[]</x:v>
      </x:c>
      <x:c r="AB1863" s="3" t="str">
        <x:v>Existing CapitalForge research, newly screened for this campaign</x:v>
      </x:c>
      <x:c r="AC1863" s="3" t="str">
        <x:v>unverified</x:v>
      </x:c>
      <x:c r="AD1863" s="3" t="str">
        <x:v>Not contacted / unconfirmed</x:v>
      </x:c>
      <x:c r="AE1863" s="3" t="str">
        <x:v>No</x:v>
      </x:c>
      <x:c r="AF1863" s="3" t="str">
        <x:v>No</x:v>
      </x:c>
      <x:c r="AG1863" s="3"/>
      <x:c r="AH1863" s="3"/>
      <x:c r="AI1863" s="18"/>
      <x:c r="AJ1863" s="3" t="str">
        <x:v>CF2500-8AE64B95E769</x:v>
      </x:c>
      <x:c r="AK1863" s="3" t="str">
        <x:v>private_real_estate_lender</x:v>
      </x:c>
      <x:c r="AL1863" s="19" t="n">
        <x:v>100000</x:v>
      </x:c>
      <x:c r="AM1863" s="19" t="n">
        <x:v>500000</x:v>
      </x:c>
      <x:c r="AN1863" s="3" t="str">
        <x:v>https://www.privatelendersdirectory.com/united-states/jacksonville/top-level-category/flip-lender</x:v>
      </x:c>
      <x:c r="AO1863" s="3" t="str">
        <x:v>public_directory.jsonl</x:v>
      </x:c>
      <x:c r="AP1863" s="19"/>
    </x:row>
    <x:row r="1864" ht="36" customHeight="1">
      <x:c r="A1864" s="23" t="n">
        <x:v>1863</x:v>
      </x:c>
      <x:c r="B1864" s="15" t="str">
        <x:v>FSO CAPITAL PARTNERS</x:v>
      </x:c>
      <x:c r="C1864" s="15"/>
      <x:c r="D1864" s="15" t="str">
        <x:v>Property lender or directory member; operating-company capital unconfirmed</x:v>
      </x:c>
      <x:c r="E1864" s="15" t="str">
        <x:v>Property lender / private-money inquiry</x:v>
      </x:c>
      <x:c r="F1864" s="17" t="str">
        <x:v>New</x:v>
      </x:c>
      <x:c r="G1864" s="24" t="str">
        <x:v>info@fsocap.com</x:v>
      </x:c>
      <x:c r="H1864" s="24"/>
      <x:c r="I1864" s="24" t="str">
        <x:v>https://www.fsocap.com/</x:v>
      </x:c>
      <x:c r="J1864" s="16" t="str">
        <x:v>AZ</x:v>
      </x:c>
      <x:c r="K1864" s="16" t="str">
        <x:v>Phoenix</x:v>
      </x:c>
      <x:c r="L1864" s="16" t="str">
        <x:v>firm_business_routing</x:v>
      </x:c>
      <x:c r="M1864" s="16" t="str">
        <x:v>https://www.fsocap.com/</x:v>
      </x:c>
      <x:c r="N1864" s="16" t="str">
        <x:v>$100K-$500K ticket not published / unconfirmed</x:v>
      </x:c>
      <x:c r="O1864" s="20"/>
      <x:c r="P1864" s="20"/>
      <x:c r="Q1864" s="25" t="str">
        <x:v>Property-loan range, not a corporate-capital commitment</x:v>
      </x:c>
      <x:c r="R1864" s="25" t="str">
        <x:v>Private real-estate finance experience. Corporate working capital, minority equity or profit participation requires a separate agreement from a property loan.</x:v>
      </x:c>
      <x:c r="S1864" s="25"/>
      <x:c r="T1864" s="25" t="str">
        <x:v>Confirm direct principal versus broker, $100K-$500K appetite, and whether capital can fund the operating company without a property mortgage.</x:v>
      </x:c>
      <x:c r="U1864" s="25" t="str">
        <x:v>https://www.privatelendersdirectory.com/united-states/phoenix/top-level-category/fso-capital-partners
https://www.fsocap.com/</x:v>
      </x:c>
      <x:c r="V1864" s="26" t="d">
        <x:v>2026-10-02T00:00:00.000Z</x:v>
      </x:c>
      <x:c r="W1864" s="26" t="d">
        <x:v>2026-09-30T00:00:00.000Z</x:v>
      </x:c>
      <x:c r="X1864" s="25" t="str">
        <x:v>Saved public company, industry-directory or regulatory source; source date retained</x:v>
      </x:c>
      <x:c r="Y1864" s="25" t="str">
        <x:v>https://www.fsocap.com/</x:v>
      </x:c>
      <x:c r="Z1864" s="25"/>
      <x:c r="AA1864" s="25" t="str">
        <x:v>[]</x:v>
      </x:c>
      <x:c r="AB1864" s="3" t="str">
        <x:v>Existing CapitalForge research, newly screened for this campaign</x:v>
      </x:c>
      <x:c r="AC1864" s="3" t="str">
        <x:v>unverified</x:v>
      </x:c>
      <x:c r="AD1864" s="3" t="str">
        <x:v>Not contacted / unconfirmed</x:v>
      </x:c>
      <x:c r="AE1864" s="3" t="str">
        <x:v>No</x:v>
      </x:c>
      <x:c r="AF1864" s="3" t="str">
        <x:v>No</x:v>
      </x:c>
      <x:c r="AG1864" s="3"/>
      <x:c r="AH1864" s="3"/>
      <x:c r="AI1864" s="18"/>
      <x:c r="AJ1864" s="3" t="str">
        <x:v>CF2500-2B138CA8FE12</x:v>
      </x:c>
      <x:c r="AK1864" s="3" t="str">
        <x:v>private_real_estate_lender</x:v>
      </x:c>
      <x:c r="AL1864" s="19" t="n">
        <x:v>100000</x:v>
      </x:c>
      <x:c r="AM1864" s="19" t="n">
        <x:v>500000</x:v>
      </x:c>
      <x:c r="AN1864" s="3" t="str">
        <x:v>https://www.privatelendersdirectory.com/united-states/phoenix/top-level-category/fso-capital-partners</x:v>
      </x:c>
      <x:c r="AO1864" s="3" t="str">
        <x:v>public_directory.jsonl</x:v>
      </x:c>
      <x:c r="AP1864" s="19"/>
    </x:row>
    <x:row r="1865" ht="36" customHeight="1">
      <x:c r="A1865" s="23" t="n">
        <x:v>1864</x:v>
      </x:c>
      <x:c r="B1865" s="15" t="str">
        <x:v>GRANDIOSE CAPITAL</x:v>
      </x:c>
      <x:c r="C1865" s="15"/>
      <x:c r="D1865" s="15" t="str">
        <x:v>Property lender or directory member; operating-company capital unconfirmed</x:v>
      </x:c>
      <x:c r="E1865" s="15" t="str">
        <x:v>Property lender / private-money inquiry</x:v>
      </x:c>
      <x:c r="F1865" s="17" t="str">
        <x:v>New</x:v>
      </x:c>
      <x:c r="G1865" s="24" t="str">
        <x:v>info@grandiosecapital.com</x:v>
      </x:c>
      <x:c r="H1865" s="24"/>
      <x:c r="I1865" s="24" t="str">
        <x:v>https://grandiosecapital.com/</x:v>
      </x:c>
      <x:c r="J1865" s="16" t="str">
        <x:v>FL</x:v>
      </x:c>
      <x:c r="K1865" s="16" t="str">
        <x:v>Miami</x:v>
      </x:c>
      <x:c r="L1865" s="16" t="str">
        <x:v>firm_business_routing</x:v>
      </x:c>
      <x:c r="M1865" s="16" t="str">
        <x:v>https://grandiosecapital.com/</x:v>
      </x:c>
      <x:c r="N1865" s="16" t="str">
        <x:v>$100K-$500K ticket not published / unconfirmed</x:v>
      </x:c>
      <x:c r="O1865" s="20"/>
      <x:c r="P1865" s="20"/>
      <x:c r="Q1865" s="25" t="str">
        <x:v>Property-loan range, not a corporate-capital commitment</x:v>
      </x:c>
      <x:c r="R1865" s="25" t="str">
        <x:v>Private real-estate finance experience. Corporate working capital, minority equity or profit participation requires a separate agreement from a property loan.</x:v>
      </x:c>
      <x:c r="S1865" s="25"/>
      <x:c r="T1865" s="25" t="str">
        <x:v>Confirm direct principal versus broker, $100K-$500K appetite, and whether capital can fund the operating company without a property mortgage.</x:v>
      </x:c>
      <x:c r="U1865" s="25" t="str">
        <x:v>https://www.privatelendersdirectory.com/united-states/miami/top-level-category/grandiose-capital
https://grandiosecapital.com/</x:v>
      </x:c>
      <x:c r="V1865" s="26" t="d">
        <x:v>2026-10-02T00:00:00.000Z</x:v>
      </x:c>
      <x:c r="W1865" s="26" t="d">
        <x:v>2026-09-30T00:00:00.000Z</x:v>
      </x:c>
      <x:c r="X1865" s="25" t="str">
        <x:v>Saved public company, industry-directory or regulatory source; source date retained</x:v>
      </x:c>
      <x:c r="Y1865" s="25" t="str">
        <x:v>https://grandiosecapital.com/</x:v>
      </x:c>
      <x:c r="Z1865" s="25"/>
      <x:c r="AA1865" s="25" t="str">
        <x:v>[]</x:v>
      </x:c>
      <x:c r="AB1865" s="3" t="str">
        <x:v>Existing CapitalForge research, newly screened for this campaign</x:v>
      </x:c>
      <x:c r="AC1865" s="3" t="str">
        <x:v>unverified</x:v>
      </x:c>
      <x:c r="AD1865" s="3" t="str">
        <x:v>Not contacted / unconfirmed</x:v>
      </x:c>
      <x:c r="AE1865" s="3" t="str">
        <x:v>No</x:v>
      </x:c>
      <x:c r="AF1865" s="3" t="str">
        <x:v>No</x:v>
      </x:c>
      <x:c r="AG1865" s="3"/>
      <x:c r="AH1865" s="3"/>
      <x:c r="AI1865" s="18"/>
      <x:c r="AJ1865" s="3" t="str">
        <x:v>CF2500-582FDB77D5CE</x:v>
      </x:c>
      <x:c r="AK1865" s="3" t="str">
        <x:v>private_real_estate_lender</x:v>
      </x:c>
      <x:c r="AL1865" s="19" t="n">
        <x:v>100000</x:v>
      </x:c>
      <x:c r="AM1865" s="19" t="n">
        <x:v>500000</x:v>
      </x:c>
      <x:c r="AN1865" s="3" t="str">
        <x:v>https://www.privatelendersdirectory.com/united-states/miami/top-level-category/grandiose-capital</x:v>
      </x:c>
      <x:c r="AO1865" s="3" t="str">
        <x:v>public_directory.jsonl</x:v>
      </x:c>
      <x:c r="AP1865" s="19"/>
    </x:row>
    <x:row r="1866" ht="36" customHeight="1">
      <x:c r="A1866" s="23" t="n">
        <x:v>1865</x:v>
      </x:c>
      <x:c r="B1866" s="15" t="str">
        <x:v>IRC Investment Realty Company</x:v>
      </x:c>
      <x:c r="C1866" s="15"/>
      <x:c r="D1866" s="15" t="str">
        <x:v>Property lender or directory member; operating-company capital unconfirmed</x:v>
      </x:c>
      <x:c r="E1866" s="15" t="str">
        <x:v>Property lender / private-money inquiry</x:v>
      </x:c>
      <x:c r="F1866" s="17" t="str">
        <x:v>New</x:v>
      </x:c>
      <x:c r="G1866" s="24" t="str">
        <x:v>rleitgen@investmentrealty.com</x:v>
      </x:c>
      <x:c r="H1866" s="24"/>
      <x:c r="I1866" s="24" t="str">
        <x:v>https://www.investmentrealty.com/</x:v>
      </x:c>
      <x:c r="J1866" s="16" t="str">
        <x:v>TX</x:v>
      </x:c>
      <x:c r="K1866" s="16" t="str">
        <x:v>San Antonio</x:v>
      </x:c>
      <x:c r="L1866" s="16" t="str">
        <x:v>firm_business_routing</x:v>
      </x:c>
      <x:c r="M1866" s="16" t="str">
        <x:v>https://www.investmentrealty.com/</x:v>
      </x:c>
      <x:c r="N1866" s="16" t="str">
        <x:v>$100K-$500K ticket not published / unconfirmed</x:v>
      </x:c>
      <x:c r="O1866" s="20"/>
      <x:c r="P1866" s="20"/>
      <x:c r="Q1866" s="25" t="str">
        <x:v>Property-loan range, not a corporate-capital commitment</x:v>
      </x:c>
      <x:c r="R1866" s="25" t="str">
        <x:v>Private real-estate finance experience. Corporate working capital, minority equity or profit participation requires a separate agreement from a property loan.</x:v>
      </x:c>
      <x:c r="S1866" s="25"/>
      <x:c r="T1866" s="25" t="str">
        <x:v>Confirm direct principal versus broker, $100K-$500K appetite, and whether capital can fund the operating company without a property mortgage.</x:v>
      </x:c>
      <x:c r="U1866" s="25" t="str">
        <x:v>https://privatelenderlink.com/profile/irc-capital-residential-ltd/</x:v>
      </x:c>
      <x:c r="V1866" s="26" t="d">
        <x:v>2026-10-02T00:00:00.000Z</x:v>
      </x:c>
      <x:c r="W1866" s="26" t="d">
        <x:v>2026-09-30T00:00:00.000Z</x:v>
      </x:c>
      <x:c r="X1866" s="25" t="str">
        <x:v>Saved public company, industry-directory or regulatory source; source date retained</x:v>
      </x:c>
      <x:c r="Y1866" s="25" t="str">
        <x:v>https://privatelenderlink.com/profile/irc-capital-residential-ltd/</x:v>
      </x:c>
      <x:c r="Z1866" s="25"/>
      <x:c r="AA1866" s="25" t="str">
        <x:v>[]</x:v>
      </x:c>
      <x:c r="AB1866" s="3" t="str">
        <x:v>Existing CapitalForge research, newly screened for this campaign</x:v>
      </x:c>
      <x:c r="AC1866" s="3" t="str">
        <x:v>unverified</x:v>
      </x:c>
      <x:c r="AD1866" s="3" t="str">
        <x:v>Not contacted / unconfirmed</x:v>
      </x:c>
      <x:c r="AE1866" s="3" t="str">
        <x:v>No</x:v>
      </x:c>
      <x:c r="AF1866" s="3" t="str">
        <x:v>No</x:v>
      </x:c>
      <x:c r="AG1866" s="3"/>
      <x:c r="AH1866" s="3"/>
      <x:c r="AI1866" s="18"/>
      <x:c r="AJ1866" s="3" t="str">
        <x:v>CF2500-4AD703800A22</x:v>
      </x:c>
      <x:c r="AK1866" s="3" t="str">
        <x:v>private_real_estate_lender</x:v>
      </x:c>
      <x:c r="AL1866" s="19" t="n">
        <x:v>100000</x:v>
      </x:c>
      <x:c r="AM1866" s="19" t="n">
        <x:v>500000</x:v>
      </x:c>
      <x:c r="AN1866" s="3" t="str">
        <x:v>https://privatelenderlink.com/profile/irc-capital-residential-ltd/</x:v>
      </x:c>
      <x:c r="AO1866" s="3" t="str">
        <x:v>public_directory.jsonl</x:v>
      </x:c>
      <x:c r="AP1866" s="19"/>
    </x:row>
    <x:row r="1867" ht="36" customHeight="1">
      <x:c r="A1867" s="23" t="n">
        <x:v>1866</x:v>
      </x:c>
      <x:c r="B1867" s="15" t="str">
        <x:v>Lendai</x:v>
      </x:c>
      <x:c r="C1867" s="15"/>
      <x:c r="D1867" s="15" t="str">
        <x:v>Property lender or directory member; operating-company capital unconfirmed</x:v>
      </x:c>
      <x:c r="E1867" s="15" t="str">
        <x:v>Property lender / private-money inquiry</x:v>
      </x:c>
      <x:c r="F1867" s="17" t="str">
        <x:v>New</x:v>
      </x:c>
      <x:c r="G1867" s="24" t="str">
        <x:v>office@lendai.us</x:v>
      </x:c>
      <x:c r="H1867" s="24"/>
      <x:c r="I1867" s="24" t="str">
        <x:v>https://landing.lendai.us/Private%20Lender%20Link</x:v>
      </x:c>
      <x:c r="J1867" s="16" t="str">
        <x:v>FL</x:v>
      </x:c>
      <x:c r="K1867" s="16" t="str">
        <x:v>Miami</x:v>
      </x:c>
      <x:c r="L1867" s="16" t="str">
        <x:v>firm_business_routing</x:v>
      </x:c>
      <x:c r="M1867" s="16" t="str">
        <x:v>https://landing.lendai.us/Private%20Lender%20Link</x:v>
      </x:c>
      <x:c r="N1867" s="16" t="str">
        <x:v>$100K-$500K ticket not published / unconfirmed</x:v>
      </x:c>
      <x:c r="O1867" s="20"/>
      <x:c r="P1867" s="20"/>
      <x:c r="Q1867" s="25" t="str">
        <x:v>Property-loan range, not a corporate-capital commitment</x:v>
      </x:c>
      <x:c r="R1867" s="25" t="str">
        <x:v>Private real-estate finance experience. Corporate working capital, minority equity or profit participation requires a separate agreement from a property loan.</x:v>
      </x:c>
      <x:c r="S1867" s="25"/>
      <x:c r="T1867" s="25" t="str">
        <x:v>Confirm direct principal versus broker, $100K-$500K appetite, and whether capital can fund the operating company without a property mortgage.</x:v>
      </x:c>
      <x:c r="U1867" s="25" t="str">
        <x:v>https://privatelenderlink.com/profile/lendai/</x:v>
      </x:c>
      <x:c r="V1867" s="26" t="d">
        <x:v>2026-10-02T00:00:00.000Z</x:v>
      </x:c>
      <x:c r="W1867" s="26" t="d">
        <x:v>2026-09-30T00:00:00.000Z</x:v>
      </x:c>
      <x:c r="X1867" s="25" t="str">
        <x:v>Saved public company, industry-directory or regulatory source; source date retained</x:v>
      </x:c>
      <x:c r="Y1867" s="25" t="str">
        <x:v>https://privatelenderlink.com/profile/lendai/</x:v>
      </x:c>
      <x:c r="Z1867" s="25"/>
      <x:c r="AA1867" s="25" t="str">
        <x:v>[]</x:v>
      </x:c>
      <x:c r="AB1867" s="3" t="str">
        <x:v>Existing CapitalForge research, newly screened for this campaign</x:v>
      </x:c>
      <x:c r="AC1867" s="3" t="str">
        <x:v>unverified</x:v>
      </x:c>
      <x:c r="AD1867" s="3" t="str">
        <x:v>Not contacted / unconfirmed</x:v>
      </x:c>
      <x:c r="AE1867" s="3" t="str">
        <x:v>No</x:v>
      </x:c>
      <x:c r="AF1867" s="3" t="str">
        <x:v>No</x:v>
      </x:c>
      <x:c r="AG1867" s="3"/>
      <x:c r="AH1867" s="3"/>
      <x:c r="AI1867" s="18"/>
      <x:c r="AJ1867" s="3" t="str">
        <x:v>CF2500-0F2860F53CBF</x:v>
      </x:c>
      <x:c r="AK1867" s="3" t="str">
        <x:v>private_real_estate_lender</x:v>
      </x:c>
      <x:c r="AL1867" s="19" t="n">
        <x:v>100000</x:v>
      </x:c>
      <x:c r="AM1867" s="19" t="n">
        <x:v>500000</x:v>
      </x:c>
      <x:c r="AN1867" s="3" t="str">
        <x:v>https://privatelenderlink.com/profile/lendai/</x:v>
      </x:c>
      <x:c r="AO1867" s="3" t="str">
        <x:v>public_directory.jsonl</x:v>
      </x:c>
      <x:c r="AP1867" s="19"/>
    </x:row>
    <x:row r="1868" ht="36" customHeight="1">
      <x:c r="A1868" s="23" t="n">
        <x:v>1867</x:v>
      </x:c>
      <x:c r="B1868" s="15" t="str">
        <x:v>Palermo Financial Group, LLC</x:v>
      </x:c>
      <x:c r="C1868" s="15"/>
      <x:c r="D1868" s="15" t="str">
        <x:v>Property lender or directory member; operating-company capital unconfirmed</x:v>
      </x:c>
      <x:c r="E1868" s="15" t="str">
        <x:v>Property lender / private-money inquiry</x:v>
      </x:c>
      <x:c r="F1868" s="17" t="str">
        <x:v>New</x:v>
      </x:c>
      <x:c r="G1868" s="24" t="str">
        <x:v>info@palermofinancial.com</x:v>
      </x:c>
      <x:c r="H1868" s="24"/>
      <x:c r="I1868" s="24" t="str">
        <x:v>https://www.palermofinancial.com/</x:v>
      </x:c>
      <x:c r="J1868" s="16" t="str">
        <x:v>FL</x:v>
      </x:c>
      <x:c r="K1868" s="16" t="str">
        <x:v>Aventura</x:v>
      </x:c>
      <x:c r="L1868" s="16" t="str">
        <x:v>firm_business_routing</x:v>
      </x:c>
      <x:c r="M1868" s="16" t="str">
        <x:v>https://www.palermofinancial.com/</x:v>
      </x:c>
      <x:c r="N1868" s="16" t="str">
        <x:v>$100K-$500K ticket not published / unconfirmed</x:v>
      </x:c>
      <x:c r="O1868" s="20"/>
      <x:c r="P1868" s="20"/>
      <x:c r="Q1868" s="25" t="str">
        <x:v>Property-loan range, not a corporate-capital commitment</x:v>
      </x:c>
      <x:c r="R1868" s="25" t="str">
        <x:v>Private real-estate finance experience. Corporate working capital, minority equity or profit participation requires a separate agreement from a property loan.</x:v>
      </x:c>
      <x:c r="S1868" s="25"/>
      <x:c r="T1868" s="25" t="str">
        <x:v>Confirm direct principal versus broker, $100K-$500K appetite, and whether capital can fund the operating company without a property mortgage.</x:v>
      </x:c>
      <x:c r="U1868" s="25" t="str">
        <x:v>https://privatelenderlink.com/profile/palermo-financial-group-llc/</x:v>
      </x:c>
      <x:c r="V1868" s="26" t="d">
        <x:v>2026-10-02T00:00:00.000Z</x:v>
      </x:c>
      <x:c r="W1868" s="26" t="d">
        <x:v>2026-09-30T00:00:00.000Z</x:v>
      </x:c>
      <x:c r="X1868" s="25" t="str">
        <x:v>Saved public company, industry-directory or regulatory source; source date retained</x:v>
      </x:c>
      <x:c r="Y1868" s="25" t="str">
        <x:v>https://privatelenderlink.com/profile/palermo-financial-group-llc/</x:v>
      </x:c>
      <x:c r="Z1868" s="25"/>
      <x:c r="AA1868" s="25" t="str">
        <x:v>[]</x:v>
      </x:c>
      <x:c r="AB1868" s="3" t="str">
        <x:v>Existing CapitalForge research, newly screened for this campaign</x:v>
      </x:c>
      <x:c r="AC1868" s="3" t="str">
        <x:v>unverified</x:v>
      </x:c>
      <x:c r="AD1868" s="3" t="str">
        <x:v>Not contacted / unconfirmed</x:v>
      </x:c>
      <x:c r="AE1868" s="3" t="str">
        <x:v>No</x:v>
      </x:c>
      <x:c r="AF1868" s="3" t="str">
        <x:v>No</x:v>
      </x:c>
      <x:c r="AG1868" s="3"/>
      <x:c r="AH1868" s="3"/>
      <x:c r="AI1868" s="18"/>
      <x:c r="AJ1868" s="3" t="str">
        <x:v>CF2500-76C106D5A645</x:v>
      </x:c>
      <x:c r="AK1868" s="3" t="str">
        <x:v>private_real_estate_lender</x:v>
      </x:c>
      <x:c r="AL1868" s="19" t="n">
        <x:v>100000</x:v>
      </x:c>
      <x:c r="AM1868" s="19" t="n">
        <x:v>500000</x:v>
      </x:c>
      <x:c r="AN1868" s="3" t="str">
        <x:v>https://privatelenderlink.com/profile/palermo-financial-group-llc/</x:v>
      </x:c>
      <x:c r="AO1868" s="3" t="str">
        <x:v>public_directory.jsonl</x:v>
      </x:c>
      <x:c r="AP1868" s="19"/>
    </x:row>
    <x:row r="1869" ht="36" customHeight="1">
      <x:c r="A1869" s="23" t="n">
        <x:v>1868</x:v>
      </x:c>
      <x:c r="B1869" s="15" t="str">
        <x:v>Quick Lending LLC</x:v>
      </x:c>
      <x:c r="C1869" s="15"/>
      <x:c r="D1869" s="15" t="str">
        <x:v>Property lender or directory member; operating-company capital unconfirmed</x:v>
      </x:c>
      <x:c r="E1869" s="15" t="str">
        <x:v>Property lender / private-money inquiry</x:v>
      </x:c>
      <x:c r="F1869" s="17" t="str">
        <x:v>New</x:v>
      </x:c>
      <x:c r="G1869" s="24" t="str">
        <x:v>info@quicklending.com</x:v>
      </x:c>
      <x:c r="H1869" s="24"/>
      <x:c r="I1869" s="24" t="str">
        <x:v>https://www.quicklending.com/?utm_source=private-lender-link</x:v>
      </x:c>
      <x:c r="J1869" s="16" t="str">
        <x:v>TX</x:v>
      </x:c>
      <x:c r="K1869" s="16" t="str">
        <x:v>Houston</x:v>
      </x:c>
      <x:c r="L1869" s="16" t="str">
        <x:v>firm_business_routing</x:v>
      </x:c>
      <x:c r="M1869" s="16" t="str">
        <x:v>https://www.quicklending.com/?utm_source=private-lender-link</x:v>
      </x:c>
      <x:c r="N1869" s="16" t="str">
        <x:v>$100K-$500K ticket not published / unconfirmed</x:v>
      </x:c>
      <x:c r="O1869" s="20"/>
      <x:c r="P1869" s="20"/>
      <x:c r="Q1869" s="25" t="str">
        <x:v>Property-loan range, not a corporate-capital commitment</x:v>
      </x:c>
      <x:c r="R1869" s="25" t="str">
        <x:v>Private real-estate finance experience. Corporate working capital, minority equity or profit participation requires a separate agreement from a property loan.</x:v>
      </x:c>
      <x:c r="S1869" s="25"/>
      <x:c r="T1869" s="25" t="str">
        <x:v>Confirm direct principal versus broker, $100K-$500K appetite, and whether capital can fund the operating company without a property mortgage.</x:v>
      </x:c>
      <x:c r="U1869" s="25" t="str">
        <x:v>https://privatelenderlink.com/profile/quick-lending-llc/</x:v>
      </x:c>
      <x:c r="V1869" s="26" t="d">
        <x:v>2026-10-02T00:00:00.000Z</x:v>
      </x:c>
      <x:c r="W1869" s="26" t="d">
        <x:v>2026-09-30T00:00:00.000Z</x:v>
      </x:c>
      <x:c r="X1869" s="25" t="str">
        <x:v>Saved public company, industry-directory or regulatory source; source date retained</x:v>
      </x:c>
      <x:c r="Y1869" s="25" t="str">
        <x:v>https://privatelenderlink.com/profile/quick-lending-llc/</x:v>
      </x:c>
      <x:c r="Z1869" s="25"/>
      <x:c r="AA1869" s="25" t="str">
        <x:v>[]</x:v>
      </x:c>
      <x:c r="AB1869" s="3" t="str">
        <x:v>Existing CapitalForge research, newly screened for this campaign</x:v>
      </x:c>
      <x:c r="AC1869" s="3" t="str">
        <x:v>unverified</x:v>
      </x:c>
      <x:c r="AD1869" s="3" t="str">
        <x:v>Not contacted / unconfirmed</x:v>
      </x:c>
      <x:c r="AE1869" s="3" t="str">
        <x:v>No</x:v>
      </x:c>
      <x:c r="AF1869" s="3" t="str">
        <x:v>No</x:v>
      </x:c>
      <x:c r="AG1869" s="3"/>
      <x:c r="AH1869" s="3"/>
      <x:c r="AI1869" s="18"/>
      <x:c r="AJ1869" s="3" t="str">
        <x:v>CF2500-D0532710253C</x:v>
      </x:c>
      <x:c r="AK1869" s="3" t="str">
        <x:v>private_real_estate_lender</x:v>
      </x:c>
      <x:c r="AL1869" s="19" t="n">
        <x:v>100000</x:v>
      </x:c>
      <x:c r="AM1869" s="19" t="n">
        <x:v>500000</x:v>
      </x:c>
      <x:c r="AN1869" s="3" t="str">
        <x:v>https://privatelenderlink.com/profile/quick-lending-llc/</x:v>
      </x:c>
      <x:c r="AO1869" s="3" t="str">
        <x:v>public_directory.jsonl</x:v>
      </x:c>
      <x:c r="AP1869" s="19"/>
    </x:row>
    <x:row r="1870" ht="36" customHeight="1">
      <x:c r="A1870" s="23" t="n">
        <x:v>1869</x:v>
      </x:c>
      <x:c r="B1870" s="15" t="str">
        <x:v>1st Choice Lending</x:v>
      </x:c>
      <x:c r="C1870" s="15"/>
      <x:c r="D1870" s="15" t="str">
        <x:v>Property lender or directory member; operating-company capital unconfirmed</x:v>
      </x:c>
      <x:c r="E1870" s="15" t="str">
        <x:v>Property lender / private-money inquiry</x:v>
      </x:c>
      <x:c r="F1870" s="17" t="str">
        <x:v>New</x:v>
      </x:c>
      <x:c r="G1870" s="24"/>
      <x:c r="H1870" s="24" t="str">
        <x:v>+14803261118</x:v>
      </x:c>
      <x:c r="I1870" s="24" t="str">
        <x:v>http://www.1stchoicelending.com/</x:v>
      </x:c>
      <x:c r="J1870" s="16" t="str">
        <x:v>AZ</x:v>
      </x:c>
      <x:c r="K1870" s="16" t="str">
        <x:v>Scottsdale</x:v>
      </x:c>
      <x:c r="L1870" s="16" t="str">
        <x:v>firm_business_routing</x:v>
      </x:c>
      <x:c r="M1870" s="16" t="str">
        <x:v>http://www.1stchoicelending.com/</x:v>
      </x:c>
      <x:c r="N1870" s="16" t="str">
        <x:v>Published source range; proposed allocation and structure require confirmation</x:v>
      </x:c>
      <x:c r="O1870" s="20"/>
      <x:c r="P1870" s="20" t="n">
        <x:v>1000000</x:v>
      </x:c>
      <x:c r="Q1870" s="25" t="str">
        <x:v>Property-loan range, not a corporate-capital commitment</x:v>
      </x:c>
      <x:c r="R1870" s="25" t="str">
        <x:v>Private real-estate finance experience. Corporate working capital, minority equity or profit participation requires a separate agreement from a property loan.</x:v>
      </x:c>
      <x:c r="S1870" s="25"/>
      <x:c r="T1870" s="25" t="str">
        <x:v>Confirm direct principal versus broker, $100K-$500K appetite, and whether capital can fund the operating company without a property mortgage.</x:v>
      </x:c>
      <x:c r="U1870" s="25" t="str">
        <x:v>https://www.hardmoneyhome.com/lenders/view/1st-choice-lending</x:v>
      </x:c>
      <x:c r="V1870" s="26" t="d">
        <x:v>2026-10-02T00:00:00.000Z</x:v>
      </x:c>
      <x:c r="W1870" s="26" t="d">
        <x:v>2026-09-30T00:00:00.000Z</x:v>
      </x:c>
      <x:c r="X1870" s="25" t="str">
        <x:v>Saved public company, industry-directory or regulatory source; source date retained</x:v>
      </x:c>
      <x:c r="Y1870" s="25"/>
      <x:c r="Z1870" s="25" t="str">
        <x:v>https://www.hardmoneyhome.com/lenders/view/1st-choice-lending</x:v>
      </x:c>
      <x:c r="AA1870" s="25" t="str">
        <x:v>[]</x:v>
      </x:c>
      <x:c r="AB1870" s="3" t="str">
        <x:v>Existing CapitalForge research, newly screened for this campaign</x:v>
      </x:c>
      <x:c r="AC1870" s="3" t="str">
        <x:v>unverified</x:v>
      </x:c>
      <x:c r="AD1870" s="3" t="str">
        <x:v>Not contacted / unconfirmed</x:v>
      </x:c>
      <x:c r="AE1870" s="3" t="str">
        <x:v>No</x:v>
      </x:c>
      <x:c r="AF1870" s="3" t="str">
        <x:v>No</x:v>
      </x:c>
      <x:c r="AG1870" s="3"/>
      <x:c r="AH1870" s="3"/>
      <x:c r="AI1870" s="18"/>
      <x:c r="AJ1870" s="3" t="str">
        <x:v>CF2500-BE8825E63F00</x:v>
      </x:c>
      <x:c r="AK1870" s="3" t="str">
        <x:v>private_real_estate_lender</x:v>
      </x:c>
      <x:c r="AL1870" s="19" t="n">
        <x:v>100000</x:v>
      </x:c>
      <x:c r="AM1870" s="19" t="n">
        <x:v>500000</x:v>
      </x:c>
      <x:c r="AN1870" s="3" t="str">
        <x:v>https://www.hardmoneyhome.com/lenders/view/1st-choice-lending</x:v>
      </x:c>
      <x:c r="AO1870" s="3" t="str">
        <x:v>public_directory.jsonl</x:v>
      </x:c>
      <x:c r="AP1870" s="19"/>
    </x:row>
    <x:row r="1871" ht="36" customHeight="1">
      <x:c r="A1871" s="23" t="n">
        <x:v>1870</x:v>
      </x:c>
      <x:c r="B1871" s="15" t="str">
        <x:v>A to Z Capital</x:v>
      </x:c>
      <x:c r="C1871" s="15"/>
      <x:c r="D1871" s="15" t="str">
        <x:v>Property lender or directory member; operating-company capital unconfirmed</x:v>
      </x:c>
      <x:c r="E1871" s="15" t="str">
        <x:v>Property lender / private-money inquiry</x:v>
      </x:c>
      <x:c r="F1871" s="17" t="str">
        <x:v>New</x:v>
      </x:c>
      <x:c r="G1871" s="24"/>
      <x:c r="H1871" s="24" t="str">
        <x:v>+15616096699</x:v>
      </x:c>
      <x:c r="I1871" s="24" t="str">
        <x:v>http://www.atozcapital.net</x:v>
      </x:c>
      <x:c r="J1871" s="16" t="str">
        <x:v>FL</x:v>
      </x:c>
      <x:c r="K1871" s="16" t="str">
        <x:v>Fort Lauderdale</x:v>
      </x:c>
      <x:c r="L1871" s="16" t="str">
        <x:v>firm_business_routing</x:v>
      </x:c>
      <x:c r="M1871" s="16" t="str">
        <x:v>http://www.atozcapital.net</x:v>
      </x:c>
      <x:c r="N1871" s="16" t="str">
        <x:v>Published source range; proposed allocation and structure require confirmation</x:v>
      </x:c>
      <x:c r="O1871" s="20"/>
      <x:c r="P1871" s="20" t="n">
        <x:v>2000000</x:v>
      </x:c>
      <x:c r="Q1871" s="25" t="str">
        <x:v>Property-loan range, not a corporate-capital commitment</x:v>
      </x:c>
      <x:c r="R1871" s="25" t="str">
        <x:v>Private real-estate finance experience. Corporate working capital, minority equity or profit participation requires a separate agreement from a property loan.</x:v>
      </x:c>
      <x:c r="S1871" s="25"/>
      <x:c r="T1871" s="25" t="str">
        <x:v>Confirm direct principal versus broker, $100K-$500K appetite, and whether capital can fund the operating company without a property mortgage.</x:v>
      </x:c>
      <x:c r="U1871" s="25" t="str">
        <x:v>https://www.hardmoneyhome.com/lenders/view/a-to-z-capital
https://www.privatelendersdirectory.com/united-states/boca-raton/top-level-category/a-to-z-capital
https://atozcapitallending.com/</x:v>
      </x:c>
      <x:c r="V1871" s="26" t="d">
        <x:v>2026-10-02T00:00:00.000Z</x:v>
      </x:c>
      <x:c r="W1871" s="26" t="d">
        <x:v>2026-09-30T00:00:00.000Z</x:v>
      </x:c>
      <x:c r="X1871" s="25" t="str">
        <x:v>Saved public company, industry-directory or regulatory source; source date retained</x:v>
      </x:c>
      <x:c r="Y1871" s="25"/>
      <x:c r="Z1871" s="25" t="str">
        <x:v>https://www.hardmoneyhome.com/lenders/view/a-to-z-capital</x:v>
      </x:c>
      <x:c r="AA1871" s="25" t="str">
        <x:v>[]</x:v>
      </x:c>
      <x:c r="AB1871" s="3" t="str">
        <x:v>Existing CapitalForge research, newly screened for this campaign</x:v>
      </x:c>
      <x:c r="AC1871" s="3" t="str">
        <x:v>unverified</x:v>
      </x:c>
      <x:c r="AD1871" s="3" t="str">
        <x:v>Not contacted / unconfirmed</x:v>
      </x:c>
      <x:c r="AE1871" s="3" t="str">
        <x:v>No</x:v>
      </x:c>
      <x:c r="AF1871" s="3" t="str">
        <x:v>No</x:v>
      </x:c>
      <x:c r="AG1871" s="3"/>
      <x:c r="AH1871" s="3"/>
      <x:c r="AI1871" s="18"/>
      <x:c r="AJ1871" s="3" t="str">
        <x:v>CF2500-AF96990A4F79</x:v>
      </x:c>
      <x:c r="AK1871" s="3" t="str">
        <x:v>private_real_estate_lender</x:v>
      </x:c>
      <x:c r="AL1871" s="19" t="n">
        <x:v>100000</x:v>
      </x:c>
      <x:c r="AM1871" s="19" t="n">
        <x:v>500000</x:v>
      </x:c>
      <x:c r="AN1871" s="3" t="str">
        <x:v>https://www.hardmoneyhome.com/lenders/view/a-to-z-capital</x:v>
      </x:c>
      <x:c r="AO1871" s="3" t="str">
        <x:v>public_directory.jsonl</x:v>
      </x:c>
      <x:c r="AP1871" s="19"/>
    </x:row>
    <x:row r="1872" ht="36" customHeight="1">
      <x:c r="A1872" s="23" t="n">
        <x:v>1871</x:v>
      </x:c>
      <x:c r="B1872" s="15" t="str">
        <x:v>All Purpose Lenders</x:v>
      </x:c>
      <x:c r="C1872" s="15"/>
      <x:c r="D1872" s="15" t="str">
        <x:v>Property lender or directory member; operating-company capital unconfirmed</x:v>
      </x:c>
      <x:c r="E1872" s="15" t="str">
        <x:v>Property lender / private-money inquiry</x:v>
      </x:c>
      <x:c r="F1872" s="17" t="str">
        <x:v>New</x:v>
      </x:c>
      <x:c r="G1872" s="24"/>
      <x:c r="H1872" s="24" t="str">
        <x:v>+13057257732</x:v>
      </x:c>
      <x:c r="I1872" s="24" t="str">
        <x:v>http://allpurposelenders.com/</x:v>
      </x:c>
      <x:c r="J1872" s="16" t="str">
        <x:v>FL</x:v>
      </x:c>
      <x:c r="K1872" s="16" t="str">
        <x:v>Hollywood</x:v>
      </x:c>
      <x:c r="L1872" s="16" t="str">
        <x:v>firm_business_routing</x:v>
      </x:c>
      <x:c r="M1872" s="16" t="str">
        <x:v>http://allpurposelenders.com/</x:v>
      </x:c>
      <x:c r="N1872" s="16" t="str">
        <x:v>Published source range; proposed allocation and structure require confirmation</x:v>
      </x:c>
      <x:c r="O1872" s="20"/>
      <x:c r="P1872" s="20" t="n">
        <x:v>100000000</x:v>
      </x:c>
      <x:c r="Q1872" s="25" t="str">
        <x:v>Property-loan range, not a corporate-capital commitment</x:v>
      </x:c>
      <x:c r="R1872" s="25" t="str">
        <x:v>Private real-estate finance experience. Corporate working capital, minority equity or profit participation requires a separate agreement from a property loan.</x:v>
      </x:c>
      <x:c r="S1872" s="25"/>
      <x:c r="T1872" s="25" t="str">
        <x:v>Confirm direct principal versus broker, $100K-$500K appetite, and whether capital can fund the operating company without a property mortgage.</x:v>
      </x:c>
      <x:c r="U1872" s="25" t="str">
        <x:v>https://www.hardmoneyhome.com/lenders/view/all-purpose-lenders
https://www.privatelendersdirectory.com/united-states/hollywood/top-level-category/all-purpose-lenders</x:v>
      </x:c>
      <x:c r="V1872" s="26" t="d">
        <x:v>2026-10-02T00:00:00.000Z</x:v>
      </x:c>
      <x:c r="W1872" s="26" t="d">
        <x:v>2026-09-30T00:00:00.000Z</x:v>
      </x:c>
      <x:c r="X1872" s="25" t="str">
        <x:v>Saved public company, industry-directory or regulatory source; source date retained</x:v>
      </x:c>
      <x:c r="Y1872" s="25"/>
      <x:c r="Z1872" s="25" t="str">
        <x:v>https://www.hardmoneyhome.com/lenders/view/all-purpose-lenders</x:v>
      </x:c>
      <x:c r="AA1872" s="25" t="str">
        <x:v>[]</x:v>
      </x:c>
      <x:c r="AB1872" s="3" t="str">
        <x:v>Existing CapitalForge research, newly screened for this campaign</x:v>
      </x:c>
      <x:c r="AC1872" s="3" t="str">
        <x:v>unverified</x:v>
      </x:c>
      <x:c r="AD1872" s="3" t="str">
        <x:v>Not contacted / unconfirmed</x:v>
      </x:c>
      <x:c r="AE1872" s="3" t="str">
        <x:v>No</x:v>
      </x:c>
      <x:c r="AF1872" s="3" t="str">
        <x:v>No</x:v>
      </x:c>
      <x:c r="AG1872" s="3"/>
      <x:c r="AH1872" s="3"/>
      <x:c r="AI1872" s="18"/>
      <x:c r="AJ1872" s="3" t="str">
        <x:v>CF2500-7897F95A6DE6</x:v>
      </x:c>
      <x:c r="AK1872" s="3" t="str">
        <x:v>private_real_estate_lender</x:v>
      </x:c>
      <x:c r="AL1872" s="19" t="n">
        <x:v>100000</x:v>
      </x:c>
      <x:c r="AM1872" s="19" t="n">
        <x:v>500000</x:v>
      </x:c>
      <x:c r="AN1872" s="3" t="str">
        <x:v>https://www.hardmoneyhome.com/lenders/view/all-purpose-lenders</x:v>
      </x:c>
      <x:c r="AO1872" s="3" t="str">
        <x:v>public_directory.jsonl</x:v>
      </x:c>
      <x:c r="AP1872" s="19"/>
    </x:row>
    <x:row r="1873" ht="36" customHeight="1">
      <x:c r="A1873" s="23" t="n">
        <x:v>1872</x:v>
      </x:c>
      <x:c r="B1873" s="15" t="str">
        <x:v>America's Funding Partners</x:v>
      </x:c>
      <x:c r="C1873" s="15"/>
      <x:c r="D1873" s="15" t="str">
        <x:v>Property lender or directory member; operating-company capital unconfirmed</x:v>
      </x:c>
      <x:c r="E1873" s="15" t="str">
        <x:v>Property lender / private-money inquiry</x:v>
      </x:c>
      <x:c r="F1873" s="17" t="str">
        <x:v>New</x:v>
      </x:c>
      <x:c r="G1873" s="24"/>
      <x:c r="H1873" s="24" t="str">
        <x:v>+18776597434</x:v>
      </x:c>
      <x:c r="I1873" s="24" t="str">
        <x:v>http://americasfundingpartners.com</x:v>
      </x:c>
      <x:c r="J1873" s="16" t="str">
        <x:v>NC</x:v>
      </x:c>
      <x:c r="K1873" s="16" t="str">
        <x:v>Charlotte</x:v>
      </x:c>
      <x:c r="L1873" s="16" t="str">
        <x:v>firm_business_routing</x:v>
      </x:c>
      <x:c r="M1873" s="16" t="str">
        <x:v>http://americasfundingpartners.com</x:v>
      </x:c>
      <x:c r="N1873" s="16" t="str">
        <x:v>Published source range; proposed allocation and structure require confirmation</x:v>
      </x:c>
      <x:c r="O1873" s="20"/>
      <x:c r="P1873" s="20" t="n">
        <x:v>25000000</x:v>
      </x:c>
      <x:c r="Q1873" s="25" t="str">
        <x:v>Property-loan range, not a corporate-capital commitment</x:v>
      </x:c>
      <x:c r="R1873" s="25" t="str">
        <x:v>Private real-estate finance experience. Corporate working capital, minority equity or profit participation requires a separate agreement from a property loan.</x:v>
      </x:c>
      <x:c r="S1873" s="25"/>
      <x:c r="T1873" s="25" t="str">
        <x:v>Confirm direct principal versus broker, $100K-$500K appetite, and whether capital can fund the operating company without a property mortgage.</x:v>
      </x:c>
      <x:c r="U1873" s="25" t="str">
        <x:v>https://www.hardmoneyhome.com/lenders/view/americas-funding-partners</x:v>
      </x:c>
      <x:c r="V1873" s="26" t="d">
        <x:v>2026-10-02T00:00:00.000Z</x:v>
      </x:c>
      <x:c r="W1873" s="26" t="d">
        <x:v>2026-09-30T00:00:00.000Z</x:v>
      </x:c>
      <x:c r="X1873" s="25" t="str">
        <x:v>Saved public company, industry-directory or regulatory source; source date retained</x:v>
      </x:c>
      <x:c r="Y1873" s="25"/>
      <x:c r="Z1873" s="25" t="str">
        <x:v>https://www.hardmoneyhome.com/lenders/view/americas-funding-partners</x:v>
      </x:c>
      <x:c r="AA1873" s="25" t="str">
        <x:v>[]</x:v>
      </x:c>
      <x:c r="AB1873" s="3" t="str">
        <x:v>Existing CapitalForge research, newly screened for this campaign</x:v>
      </x:c>
      <x:c r="AC1873" s="3" t="str">
        <x:v>unverified</x:v>
      </x:c>
      <x:c r="AD1873" s="3" t="str">
        <x:v>Not contacted / unconfirmed</x:v>
      </x:c>
      <x:c r="AE1873" s="3" t="str">
        <x:v>No</x:v>
      </x:c>
      <x:c r="AF1873" s="3" t="str">
        <x:v>No</x:v>
      </x:c>
      <x:c r="AG1873" s="3"/>
      <x:c r="AH1873" s="3"/>
      <x:c r="AI1873" s="18"/>
      <x:c r="AJ1873" s="3" t="str">
        <x:v>CF2500-51D6A7628FB2</x:v>
      </x:c>
      <x:c r="AK1873" s="3" t="str">
        <x:v>private_real_estate_lender</x:v>
      </x:c>
      <x:c r="AL1873" s="19" t="n">
        <x:v>100000</x:v>
      </x:c>
      <x:c r="AM1873" s="19" t="n">
        <x:v>500000</x:v>
      </x:c>
      <x:c r="AN1873" s="3" t="str">
        <x:v>https://www.hardmoneyhome.com/lenders/view/americas-funding-partners</x:v>
      </x:c>
      <x:c r="AO1873" s="3" t="str">
        <x:v>public_directory.jsonl</x:v>
      </x:c>
      <x:c r="AP1873" s="19"/>
    </x:row>
    <x:row r="1874" ht="36" customHeight="1">
      <x:c r="A1874" s="23" t="n">
        <x:v>1873</x:v>
      </x:c>
      <x:c r="B1874" s="15" t="str">
        <x:v>Anchor and Anvil</x:v>
      </x:c>
      <x:c r="C1874" s="15"/>
      <x:c r="D1874" s="15" t="str">
        <x:v>Property lender or directory member; operating-company capital unconfirmed</x:v>
      </x:c>
      <x:c r="E1874" s="15" t="str">
        <x:v>Property lender / private-money inquiry</x:v>
      </x:c>
      <x:c r="F1874" s="17" t="str">
        <x:v>New</x:v>
      </x:c>
      <x:c r="G1874" s="24"/>
      <x:c r="H1874" s="24" t="str">
        <x:v>+13126120348</x:v>
      </x:c>
      <x:c r="I1874" s="24" t="str">
        <x:v>http://www.anchorandanvil.com</x:v>
      </x:c>
      <x:c r="J1874" s="16" t="str">
        <x:v>IL</x:v>
      </x:c>
      <x:c r="K1874" s="16" t="str">
        <x:v>Chicago</x:v>
      </x:c>
      <x:c r="L1874" s="16" t="str">
        <x:v>firm_business_routing</x:v>
      </x:c>
      <x:c r="M1874" s="16" t="str">
        <x:v>http://www.anchorandanvil.com</x:v>
      </x:c>
      <x:c r="N1874" s="16" t="str">
        <x:v>Published source range; proposed allocation and structure require confirmation</x:v>
      </x:c>
      <x:c r="O1874" s="20"/>
      <x:c r="P1874" s="20" t="n">
        <x:v>15000000</x:v>
      </x:c>
      <x:c r="Q1874" s="25" t="str">
        <x:v>Property-loan range, not a corporate-capital commitment</x:v>
      </x:c>
      <x:c r="R1874" s="25" t="str">
        <x:v>Private real-estate finance experience. Corporate working capital, minority equity or profit participation requires a separate agreement from a property loan.</x:v>
      </x:c>
      <x:c r="S1874" s="25"/>
      <x:c r="T1874" s="25" t="str">
        <x:v>Confirm direct principal versus broker, $100K-$500K appetite, and whether capital can fund the operating company without a property mortgage.</x:v>
      </x:c>
      <x:c r="U1874" s="25" t="str">
        <x:v>https://www.hardmoneyhome.com/lenders/view/anchor-and-anvil</x:v>
      </x:c>
      <x:c r="V1874" s="26" t="d">
        <x:v>2026-10-02T00:00:00.000Z</x:v>
      </x:c>
      <x:c r="W1874" s="26" t="d">
        <x:v>2026-09-30T00:00:00.000Z</x:v>
      </x:c>
      <x:c r="X1874" s="25" t="str">
        <x:v>Saved public company, industry-directory or regulatory source; source date retained</x:v>
      </x:c>
      <x:c r="Y1874" s="25"/>
      <x:c r="Z1874" s="25" t="str">
        <x:v>https://www.hardmoneyhome.com/lenders/view/anchor-and-anvil</x:v>
      </x:c>
      <x:c r="AA1874" s="25" t="str">
        <x:v>[]</x:v>
      </x:c>
      <x:c r="AB1874" s="3" t="str">
        <x:v>Existing CapitalForge research, newly screened for this campaign</x:v>
      </x:c>
      <x:c r="AC1874" s="3" t="str">
        <x:v>unverified</x:v>
      </x:c>
      <x:c r="AD1874" s="3" t="str">
        <x:v>Not contacted / unconfirmed</x:v>
      </x:c>
      <x:c r="AE1874" s="3" t="str">
        <x:v>No</x:v>
      </x:c>
      <x:c r="AF1874" s="3" t="str">
        <x:v>No</x:v>
      </x:c>
      <x:c r="AG1874" s="3"/>
      <x:c r="AH1874" s="3"/>
      <x:c r="AI1874" s="18"/>
      <x:c r="AJ1874" s="3" t="str">
        <x:v>CF2500-2DD43093DB31</x:v>
      </x:c>
      <x:c r="AK1874" s="3" t="str">
        <x:v>private_real_estate_lender</x:v>
      </x:c>
      <x:c r="AL1874" s="19" t="n">
        <x:v>100000</x:v>
      </x:c>
      <x:c r="AM1874" s="19" t="n">
        <x:v>500000</x:v>
      </x:c>
      <x:c r="AN1874" s="3" t="str">
        <x:v>https://www.hardmoneyhome.com/lenders/view/anchor-and-anvil</x:v>
      </x:c>
      <x:c r="AO1874" s="3" t="str">
        <x:v>public_directory.jsonl</x:v>
      </x:c>
      <x:c r="AP1874" s="19"/>
    </x:row>
    <x:row r="1875" ht="36" customHeight="1">
      <x:c r="A1875" s="23" t="n">
        <x:v>1874</x:v>
      </x:c>
      <x:c r="B1875" s="15" t="str">
        <x:v>Applewood Funding</x:v>
      </x:c>
      <x:c r="C1875" s="15"/>
      <x:c r="D1875" s="15" t="str">
        <x:v>Property lender or directory member; operating-company capital unconfirmed</x:v>
      </x:c>
      <x:c r="E1875" s="15" t="str">
        <x:v>Property lender / private-money inquiry</x:v>
      </x:c>
      <x:c r="F1875" s="17" t="str">
        <x:v>New</x:v>
      </x:c>
      <x:c r="G1875" s="24"/>
      <x:c r="H1875" s="24" t="str">
        <x:v>+14808088687</x:v>
      </x:c>
      <x:c r="I1875" s="24" t="str">
        <x:v>http://applewoodfunding.net/</x:v>
      </x:c>
      <x:c r="J1875" s="16" t="str">
        <x:v>AZ</x:v>
      </x:c>
      <x:c r="K1875" s="16" t="str">
        <x:v>Scottsdale</x:v>
      </x:c>
      <x:c r="L1875" s="16" t="str">
        <x:v>firm_business_routing</x:v>
      </x:c>
      <x:c r="M1875" s="16" t="str">
        <x:v>http://applewoodfunding.net/</x:v>
      </x:c>
      <x:c r="N1875" s="16" t="str">
        <x:v>Published source range; proposed allocation and structure require confirmation</x:v>
      </x:c>
      <x:c r="O1875" s="20"/>
      <x:c r="P1875" s="20" t="n">
        <x:v>500000</x:v>
      </x:c>
      <x:c r="Q1875" s="25" t="str">
        <x:v>Property-loan range, not a corporate-capital commitment</x:v>
      </x:c>
      <x:c r="R1875" s="25" t="str">
        <x:v>Private real-estate finance experience. Corporate working capital, minority equity or profit participation requires a separate agreement from a property loan.</x:v>
      </x:c>
      <x:c r="S1875" s="25"/>
      <x:c r="T1875" s="25" t="str">
        <x:v>Confirm direct principal versus broker, $100K-$500K appetite, and whether capital can fund the operating company without a property mortgage.</x:v>
      </x:c>
      <x:c r="U1875" s="25" t="str">
        <x:v>https://www.hardmoneyhome.com/lenders/view/applewood-funding</x:v>
      </x:c>
      <x:c r="V1875" s="26" t="d">
        <x:v>2026-10-02T00:00:00.000Z</x:v>
      </x:c>
      <x:c r="W1875" s="26" t="d">
        <x:v>2026-09-30T00:00:00.000Z</x:v>
      </x:c>
      <x:c r="X1875" s="25" t="str">
        <x:v>Saved public company, industry-directory or regulatory source; source date retained</x:v>
      </x:c>
      <x:c r="Y1875" s="25"/>
      <x:c r="Z1875" s="25" t="str">
        <x:v>https://www.hardmoneyhome.com/lenders/view/applewood-funding</x:v>
      </x:c>
      <x:c r="AA1875" s="25" t="str">
        <x:v>[]</x:v>
      </x:c>
      <x:c r="AB1875" s="3" t="str">
        <x:v>Existing CapitalForge research, newly screened for this campaign</x:v>
      </x:c>
      <x:c r="AC1875" s="3" t="str">
        <x:v>unverified</x:v>
      </x:c>
      <x:c r="AD1875" s="3" t="str">
        <x:v>Not contacted / unconfirmed</x:v>
      </x:c>
      <x:c r="AE1875" s="3" t="str">
        <x:v>No</x:v>
      </x:c>
      <x:c r="AF1875" s="3" t="str">
        <x:v>No</x:v>
      </x:c>
      <x:c r="AG1875" s="3"/>
      <x:c r="AH1875" s="3"/>
      <x:c r="AI1875" s="18"/>
      <x:c r="AJ1875" s="3" t="str">
        <x:v>CF2500-A0FD3F55F880</x:v>
      </x:c>
      <x:c r="AK1875" s="3" t="str">
        <x:v>private_real_estate_lender</x:v>
      </x:c>
      <x:c r="AL1875" s="19" t="n">
        <x:v>100000</x:v>
      </x:c>
      <x:c r="AM1875" s="19" t="n">
        <x:v>500000</x:v>
      </x:c>
      <x:c r="AN1875" s="3" t="str">
        <x:v>https://www.hardmoneyhome.com/lenders/view/applewood-funding</x:v>
      </x:c>
      <x:c r="AO1875" s="3" t="str">
        <x:v>public_directory.jsonl</x:v>
      </x:c>
      <x:c r="AP1875" s="19"/>
    </x:row>
    <x:row r="1876" ht="36" customHeight="1">
      <x:c r="A1876" s="23" t="n">
        <x:v>1875</x:v>
      </x:c>
      <x:c r="B1876" s="15" t="str">
        <x:v>Avondale Private Lending</x:v>
      </x:c>
      <x:c r="C1876" s="15"/>
      <x:c r="D1876" s="15" t="str">
        <x:v>Property lender or directory member; operating-company capital unconfirmed</x:v>
      </x:c>
      <x:c r="E1876" s="15" t="str">
        <x:v>Property lender / private-money inquiry</x:v>
      </x:c>
      <x:c r="F1876" s="17" t="str">
        <x:v>New</x:v>
      </x:c>
      <x:c r="G1876" s="24"/>
      <x:c r="H1876" s="24" t="str">
        <x:v>+12143938883</x:v>
      </x:c>
      <x:c r="I1876" s="24" t="str">
        <x:v>http://www.avondalelending.com/</x:v>
      </x:c>
      <x:c r="J1876" s="16" t="str">
        <x:v>TX</x:v>
      </x:c>
      <x:c r="K1876" s="16" t="str">
        <x:v>Dallas</x:v>
      </x:c>
      <x:c r="L1876" s="16" t="str">
        <x:v>firm_business_routing</x:v>
      </x:c>
      <x:c r="M1876" s="16" t="str">
        <x:v>http://www.avondalelending.com/</x:v>
      </x:c>
      <x:c r="N1876" s="16" t="str">
        <x:v>Published source range; proposed allocation and structure require confirmation</x:v>
      </x:c>
      <x:c r="O1876" s="20"/>
      <x:c r="P1876" s="20" t="n">
        <x:v>500000</x:v>
      </x:c>
      <x:c r="Q1876" s="25" t="str">
        <x:v>Property-loan range, not a corporate-capital commitment</x:v>
      </x:c>
      <x:c r="R1876" s="25" t="str">
        <x:v>Private real-estate finance experience. Corporate working capital, minority equity or profit participation requires a separate agreement from a property loan.</x:v>
      </x:c>
      <x:c r="S1876" s="25"/>
      <x:c r="T1876" s="25" t="str">
        <x:v>Confirm direct principal versus broker, $100K-$500K appetite, and whether capital can fund the operating company without a property mortgage.</x:v>
      </x:c>
      <x:c r="U1876" s="25" t="str">
        <x:v>https://www.hardmoneyhome.com/lenders/view/avondale-private-lending</x:v>
      </x:c>
      <x:c r="V1876" s="26" t="d">
        <x:v>2026-10-02T00:00:00.000Z</x:v>
      </x:c>
      <x:c r="W1876" s="26" t="d">
        <x:v>2026-09-30T00:00:00.000Z</x:v>
      </x:c>
      <x:c r="X1876" s="25" t="str">
        <x:v>Saved public company, industry-directory or regulatory source; source date retained</x:v>
      </x:c>
      <x:c r="Y1876" s="25"/>
      <x:c r="Z1876" s="25" t="str">
        <x:v>https://www.hardmoneyhome.com/lenders/view/avondale-private-lending</x:v>
      </x:c>
      <x:c r="AA1876" s="25" t="str">
        <x:v>[]</x:v>
      </x:c>
      <x:c r="AB1876" s="3" t="str">
        <x:v>Existing CapitalForge research, newly screened for this campaign</x:v>
      </x:c>
      <x:c r="AC1876" s="3" t="str">
        <x:v>unverified</x:v>
      </x:c>
      <x:c r="AD1876" s="3" t="str">
        <x:v>Not contacted / unconfirmed</x:v>
      </x:c>
      <x:c r="AE1876" s="3" t="str">
        <x:v>No</x:v>
      </x:c>
      <x:c r="AF1876" s="3" t="str">
        <x:v>No</x:v>
      </x:c>
      <x:c r="AG1876" s="3"/>
      <x:c r="AH1876" s="3"/>
      <x:c r="AI1876" s="18"/>
      <x:c r="AJ1876" s="3" t="str">
        <x:v>CF2500-62008926A680</x:v>
      </x:c>
      <x:c r="AK1876" s="3" t="str">
        <x:v>private_real_estate_lender</x:v>
      </x:c>
      <x:c r="AL1876" s="19" t="n">
        <x:v>100000</x:v>
      </x:c>
      <x:c r="AM1876" s="19" t="n">
        <x:v>500000</x:v>
      </x:c>
      <x:c r="AN1876" s="3" t="str">
        <x:v>https://www.hardmoneyhome.com/lenders/view/avondale-private-lending</x:v>
      </x:c>
      <x:c r="AO1876" s="3" t="str">
        <x:v>public_directory.jsonl</x:v>
      </x:c>
      <x:c r="AP1876" s="19"/>
    </x:row>
    <x:row r="1877" ht="36" customHeight="1">
      <x:c r="A1877" s="23" t="n">
        <x:v>1876</x:v>
      </x:c>
      <x:c r="B1877" s="15" t="str">
        <x:v>Barnett REI Finance</x:v>
      </x:c>
      <x:c r="C1877" s="15"/>
      <x:c r="D1877" s="15" t="str">
        <x:v>Property lender or directory member; operating-company capital unconfirmed</x:v>
      </x:c>
      <x:c r="E1877" s="15" t="str">
        <x:v>Property lender / private-money inquiry</x:v>
      </x:c>
      <x:c r="F1877" s="17" t="str">
        <x:v>New</x:v>
      </x:c>
      <x:c r="G1877" s="24"/>
      <x:c r="H1877" s="24" t="str">
        <x:v>+12242057266</x:v>
      </x:c>
      <x:c r="I1877" s="24" t="str">
        <x:v>http://www.barnettreifinance.com/</x:v>
      </x:c>
      <x:c r="J1877" s="16" t="str">
        <x:v>IL</x:v>
      </x:c>
      <x:c r="K1877" s="16" t="str">
        <x:v>Northbrook</x:v>
      </x:c>
      <x:c r="L1877" s="16" t="str">
        <x:v>firm_business_routing</x:v>
      </x:c>
      <x:c r="M1877" s="16" t="str">
        <x:v>http://www.barnettreifinance.com/</x:v>
      </x:c>
      <x:c r="N1877" s="16" t="str">
        <x:v>Published source range; proposed allocation and structure require confirmation</x:v>
      </x:c>
      <x:c r="O1877" s="20"/>
      <x:c r="P1877" s="20" t="n">
        <x:v>2500000</x:v>
      </x:c>
      <x:c r="Q1877" s="25" t="str">
        <x:v>Property-loan range, not a corporate-capital commitment</x:v>
      </x:c>
      <x:c r="R1877" s="25" t="str">
        <x:v>Private real-estate finance experience. Corporate working capital, minority equity or profit participation requires a separate agreement from a property loan.</x:v>
      </x:c>
      <x:c r="S1877" s="25"/>
      <x:c r="T1877" s="25" t="str">
        <x:v>Confirm direct principal versus broker, $100K-$500K appetite, and whether capital can fund the operating company without a property mortgage.</x:v>
      </x:c>
      <x:c r="U1877" s="25" t="str">
        <x:v>https://www.hardmoneyhome.com/lenders/view/barnett-rei-finance</x:v>
      </x:c>
      <x:c r="V1877" s="26" t="d">
        <x:v>2026-10-02T00:00:00.000Z</x:v>
      </x:c>
      <x:c r="W1877" s="26" t="d">
        <x:v>2026-09-30T00:00:00.000Z</x:v>
      </x:c>
      <x:c r="X1877" s="25" t="str">
        <x:v>Saved public company, industry-directory or regulatory source; source date retained</x:v>
      </x:c>
      <x:c r="Y1877" s="25"/>
      <x:c r="Z1877" s="25" t="str">
        <x:v>https://www.hardmoneyhome.com/lenders/view/barnett-rei-finance</x:v>
      </x:c>
      <x:c r="AA1877" s="25" t="str">
        <x:v>[]</x:v>
      </x:c>
      <x:c r="AB1877" s="3" t="str">
        <x:v>Existing CapitalForge research, newly screened for this campaign</x:v>
      </x:c>
      <x:c r="AC1877" s="3" t="str">
        <x:v>unverified</x:v>
      </x:c>
      <x:c r="AD1877" s="3" t="str">
        <x:v>Not contacted / unconfirmed</x:v>
      </x:c>
      <x:c r="AE1877" s="3" t="str">
        <x:v>No</x:v>
      </x:c>
      <x:c r="AF1877" s="3" t="str">
        <x:v>No</x:v>
      </x:c>
      <x:c r="AG1877" s="3"/>
      <x:c r="AH1877" s="3"/>
      <x:c r="AI1877" s="18"/>
      <x:c r="AJ1877" s="3" t="str">
        <x:v>CF2500-9511C9A855BF</x:v>
      </x:c>
      <x:c r="AK1877" s="3" t="str">
        <x:v>private_real_estate_lender</x:v>
      </x:c>
      <x:c r="AL1877" s="19" t="n">
        <x:v>100000</x:v>
      </x:c>
      <x:c r="AM1877" s="19" t="n">
        <x:v>500000</x:v>
      </x:c>
      <x:c r="AN1877" s="3" t="str">
        <x:v>https://www.hardmoneyhome.com/lenders/view/barnett-rei-finance</x:v>
      </x:c>
      <x:c r="AO1877" s="3" t="str">
        <x:v>public_directory.jsonl</x:v>
      </x:c>
      <x:c r="AP1877" s="19"/>
    </x:row>
    <x:row r="1878" ht="36" customHeight="1">
      <x:c r="A1878" s="23" t="n">
        <x:v>1877</x:v>
      </x:c>
      <x:c r="B1878" s="15" t="str">
        <x:v>BGI Capital</x:v>
      </x:c>
      <x:c r="C1878" s="15"/>
      <x:c r="D1878" s="15" t="str">
        <x:v>Property lender or directory member; operating-company capital unconfirmed</x:v>
      </x:c>
      <x:c r="E1878" s="15" t="str">
        <x:v>Property lender / private-money inquiry</x:v>
      </x:c>
      <x:c r="F1878" s="17" t="str">
        <x:v>New</x:v>
      </x:c>
      <x:c r="G1878" s="24"/>
      <x:c r="H1878" s="24" t="str">
        <x:v>+13058540604</x:v>
      </x:c>
      <x:c r="I1878" s="24" t="str">
        <x:v>http://www.bgicg.com/</x:v>
      </x:c>
      <x:c r="J1878" s="16" t="str">
        <x:v>FL</x:v>
      </x:c>
      <x:c r="K1878" s="16" t="str">
        <x:v>Miami</x:v>
      </x:c>
      <x:c r="L1878" s="16" t="str">
        <x:v>firm_business_routing</x:v>
      </x:c>
      <x:c r="M1878" s="16" t="str">
        <x:v>http://www.bgicg.com/</x:v>
      </x:c>
      <x:c r="N1878" s="16" t="str">
        <x:v>Published source range; proposed allocation and structure require confirmation</x:v>
      </x:c>
      <x:c r="O1878" s="20"/>
      <x:c r="P1878" s="20" t="n">
        <x:v>5000000</x:v>
      </x:c>
      <x:c r="Q1878" s="25" t="str">
        <x:v>Property-loan range, not a corporate-capital commitment</x:v>
      </x:c>
      <x:c r="R1878" s="25" t="str">
        <x:v>Private real-estate finance experience. Corporate working capital, minority equity or profit participation requires a separate agreement from a property loan.</x:v>
      </x:c>
      <x:c r="S1878" s="25"/>
      <x:c r="T1878" s="25" t="str">
        <x:v>Confirm direct principal versus broker, $100K-$500K appetite, and whether capital can fund the operating company without a property mortgage.</x:v>
      </x:c>
      <x:c r="U1878" s="25" t="str">
        <x:v>https://www.hardmoneyhome.com/lenders/view/bgi-financial</x:v>
      </x:c>
      <x:c r="V1878" s="26" t="d">
        <x:v>2026-10-02T00:00:00.000Z</x:v>
      </x:c>
      <x:c r="W1878" s="26" t="d">
        <x:v>2026-09-30T00:00:00.000Z</x:v>
      </x:c>
      <x:c r="X1878" s="25" t="str">
        <x:v>Saved public company, industry-directory or regulatory source; source date retained</x:v>
      </x:c>
      <x:c r="Y1878" s="25"/>
      <x:c r="Z1878" s="25" t="str">
        <x:v>https://www.hardmoneyhome.com/lenders/view/bgi-financial</x:v>
      </x:c>
      <x:c r="AA1878" s="25" t="str">
        <x:v>[]</x:v>
      </x:c>
      <x:c r="AB1878" s="3" t="str">
        <x:v>Existing CapitalForge research, newly screened for this campaign</x:v>
      </x:c>
      <x:c r="AC1878" s="3" t="str">
        <x:v>unverified</x:v>
      </x:c>
      <x:c r="AD1878" s="3" t="str">
        <x:v>Not contacted / unconfirmed</x:v>
      </x:c>
      <x:c r="AE1878" s="3" t="str">
        <x:v>No</x:v>
      </x:c>
      <x:c r="AF1878" s="3" t="str">
        <x:v>No</x:v>
      </x:c>
      <x:c r="AG1878" s="3"/>
      <x:c r="AH1878" s="3"/>
      <x:c r="AI1878" s="18"/>
      <x:c r="AJ1878" s="3" t="str">
        <x:v>CF2500-A1ADD9B9AD66</x:v>
      </x:c>
      <x:c r="AK1878" s="3" t="str">
        <x:v>private_real_estate_lender</x:v>
      </x:c>
      <x:c r="AL1878" s="19" t="n">
        <x:v>100000</x:v>
      </x:c>
      <x:c r="AM1878" s="19" t="n">
        <x:v>500000</x:v>
      </x:c>
      <x:c r="AN1878" s="3" t="str">
        <x:v>https://www.hardmoneyhome.com/lenders/view/bgi-financial</x:v>
      </x:c>
      <x:c r="AO1878" s="3" t="str">
        <x:v>public_directory.jsonl</x:v>
      </x:c>
      <x:c r="AP1878" s="19"/>
    </x:row>
    <x:row r="1879" ht="36" customHeight="1">
      <x:c r="A1879" s="23" t="n">
        <x:v>1878</x:v>
      </x:c>
      <x:c r="B1879" s="15" t="str">
        <x:v>Billy A William Anastopoulos</x:v>
      </x:c>
      <x:c r="C1879" s="15"/>
      <x:c r="D1879" s="15" t="str">
        <x:v>Property lender or directory member; operating-company capital unconfirmed</x:v>
      </x:c>
      <x:c r="E1879" s="15" t="str">
        <x:v>Property lender / private-money inquiry</x:v>
      </x:c>
      <x:c r="F1879" s="17" t="str">
        <x:v>New</x:v>
      </x:c>
      <x:c r="G1879" s="24"/>
      <x:c r="H1879" s="24" t="str">
        <x:v>+15202994878</x:v>
      </x:c>
      <x:c r="I1879" s="24" t="str">
        <x:v>http://www.billya.com/</x:v>
      </x:c>
      <x:c r="J1879" s="16" t="str">
        <x:v>AZ</x:v>
      </x:c>
      <x:c r="K1879" s="16" t="str">
        <x:v>Tucson</x:v>
      </x:c>
      <x:c r="L1879" s="16" t="str">
        <x:v>firm_business_routing</x:v>
      </x:c>
      <x:c r="M1879" s="16" t="str">
        <x:v>http://www.billya.com/</x:v>
      </x:c>
      <x:c r="N1879" s="16" t="str">
        <x:v>Published source range; proposed allocation and structure require confirmation</x:v>
      </x:c>
      <x:c r="O1879" s="20"/>
      <x:c r="P1879" s="20" t="n">
        <x:v>1000000</x:v>
      </x:c>
      <x:c r="Q1879" s="25" t="str">
        <x:v>Property-loan range, not a corporate-capital commitment</x:v>
      </x:c>
      <x:c r="R1879" s="25" t="str">
        <x:v>Private real-estate finance experience. Corporate working capital, minority equity or profit participation requires a separate agreement from a property loan.</x:v>
      </x:c>
      <x:c r="S1879" s="25"/>
      <x:c r="T1879" s="25" t="str">
        <x:v>Confirm direct principal versus broker, $100K-$500K appetite, and whether capital can fund the operating company without a property mortgage.</x:v>
      </x:c>
      <x:c r="U1879" s="25" t="str">
        <x:v>https://www.hardmoneyhome.com/lenders/view/billy-a-william-anastopoulos</x:v>
      </x:c>
      <x:c r="V1879" s="26" t="d">
        <x:v>2026-10-02T00:00:00.000Z</x:v>
      </x:c>
      <x:c r="W1879" s="26" t="d">
        <x:v>2026-09-30T00:00:00.000Z</x:v>
      </x:c>
      <x:c r="X1879" s="25" t="str">
        <x:v>Saved public company, industry-directory or regulatory source; source date retained</x:v>
      </x:c>
      <x:c r="Y1879" s="25"/>
      <x:c r="Z1879" s="25" t="str">
        <x:v>https://www.hardmoneyhome.com/lenders/view/billy-a-william-anastopoulos</x:v>
      </x:c>
      <x:c r="AA1879" s="25" t="str">
        <x:v>[]</x:v>
      </x:c>
      <x:c r="AB1879" s="3" t="str">
        <x:v>Existing CapitalForge research, newly screened for this campaign</x:v>
      </x:c>
      <x:c r="AC1879" s="3" t="str">
        <x:v>unverified</x:v>
      </x:c>
      <x:c r="AD1879" s="3" t="str">
        <x:v>Not contacted / unconfirmed</x:v>
      </x:c>
      <x:c r="AE1879" s="3" t="str">
        <x:v>No</x:v>
      </x:c>
      <x:c r="AF1879" s="3" t="str">
        <x:v>No</x:v>
      </x:c>
      <x:c r="AG1879" s="3"/>
      <x:c r="AH1879" s="3"/>
      <x:c r="AI1879" s="18"/>
      <x:c r="AJ1879" s="3" t="str">
        <x:v>CF2500-4D9F5E75F5BD</x:v>
      </x:c>
      <x:c r="AK1879" s="3" t="str">
        <x:v>private_real_estate_lender</x:v>
      </x:c>
      <x:c r="AL1879" s="19" t="n">
        <x:v>100000</x:v>
      </x:c>
      <x:c r="AM1879" s="19" t="n">
        <x:v>500000</x:v>
      </x:c>
      <x:c r="AN1879" s="3" t="str">
        <x:v>https://www.hardmoneyhome.com/lenders/view/billy-a-william-anastopoulos</x:v>
      </x:c>
      <x:c r="AO1879" s="3" t="str">
        <x:v>public_directory.jsonl</x:v>
      </x:c>
      <x:c r="AP1879" s="19"/>
    </x:row>
    <x:row r="1880" ht="36" customHeight="1">
      <x:c r="A1880" s="23" t="n">
        <x:v>1879</x:v>
      </x:c>
      <x:c r="B1880" s="15" t="str">
        <x:v>BLS Finance</x:v>
      </x:c>
      <x:c r="C1880" s="15"/>
      <x:c r="D1880" s="15" t="str">
        <x:v>Property lender or directory member; operating-company capital unconfirmed</x:v>
      </x:c>
      <x:c r="E1880" s="15" t="str">
        <x:v>Property lender / private-money inquiry</x:v>
      </x:c>
      <x:c r="F1880" s="17" t="str">
        <x:v>New</x:v>
      </x:c>
      <x:c r="G1880" s="24"/>
      <x:c r="H1880" s="24" t="str">
        <x:v>+18446318150</x:v>
      </x:c>
      <x:c r="I1880" s="24" t="str">
        <x:v>http://www.blsfinance.com/</x:v>
      </x:c>
      <x:c r="J1880" s="16" t="str">
        <x:v>NC</x:v>
      </x:c>
      <x:c r="K1880" s="16" t="str">
        <x:v>Charlotte</x:v>
      </x:c>
      <x:c r="L1880" s="16" t="str">
        <x:v>firm_business_routing</x:v>
      </x:c>
      <x:c r="M1880" s="16" t="str">
        <x:v>http://www.blsfinance.com/</x:v>
      </x:c>
      <x:c r="N1880" s="16" t="str">
        <x:v>Published source range; proposed allocation and structure require confirmation</x:v>
      </x:c>
      <x:c r="O1880" s="20"/>
      <x:c r="P1880" s="20" t="n">
        <x:v>100000000</x:v>
      </x:c>
      <x:c r="Q1880" s="25" t="str">
        <x:v>Property-loan range, not a corporate-capital commitment</x:v>
      </x:c>
      <x:c r="R1880" s="25" t="str">
        <x:v>Private real-estate finance experience. Corporate working capital, minority equity or profit participation requires a separate agreement from a property loan.</x:v>
      </x:c>
      <x:c r="S1880" s="25"/>
      <x:c r="T1880" s="25" t="str">
        <x:v>Confirm direct principal versus broker, $100K-$500K appetite, and whether capital can fund the operating company without a property mortgage.</x:v>
      </x:c>
      <x:c r="U1880" s="25" t="str">
        <x:v>https://www.hardmoneyhome.com/lenders/view/bls-finance</x:v>
      </x:c>
      <x:c r="V1880" s="26" t="d">
        <x:v>2026-10-02T00:00:00.000Z</x:v>
      </x:c>
      <x:c r="W1880" s="26" t="d">
        <x:v>2026-09-30T00:00:00.000Z</x:v>
      </x:c>
      <x:c r="X1880" s="25" t="str">
        <x:v>Saved public company, industry-directory or regulatory source; source date retained</x:v>
      </x:c>
      <x:c r="Y1880" s="25"/>
      <x:c r="Z1880" s="25" t="str">
        <x:v>https://www.hardmoneyhome.com/lenders/view/bls-finance</x:v>
      </x:c>
      <x:c r="AA1880" s="25" t="str">
        <x:v>[]</x:v>
      </x:c>
      <x:c r="AB1880" s="3" t="str">
        <x:v>Existing CapitalForge research, newly screened for this campaign</x:v>
      </x:c>
      <x:c r="AC1880" s="3" t="str">
        <x:v>unverified</x:v>
      </x:c>
      <x:c r="AD1880" s="3" t="str">
        <x:v>Not contacted / unconfirmed</x:v>
      </x:c>
      <x:c r="AE1880" s="3" t="str">
        <x:v>No</x:v>
      </x:c>
      <x:c r="AF1880" s="3" t="str">
        <x:v>No</x:v>
      </x:c>
      <x:c r="AG1880" s="3"/>
      <x:c r="AH1880" s="3"/>
      <x:c r="AI1880" s="18"/>
      <x:c r="AJ1880" s="3" t="str">
        <x:v>CF2500-4DF4EA9959D2</x:v>
      </x:c>
      <x:c r="AK1880" s="3" t="str">
        <x:v>private_real_estate_lender</x:v>
      </x:c>
      <x:c r="AL1880" s="19" t="n">
        <x:v>100000</x:v>
      </x:c>
      <x:c r="AM1880" s="19" t="n">
        <x:v>500000</x:v>
      </x:c>
      <x:c r="AN1880" s="3" t="str">
        <x:v>https://www.hardmoneyhome.com/lenders/view/bls-finance</x:v>
      </x:c>
      <x:c r="AO1880" s="3" t="str">
        <x:v>public_directory.jsonl</x:v>
      </x:c>
      <x:c r="AP1880" s="19"/>
    </x:row>
    <x:row r="1881" ht="36" customHeight="1">
      <x:c r="A1881" s="23" t="n">
        <x:v>1880</x:v>
      </x:c>
      <x:c r="B1881" s="15" t="str">
        <x:v>Bridge Lending Group</x:v>
      </x:c>
      <x:c r="C1881" s="15"/>
      <x:c r="D1881" s="15" t="str">
        <x:v>Property lender or directory member; operating-company capital unconfirmed</x:v>
      </x:c>
      <x:c r="E1881" s="15" t="str">
        <x:v>Property lender / private-money inquiry</x:v>
      </x:c>
      <x:c r="F1881" s="17" t="str">
        <x:v>New</x:v>
      </x:c>
      <x:c r="G1881" s="24"/>
      <x:c r="H1881" s="24" t="str">
        <x:v>+18447429900</x:v>
      </x:c>
      <x:c r="I1881" s="24" t="str">
        <x:v>http://www.blgfunding.com/</x:v>
      </x:c>
      <x:c r="J1881" s="16" t="str">
        <x:v>FL</x:v>
      </x:c>
      <x:c r="K1881" s="16" t="str">
        <x:v>Jacksonville</x:v>
      </x:c>
      <x:c r="L1881" s="16" t="str">
        <x:v>firm_business_routing</x:v>
      </x:c>
      <x:c r="M1881" s="16" t="str">
        <x:v>http://www.blgfunding.com/</x:v>
      </x:c>
      <x:c r="N1881" s="16" t="str">
        <x:v>Published source range; proposed allocation and structure require confirmation</x:v>
      </x:c>
      <x:c r="O1881" s="20"/>
      <x:c r="P1881" s="20" t="n">
        <x:v>1000000</x:v>
      </x:c>
      <x:c r="Q1881" s="25" t="str">
        <x:v>Property-loan range, not a corporate-capital commitment</x:v>
      </x:c>
      <x:c r="R1881" s="25" t="str">
        <x:v>Private real-estate finance experience. Corporate working capital, minority equity or profit participation requires a separate agreement from a property loan.</x:v>
      </x:c>
      <x:c r="S1881" s="25"/>
      <x:c r="T1881" s="25" t="str">
        <x:v>Confirm direct principal versus broker, $100K-$500K appetite, and whether capital can fund the operating company without a property mortgage.</x:v>
      </x:c>
      <x:c r="U1881" s="25" t="str">
        <x:v>https://www.hardmoneyhome.com/lenders/view/bridge-lending-group
https://www.privatelendersdirectory.com/united-states/harrison/top-level-category/bridge-lending-group</x:v>
      </x:c>
      <x:c r="V1881" s="26" t="d">
        <x:v>2026-10-02T00:00:00.000Z</x:v>
      </x:c>
      <x:c r="W1881" s="26" t="d">
        <x:v>2026-09-30T00:00:00.000Z</x:v>
      </x:c>
      <x:c r="X1881" s="25" t="str">
        <x:v>Saved public company, industry-directory or regulatory source; source date retained</x:v>
      </x:c>
      <x:c r="Y1881" s="25"/>
      <x:c r="Z1881" s="25" t="str">
        <x:v>https://www.hardmoneyhome.com/lenders/view/bridge-lending-group</x:v>
      </x:c>
      <x:c r="AA1881" s="25" t="str">
        <x:v>[]</x:v>
      </x:c>
      <x:c r="AB1881" s="3" t="str">
        <x:v>Existing CapitalForge research, newly screened for this campaign</x:v>
      </x:c>
      <x:c r="AC1881" s="3" t="str">
        <x:v>unverified</x:v>
      </x:c>
      <x:c r="AD1881" s="3" t="str">
        <x:v>Not contacted / unconfirmed</x:v>
      </x:c>
      <x:c r="AE1881" s="3" t="str">
        <x:v>No</x:v>
      </x:c>
      <x:c r="AF1881" s="3" t="str">
        <x:v>No</x:v>
      </x:c>
      <x:c r="AG1881" s="3"/>
      <x:c r="AH1881" s="3"/>
      <x:c r="AI1881" s="18"/>
      <x:c r="AJ1881" s="3" t="str">
        <x:v>CF2500-DA8DECD7BE8F</x:v>
      </x:c>
      <x:c r="AK1881" s="3" t="str">
        <x:v>private_real_estate_lender</x:v>
      </x:c>
      <x:c r="AL1881" s="19" t="n">
        <x:v>100000</x:v>
      </x:c>
      <x:c r="AM1881" s="19" t="n">
        <x:v>500000</x:v>
      </x:c>
      <x:c r="AN1881" s="3" t="str">
        <x:v>https://www.hardmoneyhome.com/lenders/view/bridge-lending-group</x:v>
      </x:c>
      <x:c r="AO1881" s="3" t="str">
        <x:v>public_directory.jsonl</x:v>
      </x:c>
      <x:c r="AP1881" s="19"/>
    </x:row>
    <x:row r="1882" ht="36" customHeight="1">
      <x:c r="A1882" s="23" t="n">
        <x:v>1881</x:v>
      </x:c>
      <x:c r="B1882" s="15" t="str">
        <x:v>Chicago Private Lending</x:v>
      </x:c>
      <x:c r="C1882" s="15"/>
      <x:c r="D1882" s="15" t="str">
        <x:v>Property lender or directory member; operating-company capital unconfirmed</x:v>
      </x:c>
      <x:c r="E1882" s="15" t="str">
        <x:v>Property lender / private-money inquiry</x:v>
      </x:c>
      <x:c r="F1882" s="17" t="str">
        <x:v>New</x:v>
      </x:c>
      <x:c r="G1882" s="24"/>
      <x:c r="H1882" s="24" t="str">
        <x:v>+13127725754</x:v>
      </x:c>
      <x:c r="I1882" s="24" t="str">
        <x:v>http://www.chicagoprivatelending.com/</x:v>
      </x:c>
      <x:c r="J1882" s="16" t="str">
        <x:v>IL</x:v>
      </x:c>
      <x:c r="K1882" s="16" t="str">
        <x:v>Skokie</x:v>
      </x:c>
      <x:c r="L1882" s="16" t="str">
        <x:v>firm_business_routing</x:v>
      </x:c>
      <x:c r="M1882" s="16" t="str">
        <x:v>http://www.chicagoprivatelending.com/</x:v>
      </x:c>
      <x:c r="N1882" s="16" t="str">
        <x:v>Published source range; proposed allocation and structure require confirmation</x:v>
      </x:c>
      <x:c r="O1882" s="20"/>
      <x:c r="P1882" s="20" t="n">
        <x:v>5000000</x:v>
      </x:c>
      <x:c r="Q1882" s="25" t="str">
        <x:v>Property-loan range, not a corporate-capital commitment</x:v>
      </x:c>
      <x:c r="R1882" s="25" t="str">
        <x:v>Private real-estate finance experience. Corporate working capital, minority equity or profit participation requires a separate agreement from a property loan.</x:v>
      </x:c>
      <x:c r="S1882" s="25"/>
      <x:c r="T1882" s="25" t="str">
        <x:v>Confirm direct principal versus broker, $100K-$500K appetite, and whether capital can fund the operating company without a property mortgage.</x:v>
      </x:c>
      <x:c r="U1882" s="25" t="str">
        <x:v>https://www.hardmoneyhome.com/lenders/view/chicago-private-lending</x:v>
      </x:c>
      <x:c r="V1882" s="26" t="d">
        <x:v>2026-10-02T00:00:00.000Z</x:v>
      </x:c>
      <x:c r="W1882" s="26" t="d">
        <x:v>2026-09-30T00:00:00.000Z</x:v>
      </x:c>
      <x:c r="X1882" s="25" t="str">
        <x:v>Saved public company, industry-directory or regulatory source; source date retained</x:v>
      </x:c>
      <x:c r="Y1882" s="25"/>
      <x:c r="Z1882" s="25" t="str">
        <x:v>https://www.hardmoneyhome.com/lenders/view/chicago-private-lending</x:v>
      </x:c>
      <x:c r="AA1882" s="25" t="str">
        <x:v>[]</x:v>
      </x:c>
      <x:c r="AB1882" s="3" t="str">
        <x:v>Existing CapitalForge research, newly screened for this campaign</x:v>
      </x:c>
      <x:c r="AC1882" s="3" t="str">
        <x:v>unverified</x:v>
      </x:c>
      <x:c r="AD1882" s="3" t="str">
        <x:v>Not contacted / unconfirmed</x:v>
      </x:c>
      <x:c r="AE1882" s="3" t="str">
        <x:v>No</x:v>
      </x:c>
      <x:c r="AF1882" s="3" t="str">
        <x:v>No</x:v>
      </x:c>
      <x:c r="AG1882" s="3"/>
      <x:c r="AH1882" s="3"/>
      <x:c r="AI1882" s="18"/>
      <x:c r="AJ1882" s="3" t="str">
        <x:v>CF2500-64A8ABE193E7</x:v>
      </x:c>
      <x:c r="AK1882" s="3" t="str">
        <x:v>private_real_estate_lender</x:v>
      </x:c>
      <x:c r="AL1882" s="19" t="n">
        <x:v>100000</x:v>
      </x:c>
      <x:c r="AM1882" s="19" t="n">
        <x:v>500000</x:v>
      </x:c>
      <x:c r="AN1882" s="3" t="str">
        <x:v>https://www.hardmoneyhome.com/lenders/view/chicago-private-lending</x:v>
      </x:c>
      <x:c r="AO1882" s="3" t="str">
        <x:v>public_directory.jsonl</x:v>
      </x:c>
      <x:c r="AP1882" s="19"/>
    </x:row>
    <x:row r="1883" ht="36" customHeight="1">
      <x:c r="A1883" s="23" t="n">
        <x:v>1882</x:v>
      </x:c>
      <x:c r="B1883" s="15" t="str">
        <x:v>Chicago Rehab Loans</x:v>
      </x:c>
      <x:c r="C1883" s="15"/>
      <x:c r="D1883" s="15" t="str">
        <x:v>Property lender or directory member; operating-company capital unconfirmed</x:v>
      </x:c>
      <x:c r="E1883" s="15" t="str">
        <x:v>Property lender / private-money inquiry</x:v>
      </x:c>
      <x:c r="F1883" s="17" t="str">
        <x:v>New</x:v>
      </x:c>
      <x:c r="G1883" s="24"/>
      <x:c r="H1883" s="24" t="str">
        <x:v>+13129380492</x:v>
      </x:c>
      <x:c r="I1883" s="24" t="str">
        <x:v>http://chicagorehabloans.com/</x:v>
      </x:c>
      <x:c r="J1883" s="16" t="str">
        <x:v>IL</x:v>
      </x:c>
      <x:c r="K1883" s="16" t="str">
        <x:v>Chicago</x:v>
      </x:c>
      <x:c r="L1883" s="16" t="str">
        <x:v>firm_business_routing</x:v>
      </x:c>
      <x:c r="M1883" s="16" t="str">
        <x:v>http://chicagorehabloans.com/</x:v>
      </x:c>
      <x:c r="N1883" s="16" t="str">
        <x:v>Published source range; proposed allocation and structure require confirmation</x:v>
      </x:c>
      <x:c r="O1883" s="20"/>
      <x:c r="P1883" s="20" t="n">
        <x:v>3000000</x:v>
      </x:c>
      <x:c r="Q1883" s="25" t="str">
        <x:v>Property-loan range, not a corporate-capital commitment</x:v>
      </x:c>
      <x:c r="R1883" s="25" t="str">
        <x:v>Private real-estate finance experience. Corporate working capital, minority equity or profit participation requires a separate agreement from a property loan.</x:v>
      </x:c>
      <x:c r="S1883" s="25"/>
      <x:c r="T1883" s="25" t="str">
        <x:v>Confirm direct principal versus broker, $100K-$500K appetite, and whether capital can fund the operating company without a property mortgage.</x:v>
      </x:c>
      <x:c r="U1883" s="25" t="str">
        <x:v>https://www.hardmoneyhome.com/lenders/view/chicago-rehab-loans</x:v>
      </x:c>
      <x:c r="V1883" s="26" t="d">
        <x:v>2026-10-02T00:00:00.000Z</x:v>
      </x:c>
      <x:c r="W1883" s="26" t="d">
        <x:v>2026-09-30T00:00:00.000Z</x:v>
      </x:c>
      <x:c r="X1883" s="25" t="str">
        <x:v>Saved public company, industry-directory or regulatory source; source date retained</x:v>
      </x:c>
      <x:c r="Y1883" s="25"/>
      <x:c r="Z1883" s="25" t="str">
        <x:v>https://www.hardmoneyhome.com/lenders/view/chicago-rehab-loans</x:v>
      </x:c>
      <x:c r="AA1883" s="25" t="str">
        <x:v>[]</x:v>
      </x:c>
      <x:c r="AB1883" s="3" t="str">
        <x:v>Existing CapitalForge research, newly screened for this campaign</x:v>
      </x:c>
      <x:c r="AC1883" s="3" t="str">
        <x:v>unverified</x:v>
      </x:c>
      <x:c r="AD1883" s="3" t="str">
        <x:v>Not contacted / unconfirmed</x:v>
      </x:c>
      <x:c r="AE1883" s="3" t="str">
        <x:v>No</x:v>
      </x:c>
      <x:c r="AF1883" s="3" t="str">
        <x:v>No</x:v>
      </x:c>
      <x:c r="AG1883" s="3"/>
      <x:c r="AH1883" s="3"/>
      <x:c r="AI1883" s="18"/>
      <x:c r="AJ1883" s="3" t="str">
        <x:v>CF2500-074BE0507077</x:v>
      </x:c>
      <x:c r="AK1883" s="3" t="str">
        <x:v>private_real_estate_lender</x:v>
      </x:c>
      <x:c r="AL1883" s="19" t="n">
        <x:v>100000</x:v>
      </x:c>
      <x:c r="AM1883" s="19" t="n">
        <x:v>500000</x:v>
      </x:c>
      <x:c r="AN1883" s="3" t="str">
        <x:v>https://www.hardmoneyhome.com/lenders/view/chicago-rehab-loans</x:v>
      </x:c>
      <x:c r="AO1883" s="3" t="str">
        <x:v>public_directory.jsonl</x:v>
      </x:c>
      <x:c r="AP1883" s="19"/>
    </x:row>
    <x:row r="1884" ht="36" customHeight="1">
      <x:c r="A1884" s="23" t="n">
        <x:v>1883</x:v>
      </x:c>
      <x:c r="B1884" s="15" t="str">
        <x:v>Continuum Capital Funding</x:v>
      </x:c>
      <x:c r="C1884" s="15"/>
      <x:c r="D1884" s="15" t="str">
        <x:v>Property lender or directory member; operating-company capital unconfirmed</x:v>
      </x:c>
      <x:c r="E1884" s="15" t="str">
        <x:v>Property lender / private-money inquiry</x:v>
      </x:c>
      <x:c r="F1884" s="17" t="str">
        <x:v>New</x:v>
      </x:c>
      <x:c r="G1884" s="24"/>
      <x:c r="H1884" s="24" t="str">
        <x:v>+13126201100</x:v>
      </x:c>
      <x:c r="I1884" s="24" t="str">
        <x:v>http://ccfbridgeloans.com/</x:v>
      </x:c>
      <x:c r="J1884" s="16" t="str">
        <x:v>IL</x:v>
      </x:c>
      <x:c r="K1884" s="16" t="str">
        <x:v>Chicago</x:v>
      </x:c>
      <x:c r="L1884" s="16" t="str">
        <x:v>firm_business_routing</x:v>
      </x:c>
      <x:c r="M1884" s="16" t="str">
        <x:v>http://ccfbridgeloans.com/</x:v>
      </x:c>
      <x:c r="N1884" s="16" t="str">
        <x:v>Published source range; proposed allocation and structure require confirmation</x:v>
      </x:c>
      <x:c r="O1884" s="20"/>
      <x:c r="P1884" s="20" t="n">
        <x:v>3000000</x:v>
      </x:c>
      <x:c r="Q1884" s="25" t="str">
        <x:v>Property-loan range, not a corporate-capital commitment</x:v>
      </x:c>
      <x:c r="R1884" s="25" t="str">
        <x:v>Private real-estate finance experience. Corporate working capital, minority equity or profit participation requires a separate agreement from a property loan.</x:v>
      </x:c>
      <x:c r="S1884" s="25"/>
      <x:c r="T1884" s="25" t="str">
        <x:v>Confirm direct principal versus broker, $100K-$500K appetite, and whether capital can fund the operating company without a property mortgage.</x:v>
      </x:c>
      <x:c r="U1884" s="25" t="str">
        <x:v>https://www.hardmoneyhome.com/lenders/view/continuum-capital-funding</x:v>
      </x:c>
      <x:c r="V1884" s="26" t="d">
        <x:v>2026-10-02T00:00:00.000Z</x:v>
      </x:c>
      <x:c r="W1884" s="26" t="d">
        <x:v>2026-09-30T00:00:00.000Z</x:v>
      </x:c>
      <x:c r="X1884" s="25" t="str">
        <x:v>Saved public company, industry-directory or regulatory source; source date retained</x:v>
      </x:c>
      <x:c r="Y1884" s="25"/>
      <x:c r="Z1884" s="25" t="str">
        <x:v>https://www.hardmoneyhome.com/lenders/view/continuum-capital-funding</x:v>
      </x:c>
      <x:c r="AA1884" s="25" t="str">
        <x:v>[]</x:v>
      </x:c>
      <x:c r="AB1884" s="3" t="str">
        <x:v>Existing CapitalForge research, newly screened for this campaign</x:v>
      </x:c>
      <x:c r="AC1884" s="3" t="str">
        <x:v>unverified</x:v>
      </x:c>
      <x:c r="AD1884" s="3" t="str">
        <x:v>Not contacted / unconfirmed</x:v>
      </x:c>
      <x:c r="AE1884" s="3" t="str">
        <x:v>No</x:v>
      </x:c>
      <x:c r="AF1884" s="3" t="str">
        <x:v>No</x:v>
      </x:c>
      <x:c r="AG1884" s="3"/>
      <x:c r="AH1884" s="3"/>
      <x:c r="AI1884" s="18"/>
      <x:c r="AJ1884" s="3" t="str">
        <x:v>CF2500-9E76FD2A560A</x:v>
      </x:c>
      <x:c r="AK1884" s="3" t="str">
        <x:v>private_real_estate_lender</x:v>
      </x:c>
      <x:c r="AL1884" s="19" t="n">
        <x:v>100000</x:v>
      </x:c>
      <x:c r="AM1884" s="19" t="n">
        <x:v>500000</x:v>
      </x:c>
      <x:c r="AN1884" s="3" t="str">
        <x:v>https://www.hardmoneyhome.com/lenders/view/continuum-capital-funding</x:v>
      </x:c>
      <x:c r="AO1884" s="3" t="str">
        <x:v>public_directory.jsonl</x:v>
      </x:c>
      <x:c r="AP1884" s="19"/>
    </x:row>
    <x:row r="1885" ht="36" customHeight="1">
      <x:c r="A1885" s="23" t="n">
        <x:v>1884</x:v>
      </x:c>
      <x:c r="B1885" s="15" t="str">
        <x:v>Convisions Capital Group</x:v>
      </x:c>
      <x:c r="C1885" s="15"/>
      <x:c r="D1885" s="15" t="str">
        <x:v>Property lender or directory member; operating-company capital unconfirmed</x:v>
      </x:c>
      <x:c r="E1885" s="15" t="str">
        <x:v>Property lender / private-money inquiry</x:v>
      </x:c>
      <x:c r="F1885" s="17" t="str">
        <x:v>New</x:v>
      </x:c>
      <x:c r="G1885" s="24"/>
      <x:c r="H1885" s="24" t="str">
        <x:v>+19192441007</x:v>
      </x:c>
      <x:c r="I1885" s="24" t="str">
        <x:v>http://www.connvisions.com/</x:v>
      </x:c>
      <x:c r="J1885" s="16" t="str">
        <x:v>NC</x:v>
      </x:c>
      <x:c r="K1885" s="16" t="str">
        <x:v>Raleigh</x:v>
      </x:c>
      <x:c r="L1885" s="16" t="str">
        <x:v>firm_business_routing</x:v>
      </x:c>
      <x:c r="M1885" s="16" t="str">
        <x:v>http://www.connvisions.com/</x:v>
      </x:c>
      <x:c r="N1885" s="16" t="str">
        <x:v>Published source range; proposed allocation and structure require confirmation</x:v>
      </x:c>
      <x:c r="O1885" s="20"/>
      <x:c r="P1885" s="20" t="n">
        <x:v>2500000</x:v>
      </x:c>
      <x:c r="Q1885" s="25" t="str">
        <x:v>Property-loan range, not a corporate-capital commitment</x:v>
      </x:c>
      <x:c r="R1885" s="25" t="str">
        <x:v>Private real-estate finance experience. Corporate working capital, minority equity or profit participation requires a separate agreement from a property loan.</x:v>
      </x:c>
      <x:c r="S1885" s="25"/>
      <x:c r="T1885" s="25" t="str">
        <x:v>Confirm direct principal versus broker, $100K-$500K appetite, and whether capital can fund the operating company without a property mortgage.</x:v>
      </x:c>
      <x:c r="U1885" s="25" t="str">
        <x:v>https://www.hardmoneyhome.com/lenders/view/convisions-capital-group</x:v>
      </x:c>
      <x:c r="V1885" s="26" t="d">
        <x:v>2026-10-02T00:00:00.000Z</x:v>
      </x:c>
      <x:c r="W1885" s="26" t="d">
        <x:v>2026-09-30T00:00:00.000Z</x:v>
      </x:c>
      <x:c r="X1885" s="25" t="str">
        <x:v>Saved public company, industry-directory or regulatory source; source date retained</x:v>
      </x:c>
      <x:c r="Y1885" s="25"/>
      <x:c r="Z1885" s="25" t="str">
        <x:v>https://www.hardmoneyhome.com/lenders/view/convisions-capital-group</x:v>
      </x:c>
      <x:c r="AA1885" s="25" t="str">
        <x:v>[]</x:v>
      </x:c>
      <x:c r="AB1885" s="3" t="str">
        <x:v>Existing CapitalForge research, newly screened for this campaign</x:v>
      </x:c>
      <x:c r="AC1885" s="3" t="str">
        <x:v>unverified</x:v>
      </x:c>
      <x:c r="AD1885" s="3" t="str">
        <x:v>Not contacted / unconfirmed</x:v>
      </x:c>
      <x:c r="AE1885" s="3" t="str">
        <x:v>No</x:v>
      </x:c>
      <x:c r="AF1885" s="3" t="str">
        <x:v>No</x:v>
      </x:c>
      <x:c r="AG1885" s="3"/>
      <x:c r="AH1885" s="3"/>
      <x:c r="AI1885" s="18"/>
      <x:c r="AJ1885" s="3" t="str">
        <x:v>CF2500-B188719837F6</x:v>
      </x:c>
      <x:c r="AK1885" s="3" t="str">
        <x:v>private_real_estate_lender</x:v>
      </x:c>
      <x:c r="AL1885" s="19" t="n">
        <x:v>100000</x:v>
      </x:c>
      <x:c r="AM1885" s="19" t="n">
        <x:v>500000</x:v>
      </x:c>
      <x:c r="AN1885" s="3" t="str">
        <x:v>https://www.hardmoneyhome.com/lenders/view/convisions-capital-group</x:v>
      </x:c>
      <x:c r="AO1885" s="3" t="str">
        <x:v>public_directory.jsonl</x:v>
      </x:c>
      <x:c r="AP1885" s="19"/>
    </x:row>
    <x:row r="1886" ht="36" customHeight="1">
      <x:c r="A1886" s="23" t="n">
        <x:v>1885</x:v>
      </x:c>
      <x:c r="B1886" s="15" t="str">
        <x:v>DFW Investor Lending</x:v>
      </x:c>
      <x:c r="C1886" s="15"/>
      <x:c r="D1886" s="15" t="str">
        <x:v>Property lender or directory member; operating-company capital unconfirmed</x:v>
      </x:c>
      <x:c r="E1886" s="15" t="str">
        <x:v>Property lender / private-money inquiry</x:v>
      </x:c>
      <x:c r="F1886" s="17" t="str">
        <x:v>New</x:v>
      </x:c>
      <x:c r="G1886" s="24"/>
      <x:c r="H1886" s="24" t="str">
        <x:v>+12143822676</x:v>
      </x:c>
      <x:c r="I1886" s="24" t="str">
        <x:v>http://dfwinvestorlending.com/</x:v>
      </x:c>
      <x:c r="J1886" s="16" t="str">
        <x:v>TX</x:v>
      </x:c>
      <x:c r="K1886" s="16" t="str">
        <x:v>Addison</x:v>
      </x:c>
      <x:c r="L1886" s="16" t="str">
        <x:v>firm_business_routing</x:v>
      </x:c>
      <x:c r="M1886" s="16" t="str">
        <x:v>http://dfwinvestorlending.com/</x:v>
      </x:c>
      <x:c r="N1886" s="16" t="str">
        <x:v>Published source range; proposed allocation and structure require confirmation</x:v>
      </x:c>
      <x:c r="O1886" s="20"/>
      <x:c r="P1886" s="20" t="n">
        <x:v>1000000</x:v>
      </x:c>
      <x:c r="Q1886" s="25" t="str">
        <x:v>Property-loan range, not a corporate-capital commitment</x:v>
      </x:c>
      <x:c r="R1886" s="25" t="str">
        <x:v>Private real-estate finance experience. Corporate working capital, minority equity or profit participation requires a separate agreement from a property loan.</x:v>
      </x:c>
      <x:c r="S1886" s="25"/>
      <x:c r="T1886" s="25" t="str">
        <x:v>Confirm direct principal versus broker, $100K-$500K appetite, and whether capital can fund the operating company without a property mortgage.</x:v>
      </x:c>
      <x:c r="U1886" s="25" t="str">
        <x:v>https://www.hardmoneyhome.com/lenders/view/dfw-investor-lending</x:v>
      </x:c>
      <x:c r="V1886" s="26" t="d">
        <x:v>2026-10-02T00:00:00.000Z</x:v>
      </x:c>
      <x:c r="W1886" s="26" t="d">
        <x:v>2026-09-30T00:00:00.000Z</x:v>
      </x:c>
      <x:c r="X1886" s="25" t="str">
        <x:v>Saved public company, industry-directory or regulatory source; source date retained</x:v>
      </x:c>
      <x:c r="Y1886" s="25"/>
      <x:c r="Z1886" s="25" t="str">
        <x:v>https://www.hardmoneyhome.com/lenders/view/dfw-investor-lending</x:v>
      </x:c>
      <x:c r="AA1886" s="25" t="str">
        <x:v>[]</x:v>
      </x:c>
      <x:c r="AB1886" s="3" t="str">
        <x:v>Existing CapitalForge research, newly screened for this campaign</x:v>
      </x:c>
      <x:c r="AC1886" s="3" t="str">
        <x:v>unverified</x:v>
      </x:c>
      <x:c r="AD1886" s="3" t="str">
        <x:v>Not contacted / unconfirmed</x:v>
      </x:c>
      <x:c r="AE1886" s="3" t="str">
        <x:v>No</x:v>
      </x:c>
      <x:c r="AF1886" s="3" t="str">
        <x:v>No</x:v>
      </x:c>
      <x:c r="AG1886" s="3"/>
      <x:c r="AH1886" s="3"/>
      <x:c r="AI1886" s="18"/>
      <x:c r="AJ1886" s="3" t="str">
        <x:v>CF2500-EC362E186FDC</x:v>
      </x:c>
      <x:c r="AK1886" s="3" t="str">
        <x:v>private_real_estate_lender</x:v>
      </x:c>
      <x:c r="AL1886" s="19" t="n">
        <x:v>100000</x:v>
      </x:c>
      <x:c r="AM1886" s="19" t="n">
        <x:v>500000</x:v>
      </x:c>
      <x:c r="AN1886" s="3" t="str">
        <x:v>https://www.hardmoneyhome.com/lenders/view/dfw-investor-lending</x:v>
      </x:c>
      <x:c r="AO1886" s="3" t="str">
        <x:v>public_directory.jsonl</x:v>
      </x:c>
      <x:c r="AP1886" s="19"/>
    </x:row>
    <x:row r="1887" ht="36" customHeight="1">
      <x:c r="A1887" s="23" t="n">
        <x:v>1886</x:v>
      </x:c>
      <x:c r="B1887" s="15" t="str">
        <x:v>DFW Specialty Lending</x:v>
      </x:c>
      <x:c r="C1887" s="15"/>
      <x:c r="D1887" s="15" t="str">
        <x:v>Property lender or directory member; operating-company capital unconfirmed</x:v>
      </x:c>
      <x:c r="E1887" s="15" t="str">
        <x:v>Property lender / private-money inquiry</x:v>
      </x:c>
      <x:c r="F1887" s="17" t="str">
        <x:v>New</x:v>
      </x:c>
      <x:c r="G1887" s="24"/>
      <x:c r="H1887" s="24" t="str">
        <x:v>+19725733300</x:v>
      </x:c>
      <x:c r="I1887" s="24" t="str">
        <x:v>http://www.dfwspecialty.com/</x:v>
      </x:c>
      <x:c r="J1887" s="16" t="str">
        <x:v>TX</x:v>
      </x:c>
      <x:c r="K1887" s="16" t="str">
        <x:v>Dallas</x:v>
      </x:c>
      <x:c r="L1887" s="16" t="str">
        <x:v>firm_business_routing</x:v>
      </x:c>
      <x:c r="M1887" s="16" t="str">
        <x:v>http://www.dfwspecialty.com/</x:v>
      </x:c>
      <x:c r="N1887" s="16" t="str">
        <x:v>Published source range; proposed allocation and structure require confirmation</x:v>
      </x:c>
      <x:c r="O1887" s="20"/>
      <x:c r="P1887" s="20" t="n">
        <x:v>1000000</x:v>
      </x:c>
      <x:c r="Q1887" s="25" t="str">
        <x:v>Property-loan range, not a corporate-capital commitment</x:v>
      </x:c>
      <x:c r="R1887" s="25" t="str">
        <x:v>Private real-estate finance experience. Corporate working capital, minority equity or profit participation requires a separate agreement from a property loan.</x:v>
      </x:c>
      <x:c r="S1887" s="25"/>
      <x:c r="T1887" s="25" t="str">
        <x:v>Confirm direct principal versus broker, $100K-$500K appetite, and whether capital can fund the operating company without a property mortgage.</x:v>
      </x:c>
      <x:c r="U1887" s="25" t="str">
        <x:v>https://www.hardmoneyhome.com/lenders/view/dfw-specialty-lending
https://www.privatelendersdirectory.com/united-states/dallas/top-level-category/dfw-specialty-lending</x:v>
      </x:c>
      <x:c r="V1887" s="26" t="d">
        <x:v>2026-10-02T00:00:00.000Z</x:v>
      </x:c>
      <x:c r="W1887" s="26" t="d">
        <x:v>2026-09-30T00:00:00.000Z</x:v>
      </x:c>
      <x:c r="X1887" s="25" t="str">
        <x:v>Saved public company, industry-directory or regulatory source; source date retained</x:v>
      </x:c>
      <x:c r="Y1887" s="25"/>
      <x:c r="Z1887" s="25" t="str">
        <x:v>https://www.hardmoneyhome.com/lenders/view/dfw-specialty-lending</x:v>
      </x:c>
      <x:c r="AA1887" s="25" t="str">
        <x:v>[]</x:v>
      </x:c>
      <x:c r="AB1887" s="3" t="str">
        <x:v>Existing CapitalForge research, newly screened for this campaign</x:v>
      </x:c>
      <x:c r="AC1887" s="3" t="str">
        <x:v>unverified</x:v>
      </x:c>
      <x:c r="AD1887" s="3" t="str">
        <x:v>Not contacted / unconfirmed</x:v>
      </x:c>
      <x:c r="AE1887" s="3" t="str">
        <x:v>No</x:v>
      </x:c>
      <x:c r="AF1887" s="3" t="str">
        <x:v>No</x:v>
      </x:c>
      <x:c r="AG1887" s="3"/>
      <x:c r="AH1887" s="3"/>
      <x:c r="AI1887" s="18"/>
      <x:c r="AJ1887" s="3" t="str">
        <x:v>CF2500-C1D569E6D3A5</x:v>
      </x:c>
      <x:c r="AK1887" s="3" t="str">
        <x:v>private_real_estate_lender</x:v>
      </x:c>
      <x:c r="AL1887" s="19" t="n">
        <x:v>100000</x:v>
      </x:c>
      <x:c r="AM1887" s="19" t="n">
        <x:v>500000</x:v>
      </x:c>
      <x:c r="AN1887" s="3" t="str">
        <x:v>https://www.hardmoneyhome.com/lenders/view/dfw-specialty-lending</x:v>
      </x:c>
      <x:c r="AO1887" s="3" t="str">
        <x:v>public_directory.jsonl</x:v>
      </x:c>
      <x:c r="AP1887" s="19"/>
    </x:row>
    <x:row r="1888" ht="36" customHeight="1">
      <x:c r="A1888" s="23" t="n">
        <x:v>1887</x:v>
      </x:c>
      <x:c r="B1888" s="15" t="str">
        <x:v>Ellis Equity</x:v>
      </x:c>
      <x:c r="C1888" s="15"/>
      <x:c r="D1888" s="15" t="str">
        <x:v>Property lender or directory member; operating-company capital unconfirmed</x:v>
      </x:c>
      <x:c r="E1888" s="15" t="str">
        <x:v>Property lender / private-money inquiry</x:v>
      </x:c>
      <x:c r="F1888" s="17" t="str">
        <x:v>New</x:v>
      </x:c>
      <x:c r="G1888" s="24"/>
      <x:c r="H1888" s="24" t="str">
        <x:v>+17139528022</x:v>
      </x:c>
      <x:c r="I1888" s="24" t="str">
        <x:v>http://www.ellisequity.com/</x:v>
      </x:c>
      <x:c r="J1888" s="16" t="str">
        <x:v>TX</x:v>
      </x:c>
      <x:c r="K1888" s="16" t="str">
        <x:v>Houston</x:v>
      </x:c>
      <x:c r="L1888" s="16" t="str">
        <x:v>firm_business_routing</x:v>
      </x:c>
      <x:c r="M1888" s="16" t="str">
        <x:v>http://www.ellisequity.com/</x:v>
      </x:c>
      <x:c r="N1888" s="16" t="str">
        <x:v>Published source range; proposed allocation and structure require confirmation</x:v>
      </x:c>
      <x:c r="O1888" s="20"/>
      <x:c r="P1888" s="20" t="n">
        <x:v>10000000</x:v>
      </x:c>
      <x:c r="Q1888" s="25" t="str">
        <x:v>Property-loan range, not a corporate-capital commitment</x:v>
      </x:c>
      <x:c r="R1888" s="25" t="str">
        <x:v>Private real-estate finance experience. Corporate working capital, minority equity or profit participation requires a separate agreement from a property loan.</x:v>
      </x:c>
      <x:c r="S1888" s="25"/>
      <x:c r="T1888" s="25" t="str">
        <x:v>Confirm direct principal versus broker, $100K-$500K appetite, and whether capital can fund the operating company without a property mortgage.</x:v>
      </x:c>
      <x:c r="U1888" s="25" t="str">
        <x:v>https://www.hardmoneyhome.com/lenders/view/ellis-equity</x:v>
      </x:c>
      <x:c r="V1888" s="26" t="d">
        <x:v>2026-10-02T00:00:00.000Z</x:v>
      </x:c>
      <x:c r="W1888" s="26" t="d">
        <x:v>2026-09-30T00:00:00.000Z</x:v>
      </x:c>
      <x:c r="X1888" s="25" t="str">
        <x:v>Saved public company, industry-directory or regulatory source; source date retained</x:v>
      </x:c>
      <x:c r="Y1888" s="25"/>
      <x:c r="Z1888" s="25" t="str">
        <x:v>https://www.hardmoneyhome.com/lenders/view/ellis-equity</x:v>
      </x:c>
      <x:c r="AA1888" s="25" t="str">
        <x:v>[]</x:v>
      </x:c>
      <x:c r="AB1888" s="3" t="str">
        <x:v>Existing CapitalForge research, newly screened for this campaign</x:v>
      </x:c>
      <x:c r="AC1888" s="3" t="str">
        <x:v>unverified</x:v>
      </x:c>
      <x:c r="AD1888" s="3" t="str">
        <x:v>Not contacted / unconfirmed</x:v>
      </x:c>
      <x:c r="AE1888" s="3" t="str">
        <x:v>No</x:v>
      </x:c>
      <x:c r="AF1888" s="3" t="str">
        <x:v>No</x:v>
      </x:c>
      <x:c r="AG1888" s="3"/>
      <x:c r="AH1888" s="3"/>
      <x:c r="AI1888" s="18"/>
      <x:c r="AJ1888" s="3" t="str">
        <x:v>CF2500-1112F6CC1862</x:v>
      </x:c>
      <x:c r="AK1888" s="3" t="str">
        <x:v>private_real_estate_lender</x:v>
      </x:c>
      <x:c r="AL1888" s="19" t="n">
        <x:v>100000</x:v>
      </x:c>
      <x:c r="AM1888" s="19" t="n">
        <x:v>500000</x:v>
      </x:c>
      <x:c r="AN1888" s="3" t="str">
        <x:v>https://www.hardmoneyhome.com/lenders/view/ellis-equity</x:v>
      </x:c>
      <x:c r="AO1888" s="3" t="str">
        <x:v>public_directory.jsonl</x:v>
      </x:c>
      <x:c r="AP1888" s="19"/>
    </x:row>
    <x:row r="1889" ht="36" customHeight="1">
      <x:c r="A1889" s="23" t="n">
        <x:v>1888</x:v>
      </x:c>
      <x:c r="B1889" s="15" t="str">
        <x:v>Falcon Americas Finance</x:v>
      </x:c>
      <x:c r="C1889" s="15"/>
      <x:c r="D1889" s="15" t="str">
        <x:v>Property lender or directory member; operating-company capital unconfirmed</x:v>
      </x:c>
      <x:c r="E1889" s="15" t="str">
        <x:v>Property lender / private-money inquiry</x:v>
      </x:c>
      <x:c r="F1889" s="17" t="str">
        <x:v>New</x:v>
      </x:c>
      <x:c r="G1889" s="24"/>
      <x:c r="H1889" s="24" t="str">
        <x:v>+13058779001</x:v>
      </x:c>
      <x:c r="I1889" s="24" t="str">
        <x:v>http://www.falconamericasfinance.com</x:v>
      </x:c>
      <x:c r="J1889" s="16" t="str">
        <x:v>FL</x:v>
      </x:c>
      <x:c r="K1889" s="16" t="str">
        <x:v>Coral Gables</x:v>
      </x:c>
      <x:c r="L1889" s="16" t="str">
        <x:v>firm_business_routing</x:v>
      </x:c>
      <x:c r="M1889" s="16" t="str">
        <x:v>http://www.falconamericasfinance.com</x:v>
      </x:c>
      <x:c r="N1889" s="16" t="str">
        <x:v>Published source range; proposed allocation and structure require confirmation</x:v>
      </x:c>
      <x:c r="O1889" s="20"/>
      <x:c r="P1889" s="20" t="n">
        <x:v>100000000</x:v>
      </x:c>
      <x:c r="Q1889" s="25" t="str">
        <x:v>Property-loan range, not a corporate-capital commitment</x:v>
      </x:c>
      <x:c r="R1889" s="25" t="str">
        <x:v>Private real-estate finance experience. Corporate working capital, minority equity or profit participation requires a separate agreement from a property loan.</x:v>
      </x:c>
      <x:c r="S1889" s="25"/>
      <x:c r="T1889" s="25" t="str">
        <x:v>Confirm direct principal versus broker, $100K-$500K appetite, and whether capital can fund the operating company without a property mortgage.</x:v>
      </x:c>
      <x:c r="U1889" s="25" t="str">
        <x:v>https://www.hardmoneyhome.com/lenders/view/falcon-americas-finance</x:v>
      </x:c>
      <x:c r="V1889" s="26" t="d">
        <x:v>2026-10-02T00:00:00.000Z</x:v>
      </x:c>
      <x:c r="W1889" s="26" t="d">
        <x:v>2026-09-30T00:00:00.000Z</x:v>
      </x:c>
      <x:c r="X1889" s="25" t="str">
        <x:v>Saved public company, industry-directory or regulatory source; source date retained</x:v>
      </x:c>
      <x:c r="Y1889" s="25"/>
      <x:c r="Z1889" s="25" t="str">
        <x:v>https://www.hardmoneyhome.com/lenders/view/falcon-americas-finance</x:v>
      </x:c>
      <x:c r="AA1889" s="25" t="str">
        <x:v>[]</x:v>
      </x:c>
      <x:c r="AB1889" s="3" t="str">
        <x:v>Existing CapitalForge research, newly screened for this campaign</x:v>
      </x:c>
      <x:c r="AC1889" s="3" t="str">
        <x:v>unverified</x:v>
      </x:c>
      <x:c r="AD1889" s="3" t="str">
        <x:v>Not contacted / unconfirmed</x:v>
      </x:c>
      <x:c r="AE1889" s="3" t="str">
        <x:v>No</x:v>
      </x:c>
      <x:c r="AF1889" s="3" t="str">
        <x:v>No</x:v>
      </x:c>
      <x:c r="AG1889" s="3"/>
      <x:c r="AH1889" s="3"/>
      <x:c r="AI1889" s="18"/>
      <x:c r="AJ1889" s="3" t="str">
        <x:v>CF2500-A6FF3EA48246</x:v>
      </x:c>
      <x:c r="AK1889" s="3" t="str">
        <x:v>private_real_estate_lender</x:v>
      </x:c>
      <x:c r="AL1889" s="19" t="n">
        <x:v>100000</x:v>
      </x:c>
      <x:c r="AM1889" s="19" t="n">
        <x:v>500000</x:v>
      </x:c>
      <x:c r="AN1889" s="3" t="str">
        <x:v>https://www.hardmoneyhome.com/lenders/view/falcon-americas-finance</x:v>
      </x:c>
      <x:c r="AO1889" s="3" t="str">
        <x:v>public_directory.jsonl</x:v>
      </x:c>
      <x:c r="AP1889" s="19"/>
    </x:row>
    <x:row r="1890" ht="36" customHeight="1">
      <x:c r="A1890" s="23" t="n">
        <x:v>1889</x:v>
      </x:c>
      <x:c r="B1890" s="15" t="str">
        <x:v>First Funding</x:v>
      </x:c>
      <x:c r="C1890" s="15"/>
      <x:c r="D1890" s="15" t="str">
        <x:v>Property lender or directory member; operating-company capital unconfirmed</x:v>
      </x:c>
      <x:c r="E1890" s="15" t="str">
        <x:v>Property lender / private-money inquiry</x:v>
      </x:c>
      <x:c r="F1890" s="17" t="str">
        <x:v>New</x:v>
      </x:c>
      <x:c r="G1890" s="24"/>
      <x:c r="H1890" s="24" t="str">
        <x:v>+18172829997</x:v>
      </x:c>
      <x:c r="I1890" s="24" t="str">
        <x:v>http://www.firstfundinginvestments.com</x:v>
      </x:c>
      <x:c r="J1890" s="16" t="str">
        <x:v>TX</x:v>
      </x:c>
      <x:c r="K1890" s="16" t="str">
        <x:v>Bedford</x:v>
      </x:c>
      <x:c r="L1890" s="16" t="str">
        <x:v>firm_business_routing</x:v>
      </x:c>
      <x:c r="M1890" s="16" t="str">
        <x:v>http://www.firstfundinginvestments.com</x:v>
      </x:c>
      <x:c r="N1890" s="16" t="str">
        <x:v>Published source range; proposed allocation and structure require confirmation</x:v>
      </x:c>
      <x:c r="O1890" s="20"/>
      <x:c r="P1890" s="20" t="n">
        <x:v>3000000</x:v>
      </x:c>
      <x:c r="Q1890" s="25" t="str">
        <x:v>Property-loan range, not a corporate-capital commitment</x:v>
      </x:c>
      <x:c r="R1890" s="25" t="str">
        <x:v>Private real-estate finance experience. Corporate working capital, minority equity or profit participation requires a separate agreement from a property loan.</x:v>
      </x:c>
      <x:c r="S1890" s="25"/>
      <x:c r="T1890" s="25" t="str">
        <x:v>Confirm direct principal versus broker, $100K-$500K appetite, and whether capital can fund the operating company without a property mortgage.</x:v>
      </x:c>
      <x:c r="U1890" s="25" t="str">
        <x:v>https://www.hardmoneyhome.com/lenders/view/first-funding
https://www.privatelendersdirectory.com/united-states/bedford/top-level-category/first-funding-group
https://firstfundinginvestments.com/</x:v>
      </x:c>
      <x:c r="V1890" s="26" t="d">
        <x:v>2026-10-02T00:00:00.000Z</x:v>
      </x:c>
      <x:c r="W1890" s="26" t="d">
        <x:v>2026-09-30T00:00:00.000Z</x:v>
      </x:c>
      <x:c r="X1890" s="25" t="str">
        <x:v>Saved public company, industry-directory or regulatory source; source date retained</x:v>
      </x:c>
      <x:c r="Y1890" s="25"/>
      <x:c r="Z1890" s="25" t="str">
        <x:v>https://www.hardmoneyhome.com/lenders/view/first-funding</x:v>
      </x:c>
      <x:c r="AA1890" s="25" t="str">
        <x:v>[]</x:v>
      </x:c>
      <x:c r="AB1890" s="3" t="str">
        <x:v>Existing CapitalForge research, newly screened for this campaign</x:v>
      </x:c>
      <x:c r="AC1890" s="3" t="str">
        <x:v>unverified</x:v>
      </x:c>
      <x:c r="AD1890" s="3" t="str">
        <x:v>Not contacted / unconfirmed</x:v>
      </x:c>
      <x:c r="AE1890" s="3" t="str">
        <x:v>No</x:v>
      </x:c>
      <x:c r="AF1890" s="3" t="str">
        <x:v>No</x:v>
      </x:c>
      <x:c r="AG1890" s="3"/>
      <x:c r="AH1890" s="3"/>
      <x:c r="AI1890" s="18"/>
      <x:c r="AJ1890" s="3" t="str">
        <x:v>CF2500-D8822E8EAB65</x:v>
      </x:c>
      <x:c r="AK1890" s="3" t="str">
        <x:v>private_real_estate_lender</x:v>
      </x:c>
      <x:c r="AL1890" s="19" t="n">
        <x:v>100000</x:v>
      </x:c>
      <x:c r="AM1890" s="19" t="n">
        <x:v>500000</x:v>
      </x:c>
      <x:c r="AN1890" s="3" t="str">
        <x:v>https://www.hardmoneyhome.com/lenders/view/first-funding</x:v>
      </x:c>
      <x:c r="AO1890" s="3" t="str">
        <x:v>public_directory.jsonl</x:v>
      </x:c>
      <x:c r="AP1890" s="19"/>
    </x:row>
    <x:row r="1891" ht="36" customHeight="1">
      <x:c r="A1891" s="23" t="n">
        <x:v>1890</x:v>
      </x:c>
      <x:c r="B1891" s="15" t="str">
        <x:v>First Pro Capital Inc</x:v>
      </x:c>
      <x:c r="C1891" s="15"/>
      <x:c r="D1891" s="15" t="str">
        <x:v>Property lender or directory member; operating-company capital unconfirmed</x:v>
      </x:c>
      <x:c r="E1891" s="15" t="str">
        <x:v>Property lender / private-money inquiry</x:v>
      </x:c>
      <x:c r="F1891" s="17" t="str">
        <x:v>New</x:v>
      </x:c>
      <x:c r="G1891" s="24"/>
      <x:c r="H1891" s="24" t="str">
        <x:v>+12392604602</x:v>
      </x:c>
      <x:c r="I1891" s="24" t="str">
        <x:v>http://www.firstprocapital.com</x:v>
      </x:c>
      <x:c r="J1891" s="16" t="str">
        <x:v>FL</x:v>
      </x:c>
      <x:c r="K1891" s="16" t="str">
        <x:v>Naples</x:v>
      </x:c>
      <x:c r="L1891" s="16" t="str">
        <x:v>firm_business_routing</x:v>
      </x:c>
      <x:c r="M1891" s="16" t="str">
        <x:v>http://www.firstprocapital.com</x:v>
      </x:c>
      <x:c r="N1891" s="16" t="str">
        <x:v>Published source range; proposed allocation and structure require confirmation</x:v>
      </x:c>
      <x:c r="O1891" s="20"/>
      <x:c r="P1891" s="20" t="n">
        <x:v>50000000</x:v>
      </x:c>
      <x:c r="Q1891" s="25" t="str">
        <x:v>Property-loan range, not a corporate-capital commitment</x:v>
      </x:c>
      <x:c r="R1891" s="25" t="str">
        <x:v>Private real-estate finance experience. Corporate working capital, minority equity or profit participation requires a separate agreement from a property loan.</x:v>
      </x:c>
      <x:c r="S1891" s="25"/>
      <x:c r="T1891" s="25" t="str">
        <x:v>Confirm direct principal versus broker, $100K-$500K appetite, and whether capital can fund the operating company without a property mortgage.</x:v>
      </x:c>
      <x:c r="U1891" s="25" t="str">
        <x:v>https://www.hardmoneyhome.com/lenders/view/first-pro-capital-inc</x:v>
      </x:c>
      <x:c r="V1891" s="26" t="d">
        <x:v>2026-10-02T00:00:00.000Z</x:v>
      </x:c>
      <x:c r="W1891" s="26" t="d">
        <x:v>2026-09-30T00:00:00.000Z</x:v>
      </x:c>
      <x:c r="X1891" s="25" t="str">
        <x:v>Saved public company, industry-directory or regulatory source; source date retained</x:v>
      </x:c>
      <x:c r="Y1891" s="25"/>
      <x:c r="Z1891" s="25" t="str">
        <x:v>https://www.hardmoneyhome.com/lenders/view/first-pro-capital-inc</x:v>
      </x:c>
      <x:c r="AA1891" s="25" t="str">
        <x:v>[]</x:v>
      </x:c>
      <x:c r="AB1891" s="3" t="str">
        <x:v>Existing CapitalForge research, newly screened for this campaign</x:v>
      </x:c>
      <x:c r="AC1891" s="3" t="str">
        <x:v>unverified</x:v>
      </x:c>
      <x:c r="AD1891" s="3" t="str">
        <x:v>Not contacted / unconfirmed</x:v>
      </x:c>
      <x:c r="AE1891" s="3" t="str">
        <x:v>No</x:v>
      </x:c>
      <x:c r="AF1891" s="3" t="str">
        <x:v>No</x:v>
      </x:c>
      <x:c r="AG1891" s="3"/>
      <x:c r="AH1891" s="3"/>
      <x:c r="AI1891" s="18"/>
      <x:c r="AJ1891" s="3" t="str">
        <x:v>CF2500-BDFE45445F26</x:v>
      </x:c>
      <x:c r="AK1891" s="3" t="str">
        <x:v>private_real_estate_lender</x:v>
      </x:c>
      <x:c r="AL1891" s="19" t="n">
        <x:v>100000</x:v>
      </x:c>
      <x:c r="AM1891" s="19" t="n">
        <x:v>500000</x:v>
      </x:c>
      <x:c r="AN1891" s="3" t="str">
        <x:v>https://www.hardmoneyhome.com/lenders/view/first-pro-capital-inc</x:v>
      </x:c>
      <x:c r="AO1891" s="3" t="str">
        <x:v>public_directory.jsonl</x:v>
      </x:c>
      <x:c r="AP1891" s="19"/>
    </x:row>
    <x:row r="1892" ht="36" customHeight="1">
      <x:c r="A1892" s="23" t="n">
        <x:v>1891</x:v>
      </x:c>
      <x:c r="B1892" s="15" t="str">
        <x:v>GCap Financing</x:v>
      </x:c>
      <x:c r="C1892" s="15"/>
      <x:c r="D1892" s="15" t="str">
        <x:v>Property lender or directory member; operating-company capital unconfirmed</x:v>
      </x:c>
      <x:c r="E1892" s="15" t="str">
        <x:v>Property lender / private-money inquiry</x:v>
      </x:c>
      <x:c r="F1892" s="17" t="str">
        <x:v>New</x:v>
      </x:c>
      <x:c r="G1892" s="24"/>
      <x:c r="H1892" s="24" t="str">
        <x:v>+18772788708</x:v>
      </x:c>
      <x:c r="I1892" s="24" t="str">
        <x:v>http://gcapfinancing.com</x:v>
      </x:c>
      <x:c r="J1892" s="16" t="str">
        <x:v>FL</x:v>
      </x:c>
      <x:c r="K1892" s="16" t="str">
        <x:v>Gardendale</x:v>
      </x:c>
      <x:c r="L1892" s="16" t="str">
        <x:v>firm_business_routing</x:v>
      </x:c>
      <x:c r="M1892" s="16" t="str">
        <x:v>http://gcapfinancing.com</x:v>
      </x:c>
      <x:c r="N1892" s="16" t="str">
        <x:v>Published source range; proposed allocation and structure require confirmation</x:v>
      </x:c>
      <x:c r="O1892" s="20"/>
      <x:c r="P1892" s="20" t="n">
        <x:v>9000000</x:v>
      </x:c>
      <x:c r="Q1892" s="25" t="str">
        <x:v>Property-loan range, not a corporate-capital commitment</x:v>
      </x:c>
      <x:c r="R1892" s="25" t="str">
        <x:v>Private real-estate finance experience. Corporate working capital, minority equity or profit participation requires a separate agreement from a property loan.</x:v>
      </x:c>
      <x:c r="S1892" s="25"/>
      <x:c r="T1892" s="25" t="str">
        <x:v>Confirm direct principal versus broker, $100K-$500K appetite, and whether capital can fund the operating company without a property mortgage.</x:v>
      </x:c>
      <x:c r="U1892" s="25" t="str">
        <x:v>https://www.hardmoneyhome.com/lenders/view/gcap-financing</x:v>
      </x:c>
      <x:c r="V1892" s="26" t="d">
        <x:v>2026-10-02T00:00:00.000Z</x:v>
      </x:c>
      <x:c r="W1892" s="26" t="d">
        <x:v>2026-09-30T00:00:00.000Z</x:v>
      </x:c>
      <x:c r="X1892" s="25" t="str">
        <x:v>Saved public company, industry-directory or regulatory source; source date retained</x:v>
      </x:c>
      <x:c r="Y1892" s="25"/>
      <x:c r="Z1892" s="25" t="str">
        <x:v>https://www.hardmoneyhome.com/lenders/view/gcap-financing</x:v>
      </x:c>
      <x:c r="AA1892" s="25" t="str">
        <x:v>[]</x:v>
      </x:c>
      <x:c r="AB1892" s="3" t="str">
        <x:v>Existing CapitalForge research, newly screened for this campaign</x:v>
      </x:c>
      <x:c r="AC1892" s="3" t="str">
        <x:v>unverified</x:v>
      </x:c>
      <x:c r="AD1892" s="3" t="str">
        <x:v>Not contacted / unconfirmed</x:v>
      </x:c>
      <x:c r="AE1892" s="3" t="str">
        <x:v>No</x:v>
      </x:c>
      <x:c r="AF1892" s="3" t="str">
        <x:v>No</x:v>
      </x:c>
      <x:c r="AG1892" s="3"/>
      <x:c r="AH1892" s="3"/>
      <x:c r="AI1892" s="18"/>
      <x:c r="AJ1892" s="3" t="str">
        <x:v>CF2500-FD3487C52A33</x:v>
      </x:c>
      <x:c r="AK1892" s="3" t="str">
        <x:v>private_real_estate_lender</x:v>
      </x:c>
      <x:c r="AL1892" s="19" t="n">
        <x:v>100000</x:v>
      </x:c>
      <x:c r="AM1892" s="19" t="n">
        <x:v>500000</x:v>
      </x:c>
      <x:c r="AN1892" s="3" t="str">
        <x:v>https://www.hardmoneyhome.com/lenders/view/gcap-financing</x:v>
      </x:c>
      <x:c r="AO1892" s="3" t="str">
        <x:v>public_directory.jsonl</x:v>
      </x:c>
      <x:c r="AP1892" s="19"/>
    </x:row>
    <x:row r="1893" ht="36" customHeight="1">
      <x:c r="A1893" s="23" t="n">
        <x:v>1892</x:v>
      </x:c>
      <x:c r="B1893" s="15" t="str">
        <x:v>Global Fox Financial</x:v>
      </x:c>
      <x:c r="C1893" s="15"/>
      <x:c r="D1893" s="15" t="str">
        <x:v>Property lender or directory member; operating-company capital unconfirmed</x:v>
      </x:c>
      <x:c r="E1893" s="15" t="str">
        <x:v>Property lender / private-money inquiry</x:v>
      </x:c>
      <x:c r="F1893" s="17" t="str">
        <x:v>New</x:v>
      </x:c>
      <x:c r="G1893" s="24"/>
      <x:c r="H1893" s="24" t="str">
        <x:v>+19562170391</x:v>
      </x:c>
      <x:c r="I1893" s="24" t="str">
        <x:v>http://globalfoxfinancial.com</x:v>
      </x:c>
      <x:c r="J1893" s="16" t="str">
        <x:v>TX</x:v>
      </x:c>
      <x:c r="K1893" s="16" t="str">
        <x:v>McAllen</x:v>
      </x:c>
      <x:c r="L1893" s="16" t="str">
        <x:v>firm_business_routing</x:v>
      </x:c>
      <x:c r="M1893" s="16" t="str">
        <x:v>http://globalfoxfinancial.com</x:v>
      </x:c>
      <x:c r="N1893" s="16" t="str">
        <x:v>Published source range; proposed allocation and structure require confirmation</x:v>
      </x:c>
      <x:c r="O1893" s="20"/>
      <x:c r="P1893" s="20" t="n">
        <x:v>5000000</x:v>
      </x:c>
      <x:c r="Q1893" s="25" t="str">
        <x:v>Property-loan range, not a corporate-capital commitment</x:v>
      </x:c>
      <x:c r="R1893" s="25" t="str">
        <x:v>Private real-estate finance experience. Corporate working capital, minority equity or profit participation requires a separate agreement from a property loan.</x:v>
      </x:c>
      <x:c r="S1893" s="25"/>
      <x:c r="T1893" s="25" t="str">
        <x:v>Confirm direct principal versus broker, $100K-$500K appetite, and whether capital can fund the operating company without a property mortgage.</x:v>
      </x:c>
      <x:c r="U1893" s="25" t="str">
        <x:v>https://www.hardmoneyhome.com/lenders/view/global-fox-financial</x:v>
      </x:c>
      <x:c r="V1893" s="26" t="d">
        <x:v>2026-10-02T00:00:00.000Z</x:v>
      </x:c>
      <x:c r="W1893" s="26" t="d">
        <x:v>2026-09-30T00:00:00.000Z</x:v>
      </x:c>
      <x:c r="X1893" s="25" t="str">
        <x:v>Saved public company, industry-directory or regulatory source; source date retained</x:v>
      </x:c>
      <x:c r="Y1893" s="25"/>
      <x:c r="Z1893" s="25" t="str">
        <x:v>https://www.hardmoneyhome.com/lenders/view/global-fox-financial</x:v>
      </x:c>
      <x:c r="AA1893" s="25" t="str">
        <x:v>[]</x:v>
      </x:c>
      <x:c r="AB1893" s="3" t="str">
        <x:v>Existing CapitalForge research, newly screened for this campaign</x:v>
      </x:c>
      <x:c r="AC1893" s="3" t="str">
        <x:v>unverified</x:v>
      </x:c>
      <x:c r="AD1893" s="3" t="str">
        <x:v>Not contacted / unconfirmed</x:v>
      </x:c>
      <x:c r="AE1893" s="3" t="str">
        <x:v>No</x:v>
      </x:c>
      <x:c r="AF1893" s="3" t="str">
        <x:v>No</x:v>
      </x:c>
      <x:c r="AG1893" s="3"/>
      <x:c r="AH1893" s="3"/>
      <x:c r="AI1893" s="18"/>
      <x:c r="AJ1893" s="3" t="str">
        <x:v>CF2500-5CA609B94453</x:v>
      </x:c>
      <x:c r="AK1893" s="3" t="str">
        <x:v>private_real_estate_lender</x:v>
      </x:c>
      <x:c r="AL1893" s="19" t="n">
        <x:v>100000</x:v>
      </x:c>
      <x:c r="AM1893" s="19" t="n">
        <x:v>500000</x:v>
      </x:c>
      <x:c r="AN1893" s="3" t="str">
        <x:v>https://www.hardmoneyhome.com/lenders/view/global-fox-financial</x:v>
      </x:c>
      <x:c r="AO1893" s="3" t="str">
        <x:v>public_directory.jsonl</x:v>
      </x:c>
      <x:c r="AP1893" s="19"/>
    </x:row>
    <x:row r="1894" ht="36" customHeight="1">
      <x:c r="A1894" s="23" t="n">
        <x:v>1893</x:v>
      </x:c>
      <x:c r="B1894" s="15" t="str">
        <x:v>Global Integrity Finance</x:v>
      </x:c>
      <x:c r="C1894" s="15"/>
      <x:c r="D1894" s="15" t="str">
        <x:v>Property lender or directory member; operating-company capital unconfirmed</x:v>
      </x:c>
      <x:c r="E1894" s="15" t="str">
        <x:v>Property lender / private-money inquiry</x:v>
      </x:c>
      <x:c r="F1894" s="17" t="str">
        <x:v>New</x:v>
      </x:c>
      <x:c r="G1894" s="24"/>
      <x:c r="H1894" s="24" t="str">
        <x:v>+12145485190</x:v>
      </x:c>
      <x:c r="I1894" s="24" t="str">
        <x:v>https://globalintegrityfinance.com/</x:v>
      </x:c>
      <x:c r="J1894" s="16" t="str">
        <x:v>TX</x:v>
      </x:c>
      <x:c r="K1894" s="16" t="str">
        <x:v>McKinney</x:v>
      </x:c>
      <x:c r="L1894" s="16" t="str">
        <x:v>firm_business_routing</x:v>
      </x:c>
      <x:c r="M1894" s="16" t="str">
        <x:v>https://globalintegrityfinance.com/</x:v>
      </x:c>
      <x:c r="N1894" s="16" t="str">
        <x:v>Published source range; proposed allocation and structure require confirmation</x:v>
      </x:c>
      <x:c r="O1894" s="20"/>
      <x:c r="P1894" s="20" t="n">
        <x:v>4500000</x:v>
      </x:c>
      <x:c r="Q1894" s="25" t="str">
        <x:v>Property-loan range, not a corporate-capital commitment</x:v>
      </x:c>
      <x:c r="R1894" s="25" t="str">
        <x:v>Private real-estate finance experience. Corporate working capital, minority equity or profit participation requires a separate agreement from a property loan.</x:v>
      </x:c>
      <x:c r="S1894" s="25"/>
      <x:c r="T1894" s="25" t="str">
        <x:v>Confirm direct principal versus broker, $100K-$500K appetite, and whether capital can fund the operating company without a property mortgage.</x:v>
      </x:c>
      <x:c r="U1894" s="25" t="str">
        <x:v>https://www.hardmoneyhome.com/lenders/view/global-integrity-finance
https://nplaconference.com/private-lending-directory/page/7/
https://www.privatelendersdirectory.com/united-states/mckinney/top-level-category/global-integrity-finance</x:v>
      </x:c>
      <x:c r="V1894" s="26" t="d">
        <x:v>2026-10-02T00:00:00.000Z</x:v>
      </x:c>
      <x:c r="W1894" s="26" t="d">
        <x:v>2026-09-30T00:00:00.000Z</x:v>
      </x:c>
      <x:c r="X1894" s="25" t="str">
        <x:v>Saved public company, industry-directory or regulatory source; source date retained</x:v>
      </x:c>
      <x:c r="Y1894" s="25"/>
      <x:c r="Z1894" s="25" t="str">
        <x:v>https://www.hardmoneyhome.com/lenders/view/global-integrity-finance</x:v>
      </x:c>
      <x:c r="AA1894" s="25" t="str">
        <x:v>[]</x:v>
      </x:c>
      <x:c r="AB1894" s="3" t="str">
        <x:v>Existing CapitalForge research, newly screened for this campaign</x:v>
      </x:c>
      <x:c r="AC1894" s="3" t="str">
        <x:v>unverified</x:v>
      </x:c>
      <x:c r="AD1894" s="3" t="str">
        <x:v>Not contacted / unconfirmed</x:v>
      </x:c>
      <x:c r="AE1894" s="3" t="str">
        <x:v>No</x:v>
      </x:c>
      <x:c r="AF1894" s="3" t="str">
        <x:v>No</x:v>
      </x:c>
      <x:c r="AG1894" s="3"/>
      <x:c r="AH1894" s="3"/>
      <x:c r="AI1894" s="18"/>
      <x:c r="AJ1894" s="3" t="str">
        <x:v>CF2500-1CD0E273D61F</x:v>
      </x:c>
      <x:c r="AK1894" s="3" t="str">
        <x:v>private_real_estate_lender</x:v>
      </x:c>
      <x:c r="AL1894" s="19" t="n">
        <x:v>100000</x:v>
      </x:c>
      <x:c r="AM1894" s="19" t="n">
        <x:v>500000</x:v>
      </x:c>
      <x:c r="AN1894" s="3" t="str">
        <x:v>https://www.hardmoneyhome.com/lenders/view/global-integrity-finance</x:v>
      </x:c>
      <x:c r="AO1894" s="3" t="str">
        <x:v>public_directory.jsonl</x:v>
      </x:c>
      <x:c r="AP1894" s="19"/>
    </x:row>
    <x:row r="1895" ht="36" customHeight="1">
      <x:c r="A1895" s="23" t="n">
        <x:v>1894</x:v>
      </x:c>
      <x:c r="B1895" s="15" t="str">
        <x:v>Hard Money Tampa</x:v>
      </x:c>
      <x:c r="C1895" s="15"/>
      <x:c r="D1895" s="15" t="str">
        <x:v>Property lender or directory member; operating-company capital unconfirmed</x:v>
      </x:c>
      <x:c r="E1895" s="15" t="str">
        <x:v>Property lender / private-money inquiry</x:v>
      </x:c>
      <x:c r="F1895" s="17" t="str">
        <x:v>New</x:v>
      </x:c>
      <x:c r="G1895" s="24"/>
      <x:c r="H1895" s="24" t="str">
        <x:v>+18134212663</x:v>
      </x:c>
      <x:c r="I1895" s="24" t="str">
        <x:v>http://tampahardmoney.com/</x:v>
      </x:c>
      <x:c r="J1895" s="16" t="str">
        <x:v>FL</x:v>
      </x:c>
      <x:c r="K1895" s="16" t="str">
        <x:v>New Port Richey</x:v>
      </x:c>
      <x:c r="L1895" s="16" t="str">
        <x:v>firm_business_routing</x:v>
      </x:c>
      <x:c r="M1895" s="16" t="str">
        <x:v>http://tampahardmoney.com/</x:v>
      </x:c>
      <x:c r="N1895" s="16" t="str">
        <x:v>Published source range; proposed allocation and structure require confirmation</x:v>
      </x:c>
      <x:c r="O1895" s="20"/>
      <x:c r="P1895" s="20" t="n">
        <x:v>30000000</x:v>
      </x:c>
      <x:c r="Q1895" s="25" t="str">
        <x:v>Property-loan range, not a corporate-capital commitment</x:v>
      </x:c>
      <x:c r="R1895" s="25" t="str">
        <x:v>Private real-estate finance experience. Corporate working capital, minority equity or profit participation requires a separate agreement from a property loan.</x:v>
      </x:c>
      <x:c r="S1895" s="25"/>
      <x:c r="T1895" s="25" t="str">
        <x:v>Confirm direct principal versus broker, $100K-$500K appetite, and whether capital can fund the operating company without a property mortgage.</x:v>
      </x:c>
      <x:c r="U1895" s="25" t="str">
        <x:v>https://www.hardmoneyhome.com/lenders/view/hard-money-tampa</x:v>
      </x:c>
      <x:c r="V1895" s="26" t="d">
        <x:v>2026-10-02T00:00:00.000Z</x:v>
      </x:c>
      <x:c r="W1895" s="26" t="d">
        <x:v>2026-09-30T00:00:00.000Z</x:v>
      </x:c>
      <x:c r="X1895" s="25" t="str">
        <x:v>Saved public company, industry-directory or regulatory source; source date retained</x:v>
      </x:c>
      <x:c r="Y1895" s="25"/>
      <x:c r="Z1895" s="25" t="str">
        <x:v>https://www.hardmoneyhome.com/lenders/view/hard-money-tampa</x:v>
      </x:c>
      <x:c r="AA1895" s="25" t="str">
        <x:v>[]</x:v>
      </x:c>
      <x:c r="AB1895" s="3" t="str">
        <x:v>Existing CapitalForge research, newly screened for this campaign</x:v>
      </x:c>
      <x:c r="AC1895" s="3" t="str">
        <x:v>unverified</x:v>
      </x:c>
      <x:c r="AD1895" s="3" t="str">
        <x:v>Not contacted / unconfirmed</x:v>
      </x:c>
      <x:c r="AE1895" s="3" t="str">
        <x:v>No</x:v>
      </x:c>
      <x:c r="AF1895" s="3" t="str">
        <x:v>No</x:v>
      </x:c>
      <x:c r="AG1895" s="3"/>
      <x:c r="AH1895" s="3"/>
      <x:c r="AI1895" s="18"/>
      <x:c r="AJ1895" s="3" t="str">
        <x:v>CF2500-54EEEA72A73F</x:v>
      </x:c>
      <x:c r="AK1895" s="3" t="str">
        <x:v>private_real_estate_lender</x:v>
      </x:c>
      <x:c r="AL1895" s="19" t="n">
        <x:v>100000</x:v>
      </x:c>
      <x:c r="AM1895" s="19" t="n">
        <x:v>500000</x:v>
      </x:c>
      <x:c r="AN1895" s="3" t="str">
        <x:v>https://www.hardmoneyhome.com/lenders/view/hard-money-tampa</x:v>
      </x:c>
      <x:c r="AO1895" s="3" t="str">
        <x:v>public_directory.jsonl</x:v>
      </x:c>
      <x:c r="AP1895" s="19"/>
    </x:row>
    <x:row r="1896" ht="36" customHeight="1">
      <x:c r="A1896" s="23" t="n">
        <x:v>1895</x:v>
      </x:c>
      <x:c r="B1896" s="15" t="str">
        <x:v>Heartland Capital Group</x:v>
      </x:c>
      <x:c r="C1896" s="15"/>
      <x:c r="D1896" s="15" t="str">
        <x:v>Property lender or directory member; operating-company capital unconfirmed</x:v>
      </x:c>
      <x:c r="E1896" s="15" t="str">
        <x:v>Property lender / private-money inquiry</x:v>
      </x:c>
      <x:c r="F1896" s="17" t="str">
        <x:v>New</x:v>
      </x:c>
      <x:c r="G1896" s="24"/>
      <x:c r="H1896" s="24" t="str">
        <x:v>+12146684977</x:v>
      </x:c>
      <x:c r="I1896" s="24" t="str">
        <x:v>http://heartlandcapitalgroup.com</x:v>
      </x:c>
      <x:c r="J1896" s="16" t="str">
        <x:v>TX</x:v>
      </x:c>
      <x:c r="K1896" s="16" t="str">
        <x:v>Addison</x:v>
      </x:c>
      <x:c r="L1896" s="16" t="str">
        <x:v>firm_business_routing</x:v>
      </x:c>
      <x:c r="M1896" s="16" t="str">
        <x:v>http://heartlandcapitalgroup.com</x:v>
      </x:c>
      <x:c r="N1896" s="16" t="str">
        <x:v>Published source range; proposed allocation and structure require confirmation</x:v>
      </x:c>
      <x:c r="O1896" s="20"/>
      <x:c r="P1896" s="20" t="n">
        <x:v>50000000</x:v>
      </x:c>
      <x:c r="Q1896" s="25" t="str">
        <x:v>Property-loan range, not a corporate-capital commitment</x:v>
      </x:c>
      <x:c r="R1896" s="25" t="str">
        <x:v>Private real-estate finance experience. Corporate working capital, minority equity or profit participation requires a separate agreement from a property loan.</x:v>
      </x:c>
      <x:c r="S1896" s="25"/>
      <x:c r="T1896" s="25" t="str">
        <x:v>Confirm direct principal versus broker, $100K-$500K appetite, and whether capital can fund the operating company without a property mortgage.</x:v>
      </x:c>
      <x:c r="U1896" s="25" t="str">
        <x:v>https://www.hardmoneyhome.com/lenders/view/heartland-capital-group</x:v>
      </x:c>
      <x:c r="V1896" s="26" t="d">
        <x:v>2026-10-02T00:00:00.000Z</x:v>
      </x:c>
      <x:c r="W1896" s="26" t="d">
        <x:v>2026-09-30T00:00:00.000Z</x:v>
      </x:c>
      <x:c r="X1896" s="25" t="str">
        <x:v>Saved public company, industry-directory or regulatory source; source date retained</x:v>
      </x:c>
      <x:c r="Y1896" s="25"/>
      <x:c r="Z1896" s="25" t="str">
        <x:v>https://www.hardmoneyhome.com/lenders/view/heartland-capital-group</x:v>
      </x:c>
      <x:c r="AA1896" s="25" t="str">
        <x:v>[]</x:v>
      </x:c>
      <x:c r="AB1896" s="3" t="str">
        <x:v>Existing CapitalForge research, newly screened for this campaign</x:v>
      </x:c>
      <x:c r="AC1896" s="3" t="str">
        <x:v>unverified</x:v>
      </x:c>
      <x:c r="AD1896" s="3" t="str">
        <x:v>Not contacted / unconfirmed</x:v>
      </x:c>
      <x:c r="AE1896" s="3" t="str">
        <x:v>No</x:v>
      </x:c>
      <x:c r="AF1896" s="3" t="str">
        <x:v>No</x:v>
      </x:c>
      <x:c r="AG1896" s="3"/>
      <x:c r="AH1896" s="3"/>
      <x:c r="AI1896" s="18"/>
      <x:c r="AJ1896" s="3" t="str">
        <x:v>CF2500-679FEEECC742</x:v>
      </x:c>
      <x:c r="AK1896" s="3" t="str">
        <x:v>private_real_estate_lender</x:v>
      </x:c>
      <x:c r="AL1896" s="19" t="n">
        <x:v>100000</x:v>
      </x:c>
      <x:c r="AM1896" s="19" t="n">
        <x:v>500000</x:v>
      </x:c>
      <x:c r="AN1896" s="3" t="str">
        <x:v>https://www.hardmoneyhome.com/lenders/view/heartland-capital-group</x:v>
      </x:c>
      <x:c r="AO1896" s="3" t="str">
        <x:v>public_directory.jsonl</x:v>
      </x:c>
      <x:c r="AP1896" s="19"/>
    </x:row>
    <x:row r="1897" ht="36" customHeight="1">
      <x:c r="A1897" s="23" t="n">
        <x:v>1896</x:v>
      </x:c>
      <x:c r="B1897" s="15" t="str">
        <x:v>Holt Investment Capital</x:v>
      </x:c>
      <x:c r="C1897" s="15"/>
      <x:c r="D1897" s="15" t="str">
        <x:v>Property lender or directory member; operating-company capital unconfirmed</x:v>
      </x:c>
      <x:c r="E1897" s="15" t="str">
        <x:v>Property lender / private-money inquiry</x:v>
      </x:c>
      <x:c r="F1897" s="17" t="str">
        <x:v>New</x:v>
      </x:c>
      <x:c r="G1897" s="24"/>
      <x:c r="H1897" s="24" t="str">
        <x:v>+12817420205</x:v>
      </x:c>
      <x:c r="I1897" s="24" t="str">
        <x:v>https://www.holtinvestmentcapital.com</x:v>
      </x:c>
      <x:c r="J1897" s="16" t="str">
        <x:v>TX</x:v>
      </x:c>
      <x:c r="K1897" s="16" t="str">
        <x:v>Houston</x:v>
      </x:c>
      <x:c r="L1897" s="16" t="str">
        <x:v>firm_business_routing</x:v>
      </x:c>
      <x:c r="M1897" s="16" t="str">
        <x:v>https://www.holtinvestmentcapital.com</x:v>
      </x:c>
      <x:c r="N1897" s="16" t="str">
        <x:v>Published source range; proposed allocation and structure require confirmation</x:v>
      </x:c>
      <x:c r="O1897" s="20"/>
      <x:c r="P1897" s="20" t="n">
        <x:v>1000000</x:v>
      </x:c>
      <x:c r="Q1897" s="25" t="str">
        <x:v>Property-loan range, not a corporate-capital commitment</x:v>
      </x:c>
      <x:c r="R1897" s="25" t="str">
        <x:v>Private real-estate finance experience. Corporate working capital, minority equity or profit participation requires a separate agreement from a property loan.</x:v>
      </x:c>
      <x:c r="S1897" s="25"/>
      <x:c r="T1897" s="25" t="str">
        <x:v>Confirm direct principal versus broker, $100K-$500K appetite, and whether capital can fund the operating company without a property mortgage.</x:v>
      </x:c>
      <x:c r="U1897" s="25" t="str">
        <x:v>https://www.hardmoneyhome.com/lenders/view/holt-investment-capital</x:v>
      </x:c>
      <x:c r="V1897" s="26" t="d">
        <x:v>2026-10-02T00:00:00.000Z</x:v>
      </x:c>
      <x:c r="W1897" s="26" t="d">
        <x:v>2026-09-30T00:00:00.000Z</x:v>
      </x:c>
      <x:c r="X1897" s="25" t="str">
        <x:v>Saved public company, industry-directory or regulatory source; source date retained</x:v>
      </x:c>
      <x:c r="Y1897" s="25"/>
      <x:c r="Z1897" s="25" t="str">
        <x:v>https://www.hardmoneyhome.com/lenders/view/holt-investment-capital</x:v>
      </x:c>
      <x:c r="AA1897" s="25" t="str">
        <x:v>[]</x:v>
      </x:c>
      <x:c r="AB1897" s="3" t="str">
        <x:v>Existing CapitalForge research, newly screened for this campaign</x:v>
      </x:c>
      <x:c r="AC1897" s="3" t="str">
        <x:v>unverified</x:v>
      </x:c>
      <x:c r="AD1897" s="3" t="str">
        <x:v>Not contacted / unconfirmed</x:v>
      </x:c>
      <x:c r="AE1897" s="3" t="str">
        <x:v>No</x:v>
      </x:c>
      <x:c r="AF1897" s="3" t="str">
        <x:v>No</x:v>
      </x:c>
      <x:c r="AG1897" s="3"/>
      <x:c r="AH1897" s="3"/>
      <x:c r="AI1897" s="18"/>
      <x:c r="AJ1897" s="3" t="str">
        <x:v>CF2500-A7308C79008B</x:v>
      </x:c>
      <x:c r="AK1897" s="3" t="str">
        <x:v>private_real_estate_lender</x:v>
      </x:c>
      <x:c r="AL1897" s="19" t="n">
        <x:v>100000</x:v>
      </x:c>
      <x:c r="AM1897" s="19" t="n">
        <x:v>500000</x:v>
      </x:c>
      <x:c r="AN1897" s="3" t="str">
        <x:v>https://www.hardmoneyhome.com/lenders/view/holt-investment-capital</x:v>
      </x:c>
      <x:c r="AO1897" s="3" t="str">
        <x:v>public_directory.jsonl</x:v>
      </x:c>
      <x:c r="AP1897" s="19"/>
    </x:row>
    <x:row r="1898" ht="36" customHeight="1">
      <x:c r="A1898" s="23" t="n">
        <x:v>1897</x:v>
      </x:c>
      <x:c r="B1898" s="15" t="str">
        <x:v>Larry The Lender</x:v>
      </x:c>
      <x:c r="C1898" s="15"/>
      <x:c r="D1898" s="15" t="str">
        <x:v>Property lender or directory member; operating-company capital unconfirmed</x:v>
      </x:c>
      <x:c r="E1898" s="15" t="str">
        <x:v>Property lender / private-money inquiry</x:v>
      </x:c>
      <x:c r="F1898" s="17" t="str">
        <x:v>New</x:v>
      </x:c>
      <x:c r="G1898" s="24"/>
      <x:c r="H1898" s="24" t="str">
        <x:v>+17133640661</x:v>
      </x:c>
      <x:c r="I1898" s="24" t="str">
        <x:v>http://www.larrythelender.com/</x:v>
      </x:c>
      <x:c r="J1898" s="16" t="str">
        <x:v>TX</x:v>
      </x:c>
      <x:c r="K1898" s="16" t="str">
        <x:v>Houston</x:v>
      </x:c>
      <x:c r="L1898" s="16" t="str">
        <x:v>firm_business_routing</x:v>
      </x:c>
      <x:c r="M1898" s="16" t="str">
        <x:v>http://www.larrythelender.com/</x:v>
      </x:c>
      <x:c r="N1898" s="16" t="str">
        <x:v>Published source range; proposed allocation and structure require confirmation</x:v>
      </x:c>
      <x:c r="O1898" s="20"/>
      <x:c r="P1898" s="20" t="n">
        <x:v>2000000</x:v>
      </x:c>
      <x:c r="Q1898" s="25" t="str">
        <x:v>Property-loan range, not a corporate-capital commitment</x:v>
      </x:c>
      <x:c r="R1898" s="25" t="str">
        <x:v>Private real-estate finance experience. Corporate working capital, minority equity or profit participation requires a separate agreement from a property loan.</x:v>
      </x:c>
      <x:c r="S1898" s="25"/>
      <x:c r="T1898" s="25" t="str">
        <x:v>Confirm direct principal versus broker, $100K-$500K appetite, and whether capital can fund the operating company without a property mortgage.</x:v>
      </x:c>
      <x:c r="U1898" s="25" t="str">
        <x:v>https://www.hardmoneyhome.com/lenders/view/larry-the-lender</x:v>
      </x:c>
      <x:c r="V1898" s="26" t="d">
        <x:v>2026-10-02T00:00:00.000Z</x:v>
      </x:c>
      <x:c r="W1898" s="26" t="d">
        <x:v>2026-09-30T00:00:00.000Z</x:v>
      </x:c>
      <x:c r="X1898" s="25" t="str">
        <x:v>Saved public company, industry-directory or regulatory source; source date retained</x:v>
      </x:c>
      <x:c r="Y1898" s="25"/>
      <x:c r="Z1898" s="25" t="str">
        <x:v>https://www.hardmoneyhome.com/lenders/view/larry-the-lender</x:v>
      </x:c>
      <x:c r="AA1898" s="25" t="str">
        <x:v>[]</x:v>
      </x:c>
      <x:c r="AB1898" s="3" t="str">
        <x:v>Existing CapitalForge research, newly screened for this campaign</x:v>
      </x:c>
      <x:c r="AC1898" s="3" t="str">
        <x:v>unverified</x:v>
      </x:c>
      <x:c r="AD1898" s="3" t="str">
        <x:v>Not contacted / unconfirmed</x:v>
      </x:c>
      <x:c r="AE1898" s="3" t="str">
        <x:v>No</x:v>
      </x:c>
      <x:c r="AF1898" s="3" t="str">
        <x:v>No</x:v>
      </x:c>
      <x:c r="AG1898" s="3"/>
      <x:c r="AH1898" s="3"/>
      <x:c r="AI1898" s="18"/>
      <x:c r="AJ1898" s="3" t="str">
        <x:v>CF2500-AAD5BFEEB0F3</x:v>
      </x:c>
      <x:c r="AK1898" s="3" t="str">
        <x:v>private_real_estate_lender</x:v>
      </x:c>
      <x:c r="AL1898" s="19" t="n">
        <x:v>100000</x:v>
      </x:c>
      <x:c r="AM1898" s="19" t="n">
        <x:v>500000</x:v>
      </x:c>
      <x:c r="AN1898" s="3" t="str">
        <x:v>https://www.hardmoneyhome.com/lenders/view/larry-the-lender</x:v>
      </x:c>
      <x:c r="AO1898" s="3" t="str">
        <x:v>public_directory.jsonl</x:v>
      </x:c>
      <x:c r="AP1898" s="19"/>
    </x:row>
    <x:row r="1899" ht="36" customHeight="1">
      <x:c r="A1899" s="23" t="n">
        <x:v>1898</x:v>
      </x:c>
      <x:c r="B1899" s="15" t="str">
        <x:v>Lend America Financial</x:v>
      </x:c>
      <x:c r="C1899" s="15"/>
      <x:c r="D1899" s="15" t="str">
        <x:v>Property lender or directory member; operating-company capital unconfirmed</x:v>
      </x:c>
      <x:c r="E1899" s="15" t="str">
        <x:v>Property lender / private-money inquiry</x:v>
      </x:c>
      <x:c r="F1899" s="17" t="str">
        <x:v>New</x:v>
      </x:c>
      <x:c r="G1899" s="24"/>
      <x:c r="H1899" s="24" t="str">
        <x:v>+13057964799</x:v>
      </x:c>
      <x:c r="I1899" s="24" t="str">
        <x:v>http://www.lendamericafinancial.com/</x:v>
      </x:c>
      <x:c r="J1899" s="16" t="str">
        <x:v>FL</x:v>
      </x:c>
      <x:c r="K1899" s="16" t="str">
        <x:v>Cutler Bay</x:v>
      </x:c>
      <x:c r="L1899" s="16" t="str">
        <x:v>firm_business_routing</x:v>
      </x:c>
      <x:c r="M1899" s="16" t="str">
        <x:v>http://www.lendamericafinancial.com/</x:v>
      </x:c>
      <x:c r="N1899" s="16" t="str">
        <x:v>Published source range; proposed allocation and structure require confirmation</x:v>
      </x:c>
      <x:c r="O1899" s="20"/>
      <x:c r="P1899" s="20" t="n">
        <x:v>4000000</x:v>
      </x:c>
      <x:c r="Q1899" s="25" t="str">
        <x:v>Property-loan range, not a corporate-capital commitment</x:v>
      </x:c>
      <x:c r="R1899" s="25" t="str">
        <x:v>Private real-estate finance experience. Corporate working capital, minority equity or profit participation requires a separate agreement from a property loan.</x:v>
      </x:c>
      <x:c r="S1899" s="25"/>
      <x:c r="T1899" s="25" t="str">
        <x:v>Confirm direct principal versus broker, $100K-$500K appetite, and whether capital can fund the operating company without a property mortgage.</x:v>
      </x:c>
      <x:c r="U1899" s="25" t="str">
        <x:v>https://www.hardmoneyhome.com/lenders/view/lend-america-financial</x:v>
      </x:c>
      <x:c r="V1899" s="26" t="d">
        <x:v>2026-10-02T00:00:00.000Z</x:v>
      </x:c>
      <x:c r="W1899" s="26" t="d">
        <x:v>2026-09-30T00:00:00.000Z</x:v>
      </x:c>
      <x:c r="X1899" s="25" t="str">
        <x:v>Saved public company, industry-directory or regulatory source; source date retained</x:v>
      </x:c>
      <x:c r="Y1899" s="25"/>
      <x:c r="Z1899" s="25" t="str">
        <x:v>https://www.hardmoneyhome.com/lenders/view/lend-america-financial</x:v>
      </x:c>
      <x:c r="AA1899" s="25" t="str">
        <x:v>[]</x:v>
      </x:c>
      <x:c r="AB1899" s="3" t="str">
        <x:v>Existing CapitalForge research, newly screened for this campaign</x:v>
      </x:c>
      <x:c r="AC1899" s="3" t="str">
        <x:v>unverified</x:v>
      </x:c>
      <x:c r="AD1899" s="3" t="str">
        <x:v>Not contacted / unconfirmed</x:v>
      </x:c>
      <x:c r="AE1899" s="3" t="str">
        <x:v>No</x:v>
      </x:c>
      <x:c r="AF1899" s="3" t="str">
        <x:v>No</x:v>
      </x:c>
      <x:c r="AG1899" s="3"/>
      <x:c r="AH1899" s="3"/>
      <x:c r="AI1899" s="18"/>
      <x:c r="AJ1899" s="3" t="str">
        <x:v>CF2500-9902D0C97F2A</x:v>
      </x:c>
      <x:c r="AK1899" s="3" t="str">
        <x:v>private_real_estate_lender</x:v>
      </x:c>
      <x:c r="AL1899" s="19" t="n">
        <x:v>100000</x:v>
      </x:c>
      <x:c r="AM1899" s="19" t="n">
        <x:v>500000</x:v>
      </x:c>
      <x:c r="AN1899" s="3" t="str">
        <x:v>https://www.hardmoneyhome.com/lenders/view/lend-america-financial</x:v>
      </x:c>
      <x:c r="AO1899" s="3" t="str">
        <x:v>public_directory.jsonl</x:v>
      </x:c>
      <x:c r="AP1899" s="19"/>
    </x:row>
    <x:row r="1900" ht="36" customHeight="1">
      <x:c r="A1900" s="23" t="n">
        <x:v>1899</x:v>
      </x:c>
      <x:c r="B1900" s="15" t="str">
        <x:v>Loans 4 Investors</x:v>
      </x:c>
      <x:c r="C1900" s="15"/>
      <x:c r="D1900" s="15" t="str">
        <x:v>Property lender or directory member; operating-company capital unconfirmed</x:v>
      </x:c>
      <x:c r="E1900" s="15" t="str">
        <x:v>Property lender / private-money inquiry</x:v>
      </x:c>
      <x:c r="F1900" s="17" t="str">
        <x:v>New</x:v>
      </x:c>
      <x:c r="G1900" s="24"/>
      <x:c r="H1900" s="24" t="str">
        <x:v>+16826518723</x:v>
      </x:c>
      <x:c r="I1900" s="24" t="str">
        <x:v>http://loans4investors.com</x:v>
      </x:c>
      <x:c r="J1900" s="16" t="str">
        <x:v>TX</x:v>
      </x:c>
      <x:c r="K1900" s="16" t="str">
        <x:v>Southlake</x:v>
      </x:c>
      <x:c r="L1900" s="16" t="str">
        <x:v>firm_business_routing</x:v>
      </x:c>
      <x:c r="M1900" s="16" t="str">
        <x:v>http://loans4investors.com</x:v>
      </x:c>
      <x:c r="N1900" s="16" t="str">
        <x:v>Published source range; proposed allocation and structure require confirmation</x:v>
      </x:c>
      <x:c r="O1900" s="20"/>
      <x:c r="P1900" s="20" t="n">
        <x:v>500000</x:v>
      </x:c>
      <x:c r="Q1900" s="25" t="str">
        <x:v>Property-loan range, not a corporate-capital commitment</x:v>
      </x:c>
      <x:c r="R1900" s="25" t="str">
        <x:v>Private real-estate finance experience. Corporate working capital, minority equity or profit participation requires a separate agreement from a property loan.</x:v>
      </x:c>
      <x:c r="S1900" s="25"/>
      <x:c r="T1900" s="25" t="str">
        <x:v>Confirm direct principal versus broker, $100K-$500K appetite, and whether capital can fund the operating company without a property mortgage.</x:v>
      </x:c>
      <x:c r="U1900" s="25" t="str">
        <x:v>https://www.hardmoneyhome.com/lenders/view/loans-4-investors</x:v>
      </x:c>
      <x:c r="V1900" s="26" t="d">
        <x:v>2026-10-02T00:00:00.000Z</x:v>
      </x:c>
      <x:c r="W1900" s="26" t="d">
        <x:v>2026-09-30T00:00:00.000Z</x:v>
      </x:c>
      <x:c r="X1900" s="25" t="str">
        <x:v>Saved public company, industry-directory or regulatory source; source date retained</x:v>
      </x:c>
      <x:c r="Y1900" s="25"/>
      <x:c r="Z1900" s="25" t="str">
        <x:v>https://www.hardmoneyhome.com/lenders/view/loans-4-investors</x:v>
      </x:c>
      <x:c r="AA1900" s="25" t="str">
        <x:v>[]</x:v>
      </x:c>
      <x:c r="AB1900" s="3" t="str">
        <x:v>Existing CapitalForge research, newly screened for this campaign</x:v>
      </x:c>
      <x:c r="AC1900" s="3" t="str">
        <x:v>unverified</x:v>
      </x:c>
      <x:c r="AD1900" s="3" t="str">
        <x:v>Not contacted / unconfirmed</x:v>
      </x:c>
      <x:c r="AE1900" s="3" t="str">
        <x:v>No</x:v>
      </x:c>
      <x:c r="AF1900" s="3" t="str">
        <x:v>No</x:v>
      </x:c>
      <x:c r="AG1900" s="3"/>
      <x:c r="AH1900" s="3"/>
      <x:c r="AI1900" s="18"/>
      <x:c r="AJ1900" s="3" t="str">
        <x:v>CF2500-57258AA2BB28</x:v>
      </x:c>
      <x:c r="AK1900" s="3" t="str">
        <x:v>private_real_estate_lender</x:v>
      </x:c>
      <x:c r="AL1900" s="19" t="n">
        <x:v>100000</x:v>
      </x:c>
      <x:c r="AM1900" s="19" t="n">
        <x:v>500000</x:v>
      </x:c>
      <x:c r="AN1900" s="3" t="str">
        <x:v>https://www.hardmoneyhome.com/lenders/view/loans-4-investors</x:v>
      </x:c>
      <x:c r="AO1900" s="3" t="str">
        <x:v>public_directory.jsonl</x:v>
      </x:c>
      <x:c r="AP1900" s="19"/>
    </x:row>
    <x:row r="1901" ht="36" customHeight="1">
      <x:c r="A1901" s="23" t="n">
        <x:v>1900</x:v>
      </x:c>
      <x:c r="B1901" s="15" t="str">
        <x:v>London Financial</x:v>
      </x:c>
      <x:c r="C1901" s="15"/>
      <x:c r="D1901" s="15" t="str">
        <x:v>Property lender or directory member; operating-company capital unconfirmed</x:v>
      </x:c>
      <x:c r="E1901" s="15" t="str">
        <x:v>Property lender / private-money inquiry</x:v>
      </x:c>
      <x:c r="F1901" s="17" t="str">
        <x:v>New</x:v>
      </x:c>
      <x:c r="G1901" s="24"/>
      <x:c r="H1901" s="24" t="str">
        <x:v>+13053619720</x:v>
      </x:c>
      <x:c r="I1901" s="24" t="str">
        <x:v>http://londonfin.com/</x:v>
      </x:c>
      <x:c r="J1901" s="16" t="str">
        <x:v>FL</x:v>
      </x:c>
      <x:c r="K1901" s="16" t="str">
        <x:v>Key Biscayne</x:v>
      </x:c>
      <x:c r="L1901" s="16" t="str">
        <x:v>firm_business_routing</x:v>
      </x:c>
      <x:c r="M1901" s="16" t="str">
        <x:v>http://londonfin.com/</x:v>
      </x:c>
      <x:c r="N1901" s="16" t="str">
        <x:v>Published source range; proposed allocation and structure require confirmation</x:v>
      </x:c>
      <x:c r="O1901" s="20"/>
      <x:c r="P1901" s="20" t="n">
        <x:v>10000000</x:v>
      </x:c>
      <x:c r="Q1901" s="25" t="str">
        <x:v>Property-loan range, not a corporate-capital commitment</x:v>
      </x:c>
      <x:c r="R1901" s="25" t="str">
        <x:v>Private real-estate finance experience. Corporate working capital, minority equity or profit participation requires a separate agreement from a property loan.</x:v>
      </x:c>
      <x:c r="S1901" s="25"/>
      <x:c r="T1901" s="25" t="str">
        <x:v>Confirm direct principal versus broker, $100K-$500K appetite, and whether capital can fund the operating company without a property mortgage.</x:v>
      </x:c>
      <x:c r="U1901" s="25" t="str">
        <x:v>https://www.hardmoneyhome.com/lenders/view/london-financial</x:v>
      </x:c>
      <x:c r="V1901" s="26" t="d">
        <x:v>2026-10-02T00:00:00.000Z</x:v>
      </x:c>
      <x:c r="W1901" s="26" t="d">
        <x:v>2026-09-30T00:00:00.000Z</x:v>
      </x:c>
      <x:c r="X1901" s="25" t="str">
        <x:v>Saved public company, industry-directory or regulatory source; source date retained</x:v>
      </x:c>
      <x:c r="Y1901" s="25"/>
      <x:c r="Z1901" s="25" t="str">
        <x:v>https://www.hardmoneyhome.com/lenders/view/london-financial</x:v>
      </x:c>
      <x:c r="AA1901" s="25" t="str">
        <x:v>[]</x:v>
      </x:c>
      <x:c r="AB1901" s="3" t="str">
        <x:v>Existing CapitalForge research, newly screened for this campaign</x:v>
      </x:c>
      <x:c r="AC1901" s="3" t="str">
        <x:v>unverified</x:v>
      </x:c>
      <x:c r="AD1901" s="3" t="str">
        <x:v>Not contacted / unconfirmed</x:v>
      </x:c>
      <x:c r="AE1901" s="3" t="str">
        <x:v>No</x:v>
      </x:c>
      <x:c r="AF1901" s="3" t="str">
        <x:v>No</x:v>
      </x:c>
      <x:c r="AG1901" s="3"/>
      <x:c r="AH1901" s="3"/>
      <x:c r="AI1901" s="18"/>
      <x:c r="AJ1901" s="3" t="str">
        <x:v>CF2500-C26D29492740</x:v>
      </x:c>
      <x:c r="AK1901" s="3" t="str">
        <x:v>private_real_estate_lender</x:v>
      </x:c>
      <x:c r="AL1901" s="19" t="n">
        <x:v>100000</x:v>
      </x:c>
      <x:c r="AM1901" s="19" t="n">
        <x:v>500000</x:v>
      </x:c>
      <x:c r="AN1901" s="3" t="str">
        <x:v>https://www.hardmoneyhome.com/lenders/view/london-financial</x:v>
      </x:c>
      <x:c r="AO1901" s="3" t="str">
        <x:v>public_directory.jsonl</x:v>
      </x:c>
      <x:c r="AP1901" s="19"/>
    </x:row>
    <x:row r="1902" ht="36" customHeight="1">
      <x:c r="A1902" s="23" t="n">
        <x:v>1901</x:v>
      </x:c>
      <x:c r="B1902" s="15" t="str">
        <x:v>Lone Star Hard Money</x:v>
      </x:c>
      <x:c r="C1902" s="15"/>
      <x:c r="D1902" s="15" t="str">
        <x:v>Property lender or directory member; operating-company capital unconfirmed</x:v>
      </x:c>
      <x:c r="E1902" s="15" t="str">
        <x:v>Property lender / private-money inquiry</x:v>
      </x:c>
      <x:c r="F1902" s="17" t="str">
        <x:v>New</x:v>
      </x:c>
      <x:c r="G1902" s="24"/>
      <x:c r="H1902" s="24" t="str">
        <x:v>+19726306676</x:v>
      </x:c>
      <x:c r="I1902" s="24" t="str">
        <x:v>http://lonestar-hardmoney.com/</x:v>
      </x:c>
      <x:c r="J1902" s="16" t="str">
        <x:v>TX</x:v>
      </x:c>
      <x:c r="K1902" s="16" t="str">
        <x:v>Dallas</x:v>
      </x:c>
      <x:c r="L1902" s="16" t="str">
        <x:v>firm_business_routing</x:v>
      </x:c>
      <x:c r="M1902" s="16" t="str">
        <x:v>http://lonestar-hardmoney.com/</x:v>
      </x:c>
      <x:c r="N1902" s="16" t="str">
        <x:v>Published source range; proposed allocation and structure require confirmation</x:v>
      </x:c>
      <x:c r="O1902" s="20"/>
      <x:c r="P1902" s="20" t="n">
        <x:v>2000000</x:v>
      </x:c>
      <x:c r="Q1902" s="25" t="str">
        <x:v>Property-loan range, not a corporate-capital commitment</x:v>
      </x:c>
      <x:c r="R1902" s="25" t="str">
        <x:v>Private real-estate finance experience. Corporate working capital, minority equity or profit participation requires a separate agreement from a property loan.</x:v>
      </x:c>
      <x:c r="S1902" s="25"/>
      <x:c r="T1902" s="25" t="str">
        <x:v>Confirm direct principal versus broker, $100K-$500K appetite, and whether capital can fund the operating company without a property mortgage.</x:v>
      </x:c>
      <x:c r="U1902" s="25" t="str">
        <x:v>https://www.hardmoneyhome.com/lenders/view/lone-star-hard-money</x:v>
      </x:c>
      <x:c r="V1902" s="26" t="d">
        <x:v>2026-10-02T00:00:00.000Z</x:v>
      </x:c>
      <x:c r="W1902" s="26" t="d">
        <x:v>2026-09-30T00:00:00.000Z</x:v>
      </x:c>
      <x:c r="X1902" s="25" t="str">
        <x:v>Saved public company, industry-directory or regulatory source; source date retained</x:v>
      </x:c>
      <x:c r="Y1902" s="25"/>
      <x:c r="Z1902" s="25" t="str">
        <x:v>https://www.hardmoneyhome.com/lenders/view/lone-star-hard-money</x:v>
      </x:c>
      <x:c r="AA1902" s="25" t="str">
        <x:v>[]</x:v>
      </x:c>
      <x:c r="AB1902" s="3" t="str">
        <x:v>Existing CapitalForge research, newly screened for this campaign</x:v>
      </x:c>
      <x:c r="AC1902" s="3" t="str">
        <x:v>unverified</x:v>
      </x:c>
      <x:c r="AD1902" s="3" t="str">
        <x:v>Not contacted / unconfirmed</x:v>
      </x:c>
      <x:c r="AE1902" s="3" t="str">
        <x:v>No</x:v>
      </x:c>
      <x:c r="AF1902" s="3" t="str">
        <x:v>No</x:v>
      </x:c>
      <x:c r="AG1902" s="3"/>
      <x:c r="AH1902" s="3"/>
      <x:c r="AI1902" s="18"/>
      <x:c r="AJ1902" s="3" t="str">
        <x:v>CF2500-D55897594924</x:v>
      </x:c>
      <x:c r="AK1902" s="3" t="str">
        <x:v>private_real_estate_lender</x:v>
      </x:c>
      <x:c r="AL1902" s="19" t="n">
        <x:v>100000</x:v>
      </x:c>
      <x:c r="AM1902" s="19" t="n">
        <x:v>500000</x:v>
      </x:c>
      <x:c r="AN1902" s="3" t="str">
        <x:v>https://www.hardmoneyhome.com/lenders/view/lone-star-hard-money</x:v>
      </x:c>
      <x:c r="AO1902" s="3" t="str">
        <x:v>public_directory.jsonl</x:v>
      </x:c>
      <x:c r="AP1902" s="19"/>
    </x:row>
    <x:row r="1903" ht="36" customHeight="1">
      <x:c r="A1903" s="23" t="n">
        <x:v>1902</x:v>
      </x:c>
      <x:c r="B1903" s="15" t="str">
        <x:v>Medford Capital</x:v>
      </x:c>
      <x:c r="C1903" s="15"/>
      <x:c r="D1903" s="15" t="str">
        <x:v>Property lender or directory member; operating-company capital unconfirmed</x:v>
      </x:c>
      <x:c r="E1903" s="15" t="str">
        <x:v>Property lender / private-money inquiry</x:v>
      </x:c>
      <x:c r="F1903" s="17" t="str">
        <x:v>New</x:v>
      </x:c>
      <x:c r="G1903" s="24"/>
      <x:c r="H1903" s="24" t="str">
        <x:v>+13129533113</x:v>
      </x:c>
      <x:c r="I1903" s="24" t="str">
        <x:v>http://www.medfordcapital.com/</x:v>
      </x:c>
      <x:c r="J1903" s="16" t="str">
        <x:v>IL</x:v>
      </x:c>
      <x:c r="K1903" s="16" t="str">
        <x:v>Skokie</x:v>
      </x:c>
      <x:c r="L1903" s="16" t="str">
        <x:v>firm_business_routing</x:v>
      </x:c>
      <x:c r="M1903" s="16" t="str">
        <x:v>http://www.medfordcapital.com/</x:v>
      </x:c>
      <x:c r="N1903" s="16" t="str">
        <x:v>Published source range; proposed allocation and structure require confirmation</x:v>
      </x:c>
      <x:c r="O1903" s="20"/>
      <x:c r="P1903" s="20" t="n">
        <x:v>1000000</x:v>
      </x:c>
      <x:c r="Q1903" s="25" t="str">
        <x:v>Property-loan range, not a corporate-capital commitment</x:v>
      </x:c>
      <x:c r="R1903" s="25" t="str">
        <x:v>Private real-estate finance experience. Corporate working capital, minority equity or profit participation requires a separate agreement from a property loan.</x:v>
      </x:c>
      <x:c r="S1903" s="25"/>
      <x:c r="T1903" s="25" t="str">
        <x:v>Confirm direct principal versus broker, $100K-$500K appetite, and whether capital can fund the operating company without a property mortgage.</x:v>
      </x:c>
      <x:c r="U1903" s="25" t="str">
        <x:v>https://www.hardmoneyhome.com/lenders/view/medford-capital</x:v>
      </x:c>
      <x:c r="V1903" s="26" t="d">
        <x:v>2026-10-02T00:00:00.000Z</x:v>
      </x:c>
      <x:c r="W1903" s="26" t="d">
        <x:v>2026-09-30T00:00:00.000Z</x:v>
      </x:c>
      <x:c r="X1903" s="25" t="str">
        <x:v>Saved public company, industry-directory or regulatory source; source date retained</x:v>
      </x:c>
      <x:c r="Y1903" s="25"/>
      <x:c r="Z1903" s="25" t="str">
        <x:v>https://www.hardmoneyhome.com/lenders/view/medford-capital</x:v>
      </x:c>
      <x:c r="AA1903" s="25" t="str">
        <x:v>[]</x:v>
      </x:c>
      <x:c r="AB1903" s="3" t="str">
        <x:v>Existing CapitalForge research, newly screened for this campaign</x:v>
      </x:c>
      <x:c r="AC1903" s="3" t="str">
        <x:v>unverified</x:v>
      </x:c>
      <x:c r="AD1903" s="3" t="str">
        <x:v>Not contacted / unconfirmed</x:v>
      </x:c>
      <x:c r="AE1903" s="3" t="str">
        <x:v>No</x:v>
      </x:c>
      <x:c r="AF1903" s="3" t="str">
        <x:v>No</x:v>
      </x:c>
      <x:c r="AG1903" s="3"/>
      <x:c r="AH1903" s="3"/>
      <x:c r="AI1903" s="18"/>
      <x:c r="AJ1903" s="3" t="str">
        <x:v>CF2500-427EC175CAEE</x:v>
      </x:c>
      <x:c r="AK1903" s="3" t="str">
        <x:v>private_real_estate_lender</x:v>
      </x:c>
      <x:c r="AL1903" s="19" t="n">
        <x:v>100000</x:v>
      </x:c>
      <x:c r="AM1903" s="19" t="n">
        <x:v>500000</x:v>
      </x:c>
      <x:c r="AN1903" s="3" t="str">
        <x:v>https://www.hardmoneyhome.com/lenders/view/medford-capital</x:v>
      </x:c>
      <x:c r="AO1903" s="3" t="str">
        <x:v>public_directory.jsonl</x:v>
      </x:c>
      <x:c r="AP1903" s="19"/>
    </x:row>
    <x:row r="1904" ht="36" customHeight="1">
      <x:c r="A1904" s="23" t="n">
        <x:v>1903</x:v>
      </x:c>
      <x:c r="B1904" s="15" t="str">
        <x:v>NSB Financing</x:v>
      </x:c>
      <x:c r="C1904" s="15"/>
      <x:c r="D1904" s="15" t="str">
        <x:v>Property lender or directory member; operating-company capital unconfirmed</x:v>
      </x:c>
      <x:c r="E1904" s="15" t="str">
        <x:v>Property lender / private-money inquiry</x:v>
      </x:c>
      <x:c r="F1904" s="17" t="str">
        <x:v>New</x:v>
      </x:c>
      <x:c r="G1904" s="24"/>
      <x:c r="H1904" s="24" t="str">
        <x:v>+18774842461</x:v>
      </x:c>
      <x:c r="I1904" s="24" t="str">
        <x:v>http://nsbfinancing.com</x:v>
      </x:c>
      <x:c r="J1904" s="16" t="str">
        <x:v>FL</x:v>
      </x:c>
      <x:c r="K1904" s="16" t="str">
        <x:v>Miami</x:v>
      </x:c>
      <x:c r="L1904" s="16" t="str">
        <x:v>firm_business_routing</x:v>
      </x:c>
      <x:c r="M1904" s="16" t="str">
        <x:v>http://nsbfinancing.com</x:v>
      </x:c>
      <x:c r="N1904" s="16" t="str">
        <x:v>Published source range; proposed allocation and structure require confirmation</x:v>
      </x:c>
      <x:c r="O1904" s="20"/>
      <x:c r="P1904" s="20" t="n">
        <x:v>10000000</x:v>
      </x:c>
      <x:c r="Q1904" s="25" t="str">
        <x:v>Property-loan range, not a corporate-capital commitment</x:v>
      </x:c>
      <x:c r="R1904" s="25" t="str">
        <x:v>Private real-estate finance experience. Corporate working capital, minority equity or profit participation requires a separate agreement from a property loan.</x:v>
      </x:c>
      <x:c r="S1904" s="25"/>
      <x:c r="T1904" s="25" t="str">
        <x:v>Confirm direct principal versus broker, $100K-$500K appetite, and whether capital can fund the operating company without a property mortgage.</x:v>
      </x:c>
      <x:c r="U1904" s="25" t="str">
        <x:v>https://www.hardmoneyhome.com/lenders/view/nsb-financing</x:v>
      </x:c>
      <x:c r="V1904" s="26" t="d">
        <x:v>2026-10-02T00:00:00.000Z</x:v>
      </x:c>
      <x:c r="W1904" s="26" t="d">
        <x:v>2026-09-30T00:00:00.000Z</x:v>
      </x:c>
      <x:c r="X1904" s="25" t="str">
        <x:v>Saved public company, industry-directory or regulatory source; source date retained</x:v>
      </x:c>
      <x:c r="Y1904" s="25"/>
      <x:c r="Z1904" s="25" t="str">
        <x:v>https://www.hardmoneyhome.com/lenders/view/nsb-financing</x:v>
      </x:c>
      <x:c r="AA1904" s="25" t="str">
        <x:v>[]</x:v>
      </x:c>
      <x:c r="AB1904" s="3" t="str">
        <x:v>Existing CapitalForge research, newly screened for this campaign</x:v>
      </x:c>
      <x:c r="AC1904" s="3" t="str">
        <x:v>unverified</x:v>
      </x:c>
      <x:c r="AD1904" s="3" t="str">
        <x:v>Not contacted / unconfirmed</x:v>
      </x:c>
      <x:c r="AE1904" s="3" t="str">
        <x:v>No</x:v>
      </x:c>
      <x:c r="AF1904" s="3" t="str">
        <x:v>No</x:v>
      </x:c>
      <x:c r="AG1904" s="3"/>
      <x:c r="AH1904" s="3"/>
      <x:c r="AI1904" s="18"/>
      <x:c r="AJ1904" s="3" t="str">
        <x:v>CF2500-350F99B6BE54</x:v>
      </x:c>
      <x:c r="AK1904" s="3" t="str">
        <x:v>private_real_estate_lender</x:v>
      </x:c>
      <x:c r="AL1904" s="19" t="n">
        <x:v>100000</x:v>
      </x:c>
      <x:c r="AM1904" s="19" t="n">
        <x:v>500000</x:v>
      </x:c>
      <x:c r="AN1904" s="3" t="str">
        <x:v>https://www.hardmoneyhome.com/lenders/view/nsb-financing</x:v>
      </x:c>
      <x:c r="AO1904" s="3" t="str">
        <x:v>public_directory.jsonl</x:v>
      </x:c>
      <x:c r="AP1904" s="19"/>
    </x:row>
    <x:row r="1905" ht="36" customHeight="1">
      <x:c r="A1905" s="23" t="n">
        <x:v>1904</x:v>
      </x:c>
      <x:c r="B1905" s="15" t="str">
        <x:v>NuWay Mortgage</x:v>
      </x:c>
      <x:c r="C1905" s="15"/>
      <x:c r="D1905" s="15" t="str">
        <x:v>Property lender or directory member; operating-company capital unconfirmed</x:v>
      </x:c>
      <x:c r="E1905" s="15" t="str">
        <x:v>Property lender / private-money inquiry</x:v>
      </x:c>
      <x:c r="F1905" s="17" t="str">
        <x:v>New</x:v>
      </x:c>
      <x:c r="G1905" s="24"/>
      <x:c r="H1905" s="24" t="str">
        <x:v>+18888027778</x:v>
      </x:c>
      <x:c r="I1905" s="24" t="str">
        <x:v>http://www.nuwaymortgage.com/</x:v>
      </x:c>
      <x:c r="J1905" s="16" t="str">
        <x:v>IL</x:v>
      </x:c>
      <x:c r="K1905" s="16" t="str">
        <x:v>Chicago</x:v>
      </x:c>
      <x:c r="L1905" s="16" t="str">
        <x:v>firm_business_routing</x:v>
      </x:c>
      <x:c r="M1905" s="16" t="str">
        <x:v>http://www.nuwaymortgage.com/</x:v>
      </x:c>
      <x:c r="N1905" s="16" t="str">
        <x:v>Published source range; proposed allocation and structure require confirmation</x:v>
      </x:c>
      <x:c r="O1905" s="20"/>
      <x:c r="P1905" s="20" t="n">
        <x:v>5000000</x:v>
      </x:c>
      <x:c r="Q1905" s="25" t="str">
        <x:v>Property-loan range, not a corporate-capital commitment</x:v>
      </x:c>
      <x:c r="R1905" s="25" t="str">
        <x:v>Private real-estate finance experience. Corporate working capital, minority equity or profit participation requires a separate agreement from a property loan.</x:v>
      </x:c>
      <x:c r="S1905" s="25"/>
      <x:c r="T1905" s="25" t="str">
        <x:v>Confirm direct principal versus broker, $100K-$500K appetite, and whether capital can fund the operating company without a property mortgage.</x:v>
      </x:c>
      <x:c r="U1905" s="25" t="str">
        <x:v>https://www.hardmoneyhome.com/lenders/view/nuway-mortgage</x:v>
      </x:c>
      <x:c r="V1905" s="26" t="d">
        <x:v>2026-10-02T00:00:00.000Z</x:v>
      </x:c>
      <x:c r="W1905" s="26" t="d">
        <x:v>2026-09-30T00:00:00.000Z</x:v>
      </x:c>
      <x:c r="X1905" s="25" t="str">
        <x:v>Saved public company, industry-directory or regulatory source; source date retained</x:v>
      </x:c>
      <x:c r="Y1905" s="25"/>
      <x:c r="Z1905" s="25" t="str">
        <x:v>https://www.hardmoneyhome.com/lenders/view/nuway-mortgage</x:v>
      </x:c>
      <x:c r="AA1905" s="25" t="str">
        <x:v>[]</x:v>
      </x:c>
      <x:c r="AB1905" s="3" t="str">
        <x:v>Existing CapitalForge research, newly screened for this campaign</x:v>
      </x:c>
      <x:c r="AC1905" s="3" t="str">
        <x:v>unverified</x:v>
      </x:c>
      <x:c r="AD1905" s="3" t="str">
        <x:v>Not contacted / unconfirmed</x:v>
      </x:c>
      <x:c r="AE1905" s="3" t="str">
        <x:v>No</x:v>
      </x:c>
      <x:c r="AF1905" s="3" t="str">
        <x:v>No</x:v>
      </x:c>
      <x:c r="AG1905" s="3"/>
      <x:c r="AH1905" s="3"/>
      <x:c r="AI1905" s="18"/>
      <x:c r="AJ1905" s="3" t="str">
        <x:v>CF2500-D863FBB329A7</x:v>
      </x:c>
      <x:c r="AK1905" s="3" t="str">
        <x:v>private_real_estate_lender</x:v>
      </x:c>
      <x:c r="AL1905" s="19" t="n">
        <x:v>100000</x:v>
      </x:c>
      <x:c r="AM1905" s="19" t="n">
        <x:v>500000</x:v>
      </x:c>
      <x:c r="AN1905" s="3" t="str">
        <x:v>https://www.hardmoneyhome.com/lenders/view/nuway-mortgage</x:v>
      </x:c>
      <x:c r="AO1905" s="3" t="str">
        <x:v>public_directory.jsonl</x:v>
      </x:c>
      <x:c r="AP1905" s="19"/>
    </x:row>
    <x:row r="1906" ht="36" customHeight="1">
      <x:c r="A1906" s="23" t="n">
        <x:v>1905</x:v>
      </x:c>
      <x:c r="B1906" s="15" t="str">
        <x:v>P2 Funding</x:v>
      </x:c>
      <x:c r="C1906" s="15"/>
      <x:c r="D1906" s="15" t="str">
        <x:v>Property lender or directory member; operating-company capital unconfirmed</x:v>
      </x:c>
      <x:c r="E1906" s="15" t="str">
        <x:v>Property lender / private-money inquiry</x:v>
      </x:c>
      <x:c r="F1906" s="17" t="str">
        <x:v>New</x:v>
      </x:c>
      <x:c r="G1906" s="24"/>
      <x:c r="H1906" s="24" t="str">
        <x:v>+13123730750</x:v>
      </x:c>
      <x:c r="I1906" s="24" t="str">
        <x:v>http://p2funding.com</x:v>
      </x:c>
      <x:c r="J1906" s="16" t="str">
        <x:v>IL</x:v>
      </x:c>
      <x:c r="K1906" s="16" t="str">
        <x:v>Chicago</x:v>
      </x:c>
      <x:c r="L1906" s="16" t="str">
        <x:v>firm_business_routing</x:v>
      </x:c>
      <x:c r="M1906" s="16" t="str">
        <x:v>http://p2funding.com</x:v>
      </x:c>
      <x:c r="N1906" s="16" t="str">
        <x:v>Published source range; proposed allocation and structure require confirmation</x:v>
      </x:c>
      <x:c r="O1906" s="20"/>
      <x:c r="P1906" s="20" t="n">
        <x:v>10000000</x:v>
      </x:c>
      <x:c r="Q1906" s="25" t="str">
        <x:v>Property-loan range, not a corporate-capital commitment</x:v>
      </x:c>
      <x:c r="R1906" s="25" t="str">
        <x:v>Private real-estate finance experience. Corporate working capital, minority equity or profit participation requires a separate agreement from a property loan.</x:v>
      </x:c>
      <x:c r="S1906" s="25"/>
      <x:c r="T1906" s="25" t="str">
        <x:v>Confirm direct principal versus broker, $100K-$500K appetite, and whether capital can fund the operating company without a property mortgage.</x:v>
      </x:c>
      <x:c r="U1906" s="25" t="str">
        <x:v>https://www.hardmoneyhome.com/lenders/view/p2-funding</x:v>
      </x:c>
      <x:c r="V1906" s="26" t="d">
        <x:v>2026-10-02T00:00:00.000Z</x:v>
      </x:c>
      <x:c r="W1906" s="26" t="d">
        <x:v>2026-09-30T00:00:00.000Z</x:v>
      </x:c>
      <x:c r="X1906" s="25" t="str">
        <x:v>Saved public company, industry-directory or regulatory source; source date retained</x:v>
      </x:c>
      <x:c r="Y1906" s="25"/>
      <x:c r="Z1906" s="25" t="str">
        <x:v>https://www.hardmoneyhome.com/lenders/view/p2-funding</x:v>
      </x:c>
      <x:c r="AA1906" s="25" t="str">
        <x:v>[]</x:v>
      </x:c>
      <x:c r="AB1906" s="3" t="str">
        <x:v>Existing CapitalForge research, newly screened for this campaign</x:v>
      </x:c>
      <x:c r="AC1906" s="3" t="str">
        <x:v>unverified</x:v>
      </x:c>
      <x:c r="AD1906" s="3" t="str">
        <x:v>Not contacted / unconfirmed</x:v>
      </x:c>
      <x:c r="AE1906" s="3" t="str">
        <x:v>No</x:v>
      </x:c>
      <x:c r="AF1906" s="3" t="str">
        <x:v>No</x:v>
      </x:c>
      <x:c r="AG1906" s="3"/>
      <x:c r="AH1906" s="3"/>
      <x:c r="AI1906" s="18"/>
      <x:c r="AJ1906" s="3" t="str">
        <x:v>CF2500-7BA3E3CD442F</x:v>
      </x:c>
      <x:c r="AK1906" s="3" t="str">
        <x:v>private_real_estate_lender</x:v>
      </x:c>
      <x:c r="AL1906" s="19" t="n">
        <x:v>100000</x:v>
      </x:c>
      <x:c r="AM1906" s="19" t="n">
        <x:v>500000</x:v>
      </x:c>
      <x:c r="AN1906" s="3" t="str">
        <x:v>https://www.hardmoneyhome.com/lenders/view/p2-funding</x:v>
      </x:c>
      <x:c r="AO1906" s="3" t="str">
        <x:v>public_directory.jsonl</x:v>
      </x:c>
      <x:c r="AP1906" s="19"/>
    </x:row>
    <x:row r="1907" ht="36" customHeight="1">
      <x:c r="A1907" s="23" t="n">
        <x:v>1906</x:v>
      </x:c>
      <x:c r="B1907" s="15" t="str">
        <x:v>Peak Choice Capital</x:v>
      </x:c>
      <x:c r="C1907" s="15"/>
      <x:c r="D1907" s="15" t="str">
        <x:v>Property lender or directory member; operating-company capital unconfirmed</x:v>
      </x:c>
      <x:c r="E1907" s="15" t="str">
        <x:v>Property lender / private-money inquiry</x:v>
      </x:c>
      <x:c r="F1907" s="17" t="str">
        <x:v>New</x:v>
      </x:c>
      <x:c r="G1907" s="24"/>
      <x:c r="H1907" s="24" t="str">
        <x:v>+19202677682</x:v>
      </x:c>
      <x:c r="I1907" s="24" t="str">
        <x:v>http://peakchoicecapital.com/</x:v>
      </x:c>
      <x:c r="J1907" s="16" t="str">
        <x:v>IL</x:v>
      </x:c>
      <x:c r="K1907" s="16" t="str">
        <x:v>Shorewood</x:v>
      </x:c>
      <x:c r="L1907" s="16" t="str">
        <x:v>firm_business_routing</x:v>
      </x:c>
      <x:c r="M1907" s="16" t="str">
        <x:v>http://peakchoicecapital.com/</x:v>
      </x:c>
      <x:c r="N1907" s="16" t="str">
        <x:v>Published source range; proposed allocation and structure require confirmation</x:v>
      </x:c>
      <x:c r="O1907" s="20"/>
      <x:c r="P1907" s="20" t="n">
        <x:v>30000000</x:v>
      </x:c>
      <x:c r="Q1907" s="25" t="str">
        <x:v>Property-loan range, not a corporate-capital commitment</x:v>
      </x:c>
      <x:c r="R1907" s="25" t="str">
        <x:v>Private real-estate finance experience. Corporate working capital, minority equity or profit participation requires a separate agreement from a property loan.</x:v>
      </x:c>
      <x:c r="S1907" s="25"/>
      <x:c r="T1907" s="25" t="str">
        <x:v>Confirm direct principal versus broker, $100K-$500K appetite, and whether capital can fund the operating company without a property mortgage.</x:v>
      </x:c>
      <x:c r="U1907" s="25" t="str">
        <x:v>https://www.hardmoneyhome.com/lenders/view/peak-choice-capital</x:v>
      </x:c>
      <x:c r="V1907" s="26" t="d">
        <x:v>2026-10-02T00:00:00.000Z</x:v>
      </x:c>
      <x:c r="W1907" s="26" t="d">
        <x:v>2026-09-30T00:00:00.000Z</x:v>
      </x:c>
      <x:c r="X1907" s="25" t="str">
        <x:v>Saved public company, industry-directory or regulatory source; source date retained</x:v>
      </x:c>
      <x:c r="Y1907" s="25"/>
      <x:c r="Z1907" s="25" t="str">
        <x:v>https://www.hardmoneyhome.com/lenders/view/peak-choice-capital</x:v>
      </x:c>
      <x:c r="AA1907" s="25" t="str">
        <x:v>[]</x:v>
      </x:c>
      <x:c r="AB1907" s="3" t="str">
        <x:v>Existing CapitalForge research, newly screened for this campaign</x:v>
      </x:c>
      <x:c r="AC1907" s="3" t="str">
        <x:v>unverified</x:v>
      </x:c>
      <x:c r="AD1907" s="3" t="str">
        <x:v>Not contacted / unconfirmed</x:v>
      </x:c>
      <x:c r="AE1907" s="3" t="str">
        <x:v>No</x:v>
      </x:c>
      <x:c r="AF1907" s="3" t="str">
        <x:v>No</x:v>
      </x:c>
      <x:c r="AG1907" s="3"/>
      <x:c r="AH1907" s="3"/>
      <x:c r="AI1907" s="18"/>
      <x:c r="AJ1907" s="3" t="str">
        <x:v>CF2500-7F5C73519162</x:v>
      </x:c>
      <x:c r="AK1907" s="3" t="str">
        <x:v>private_real_estate_lender</x:v>
      </x:c>
      <x:c r="AL1907" s="19" t="n">
        <x:v>100000</x:v>
      </x:c>
      <x:c r="AM1907" s="19" t="n">
        <x:v>500000</x:v>
      </x:c>
      <x:c r="AN1907" s="3" t="str">
        <x:v>https://www.hardmoneyhome.com/lenders/view/peak-choice-capital</x:v>
      </x:c>
      <x:c r="AO1907" s="3" t="str">
        <x:v>public_directory.jsonl</x:v>
      </x:c>
      <x:c r="AP1907" s="19"/>
    </x:row>
    <x:row r="1908" ht="36" customHeight="1">
      <x:c r="A1908" s="23" t="n">
        <x:v>1907</x:v>
      </x:c>
      <x:c r="B1908" s="15" t="str">
        <x:v>Perfect Alliance Capital</x:v>
      </x:c>
      <x:c r="C1908" s="15"/>
      <x:c r="D1908" s="15" t="str">
        <x:v>Property lender or directory member; operating-company capital unconfirmed</x:v>
      </x:c>
      <x:c r="E1908" s="15" t="str">
        <x:v>Property lender / private-money inquiry</x:v>
      </x:c>
      <x:c r="F1908" s="17" t="str">
        <x:v>New</x:v>
      </x:c>
      <x:c r="G1908" s="24"/>
      <x:c r="H1908" s="24" t="str">
        <x:v>+18478512223</x:v>
      </x:c>
      <x:c r="I1908" s="24" t="str">
        <x:v>http://www.perfectalliancecapital.com</x:v>
      </x:c>
      <x:c r="J1908" s="16" t="str">
        <x:v>IL</x:v>
      </x:c>
      <x:c r="K1908" s="16" t="str">
        <x:v>Hoffman Estates</x:v>
      </x:c>
      <x:c r="L1908" s="16" t="str">
        <x:v>firm_business_routing</x:v>
      </x:c>
      <x:c r="M1908" s="16" t="str">
        <x:v>http://www.perfectalliancecapital.com</x:v>
      </x:c>
      <x:c r="N1908" s="16" t="str">
        <x:v>Published source range; proposed allocation and structure require confirmation</x:v>
      </x:c>
      <x:c r="O1908" s="20"/>
      <x:c r="P1908" s="20" t="n">
        <x:v>100000000</x:v>
      </x:c>
      <x:c r="Q1908" s="25" t="str">
        <x:v>Property-loan range, not a corporate-capital commitment</x:v>
      </x:c>
      <x:c r="R1908" s="25" t="str">
        <x:v>Private real-estate finance experience. Corporate working capital, minority equity or profit participation requires a separate agreement from a property loan.</x:v>
      </x:c>
      <x:c r="S1908" s="25"/>
      <x:c r="T1908" s="25" t="str">
        <x:v>Confirm direct principal versus broker, $100K-$500K appetite, and whether capital can fund the operating company without a property mortgage.</x:v>
      </x:c>
      <x:c r="U1908" s="25" t="str">
        <x:v>https://www.hardmoneyhome.com/lenders/view/perfect-alliance-capital</x:v>
      </x:c>
      <x:c r="V1908" s="26" t="d">
        <x:v>2026-10-02T00:00:00.000Z</x:v>
      </x:c>
      <x:c r="W1908" s="26" t="d">
        <x:v>2026-09-30T00:00:00.000Z</x:v>
      </x:c>
      <x:c r="X1908" s="25" t="str">
        <x:v>Saved public company, industry-directory or regulatory source; source date retained</x:v>
      </x:c>
      <x:c r="Y1908" s="25"/>
      <x:c r="Z1908" s="25" t="str">
        <x:v>https://www.hardmoneyhome.com/lenders/view/perfect-alliance-capital</x:v>
      </x:c>
      <x:c r="AA1908" s="25" t="str">
        <x:v>[]</x:v>
      </x:c>
      <x:c r="AB1908" s="3" t="str">
        <x:v>Existing CapitalForge research, newly screened for this campaign</x:v>
      </x:c>
      <x:c r="AC1908" s="3" t="str">
        <x:v>unverified</x:v>
      </x:c>
      <x:c r="AD1908" s="3" t="str">
        <x:v>Not contacted / unconfirmed</x:v>
      </x:c>
      <x:c r="AE1908" s="3" t="str">
        <x:v>No</x:v>
      </x:c>
      <x:c r="AF1908" s="3" t="str">
        <x:v>No</x:v>
      </x:c>
      <x:c r="AG1908" s="3"/>
      <x:c r="AH1908" s="3"/>
      <x:c r="AI1908" s="18"/>
      <x:c r="AJ1908" s="3" t="str">
        <x:v>CF2500-2F9FE09DD243</x:v>
      </x:c>
      <x:c r="AK1908" s="3" t="str">
        <x:v>private_real_estate_lender</x:v>
      </x:c>
      <x:c r="AL1908" s="19" t="n">
        <x:v>100000</x:v>
      </x:c>
      <x:c r="AM1908" s="19" t="n">
        <x:v>500000</x:v>
      </x:c>
      <x:c r="AN1908" s="3" t="str">
        <x:v>https://www.hardmoneyhome.com/lenders/view/perfect-alliance-capital</x:v>
      </x:c>
      <x:c r="AO1908" s="3" t="str">
        <x:v>public_directory.jsonl</x:v>
      </x:c>
      <x:c r="AP1908" s="19"/>
    </x:row>
    <x:row r="1909" ht="36" customHeight="1">
      <x:c r="A1909" s="23" t="n">
        <x:v>1908</x:v>
      </x:c>
      <x:c r="B1909" s="15" t="str">
        <x:v>Pinnacle Mortgage</x:v>
      </x:c>
      <x:c r="C1909" s="15"/>
      <x:c r="D1909" s="15" t="str">
        <x:v>Property lender or directory member; operating-company capital unconfirmed</x:v>
      </x:c>
      <x:c r="E1909" s="15" t="str">
        <x:v>Property lender / private-money inquiry</x:v>
      </x:c>
      <x:c r="F1909" s="17" t="str">
        <x:v>New</x:v>
      </x:c>
      <x:c r="G1909" s="24"/>
      <x:c r="H1909" s="24" t="str">
        <x:v>+12012391500</x:v>
      </x:c>
      <x:c r="I1909" s="24" t="str">
        <x:v>http://www.mortgagesbypinnacle.com/</x:v>
      </x:c>
      <x:c r="J1909" s="16" t="str">
        <x:v>TX</x:v>
      </x:c>
      <x:c r="K1909" s="16" t="str">
        <x:v>Houston</x:v>
      </x:c>
      <x:c r="L1909" s="16" t="str">
        <x:v>firm_business_routing</x:v>
      </x:c>
      <x:c r="M1909" s="16" t="str">
        <x:v>http://www.mortgagesbypinnacle.com/</x:v>
      </x:c>
      <x:c r="N1909" s="16" t="str">
        <x:v>Published source range; proposed allocation and structure require confirmation</x:v>
      </x:c>
      <x:c r="O1909" s="20"/>
      <x:c r="P1909" s="20" t="n">
        <x:v>1000000</x:v>
      </x:c>
      <x:c r="Q1909" s="25" t="str">
        <x:v>Property-loan range, not a corporate-capital commitment</x:v>
      </x:c>
      <x:c r="R1909" s="25" t="str">
        <x:v>Private real-estate finance experience. Corporate working capital, minority equity or profit participation requires a separate agreement from a property loan.</x:v>
      </x:c>
      <x:c r="S1909" s="25"/>
      <x:c r="T1909" s="25" t="str">
        <x:v>Confirm direct principal versus broker, $100K-$500K appetite, and whether capital can fund the operating company without a property mortgage.</x:v>
      </x:c>
      <x:c r="U1909" s="25" t="str">
        <x:v>https://www.hardmoneyhome.com/lenders/view/pinnacle-mortgage</x:v>
      </x:c>
      <x:c r="V1909" s="26" t="d">
        <x:v>2026-10-02T00:00:00.000Z</x:v>
      </x:c>
      <x:c r="W1909" s="26" t="d">
        <x:v>2026-09-30T00:00:00.000Z</x:v>
      </x:c>
      <x:c r="X1909" s="25" t="str">
        <x:v>Saved public company, industry-directory or regulatory source; source date retained</x:v>
      </x:c>
      <x:c r="Y1909" s="25"/>
      <x:c r="Z1909" s="25" t="str">
        <x:v>https://www.hardmoneyhome.com/lenders/view/pinnacle-mortgage</x:v>
      </x:c>
      <x:c r="AA1909" s="25" t="str">
        <x:v>[]</x:v>
      </x:c>
      <x:c r="AB1909" s="3" t="str">
        <x:v>Existing CapitalForge research, newly screened for this campaign</x:v>
      </x:c>
      <x:c r="AC1909" s="3" t="str">
        <x:v>unverified</x:v>
      </x:c>
      <x:c r="AD1909" s="3" t="str">
        <x:v>Not contacted / unconfirmed</x:v>
      </x:c>
      <x:c r="AE1909" s="3" t="str">
        <x:v>No</x:v>
      </x:c>
      <x:c r="AF1909" s="3" t="str">
        <x:v>No</x:v>
      </x:c>
      <x:c r="AG1909" s="3"/>
      <x:c r="AH1909" s="3"/>
      <x:c r="AI1909" s="18"/>
      <x:c r="AJ1909" s="3" t="str">
        <x:v>CF2500-345148BD6249</x:v>
      </x:c>
      <x:c r="AK1909" s="3" t="str">
        <x:v>private_real_estate_lender</x:v>
      </x:c>
      <x:c r="AL1909" s="19" t="n">
        <x:v>100000</x:v>
      </x:c>
      <x:c r="AM1909" s="19" t="n">
        <x:v>500000</x:v>
      </x:c>
      <x:c r="AN1909" s="3" t="str">
        <x:v>https://www.hardmoneyhome.com/lenders/view/pinnacle-mortgage</x:v>
      </x:c>
      <x:c r="AO1909" s="3" t="str">
        <x:v>public_directory.jsonl</x:v>
      </x:c>
      <x:c r="AP1909" s="19"/>
    </x:row>
    <x:row r="1910" ht="36" customHeight="1">
      <x:c r="A1910" s="23" t="n">
        <x:v>1909</x:v>
      </x:c>
      <x:c r="B1910" s="15" t="str">
        <x:v>Prein Funding</x:v>
      </x:c>
      <x:c r="C1910" s="15"/>
      <x:c r="D1910" s="15" t="str">
        <x:v>Property lender or directory member; operating-company capital unconfirmed</x:v>
      </x:c>
      <x:c r="E1910" s="15" t="str">
        <x:v>Property lender / private-money inquiry</x:v>
      </x:c>
      <x:c r="F1910" s="17" t="str">
        <x:v>New</x:v>
      </x:c>
      <x:c r="G1910" s="24"/>
      <x:c r="H1910" s="24" t="str">
        <x:v>+15122700724</x:v>
      </x:c>
      <x:c r="I1910" s="24" t="str">
        <x:v>http://preinfunding.com/</x:v>
      </x:c>
      <x:c r="J1910" s="16" t="str">
        <x:v>TX</x:v>
      </x:c>
      <x:c r="K1910" s="16" t="str">
        <x:v>Austin</x:v>
      </x:c>
      <x:c r="L1910" s="16" t="str">
        <x:v>firm_business_routing</x:v>
      </x:c>
      <x:c r="M1910" s="16" t="str">
        <x:v>http://preinfunding.com/</x:v>
      </x:c>
      <x:c r="N1910" s="16" t="str">
        <x:v>Published source range; proposed allocation and structure require confirmation</x:v>
      </x:c>
      <x:c r="O1910" s="20"/>
      <x:c r="P1910" s="20" t="n">
        <x:v>1000000</x:v>
      </x:c>
      <x:c r="Q1910" s="25" t="str">
        <x:v>Property-loan range, not a corporate-capital commitment</x:v>
      </x:c>
      <x:c r="R1910" s="25" t="str">
        <x:v>Private real-estate finance experience. Corporate working capital, minority equity or profit participation requires a separate agreement from a property loan.</x:v>
      </x:c>
      <x:c r="S1910" s="25"/>
      <x:c r="T1910" s="25" t="str">
        <x:v>Confirm direct principal versus broker, $100K-$500K appetite, and whether capital can fund the operating company without a property mortgage.</x:v>
      </x:c>
      <x:c r="U1910" s="25" t="str">
        <x:v>https://www.hardmoneyhome.com/lenders/view/prein-funding</x:v>
      </x:c>
      <x:c r="V1910" s="26" t="d">
        <x:v>2026-10-02T00:00:00.000Z</x:v>
      </x:c>
      <x:c r="W1910" s="26" t="d">
        <x:v>2026-09-30T00:00:00.000Z</x:v>
      </x:c>
      <x:c r="X1910" s="25" t="str">
        <x:v>Saved public company, industry-directory or regulatory source; source date retained</x:v>
      </x:c>
      <x:c r="Y1910" s="25"/>
      <x:c r="Z1910" s="25" t="str">
        <x:v>https://www.hardmoneyhome.com/lenders/view/prein-funding</x:v>
      </x:c>
      <x:c r="AA1910" s="25" t="str">
        <x:v>[]</x:v>
      </x:c>
      <x:c r="AB1910" s="3" t="str">
        <x:v>Existing CapitalForge research, newly screened for this campaign</x:v>
      </x:c>
      <x:c r="AC1910" s="3" t="str">
        <x:v>unverified</x:v>
      </x:c>
      <x:c r="AD1910" s="3" t="str">
        <x:v>Not contacted / unconfirmed</x:v>
      </x:c>
      <x:c r="AE1910" s="3" t="str">
        <x:v>No</x:v>
      </x:c>
      <x:c r="AF1910" s="3" t="str">
        <x:v>No</x:v>
      </x:c>
      <x:c r="AG1910" s="3"/>
      <x:c r="AH1910" s="3"/>
      <x:c r="AI1910" s="18"/>
      <x:c r="AJ1910" s="3" t="str">
        <x:v>CF2500-90A076DD3E03</x:v>
      </x:c>
      <x:c r="AK1910" s="3" t="str">
        <x:v>private_real_estate_lender</x:v>
      </x:c>
      <x:c r="AL1910" s="19" t="n">
        <x:v>100000</x:v>
      </x:c>
      <x:c r="AM1910" s="19" t="n">
        <x:v>500000</x:v>
      </x:c>
      <x:c r="AN1910" s="3" t="str">
        <x:v>https://www.hardmoneyhome.com/lenders/view/prein-funding</x:v>
      </x:c>
      <x:c r="AO1910" s="3" t="str">
        <x:v>public_directory.jsonl</x:v>
      </x:c>
      <x:c r="AP1910" s="19"/>
    </x:row>
    <x:row r="1911" ht="36" customHeight="1">
      <x:c r="A1911" s="23" t="n">
        <x:v>1910</x:v>
      </x:c>
      <x:c r="B1911" s="15" t="str">
        <x:v>Private Lending Group</x:v>
      </x:c>
      <x:c r="C1911" s="15"/>
      <x:c r="D1911" s="15" t="str">
        <x:v>Property lender or directory member; operating-company capital unconfirmed</x:v>
      </x:c>
      <x:c r="E1911" s="15" t="str">
        <x:v>Property lender / private-money inquiry</x:v>
      </x:c>
      <x:c r="F1911" s="17" t="str">
        <x:v>New</x:v>
      </x:c>
      <x:c r="G1911" s="24"/>
      <x:c r="H1911" s="24" t="str">
        <x:v>+18004039491</x:v>
      </x:c>
      <x:c r="I1911" s="24" t="str">
        <x:v>https://www.privatelendinggroups.com/</x:v>
      </x:c>
      <x:c r="J1911" s="16" t="str">
        <x:v>IL</x:v>
      </x:c>
      <x:c r="K1911" s="16" t="str">
        <x:v>Oakbrook Terrace</x:v>
      </x:c>
      <x:c r="L1911" s="16" t="str">
        <x:v>firm_business_routing</x:v>
      </x:c>
      <x:c r="M1911" s="16" t="str">
        <x:v>https://www.privatelendinggroups.com/</x:v>
      </x:c>
      <x:c r="N1911" s="16" t="str">
        <x:v>Published source range; proposed allocation and structure require confirmation</x:v>
      </x:c>
      <x:c r="O1911" s="20"/>
      <x:c r="P1911" s="20" t="n">
        <x:v>3000000</x:v>
      </x:c>
      <x:c r="Q1911" s="25" t="str">
        <x:v>Property-loan range, not a corporate-capital commitment</x:v>
      </x:c>
      <x:c r="R1911" s="25" t="str">
        <x:v>Private real-estate finance experience. Corporate working capital, minority equity or profit participation requires a separate agreement from a property loan.</x:v>
      </x:c>
      <x:c r="S1911" s="25"/>
      <x:c r="T1911" s="25" t="str">
        <x:v>Confirm direct principal versus broker, $100K-$500K appetite, and whether capital can fund the operating company without a property mortgage.</x:v>
      </x:c>
      <x:c r="U1911" s="25" t="str">
        <x:v>https://www.hardmoneyhome.com/lenders/view/private-lending-group</x:v>
      </x:c>
      <x:c r="V1911" s="26" t="d">
        <x:v>2026-10-02T00:00:00.000Z</x:v>
      </x:c>
      <x:c r="W1911" s="26" t="d">
        <x:v>2026-09-30T00:00:00.000Z</x:v>
      </x:c>
      <x:c r="X1911" s="25" t="str">
        <x:v>Saved public company, industry-directory or regulatory source; source date retained</x:v>
      </x:c>
      <x:c r="Y1911" s="25"/>
      <x:c r="Z1911" s="25" t="str">
        <x:v>https://www.hardmoneyhome.com/lenders/view/private-lending-group</x:v>
      </x:c>
      <x:c r="AA1911" s="25" t="str">
        <x:v>[]</x:v>
      </x:c>
      <x:c r="AB1911" s="3" t="str">
        <x:v>Existing CapitalForge research, newly screened for this campaign</x:v>
      </x:c>
      <x:c r="AC1911" s="3" t="str">
        <x:v>unverified</x:v>
      </x:c>
      <x:c r="AD1911" s="3" t="str">
        <x:v>Not contacted / unconfirmed</x:v>
      </x:c>
      <x:c r="AE1911" s="3" t="str">
        <x:v>No</x:v>
      </x:c>
      <x:c r="AF1911" s="3" t="str">
        <x:v>No</x:v>
      </x:c>
      <x:c r="AG1911" s="3"/>
      <x:c r="AH1911" s="3"/>
      <x:c r="AI1911" s="18"/>
      <x:c r="AJ1911" s="3" t="str">
        <x:v>CF2500-811BD51FD56D</x:v>
      </x:c>
      <x:c r="AK1911" s="3" t="str">
        <x:v>private_real_estate_lender</x:v>
      </x:c>
      <x:c r="AL1911" s="19" t="n">
        <x:v>100000</x:v>
      </x:c>
      <x:c r="AM1911" s="19" t="n">
        <x:v>500000</x:v>
      </x:c>
      <x:c r="AN1911" s="3" t="str">
        <x:v>https://www.hardmoneyhome.com/lenders/view/private-lending-group</x:v>
      </x:c>
      <x:c r="AO1911" s="3" t="str">
        <x:v>public_directory.jsonl</x:v>
      </x:c>
      <x:c r="AP1911" s="19"/>
    </x:row>
    <x:row r="1912" ht="36" customHeight="1">
      <x:c r="A1912" s="23" t="n">
        <x:v>1911</x:v>
      </x:c>
      <x:c r="B1912" s="15" t="str">
        <x:v>Rapid Commercial Loans</x:v>
      </x:c>
      <x:c r="C1912" s="15"/>
      <x:c r="D1912" s="15" t="str">
        <x:v>Property lender or directory member; operating-company capital unconfirmed</x:v>
      </x:c>
      <x:c r="E1912" s="15" t="str">
        <x:v>Property lender / private-money inquiry</x:v>
      </x:c>
      <x:c r="F1912" s="17" t="str">
        <x:v>New</x:v>
      </x:c>
      <x:c r="G1912" s="24"/>
      <x:c r="H1912" s="24" t="str">
        <x:v>+14694264055</x:v>
      </x:c>
      <x:c r="I1912" s="24" t="str">
        <x:v>https://www.rapidcommercialloans.com/</x:v>
      </x:c>
      <x:c r="J1912" s="16" t="str">
        <x:v>TX</x:v>
      </x:c>
      <x:c r="K1912" s="16" t="str">
        <x:v>Frisco</x:v>
      </x:c>
      <x:c r="L1912" s="16" t="str">
        <x:v>firm_business_routing</x:v>
      </x:c>
      <x:c r="M1912" s="16" t="str">
        <x:v>https://www.rapidcommercialloans.com/</x:v>
      </x:c>
      <x:c r="N1912" s="16" t="str">
        <x:v>Published source range; proposed allocation and structure require confirmation</x:v>
      </x:c>
      <x:c r="O1912" s="20"/>
      <x:c r="P1912" s="20" t="n">
        <x:v>100000000</x:v>
      </x:c>
      <x:c r="Q1912" s="25" t="str">
        <x:v>Property-loan range, not a corporate-capital commitment</x:v>
      </x:c>
      <x:c r="R1912" s="25" t="str">
        <x:v>Private real-estate finance experience. Corporate working capital, minority equity or profit participation requires a separate agreement from a property loan.</x:v>
      </x:c>
      <x:c r="S1912" s="25"/>
      <x:c r="T1912" s="25" t="str">
        <x:v>Confirm direct principal versus broker, $100K-$500K appetite, and whether capital can fund the operating company without a property mortgage.</x:v>
      </x:c>
      <x:c r="U1912" s="25" t="str">
        <x:v>https://www.hardmoneyhome.com/lenders/view/rapid-commercial-loans</x:v>
      </x:c>
      <x:c r="V1912" s="26" t="d">
        <x:v>2026-10-02T00:00:00.000Z</x:v>
      </x:c>
      <x:c r="W1912" s="26" t="d">
        <x:v>2026-09-30T00:00:00.000Z</x:v>
      </x:c>
      <x:c r="X1912" s="25" t="str">
        <x:v>Saved public company, industry-directory or regulatory source; source date retained</x:v>
      </x:c>
      <x:c r="Y1912" s="25"/>
      <x:c r="Z1912" s="25" t="str">
        <x:v>https://www.hardmoneyhome.com/lenders/view/rapid-commercial-loans</x:v>
      </x:c>
      <x:c r="AA1912" s="25" t="str">
        <x:v>[]</x:v>
      </x:c>
      <x:c r="AB1912" s="3" t="str">
        <x:v>Existing CapitalForge research, newly screened for this campaign</x:v>
      </x:c>
      <x:c r="AC1912" s="3" t="str">
        <x:v>unverified</x:v>
      </x:c>
      <x:c r="AD1912" s="3" t="str">
        <x:v>Not contacted / unconfirmed</x:v>
      </x:c>
      <x:c r="AE1912" s="3" t="str">
        <x:v>No</x:v>
      </x:c>
      <x:c r="AF1912" s="3" t="str">
        <x:v>No</x:v>
      </x:c>
      <x:c r="AG1912" s="3"/>
      <x:c r="AH1912" s="3"/>
      <x:c r="AI1912" s="18"/>
      <x:c r="AJ1912" s="3" t="str">
        <x:v>CF2500-D6E2B4A57605</x:v>
      </x:c>
      <x:c r="AK1912" s="3" t="str">
        <x:v>private_real_estate_lender</x:v>
      </x:c>
      <x:c r="AL1912" s="19" t="n">
        <x:v>100000</x:v>
      </x:c>
      <x:c r="AM1912" s="19" t="n">
        <x:v>500000</x:v>
      </x:c>
      <x:c r="AN1912" s="3" t="str">
        <x:v>https://www.hardmoneyhome.com/lenders/view/rapid-commercial-loans</x:v>
      </x:c>
      <x:c r="AO1912" s="3" t="str">
        <x:v>public_directory.jsonl</x:v>
      </x:c>
      <x:c r="AP1912" s="19"/>
    </x:row>
    <x:row r="1913" ht="36" customHeight="1">
      <x:c r="A1913" s="23" t="n">
        <x:v>1912</x:v>
      </x:c>
      <x:c r="B1913" s="15" t="str">
        <x:v>Relative Lending</x:v>
      </x:c>
      <x:c r="C1913" s="15"/>
      <x:c r="D1913" s="15" t="str">
        <x:v>Property lender or directory member; operating-company capital unconfirmed</x:v>
      </x:c>
      <x:c r="E1913" s="15" t="str">
        <x:v>Property lender / private-money inquiry</x:v>
      </x:c>
      <x:c r="F1913" s="17" t="str">
        <x:v>New</x:v>
      </x:c>
      <x:c r="G1913" s="24"/>
      <x:c r="H1913" s="24" t="str">
        <x:v>+17136629000</x:v>
      </x:c>
      <x:c r="I1913" s="24" t="str">
        <x:v>http://www.relativelending.com/</x:v>
      </x:c>
      <x:c r="J1913" s="16" t="str">
        <x:v>TX</x:v>
      </x:c>
      <x:c r="K1913" s="16" t="str">
        <x:v>Houston</x:v>
      </x:c>
      <x:c r="L1913" s="16" t="str">
        <x:v>firm_business_routing</x:v>
      </x:c>
      <x:c r="M1913" s="16" t="str">
        <x:v>http://www.relativelending.com/</x:v>
      </x:c>
      <x:c r="N1913" s="16" t="str">
        <x:v>Published source range; proposed allocation and structure require confirmation</x:v>
      </x:c>
      <x:c r="O1913" s="20"/>
      <x:c r="P1913" s="20" t="n">
        <x:v>2000000</x:v>
      </x:c>
      <x:c r="Q1913" s="25" t="str">
        <x:v>Property-loan range, not a corporate-capital commitment</x:v>
      </x:c>
      <x:c r="R1913" s="25" t="str">
        <x:v>Private real-estate finance experience. Corporate working capital, minority equity or profit participation requires a separate agreement from a property loan.</x:v>
      </x:c>
      <x:c r="S1913" s="25"/>
      <x:c r="T1913" s="25" t="str">
        <x:v>Confirm direct principal versus broker, $100K-$500K appetite, and whether capital can fund the operating company without a property mortgage.</x:v>
      </x:c>
      <x:c r="U1913" s="25" t="str">
        <x:v>https://www.hardmoneyhome.com/lenders/view/relative-lending</x:v>
      </x:c>
      <x:c r="V1913" s="26" t="d">
        <x:v>2026-10-02T00:00:00.000Z</x:v>
      </x:c>
      <x:c r="W1913" s="26" t="d">
        <x:v>2026-09-30T00:00:00.000Z</x:v>
      </x:c>
      <x:c r="X1913" s="25" t="str">
        <x:v>Saved public company, industry-directory or regulatory source; source date retained</x:v>
      </x:c>
      <x:c r="Y1913" s="25"/>
      <x:c r="Z1913" s="25" t="str">
        <x:v>https://www.hardmoneyhome.com/lenders/view/relative-lending</x:v>
      </x:c>
      <x:c r="AA1913" s="25" t="str">
        <x:v>[]</x:v>
      </x:c>
      <x:c r="AB1913" s="3" t="str">
        <x:v>Existing CapitalForge research, newly screened for this campaign</x:v>
      </x:c>
      <x:c r="AC1913" s="3" t="str">
        <x:v>unverified</x:v>
      </x:c>
      <x:c r="AD1913" s="3" t="str">
        <x:v>Not contacted / unconfirmed</x:v>
      </x:c>
      <x:c r="AE1913" s="3" t="str">
        <x:v>No</x:v>
      </x:c>
      <x:c r="AF1913" s="3" t="str">
        <x:v>No</x:v>
      </x:c>
      <x:c r="AG1913" s="3"/>
      <x:c r="AH1913" s="3"/>
      <x:c r="AI1913" s="18"/>
      <x:c r="AJ1913" s="3" t="str">
        <x:v>CF2500-006E0F484CB2</x:v>
      </x:c>
      <x:c r="AK1913" s="3" t="str">
        <x:v>private_real_estate_lender</x:v>
      </x:c>
      <x:c r="AL1913" s="19" t="n">
        <x:v>100000</x:v>
      </x:c>
      <x:c r="AM1913" s="19" t="n">
        <x:v>500000</x:v>
      </x:c>
      <x:c r="AN1913" s="3" t="str">
        <x:v>https://www.hardmoneyhome.com/lenders/view/relative-lending</x:v>
      </x:c>
      <x:c r="AO1913" s="3" t="str">
        <x:v>public_directory.jsonl</x:v>
      </x:c>
      <x:c r="AP1913" s="19"/>
    </x:row>
    <x:row r="1914" ht="36" customHeight="1">
      <x:c r="A1914" s="23" t="n">
        <x:v>1913</x:v>
      </x:c>
      <x:c r="B1914" s="15" t="str">
        <x:v>Residential Capital Partners</x:v>
      </x:c>
      <x:c r="C1914" s="15"/>
      <x:c r="D1914" s="15" t="str">
        <x:v>Property lender or directory member; operating-company capital unconfirmed</x:v>
      </x:c>
      <x:c r="E1914" s="15" t="str">
        <x:v>Property lender / private-money inquiry</x:v>
      </x:c>
      <x:c r="F1914" s="17" t="str">
        <x:v>New</x:v>
      </x:c>
      <x:c r="G1914" s="24"/>
      <x:c r="H1914" s="24" t="str">
        <x:v>+18664410223</x:v>
      </x:c>
      <x:c r="I1914" s="24" t="str">
        <x:v>https://residentialcapitalpartners.com/</x:v>
      </x:c>
      <x:c r="J1914" s="16" t="str">
        <x:v>TX</x:v>
      </x:c>
      <x:c r="K1914" s="16" t="str">
        <x:v>Dallas</x:v>
      </x:c>
      <x:c r="L1914" s="16" t="str">
        <x:v>firm_business_routing</x:v>
      </x:c>
      <x:c r="M1914" s="16" t="str">
        <x:v>https://residentialcapitalpartners.com/</x:v>
      </x:c>
      <x:c r="N1914" s="16" t="str">
        <x:v>Published source range; proposed allocation and structure require confirmation</x:v>
      </x:c>
      <x:c r="O1914" s="20"/>
      <x:c r="P1914" s="20" t="n">
        <x:v>1500000</x:v>
      </x:c>
      <x:c r="Q1914" s="25" t="str">
        <x:v>Property-loan range, not a corporate-capital commitment</x:v>
      </x:c>
      <x:c r="R1914" s="25" t="str">
        <x:v>Private real-estate finance experience. Corporate working capital, minority equity or profit participation requires a separate agreement from a property loan.</x:v>
      </x:c>
      <x:c r="S1914" s="25"/>
      <x:c r="T1914" s="25" t="str">
        <x:v>Confirm direct principal versus broker, $100K-$500K appetite, and whether capital can fund the operating company without a property mortgage.</x:v>
      </x:c>
      <x:c r="U1914" s="25" t="str">
        <x:v>https://www.hardmoneyhome.com/lenders/view/residential-capital-partners
https://nplaconference.com/private-lending-directory/page/14/
https://www.residentialcapitalpartners.com/contact/</x:v>
      </x:c>
      <x:c r="V1914" s="26" t="d">
        <x:v>2026-10-02T00:00:00.000Z</x:v>
      </x:c>
      <x:c r="W1914" s="26" t="d">
        <x:v>2026-09-30T00:00:00.000Z</x:v>
      </x:c>
      <x:c r="X1914" s="25" t="str">
        <x:v>Saved public company, industry-directory or regulatory source; source date retained</x:v>
      </x:c>
      <x:c r="Y1914" s="25"/>
      <x:c r="Z1914" s="25" t="str">
        <x:v>https://www.hardmoneyhome.com/lenders/view/residential-capital-partners</x:v>
      </x:c>
      <x:c r="AA1914" s="25" t="str">
        <x:v>[]</x:v>
      </x:c>
      <x:c r="AB1914" s="3" t="str">
        <x:v>Existing CapitalForge research, newly screened for this campaign</x:v>
      </x:c>
      <x:c r="AC1914" s="3" t="str">
        <x:v>unverified</x:v>
      </x:c>
      <x:c r="AD1914" s="3" t="str">
        <x:v>Not contacted / unconfirmed</x:v>
      </x:c>
      <x:c r="AE1914" s="3" t="str">
        <x:v>No</x:v>
      </x:c>
      <x:c r="AF1914" s="3" t="str">
        <x:v>No</x:v>
      </x:c>
      <x:c r="AG1914" s="3"/>
      <x:c r="AH1914" s="3"/>
      <x:c r="AI1914" s="18"/>
      <x:c r="AJ1914" s="3" t="str">
        <x:v>CF2500-E8F0985E24D2</x:v>
      </x:c>
      <x:c r="AK1914" s="3" t="str">
        <x:v>private_real_estate_lender</x:v>
      </x:c>
      <x:c r="AL1914" s="19" t="n">
        <x:v>100000</x:v>
      </x:c>
      <x:c r="AM1914" s="19" t="n">
        <x:v>500000</x:v>
      </x:c>
      <x:c r="AN1914" s="3" t="str">
        <x:v>https://www.hardmoneyhome.com/lenders/view/residential-capital-partners</x:v>
      </x:c>
      <x:c r="AO1914" s="3" t="str">
        <x:v>public_directory.jsonl</x:v>
      </x:c>
      <x:c r="AP1914" s="19"/>
    </x:row>
    <x:row r="1915" ht="36" customHeight="1">
      <x:c r="A1915" s="23" t="n">
        <x:v>1914</x:v>
      </x:c>
      <x:c r="B1915" s="15" t="str">
        <x:v>Seattle Funding Group</x:v>
      </x:c>
      <x:c r="C1915" s="15"/>
      <x:c r="D1915" s="15" t="str">
        <x:v>Property lender or directory member; operating-company capital unconfirmed</x:v>
      </x:c>
      <x:c r="E1915" s="15" t="str">
        <x:v>Property lender / private-money inquiry</x:v>
      </x:c>
      <x:c r="F1915" s="17" t="str">
        <x:v>New</x:v>
      </x:c>
      <x:c r="G1915" s="24"/>
      <x:c r="H1915" s="24" t="str">
        <x:v>+14804503980</x:v>
      </x:c>
      <x:c r="I1915" s="24" t="str">
        <x:v>https://www.seattlefundinggroup.com</x:v>
      </x:c>
      <x:c r="J1915" s="16" t="str">
        <x:v>AZ</x:v>
      </x:c>
      <x:c r="K1915" s="16" t="str">
        <x:v>Scottsdale</x:v>
      </x:c>
      <x:c r="L1915" s="16" t="str">
        <x:v>firm_business_routing</x:v>
      </x:c>
      <x:c r="M1915" s="16" t="str">
        <x:v>https://www.seattlefundinggroup.com</x:v>
      </x:c>
      <x:c r="N1915" s="16" t="str">
        <x:v>Published source range; proposed allocation and structure require confirmation</x:v>
      </x:c>
      <x:c r="O1915" s="20"/>
      <x:c r="P1915" s="20" t="n">
        <x:v>12000000</x:v>
      </x:c>
      <x:c r="Q1915" s="25" t="str">
        <x:v>Property-loan range, not a corporate-capital commitment</x:v>
      </x:c>
      <x:c r="R1915" s="25" t="str">
        <x:v>Private real-estate finance experience. Corporate working capital, minority equity or profit participation requires a separate agreement from a property loan.</x:v>
      </x:c>
      <x:c r="S1915" s="25"/>
      <x:c r="T1915" s="25" t="str">
        <x:v>Confirm direct principal versus broker, $100K-$500K appetite, and whether capital can fund the operating company without a property mortgage.</x:v>
      </x:c>
      <x:c r="U1915" s="25" t="str">
        <x:v>https://www.hardmoneyhome.com/lenders/view/seattle-funding-group</x:v>
      </x:c>
      <x:c r="V1915" s="26" t="d">
        <x:v>2026-10-02T00:00:00.000Z</x:v>
      </x:c>
      <x:c r="W1915" s="26" t="d">
        <x:v>2026-09-30T00:00:00.000Z</x:v>
      </x:c>
      <x:c r="X1915" s="25" t="str">
        <x:v>Saved public company, industry-directory or regulatory source; source date retained</x:v>
      </x:c>
      <x:c r="Y1915" s="25"/>
      <x:c r="Z1915" s="25" t="str">
        <x:v>https://www.hardmoneyhome.com/lenders/view/seattle-funding-group</x:v>
      </x:c>
      <x:c r="AA1915" s="25" t="str">
        <x:v>[]</x:v>
      </x:c>
      <x:c r="AB1915" s="3" t="str">
        <x:v>Existing CapitalForge research, newly screened for this campaign</x:v>
      </x:c>
      <x:c r="AC1915" s="3" t="str">
        <x:v>unverified</x:v>
      </x:c>
      <x:c r="AD1915" s="3" t="str">
        <x:v>Not contacted / unconfirmed</x:v>
      </x:c>
      <x:c r="AE1915" s="3" t="str">
        <x:v>No</x:v>
      </x:c>
      <x:c r="AF1915" s="3" t="str">
        <x:v>No</x:v>
      </x:c>
      <x:c r="AG1915" s="3"/>
      <x:c r="AH1915" s="3"/>
      <x:c r="AI1915" s="18"/>
      <x:c r="AJ1915" s="3" t="str">
        <x:v>CF2500-038ADA1E218F</x:v>
      </x:c>
      <x:c r="AK1915" s="3" t="str">
        <x:v>private_real_estate_lender</x:v>
      </x:c>
      <x:c r="AL1915" s="19" t="n">
        <x:v>100000</x:v>
      </x:c>
      <x:c r="AM1915" s="19" t="n">
        <x:v>500000</x:v>
      </x:c>
      <x:c r="AN1915" s="3" t="str">
        <x:v>https://www.hardmoneyhome.com/lenders/view/seattle-funding-group</x:v>
      </x:c>
      <x:c r="AO1915" s="3" t="str">
        <x:v>public_directory.jsonl</x:v>
      </x:c>
      <x:c r="AP1915" s="19"/>
    </x:row>
    <x:row r="1916" ht="36" customHeight="1">
      <x:c r="A1916" s="23" t="n">
        <x:v>1915</x:v>
      </x:c>
      <x:c r="B1916" s="15" t="str">
        <x:v>SIC Funds</x:v>
      </x:c>
      <x:c r="C1916" s="15"/>
      <x:c r="D1916" s="15" t="str">
        <x:v>Property lender or directory member; operating-company capital unconfirmed</x:v>
      </x:c>
      <x:c r="E1916" s="15" t="str">
        <x:v>Property lender / private-money inquiry</x:v>
      </x:c>
      <x:c r="F1916" s="17" t="str">
        <x:v>New</x:v>
      </x:c>
      <x:c r="G1916" s="24"/>
      <x:c r="H1916" s="24" t="str">
        <x:v>+18006361054</x:v>
      </x:c>
      <x:c r="I1916" s="24" t="str">
        <x:v>https://www.sicfunds.com/</x:v>
      </x:c>
      <x:c r="J1916" s="16" t="str">
        <x:v>IL</x:v>
      </x:c>
      <x:c r="K1916" s="16" t="str">
        <x:v>Elhurst</x:v>
      </x:c>
      <x:c r="L1916" s="16" t="str">
        <x:v>firm_business_routing</x:v>
      </x:c>
      <x:c r="M1916" s="16" t="str">
        <x:v>https://www.sicfunds.com/</x:v>
      </x:c>
      <x:c r="N1916" s="16" t="str">
        <x:v>Published source range; proposed allocation and structure require confirmation</x:v>
      </x:c>
      <x:c r="O1916" s="20"/>
      <x:c r="P1916" s="20" t="n">
        <x:v>6000000</x:v>
      </x:c>
      <x:c r="Q1916" s="25" t="str">
        <x:v>Property-loan range, not a corporate-capital commitment</x:v>
      </x:c>
      <x:c r="R1916" s="25" t="str">
        <x:v>Private real-estate finance experience. Corporate working capital, minority equity or profit participation requires a separate agreement from a property loan.</x:v>
      </x:c>
      <x:c r="S1916" s="25"/>
      <x:c r="T1916" s="25" t="str">
        <x:v>Confirm direct principal versus broker, $100K-$500K appetite, and whether capital can fund the operating company without a property mortgage.</x:v>
      </x:c>
      <x:c r="U1916" s="25" t="str">
        <x:v>https://www.hardmoneyhome.com/lenders/view/sic-funds</x:v>
      </x:c>
      <x:c r="V1916" s="26" t="d">
        <x:v>2026-10-02T00:00:00.000Z</x:v>
      </x:c>
      <x:c r="W1916" s="26" t="d">
        <x:v>2026-09-30T00:00:00.000Z</x:v>
      </x:c>
      <x:c r="X1916" s="25" t="str">
        <x:v>Saved public company, industry-directory or regulatory source; source date retained</x:v>
      </x:c>
      <x:c r="Y1916" s="25"/>
      <x:c r="Z1916" s="25" t="str">
        <x:v>https://www.hardmoneyhome.com/lenders/view/sic-funds</x:v>
      </x:c>
      <x:c r="AA1916" s="25" t="str">
        <x:v>[]</x:v>
      </x:c>
      <x:c r="AB1916" s="3" t="str">
        <x:v>Existing CapitalForge research, newly screened for this campaign</x:v>
      </x:c>
      <x:c r="AC1916" s="3" t="str">
        <x:v>unverified</x:v>
      </x:c>
      <x:c r="AD1916" s="3" t="str">
        <x:v>Not contacted / unconfirmed</x:v>
      </x:c>
      <x:c r="AE1916" s="3" t="str">
        <x:v>No</x:v>
      </x:c>
      <x:c r="AF1916" s="3" t="str">
        <x:v>No</x:v>
      </x:c>
      <x:c r="AG1916" s="3"/>
      <x:c r="AH1916" s="3"/>
      <x:c r="AI1916" s="18"/>
      <x:c r="AJ1916" s="3" t="str">
        <x:v>CF2500-5263F2EDA388</x:v>
      </x:c>
      <x:c r="AK1916" s="3" t="str">
        <x:v>private_real_estate_lender</x:v>
      </x:c>
      <x:c r="AL1916" s="19" t="n">
        <x:v>100000</x:v>
      </x:c>
      <x:c r="AM1916" s="19" t="n">
        <x:v>500000</x:v>
      </x:c>
      <x:c r="AN1916" s="3" t="str">
        <x:v>https://www.hardmoneyhome.com/lenders/view/sic-funds</x:v>
      </x:c>
      <x:c r="AO1916" s="3" t="str">
        <x:v>public_directory.jsonl</x:v>
      </x:c>
      <x:c r="AP1916" s="19"/>
    </x:row>
    <x:row r="1917" ht="36" customHeight="1">
      <x:c r="A1917" s="23" t="n">
        <x:v>1916</x:v>
      </x:c>
      <x:c r="B1917" s="15" t="str">
        <x:v>Silver Hill Funding</x:v>
      </x:c>
      <x:c r="C1917" s="15"/>
      <x:c r="D1917" s="15" t="str">
        <x:v>Property lender or directory member; operating-company capital unconfirmed</x:v>
      </x:c>
      <x:c r="E1917" s="15" t="str">
        <x:v>Property lender / private-money inquiry</x:v>
      </x:c>
      <x:c r="F1917" s="17" t="str">
        <x:v>New</x:v>
      </x:c>
      <x:c r="G1917" s="24"/>
      <x:c r="H1917" s="24" t="str">
        <x:v>+18446411035</x:v>
      </x:c>
      <x:c r="I1917" s="24" t="str">
        <x:v>http://silverhillfunding.com</x:v>
      </x:c>
      <x:c r="J1917" s="16" t="str">
        <x:v>FL</x:v>
      </x:c>
      <x:c r="K1917" s="16" t="str">
        <x:v>Coral Gables</x:v>
      </x:c>
      <x:c r="L1917" s="16" t="str">
        <x:v>firm_business_routing</x:v>
      </x:c>
      <x:c r="M1917" s="16" t="str">
        <x:v>http://silverhillfunding.com</x:v>
      </x:c>
      <x:c r="N1917" s="16" t="str">
        <x:v>Published source range; proposed allocation and structure require confirmation</x:v>
      </x:c>
      <x:c r="O1917" s="20"/>
      <x:c r="P1917" s="20" t="n">
        <x:v>2000000</x:v>
      </x:c>
      <x:c r="Q1917" s="25" t="str">
        <x:v>Property-loan range, not a corporate-capital commitment</x:v>
      </x:c>
      <x:c r="R1917" s="25" t="str">
        <x:v>Private real-estate finance experience. Corporate working capital, minority equity or profit participation requires a separate agreement from a property loan.</x:v>
      </x:c>
      <x:c r="S1917" s="25"/>
      <x:c r="T1917" s="25" t="str">
        <x:v>Confirm direct principal versus broker, $100K-$500K appetite, and whether capital can fund the operating company without a property mortgage.</x:v>
      </x:c>
      <x:c r="U1917" s="25" t="str">
        <x:v>https://www.hardmoneyhome.com/lenders/view/silver-hill-funding</x:v>
      </x:c>
      <x:c r="V1917" s="26" t="d">
        <x:v>2026-10-02T00:00:00.000Z</x:v>
      </x:c>
      <x:c r="W1917" s="26" t="d">
        <x:v>2026-09-30T00:00:00.000Z</x:v>
      </x:c>
      <x:c r="X1917" s="25" t="str">
        <x:v>Saved public company, industry-directory or regulatory source; source date retained</x:v>
      </x:c>
      <x:c r="Y1917" s="25"/>
      <x:c r="Z1917" s="25" t="str">
        <x:v>https://www.hardmoneyhome.com/lenders/view/silver-hill-funding</x:v>
      </x:c>
      <x:c r="AA1917" s="25" t="str">
        <x:v>[]</x:v>
      </x:c>
      <x:c r="AB1917" s="3" t="str">
        <x:v>Existing CapitalForge research, newly screened for this campaign</x:v>
      </x:c>
      <x:c r="AC1917" s="3" t="str">
        <x:v>unverified</x:v>
      </x:c>
      <x:c r="AD1917" s="3" t="str">
        <x:v>Not contacted / unconfirmed</x:v>
      </x:c>
      <x:c r="AE1917" s="3" t="str">
        <x:v>No</x:v>
      </x:c>
      <x:c r="AF1917" s="3" t="str">
        <x:v>No</x:v>
      </x:c>
      <x:c r="AG1917" s="3"/>
      <x:c r="AH1917" s="3"/>
      <x:c r="AI1917" s="18"/>
      <x:c r="AJ1917" s="3" t="str">
        <x:v>CF2500-5A5B5EAE550B</x:v>
      </x:c>
      <x:c r="AK1917" s="3" t="str">
        <x:v>private_real_estate_lender</x:v>
      </x:c>
      <x:c r="AL1917" s="19" t="n">
        <x:v>100000</x:v>
      </x:c>
      <x:c r="AM1917" s="19" t="n">
        <x:v>500000</x:v>
      </x:c>
      <x:c r="AN1917" s="3" t="str">
        <x:v>https://www.hardmoneyhome.com/lenders/view/silver-hill-funding</x:v>
      </x:c>
      <x:c r="AO1917" s="3" t="str">
        <x:v>public_directory.jsonl</x:v>
      </x:c>
      <x:c r="AP1917" s="19"/>
    </x:row>
    <x:row r="1918" ht="36" customHeight="1">
      <x:c r="A1918" s="23" t="n">
        <x:v>1917</x:v>
      </x:c>
      <x:c r="B1918" s="15" t="str">
        <x:v>Stage Point Capital LLC</x:v>
      </x:c>
      <x:c r="C1918" s="15"/>
      <x:c r="D1918" s="15" t="str">
        <x:v>Property lender or directory member; operating-company capital unconfirmed</x:v>
      </x:c>
      <x:c r="E1918" s="15" t="str">
        <x:v>Property lender / private-money inquiry</x:v>
      </x:c>
      <x:c r="F1918" s="17" t="str">
        <x:v>New</x:v>
      </x:c>
      <x:c r="G1918" s="24"/>
      <x:c r="H1918" s="24" t="str">
        <x:v>+19177101047</x:v>
      </x:c>
      <x:c r="I1918" s="24" t="str">
        <x:v>http://stagepointcapital.com</x:v>
      </x:c>
      <x:c r="J1918" s="16" t="str">
        <x:v>FL</x:v>
      </x:c>
      <x:c r="K1918" s="16" t="str">
        <x:v>Naples</x:v>
      </x:c>
      <x:c r="L1918" s="16" t="str">
        <x:v>firm_business_routing</x:v>
      </x:c>
      <x:c r="M1918" s="16" t="str">
        <x:v>http://stagepointcapital.com</x:v>
      </x:c>
      <x:c r="N1918" s="16" t="str">
        <x:v>Published source range; proposed allocation and structure require confirmation</x:v>
      </x:c>
      <x:c r="O1918" s="20"/>
      <x:c r="P1918" s="20" t="n">
        <x:v>400000</x:v>
      </x:c>
      <x:c r="Q1918" s="25" t="str">
        <x:v>Property-loan range, not a corporate-capital commitment</x:v>
      </x:c>
      <x:c r="R1918" s="25" t="str">
        <x:v>Private real-estate finance experience. Corporate working capital, minority equity or profit participation requires a separate agreement from a property loan.</x:v>
      </x:c>
      <x:c r="S1918" s="25"/>
      <x:c r="T1918" s="25" t="str">
        <x:v>Confirm direct principal versus broker, $100K-$500K appetite, and whether capital can fund the operating company without a property mortgage.</x:v>
      </x:c>
      <x:c r="U1918" s="25" t="str">
        <x:v>https://www.hardmoneyhome.com/lenders/view/stage-point-capital-llc</x:v>
      </x:c>
      <x:c r="V1918" s="26" t="d">
        <x:v>2026-10-02T00:00:00.000Z</x:v>
      </x:c>
      <x:c r="W1918" s="26" t="d">
        <x:v>2026-09-30T00:00:00.000Z</x:v>
      </x:c>
      <x:c r="X1918" s="25" t="str">
        <x:v>Saved public company, industry-directory or regulatory source; source date retained</x:v>
      </x:c>
      <x:c r="Y1918" s="25"/>
      <x:c r="Z1918" s="25" t="str">
        <x:v>https://www.hardmoneyhome.com/lenders/view/stage-point-capital-llc</x:v>
      </x:c>
      <x:c r="AA1918" s="25" t="str">
        <x:v>[]</x:v>
      </x:c>
      <x:c r="AB1918" s="3" t="str">
        <x:v>Existing CapitalForge research, newly screened for this campaign</x:v>
      </x:c>
      <x:c r="AC1918" s="3" t="str">
        <x:v>unverified</x:v>
      </x:c>
      <x:c r="AD1918" s="3" t="str">
        <x:v>Not contacted / unconfirmed</x:v>
      </x:c>
      <x:c r="AE1918" s="3" t="str">
        <x:v>No</x:v>
      </x:c>
      <x:c r="AF1918" s="3" t="str">
        <x:v>No</x:v>
      </x:c>
      <x:c r="AG1918" s="3"/>
      <x:c r="AH1918" s="3"/>
      <x:c r="AI1918" s="18"/>
      <x:c r="AJ1918" s="3" t="str">
        <x:v>CF2500-D812360EE550</x:v>
      </x:c>
      <x:c r="AK1918" s="3" t="str">
        <x:v>private_real_estate_lender</x:v>
      </x:c>
      <x:c r="AL1918" s="19" t="n">
        <x:v>100000</x:v>
      </x:c>
      <x:c r="AM1918" s="19" t="n">
        <x:v>500000</x:v>
      </x:c>
      <x:c r="AN1918" s="3" t="str">
        <x:v>https://www.hardmoneyhome.com/lenders/view/stage-point-capital-llc</x:v>
      </x:c>
      <x:c r="AO1918" s="3" t="str">
        <x:v>public_directory.jsonl</x:v>
      </x:c>
      <x:c r="AP1918" s="19"/>
    </x:row>
    <x:row r="1919" ht="36" customHeight="1">
      <x:c r="A1919" s="23" t="n">
        <x:v>1918</x:v>
      </x:c>
      <x:c r="B1919" s="15" t="str">
        <x:v>Texas Mortgage Capital</x:v>
      </x:c>
      <x:c r="C1919" s="15"/>
      <x:c r="D1919" s="15" t="str">
        <x:v>Property lender or directory member; operating-company capital unconfirmed</x:v>
      </x:c>
      <x:c r="E1919" s="15" t="str">
        <x:v>Property lender / private-money inquiry</x:v>
      </x:c>
      <x:c r="F1919" s="17" t="str">
        <x:v>New</x:v>
      </x:c>
      <x:c r="G1919" s="24"/>
      <x:c r="H1919" s="24" t="str">
        <x:v>+12104935300</x:v>
      </x:c>
      <x:c r="I1919" s="24" t="str">
        <x:v>http://www.txmortgage.com</x:v>
      </x:c>
      <x:c r="J1919" s="16" t="str">
        <x:v>TX</x:v>
      </x:c>
      <x:c r="K1919" s="16" t="str">
        <x:v>San Antonio</x:v>
      </x:c>
      <x:c r="L1919" s="16" t="str">
        <x:v>firm_business_routing</x:v>
      </x:c>
      <x:c r="M1919" s="16" t="str">
        <x:v>http://www.txmortgage.com</x:v>
      </x:c>
      <x:c r="N1919" s="16" t="str">
        <x:v>Published source range; proposed allocation and structure require confirmation</x:v>
      </x:c>
      <x:c r="O1919" s="20"/>
      <x:c r="P1919" s="20" t="n">
        <x:v>800000</x:v>
      </x:c>
      <x:c r="Q1919" s="25" t="str">
        <x:v>Property-loan range, not a corporate-capital commitment</x:v>
      </x:c>
      <x:c r="R1919" s="25" t="str">
        <x:v>Private real-estate finance experience. Corporate working capital, minority equity or profit participation requires a separate agreement from a property loan.</x:v>
      </x:c>
      <x:c r="S1919" s="25"/>
      <x:c r="T1919" s="25" t="str">
        <x:v>Confirm direct principal versus broker, $100K-$500K appetite, and whether capital can fund the operating company without a property mortgage.</x:v>
      </x:c>
      <x:c r="U1919" s="25" t="str">
        <x:v>https://www.hardmoneyhome.com/lenders/view/texas-mortgage-capital</x:v>
      </x:c>
      <x:c r="V1919" s="26" t="d">
        <x:v>2026-10-02T00:00:00.000Z</x:v>
      </x:c>
      <x:c r="W1919" s="26" t="d">
        <x:v>2026-09-30T00:00:00.000Z</x:v>
      </x:c>
      <x:c r="X1919" s="25" t="str">
        <x:v>Saved public company, industry-directory or regulatory source; source date retained</x:v>
      </x:c>
      <x:c r="Y1919" s="25"/>
      <x:c r="Z1919" s="25" t="str">
        <x:v>https://www.hardmoneyhome.com/lenders/view/texas-mortgage-capital</x:v>
      </x:c>
      <x:c r="AA1919" s="25" t="str">
        <x:v>[]</x:v>
      </x:c>
      <x:c r="AB1919" s="3" t="str">
        <x:v>Existing CapitalForge research, newly screened for this campaign</x:v>
      </x:c>
      <x:c r="AC1919" s="3" t="str">
        <x:v>unverified</x:v>
      </x:c>
      <x:c r="AD1919" s="3" t="str">
        <x:v>Not contacted / unconfirmed</x:v>
      </x:c>
      <x:c r="AE1919" s="3" t="str">
        <x:v>No</x:v>
      </x:c>
      <x:c r="AF1919" s="3" t="str">
        <x:v>No</x:v>
      </x:c>
      <x:c r="AG1919" s="3"/>
      <x:c r="AH1919" s="3"/>
      <x:c r="AI1919" s="18"/>
      <x:c r="AJ1919" s="3" t="str">
        <x:v>CF2500-F32AD0248A2F</x:v>
      </x:c>
      <x:c r="AK1919" s="3" t="str">
        <x:v>private_real_estate_lender</x:v>
      </x:c>
      <x:c r="AL1919" s="19" t="n">
        <x:v>100000</x:v>
      </x:c>
      <x:c r="AM1919" s="19" t="n">
        <x:v>500000</x:v>
      </x:c>
      <x:c r="AN1919" s="3" t="str">
        <x:v>https://www.hardmoneyhome.com/lenders/view/texas-mortgage-capital</x:v>
      </x:c>
      <x:c r="AO1919" s="3" t="str">
        <x:v>public_directory.jsonl</x:v>
      </x:c>
      <x:c r="AP1919" s="19"/>
    </x:row>
    <x:row r="1920" ht="36" customHeight="1">
      <x:c r="A1920" s="23" t="n">
        <x:v>1919</x:v>
      </x:c>
      <x:c r="B1920" s="15" t="str">
        <x:v>Texas Mortgage Place</x:v>
      </x:c>
      <x:c r="C1920" s="15"/>
      <x:c r="D1920" s="15" t="str">
        <x:v>Property lender or directory member; operating-company capital unconfirmed</x:v>
      </x:c>
      <x:c r="E1920" s="15" t="str">
        <x:v>Property lender / private-money inquiry</x:v>
      </x:c>
      <x:c r="F1920" s="17" t="str">
        <x:v>New</x:v>
      </x:c>
      <x:c r="G1920" s="24"/>
      <x:c r="H1920" s="24" t="str">
        <x:v>+12148240417</x:v>
      </x:c>
      <x:c r="I1920" s="24" t="str">
        <x:v>http://www.texasmortgageplace.com/</x:v>
      </x:c>
      <x:c r="J1920" s="16" t="str">
        <x:v>TX</x:v>
      </x:c>
      <x:c r="K1920" s="16" t="str">
        <x:v>Garland</x:v>
      </x:c>
      <x:c r="L1920" s="16" t="str">
        <x:v>firm_business_routing</x:v>
      </x:c>
      <x:c r="M1920" s="16" t="str">
        <x:v>http://www.texasmortgageplace.com/</x:v>
      </x:c>
      <x:c r="N1920" s="16" t="str">
        <x:v>Published source range; proposed allocation and structure require confirmation</x:v>
      </x:c>
      <x:c r="O1920" s="20"/>
      <x:c r="P1920" s="20" t="n">
        <x:v>400000</x:v>
      </x:c>
      <x:c r="Q1920" s="25" t="str">
        <x:v>Property-loan range, not a corporate-capital commitment</x:v>
      </x:c>
      <x:c r="R1920" s="25" t="str">
        <x:v>Private real-estate finance experience. Corporate working capital, minority equity or profit participation requires a separate agreement from a property loan.</x:v>
      </x:c>
      <x:c r="S1920" s="25"/>
      <x:c r="T1920" s="25" t="str">
        <x:v>Confirm direct principal versus broker, $100K-$500K appetite, and whether capital can fund the operating company without a property mortgage.</x:v>
      </x:c>
      <x:c r="U1920" s="25" t="str">
        <x:v>https://www.hardmoneyhome.com/lenders/view/texas-mortgage-place</x:v>
      </x:c>
      <x:c r="V1920" s="26" t="d">
        <x:v>2026-10-02T00:00:00.000Z</x:v>
      </x:c>
      <x:c r="W1920" s="26" t="d">
        <x:v>2026-09-30T00:00:00.000Z</x:v>
      </x:c>
      <x:c r="X1920" s="25" t="str">
        <x:v>Saved public company, industry-directory or regulatory source; source date retained</x:v>
      </x:c>
      <x:c r="Y1920" s="25"/>
      <x:c r="Z1920" s="25" t="str">
        <x:v>https://www.hardmoneyhome.com/lenders/view/texas-mortgage-place</x:v>
      </x:c>
      <x:c r="AA1920" s="25" t="str">
        <x:v>[]</x:v>
      </x:c>
      <x:c r="AB1920" s="3" t="str">
        <x:v>Existing CapitalForge research, newly screened for this campaign</x:v>
      </x:c>
      <x:c r="AC1920" s="3" t="str">
        <x:v>unverified</x:v>
      </x:c>
      <x:c r="AD1920" s="3" t="str">
        <x:v>Not contacted / unconfirmed</x:v>
      </x:c>
      <x:c r="AE1920" s="3" t="str">
        <x:v>No</x:v>
      </x:c>
      <x:c r="AF1920" s="3" t="str">
        <x:v>No</x:v>
      </x:c>
      <x:c r="AG1920" s="3"/>
      <x:c r="AH1920" s="3"/>
      <x:c r="AI1920" s="18"/>
      <x:c r="AJ1920" s="3" t="str">
        <x:v>CF2500-AAA02DEE79B1</x:v>
      </x:c>
      <x:c r="AK1920" s="3" t="str">
        <x:v>private_real_estate_lender</x:v>
      </x:c>
      <x:c r="AL1920" s="19" t="n">
        <x:v>100000</x:v>
      </x:c>
      <x:c r="AM1920" s="19" t="n">
        <x:v>500000</x:v>
      </x:c>
      <x:c r="AN1920" s="3" t="str">
        <x:v>https://www.hardmoneyhome.com/lenders/view/texas-mortgage-place</x:v>
      </x:c>
      <x:c r="AO1920" s="3" t="str">
        <x:v>public_directory.jsonl</x:v>
      </x:c>
      <x:c r="AP1920" s="19"/>
    </x:row>
    <x:row r="1921" ht="36" customHeight="1">
      <x:c r="A1921" s="23" t="n">
        <x:v>1920</x:v>
      </x:c>
      <x:c r="B1921" s="15" t="str">
        <x:v>Visio Lending</x:v>
      </x:c>
      <x:c r="C1921" s="15"/>
      <x:c r="D1921" s="15" t="str">
        <x:v>Property lender or directory member; operating-company capital unconfirmed</x:v>
      </x:c>
      <x:c r="E1921" s="15" t="str">
        <x:v>Property lender / private-money inquiry</x:v>
      </x:c>
      <x:c r="F1921" s="17" t="str">
        <x:v>New</x:v>
      </x:c>
      <x:c r="G1921" s="24"/>
      <x:c r="H1921" s="24" t="str">
        <x:v>+18885210353</x:v>
      </x:c>
      <x:c r="I1921" s="24" t="str">
        <x:v>http://www.visiolending.com/</x:v>
      </x:c>
      <x:c r="J1921" s="16" t="str">
        <x:v>TX</x:v>
      </x:c>
      <x:c r="K1921" s="16" t="str">
        <x:v>Austin</x:v>
      </x:c>
      <x:c r="L1921" s="16" t="str">
        <x:v>firm_business_routing</x:v>
      </x:c>
      <x:c r="M1921" s="16" t="str">
        <x:v>http://www.visiolending.com/</x:v>
      </x:c>
      <x:c r="N1921" s="16" t="str">
        <x:v>Published source range; proposed allocation and structure require confirmation</x:v>
      </x:c>
      <x:c r="O1921" s="20"/>
      <x:c r="P1921" s="20" t="n">
        <x:v>2000000</x:v>
      </x:c>
      <x:c r="Q1921" s="25" t="str">
        <x:v>Property-loan range, not a corporate-capital commitment</x:v>
      </x:c>
      <x:c r="R1921" s="25" t="str">
        <x:v>Private real-estate finance experience. Corporate working capital, minority equity or profit participation requires a separate agreement from a property loan.</x:v>
      </x:c>
      <x:c r="S1921" s="25"/>
      <x:c r="T1921" s="25" t="str">
        <x:v>Confirm direct principal versus broker, $100K-$500K appetite, and whether capital can fund the operating company without a property mortgage.</x:v>
      </x:c>
      <x:c r="U1921" s="25" t="str">
        <x:v>https://www.hardmoneyhome.com/lenders/view/visio-lending</x:v>
      </x:c>
      <x:c r="V1921" s="26" t="d">
        <x:v>2026-10-02T00:00:00.000Z</x:v>
      </x:c>
      <x:c r="W1921" s="26" t="d">
        <x:v>2026-09-30T00:00:00.000Z</x:v>
      </x:c>
      <x:c r="X1921" s="25" t="str">
        <x:v>Saved public company, industry-directory or regulatory source; source date retained</x:v>
      </x:c>
      <x:c r="Y1921" s="25"/>
      <x:c r="Z1921" s="25" t="str">
        <x:v>https://www.hardmoneyhome.com/lenders/view/visio-lending</x:v>
      </x:c>
      <x:c r="AA1921" s="25" t="str">
        <x:v>[]</x:v>
      </x:c>
      <x:c r="AB1921" s="3" t="str">
        <x:v>Existing CapitalForge research, newly screened for this campaign</x:v>
      </x:c>
      <x:c r="AC1921" s="3" t="str">
        <x:v>unverified</x:v>
      </x:c>
      <x:c r="AD1921" s="3" t="str">
        <x:v>Not contacted / unconfirmed</x:v>
      </x:c>
      <x:c r="AE1921" s="3" t="str">
        <x:v>No</x:v>
      </x:c>
      <x:c r="AF1921" s="3" t="str">
        <x:v>No</x:v>
      </x:c>
      <x:c r="AG1921" s="3"/>
      <x:c r="AH1921" s="3"/>
      <x:c r="AI1921" s="18"/>
      <x:c r="AJ1921" s="3" t="str">
        <x:v>CF2500-84D9A36EED5B</x:v>
      </x:c>
      <x:c r="AK1921" s="3" t="str">
        <x:v>private_real_estate_lender</x:v>
      </x:c>
      <x:c r="AL1921" s="19" t="n">
        <x:v>100000</x:v>
      </x:c>
      <x:c r="AM1921" s="19" t="n">
        <x:v>500000</x:v>
      </x:c>
      <x:c r="AN1921" s="3" t="str">
        <x:v>https://www.hardmoneyhome.com/lenders/view/visio-lending</x:v>
      </x:c>
      <x:c r="AO1921" s="3" t="str">
        <x:v>public_directory.jsonl</x:v>
      </x:c>
      <x:c r="AP1921" s="19"/>
    </x:row>
    <x:row r="1922" ht="36" customHeight="1">
      <x:c r="A1922" s="23" t="n">
        <x:v>1921</x:v>
      </x:c>
      <x:c r="B1922" s="15" t="str">
        <x:v>A List Partners</x:v>
      </x:c>
      <x:c r="C1922" s="15"/>
      <x:c r="D1922" s="15" t="str">
        <x:v>Property lender or directory member; operating-company capital unconfirmed</x:v>
      </x:c>
      <x:c r="E1922" s="15" t="str">
        <x:v>Property lender / private-money inquiry</x:v>
      </x:c>
      <x:c r="F1922" s="17" t="str">
        <x:v>New</x:v>
      </x:c>
      <x:c r="G1922" s="24"/>
      <x:c r="H1922" s="24" t="str">
        <x:v>+15126876263</x:v>
      </x:c>
      <x:c r="I1922" s="24" t="str">
        <x:v>https://www.alistpartners.com</x:v>
      </x:c>
      <x:c r="J1922" s="16" t="str">
        <x:v>TX</x:v>
      </x:c>
      <x:c r="K1922" s="16" t="str">
        <x:v>Austin</x:v>
      </x:c>
      <x:c r="L1922" s="16" t="str">
        <x:v>firm_business_routing</x:v>
      </x:c>
      <x:c r="M1922" s="16" t="str">
        <x:v>https://www.alistpartners.com</x:v>
      </x:c>
      <x:c r="N1922" s="16" t="str">
        <x:v>$100K-$500K ticket not published / unconfirmed</x:v>
      </x:c>
      <x:c r="O1922" s="20"/>
      <x:c r="P1922" s="20"/>
      <x:c r="Q1922" s="25" t="str">
        <x:v>Property-loan range, not a corporate-capital commitment</x:v>
      </x:c>
      <x:c r="R1922" s="25" t="str">
        <x:v>Private real-estate finance experience. Corporate working capital, minority equity or profit participation requires a separate agreement from a property loan.</x:v>
      </x:c>
      <x:c r="S1922" s="25"/>
      <x:c r="T1922" s="25" t="str">
        <x:v>Confirm direct principal versus broker, $100K-$500K appetite, and whether capital can fund the operating company without a property mortgage.</x:v>
      </x:c>
      <x:c r="U1922" s="25" t="str">
        <x:v>https://www.hardmoneyhome.com/lenders/view/a-list-partners</x:v>
      </x:c>
      <x:c r="V1922" s="26" t="d">
        <x:v>2026-10-02T00:00:00.000Z</x:v>
      </x:c>
      <x:c r="W1922" s="26" t="d">
        <x:v>2026-09-30T00:00:00.000Z</x:v>
      </x:c>
      <x:c r="X1922" s="25" t="str">
        <x:v>Saved public company, industry-directory or regulatory source; source date retained</x:v>
      </x:c>
      <x:c r="Y1922" s="25"/>
      <x:c r="Z1922" s="25" t="str">
        <x:v>https://www.hardmoneyhome.com/lenders/view/a-list-partners</x:v>
      </x:c>
      <x:c r="AA1922" s="25" t="str">
        <x:v>[]</x:v>
      </x:c>
      <x:c r="AB1922" s="3" t="str">
        <x:v>Existing CapitalForge research, newly screened for this campaign</x:v>
      </x:c>
      <x:c r="AC1922" s="3" t="str">
        <x:v>unverified</x:v>
      </x:c>
      <x:c r="AD1922" s="3" t="str">
        <x:v>Not contacted / unconfirmed</x:v>
      </x:c>
      <x:c r="AE1922" s="3" t="str">
        <x:v>No</x:v>
      </x:c>
      <x:c r="AF1922" s="3" t="str">
        <x:v>No</x:v>
      </x:c>
      <x:c r="AG1922" s="3"/>
      <x:c r="AH1922" s="3"/>
      <x:c r="AI1922" s="18"/>
      <x:c r="AJ1922" s="3" t="str">
        <x:v>CF2500-0E19FC2A2F8F</x:v>
      </x:c>
      <x:c r="AK1922" s="3" t="str">
        <x:v>private_real_estate_lender</x:v>
      </x:c>
      <x:c r="AL1922" s="19" t="n">
        <x:v>100000</x:v>
      </x:c>
      <x:c r="AM1922" s="19" t="n">
        <x:v>500000</x:v>
      </x:c>
      <x:c r="AN1922" s="3" t="str">
        <x:v>https://www.hardmoneyhome.com/lenders/view/a-list-partners</x:v>
      </x:c>
      <x:c r="AO1922" s="3" t="str">
        <x:v>public_directory.jsonl</x:v>
      </x:c>
      <x:c r="AP1922" s="19"/>
    </x:row>
    <x:row r="1923" ht="36" customHeight="1">
      <x:c r="A1923" s="23" t="n">
        <x:v>1922</x:v>
      </x:c>
      <x:c r="B1923" s="15" t="str">
        <x:v>A2B INVEST</x:v>
      </x:c>
      <x:c r="C1923" s="15"/>
      <x:c r="D1923" s="15" t="str">
        <x:v>Property lender or directory member; operating-company capital unconfirmed</x:v>
      </x:c>
      <x:c r="E1923" s="15" t="str">
        <x:v>Property lender / private-money inquiry</x:v>
      </x:c>
      <x:c r="F1923" s="17" t="str">
        <x:v>New</x:v>
      </x:c>
      <x:c r="G1923" s="24"/>
      <x:c r="H1923" s="24" t="str">
        <x:v>+16028881433</x:v>
      </x:c>
      <x:c r="I1923" s="24" t="str">
        <x:v>https://www.a2binvest.com/</x:v>
      </x:c>
      <x:c r="J1923" s="16" t="str">
        <x:v>AZ</x:v>
      </x:c>
      <x:c r="K1923" s="16" t="str">
        <x:v>Scottsdale</x:v>
      </x:c>
      <x:c r="L1923" s="16" t="str">
        <x:v>firm_business_routing</x:v>
      </x:c>
      <x:c r="M1923" s="16" t="str">
        <x:v>https://www.a2binvest.com/</x:v>
      </x:c>
      <x:c r="N1923" s="16" t="str">
        <x:v>$100K-$500K ticket not published / unconfirmed</x:v>
      </x:c>
      <x:c r="O1923" s="20"/>
      <x:c r="P1923" s="20"/>
      <x:c r="Q1923" s="25" t="str">
        <x:v>Property-loan range, not a corporate-capital commitment</x:v>
      </x:c>
      <x:c r="R1923" s="25" t="str">
        <x:v>Private real-estate finance experience. Corporate working capital, minority equity or profit participation requires a separate agreement from a property loan.</x:v>
      </x:c>
      <x:c r="S1923" s="25"/>
      <x:c r="T1923" s="25" t="str">
        <x:v>Confirm direct principal versus broker, $100K-$500K appetite, and whether capital can fund the operating company without a property mortgage.</x:v>
      </x:c>
      <x:c r="U1923" s="25" t="str">
        <x:v>https://www.privatelendersdirectory.com/united-states/scottsdale/real-estate-investment-lending/a2b-invest
https://www.a2binvest.com/</x:v>
      </x:c>
      <x:c r="V1923" s="26" t="d">
        <x:v>2026-10-02T00:00:00.000Z</x:v>
      </x:c>
      <x:c r="W1923" s="26" t="d">
        <x:v>2026-09-30T00:00:00.000Z</x:v>
      </x:c>
      <x:c r="X1923" s="25" t="str">
        <x:v>Saved public company, industry-directory or regulatory source; source date retained</x:v>
      </x:c>
      <x:c r="Y1923" s="25"/>
      <x:c r="Z1923" s="25" t="str">
        <x:v>https://www.a2binvest.com/</x:v>
      </x:c>
      <x:c r="AA1923" s="25" t="str">
        <x:v>[]</x:v>
      </x:c>
      <x:c r="AB1923" s="3" t="str">
        <x:v>Existing CapitalForge research, newly screened for this campaign</x:v>
      </x:c>
      <x:c r="AC1923" s="3" t="str">
        <x:v>unverified</x:v>
      </x:c>
      <x:c r="AD1923" s="3" t="str">
        <x:v>Not contacted / unconfirmed</x:v>
      </x:c>
      <x:c r="AE1923" s="3" t="str">
        <x:v>No</x:v>
      </x:c>
      <x:c r="AF1923" s="3" t="str">
        <x:v>No</x:v>
      </x:c>
      <x:c r="AG1923" s="3"/>
      <x:c r="AH1923" s="3"/>
      <x:c r="AI1923" s="18"/>
      <x:c r="AJ1923" s="3" t="str">
        <x:v>CF2500-C01CAF83076A</x:v>
      </x:c>
      <x:c r="AK1923" s="3" t="str">
        <x:v>private_real_estate_lender</x:v>
      </x:c>
      <x:c r="AL1923" s="19" t="n">
        <x:v>100000</x:v>
      </x:c>
      <x:c r="AM1923" s="19" t="n">
        <x:v>500000</x:v>
      </x:c>
      <x:c r="AN1923" s="3" t="str">
        <x:v>https://www.privatelendersdirectory.com/united-states/scottsdale/real-estate-investment-lending/a2b-invest</x:v>
      </x:c>
      <x:c r="AO1923" s="3" t="str">
        <x:v>public_directory.jsonl</x:v>
      </x:c>
      <x:c r="AP1923" s="19"/>
    </x:row>
    <x:row r="1924" ht="36" customHeight="1">
      <x:c r="A1924" s="23" t="n">
        <x:v>1923</x:v>
      </x:c>
      <x:c r="B1924" s="15" t="str">
        <x:v>Aero Capital Finance</x:v>
      </x:c>
      <x:c r="C1924" s="15"/>
      <x:c r="D1924" s="15" t="str">
        <x:v>Property lender or directory member; operating-company capital unconfirmed</x:v>
      </x:c>
      <x:c r="E1924" s="15" t="str">
        <x:v>Property lender / private-money inquiry</x:v>
      </x:c>
      <x:c r="F1924" s="17" t="str">
        <x:v>New</x:v>
      </x:c>
      <x:c r="G1924" s="24"/>
      <x:c r="H1924" s="24" t="str">
        <x:v>+14075396669</x:v>
      </x:c>
      <x:c r="I1924" s="24" t="str">
        <x:v>http://www.aerocapitalfinance.com/</x:v>
      </x:c>
      <x:c r="J1924" s="16" t="str">
        <x:v>FL</x:v>
      </x:c>
      <x:c r="K1924" s="16" t="str">
        <x:v>Kissimmee</x:v>
      </x:c>
      <x:c r="L1924" s="16" t="str">
        <x:v>firm_business_routing</x:v>
      </x:c>
      <x:c r="M1924" s="16" t="str">
        <x:v>http://www.aerocapitalfinance.com/</x:v>
      </x:c>
      <x:c r="N1924" s="16" t="str">
        <x:v>$100K-$500K ticket not published / unconfirmed</x:v>
      </x:c>
      <x:c r="O1924" s="20"/>
      <x:c r="P1924" s="20"/>
      <x:c r="Q1924" s="25" t="str">
        <x:v>Property-loan range, not a corporate-capital commitment</x:v>
      </x:c>
      <x:c r="R1924" s="25" t="str">
        <x:v>Private real-estate finance experience. Corporate working capital, minority equity or profit participation requires a separate agreement from a property loan.</x:v>
      </x:c>
      <x:c r="S1924" s="25"/>
      <x:c r="T1924" s="25" t="str">
        <x:v>Confirm direct principal versus broker, $100K-$500K appetite, and whether capital can fund the operating company without a property mortgage.</x:v>
      </x:c>
      <x:c r="U1924" s="25" t="str">
        <x:v>https://www.hardmoneyhome.com/lenders/view/aero-capital-finance</x:v>
      </x:c>
      <x:c r="V1924" s="26" t="d">
        <x:v>2026-10-02T00:00:00.000Z</x:v>
      </x:c>
      <x:c r="W1924" s="26" t="d">
        <x:v>2026-09-30T00:00:00.000Z</x:v>
      </x:c>
      <x:c r="X1924" s="25" t="str">
        <x:v>Saved public company, industry-directory or regulatory source; source date retained</x:v>
      </x:c>
      <x:c r="Y1924" s="25"/>
      <x:c r="Z1924" s="25" t="str">
        <x:v>https://www.hardmoneyhome.com/lenders/view/aero-capital-finance</x:v>
      </x:c>
      <x:c r="AA1924" s="25" t="str">
        <x:v>[]</x:v>
      </x:c>
      <x:c r="AB1924" s="3" t="str">
        <x:v>Existing CapitalForge research, newly screened for this campaign</x:v>
      </x:c>
      <x:c r="AC1924" s="3" t="str">
        <x:v>unverified</x:v>
      </x:c>
      <x:c r="AD1924" s="3" t="str">
        <x:v>Not contacted / unconfirmed</x:v>
      </x:c>
      <x:c r="AE1924" s="3" t="str">
        <x:v>No</x:v>
      </x:c>
      <x:c r="AF1924" s="3" t="str">
        <x:v>No</x:v>
      </x:c>
      <x:c r="AG1924" s="3"/>
      <x:c r="AH1924" s="3"/>
      <x:c r="AI1924" s="18"/>
      <x:c r="AJ1924" s="3" t="str">
        <x:v>CF2500-0EE737AB8E9C</x:v>
      </x:c>
      <x:c r="AK1924" s="3" t="str">
        <x:v>private_real_estate_lender</x:v>
      </x:c>
      <x:c r="AL1924" s="19" t="n">
        <x:v>100000</x:v>
      </x:c>
      <x:c r="AM1924" s="19" t="n">
        <x:v>500000</x:v>
      </x:c>
      <x:c r="AN1924" s="3" t="str">
        <x:v>https://www.hardmoneyhome.com/lenders/view/aero-capital-finance</x:v>
      </x:c>
      <x:c r="AO1924" s="3" t="str">
        <x:v>public_directory.jsonl</x:v>
      </x:c>
      <x:c r="AP1924" s="19"/>
    </x:row>
    <x:row r="1925" ht="36" customHeight="1">
      <x:c r="A1925" s="23" t="n">
        <x:v>1924</x:v>
      </x:c>
      <x:c r="B1925" s="15" t="str">
        <x:v>AICS Lending Services</x:v>
      </x:c>
      <x:c r="C1925" s="15"/>
      <x:c r="D1925" s="15" t="str">
        <x:v>Property lender or directory member; operating-company capital unconfirmed</x:v>
      </x:c>
      <x:c r="E1925" s="15" t="str">
        <x:v>Property lender / private-money inquiry</x:v>
      </x:c>
      <x:c r="F1925" s="17" t="str">
        <x:v>New</x:v>
      </x:c>
      <x:c r="G1925" s="24"/>
      <x:c r="H1925" s="24" t="str">
        <x:v>+18172669700</x:v>
      </x:c>
      <x:c r="I1925" s="24" t="str">
        <x:v>http://www.aisclendingservices.com/</x:v>
      </x:c>
      <x:c r="J1925" s="16" t="str">
        <x:v>TX</x:v>
      </x:c>
      <x:c r="K1925" s="16" t="str">
        <x:v>North Richland Hills</x:v>
      </x:c>
      <x:c r="L1925" s="16" t="str">
        <x:v>firm_business_routing</x:v>
      </x:c>
      <x:c r="M1925" s="16" t="str">
        <x:v>http://www.aisclendingservices.com/</x:v>
      </x:c>
      <x:c r="N1925" s="16" t="str">
        <x:v>$100K-$500K ticket not published / unconfirmed</x:v>
      </x:c>
      <x:c r="O1925" s="20"/>
      <x:c r="P1925" s="20"/>
      <x:c r="Q1925" s="25" t="str">
        <x:v>Property-loan range, not a corporate-capital commitment</x:v>
      </x:c>
      <x:c r="R1925" s="25" t="str">
        <x:v>Private real-estate finance experience. Corporate working capital, minority equity or profit participation requires a separate agreement from a property loan.</x:v>
      </x:c>
      <x:c r="S1925" s="25"/>
      <x:c r="T1925" s="25" t="str">
        <x:v>Confirm direct principal versus broker, $100K-$500K appetite, and whether capital can fund the operating company without a property mortgage.</x:v>
      </x:c>
      <x:c r="U1925" s="25" t="str">
        <x:v>https://www.hardmoneyhome.com/lenders/view/aics-lending-services</x:v>
      </x:c>
      <x:c r="V1925" s="26" t="d">
        <x:v>2026-10-02T00:00:00.000Z</x:v>
      </x:c>
      <x:c r="W1925" s="26" t="d">
        <x:v>2026-09-30T00:00:00.000Z</x:v>
      </x:c>
      <x:c r="X1925" s="25" t="str">
        <x:v>Saved public company, industry-directory or regulatory source; source date retained</x:v>
      </x:c>
      <x:c r="Y1925" s="25"/>
      <x:c r="Z1925" s="25" t="str">
        <x:v>https://www.hardmoneyhome.com/lenders/view/aics-lending-services</x:v>
      </x:c>
      <x:c r="AA1925" s="25" t="str">
        <x:v>[]</x:v>
      </x:c>
      <x:c r="AB1925" s="3" t="str">
        <x:v>Existing CapitalForge research, newly screened for this campaign</x:v>
      </x:c>
      <x:c r="AC1925" s="3" t="str">
        <x:v>unverified</x:v>
      </x:c>
      <x:c r="AD1925" s="3" t="str">
        <x:v>Not contacted / unconfirmed</x:v>
      </x:c>
      <x:c r="AE1925" s="3" t="str">
        <x:v>No</x:v>
      </x:c>
      <x:c r="AF1925" s="3" t="str">
        <x:v>No</x:v>
      </x:c>
      <x:c r="AG1925" s="3"/>
      <x:c r="AH1925" s="3"/>
      <x:c r="AI1925" s="18"/>
      <x:c r="AJ1925" s="3" t="str">
        <x:v>CF2500-6C29DF84AB2F</x:v>
      </x:c>
      <x:c r="AK1925" s="3" t="str">
        <x:v>private_real_estate_lender</x:v>
      </x:c>
      <x:c r="AL1925" s="19" t="n">
        <x:v>100000</x:v>
      </x:c>
      <x:c r="AM1925" s="19" t="n">
        <x:v>500000</x:v>
      </x:c>
      <x:c r="AN1925" s="3" t="str">
        <x:v>https://www.hardmoneyhome.com/lenders/view/aics-lending-services</x:v>
      </x:c>
      <x:c r="AO1925" s="3" t="str">
        <x:v>public_directory.jsonl</x:v>
      </x:c>
      <x:c r="AP1925" s="19"/>
    </x:row>
    <x:row r="1926" ht="36" customHeight="1">
      <x:c r="A1926" s="23" t="n">
        <x:v>1925</x:v>
      </x:c>
      <x:c r="B1926" s="15" t="str">
        <x:v>ALLSOME CAPITAL</x:v>
      </x:c>
      <x:c r="C1926" s="15"/>
      <x:c r="D1926" s="15" t="str">
        <x:v>Property lender or directory member; operating-company capital unconfirmed</x:v>
      </x:c>
      <x:c r="E1926" s="15" t="str">
        <x:v>Property lender / private-money inquiry</x:v>
      </x:c>
      <x:c r="F1926" s="17" t="str">
        <x:v>New</x:v>
      </x:c>
      <x:c r="G1926" s="24"/>
      <x:c r="H1926" s="24" t="str">
        <x:v>+13127571088</x:v>
      </x:c>
      <x:c r="I1926" s="24" t="str">
        <x:v>https://allsomecapital.com/</x:v>
      </x:c>
      <x:c r="J1926" s="16" t="str">
        <x:v>IL</x:v>
      </x:c>
      <x:c r="K1926" s="16" t="str">
        <x:v>Chicago</x:v>
      </x:c>
      <x:c r="L1926" s="16" t="str">
        <x:v>firm_business_routing</x:v>
      </x:c>
      <x:c r="M1926" s="16" t="str">
        <x:v>https://allsomecapital.com/</x:v>
      </x:c>
      <x:c r="N1926" s="16" t="str">
        <x:v>$100K-$500K ticket not published / unconfirmed</x:v>
      </x:c>
      <x:c r="O1926" s="20"/>
      <x:c r="P1926" s="20"/>
      <x:c r="Q1926" s="25" t="str">
        <x:v>Property-loan range, not a corporate-capital commitment</x:v>
      </x:c>
      <x:c r="R1926" s="25" t="str">
        <x:v>Private real-estate finance experience. Corporate working capital, minority equity or profit participation requires a separate agreement from a property loan.</x:v>
      </x:c>
      <x:c r="S1926" s="25"/>
      <x:c r="T1926" s="25" t="str">
        <x:v>Confirm direct principal versus broker, $100K-$500K appetite, and whether capital can fund the operating company without a property mortgage.</x:v>
      </x:c>
      <x:c r="U1926" s="25" t="str">
        <x:v>https://www.privatelendersdirectory.com/united-states/chicago/top-level-category/allsome-capital
https://allsomecapital.com/</x:v>
      </x:c>
      <x:c r="V1926" s="26" t="d">
        <x:v>2026-10-02T00:00:00.000Z</x:v>
      </x:c>
      <x:c r="W1926" s="26" t="d">
        <x:v>2026-09-30T00:00:00.000Z</x:v>
      </x:c>
      <x:c r="X1926" s="25" t="str">
        <x:v>Saved public company, industry-directory or regulatory source; source date retained</x:v>
      </x:c>
      <x:c r="Y1926" s="25"/>
      <x:c r="Z1926" s="25" t="str">
        <x:v>https://allsomecapital.com/</x:v>
      </x:c>
      <x:c r="AA1926" s="25" t="str">
        <x:v>[]</x:v>
      </x:c>
      <x:c r="AB1926" s="3" t="str">
        <x:v>Existing CapitalForge research, newly screened for this campaign</x:v>
      </x:c>
      <x:c r="AC1926" s="3" t="str">
        <x:v>unverified</x:v>
      </x:c>
      <x:c r="AD1926" s="3" t="str">
        <x:v>Not contacted / unconfirmed</x:v>
      </x:c>
      <x:c r="AE1926" s="3" t="str">
        <x:v>No</x:v>
      </x:c>
      <x:c r="AF1926" s="3" t="str">
        <x:v>No</x:v>
      </x:c>
      <x:c r="AG1926" s="3"/>
      <x:c r="AH1926" s="3"/>
      <x:c r="AI1926" s="18"/>
      <x:c r="AJ1926" s="3" t="str">
        <x:v>CF2500-9A7EE5B6B165</x:v>
      </x:c>
      <x:c r="AK1926" s="3" t="str">
        <x:v>private_real_estate_lender</x:v>
      </x:c>
      <x:c r="AL1926" s="19" t="n">
        <x:v>100000</x:v>
      </x:c>
      <x:c r="AM1926" s="19" t="n">
        <x:v>500000</x:v>
      </x:c>
      <x:c r="AN1926" s="3" t="str">
        <x:v>https://www.privatelendersdirectory.com/united-states/chicago/top-level-category/allsome-capital</x:v>
      </x:c>
      <x:c r="AO1926" s="3" t="str">
        <x:v>public_directory.jsonl</x:v>
      </x:c>
      <x:c r="AP1926" s="19"/>
    </x:row>
    <x:row r="1927" ht="36" customHeight="1">
      <x:c r="A1927" s="23" t="n">
        <x:v>1926</x:v>
      </x:c>
      <x:c r="B1927" s="15" t="str">
        <x:v>ALLVUE</x:v>
      </x:c>
      <x:c r="C1927" s="15"/>
      <x:c r="D1927" s="15" t="str">
        <x:v>Property lender or directory member; operating-company capital unconfirmed</x:v>
      </x:c>
      <x:c r="E1927" s="15" t="str">
        <x:v>Property lender / private-money inquiry</x:v>
      </x:c>
      <x:c r="F1927" s="17" t="str">
        <x:v>New</x:v>
      </x:c>
      <x:c r="G1927" s="24"/>
      <x:c r="H1927" s="24" t="str">
        <x:v>+13059017060</x:v>
      </x:c>
      <x:c r="I1927" s="24" t="str">
        <x:v>https://www.allvuesystems.com/</x:v>
      </x:c>
      <x:c r="J1927" s="16" t="str">
        <x:v>FL</x:v>
      </x:c>
      <x:c r="K1927" s="16" t="str">
        <x:v>Coral Gables</x:v>
      </x:c>
      <x:c r="L1927" s="16" t="str">
        <x:v>firm_business_routing</x:v>
      </x:c>
      <x:c r="M1927" s="16" t="str">
        <x:v>https://www.allvuesystems.com/</x:v>
      </x:c>
      <x:c r="N1927" s="16" t="str">
        <x:v>$100K-$500K ticket not published / unconfirmed</x:v>
      </x:c>
      <x:c r="O1927" s="20"/>
      <x:c r="P1927" s="20"/>
      <x:c r="Q1927" s="25" t="str">
        <x:v>Property-loan range, not a corporate-capital commitment</x:v>
      </x:c>
      <x:c r="R1927" s="25" t="str">
        <x:v>Private real-estate finance experience. Corporate working capital, minority equity or profit participation requires a separate agreement from a property loan.</x:v>
      </x:c>
      <x:c r="S1927" s="25"/>
      <x:c r="T1927" s="25" t="str">
        <x:v>Confirm direct principal versus broker, $100K-$500K appetite, and whether capital can fund the operating company without a property mortgage.</x:v>
      </x:c>
      <x:c r="U1927" s="25" t="str">
        <x:v>https://www.privatelendersdirectory.com/united-states/coral-gables/top-level-category/allvue
https://www.allvuesystems.com/</x:v>
      </x:c>
      <x:c r="V1927" s="26" t="d">
        <x:v>2026-10-02T00:00:00.000Z</x:v>
      </x:c>
      <x:c r="W1927" s="26" t="d">
        <x:v>2026-09-30T00:00:00.000Z</x:v>
      </x:c>
      <x:c r="X1927" s="25" t="str">
        <x:v>Saved public company, industry-directory or regulatory source; source date retained</x:v>
      </x:c>
      <x:c r="Y1927" s="25"/>
      <x:c r="Z1927" s="25" t="str">
        <x:v>https://www.allvuesystems.com/</x:v>
      </x:c>
      <x:c r="AA1927" s="25" t="str">
        <x:v>[]</x:v>
      </x:c>
      <x:c r="AB1927" s="3" t="str">
        <x:v>Existing CapitalForge research, newly screened for this campaign</x:v>
      </x:c>
      <x:c r="AC1927" s="3" t="str">
        <x:v>unverified</x:v>
      </x:c>
      <x:c r="AD1927" s="3" t="str">
        <x:v>Not contacted / unconfirmed</x:v>
      </x:c>
      <x:c r="AE1927" s="3" t="str">
        <x:v>No</x:v>
      </x:c>
      <x:c r="AF1927" s="3" t="str">
        <x:v>No</x:v>
      </x:c>
      <x:c r="AG1927" s="3"/>
      <x:c r="AH1927" s="3"/>
      <x:c r="AI1927" s="18"/>
      <x:c r="AJ1927" s="3" t="str">
        <x:v>CF2500-75F06B38B932</x:v>
      </x:c>
      <x:c r="AK1927" s="3" t="str">
        <x:v>private_real_estate_lender</x:v>
      </x:c>
      <x:c r="AL1927" s="19" t="n">
        <x:v>100000</x:v>
      </x:c>
      <x:c r="AM1927" s="19" t="n">
        <x:v>500000</x:v>
      </x:c>
      <x:c r="AN1927" s="3" t="str">
        <x:v>https://www.privatelendersdirectory.com/united-states/coral-gables/top-level-category/allvue</x:v>
      </x:c>
      <x:c r="AO1927" s="3" t="str">
        <x:v>public_directory.jsonl</x:v>
      </x:c>
      <x:c r="AP1927" s="19"/>
    </x:row>
    <x:row r="1928" ht="36" customHeight="1">
      <x:c r="A1928" s="23" t="n">
        <x:v>1927</x:v>
      </x:c>
      <x:c r="B1928" s="15" t="str">
        <x:v>ARIZONA SELLER FINANCING</x:v>
      </x:c>
      <x:c r="C1928" s="15"/>
      <x:c r="D1928" s="15" t="str">
        <x:v>Property lender or directory member; operating-company capital unconfirmed</x:v>
      </x:c>
      <x:c r="E1928" s="15" t="str">
        <x:v>Property lender / private-money inquiry</x:v>
      </x:c>
      <x:c r="F1928" s="17" t="str">
        <x:v>New</x:v>
      </x:c>
      <x:c r="G1928" s="24"/>
      <x:c r="H1928" s="24" t="str">
        <x:v>+14806261360</x:v>
      </x:c>
      <x:c r="I1928" s="24" t="str">
        <x:v>https://www.arizonasellerfinancing.com/</x:v>
      </x:c>
      <x:c r="J1928" s="16" t="str">
        <x:v>AZ</x:v>
      </x:c>
      <x:c r="K1928" s="16" t="str">
        <x:v>Scottsdale</x:v>
      </x:c>
      <x:c r="L1928" s="16" t="str">
        <x:v>firm_business_routing</x:v>
      </x:c>
      <x:c r="M1928" s="16" t="str">
        <x:v>https://www.arizonasellerfinancing.com/</x:v>
      </x:c>
      <x:c r="N1928" s="16" t="str">
        <x:v>$100K-$500K ticket not published / unconfirmed</x:v>
      </x:c>
      <x:c r="O1928" s="20"/>
      <x:c r="P1928" s="20"/>
      <x:c r="Q1928" s="25" t="str">
        <x:v>Property-loan range, not a corporate-capital commitment</x:v>
      </x:c>
      <x:c r="R1928" s="25" t="str">
        <x:v>Private real-estate finance experience. Corporate working capital, minority equity or profit participation requires a separate agreement from a property loan.</x:v>
      </x:c>
      <x:c r="S1928" s="25"/>
      <x:c r="T1928" s="25" t="str">
        <x:v>Confirm direct principal versus broker, $100K-$500K appetite, and whether capital can fund the operating company without a property mortgage.</x:v>
      </x:c>
      <x:c r="U1928" s="25" t="str">
        <x:v>https://www.privatelendersdirectory.com/united-states/scottsdale/real-estate-investment-lending/arizona-seller-financing
https://www.arizonasellerfinancing.com/</x:v>
      </x:c>
      <x:c r="V1928" s="26" t="d">
        <x:v>2026-10-02T00:00:00.000Z</x:v>
      </x:c>
      <x:c r="W1928" s="26" t="d">
        <x:v>2026-09-30T00:00:00.000Z</x:v>
      </x:c>
      <x:c r="X1928" s="25" t="str">
        <x:v>Saved public company, industry-directory or regulatory source; source date retained</x:v>
      </x:c>
      <x:c r="Y1928" s="25"/>
      <x:c r="Z1928" s="25" t="str">
        <x:v>https://www.arizonasellerfinancing.com/</x:v>
      </x:c>
      <x:c r="AA1928" s="25" t="str">
        <x:v>[]</x:v>
      </x:c>
      <x:c r="AB1928" s="3" t="str">
        <x:v>Existing CapitalForge research, newly screened for this campaign</x:v>
      </x:c>
      <x:c r="AC1928" s="3" t="str">
        <x:v>unverified</x:v>
      </x:c>
      <x:c r="AD1928" s="3" t="str">
        <x:v>Not contacted / unconfirmed</x:v>
      </x:c>
      <x:c r="AE1928" s="3" t="str">
        <x:v>No</x:v>
      </x:c>
      <x:c r="AF1928" s="3" t="str">
        <x:v>No</x:v>
      </x:c>
      <x:c r="AG1928" s="3"/>
      <x:c r="AH1928" s="3"/>
      <x:c r="AI1928" s="18"/>
      <x:c r="AJ1928" s="3" t="str">
        <x:v>CF2500-C94DAD0E129B</x:v>
      </x:c>
      <x:c r="AK1928" s="3" t="str">
        <x:v>private_real_estate_lender</x:v>
      </x:c>
      <x:c r="AL1928" s="19" t="n">
        <x:v>100000</x:v>
      </x:c>
      <x:c r="AM1928" s="19" t="n">
        <x:v>500000</x:v>
      </x:c>
      <x:c r="AN1928" s="3" t="str">
        <x:v>https://www.privatelendersdirectory.com/united-states/scottsdale/real-estate-investment-lending/arizona-seller-financing</x:v>
      </x:c>
      <x:c r="AO1928" s="3" t="str">
        <x:v>public_directory.jsonl</x:v>
      </x:c>
      <x:c r="AP1928" s="19"/>
    </x:row>
    <x:row r="1929" ht="36" customHeight="1">
      <x:c r="A1929" s="23" t="n">
        <x:v>1928</x:v>
      </x:c>
      <x:c r="B1929" s="15" t="str">
        <x:v>Armor Investment Company</x:v>
      </x:c>
      <x:c r="C1929" s="15"/>
      <x:c r="D1929" s="15" t="str">
        <x:v>Property lender or directory member; operating-company capital unconfirmed</x:v>
      </x:c>
      <x:c r="E1929" s="15" t="str">
        <x:v>Property lender / private-money inquiry</x:v>
      </x:c>
      <x:c r="F1929" s="17" t="str">
        <x:v>New</x:v>
      </x:c>
      <x:c r="G1929" s="24"/>
      <x:c r="H1929" s="24" t="str">
        <x:v>+15203122128</x:v>
      </x:c>
      <x:c r="I1929" s="24" t="str">
        <x:v>http://armorinvestment.com</x:v>
      </x:c>
      <x:c r="J1929" s="16" t="str">
        <x:v>AZ</x:v>
      </x:c>
      <x:c r="K1929" s="16" t="str">
        <x:v>Tucson</x:v>
      </x:c>
      <x:c r="L1929" s="16" t="str">
        <x:v>firm_business_routing</x:v>
      </x:c>
      <x:c r="M1929" s="16" t="str">
        <x:v>http://armorinvestment.com</x:v>
      </x:c>
      <x:c r="N1929" s="16" t="str">
        <x:v>$100K-$500K ticket not published / unconfirmed</x:v>
      </x:c>
      <x:c r="O1929" s="20"/>
      <x:c r="P1929" s="20"/>
      <x:c r="Q1929" s="25" t="str">
        <x:v>Property-loan range, not a corporate-capital commitment</x:v>
      </x:c>
      <x:c r="R1929" s="25" t="str">
        <x:v>Private real-estate finance experience. Corporate working capital, minority equity or profit participation requires a separate agreement from a property loan.</x:v>
      </x:c>
      <x:c r="S1929" s="25"/>
      <x:c r="T1929" s="25" t="str">
        <x:v>Confirm direct principal versus broker, $100K-$500K appetite, and whether capital can fund the operating company without a property mortgage.</x:v>
      </x:c>
      <x:c r="U1929" s="25" t="str">
        <x:v>https://www.hardmoneyhome.com/lenders/view/armor-investment-company</x:v>
      </x:c>
      <x:c r="V1929" s="26" t="d">
        <x:v>2026-10-02T00:00:00.000Z</x:v>
      </x:c>
      <x:c r="W1929" s="26" t="d">
        <x:v>2026-09-30T00:00:00.000Z</x:v>
      </x:c>
      <x:c r="X1929" s="25" t="str">
        <x:v>Saved public company, industry-directory or regulatory source; source date retained</x:v>
      </x:c>
      <x:c r="Y1929" s="25"/>
      <x:c r="Z1929" s="25" t="str">
        <x:v>https://www.hardmoneyhome.com/lenders/view/armor-investment-company</x:v>
      </x:c>
      <x:c r="AA1929" s="25" t="str">
        <x:v>[]</x:v>
      </x:c>
      <x:c r="AB1929" s="3" t="str">
        <x:v>Existing CapitalForge research, newly screened for this campaign</x:v>
      </x:c>
      <x:c r="AC1929" s="3" t="str">
        <x:v>unverified</x:v>
      </x:c>
      <x:c r="AD1929" s="3" t="str">
        <x:v>Not contacted / unconfirmed</x:v>
      </x:c>
      <x:c r="AE1929" s="3" t="str">
        <x:v>No</x:v>
      </x:c>
      <x:c r="AF1929" s="3" t="str">
        <x:v>No</x:v>
      </x:c>
      <x:c r="AG1929" s="3"/>
      <x:c r="AH1929" s="3"/>
      <x:c r="AI1929" s="18"/>
      <x:c r="AJ1929" s="3" t="str">
        <x:v>CF2500-C3B35CD9BAA3</x:v>
      </x:c>
      <x:c r="AK1929" s="3" t="str">
        <x:v>private_real_estate_lender</x:v>
      </x:c>
      <x:c r="AL1929" s="19" t="n">
        <x:v>100000</x:v>
      </x:c>
      <x:c r="AM1929" s="19" t="n">
        <x:v>500000</x:v>
      </x:c>
      <x:c r="AN1929" s="3" t="str">
        <x:v>https://www.hardmoneyhome.com/lenders/view/armor-investment-company</x:v>
      </x:c>
      <x:c r="AO1929" s="3" t="str">
        <x:v>public_directory.jsonl</x:v>
      </x:c>
      <x:c r="AP1929" s="19"/>
    </x:row>
    <x:row r="1930" ht="36" customHeight="1">
      <x:c r="A1930" s="23" t="n">
        <x:v>1929</x:v>
      </x:c>
      <x:c r="B1930" s="15" t="str">
        <x:v>Austin Private Funding</x:v>
      </x:c>
      <x:c r="C1930" s="15"/>
      <x:c r="D1930" s="15" t="str">
        <x:v>Property lender or directory member; operating-company capital unconfirmed</x:v>
      </x:c>
      <x:c r="E1930" s="15" t="str">
        <x:v>Property lender / private-money inquiry</x:v>
      </x:c>
      <x:c r="F1930" s="17" t="str">
        <x:v>New</x:v>
      </x:c>
      <x:c r="G1930" s="24"/>
      <x:c r="H1930" s="24" t="str">
        <x:v>+15126098019</x:v>
      </x:c>
      <x:c r="I1930" s="24" t="str">
        <x:v>http://www.austinprivatefunding.com/</x:v>
      </x:c>
      <x:c r="J1930" s="16" t="str">
        <x:v>TX</x:v>
      </x:c>
      <x:c r="K1930" s="16" t="str">
        <x:v>Austin</x:v>
      </x:c>
      <x:c r="L1930" s="16" t="str">
        <x:v>firm_business_routing</x:v>
      </x:c>
      <x:c r="M1930" s="16" t="str">
        <x:v>http://www.austinprivatefunding.com/</x:v>
      </x:c>
      <x:c r="N1930" s="16" t="str">
        <x:v>$100K-$500K ticket not published / unconfirmed</x:v>
      </x:c>
      <x:c r="O1930" s="20"/>
      <x:c r="P1930" s="20"/>
      <x:c r="Q1930" s="25" t="str">
        <x:v>Property-loan range, not a corporate-capital commitment</x:v>
      </x:c>
      <x:c r="R1930" s="25" t="str">
        <x:v>Private real-estate finance experience. Corporate working capital, minority equity or profit participation requires a separate agreement from a property loan.</x:v>
      </x:c>
      <x:c r="S1930" s="25"/>
      <x:c r="T1930" s="25" t="str">
        <x:v>Confirm direct principal versus broker, $100K-$500K appetite, and whether capital can fund the operating company without a property mortgage.</x:v>
      </x:c>
      <x:c r="U1930" s="25" t="str">
        <x:v>https://www.hardmoneyhome.com/lenders/view/austin-private-funding</x:v>
      </x:c>
      <x:c r="V1930" s="26" t="d">
        <x:v>2026-10-02T00:00:00.000Z</x:v>
      </x:c>
      <x:c r="W1930" s="26" t="d">
        <x:v>2026-09-30T00:00:00.000Z</x:v>
      </x:c>
      <x:c r="X1930" s="25" t="str">
        <x:v>Saved public company, industry-directory or regulatory source; source date retained</x:v>
      </x:c>
      <x:c r="Y1930" s="25"/>
      <x:c r="Z1930" s="25" t="str">
        <x:v>https://www.hardmoneyhome.com/lenders/view/austin-private-funding</x:v>
      </x:c>
      <x:c r="AA1930" s="25" t="str">
        <x:v>[]</x:v>
      </x:c>
      <x:c r="AB1930" s="3" t="str">
        <x:v>Existing CapitalForge research, newly screened for this campaign</x:v>
      </x:c>
      <x:c r="AC1930" s="3" t="str">
        <x:v>unverified</x:v>
      </x:c>
      <x:c r="AD1930" s="3" t="str">
        <x:v>Not contacted / unconfirmed</x:v>
      </x:c>
      <x:c r="AE1930" s="3" t="str">
        <x:v>No</x:v>
      </x:c>
      <x:c r="AF1930" s="3" t="str">
        <x:v>No</x:v>
      </x:c>
      <x:c r="AG1930" s="3"/>
      <x:c r="AH1930" s="3"/>
      <x:c r="AI1930" s="18"/>
      <x:c r="AJ1930" s="3" t="str">
        <x:v>CF2500-62C681C18E34</x:v>
      </x:c>
      <x:c r="AK1930" s="3" t="str">
        <x:v>private_real_estate_lender</x:v>
      </x:c>
      <x:c r="AL1930" s="19" t="n">
        <x:v>100000</x:v>
      </x:c>
      <x:c r="AM1930" s="19" t="n">
        <x:v>500000</x:v>
      </x:c>
      <x:c r="AN1930" s="3" t="str">
        <x:v>https://www.hardmoneyhome.com/lenders/view/austin-private-funding</x:v>
      </x:c>
      <x:c r="AO1930" s="3" t="str">
        <x:v>public_directory.jsonl</x:v>
      </x:c>
      <x:c r="AP1930" s="19"/>
    </x:row>
    <x:row r="1931" ht="36" customHeight="1">
      <x:c r="A1931" s="23" t="n">
        <x:v>1930</x:v>
      </x:c>
      <x:c r="B1931" s="15" t="str">
        <x:v>Axis Property Advisors</x:v>
      </x:c>
      <x:c r="C1931" s="15"/>
      <x:c r="D1931" s="15" t="str">
        <x:v>Property lender or directory member; operating-company capital unconfirmed</x:v>
      </x:c>
      <x:c r="E1931" s="15" t="str">
        <x:v>Property lender / private-money inquiry</x:v>
      </x:c>
      <x:c r="F1931" s="17" t="str">
        <x:v>New</x:v>
      </x:c>
      <x:c r="G1931" s="24"/>
      <x:c r="H1931" s="24" t="str">
        <x:v>+16026145590</x:v>
      </x:c>
      <x:c r="I1931" s="24" t="str">
        <x:v>http://axispropertyadvisors.com</x:v>
      </x:c>
      <x:c r="J1931" s="16" t="str">
        <x:v>AZ</x:v>
      </x:c>
      <x:c r="K1931" s="16" t="str">
        <x:v>Phoenix</x:v>
      </x:c>
      <x:c r="L1931" s="16" t="str">
        <x:v>firm_business_routing</x:v>
      </x:c>
      <x:c r="M1931" s="16" t="str">
        <x:v>http://axispropertyadvisors.com</x:v>
      </x:c>
      <x:c r="N1931" s="16" t="str">
        <x:v>$100K-$500K ticket not published / unconfirmed</x:v>
      </x:c>
      <x:c r="O1931" s="20"/>
      <x:c r="P1931" s="20"/>
      <x:c r="Q1931" s="25" t="str">
        <x:v>Property-loan range, not a corporate-capital commitment</x:v>
      </x:c>
      <x:c r="R1931" s="25" t="str">
        <x:v>Private real-estate finance experience. Corporate working capital, minority equity or profit participation requires a separate agreement from a property loan.</x:v>
      </x:c>
      <x:c r="S1931" s="25"/>
      <x:c r="T1931" s="25" t="str">
        <x:v>Confirm direct principal versus broker, $100K-$500K appetite, and whether capital can fund the operating company without a property mortgage.</x:v>
      </x:c>
      <x:c r="U1931" s="25" t="str">
        <x:v>https://www.hardmoneyhome.com/lenders/view/axis-property-advisors
https://www.privatelendersdirectory.com/united-states/phoenix/top-level-category/axis-property-advisors</x:v>
      </x:c>
      <x:c r="V1931" s="26" t="d">
        <x:v>2026-10-02T00:00:00.000Z</x:v>
      </x:c>
      <x:c r="W1931" s="26" t="d">
        <x:v>2026-09-30T00:00:00.000Z</x:v>
      </x:c>
      <x:c r="X1931" s="25" t="str">
        <x:v>Saved public company, industry-directory or regulatory source; source date retained</x:v>
      </x:c>
      <x:c r="Y1931" s="25"/>
      <x:c r="Z1931" s="25" t="str">
        <x:v>https://www.hardmoneyhome.com/lenders/view/axis-property-advisors</x:v>
      </x:c>
      <x:c r="AA1931" s="25" t="str">
        <x:v>[]</x:v>
      </x:c>
      <x:c r="AB1931" s="3" t="str">
        <x:v>Existing CapitalForge research, newly screened for this campaign</x:v>
      </x:c>
      <x:c r="AC1931" s="3" t="str">
        <x:v>unverified</x:v>
      </x:c>
      <x:c r="AD1931" s="3" t="str">
        <x:v>Not contacted / unconfirmed</x:v>
      </x:c>
      <x:c r="AE1931" s="3" t="str">
        <x:v>No</x:v>
      </x:c>
      <x:c r="AF1931" s="3" t="str">
        <x:v>No</x:v>
      </x:c>
      <x:c r="AG1931" s="3"/>
      <x:c r="AH1931" s="3"/>
      <x:c r="AI1931" s="18"/>
      <x:c r="AJ1931" s="3" t="str">
        <x:v>CF2500-07D70C3D10A4</x:v>
      </x:c>
      <x:c r="AK1931" s="3" t="str">
        <x:v>private_real_estate_lender</x:v>
      </x:c>
      <x:c r="AL1931" s="19" t="n">
        <x:v>100000</x:v>
      </x:c>
      <x:c r="AM1931" s="19" t="n">
        <x:v>500000</x:v>
      </x:c>
      <x:c r="AN1931" s="3" t="str">
        <x:v>https://www.hardmoneyhome.com/lenders/view/axis-property-advisors</x:v>
      </x:c>
      <x:c r="AO1931" s="3" t="str">
        <x:v>public_directory.jsonl</x:v>
      </x:c>
      <x:c r="AP1931" s="19"/>
    </x:row>
    <x:row r="1932" ht="36" customHeight="1">
      <x:c r="A1932" s="23" t="n">
        <x:v>1931</x:v>
      </x:c>
      <x:c r="B1932" s="15" t="str">
        <x:v>B.RILEY FINANCIAL</x:v>
      </x:c>
      <x:c r="C1932" s="15"/>
      <x:c r="D1932" s="15" t="str">
        <x:v>Property lender or directory member; operating-company capital unconfirmed</x:v>
      </x:c>
      <x:c r="E1932" s="15" t="str">
        <x:v>Property lender / private-money inquiry</x:v>
      </x:c>
      <x:c r="F1932" s="17" t="str">
        <x:v>New</x:v>
      </x:c>
      <x:c r="G1932" s="24"/>
      <x:c r="H1932" s="24" t="str">
        <x:v>+13109661444</x:v>
      </x:c>
      <x:c r="I1932" s="24" t="str">
        <x:v>https://brileyfin.com/</x:v>
      </x:c>
      <x:c r="J1932" s="16" t="str">
        <x:v>IL</x:v>
      </x:c>
      <x:c r="K1932" s="16" t="str">
        <x:v>Chicago</x:v>
      </x:c>
      <x:c r="L1932" s="16" t="str">
        <x:v>firm_business_routing</x:v>
      </x:c>
      <x:c r="M1932" s="16" t="str">
        <x:v>https://brileyfin.com/</x:v>
      </x:c>
      <x:c r="N1932" s="16" t="str">
        <x:v>$100K-$500K ticket not published / unconfirmed</x:v>
      </x:c>
      <x:c r="O1932" s="20"/>
      <x:c r="P1932" s="20"/>
      <x:c r="Q1932" s="25" t="str">
        <x:v>Property-loan range, not a corporate-capital commitment</x:v>
      </x:c>
      <x:c r="R1932" s="25" t="str">
        <x:v>Private real-estate finance experience. Corporate working capital, minority equity or profit participation requires a separate agreement from a property loan.</x:v>
      </x:c>
      <x:c r="S1932" s="25"/>
      <x:c r="T1932" s="25" t="str">
        <x:v>Confirm direct principal versus broker, $100K-$500K appetite, and whether capital can fund the operating company without a property mortgage.</x:v>
      </x:c>
      <x:c r="U1932" s="25" t="str">
        <x:v>https://www.privatelendersdirectory.com/united-states/chicago/top-level-category/b-riley-financial
https://www.brcgh.com/contact-us</x:v>
      </x:c>
      <x:c r="V1932" s="26" t="d">
        <x:v>2026-10-02T00:00:00.000Z</x:v>
      </x:c>
      <x:c r="W1932" s="26" t="d">
        <x:v>2026-09-30T00:00:00.000Z</x:v>
      </x:c>
      <x:c r="X1932" s="25" t="str">
        <x:v>Saved public company, industry-directory or regulatory source; source date retained</x:v>
      </x:c>
      <x:c r="Y1932" s="25"/>
      <x:c r="Z1932" s="25" t="str">
        <x:v>https://www.brcgh.com/contact-us</x:v>
      </x:c>
      <x:c r="AA1932" s="25" t="str">
        <x:v>[]</x:v>
      </x:c>
      <x:c r="AB1932" s="3" t="str">
        <x:v>Existing CapitalForge research, newly screened for this campaign</x:v>
      </x:c>
      <x:c r="AC1932" s="3" t="str">
        <x:v>unverified</x:v>
      </x:c>
      <x:c r="AD1932" s="3" t="str">
        <x:v>Not contacted / unconfirmed</x:v>
      </x:c>
      <x:c r="AE1932" s="3" t="str">
        <x:v>No</x:v>
      </x:c>
      <x:c r="AF1932" s="3" t="str">
        <x:v>No</x:v>
      </x:c>
      <x:c r="AG1932" s="3"/>
      <x:c r="AH1932" s="3"/>
      <x:c r="AI1932" s="18"/>
      <x:c r="AJ1932" s="3" t="str">
        <x:v>CF2500-DCE353CE398E</x:v>
      </x:c>
      <x:c r="AK1932" s="3" t="str">
        <x:v>private_real_estate_lender</x:v>
      </x:c>
      <x:c r="AL1932" s="19" t="n">
        <x:v>100000</x:v>
      </x:c>
      <x:c r="AM1932" s="19" t="n">
        <x:v>500000</x:v>
      </x:c>
      <x:c r="AN1932" s="3" t="str">
        <x:v>https://www.privatelendersdirectory.com/united-states/chicago/top-level-category/b-riley-financial</x:v>
      </x:c>
      <x:c r="AO1932" s="3" t="str">
        <x:v>public_directory.jsonl</x:v>
      </x:c>
      <x:c r="AP1932" s="19"/>
    </x:row>
    <x:row r="1933" ht="36" customHeight="1">
      <x:c r="A1933" s="23" t="n">
        <x:v>1932</x:v>
      </x:c>
      <x:c r="B1933" s="15" t="str">
        <x:v>Barrett Financial Group</x:v>
      </x:c>
      <x:c r="C1933" s="15"/>
      <x:c r="D1933" s="15" t="str">
        <x:v>Property lender or directory member; operating-company capital unconfirmed</x:v>
      </x:c>
      <x:c r="E1933" s="15" t="str">
        <x:v>Property lender / private-money inquiry</x:v>
      </x:c>
      <x:c r="F1933" s="17" t="str">
        <x:v>New</x:v>
      </x:c>
      <x:c r="G1933" s="24"/>
      <x:c r="H1933" s="24" t="str">
        <x:v>+14809996183</x:v>
      </x:c>
      <x:c r="I1933" s="24" t="str">
        <x:v>https://www.hardmoneylendersarizona.com/</x:v>
      </x:c>
      <x:c r="J1933" s="16" t="str">
        <x:v>AZ</x:v>
      </x:c>
      <x:c r="K1933" s="16" t="str">
        <x:v>Phoenix</x:v>
      </x:c>
      <x:c r="L1933" s="16" t="str">
        <x:v>firm_business_routing</x:v>
      </x:c>
      <x:c r="M1933" s="16" t="str">
        <x:v>https://www.hardmoneylendersarizona.com/</x:v>
      </x:c>
      <x:c r="N1933" s="16" t="str">
        <x:v>$100K-$500K ticket not published / unconfirmed</x:v>
      </x:c>
      <x:c r="O1933" s="20"/>
      <x:c r="P1933" s="20"/>
      <x:c r="Q1933" s="25" t="str">
        <x:v>Property-loan range, not a corporate-capital commitment</x:v>
      </x:c>
      <x:c r="R1933" s="25" t="str">
        <x:v>Private real-estate finance experience. Corporate working capital, minority equity or profit participation requires a separate agreement from a property loan.</x:v>
      </x:c>
      <x:c r="S1933" s="25"/>
      <x:c r="T1933" s="25" t="str">
        <x:v>Confirm direct principal versus broker, $100K-$500K appetite, and whether capital can fund the operating company without a property mortgage.</x:v>
      </x:c>
      <x:c r="U1933" s="25" t="str">
        <x:v>https://www.hardmoneyhome.com/lenders/view/barrett-financial-group</x:v>
      </x:c>
      <x:c r="V1933" s="26" t="d">
        <x:v>2026-10-02T00:00:00.000Z</x:v>
      </x:c>
      <x:c r="W1933" s="26" t="d">
        <x:v>2026-09-30T00:00:00.000Z</x:v>
      </x:c>
      <x:c r="X1933" s="25" t="str">
        <x:v>Saved public company, industry-directory or regulatory source; source date retained</x:v>
      </x:c>
      <x:c r="Y1933" s="25"/>
      <x:c r="Z1933" s="25" t="str">
        <x:v>https://www.hardmoneyhome.com/lenders/view/barrett-financial-group</x:v>
      </x:c>
      <x:c r="AA1933" s="25" t="str">
        <x:v>[]</x:v>
      </x:c>
      <x:c r="AB1933" s="3" t="str">
        <x:v>Existing CapitalForge research, newly screened for this campaign</x:v>
      </x:c>
      <x:c r="AC1933" s="3" t="str">
        <x:v>unverified</x:v>
      </x:c>
      <x:c r="AD1933" s="3" t="str">
        <x:v>Not contacted / unconfirmed</x:v>
      </x:c>
      <x:c r="AE1933" s="3" t="str">
        <x:v>No</x:v>
      </x:c>
      <x:c r="AF1933" s="3" t="str">
        <x:v>No</x:v>
      </x:c>
      <x:c r="AG1933" s="3"/>
      <x:c r="AH1933" s="3"/>
      <x:c r="AI1933" s="18"/>
      <x:c r="AJ1933" s="3" t="str">
        <x:v>CF2500-C4A9A0AB18ED</x:v>
      </x:c>
      <x:c r="AK1933" s="3" t="str">
        <x:v>private_real_estate_lender</x:v>
      </x:c>
      <x:c r="AL1933" s="19" t="n">
        <x:v>100000</x:v>
      </x:c>
      <x:c r="AM1933" s="19" t="n">
        <x:v>500000</x:v>
      </x:c>
      <x:c r="AN1933" s="3" t="str">
        <x:v>https://www.hardmoneyhome.com/lenders/view/barrett-financial-group</x:v>
      </x:c>
      <x:c r="AO1933" s="3" t="str">
        <x:v>public_directory.jsonl</x:v>
      </x:c>
      <x:c r="AP1933" s="19"/>
    </x:row>
    <x:row r="1934" ht="36" customHeight="1">
      <x:c r="A1934" s="23" t="n">
        <x:v>1933</x:v>
      </x:c>
      <x:c r="B1934" s="15" t="str">
        <x:v>Best Beach Lending</x:v>
      </x:c>
      <x:c r="C1934" s="15"/>
      <x:c r="D1934" s="15" t="str">
        <x:v>Property lender or directory member; operating-company capital unconfirmed</x:v>
      </x:c>
      <x:c r="E1934" s="15" t="str">
        <x:v>Property lender / private-money inquiry</x:v>
      </x:c>
      <x:c r="F1934" s="17" t="str">
        <x:v>New</x:v>
      </x:c>
      <x:c r="G1934" s="24"/>
      <x:c r="H1934" s="24" t="str">
        <x:v>+18558586009</x:v>
      </x:c>
      <x:c r="I1934" s="24" t="str">
        <x:v>http://bestbeachlending.net</x:v>
      </x:c>
      <x:c r="J1934" s="16" t="str">
        <x:v>FL</x:v>
      </x:c>
      <x:c r="K1934" s="16" t="str">
        <x:v>Miami</x:v>
      </x:c>
      <x:c r="L1934" s="16" t="str">
        <x:v>firm_business_routing</x:v>
      </x:c>
      <x:c r="M1934" s="16" t="str">
        <x:v>http://bestbeachlending.net</x:v>
      </x:c>
      <x:c r="N1934" s="16" t="str">
        <x:v>$100K-$500K ticket not published / unconfirmed</x:v>
      </x:c>
      <x:c r="O1934" s="20"/>
      <x:c r="P1934" s="20"/>
      <x:c r="Q1934" s="25" t="str">
        <x:v>Property-loan range, not a corporate-capital commitment</x:v>
      </x:c>
      <x:c r="R1934" s="25" t="str">
        <x:v>Private real-estate finance experience. Corporate working capital, minority equity or profit participation requires a separate agreement from a property loan.</x:v>
      </x:c>
      <x:c r="S1934" s="25"/>
      <x:c r="T1934" s="25" t="str">
        <x:v>Confirm direct principal versus broker, $100K-$500K appetite, and whether capital can fund the operating company without a property mortgage.</x:v>
      </x:c>
      <x:c r="U1934" s="25" t="str">
        <x:v>https://www.hardmoneyhome.com/lenders/view/best-beach-lending</x:v>
      </x:c>
      <x:c r="V1934" s="26" t="d">
        <x:v>2026-10-02T00:00:00.000Z</x:v>
      </x:c>
      <x:c r="W1934" s="26" t="d">
        <x:v>2026-09-30T00:00:00.000Z</x:v>
      </x:c>
      <x:c r="X1934" s="25" t="str">
        <x:v>Saved public company, industry-directory or regulatory source; source date retained</x:v>
      </x:c>
      <x:c r="Y1934" s="25"/>
      <x:c r="Z1934" s="25" t="str">
        <x:v>https://www.hardmoneyhome.com/lenders/view/best-beach-lending</x:v>
      </x:c>
      <x:c r="AA1934" s="25" t="str">
        <x:v>[]</x:v>
      </x:c>
      <x:c r="AB1934" s="3" t="str">
        <x:v>Existing CapitalForge research, newly screened for this campaign</x:v>
      </x:c>
      <x:c r="AC1934" s="3" t="str">
        <x:v>unverified</x:v>
      </x:c>
      <x:c r="AD1934" s="3" t="str">
        <x:v>Not contacted / unconfirmed</x:v>
      </x:c>
      <x:c r="AE1934" s="3" t="str">
        <x:v>No</x:v>
      </x:c>
      <x:c r="AF1934" s="3" t="str">
        <x:v>No</x:v>
      </x:c>
      <x:c r="AG1934" s="3"/>
      <x:c r="AH1934" s="3"/>
      <x:c r="AI1934" s="18"/>
      <x:c r="AJ1934" s="3" t="str">
        <x:v>CF2500-01892A86843D</x:v>
      </x:c>
      <x:c r="AK1934" s="3" t="str">
        <x:v>private_real_estate_lender</x:v>
      </x:c>
      <x:c r="AL1934" s="19" t="n">
        <x:v>100000</x:v>
      </x:c>
      <x:c r="AM1934" s="19" t="n">
        <x:v>500000</x:v>
      </x:c>
      <x:c r="AN1934" s="3" t="str">
        <x:v>https://www.hardmoneyhome.com/lenders/view/best-beach-lending</x:v>
      </x:c>
      <x:c r="AO1934" s="3" t="str">
        <x:v>public_directory.jsonl</x:v>
      </x:c>
      <x:c r="AP1934" s="19"/>
    </x:row>
    <x:row r="1935" ht="36" customHeight="1">
      <x:c r="A1935" s="23" t="n">
        <x:v>1934</x:v>
      </x:c>
      <x:c r="B1935" s="15" t="str">
        <x:v>BIG COUNTRY FUNDING LLC</x:v>
      </x:c>
      <x:c r="C1935" s="15"/>
      <x:c r="D1935" s="15" t="str">
        <x:v>Property lender or directory member; operating-company capital unconfirmed</x:v>
      </x:c>
      <x:c r="E1935" s="15" t="str">
        <x:v>Property lender / private-money inquiry</x:v>
      </x:c>
      <x:c r="F1935" s="17" t="str">
        <x:v>New</x:v>
      </x:c>
      <x:c r="G1935" s="24"/>
      <x:c r="H1935" s="24" t="str">
        <x:v>+19727433837</x:v>
      </x:c>
      <x:c r="I1935" s="24" t="str">
        <x:v>https://www.bigcfllc.com</x:v>
      </x:c>
      <x:c r="J1935" s="16" t="str">
        <x:v>TX</x:v>
      </x:c>
      <x:c r="K1935" s="16" t="str">
        <x:v>Burleson</x:v>
      </x:c>
      <x:c r="L1935" s="16" t="str">
        <x:v>firm_business_routing</x:v>
      </x:c>
      <x:c r="M1935" s="16" t="str">
        <x:v>https://www.bigcfllc.com</x:v>
      </x:c>
      <x:c r="N1935" s="16" t="str">
        <x:v>$100K-$500K ticket not published / unconfirmed</x:v>
      </x:c>
      <x:c r="O1935" s="20"/>
      <x:c r="P1935" s="20"/>
      <x:c r="Q1935" s="25" t="str">
        <x:v>Property-loan range, not a corporate-capital commitment</x:v>
      </x:c>
      <x:c r="R1935" s="25" t="str">
        <x:v>Private real-estate finance experience. Corporate working capital, minority equity or profit participation requires a separate agreement from a property loan.</x:v>
      </x:c>
      <x:c r="S1935" s="25"/>
      <x:c r="T1935" s="25" t="str">
        <x:v>Confirm direct principal versus broker, $100K-$500K appetite, and whether capital can fund the operating company without a property mortgage.</x:v>
      </x:c>
      <x:c r="U1935" s="25" t="str">
        <x:v>https://www.privatelendersdirectory.com/united-states/burleson/top-level-category/big-country-funding-llc
https://www.bigcfllc.com/</x:v>
      </x:c>
      <x:c r="V1935" s="26" t="d">
        <x:v>2026-10-02T00:00:00.000Z</x:v>
      </x:c>
      <x:c r="W1935" s="26" t="d">
        <x:v>2026-09-30T00:00:00.000Z</x:v>
      </x:c>
      <x:c r="X1935" s="25" t="str">
        <x:v>Saved public company, industry-directory or regulatory source; source date retained</x:v>
      </x:c>
      <x:c r="Y1935" s="25"/>
      <x:c r="Z1935" s="25" t="str">
        <x:v>https://www.bigcfllc.com/</x:v>
      </x:c>
      <x:c r="AA1935" s="25" t="str">
        <x:v>[]</x:v>
      </x:c>
      <x:c r="AB1935" s="3" t="str">
        <x:v>Existing CapitalForge research, newly screened for this campaign</x:v>
      </x:c>
      <x:c r="AC1935" s="3" t="str">
        <x:v>unverified</x:v>
      </x:c>
      <x:c r="AD1935" s="3" t="str">
        <x:v>Not contacted / unconfirmed</x:v>
      </x:c>
      <x:c r="AE1935" s="3" t="str">
        <x:v>No</x:v>
      </x:c>
      <x:c r="AF1935" s="3" t="str">
        <x:v>No</x:v>
      </x:c>
      <x:c r="AG1935" s="3"/>
      <x:c r="AH1935" s="3"/>
      <x:c r="AI1935" s="18"/>
      <x:c r="AJ1935" s="3" t="str">
        <x:v>CF2500-BC34251F5F2E</x:v>
      </x:c>
      <x:c r="AK1935" s="3" t="str">
        <x:v>private_real_estate_lender</x:v>
      </x:c>
      <x:c r="AL1935" s="19" t="n">
        <x:v>100000</x:v>
      </x:c>
      <x:c r="AM1935" s="19" t="n">
        <x:v>500000</x:v>
      </x:c>
      <x:c r="AN1935" s="3" t="str">
        <x:v>https://www.privatelendersdirectory.com/united-states/burleson/top-level-category/big-country-funding-llc</x:v>
      </x:c>
      <x:c r="AO1935" s="3" t="str">
        <x:v>public_directory.jsonl</x:v>
      </x:c>
      <x:c r="AP1935" s="19"/>
    </x:row>
    <x:row r="1936" ht="36" customHeight="1">
      <x:c r="A1936" s="23" t="n">
        <x:v>1935</x:v>
      </x:c>
      <x:c r="B1936" s="15" t="str">
        <x:v>BREVILLE WEALTH</x:v>
      </x:c>
      <x:c r="C1936" s="15"/>
      <x:c r="D1936" s="15" t="str">
        <x:v>Property lender or directory member; operating-company capital unconfirmed</x:v>
      </x:c>
      <x:c r="E1936" s="15" t="str">
        <x:v>Property lender / private-money inquiry</x:v>
      </x:c>
      <x:c r="F1936" s="17" t="str">
        <x:v>New</x:v>
      </x:c>
      <x:c r="G1936" s="24"/>
      <x:c r="H1936" s="24" t="str">
        <x:v>+12818511450</x:v>
      </x:c>
      <x:c r="I1936" s="24" t="str">
        <x:v>https://brevillewealthmanagement.com/</x:v>
      </x:c>
      <x:c r="J1936" s="16" t="str">
        <x:v>TX</x:v>
      </x:c>
      <x:c r="K1936" s="16" t="str">
        <x:v>Houston</x:v>
      </x:c>
      <x:c r="L1936" s="16" t="str">
        <x:v>firm_business_routing</x:v>
      </x:c>
      <x:c r="M1936" s="16" t="str">
        <x:v>https://brevillewealthmanagement.com/</x:v>
      </x:c>
      <x:c r="N1936" s="16" t="str">
        <x:v>$100K-$500K ticket not published / unconfirmed</x:v>
      </x:c>
      <x:c r="O1936" s="20"/>
      <x:c r="P1936" s="20"/>
      <x:c r="Q1936" s="25" t="str">
        <x:v>Property-loan range, not a corporate-capital commitment</x:v>
      </x:c>
      <x:c r="R1936" s="25" t="str">
        <x:v>Private real-estate finance experience. Corporate working capital, minority equity or profit participation requires a separate agreement from a property loan.</x:v>
      </x:c>
      <x:c r="S1936" s="25"/>
      <x:c r="T1936" s="25" t="str">
        <x:v>Confirm direct principal versus broker, $100K-$500K appetite, and whether capital can fund the operating company without a property mortgage.</x:v>
      </x:c>
      <x:c r="U1936" s="25" t="str">
        <x:v>https://www.privatelendersdirectory.com/united-states/houston/top-level-category/breville-wealth
https://brevillewealthmanagement.com/</x:v>
      </x:c>
      <x:c r="V1936" s="26" t="d">
        <x:v>2026-10-02T00:00:00.000Z</x:v>
      </x:c>
      <x:c r="W1936" s="26" t="d">
        <x:v>2026-09-30T00:00:00.000Z</x:v>
      </x:c>
      <x:c r="X1936" s="25" t="str">
        <x:v>Saved public company, industry-directory or regulatory source; source date retained</x:v>
      </x:c>
      <x:c r="Y1936" s="25"/>
      <x:c r="Z1936" s="25" t="str">
        <x:v>https://brevillewealthmanagement.com/</x:v>
      </x:c>
      <x:c r="AA1936" s="25" t="str">
        <x:v>[]</x:v>
      </x:c>
      <x:c r="AB1936" s="3" t="str">
        <x:v>Existing CapitalForge research, newly screened for this campaign</x:v>
      </x:c>
      <x:c r="AC1936" s="3" t="str">
        <x:v>unverified</x:v>
      </x:c>
      <x:c r="AD1936" s="3" t="str">
        <x:v>Not contacted / unconfirmed</x:v>
      </x:c>
      <x:c r="AE1936" s="3" t="str">
        <x:v>No</x:v>
      </x:c>
      <x:c r="AF1936" s="3" t="str">
        <x:v>No</x:v>
      </x:c>
      <x:c r="AG1936" s="3"/>
      <x:c r="AH1936" s="3"/>
      <x:c r="AI1936" s="18"/>
      <x:c r="AJ1936" s="3" t="str">
        <x:v>CF2500-89126259AC22</x:v>
      </x:c>
      <x:c r="AK1936" s="3" t="str">
        <x:v>private_real_estate_lender</x:v>
      </x:c>
      <x:c r="AL1936" s="19" t="n">
        <x:v>100000</x:v>
      </x:c>
      <x:c r="AM1936" s="19" t="n">
        <x:v>500000</x:v>
      </x:c>
      <x:c r="AN1936" s="3" t="str">
        <x:v>https://www.privatelendersdirectory.com/united-states/houston/top-level-category/breville-wealth</x:v>
      </x:c>
      <x:c r="AO1936" s="3" t="str">
        <x:v>public_directory.jsonl</x:v>
      </x:c>
      <x:c r="AP1936" s="19"/>
    </x:row>
    <x:row r="1937" ht="36" customHeight="1">
      <x:c r="A1937" s="23" t="n">
        <x:v>1936</x:v>
      </x:c>
      <x:c r="B1937" s="15" t="str">
        <x:v>Broadview Funding</x:v>
      </x:c>
      <x:c r="C1937" s="15"/>
      <x:c r="D1937" s="15" t="str">
        <x:v>Property lender or directory member; operating-company capital unconfirmed</x:v>
      </x:c>
      <x:c r="E1937" s="15" t="str">
        <x:v>Property lender / private-money inquiry</x:v>
      </x:c>
      <x:c r="F1937" s="17" t="str">
        <x:v>New</x:v>
      </x:c>
      <x:c r="G1937" s="24"/>
      <x:c r="H1937" s="24" t="str">
        <x:v>+17184898700</x:v>
      </x:c>
      <x:c r="I1937" s="24" t="str">
        <x:v>https://broadviewfunding.com/?utm_source=private-lender-link</x:v>
      </x:c>
      <x:c r="J1937" s="16" t="str">
        <x:v>FL</x:v>
      </x:c>
      <x:c r="K1937" s="16" t="str">
        <x:v>Fort Lauderdale</x:v>
      </x:c>
      <x:c r="L1937" s="16" t="str">
        <x:v>firm_business_routing</x:v>
      </x:c>
      <x:c r="M1937" s="16" t="str">
        <x:v>https://broadviewfunding.com/?utm_source=private-lender-link</x:v>
      </x:c>
      <x:c r="N1937" s="16" t="str">
        <x:v>$100K-$500K ticket not published / unconfirmed</x:v>
      </x:c>
      <x:c r="O1937" s="20"/>
      <x:c r="P1937" s="20"/>
      <x:c r="Q1937" s="25" t="str">
        <x:v>Property-loan range, not a corporate-capital commitment</x:v>
      </x:c>
      <x:c r="R1937" s="25" t="str">
        <x:v>Private real-estate finance experience. Corporate working capital, minority equity or profit participation requires a separate agreement from a property loan.</x:v>
      </x:c>
      <x:c r="S1937" s="25"/>
      <x:c r="T1937" s="25" t="str">
        <x:v>Confirm direct principal versus broker, $100K-$500K appetite, and whether capital can fund the operating company without a property mortgage.</x:v>
      </x:c>
      <x:c r="U1937" s="25" t="str">
        <x:v>https://privatelenderlink.com/profile/broadview-funding/
https://nplaconference.com/private-lending-directory/page/3/
https://broadviewfunding.com/contact/</x:v>
      </x:c>
      <x:c r="V1937" s="26" t="d">
        <x:v>2026-10-02T00:00:00.000Z</x:v>
      </x:c>
      <x:c r="W1937" s="26" t="d">
        <x:v>2026-09-30T00:00:00.000Z</x:v>
      </x:c>
      <x:c r="X1937" s="25" t="str">
        <x:v>Saved public company, industry-directory or regulatory source; source date retained</x:v>
      </x:c>
      <x:c r="Y1937" s="25"/>
      <x:c r="Z1937" s="25" t="str">
        <x:v>https://privatelenderlink.com/profile/broadview-funding/</x:v>
      </x:c>
      <x:c r="AA1937" s="25" t="str">
        <x:v>[]</x:v>
      </x:c>
      <x:c r="AB1937" s="3" t="str">
        <x:v>Existing CapitalForge research, newly screened for this campaign</x:v>
      </x:c>
      <x:c r="AC1937" s="3" t="str">
        <x:v>unverified</x:v>
      </x:c>
      <x:c r="AD1937" s="3" t="str">
        <x:v>Not contacted / unconfirmed</x:v>
      </x:c>
      <x:c r="AE1937" s="3" t="str">
        <x:v>No</x:v>
      </x:c>
      <x:c r="AF1937" s="3" t="str">
        <x:v>No</x:v>
      </x:c>
      <x:c r="AG1937" s="3"/>
      <x:c r="AH1937" s="3"/>
      <x:c r="AI1937" s="18"/>
      <x:c r="AJ1937" s="3" t="str">
        <x:v>CF2500-A34A4F09699D</x:v>
      </x:c>
      <x:c r="AK1937" s="3" t="str">
        <x:v>private_real_estate_lender</x:v>
      </x:c>
      <x:c r="AL1937" s="19" t="n">
        <x:v>100000</x:v>
      </x:c>
      <x:c r="AM1937" s="19" t="n">
        <x:v>500000</x:v>
      </x:c>
      <x:c r="AN1937" s="3" t="str">
        <x:v>https://privatelenderlink.com/profile/broadview-funding/</x:v>
      </x:c>
      <x:c r="AO1937" s="3" t="str">
        <x:v>public_directory.jsonl</x:v>
      </x:c>
      <x:c r="AP1937" s="19"/>
    </x:row>
    <x:row r="1938" ht="36" customHeight="1">
      <x:c r="A1938" s="23" t="n">
        <x:v>1937</x:v>
      </x:c>
      <x:c r="B1938" s="15" t="str">
        <x:v>C-Mortgage</x:v>
      </x:c>
      <x:c r="C1938" s="15"/>
      <x:c r="D1938" s="15" t="str">
        <x:v>Property lender or directory member; operating-company capital unconfirmed</x:v>
      </x:c>
      <x:c r="E1938" s="15" t="str">
        <x:v>Property lender / private-money inquiry</x:v>
      </x:c>
      <x:c r="F1938" s="17" t="str">
        <x:v>New</x:v>
      </x:c>
      <x:c r="G1938" s="24"/>
      <x:c r="H1938" s="24" t="str">
        <x:v>+18138745800</x:v>
      </x:c>
      <x:c r="I1938" s="24" t="str">
        <x:v>http://www.c-mortgage.com/</x:v>
      </x:c>
      <x:c r="J1938" s="16" t="str">
        <x:v>FL</x:v>
      </x:c>
      <x:c r="K1938" s="16" t="str">
        <x:v>Tampa</x:v>
      </x:c>
      <x:c r="L1938" s="16" t="str">
        <x:v>firm_business_routing</x:v>
      </x:c>
      <x:c r="M1938" s="16" t="str">
        <x:v>http://www.c-mortgage.com/</x:v>
      </x:c>
      <x:c r="N1938" s="16" t="str">
        <x:v>$100K-$500K ticket not published / unconfirmed</x:v>
      </x:c>
      <x:c r="O1938" s="20"/>
      <x:c r="P1938" s="20"/>
      <x:c r="Q1938" s="25" t="str">
        <x:v>Property-loan range, not a corporate-capital commitment</x:v>
      </x:c>
      <x:c r="R1938" s="25" t="str">
        <x:v>Private real-estate finance experience. Corporate working capital, minority equity or profit participation requires a separate agreement from a property loan.</x:v>
      </x:c>
      <x:c r="S1938" s="25"/>
      <x:c r="T1938" s="25" t="str">
        <x:v>Confirm direct principal versus broker, $100K-$500K appetite, and whether capital can fund the operating company without a property mortgage.</x:v>
      </x:c>
      <x:c r="U1938" s="25" t="str">
        <x:v>https://www.hardmoneyhome.com/lenders/view/c-mortgage</x:v>
      </x:c>
      <x:c r="V1938" s="26" t="d">
        <x:v>2026-10-02T00:00:00.000Z</x:v>
      </x:c>
      <x:c r="W1938" s="26" t="d">
        <x:v>2026-09-30T00:00:00.000Z</x:v>
      </x:c>
      <x:c r="X1938" s="25" t="str">
        <x:v>Saved public company, industry-directory or regulatory source; source date retained</x:v>
      </x:c>
      <x:c r="Y1938" s="25"/>
      <x:c r="Z1938" s="25" t="str">
        <x:v>https://www.hardmoneyhome.com/lenders/view/c-mortgage</x:v>
      </x:c>
      <x:c r="AA1938" s="25" t="str">
        <x:v>[]</x:v>
      </x:c>
      <x:c r="AB1938" s="3" t="str">
        <x:v>Existing CapitalForge research, newly screened for this campaign</x:v>
      </x:c>
      <x:c r="AC1938" s="3" t="str">
        <x:v>unverified</x:v>
      </x:c>
      <x:c r="AD1938" s="3" t="str">
        <x:v>Not contacted / unconfirmed</x:v>
      </x:c>
      <x:c r="AE1938" s="3" t="str">
        <x:v>No</x:v>
      </x:c>
      <x:c r="AF1938" s="3" t="str">
        <x:v>No</x:v>
      </x:c>
      <x:c r="AG1938" s="3"/>
      <x:c r="AH1938" s="3"/>
      <x:c r="AI1938" s="18"/>
      <x:c r="AJ1938" s="3" t="str">
        <x:v>CF2500-5211BA8B2F72</x:v>
      </x:c>
      <x:c r="AK1938" s="3" t="str">
        <x:v>private_real_estate_lender</x:v>
      </x:c>
      <x:c r="AL1938" s="19" t="n">
        <x:v>100000</x:v>
      </x:c>
      <x:c r="AM1938" s="19" t="n">
        <x:v>500000</x:v>
      </x:c>
      <x:c r="AN1938" s="3" t="str">
        <x:v>https://www.hardmoneyhome.com/lenders/view/c-mortgage</x:v>
      </x:c>
      <x:c r="AO1938" s="3" t="str">
        <x:v>public_directory.jsonl</x:v>
      </x:c>
      <x:c r="AP1938" s="19"/>
    </x:row>
    <x:row r="1939" ht="36" customHeight="1">
      <x:c r="A1939" s="23" t="n">
        <x:v>1938</x:v>
      </x:c>
      <x:c r="B1939" s="15" t="str">
        <x:v>Capital Concepts</x:v>
      </x:c>
      <x:c r="C1939" s="15"/>
      <x:c r="D1939" s="15" t="str">
        <x:v>Property lender or directory member; operating-company capital unconfirmed</x:v>
      </x:c>
      <x:c r="E1939" s="15" t="str">
        <x:v>Property lender / private-money inquiry</x:v>
      </x:c>
      <x:c r="F1939" s="17" t="str">
        <x:v>New</x:v>
      </x:c>
      <x:c r="G1939" s="24"/>
      <x:c r="H1939" s="24" t="str">
        <x:v>+17136519500</x:v>
      </x:c>
      <x:c r="I1939" s="24" t="str">
        <x:v>http://www.4smartmoney.com/</x:v>
      </x:c>
      <x:c r="J1939" s="16" t="str">
        <x:v>TX</x:v>
      </x:c>
      <x:c r="K1939" s="16" t="str">
        <x:v>Houston</x:v>
      </x:c>
      <x:c r="L1939" s="16" t="str">
        <x:v>firm_business_routing</x:v>
      </x:c>
      <x:c r="M1939" s="16" t="str">
        <x:v>http://www.4smartmoney.com/</x:v>
      </x:c>
      <x:c r="N1939" s="16" t="str">
        <x:v>$100K-$500K ticket not published / unconfirmed</x:v>
      </x:c>
      <x:c r="O1939" s="20"/>
      <x:c r="P1939" s="20"/>
      <x:c r="Q1939" s="25" t="str">
        <x:v>Property-loan range, not a corporate-capital commitment</x:v>
      </x:c>
      <x:c r="R1939" s="25" t="str">
        <x:v>Private real-estate finance experience. Corporate working capital, minority equity or profit participation requires a separate agreement from a property loan.</x:v>
      </x:c>
      <x:c r="S1939" s="25"/>
      <x:c r="T1939" s="25" t="str">
        <x:v>Confirm direct principal versus broker, $100K-$500K appetite, and whether capital can fund the operating company without a property mortgage.</x:v>
      </x:c>
      <x:c r="U1939" s="25" t="str">
        <x:v>https://www.hardmoneyhome.com/lenders/view/capital-concepts</x:v>
      </x:c>
      <x:c r="V1939" s="26" t="d">
        <x:v>2026-10-02T00:00:00.000Z</x:v>
      </x:c>
      <x:c r="W1939" s="26" t="d">
        <x:v>2026-09-30T00:00:00.000Z</x:v>
      </x:c>
      <x:c r="X1939" s="25" t="str">
        <x:v>Saved public company, industry-directory or regulatory source; source date retained</x:v>
      </x:c>
      <x:c r="Y1939" s="25"/>
      <x:c r="Z1939" s="25" t="str">
        <x:v>https://www.hardmoneyhome.com/lenders/view/capital-concepts</x:v>
      </x:c>
      <x:c r="AA1939" s="25" t="str">
        <x:v>[]</x:v>
      </x:c>
      <x:c r="AB1939" s="3" t="str">
        <x:v>Existing CapitalForge research, newly screened for this campaign</x:v>
      </x:c>
      <x:c r="AC1939" s="3" t="str">
        <x:v>unverified</x:v>
      </x:c>
      <x:c r="AD1939" s="3" t="str">
        <x:v>Not contacted / unconfirmed</x:v>
      </x:c>
      <x:c r="AE1939" s="3" t="str">
        <x:v>No</x:v>
      </x:c>
      <x:c r="AF1939" s="3" t="str">
        <x:v>No</x:v>
      </x:c>
      <x:c r="AG1939" s="3"/>
      <x:c r="AH1939" s="3"/>
      <x:c r="AI1939" s="18"/>
      <x:c r="AJ1939" s="3" t="str">
        <x:v>CF2500-1C75C0EF1F81</x:v>
      </x:c>
      <x:c r="AK1939" s="3" t="str">
        <x:v>private_real_estate_lender</x:v>
      </x:c>
      <x:c r="AL1939" s="19" t="n">
        <x:v>100000</x:v>
      </x:c>
      <x:c r="AM1939" s="19" t="n">
        <x:v>500000</x:v>
      </x:c>
      <x:c r="AN1939" s="3" t="str">
        <x:v>https://www.hardmoneyhome.com/lenders/view/capital-concepts</x:v>
      </x:c>
      <x:c r="AO1939" s="3" t="str">
        <x:v>public_directory.jsonl</x:v>
      </x:c>
      <x:c r="AP1939" s="19"/>
    </x:row>
    <x:row r="1940" ht="36" customHeight="1">
      <x:c r="A1940" s="23" t="n">
        <x:v>1939</x:v>
      </x:c>
      <x:c r="B1940" s="15" t="str">
        <x:v>Capital Market Funds</x:v>
      </x:c>
      <x:c r="C1940" s="15"/>
      <x:c r="D1940" s="15" t="str">
        <x:v>Property lender or directory member; operating-company capital unconfirmed</x:v>
      </x:c>
      <x:c r="E1940" s="15" t="str">
        <x:v>Property lender / private-money inquiry</x:v>
      </x:c>
      <x:c r="F1940" s="17" t="str">
        <x:v>New</x:v>
      </x:c>
      <x:c r="G1940" s="24"/>
      <x:c r="H1940" s="24" t="str">
        <x:v>+14803514472</x:v>
      </x:c>
      <x:c r="I1940" s="24" t="str">
        <x:v>https://capitalmarketfunds.com</x:v>
      </x:c>
      <x:c r="J1940" s="16" t="str">
        <x:v>AZ</x:v>
      </x:c>
      <x:c r="K1940" s="16" t="str">
        <x:v>Scottsdale</x:v>
      </x:c>
      <x:c r="L1940" s="16" t="str">
        <x:v>firm_business_routing</x:v>
      </x:c>
      <x:c r="M1940" s="16" t="str">
        <x:v>https://capitalmarketfunds.com</x:v>
      </x:c>
      <x:c r="N1940" s="16" t="str">
        <x:v>$100K-$500K ticket not published / unconfirmed</x:v>
      </x:c>
      <x:c r="O1940" s="20"/>
      <x:c r="P1940" s="20"/>
      <x:c r="Q1940" s="25" t="str">
        <x:v>Property-loan range, not a corporate-capital commitment</x:v>
      </x:c>
      <x:c r="R1940" s="25" t="str">
        <x:v>Private real-estate finance experience. Corporate working capital, minority equity or profit participation requires a separate agreement from a property loan.</x:v>
      </x:c>
      <x:c r="S1940" s="25"/>
      <x:c r="T1940" s="25" t="str">
        <x:v>Confirm direct principal versus broker, $100K-$500K appetite, and whether capital can fund the operating company without a property mortgage.</x:v>
      </x:c>
      <x:c r="U1940" s="25" t="str">
        <x:v>https://www.hardmoneyhome.com/lenders/view/capital-market-funds</x:v>
      </x:c>
      <x:c r="V1940" s="26" t="d">
        <x:v>2026-10-02T00:00:00.000Z</x:v>
      </x:c>
      <x:c r="W1940" s="26" t="d">
        <x:v>2026-09-30T00:00:00.000Z</x:v>
      </x:c>
      <x:c r="X1940" s="25" t="str">
        <x:v>Saved public company, industry-directory or regulatory source; source date retained</x:v>
      </x:c>
      <x:c r="Y1940" s="25"/>
      <x:c r="Z1940" s="25" t="str">
        <x:v>https://www.hardmoneyhome.com/lenders/view/capital-market-funds</x:v>
      </x:c>
      <x:c r="AA1940" s="25" t="str">
        <x:v>[]</x:v>
      </x:c>
      <x:c r="AB1940" s="3" t="str">
        <x:v>Existing CapitalForge research, newly screened for this campaign</x:v>
      </x:c>
      <x:c r="AC1940" s="3" t="str">
        <x:v>unverified</x:v>
      </x:c>
      <x:c r="AD1940" s="3" t="str">
        <x:v>Not contacted / unconfirmed</x:v>
      </x:c>
      <x:c r="AE1940" s="3" t="str">
        <x:v>No</x:v>
      </x:c>
      <x:c r="AF1940" s="3" t="str">
        <x:v>No</x:v>
      </x:c>
      <x:c r="AG1940" s="3"/>
      <x:c r="AH1940" s="3"/>
      <x:c r="AI1940" s="18"/>
      <x:c r="AJ1940" s="3" t="str">
        <x:v>CF2500-04724525AC0D</x:v>
      </x:c>
      <x:c r="AK1940" s="3" t="str">
        <x:v>private_real_estate_lender</x:v>
      </x:c>
      <x:c r="AL1940" s="19" t="n">
        <x:v>100000</x:v>
      </x:c>
      <x:c r="AM1940" s="19" t="n">
        <x:v>500000</x:v>
      </x:c>
      <x:c r="AN1940" s="3" t="str">
        <x:v>https://www.hardmoneyhome.com/lenders/view/capital-market-funds</x:v>
      </x:c>
      <x:c r="AO1940" s="3" t="str">
        <x:v>public_directory.jsonl</x:v>
      </x:c>
      <x:c r="AP1940" s="19"/>
    </x:row>
    <x:row r="1941" ht="36" customHeight="1">
      <x:c r="A1941" s="23" t="n">
        <x:v>1940</x:v>
      </x:c>
      <x:c r="B1941" s="15" t="str">
        <x:v>Carbon Capital</x:v>
      </x:c>
      <x:c r="C1941" s="15"/>
      <x:c r="D1941" s="15" t="str">
        <x:v>Property lender or directory member; operating-company capital unconfirmed</x:v>
      </x:c>
      <x:c r="E1941" s="15" t="str">
        <x:v>Property lender / private-money inquiry</x:v>
      </x:c>
      <x:c r="F1941" s="17" t="str">
        <x:v>New</x:v>
      </x:c>
      <x:c r="G1941" s="24"/>
      <x:c r="H1941" s="24" t="str">
        <x:v>+19045138000</x:v>
      </x:c>
      <x:c r="I1941" s="24" t="str">
        <x:v>http://www.floridamb.com</x:v>
      </x:c>
      <x:c r="J1941" s="16" t="str">
        <x:v>FL</x:v>
      </x:c>
      <x:c r="K1941" s="16" t="str">
        <x:v>Jacksonville</x:v>
      </x:c>
      <x:c r="L1941" s="16" t="str">
        <x:v>firm_business_routing</x:v>
      </x:c>
      <x:c r="M1941" s="16" t="str">
        <x:v>http://www.floridamb.com</x:v>
      </x:c>
      <x:c r="N1941" s="16" t="str">
        <x:v>$100K-$500K ticket not published / unconfirmed</x:v>
      </x:c>
      <x:c r="O1941" s="20"/>
      <x:c r="P1941" s="20"/>
      <x:c r="Q1941" s="25" t="str">
        <x:v>Property-loan range, not a corporate-capital commitment</x:v>
      </x:c>
      <x:c r="R1941" s="25" t="str">
        <x:v>Private real-estate finance experience. Corporate working capital, minority equity or profit participation requires a separate agreement from a property loan.</x:v>
      </x:c>
      <x:c r="S1941" s="25"/>
      <x:c r="T1941" s="25" t="str">
        <x:v>Confirm direct principal versus broker, $100K-$500K appetite, and whether capital can fund the operating company without a property mortgage.</x:v>
      </x:c>
      <x:c r="U1941" s="25" t="str">
        <x:v>https://www.hardmoneyhome.com/lenders/view/carbon-capital</x:v>
      </x:c>
      <x:c r="V1941" s="26" t="d">
        <x:v>2026-10-02T00:00:00.000Z</x:v>
      </x:c>
      <x:c r="W1941" s="26" t="d">
        <x:v>2026-09-30T00:00:00.000Z</x:v>
      </x:c>
      <x:c r="X1941" s="25" t="str">
        <x:v>Saved public company, industry-directory or regulatory source; source date retained</x:v>
      </x:c>
      <x:c r="Y1941" s="25"/>
      <x:c r="Z1941" s="25" t="str">
        <x:v>https://www.hardmoneyhome.com/lenders/view/carbon-capital</x:v>
      </x:c>
      <x:c r="AA1941" s="25" t="str">
        <x:v>[]</x:v>
      </x:c>
      <x:c r="AB1941" s="3" t="str">
        <x:v>Existing CapitalForge research, newly screened for this campaign</x:v>
      </x:c>
      <x:c r="AC1941" s="3" t="str">
        <x:v>unverified</x:v>
      </x:c>
      <x:c r="AD1941" s="3" t="str">
        <x:v>Not contacted / unconfirmed</x:v>
      </x:c>
      <x:c r="AE1941" s="3" t="str">
        <x:v>No</x:v>
      </x:c>
      <x:c r="AF1941" s="3" t="str">
        <x:v>No</x:v>
      </x:c>
      <x:c r="AG1941" s="3"/>
      <x:c r="AH1941" s="3"/>
      <x:c r="AI1941" s="18"/>
      <x:c r="AJ1941" s="3" t="str">
        <x:v>CF2500-554C0DA27769</x:v>
      </x:c>
      <x:c r="AK1941" s="3" t="str">
        <x:v>private_real_estate_lender</x:v>
      </x:c>
      <x:c r="AL1941" s="19" t="n">
        <x:v>100000</x:v>
      </x:c>
      <x:c r="AM1941" s="19" t="n">
        <x:v>500000</x:v>
      </x:c>
      <x:c r="AN1941" s="3" t="str">
        <x:v>https://www.hardmoneyhome.com/lenders/view/carbon-capital</x:v>
      </x:c>
      <x:c r="AO1941" s="3" t="str">
        <x:v>public_directory.jsonl</x:v>
      </x:c>
      <x:c r="AP1941" s="19"/>
    </x:row>
    <x:row r="1942" ht="36" customHeight="1">
      <x:c r="A1942" s="23" t="n">
        <x:v>1941</x:v>
      </x:c>
      <x:c r="B1942" s="15" t="str">
        <x:v>CBK FINANCIAL SOLUTIONS</x:v>
      </x:c>
      <x:c r="C1942" s="15"/>
      <x:c r="D1942" s="15" t="str">
        <x:v>Property lender or directory member; operating-company capital unconfirmed</x:v>
      </x:c>
      <x:c r="E1942" s="15" t="str">
        <x:v>Property lender / private-money inquiry</x:v>
      </x:c>
      <x:c r="F1942" s="17" t="str">
        <x:v>New</x:v>
      </x:c>
      <x:c r="G1942" s="24"/>
      <x:c r="H1942" s="24" t="str">
        <x:v>+15613098688</x:v>
      </x:c>
      <x:c r="I1942" s="24" t="str">
        <x:v>https://www.cbkfinancialsolutions.com/</x:v>
      </x:c>
      <x:c r="J1942" s="16" t="str">
        <x:v>IL</x:v>
      </x:c>
      <x:c r="K1942" s="16" t="str">
        <x:v>Chicago</x:v>
      </x:c>
      <x:c r="L1942" s="16" t="str">
        <x:v>firm_business_routing</x:v>
      </x:c>
      <x:c r="M1942" s="16" t="str">
        <x:v>https://www.cbkfinancialsolutions.com/</x:v>
      </x:c>
      <x:c r="N1942" s="16" t="str">
        <x:v>$100K-$500K ticket not published / unconfirmed</x:v>
      </x:c>
      <x:c r="O1942" s="20"/>
      <x:c r="P1942" s="20"/>
      <x:c r="Q1942" s="25" t="str">
        <x:v>Property-loan range, not a corporate-capital commitment</x:v>
      </x:c>
      <x:c r="R1942" s="25" t="str">
        <x:v>Private real-estate finance experience. Corporate working capital, minority equity or profit participation requires a separate agreement from a property loan.</x:v>
      </x:c>
      <x:c r="S1942" s="25"/>
      <x:c r="T1942" s="25" t="str">
        <x:v>Confirm direct principal versus broker, $100K-$500K appetite, and whether capital can fund the operating company without a property mortgage.</x:v>
      </x:c>
      <x:c r="U1942" s="25" t="str">
        <x:v>https://www.privatelendersdirectory.com/united-states/chicago/top-level-category/cbk-financial-solutions
https://www.cbkfinancialsolutions.com/</x:v>
      </x:c>
      <x:c r="V1942" s="26" t="d">
        <x:v>2026-10-02T00:00:00.000Z</x:v>
      </x:c>
      <x:c r="W1942" s="26" t="d">
        <x:v>2026-09-30T00:00:00.000Z</x:v>
      </x:c>
      <x:c r="X1942" s="25" t="str">
        <x:v>Saved public company, industry-directory or regulatory source; source date retained</x:v>
      </x:c>
      <x:c r="Y1942" s="25"/>
      <x:c r="Z1942" s="25" t="str">
        <x:v>https://www.cbkfinancialsolutions.com/</x:v>
      </x:c>
      <x:c r="AA1942" s="25" t="str">
        <x:v>[]</x:v>
      </x:c>
      <x:c r="AB1942" s="3" t="str">
        <x:v>Existing CapitalForge research, newly screened for this campaign</x:v>
      </x:c>
      <x:c r="AC1942" s="3" t="str">
        <x:v>unverified</x:v>
      </x:c>
      <x:c r="AD1942" s="3" t="str">
        <x:v>Not contacted / unconfirmed</x:v>
      </x:c>
      <x:c r="AE1942" s="3" t="str">
        <x:v>No</x:v>
      </x:c>
      <x:c r="AF1942" s="3" t="str">
        <x:v>No</x:v>
      </x:c>
      <x:c r="AG1942" s="3"/>
      <x:c r="AH1942" s="3"/>
      <x:c r="AI1942" s="18"/>
      <x:c r="AJ1942" s="3" t="str">
        <x:v>CF2500-8DD497D08AEF</x:v>
      </x:c>
      <x:c r="AK1942" s="3" t="str">
        <x:v>private_real_estate_lender</x:v>
      </x:c>
      <x:c r="AL1942" s="19" t="n">
        <x:v>100000</x:v>
      </x:c>
      <x:c r="AM1942" s="19" t="n">
        <x:v>500000</x:v>
      </x:c>
      <x:c r="AN1942" s="3" t="str">
        <x:v>https://www.privatelendersdirectory.com/united-states/chicago/top-level-category/cbk-financial-solutions</x:v>
      </x:c>
      <x:c r="AO1942" s="3" t="str">
        <x:v>public_directory.jsonl</x:v>
      </x:c>
      <x:c r="AP1942" s="19"/>
    </x:row>
    <x:row r="1943" ht="36" customHeight="1">
      <x:c r="A1943" s="23" t="n">
        <x:v>1942</x:v>
      </x:c>
      <x:c r="B1943" s="15" t="str">
        <x:v>CDC Financial Corp</x:v>
      </x:c>
      <x:c r="C1943" s="15"/>
      <x:c r="D1943" s="15" t="str">
        <x:v>Property lender or directory member; operating-company capital unconfirmed</x:v>
      </x:c>
      <x:c r="E1943" s="15" t="str">
        <x:v>Property lender / private-money inquiry</x:v>
      </x:c>
      <x:c r="F1943" s="17" t="str">
        <x:v>New</x:v>
      </x:c>
      <x:c r="G1943" s="24"/>
      <x:c r="H1943" s="24" t="str">
        <x:v>+19549169600</x:v>
      </x:c>
      <x:c r="I1943" s="24" t="str">
        <x:v>http://www.cdcfinancialcorp.com/</x:v>
      </x:c>
      <x:c r="J1943" s="16" t="str">
        <x:v>FL</x:v>
      </x:c>
      <x:c r="K1943" s="16" t="str">
        <x:v>Davie</x:v>
      </x:c>
      <x:c r="L1943" s="16" t="str">
        <x:v>firm_business_routing</x:v>
      </x:c>
      <x:c r="M1943" s="16" t="str">
        <x:v>http://www.cdcfinancialcorp.com/</x:v>
      </x:c>
      <x:c r="N1943" s="16" t="str">
        <x:v>$100K-$500K ticket not published / unconfirmed</x:v>
      </x:c>
      <x:c r="O1943" s="20"/>
      <x:c r="P1943" s="20"/>
      <x:c r="Q1943" s="25" t="str">
        <x:v>Property-loan range, not a corporate-capital commitment</x:v>
      </x:c>
      <x:c r="R1943" s="25" t="str">
        <x:v>Private real-estate finance experience. Corporate working capital, minority equity or profit participation requires a separate agreement from a property loan.</x:v>
      </x:c>
      <x:c r="S1943" s="25"/>
      <x:c r="T1943" s="25" t="str">
        <x:v>Confirm direct principal versus broker, $100K-$500K appetite, and whether capital can fund the operating company without a property mortgage.</x:v>
      </x:c>
      <x:c r="U1943" s="25" t="str">
        <x:v>https://www.hardmoneyhome.com/lenders/view/cdc-financial-corp
https://www.privatelendersdirectory.com/united-states/davie/top-level-category/cdc-financial</x:v>
      </x:c>
      <x:c r="V1943" s="26" t="d">
        <x:v>2026-10-02T00:00:00.000Z</x:v>
      </x:c>
      <x:c r="W1943" s="26" t="d">
        <x:v>2026-09-30T00:00:00.000Z</x:v>
      </x:c>
      <x:c r="X1943" s="25" t="str">
        <x:v>Saved public company, industry-directory or regulatory source; source date retained</x:v>
      </x:c>
      <x:c r="Y1943" s="25"/>
      <x:c r="Z1943" s="25" t="str">
        <x:v>https://www.hardmoneyhome.com/lenders/view/cdc-financial-corp</x:v>
      </x:c>
      <x:c r="AA1943" s="25" t="str">
        <x:v>[]</x:v>
      </x:c>
      <x:c r="AB1943" s="3" t="str">
        <x:v>Existing CapitalForge research, newly screened for this campaign</x:v>
      </x:c>
      <x:c r="AC1943" s="3" t="str">
        <x:v>unverified</x:v>
      </x:c>
      <x:c r="AD1943" s="3" t="str">
        <x:v>Not contacted / unconfirmed</x:v>
      </x:c>
      <x:c r="AE1943" s="3" t="str">
        <x:v>No</x:v>
      </x:c>
      <x:c r="AF1943" s="3" t="str">
        <x:v>No</x:v>
      </x:c>
      <x:c r="AG1943" s="3"/>
      <x:c r="AH1943" s="3"/>
      <x:c r="AI1943" s="18"/>
      <x:c r="AJ1943" s="3" t="str">
        <x:v>CF2500-EB2CE57B176A</x:v>
      </x:c>
      <x:c r="AK1943" s="3" t="str">
        <x:v>private_real_estate_lender</x:v>
      </x:c>
      <x:c r="AL1943" s="19" t="n">
        <x:v>100000</x:v>
      </x:c>
      <x:c r="AM1943" s="19" t="n">
        <x:v>500000</x:v>
      </x:c>
      <x:c r="AN1943" s="3" t="str">
        <x:v>https://www.hardmoneyhome.com/lenders/view/cdc-financial-corp</x:v>
      </x:c>
      <x:c r="AO1943" s="3" t="str">
        <x:v>public_directory.jsonl</x:v>
      </x:c>
      <x:c r="AP1943" s="19"/>
    </x:row>
    <x:row r="1944" ht="36" customHeight="1">
      <x:c r="A1944" s="23" t="n">
        <x:v>1943</x:v>
      </x:c>
      <x:c r="B1944" s="15" t="str">
        <x:v>CHURCHILL</x:v>
      </x:c>
      <x:c r="C1944" s="15"/>
      <x:c r="D1944" s="15" t="str">
        <x:v>Property lender or directory member; operating-company capital unconfirmed</x:v>
      </x:c>
      <x:c r="E1944" s="15" t="str">
        <x:v>Property lender / private-money inquiry</x:v>
      </x:c>
      <x:c r="F1944" s="17" t="str">
        <x:v>New</x:v>
      </x:c>
      <x:c r="G1944" s="24"/>
      <x:c r="H1944" s="24" t="str">
        <x:v>+16465175353</x:v>
      </x:c>
      <x:c r="I1944" s="24" t="str">
        <x:v>https://www.churchillhld.com/</x:v>
      </x:c>
      <x:c r="J1944" s="16" t="str">
        <x:v>NC</x:v>
      </x:c>
      <x:c r="K1944" s="16" t="str">
        <x:v>Charlotte</x:v>
      </x:c>
      <x:c r="L1944" s="16" t="str">
        <x:v>firm_business_routing</x:v>
      </x:c>
      <x:c r="M1944" s="16" t="str">
        <x:v>https://www.churchillhld.com/</x:v>
      </x:c>
      <x:c r="N1944" s="16" t="str">
        <x:v>$100K-$500K ticket not published / unconfirmed</x:v>
      </x:c>
      <x:c r="O1944" s="20"/>
      <x:c r="P1944" s="20"/>
      <x:c r="Q1944" s="25" t="str">
        <x:v>Property-loan range, not a corporate-capital commitment</x:v>
      </x:c>
      <x:c r="R1944" s="25" t="str">
        <x:v>Private real-estate finance experience. Corporate working capital, minority equity or profit participation requires a separate agreement from a property loan.</x:v>
      </x:c>
      <x:c r="S1944" s="25"/>
      <x:c r="T1944" s="25" t="str">
        <x:v>Confirm direct principal versus broker, $100K-$500K appetite, and whether capital can fund the operating company without a property mortgage.</x:v>
      </x:c>
      <x:c r="U1944" s="25" t="str">
        <x:v>https://www.privatelendersdirectory.com/united-states/charlotte/top-level-category/churchill
https://www.churchillhld.com/contact/
https://nplaconference.com/private-lending-directory/page/4/
https://churchillre.com/contact/</x:v>
      </x:c>
      <x:c r="V1944" s="26" t="d">
        <x:v>2026-10-02T00:00:00.000Z</x:v>
      </x:c>
      <x:c r="W1944" s="26" t="d">
        <x:v>2026-09-30T00:00:00.000Z</x:v>
      </x:c>
      <x:c r="X1944" s="25" t="str">
        <x:v>Saved public company, industry-directory or regulatory source; source date retained</x:v>
      </x:c>
      <x:c r="Y1944" s="25"/>
      <x:c r="Z1944" s="25" t="str">
        <x:v>https://www.churchillhld.com/contact/</x:v>
      </x:c>
      <x:c r="AA1944" s="25" t="str">
        <x:v>[]</x:v>
      </x:c>
      <x:c r="AB1944" s="3" t="str">
        <x:v>Existing CapitalForge research, newly screened for this campaign</x:v>
      </x:c>
      <x:c r="AC1944" s="3" t="str">
        <x:v>unverified</x:v>
      </x:c>
      <x:c r="AD1944" s="3" t="str">
        <x:v>Not contacted / unconfirmed</x:v>
      </x:c>
      <x:c r="AE1944" s="3" t="str">
        <x:v>No</x:v>
      </x:c>
      <x:c r="AF1944" s="3" t="str">
        <x:v>No</x:v>
      </x:c>
      <x:c r="AG1944" s="3" t="str">
        <x:v>Churchill Real Estate</x:v>
      </x:c>
      <x:c r="AH1944" s="3" t="str">
        <x:v>Churchill Real Estate</x:v>
      </x:c>
      <x:c r="AI1944" s="18"/>
      <x:c r="AJ1944" s="3" t="str">
        <x:v>CF2500-4B958648C0CA</x:v>
      </x:c>
      <x:c r="AK1944" s="3" t="str">
        <x:v>private_real_estate_lender</x:v>
      </x:c>
      <x:c r="AL1944" s="19" t="n">
        <x:v>100000</x:v>
      </x:c>
      <x:c r="AM1944" s="19" t="n">
        <x:v>500000</x:v>
      </x:c>
      <x:c r="AN1944" s="3" t="str">
        <x:v>https://www.privatelendersdirectory.com/united-states/charlotte/top-level-category/churchill</x:v>
      </x:c>
      <x:c r="AO1944" s="3" t="str">
        <x:v>public_directory.jsonl</x:v>
      </x:c>
      <x:c r="AP1944" s="19"/>
    </x:row>
    <x:row r="1945" ht="36" customHeight="1">
      <x:c r="A1945" s="23" t="n">
        <x:v>1944</x:v>
      </x:c>
      <x:c r="B1945" s="15" t="str">
        <x:v>Clear Mortgage</x:v>
      </x:c>
      <x:c r="C1945" s="15"/>
      <x:c r="D1945" s="15" t="str">
        <x:v>Property lender or directory member; operating-company capital unconfirmed</x:v>
      </x:c>
      <x:c r="E1945" s="15" t="str">
        <x:v>Property lender / private-money inquiry</x:v>
      </x:c>
      <x:c r="F1945" s="17" t="str">
        <x:v>New</x:v>
      </x:c>
      <x:c r="G1945" s="24"/>
      <x:c r="H1945" s="24" t="str">
        <x:v>+14804422214</x:v>
      </x:c>
      <x:c r="I1945" s="24" t="str">
        <x:v>http://clearaz.com</x:v>
      </x:c>
      <x:c r="J1945" s="16" t="str">
        <x:v>AZ</x:v>
      </x:c>
      <x:c r="K1945" s="16" t="str">
        <x:v>Tempe</x:v>
      </x:c>
      <x:c r="L1945" s="16" t="str">
        <x:v>firm_business_routing</x:v>
      </x:c>
      <x:c r="M1945" s="16" t="str">
        <x:v>http://clearaz.com</x:v>
      </x:c>
      <x:c r="N1945" s="16" t="str">
        <x:v>$100K-$500K ticket not published / unconfirmed</x:v>
      </x:c>
      <x:c r="O1945" s="20"/>
      <x:c r="P1945" s="20"/>
      <x:c r="Q1945" s="25" t="str">
        <x:v>Property-loan range, not a corporate-capital commitment</x:v>
      </x:c>
      <x:c r="R1945" s="25" t="str">
        <x:v>Private real-estate finance experience. Corporate working capital, minority equity or profit participation requires a separate agreement from a property loan.</x:v>
      </x:c>
      <x:c r="S1945" s="25"/>
      <x:c r="T1945" s="25" t="str">
        <x:v>Confirm direct principal versus broker, $100K-$500K appetite, and whether capital can fund the operating company without a property mortgage.</x:v>
      </x:c>
      <x:c r="U1945" s="25" t="str">
        <x:v>https://www.hardmoneyhome.com/lenders/view/clear-mortgage
https://www.privatelendersdirectory.com/united-states/tempe/top-level-category/clear-mortgage
https://clearaz.com/</x:v>
      </x:c>
      <x:c r="V1945" s="26" t="d">
        <x:v>2026-10-02T00:00:00.000Z</x:v>
      </x:c>
      <x:c r="W1945" s="26" t="d">
        <x:v>2026-09-30T00:00:00.000Z</x:v>
      </x:c>
      <x:c r="X1945" s="25" t="str">
        <x:v>Saved public company, industry-directory or regulatory source; source date retained</x:v>
      </x:c>
      <x:c r="Y1945" s="25"/>
      <x:c r="Z1945" s="25" t="str">
        <x:v>https://www.hardmoneyhome.com/lenders/view/clear-mortgage</x:v>
      </x:c>
      <x:c r="AA1945" s="25" t="str">
        <x:v>[]</x:v>
      </x:c>
      <x:c r="AB1945" s="3" t="str">
        <x:v>Existing CapitalForge research, newly screened for this campaign</x:v>
      </x:c>
      <x:c r="AC1945" s="3" t="str">
        <x:v>unverified</x:v>
      </x:c>
      <x:c r="AD1945" s="3" t="str">
        <x:v>Not contacted / unconfirmed</x:v>
      </x:c>
      <x:c r="AE1945" s="3" t="str">
        <x:v>No</x:v>
      </x:c>
      <x:c r="AF1945" s="3" t="str">
        <x:v>No</x:v>
      </x:c>
      <x:c r="AG1945" s="3"/>
      <x:c r="AH1945" s="3"/>
      <x:c r="AI1945" s="18"/>
      <x:c r="AJ1945" s="3" t="str">
        <x:v>CF2500-3DE43EE596F8</x:v>
      </x:c>
      <x:c r="AK1945" s="3" t="str">
        <x:v>private_real_estate_lender</x:v>
      </x:c>
      <x:c r="AL1945" s="19" t="n">
        <x:v>100000</x:v>
      </x:c>
      <x:c r="AM1945" s="19" t="n">
        <x:v>500000</x:v>
      </x:c>
      <x:c r="AN1945" s="3" t="str">
        <x:v>https://www.hardmoneyhome.com/lenders/view/clear-mortgage</x:v>
      </x:c>
      <x:c r="AO1945" s="3" t="str">
        <x:v>public_directory.jsonl</x:v>
      </x:c>
      <x:c r="AP1945" s="19"/>
    </x:row>
    <x:row r="1946" ht="36" customHeight="1">
      <x:c r="A1946" s="23" t="n">
        <x:v>1945</x:v>
      </x:c>
      <x:c r="B1946" s="15" t="str">
        <x:v>Clearwater Mortgage</x:v>
      </x:c>
      <x:c r="C1946" s="15"/>
      <x:c r="D1946" s="15" t="str">
        <x:v>Property lender or directory member; operating-company capital unconfirmed</x:v>
      </x:c>
      <x:c r="E1946" s="15" t="str">
        <x:v>Property lender / private-money inquiry</x:v>
      </x:c>
      <x:c r="F1946" s="17" t="str">
        <x:v>New</x:v>
      </x:c>
      <x:c r="G1946" s="24"/>
      <x:c r="H1946" s="24" t="str">
        <x:v>+17272592900</x:v>
      </x:c>
      <x:c r="I1946" s="24" t="str">
        <x:v>http://www.clearwatermortgage.com</x:v>
      </x:c>
      <x:c r="J1946" s="16" t="str">
        <x:v>FL</x:v>
      </x:c>
      <x:c r="K1946" s="16" t="str">
        <x:v>Clearwater</x:v>
      </x:c>
      <x:c r="L1946" s="16" t="str">
        <x:v>firm_business_routing</x:v>
      </x:c>
      <x:c r="M1946" s="16" t="str">
        <x:v>http://www.clearwatermortgage.com</x:v>
      </x:c>
      <x:c r="N1946" s="16" t="str">
        <x:v>$100K-$500K ticket not published / unconfirmed</x:v>
      </x:c>
      <x:c r="O1946" s="20"/>
      <x:c r="P1946" s="20"/>
      <x:c r="Q1946" s="25" t="str">
        <x:v>Property-loan range, not a corporate-capital commitment</x:v>
      </x:c>
      <x:c r="R1946" s="25" t="str">
        <x:v>Private real-estate finance experience. Corporate working capital, minority equity or profit participation requires a separate agreement from a property loan.</x:v>
      </x:c>
      <x:c r="S1946" s="25"/>
      <x:c r="T1946" s="25" t="str">
        <x:v>Confirm direct principal versus broker, $100K-$500K appetite, and whether capital can fund the operating company without a property mortgage.</x:v>
      </x:c>
      <x:c r="U1946" s="25" t="str">
        <x:v>https://www.hardmoneyhome.com/lenders/view/clearwater-mortgage</x:v>
      </x:c>
      <x:c r="V1946" s="26" t="d">
        <x:v>2026-10-02T00:00:00.000Z</x:v>
      </x:c>
      <x:c r="W1946" s="26" t="d">
        <x:v>2026-09-30T00:00:00.000Z</x:v>
      </x:c>
      <x:c r="X1946" s="25" t="str">
        <x:v>Saved public company, industry-directory or regulatory source; source date retained</x:v>
      </x:c>
      <x:c r="Y1946" s="25"/>
      <x:c r="Z1946" s="25" t="str">
        <x:v>https://www.hardmoneyhome.com/lenders/view/clearwater-mortgage</x:v>
      </x:c>
      <x:c r="AA1946" s="25" t="str">
        <x:v>[]</x:v>
      </x:c>
      <x:c r="AB1946" s="3" t="str">
        <x:v>Existing CapitalForge research, newly screened for this campaign</x:v>
      </x:c>
      <x:c r="AC1946" s="3" t="str">
        <x:v>unverified</x:v>
      </x:c>
      <x:c r="AD1946" s="3" t="str">
        <x:v>Not contacted / unconfirmed</x:v>
      </x:c>
      <x:c r="AE1946" s="3" t="str">
        <x:v>No</x:v>
      </x:c>
      <x:c r="AF1946" s="3" t="str">
        <x:v>No</x:v>
      </x:c>
      <x:c r="AG1946" s="3"/>
      <x:c r="AH1946" s="3"/>
      <x:c r="AI1946" s="18"/>
      <x:c r="AJ1946" s="3" t="str">
        <x:v>CF2500-0070F21E0795</x:v>
      </x:c>
      <x:c r="AK1946" s="3" t="str">
        <x:v>private_real_estate_lender</x:v>
      </x:c>
      <x:c r="AL1946" s="19" t="n">
        <x:v>100000</x:v>
      </x:c>
      <x:c r="AM1946" s="19" t="n">
        <x:v>500000</x:v>
      </x:c>
      <x:c r="AN1946" s="3" t="str">
        <x:v>https://www.hardmoneyhome.com/lenders/view/clearwater-mortgage</x:v>
      </x:c>
      <x:c r="AO1946" s="3" t="str">
        <x:v>public_directory.jsonl</x:v>
      </x:c>
      <x:c r="AP1946" s="19"/>
    </x:row>
    <x:row r="1947" ht="36" customHeight="1">
      <x:c r="A1947" s="23" t="n">
        <x:v>1946</x:v>
      </x:c>
      <x:c r="B1947" s="15" t="str">
        <x:v>CLOTINE CAPITAL</x:v>
      </x:c>
      <x:c r="C1947" s="15"/>
      <x:c r="D1947" s="15" t="str">
        <x:v>Property lender or directory member; operating-company capital unconfirmed</x:v>
      </x:c>
      <x:c r="E1947" s="15" t="str">
        <x:v>Property lender / private-money inquiry</x:v>
      </x:c>
      <x:c r="F1947" s="17" t="str">
        <x:v>New</x:v>
      </x:c>
      <x:c r="G1947" s="24"/>
      <x:c r="H1947" s="24" t="str">
        <x:v>+15617933333</x:v>
      </x:c>
      <x:c r="I1947" s="24" t="str">
        <x:v>https://clotine.capital/</x:v>
      </x:c>
      <x:c r="J1947" s="16" t="str">
        <x:v>FL</x:v>
      </x:c>
      <x:c r="K1947" s="16" t="str">
        <x:v>Palm Beach</x:v>
      </x:c>
      <x:c r="L1947" s="16" t="str">
        <x:v>firm_business_routing</x:v>
      </x:c>
      <x:c r="M1947" s="16" t="str">
        <x:v>https://clotine.capital/</x:v>
      </x:c>
      <x:c r="N1947" s="16" t="str">
        <x:v>$100K-$500K ticket not published / unconfirmed</x:v>
      </x:c>
      <x:c r="O1947" s="20"/>
      <x:c r="P1947" s="20"/>
      <x:c r="Q1947" s="25" t="str">
        <x:v>Property-loan range, not a corporate-capital commitment</x:v>
      </x:c>
      <x:c r="R1947" s="25" t="str">
        <x:v>Private real-estate finance experience. Corporate working capital, minority equity or profit participation requires a separate agreement from a property loan.</x:v>
      </x:c>
      <x:c r="S1947" s="25"/>
      <x:c r="T1947" s="25" t="str">
        <x:v>Confirm direct principal versus broker, $100K-$500K appetite, and whether capital can fund the operating company without a property mortgage.</x:v>
      </x:c>
      <x:c r="U1947" s="25" t="str">
        <x:v>https://www.privatelendersdirectory.com/united-states/palm-beach/top-level-category/clotine-capital
https://clotine.capital/</x:v>
      </x:c>
      <x:c r="V1947" s="26" t="d">
        <x:v>2026-10-02T00:00:00.000Z</x:v>
      </x:c>
      <x:c r="W1947" s="26" t="d">
        <x:v>2026-09-30T00:00:00.000Z</x:v>
      </x:c>
      <x:c r="X1947" s="25" t="str">
        <x:v>Saved public company, industry-directory or regulatory source; source date retained</x:v>
      </x:c>
      <x:c r="Y1947" s="25"/>
      <x:c r="Z1947" s="25" t="str">
        <x:v>https://clotine.capital/</x:v>
      </x:c>
      <x:c r="AA1947" s="25" t="str">
        <x:v>[]</x:v>
      </x:c>
      <x:c r="AB1947" s="3" t="str">
        <x:v>Existing CapitalForge research, newly screened for this campaign</x:v>
      </x:c>
      <x:c r="AC1947" s="3" t="str">
        <x:v>unverified</x:v>
      </x:c>
      <x:c r="AD1947" s="3" t="str">
        <x:v>Not contacted / unconfirmed</x:v>
      </x:c>
      <x:c r="AE1947" s="3" t="str">
        <x:v>No</x:v>
      </x:c>
      <x:c r="AF1947" s="3" t="str">
        <x:v>No</x:v>
      </x:c>
      <x:c r="AG1947" s="3"/>
      <x:c r="AH1947" s="3"/>
      <x:c r="AI1947" s="18"/>
      <x:c r="AJ1947" s="3" t="str">
        <x:v>CF2500-D4D8F200CA6B</x:v>
      </x:c>
      <x:c r="AK1947" s="3" t="str">
        <x:v>private_real_estate_lender</x:v>
      </x:c>
      <x:c r="AL1947" s="19" t="n">
        <x:v>100000</x:v>
      </x:c>
      <x:c r="AM1947" s="19" t="n">
        <x:v>500000</x:v>
      </x:c>
      <x:c r="AN1947" s="3" t="str">
        <x:v>https://www.privatelendersdirectory.com/united-states/palm-beach/top-level-category/clotine-capital</x:v>
      </x:c>
      <x:c r="AO1947" s="3" t="str">
        <x:v>public_directory.jsonl</x:v>
      </x:c>
      <x:c r="AP1947" s="19"/>
    </x:row>
    <x:row r="1948" ht="36" customHeight="1">
      <x:c r="A1948" s="23" t="n">
        <x:v>1947</x:v>
      </x:c>
      <x:c r="B1948" s="15" t="str">
        <x:v>Community Investment Corporation</x:v>
      </x:c>
      <x:c r="C1948" s="15"/>
      <x:c r="D1948" s="15" t="str">
        <x:v>Property lender or directory member; operating-company capital unconfirmed</x:v>
      </x:c>
      <x:c r="E1948" s="15" t="str">
        <x:v>Property lender / private-money inquiry</x:v>
      </x:c>
      <x:c r="F1948" s="17" t="str">
        <x:v>New</x:v>
      </x:c>
      <x:c r="G1948" s="24"/>
      <x:c r="H1948" s="24" t="str">
        <x:v>+13122580070</x:v>
      </x:c>
      <x:c r="I1948" s="24" t="str">
        <x:v>http://www.cicchicago.com/</x:v>
      </x:c>
      <x:c r="J1948" s="16" t="str">
        <x:v>IL</x:v>
      </x:c>
      <x:c r="K1948" s="16" t="str">
        <x:v>Chicago</x:v>
      </x:c>
      <x:c r="L1948" s="16" t="str">
        <x:v>firm_business_routing</x:v>
      </x:c>
      <x:c r="M1948" s="16" t="str">
        <x:v>http://www.cicchicago.com/</x:v>
      </x:c>
      <x:c r="N1948" s="16" t="str">
        <x:v>$100K-$500K ticket not published / unconfirmed</x:v>
      </x:c>
      <x:c r="O1948" s="20"/>
      <x:c r="P1948" s="20"/>
      <x:c r="Q1948" s="25" t="str">
        <x:v>Property-loan range, not a corporate-capital commitment</x:v>
      </x:c>
      <x:c r="R1948" s="25" t="str">
        <x:v>Private real-estate finance experience. Corporate working capital, minority equity or profit participation requires a separate agreement from a property loan.</x:v>
      </x:c>
      <x:c r="S1948" s="25"/>
      <x:c r="T1948" s="25" t="str">
        <x:v>Confirm direct principal versus broker, $100K-$500K appetite, and whether capital can fund the operating company without a property mortgage.</x:v>
      </x:c>
      <x:c r="U1948" s="25" t="str">
        <x:v>https://www.hardmoneyhome.com/lenders/view/community-investment-corporation</x:v>
      </x:c>
      <x:c r="V1948" s="26" t="d">
        <x:v>2026-10-02T00:00:00.000Z</x:v>
      </x:c>
      <x:c r="W1948" s="26" t="d">
        <x:v>2026-09-30T00:00:00.000Z</x:v>
      </x:c>
      <x:c r="X1948" s="25" t="str">
        <x:v>Saved public company, industry-directory or regulatory source; source date retained</x:v>
      </x:c>
      <x:c r="Y1948" s="25"/>
      <x:c r="Z1948" s="25" t="str">
        <x:v>https://www.hardmoneyhome.com/lenders/view/community-investment-corporation</x:v>
      </x:c>
      <x:c r="AA1948" s="25" t="str">
        <x:v>[]</x:v>
      </x:c>
      <x:c r="AB1948" s="3" t="str">
        <x:v>Existing CapitalForge research, newly screened for this campaign</x:v>
      </x:c>
      <x:c r="AC1948" s="3" t="str">
        <x:v>unverified</x:v>
      </x:c>
      <x:c r="AD1948" s="3" t="str">
        <x:v>Not contacted / unconfirmed</x:v>
      </x:c>
      <x:c r="AE1948" s="3" t="str">
        <x:v>No</x:v>
      </x:c>
      <x:c r="AF1948" s="3" t="str">
        <x:v>No</x:v>
      </x:c>
      <x:c r="AG1948" s="3"/>
      <x:c r="AH1948" s="3"/>
      <x:c r="AI1948" s="18"/>
      <x:c r="AJ1948" s="3" t="str">
        <x:v>CF2500-1E0C03CBCE6C</x:v>
      </x:c>
      <x:c r="AK1948" s="3" t="str">
        <x:v>private_real_estate_lender</x:v>
      </x:c>
      <x:c r="AL1948" s="19" t="n">
        <x:v>100000</x:v>
      </x:c>
      <x:c r="AM1948" s="19" t="n">
        <x:v>500000</x:v>
      </x:c>
      <x:c r="AN1948" s="3" t="str">
        <x:v>https://www.hardmoneyhome.com/lenders/view/community-investment-corporation</x:v>
      </x:c>
      <x:c r="AO1948" s="3" t="str">
        <x:v>public_directory.jsonl</x:v>
      </x:c>
      <x:c r="AP1948" s="19"/>
    </x:row>
    <x:row r="1949" ht="36" customHeight="1">
      <x:c r="A1949" s="23" t="n">
        <x:v>1948</x:v>
      </x:c>
      <x:c r="B1949" s="15" t="str">
        <x:v>Construction Financial Services</x:v>
      </x:c>
      <x:c r="C1949" s="15"/>
      <x:c r="D1949" s="15" t="str">
        <x:v>Property lender or directory member; operating-company capital unconfirmed</x:v>
      </x:c>
      <x:c r="E1949" s="15" t="str">
        <x:v>Property lender / private-money inquiry</x:v>
      </x:c>
      <x:c r="F1949" s="17" t="str">
        <x:v>New</x:v>
      </x:c>
      <x:c r="G1949" s="24"/>
      <x:c r="H1949" s="24" t="str">
        <x:v>+18304384558</x:v>
      </x:c>
      <x:c r="I1949" s="24" t="str">
        <x:v>https://cfs.mortgage-application.net</x:v>
      </x:c>
      <x:c r="J1949" s="16" t="str">
        <x:v>TX</x:v>
      </x:c>
      <x:c r="K1949" s="16" t="str">
        <x:v>Spring Branch</x:v>
      </x:c>
      <x:c r="L1949" s="16" t="str">
        <x:v>firm_business_routing</x:v>
      </x:c>
      <x:c r="M1949" s="16" t="str">
        <x:v>https://cfs.mortgage-application.net</x:v>
      </x:c>
      <x:c r="N1949" s="16" t="str">
        <x:v>$100K-$500K ticket not published / unconfirmed</x:v>
      </x:c>
      <x:c r="O1949" s="20"/>
      <x:c r="P1949" s="20"/>
      <x:c r="Q1949" s="25" t="str">
        <x:v>Property-loan range, not a corporate-capital commitment</x:v>
      </x:c>
      <x:c r="R1949" s="25" t="str">
        <x:v>Private real-estate finance experience. Corporate working capital, minority equity or profit participation requires a separate agreement from a property loan.</x:v>
      </x:c>
      <x:c r="S1949" s="25"/>
      <x:c r="T1949" s="25" t="str">
        <x:v>Confirm direct principal versus broker, $100K-$500K appetite, and whether capital can fund the operating company without a property mortgage.</x:v>
      </x:c>
      <x:c r="U1949" s="25" t="str">
        <x:v>https://www.hardmoneyhome.com/lenders/view/construction-financial-services</x:v>
      </x:c>
      <x:c r="V1949" s="26" t="d">
        <x:v>2026-10-02T00:00:00.000Z</x:v>
      </x:c>
      <x:c r="W1949" s="26" t="d">
        <x:v>2026-09-30T00:00:00.000Z</x:v>
      </x:c>
      <x:c r="X1949" s="25" t="str">
        <x:v>Saved public company, industry-directory or regulatory source; source date retained</x:v>
      </x:c>
      <x:c r="Y1949" s="25"/>
      <x:c r="Z1949" s="25" t="str">
        <x:v>https://www.hardmoneyhome.com/lenders/view/construction-financial-services</x:v>
      </x:c>
      <x:c r="AA1949" s="25" t="str">
        <x:v>[]</x:v>
      </x:c>
      <x:c r="AB1949" s="3" t="str">
        <x:v>Existing CapitalForge research, newly screened for this campaign</x:v>
      </x:c>
      <x:c r="AC1949" s="3" t="str">
        <x:v>unverified</x:v>
      </x:c>
      <x:c r="AD1949" s="3" t="str">
        <x:v>Not contacted / unconfirmed</x:v>
      </x:c>
      <x:c r="AE1949" s="3" t="str">
        <x:v>No</x:v>
      </x:c>
      <x:c r="AF1949" s="3" t="str">
        <x:v>No</x:v>
      </x:c>
      <x:c r="AG1949" s="3"/>
      <x:c r="AH1949" s="3"/>
      <x:c r="AI1949" s="18"/>
      <x:c r="AJ1949" s="3" t="str">
        <x:v>CF2500-175AB2D12E79</x:v>
      </x:c>
      <x:c r="AK1949" s="3" t="str">
        <x:v>private_real_estate_lender</x:v>
      </x:c>
      <x:c r="AL1949" s="19" t="n">
        <x:v>100000</x:v>
      </x:c>
      <x:c r="AM1949" s="19" t="n">
        <x:v>500000</x:v>
      </x:c>
      <x:c r="AN1949" s="3" t="str">
        <x:v>https://www.hardmoneyhome.com/lenders/view/construction-financial-services</x:v>
      </x:c>
      <x:c r="AO1949" s="3" t="str">
        <x:v>public_directory.jsonl</x:v>
      </x:c>
      <x:c r="AP1949" s="19"/>
    </x:row>
    <x:row r="1950" ht="36" customHeight="1">
      <x:c r="A1950" s="23" t="n">
        <x:v>1949</x:v>
      </x:c>
      <x:c r="B1950" s="15" t="str">
        <x:v>CONTESSA CAPITAL</x:v>
      </x:c>
      <x:c r="C1950" s="15"/>
      <x:c r="D1950" s="15" t="str">
        <x:v>Property lender or directory member; operating-company capital unconfirmed</x:v>
      </x:c>
      <x:c r="E1950" s="15" t="str">
        <x:v>Property lender / private-money inquiry</x:v>
      </x:c>
      <x:c r="F1950" s="17" t="str">
        <x:v>New</x:v>
      </x:c>
      <x:c r="G1950" s="24"/>
      <x:c r="H1950" s="24" t="str">
        <x:v>+12813522635</x:v>
      </x:c>
      <x:c r="I1950" s="24" t="str">
        <x:v>https://contessacap.com/</x:v>
      </x:c>
      <x:c r="J1950" s="16" t="str">
        <x:v>TX</x:v>
      </x:c>
      <x:c r="K1950" s="16" t="str">
        <x:v>Houston</x:v>
      </x:c>
      <x:c r="L1950" s="16" t="str">
        <x:v>firm_business_routing</x:v>
      </x:c>
      <x:c r="M1950" s="16" t="str">
        <x:v>https://contessacap.com/</x:v>
      </x:c>
      <x:c r="N1950" s="16" t="str">
        <x:v>$100K-$500K ticket not published / unconfirmed</x:v>
      </x:c>
      <x:c r="O1950" s="20"/>
      <x:c r="P1950" s="20"/>
      <x:c r="Q1950" s="25" t="str">
        <x:v>Property-loan range, not a corporate-capital commitment</x:v>
      </x:c>
      <x:c r="R1950" s="25" t="str">
        <x:v>Private real-estate finance experience. Corporate working capital, minority equity or profit participation requires a separate agreement from a property loan.</x:v>
      </x:c>
      <x:c r="S1950" s="25"/>
      <x:c r="T1950" s="25" t="str">
        <x:v>Confirm direct principal versus broker, $100K-$500K appetite, and whether capital can fund the operating company without a property mortgage.</x:v>
      </x:c>
      <x:c r="U1950" s="25" t="str">
        <x:v>https://www.privatelendersdirectory.com/united-states/houston/top-level-category/contessa-capital
https://contessacap.com/</x:v>
      </x:c>
      <x:c r="V1950" s="26" t="d">
        <x:v>2026-10-02T00:00:00.000Z</x:v>
      </x:c>
      <x:c r="W1950" s="26" t="d">
        <x:v>2026-09-30T00:00:00.000Z</x:v>
      </x:c>
      <x:c r="X1950" s="25" t="str">
        <x:v>Saved public company, industry-directory or regulatory source; source date retained</x:v>
      </x:c>
      <x:c r="Y1950" s="25"/>
      <x:c r="Z1950" s="25" t="str">
        <x:v>https://contessacap.com/</x:v>
      </x:c>
      <x:c r="AA1950" s="25" t="str">
        <x:v>[]</x:v>
      </x:c>
      <x:c r="AB1950" s="3" t="str">
        <x:v>Existing CapitalForge research, newly screened for this campaign</x:v>
      </x:c>
      <x:c r="AC1950" s="3" t="str">
        <x:v>unverified</x:v>
      </x:c>
      <x:c r="AD1950" s="3" t="str">
        <x:v>Not contacted / unconfirmed</x:v>
      </x:c>
      <x:c r="AE1950" s="3" t="str">
        <x:v>No</x:v>
      </x:c>
      <x:c r="AF1950" s="3" t="str">
        <x:v>No</x:v>
      </x:c>
      <x:c r="AG1950" s="3"/>
      <x:c r="AH1950" s="3"/>
      <x:c r="AI1950" s="18"/>
      <x:c r="AJ1950" s="3" t="str">
        <x:v>CF2500-09E4D09666A5</x:v>
      </x:c>
      <x:c r="AK1950" s="3" t="str">
        <x:v>private_real_estate_lender</x:v>
      </x:c>
      <x:c r="AL1950" s="19" t="n">
        <x:v>100000</x:v>
      </x:c>
      <x:c r="AM1950" s="19" t="n">
        <x:v>500000</x:v>
      </x:c>
      <x:c r="AN1950" s="3" t="str">
        <x:v>https://www.privatelendersdirectory.com/united-states/houston/top-level-category/contessa-capital</x:v>
      </x:c>
      <x:c r="AO1950" s="3" t="str">
        <x:v>public_directory.jsonl</x:v>
      </x:c>
      <x:c r="AP1950" s="19"/>
    </x:row>
    <x:row r="1951" ht="36" customHeight="1">
      <x:c r="A1951" s="23" t="n">
        <x:v>1950</x:v>
      </x:c>
      <x:c r="B1951" s="15" t="str">
        <x:v>CORNERSTONE</x:v>
      </x:c>
      <x:c r="C1951" s="15"/>
      <x:c r="D1951" s="15" t="str">
        <x:v>Property lender or directory member; operating-company capital unconfirmed</x:v>
      </x:c>
      <x:c r="E1951" s="15" t="str">
        <x:v>Property lender / private-money inquiry</x:v>
      </x:c>
      <x:c r="F1951" s="17" t="str">
        <x:v>New</x:v>
      </x:c>
      <x:c r="G1951" s="24"/>
      <x:c r="H1951" s="24" t="str">
        <x:v>+17136214663</x:v>
      </x:c>
      <x:c r="I1951" s="24" t="str">
        <x:v>https://www.houseloan.com/</x:v>
      </x:c>
      <x:c r="J1951" s="16" t="str">
        <x:v>TX</x:v>
      </x:c>
      <x:c r="K1951" s="16" t="str">
        <x:v>Houston</x:v>
      </x:c>
      <x:c r="L1951" s="16" t="str">
        <x:v>firm_business_routing</x:v>
      </x:c>
      <x:c r="M1951" s="16" t="str">
        <x:v>https://www.houseloan.com/</x:v>
      </x:c>
      <x:c r="N1951" s="16" t="str">
        <x:v>$100K-$500K ticket not published / unconfirmed</x:v>
      </x:c>
      <x:c r="O1951" s="20"/>
      <x:c r="P1951" s="20"/>
      <x:c r="Q1951" s="25" t="str">
        <x:v>Property-loan range, not a corporate-capital commitment</x:v>
      </x:c>
      <x:c r="R1951" s="25" t="str">
        <x:v>Private real-estate finance experience. Corporate working capital, minority equity or profit participation requires a separate agreement from a property loan.</x:v>
      </x:c>
      <x:c r="S1951" s="25"/>
      <x:c r="T1951" s="25" t="str">
        <x:v>Confirm direct principal versus broker, $100K-$500K appetite, and whether capital can fund the operating company without a property mortgage.</x:v>
      </x:c>
      <x:c r="U1951" s="25" t="str">
        <x:v>https://www.privatelendersdirectory.com/united-states/houston/top-level-category/cornerstone
https://www.houseloan.com/</x:v>
      </x:c>
      <x:c r="V1951" s="26" t="d">
        <x:v>2026-10-02T00:00:00.000Z</x:v>
      </x:c>
      <x:c r="W1951" s="26" t="d">
        <x:v>2026-09-30T00:00:00.000Z</x:v>
      </x:c>
      <x:c r="X1951" s="25" t="str">
        <x:v>Saved public company, industry-directory or regulatory source; source date retained</x:v>
      </x:c>
      <x:c r="Y1951" s="25"/>
      <x:c r="Z1951" s="25" t="str">
        <x:v>https://www.houseloan.com/</x:v>
      </x:c>
      <x:c r="AA1951" s="25" t="str">
        <x:v>[]</x:v>
      </x:c>
      <x:c r="AB1951" s="3" t="str">
        <x:v>Existing CapitalForge research, newly screened for this campaign</x:v>
      </x:c>
      <x:c r="AC1951" s="3" t="str">
        <x:v>unverified</x:v>
      </x:c>
      <x:c r="AD1951" s="3" t="str">
        <x:v>Not contacted / unconfirmed</x:v>
      </x:c>
      <x:c r="AE1951" s="3" t="str">
        <x:v>No</x:v>
      </x:c>
      <x:c r="AF1951" s="3" t="str">
        <x:v>No</x:v>
      </x:c>
      <x:c r="AG1951" s="3"/>
      <x:c r="AH1951" s="3"/>
      <x:c r="AI1951" s="18"/>
      <x:c r="AJ1951" s="3" t="str">
        <x:v>CF2500-F87D5A909A68</x:v>
      </x:c>
      <x:c r="AK1951" s="3" t="str">
        <x:v>private_real_estate_lender</x:v>
      </x:c>
      <x:c r="AL1951" s="19" t="n">
        <x:v>100000</x:v>
      </x:c>
      <x:c r="AM1951" s="19" t="n">
        <x:v>500000</x:v>
      </x:c>
      <x:c r="AN1951" s="3" t="str">
        <x:v>https://www.privatelendersdirectory.com/united-states/houston/top-level-category/cornerstone</x:v>
      </x:c>
      <x:c r="AO1951" s="3" t="str">
        <x:v>public_directory.jsonl</x:v>
      </x:c>
      <x:c r="AP1951" s="19"/>
    </x:row>
    <x:row r="1952" ht="36" customHeight="1">
      <x:c r="A1952" s="23" t="n">
        <x:v>1951</x:v>
      </x:c>
      <x:c r="B1952" s="15" t="str">
        <x:v>CROFT &amp; CO LENDING</x:v>
      </x:c>
      <x:c r="C1952" s="15"/>
      <x:c r="D1952" s="15" t="str">
        <x:v>Property lender or directory member; operating-company capital unconfirmed</x:v>
      </x:c>
      <x:c r="E1952" s="15" t="str">
        <x:v>Property lender / private-money inquiry</x:v>
      </x:c>
      <x:c r="F1952" s="17" t="str">
        <x:v>New</x:v>
      </x:c>
      <x:c r="G1952" s="24"/>
      <x:c r="H1952" s="24" t="str">
        <x:v>+16234512442</x:v>
      </x:c>
      <x:c r="I1952" s="24" t="str">
        <x:v>https://www.croftlending.com/</x:v>
      </x:c>
      <x:c r="J1952" s="16" t="str">
        <x:v>AZ</x:v>
      </x:c>
      <x:c r="K1952" s="16" t="str">
        <x:v>Buckeye</x:v>
      </x:c>
      <x:c r="L1952" s="16" t="str">
        <x:v>firm_business_routing</x:v>
      </x:c>
      <x:c r="M1952" s="16" t="str">
        <x:v>https://www.croftlending.com/</x:v>
      </x:c>
      <x:c r="N1952" s="16" t="str">
        <x:v>$100K-$500K ticket not published / unconfirmed</x:v>
      </x:c>
      <x:c r="O1952" s="20"/>
      <x:c r="P1952" s="20"/>
      <x:c r="Q1952" s="25" t="str">
        <x:v>Property-loan range, not a corporate-capital commitment</x:v>
      </x:c>
      <x:c r="R1952" s="25" t="str">
        <x:v>Private real-estate finance experience. Corporate working capital, minority equity or profit participation requires a separate agreement from a property loan.</x:v>
      </x:c>
      <x:c r="S1952" s="25"/>
      <x:c r="T1952" s="25" t="str">
        <x:v>Confirm direct principal versus broker, $100K-$500K appetite, and whether capital can fund the operating company without a property mortgage.</x:v>
      </x:c>
      <x:c r="U1952" s="25" t="str">
        <x:v>https://www.privatelendersdirectory.com/united-states/buckeye/top-level-category/croft-co-lending
https://www.croftlending.com/</x:v>
      </x:c>
      <x:c r="V1952" s="26" t="d">
        <x:v>2026-10-02T00:00:00.000Z</x:v>
      </x:c>
      <x:c r="W1952" s="26" t="d">
        <x:v>2026-09-30T00:00:00.000Z</x:v>
      </x:c>
      <x:c r="X1952" s="25" t="str">
        <x:v>Saved public company, industry-directory or regulatory source; source date retained</x:v>
      </x:c>
      <x:c r="Y1952" s="25"/>
      <x:c r="Z1952" s="25" t="str">
        <x:v>https://www.croftlending.com/</x:v>
      </x:c>
      <x:c r="AA1952" s="25" t="str">
        <x:v>[]</x:v>
      </x:c>
      <x:c r="AB1952" s="3" t="str">
        <x:v>Existing CapitalForge research, newly screened for this campaign</x:v>
      </x:c>
      <x:c r="AC1952" s="3" t="str">
        <x:v>unverified</x:v>
      </x:c>
      <x:c r="AD1952" s="3" t="str">
        <x:v>Not contacted / unconfirmed</x:v>
      </x:c>
      <x:c r="AE1952" s="3" t="str">
        <x:v>No</x:v>
      </x:c>
      <x:c r="AF1952" s="3" t="str">
        <x:v>No</x:v>
      </x:c>
      <x:c r="AG1952" s="3"/>
      <x:c r="AH1952" s="3"/>
      <x:c r="AI1952" s="18"/>
      <x:c r="AJ1952" s="3" t="str">
        <x:v>CF2500-C0AE034AB215</x:v>
      </x:c>
      <x:c r="AK1952" s="3" t="str">
        <x:v>private_real_estate_lender</x:v>
      </x:c>
      <x:c r="AL1952" s="19" t="n">
        <x:v>100000</x:v>
      </x:c>
      <x:c r="AM1952" s="19" t="n">
        <x:v>500000</x:v>
      </x:c>
      <x:c r="AN1952" s="3" t="str">
        <x:v>https://www.privatelendersdirectory.com/united-states/buckeye/top-level-category/croft-co-lending</x:v>
      </x:c>
      <x:c r="AO1952" s="3" t="str">
        <x:v>public_directory.jsonl</x:v>
      </x:c>
      <x:c r="AP1952" s="19"/>
    </x:row>
    <x:row r="1953" ht="36" customHeight="1">
      <x:c r="A1953" s="23" t="n">
        <x:v>1952</x:v>
      </x:c>
      <x:c r="B1953" s="15" t="str">
        <x:v>Crosstimbers Capital Inc</x:v>
      </x:c>
      <x:c r="C1953" s="15"/>
      <x:c r="D1953" s="15" t="str">
        <x:v>Property lender or directory member; operating-company capital unconfirmed</x:v>
      </x:c>
      <x:c r="E1953" s="15" t="str">
        <x:v>Property lender / private-money inquiry</x:v>
      </x:c>
      <x:c r="F1953" s="17" t="str">
        <x:v>New</x:v>
      </x:c>
      <x:c r="G1953" s="24"/>
      <x:c r="H1953" s="24" t="str">
        <x:v>+19725035500</x:v>
      </x:c>
      <x:c r="I1953" s="24" t="str">
        <x:v>https://www.crosstimberscapital.com/?utm_source=private-lender-link</x:v>
      </x:c>
      <x:c r="J1953" s="16" t="str">
        <x:v>TX</x:v>
      </x:c>
      <x:c r="K1953" s="16" t="str">
        <x:v>Dallas</x:v>
      </x:c>
      <x:c r="L1953" s="16" t="str">
        <x:v>firm_business_routing</x:v>
      </x:c>
      <x:c r="M1953" s="16" t="str">
        <x:v>https://www.crosstimberscapital.com/?utm_source=private-lender-link</x:v>
      </x:c>
      <x:c r="N1953" s="16" t="str">
        <x:v>$100K-$500K ticket not published / unconfirmed</x:v>
      </x:c>
      <x:c r="O1953" s="20"/>
      <x:c r="P1953" s="20"/>
      <x:c r="Q1953" s="25" t="str">
        <x:v>Property-loan range, not a corporate-capital commitment</x:v>
      </x:c>
      <x:c r="R1953" s="25" t="str">
        <x:v>Private real-estate finance experience. Corporate working capital, minority equity or profit participation requires a separate agreement from a property loan.</x:v>
      </x:c>
      <x:c r="S1953" s="25"/>
      <x:c r="T1953" s="25" t="str">
        <x:v>Confirm direct principal versus broker, $100K-$500K appetite, and whether capital can fund the operating company without a property mortgage.</x:v>
      </x:c>
      <x:c r="U1953" s="25" t="str">
        <x:v>https://privatelenderlink.com/profile/crosstimbers-capital-inc/</x:v>
      </x:c>
      <x:c r="V1953" s="26" t="d">
        <x:v>2026-10-02T00:00:00.000Z</x:v>
      </x:c>
      <x:c r="W1953" s="26" t="d">
        <x:v>2026-09-30T00:00:00.000Z</x:v>
      </x:c>
      <x:c r="X1953" s="25" t="str">
        <x:v>Saved public company, industry-directory or regulatory source; source date retained</x:v>
      </x:c>
      <x:c r="Y1953" s="25"/>
      <x:c r="Z1953" s="25" t="str">
        <x:v>https://privatelenderlink.com/profile/crosstimbers-capital-inc/</x:v>
      </x:c>
      <x:c r="AA1953" s="25" t="str">
        <x:v>[]</x:v>
      </x:c>
      <x:c r="AB1953" s="3" t="str">
        <x:v>Existing CapitalForge research, newly screened for this campaign</x:v>
      </x:c>
      <x:c r="AC1953" s="3" t="str">
        <x:v>unverified</x:v>
      </x:c>
      <x:c r="AD1953" s="3" t="str">
        <x:v>Not contacted / unconfirmed</x:v>
      </x:c>
      <x:c r="AE1953" s="3" t="str">
        <x:v>No</x:v>
      </x:c>
      <x:c r="AF1953" s="3" t="str">
        <x:v>No</x:v>
      </x:c>
      <x:c r="AG1953" s="3"/>
      <x:c r="AH1953" s="3"/>
      <x:c r="AI1953" s="18"/>
      <x:c r="AJ1953" s="3" t="str">
        <x:v>CF2500-26AC642CC9FE</x:v>
      </x:c>
      <x:c r="AK1953" s="3" t="str">
        <x:v>private_real_estate_lender</x:v>
      </x:c>
      <x:c r="AL1953" s="19" t="n">
        <x:v>100000</x:v>
      </x:c>
      <x:c r="AM1953" s="19" t="n">
        <x:v>500000</x:v>
      </x:c>
      <x:c r="AN1953" s="3" t="str">
        <x:v>https://privatelenderlink.com/profile/crosstimbers-capital-inc/</x:v>
      </x:c>
      <x:c r="AO1953" s="3" t="str">
        <x:v>public_directory.jsonl</x:v>
      </x:c>
      <x:c r="AP1953" s="19"/>
    </x:row>
    <x:row r="1954" ht="36" customHeight="1">
      <x:c r="A1954" s="23" t="n">
        <x:v>1953</x:v>
      </x:c>
      <x:c r="B1954" s="15" t="str">
        <x:v>DIAMOND RESIDENTIAL MORTGAGE</x:v>
      </x:c>
      <x:c r="C1954" s="15"/>
      <x:c r="D1954" s="15" t="str">
        <x:v>Property lender or directory member; operating-company capital unconfirmed</x:v>
      </x:c>
      <x:c r="E1954" s="15" t="str">
        <x:v>Property lender / private-money inquiry</x:v>
      </x:c>
      <x:c r="F1954" s="17" t="str">
        <x:v>New</x:v>
      </x:c>
      <x:c r="G1954" s="24"/>
      <x:c r="H1954" s="24" t="str">
        <x:v>+18472449301</x:v>
      </x:c>
      <x:c r="I1954" s="24" t="str">
        <x:v>https://diamondresidential.com/</x:v>
      </x:c>
      <x:c r="J1954" s="16" t="str">
        <x:v>IL</x:v>
      </x:c>
      <x:c r="K1954" s="16" t="str">
        <x:v>Lake Forest</x:v>
      </x:c>
      <x:c r="L1954" s="16" t="str">
        <x:v>firm_business_routing</x:v>
      </x:c>
      <x:c r="M1954" s="16" t="str">
        <x:v>https://diamondresidential.com/</x:v>
      </x:c>
      <x:c r="N1954" s="16" t="str">
        <x:v>$100K-$500K ticket not published / unconfirmed</x:v>
      </x:c>
      <x:c r="O1954" s="20"/>
      <x:c r="P1954" s="20"/>
      <x:c r="Q1954" s="25" t="str">
        <x:v>Property-loan range, not a corporate-capital commitment</x:v>
      </x:c>
      <x:c r="R1954" s="25" t="str">
        <x:v>Private real-estate finance experience. Corporate working capital, minority equity or profit participation requires a separate agreement from a property loan.</x:v>
      </x:c>
      <x:c r="S1954" s="25"/>
      <x:c r="T1954" s="25" t="str">
        <x:v>Confirm direct principal versus broker, $100K-$500K appetite, and whether capital can fund the operating company without a property mortgage.</x:v>
      </x:c>
      <x:c r="U1954" s="25" t="str">
        <x:v>https://www.privatelendersdirectory.com/united-states/lake-forest/top-level-category/diamond-residential-mortgage-1959
https://diamondresidential.com/</x:v>
      </x:c>
      <x:c r="V1954" s="26" t="d">
        <x:v>2026-10-02T00:00:00.000Z</x:v>
      </x:c>
      <x:c r="W1954" s="26" t="d">
        <x:v>2026-09-30T00:00:00.000Z</x:v>
      </x:c>
      <x:c r="X1954" s="25" t="str">
        <x:v>Saved public company, industry-directory or regulatory source; source date retained</x:v>
      </x:c>
      <x:c r="Y1954" s="25"/>
      <x:c r="Z1954" s="25" t="str">
        <x:v>https://diamondresidential.com/</x:v>
      </x:c>
      <x:c r="AA1954" s="25" t="str">
        <x:v>[]</x:v>
      </x:c>
      <x:c r="AB1954" s="3" t="str">
        <x:v>Existing CapitalForge research, newly screened for this campaign</x:v>
      </x:c>
      <x:c r="AC1954" s="3" t="str">
        <x:v>unverified</x:v>
      </x:c>
      <x:c r="AD1954" s="3" t="str">
        <x:v>Not contacted / unconfirmed</x:v>
      </x:c>
      <x:c r="AE1954" s="3" t="str">
        <x:v>No</x:v>
      </x:c>
      <x:c r="AF1954" s="3" t="str">
        <x:v>No</x:v>
      </x:c>
      <x:c r="AG1954" s="3"/>
      <x:c r="AH1954" s="3"/>
      <x:c r="AI1954" s="18"/>
      <x:c r="AJ1954" s="3" t="str">
        <x:v>CF2500-900CAA076003</x:v>
      </x:c>
      <x:c r="AK1954" s="3" t="str">
        <x:v>private_real_estate_lender</x:v>
      </x:c>
      <x:c r="AL1954" s="19" t="n">
        <x:v>100000</x:v>
      </x:c>
      <x:c r="AM1954" s="19" t="n">
        <x:v>500000</x:v>
      </x:c>
      <x:c r="AN1954" s="3" t="str">
        <x:v>https://www.privatelendersdirectory.com/united-states/lake-forest/top-level-category/diamond-residential-mortgage-1959</x:v>
      </x:c>
      <x:c r="AO1954" s="3" t="str">
        <x:v>public_directory.jsonl</x:v>
      </x:c>
      <x:c r="AP1954" s="19"/>
    </x:row>
    <x:row r="1955" ht="36" customHeight="1">
      <x:c r="A1955" s="23" t="n">
        <x:v>1954</x:v>
      </x:c>
      <x:c r="B1955" s="15" t="str">
        <x:v>Diplomat Property Solutions</x:v>
      </x:c>
      <x:c r="C1955" s="15"/>
      <x:c r="D1955" s="15" t="str">
        <x:v>Property lender or directory member; operating-company capital unconfirmed</x:v>
      </x:c>
      <x:c r="E1955" s="15" t="str">
        <x:v>Property lender / private-money inquiry</x:v>
      </x:c>
      <x:c r="F1955" s="17" t="str">
        <x:v>New</x:v>
      </x:c>
      <x:c r="G1955" s="24"/>
      <x:c r="H1955" s="24" t="str">
        <x:v>+13059676747</x:v>
      </x:c>
      <x:c r="I1955" s="24" t="str">
        <x:v>http://www.diplomatpropertysolutions.com</x:v>
      </x:c>
      <x:c r="J1955" s="16" t="str">
        <x:v>FL</x:v>
      </x:c>
      <x:c r="K1955" s="16" t="str">
        <x:v>Miami</x:v>
      </x:c>
      <x:c r="L1955" s="16" t="str">
        <x:v>firm_business_routing</x:v>
      </x:c>
      <x:c r="M1955" s="16" t="str">
        <x:v>http://www.diplomatpropertysolutions.com</x:v>
      </x:c>
      <x:c r="N1955" s="16" t="str">
        <x:v>$100K-$500K ticket not published / unconfirmed</x:v>
      </x:c>
      <x:c r="O1955" s="20"/>
      <x:c r="P1955" s="20"/>
      <x:c r="Q1955" s="25" t="str">
        <x:v>Property-loan range, not a corporate-capital commitment</x:v>
      </x:c>
      <x:c r="R1955" s="25" t="str">
        <x:v>Private real-estate finance experience. Corporate working capital, minority equity or profit participation requires a separate agreement from a property loan.</x:v>
      </x:c>
      <x:c r="S1955" s="25"/>
      <x:c r="T1955" s="25" t="str">
        <x:v>Confirm direct principal versus broker, $100K-$500K appetite, and whether capital can fund the operating company without a property mortgage.</x:v>
      </x:c>
      <x:c r="U1955" s="25" t="str">
        <x:v>https://www.hardmoneyhome.com/lenders/view/diplomat-property-solutions
https://www.privatelendersdirectory.com/united-states/miami/top-level-category/diplomat-property-solutions</x:v>
      </x:c>
      <x:c r="V1955" s="26" t="d">
        <x:v>2026-10-02T00:00:00.000Z</x:v>
      </x:c>
      <x:c r="W1955" s="26" t="d">
        <x:v>2026-09-30T00:00:00.000Z</x:v>
      </x:c>
      <x:c r="X1955" s="25" t="str">
        <x:v>Saved public company, industry-directory or regulatory source; source date retained</x:v>
      </x:c>
      <x:c r="Y1955" s="25"/>
      <x:c r="Z1955" s="25" t="str">
        <x:v>https://www.hardmoneyhome.com/lenders/view/diplomat-property-solutions</x:v>
      </x:c>
      <x:c r="AA1955" s="25" t="str">
        <x:v>[]</x:v>
      </x:c>
      <x:c r="AB1955" s="3" t="str">
        <x:v>Existing CapitalForge research, newly screened for this campaign</x:v>
      </x:c>
      <x:c r="AC1955" s="3" t="str">
        <x:v>unverified</x:v>
      </x:c>
      <x:c r="AD1955" s="3" t="str">
        <x:v>Not contacted / unconfirmed</x:v>
      </x:c>
      <x:c r="AE1955" s="3" t="str">
        <x:v>No</x:v>
      </x:c>
      <x:c r="AF1955" s="3" t="str">
        <x:v>No</x:v>
      </x:c>
      <x:c r="AG1955" s="3"/>
      <x:c r="AH1955" s="3"/>
      <x:c r="AI1955" s="18"/>
      <x:c r="AJ1955" s="3" t="str">
        <x:v>CF2500-979DB47B6D7E</x:v>
      </x:c>
      <x:c r="AK1955" s="3" t="str">
        <x:v>private_real_estate_lender</x:v>
      </x:c>
      <x:c r="AL1955" s="19" t="n">
        <x:v>100000</x:v>
      </x:c>
      <x:c r="AM1955" s="19" t="n">
        <x:v>500000</x:v>
      </x:c>
      <x:c r="AN1955" s="3" t="str">
        <x:v>https://www.hardmoneyhome.com/lenders/view/diplomat-property-solutions</x:v>
      </x:c>
      <x:c r="AO1955" s="3" t="str">
        <x:v>public_directory.jsonl</x:v>
      </x:c>
      <x:c r="AP1955" s="19"/>
    </x:row>
    <x:row r="1956" ht="36" customHeight="1">
      <x:c r="A1956" s="23" t="n">
        <x:v>1955</x:v>
      </x:c>
      <x:c r="B1956" s="15" t="str">
        <x:v>Distinct Funding Solutions</x:v>
      </x:c>
      <x:c r="C1956" s="15"/>
      <x:c r="D1956" s="15" t="str">
        <x:v>Property lender or directory member; operating-company capital unconfirmed</x:v>
      </x:c>
      <x:c r="E1956" s="15" t="str">
        <x:v>Property lender / private-money inquiry</x:v>
      </x:c>
      <x:c r="F1956" s="17" t="str">
        <x:v>New</x:v>
      </x:c>
      <x:c r="G1956" s="24"/>
      <x:c r="H1956" s="24" t="str">
        <x:v>+12144668470</x:v>
      </x:c>
      <x:c r="I1956" s="24" t="str">
        <x:v>http://www.dfundingsolutions.com/</x:v>
      </x:c>
      <x:c r="J1956" s="16" t="str">
        <x:v>TX</x:v>
      </x:c>
      <x:c r="K1956" s="16" t="str">
        <x:v>Dallas</x:v>
      </x:c>
      <x:c r="L1956" s="16" t="str">
        <x:v>firm_business_routing</x:v>
      </x:c>
      <x:c r="M1956" s="16" t="str">
        <x:v>http://www.dfundingsolutions.com/</x:v>
      </x:c>
      <x:c r="N1956" s="16" t="str">
        <x:v>$100K-$500K ticket not published / unconfirmed</x:v>
      </x:c>
      <x:c r="O1956" s="20"/>
      <x:c r="P1956" s="20"/>
      <x:c r="Q1956" s="25" t="str">
        <x:v>Property-loan range, not a corporate-capital commitment</x:v>
      </x:c>
      <x:c r="R1956" s="25" t="str">
        <x:v>Private real-estate finance experience. Corporate working capital, minority equity or profit participation requires a separate agreement from a property loan.</x:v>
      </x:c>
      <x:c r="S1956" s="25"/>
      <x:c r="T1956" s="25" t="str">
        <x:v>Confirm direct principal versus broker, $100K-$500K appetite, and whether capital can fund the operating company without a property mortgage.</x:v>
      </x:c>
      <x:c r="U1956" s="25" t="str">
        <x:v>https://www.hardmoneyhome.com/lenders/view/distinct-funding-solutions</x:v>
      </x:c>
      <x:c r="V1956" s="26" t="d">
        <x:v>2026-10-02T00:00:00.000Z</x:v>
      </x:c>
      <x:c r="W1956" s="26" t="d">
        <x:v>2026-09-30T00:00:00.000Z</x:v>
      </x:c>
      <x:c r="X1956" s="25" t="str">
        <x:v>Saved public company, industry-directory or regulatory source; source date retained</x:v>
      </x:c>
      <x:c r="Y1956" s="25"/>
      <x:c r="Z1956" s="25" t="str">
        <x:v>https://www.hardmoneyhome.com/lenders/view/distinct-funding-solutions</x:v>
      </x:c>
      <x:c r="AA1956" s="25" t="str">
        <x:v>[]</x:v>
      </x:c>
      <x:c r="AB1956" s="3" t="str">
        <x:v>Existing CapitalForge research, newly screened for this campaign</x:v>
      </x:c>
      <x:c r="AC1956" s="3" t="str">
        <x:v>unverified</x:v>
      </x:c>
      <x:c r="AD1956" s="3" t="str">
        <x:v>Not contacted / unconfirmed</x:v>
      </x:c>
      <x:c r="AE1956" s="3" t="str">
        <x:v>No</x:v>
      </x:c>
      <x:c r="AF1956" s="3" t="str">
        <x:v>No</x:v>
      </x:c>
      <x:c r="AG1956" s="3"/>
      <x:c r="AH1956" s="3"/>
      <x:c r="AI1956" s="18"/>
      <x:c r="AJ1956" s="3" t="str">
        <x:v>CF2500-69A3D8F28402</x:v>
      </x:c>
      <x:c r="AK1956" s="3" t="str">
        <x:v>private_real_estate_lender</x:v>
      </x:c>
      <x:c r="AL1956" s="19" t="n">
        <x:v>100000</x:v>
      </x:c>
      <x:c r="AM1956" s="19" t="n">
        <x:v>500000</x:v>
      </x:c>
      <x:c r="AN1956" s="3" t="str">
        <x:v>https://www.hardmoneyhome.com/lenders/view/distinct-funding-solutions</x:v>
      </x:c>
      <x:c r="AO1956" s="3" t="str">
        <x:v>public_directory.jsonl</x:v>
      </x:c>
      <x:c r="AP1956" s="19"/>
    </x:row>
    <x:row r="1957" ht="36" customHeight="1">
      <x:c r="A1957" s="23" t="n">
        <x:v>1956</x:v>
      </x:c>
      <x:c r="B1957" s="15" t="str">
        <x:v>DIXON WEALTH</x:v>
      </x:c>
      <x:c r="C1957" s="15"/>
      <x:c r="D1957" s="15" t="str">
        <x:v>Property lender or directory member; operating-company capital unconfirmed</x:v>
      </x:c>
      <x:c r="E1957" s="15" t="str">
        <x:v>Property lender / private-money inquiry</x:v>
      </x:c>
      <x:c r="F1957" s="17" t="str">
        <x:v>New</x:v>
      </x:c>
      <x:c r="G1957" s="24"/>
      <x:c r="H1957" s="24" t="str">
        <x:v>+13362458626</x:v>
      </x:c>
      <x:c r="I1957" s="24" t="str">
        <x:v>https://www.dixonwm.com/</x:v>
      </x:c>
      <x:c r="J1957" s="16" t="str">
        <x:v>NC</x:v>
      </x:c>
      <x:c r="K1957" s="16" t="str">
        <x:v>Winston-Salem</x:v>
      </x:c>
      <x:c r="L1957" s="16" t="str">
        <x:v>firm_business_routing</x:v>
      </x:c>
      <x:c r="M1957" s="16" t="str">
        <x:v>https://www.dixonwm.com/</x:v>
      </x:c>
      <x:c r="N1957" s="16" t="str">
        <x:v>$100K-$500K ticket not published / unconfirmed</x:v>
      </x:c>
      <x:c r="O1957" s="20"/>
      <x:c r="P1957" s="20"/>
      <x:c r="Q1957" s="25" t="str">
        <x:v>Property-loan range, not a corporate-capital commitment</x:v>
      </x:c>
      <x:c r="R1957" s="25" t="str">
        <x:v>Private real-estate finance experience. Corporate working capital, minority equity or profit participation requires a separate agreement from a property loan.</x:v>
      </x:c>
      <x:c r="S1957" s="25"/>
      <x:c r="T1957" s="25" t="str">
        <x:v>Confirm direct principal versus broker, $100K-$500K appetite, and whether capital can fund the operating company without a property mortgage.</x:v>
      </x:c>
      <x:c r="U1957" s="25" t="str">
        <x:v>https://www.privatelendersdirectory.com/united-states/winston-salem/top-level-category/dixon-wealth
https://resolvedfinancial.com/?redirect=dixonwm</x:v>
      </x:c>
      <x:c r="V1957" s="26" t="d">
        <x:v>2026-10-02T00:00:00.000Z</x:v>
      </x:c>
      <x:c r="W1957" s="26" t="d">
        <x:v>2026-09-30T00:00:00.000Z</x:v>
      </x:c>
      <x:c r="X1957" s="25" t="str">
        <x:v>Saved public company, industry-directory or regulatory source; source date retained</x:v>
      </x:c>
      <x:c r="Y1957" s="25"/>
      <x:c r="Z1957" s="25" t="str">
        <x:v>https://resolvedfinancial.com/?redirect=dixonwm</x:v>
      </x:c>
      <x:c r="AA1957" s="25" t="str">
        <x:v>[]</x:v>
      </x:c>
      <x:c r="AB1957" s="3" t="str">
        <x:v>Existing CapitalForge research, newly screened for this campaign</x:v>
      </x:c>
      <x:c r="AC1957" s="3" t="str">
        <x:v>unverified</x:v>
      </x:c>
      <x:c r="AD1957" s="3" t="str">
        <x:v>Not contacted / unconfirmed</x:v>
      </x:c>
      <x:c r="AE1957" s="3" t="str">
        <x:v>No</x:v>
      </x:c>
      <x:c r="AF1957" s="3" t="str">
        <x:v>No</x:v>
      </x:c>
      <x:c r="AG1957" s="3"/>
      <x:c r="AH1957" s="3"/>
      <x:c r="AI1957" s="18"/>
      <x:c r="AJ1957" s="3" t="str">
        <x:v>CF2500-84E298692DCC</x:v>
      </x:c>
      <x:c r="AK1957" s="3" t="str">
        <x:v>private_real_estate_lender</x:v>
      </x:c>
      <x:c r="AL1957" s="19" t="n">
        <x:v>100000</x:v>
      </x:c>
      <x:c r="AM1957" s="19" t="n">
        <x:v>500000</x:v>
      </x:c>
      <x:c r="AN1957" s="3" t="str">
        <x:v>https://www.privatelendersdirectory.com/united-states/winston-salem/top-level-category/dixon-wealth</x:v>
      </x:c>
      <x:c r="AO1957" s="3" t="str">
        <x:v>public_directory.jsonl</x:v>
      </x:c>
      <x:c r="AP1957" s="19"/>
    </x:row>
    <x:row r="1958" ht="36" customHeight="1">
      <x:c r="A1958" s="23" t="n">
        <x:v>1957</x:v>
      </x:c>
      <x:c r="B1958" s="15" t="str">
        <x:v>DWIGHT CAPITAL</x:v>
      </x:c>
      <x:c r="C1958" s="15"/>
      <x:c r="D1958" s="15" t="str">
        <x:v>Property lender or directory member; operating-company capital unconfirmed</x:v>
      </x:c>
      <x:c r="E1958" s="15" t="str">
        <x:v>Property lender / private-money inquiry</x:v>
      </x:c>
      <x:c r="F1958" s="17" t="str">
        <x:v>New</x:v>
      </x:c>
      <x:c r="G1958" s="24"/>
      <x:c r="H1958" s="24" t="str">
        <x:v>+12129603750</x:v>
      </x:c>
      <x:c r="I1958" s="24" t="str">
        <x:v>https://dwightcapital.com/</x:v>
      </x:c>
      <x:c r="J1958" s="16" t="str">
        <x:v>FL</x:v>
      </x:c>
      <x:c r="K1958" s="16" t="str">
        <x:v>Sunny Isles Beach</x:v>
      </x:c>
      <x:c r="L1958" s="16" t="str">
        <x:v>firm_business_routing</x:v>
      </x:c>
      <x:c r="M1958" s="16" t="str">
        <x:v>https://dwightcapital.com/</x:v>
      </x:c>
      <x:c r="N1958" s="16" t="str">
        <x:v>$100K-$500K ticket not published / unconfirmed</x:v>
      </x:c>
      <x:c r="O1958" s="20"/>
      <x:c r="P1958" s="20"/>
      <x:c r="Q1958" s="25" t="str">
        <x:v>Property-loan range, not a corporate-capital commitment</x:v>
      </x:c>
      <x:c r="R1958" s="25" t="str">
        <x:v>Private real-estate finance experience. Corporate working capital, minority equity or profit participation requires a separate agreement from a property loan.</x:v>
      </x:c>
      <x:c r="S1958" s="25"/>
      <x:c r="T1958" s="25" t="str">
        <x:v>Confirm direct principal versus broker, $100K-$500K appetite, and whether capital can fund the operating company without a property mortgage.</x:v>
      </x:c>
      <x:c r="U1958" s="25" t="str">
        <x:v>https://www.privatelendersdirectory.com/united-states/sunny-isles-beach/top-level-category/dwight-capital
https://dwightcapital.com/</x:v>
      </x:c>
      <x:c r="V1958" s="26" t="d">
        <x:v>2026-10-02T00:00:00.000Z</x:v>
      </x:c>
      <x:c r="W1958" s="26" t="d">
        <x:v>2026-09-30T00:00:00.000Z</x:v>
      </x:c>
      <x:c r="X1958" s="25" t="str">
        <x:v>Saved public company, industry-directory or regulatory source; source date retained</x:v>
      </x:c>
      <x:c r="Y1958" s="25"/>
      <x:c r="Z1958" s="25" t="str">
        <x:v>https://dwightcapital.com/</x:v>
      </x:c>
      <x:c r="AA1958" s="25" t="str">
        <x:v>[]</x:v>
      </x:c>
      <x:c r="AB1958" s="3" t="str">
        <x:v>Existing CapitalForge research, newly screened for this campaign</x:v>
      </x:c>
      <x:c r="AC1958" s="3" t="str">
        <x:v>unverified</x:v>
      </x:c>
      <x:c r="AD1958" s="3" t="str">
        <x:v>Not contacted / unconfirmed</x:v>
      </x:c>
      <x:c r="AE1958" s="3" t="str">
        <x:v>No</x:v>
      </x:c>
      <x:c r="AF1958" s="3" t="str">
        <x:v>No</x:v>
      </x:c>
      <x:c r="AG1958" s="3"/>
      <x:c r="AH1958" s="3"/>
      <x:c r="AI1958" s="18"/>
      <x:c r="AJ1958" s="3" t="str">
        <x:v>CF2500-009B5A7DDC6F</x:v>
      </x:c>
      <x:c r="AK1958" s="3" t="str">
        <x:v>private_real_estate_lender</x:v>
      </x:c>
      <x:c r="AL1958" s="19" t="n">
        <x:v>100000</x:v>
      </x:c>
      <x:c r="AM1958" s="19" t="n">
        <x:v>500000</x:v>
      </x:c>
      <x:c r="AN1958" s="3" t="str">
        <x:v>https://www.privatelendersdirectory.com/united-states/sunny-isles-beach/top-level-category/dwight-capital</x:v>
      </x:c>
      <x:c r="AO1958" s="3" t="str">
        <x:v>public_directory.jsonl</x:v>
      </x:c>
      <x:c r="AP1958" s="19"/>
    </x:row>
    <x:row r="1959" ht="36" customHeight="1">
      <x:c r="A1959" s="23" t="n">
        <x:v>1958</x:v>
      </x:c>
      <x:c r="B1959" s="15" t="str">
        <x:v>EAST HARBOR FINANCIAL</x:v>
      </x:c>
      <x:c r="C1959" s="15"/>
      <x:c r="D1959" s="15" t="str">
        <x:v>Property lender or directory member; operating-company capital unconfirmed</x:v>
      </x:c>
      <x:c r="E1959" s="15" t="str">
        <x:v>Property lender / private-money inquiry</x:v>
      </x:c>
      <x:c r="F1959" s="17" t="str">
        <x:v>New</x:v>
      </x:c>
      <x:c r="G1959" s="24"/>
      <x:c r="H1959" s="24" t="str">
        <x:v>+17864415994</x:v>
      </x:c>
      <x:c r="I1959" s="24" t="str">
        <x:v>https://eastharborfinancial.com/</x:v>
      </x:c>
      <x:c r="J1959" s="16" t="str">
        <x:v>FL</x:v>
      </x:c>
      <x:c r="K1959" s="16" t="str">
        <x:v>Doral</x:v>
      </x:c>
      <x:c r="L1959" s="16" t="str">
        <x:v>firm_business_routing</x:v>
      </x:c>
      <x:c r="M1959" s="16" t="str">
        <x:v>https://eastharborfinancial.com/</x:v>
      </x:c>
      <x:c r="N1959" s="16" t="str">
        <x:v>$100K-$500K ticket not published / unconfirmed</x:v>
      </x:c>
      <x:c r="O1959" s="20"/>
      <x:c r="P1959" s="20"/>
      <x:c r="Q1959" s="25" t="str">
        <x:v>Property-loan range, not a corporate-capital commitment</x:v>
      </x:c>
      <x:c r="R1959" s="25" t="str">
        <x:v>Private real-estate finance experience. Corporate working capital, minority equity or profit participation requires a separate agreement from a property loan.</x:v>
      </x:c>
      <x:c r="S1959" s="25"/>
      <x:c r="T1959" s="25" t="str">
        <x:v>Confirm direct principal versus broker, $100K-$500K appetite, and whether capital can fund the operating company without a property mortgage.</x:v>
      </x:c>
      <x:c r="U1959" s="25" t="str">
        <x:v>https://www.privatelendersdirectory.com/united-states/doral/top-level-category/east-harbor-financial
https://www.eastharborfinancial.com/</x:v>
      </x:c>
      <x:c r="V1959" s="26" t="d">
        <x:v>2026-10-02T00:00:00.000Z</x:v>
      </x:c>
      <x:c r="W1959" s="26" t="d">
        <x:v>2026-09-30T00:00:00.000Z</x:v>
      </x:c>
      <x:c r="X1959" s="25" t="str">
        <x:v>Saved public company, industry-directory or regulatory source; source date retained</x:v>
      </x:c>
      <x:c r="Y1959" s="25"/>
      <x:c r="Z1959" s="25" t="str">
        <x:v>https://www.eastharborfinancial.com/</x:v>
      </x:c>
      <x:c r="AA1959" s="25" t="str">
        <x:v>[]</x:v>
      </x:c>
      <x:c r="AB1959" s="3" t="str">
        <x:v>Existing CapitalForge research, newly screened for this campaign</x:v>
      </x:c>
      <x:c r="AC1959" s="3" t="str">
        <x:v>unverified</x:v>
      </x:c>
      <x:c r="AD1959" s="3" t="str">
        <x:v>Not contacted / unconfirmed</x:v>
      </x:c>
      <x:c r="AE1959" s="3" t="str">
        <x:v>No</x:v>
      </x:c>
      <x:c r="AF1959" s="3" t="str">
        <x:v>No</x:v>
      </x:c>
      <x:c r="AG1959" s="3"/>
      <x:c r="AH1959" s="3"/>
      <x:c r="AI1959" s="18"/>
      <x:c r="AJ1959" s="3" t="str">
        <x:v>CF2500-E96BAF2293AC</x:v>
      </x:c>
      <x:c r="AK1959" s="3" t="str">
        <x:v>private_real_estate_lender</x:v>
      </x:c>
      <x:c r="AL1959" s="19" t="n">
        <x:v>100000</x:v>
      </x:c>
      <x:c r="AM1959" s="19" t="n">
        <x:v>500000</x:v>
      </x:c>
      <x:c r="AN1959" s="3" t="str">
        <x:v>https://www.privatelendersdirectory.com/united-states/doral/top-level-category/east-harbor-financial</x:v>
      </x:c>
      <x:c r="AO1959" s="3" t="str">
        <x:v>public_directory.jsonl</x:v>
      </x:c>
      <x:c r="AP1959" s="19"/>
    </x:row>
    <x:row r="1960" ht="36" customHeight="1">
      <x:c r="A1960" s="23" t="n">
        <x:v>1959</x:v>
      </x:c>
      <x:c r="B1960" s="15" t="str">
        <x:v>ENCORE COMMERCIAL CAPITAL</x:v>
      </x:c>
      <x:c r="C1960" s="15"/>
      <x:c r="D1960" s="15" t="str">
        <x:v>Property lender or directory member; operating-company capital unconfirmed</x:v>
      </x:c>
      <x:c r="E1960" s="15" t="str">
        <x:v>Property lender / private-money inquiry</x:v>
      </x:c>
      <x:c r="F1960" s="17" t="str">
        <x:v>New</x:v>
      </x:c>
      <x:c r="G1960" s="24"/>
      <x:c r="H1960" s="24" t="str">
        <x:v>+18885509339</x:v>
      </x:c>
      <x:c r="I1960" s="24" t="str">
        <x:v>https://www.eccapitalcorp.com/</x:v>
      </x:c>
      <x:c r="J1960" s="16" t="str">
        <x:v>NC</x:v>
      </x:c>
      <x:c r="K1960" s="16" t="str">
        <x:v>Greensboro</x:v>
      </x:c>
      <x:c r="L1960" s="16" t="str">
        <x:v>firm_business_routing</x:v>
      </x:c>
      <x:c r="M1960" s="16" t="str">
        <x:v>https://www.eccapitalcorp.com/</x:v>
      </x:c>
      <x:c r="N1960" s="16" t="str">
        <x:v>$100K-$500K ticket not published / unconfirmed</x:v>
      </x:c>
      <x:c r="O1960" s="20"/>
      <x:c r="P1960" s="20"/>
      <x:c r="Q1960" s="25" t="str">
        <x:v>Property-loan range, not a corporate-capital commitment</x:v>
      </x:c>
      <x:c r="R1960" s="25" t="str">
        <x:v>Private real-estate finance experience. Corporate working capital, minority equity or profit participation requires a separate agreement from a property loan.</x:v>
      </x:c>
      <x:c r="S1960" s="25"/>
      <x:c r="T1960" s="25" t="str">
        <x:v>Confirm direct principal versus broker, $100K-$500K appetite, and whether capital can fund the operating company without a property mortgage.</x:v>
      </x:c>
      <x:c r="U1960" s="25" t="str">
        <x:v>https://www.privatelendersdirectory.com/united-states/greensboro/top-level-category/encore-commercial-capital
https://eccapitalcorp.com/</x:v>
      </x:c>
      <x:c r="V1960" s="26" t="d">
        <x:v>2026-10-02T00:00:00.000Z</x:v>
      </x:c>
      <x:c r="W1960" s="26" t="d">
        <x:v>2026-09-30T00:00:00.000Z</x:v>
      </x:c>
      <x:c r="X1960" s="25" t="str">
        <x:v>Saved public company, industry-directory or regulatory source; source date retained</x:v>
      </x:c>
      <x:c r="Y1960" s="25"/>
      <x:c r="Z1960" s="25" t="str">
        <x:v>https://eccapitalcorp.com/</x:v>
      </x:c>
      <x:c r="AA1960" s="25" t="str">
        <x:v>[]</x:v>
      </x:c>
      <x:c r="AB1960" s="3" t="str">
        <x:v>Existing CapitalForge research, newly screened for this campaign</x:v>
      </x:c>
      <x:c r="AC1960" s="3" t="str">
        <x:v>unverified</x:v>
      </x:c>
      <x:c r="AD1960" s="3" t="str">
        <x:v>Not contacted / unconfirmed</x:v>
      </x:c>
      <x:c r="AE1960" s="3" t="str">
        <x:v>No</x:v>
      </x:c>
      <x:c r="AF1960" s="3" t="str">
        <x:v>No</x:v>
      </x:c>
      <x:c r="AG1960" s="3"/>
      <x:c r="AH1960" s="3"/>
      <x:c r="AI1960" s="18"/>
      <x:c r="AJ1960" s="3" t="str">
        <x:v>CF2500-901CA936049F</x:v>
      </x:c>
      <x:c r="AK1960" s="3" t="str">
        <x:v>private_real_estate_lender</x:v>
      </x:c>
      <x:c r="AL1960" s="19" t="n">
        <x:v>100000</x:v>
      </x:c>
      <x:c r="AM1960" s="19" t="n">
        <x:v>500000</x:v>
      </x:c>
      <x:c r="AN1960" s="3" t="str">
        <x:v>https://www.privatelendersdirectory.com/united-states/greensboro/top-level-category/encore-commercial-capital</x:v>
      </x:c>
      <x:c r="AO1960" s="3" t="str">
        <x:v>public_directory.jsonl</x:v>
      </x:c>
      <x:c r="AP1960" s="19"/>
    </x:row>
    <x:row r="1961" ht="36" customHeight="1">
      <x:c r="A1961" s="23" t="n">
        <x:v>1960</x:v>
      </x:c>
      <x:c r="B1961" s="15" t="str">
        <x:v>Entrust Capital Funding</x:v>
      </x:c>
      <x:c r="C1961" s="15"/>
      <x:c r="D1961" s="15" t="str">
        <x:v>Property lender or directory member; operating-company capital unconfirmed</x:v>
      </x:c>
      <x:c r="E1961" s="15" t="str">
        <x:v>Property lender / private-money inquiry</x:v>
      </x:c>
      <x:c r="F1961" s="17" t="str">
        <x:v>New</x:v>
      </x:c>
      <x:c r="G1961" s="24"/>
      <x:c r="H1961" s="24" t="str">
        <x:v>+19157998438</x:v>
      </x:c>
      <x:c r="I1961" s="24" t="str">
        <x:v>http://entrustcapitalfunding.com</x:v>
      </x:c>
      <x:c r="J1961" s="16" t="str">
        <x:v>TX</x:v>
      </x:c>
      <x:c r="K1961" s="16" t="str">
        <x:v>El Paso</x:v>
      </x:c>
      <x:c r="L1961" s="16" t="str">
        <x:v>firm_business_routing</x:v>
      </x:c>
      <x:c r="M1961" s="16" t="str">
        <x:v>http://entrustcapitalfunding.com</x:v>
      </x:c>
      <x:c r="N1961" s="16" t="str">
        <x:v>$100K-$500K ticket not published / unconfirmed</x:v>
      </x:c>
      <x:c r="O1961" s="20"/>
      <x:c r="P1961" s="20"/>
      <x:c r="Q1961" s="25" t="str">
        <x:v>Property-loan range, not a corporate-capital commitment</x:v>
      </x:c>
      <x:c r="R1961" s="25" t="str">
        <x:v>Private real-estate finance experience. Corporate working capital, minority equity or profit participation requires a separate agreement from a property loan.</x:v>
      </x:c>
      <x:c r="S1961" s="25"/>
      <x:c r="T1961" s="25" t="str">
        <x:v>Confirm direct principal versus broker, $100K-$500K appetite, and whether capital can fund the operating company without a property mortgage.</x:v>
      </x:c>
      <x:c r="U1961" s="25" t="str">
        <x:v>https://www.hardmoneyhome.com/lenders/view/entrust-capital-funding</x:v>
      </x:c>
      <x:c r="V1961" s="26" t="d">
        <x:v>2026-10-02T00:00:00.000Z</x:v>
      </x:c>
      <x:c r="W1961" s="26" t="d">
        <x:v>2026-09-30T00:00:00.000Z</x:v>
      </x:c>
      <x:c r="X1961" s="25" t="str">
        <x:v>Saved public company, industry-directory or regulatory source; source date retained</x:v>
      </x:c>
      <x:c r="Y1961" s="25"/>
      <x:c r="Z1961" s="25" t="str">
        <x:v>https://www.hardmoneyhome.com/lenders/view/entrust-capital-funding</x:v>
      </x:c>
      <x:c r="AA1961" s="25" t="str">
        <x:v>[]</x:v>
      </x:c>
      <x:c r="AB1961" s="3" t="str">
        <x:v>Existing CapitalForge research, newly screened for this campaign</x:v>
      </x:c>
      <x:c r="AC1961" s="3" t="str">
        <x:v>unverified</x:v>
      </x:c>
      <x:c r="AD1961" s="3" t="str">
        <x:v>Not contacted / unconfirmed</x:v>
      </x:c>
      <x:c r="AE1961" s="3" t="str">
        <x:v>No</x:v>
      </x:c>
      <x:c r="AF1961" s="3" t="str">
        <x:v>No</x:v>
      </x:c>
      <x:c r="AG1961" s="3"/>
      <x:c r="AH1961" s="3"/>
      <x:c r="AI1961" s="18"/>
      <x:c r="AJ1961" s="3" t="str">
        <x:v>CF2500-45E17B7C0A7D</x:v>
      </x:c>
      <x:c r="AK1961" s="3" t="str">
        <x:v>private_real_estate_lender</x:v>
      </x:c>
      <x:c r="AL1961" s="19" t="n">
        <x:v>100000</x:v>
      </x:c>
      <x:c r="AM1961" s="19" t="n">
        <x:v>500000</x:v>
      </x:c>
      <x:c r="AN1961" s="3" t="str">
        <x:v>https://www.hardmoneyhome.com/lenders/view/entrust-capital-funding</x:v>
      </x:c>
      <x:c r="AO1961" s="3" t="str">
        <x:v>public_directory.jsonl</x:v>
      </x:c>
      <x:c r="AP1961" s="19"/>
    </x:row>
    <x:row r="1962" ht="36" customHeight="1">
      <x:c r="A1962" s="23" t="n">
        <x:v>1961</x:v>
      </x:c>
      <x:c r="B1962" s="15" t="str">
        <x:v>EQUIMORTGAGE BANKERS CORP.</x:v>
      </x:c>
      <x:c r="C1962" s="15"/>
      <x:c r="D1962" s="15" t="str">
        <x:v>Property lender or directory member; operating-company capital unconfirmed</x:v>
      </x:c>
      <x:c r="E1962" s="15" t="str">
        <x:v>Property lender / private-money inquiry</x:v>
      </x:c>
      <x:c r="F1962" s="17" t="str">
        <x:v>New</x:v>
      </x:c>
      <x:c r="G1962" s="24"/>
      <x:c r="H1962" s="24" t="str">
        <x:v>+13055575052</x:v>
      </x:c>
      <x:c r="I1962" s="24" t="str">
        <x:v>https://www.embankers.com/</x:v>
      </x:c>
      <x:c r="J1962" s="16" t="str">
        <x:v>FL</x:v>
      </x:c>
      <x:c r="K1962" s="16" t="str">
        <x:v>Hialeah</x:v>
      </x:c>
      <x:c r="L1962" s="16" t="str">
        <x:v>firm_business_routing</x:v>
      </x:c>
      <x:c r="M1962" s="16" t="str">
        <x:v>https://www.embankers.com/</x:v>
      </x:c>
      <x:c r="N1962" s="16" t="str">
        <x:v>$100K-$500K ticket not published / unconfirmed</x:v>
      </x:c>
      <x:c r="O1962" s="20"/>
      <x:c r="P1962" s="20"/>
      <x:c r="Q1962" s="25" t="str">
        <x:v>Property-loan range, not a corporate-capital commitment</x:v>
      </x:c>
      <x:c r="R1962" s="25" t="str">
        <x:v>Private real-estate finance experience. Corporate working capital, minority equity or profit participation requires a separate agreement from a property loan.</x:v>
      </x:c>
      <x:c r="S1962" s="25"/>
      <x:c r="T1962" s="25" t="str">
        <x:v>Confirm direct principal versus broker, $100K-$500K appetite, and whether capital can fund the operating company without a property mortgage.</x:v>
      </x:c>
      <x:c r="U1962" s="25" t="str">
        <x:v>https://www.privatelendersdirectory.com/united-states/hialeah/real-estate-investment-lending/equimortgage-bankers-corp
https://www.embankers.com/</x:v>
      </x:c>
      <x:c r="V1962" s="26" t="d">
        <x:v>2026-10-02T00:00:00.000Z</x:v>
      </x:c>
      <x:c r="W1962" s="26" t="d">
        <x:v>2026-09-30T00:00:00.000Z</x:v>
      </x:c>
      <x:c r="X1962" s="25" t="str">
        <x:v>Saved public company, industry-directory or regulatory source; source date retained</x:v>
      </x:c>
      <x:c r="Y1962" s="25"/>
      <x:c r="Z1962" s="25" t="str">
        <x:v>https://www.embankers.com/</x:v>
      </x:c>
      <x:c r="AA1962" s="25" t="str">
        <x:v>[]</x:v>
      </x:c>
      <x:c r="AB1962" s="3" t="str">
        <x:v>Existing CapitalForge research, newly screened for this campaign</x:v>
      </x:c>
      <x:c r="AC1962" s="3" t="str">
        <x:v>unverified</x:v>
      </x:c>
      <x:c r="AD1962" s="3" t="str">
        <x:v>Not contacted / unconfirmed</x:v>
      </x:c>
      <x:c r="AE1962" s="3" t="str">
        <x:v>No</x:v>
      </x:c>
      <x:c r="AF1962" s="3" t="str">
        <x:v>No</x:v>
      </x:c>
      <x:c r="AG1962" s="3"/>
      <x:c r="AH1962" s="3"/>
      <x:c r="AI1962" s="18"/>
      <x:c r="AJ1962" s="3" t="str">
        <x:v>CF2500-817FE661305F</x:v>
      </x:c>
      <x:c r="AK1962" s="3" t="str">
        <x:v>private_real_estate_lender</x:v>
      </x:c>
      <x:c r="AL1962" s="19" t="n">
        <x:v>100000</x:v>
      </x:c>
      <x:c r="AM1962" s="19" t="n">
        <x:v>500000</x:v>
      </x:c>
      <x:c r="AN1962" s="3" t="str">
        <x:v>https://www.privatelendersdirectory.com/united-states/hialeah/real-estate-investment-lending/equimortgage-bankers-corp</x:v>
      </x:c>
      <x:c r="AO1962" s="3" t="str">
        <x:v>public_directory.jsonl</x:v>
      </x:c>
      <x:c r="AP1962" s="19"/>
    </x:row>
    <x:row r="1963" ht="36" customHeight="1">
      <x:c r="A1963" s="23" t="n">
        <x:v>1962</x:v>
      </x:c>
      <x:c r="B1963" s="15" t="str">
        <x:v>Executive Capital Lending</x:v>
      </x:c>
      <x:c r="C1963" s="15"/>
      <x:c r="D1963" s="15" t="str">
        <x:v>Property lender or directory member; operating-company capital unconfirmed</x:v>
      </x:c>
      <x:c r="E1963" s="15" t="str">
        <x:v>Property lender / private-money inquiry</x:v>
      </x:c>
      <x:c r="F1963" s="17" t="str">
        <x:v>New</x:v>
      </x:c>
      <x:c r="G1963" s="24"/>
      <x:c r="H1963" s="24" t="str">
        <x:v>+18885053227</x:v>
      </x:c>
      <x:c r="I1963" s="24" t="str">
        <x:v>http://www.ecaplending.com/</x:v>
      </x:c>
      <x:c r="J1963" s="16" t="str">
        <x:v>TX</x:v>
      </x:c>
      <x:c r="K1963" s="16" t="str">
        <x:v>Cross Roads</x:v>
      </x:c>
      <x:c r="L1963" s="16" t="str">
        <x:v>firm_business_routing</x:v>
      </x:c>
      <x:c r="M1963" s="16" t="str">
        <x:v>http://www.ecaplending.com/</x:v>
      </x:c>
      <x:c r="N1963" s="16" t="str">
        <x:v>$100K-$500K ticket not published / unconfirmed</x:v>
      </x:c>
      <x:c r="O1963" s="20"/>
      <x:c r="P1963" s="20"/>
      <x:c r="Q1963" s="25" t="str">
        <x:v>Property-loan range, not a corporate-capital commitment</x:v>
      </x:c>
      <x:c r="R1963" s="25" t="str">
        <x:v>Private real-estate finance experience. Corporate working capital, minority equity or profit participation requires a separate agreement from a property loan.</x:v>
      </x:c>
      <x:c r="S1963" s="25"/>
      <x:c r="T1963" s="25" t="str">
        <x:v>Confirm direct principal versus broker, $100K-$500K appetite, and whether capital can fund the operating company without a property mortgage.</x:v>
      </x:c>
      <x:c r="U1963" s="25" t="str">
        <x:v>https://www.hardmoneyhome.com/lenders/view/executive-capital-lending</x:v>
      </x:c>
      <x:c r="V1963" s="26" t="d">
        <x:v>2026-10-02T00:00:00.000Z</x:v>
      </x:c>
      <x:c r="W1963" s="26" t="d">
        <x:v>2026-09-30T00:00:00.000Z</x:v>
      </x:c>
      <x:c r="X1963" s="25" t="str">
        <x:v>Saved public company, industry-directory or regulatory source; source date retained</x:v>
      </x:c>
      <x:c r="Y1963" s="25"/>
      <x:c r="Z1963" s="25" t="str">
        <x:v>https://www.hardmoneyhome.com/lenders/view/executive-capital-lending</x:v>
      </x:c>
      <x:c r="AA1963" s="25" t="str">
        <x:v>[]</x:v>
      </x:c>
      <x:c r="AB1963" s="3" t="str">
        <x:v>Existing CapitalForge research, newly screened for this campaign</x:v>
      </x:c>
      <x:c r="AC1963" s="3" t="str">
        <x:v>unverified</x:v>
      </x:c>
      <x:c r="AD1963" s="3" t="str">
        <x:v>Not contacted / unconfirmed</x:v>
      </x:c>
      <x:c r="AE1963" s="3" t="str">
        <x:v>No</x:v>
      </x:c>
      <x:c r="AF1963" s="3" t="str">
        <x:v>No</x:v>
      </x:c>
      <x:c r="AG1963" s="3"/>
      <x:c r="AH1963" s="3"/>
      <x:c r="AI1963" s="18"/>
      <x:c r="AJ1963" s="3" t="str">
        <x:v>CF2500-FD527F27411C</x:v>
      </x:c>
      <x:c r="AK1963" s="3" t="str">
        <x:v>private_real_estate_lender</x:v>
      </x:c>
      <x:c r="AL1963" s="19" t="n">
        <x:v>100000</x:v>
      </x:c>
      <x:c r="AM1963" s="19" t="n">
        <x:v>500000</x:v>
      </x:c>
      <x:c r="AN1963" s="3" t="str">
        <x:v>https://www.hardmoneyhome.com/lenders/view/executive-capital-lending</x:v>
      </x:c>
      <x:c r="AO1963" s="3" t="str">
        <x:v>public_directory.jsonl</x:v>
      </x:c>
      <x:c r="AP1963" s="19"/>
    </x:row>
    <x:row r="1964" ht="36" customHeight="1">
      <x:c r="A1964" s="23" t="n">
        <x:v>1963</x:v>
      </x:c>
      <x:c r="B1964" s="15" t="str">
        <x:v>FLORIDA HARD MONEY TEAM</x:v>
      </x:c>
      <x:c r="C1964" s="15"/>
      <x:c r="D1964" s="15" t="str">
        <x:v>Property lender or directory member; operating-company capital unconfirmed</x:v>
      </x:c>
      <x:c r="E1964" s="15" t="str">
        <x:v>Property lender / private-money inquiry</x:v>
      </x:c>
      <x:c r="F1964" s="17" t="str">
        <x:v>New</x:v>
      </x:c>
      <x:c r="G1964" s="24"/>
      <x:c r="H1964" s="24" t="str">
        <x:v>+17274207875</x:v>
      </x:c>
      <x:c r="I1964" s="24" t="str">
        <x:v>https://flhardmoneyteam.com/</x:v>
      </x:c>
      <x:c r="J1964" s="16" t="str">
        <x:v>FL</x:v>
      </x:c>
      <x:c r="K1964" s="16" t="str">
        <x:v>St. Petersburg</x:v>
      </x:c>
      <x:c r="L1964" s="16" t="str">
        <x:v>firm_business_routing</x:v>
      </x:c>
      <x:c r="M1964" s="16" t="str">
        <x:v>https://flhardmoneyteam.com/</x:v>
      </x:c>
      <x:c r="N1964" s="16" t="str">
        <x:v>$100K-$500K ticket not published / unconfirmed</x:v>
      </x:c>
      <x:c r="O1964" s="20"/>
      <x:c r="P1964" s="20"/>
      <x:c r="Q1964" s="25" t="str">
        <x:v>Property-loan range, not a corporate-capital commitment</x:v>
      </x:c>
      <x:c r="R1964" s="25" t="str">
        <x:v>Private real-estate finance experience. Corporate working capital, minority equity or profit participation requires a separate agreement from a property loan.</x:v>
      </x:c>
      <x:c r="S1964" s="25"/>
      <x:c r="T1964" s="25" t="str">
        <x:v>Confirm direct principal versus broker, $100K-$500K appetite, and whether capital can fund the operating company without a property mortgage.</x:v>
      </x:c>
      <x:c r="U1964" s="25" t="str">
        <x:v>https://www.privatelendersdirectory.com/united-states/st-petersburg/top-level-category/florida-hard-money-team
https://flhardmoneyteam.com/</x:v>
      </x:c>
      <x:c r="V1964" s="26" t="d">
        <x:v>2026-10-02T00:00:00.000Z</x:v>
      </x:c>
      <x:c r="W1964" s="26" t="d">
        <x:v>2026-09-30T00:00:00.000Z</x:v>
      </x:c>
      <x:c r="X1964" s="25" t="str">
        <x:v>Saved public company, industry-directory or regulatory source; source date retained</x:v>
      </x:c>
      <x:c r="Y1964" s="25"/>
      <x:c r="Z1964" s="25" t="str">
        <x:v>https://flhardmoneyteam.com/</x:v>
      </x:c>
      <x:c r="AA1964" s="25" t="str">
        <x:v>[]</x:v>
      </x:c>
      <x:c r="AB1964" s="3" t="str">
        <x:v>Existing CapitalForge research, newly screened for this campaign</x:v>
      </x:c>
      <x:c r="AC1964" s="3" t="str">
        <x:v>unverified</x:v>
      </x:c>
      <x:c r="AD1964" s="3" t="str">
        <x:v>Not contacted / unconfirmed</x:v>
      </x:c>
      <x:c r="AE1964" s="3" t="str">
        <x:v>No</x:v>
      </x:c>
      <x:c r="AF1964" s="3" t="str">
        <x:v>No</x:v>
      </x:c>
      <x:c r="AG1964" s="3"/>
      <x:c r="AH1964" s="3"/>
      <x:c r="AI1964" s="18"/>
      <x:c r="AJ1964" s="3" t="str">
        <x:v>CF2500-BD3905733675</x:v>
      </x:c>
      <x:c r="AK1964" s="3" t="str">
        <x:v>private_real_estate_lender</x:v>
      </x:c>
      <x:c r="AL1964" s="19" t="n">
        <x:v>100000</x:v>
      </x:c>
      <x:c r="AM1964" s="19" t="n">
        <x:v>500000</x:v>
      </x:c>
      <x:c r="AN1964" s="3" t="str">
        <x:v>https://www.privatelendersdirectory.com/united-states/st-petersburg/top-level-category/florida-hard-money-team</x:v>
      </x:c>
      <x:c r="AO1964" s="3" t="str">
        <x:v>public_directory.jsonl</x:v>
      </x:c>
      <x:c r="AP1964" s="19"/>
    </x:row>
    <x:row r="1965" ht="36" customHeight="1">
      <x:c r="A1965" s="23" t="n">
        <x:v>1964</x:v>
      </x:c>
      <x:c r="B1965" s="15" t="str">
        <x:v>Florida Mortgage Solutions Group</x:v>
      </x:c>
      <x:c r="C1965" s="15"/>
      <x:c r="D1965" s="15" t="str">
        <x:v>Property lender or directory member; operating-company capital unconfirmed</x:v>
      </x:c>
      <x:c r="E1965" s="15" t="str">
        <x:v>Property lender / private-money inquiry</x:v>
      </x:c>
      <x:c r="F1965" s="17" t="str">
        <x:v>New</x:v>
      </x:c>
      <x:c r="G1965" s="24"/>
      <x:c r="H1965" s="24" t="str">
        <x:v>+19544161765</x:v>
      </x:c>
      <x:c r="I1965" s="24" t="str">
        <x:v>http://mtg-solution.com/</x:v>
      </x:c>
      <x:c r="J1965" s="16" t="str">
        <x:v>FL</x:v>
      </x:c>
      <x:c r="K1965" s="16" t="str">
        <x:v>Weston</x:v>
      </x:c>
      <x:c r="L1965" s="16" t="str">
        <x:v>firm_business_routing</x:v>
      </x:c>
      <x:c r="M1965" s="16" t="str">
        <x:v>http://mtg-solution.com/</x:v>
      </x:c>
      <x:c r="N1965" s="16" t="str">
        <x:v>$100K-$500K ticket not published / unconfirmed</x:v>
      </x:c>
      <x:c r="O1965" s="20"/>
      <x:c r="P1965" s="20"/>
      <x:c r="Q1965" s="25" t="str">
        <x:v>Property-loan range, not a corporate-capital commitment</x:v>
      </x:c>
      <x:c r="R1965" s="25" t="str">
        <x:v>Private real-estate finance experience. Corporate working capital, minority equity or profit participation requires a separate agreement from a property loan.</x:v>
      </x:c>
      <x:c r="S1965" s="25"/>
      <x:c r="T1965" s="25" t="str">
        <x:v>Confirm direct principal versus broker, $100K-$500K appetite, and whether capital can fund the operating company without a property mortgage.</x:v>
      </x:c>
      <x:c r="U1965" s="25" t="str">
        <x:v>https://www.hardmoneyhome.com/lenders/view/florida-mortgage-solutions-group
https://www.privatelendersdirectory.com/united-states/weston/top-level-category/florida-mortgage-solutions-group</x:v>
      </x:c>
      <x:c r="V1965" s="26" t="d">
        <x:v>2026-10-02T00:00:00.000Z</x:v>
      </x:c>
      <x:c r="W1965" s="26" t="d">
        <x:v>2026-09-30T00:00:00.000Z</x:v>
      </x:c>
      <x:c r="X1965" s="25" t="str">
        <x:v>Saved public company, industry-directory or regulatory source; source date retained</x:v>
      </x:c>
      <x:c r="Y1965" s="25"/>
      <x:c r="Z1965" s="25" t="str">
        <x:v>https://www.hardmoneyhome.com/lenders/view/florida-mortgage-solutions-group</x:v>
      </x:c>
      <x:c r="AA1965" s="25" t="str">
        <x:v>[]</x:v>
      </x:c>
      <x:c r="AB1965" s="3" t="str">
        <x:v>Existing CapitalForge research, newly screened for this campaign</x:v>
      </x:c>
      <x:c r="AC1965" s="3" t="str">
        <x:v>unverified</x:v>
      </x:c>
      <x:c r="AD1965" s="3" t="str">
        <x:v>Not contacted / unconfirmed</x:v>
      </x:c>
      <x:c r="AE1965" s="3" t="str">
        <x:v>No</x:v>
      </x:c>
      <x:c r="AF1965" s="3" t="str">
        <x:v>No</x:v>
      </x:c>
      <x:c r="AG1965" s="3"/>
      <x:c r="AH1965" s="3"/>
      <x:c r="AI1965" s="18"/>
      <x:c r="AJ1965" s="3" t="str">
        <x:v>CF2500-18D071DB94C6</x:v>
      </x:c>
      <x:c r="AK1965" s="3" t="str">
        <x:v>private_real_estate_lender</x:v>
      </x:c>
      <x:c r="AL1965" s="19" t="n">
        <x:v>100000</x:v>
      </x:c>
      <x:c r="AM1965" s="19" t="n">
        <x:v>500000</x:v>
      </x:c>
      <x:c r="AN1965" s="3" t="str">
        <x:v>https://www.hardmoneyhome.com/lenders/view/florida-mortgage-solutions-group</x:v>
      </x:c>
      <x:c r="AO1965" s="3" t="str">
        <x:v>public_directory.jsonl</x:v>
      </x:c>
      <x:c r="AP1965" s="19"/>
    </x:row>
    <x:row r="1966" ht="36" customHeight="1">
      <x:c r="A1966" s="23" t="n">
        <x:v>1965</x:v>
      </x:c>
      <x:c r="B1966" s="15" t="str">
        <x:v>GL&amp;L Holdings</x:v>
      </x:c>
      <x:c r="C1966" s="15"/>
      <x:c r="D1966" s="15" t="str">
        <x:v>Property lender or directory member; operating-company capital unconfirmed</x:v>
      </x:c>
      <x:c r="E1966" s="15" t="str">
        <x:v>Property lender / private-money inquiry</x:v>
      </x:c>
      <x:c r="F1966" s="17" t="str">
        <x:v>New</x:v>
      </x:c>
      <x:c r="G1966" s="24"/>
      <x:c r="H1966" s="24" t="str">
        <x:v>+18327709415</x:v>
      </x:c>
      <x:c r="I1966" s="24" t="str">
        <x:v>http://gllholdings.com/</x:v>
      </x:c>
      <x:c r="J1966" s="16" t="str">
        <x:v>TX</x:v>
      </x:c>
      <x:c r="K1966" s="16" t="str">
        <x:v>Houston</x:v>
      </x:c>
      <x:c r="L1966" s="16" t="str">
        <x:v>firm_business_routing</x:v>
      </x:c>
      <x:c r="M1966" s="16" t="str">
        <x:v>http://gllholdings.com/</x:v>
      </x:c>
      <x:c r="N1966" s="16" t="str">
        <x:v>$100K-$500K ticket not published / unconfirmed</x:v>
      </x:c>
      <x:c r="O1966" s="20"/>
      <x:c r="P1966" s="20"/>
      <x:c r="Q1966" s="25" t="str">
        <x:v>Property-loan range, not a corporate-capital commitment</x:v>
      </x:c>
      <x:c r="R1966" s="25" t="str">
        <x:v>Private real-estate finance experience. Corporate working capital, minority equity or profit participation requires a separate agreement from a property loan.</x:v>
      </x:c>
      <x:c r="S1966" s="25"/>
      <x:c r="T1966" s="25" t="str">
        <x:v>Confirm direct principal versus broker, $100K-$500K appetite, and whether capital can fund the operating company without a property mortgage.</x:v>
      </x:c>
      <x:c r="U1966" s="25" t="str">
        <x:v>https://www.hardmoneyhome.com/lenders/view/glandl-holdings
https://www.privatelendersdirectory.com/united-states/houston/top-level-category/gll-holdings</x:v>
      </x:c>
      <x:c r="V1966" s="26" t="d">
        <x:v>2026-10-02T00:00:00.000Z</x:v>
      </x:c>
      <x:c r="W1966" s="26" t="d">
        <x:v>2026-09-30T00:00:00.000Z</x:v>
      </x:c>
      <x:c r="X1966" s="25" t="str">
        <x:v>Saved public company, industry-directory or regulatory source; source date retained</x:v>
      </x:c>
      <x:c r="Y1966" s="25"/>
      <x:c r="Z1966" s="25" t="str">
        <x:v>https://www.hardmoneyhome.com/lenders/view/glandl-holdings</x:v>
      </x:c>
      <x:c r="AA1966" s="25" t="str">
        <x:v>[]</x:v>
      </x:c>
      <x:c r="AB1966" s="3" t="str">
        <x:v>Existing CapitalForge research, newly screened for this campaign</x:v>
      </x:c>
      <x:c r="AC1966" s="3" t="str">
        <x:v>unverified</x:v>
      </x:c>
      <x:c r="AD1966" s="3" t="str">
        <x:v>Not contacted / unconfirmed</x:v>
      </x:c>
      <x:c r="AE1966" s="3" t="str">
        <x:v>No</x:v>
      </x:c>
      <x:c r="AF1966" s="3" t="str">
        <x:v>No</x:v>
      </x:c>
      <x:c r="AG1966" s="3"/>
      <x:c r="AH1966" s="3"/>
      <x:c r="AI1966" s="18"/>
      <x:c r="AJ1966" s="3" t="str">
        <x:v>CF2500-79ACC14E1D43</x:v>
      </x:c>
      <x:c r="AK1966" s="3" t="str">
        <x:v>private_real_estate_lender</x:v>
      </x:c>
      <x:c r="AL1966" s="19" t="n">
        <x:v>100000</x:v>
      </x:c>
      <x:c r="AM1966" s="19" t="n">
        <x:v>500000</x:v>
      </x:c>
      <x:c r="AN1966" s="3" t="str">
        <x:v>https://www.hardmoneyhome.com/lenders/view/glandl-holdings</x:v>
      </x:c>
      <x:c r="AO1966" s="3" t="str">
        <x:v>public_directory.jsonl</x:v>
      </x:c>
      <x:c r="AP1966" s="19"/>
    </x:row>
    <x:row r="1967" ht="36" customHeight="1">
      <x:c r="A1967" s="23" t="n">
        <x:v>1966</x:v>
      </x:c>
      <x:c r="B1967" s="15" t="str">
        <x:v>GRENKE USA</x:v>
      </x:c>
      <x:c r="C1967" s="15"/>
      <x:c r="D1967" s="15" t="str">
        <x:v>Property lender or directory member; operating-company capital unconfirmed</x:v>
      </x:c>
      <x:c r="E1967" s="15" t="str">
        <x:v>Property lender / private-money inquiry</x:v>
      </x:c>
      <x:c r="F1967" s="17" t="str">
        <x:v>New</x:v>
      </x:c>
      <x:c r="G1967" s="24"/>
      <x:c r="H1967" s="24" t="str">
        <x:v>+14243943743</x:v>
      </x:c>
      <x:c r="I1967" s="24" t="str">
        <x:v>https://www.grenke.us/</x:v>
      </x:c>
      <x:c r="J1967" s="16" t="str">
        <x:v>IL</x:v>
      </x:c>
      <x:c r="K1967" s="16" t="str">
        <x:v>Oak Park</x:v>
      </x:c>
      <x:c r="L1967" s="16" t="str">
        <x:v>firm_business_routing</x:v>
      </x:c>
      <x:c r="M1967" s="16" t="str">
        <x:v>https://www.grenke.us/</x:v>
      </x:c>
      <x:c r="N1967" s="16" t="str">
        <x:v>$100K-$500K ticket not published / unconfirmed</x:v>
      </x:c>
      <x:c r="O1967" s="20"/>
      <x:c r="P1967" s="20"/>
      <x:c r="Q1967" s="25" t="str">
        <x:v>Property-loan range, not a corporate-capital commitment</x:v>
      </x:c>
      <x:c r="R1967" s="25" t="str">
        <x:v>Private real-estate finance experience. Corporate working capital, minority equity or profit participation requires a separate agreement from a property loan.</x:v>
      </x:c>
      <x:c r="S1967" s="25"/>
      <x:c r="T1967" s="25" t="str">
        <x:v>Confirm direct principal versus broker, $100K-$500K appetite, and whether capital can fund the operating company without a property mortgage.</x:v>
      </x:c>
      <x:c r="U1967" s="25" t="str">
        <x:v>https://www.privatelendersdirectory.com/united-states/oak-park/top-level-category/grenke-usa
https://www.grenke.us/</x:v>
      </x:c>
      <x:c r="V1967" s="26" t="d">
        <x:v>2026-10-02T00:00:00.000Z</x:v>
      </x:c>
      <x:c r="W1967" s="26" t="d">
        <x:v>2026-09-30T00:00:00.000Z</x:v>
      </x:c>
      <x:c r="X1967" s="25" t="str">
        <x:v>Saved public company, industry-directory or regulatory source; source date retained</x:v>
      </x:c>
      <x:c r="Y1967" s="25"/>
      <x:c r="Z1967" s="25" t="str">
        <x:v>https://www.grenke.us/</x:v>
      </x:c>
      <x:c r="AA1967" s="25" t="str">
        <x:v>[]</x:v>
      </x:c>
      <x:c r="AB1967" s="3" t="str">
        <x:v>Existing CapitalForge research, newly screened for this campaign</x:v>
      </x:c>
      <x:c r="AC1967" s="3" t="str">
        <x:v>unverified</x:v>
      </x:c>
      <x:c r="AD1967" s="3" t="str">
        <x:v>Not contacted / unconfirmed</x:v>
      </x:c>
      <x:c r="AE1967" s="3" t="str">
        <x:v>No</x:v>
      </x:c>
      <x:c r="AF1967" s="3" t="str">
        <x:v>No</x:v>
      </x:c>
      <x:c r="AG1967" s="3"/>
      <x:c r="AH1967" s="3"/>
      <x:c r="AI1967" s="18"/>
      <x:c r="AJ1967" s="3" t="str">
        <x:v>CF2500-11BE040DAD5E</x:v>
      </x:c>
      <x:c r="AK1967" s="3" t="str">
        <x:v>private_real_estate_lender</x:v>
      </x:c>
      <x:c r="AL1967" s="19" t="n">
        <x:v>100000</x:v>
      </x:c>
      <x:c r="AM1967" s="19" t="n">
        <x:v>500000</x:v>
      </x:c>
      <x:c r="AN1967" s="3" t="str">
        <x:v>https://www.privatelendersdirectory.com/united-states/oak-park/top-level-category/grenke-usa</x:v>
      </x:c>
      <x:c r="AO1967" s="3" t="str">
        <x:v>public_directory.jsonl</x:v>
      </x:c>
      <x:c r="AP1967" s="19"/>
    </x:row>
    <x:row r="1968" ht="36" customHeight="1">
      <x:c r="A1968" s="23" t="n">
        <x:v>1967</x:v>
      </x:c>
      <x:c r="B1968" s="15" t="str">
        <x:v>HALL STRUCTURED FINANCE</x:v>
      </x:c>
      <x:c r="C1968" s="15"/>
      <x:c r="D1968" s="15" t="str">
        <x:v>Property lender or directory member; operating-company capital unconfirmed</x:v>
      </x:c>
      <x:c r="E1968" s="15" t="str">
        <x:v>Property lender / private-money inquiry</x:v>
      </x:c>
      <x:c r="F1968" s="17" t="str">
        <x:v>New</x:v>
      </x:c>
      <x:c r="G1968" s="24"/>
      <x:c r="H1968" s="24" t="str">
        <x:v>+12142699500</x:v>
      </x:c>
      <x:c r="I1968" s="24" t="str">
        <x:v>https://hallstructuredfinance.com/</x:v>
      </x:c>
      <x:c r="J1968" s="16" t="str">
        <x:v>TX</x:v>
      </x:c>
      <x:c r="K1968" s="16" t="str">
        <x:v>Dallas</x:v>
      </x:c>
      <x:c r="L1968" s="16" t="str">
        <x:v>firm_business_routing</x:v>
      </x:c>
      <x:c r="M1968" s="16" t="str">
        <x:v>https://hallstructuredfinance.com/</x:v>
      </x:c>
      <x:c r="N1968" s="16" t="str">
        <x:v>$100K-$500K ticket not published / unconfirmed</x:v>
      </x:c>
      <x:c r="O1968" s="20"/>
      <x:c r="P1968" s="20"/>
      <x:c r="Q1968" s="25" t="str">
        <x:v>Property-loan range, not a corporate-capital commitment</x:v>
      </x:c>
      <x:c r="R1968" s="25" t="str">
        <x:v>Private real-estate finance experience. Corporate working capital, minority equity or profit participation requires a separate agreement from a property loan.</x:v>
      </x:c>
      <x:c r="S1968" s="25"/>
      <x:c r="T1968" s="25" t="str">
        <x:v>Confirm direct principal versus broker, $100K-$500K appetite, and whether capital can fund the operating company without a property mortgage.</x:v>
      </x:c>
      <x:c r="U1968" s="25" t="str">
        <x:v>https://www.privatelendersdirectory.com/united-states/dallas/top-level-category/hall-structured-finance
https://hallstructuredfinance.com/</x:v>
      </x:c>
      <x:c r="V1968" s="26" t="d">
        <x:v>2026-10-02T00:00:00.000Z</x:v>
      </x:c>
      <x:c r="W1968" s="26" t="d">
        <x:v>2026-09-30T00:00:00.000Z</x:v>
      </x:c>
      <x:c r="X1968" s="25" t="str">
        <x:v>Saved public company, industry-directory or regulatory source; source date retained</x:v>
      </x:c>
      <x:c r="Y1968" s="25"/>
      <x:c r="Z1968" s="25" t="str">
        <x:v>https://hallstructuredfinance.com/</x:v>
      </x:c>
      <x:c r="AA1968" s="25" t="str">
        <x:v>[]</x:v>
      </x:c>
      <x:c r="AB1968" s="3" t="str">
        <x:v>Existing CapitalForge research, newly screened for this campaign</x:v>
      </x:c>
      <x:c r="AC1968" s="3" t="str">
        <x:v>unverified</x:v>
      </x:c>
      <x:c r="AD1968" s="3" t="str">
        <x:v>Not contacted / unconfirmed</x:v>
      </x:c>
      <x:c r="AE1968" s="3" t="str">
        <x:v>No</x:v>
      </x:c>
      <x:c r="AF1968" s="3" t="str">
        <x:v>No</x:v>
      </x:c>
      <x:c r="AG1968" s="3"/>
      <x:c r="AH1968" s="3"/>
      <x:c r="AI1968" s="18"/>
      <x:c r="AJ1968" s="3" t="str">
        <x:v>CF2500-C0BECD8DCEAC</x:v>
      </x:c>
      <x:c r="AK1968" s="3" t="str">
        <x:v>private_real_estate_lender</x:v>
      </x:c>
      <x:c r="AL1968" s="19" t="n">
        <x:v>100000</x:v>
      </x:c>
      <x:c r="AM1968" s="19" t="n">
        <x:v>500000</x:v>
      </x:c>
      <x:c r="AN1968" s="3" t="str">
        <x:v>https://www.privatelendersdirectory.com/united-states/dallas/top-level-category/hall-structured-finance</x:v>
      </x:c>
      <x:c r="AO1968" s="3" t="str">
        <x:v>public_directory.jsonl</x:v>
      </x:c>
      <x:c r="AP1968" s="19"/>
    </x:row>
    <x:row r="1969" ht="36" customHeight="1">
      <x:c r="A1969" s="23" t="n">
        <x:v>1968</x:v>
      </x:c>
      <x:c r="B1969" s="15" t="str">
        <x:v>Hamilton Cash Investments</x:v>
      </x:c>
      <x:c r="C1969" s="15"/>
      <x:c r="D1969" s="15" t="str">
        <x:v>Property lender or directory member; operating-company capital unconfirmed</x:v>
      </x:c>
      <x:c r="E1969" s="15" t="str">
        <x:v>Property lender / private-money inquiry</x:v>
      </x:c>
      <x:c r="F1969" s="17" t="str">
        <x:v>New</x:v>
      </x:c>
      <x:c r="G1969" s="24"/>
      <x:c r="H1969" s="24" t="str">
        <x:v>+19728778953</x:v>
      </x:c>
      <x:c r="I1969" s="24" t="str">
        <x:v>http://www.hardmoneytexas.com/</x:v>
      </x:c>
      <x:c r="J1969" s="16" t="str">
        <x:v>TX</x:v>
      </x:c>
      <x:c r="K1969" s="16" t="str">
        <x:v>Dallas</x:v>
      </x:c>
      <x:c r="L1969" s="16" t="str">
        <x:v>firm_business_routing</x:v>
      </x:c>
      <x:c r="M1969" s="16" t="str">
        <x:v>http://www.hardmoneytexas.com/</x:v>
      </x:c>
      <x:c r="N1969" s="16" t="str">
        <x:v>$100K-$500K ticket not published / unconfirmed</x:v>
      </x:c>
      <x:c r="O1969" s="20"/>
      <x:c r="P1969" s="20"/>
      <x:c r="Q1969" s="25" t="str">
        <x:v>Property-loan range, not a corporate-capital commitment</x:v>
      </x:c>
      <x:c r="R1969" s="25" t="str">
        <x:v>Private real-estate finance experience. Corporate working capital, minority equity or profit participation requires a separate agreement from a property loan.</x:v>
      </x:c>
      <x:c r="S1969" s="25"/>
      <x:c r="T1969" s="25" t="str">
        <x:v>Confirm direct principal versus broker, $100K-$500K appetite, and whether capital can fund the operating company without a property mortgage.</x:v>
      </x:c>
      <x:c r="U1969" s="25" t="str">
        <x:v>https://www.hardmoneyhome.com/lenders/view/hamilton-cash-investments</x:v>
      </x:c>
      <x:c r="V1969" s="26" t="d">
        <x:v>2026-10-02T00:00:00.000Z</x:v>
      </x:c>
      <x:c r="W1969" s="26" t="d">
        <x:v>2026-09-30T00:00:00.000Z</x:v>
      </x:c>
      <x:c r="X1969" s="25" t="str">
        <x:v>Saved public company, industry-directory or regulatory source; source date retained</x:v>
      </x:c>
      <x:c r="Y1969" s="25"/>
      <x:c r="Z1969" s="25" t="str">
        <x:v>https://www.hardmoneyhome.com/lenders/view/hamilton-cash-investments</x:v>
      </x:c>
      <x:c r="AA1969" s="25" t="str">
        <x:v>[]</x:v>
      </x:c>
      <x:c r="AB1969" s="3" t="str">
        <x:v>Existing CapitalForge research, newly screened for this campaign</x:v>
      </x:c>
      <x:c r="AC1969" s="3" t="str">
        <x:v>unverified</x:v>
      </x:c>
      <x:c r="AD1969" s="3" t="str">
        <x:v>Not contacted / unconfirmed</x:v>
      </x:c>
      <x:c r="AE1969" s="3" t="str">
        <x:v>No</x:v>
      </x:c>
      <x:c r="AF1969" s="3" t="str">
        <x:v>No</x:v>
      </x:c>
      <x:c r="AG1969" s="3"/>
      <x:c r="AH1969" s="3"/>
      <x:c r="AI1969" s="18"/>
      <x:c r="AJ1969" s="3" t="str">
        <x:v>CF2500-1935E8FA4A71</x:v>
      </x:c>
      <x:c r="AK1969" s="3" t="str">
        <x:v>private_real_estate_lender</x:v>
      </x:c>
      <x:c r="AL1969" s="19" t="n">
        <x:v>100000</x:v>
      </x:c>
      <x:c r="AM1969" s="19" t="n">
        <x:v>500000</x:v>
      </x:c>
      <x:c r="AN1969" s="3" t="str">
        <x:v>https://www.hardmoneyhome.com/lenders/view/hamilton-cash-investments</x:v>
      </x:c>
      <x:c r="AO1969" s="3" t="str">
        <x:v>public_directory.jsonl</x:v>
      </x:c>
      <x:c r="AP1969" s="19"/>
    </x:row>
    <x:row r="1970" ht="36" customHeight="1">
      <x:c r="A1970" s="23" t="n">
        <x:v>1969</x:v>
      </x:c>
      <x:c r="B1970" s="15" t="str">
        <x:v>HG Mortgage</x:v>
      </x:c>
      <x:c r="C1970" s="15"/>
      <x:c r="D1970" s="15" t="str">
        <x:v>Property lender or directory member; operating-company capital unconfirmed</x:v>
      </x:c>
      <x:c r="E1970" s="15" t="str">
        <x:v>Property lender / private-money inquiry</x:v>
      </x:c>
      <x:c r="F1970" s="17" t="str">
        <x:v>New</x:v>
      </x:c>
      <x:c r="G1970" s="24"/>
      <x:c r="H1970" s="24" t="str">
        <x:v>+19543493960</x:v>
      </x:c>
      <x:c r="I1970" s="24" t="str">
        <x:v>http://www.hgmortgage.net</x:v>
      </x:c>
      <x:c r="J1970" s="16" t="str">
        <x:v>FL</x:v>
      </x:c>
      <x:c r="K1970" s="16" t="str">
        <x:v>Weston</x:v>
      </x:c>
      <x:c r="L1970" s="16" t="str">
        <x:v>firm_business_routing</x:v>
      </x:c>
      <x:c r="M1970" s="16" t="str">
        <x:v>http://www.hgmortgage.net</x:v>
      </x:c>
      <x:c r="N1970" s="16" t="str">
        <x:v>$100K-$500K ticket not published / unconfirmed</x:v>
      </x:c>
      <x:c r="O1970" s="20"/>
      <x:c r="P1970" s="20"/>
      <x:c r="Q1970" s="25" t="str">
        <x:v>Property-loan range, not a corporate-capital commitment</x:v>
      </x:c>
      <x:c r="R1970" s="25" t="str">
        <x:v>Private real-estate finance experience. Corporate working capital, minority equity or profit participation requires a separate agreement from a property loan.</x:v>
      </x:c>
      <x:c r="S1970" s="25"/>
      <x:c r="T1970" s="25" t="str">
        <x:v>Confirm direct principal versus broker, $100K-$500K appetite, and whether capital can fund the operating company without a property mortgage.</x:v>
      </x:c>
      <x:c r="U1970" s="25" t="str">
        <x:v>https://www.hardmoneyhome.com/lenders/view/hg-mortgage</x:v>
      </x:c>
      <x:c r="V1970" s="26" t="d">
        <x:v>2026-10-02T00:00:00.000Z</x:v>
      </x:c>
      <x:c r="W1970" s="26" t="d">
        <x:v>2026-09-30T00:00:00.000Z</x:v>
      </x:c>
      <x:c r="X1970" s="25" t="str">
        <x:v>Saved public company, industry-directory or regulatory source; source date retained</x:v>
      </x:c>
      <x:c r="Y1970" s="25"/>
      <x:c r="Z1970" s="25" t="str">
        <x:v>https://www.hardmoneyhome.com/lenders/view/hg-mortgage</x:v>
      </x:c>
      <x:c r="AA1970" s="25" t="str">
        <x:v>[]</x:v>
      </x:c>
      <x:c r="AB1970" s="3" t="str">
        <x:v>Existing CapitalForge research, newly screened for this campaign</x:v>
      </x:c>
      <x:c r="AC1970" s="3" t="str">
        <x:v>unverified</x:v>
      </x:c>
      <x:c r="AD1970" s="3" t="str">
        <x:v>Not contacted / unconfirmed</x:v>
      </x:c>
      <x:c r="AE1970" s="3" t="str">
        <x:v>No</x:v>
      </x:c>
      <x:c r="AF1970" s="3" t="str">
        <x:v>No</x:v>
      </x:c>
      <x:c r="AG1970" s="3"/>
      <x:c r="AH1970" s="3"/>
      <x:c r="AI1970" s="18"/>
      <x:c r="AJ1970" s="3" t="str">
        <x:v>CF2500-6DEBCA0D1FC0</x:v>
      </x:c>
      <x:c r="AK1970" s="3" t="str">
        <x:v>private_real_estate_lender</x:v>
      </x:c>
      <x:c r="AL1970" s="19" t="n">
        <x:v>100000</x:v>
      </x:c>
      <x:c r="AM1970" s="19" t="n">
        <x:v>500000</x:v>
      </x:c>
      <x:c r="AN1970" s="3" t="str">
        <x:v>https://www.hardmoneyhome.com/lenders/view/hg-mortgage</x:v>
      </x:c>
      <x:c r="AO1970" s="3" t="str">
        <x:v>public_directory.jsonl</x:v>
      </x:c>
      <x:c r="AP1970" s="19"/>
    </x:row>
    <x:row r="1971" ht="36" customHeight="1">
      <x:c r="A1971" s="23" t="n">
        <x:v>1970</x:v>
      </x:c>
      <x:c r="B1971" s="15" t="str">
        <x:v>Innovative Mortgage</x:v>
      </x:c>
      <x:c r="C1971" s="15"/>
      <x:c r="D1971" s="15" t="str">
        <x:v>Property lender or directory member; operating-company capital unconfirmed</x:v>
      </x:c>
      <x:c r="E1971" s="15" t="str">
        <x:v>Property lender / private-money inquiry</x:v>
      </x:c>
      <x:c r="F1971" s="17" t="str">
        <x:v>New</x:v>
      </x:c>
      <x:c r="G1971" s="24"/>
      <x:c r="H1971" s="24" t="str">
        <x:v>+17275271454</x:v>
      </x:c>
      <x:c r="I1971" s="24" t="str">
        <x:v>http://innovativemortgage.lendingoutpost.com</x:v>
      </x:c>
      <x:c r="J1971" s="16" t="str">
        <x:v>FL</x:v>
      </x:c>
      <x:c r="K1971" s="16" t="str">
        <x:v>St Petersburg</x:v>
      </x:c>
      <x:c r="L1971" s="16" t="str">
        <x:v>firm_business_routing</x:v>
      </x:c>
      <x:c r="M1971" s="16" t="str">
        <x:v>http://innovativemortgage.lendingoutpost.com</x:v>
      </x:c>
      <x:c r="N1971" s="16" t="str">
        <x:v>$100K-$500K ticket not published / unconfirmed</x:v>
      </x:c>
      <x:c r="O1971" s="20"/>
      <x:c r="P1971" s="20"/>
      <x:c r="Q1971" s="25" t="str">
        <x:v>Property-loan range, not a corporate-capital commitment</x:v>
      </x:c>
      <x:c r="R1971" s="25" t="str">
        <x:v>Private real-estate finance experience. Corporate working capital, minority equity or profit participation requires a separate agreement from a property loan.</x:v>
      </x:c>
      <x:c r="S1971" s="25"/>
      <x:c r="T1971" s="25" t="str">
        <x:v>Confirm direct principal versus broker, $100K-$500K appetite, and whether capital can fund the operating company without a property mortgage.</x:v>
      </x:c>
      <x:c r="U1971" s="25" t="str">
        <x:v>https://www.hardmoneyhome.com/lenders/view/innovative-mortgage</x:v>
      </x:c>
      <x:c r="V1971" s="26" t="d">
        <x:v>2026-10-02T00:00:00.000Z</x:v>
      </x:c>
      <x:c r="W1971" s="26" t="d">
        <x:v>2026-09-30T00:00:00.000Z</x:v>
      </x:c>
      <x:c r="X1971" s="25" t="str">
        <x:v>Saved public company, industry-directory or regulatory source; source date retained</x:v>
      </x:c>
      <x:c r="Y1971" s="25"/>
      <x:c r="Z1971" s="25" t="str">
        <x:v>https://www.hardmoneyhome.com/lenders/view/innovative-mortgage</x:v>
      </x:c>
      <x:c r="AA1971" s="25" t="str">
        <x:v>[]</x:v>
      </x:c>
      <x:c r="AB1971" s="3" t="str">
        <x:v>Existing CapitalForge research, newly screened for this campaign</x:v>
      </x:c>
      <x:c r="AC1971" s="3" t="str">
        <x:v>unverified</x:v>
      </x:c>
      <x:c r="AD1971" s="3" t="str">
        <x:v>Not contacted / unconfirmed</x:v>
      </x:c>
      <x:c r="AE1971" s="3" t="str">
        <x:v>No</x:v>
      </x:c>
      <x:c r="AF1971" s="3" t="str">
        <x:v>No</x:v>
      </x:c>
      <x:c r="AG1971" s="3"/>
      <x:c r="AH1971" s="3"/>
      <x:c r="AI1971" s="18"/>
      <x:c r="AJ1971" s="3" t="str">
        <x:v>CF2500-94E80F01D51A</x:v>
      </x:c>
      <x:c r="AK1971" s="3" t="str">
        <x:v>private_real_estate_lender</x:v>
      </x:c>
      <x:c r="AL1971" s="19" t="n">
        <x:v>100000</x:v>
      </x:c>
      <x:c r="AM1971" s="19" t="n">
        <x:v>500000</x:v>
      </x:c>
      <x:c r="AN1971" s="3" t="str">
        <x:v>https://www.hardmoneyhome.com/lenders/view/innovative-mortgage</x:v>
      </x:c>
      <x:c r="AO1971" s="3" t="str">
        <x:v>public_directory.jsonl</x:v>
      </x:c>
      <x:c r="AP1971" s="19"/>
    </x:row>
    <x:row r="1972" ht="36" customHeight="1">
      <x:c r="A1972" s="23" t="n">
        <x:v>1971</x:v>
      </x:c>
      <x:c r="B1972" s="15" t="str">
        <x:v>LM2 Investment Group</x:v>
      </x:c>
      <x:c r="C1972" s="15"/>
      <x:c r="D1972" s="15" t="str">
        <x:v>Property lender or directory member; operating-company capital unconfirmed</x:v>
      </x:c>
      <x:c r="E1972" s="15" t="str">
        <x:v>Property lender / private-money inquiry</x:v>
      </x:c>
      <x:c r="F1972" s="17" t="str">
        <x:v>New</x:v>
      </x:c>
      <x:c r="G1972" s="24"/>
      <x:c r="H1972" s="24" t="str">
        <x:v>+14804442242</x:v>
      </x:c>
      <x:c r="I1972" s="24" t="str">
        <x:v>https://lm2investments.com/</x:v>
      </x:c>
      <x:c r="J1972" s="16" t="str">
        <x:v>AZ</x:v>
      </x:c>
      <x:c r="K1972" s="16" t="str">
        <x:v>Scottsdale</x:v>
      </x:c>
      <x:c r="L1972" s="16" t="str">
        <x:v>firm_business_routing</x:v>
      </x:c>
      <x:c r="M1972" s="16" t="str">
        <x:v>https://lm2investments.com/</x:v>
      </x:c>
      <x:c r="N1972" s="16" t="str">
        <x:v>$100K-$500K ticket not published / unconfirmed</x:v>
      </x:c>
      <x:c r="O1972" s="20"/>
      <x:c r="P1972" s="20"/>
      <x:c r="Q1972" s="25" t="str">
        <x:v>Property-loan range, not a corporate-capital commitment</x:v>
      </x:c>
      <x:c r="R1972" s="25" t="str">
        <x:v>Private real-estate finance experience. Corporate working capital, minority equity or profit participation requires a separate agreement from a property loan.</x:v>
      </x:c>
      <x:c r="S1972" s="25"/>
      <x:c r="T1972" s="25" t="str">
        <x:v>Confirm direct principal versus broker, $100K-$500K appetite, and whether capital can fund the operating company without a property mortgage.</x:v>
      </x:c>
      <x:c r="U1972" s="25" t="str">
        <x:v>https://www.hardmoneyhome.com/lenders/view/lm2-investment-group</x:v>
      </x:c>
      <x:c r="V1972" s="26" t="d">
        <x:v>2026-10-02T00:00:00.000Z</x:v>
      </x:c>
      <x:c r="W1972" s="26" t="d">
        <x:v>2026-09-30T00:00:00.000Z</x:v>
      </x:c>
      <x:c r="X1972" s="25" t="str">
        <x:v>Saved public company, industry-directory or regulatory source; source date retained</x:v>
      </x:c>
      <x:c r="Y1972" s="25"/>
      <x:c r="Z1972" s="25" t="str">
        <x:v>https://www.hardmoneyhome.com/lenders/view/lm2-investment-group</x:v>
      </x:c>
      <x:c r="AA1972" s="25" t="str">
        <x:v>[]</x:v>
      </x:c>
      <x:c r="AB1972" s="3" t="str">
        <x:v>Existing CapitalForge research, newly screened for this campaign</x:v>
      </x:c>
      <x:c r="AC1972" s="3" t="str">
        <x:v>unverified</x:v>
      </x:c>
      <x:c r="AD1972" s="3" t="str">
        <x:v>Not contacted / unconfirmed</x:v>
      </x:c>
      <x:c r="AE1972" s="3" t="str">
        <x:v>No</x:v>
      </x:c>
      <x:c r="AF1972" s="3" t="str">
        <x:v>No</x:v>
      </x:c>
      <x:c r="AG1972" s="3"/>
      <x:c r="AH1972" s="3"/>
      <x:c r="AI1972" s="18"/>
      <x:c r="AJ1972" s="3" t="str">
        <x:v>CF2500-F70AF6BEEFC1</x:v>
      </x:c>
      <x:c r="AK1972" s="3" t="str">
        <x:v>private_real_estate_lender</x:v>
      </x:c>
      <x:c r="AL1972" s="19" t="n">
        <x:v>100000</x:v>
      </x:c>
      <x:c r="AM1972" s="19" t="n">
        <x:v>500000</x:v>
      </x:c>
      <x:c r="AN1972" s="3" t="str">
        <x:v>https://www.hardmoneyhome.com/lenders/view/lm2-investment-group</x:v>
      </x:c>
      <x:c r="AO1972" s="3" t="str">
        <x:v>public_directory.jsonl</x:v>
      </x:c>
      <x:c r="AP1972" s="19"/>
    </x:row>
    <x:row r="1973" ht="36" customHeight="1">
      <x:c r="A1973" s="23" t="n">
        <x:v>1972</x:v>
      </x:c>
      <x:c r="B1973" s="15" t="str">
        <x:v>Longhorn Investments</x:v>
      </x:c>
      <x:c r="C1973" s="15"/>
      <x:c r="D1973" s="15" t="str">
        <x:v>Property lender or directory member; operating-company capital unconfirmed</x:v>
      </x:c>
      <x:c r="E1973" s="15" t="str">
        <x:v>Property lender / private-money inquiry</x:v>
      </x:c>
      <x:c r="F1973" s="17" t="str">
        <x:v>New</x:v>
      </x:c>
      <x:c r="G1973" s="24"/>
      <x:c r="H1973" s="24" t="str">
        <x:v>+18774207346</x:v>
      </x:c>
      <x:c r="I1973" s="24" t="str">
        <x:v>https://www.longhorninvestments.com/</x:v>
      </x:c>
      <x:c r="J1973" s="16" t="str">
        <x:v>TX</x:v>
      </x:c>
      <x:c r="K1973" s="16" t="str">
        <x:v>Dallas</x:v>
      </x:c>
      <x:c r="L1973" s="16" t="str">
        <x:v>firm_business_routing</x:v>
      </x:c>
      <x:c r="M1973" s="16" t="str">
        <x:v>https://www.longhorninvestments.com/</x:v>
      </x:c>
      <x:c r="N1973" s="16" t="str">
        <x:v>$100K-$500K ticket not published / unconfirmed</x:v>
      </x:c>
      <x:c r="O1973" s="20"/>
      <x:c r="P1973" s="20"/>
      <x:c r="Q1973" s="25" t="str">
        <x:v>Property-loan range, not a corporate-capital commitment</x:v>
      </x:c>
      <x:c r="R1973" s="25" t="str">
        <x:v>Private real-estate finance experience. Corporate working capital, minority equity or profit participation requires a separate agreement from a property loan.</x:v>
      </x:c>
      <x:c r="S1973" s="25"/>
      <x:c r="T1973" s="25" t="str">
        <x:v>Confirm direct principal versus broker, $100K-$500K appetite, and whether capital can fund the operating company without a property mortgage.</x:v>
      </x:c>
      <x:c r="U1973" s="25" t="str">
        <x:v>https://www.hardmoneyhome.com/lenders/view/longhorn-investments</x:v>
      </x:c>
      <x:c r="V1973" s="26" t="d">
        <x:v>2026-10-02T00:00:00.000Z</x:v>
      </x:c>
      <x:c r="W1973" s="26" t="d">
        <x:v>2026-09-30T00:00:00.000Z</x:v>
      </x:c>
      <x:c r="X1973" s="25" t="str">
        <x:v>Saved public company, industry-directory or regulatory source; source date retained</x:v>
      </x:c>
      <x:c r="Y1973" s="25"/>
      <x:c r="Z1973" s="25" t="str">
        <x:v>https://www.hardmoneyhome.com/lenders/view/longhorn-investments</x:v>
      </x:c>
      <x:c r="AA1973" s="25" t="str">
        <x:v>[]</x:v>
      </x:c>
      <x:c r="AB1973" s="3" t="str">
        <x:v>Existing CapitalForge research, newly screened for this campaign</x:v>
      </x:c>
      <x:c r="AC1973" s="3" t="str">
        <x:v>unverified</x:v>
      </x:c>
      <x:c r="AD1973" s="3" t="str">
        <x:v>Not contacted / unconfirmed</x:v>
      </x:c>
      <x:c r="AE1973" s="3" t="str">
        <x:v>No</x:v>
      </x:c>
      <x:c r="AF1973" s="3" t="str">
        <x:v>No</x:v>
      </x:c>
      <x:c r="AG1973" s="3"/>
      <x:c r="AH1973" s="3"/>
      <x:c r="AI1973" s="18"/>
      <x:c r="AJ1973" s="3" t="str">
        <x:v>CF2500-1D176479ADF3</x:v>
      </x:c>
      <x:c r="AK1973" s="3" t="str">
        <x:v>private_real_estate_lender</x:v>
      </x:c>
      <x:c r="AL1973" s="19" t="n">
        <x:v>100000</x:v>
      </x:c>
      <x:c r="AM1973" s="19" t="n">
        <x:v>500000</x:v>
      </x:c>
      <x:c r="AN1973" s="3" t="str">
        <x:v>https://www.hardmoneyhome.com/lenders/view/longhorn-investments</x:v>
      </x:c>
      <x:c r="AO1973" s="3" t="str">
        <x:v>public_directory.jsonl</x:v>
      </x:c>
      <x:c r="AP1973" s="19"/>
    </x:row>
    <x:row r="1974" ht="36" customHeight="1">
      <x:c r="A1974" s="23" t="n">
        <x:v>1973</x:v>
      </x:c>
      <x:c r="B1974" s="15" t="str">
        <x:v>Lord Mortgage &amp; Loan</x:v>
      </x:c>
      <x:c r="C1974" s="15"/>
      <x:c r="D1974" s="15" t="str">
        <x:v>Property lender or directory member; operating-company capital unconfirmed</x:v>
      </x:c>
      <x:c r="E1974" s="15" t="str">
        <x:v>Property lender / private-money inquiry</x:v>
      </x:c>
      <x:c r="F1974" s="17" t="str">
        <x:v>New</x:v>
      </x:c>
      <x:c r="G1974" s="24"/>
      <x:c r="H1974" s="24" t="str">
        <x:v>+15613535858</x:v>
      </x:c>
      <x:c r="I1974" s="24" t="str">
        <x:v>http://www.lordmtg.com/</x:v>
      </x:c>
      <x:c r="J1974" s="16" t="str">
        <x:v>FL</x:v>
      </x:c>
      <x:c r="K1974" s="16" t="str">
        <x:v>Boca Raton</x:v>
      </x:c>
      <x:c r="L1974" s="16" t="str">
        <x:v>firm_business_routing</x:v>
      </x:c>
      <x:c r="M1974" s="16" t="str">
        <x:v>http://www.lordmtg.com/</x:v>
      </x:c>
      <x:c r="N1974" s="16" t="str">
        <x:v>$100K-$500K ticket not published / unconfirmed</x:v>
      </x:c>
      <x:c r="O1974" s="20"/>
      <x:c r="P1974" s="20"/>
      <x:c r="Q1974" s="25" t="str">
        <x:v>Property-loan range, not a corporate-capital commitment</x:v>
      </x:c>
      <x:c r="R1974" s="25" t="str">
        <x:v>Private real-estate finance experience. Corporate working capital, minority equity or profit participation requires a separate agreement from a property loan.</x:v>
      </x:c>
      <x:c r="S1974" s="25"/>
      <x:c r="T1974" s="25" t="str">
        <x:v>Confirm direct principal versus broker, $100K-$500K appetite, and whether capital can fund the operating company without a property mortgage.</x:v>
      </x:c>
      <x:c r="U1974" s="25" t="str">
        <x:v>https://www.hardmoneyhome.com/lenders/view/lord-mortgage-and-loan</x:v>
      </x:c>
      <x:c r="V1974" s="26" t="d">
        <x:v>2026-10-02T00:00:00.000Z</x:v>
      </x:c>
      <x:c r="W1974" s="26" t="d">
        <x:v>2026-09-30T00:00:00.000Z</x:v>
      </x:c>
      <x:c r="X1974" s="25" t="str">
        <x:v>Saved public company, industry-directory or regulatory source; source date retained</x:v>
      </x:c>
      <x:c r="Y1974" s="25"/>
      <x:c r="Z1974" s="25" t="str">
        <x:v>https://www.hardmoneyhome.com/lenders/view/lord-mortgage-and-loan</x:v>
      </x:c>
      <x:c r="AA1974" s="25" t="str">
        <x:v>[]</x:v>
      </x:c>
      <x:c r="AB1974" s="3" t="str">
        <x:v>Existing CapitalForge research, newly screened for this campaign</x:v>
      </x:c>
      <x:c r="AC1974" s="3" t="str">
        <x:v>unverified</x:v>
      </x:c>
      <x:c r="AD1974" s="3" t="str">
        <x:v>Not contacted / unconfirmed</x:v>
      </x:c>
      <x:c r="AE1974" s="3" t="str">
        <x:v>No</x:v>
      </x:c>
      <x:c r="AF1974" s="3" t="str">
        <x:v>No</x:v>
      </x:c>
      <x:c r="AG1974" s="3"/>
      <x:c r="AH1974" s="3"/>
      <x:c r="AI1974" s="18"/>
      <x:c r="AJ1974" s="3" t="str">
        <x:v>CF2500-3F482A66F2FC</x:v>
      </x:c>
      <x:c r="AK1974" s="3" t="str">
        <x:v>private_real_estate_lender</x:v>
      </x:c>
      <x:c r="AL1974" s="19" t="n">
        <x:v>100000</x:v>
      </x:c>
      <x:c r="AM1974" s="19" t="n">
        <x:v>500000</x:v>
      </x:c>
      <x:c r="AN1974" s="3" t="str">
        <x:v>https://www.hardmoneyhome.com/lenders/view/lord-mortgage-and-loan</x:v>
      </x:c>
      <x:c r="AO1974" s="3" t="str">
        <x:v>public_directory.jsonl</x:v>
      </x:c>
      <x:c r="AP1974" s="19"/>
    </x:row>
    <x:row r="1975" ht="36" customHeight="1">
      <x:c r="A1975" s="23" t="n">
        <x:v>1974</x:v>
      </x:c>
      <x:c r="B1975" s="15" t="str">
        <x:v>Manana Funding</x:v>
      </x:c>
      <x:c r="C1975" s="15"/>
      <x:c r="D1975" s="15" t="str">
        <x:v>Property lender or directory member; operating-company capital unconfirmed</x:v>
      </x:c>
      <x:c r="E1975" s="15" t="str">
        <x:v>Property lender / private-money inquiry</x:v>
      </x:c>
      <x:c r="F1975" s="17" t="str">
        <x:v>New</x:v>
      </x:c>
      <x:c r="G1975" s="24"/>
      <x:c r="H1975" s="24" t="str">
        <x:v>+15127752817</x:v>
      </x:c>
      <x:c r="I1975" s="24" t="str">
        <x:v>http://mananafunding.com/</x:v>
      </x:c>
      <x:c r="J1975" s="16" t="str">
        <x:v>TX</x:v>
      </x:c>
      <x:c r="K1975" s="16" t="str">
        <x:v>Austin</x:v>
      </x:c>
      <x:c r="L1975" s="16" t="str">
        <x:v>firm_business_routing</x:v>
      </x:c>
      <x:c r="M1975" s="16" t="str">
        <x:v>http://mananafunding.com/</x:v>
      </x:c>
      <x:c r="N1975" s="16" t="str">
        <x:v>$100K-$500K ticket not published / unconfirmed</x:v>
      </x:c>
      <x:c r="O1975" s="20"/>
      <x:c r="P1975" s="20"/>
      <x:c r="Q1975" s="25" t="str">
        <x:v>Property-loan range, not a corporate-capital commitment</x:v>
      </x:c>
      <x:c r="R1975" s="25" t="str">
        <x:v>Private real-estate finance experience. Corporate working capital, minority equity or profit participation requires a separate agreement from a property loan.</x:v>
      </x:c>
      <x:c r="S1975" s="25"/>
      <x:c r="T1975" s="25" t="str">
        <x:v>Confirm direct principal versus broker, $100K-$500K appetite, and whether capital can fund the operating company without a property mortgage.</x:v>
      </x:c>
      <x:c r="U1975" s="25" t="str">
        <x:v>https://www.hardmoneyhome.com/lenders/view/manana-funding</x:v>
      </x:c>
      <x:c r="V1975" s="26" t="d">
        <x:v>2026-10-02T00:00:00.000Z</x:v>
      </x:c>
      <x:c r="W1975" s="26" t="d">
        <x:v>2026-09-30T00:00:00.000Z</x:v>
      </x:c>
      <x:c r="X1975" s="25" t="str">
        <x:v>Saved public company, industry-directory or regulatory source; source date retained</x:v>
      </x:c>
      <x:c r="Y1975" s="25"/>
      <x:c r="Z1975" s="25" t="str">
        <x:v>https://www.hardmoneyhome.com/lenders/view/manana-funding</x:v>
      </x:c>
      <x:c r="AA1975" s="25" t="str">
        <x:v>[]</x:v>
      </x:c>
      <x:c r="AB1975" s="3" t="str">
        <x:v>Existing CapitalForge research, newly screened for this campaign</x:v>
      </x:c>
      <x:c r="AC1975" s="3" t="str">
        <x:v>unverified</x:v>
      </x:c>
      <x:c r="AD1975" s="3" t="str">
        <x:v>Not contacted / unconfirmed</x:v>
      </x:c>
      <x:c r="AE1975" s="3" t="str">
        <x:v>No</x:v>
      </x:c>
      <x:c r="AF1975" s="3" t="str">
        <x:v>No</x:v>
      </x:c>
      <x:c r="AG1975" s="3"/>
      <x:c r="AH1975" s="3"/>
      <x:c r="AI1975" s="18"/>
      <x:c r="AJ1975" s="3" t="str">
        <x:v>CF2500-51C7553FC102</x:v>
      </x:c>
      <x:c r="AK1975" s="3" t="str">
        <x:v>private_real_estate_lender</x:v>
      </x:c>
      <x:c r="AL1975" s="19" t="n">
        <x:v>100000</x:v>
      </x:c>
      <x:c r="AM1975" s="19" t="n">
        <x:v>500000</x:v>
      </x:c>
      <x:c r="AN1975" s="3" t="str">
        <x:v>https://www.hardmoneyhome.com/lenders/view/manana-funding</x:v>
      </x:c>
      <x:c r="AO1975" s="3" t="str">
        <x:v>public_directory.jsonl</x:v>
      </x:c>
      <x:c r="AP1975" s="19"/>
    </x:row>
    <x:row r="1976" ht="36" customHeight="1">
      <x:c r="A1976" s="23" t="n">
        <x:v>1975</x:v>
      </x:c>
      <x:c r="B1976" s="15" t="str">
        <x:v>Miami Hard Money</x:v>
      </x:c>
      <x:c r="C1976" s="15"/>
      <x:c r="D1976" s="15" t="str">
        <x:v>Property lender or directory member; operating-company capital unconfirmed</x:v>
      </x:c>
      <x:c r="E1976" s="15" t="str">
        <x:v>Property lender / private-money inquiry</x:v>
      </x:c>
      <x:c r="F1976" s="17" t="str">
        <x:v>New</x:v>
      </x:c>
      <x:c r="G1976" s="24"/>
      <x:c r="H1976" s="24" t="str">
        <x:v>+13053963200</x:v>
      </x:c>
      <x:c r="I1976" s="24" t="str">
        <x:v>http://www.miamihardmoney.com/</x:v>
      </x:c>
      <x:c r="J1976" s="16" t="str">
        <x:v>FL</x:v>
      </x:c>
      <x:c r="K1976" s="16" t="str">
        <x:v>Miami Beach</x:v>
      </x:c>
      <x:c r="L1976" s="16" t="str">
        <x:v>firm_business_routing</x:v>
      </x:c>
      <x:c r="M1976" s="16" t="str">
        <x:v>http://www.miamihardmoney.com/</x:v>
      </x:c>
      <x:c r="N1976" s="16" t="str">
        <x:v>$100K-$500K ticket not published / unconfirmed</x:v>
      </x:c>
      <x:c r="O1976" s="20"/>
      <x:c r="P1976" s="20"/>
      <x:c r="Q1976" s="25" t="str">
        <x:v>Property-loan range, not a corporate-capital commitment</x:v>
      </x:c>
      <x:c r="R1976" s="25" t="str">
        <x:v>Private real-estate finance experience. Corporate working capital, minority equity or profit participation requires a separate agreement from a property loan.</x:v>
      </x:c>
      <x:c r="S1976" s="25"/>
      <x:c r="T1976" s="25" t="str">
        <x:v>Confirm direct principal versus broker, $100K-$500K appetite, and whether capital can fund the operating company without a property mortgage.</x:v>
      </x:c>
      <x:c r="U1976" s="25" t="str">
        <x:v>https://www.hardmoneyhome.com/lenders/view/miami-hard-money</x:v>
      </x:c>
      <x:c r="V1976" s="26" t="d">
        <x:v>2026-10-02T00:00:00.000Z</x:v>
      </x:c>
      <x:c r="W1976" s="26" t="d">
        <x:v>2026-09-30T00:00:00.000Z</x:v>
      </x:c>
      <x:c r="X1976" s="25" t="str">
        <x:v>Saved public company, industry-directory or regulatory source; source date retained</x:v>
      </x:c>
      <x:c r="Y1976" s="25"/>
      <x:c r="Z1976" s="25" t="str">
        <x:v>https://www.hardmoneyhome.com/lenders/view/miami-hard-money</x:v>
      </x:c>
      <x:c r="AA1976" s="25" t="str">
        <x:v>[]</x:v>
      </x:c>
      <x:c r="AB1976" s="3" t="str">
        <x:v>Existing CapitalForge research, newly screened for this campaign</x:v>
      </x:c>
      <x:c r="AC1976" s="3" t="str">
        <x:v>unverified</x:v>
      </x:c>
      <x:c r="AD1976" s="3" t="str">
        <x:v>Not contacted / unconfirmed</x:v>
      </x:c>
      <x:c r="AE1976" s="3" t="str">
        <x:v>No</x:v>
      </x:c>
      <x:c r="AF1976" s="3" t="str">
        <x:v>No</x:v>
      </x:c>
      <x:c r="AG1976" s="3"/>
      <x:c r="AH1976" s="3"/>
      <x:c r="AI1976" s="18"/>
      <x:c r="AJ1976" s="3" t="str">
        <x:v>CF2500-6469FF5EDA5C</x:v>
      </x:c>
      <x:c r="AK1976" s="3" t="str">
        <x:v>private_real_estate_lender</x:v>
      </x:c>
      <x:c r="AL1976" s="19" t="n">
        <x:v>100000</x:v>
      </x:c>
      <x:c r="AM1976" s="19" t="n">
        <x:v>500000</x:v>
      </x:c>
      <x:c r="AN1976" s="3" t="str">
        <x:v>https://www.hardmoneyhome.com/lenders/view/miami-hard-money</x:v>
      </x:c>
      <x:c r="AO1976" s="3" t="str">
        <x:v>public_directory.jsonl</x:v>
      </x:c>
      <x:c r="AP1976" s="19"/>
    </x:row>
    <x:row r="1977" ht="36" customHeight="1">
      <x:c r="A1977" s="23" t="n">
        <x:v>1976</x:v>
      </x:c>
      <x:c r="B1977" s="15" t="str">
        <x:v>Mustang Lending</x:v>
      </x:c>
      <x:c r="C1977" s="15"/>
      <x:c r="D1977" s="15" t="str">
        <x:v>Property lender or directory member; operating-company capital unconfirmed</x:v>
      </x:c>
      <x:c r="E1977" s="15" t="str">
        <x:v>Property lender / private-money inquiry</x:v>
      </x:c>
      <x:c r="F1977" s="17" t="str">
        <x:v>New</x:v>
      </x:c>
      <x:c r="G1977" s="24"/>
      <x:c r="H1977" s="24" t="str">
        <x:v>+18172491414</x:v>
      </x:c>
      <x:c r="I1977" s="24" t="str">
        <x:v>http://mustanglending.com/</x:v>
      </x:c>
      <x:c r="J1977" s="16" t="str">
        <x:v>TX</x:v>
      </x:c>
      <x:c r="K1977" s="16" t="str">
        <x:v>Cresson</x:v>
      </x:c>
      <x:c r="L1977" s="16" t="str">
        <x:v>firm_business_routing</x:v>
      </x:c>
      <x:c r="M1977" s="16" t="str">
        <x:v>http://mustanglending.com/</x:v>
      </x:c>
      <x:c r="N1977" s="16" t="str">
        <x:v>$100K-$500K ticket not published / unconfirmed</x:v>
      </x:c>
      <x:c r="O1977" s="20"/>
      <x:c r="P1977" s="20"/>
      <x:c r="Q1977" s="25" t="str">
        <x:v>Property-loan range, not a corporate-capital commitment</x:v>
      </x:c>
      <x:c r="R1977" s="25" t="str">
        <x:v>Private real-estate finance experience. Corporate working capital, minority equity or profit participation requires a separate agreement from a property loan.</x:v>
      </x:c>
      <x:c r="S1977" s="25"/>
      <x:c r="T1977" s="25" t="str">
        <x:v>Confirm direct principal versus broker, $100K-$500K appetite, and whether capital can fund the operating company without a property mortgage.</x:v>
      </x:c>
      <x:c r="U1977" s="25" t="str">
        <x:v>https://www.hardmoneyhome.com/lenders/view/mustang-lending</x:v>
      </x:c>
      <x:c r="V1977" s="26" t="d">
        <x:v>2026-10-02T00:00:00.000Z</x:v>
      </x:c>
      <x:c r="W1977" s="26" t="d">
        <x:v>2026-09-30T00:00:00.000Z</x:v>
      </x:c>
      <x:c r="X1977" s="25" t="str">
        <x:v>Saved public company, industry-directory or regulatory source; source date retained</x:v>
      </x:c>
      <x:c r="Y1977" s="25"/>
      <x:c r="Z1977" s="25" t="str">
        <x:v>https://www.hardmoneyhome.com/lenders/view/mustang-lending</x:v>
      </x:c>
      <x:c r="AA1977" s="25" t="str">
        <x:v>[]</x:v>
      </x:c>
      <x:c r="AB1977" s="3" t="str">
        <x:v>Existing CapitalForge research, newly screened for this campaign</x:v>
      </x:c>
      <x:c r="AC1977" s="3" t="str">
        <x:v>unverified</x:v>
      </x:c>
      <x:c r="AD1977" s="3" t="str">
        <x:v>Not contacted / unconfirmed</x:v>
      </x:c>
      <x:c r="AE1977" s="3" t="str">
        <x:v>No</x:v>
      </x:c>
      <x:c r="AF1977" s="3" t="str">
        <x:v>No</x:v>
      </x:c>
      <x:c r="AG1977" s="3"/>
      <x:c r="AH1977" s="3"/>
      <x:c r="AI1977" s="18"/>
      <x:c r="AJ1977" s="3" t="str">
        <x:v>CF2500-36042D32E44E</x:v>
      </x:c>
      <x:c r="AK1977" s="3" t="str">
        <x:v>private_real_estate_lender</x:v>
      </x:c>
      <x:c r="AL1977" s="19" t="n">
        <x:v>100000</x:v>
      </x:c>
      <x:c r="AM1977" s="19" t="n">
        <x:v>500000</x:v>
      </x:c>
      <x:c r="AN1977" s="3" t="str">
        <x:v>https://www.hardmoneyhome.com/lenders/view/mustang-lending</x:v>
      </x:c>
      <x:c r="AO1977" s="3" t="str">
        <x:v>public_directory.jsonl</x:v>
      </x:c>
      <x:c r="AP1977" s="19"/>
    </x:row>
    <x:row r="1978" ht="36" customHeight="1">
      <x:c r="A1978" s="23" t="n">
        <x:v>1977</x:v>
      </x:c>
      <x:c r="B1978" s="15" t="str">
        <x:v>My Rehab Lender</x:v>
      </x:c>
      <x:c r="C1978" s="15"/>
      <x:c r="D1978" s="15" t="str">
        <x:v>Property lender or directory member; operating-company capital unconfirmed</x:v>
      </x:c>
      <x:c r="E1978" s="15" t="str">
        <x:v>Property lender / private-money inquiry</x:v>
      </x:c>
      <x:c r="F1978" s="17" t="str">
        <x:v>New</x:v>
      </x:c>
      <x:c r="G1978" s="24"/>
      <x:c r="H1978" s="24" t="str">
        <x:v>+18553854505</x:v>
      </x:c>
      <x:c r="I1978" s="24" t="str">
        <x:v>http://www.myrehablender.com/</x:v>
      </x:c>
      <x:c r="J1978" s="16" t="str">
        <x:v>TX</x:v>
      </x:c>
      <x:c r="K1978" s="16" t="str">
        <x:v>Richardson</x:v>
      </x:c>
      <x:c r="L1978" s="16" t="str">
        <x:v>firm_business_routing</x:v>
      </x:c>
      <x:c r="M1978" s="16" t="str">
        <x:v>http://www.myrehablender.com/</x:v>
      </x:c>
      <x:c r="N1978" s="16" t="str">
        <x:v>$100K-$500K ticket not published / unconfirmed</x:v>
      </x:c>
      <x:c r="O1978" s="20"/>
      <x:c r="P1978" s="20"/>
      <x:c r="Q1978" s="25" t="str">
        <x:v>Property-loan range, not a corporate-capital commitment</x:v>
      </x:c>
      <x:c r="R1978" s="25" t="str">
        <x:v>Private real-estate finance experience. Corporate working capital, minority equity or profit participation requires a separate agreement from a property loan.</x:v>
      </x:c>
      <x:c r="S1978" s="25"/>
      <x:c r="T1978" s="25" t="str">
        <x:v>Confirm direct principal versus broker, $100K-$500K appetite, and whether capital can fund the operating company without a property mortgage.</x:v>
      </x:c>
      <x:c r="U1978" s="25" t="str">
        <x:v>https://www.hardmoneyhome.com/lenders/view/my-rehab-lender</x:v>
      </x:c>
      <x:c r="V1978" s="26" t="d">
        <x:v>2026-10-02T00:00:00.000Z</x:v>
      </x:c>
      <x:c r="W1978" s="26" t="d">
        <x:v>2026-09-30T00:00:00.000Z</x:v>
      </x:c>
      <x:c r="X1978" s="25" t="str">
        <x:v>Saved public company, industry-directory or regulatory source; source date retained</x:v>
      </x:c>
      <x:c r="Y1978" s="25"/>
      <x:c r="Z1978" s="25" t="str">
        <x:v>https://www.hardmoneyhome.com/lenders/view/my-rehab-lender</x:v>
      </x:c>
      <x:c r="AA1978" s="25" t="str">
        <x:v>[]</x:v>
      </x:c>
      <x:c r="AB1978" s="3" t="str">
        <x:v>Existing CapitalForge research, newly screened for this campaign</x:v>
      </x:c>
      <x:c r="AC1978" s="3" t="str">
        <x:v>unverified</x:v>
      </x:c>
      <x:c r="AD1978" s="3" t="str">
        <x:v>Not contacted / unconfirmed</x:v>
      </x:c>
      <x:c r="AE1978" s="3" t="str">
        <x:v>No</x:v>
      </x:c>
      <x:c r="AF1978" s="3" t="str">
        <x:v>No</x:v>
      </x:c>
      <x:c r="AG1978" s="3"/>
      <x:c r="AH1978" s="3"/>
      <x:c r="AI1978" s="18"/>
      <x:c r="AJ1978" s="3" t="str">
        <x:v>CF2500-747690B22621</x:v>
      </x:c>
      <x:c r="AK1978" s="3" t="str">
        <x:v>private_real_estate_lender</x:v>
      </x:c>
      <x:c r="AL1978" s="19" t="n">
        <x:v>100000</x:v>
      </x:c>
      <x:c r="AM1978" s="19" t="n">
        <x:v>500000</x:v>
      </x:c>
      <x:c r="AN1978" s="3" t="str">
        <x:v>https://www.hardmoneyhome.com/lenders/view/my-rehab-lender</x:v>
      </x:c>
      <x:c r="AO1978" s="3" t="str">
        <x:v>public_directory.jsonl</x:v>
      </x:c>
      <x:c r="AP1978" s="19"/>
    </x:row>
    <x:row r="1979" ht="36" customHeight="1">
      <x:c r="A1979" s="23" t="n">
        <x:v>1978</x:v>
      </x:c>
      <x:c r="B1979" s="15" t="str">
        <x:v>Newbridge Investments, LLC</x:v>
      </x:c>
      <x:c r="C1979" s="15"/>
      <x:c r="D1979" s="15" t="str">
        <x:v>Property lender or directory member; operating-company capital unconfirmed</x:v>
      </x:c>
      <x:c r="E1979" s="15" t="str">
        <x:v>Property lender / private-money inquiry</x:v>
      </x:c>
      <x:c r="F1979" s="17" t="str">
        <x:v>New</x:v>
      </x:c>
      <x:c r="G1979" s="24"/>
      <x:c r="H1979" s="24" t="str">
        <x:v>+17137779996</x:v>
      </x:c>
      <x:c r="I1979" s="24" t="str">
        <x:v>https://www.newbridgehomeloans.com</x:v>
      </x:c>
      <x:c r="J1979" s="16" t="str">
        <x:v>TX</x:v>
      </x:c>
      <x:c r="K1979" s="16" t="str">
        <x:v>Houston</x:v>
      </x:c>
      <x:c r="L1979" s="16" t="str">
        <x:v>firm_business_routing</x:v>
      </x:c>
      <x:c r="M1979" s="16" t="str">
        <x:v>https://www.newbridgehomeloans.com</x:v>
      </x:c>
      <x:c r="N1979" s="16" t="str">
        <x:v>$100K-$500K ticket not published / unconfirmed</x:v>
      </x:c>
      <x:c r="O1979" s="20"/>
      <x:c r="P1979" s="20"/>
      <x:c r="Q1979" s="25" t="str">
        <x:v>Property-loan range, not a corporate-capital commitment</x:v>
      </x:c>
      <x:c r="R1979" s="25" t="str">
        <x:v>Private real-estate finance experience. Corporate working capital, minority equity or profit participation requires a separate agreement from a property loan.</x:v>
      </x:c>
      <x:c r="S1979" s="25"/>
      <x:c r="T1979" s="25" t="str">
        <x:v>Confirm direct principal versus broker, $100K-$500K appetite, and whether capital can fund the operating company without a property mortgage.</x:v>
      </x:c>
      <x:c r="U1979" s="25" t="str">
        <x:v>https://www.hardmoneyhome.com/lenders/view/newbridge-investments-llc</x:v>
      </x:c>
      <x:c r="V1979" s="26" t="d">
        <x:v>2026-10-02T00:00:00.000Z</x:v>
      </x:c>
      <x:c r="W1979" s="26" t="d">
        <x:v>2026-09-30T00:00:00.000Z</x:v>
      </x:c>
      <x:c r="X1979" s="25" t="str">
        <x:v>Saved public company, industry-directory or regulatory source; source date retained</x:v>
      </x:c>
      <x:c r="Y1979" s="25"/>
      <x:c r="Z1979" s="25" t="str">
        <x:v>https://www.hardmoneyhome.com/lenders/view/newbridge-investments-llc</x:v>
      </x:c>
      <x:c r="AA1979" s="25" t="str">
        <x:v>[]</x:v>
      </x:c>
      <x:c r="AB1979" s="3" t="str">
        <x:v>Existing CapitalForge research, newly screened for this campaign</x:v>
      </x:c>
      <x:c r="AC1979" s="3" t="str">
        <x:v>unverified</x:v>
      </x:c>
      <x:c r="AD1979" s="3" t="str">
        <x:v>Not contacted / unconfirmed</x:v>
      </x:c>
      <x:c r="AE1979" s="3" t="str">
        <x:v>No</x:v>
      </x:c>
      <x:c r="AF1979" s="3" t="str">
        <x:v>No</x:v>
      </x:c>
      <x:c r="AG1979" s="3"/>
      <x:c r="AH1979" s="3"/>
      <x:c r="AI1979" s="18"/>
      <x:c r="AJ1979" s="3" t="str">
        <x:v>CF2500-740E9988BBCB</x:v>
      </x:c>
      <x:c r="AK1979" s="3" t="str">
        <x:v>private_real_estate_lender</x:v>
      </x:c>
      <x:c r="AL1979" s="19" t="n">
        <x:v>100000</x:v>
      </x:c>
      <x:c r="AM1979" s="19" t="n">
        <x:v>500000</x:v>
      </x:c>
      <x:c r="AN1979" s="3" t="str">
        <x:v>https://www.hardmoneyhome.com/lenders/view/newbridge-investments-llc</x:v>
      </x:c>
      <x:c r="AO1979" s="3" t="str">
        <x:v>public_directory.jsonl</x:v>
      </x:c>
      <x:c r="AP1979" s="19"/>
    </x:row>
    <x:row r="1980" ht="36" customHeight="1">
      <x:c r="A1980" s="23" t="n">
        <x:v>1979</x:v>
      </x:c>
      <x:c r="B1980" s="15" t="str">
        <x:v>Nexus Private Capital</x:v>
      </x:c>
      <x:c r="C1980" s="15"/>
      <x:c r="D1980" s="15" t="str">
        <x:v>Property lender or directory member; operating-company capital unconfirmed</x:v>
      </x:c>
      <x:c r="E1980" s="15" t="str">
        <x:v>Property lender / private-money inquiry</x:v>
      </x:c>
      <x:c r="F1980" s="17" t="str">
        <x:v>New</x:v>
      </x:c>
      <x:c r="G1980" s="24"/>
      <x:c r="H1980" s="24" t="str">
        <x:v>+15122309867</x:v>
      </x:c>
      <x:c r="I1980" s="24" t="str">
        <x:v>https://www.nexuslending.net/</x:v>
      </x:c>
      <x:c r="J1980" s="16" t="str">
        <x:v>TX</x:v>
      </x:c>
      <x:c r="K1980" s="16" t="str">
        <x:v>Austin</x:v>
      </x:c>
      <x:c r="L1980" s="16" t="str">
        <x:v>firm_business_routing</x:v>
      </x:c>
      <x:c r="M1980" s="16" t="str">
        <x:v>https://www.nexuslending.net/</x:v>
      </x:c>
      <x:c r="N1980" s="16" t="str">
        <x:v>$100K-$500K ticket not published / unconfirmed</x:v>
      </x:c>
      <x:c r="O1980" s="20"/>
      <x:c r="P1980" s="20"/>
      <x:c r="Q1980" s="25" t="str">
        <x:v>Property-loan range, not a corporate-capital commitment</x:v>
      </x:c>
      <x:c r="R1980" s="25" t="str">
        <x:v>Private real-estate finance experience. Corporate working capital, minority equity or profit participation requires a separate agreement from a property loan.</x:v>
      </x:c>
      <x:c r="S1980" s="25"/>
      <x:c r="T1980" s="25" t="str">
        <x:v>Confirm direct principal versus broker, $100K-$500K appetite, and whether capital can fund the operating company without a property mortgage.</x:v>
      </x:c>
      <x:c r="U1980" s="25" t="str">
        <x:v>https://www.hardmoneyhome.com/lenders/view/nexus-private-capital</x:v>
      </x:c>
      <x:c r="V1980" s="26" t="d">
        <x:v>2026-10-02T00:00:00.000Z</x:v>
      </x:c>
      <x:c r="W1980" s="26" t="d">
        <x:v>2026-09-30T00:00:00.000Z</x:v>
      </x:c>
      <x:c r="X1980" s="25" t="str">
        <x:v>Saved public company, industry-directory or regulatory source; source date retained</x:v>
      </x:c>
      <x:c r="Y1980" s="25"/>
      <x:c r="Z1980" s="25" t="str">
        <x:v>https://www.hardmoneyhome.com/lenders/view/nexus-private-capital</x:v>
      </x:c>
      <x:c r="AA1980" s="25" t="str">
        <x:v>[]</x:v>
      </x:c>
      <x:c r="AB1980" s="3" t="str">
        <x:v>Existing CapitalForge research, newly screened for this campaign</x:v>
      </x:c>
      <x:c r="AC1980" s="3" t="str">
        <x:v>unverified</x:v>
      </x:c>
      <x:c r="AD1980" s="3" t="str">
        <x:v>Not contacted / unconfirmed</x:v>
      </x:c>
      <x:c r="AE1980" s="3" t="str">
        <x:v>No</x:v>
      </x:c>
      <x:c r="AF1980" s="3" t="str">
        <x:v>No</x:v>
      </x:c>
      <x:c r="AG1980" s="3"/>
      <x:c r="AH1980" s="3"/>
      <x:c r="AI1980" s="18"/>
      <x:c r="AJ1980" s="3" t="str">
        <x:v>CF2500-AEBB260A690D</x:v>
      </x:c>
      <x:c r="AK1980" s="3" t="str">
        <x:v>private_real_estate_lender</x:v>
      </x:c>
      <x:c r="AL1980" s="19" t="n">
        <x:v>100000</x:v>
      </x:c>
      <x:c r="AM1980" s="19" t="n">
        <x:v>500000</x:v>
      </x:c>
      <x:c r="AN1980" s="3" t="str">
        <x:v>https://www.hardmoneyhome.com/lenders/view/nexus-private-capital</x:v>
      </x:c>
      <x:c r="AO1980" s="3" t="str">
        <x:v>public_directory.jsonl</x:v>
      </x:c>
      <x:c r="AP1980" s="19"/>
    </x:row>
    <x:row r="1981" ht="36" customHeight="1">
      <x:c r="A1981" s="23" t="n">
        <x:v>1980</x:v>
      </x:c>
      <x:c r="B1981" s="15" t="str">
        <x:v>Noble Capital</x:v>
      </x:c>
      <x:c r="C1981" s="15"/>
      <x:c r="D1981" s="15" t="str">
        <x:v>Property lender or directory member; operating-company capital unconfirmed</x:v>
      </x:c>
      <x:c r="E1981" s="15" t="str">
        <x:v>Property lender / private-money inquiry</x:v>
      </x:c>
      <x:c r="F1981" s="17" t="str">
        <x:v>New</x:v>
      </x:c>
      <x:c r="G1981" s="24"/>
      <x:c r="H1981" s="24" t="str">
        <x:v>+15122492800</x:v>
      </x:c>
      <x:c r="I1981" s="24" t="str">
        <x:v>http://noblecapital.com/</x:v>
      </x:c>
      <x:c r="J1981" s="16" t="str">
        <x:v>TX</x:v>
      </x:c>
      <x:c r="K1981" s="16" t="str">
        <x:v>Austin</x:v>
      </x:c>
      <x:c r="L1981" s="16" t="str">
        <x:v>firm_business_routing</x:v>
      </x:c>
      <x:c r="M1981" s="16" t="str">
        <x:v>http://noblecapital.com/</x:v>
      </x:c>
      <x:c r="N1981" s="16" t="str">
        <x:v>$100K-$500K ticket not published / unconfirmed</x:v>
      </x:c>
      <x:c r="O1981" s="20"/>
      <x:c r="P1981" s="20"/>
      <x:c r="Q1981" s="25" t="str">
        <x:v>Property-loan range, not a corporate-capital commitment</x:v>
      </x:c>
      <x:c r="R1981" s="25" t="str">
        <x:v>Private real-estate finance experience. Corporate working capital, minority equity or profit participation requires a separate agreement from a property loan.</x:v>
      </x:c>
      <x:c r="S1981" s="25"/>
      <x:c r="T1981" s="25" t="str">
        <x:v>Confirm direct principal versus broker, $100K-$500K appetite, and whether capital can fund the operating company without a property mortgage.</x:v>
      </x:c>
      <x:c r="U1981" s="25" t="str">
        <x:v>https://www.hardmoneyhome.com/lenders/view/noble-capital</x:v>
      </x:c>
      <x:c r="V1981" s="26" t="d">
        <x:v>2026-10-02T00:00:00.000Z</x:v>
      </x:c>
      <x:c r="W1981" s="26" t="d">
        <x:v>2026-09-30T00:00:00.000Z</x:v>
      </x:c>
      <x:c r="X1981" s="25" t="str">
        <x:v>Saved public company, industry-directory or regulatory source; source date retained</x:v>
      </x:c>
      <x:c r="Y1981" s="25"/>
      <x:c r="Z1981" s="25" t="str">
        <x:v>https://www.hardmoneyhome.com/lenders/view/noble-capital</x:v>
      </x:c>
      <x:c r="AA1981" s="25" t="str">
        <x:v>[]</x:v>
      </x:c>
      <x:c r="AB1981" s="3" t="str">
        <x:v>Existing CapitalForge research, newly screened for this campaign</x:v>
      </x:c>
      <x:c r="AC1981" s="3" t="str">
        <x:v>unverified</x:v>
      </x:c>
      <x:c r="AD1981" s="3" t="str">
        <x:v>Not contacted / unconfirmed</x:v>
      </x:c>
      <x:c r="AE1981" s="3" t="str">
        <x:v>No</x:v>
      </x:c>
      <x:c r="AF1981" s="3" t="str">
        <x:v>No</x:v>
      </x:c>
      <x:c r="AG1981" s="3"/>
      <x:c r="AH1981" s="3"/>
      <x:c r="AI1981" s="18"/>
      <x:c r="AJ1981" s="3" t="str">
        <x:v>CF2500-92F84071D8AC</x:v>
      </x:c>
      <x:c r="AK1981" s="3" t="str">
        <x:v>private_real_estate_lender</x:v>
      </x:c>
      <x:c r="AL1981" s="19" t="n">
        <x:v>100000</x:v>
      </x:c>
      <x:c r="AM1981" s="19" t="n">
        <x:v>500000</x:v>
      </x:c>
      <x:c r="AN1981" s="3" t="str">
        <x:v>https://www.hardmoneyhome.com/lenders/view/noble-capital</x:v>
      </x:c>
      <x:c r="AO1981" s="3" t="str">
        <x:v>public_directory.jsonl</x:v>
      </x:c>
      <x:c r="AP1981" s="19"/>
    </x:row>
    <x:row r="1982" ht="36" customHeight="1">
      <x:c r="A1982" s="23" t="n">
        <x:v>1981</x:v>
      </x:c>
      <x:c r="B1982" s="15" t="str">
        <x:v>Ocean Capital Lending</x:v>
      </x:c>
      <x:c r="C1982" s="15"/>
      <x:c r="D1982" s="15" t="str">
        <x:v>Property lender or directory member; operating-company capital unconfirmed</x:v>
      </x:c>
      <x:c r="E1982" s="15" t="str">
        <x:v>Property lender / private-money inquiry</x:v>
      </x:c>
      <x:c r="F1982" s="17" t="str">
        <x:v>New</x:v>
      </x:c>
      <x:c r="G1982" s="24"/>
      <x:c r="H1982" s="24" t="str">
        <x:v>+18008957174</x:v>
      </x:c>
      <x:c r="I1982" s="24" t="str">
        <x:v>http://www.oceancapitallending.com</x:v>
      </x:c>
      <x:c r="J1982" s="16" t="str">
        <x:v>FL</x:v>
      </x:c>
      <x:c r="K1982" s="16" t="str">
        <x:v>Delray Beach</x:v>
      </x:c>
      <x:c r="L1982" s="16" t="str">
        <x:v>firm_business_routing</x:v>
      </x:c>
      <x:c r="M1982" s="16" t="str">
        <x:v>http://www.oceancapitallending.com</x:v>
      </x:c>
      <x:c r="N1982" s="16" t="str">
        <x:v>$100K-$500K ticket not published / unconfirmed</x:v>
      </x:c>
      <x:c r="O1982" s="20"/>
      <x:c r="P1982" s="20"/>
      <x:c r="Q1982" s="25" t="str">
        <x:v>Property-loan range, not a corporate-capital commitment</x:v>
      </x:c>
      <x:c r="R1982" s="25" t="str">
        <x:v>Private real-estate finance experience. Corporate working capital, minority equity or profit participation requires a separate agreement from a property loan.</x:v>
      </x:c>
      <x:c r="S1982" s="25"/>
      <x:c r="T1982" s="25" t="str">
        <x:v>Confirm direct principal versus broker, $100K-$500K appetite, and whether capital can fund the operating company without a property mortgage.</x:v>
      </x:c>
      <x:c r="U1982" s="25" t="str">
        <x:v>https://www.hardmoneyhome.com/lenders/view/ocean-capital-lending</x:v>
      </x:c>
      <x:c r="V1982" s="26" t="d">
        <x:v>2026-10-02T00:00:00.000Z</x:v>
      </x:c>
      <x:c r="W1982" s="26" t="d">
        <x:v>2026-09-30T00:00:00.000Z</x:v>
      </x:c>
      <x:c r="X1982" s="25" t="str">
        <x:v>Saved public company, industry-directory or regulatory source; source date retained</x:v>
      </x:c>
      <x:c r="Y1982" s="25"/>
      <x:c r="Z1982" s="25" t="str">
        <x:v>https://www.hardmoneyhome.com/lenders/view/ocean-capital-lending</x:v>
      </x:c>
      <x:c r="AA1982" s="25" t="str">
        <x:v>[]</x:v>
      </x:c>
      <x:c r="AB1982" s="3" t="str">
        <x:v>Existing CapitalForge research, newly screened for this campaign</x:v>
      </x:c>
      <x:c r="AC1982" s="3" t="str">
        <x:v>unverified</x:v>
      </x:c>
      <x:c r="AD1982" s="3" t="str">
        <x:v>Not contacted / unconfirmed</x:v>
      </x:c>
      <x:c r="AE1982" s="3" t="str">
        <x:v>No</x:v>
      </x:c>
      <x:c r="AF1982" s="3" t="str">
        <x:v>No</x:v>
      </x:c>
      <x:c r="AG1982" s="3"/>
      <x:c r="AH1982" s="3"/>
      <x:c r="AI1982" s="18"/>
      <x:c r="AJ1982" s="3" t="str">
        <x:v>CF2500-306F6E4743BC</x:v>
      </x:c>
      <x:c r="AK1982" s="3" t="str">
        <x:v>private_real_estate_lender</x:v>
      </x:c>
      <x:c r="AL1982" s="19" t="n">
        <x:v>100000</x:v>
      </x:c>
      <x:c r="AM1982" s="19" t="n">
        <x:v>500000</x:v>
      </x:c>
      <x:c r="AN1982" s="3" t="str">
        <x:v>https://www.hardmoneyhome.com/lenders/view/ocean-capital-lending</x:v>
      </x:c>
      <x:c r="AO1982" s="3" t="str">
        <x:v>public_directory.jsonl</x:v>
      </x:c>
      <x:c r="AP1982" s="19"/>
    </x:row>
    <x:row r="1983" ht="36" customHeight="1">
      <x:c r="A1983" s="23" t="n">
        <x:v>1982</x:v>
      </x:c>
      <x:c r="B1983" s="15" t="str">
        <x:v>Park Place Funding</x:v>
      </x:c>
      <x:c r="C1983" s="15"/>
      <x:c r="D1983" s="15" t="str">
        <x:v>Property lender or directory member; operating-company capital unconfirmed</x:v>
      </x:c>
      <x:c r="E1983" s="15" t="str">
        <x:v>Property lender / private-money inquiry</x:v>
      </x:c>
      <x:c r="F1983" s="17" t="str">
        <x:v>New</x:v>
      </x:c>
      <x:c r="G1983" s="24"/>
      <x:c r="H1983" s="24" t="str">
        <x:v>+15126993649</x:v>
      </x:c>
      <x:c r="I1983" s="24" t="str">
        <x:v>https://hardmoneytx.com/</x:v>
      </x:c>
      <x:c r="J1983" s="16" t="str">
        <x:v>TX</x:v>
      </x:c>
      <x:c r="K1983" s="16" t="str">
        <x:v>Austin</x:v>
      </x:c>
      <x:c r="L1983" s="16" t="str">
        <x:v>firm_business_routing</x:v>
      </x:c>
      <x:c r="M1983" s="16" t="str">
        <x:v>https://hardmoneytx.com/</x:v>
      </x:c>
      <x:c r="N1983" s="16" t="str">
        <x:v>$100K-$500K ticket not published / unconfirmed</x:v>
      </x:c>
      <x:c r="O1983" s="20"/>
      <x:c r="P1983" s="20"/>
      <x:c r="Q1983" s="25" t="str">
        <x:v>Property-loan range, not a corporate-capital commitment</x:v>
      </x:c>
      <x:c r="R1983" s="25" t="str">
        <x:v>Private real-estate finance experience. Corporate working capital, minority equity or profit participation requires a separate agreement from a property loan.</x:v>
      </x:c>
      <x:c r="S1983" s="25"/>
      <x:c r="T1983" s="25" t="str">
        <x:v>Confirm direct principal versus broker, $100K-$500K appetite, and whether capital can fund the operating company without a property mortgage.</x:v>
      </x:c>
      <x:c r="U1983" s="25" t="str">
        <x:v>https://www.hardmoneyhome.com/lenders/view/park-place-funding</x:v>
      </x:c>
      <x:c r="V1983" s="26" t="d">
        <x:v>2026-10-02T00:00:00.000Z</x:v>
      </x:c>
      <x:c r="W1983" s="26" t="d">
        <x:v>2026-09-30T00:00:00.000Z</x:v>
      </x:c>
      <x:c r="X1983" s="25" t="str">
        <x:v>Saved public company, industry-directory or regulatory source; source date retained</x:v>
      </x:c>
      <x:c r="Y1983" s="25"/>
      <x:c r="Z1983" s="25" t="str">
        <x:v>https://www.hardmoneyhome.com/lenders/view/park-place-funding</x:v>
      </x:c>
      <x:c r="AA1983" s="25" t="str">
        <x:v>[]</x:v>
      </x:c>
      <x:c r="AB1983" s="3" t="str">
        <x:v>Existing CapitalForge research, newly screened for this campaign</x:v>
      </x:c>
      <x:c r="AC1983" s="3" t="str">
        <x:v>unverified</x:v>
      </x:c>
      <x:c r="AD1983" s="3" t="str">
        <x:v>Not contacted / unconfirmed</x:v>
      </x:c>
      <x:c r="AE1983" s="3" t="str">
        <x:v>No</x:v>
      </x:c>
      <x:c r="AF1983" s="3" t="str">
        <x:v>No</x:v>
      </x:c>
      <x:c r="AG1983" s="3"/>
      <x:c r="AH1983" s="3"/>
      <x:c r="AI1983" s="18"/>
      <x:c r="AJ1983" s="3" t="str">
        <x:v>CF2500-24114DFF9C42</x:v>
      </x:c>
      <x:c r="AK1983" s="3" t="str">
        <x:v>private_real_estate_lender</x:v>
      </x:c>
      <x:c r="AL1983" s="19" t="n">
        <x:v>100000</x:v>
      </x:c>
      <x:c r="AM1983" s="19" t="n">
        <x:v>500000</x:v>
      </x:c>
      <x:c r="AN1983" s="3" t="str">
        <x:v>https://www.hardmoneyhome.com/lenders/view/park-place-funding</x:v>
      </x:c>
      <x:c r="AO1983" s="3" t="str">
        <x:v>public_directory.jsonl</x:v>
      </x:c>
      <x:c r="AP1983" s="19"/>
    </x:row>
    <x:row r="1984" ht="36" customHeight="1">
      <x:c r="A1984" s="23" t="n">
        <x:v>1983</x:v>
      </x:c>
      <x:c r="B1984" s="15" t="str">
        <x:v>PFC Commercial Group</x:v>
      </x:c>
      <x:c r="C1984" s="15"/>
      <x:c r="D1984" s="15" t="str">
        <x:v>Property lender or directory member; operating-company capital unconfirmed</x:v>
      </x:c>
      <x:c r="E1984" s="15" t="str">
        <x:v>Property lender / private-money inquiry</x:v>
      </x:c>
      <x:c r="F1984" s="17" t="str">
        <x:v>New</x:v>
      </x:c>
      <x:c r="G1984" s="24"/>
      <x:c r="H1984" s="24" t="str">
        <x:v>+18009751691</x:v>
      </x:c>
      <x:c r="I1984" s="24" t="str">
        <x:v>https://www.aggressivelending.com</x:v>
      </x:c>
      <x:c r="J1984" s="16" t="str">
        <x:v>IL</x:v>
      </x:c>
      <x:c r="K1984" s="16" t="str">
        <x:v>Chicago</x:v>
      </x:c>
      <x:c r="L1984" s="16" t="str">
        <x:v>firm_business_routing</x:v>
      </x:c>
      <x:c r="M1984" s="16" t="str">
        <x:v>https://www.aggressivelending.com</x:v>
      </x:c>
      <x:c r="N1984" s="16" t="str">
        <x:v>$100K-$500K ticket not published / unconfirmed</x:v>
      </x:c>
      <x:c r="O1984" s="20"/>
      <x:c r="P1984" s="20"/>
      <x:c r="Q1984" s="25" t="str">
        <x:v>Property-loan range, not a corporate-capital commitment</x:v>
      </x:c>
      <x:c r="R1984" s="25" t="str">
        <x:v>Private real-estate finance experience. Corporate working capital, minority equity or profit participation requires a separate agreement from a property loan.</x:v>
      </x:c>
      <x:c r="S1984" s="25"/>
      <x:c r="T1984" s="25" t="str">
        <x:v>Confirm direct principal versus broker, $100K-$500K appetite, and whether capital can fund the operating company without a property mortgage.</x:v>
      </x:c>
      <x:c r="U1984" s="25" t="str">
        <x:v>https://www.hardmoneyhome.com/lenders/view/pfc-commercial-group</x:v>
      </x:c>
      <x:c r="V1984" s="26" t="d">
        <x:v>2026-10-02T00:00:00.000Z</x:v>
      </x:c>
      <x:c r="W1984" s="26" t="d">
        <x:v>2026-09-30T00:00:00.000Z</x:v>
      </x:c>
      <x:c r="X1984" s="25" t="str">
        <x:v>Saved public company, industry-directory or regulatory source; source date retained</x:v>
      </x:c>
      <x:c r="Y1984" s="25"/>
      <x:c r="Z1984" s="25" t="str">
        <x:v>https://www.hardmoneyhome.com/lenders/view/pfc-commercial-group</x:v>
      </x:c>
      <x:c r="AA1984" s="25" t="str">
        <x:v>[]</x:v>
      </x:c>
      <x:c r="AB1984" s="3" t="str">
        <x:v>Existing CapitalForge research, newly screened for this campaign</x:v>
      </x:c>
      <x:c r="AC1984" s="3" t="str">
        <x:v>unverified</x:v>
      </x:c>
      <x:c r="AD1984" s="3" t="str">
        <x:v>Not contacted / unconfirmed</x:v>
      </x:c>
      <x:c r="AE1984" s="3" t="str">
        <x:v>No</x:v>
      </x:c>
      <x:c r="AF1984" s="3" t="str">
        <x:v>No</x:v>
      </x:c>
      <x:c r="AG1984" s="3"/>
      <x:c r="AH1984" s="3"/>
      <x:c r="AI1984" s="18"/>
      <x:c r="AJ1984" s="3" t="str">
        <x:v>CF2500-8C0D0F6B0B8F</x:v>
      </x:c>
      <x:c r="AK1984" s="3" t="str">
        <x:v>private_real_estate_lender</x:v>
      </x:c>
      <x:c r="AL1984" s="19" t="n">
        <x:v>100000</x:v>
      </x:c>
      <x:c r="AM1984" s="19" t="n">
        <x:v>500000</x:v>
      </x:c>
      <x:c r="AN1984" s="3" t="str">
        <x:v>https://www.hardmoneyhome.com/lenders/view/pfc-commercial-group</x:v>
      </x:c>
      <x:c r="AO1984" s="3" t="str">
        <x:v>public_directory.jsonl</x:v>
      </x:c>
      <x:c r="AP1984" s="19"/>
    </x:row>
    <x:row r="1985" ht="36" customHeight="1">
      <x:c r="A1985" s="23" t="n">
        <x:v>1984</x:v>
      </x:c>
      <x:c r="B1985" s="15" t="str">
        <x:v>Premier Lending Group</x:v>
      </x:c>
      <x:c r="C1985" s="15"/>
      <x:c r="D1985" s="15" t="str">
        <x:v>Property lender or directory member; operating-company capital unconfirmed</x:v>
      </x:c>
      <x:c r="E1985" s="15" t="str">
        <x:v>Property lender / private-money inquiry</x:v>
      </x:c>
      <x:c r="F1985" s="17" t="str">
        <x:v>New</x:v>
      </x:c>
      <x:c r="G1985" s="24"/>
      <x:c r="H1985" s="24" t="str">
        <x:v>+12104174548</x:v>
      </x:c>
      <x:c r="I1985" s="24" t="str">
        <x:v>http://www.premierlendinggroup.com</x:v>
      </x:c>
      <x:c r="J1985" s="16" t="str">
        <x:v>TX</x:v>
      </x:c>
      <x:c r="K1985" s="16" t="str">
        <x:v>San Antonio</x:v>
      </x:c>
      <x:c r="L1985" s="16" t="str">
        <x:v>firm_business_routing</x:v>
      </x:c>
      <x:c r="M1985" s="16" t="str">
        <x:v>http://www.premierlendinggroup.com</x:v>
      </x:c>
      <x:c r="N1985" s="16" t="str">
        <x:v>$100K-$500K ticket not published / unconfirmed</x:v>
      </x:c>
      <x:c r="O1985" s="20"/>
      <x:c r="P1985" s="20"/>
      <x:c r="Q1985" s="25" t="str">
        <x:v>Property-loan range, not a corporate-capital commitment</x:v>
      </x:c>
      <x:c r="R1985" s="25" t="str">
        <x:v>Private real-estate finance experience. Corporate working capital, minority equity or profit participation requires a separate agreement from a property loan.</x:v>
      </x:c>
      <x:c r="S1985" s="25"/>
      <x:c r="T1985" s="25" t="str">
        <x:v>Confirm direct principal versus broker, $100K-$500K appetite, and whether capital can fund the operating company without a property mortgage.</x:v>
      </x:c>
      <x:c r="U1985" s="25" t="str">
        <x:v>https://www.hardmoneyhome.com/lenders/view/premier-lending-group</x:v>
      </x:c>
      <x:c r="V1985" s="26" t="d">
        <x:v>2026-10-02T00:00:00.000Z</x:v>
      </x:c>
      <x:c r="W1985" s="26" t="d">
        <x:v>2026-09-30T00:00:00.000Z</x:v>
      </x:c>
      <x:c r="X1985" s="25" t="str">
        <x:v>Saved public company, industry-directory or regulatory source; source date retained</x:v>
      </x:c>
      <x:c r="Y1985" s="25"/>
      <x:c r="Z1985" s="25" t="str">
        <x:v>https://www.hardmoneyhome.com/lenders/view/premier-lending-group</x:v>
      </x:c>
      <x:c r="AA1985" s="25" t="str">
        <x:v>[]</x:v>
      </x:c>
      <x:c r="AB1985" s="3" t="str">
        <x:v>Existing CapitalForge research, newly screened for this campaign</x:v>
      </x:c>
      <x:c r="AC1985" s="3" t="str">
        <x:v>unverified</x:v>
      </x:c>
      <x:c r="AD1985" s="3" t="str">
        <x:v>Not contacted / unconfirmed</x:v>
      </x:c>
      <x:c r="AE1985" s="3" t="str">
        <x:v>No</x:v>
      </x:c>
      <x:c r="AF1985" s="3" t="str">
        <x:v>No</x:v>
      </x:c>
      <x:c r="AG1985" s="3"/>
      <x:c r="AH1985" s="3"/>
      <x:c r="AI1985" s="18"/>
      <x:c r="AJ1985" s="3" t="str">
        <x:v>CF2500-49B41623E91D</x:v>
      </x:c>
      <x:c r="AK1985" s="3" t="str">
        <x:v>private_real_estate_lender</x:v>
      </x:c>
      <x:c r="AL1985" s="19" t="n">
        <x:v>100000</x:v>
      </x:c>
      <x:c r="AM1985" s="19" t="n">
        <x:v>500000</x:v>
      </x:c>
      <x:c r="AN1985" s="3" t="str">
        <x:v>https://www.hardmoneyhome.com/lenders/view/premier-lending-group</x:v>
      </x:c>
      <x:c r="AO1985" s="3" t="str">
        <x:v>public_directory.jsonl</x:v>
      </x:c>
      <x:c r="AP1985" s="19"/>
    </x:row>
    <x:row r="1986" ht="36" customHeight="1">
      <x:c r="A1986" s="23" t="n">
        <x:v>1985</x:v>
      </x:c>
      <x:c r="B1986" s="15" t="str">
        <x:v>Prime Mortgage</x:v>
      </x:c>
      <x:c r="C1986" s="15"/>
      <x:c r="D1986" s="15" t="str">
        <x:v>Property lender or directory member; operating-company capital unconfirmed</x:v>
      </x:c>
      <x:c r="E1986" s="15" t="str">
        <x:v>Property lender / private-money inquiry</x:v>
      </x:c>
      <x:c r="F1986" s="17" t="str">
        <x:v>New</x:v>
      </x:c>
      <x:c r="G1986" s="24"/>
      <x:c r="H1986" s="24" t="str">
        <x:v>+19155877463</x:v>
      </x:c>
      <x:c r="I1986" s="24" t="str">
        <x:v>http://www.primetxllc.com/</x:v>
      </x:c>
      <x:c r="J1986" s="16" t="str">
        <x:v>TX</x:v>
      </x:c>
      <x:c r="K1986" s="16" t="str">
        <x:v>El Paso</x:v>
      </x:c>
      <x:c r="L1986" s="16" t="str">
        <x:v>firm_business_routing</x:v>
      </x:c>
      <x:c r="M1986" s="16" t="str">
        <x:v>http://www.primetxllc.com/</x:v>
      </x:c>
      <x:c r="N1986" s="16" t="str">
        <x:v>$100K-$500K ticket not published / unconfirmed</x:v>
      </x:c>
      <x:c r="O1986" s="20"/>
      <x:c r="P1986" s="20"/>
      <x:c r="Q1986" s="25" t="str">
        <x:v>Property-loan range, not a corporate-capital commitment</x:v>
      </x:c>
      <x:c r="R1986" s="25" t="str">
        <x:v>Private real-estate finance experience. Corporate working capital, minority equity or profit participation requires a separate agreement from a property loan.</x:v>
      </x:c>
      <x:c r="S1986" s="25"/>
      <x:c r="T1986" s="25" t="str">
        <x:v>Confirm direct principal versus broker, $100K-$500K appetite, and whether capital can fund the operating company without a property mortgage.</x:v>
      </x:c>
      <x:c r="U1986" s="25" t="str">
        <x:v>https://www.hardmoneyhome.com/lenders/view/prime-mortgage</x:v>
      </x:c>
      <x:c r="V1986" s="26" t="d">
        <x:v>2026-10-02T00:00:00.000Z</x:v>
      </x:c>
      <x:c r="W1986" s="26" t="d">
        <x:v>2026-09-30T00:00:00.000Z</x:v>
      </x:c>
      <x:c r="X1986" s="25" t="str">
        <x:v>Saved public company, industry-directory or regulatory source; source date retained</x:v>
      </x:c>
      <x:c r="Y1986" s="25"/>
      <x:c r="Z1986" s="25" t="str">
        <x:v>https://www.hardmoneyhome.com/lenders/view/prime-mortgage</x:v>
      </x:c>
      <x:c r="AA1986" s="25" t="str">
        <x:v>[]</x:v>
      </x:c>
      <x:c r="AB1986" s="3" t="str">
        <x:v>Existing CapitalForge research, newly screened for this campaign</x:v>
      </x:c>
      <x:c r="AC1986" s="3" t="str">
        <x:v>unverified</x:v>
      </x:c>
      <x:c r="AD1986" s="3" t="str">
        <x:v>Not contacted / unconfirmed</x:v>
      </x:c>
      <x:c r="AE1986" s="3" t="str">
        <x:v>No</x:v>
      </x:c>
      <x:c r="AF1986" s="3" t="str">
        <x:v>No</x:v>
      </x:c>
      <x:c r="AG1986" s="3"/>
      <x:c r="AH1986" s="3"/>
      <x:c r="AI1986" s="18"/>
      <x:c r="AJ1986" s="3" t="str">
        <x:v>CF2500-0E22527D7FD7</x:v>
      </x:c>
      <x:c r="AK1986" s="3" t="str">
        <x:v>private_real_estate_lender</x:v>
      </x:c>
      <x:c r="AL1986" s="19" t="n">
        <x:v>100000</x:v>
      </x:c>
      <x:c r="AM1986" s="19" t="n">
        <x:v>500000</x:v>
      </x:c>
      <x:c r="AN1986" s="3" t="str">
        <x:v>https://www.hardmoneyhome.com/lenders/view/prime-mortgage</x:v>
      </x:c>
      <x:c r="AO1986" s="3" t="str">
        <x:v>public_directory.jsonl</x:v>
      </x:c>
      <x:c r="AP1986" s="19"/>
    </x:row>
    <x:row r="1987" ht="36" customHeight="1">
      <x:c r="A1987" s="23" t="n">
        <x:v>1986</x:v>
      </x:c>
      <x:c r="B1987" s="15" t="str">
        <x:v>Quick Source Capital</x:v>
      </x:c>
      <x:c r="C1987" s="15"/>
      <x:c r="D1987" s="15" t="str">
        <x:v>Property lender or directory member; operating-company capital unconfirmed</x:v>
      </x:c>
      <x:c r="E1987" s="15" t="str">
        <x:v>Property lender / private-money inquiry</x:v>
      </x:c>
      <x:c r="F1987" s="17" t="str">
        <x:v>New</x:v>
      </x:c>
      <x:c r="G1987" s="24"/>
      <x:c r="H1987" s="24" t="str">
        <x:v>+16025380289</x:v>
      </x:c>
      <x:c r="I1987" s="24" t="str">
        <x:v>http://www.quicksourcecapital.com/</x:v>
      </x:c>
      <x:c r="J1987" s="16" t="str">
        <x:v>AZ</x:v>
      </x:c>
      <x:c r="K1987" s="16" t="str">
        <x:v>Phoenix</x:v>
      </x:c>
      <x:c r="L1987" s="16" t="str">
        <x:v>firm_business_routing</x:v>
      </x:c>
      <x:c r="M1987" s="16" t="str">
        <x:v>http://www.quicksourcecapital.com/</x:v>
      </x:c>
      <x:c r="N1987" s="16" t="str">
        <x:v>$100K-$500K ticket not published / unconfirmed</x:v>
      </x:c>
      <x:c r="O1987" s="20"/>
      <x:c r="P1987" s="20"/>
      <x:c r="Q1987" s="25" t="str">
        <x:v>Property-loan range, not a corporate-capital commitment</x:v>
      </x:c>
      <x:c r="R1987" s="25" t="str">
        <x:v>Private real-estate finance experience. Corporate working capital, minority equity or profit participation requires a separate agreement from a property loan.</x:v>
      </x:c>
      <x:c r="S1987" s="25"/>
      <x:c r="T1987" s="25" t="str">
        <x:v>Confirm direct principal versus broker, $100K-$500K appetite, and whether capital can fund the operating company without a property mortgage.</x:v>
      </x:c>
      <x:c r="U1987" s="25" t="str">
        <x:v>https://www.hardmoneyhome.com/lenders/view/quick-source-capital</x:v>
      </x:c>
      <x:c r="V1987" s="26" t="d">
        <x:v>2026-10-02T00:00:00.000Z</x:v>
      </x:c>
      <x:c r="W1987" s="26" t="d">
        <x:v>2026-09-30T00:00:00.000Z</x:v>
      </x:c>
      <x:c r="X1987" s="25" t="str">
        <x:v>Saved public company, industry-directory or regulatory source; source date retained</x:v>
      </x:c>
      <x:c r="Y1987" s="25"/>
      <x:c r="Z1987" s="25" t="str">
        <x:v>https://www.hardmoneyhome.com/lenders/view/quick-source-capital</x:v>
      </x:c>
      <x:c r="AA1987" s="25" t="str">
        <x:v>[]</x:v>
      </x:c>
      <x:c r="AB1987" s="3" t="str">
        <x:v>Existing CapitalForge research, newly screened for this campaign</x:v>
      </x:c>
      <x:c r="AC1987" s="3" t="str">
        <x:v>unverified</x:v>
      </x:c>
      <x:c r="AD1987" s="3" t="str">
        <x:v>Not contacted / unconfirmed</x:v>
      </x:c>
      <x:c r="AE1987" s="3" t="str">
        <x:v>No</x:v>
      </x:c>
      <x:c r="AF1987" s="3" t="str">
        <x:v>No</x:v>
      </x:c>
      <x:c r="AG1987" s="3"/>
      <x:c r="AH1987" s="3"/>
      <x:c r="AI1987" s="18"/>
      <x:c r="AJ1987" s="3" t="str">
        <x:v>CF2500-4936EB64491C</x:v>
      </x:c>
      <x:c r="AK1987" s="3" t="str">
        <x:v>private_real_estate_lender</x:v>
      </x:c>
      <x:c r="AL1987" s="19" t="n">
        <x:v>100000</x:v>
      </x:c>
      <x:c r="AM1987" s="19" t="n">
        <x:v>500000</x:v>
      </x:c>
      <x:c r="AN1987" s="3" t="str">
        <x:v>https://www.hardmoneyhome.com/lenders/view/quick-source-capital</x:v>
      </x:c>
      <x:c r="AO1987" s="3" t="str">
        <x:v>public_directory.jsonl</x:v>
      </x:c>
      <x:c r="AP1987" s="19"/>
    </x:row>
    <x:row r="1988" ht="36" customHeight="1">
      <x:c r="A1988" s="23" t="n">
        <x:v>1987</x:v>
      </x:c>
      <x:c r="B1988" s="15" t="str">
        <x:v>Ready Mortgage</x:v>
      </x:c>
      <x:c r="C1988" s="15"/>
      <x:c r="D1988" s="15" t="str">
        <x:v>Property lender or directory member; operating-company capital unconfirmed</x:v>
      </x:c>
      <x:c r="E1988" s="15" t="str">
        <x:v>Property lender / private-money inquiry</x:v>
      </x:c>
      <x:c r="F1988" s="17" t="str">
        <x:v>New</x:v>
      </x:c>
      <x:c r="G1988" s="24"/>
      <x:c r="H1988" s="24" t="str">
        <x:v>+14698020156</x:v>
      </x:c>
      <x:c r="I1988" s="24" t="str">
        <x:v>http://www.readymort.com/</x:v>
      </x:c>
      <x:c r="J1988" s="16" t="str">
        <x:v>TX</x:v>
      </x:c>
      <x:c r="K1988" s="16" t="str">
        <x:v>Richardson</x:v>
      </x:c>
      <x:c r="L1988" s="16" t="str">
        <x:v>firm_business_routing</x:v>
      </x:c>
      <x:c r="M1988" s="16" t="str">
        <x:v>http://www.readymort.com/</x:v>
      </x:c>
      <x:c r="N1988" s="16" t="str">
        <x:v>$100K-$500K ticket not published / unconfirmed</x:v>
      </x:c>
      <x:c r="O1988" s="20"/>
      <x:c r="P1988" s="20"/>
      <x:c r="Q1988" s="25" t="str">
        <x:v>Property-loan range, not a corporate-capital commitment</x:v>
      </x:c>
      <x:c r="R1988" s="25" t="str">
        <x:v>Private real-estate finance experience. Corporate working capital, minority equity or profit participation requires a separate agreement from a property loan.</x:v>
      </x:c>
      <x:c r="S1988" s="25"/>
      <x:c r="T1988" s="25" t="str">
        <x:v>Confirm direct principal versus broker, $100K-$500K appetite, and whether capital can fund the operating company without a property mortgage.</x:v>
      </x:c>
      <x:c r="U1988" s="25" t="str">
        <x:v>https://www.hardmoneyhome.com/lenders/view/ready-mortgage</x:v>
      </x:c>
      <x:c r="V1988" s="26" t="d">
        <x:v>2026-10-02T00:00:00.000Z</x:v>
      </x:c>
      <x:c r="W1988" s="26" t="d">
        <x:v>2026-09-30T00:00:00.000Z</x:v>
      </x:c>
      <x:c r="X1988" s="25" t="str">
        <x:v>Saved public company, industry-directory or regulatory source; source date retained</x:v>
      </x:c>
      <x:c r="Y1988" s="25"/>
      <x:c r="Z1988" s="25" t="str">
        <x:v>https://www.hardmoneyhome.com/lenders/view/ready-mortgage</x:v>
      </x:c>
      <x:c r="AA1988" s="25" t="str">
        <x:v>[]</x:v>
      </x:c>
      <x:c r="AB1988" s="3" t="str">
        <x:v>Existing CapitalForge research, newly screened for this campaign</x:v>
      </x:c>
      <x:c r="AC1988" s="3" t="str">
        <x:v>unverified</x:v>
      </x:c>
      <x:c r="AD1988" s="3" t="str">
        <x:v>Not contacted / unconfirmed</x:v>
      </x:c>
      <x:c r="AE1988" s="3" t="str">
        <x:v>No</x:v>
      </x:c>
      <x:c r="AF1988" s="3" t="str">
        <x:v>No</x:v>
      </x:c>
      <x:c r="AG1988" s="3"/>
      <x:c r="AH1988" s="3"/>
      <x:c r="AI1988" s="18"/>
      <x:c r="AJ1988" s="3" t="str">
        <x:v>CF2500-89F2ED766E05</x:v>
      </x:c>
      <x:c r="AK1988" s="3" t="str">
        <x:v>private_real_estate_lender</x:v>
      </x:c>
      <x:c r="AL1988" s="19" t="n">
        <x:v>100000</x:v>
      </x:c>
      <x:c r="AM1988" s="19" t="n">
        <x:v>500000</x:v>
      </x:c>
      <x:c r="AN1988" s="3" t="str">
        <x:v>https://www.hardmoneyhome.com/lenders/view/ready-mortgage</x:v>
      </x:c>
      <x:c r="AO1988" s="3" t="str">
        <x:v>public_directory.jsonl</x:v>
      </x:c>
      <x:c r="AP1988" s="19"/>
    </x:row>
    <x:row r="1989" ht="36" customHeight="1">
      <x:c r="A1989" s="23" t="n">
        <x:v>1988</x:v>
      </x:c>
      <x:c r="B1989" s="15" t="str">
        <x:v>Realistic Funding</x:v>
      </x:c>
      <x:c r="C1989" s="15"/>
      <x:c r="D1989" s="15" t="str">
        <x:v>Property lender or directory member; operating-company capital unconfirmed</x:v>
      </x:c>
      <x:c r="E1989" s="15" t="str">
        <x:v>Property lender / private-money inquiry</x:v>
      </x:c>
      <x:c r="F1989" s="17" t="str">
        <x:v>New</x:v>
      </x:c>
      <x:c r="G1989" s="24"/>
      <x:c r="H1989" s="24" t="str">
        <x:v>+15129403605</x:v>
      </x:c>
      <x:c r="I1989" s="24" t="str">
        <x:v>https://www.realisticfunding.com/</x:v>
      </x:c>
      <x:c r="J1989" s="16" t="str">
        <x:v>TX</x:v>
      </x:c>
      <x:c r="K1989" s="16" t="str">
        <x:v>Round Rock</x:v>
      </x:c>
      <x:c r="L1989" s="16" t="str">
        <x:v>firm_business_routing</x:v>
      </x:c>
      <x:c r="M1989" s="16" t="str">
        <x:v>https://www.realisticfunding.com/</x:v>
      </x:c>
      <x:c r="N1989" s="16" t="str">
        <x:v>$100K-$500K ticket not published / unconfirmed</x:v>
      </x:c>
      <x:c r="O1989" s="20"/>
      <x:c r="P1989" s="20"/>
      <x:c r="Q1989" s="25" t="str">
        <x:v>Property-loan range, not a corporate-capital commitment</x:v>
      </x:c>
      <x:c r="R1989" s="25" t="str">
        <x:v>Private real-estate finance experience. Corporate working capital, minority equity or profit participation requires a separate agreement from a property loan.</x:v>
      </x:c>
      <x:c r="S1989" s="25"/>
      <x:c r="T1989" s="25" t="str">
        <x:v>Confirm direct principal versus broker, $100K-$500K appetite, and whether capital can fund the operating company without a property mortgage.</x:v>
      </x:c>
      <x:c r="U1989" s="25" t="str">
        <x:v>https://www.hardmoneyhome.com/lenders/view/realistic-funding</x:v>
      </x:c>
      <x:c r="V1989" s="26" t="d">
        <x:v>2026-10-02T00:00:00.000Z</x:v>
      </x:c>
      <x:c r="W1989" s="26" t="d">
        <x:v>2026-09-30T00:00:00.000Z</x:v>
      </x:c>
      <x:c r="X1989" s="25" t="str">
        <x:v>Saved public company, industry-directory or regulatory source; source date retained</x:v>
      </x:c>
      <x:c r="Y1989" s="25"/>
      <x:c r="Z1989" s="25" t="str">
        <x:v>https://www.hardmoneyhome.com/lenders/view/realistic-funding</x:v>
      </x:c>
      <x:c r="AA1989" s="25" t="str">
        <x:v>[]</x:v>
      </x:c>
      <x:c r="AB1989" s="3" t="str">
        <x:v>Existing CapitalForge research, newly screened for this campaign</x:v>
      </x:c>
      <x:c r="AC1989" s="3" t="str">
        <x:v>unverified</x:v>
      </x:c>
      <x:c r="AD1989" s="3" t="str">
        <x:v>Not contacted / unconfirmed</x:v>
      </x:c>
      <x:c r="AE1989" s="3" t="str">
        <x:v>No</x:v>
      </x:c>
      <x:c r="AF1989" s="3" t="str">
        <x:v>No</x:v>
      </x:c>
      <x:c r="AG1989" s="3"/>
      <x:c r="AH1989" s="3"/>
      <x:c r="AI1989" s="18"/>
      <x:c r="AJ1989" s="3" t="str">
        <x:v>CF2500-4D25F740ACE3</x:v>
      </x:c>
      <x:c r="AK1989" s="3" t="str">
        <x:v>private_real_estate_lender</x:v>
      </x:c>
      <x:c r="AL1989" s="19" t="n">
        <x:v>100000</x:v>
      </x:c>
      <x:c r="AM1989" s="19" t="n">
        <x:v>500000</x:v>
      </x:c>
      <x:c r="AN1989" s="3" t="str">
        <x:v>https://www.hardmoneyhome.com/lenders/view/realistic-funding</x:v>
      </x:c>
      <x:c r="AO1989" s="3" t="str">
        <x:v>public_directory.jsonl</x:v>
      </x:c>
      <x:c r="AP1989" s="19"/>
    </x:row>
    <x:row r="1990" ht="36" customHeight="1">
      <x:c r="A1990" s="23" t="n">
        <x:v>1989</x:v>
      </x:c>
      <x:c r="B1990" s="15" t="str">
        <x:v>Red Door Funding</x:v>
      </x:c>
      <x:c r="C1990" s="15"/>
      <x:c r="D1990" s="15" t="str">
        <x:v>Property lender or directory member; operating-company capital unconfirmed</x:v>
      </x:c>
      <x:c r="E1990" s="15" t="str">
        <x:v>Property lender / private-money inquiry</x:v>
      </x:c>
      <x:c r="F1990" s="17" t="str">
        <x:v>New</x:v>
      </x:c>
      <x:c r="G1990" s="24"/>
      <x:c r="H1990" s="24" t="str">
        <x:v>+18325391099</x:v>
      </x:c>
      <x:c r="I1990" s="24" t="str">
        <x:v>https://reddoorfunding.com/</x:v>
      </x:c>
      <x:c r="J1990" s="16" t="str">
        <x:v>TX</x:v>
      </x:c>
      <x:c r="K1990" s="16" t="str">
        <x:v>Stafford</x:v>
      </x:c>
      <x:c r="L1990" s="16" t="str">
        <x:v>firm_business_routing</x:v>
      </x:c>
      <x:c r="M1990" s="16" t="str">
        <x:v>https://reddoorfunding.com/</x:v>
      </x:c>
      <x:c r="N1990" s="16" t="str">
        <x:v>$100K-$500K ticket not published / unconfirmed</x:v>
      </x:c>
      <x:c r="O1990" s="20"/>
      <x:c r="P1990" s="20"/>
      <x:c r="Q1990" s="25" t="str">
        <x:v>Property-loan range, not a corporate-capital commitment</x:v>
      </x:c>
      <x:c r="R1990" s="25" t="str">
        <x:v>Private real-estate finance experience. Corporate working capital, minority equity or profit participation requires a separate agreement from a property loan.</x:v>
      </x:c>
      <x:c r="S1990" s="25"/>
      <x:c r="T1990" s="25" t="str">
        <x:v>Confirm direct principal versus broker, $100K-$500K appetite, and whether capital can fund the operating company without a property mortgage.</x:v>
      </x:c>
      <x:c r="U1990" s="25" t="str">
        <x:v>https://www.hardmoneyhome.com/lenders/view/red-door-funding</x:v>
      </x:c>
      <x:c r="V1990" s="26" t="d">
        <x:v>2026-10-02T00:00:00.000Z</x:v>
      </x:c>
      <x:c r="W1990" s="26" t="d">
        <x:v>2026-09-30T00:00:00.000Z</x:v>
      </x:c>
      <x:c r="X1990" s="25" t="str">
        <x:v>Saved public company, industry-directory or regulatory source; source date retained</x:v>
      </x:c>
      <x:c r="Y1990" s="25"/>
      <x:c r="Z1990" s="25" t="str">
        <x:v>https://www.hardmoneyhome.com/lenders/view/red-door-funding</x:v>
      </x:c>
      <x:c r="AA1990" s="25" t="str">
        <x:v>[]</x:v>
      </x:c>
      <x:c r="AB1990" s="3" t="str">
        <x:v>Existing CapitalForge research, newly screened for this campaign</x:v>
      </x:c>
      <x:c r="AC1990" s="3" t="str">
        <x:v>unverified</x:v>
      </x:c>
      <x:c r="AD1990" s="3" t="str">
        <x:v>Not contacted / unconfirmed</x:v>
      </x:c>
      <x:c r="AE1990" s="3" t="str">
        <x:v>No</x:v>
      </x:c>
      <x:c r="AF1990" s="3" t="str">
        <x:v>No</x:v>
      </x:c>
      <x:c r="AG1990" s="3"/>
      <x:c r="AH1990" s="3"/>
      <x:c r="AI1990" s="18"/>
      <x:c r="AJ1990" s="3" t="str">
        <x:v>CF2500-14C1F3E18608</x:v>
      </x:c>
      <x:c r="AK1990" s="3" t="str">
        <x:v>private_real_estate_lender</x:v>
      </x:c>
      <x:c r="AL1990" s="19" t="n">
        <x:v>100000</x:v>
      </x:c>
      <x:c r="AM1990" s="19" t="n">
        <x:v>500000</x:v>
      </x:c>
      <x:c r="AN1990" s="3" t="str">
        <x:v>https://www.hardmoneyhome.com/lenders/view/red-door-funding</x:v>
      </x:c>
      <x:c r="AO1990" s="3" t="str">
        <x:v>public_directory.jsonl</x:v>
      </x:c>
      <x:c r="AP1990" s="19"/>
    </x:row>
    <x:row r="1991" ht="36" customHeight="1">
      <x:c r="A1991" s="23" t="n">
        <x:v>1990</x:v>
      </x:c>
      <x:c r="B1991" s="15" t="str">
        <x:v>Regent Capital Investment</x:v>
      </x:c>
      <x:c r="C1991" s="15"/>
      <x:c r="D1991" s="15" t="str">
        <x:v>Property lender or directory member; operating-company capital unconfirmed</x:v>
      </x:c>
      <x:c r="E1991" s="15" t="str">
        <x:v>Property lender / private-money inquiry</x:v>
      </x:c>
      <x:c r="F1991" s="17" t="str">
        <x:v>New</x:v>
      </x:c>
      <x:c r="G1991" s="24"/>
      <x:c r="H1991" s="24" t="str">
        <x:v>+19545892075</x:v>
      </x:c>
      <x:c r="I1991" s="24" t="str">
        <x:v>http://regentcapitalinvestment.com</x:v>
      </x:c>
      <x:c r="J1991" s="16" t="str">
        <x:v>FL</x:v>
      </x:c>
      <x:c r="K1991" s="16" t="str">
        <x:v>Hollywood</x:v>
      </x:c>
      <x:c r="L1991" s="16" t="str">
        <x:v>firm_business_routing</x:v>
      </x:c>
      <x:c r="M1991" s="16" t="str">
        <x:v>http://regentcapitalinvestment.com</x:v>
      </x:c>
      <x:c r="N1991" s="16" t="str">
        <x:v>$100K-$500K ticket not published / unconfirmed</x:v>
      </x:c>
      <x:c r="O1991" s="20"/>
      <x:c r="P1991" s="20"/>
      <x:c r="Q1991" s="25" t="str">
        <x:v>Property-loan range, not a corporate-capital commitment</x:v>
      </x:c>
      <x:c r="R1991" s="25" t="str">
        <x:v>Private real-estate finance experience. Corporate working capital, minority equity or profit participation requires a separate agreement from a property loan.</x:v>
      </x:c>
      <x:c r="S1991" s="25"/>
      <x:c r="T1991" s="25" t="str">
        <x:v>Confirm direct principal versus broker, $100K-$500K appetite, and whether capital can fund the operating company without a property mortgage.</x:v>
      </x:c>
      <x:c r="U1991" s="25" t="str">
        <x:v>https://www.hardmoneyhome.com/lenders/view/regent-capital-investment</x:v>
      </x:c>
      <x:c r="V1991" s="26" t="d">
        <x:v>2026-10-02T00:00:00.000Z</x:v>
      </x:c>
      <x:c r="W1991" s="26" t="d">
        <x:v>2026-09-30T00:00:00.000Z</x:v>
      </x:c>
      <x:c r="X1991" s="25" t="str">
        <x:v>Saved public company, industry-directory or regulatory source; source date retained</x:v>
      </x:c>
      <x:c r="Y1991" s="25"/>
      <x:c r="Z1991" s="25" t="str">
        <x:v>https://www.hardmoneyhome.com/lenders/view/regent-capital-investment</x:v>
      </x:c>
      <x:c r="AA1991" s="25" t="str">
        <x:v>[]</x:v>
      </x:c>
      <x:c r="AB1991" s="3" t="str">
        <x:v>Existing CapitalForge research, newly screened for this campaign</x:v>
      </x:c>
      <x:c r="AC1991" s="3" t="str">
        <x:v>unverified</x:v>
      </x:c>
      <x:c r="AD1991" s="3" t="str">
        <x:v>Not contacted / unconfirmed</x:v>
      </x:c>
      <x:c r="AE1991" s="3" t="str">
        <x:v>No</x:v>
      </x:c>
      <x:c r="AF1991" s="3" t="str">
        <x:v>No</x:v>
      </x:c>
      <x:c r="AG1991" s="3"/>
      <x:c r="AH1991" s="3"/>
      <x:c r="AI1991" s="18"/>
      <x:c r="AJ1991" s="3" t="str">
        <x:v>CF2500-8D7BB762E111</x:v>
      </x:c>
      <x:c r="AK1991" s="3" t="str">
        <x:v>private_real_estate_lender</x:v>
      </x:c>
      <x:c r="AL1991" s="19" t="n">
        <x:v>100000</x:v>
      </x:c>
      <x:c r="AM1991" s="19" t="n">
        <x:v>500000</x:v>
      </x:c>
      <x:c r="AN1991" s="3" t="str">
        <x:v>https://www.hardmoneyhome.com/lenders/view/regent-capital-investment</x:v>
      </x:c>
      <x:c r="AO1991" s="3" t="str">
        <x:v>public_directory.jsonl</x:v>
      </x:c>
      <x:c r="AP1991" s="19"/>
    </x:row>
    <x:row r="1992" ht="36" customHeight="1">
      <x:c r="A1992" s="23" t="n">
        <x:v>1991</x:v>
      </x:c>
      <x:c r="B1992" s="15" t="str">
        <x:v>Rehabbers Capital</x:v>
      </x:c>
      <x:c r="C1992" s="15"/>
      <x:c r="D1992" s="15" t="str">
        <x:v>Property lender or directory member; operating-company capital unconfirmed</x:v>
      </x:c>
      <x:c r="E1992" s="15" t="str">
        <x:v>Property lender / private-money inquiry</x:v>
      </x:c>
      <x:c r="F1992" s="17" t="str">
        <x:v>New</x:v>
      </x:c>
      <x:c r="G1992" s="24"/>
      <x:c r="H1992" s="24" t="str">
        <x:v>+19728400600</x:v>
      </x:c>
      <x:c r="I1992" s="24" t="str">
        <x:v>http://www.fundingpartners.com</x:v>
      </x:c>
      <x:c r="J1992" s="16" t="str">
        <x:v>TX</x:v>
      </x:c>
      <x:c r="K1992" s="16" t="str">
        <x:v>Garland</x:v>
      </x:c>
      <x:c r="L1992" s="16" t="str">
        <x:v>firm_business_routing</x:v>
      </x:c>
      <x:c r="M1992" s="16" t="str">
        <x:v>http://www.fundingpartners.com</x:v>
      </x:c>
      <x:c r="N1992" s="16" t="str">
        <x:v>$100K-$500K ticket not published / unconfirmed</x:v>
      </x:c>
      <x:c r="O1992" s="20"/>
      <x:c r="P1992" s="20"/>
      <x:c r="Q1992" s="25" t="str">
        <x:v>Property-loan range, not a corporate-capital commitment</x:v>
      </x:c>
      <x:c r="R1992" s="25" t="str">
        <x:v>Private real-estate finance experience. Corporate working capital, minority equity or profit participation requires a separate agreement from a property loan.</x:v>
      </x:c>
      <x:c r="S1992" s="25"/>
      <x:c r="T1992" s="25" t="str">
        <x:v>Confirm direct principal versus broker, $100K-$500K appetite, and whether capital can fund the operating company without a property mortgage.</x:v>
      </x:c>
      <x:c r="U1992" s="25" t="str">
        <x:v>https://www.hardmoneyhome.com/lenders/view/rehabbers-capital</x:v>
      </x:c>
      <x:c r="V1992" s="26" t="d">
        <x:v>2026-10-02T00:00:00.000Z</x:v>
      </x:c>
      <x:c r="W1992" s="26" t="d">
        <x:v>2026-09-30T00:00:00.000Z</x:v>
      </x:c>
      <x:c r="X1992" s="25" t="str">
        <x:v>Saved public company, industry-directory or regulatory source; source date retained</x:v>
      </x:c>
      <x:c r="Y1992" s="25"/>
      <x:c r="Z1992" s="25" t="str">
        <x:v>https://www.hardmoneyhome.com/lenders/view/rehabbers-capital</x:v>
      </x:c>
      <x:c r="AA1992" s="25" t="str">
        <x:v>[]</x:v>
      </x:c>
      <x:c r="AB1992" s="3" t="str">
        <x:v>Existing CapitalForge research, newly screened for this campaign</x:v>
      </x:c>
      <x:c r="AC1992" s="3" t="str">
        <x:v>unverified</x:v>
      </x:c>
      <x:c r="AD1992" s="3" t="str">
        <x:v>Not contacted / unconfirmed</x:v>
      </x:c>
      <x:c r="AE1992" s="3" t="str">
        <x:v>No</x:v>
      </x:c>
      <x:c r="AF1992" s="3" t="str">
        <x:v>No</x:v>
      </x:c>
      <x:c r="AG1992" s="3"/>
      <x:c r="AH1992" s="3"/>
      <x:c r="AI1992" s="18"/>
      <x:c r="AJ1992" s="3" t="str">
        <x:v>CF2500-DC565F00A835</x:v>
      </x:c>
      <x:c r="AK1992" s="3" t="str">
        <x:v>private_real_estate_lender</x:v>
      </x:c>
      <x:c r="AL1992" s="19" t="n">
        <x:v>100000</x:v>
      </x:c>
      <x:c r="AM1992" s="19" t="n">
        <x:v>500000</x:v>
      </x:c>
      <x:c r="AN1992" s="3" t="str">
        <x:v>https://www.hardmoneyhome.com/lenders/view/rehabbers-capital</x:v>
      </x:c>
      <x:c r="AO1992" s="3" t="str">
        <x:v>public_directory.jsonl</x:v>
      </x:c>
      <x:c r="AP1992" s="19"/>
    </x:row>
    <x:row r="1993" ht="36" customHeight="1">
      <x:c r="A1993" s="23" t="n">
        <x:v>1992</x:v>
      </x:c>
      <x:c r="B1993" s="15" t="str">
        <x:v>RLS Mortgage</x:v>
      </x:c>
      <x:c r="C1993" s="15"/>
      <x:c r="D1993" s="15" t="str">
        <x:v>Property lender or directory member; operating-company capital unconfirmed</x:v>
      </x:c>
      <x:c r="E1993" s="15" t="str">
        <x:v>Property lender / private-money inquiry</x:v>
      </x:c>
      <x:c r="F1993" s="17" t="str">
        <x:v>New</x:v>
      </x:c>
      <x:c r="G1993" s="24"/>
      <x:c r="H1993" s="24" t="str">
        <x:v>+14809452799</x:v>
      </x:c>
      <x:c r="I1993" s="24" t="str">
        <x:v>http://www.rlsmortgage.com/</x:v>
      </x:c>
      <x:c r="J1993" s="16" t="str">
        <x:v>AZ</x:v>
      </x:c>
      <x:c r="K1993" s="16" t="str">
        <x:v>Phoenix</x:v>
      </x:c>
      <x:c r="L1993" s="16" t="str">
        <x:v>firm_business_routing</x:v>
      </x:c>
      <x:c r="M1993" s="16" t="str">
        <x:v>http://www.rlsmortgage.com/</x:v>
      </x:c>
      <x:c r="N1993" s="16" t="str">
        <x:v>$100K-$500K ticket not published / unconfirmed</x:v>
      </x:c>
      <x:c r="O1993" s="20"/>
      <x:c r="P1993" s="20"/>
      <x:c r="Q1993" s="25" t="str">
        <x:v>Property-loan range, not a corporate-capital commitment</x:v>
      </x:c>
      <x:c r="R1993" s="25" t="str">
        <x:v>Private real-estate finance experience. Corporate working capital, minority equity or profit participation requires a separate agreement from a property loan.</x:v>
      </x:c>
      <x:c r="S1993" s="25"/>
      <x:c r="T1993" s="25" t="str">
        <x:v>Confirm direct principal versus broker, $100K-$500K appetite, and whether capital can fund the operating company without a property mortgage.</x:v>
      </x:c>
      <x:c r="U1993" s="25" t="str">
        <x:v>https://www.hardmoneyhome.com/lenders/view/rls-mortgage</x:v>
      </x:c>
      <x:c r="V1993" s="26" t="d">
        <x:v>2026-10-02T00:00:00.000Z</x:v>
      </x:c>
      <x:c r="W1993" s="26" t="d">
        <x:v>2026-09-30T00:00:00.000Z</x:v>
      </x:c>
      <x:c r="X1993" s="25" t="str">
        <x:v>Saved public company, industry-directory or regulatory source; source date retained</x:v>
      </x:c>
      <x:c r="Y1993" s="25"/>
      <x:c r="Z1993" s="25" t="str">
        <x:v>https://www.hardmoneyhome.com/lenders/view/rls-mortgage</x:v>
      </x:c>
      <x:c r="AA1993" s="25" t="str">
        <x:v>[]</x:v>
      </x:c>
      <x:c r="AB1993" s="3" t="str">
        <x:v>Existing CapitalForge research, newly screened for this campaign</x:v>
      </x:c>
      <x:c r="AC1993" s="3" t="str">
        <x:v>unverified</x:v>
      </x:c>
      <x:c r="AD1993" s="3" t="str">
        <x:v>Not contacted / unconfirmed</x:v>
      </x:c>
      <x:c r="AE1993" s="3" t="str">
        <x:v>No</x:v>
      </x:c>
      <x:c r="AF1993" s="3" t="str">
        <x:v>No</x:v>
      </x:c>
      <x:c r="AG1993" s="3"/>
      <x:c r="AH1993" s="3"/>
      <x:c r="AI1993" s="18"/>
      <x:c r="AJ1993" s="3" t="str">
        <x:v>CF2500-8E7E820EA197</x:v>
      </x:c>
      <x:c r="AK1993" s="3" t="str">
        <x:v>private_real_estate_lender</x:v>
      </x:c>
      <x:c r="AL1993" s="19" t="n">
        <x:v>100000</x:v>
      </x:c>
      <x:c r="AM1993" s="19" t="n">
        <x:v>500000</x:v>
      </x:c>
      <x:c r="AN1993" s="3" t="str">
        <x:v>https://www.hardmoneyhome.com/lenders/view/rls-mortgage</x:v>
      </x:c>
      <x:c r="AO1993" s="3" t="str">
        <x:v>public_directory.jsonl</x:v>
      </x:c>
      <x:c r="AP1993" s="19"/>
    </x:row>
    <x:row r="1994" ht="36" customHeight="1">
      <x:c r="A1994" s="23" t="n">
        <x:v>1993</x:v>
      </x:c>
      <x:c r="B1994" s="15" t="str">
        <x:v>Shepherd's Finance LLC</x:v>
      </x:c>
      <x:c r="C1994" s="15"/>
      <x:c r="D1994" s="15" t="str">
        <x:v>Property lender or directory member; operating-company capital unconfirmed</x:v>
      </x:c>
      <x:c r="E1994" s="15" t="str">
        <x:v>Property lender / private-money inquiry</x:v>
      </x:c>
      <x:c r="F1994" s="17" t="str">
        <x:v>New</x:v>
      </x:c>
      <x:c r="G1994" s="24"/>
      <x:c r="H1994" s="24" t="str">
        <x:v>+13027522688</x:v>
      </x:c>
      <x:c r="I1994" s="24" t="str">
        <x:v>https://www.shepherdsfinance.com/?utm_source=private-lender-link</x:v>
      </x:c>
      <x:c r="J1994" s="16" t="str">
        <x:v>FL</x:v>
      </x:c>
      <x:c r="K1994" s="16" t="str">
        <x:v>Jacksonville</x:v>
      </x:c>
      <x:c r="L1994" s="16" t="str">
        <x:v>firm_business_routing</x:v>
      </x:c>
      <x:c r="M1994" s="16" t="str">
        <x:v>https://www.shepherdsfinance.com/?utm_source=private-lender-link</x:v>
      </x:c>
      <x:c r="N1994" s="16" t="str">
        <x:v>$100K-$500K ticket not published / unconfirmed</x:v>
      </x:c>
      <x:c r="O1994" s="20"/>
      <x:c r="P1994" s="20"/>
      <x:c r="Q1994" s="25" t="str">
        <x:v>Property-loan range, not a corporate-capital commitment</x:v>
      </x:c>
      <x:c r="R1994" s="25" t="str">
        <x:v>Private real-estate finance experience. Corporate working capital, minority equity or profit participation requires a separate agreement from a property loan.</x:v>
      </x:c>
      <x:c r="S1994" s="25"/>
      <x:c r="T1994" s="25" t="str">
        <x:v>Confirm direct principal versus broker, $100K-$500K appetite, and whether capital can fund the operating company without a property mortgage.</x:v>
      </x:c>
      <x:c r="U1994" s="25" t="str">
        <x:v>https://privatelenderlink.com/profile/shepherds-finance-llc/
https://www.shepherdsfinance.com/shepherds-finance-contact-information/</x:v>
      </x:c>
      <x:c r="V1994" s="26" t="d">
        <x:v>2026-10-02T00:00:00.000Z</x:v>
      </x:c>
      <x:c r="W1994" s="26" t="d">
        <x:v>2026-09-30T00:00:00.000Z</x:v>
      </x:c>
      <x:c r="X1994" s="25" t="str">
        <x:v>Saved public company, industry-directory or regulatory source; source date retained</x:v>
      </x:c>
      <x:c r="Y1994" s="25"/>
      <x:c r="Z1994" s="25" t="str">
        <x:v>https://www.shepherdsfinance.com/shepherds-finance-contact-information/</x:v>
      </x:c>
      <x:c r="AA1994" s="25" t="str">
        <x:v>[]</x:v>
      </x:c>
      <x:c r="AB1994" s="3" t="str">
        <x:v>Existing CapitalForge research, newly screened for this campaign</x:v>
      </x:c>
      <x:c r="AC1994" s="3" t="str">
        <x:v>unverified</x:v>
      </x:c>
      <x:c r="AD1994" s="3" t="str">
        <x:v>Not contacted / unconfirmed</x:v>
      </x:c>
      <x:c r="AE1994" s="3" t="str">
        <x:v>No</x:v>
      </x:c>
      <x:c r="AF1994" s="3" t="str">
        <x:v>No</x:v>
      </x:c>
      <x:c r="AG1994" s="3"/>
      <x:c r="AH1994" s="3"/>
      <x:c r="AI1994" s="18"/>
      <x:c r="AJ1994" s="3" t="str">
        <x:v>CF2500-C4912B67B0EE</x:v>
      </x:c>
      <x:c r="AK1994" s="3" t="str">
        <x:v>private_real_estate_lender</x:v>
      </x:c>
      <x:c r="AL1994" s="19" t="n">
        <x:v>100000</x:v>
      </x:c>
      <x:c r="AM1994" s="19" t="n">
        <x:v>500000</x:v>
      </x:c>
      <x:c r="AN1994" s="3" t="str">
        <x:v>https://privatelenderlink.com/profile/shepherds-finance-llc/</x:v>
      </x:c>
      <x:c r="AO1994" s="3" t="str">
        <x:v>public_directory.jsonl</x:v>
      </x:c>
      <x:c r="AP1994" s="19"/>
    </x:row>
    <x:row r="1995" ht="36" customHeight="1">
      <x:c r="A1995" s="23" t="n">
        <x:v>1994</x:v>
      </x:c>
      <x:c r="B1995" s="15" t="str">
        <x:v>Sir Mortgage &amp; Finance</x:v>
      </x:c>
      <x:c r="C1995" s="15"/>
      <x:c r="D1995" s="15" t="str">
        <x:v>Property lender or directory member; operating-company capital unconfirmed</x:v>
      </x:c>
      <x:c r="E1995" s="15" t="str">
        <x:v>Property lender / private-money inquiry</x:v>
      </x:c>
      <x:c r="F1995" s="17" t="str">
        <x:v>New</x:v>
      </x:c>
      <x:c r="G1995" s="24"/>
      <x:c r="H1995" s="24" t="str">
        <x:v>+16029546677</x:v>
      </x:c>
      <x:c r="I1995" s="24" t="str">
        <x:v>http://www.sirmortgage.com</x:v>
      </x:c>
      <x:c r="J1995" s="16" t="str">
        <x:v>AZ</x:v>
      </x:c>
      <x:c r="K1995" s="16" t="str">
        <x:v>Phoenix</x:v>
      </x:c>
      <x:c r="L1995" s="16" t="str">
        <x:v>firm_business_routing</x:v>
      </x:c>
      <x:c r="M1995" s="16" t="str">
        <x:v>http://www.sirmortgage.com</x:v>
      </x:c>
      <x:c r="N1995" s="16" t="str">
        <x:v>$100K-$500K ticket not published / unconfirmed</x:v>
      </x:c>
      <x:c r="O1995" s="20"/>
      <x:c r="P1995" s="20"/>
      <x:c r="Q1995" s="25" t="str">
        <x:v>Property-loan range, not a corporate-capital commitment</x:v>
      </x:c>
      <x:c r="R1995" s="25" t="str">
        <x:v>Private real-estate finance experience. Corporate working capital, minority equity or profit participation requires a separate agreement from a property loan.</x:v>
      </x:c>
      <x:c r="S1995" s="25"/>
      <x:c r="T1995" s="25" t="str">
        <x:v>Confirm direct principal versus broker, $100K-$500K appetite, and whether capital can fund the operating company without a property mortgage.</x:v>
      </x:c>
      <x:c r="U1995" s="25" t="str">
        <x:v>https://www.hardmoneyhome.com/lenders/view/sir-mortgage-and-finance
https://www.sirmortgage.com/html/contact.html</x:v>
      </x:c>
      <x:c r="V1995" s="26" t="d">
        <x:v>2026-10-02T00:00:00.000Z</x:v>
      </x:c>
      <x:c r="W1995" s="26" t="d">
        <x:v>2026-09-30T00:00:00.000Z</x:v>
      </x:c>
      <x:c r="X1995" s="25" t="str">
        <x:v>Saved public company, industry-directory or regulatory source; source date retained</x:v>
      </x:c>
      <x:c r="Y1995" s="25"/>
      <x:c r="Z1995" s="25" t="str">
        <x:v>https://www.sirmortgage.com/html/contact.html</x:v>
      </x:c>
      <x:c r="AA1995" s="25" t="str">
        <x:v>[]</x:v>
      </x:c>
      <x:c r="AB1995" s="3" t="str">
        <x:v>Existing CapitalForge research, newly screened for this campaign</x:v>
      </x:c>
      <x:c r="AC1995" s="3" t="str">
        <x:v>unverified</x:v>
      </x:c>
      <x:c r="AD1995" s="3" t="str">
        <x:v>Not contacted / unconfirmed</x:v>
      </x:c>
      <x:c r="AE1995" s="3" t="str">
        <x:v>No</x:v>
      </x:c>
      <x:c r="AF1995" s="3" t="str">
        <x:v>No</x:v>
      </x:c>
      <x:c r="AG1995" s="3"/>
      <x:c r="AH1995" s="3"/>
      <x:c r="AI1995" s="18"/>
      <x:c r="AJ1995" s="3" t="str">
        <x:v>CF2500-86519DA60830</x:v>
      </x:c>
      <x:c r="AK1995" s="3" t="str">
        <x:v>private_real_estate_lender</x:v>
      </x:c>
      <x:c r="AL1995" s="19" t="n">
        <x:v>100000</x:v>
      </x:c>
      <x:c r="AM1995" s="19" t="n">
        <x:v>500000</x:v>
      </x:c>
      <x:c r="AN1995" s="3" t="str">
        <x:v>https://www.hardmoneyhome.com/lenders/view/sir-mortgage-and-finance</x:v>
      </x:c>
      <x:c r="AO1995" s="3" t="str">
        <x:v>public_directory.jsonl</x:v>
      </x:c>
      <x:c r="AP1995" s="19"/>
    </x:row>
    <x:row r="1996" ht="36" customHeight="1">
      <x:c r="A1996" s="23" t="n">
        <x:v>1995</x:v>
      </x:c>
      <x:c r="B1996" s="15" t="str">
        <x:v>Suncoast</x:v>
      </x:c>
      <x:c r="C1996" s="15"/>
      <x:c r="D1996" s="15" t="str">
        <x:v>Property lender or directory member; operating-company capital unconfirmed</x:v>
      </x:c>
      <x:c r="E1996" s="15" t="str">
        <x:v>Property lender / private-money inquiry</x:v>
      </x:c>
      <x:c r="F1996" s="17" t="str">
        <x:v>New</x:v>
      </x:c>
      <x:c r="G1996" s="24"/>
      <x:c r="H1996" s="24" t="str">
        <x:v>+19548126043</x:v>
      </x:c>
      <x:c r="I1996" s="24" t="str">
        <x:v>http://www.suncoastmtgs.com</x:v>
      </x:c>
      <x:c r="J1996" s="16" t="str">
        <x:v>FL</x:v>
      </x:c>
      <x:c r="K1996" s="16" t="str">
        <x:v>Boca Raton</x:v>
      </x:c>
      <x:c r="L1996" s="16" t="str">
        <x:v>firm_business_routing</x:v>
      </x:c>
      <x:c r="M1996" s="16" t="str">
        <x:v>http://www.suncoastmtgs.com</x:v>
      </x:c>
      <x:c r="N1996" s="16" t="str">
        <x:v>$100K-$500K ticket not published / unconfirmed</x:v>
      </x:c>
      <x:c r="O1996" s="20"/>
      <x:c r="P1996" s="20"/>
      <x:c r="Q1996" s="25" t="str">
        <x:v>Property-loan range, not a corporate-capital commitment</x:v>
      </x:c>
      <x:c r="R1996" s="25" t="str">
        <x:v>Private real-estate finance experience. Corporate working capital, minority equity or profit participation requires a separate agreement from a property loan.</x:v>
      </x:c>
      <x:c r="S1996" s="25"/>
      <x:c r="T1996" s="25" t="str">
        <x:v>Confirm direct principal versus broker, $100K-$500K appetite, and whether capital can fund the operating company without a property mortgage.</x:v>
      </x:c>
      <x:c r="U1996" s="25" t="str">
        <x:v>https://www.hardmoneyhome.com/lenders/view/suncoast</x:v>
      </x:c>
      <x:c r="V1996" s="26" t="d">
        <x:v>2026-10-02T00:00:00.000Z</x:v>
      </x:c>
      <x:c r="W1996" s="26" t="d">
        <x:v>2026-09-30T00:00:00.000Z</x:v>
      </x:c>
      <x:c r="X1996" s="25" t="str">
        <x:v>Saved public company, industry-directory or regulatory source; source date retained</x:v>
      </x:c>
      <x:c r="Y1996" s="25"/>
      <x:c r="Z1996" s="25" t="str">
        <x:v>https://www.hardmoneyhome.com/lenders/view/suncoast</x:v>
      </x:c>
      <x:c r="AA1996" s="25" t="str">
        <x:v>[]</x:v>
      </x:c>
      <x:c r="AB1996" s="3" t="str">
        <x:v>Existing CapitalForge research, newly screened for this campaign</x:v>
      </x:c>
      <x:c r="AC1996" s="3" t="str">
        <x:v>unverified</x:v>
      </x:c>
      <x:c r="AD1996" s="3" t="str">
        <x:v>Not contacted / unconfirmed</x:v>
      </x:c>
      <x:c r="AE1996" s="3" t="str">
        <x:v>No</x:v>
      </x:c>
      <x:c r="AF1996" s="3" t="str">
        <x:v>No</x:v>
      </x:c>
      <x:c r="AG1996" s="3"/>
      <x:c r="AH1996" s="3"/>
      <x:c r="AI1996" s="18"/>
      <x:c r="AJ1996" s="3" t="str">
        <x:v>CF2500-817F07CCBADC</x:v>
      </x:c>
      <x:c r="AK1996" s="3" t="str">
        <x:v>private_real_estate_lender</x:v>
      </x:c>
      <x:c r="AL1996" s="19" t="n">
        <x:v>100000</x:v>
      </x:c>
      <x:c r="AM1996" s="19" t="n">
        <x:v>500000</x:v>
      </x:c>
      <x:c r="AN1996" s="3" t="str">
        <x:v>https://www.hardmoneyhome.com/lenders/view/suncoast</x:v>
      </x:c>
      <x:c r="AO1996" s="3" t="str">
        <x:v>public_directory.jsonl</x:v>
      </x:c>
      <x:c r="AP1996" s="19"/>
    </x:row>
    <x:row r="1997" ht="36" customHeight="1">
      <x:c r="A1997" s="23" t="n">
        <x:v>1996</x:v>
      </x:c>
      <x:c r="B1997" s="15" t="str">
        <x:v>Taylor Made Lending</x:v>
      </x:c>
      <x:c r="C1997" s="15"/>
      <x:c r="D1997" s="15" t="str">
        <x:v>Property lender or directory member; operating-company capital unconfirmed</x:v>
      </x:c>
      <x:c r="E1997" s="15" t="str">
        <x:v>Property lender / private-money inquiry</x:v>
      </x:c>
      <x:c r="F1997" s="17" t="str">
        <x:v>New</x:v>
      </x:c>
      <x:c r="G1997" s="24"/>
      <x:c r="H1997" s="24" t="str">
        <x:v>+19546145109</x:v>
      </x:c>
      <x:c r="I1997" s="24" t="str">
        <x:v>https://taylormadelendingllc.com/?utm_source=private-lender-link</x:v>
      </x:c>
      <x:c r="J1997" s="16" t="str">
        <x:v>FL</x:v>
      </x:c>
      <x:c r="K1997" s="16" t="str">
        <x:v>Pompano Beach</x:v>
      </x:c>
      <x:c r="L1997" s="16" t="str">
        <x:v>firm_business_routing</x:v>
      </x:c>
      <x:c r="M1997" s="16" t="str">
        <x:v>https://taylormadelendingllc.com/?utm_source=private-lender-link</x:v>
      </x:c>
      <x:c r="N1997" s="16" t="str">
        <x:v>$100K-$500K ticket not published / unconfirmed</x:v>
      </x:c>
      <x:c r="O1997" s="20"/>
      <x:c r="P1997" s="20"/>
      <x:c r="Q1997" s="25" t="str">
        <x:v>Property-loan range, not a corporate-capital commitment</x:v>
      </x:c>
      <x:c r="R1997" s="25" t="str">
        <x:v>Private real-estate finance experience. Corporate working capital, minority equity or profit participation requires a separate agreement from a property loan.</x:v>
      </x:c>
      <x:c r="S1997" s="25"/>
      <x:c r="T1997" s="25" t="str">
        <x:v>Confirm direct principal versus broker, $100K-$500K appetite, and whether capital can fund the operating company without a property mortgage.</x:v>
      </x:c>
      <x:c r="U1997" s="25" t="str">
        <x:v>https://privatelenderlink.com/profile/taylor-made-lending/</x:v>
      </x:c>
      <x:c r="V1997" s="26" t="d">
        <x:v>2026-10-02T00:00:00.000Z</x:v>
      </x:c>
      <x:c r="W1997" s="26" t="d">
        <x:v>2026-09-30T00:00:00.000Z</x:v>
      </x:c>
      <x:c r="X1997" s="25" t="str">
        <x:v>Saved public company, industry-directory or regulatory source; source date retained</x:v>
      </x:c>
      <x:c r="Y1997" s="25"/>
      <x:c r="Z1997" s="25" t="str">
        <x:v>https://privatelenderlink.com/profile/taylor-made-lending/</x:v>
      </x:c>
      <x:c r="AA1997" s="25" t="str">
        <x:v>[]</x:v>
      </x:c>
      <x:c r="AB1997" s="3" t="str">
        <x:v>Existing CapitalForge research, newly screened for this campaign</x:v>
      </x:c>
      <x:c r="AC1997" s="3" t="str">
        <x:v>unverified</x:v>
      </x:c>
      <x:c r="AD1997" s="3" t="str">
        <x:v>Not contacted / unconfirmed</x:v>
      </x:c>
      <x:c r="AE1997" s="3" t="str">
        <x:v>No</x:v>
      </x:c>
      <x:c r="AF1997" s="3" t="str">
        <x:v>No</x:v>
      </x:c>
      <x:c r="AG1997" s="3"/>
      <x:c r="AH1997" s="3"/>
      <x:c r="AI1997" s="18"/>
      <x:c r="AJ1997" s="3" t="str">
        <x:v>CF2500-D62EC374AE7A</x:v>
      </x:c>
      <x:c r="AK1997" s="3" t="str">
        <x:v>private_real_estate_lender</x:v>
      </x:c>
      <x:c r="AL1997" s="19" t="n">
        <x:v>100000</x:v>
      </x:c>
      <x:c r="AM1997" s="19" t="n">
        <x:v>500000</x:v>
      </x:c>
      <x:c r="AN1997" s="3" t="str">
        <x:v>https://privatelenderlink.com/profile/taylor-made-lending/</x:v>
      </x:c>
      <x:c r="AO1997" s="3" t="str">
        <x:v>public_directory.jsonl</x:v>
      </x:c>
      <x:c r="AP1997" s="19"/>
    </x:row>
    <x:row r="1998" ht="36" customHeight="1">
      <x:c r="A1998" s="23" t="n">
        <x:v>1997</x:v>
      </x:c>
      <x:c r="B1998" s="15" t="str">
        <x:v>Texas Quest Capital</x:v>
      </x:c>
      <x:c r="C1998" s="15"/>
      <x:c r="D1998" s="15" t="str">
        <x:v>Property lender or directory member; operating-company capital unconfirmed</x:v>
      </x:c>
      <x:c r="E1998" s="15" t="str">
        <x:v>Property lender / private-money inquiry</x:v>
      </x:c>
      <x:c r="F1998" s="17" t="str">
        <x:v>New</x:v>
      </x:c>
      <x:c r="G1998" s="24"/>
      <x:c r="H1998" s="24" t="str">
        <x:v>+12814554615</x:v>
      </x:c>
      <x:c r="I1998" s="24" t="str">
        <x:v>http://www.texasquestcapital.com</x:v>
      </x:c>
      <x:c r="J1998" s="16" t="str">
        <x:v>TX</x:v>
      </x:c>
      <x:c r="K1998" s="16" t="str">
        <x:v>Houston</x:v>
      </x:c>
      <x:c r="L1998" s="16" t="str">
        <x:v>firm_business_routing</x:v>
      </x:c>
      <x:c r="M1998" s="16" t="str">
        <x:v>http://www.texasquestcapital.com</x:v>
      </x:c>
      <x:c r="N1998" s="16" t="str">
        <x:v>$100K-$500K ticket not published / unconfirmed</x:v>
      </x:c>
      <x:c r="O1998" s="20"/>
      <x:c r="P1998" s="20"/>
      <x:c r="Q1998" s="25" t="str">
        <x:v>Property-loan range, not a corporate-capital commitment</x:v>
      </x:c>
      <x:c r="R1998" s="25" t="str">
        <x:v>Private real-estate finance experience. Corporate working capital, minority equity or profit participation requires a separate agreement from a property loan.</x:v>
      </x:c>
      <x:c r="S1998" s="25"/>
      <x:c r="T1998" s="25" t="str">
        <x:v>Confirm direct principal versus broker, $100K-$500K appetite, and whether capital can fund the operating company without a property mortgage.</x:v>
      </x:c>
      <x:c r="U1998" s="25" t="str">
        <x:v>https://www.hardmoneyhome.com/lenders/view/texas-quest-capital</x:v>
      </x:c>
      <x:c r="V1998" s="26" t="d">
        <x:v>2026-10-02T00:00:00.000Z</x:v>
      </x:c>
      <x:c r="W1998" s="26" t="d">
        <x:v>2026-09-30T00:00:00.000Z</x:v>
      </x:c>
      <x:c r="X1998" s="25" t="str">
        <x:v>Saved public company, industry-directory or regulatory source; source date retained</x:v>
      </x:c>
      <x:c r="Y1998" s="25"/>
      <x:c r="Z1998" s="25" t="str">
        <x:v>https://www.hardmoneyhome.com/lenders/view/texas-quest-capital</x:v>
      </x:c>
      <x:c r="AA1998" s="25" t="str">
        <x:v>[]</x:v>
      </x:c>
      <x:c r="AB1998" s="3" t="str">
        <x:v>Existing CapitalForge research, newly screened for this campaign</x:v>
      </x:c>
      <x:c r="AC1998" s="3" t="str">
        <x:v>unverified</x:v>
      </x:c>
      <x:c r="AD1998" s="3" t="str">
        <x:v>Not contacted / unconfirmed</x:v>
      </x:c>
      <x:c r="AE1998" s="3" t="str">
        <x:v>No</x:v>
      </x:c>
      <x:c r="AF1998" s="3" t="str">
        <x:v>No</x:v>
      </x:c>
      <x:c r="AG1998" s="3"/>
      <x:c r="AH1998" s="3"/>
      <x:c r="AI1998" s="18"/>
      <x:c r="AJ1998" s="3" t="str">
        <x:v>CF2500-A29ABD1E9A12</x:v>
      </x:c>
      <x:c r="AK1998" s="3" t="str">
        <x:v>private_real_estate_lender</x:v>
      </x:c>
      <x:c r="AL1998" s="19" t="n">
        <x:v>100000</x:v>
      </x:c>
      <x:c r="AM1998" s="19" t="n">
        <x:v>500000</x:v>
      </x:c>
      <x:c r="AN1998" s="3" t="str">
        <x:v>https://www.hardmoneyhome.com/lenders/view/texas-quest-capital</x:v>
      </x:c>
      <x:c r="AO1998" s="3" t="str">
        <x:v>public_directory.jsonl</x:v>
      </x:c>
      <x:c r="AP1998" s="19"/>
    </x:row>
    <x:row r="1999" ht="36" customHeight="1">
      <x:c r="A1999" s="23" t="n">
        <x:v>1998</x:v>
      </x:c>
      <x:c r="B1999" s="15" t="str">
        <x:v>The Associates Home Loan of Florida</x:v>
      </x:c>
      <x:c r="C1999" s="15"/>
      <x:c r="D1999" s="15" t="str">
        <x:v>Property lender or directory member; operating-company capital unconfirmed</x:v>
      </x:c>
      <x:c r="E1999" s="15" t="str">
        <x:v>Property lender / private-money inquiry</x:v>
      </x:c>
      <x:c r="F1999" s="17" t="str">
        <x:v>New</x:v>
      </x:c>
      <x:c r="G1999" s="24"/>
      <x:c r="H1999" s="24" t="str">
        <x:v>+18662579476</x:v>
      </x:c>
      <x:c r="I1999" s="24" t="str">
        <x:v>http://www.associateshomeloan.com/</x:v>
      </x:c>
      <x:c r="J1999" s="16" t="str">
        <x:v>FL</x:v>
      </x:c>
      <x:c r="K1999" s="16" t="str">
        <x:v>Tampa</x:v>
      </x:c>
      <x:c r="L1999" s="16" t="str">
        <x:v>firm_business_routing</x:v>
      </x:c>
      <x:c r="M1999" s="16" t="str">
        <x:v>http://www.associateshomeloan.com/</x:v>
      </x:c>
      <x:c r="N1999" s="16" t="str">
        <x:v>$100K-$500K ticket not published / unconfirmed</x:v>
      </x:c>
      <x:c r="O1999" s="20"/>
      <x:c r="P1999" s="20"/>
      <x:c r="Q1999" s="25" t="str">
        <x:v>Property-loan range, not a corporate-capital commitment</x:v>
      </x:c>
      <x:c r="R1999" s="25" t="str">
        <x:v>Private real-estate finance experience. Corporate working capital, minority equity or profit participation requires a separate agreement from a property loan.</x:v>
      </x:c>
      <x:c r="S1999" s="25"/>
      <x:c r="T1999" s="25" t="str">
        <x:v>Confirm direct principal versus broker, $100K-$500K appetite, and whether capital can fund the operating company without a property mortgage.</x:v>
      </x:c>
      <x:c r="U1999" s="25" t="str">
        <x:v>https://www.hardmoneyhome.com/lenders/view/the-associates-home-loan-of-florida
https://www.privatelendersdirectory.com/united-states/tampa/top-level-category/associates-home-loan
https://www.associateshomeloan.com/</x:v>
      </x:c>
      <x:c r="V1999" s="26" t="d">
        <x:v>2026-10-02T00:00:00.000Z</x:v>
      </x:c>
      <x:c r="W1999" s="26" t="d">
        <x:v>2026-09-30T00:00:00.000Z</x:v>
      </x:c>
      <x:c r="X1999" s="25" t="str">
        <x:v>Saved public company, industry-directory or regulatory source; source date retained</x:v>
      </x:c>
      <x:c r="Y1999" s="25"/>
      <x:c r="Z1999" s="25" t="str">
        <x:v>https://www.hardmoneyhome.com/lenders/view/the-associates-home-loan-of-florida</x:v>
      </x:c>
      <x:c r="AA1999" s="25" t="str">
        <x:v>[]</x:v>
      </x:c>
      <x:c r="AB1999" s="3" t="str">
        <x:v>Existing CapitalForge research, newly screened for this campaign</x:v>
      </x:c>
      <x:c r="AC1999" s="3" t="str">
        <x:v>unverified</x:v>
      </x:c>
      <x:c r="AD1999" s="3" t="str">
        <x:v>Not contacted / unconfirmed</x:v>
      </x:c>
      <x:c r="AE1999" s="3" t="str">
        <x:v>No</x:v>
      </x:c>
      <x:c r="AF1999" s="3" t="str">
        <x:v>No</x:v>
      </x:c>
      <x:c r="AG1999" s="3"/>
      <x:c r="AH1999" s="3"/>
      <x:c r="AI1999" s="18"/>
      <x:c r="AJ1999" s="3" t="str">
        <x:v>CF2500-127952EF5C85</x:v>
      </x:c>
      <x:c r="AK1999" s="3" t="str">
        <x:v>private_real_estate_lender</x:v>
      </x:c>
      <x:c r="AL1999" s="19" t="n">
        <x:v>100000</x:v>
      </x:c>
      <x:c r="AM1999" s="19" t="n">
        <x:v>500000</x:v>
      </x:c>
      <x:c r="AN1999" s="3" t="str">
        <x:v>https://www.hardmoneyhome.com/lenders/view/the-associates-home-loan-of-florida</x:v>
      </x:c>
      <x:c r="AO1999" s="3" t="str">
        <x:v>public_directory.jsonl</x:v>
      </x:c>
      <x:c r="AP1999" s="19"/>
    </x:row>
    <x:row r="2000" ht="36" customHeight="1">
      <x:c r="A2000" s="23" t="n">
        <x:v>1999</x:v>
      </x:c>
      <x:c r="B2000" s="15" t="str">
        <x:v>Thrive Lending</x:v>
      </x:c>
      <x:c r="C2000" s="15"/>
      <x:c r="D2000" s="15" t="str">
        <x:v>Property lender or directory member; operating-company capital unconfirmed</x:v>
      </x:c>
      <x:c r="E2000" s="15" t="str">
        <x:v>Property lender / private-money inquiry</x:v>
      </x:c>
      <x:c r="F2000" s="17" t="str">
        <x:v>New</x:v>
      </x:c>
      <x:c r="G2000" s="24"/>
      <x:c r="H2000" s="24" t="str">
        <x:v>+15123947114</x:v>
      </x:c>
      <x:c r="I2000" s="24" t="str">
        <x:v>https://thrive-lending.com/</x:v>
      </x:c>
      <x:c r="J2000" s="16" t="str">
        <x:v>TX</x:v>
      </x:c>
      <x:c r="K2000" s="16" t="str">
        <x:v>Austin</x:v>
      </x:c>
      <x:c r="L2000" s="16" t="str">
        <x:v>firm_business_routing</x:v>
      </x:c>
      <x:c r="M2000" s="16" t="str">
        <x:v>https://thrive-lending.com/</x:v>
      </x:c>
      <x:c r="N2000" s="16" t="str">
        <x:v>$100K-$500K ticket not published / unconfirmed</x:v>
      </x:c>
      <x:c r="O2000" s="20"/>
      <x:c r="P2000" s="20"/>
      <x:c r="Q2000" s="25" t="str">
        <x:v>Property-loan range, not a corporate-capital commitment</x:v>
      </x:c>
      <x:c r="R2000" s="25" t="str">
        <x:v>Private real-estate finance experience. Corporate working capital, minority equity or profit participation requires a separate agreement from a property loan.</x:v>
      </x:c>
      <x:c r="S2000" s="25"/>
      <x:c r="T2000" s="25" t="str">
        <x:v>Confirm direct principal versus broker, $100K-$500K appetite, and whether capital can fund the operating company without a property mortgage.</x:v>
      </x:c>
      <x:c r="U2000" s="25" t="str">
        <x:v>https://www.hardmoneyhome.com/lenders/view/thrive-lending</x:v>
      </x:c>
      <x:c r="V2000" s="26" t="d">
        <x:v>2026-10-02T00:00:00.000Z</x:v>
      </x:c>
      <x:c r="W2000" s="26" t="d">
        <x:v>2026-09-30T00:00:00.000Z</x:v>
      </x:c>
      <x:c r="X2000" s="25" t="str">
        <x:v>Saved public company, industry-directory or regulatory source; source date retained</x:v>
      </x:c>
      <x:c r="Y2000" s="25"/>
      <x:c r="Z2000" s="25" t="str">
        <x:v>https://www.hardmoneyhome.com/lenders/view/thrive-lending</x:v>
      </x:c>
      <x:c r="AA2000" s="25" t="str">
        <x:v>[]</x:v>
      </x:c>
      <x:c r="AB2000" s="3" t="str">
        <x:v>Existing CapitalForge research, newly screened for this campaign</x:v>
      </x:c>
      <x:c r="AC2000" s="3" t="str">
        <x:v>unverified</x:v>
      </x:c>
      <x:c r="AD2000" s="3" t="str">
        <x:v>Not contacted / unconfirmed</x:v>
      </x:c>
      <x:c r="AE2000" s="3" t="str">
        <x:v>No</x:v>
      </x:c>
      <x:c r="AF2000" s="3" t="str">
        <x:v>No</x:v>
      </x:c>
      <x:c r="AG2000" s="3"/>
      <x:c r="AH2000" s="3"/>
      <x:c r="AI2000" s="18"/>
      <x:c r="AJ2000" s="3" t="str">
        <x:v>CF2500-CCE81F69D53A</x:v>
      </x:c>
      <x:c r="AK2000" s="3" t="str">
        <x:v>private_real_estate_lender</x:v>
      </x:c>
      <x:c r="AL2000" s="19" t="n">
        <x:v>100000</x:v>
      </x:c>
      <x:c r="AM2000" s="19" t="n">
        <x:v>500000</x:v>
      </x:c>
      <x:c r="AN2000" s="3" t="str">
        <x:v>https://www.hardmoneyhome.com/lenders/view/thrive-lending</x:v>
      </x:c>
      <x:c r="AO2000" s="3" t="str">
        <x:v>public_directory.jsonl</x:v>
      </x:c>
      <x:c r="AP2000" s="19"/>
    </x:row>
    <x:row r="2001" ht="36" customHeight="1">
      <x:c r="A2001" s="23" t="n">
        <x:v>2000</x:v>
      </x:c>
      <x:c r="B2001" s="15" t="str">
        <x:v>Transactional Funding</x:v>
      </x:c>
      <x:c r="C2001" s="15"/>
      <x:c r="D2001" s="15" t="str">
        <x:v>Property lender or directory member; operating-company capital unconfirmed</x:v>
      </x:c>
      <x:c r="E2001" s="15" t="str">
        <x:v>Property lender / private-money inquiry</x:v>
      </x:c>
      <x:c r="F2001" s="17" t="str">
        <x:v>New</x:v>
      </x:c>
      <x:c r="G2001" s="24"/>
      <x:c r="H2001" s="24" t="str">
        <x:v>+19542741003</x:v>
      </x:c>
      <x:c r="I2001" s="24" t="str">
        <x:v>https://transactionalfundingfl.com</x:v>
      </x:c>
      <x:c r="J2001" s="16" t="str">
        <x:v>FL</x:v>
      </x:c>
      <x:c r="K2001" s="16" t="str">
        <x:v>Hollywood</x:v>
      </x:c>
      <x:c r="L2001" s="16" t="str">
        <x:v>firm_business_routing</x:v>
      </x:c>
      <x:c r="M2001" s="16" t="str">
        <x:v>https://transactionalfundingfl.com</x:v>
      </x:c>
      <x:c r="N2001" s="16" t="str">
        <x:v>$100K-$500K ticket not published / unconfirmed</x:v>
      </x:c>
      <x:c r="O2001" s="20"/>
      <x:c r="P2001" s="20"/>
      <x:c r="Q2001" s="25" t="str">
        <x:v>Property-loan range, not a corporate-capital commitment</x:v>
      </x:c>
      <x:c r="R2001" s="25" t="str">
        <x:v>Private real-estate finance experience. Corporate working capital, minority equity or profit participation requires a separate agreement from a property loan.</x:v>
      </x:c>
      <x:c r="S2001" s="25"/>
      <x:c r="T2001" s="25" t="str">
        <x:v>Confirm direct principal versus broker, $100K-$500K appetite, and whether capital can fund the operating company without a property mortgage.</x:v>
      </x:c>
      <x:c r="U2001" s="25" t="str">
        <x:v>https://www.hardmoneyhome.com/lenders/view/transactional-funding</x:v>
      </x:c>
      <x:c r="V2001" s="26" t="d">
        <x:v>2026-10-02T00:00:00.000Z</x:v>
      </x:c>
      <x:c r="W2001" s="26" t="d">
        <x:v>2026-09-30T00:00:00.000Z</x:v>
      </x:c>
      <x:c r="X2001" s="25" t="str">
        <x:v>Saved public company, industry-directory or regulatory source; source date retained</x:v>
      </x:c>
      <x:c r="Y2001" s="25"/>
      <x:c r="Z2001" s="25" t="str">
        <x:v>https://www.hardmoneyhome.com/lenders/view/transactional-funding</x:v>
      </x:c>
      <x:c r="AA2001" s="25" t="str">
        <x:v>[]</x:v>
      </x:c>
      <x:c r="AB2001" s="3" t="str">
        <x:v>Existing CapitalForge research, newly screened for this campaign</x:v>
      </x:c>
      <x:c r="AC2001" s="3" t="str">
        <x:v>unverified</x:v>
      </x:c>
      <x:c r="AD2001" s="3" t="str">
        <x:v>Not contacted / unconfirmed</x:v>
      </x:c>
      <x:c r="AE2001" s="3" t="str">
        <x:v>No</x:v>
      </x:c>
      <x:c r="AF2001" s="3" t="str">
        <x:v>No</x:v>
      </x:c>
      <x:c r="AG2001" s="3"/>
      <x:c r="AH2001" s="3"/>
      <x:c r="AI2001" s="18"/>
      <x:c r="AJ2001" s="3" t="str">
        <x:v>CF2500-6266E6BD02B6</x:v>
      </x:c>
      <x:c r="AK2001" s="3" t="str">
        <x:v>private_real_estate_lender</x:v>
      </x:c>
      <x:c r="AL2001" s="19" t="n">
        <x:v>100000</x:v>
      </x:c>
      <x:c r="AM2001" s="19" t="n">
        <x:v>500000</x:v>
      </x:c>
      <x:c r="AN2001" s="3" t="str">
        <x:v>https://www.hardmoneyhome.com/lenders/view/transactional-funding</x:v>
      </x:c>
      <x:c r="AO2001" s="3" t="str">
        <x:v>public_directory.jsonl</x:v>
      </x:c>
      <x:c r="AP2001" s="19"/>
    </x:row>
    <x:row r="2002" ht="36" customHeight="1">
      <x:c r="A2002" s="23" t="n">
        <x:v>2001</x:v>
      </x:c>
      <x:c r="B2002" s="15" t="str">
        <x:v>Urban Coyote Funding</x:v>
      </x:c>
      <x:c r="C2002" s="15"/>
      <x:c r="D2002" s="15" t="str">
        <x:v>Property lender or directory member; operating-company capital unconfirmed</x:v>
      </x:c>
      <x:c r="E2002" s="15" t="str">
        <x:v>Property lender / private-money inquiry</x:v>
      </x:c>
      <x:c r="F2002" s="17" t="str">
        <x:v>New</x:v>
      </x:c>
      <x:c r="G2002" s="24"/>
      <x:c r="H2002" s="24" t="str">
        <x:v>+18664895363</x:v>
      </x:c>
      <x:c r="I2002" s="24" t="str">
        <x:v>http://www.texasrehabloan.com/</x:v>
      </x:c>
      <x:c r="J2002" s="16" t="str">
        <x:v>TX</x:v>
      </x:c>
      <x:c r="K2002" s="16" t="str">
        <x:v>Dallas</x:v>
      </x:c>
      <x:c r="L2002" s="16" t="str">
        <x:v>firm_business_routing</x:v>
      </x:c>
      <x:c r="M2002" s="16" t="str">
        <x:v>http://www.texasrehabloan.com/</x:v>
      </x:c>
      <x:c r="N2002" s="16" t="str">
        <x:v>$100K-$500K ticket not published / unconfirmed</x:v>
      </x:c>
      <x:c r="O2002" s="20"/>
      <x:c r="P2002" s="20"/>
      <x:c r="Q2002" s="25" t="str">
        <x:v>Property-loan range, not a corporate-capital commitment</x:v>
      </x:c>
      <x:c r="R2002" s="25" t="str">
        <x:v>Private real-estate finance experience. Corporate working capital, minority equity or profit participation requires a separate agreement from a property loan.</x:v>
      </x:c>
      <x:c r="S2002" s="25"/>
      <x:c r="T2002" s="25" t="str">
        <x:v>Confirm direct principal versus broker, $100K-$500K appetite, and whether capital can fund the operating company without a property mortgage.</x:v>
      </x:c>
      <x:c r="U2002" s="25" t="str">
        <x:v>https://www.hardmoneyhome.com/lenders/view/urban-coyote-funding</x:v>
      </x:c>
      <x:c r="V2002" s="26" t="d">
        <x:v>2026-10-02T00:00:00.000Z</x:v>
      </x:c>
      <x:c r="W2002" s="26" t="d">
        <x:v>2026-09-30T00:00:00.000Z</x:v>
      </x:c>
      <x:c r="X2002" s="25" t="str">
        <x:v>Saved public company, industry-directory or regulatory source; source date retained</x:v>
      </x:c>
      <x:c r="Y2002" s="25"/>
      <x:c r="Z2002" s="25" t="str">
        <x:v>https://www.hardmoneyhome.com/lenders/view/urban-coyote-funding</x:v>
      </x:c>
      <x:c r="AA2002" s="25" t="str">
        <x:v>[]</x:v>
      </x:c>
      <x:c r="AB2002" s="3" t="str">
        <x:v>Existing CapitalForge research, newly screened for this campaign</x:v>
      </x:c>
      <x:c r="AC2002" s="3" t="str">
        <x:v>unverified</x:v>
      </x:c>
      <x:c r="AD2002" s="3" t="str">
        <x:v>Not contacted / unconfirmed</x:v>
      </x:c>
      <x:c r="AE2002" s="3" t="str">
        <x:v>No</x:v>
      </x:c>
      <x:c r="AF2002" s="3" t="str">
        <x:v>No</x:v>
      </x:c>
      <x:c r="AG2002" s="3"/>
      <x:c r="AH2002" s="3"/>
      <x:c r="AI2002" s="18"/>
      <x:c r="AJ2002" s="3" t="str">
        <x:v>CF2500-90BD51FA22D2</x:v>
      </x:c>
      <x:c r="AK2002" s="3" t="str">
        <x:v>private_real_estate_lender</x:v>
      </x:c>
      <x:c r="AL2002" s="19" t="n">
        <x:v>100000</x:v>
      </x:c>
      <x:c r="AM2002" s="19" t="n">
        <x:v>500000</x:v>
      </x:c>
      <x:c r="AN2002" s="3" t="str">
        <x:v>https://www.hardmoneyhome.com/lenders/view/urban-coyote-funding</x:v>
      </x:c>
      <x:c r="AO2002" s="3" t="str">
        <x:v>public_directory.jsonl</x:v>
      </x:c>
      <x:c r="AP2002" s="19"/>
    </x:row>
    <x:row r="2003" ht="36" customHeight="1">
      <x:c r="A2003" s="23" t="n">
        <x:v>2002</x:v>
      </x:c>
      <x:c r="B2003" s="15" t="str">
        <x:v>US Mortgage Lenders</x:v>
      </x:c>
      <x:c r="C2003" s="15"/>
      <x:c r="D2003" s="15" t="str">
        <x:v>Property lender or directory member; operating-company capital unconfirmed</x:v>
      </x:c>
      <x:c r="E2003" s="15" t="str">
        <x:v>Property lender / private-money inquiry</x:v>
      </x:c>
      <x:c r="F2003" s="17" t="str">
        <x:v>New</x:v>
      </x:c>
      <x:c r="G2003" s="24"/>
      <x:c r="H2003" s="24" t="str">
        <x:v>+19546679110</x:v>
      </x:c>
      <x:c r="I2003" s="24" t="str">
        <x:v>http://fhamortgagefhaloan.com/</x:v>
      </x:c>
      <x:c r="J2003" s="16" t="str">
        <x:v>FL</x:v>
      </x:c>
      <x:c r="K2003" s="16" t="str">
        <x:v>Hollywood</x:v>
      </x:c>
      <x:c r="L2003" s="16" t="str">
        <x:v>firm_business_routing</x:v>
      </x:c>
      <x:c r="M2003" s="16" t="str">
        <x:v>http://fhamortgagefhaloan.com/</x:v>
      </x:c>
      <x:c r="N2003" s="16" t="str">
        <x:v>$100K-$500K ticket not published / unconfirmed</x:v>
      </x:c>
      <x:c r="O2003" s="20"/>
      <x:c r="P2003" s="20"/>
      <x:c r="Q2003" s="25" t="str">
        <x:v>Property-loan range, not a corporate-capital commitment</x:v>
      </x:c>
      <x:c r="R2003" s="25" t="str">
        <x:v>Private real-estate finance experience. Corporate working capital, minority equity or profit participation requires a separate agreement from a property loan.</x:v>
      </x:c>
      <x:c r="S2003" s="25"/>
      <x:c r="T2003" s="25" t="str">
        <x:v>Confirm direct principal versus broker, $100K-$500K appetite, and whether capital can fund the operating company without a property mortgage.</x:v>
      </x:c>
      <x:c r="U2003" s="25" t="str">
        <x:v>https://www.hardmoneyhome.com/lenders/view/us-mortgage-lenders</x:v>
      </x:c>
      <x:c r="V2003" s="26" t="d">
        <x:v>2026-10-02T00:00:00.000Z</x:v>
      </x:c>
      <x:c r="W2003" s="26" t="d">
        <x:v>2026-09-30T00:00:00.000Z</x:v>
      </x:c>
      <x:c r="X2003" s="25" t="str">
        <x:v>Saved public company, industry-directory or regulatory source; source date retained</x:v>
      </x:c>
      <x:c r="Y2003" s="25"/>
      <x:c r="Z2003" s="25" t="str">
        <x:v>https://www.hardmoneyhome.com/lenders/view/us-mortgage-lenders</x:v>
      </x:c>
      <x:c r="AA2003" s="25" t="str">
        <x:v>[]</x:v>
      </x:c>
      <x:c r="AB2003" s="3" t="str">
        <x:v>Existing CapitalForge research, newly screened for this campaign</x:v>
      </x:c>
      <x:c r="AC2003" s="3" t="str">
        <x:v>unverified</x:v>
      </x:c>
      <x:c r="AD2003" s="3" t="str">
        <x:v>Not contacted / unconfirmed</x:v>
      </x:c>
      <x:c r="AE2003" s="3" t="str">
        <x:v>No</x:v>
      </x:c>
      <x:c r="AF2003" s="3" t="str">
        <x:v>No</x:v>
      </x:c>
      <x:c r="AG2003" s="3"/>
      <x:c r="AH2003" s="3"/>
      <x:c r="AI2003" s="18"/>
      <x:c r="AJ2003" s="3" t="str">
        <x:v>CF2500-358C1BFA02BF</x:v>
      </x:c>
      <x:c r="AK2003" s="3" t="str">
        <x:v>private_real_estate_lender</x:v>
      </x:c>
      <x:c r="AL2003" s="19" t="n">
        <x:v>100000</x:v>
      </x:c>
      <x:c r="AM2003" s="19" t="n">
        <x:v>500000</x:v>
      </x:c>
      <x:c r="AN2003" s="3" t="str">
        <x:v>https://www.hardmoneyhome.com/lenders/view/us-mortgage-lenders</x:v>
      </x:c>
      <x:c r="AO2003" s="3" t="str">
        <x:v>public_directory.jsonl</x:v>
      </x:c>
      <x:c r="AP2003" s="19"/>
    </x:row>
    <x:row r="2004" ht="36" customHeight="1">
      <x:c r="A2004" s="23" t="n">
        <x:v>2003</x:v>
      </x:c>
      <x:c r="B2004" s="15" t="str">
        <x:v>Vision Mortgage Company</x:v>
      </x:c>
      <x:c r="C2004" s="15"/>
      <x:c r="D2004" s="15" t="str">
        <x:v>Property lender or directory member; operating-company capital unconfirmed</x:v>
      </x:c>
      <x:c r="E2004" s="15" t="str">
        <x:v>Property lender / private-money inquiry</x:v>
      </x:c>
      <x:c r="F2004" s="17" t="str">
        <x:v>New</x:v>
      </x:c>
      <x:c r="G2004" s="24"/>
      <x:c r="H2004" s="24" t="str">
        <x:v>+12103480077</x:v>
      </x:c>
      <x:c r="I2004" s="24" t="str">
        <x:v>http://www.visionmortgageco.com/</x:v>
      </x:c>
      <x:c r="J2004" s="16" t="str">
        <x:v>TX</x:v>
      </x:c>
      <x:c r="K2004" s="16" t="str">
        <x:v>San Antonio</x:v>
      </x:c>
      <x:c r="L2004" s="16" t="str">
        <x:v>firm_business_routing</x:v>
      </x:c>
      <x:c r="M2004" s="16" t="str">
        <x:v>http://www.visionmortgageco.com/</x:v>
      </x:c>
      <x:c r="N2004" s="16" t="str">
        <x:v>$100K-$500K ticket not published / unconfirmed</x:v>
      </x:c>
      <x:c r="O2004" s="20"/>
      <x:c r="P2004" s="20"/>
      <x:c r="Q2004" s="25" t="str">
        <x:v>Property-loan range, not a corporate-capital commitment</x:v>
      </x:c>
      <x:c r="R2004" s="25" t="str">
        <x:v>Private real-estate finance experience. Corporate working capital, minority equity or profit participation requires a separate agreement from a property loan.</x:v>
      </x:c>
      <x:c r="S2004" s="25"/>
      <x:c r="T2004" s="25" t="str">
        <x:v>Confirm direct principal versus broker, $100K-$500K appetite, and whether capital can fund the operating company without a property mortgage.</x:v>
      </x:c>
      <x:c r="U2004" s="25" t="str">
        <x:v>https://www.hardmoneyhome.com/lenders/view/vision-mortgage-company</x:v>
      </x:c>
      <x:c r="V2004" s="26" t="d">
        <x:v>2026-10-02T00:00:00.000Z</x:v>
      </x:c>
      <x:c r="W2004" s="26" t="d">
        <x:v>2026-09-30T00:00:00.000Z</x:v>
      </x:c>
      <x:c r="X2004" s="25" t="str">
        <x:v>Saved public company, industry-directory or regulatory source; source date retained</x:v>
      </x:c>
      <x:c r="Y2004" s="25"/>
      <x:c r="Z2004" s="25" t="str">
        <x:v>https://www.hardmoneyhome.com/lenders/view/vision-mortgage-company</x:v>
      </x:c>
      <x:c r="AA2004" s="25" t="str">
        <x:v>[]</x:v>
      </x:c>
      <x:c r="AB2004" s="3" t="str">
        <x:v>Existing CapitalForge research, newly screened for this campaign</x:v>
      </x:c>
      <x:c r="AC2004" s="3" t="str">
        <x:v>unverified</x:v>
      </x:c>
      <x:c r="AD2004" s="3" t="str">
        <x:v>Not contacted / unconfirmed</x:v>
      </x:c>
      <x:c r="AE2004" s="3" t="str">
        <x:v>No</x:v>
      </x:c>
      <x:c r="AF2004" s="3" t="str">
        <x:v>No</x:v>
      </x:c>
      <x:c r="AG2004" s="3"/>
      <x:c r="AH2004" s="3"/>
      <x:c r="AI2004" s="18"/>
      <x:c r="AJ2004" s="3" t="str">
        <x:v>CF2500-B73E738368AB</x:v>
      </x:c>
      <x:c r="AK2004" s="3" t="str">
        <x:v>private_real_estate_lender</x:v>
      </x:c>
      <x:c r="AL2004" s="19" t="n">
        <x:v>100000</x:v>
      </x:c>
      <x:c r="AM2004" s="19" t="n">
        <x:v>500000</x:v>
      </x:c>
      <x:c r="AN2004" s="3" t="str">
        <x:v>https://www.hardmoneyhome.com/lenders/view/vision-mortgage-company</x:v>
      </x:c>
      <x:c r="AO2004" s="3" t="str">
        <x:v>public_directory.jsonl</x:v>
      </x:c>
      <x:c r="AP2004" s="19"/>
    </x:row>
    <x:row r="2005" ht="36" customHeight="1">
      <x:c r="A2005" s="23" t="n">
        <x:v>2004</x:v>
      </x:c>
      <x:c r="B2005" s="15" t="str">
        <x:v>We Buy Any House Dallas</x:v>
      </x:c>
      <x:c r="C2005" s="15"/>
      <x:c r="D2005" s="15" t="str">
        <x:v>Property lender or directory member; operating-company capital unconfirmed</x:v>
      </x:c>
      <x:c r="E2005" s="15" t="str">
        <x:v>Property lender / private-money inquiry</x:v>
      </x:c>
      <x:c r="F2005" s="17" t="str">
        <x:v>New</x:v>
      </x:c>
      <x:c r="G2005" s="24"/>
      <x:c r="H2005" s="24" t="str">
        <x:v>+19723621650</x:v>
      </x:c>
      <x:c r="I2005" s="24" t="str">
        <x:v>http://www.webuyanyhousedallas.com</x:v>
      </x:c>
      <x:c r="J2005" s="16" t="str">
        <x:v>TX</x:v>
      </x:c>
      <x:c r="K2005" s="16" t="str">
        <x:v>Dallas</x:v>
      </x:c>
      <x:c r="L2005" s="16" t="str">
        <x:v>firm_business_routing</x:v>
      </x:c>
      <x:c r="M2005" s="16" t="str">
        <x:v>http://www.webuyanyhousedallas.com</x:v>
      </x:c>
      <x:c r="N2005" s="16" t="str">
        <x:v>$100K-$500K ticket not published / unconfirmed</x:v>
      </x:c>
      <x:c r="O2005" s="20"/>
      <x:c r="P2005" s="20"/>
      <x:c r="Q2005" s="25" t="str">
        <x:v>Property-loan range, not a corporate-capital commitment</x:v>
      </x:c>
      <x:c r="R2005" s="25" t="str">
        <x:v>Private real-estate finance experience. Corporate working capital, minority equity or profit participation requires a separate agreement from a property loan.</x:v>
      </x:c>
      <x:c r="S2005" s="25"/>
      <x:c r="T2005" s="25" t="str">
        <x:v>Confirm direct principal versus broker, $100K-$500K appetite, and whether capital can fund the operating company without a property mortgage.</x:v>
      </x:c>
      <x:c r="U2005" s="25" t="str">
        <x:v>https://www.hardmoneyhome.com/lenders/view/we-buy-any-house-dallas</x:v>
      </x:c>
      <x:c r="V2005" s="26" t="d">
        <x:v>2026-10-02T00:00:00.000Z</x:v>
      </x:c>
      <x:c r="W2005" s="26" t="d">
        <x:v>2026-09-30T00:00:00.000Z</x:v>
      </x:c>
      <x:c r="X2005" s="25" t="str">
        <x:v>Saved public company, industry-directory or regulatory source; source date retained</x:v>
      </x:c>
      <x:c r="Y2005" s="25"/>
      <x:c r="Z2005" s="25" t="str">
        <x:v>https://www.hardmoneyhome.com/lenders/view/we-buy-any-house-dallas</x:v>
      </x:c>
      <x:c r="AA2005" s="25" t="str">
        <x:v>[]</x:v>
      </x:c>
      <x:c r="AB2005" s="3" t="str">
        <x:v>Existing CapitalForge research, newly screened for this campaign</x:v>
      </x:c>
      <x:c r="AC2005" s="3" t="str">
        <x:v>unverified</x:v>
      </x:c>
      <x:c r="AD2005" s="3" t="str">
        <x:v>Not contacted / unconfirmed</x:v>
      </x:c>
      <x:c r="AE2005" s="3" t="str">
        <x:v>No</x:v>
      </x:c>
      <x:c r="AF2005" s="3" t="str">
        <x:v>No</x:v>
      </x:c>
      <x:c r="AG2005" s="3"/>
      <x:c r="AH2005" s="3"/>
      <x:c r="AI2005" s="18"/>
      <x:c r="AJ2005" s="3" t="str">
        <x:v>CF2500-03D56C91D5F6</x:v>
      </x:c>
      <x:c r="AK2005" s="3" t="str">
        <x:v>private_real_estate_lender</x:v>
      </x:c>
      <x:c r="AL2005" s="19" t="n">
        <x:v>100000</x:v>
      </x:c>
      <x:c r="AM2005" s="19" t="n">
        <x:v>500000</x:v>
      </x:c>
      <x:c r="AN2005" s="3" t="str">
        <x:v>https://www.hardmoneyhome.com/lenders/view/we-buy-any-house-dallas</x:v>
      </x:c>
      <x:c r="AO2005" s="3" t="str">
        <x:v>public_directory.jsonl</x:v>
      </x:c>
      <x:c r="AP2005" s="19"/>
    </x:row>
    <x:row r="2006" ht="36" customHeight="1">
      <x:c r="A2006" s="23" t="n">
        <x:v>2005</x:v>
      </x:c>
      <x:c r="B2006" s="15" t="str">
        <x:v>Wolf Mortgage</x:v>
      </x:c>
      <x:c r="C2006" s="15"/>
      <x:c r="D2006" s="15" t="str">
        <x:v>Property lender or directory member; operating-company capital unconfirmed</x:v>
      </x:c>
      <x:c r="E2006" s="15" t="str">
        <x:v>Property lender / private-money inquiry</x:v>
      </x:c>
      <x:c r="F2006" s="17" t="str">
        <x:v>New</x:v>
      </x:c>
      <x:c r="G2006" s="24"/>
      <x:c r="H2006" s="24" t="str">
        <x:v>+18007461175</x:v>
      </x:c>
      <x:c r="I2006" s="24" t="str">
        <x:v>http://www.wolfloans.com/</x:v>
      </x:c>
      <x:c r="J2006" s="16" t="str">
        <x:v>AZ</x:v>
      </x:c>
      <x:c r="K2006" s="16" t="str">
        <x:v>Scottsale</x:v>
      </x:c>
      <x:c r="L2006" s="16" t="str">
        <x:v>firm_business_routing</x:v>
      </x:c>
      <x:c r="M2006" s="16" t="str">
        <x:v>http://www.wolfloans.com/</x:v>
      </x:c>
      <x:c r="N2006" s="16" t="str">
        <x:v>$100K-$500K ticket not published / unconfirmed</x:v>
      </x:c>
      <x:c r="O2006" s="20"/>
      <x:c r="P2006" s="20"/>
      <x:c r="Q2006" s="25" t="str">
        <x:v>Property-loan range, not a corporate-capital commitment</x:v>
      </x:c>
      <x:c r="R2006" s="25" t="str">
        <x:v>Private real-estate finance experience. Corporate working capital, minority equity or profit participation requires a separate agreement from a property loan.</x:v>
      </x:c>
      <x:c r="S2006" s="25"/>
      <x:c r="T2006" s="25" t="str">
        <x:v>Confirm direct principal versus broker, $100K-$500K appetite, and whether capital can fund the operating company without a property mortgage.</x:v>
      </x:c>
      <x:c r="U2006" s="25" t="str">
        <x:v>https://www.hardmoneyhome.com/lenders/view/wolf-mortgage</x:v>
      </x:c>
      <x:c r="V2006" s="26" t="d">
        <x:v>2026-10-02T00:00:00.000Z</x:v>
      </x:c>
      <x:c r="W2006" s="26" t="d">
        <x:v>2026-09-30T00:00:00.000Z</x:v>
      </x:c>
      <x:c r="X2006" s="25" t="str">
        <x:v>Saved public company, industry-directory or regulatory source; source date retained</x:v>
      </x:c>
      <x:c r="Y2006" s="25"/>
      <x:c r="Z2006" s="25" t="str">
        <x:v>https://www.hardmoneyhome.com/lenders/view/wolf-mortgage</x:v>
      </x:c>
      <x:c r="AA2006" s="25" t="str">
        <x:v>[]</x:v>
      </x:c>
      <x:c r="AB2006" s="3" t="str">
        <x:v>Existing CapitalForge research, newly screened for this campaign</x:v>
      </x:c>
      <x:c r="AC2006" s="3" t="str">
        <x:v>unverified</x:v>
      </x:c>
      <x:c r="AD2006" s="3" t="str">
        <x:v>Not contacted / unconfirmed</x:v>
      </x:c>
      <x:c r="AE2006" s="3" t="str">
        <x:v>No</x:v>
      </x:c>
      <x:c r="AF2006" s="3" t="str">
        <x:v>No</x:v>
      </x:c>
      <x:c r="AG2006" s="3"/>
      <x:c r="AH2006" s="3"/>
      <x:c r="AI2006" s="18"/>
      <x:c r="AJ2006" s="3" t="str">
        <x:v>CF2500-859D21BA4FC4</x:v>
      </x:c>
      <x:c r="AK2006" s="3" t="str">
        <x:v>private_real_estate_lender</x:v>
      </x:c>
      <x:c r="AL2006" s="19" t="n">
        <x:v>100000</x:v>
      </x:c>
      <x:c r="AM2006" s="19" t="n">
        <x:v>500000</x:v>
      </x:c>
      <x:c r="AN2006" s="3" t="str">
        <x:v>https://www.hardmoneyhome.com/lenders/view/wolf-mortgage</x:v>
      </x:c>
      <x:c r="AO2006" s="3" t="str">
        <x:v>public_directory.jsonl</x:v>
      </x:c>
      <x:c r="AP2006" s="19"/>
    </x:row>
    <x:row r="2007" ht="36" customHeight="1">
      <x:c r="A2007" s="23" t="n">
        <x:v>2006</x:v>
      </x:c>
      <x:c r="B2007" s="15" t="str">
        <x:v>Zeus Lending</x:v>
      </x:c>
      <x:c r="C2007" s="15"/>
      <x:c r="D2007" s="15" t="str">
        <x:v>Property lender or directory member; operating-company capital unconfirmed</x:v>
      </x:c>
      <x:c r="E2007" s="15" t="str">
        <x:v>Property lender / private-money inquiry</x:v>
      </x:c>
      <x:c r="F2007" s="17" t="str">
        <x:v>New</x:v>
      </x:c>
      <x:c r="G2007" s="24"/>
      <x:c r="H2007" s="24" t="str">
        <x:v>+17132759387</x:v>
      </x:c>
      <x:c r="I2007" s="24" t="str">
        <x:v>https://zeuslending.com/?utm_source=private-lender-link</x:v>
      </x:c>
      <x:c r="J2007" s="16" t="str">
        <x:v>TX</x:v>
      </x:c>
      <x:c r="K2007" s="16"/>
      <x:c r="L2007" s="16" t="str">
        <x:v>firm_business_routing</x:v>
      </x:c>
      <x:c r="M2007" s="16" t="str">
        <x:v>https://zeuslending.com/?utm_source=private-lender-link</x:v>
      </x:c>
      <x:c r="N2007" s="16" t="str">
        <x:v>$100K-$500K ticket not published / unconfirmed</x:v>
      </x:c>
      <x:c r="O2007" s="20"/>
      <x:c r="P2007" s="20"/>
      <x:c r="Q2007" s="25" t="str">
        <x:v>Property-loan range, not a corporate-capital commitment</x:v>
      </x:c>
      <x:c r="R2007" s="25" t="str">
        <x:v>Private real-estate finance experience. Corporate working capital, minority equity or profit participation requires a separate agreement from a property loan.</x:v>
      </x:c>
      <x:c r="S2007" s="25"/>
      <x:c r="T2007" s="25" t="str">
        <x:v>Confirm direct principal versus broker, $100K-$500K appetite, and whether capital can fund the operating company without a property mortgage.</x:v>
      </x:c>
      <x:c r="U2007" s="25" t="str">
        <x:v>https://privatelenderlink.com/profile/zeus-lending/</x:v>
      </x:c>
      <x:c r="V2007" s="26" t="d">
        <x:v>2026-10-02T00:00:00.000Z</x:v>
      </x:c>
      <x:c r="W2007" s="26" t="d">
        <x:v>2026-09-30T00:00:00.000Z</x:v>
      </x:c>
      <x:c r="X2007" s="25" t="str">
        <x:v>Saved public company, industry-directory or regulatory source; source date retained</x:v>
      </x:c>
      <x:c r="Y2007" s="25"/>
      <x:c r="Z2007" s="25" t="str">
        <x:v>https://privatelenderlink.com/profile/zeus-lending/</x:v>
      </x:c>
      <x:c r="AA2007" s="25" t="str">
        <x:v>[]</x:v>
      </x:c>
      <x:c r="AB2007" s="3" t="str">
        <x:v>Existing CapitalForge research, newly screened for this campaign</x:v>
      </x:c>
      <x:c r="AC2007" s="3" t="str">
        <x:v>unverified</x:v>
      </x:c>
      <x:c r="AD2007" s="3" t="str">
        <x:v>Not contacted / unconfirmed</x:v>
      </x:c>
      <x:c r="AE2007" s="3" t="str">
        <x:v>No</x:v>
      </x:c>
      <x:c r="AF2007" s="3" t="str">
        <x:v>No</x:v>
      </x:c>
      <x:c r="AG2007" s="3"/>
      <x:c r="AH2007" s="3"/>
      <x:c r="AI2007" s="18"/>
      <x:c r="AJ2007" s="3" t="str">
        <x:v>CF2500-65DDF9CBEB79</x:v>
      </x:c>
      <x:c r="AK2007" s="3" t="str">
        <x:v>private_real_estate_lender</x:v>
      </x:c>
      <x:c r="AL2007" s="19" t="n">
        <x:v>100000</x:v>
      </x:c>
      <x:c r="AM2007" s="19" t="n">
        <x:v>500000</x:v>
      </x:c>
      <x:c r="AN2007" s="3" t="str">
        <x:v>https://privatelenderlink.com/profile/zeus-lending/</x:v>
      </x:c>
      <x:c r="AO2007" s="3" t="str">
        <x:v>public_directory.jsonl</x:v>
      </x:c>
      <x:c r="AP2007" s="19"/>
    </x:row>
    <x:row r="2008" ht="36" customHeight="1">
      <x:c r="A2008" s="23" t="n">
        <x:v>2007</x:v>
      </x:c>
      <x:c r="B2008" s="15" t="str">
        <x:v>ACALA INVESTMENTS</x:v>
      </x:c>
      <x:c r="C2008" s="15"/>
      <x:c r="D2008" s="15" t="str">
        <x:v>Property lender / private real-estate capital prospect</x:v>
      </x:c>
      <x:c r="E2008" s="15" t="str">
        <x:v>Property lender / private-money inquiry</x:v>
      </x:c>
      <x:c r="F2008" s="17" t="str">
        <x:v>New</x:v>
      </x:c>
      <x:c r="G2008" s="24"/>
      <x:c r="H2008" s="24" t="str">
        <x:v>+19155495551</x:v>
      </x:c>
      <x:c r="I2008" s="24" t="str">
        <x:v>https://investwithacala.com/</x:v>
      </x:c>
      <x:c r="J2008" s="16" t="str">
        <x:v>TX</x:v>
      </x:c>
      <x:c r="K2008" s="16" t="str">
        <x:v>El Paso</x:v>
      </x:c>
      <x:c r="L2008" s="16" t="str">
        <x:v>firm_business_routing</x:v>
      </x:c>
      <x:c r="M2008" s="16" t="str">
        <x:v>https://investwithacala.com/</x:v>
      </x:c>
      <x:c r="N2008" s="16" t="str">
        <x:v>$100K-$500K ticket not published / unconfirmed</x:v>
      </x:c>
      <x:c r="O2008" s="20"/>
      <x:c r="P2008" s="20"/>
      <x:c r="Q2008" s="25" t="str">
        <x:v>Property-loan range, not a corporate-capital commitment</x:v>
      </x:c>
      <x:c r="R2008" s="25" t="str">
        <x:v>Private real-estate finance experience. Corporate working capital, minority equity or profit participation requires a separate agreement from a property loan.</x:v>
      </x:c>
      <x:c r="S2008" s="25"/>
      <x:c r="T2008" s="25" t="str">
        <x:v>Confirm direct principal versus broker, $100K-$500K appetite, and whether capital can fund the operating company without a property mortgage.</x:v>
      </x:c>
      <x:c r="U2008" s="25" t="str">
        <x:v>https://www.privatelendersdirectory.com/united-states/el-paso/top-level-category/acala-investments
https://investwithacala.com/</x:v>
      </x:c>
      <x:c r="V2008" s="26" t="d">
        <x:v>2026-10-02T00:00:00.000Z</x:v>
      </x:c>
      <x:c r="W2008" s="26" t="d">
        <x:v>2026-10-02T00:00:00.000Z</x:v>
      </x:c>
      <x:c r="X2008" s="25" t="str">
        <x:v>Public investor directory; business role and contact ownership require qualification</x:v>
      </x:c>
      <x:c r="Y2008" s="25"/>
      <x:c r="Z2008" s="25" t="str">
        <x:v>https://www.privatelendersdirectory.com/united-states/el-paso/top-level-category/acala-investments</x:v>
      </x:c>
      <x:c r="AA2008" s="25" t="str">
        <x:v>Directory member description excerpt: EL PASO, TX PRIVATE LENDER We offer a variety of services including any and all residential and commercial real estate</x:v>
      </x:c>
      <x:c r="AB2008" s="3" t="str">
        <x:v>New public-source collection</x:v>
      </x:c>
      <x:c r="AC2008" s="3" t="str">
        <x:v>unverified</x:v>
      </x:c>
      <x:c r="AD2008" s="3" t="str">
        <x:v>Not contacted / unconfirmed</x:v>
      </x:c>
      <x:c r="AE2008" s="3" t="str">
        <x:v>No</x:v>
      </x:c>
      <x:c r="AF2008" s="3" t="str">
        <x:v>No</x:v>
      </x:c>
      <x:c r="AG2008" s="3"/>
      <x:c r="AH2008" s="3"/>
      <x:c r="AI2008" s="18"/>
      <x:c r="AJ2008" s="3" t="str">
        <x:v>CF2500-05B05DA4056A</x:v>
      </x:c>
      <x:c r="AK2008" s="3" t="str">
        <x:v>private real estate lender (directory claim)</x:v>
      </x:c>
      <x:c r="AL2008" s="19" t="n">
        <x:v>100000</x:v>
      </x:c>
      <x:c r="AM2008" s="19" t="n">
        <x:v>500000</x:v>
      </x:c>
      <x:c r="AN2008" s="3" t="str">
        <x:v>https://www.privatelendersdirectory.com/united-states/el-paso/top-level-category/acala-investments</x:v>
      </x:c>
      <x:c r="AO2008" s="3" t="str">
        <x:v>bulk_new_investors.jsonl</x:v>
      </x:c>
      <x:c r="AP2008" s="19"/>
    </x:row>
    <x:row r="2009" ht="36" customHeight="1">
      <x:c r="A2009" s="23" t="n">
        <x:v>2008</x:v>
      </x:c>
      <x:c r="B2009" s="15" t="str">
        <x:v>ARC HOME CAPITAL</x:v>
      </x:c>
      <x:c r="C2009" s="15"/>
      <x:c r="D2009" s="15" t="str">
        <x:v>Property lender / private real-estate capital prospect</x:v>
      </x:c>
      <x:c r="E2009" s="15" t="str">
        <x:v>Property lender / private-money inquiry</x:v>
      </x:c>
      <x:c r="F2009" s="17" t="str">
        <x:v>New</x:v>
      </x:c>
      <x:c r="G2009" s="24"/>
      <x:c r="H2009" s="24" t="str">
        <x:v>+18448513600</x:v>
      </x:c>
      <x:c r="I2009" s="24" t="str">
        <x:v>https://www.archomellc.com/</x:v>
      </x:c>
      <x:c r="J2009" s="16" t="str">
        <x:v>FL</x:v>
      </x:c>
      <x:c r="K2009" s="16" t="str">
        <x:v>Jacksonville</x:v>
      </x:c>
      <x:c r="L2009" s="16" t="str">
        <x:v>firm_business_routing</x:v>
      </x:c>
      <x:c r="M2009" s="16" t="str">
        <x:v>https://www.archomellc.com/</x:v>
      </x:c>
      <x:c r="N2009" s="16" t="str">
        <x:v>$100K-$500K ticket not published / unconfirmed</x:v>
      </x:c>
      <x:c r="O2009" s="20"/>
      <x:c r="P2009" s="20"/>
      <x:c r="Q2009" s="25" t="str">
        <x:v>Property-loan range, not a corporate-capital commitment</x:v>
      </x:c>
      <x:c r="R2009" s="25" t="str">
        <x:v>Private real-estate finance experience. Corporate working capital, minority equity or profit participation requires a separate agreement from a property loan.</x:v>
      </x:c>
      <x:c r="S2009" s="25"/>
      <x:c r="T2009" s="25" t="str">
        <x:v>Confirm direct principal versus broker, $100K-$500K appetite, and whether capital can fund the operating company without a property mortgage.</x:v>
      </x:c>
      <x:c r="U2009" s="25" t="str">
        <x:v>https://www.privatelendersdirectory.com/united-states/jacksonville/top-level-category/arc-home-capital
https://www.archomellc.com/</x:v>
      </x:c>
      <x:c r="V2009" s="26" t="d">
        <x:v>2026-10-02T00:00:00.000Z</x:v>
      </x:c>
      <x:c r="W2009" s="26" t="d">
        <x:v>2026-10-02T00:00:00.000Z</x:v>
      </x:c>
      <x:c r="X2009" s="25" t="str">
        <x:v>Public investor directory; business role and contact ownership require qualification</x:v>
      </x:c>
      <x:c r="Y2009" s="25"/>
      <x:c r="Z2009" s="25" t="str">
        <x:v>https://www.privatelendersdirectory.com/united-states/jacksonville/top-level-category/arc-home-capital</x:v>
      </x:c>
      <x:c r="AA2009" s="25" t="str">
        <x:v>Directory member description excerpt: JACKSONVILLE, FL PRIVATE LENDER we maintain a comprehensive approach to mortgage lending, constantly evolving with the market.</x:v>
      </x:c>
      <x:c r="AB2009" s="3" t="str">
        <x:v>New public-source collection</x:v>
      </x:c>
      <x:c r="AC2009" s="3" t="str">
        <x:v>unverified</x:v>
      </x:c>
      <x:c r="AD2009" s="3" t="str">
        <x:v>Not contacted / unconfirmed</x:v>
      </x:c>
      <x:c r="AE2009" s="3" t="str">
        <x:v>No</x:v>
      </x:c>
      <x:c r="AF2009" s="3" t="str">
        <x:v>No</x:v>
      </x:c>
      <x:c r="AG2009" s="3"/>
      <x:c r="AH2009" s="3"/>
      <x:c r="AI2009" s="18"/>
      <x:c r="AJ2009" s="3" t="str">
        <x:v>CF2500-8D086E62FBF7</x:v>
      </x:c>
      <x:c r="AK2009" s="3" t="str">
        <x:v>private real estate lender (directory claim)</x:v>
      </x:c>
      <x:c r="AL2009" s="19" t="n">
        <x:v>100000</x:v>
      </x:c>
      <x:c r="AM2009" s="19" t="n">
        <x:v>500000</x:v>
      </x:c>
      <x:c r="AN2009" s="3" t="str">
        <x:v>https://www.privatelendersdirectory.com/united-states/jacksonville/top-level-category/arc-home-capital</x:v>
      </x:c>
      <x:c r="AO2009" s="3" t="str">
        <x:v>bulk_new_investors.jsonl</x:v>
      </x:c>
      <x:c r="AP2009" s="19"/>
    </x:row>
    <x:row r="2010" ht="36" customHeight="1">
      <x:c r="A2010" s="23" t="n">
        <x:v>2009</x:v>
      </x:c>
      <x:c r="B2010" s="15" t="str">
        <x:v>DP Martone Capital</x:v>
      </x:c>
      <x:c r="C2010" s="15"/>
      <x:c r="D2010" s="15" t="str">
        <x:v>Property lender or directory member; operating-company capital unconfirmed</x:v>
      </x:c>
      <x:c r="E2010" s="15" t="str">
        <x:v>Property lender / private-money inquiry</x:v>
      </x:c>
      <x:c r="F2010" s="17" t="str">
        <x:v>New</x:v>
      </x:c>
      <x:c r="G2010" s="24"/>
      <x:c r="H2010" s="24" t="str">
        <x:v>+18325921330</x:v>
      </x:c>
      <x:c r="I2010" s="24"/>
      <x:c r="J2010" s="16" t="str">
        <x:v>TX</x:v>
      </x:c>
      <x:c r="K2010" s="16" t="str">
        <x:v>Spring</x:v>
      </x:c>
      <x:c r="L2010" s="16" t="str">
        <x:v>firm_business_routing</x:v>
      </x:c>
      <x:c r="M2010" s="16"/>
      <x:c r="N2010" s="16" t="str">
        <x:v>Published source range; proposed allocation and structure require confirmation</x:v>
      </x:c>
      <x:c r="O2010" s="20"/>
      <x:c r="P2010" s="20" t="n">
        <x:v>10000000</x:v>
      </x:c>
      <x:c r="Q2010" s="25" t="str">
        <x:v>Property-loan range, not a corporate-capital commitment</x:v>
      </x:c>
      <x:c r="R2010" s="25" t="str">
        <x:v>Private real-estate finance experience. Corporate working capital, minority equity or profit participation requires a separate agreement from a property loan.</x:v>
      </x:c>
      <x:c r="S2010" s="25"/>
      <x:c r="T2010" s="25" t="str">
        <x:v>Confirm direct principal versus broker, $100K-$500K appetite, and whether capital can fund the operating company without a property mortgage.</x:v>
      </x:c>
      <x:c r="U2010" s="25" t="str">
        <x:v>https://www.hardmoneyhome.com/lenders/view/dp-martone-capital</x:v>
      </x:c>
      <x:c r="V2010" s="26" t="d">
        <x:v>2026-10-02T00:00:00.000Z</x:v>
      </x:c>
      <x:c r="W2010" s="26" t="d">
        <x:v>2026-09-30T00:00:00.000Z</x:v>
      </x:c>
      <x:c r="X2010" s="25" t="str">
        <x:v>Saved public company, industry-directory or regulatory source; source date retained</x:v>
      </x:c>
      <x:c r="Y2010" s="25"/>
      <x:c r="Z2010" s="25" t="str">
        <x:v>https://www.hardmoneyhome.com/lenders/view/dp-martone-capital</x:v>
      </x:c>
      <x:c r="AA2010" s="25" t="str">
        <x:v>[]</x:v>
      </x:c>
      <x:c r="AB2010" s="3" t="str">
        <x:v>Existing CapitalForge research, newly screened for this campaign</x:v>
      </x:c>
      <x:c r="AC2010" s="3" t="str">
        <x:v>unverified</x:v>
      </x:c>
      <x:c r="AD2010" s="3" t="str">
        <x:v>Not contacted / unconfirmed</x:v>
      </x:c>
      <x:c r="AE2010" s="3" t="str">
        <x:v>No</x:v>
      </x:c>
      <x:c r="AF2010" s="3" t="str">
        <x:v>No</x:v>
      </x:c>
      <x:c r="AG2010" s="3"/>
      <x:c r="AH2010" s="3"/>
      <x:c r="AI2010" s="18"/>
      <x:c r="AJ2010" s="3" t="str">
        <x:v>CF2500-14721FF3B088</x:v>
      </x:c>
      <x:c r="AK2010" s="3" t="str">
        <x:v>private_real_estate_lender</x:v>
      </x:c>
      <x:c r="AL2010" s="19" t="n">
        <x:v>100000</x:v>
      </x:c>
      <x:c r="AM2010" s="19" t="n">
        <x:v>500000</x:v>
      </x:c>
      <x:c r="AN2010" s="3" t="str">
        <x:v>https://www.hardmoneyhome.com/lenders/view/dp-martone-capital</x:v>
      </x:c>
      <x:c r="AO2010" s="3" t="str">
        <x:v>public_directory.jsonl</x:v>
      </x:c>
      <x:c r="AP2010" s="19"/>
    </x:row>
    <x:row r="2011" ht="36" customHeight="1">
      <x:c r="A2011" s="23" t="n">
        <x:v>2010</x:v>
      </x:c>
      <x:c r="B2011" s="15" t="str">
        <x:v>In The Black Commercial Finance</x:v>
      </x:c>
      <x:c r="C2011" s="15"/>
      <x:c r="D2011" s="15" t="str">
        <x:v>Property lender or directory member; operating-company capital unconfirmed</x:v>
      </x:c>
      <x:c r="E2011" s="15" t="str">
        <x:v>Property lender / private-money inquiry</x:v>
      </x:c>
      <x:c r="F2011" s="17" t="str">
        <x:v>New</x:v>
      </x:c>
      <x:c r="G2011" s="24"/>
      <x:c r="H2011" s="24" t="str">
        <x:v>+19803498455</x:v>
      </x:c>
      <x:c r="I2011" s="24"/>
      <x:c r="J2011" s="16" t="str">
        <x:v>NC</x:v>
      </x:c>
      <x:c r="K2011" s="16" t="str">
        <x:v>Charlotte</x:v>
      </x:c>
      <x:c r="L2011" s="16" t="str">
        <x:v>firm_business_routing</x:v>
      </x:c>
      <x:c r="M2011" s="16"/>
      <x:c r="N2011" s="16" t="str">
        <x:v>Published source range; proposed allocation and structure require confirmation</x:v>
      </x:c>
      <x:c r="O2011" s="20"/>
      <x:c r="P2011" s="20" t="n">
        <x:v>100000000</x:v>
      </x:c>
      <x:c r="Q2011" s="25" t="str">
        <x:v>Property-loan range, not a corporate-capital commitment</x:v>
      </x:c>
      <x:c r="R2011" s="25" t="str">
        <x:v>Private real-estate finance experience. Corporate working capital, minority equity or profit participation requires a separate agreement from a property loan.</x:v>
      </x:c>
      <x:c r="S2011" s="25"/>
      <x:c r="T2011" s="25" t="str">
        <x:v>Confirm direct principal versus broker, $100K-$500K appetite, and whether capital can fund the operating company without a property mortgage.</x:v>
      </x:c>
      <x:c r="U2011" s="25" t="str">
        <x:v>https://www.hardmoneyhome.com/lenders/view/in-the-black-commercial-finance</x:v>
      </x:c>
      <x:c r="V2011" s="26" t="d">
        <x:v>2026-10-02T00:00:00.000Z</x:v>
      </x:c>
      <x:c r="W2011" s="26" t="d">
        <x:v>2026-09-30T00:00:00.000Z</x:v>
      </x:c>
      <x:c r="X2011" s="25" t="str">
        <x:v>Saved public company, industry-directory or regulatory source; source date retained</x:v>
      </x:c>
      <x:c r="Y2011" s="25"/>
      <x:c r="Z2011" s="25" t="str">
        <x:v>https://www.hardmoneyhome.com/lenders/view/in-the-black-commercial-finance</x:v>
      </x:c>
      <x:c r="AA2011" s="25" t="str">
        <x:v>[]</x:v>
      </x:c>
      <x:c r="AB2011" s="3" t="str">
        <x:v>Existing CapitalForge research, newly screened for this campaign</x:v>
      </x:c>
      <x:c r="AC2011" s="3" t="str">
        <x:v>unverified</x:v>
      </x:c>
      <x:c r="AD2011" s="3" t="str">
        <x:v>Not contacted / unconfirmed</x:v>
      </x:c>
      <x:c r="AE2011" s="3" t="str">
        <x:v>No</x:v>
      </x:c>
      <x:c r="AF2011" s="3" t="str">
        <x:v>No</x:v>
      </x:c>
      <x:c r="AG2011" s="3"/>
      <x:c r="AH2011" s="3"/>
      <x:c r="AI2011" s="18"/>
      <x:c r="AJ2011" s="3" t="str">
        <x:v>CF2500-25FBD01677BF</x:v>
      </x:c>
      <x:c r="AK2011" s="3" t="str">
        <x:v>private_real_estate_lender</x:v>
      </x:c>
      <x:c r="AL2011" s="19" t="n">
        <x:v>100000</x:v>
      </x:c>
      <x:c r="AM2011" s="19" t="n">
        <x:v>500000</x:v>
      </x:c>
      <x:c r="AN2011" s="3" t="str">
        <x:v>https://www.hardmoneyhome.com/lenders/view/in-the-black-commercial-finance</x:v>
      </x:c>
      <x:c r="AO2011" s="3" t="str">
        <x:v>public_directory.jsonl</x:v>
      </x:c>
      <x:c r="AP2011" s="19"/>
    </x:row>
    <x:row r="2012" ht="36" customHeight="1">
      <x:c r="A2012" s="23" t="n">
        <x:v>2011</x:v>
      </x:c>
      <x:c r="B2012" s="15" t="str">
        <x:v>National Business Funding Solutions</x:v>
      </x:c>
      <x:c r="C2012" s="15"/>
      <x:c r="D2012" s="15" t="str">
        <x:v>Property lender or directory member; operating-company capital unconfirmed</x:v>
      </x:c>
      <x:c r="E2012" s="15" t="str">
        <x:v>Property lender / private-money inquiry</x:v>
      </x:c>
      <x:c r="F2012" s="17" t="str">
        <x:v>New</x:v>
      </x:c>
      <x:c r="G2012" s="24"/>
      <x:c r="H2012" s="24" t="str">
        <x:v>+16028848014</x:v>
      </x:c>
      <x:c r="I2012" s="24"/>
      <x:c r="J2012" s="16" t="str">
        <x:v>AZ</x:v>
      </x:c>
      <x:c r="K2012" s="16" t="str">
        <x:v>Phoenix</x:v>
      </x:c>
      <x:c r="L2012" s="16" t="str">
        <x:v>firm_business_routing</x:v>
      </x:c>
      <x:c r="M2012" s="16"/>
      <x:c r="N2012" s="16" t="str">
        <x:v>Published source range; proposed allocation and structure require confirmation</x:v>
      </x:c>
      <x:c r="O2012" s="20"/>
      <x:c r="P2012" s="20" t="n">
        <x:v>100000000</x:v>
      </x:c>
      <x:c r="Q2012" s="25" t="str">
        <x:v>Property-loan range, not a corporate-capital commitment</x:v>
      </x:c>
      <x:c r="R2012" s="25" t="str">
        <x:v>Private real-estate finance experience. Corporate working capital, minority equity or profit participation requires a separate agreement from a property loan.</x:v>
      </x:c>
      <x:c r="S2012" s="25"/>
      <x:c r="T2012" s="25" t="str">
        <x:v>Confirm direct principal versus broker, $100K-$500K appetite, and whether capital can fund the operating company without a property mortgage.</x:v>
      </x:c>
      <x:c r="U2012" s="25" t="str">
        <x:v>https://www.hardmoneyhome.com/lenders/view/national-business-funding-solutions</x:v>
      </x:c>
      <x:c r="V2012" s="26" t="d">
        <x:v>2026-10-02T00:00:00.000Z</x:v>
      </x:c>
      <x:c r="W2012" s="26" t="d">
        <x:v>2026-09-30T00:00:00.000Z</x:v>
      </x:c>
      <x:c r="X2012" s="25" t="str">
        <x:v>Saved public company, industry-directory or regulatory source; source date retained</x:v>
      </x:c>
      <x:c r="Y2012" s="25"/>
      <x:c r="Z2012" s="25" t="str">
        <x:v>https://www.hardmoneyhome.com/lenders/view/national-business-funding-solutions</x:v>
      </x:c>
      <x:c r="AA2012" s="25" t="str">
        <x:v>[]</x:v>
      </x:c>
      <x:c r="AB2012" s="3" t="str">
        <x:v>Existing CapitalForge research, newly screened for this campaign</x:v>
      </x:c>
      <x:c r="AC2012" s="3" t="str">
        <x:v>unverified</x:v>
      </x:c>
      <x:c r="AD2012" s="3" t="str">
        <x:v>Not contacted / unconfirmed</x:v>
      </x:c>
      <x:c r="AE2012" s="3" t="str">
        <x:v>No</x:v>
      </x:c>
      <x:c r="AF2012" s="3" t="str">
        <x:v>No</x:v>
      </x:c>
      <x:c r="AG2012" s="3"/>
      <x:c r="AH2012" s="3"/>
      <x:c r="AI2012" s="18"/>
      <x:c r="AJ2012" s="3" t="str">
        <x:v>CF2500-96B68627976E</x:v>
      </x:c>
      <x:c r="AK2012" s="3" t="str">
        <x:v>private_real_estate_lender</x:v>
      </x:c>
      <x:c r="AL2012" s="19" t="n">
        <x:v>100000</x:v>
      </x:c>
      <x:c r="AM2012" s="19" t="n">
        <x:v>500000</x:v>
      </x:c>
      <x:c r="AN2012" s="3" t="str">
        <x:v>https://www.hardmoneyhome.com/lenders/view/national-business-funding-solutions</x:v>
      </x:c>
      <x:c r="AO2012" s="3" t="str">
        <x:v>public_directory.jsonl</x:v>
      </x:c>
      <x:c r="AP2012" s="19"/>
    </x:row>
    <x:row r="2013" ht="36" customHeight="1">
      <x:c r="A2013" s="23" t="n">
        <x:v>2012</x:v>
      </x:c>
      <x:c r="B2013" s="15" t="str">
        <x:v>Next-Financing</x:v>
      </x:c>
      <x:c r="C2013" s="15"/>
      <x:c r="D2013" s="15" t="str">
        <x:v>Property lender or directory member; operating-company capital unconfirmed</x:v>
      </x:c>
      <x:c r="E2013" s="15" t="str">
        <x:v>Property lender / private-money inquiry</x:v>
      </x:c>
      <x:c r="F2013" s="17" t="str">
        <x:v>New</x:v>
      </x:c>
      <x:c r="G2013" s="24"/>
      <x:c r="H2013" s="24" t="str">
        <x:v>+18006051821</x:v>
      </x:c>
      <x:c r="I2013" s="24"/>
      <x:c r="J2013" s="16" t="str">
        <x:v>AZ</x:v>
      </x:c>
      <x:c r="K2013" s="16" t="str">
        <x:v>Scottsdale</x:v>
      </x:c>
      <x:c r="L2013" s="16" t="str">
        <x:v>firm_business_routing</x:v>
      </x:c>
      <x:c r="M2013" s="16"/>
      <x:c r="N2013" s="16" t="str">
        <x:v>Published source range; proposed allocation and structure require confirmation</x:v>
      </x:c>
      <x:c r="O2013" s="20"/>
      <x:c r="P2013" s="20" t="n">
        <x:v>2000000</x:v>
      </x:c>
      <x:c r="Q2013" s="25" t="str">
        <x:v>Property-loan range, not a corporate-capital commitment</x:v>
      </x:c>
      <x:c r="R2013" s="25" t="str">
        <x:v>Private real-estate finance experience. Corporate working capital, minority equity or profit participation requires a separate agreement from a property loan.</x:v>
      </x:c>
      <x:c r="S2013" s="25"/>
      <x:c r="T2013" s="25" t="str">
        <x:v>Confirm direct principal versus broker, $100K-$500K appetite, and whether capital can fund the operating company without a property mortgage.</x:v>
      </x:c>
      <x:c r="U2013" s="25" t="str">
        <x:v>https://www.hardmoneyhome.com/lenders/view/next-financing</x:v>
      </x:c>
      <x:c r="V2013" s="26" t="d">
        <x:v>2026-10-02T00:00:00.000Z</x:v>
      </x:c>
      <x:c r="W2013" s="26" t="d">
        <x:v>2026-09-30T00:00:00.000Z</x:v>
      </x:c>
      <x:c r="X2013" s="25" t="str">
        <x:v>Saved public company, industry-directory or regulatory source; source date retained</x:v>
      </x:c>
      <x:c r="Y2013" s="25"/>
      <x:c r="Z2013" s="25" t="str">
        <x:v>https://www.hardmoneyhome.com/lenders/view/next-financing</x:v>
      </x:c>
      <x:c r="AA2013" s="25" t="str">
        <x:v>[]</x:v>
      </x:c>
      <x:c r="AB2013" s="3" t="str">
        <x:v>Existing CapitalForge research, newly screened for this campaign</x:v>
      </x:c>
      <x:c r="AC2013" s="3" t="str">
        <x:v>unverified</x:v>
      </x:c>
      <x:c r="AD2013" s="3" t="str">
        <x:v>Not contacted / unconfirmed</x:v>
      </x:c>
      <x:c r="AE2013" s="3" t="str">
        <x:v>No</x:v>
      </x:c>
      <x:c r="AF2013" s="3" t="str">
        <x:v>No</x:v>
      </x:c>
      <x:c r="AG2013" s="3"/>
      <x:c r="AH2013" s="3"/>
      <x:c r="AI2013" s="18"/>
      <x:c r="AJ2013" s="3" t="str">
        <x:v>CF2500-724840011503</x:v>
      </x:c>
      <x:c r="AK2013" s="3" t="str">
        <x:v>private_real_estate_lender</x:v>
      </x:c>
      <x:c r="AL2013" s="19" t="n">
        <x:v>100000</x:v>
      </x:c>
      <x:c r="AM2013" s="19" t="n">
        <x:v>500000</x:v>
      </x:c>
      <x:c r="AN2013" s="3" t="str">
        <x:v>https://www.hardmoneyhome.com/lenders/view/next-financing</x:v>
      </x:c>
      <x:c r="AO2013" s="3" t="str">
        <x:v>public_directory.jsonl</x:v>
      </x:c>
      <x:c r="AP2013" s="19"/>
    </x:row>
    <x:row r="2014" ht="36" customHeight="1">
      <x:c r="A2014" s="23" t="n">
        <x:v>2013</x:v>
      </x:c>
      <x:c r="B2014" s="15" t="str">
        <x:v>Patterson Investments</x:v>
      </x:c>
      <x:c r="C2014" s="15"/>
      <x:c r="D2014" s="15" t="str">
        <x:v>Property lender or directory member; operating-company capital unconfirmed</x:v>
      </x:c>
      <x:c r="E2014" s="15" t="str">
        <x:v>Property lender / private-money inquiry</x:v>
      </x:c>
      <x:c r="F2014" s="17" t="str">
        <x:v>New</x:v>
      </x:c>
      <x:c r="G2014" s="24"/>
      <x:c r="H2014" s="24" t="str">
        <x:v>+15122287816</x:v>
      </x:c>
      <x:c r="I2014" s="24"/>
      <x:c r="J2014" s="16" t="str">
        <x:v>TX</x:v>
      </x:c>
      <x:c r="K2014" s="16" t="str">
        <x:v>Austin</x:v>
      </x:c>
      <x:c r="L2014" s="16" t="str">
        <x:v>firm_business_routing</x:v>
      </x:c>
      <x:c r="M2014" s="16"/>
      <x:c r="N2014" s="16" t="str">
        <x:v>Published source range; proposed allocation and structure require confirmation</x:v>
      </x:c>
      <x:c r="O2014" s="20"/>
      <x:c r="P2014" s="20" t="n">
        <x:v>1000000</x:v>
      </x:c>
      <x:c r="Q2014" s="25" t="str">
        <x:v>Property-loan range, not a corporate-capital commitment</x:v>
      </x:c>
      <x:c r="R2014" s="25" t="str">
        <x:v>Private real-estate finance experience. Corporate working capital, minority equity or profit participation requires a separate agreement from a property loan.</x:v>
      </x:c>
      <x:c r="S2014" s="25"/>
      <x:c r="T2014" s="25" t="str">
        <x:v>Confirm direct principal versus broker, $100K-$500K appetite, and whether capital can fund the operating company without a property mortgage.</x:v>
      </x:c>
      <x:c r="U2014" s="25" t="str">
        <x:v>https://www.hardmoneyhome.com/lenders/view/patterson-investments</x:v>
      </x:c>
      <x:c r="V2014" s="26" t="d">
        <x:v>2026-10-02T00:00:00.000Z</x:v>
      </x:c>
      <x:c r="W2014" s="26" t="d">
        <x:v>2026-09-30T00:00:00.000Z</x:v>
      </x:c>
      <x:c r="X2014" s="25" t="str">
        <x:v>Saved public company, industry-directory or regulatory source; source date retained</x:v>
      </x:c>
      <x:c r="Y2014" s="25"/>
      <x:c r="Z2014" s="25" t="str">
        <x:v>https://www.hardmoneyhome.com/lenders/view/patterson-investments</x:v>
      </x:c>
      <x:c r="AA2014" s="25" t="str">
        <x:v>[]</x:v>
      </x:c>
      <x:c r="AB2014" s="3" t="str">
        <x:v>Existing CapitalForge research, newly screened for this campaign</x:v>
      </x:c>
      <x:c r="AC2014" s="3" t="str">
        <x:v>unverified</x:v>
      </x:c>
      <x:c r="AD2014" s="3" t="str">
        <x:v>Not contacted / unconfirmed</x:v>
      </x:c>
      <x:c r="AE2014" s="3" t="str">
        <x:v>No</x:v>
      </x:c>
      <x:c r="AF2014" s="3" t="str">
        <x:v>No</x:v>
      </x:c>
      <x:c r="AG2014" s="3"/>
      <x:c r="AH2014" s="3"/>
      <x:c r="AI2014" s="18"/>
      <x:c r="AJ2014" s="3" t="str">
        <x:v>CF2500-52DECF8053BA</x:v>
      </x:c>
      <x:c r="AK2014" s="3" t="str">
        <x:v>private_real_estate_lender</x:v>
      </x:c>
      <x:c r="AL2014" s="19" t="n">
        <x:v>100000</x:v>
      </x:c>
      <x:c r="AM2014" s="19" t="n">
        <x:v>500000</x:v>
      </x:c>
      <x:c r="AN2014" s="3" t="str">
        <x:v>https://www.hardmoneyhome.com/lenders/view/patterson-investments</x:v>
      </x:c>
      <x:c r="AO2014" s="3" t="str">
        <x:v>public_directory.jsonl</x:v>
      </x:c>
      <x:c r="AP2014" s="19"/>
    </x:row>
    <x:row r="2015" ht="36" customHeight="1">
      <x:c r="A2015" s="23" t="n">
        <x:v>2014</x:v>
      </x:c>
      <x:c r="B2015" s="15" t="str">
        <x:v>Turning Point Capital</x:v>
      </x:c>
      <x:c r="C2015" s="15"/>
      <x:c r="D2015" s="15" t="str">
        <x:v>Property lender or directory member; operating-company capital unconfirmed</x:v>
      </x:c>
      <x:c r="E2015" s="15" t="str">
        <x:v>Property lender / private-money inquiry</x:v>
      </x:c>
      <x:c r="F2015" s="17" t="str">
        <x:v>New</x:v>
      </x:c>
      <x:c r="G2015" s="24"/>
      <x:c r="H2015" s="24" t="str">
        <x:v>+18885100368</x:v>
      </x:c>
      <x:c r="I2015" s="24"/>
      <x:c r="J2015" s="16" t="str">
        <x:v>IL</x:v>
      </x:c>
      <x:c r="K2015" s="16" t="str">
        <x:v>Downers Grove</x:v>
      </x:c>
      <x:c r="L2015" s="16" t="str">
        <x:v>firm_business_routing</x:v>
      </x:c>
      <x:c r="M2015" s="16"/>
      <x:c r="N2015" s="16" t="str">
        <x:v>Published source range; proposed allocation and structure require confirmation</x:v>
      </x:c>
      <x:c r="O2015" s="20"/>
      <x:c r="P2015" s="20" t="n">
        <x:v>10000000</x:v>
      </x:c>
      <x:c r="Q2015" s="25" t="str">
        <x:v>Property-loan range, not a corporate-capital commitment</x:v>
      </x:c>
      <x:c r="R2015" s="25" t="str">
        <x:v>Private real-estate finance experience. Corporate working capital, minority equity or profit participation requires a separate agreement from a property loan.</x:v>
      </x:c>
      <x:c r="S2015" s="25"/>
      <x:c r="T2015" s="25" t="str">
        <x:v>Confirm direct principal versus broker, $100K-$500K appetite, and whether capital can fund the operating company without a property mortgage.</x:v>
      </x:c>
      <x:c r="U2015" s="25" t="str">
        <x:v>https://www.hardmoneyhome.com/lenders/view/turning-point-capital</x:v>
      </x:c>
      <x:c r="V2015" s="26" t="d">
        <x:v>2026-10-02T00:00:00.000Z</x:v>
      </x:c>
      <x:c r="W2015" s="26" t="d">
        <x:v>2026-09-30T00:00:00.000Z</x:v>
      </x:c>
      <x:c r="X2015" s="25" t="str">
        <x:v>Saved public company, industry-directory or regulatory source; source date retained</x:v>
      </x:c>
      <x:c r="Y2015" s="25"/>
      <x:c r="Z2015" s="25" t="str">
        <x:v>https://www.hardmoneyhome.com/lenders/view/turning-point-capital</x:v>
      </x:c>
      <x:c r="AA2015" s="25" t="str">
        <x:v>[]</x:v>
      </x:c>
      <x:c r="AB2015" s="3" t="str">
        <x:v>Existing CapitalForge research, newly screened for this campaign</x:v>
      </x:c>
      <x:c r="AC2015" s="3" t="str">
        <x:v>unverified</x:v>
      </x:c>
      <x:c r="AD2015" s="3" t="str">
        <x:v>Not contacted / unconfirmed</x:v>
      </x:c>
      <x:c r="AE2015" s="3" t="str">
        <x:v>No</x:v>
      </x:c>
      <x:c r="AF2015" s="3" t="str">
        <x:v>No</x:v>
      </x:c>
      <x:c r="AG2015" s="3"/>
      <x:c r="AH2015" s="3"/>
      <x:c r="AI2015" s="18"/>
      <x:c r="AJ2015" s="3" t="str">
        <x:v>CF2500-B862183F2C27</x:v>
      </x:c>
      <x:c r="AK2015" s="3" t="str">
        <x:v>private_real_estate_lender</x:v>
      </x:c>
      <x:c r="AL2015" s="19" t="n">
        <x:v>100000</x:v>
      </x:c>
      <x:c r="AM2015" s="19" t="n">
        <x:v>500000</x:v>
      </x:c>
      <x:c r="AN2015" s="3" t="str">
        <x:v>https://www.hardmoneyhome.com/lenders/view/turning-point-capital</x:v>
      </x:c>
      <x:c r="AO2015" s="3" t="str">
        <x:v>public_directory.jsonl</x:v>
      </x:c>
      <x:c r="AP2015" s="19"/>
    </x:row>
    <x:row r="2016" ht="36" customHeight="1">
      <x:c r="A2016" s="23" t="n">
        <x:v>2015</x:v>
      </x:c>
      <x:c r="B2016" s="15" t="str">
        <x:v>Business Financial Consultants of Houston</x:v>
      </x:c>
      <x:c r="C2016" s="15"/>
      <x:c r="D2016" s="15" t="str">
        <x:v>Property lender or directory member; operating-company capital unconfirmed</x:v>
      </x:c>
      <x:c r="E2016" s="15" t="str">
        <x:v>Property lender / private-money inquiry</x:v>
      </x:c>
      <x:c r="F2016" s="17" t="str">
        <x:v>New</x:v>
      </x:c>
      <x:c r="G2016" s="24"/>
      <x:c r="H2016" s="24" t="str">
        <x:v>+17137066124</x:v>
      </x:c>
      <x:c r="I2016" s="24"/>
      <x:c r="J2016" s="16" t="str">
        <x:v>TX</x:v>
      </x:c>
      <x:c r="K2016" s="16" t="str">
        <x:v>Houston</x:v>
      </x:c>
      <x:c r="L2016" s="16" t="str">
        <x:v>firm_business_routing</x:v>
      </x:c>
      <x:c r="M2016" s="16"/>
      <x:c r="N2016" s="16" t="str">
        <x:v>$100K-$500K ticket not published / unconfirmed</x:v>
      </x:c>
      <x:c r="O2016" s="20"/>
      <x:c r="P2016" s="20"/>
      <x:c r="Q2016" s="25" t="str">
        <x:v>Property-loan range, not a corporate-capital commitment</x:v>
      </x:c>
      <x:c r="R2016" s="25" t="str">
        <x:v>Private real-estate finance experience. Corporate working capital, minority equity or profit participation requires a separate agreement from a property loan.</x:v>
      </x:c>
      <x:c r="S2016" s="25"/>
      <x:c r="T2016" s="25" t="str">
        <x:v>Confirm direct principal versus broker, $100K-$500K appetite, and whether capital can fund the operating company without a property mortgage.</x:v>
      </x:c>
      <x:c r="U2016" s="25" t="str">
        <x:v>https://www.hardmoneyhome.com/lenders/view/business-financial-consultants-of-houston</x:v>
      </x:c>
      <x:c r="V2016" s="26" t="d">
        <x:v>2026-10-02T00:00:00.000Z</x:v>
      </x:c>
      <x:c r="W2016" s="26" t="d">
        <x:v>2026-09-30T00:00:00.000Z</x:v>
      </x:c>
      <x:c r="X2016" s="25" t="str">
        <x:v>Saved public company, industry-directory or regulatory source; source date retained</x:v>
      </x:c>
      <x:c r="Y2016" s="25"/>
      <x:c r="Z2016" s="25" t="str">
        <x:v>https://www.hardmoneyhome.com/lenders/view/business-financial-consultants-of-houston</x:v>
      </x:c>
      <x:c r="AA2016" s="25" t="str">
        <x:v>[]</x:v>
      </x:c>
      <x:c r="AB2016" s="3" t="str">
        <x:v>Existing CapitalForge research, newly screened for this campaign</x:v>
      </x:c>
      <x:c r="AC2016" s="3" t="str">
        <x:v>unverified</x:v>
      </x:c>
      <x:c r="AD2016" s="3" t="str">
        <x:v>Not contacted / unconfirmed</x:v>
      </x:c>
      <x:c r="AE2016" s="3" t="str">
        <x:v>No</x:v>
      </x:c>
      <x:c r="AF2016" s="3" t="str">
        <x:v>No</x:v>
      </x:c>
      <x:c r="AG2016" s="3"/>
      <x:c r="AH2016" s="3"/>
      <x:c r="AI2016" s="18"/>
      <x:c r="AJ2016" s="3" t="str">
        <x:v>CF2500-63032FD97DD4</x:v>
      </x:c>
      <x:c r="AK2016" s="3" t="str">
        <x:v>private_real_estate_lender</x:v>
      </x:c>
      <x:c r="AL2016" s="19" t="n">
        <x:v>100000</x:v>
      </x:c>
      <x:c r="AM2016" s="19" t="n">
        <x:v>500000</x:v>
      </x:c>
      <x:c r="AN2016" s="3" t="str">
        <x:v>https://www.hardmoneyhome.com/lenders/view/business-financial-consultants-of-houston</x:v>
      </x:c>
      <x:c r="AO2016" s="3" t="str">
        <x:v>public_directory.jsonl</x:v>
      </x:c>
      <x:c r="AP2016" s="19"/>
    </x:row>
    <x:row r="2017" ht="36" customHeight="1">
      <x:c r="A2017" s="23" t="n">
        <x:v>2016</x:v>
      </x:c>
      <x:c r="B2017" s="15" t="str">
        <x:v>Cox Property Capital</x:v>
      </x:c>
      <x:c r="C2017" s="15"/>
      <x:c r="D2017" s="15" t="str">
        <x:v>Property lender or directory member; operating-company capital unconfirmed</x:v>
      </x:c>
      <x:c r="E2017" s="15" t="str">
        <x:v>Property lender / private-money inquiry</x:v>
      </x:c>
      <x:c r="F2017" s="17" t="str">
        <x:v>New</x:v>
      </x:c>
      <x:c r="G2017" s="24"/>
      <x:c r="H2017" s="24" t="str">
        <x:v>+18326990430</x:v>
      </x:c>
      <x:c r="I2017" s="24"/>
      <x:c r="J2017" s="16" t="str">
        <x:v>TX</x:v>
      </x:c>
      <x:c r="K2017" s="16" t="str">
        <x:v>Cypress</x:v>
      </x:c>
      <x:c r="L2017" s="16" t="str">
        <x:v>firm_business_routing</x:v>
      </x:c>
      <x:c r="M2017" s="16"/>
      <x:c r="N2017" s="16" t="str">
        <x:v>$100K-$500K ticket not published / unconfirmed</x:v>
      </x:c>
      <x:c r="O2017" s="20"/>
      <x:c r="P2017" s="20"/>
      <x:c r="Q2017" s="25" t="str">
        <x:v>Property-loan range, not a corporate-capital commitment</x:v>
      </x:c>
      <x:c r="R2017" s="25" t="str">
        <x:v>Private real-estate finance experience. Corporate working capital, minority equity or profit participation requires a separate agreement from a property loan.</x:v>
      </x:c>
      <x:c r="S2017" s="25"/>
      <x:c r="T2017" s="25" t="str">
        <x:v>Confirm direct principal versus broker, $100K-$500K appetite, and whether capital can fund the operating company without a property mortgage.</x:v>
      </x:c>
      <x:c r="U2017" s="25" t="str">
        <x:v>https://www.hardmoneyhome.com/lenders/view/cox-property-capital</x:v>
      </x:c>
      <x:c r="V2017" s="26" t="d">
        <x:v>2026-10-02T00:00:00.000Z</x:v>
      </x:c>
      <x:c r="W2017" s="26" t="d">
        <x:v>2026-09-30T00:00:00.000Z</x:v>
      </x:c>
      <x:c r="X2017" s="25" t="str">
        <x:v>Saved public company, industry-directory or regulatory source; source date retained</x:v>
      </x:c>
      <x:c r="Y2017" s="25"/>
      <x:c r="Z2017" s="25" t="str">
        <x:v>https://www.hardmoneyhome.com/lenders/view/cox-property-capital</x:v>
      </x:c>
      <x:c r="AA2017" s="25" t="str">
        <x:v>[]</x:v>
      </x:c>
      <x:c r="AB2017" s="3" t="str">
        <x:v>Existing CapitalForge research, newly screened for this campaign</x:v>
      </x:c>
      <x:c r="AC2017" s="3" t="str">
        <x:v>unverified</x:v>
      </x:c>
      <x:c r="AD2017" s="3" t="str">
        <x:v>Not contacted / unconfirmed</x:v>
      </x:c>
      <x:c r="AE2017" s="3" t="str">
        <x:v>No</x:v>
      </x:c>
      <x:c r="AF2017" s="3" t="str">
        <x:v>No</x:v>
      </x:c>
      <x:c r="AG2017" s="3"/>
      <x:c r="AH2017" s="3"/>
      <x:c r="AI2017" s="18"/>
      <x:c r="AJ2017" s="3" t="str">
        <x:v>CF2500-C45A5601EA7D</x:v>
      </x:c>
      <x:c r="AK2017" s="3" t="str">
        <x:v>private_real_estate_lender</x:v>
      </x:c>
      <x:c r="AL2017" s="19" t="n">
        <x:v>100000</x:v>
      </x:c>
      <x:c r="AM2017" s="19" t="n">
        <x:v>500000</x:v>
      </x:c>
      <x:c r="AN2017" s="3" t="str">
        <x:v>https://www.hardmoneyhome.com/lenders/view/cox-property-capital</x:v>
      </x:c>
      <x:c r="AO2017" s="3" t="str">
        <x:v>public_directory.jsonl</x:v>
      </x:c>
      <x:c r="AP2017" s="19"/>
    </x:row>
    <x:row r="2018" ht="36" customHeight="1">
      <x:c r="A2018" s="23" t="n">
        <x:v>2017</x:v>
      </x:c>
      <x:c r="B2018" s="15" t="str">
        <x:v>Gencor Mortgage Inc</x:v>
      </x:c>
      <x:c r="C2018" s="15"/>
      <x:c r="D2018" s="15" t="str">
        <x:v>Property lender or directory member; operating-company capital unconfirmed</x:v>
      </x:c>
      <x:c r="E2018" s="15" t="str">
        <x:v>Property lender / private-money inquiry</x:v>
      </x:c>
      <x:c r="F2018" s="17" t="str">
        <x:v>New</x:v>
      </x:c>
      <x:c r="G2018" s="24"/>
      <x:c r="H2018" s="24" t="str">
        <x:v>+15203149302</x:v>
      </x:c>
      <x:c r="I2018" s="24"/>
      <x:c r="J2018" s="16" t="str">
        <x:v>AZ</x:v>
      </x:c>
      <x:c r="K2018" s="16" t="str">
        <x:v>Tucson</x:v>
      </x:c>
      <x:c r="L2018" s="16" t="str">
        <x:v>firm_business_routing</x:v>
      </x:c>
      <x:c r="M2018" s="16"/>
      <x:c r="N2018" s="16" t="str">
        <x:v>$100K-$500K ticket not published / unconfirmed</x:v>
      </x:c>
      <x:c r="O2018" s="20"/>
      <x:c r="P2018" s="20"/>
      <x:c r="Q2018" s="25" t="str">
        <x:v>Property-loan range, not a corporate-capital commitment</x:v>
      </x:c>
      <x:c r="R2018" s="25" t="str">
        <x:v>Private real-estate finance experience. Corporate working capital, minority equity or profit participation requires a separate agreement from a property loan.</x:v>
      </x:c>
      <x:c r="S2018" s="25"/>
      <x:c r="T2018" s="25" t="str">
        <x:v>Confirm direct principal versus broker, $100K-$500K appetite, and whether capital can fund the operating company without a property mortgage.</x:v>
      </x:c>
      <x:c r="U2018" s="25" t="str">
        <x:v>https://www.hardmoneyhome.com/lenders/view/gencor-mortgage-inc</x:v>
      </x:c>
      <x:c r="V2018" s="26" t="d">
        <x:v>2026-10-02T00:00:00.000Z</x:v>
      </x:c>
      <x:c r="W2018" s="26" t="d">
        <x:v>2026-09-30T00:00:00.000Z</x:v>
      </x:c>
      <x:c r="X2018" s="25" t="str">
        <x:v>Saved public company, industry-directory or regulatory source; source date retained</x:v>
      </x:c>
      <x:c r="Y2018" s="25"/>
      <x:c r="Z2018" s="25" t="str">
        <x:v>https://www.hardmoneyhome.com/lenders/view/gencor-mortgage-inc</x:v>
      </x:c>
      <x:c r="AA2018" s="25" t="str">
        <x:v>[]</x:v>
      </x:c>
      <x:c r="AB2018" s="3" t="str">
        <x:v>Existing CapitalForge research, newly screened for this campaign</x:v>
      </x:c>
      <x:c r="AC2018" s="3" t="str">
        <x:v>unverified</x:v>
      </x:c>
      <x:c r="AD2018" s="3" t="str">
        <x:v>Not contacted / unconfirmed</x:v>
      </x:c>
      <x:c r="AE2018" s="3" t="str">
        <x:v>No</x:v>
      </x:c>
      <x:c r="AF2018" s="3" t="str">
        <x:v>No</x:v>
      </x:c>
      <x:c r="AG2018" s="3"/>
      <x:c r="AH2018" s="3"/>
      <x:c r="AI2018" s="18"/>
      <x:c r="AJ2018" s="3" t="str">
        <x:v>CF2500-81E9A6440296</x:v>
      </x:c>
      <x:c r="AK2018" s="3" t="str">
        <x:v>private_real_estate_lender</x:v>
      </x:c>
      <x:c r="AL2018" s="19" t="n">
        <x:v>100000</x:v>
      </x:c>
      <x:c r="AM2018" s="19" t="n">
        <x:v>500000</x:v>
      </x:c>
      <x:c r="AN2018" s="3" t="str">
        <x:v>https://www.hardmoneyhome.com/lenders/view/gencor-mortgage-inc</x:v>
      </x:c>
      <x:c r="AO2018" s="3" t="str">
        <x:v>public_directory.jsonl</x:v>
      </x:c>
      <x:c r="AP2018" s="19"/>
    </x:row>
    <x:row r="2019" ht="36" customHeight="1">
      <x:c r="A2019" s="23" t="n">
        <x:v>2018</x:v>
      </x:c>
      <x:c r="B2019" s="15" t="str">
        <x:v>KB Capital</x:v>
      </x:c>
      <x:c r="C2019" s="15"/>
      <x:c r="D2019" s="15" t="str">
        <x:v>Property lender or directory member; operating-company capital unconfirmed</x:v>
      </x:c>
      <x:c r="E2019" s="15" t="str">
        <x:v>Property lender / private-money inquiry</x:v>
      </x:c>
      <x:c r="F2019" s="17" t="str">
        <x:v>New</x:v>
      </x:c>
      <x:c r="G2019" s="24"/>
      <x:c r="H2019" s="24" t="str">
        <x:v>+19158576800</x:v>
      </x:c>
      <x:c r="I2019" s="24"/>
      <x:c r="J2019" s="16" t="str">
        <x:v>TX</x:v>
      </x:c>
      <x:c r="K2019" s="16" t="str">
        <x:v>El Paso</x:v>
      </x:c>
      <x:c r="L2019" s="16" t="str">
        <x:v>firm_business_routing</x:v>
      </x:c>
      <x:c r="M2019" s="16"/>
      <x:c r="N2019" s="16" t="str">
        <x:v>$100K-$500K ticket not published / unconfirmed</x:v>
      </x:c>
      <x:c r="O2019" s="20"/>
      <x:c r="P2019" s="20"/>
      <x:c r="Q2019" s="25" t="str">
        <x:v>Property-loan range, not a corporate-capital commitment</x:v>
      </x:c>
      <x:c r="R2019" s="25" t="str">
        <x:v>Private real-estate finance experience. Corporate working capital, minority equity or profit participation requires a separate agreement from a property loan.</x:v>
      </x:c>
      <x:c r="S2019" s="25"/>
      <x:c r="T2019" s="25" t="str">
        <x:v>Confirm direct principal versus broker, $100K-$500K appetite, and whether capital can fund the operating company without a property mortgage.</x:v>
      </x:c>
      <x:c r="U2019" s="25" t="str">
        <x:v>https://www.hardmoneyhome.com/lenders/view/kb-capital</x:v>
      </x:c>
      <x:c r="V2019" s="26" t="d">
        <x:v>2026-10-02T00:00:00.000Z</x:v>
      </x:c>
      <x:c r="W2019" s="26" t="d">
        <x:v>2026-09-30T00:00:00.000Z</x:v>
      </x:c>
      <x:c r="X2019" s="25" t="str">
        <x:v>Saved public company, industry-directory or regulatory source; source date retained</x:v>
      </x:c>
      <x:c r="Y2019" s="25"/>
      <x:c r="Z2019" s="25" t="str">
        <x:v>https://www.hardmoneyhome.com/lenders/view/kb-capital</x:v>
      </x:c>
      <x:c r="AA2019" s="25" t="str">
        <x:v>[]</x:v>
      </x:c>
      <x:c r="AB2019" s="3" t="str">
        <x:v>Existing CapitalForge research, newly screened for this campaign</x:v>
      </x:c>
      <x:c r="AC2019" s="3" t="str">
        <x:v>unverified</x:v>
      </x:c>
      <x:c r="AD2019" s="3" t="str">
        <x:v>Not contacted / unconfirmed</x:v>
      </x:c>
      <x:c r="AE2019" s="3" t="str">
        <x:v>No</x:v>
      </x:c>
      <x:c r="AF2019" s="3" t="str">
        <x:v>No</x:v>
      </x:c>
      <x:c r="AG2019" s="3"/>
      <x:c r="AH2019" s="3"/>
      <x:c r="AI2019" s="18"/>
      <x:c r="AJ2019" s="3" t="str">
        <x:v>CF2500-8DC558CB5AB3</x:v>
      </x:c>
      <x:c r="AK2019" s="3" t="str">
        <x:v>private_real_estate_lender</x:v>
      </x:c>
      <x:c r="AL2019" s="19" t="n">
        <x:v>100000</x:v>
      </x:c>
      <x:c r="AM2019" s="19" t="n">
        <x:v>500000</x:v>
      </x:c>
      <x:c r="AN2019" s="3" t="str">
        <x:v>https://www.hardmoneyhome.com/lenders/view/kb-capital</x:v>
      </x:c>
      <x:c r="AO2019" s="3" t="str">
        <x:v>public_directory.jsonl</x:v>
      </x:c>
      <x:c r="AP2019" s="19"/>
    </x:row>
    <x:row r="2020" ht="36" customHeight="1">
      <x:c r="A2020" s="23" t="n">
        <x:v>2019</x:v>
      </x:c>
      <x:c r="B2020" s="15" t="str">
        <x:v>Marquis Lending</x:v>
      </x:c>
      <x:c r="C2020" s="15"/>
      <x:c r="D2020" s="15" t="str">
        <x:v>Property lender or directory member; operating-company capital unconfirmed</x:v>
      </x:c>
      <x:c r="E2020" s="15" t="str">
        <x:v>Property lender / private-money inquiry</x:v>
      </x:c>
      <x:c r="F2020" s="17" t="str">
        <x:v>New</x:v>
      </x:c>
      <x:c r="G2020" s="24"/>
      <x:c r="H2020" s="24" t="str">
        <x:v>+19159207223</x:v>
      </x:c>
      <x:c r="I2020" s="24"/>
      <x:c r="J2020" s="16" t="str">
        <x:v>TX</x:v>
      </x:c>
      <x:c r="K2020" s="16" t="str">
        <x:v>El Paso</x:v>
      </x:c>
      <x:c r="L2020" s="16" t="str">
        <x:v>firm_business_routing</x:v>
      </x:c>
      <x:c r="M2020" s="16"/>
      <x:c r="N2020" s="16" t="str">
        <x:v>$100K-$500K ticket not published / unconfirmed</x:v>
      </x:c>
      <x:c r="O2020" s="20"/>
      <x:c r="P2020" s="20"/>
      <x:c r="Q2020" s="25" t="str">
        <x:v>Property-loan range, not a corporate-capital commitment</x:v>
      </x:c>
      <x:c r="R2020" s="25" t="str">
        <x:v>Private real-estate finance experience. Corporate working capital, minority equity or profit participation requires a separate agreement from a property loan.</x:v>
      </x:c>
      <x:c r="S2020" s="25"/>
      <x:c r="T2020" s="25" t="str">
        <x:v>Confirm direct principal versus broker, $100K-$500K appetite, and whether capital can fund the operating company without a property mortgage.</x:v>
      </x:c>
      <x:c r="U2020" s="25" t="str">
        <x:v>https://www.hardmoneyhome.com/lenders/view/marquis-lending</x:v>
      </x:c>
      <x:c r="V2020" s="26" t="d">
        <x:v>2026-10-02T00:00:00.000Z</x:v>
      </x:c>
      <x:c r="W2020" s="26" t="d">
        <x:v>2026-09-30T00:00:00.000Z</x:v>
      </x:c>
      <x:c r="X2020" s="25" t="str">
        <x:v>Saved public company, industry-directory or regulatory source; source date retained</x:v>
      </x:c>
      <x:c r="Y2020" s="25"/>
      <x:c r="Z2020" s="25" t="str">
        <x:v>https://www.hardmoneyhome.com/lenders/view/marquis-lending</x:v>
      </x:c>
      <x:c r="AA2020" s="25" t="str">
        <x:v>[]</x:v>
      </x:c>
      <x:c r="AB2020" s="3" t="str">
        <x:v>Existing CapitalForge research, newly screened for this campaign</x:v>
      </x:c>
      <x:c r="AC2020" s="3" t="str">
        <x:v>unverified</x:v>
      </x:c>
      <x:c r="AD2020" s="3" t="str">
        <x:v>Not contacted / unconfirmed</x:v>
      </x:c>
      <x:c r="AE2020" s="3" t="str">
        <x:v>No</x:v>
      </x:c>
      <x:c r="AF2020" s="3" t="str">
        <x:v>No</x:v>
      </x:c>
      <x:c r="AG2020" s="3"/>
      <x:c r="AH2020" s="3"/>
      <x:c r="AI2020" s="18"/>
      <x:c r="AJ2020" s="3" t="str">
        <x:v>CF2500-86711AC79812</x:v>
      </x:c>
      <x:c r="AK2020" s="3" t="str">
        <x:v>private_real_estate_lender</x:v>
      </x:c>
      <x:c r="AL2020" s="19" t="n">
        <x:v>100000</x:v>
      </x:c>
      <x:c r="AM2020" s="19" t="n">
        <x:v>500000</x:v>
      </x:c>
      <x:c r="AN2020" s="3" t="str">
        <x:v>https://www.hardmoneyhome.com/lenders/view/marquis-lending</x:v>
      </x:c>
      <x:c r="AO2020" s="3" t="str">
        <x:v>public_directory.jsonl</x:v>
      </x:c>
      <x:c r="AP2020" s="19"/>
    </x:row>
    <x:row r="2021" ht="36" customHeight="1">
      <x:c r="A2021" s="23" t="n">
        <x:v>2020</x:v>
      </x:c>
      <x:c r="B2021" s="15" t="str">
        <x:v>YC Funding</x:v>
      </x:c>
      <x:c r="C2021" s="15"/>
      <x:c r="D2021" s="15" t="str">
        <x:v>Property lender or directory member; operating-company capital unconfirmed</x:v>
      </x:c>
      <x:c r="E2021" s="15" t="str">
        <x:v>Property lender / private-money inquiry</x:v>
      </x:c>
      <x:c r="F2021" s="17" t="str">
        <x:v>New</x:v>
      </x:c>
      <x:c r="G2021" s="24"/>
      <x:c r="H2021" s="24" t="str">
        <x:v>+15613258760</x:v>
      </x:c>
      <x:c r="I2021" s="24"/>
      <x:c r="J2021" s="16" t="str">
        <x:v>FL</x:v>
      </x:c>
      <x:c r="K2021" s="16" t="str">
        <x:v>Miami Beach</x:v>
      </x:c>
      <x:c r="L2021" s="16" t="str">
        <x:v>firm_business_routing</x:v>
      </x:c>
      <x:c r="M2021" s="16"/>
      <x:c r="N2021" s="16" t="str">
        <x:v>$100K-$500K ticket not published / unconfirmed</x:v>
      </x:c>
      <x:c r="O2021" s="20"/>
      <x:c r="P2021" s="20"/>
      <x:c r="Q2021" s="25" t="str">
        <x:v>Property-loan range, not a corporate-capital commitment</x:v>
      </x:c>
      <x:c r="R2021" s="25" t="str">
        <x:v>Private real-estate finance experience. Corporate working capital, minority equity or profit participation requires a separate agreement from a property loan.</x:v>
      </x:c>
      <x:c r="S2021" s="25"/>
      <x:c r="T2021" s="25" t="str">
        <x:v>Confirm direct principal versus broker, $100K-$500K appetite, and whether capital can fund the operating company without a property mortgage.</x:v>
      </x:c>
      <x:c r="U2021" s="25" t="str">
        <x:v>https://www.hardmoneyhome.com/lenders/view/yc-funding</x:v>
      </x:c>
      <x:c r="V2021" s="26" t="d">
        <x:v>2026-10-02T00:00:00.000Z</x:v>
      </x:c>
      <x:c r="W2021" s="26" t="d">
        <x:v>2026-09-30T00:00:00.000Z</x:v>
      </x:c>
      <x:c r="X2021" s="25" t="str">
        <x:v>Saved public company, industry-directory or regulatory source; source date retained</x:v>
      </x:c>
      <x:c r="Y2021" s="25"/>
      <x:c r="Z2021" s="25" t="str">
        <x:v>https://www.hardmoneyhome.com/lenders/view/yc-funding</x:v>
      </x:c>
      <x:c r="AA2021" s="25" t="str">
        <x:v>[]</x:v>
      </x:c>
      <x:c r="AB2021" s="3" t="str">
        <x:v>Existing CapitalForge research, newly screened for this campaign</x:v>
      </x:c>
      <x:c r="AC2021" s="3" t="str">
        <x:v>unverified</x:v>
      </x:c>
      <x:c r="AD2021" s="3" t="str">
        <x:v>Not contacted / unconfirmed</x:v>
      </x:c>
      <x:c r="AE2021" s="3" t="str">
        <x:v>No</x:v>
      </x:c>
      <x:c r="AF2021" s="3" t="str">
        <x:v>No</x:v>
      </x:c>
      <x:c r="AG2021" s="3"/>
      <x:c r="AH2021" s="3"/>
      <x:c r="AI2021" s="18"/>
      <x:c r="AJ2021" s="3" t="str">
        <x:v>CF2500-B0BEA745A2A6</x:v>
      </x:c>
      <x:c r="AK2021" s="3" t="str">
        <x:v>private_real_estate_lender</x:v>
      </x:c>
      <x:c r="AL2021" s="19" t="n">
        <x:v>100000</x:v>
      </x:c>
      <x:c r="AM2021" s="19" t="n">
        <x:v>500000</x:v>
      </x:c>
      <x:c r="AN2021" s="3" t="str">
        <x:v>https://www.hardmoneyhome.com/lenders/view/yc-funding</x:v>
      </x:c>
      <x:c r="AO2021" s="3" t="str">
        <x:v>public_directory.jsonl</x:v>
      </x:c>
      <x:c r="AP2021" s="19"/>
    </x:row>
    <x:row r="2022" ht="36" customHeight="1">
      <x:c r="A2022" s="23" t="n">
        <x:v>2021</x:v>
      </x:c>
      <x:c r="B2022" s="15" t="str">
        <x:v>24/7 INVESTMENTS</x:v>
      </x:c>
      <x:c r="C2022" s="15"/>
      <x:c r="D2022" s="15" t="str">
        <x:v>Property lender / private real-estate capital prospect</x:v>
      </x:c>
      <x:c r="E2022" s="15" t="str">
        <x:v>Property lender / private-money inquiry</x:v>
      </x:c>
      <x:c r="F2022" s="17" t="str">
        <x:v>New</x:v>
      </x:c>
      <x:c r="G2022" s="24"/>
      <x:c r="H2022" s="24"/>
      <x:c r="I2022" s="24" t="str">
        <x:v>https://247investments.com/</x:v>
      </x:c>
      <x:c r="J2022" s="16" t="str">
        <x:v>AZ</x:v>
      </x:c>
      <x:c r="K2022" s="16" t="str">
        <x:v>Tucson</x:v>
      </x:c>
      <x:c r="L2022" s="16" t="str">
        <x:v>firm_business_routing</x:v>
      </x:c>
      <x:c r="M2022" s="16" t="str">
        <x:v>https://247investments.com/</x:v>
      </x:c>
      <x:c r="N2022" s="16" t="str">
        <x:v>$100K-$500K ticket not published / unconfirmed</x:v>
      </x:c>
      <x:c r="O2022" s="20"/>
      <x:c r="P2022" s="20"/>
      <x:c r="Q2022" s="25" t="str">
        <x:v>Property-loan range, not a corporate-capital commitment</x:v>
      </x:c>
      <x:c r="R2022" s="25" t="str">
        <x:v>Private real-estate finance experience. Corporate working capital, minority equity or profit participation requires a separate agreement from a property loan.</x:v>
      </x:c>
      <x:c r="S2022" s="25"/>
      <x:c r="T2022" s="25" t="str">
        <x:v>Confirm direct principal versus broker, $100K-$500K appetite, and whether capital can fund the operating company without a property mortgage.</x:v>
      </x:c>
      <x:c r="U2022" s="25" t="str">
        <x:v>https://www.privatelendersdirectory.com/united-states/tucson/real-estate-investment-lending/24-7-investments
https://247investments.com/</x:v>
      </x:c>
      <x:c r="V2022" s="26" t="d">
        <x:v>2026-10-02T00:00:00.000Z</x:v>
      </x:c>
      <x:c r="W2022" s="26" t="d">
        <x:v>2026-10-02T00:00:00.000Z</x:v>
      </x:c>
      <x:c r="X2022" s="25" t="str">
        <x:v>Public investor directory; business role and contact ownership require qualification</x:v>
      </x:c>
      <x:c r="Y2022" s="25"/>
      <x:c r="Z2022" s="25"/>
      <x:c r="AA2022" s="25" t="str">
        <x:v>Directory member description excerpt: TUCSON, AZ REAL ESTATE INVESTMENT LENDER Our passion for real estate investment began in 2005 with the purchase of our</x:v>
      </x:c>
      <x:c r="AB2022" s="3" t="str">
        <x:v>New public-source collection</x:v>
      </x:c>
      <x:c r="AC2022" s="3" t="str">
        <x:v>unverified</x:v>
      </x:c>
      <x:c r="AD2022" s="3" t="str">
        <x:v>Not contacted / unconfirmed</x:v>
      </x:c>
      <x:c r="AE2022" s="3" t="str">
        <x:v>No</x:v>
      </x:c>
      <x:c r="AF2022" s="3" t="str">
        <x:v>No</x:v>
      </x:c>
      <x:c r="AG2022" s="3"/>
      <x:c r="AH2022" s="3"/>
      <x:c r="AI2022" s="18"/>
      <x:c r="AJ2022" s="3" t="str">
        <x:v>CF2500-49ED9996C636</x:v>
      </x:c>
      <x:c r="AK2022" s="3" t="str">
        <x:v>real estate capital prospect (role unconfirmed)</x:v>
      </x:c>
      <x:c r="AL2022" s="19" t="n">
        <x:v>100000</x:v>
      </x:c>
      <x:c r="AM2022" s="19" t="n">
        <x:v>500000</x:v>
      </x:c>
      <x:c r="AN2022" s="3" t="str">
        <x:v>https://www.privatelendersdirectory.com/united-states/tucson/real-estate-investment-lending/24-7-investments</x:v>
      </x:c>
      <x:c r="AO2022" s="3" t="str">
        <x:v>bulk_new_investors.jsonl</x:v>
      </x:c>
      <x:c r="AP2022" s="19"/>
    </x:row>
    <x:row r="2023" ht="36" customHeight="1">
      <x:c r="A2023" s="23" t="n">
        <x:v>2022</x:v>
      </x:c>
      <x:c r="B2023" s="15" t="str">
        <x:v>4EVER LENDING</x:v>
      </x:c>
      <x:c r="C2023" s="15"/>
      <x:c r="D2023" s="15" t="str">
        <x:v>Property lender / private real-estate capital prospect</x:v>
      </x:c>
      <x:c r="E2023" s="15" t="str">
        <x:v>Property lender / private-money inquiry</x:v>
      </x:c>
      <x:c r="F2023" s="17" t="str">
        <x:v>New</x:v>
      </x:c>
      <x:c r="G2023" s="24"/>
      <x:c r="H2023" s="24"/>
      <x:c r="I2023" s="24" t="str">
        <x:v>https://4everlendingusa.com/</x:v>
      </x:c>
      <x:c r="J2023" s="16" t="str">
        <x:v>FL</x:v>
      </x:c>
      <x:c r="K2023" s="16" t="str">
        <x:v>Fort Lauderdale</x:v>
      </x:c>
      <x:c r="L2023" s="16" t="str">
        <x:v>firm_business_routing</x:v>
      </x:c>
      <x:c r="M2023" s="16" t="str">
        <x:v>https://4everlendingusa.com/</x:v>
      </x:c>
      <x:c r="N2023" s="16" t="str">
        <x:v>$100K-$500K ticket not published / unconfirmed</x:v>
      </x:c>
      <x:c r="O2023" s="20"/>
      <x:c r="P2023" s="20"/>
      <x:c r="Q2023" s="25" t="str">
        <x:v>Property-loan range, not a corporate-capital commitment</x:v>
      </x:c>
      <x:c r="R2023" s="25" t="str">
        <x:v>Private real-estate finance experience. Corporate working capital, minority equity or profit participation requires a separate agreement from a property loan.</x:v>
      </x:c>
      <x:c r="S2023" s="25"/>
      <x:c r="T2023" s="25" t="str">
        <x:v>Confirm direct principal versus broker, $100K-$500K appetite, and whether capital can fund the operating company without a property mortgage.</x:v>
      </x:c>
      <x:c r="U2023" s="25" t="str">
        <x:v>https://www.privatelendersdirectory.com/united-states/fort-lauderdale/top-level-category/4ever-lending</x:v>
      </x:c>
      <x:c r="V2023" s="26" t="d">
        <x:v>2026-10-02T00:00:00.000Z</x:v>
      </x:c>
      <x:c r="W2023" s="26" t="d">
        <x:v>2026-10-02T00:00:00.000Z</x:v>
      </x:c>
      <x:c r="X2023" s="25" t="str">
        <x:v>Public investor directory; business role and contact ownership require qualification</x:v>
      </x:c>
      <x:c r="Y2023" s="25"/>
      <x:c r="Z2023" s="25"/>
      <x:c r="AA2023" s="25" t="str">
        <x:v>Directory member description excerpt: FORT LAUDERDALE, FL PRIVATE LENDER A unique boutique mortgage brokerage specializing in rescue loans.</x:v>
      </x:c>
      <x:c r="AB2023" s="3" t="str">
        <x:v>New public-source collection</x:v>
      </x:c>
      <x:c r="AC2023" s="3" t="str">
        <x:v>unverified</x:v>
      </x:c>
      <x:c r="AD2023" s="3" t="str">
        <x:v>Not contacted / unconfirmed</x:v>
      </x:c>
      <x:c r="AE2023" s="3" t="str">
        <x:v>No</x:v>
      </x:c>
      <x:c r="AF2023" s="3" t="str">
        <x:v>No</x:v>
      </x:c>
      <x:c r="AG2023" s="3"/>
      <x:c r="AH2023" s="3"/>
      <x:c r="AI2023" s="18"/>
      <x:c r="AJ2023" s="3" t="str">
        <x:v>CF2500-784CF3C89299</x:v>
      </x:c>
      <x:c r="AK2023" s="3" t="str">
        <x:v>financing broker or intermediary</x:v>
      </x:c>
      <x:c r="AL2023" s="19" t="n">
        <x:v>100000</x:v>
      </x:c>
      <x:c r="AM2023" s="19" t="n">
        <x:v>500000</x:v>
      </x:c>
      <x:c r="AN2023" s="3" t="str">
        <x:v>https://www.privatelendersdirectory.com/united-states/fort-lauderdale/top-level-category/4ever-lending</x:v>
      </x:c>
      <x:c r="AO2023" s="3" t="str">
        <x:v>bulk_new_investors.jsonl</x:v>
      </x:c>
      <x:c r="AP2023" s="19"/>
    </x:row>
    <x:row r="2024" ht="36" customHeight="1">
      <x:c r="A2024" s="23" t="n">
        <x:v>2023</x:v>
      </x:c>
      <x:c r="B2024" s="15" t="str">
        <x:v>ACSB CAPITAL</x:v>
      </x:c>
      <x:c r="C2024" s="15"/>
      <x:c r="D2024" s="15" t="str">
        <x:v>Property lender / private real-estate capital prospect</x:v>
      </x:c>
      <x:c r="E2024" s="15" t="str">
        <x:v>Property lender / private-money inquiry</x:v>
      </x:c>
      <x:c r="F2024" s="17" t="str">
        <x:v>New</x:v>
      </x:c>
      <x:c r="G2024" s="24"/>
      <x:c r="H2024" s="24"/>
      <x:c r="I2024" s="24" t="str">
        <x:v>https://acsbcapital.com/</x:v>
      </x:c>
      <x:c r="J2024" s="16" t="str">
        <x:v>TX</x:v>
      </x:c>
      <x:c r="K2024" s="16" t="str">
        <x:v>Dallas</x:v>
      </x:c>
      <x:c r="L2024" s="16" t="str">
        <x:v>firm_business_routing</x:v>
      </x:c>
      <x:c r="M2024" s="16" t="str">
        <x:v>https://acsbcapital.com/</x:v>
      </x:c>
      <x:c r="N2024" s="16" t="str">
        <x:v>$100K-$500K ticket not published / unconfirmed</x:v>
      </x:c>
      <x:c r="O2024" s="20"/>
      <x:c r="P2024" s="20"/>
      <x:c r="Q2024" s="25" t="str">
        <x:v>Property-loan range, not a corporate-capital commitment</x:v>
      </x:c>
      <x:c r="R2024" s="25" t="str">
        <x:v>Private real-estate finance experience. Corporate working capital, minority equity or profit participation requires a separate agreement from a property loan.</x:v>
      </x:c>
      <x:c r="S2024" s="25"/>
      <x:c r="T2024" s="25" t="str">
        <x:v>Confirm direct principal versus broker, $100K-$500K appetite, and whether capital can fund the operating company without a property mortgage.</x:v>
      </x:c>
      <x:c r="U2024" s="25" t="str">
        <x:v>https://www.privatelendersdirectory.com/united-states/dallas/real-estate-investment-lending/acsb-capital</x:v>
      </x:c>
      <x:c r="V2024" s="26" t="d">
        <x:v>2026-10-02T00:00:00.000Z</x:v>
      </x:c>
      <x:c r="W2024" s="26" t="d">
        <x:v>2026-10-02T00:00:00.000Z</x:v>
      </x:c>
      <x:c r="X2024" s="25" t="str">
        <x:v>Public investor directory; business role and contact ownership require qualification</x:v>
      </x:c>
      <x:c r="Y2024" s="25"/>
      <x:c r="Z2024" s="25"/>
      <x:c r="AA2024" s="25" t="str">
        <x:v>Directory member description excerpt: DALLAS, TX PRIVATE MONEY LENDER Making Private Money More Public! We do Private Money Lending and brokering.</x:v>
      </x:c>
      <x:c r="AB2024" s="3" t="str">
        <x:v>New public-source collection</x:v>
      </x:c>
      <x:c r="AC2024" s="3" t="str">
        <x:v>unverified</x:v>
      </x:c>
      <x:c r="AD2024" s="3" t="str">
        <x:v>Not contacted / unconfirmed</x:v>
      </x:c>
      <x:c r="AE2024" s="3" t="str">
        <x:v>No</x:v>
      </x:c>
      <x:c r="AF2024" s="3" t="str">
        <x:v>No</x:v>
      </x:c>
      <x:c r="AG2024" s="3"/>
      <x:c r="AH2024" s="3"/>
      <x:c r="AI2024" s="18"/>
      <x:c r="AJ2024" s="3" t="str">
        <x:v>CF2500-529E9A15D4B6</x:v>
      </x:c>
      <x:c r="AK2024" s="3" t="str">
        <x:v>real estate capital prospect (role unconfirmed)</x:v>
      </x:c>
      <x:c r="AL2024" s="19" t="n">
        <x:v>100000</x:v>
      </x:c>
      <x:c r="AM2024" s="19" t="n">
        <x:v>500000</x:v>
      </x:c>
      <x:c r="AN2024" s="3" t="str">
        <x:v>https://www.privatelendersdirectory.com/united-states/dallas/real-estate-investment-lending/acsb-capital</x:v>
      </x:c>
      <x:c r="AO2024" s="3" t="str">
        <x:v>bulk_new_investors.jsonl</x:v>
      </x:c>
      <x:c r="AP2024" s="19"/>
    </x:row>
    <x:row r="2025" ht="36" customHeight="1">
      <x:c r="A2025" s="23" t="n">
        <x:v>2024</x:v>
      </x:c>
      <x:c r="B2025" s="15" t="str">
        <x:v>AERO CAPITAL FUNDING</x:v>
      </x:c>
      <x:c r="C2025" s="15"/>
      <x:c r="D2025" s="15" t="str">
        <x:v>Property lender / private real-estate capital prospect</x:v>
      </x:c>
      <x:c r="E2025" s="15" t="str">
        <x:v>Property lender / private-money inquiry</x:v>
      </x:c>
      <x:c r="F2025" s="17" t="str">
        <x:v>New</x:v>
      </x:c>
      <x:c r="G2025" s="24"/>
      <x:c r="H2025" s="24"/>
      <x:c r="I2025" s="24" t="str">
        <x:v>https://www.aerocapitalfunding.com/</x:v>
      </x:c>
      <x:c r="J2025" s="16" t="str">
        <x:v>FL</x:v>
      </x:c>
      <x:c r="K2025" s="16" t="str">
        <x:v>Kissimmee</x:v>
      </x:c>
      <x:c r="L2025" s="16" t="str">
        <x:v>firm_business_routing</x:v>
      </x:c>
      <x:c r="M2025" s="16" t="str">
        <x:v>https://www.aerocapitalfunding.com/</x:v>
      </x:c>
      <x:c r="N2025" s="16" t="str">
        <x:v>$100K-$500K ticket not published / unconfirmed</x:v>
      </x:c>
      <x:c r="O2025" s="20"/>
      <x:c r="P2025" s="20"/>
      <x:c r="Q2025" s="25" t="str">
        <x:v>Property-loan range, not a corporate-capital commitment</x:v>
      </x:c>
      <x:c r="R2025" s="25" t="str">
        <x:v>Private real-estate finance experience. Corporate working capital, minority equity or profit participation requires a separate agreement from a property loan.</x:v>
      </x:c>
      <x:c r="S2025" s="25"/>
      <x:c r="T2025" s="25" t="str">
        <x:v>Confirm direct principal versus broker, $100K-$500K appetite, and whether capital can fund the operating company without a property mortgage.</x:v>
      </x:c>
      <x:c r="U2025" s="25" t="str">
        <x:v>https://www.privatelendersdirectory.com/united-states/kissimmee/top-level-category/aero-capital-funding</x:v>
      </x:c>
      <x:c r="V2025" s="26" t="d">
        <x:v>2026-10-02T00:00:00.000Z</x:v>
      </x:c>
      <x:c r="W2025" s="26" t="d">
        <x:v>2026-10-02T00:00:00.000Z</x:v>
      </x:c>
      <x:c r="X2025" s="25" t="str">
        <x:v>Public investor directory; business role and contact ownership require qualification</x:v>
      </x:c>
      <x:c r="Y2025" s="25"/>
      <x:c r="Z2025" s="25"/>
      <x:c r="AA2025" s="25" t="str">
        <x:v>Directory member description excerpt: KISSIMMEE, FL FIX AND FLP LENDER Take full advantage of today’s record-high home equity and get the financial flexibility that</x:v>
      </x:c>
      <x:c r="AB2025" s="3" t="str">
        <x:v>New public-source collection</x:v>
      </x:c>
      <x:c r="AC2025" s="3" t="str">
        <x:v>unverified</x:v>
      </x:c>
      <x:c r="AD2025" s="3" t="str">
        <x:v>Not contacted / unconfirmed</x:v>
      </x:c>
      <x:c r="AE2025" s="3" t="str">
        <x:v>No</x:v>
      </x:c>
      <x:c r="AF2025" s="3" t="str">
        <x:v>No</x:v>
      </x:c>
      <x:c r="AG2025" s="3"/>
      <x:c r="AH2025" s="3"/>
      <x:c r="AI2025" s="18"/>
      <x:c r="AJ2025" s="3" t="str">
        <x:v>CF2500-2FEC02E1BDD1</x:v>
      </x:c>
      <x:c r="AK2025" s="3" t="str">
        <x:v>real estate capital prospect (role unconfirmed)</x:v>
      </x:c>
      <x:c r="AL2025" s="19" t="n">
        <x:v>100000</x:v>
      </x:c>
      <x:c r="AM2025" s="19" t="n">
        <x:v>500000</x:v>
      </x:c>
      <x:c r="AN2025" s="3" t="str">
        <x:v>https://www.privatelendersdirectory.com/united-states/kissimmee/top-level-category/aero-capital-funding</x:v>
      </x:c>
      <x:c r="AO2025" s="3" t="str">
        <x:v>bulk_new_investors.jsonl</x:v>
      </x:c>
      <x:c r="AP2025" s="19"/>
    </x:row>
    <x:row r="2026" ht="36" customHeight="1">
      <x:c r="A2026" s="23" t="n">
        <x:v>2025</x:v>
      </x:c>
      <x:c r="B2026" s="15" t="str">
        <x:v>ANDERS CAPITAL GROUP</x:v>
      </x:c>
      <x:c r="C2026" s="15"/>
      <x:c r="D2026" s="15" t="str">
        <x:v>Property lender / private real-estate capital prospect</x:v>
      </x:c>
      <x:c r="E2026" s="15" t="str">
        <x:v>Property lender / private-money inquiry</x:v>
      </x:c>
      <x:c r="F2026" s="17" t="str">
        <x:v>New</x:v>
      </x:c>
      <x:c r="G2026" s="24"/>
      <x:c r="H2026" s="24"/>
      <x:c r="I2026" s="24" t="str">
        <x:v>https://www.anderscapgroup.com/</x:v>
      </x:c>
      <x:c r="J2026" s="16" t="str">
        <x:v>FL</x:v>
      </x:c>
      <x:c r="K2026" s="16" t="str">
        <x:v>Winter Park</x:v>
      </x:c>
      <x:c r="L2026" s="16" t="str">
        <x:v>firm_business_routing</x:v>
      </x:c>
      <x:c r="M2026" s="16" t="str">
        <x:v>https://www.anderscapgroup.com/</x:v>
      </x:c>
      <x:c r="N2026" s="16" t="str">
        <x:v>$100K-$500K ticket not published / unconfirmed</x:v>
      </x:c>
      <x:c r="O2026" s="20"/>
      <x:c r="P2026" s="20"/>
      <x:c r="Q2026" s="25" t="str">
        <x:v>Property-loan range, not a corporate-capital commitment</x:v>
      </x:c>
      <x:c r="R2026" s="25" t="str">
        <x:v>Private real-estate finance experience. Corporate working capital, minority equity or profit participation requires a separate agreement from a property loan.</x:v>
      </x:c>
      <x:c r="S2026" s="25"/>
      <x:c r="T2026" s="25" t="str">
        <x:v>Confirm direct principal versus broker, $100K-$500K appetite, and whether capital can fund the operating company without a property mortgage.</x:v>
      </x:c>
      <x:c r="U2026" s="25" t="str">
        <x:v>https://www.privatelendersdirectory.com/united-states/winter-park/top-level-category/anders-capital-group</x:v>
      </x:c>
      <x:c r="V2026" s="26" t="d">
        <x:v>2026-10-02T00:00:00.000Z</x:v>
      </x:c>
      <x:c r="W2026" s="26" t="d">
        <x:v>2026-10-02T00:00:00.000Z</x:v>
      </x:c>
      <x:c r="X2026" s="25" t="str">
        <x:v>Public investor directory; business role and contact ownership require qualification</x:v>
      </x:c>
      <x:c r="Y2026" s="25"/>
      <x:c r="Z2026" s="25"/>
      <x:c r="AA2026" s="25" t="str">
        <x:v>Directory member description excerpt: WINTER PARK, FL ASSET BASED LENDER At Anders Capital Group, we are given the unique opportunity to align ourselves with</x:v>
      </x:c>
      <x:c r="AB2026" s="3" t="str">
        <x:v>New public-source collection</x:v>
      </x:c>
      <x:c r="AC2026" s="3" t="str">
        <x:v>unverified</x:v>
      </x:c>
      <x:c r="AD2026" s="3" t="str">
        <x:v>Not contacted / unconfirmed</x:v>
      </x:c>
      <x:c r="AE2026" s="3" t="str">
        <x:v>No</x:v>
      </x:c>
      <x:c r="AF2026" s="3" t="str">
        <x:v>No</x:v>
      </x:c>
      <x:c r="AG2026" s="3"/>
      <x:c r="AH2026" s="3"/>
      <x:c r="AI2026" s="18"/>
      <x:c r="AJ2026" s="3" t="str">
        <x:v>CF2500-90B78C9FB87B</x:v>
      </x:c>
      <x:c r="AK2026" s="3" t="str">
        <x:v>real estate capital prospect (role unconfirmed)</x:v>
      </x:c>
      <x:c r="AL2026" s="19" t="n">
        <x:v>100000</x:v>
      </x:c>
      <x:c r="AM2026" s="19" t="n">
        <x:v>500000</x:v>
      </x:c>
      <x:c r="AN2026" s="3" t="str">
        <x:v>https://www.privatelendersdirectory.com/united-states/winter-park/top-level-category/anders-capital-group</x:v>
      </x:c>
      <x:c r="AO2026" s="3" t="str">
        <x:v>bulk_new_investors.jsonl</x:v>
      </x:c>
      <x:c r="AP2026" s="19"/>
    </x:row>
    <x:row r="2027" ht="36" customHeight="1">
      <x:c r="A2027" s="23" t="n">
        <x:v>2026</x:v>
      </x:c>
      <x:c r="B2027" s="15" t="str">
        <x:v>APPLIED EDGE FUNDING</x:v>
      </x:c>
      <x:c r="C2027" s="15"/>
      <x:c r="D2027" s="15" t="str">
        <x:v>Property lender / private real-estate capital prospect</x:v>
      </x:c>
      <x:c r="E2027" s="15" t="str">
        <x:v>Property lender / private-money inquiry</x:v>
      </x:c>
      <x:c r="F2027" s="17" t="str">
        <x:v>New</x:v>
      </x:c>
      <x:c r="G2027" s="24"/>
      <x:c r="H2027" s="24"/>
      <x:c r="I2027" s="24" t="str">
        <x:v>https://appliededgefunding.com/</x:v>
      </x:c>
      <x:c r="J2027" s="16" t="str">
        <x:v>FL</x:v>
      </x:c>
      <x:c r="K2027" s="16" t="str">
        <x:v>Fort Myers</x:v>
      </x:c>
      <x:c r="L2027" s="16" t="str">
        <x:v>firm_business_routing</x:v>
      </x:c>
      <x:c r="M2027" s="16" t="str">
        <x:v>https://appliededgefunding.com/</x:v>
      </x:c>
      <x:c r="N2027" s="16" t="str">
        <x:v>$100K-$500K ticket not published / unconfirmed</x:v>
      </x:c>
      <x:c r="O2027" s="20"/>
      <x:c r="P2027" s="20"/>
      <x:c r="Q2027" s="25" t="str">
        <x:v>Property-loan range, not a corporate-capital commitment</x:v>
      </x:c>
      <x:c r="R2027" s="25" t="str">
        <x:v>Private real-estate finance experience. Corporate working capital, minority equity or profit participation requires a separate agreement from a property loan.</x:v>
      </x:c>
      <x:c r="S2027" s="25"/>
      <x:c r="T2027" s="25" t="str">
        <x:v>Confirm direct principal versus broker, $100K-$500K appetite, and whether capital can fund the operating company without a property mortgage.</x:v>
      </x:c>
      <x:c r="U2027" s="25" t="str">
        <x:v>https://www.privatelendersdirectory.com/united-states/fort-myers/top-level-category/applied-edge-funding</x:v>
      </x:c>
      <x:c r="V2027" s="26" t="d">
        <x:v>2026-10-02T00:00:00.000Z</x:v>
      </x:c>
      <x:c r="W2027" s="26" t="d">
        <x:v>2026-10-02T00:00:00.000Z</x:v>
      </x:c>
      <x:c r="X2027" s="25" t="str">
        <x:v>Public investor directory; business role and contact ownership require qualification</x:v>
      </x:c>
      <x:c r="Y2027" s="25"/>
      <x:c r="Z2027" s="25"/>
      <x:c r="AA2027" s="25" t="str">
        <x:v>Directory member description excerpt: FORT MYERS, FL REAL ESTATE INVESTMENT LENDER Applied Edge Funding is a Florida-based Lender offering private money funding nationwide for</x:v>
      </x:c>
      <x:c r="AB2027" s="3" t="str">
        <x:v>New public-source collection</x:v>
      </x:c>
      <x:c r="AC2027" s="3" t="str">
        <x:v>unverified</x:v>
      </x:c>
      <x:c r="AD2027" s="3" t="str">
        <x:v>Not contacted / unconfirmed</x:v>
      </x:c>
      <x:c r="AE2027" s="3" t="str">
        <x:v>No</x:v>
      </x:c>
      <x:c r="AF2027" s="3" t="str">
        <x:v>No</x:v>
      </x:c>
      <x:c r="AG2027" s="3"/>
      <x:c r="AH2027" s="3"/>
      <x:c r="AI2027" s="18"/>
      <x:c r="AJ2027" s="3" t="str">
        <x:v>CF2500-6E0D5D6788B8</x:v>
      </x:c>
      <x:c r="AK2027" s="3" t="str">
        <x:v>real estate capital prospect (role unconfirmed)</x:v>
      </x:c>
      <x:c r="AL2027" s="19" t="n">
        <x:v>100000</x:v>
      </x:c>
      <x:c r="AM2027" s="19" t="n">
        <x:v>500000</x:v>
      </x:c>
      <x:c r="AN2027" s="3" t="str">
        <x:v>https://www.privatelendersdirectory.com/united-states/fort-myers/top-level-category/applied-edge-funding</x:v>
      </x:c>
      <x:c r="AO2027" s="3" t="str">
        <x:v>bulk_new_investors.jsonl</x:v>
      </x:c>
      <x:c r="AP2027" s="19"/>
    </x:row>
    <x:row r="2028" ht="36" customHeight="1">
      <x:c r="A2028" s="23" t="n">
        <x:v>2027</x:v>
      </x:c>
      <x:c r="B2028" s="15" t="str">
        <x:v>APR COMMERCIAL FUNDING</x:v>
      </x:c>
      <x:c r="C2028" s="15"/>
      <x:c r="D2028" s="15" t="str">
        <x:v>Property lender / private real-estate capital prospect</x:v>
      </x:c>
      <x:c r="E2028" s="15" t="str">
        <x:v>Property lender / private-money inquiry</x:v>
      </x:c>
      <x:c r="F2028" s="17" t="str">
        <x:v>New</x:v>
      </x:c>
      <x:c r="G2028" s="24"/>
      <x:c r="H2028" s="24"/>
      <x:c r="I2028" s="24" t="str">
        <x:v>http://www.aprcommercialfunding.com/</x:v>
      </x:c>
      <x:c r="J2028" s="16" t="str">
        <x:v>FL</x:v>
      </x:c>
      <x:c r="K2028" s="16" t="str">
        <x:v>Sarasota</x:v>
      </x:c>
      <x:c r="L2028" s="16" t="str">
        <x:v>firm_business_routing</x:v>
      </x:c>
      <x:c r="M2028" s="16" t="str">
        <x:v>http://www.aprcommercialfunding.com/</x:v>
      </x:c>
      <x:c r="N2028" s="16" t="str">
        <x:v>$100K-$500K ticket not published / unconfirmed</x:v>
      </x:c>
      <x:c r="O2028" s="20"/>
      <x:c r="P2028" s="20"/>
      <x:c r="Q2028" s="25" t="str">
        <x:v>Property-loan range, not a corporate-capital commitment</x:v>
      </x:c>
      <x:c r="R2028" s="25" t="str">
        <x:v>Private real-estate finance experience. Corporate working capital, minority equity or profit participation requires a separate agreement from a property loan.</x:v>
      </x:c>
      <x:c r="S2028" s="25"/>
      <x:c r="T2028" s="25" t="str">
        <x:v>Confirm direct principal versus broker, $100K-$500K appetite, and whether capital can fund the operating company without a property mortgage.</x:v>
      </x:c>
      <x:c r="U2028" s="25" t="str">
        <x:v>https://www.privatelendersdirectory.com/united-states/sarasota/top-level-category/apr-commercial-funding</x:v>
      </x:c>
      <x:c r="V2028" s="26" t="d">
        <x:v>2026-10-02T00:00:00.000Z</x:v>
      </x:c>
      <x:c r="W2028" s="26" t="d">
        <x:v>2026-10-02T00:00:00.000Z</x:v>
      </x:c>
      <x:c r="X2028" s="25" t="str">
        <x:v>Public investor directory; business role and contact ownership require qualification</x:v>
      </x:c>
      <x:c r="Y2028" s="25"/>
      <x:c r="Z2028" s="25"/>
      <x:c r="AA2028" s="25" t="str">
        <x:v>Directory member description excerpt: BRIDGE LENDER, SARASOTA FL APR Commercial Funding is the best source in the industry for commercial loans, and won’t rest</x:v>
      </x:c>
      <x:c r="AB2028" s="3" t="str">
        <x:v>New public-source collection</x:v>
      </x:c>
      <x:c r="AC2028" s="3" t="str">
        <x:v>unverified</x:v>
      </x:c>
      <x:c r="AD2028" s="3" t="str">
        <x:v>Not contacted / unconfirmed</x:v>
      </x:c>
      <x:c r="AE2028" s="3" t="str">
        <x:v>No</x:v>
      </x:c>
      <x:c r="AF2028" s="3" t="str">
        <x:v>No</x:v>
      </x:c>
      <x:c r="AG2028" s="3"/>
      <x:c r="AH2028" s="3"/>
      <x:c r="AI2028" s="18"/>
      <x:c r="AJ2028" s="3" t="str">
        <x:v>CF2500-C6DD80DEE8AC</x:v>
      </x:c>
      <x:c r="AK2028" s="3" t="str">
        <x:v>real estate capital prospect (role unconfirmed)</x:v>
      </x:c>
      <x:c r="AL2028" s="19" t="n">
        <x:v>100000</x:v>
      </x:c>
      <x:c r="AM2028" s="19" t="n">
        <x:v>500000</x:v>
      </x:c>
      <x:c r="AN2028" s="3" t="str">
        <x:v>https://www.privatelendersdirectory.com/united-states/sarasota/top-level-category/apr-commercial-funding</x:v>
      </x:c>
      <x:c r="AO2028" s="3" t="str">
        <x:v>bulk_new_investors.jsonl</x:v>
      </x:c>
      <x:c r="AP2028" s="19"/>
    </x:row>
    <x:row r="2029" ht="36" customHeight="1">
      <x:c r="A2029" s="23" t="n">
        <x:v>2028</x:v>
      </x:c>
      <x:c r="B2029" s="15" t="str">
        <x:v>ARIES CAPITAL GROUP</x:v>
      </x:c>
      <x:c r="C2029" s="15"/>
      <x:c r="D2029" s="15" t="str">
        <x:v>Property lender / private real-estate capital prospect</x:v>
      </x:c>
      <x:c r="E2029" s="15" t="str">
        <x:v>Property lender / private-money inquiry</x:v>
      </x:c>
      <x:c r="F2029" s="17" t="str">
        <x:v>New</x:v>
      </x:c>
      <x:c r="G2029" s="24"/>
      <x:c r="H2029" s="24"/>
      <x:c r="I2029" s="24" t="str">
        <x:v>http://ariescapitalfunding.com/</x:v>
      </x:c>
      <x:c r="J2029" s="16" t="str">
        <x:v>FL</x:v>
      </x:c>
      <x:c r="K2029" s="16" t="str">
        <x:v>Delray Beach</x:v>
      </x:c>
      <x:c r="L2029" s="16" t="str">
        <x:v>firm_business_routing</x:v>
      </x:c>
      <x:c r="M2029" s="16" t="str">
        <x:v>http://ariescapitalfunding.com/</x:v>
      </x:c>
      <x:c r="N2029" s="16" t="str">
        <x:v>$100K-$500K ticket not published / unconfirmed</x:v>
      </x:c>
      <x:c r="O2029" s="20"/>
      <x:c r="P2029" s="20"/>
      <x:c r="Q2029" s="25" t="str">
        <x:v>Property-loan range, not a corporate-capital commitment</x:v>
      </x:c>
      <x:c r="R2029" s="25" t="str">
        <x:v>Private real-estate finance experience. Corporate working capital, minority equity or profit participation requires a separate agreement from a property loan.</x:v>
      </x:c>
      <x:c r="S2029" s="25"/>
      <x:c r="T2029" s="25" t="str">
        <x:v>Confirm direct principal versus broker, $100K-$500K appetite, and whether capital can fund the operating company without a property mortgage.</x:v>
      </x:c>
      <x:c r="U2029" s="25" t="str">
        <x:v>https://www.privatelendersdirectory.com/united-states/delray-beach/real-estate-investment-lending/aries-capital-group</x:v>
      </x:c>
      <x:c r="V2029" s="26" t="d">
        <x:v>2026-10-02T00:00:00.000Z</x:v>
      </x:c>
      <x:c r="W2029" s="26" t="d">
        <x:v>2026-10-02T00:00:00.000Z</x:v>
      </x:c>
      <x:c r="X2029" s="25" t="str">
        <x:v>Public investor directory; business role and contact ownership require qualification</x:v>
      </x:c>
      <x:c r="Y2029" s="25"/>
      <x:c r="Z2029" s="25"/>
      <x:c r="AA2029" s="25" t="str">
        <x:v>Directory member description excerpt: DELRAY BEACH, FL HARD MONEY LENDER Private Lender: financing for professional real estate investors</x:v>
      </x:c>
      <x:c r="AB2029" s="3" t="str">
        <x:v>New public-source collection</x:v>
      </x:c>
      <x:c r="AC2029" s="3" t="str">
        <x:v>unverified</x:v>
      </x:c>
      <x:c r="AD2029" s="3" t="str">
        <x:v>Not contacted / unconfirmed</x:v>
      </x:c>
      <x:c r="AE2029" s="3" t="str">
        <x:v>No</x:v>
      </x:c>
      <x:c r="AF2029" s="3" t="str">
        <x:v>No</x:v>
      </x:c>
      <x:c r="AG2029" s="3"/>
      <x:c r="AH2029" s="3"/>
      <x:c r="AI2029" s="18"/>
      <x:c r="AJ2029" s="3" t="str">
        <x:v>CF2500-7B1961C43413</x:v>
      </x:c>
      <x:c r="AK2029" s="3" t="str">
        <x:v>private real estate lender (directory claim)</x:v>
      </x:c>
      <x:c r="AL2029" s="19" t="n">
        <x:v>100000</x:v>
      </x:c>
      <x:c r="AM2029" s="19" t="n">
        <x:v>500000</x:v>
      </x:c>
      <x:c r="AN2029" s="3" t="str">
        <x:v>https://www.privatelendersdirectory.com/united-states/delray-beach/real-estate-investment-lending/aries-capital-group</x:v>
      </x:c>
      <x:c r="AO2029" s="3" t="str">
        <x:v>bulk_new_investors.jsonl</x:v>
      </x:c>
      <x:c r="AP2029" s="19"/>
    </x:row>
    <x:row r="2030" ht="36" customHeight="1">
      <x:c r="A2030" s="23" t="n">
        <x:v>2029</x:v>
      </x:c>
      <x:c r="B2030" s="15" t="str">
        <x:v>ATLANTIC COMMERCIAL LENDING</x:v>
      </x:c>
      <x:c r="C2030" s="15"/>
      <x:c r="D2030" s="15" t="str">
        <x:v>Property lender / private real-estate capital prospect</x:v>
      </x:c>
      <x:c r="E2030" s="15" t="str">
        <x:v>Property lender / private-money inquiry</x:v>
      </x:c>
      <x:c r="F2030" s="17" t="str">
        <x:v>New</x:v>
      </x:c>
      <x:c r="G2030" s="24"/>
      <x:c r="H2030" s="24"/>
      <x:c r="I2030" s="24" t="str">
        <x:v>https://atlanticcommerciallending.com/</x:v>
      </x:c>
      <x:c r="J2030" s="16" t="str">
        <x:v>AZ</x:v>
      </x:c>
      <x:c r="K2030" s="16" t="str">
        <x:v>Chandler</x:v>
      </x:c>
      <x:c r="L2030" s="16" t="str">
        <x:v>firm_business_routing</x:v>
      </x:c>
      <x:c r="M2030" s="16" t="str">
        <x:v>https://atlanticcommerciallending.com/</x:v>
      </x:c>
      <x:c r="N2030" s="16" t="str">
        <x:v>$100K-$500K ticket not published / unconfirmed</x:v>
      </x:c>
      <x:c r="O2030" s="20"/>
      <x:c r="P2030" s="20"/>
      <x:c r="Q2030" s="25" t="str">
        <x:v>Property-loan range, not a corporate-capital commitment</x:v>
      </x:c>
      <x:c r="R2030" s="25" t="str">
        <x:v>Private real-estate finance experience. Corporate working capital, minority equity or profit participation requires a separate agreement from a property loan.</x:v>
      </x:c>
      <x:c r="S2030" s="25"/>
      <x:c r="T2030" s="25" t="str">
        <x:v>Confirm direct principal versus broker, $100K-$500K appetite, and whether capital can fund the operating company without a property mortgage.</x:v>
      </x:c>
      <x:c r="U2030" s="25" t="str">
        <x:v>https://www.privatelendersdirectory.com/united-states/chandler/top-level-category/atlantic-commercial-lending</x:v>
      </x:c>
      <x:c r="V2030" s="26" t="d">
        <x:v>2026-10-02T00:00:00.000Z</x:v>
      </x:c>
      <x:c r="W2030" s="26" t="d">
        <x:v>2026-10-02T00:00:00.000Z</x:v>
      </x:c>
      <x:c r="X2030" s="25" t="str">
        <x:v>Public investor directory; business role and contact ownership require qualification</x:v>
      </x:c>
      <x:c r="Y2030" s="25"/>
      <x:c r="Z2030" s="25"/>
      <x:c r="AA2030" s="25" t="str">
        <x:v>Directory member description excerpt: BRIDGE LENDER At Atlantic Commercial Lending, our highly respected team of mortgage consultants offers tailored financing solutions for commercial real</x:v>
      </x:c>
      <x:c r="AB2030" s="3" t="str">
        <x:v>New public-source collection</x:v>
      </x:c>
      <x:c r="AC2030" s="3" t="str">
        <x:v>unverified</x:v>
      </x:c>
      <x:c r="AD2030" s="3" t="str">
        <x:v>Not contacted / unconfirmed</x:v>
      </x:c>
      <x:c r="AE2030" s="3" t="str">
        <x:v>No</x:v>
      </x:c>
      <x:c r="AF2030" s="3" t="str">
        <x:v>No</x:v>
      </x:c>
      <x:c r="AG2030" s="3"/>
      <x:c r="AH2030" s="3"/>
      <x:c r="AI2030" s="18"/>
      <x:c r="AJ2030" s="3" t="str">
        <x:v>CF2500-E47B1F66C3A9</x:v>
      </x:c>
      <x:c r="AK2030" s="3" t="str">
        <x:v>real estate capital prospect (role unconfirmed)</x:v>
      </x:c>
      <x:c r="AL2030" s="19" t="n">
        <x:v>100000</x:v>
      </x:c>
      <x:c r="AM2030" s="19" t="n">
        <x:v>500000</x:v>
      </x:c>
      <x:c r="AN2030" s="3" t="str">
        <x:v>https://www.privatelendersdirectory.com/united-states/chandler/top-level-category/atlantic-commercial-lending</x:v>
      </x:c>
      <x:c r="AO2030" s="3" t="str">
        <x:v>bulk_new_investors.jsonl</x:v>
      </x:c>
      <x:c r="AP2030" s="19"/>
    </x:row>
    <x:row r="2031" ht="36" customHeight="1">
      <x:c r="A2031" s="23" t="n">
        <x:v>2030</x:v>
      </x:c>
      <x:c r="B2031" s="15" t="str">
        <x:v>ATLAS CAPITAL RESOURCES</x:v>
      </x:c>
      <x:c r="C2031" s="15"/>
      <x:c r="D2031" s="15" t="str">
        <x:v>Property lender / private real-estate capital prospect</x:v>
      </x:c>
      <x:c r="E2031" s="15" t="str">
        <x:v>Property lender / private-money inquiry</x:v>
      </x:c>
      <x:c r="F2031" s="17" t="str">
        <x:v>New</x:v>
      </x:c>
      <x:c r="G2031" s="24"/>
      <x:c r="H2031" s="24"/>
      <x:c r="I2031" s="24" t="str">
        <x:v>http://atlascapitalresources.com/</x:v>
      </x:c>
      <x:c r="J2031" s="16" t="str">
        <x:v>NC</x:v>
      </x:c>
      <x:c r="K2031" s="16" t="str">
        <x:v>Charlotte</x:v>
      </x:c>
      <x:c r="L2031" s="16" t="str">
        <x:v>firm_business_routing</x:v>
      </x:c>
      <x:c r="M2031" s="16" t="str">
        <x:v>http://atlascapitalresources.com/</x:v>
      </x:c>
      <x:c r="N2031" s="16" t="str">
        <x:v>$100K-$500K ticket not published / unconfirmed</x:v>
      </x:c>
      <x:c r="O2031" s="20"/>
      <x:c r="P2031" s="20"/>
      <x:c r="Q2031" s="25" t="str">
        <x:v>Property-loan range, not a corporate-capital commitment</x:v>
      </x:c>
      <x:c r="R2031" s="25" t="str">
        <x:v>Private real-estate finance experience. Corporate working capital, minority equity or profit participation requires a separate agreement from a property loan.</x:v>
      </x:c>
      <x:c r="S2031" s="25"/>
      <x:c r="T2031" s="25" t="str">
        <x:v>Confirm direct principal versus broker, $100K-$500K appetite, and whether capital can fund the operating company without a property mortgage.</x:v>
      </x:c>
      <x:c r="U2031" s="25" t="str">
        <x:v>https://www.privatelendersdirectory.com/united-states/charlotte/real-estate-investment-lending/atlas-capital-resources</x:v>
      </x:c>
      <x:c r="V2031" s="26" t="d">
        <x:v>2026-10-02T00:00:00.000Z</x:v>
      </x:c>
      <x:c r="W2031" s="26" t="d">
        <x:v>2026-10-02T00:00:00.000Z</x:v>
      </x:c>
      <x:c r="X2031" s="25" t="str">
        <x:v>Public investor directory; business role and contact ownership require qualification</x:v>
      </x:c>
      <x:c r="Y2031" s="25"/>
      <x:c r="Z2031" s="25"/>
      <x:c r="AA2031" s="25" t="str">
        <x:v>Directory member description excerpt: CHARLOTTE, NC PRIVATE LENDER Atlas Capital provides traditional, non-traditional and private lending resources to meet the cash flow needs of</x:v>
      </x:c>
      <x:c r="AB2031" s="3" t="str">
        <x:v>New public-source collection</x:v>
      </x:c>
      <x:c r="AC2031" s="3" t="str">
        <x:v>unverified</x:v>
      </x:c>
      <x:c r="AD2031" s="3" t="str">
        <x:v>Not contacted / unconfirmed</x:v>
      </x:c>
      <x:c r="AE2031" s="3" t="str">
        <x:v>No</x:v>
      </x:c>
      <x:c r="AF2031" s="3" t="str">
        <x:v>No</x:v>
      </x:c>
      <x:c r="AG2031" s="3"/>
      <x:c r="AH2031" s="3"/>
      <x:c r="AI2031" s="18"/>
      <x:c r="AJ2031" s="3" t="str">
        <x:v>CF2500-EE3C5BE355FE</x:v>
      </x:c>
      <x:c r="AK2031" s="3" t="str">
        <x:v>private real estate lender (directory claim)</x:v>
      </x:c>
      <x:c r="AL2031" s="19" t="n">
        <x:v>100000</x:v>
      </x:c>
      <x:c r="AM2031" s="19" t="n">
        <x:v>500000</x:v>
      </x:c>
      <x:c r="AN2031" s="3" t="str">
        <x:v>https://www.privatelendersdirectory.com/united-states/charlotte/real-estate-investment-lending/atlas-capital-resources</x:v>
      </x:c>
      <x:c r="AO2031" s="3" t="str">
        <x:v>bulk_new_investors.jsonl</x:v>
      </x:c>
      <x:c r="AP2031" s="19"/>
    </x:row>
    <x:row r="2032" ht="36" customHeight="1">
      <x:c r="A2032" s="23" t="n">
        <x:v>2031</x:v>
      </x:c>
      <x:c r="B2032" s="15" t="str">
        <x:v>ATLAS INVESTMENT CAPITAL</x:v>
      </x:c>
      <x:c r="C2032" s="15"/>
      <x:c r="D2032" s="15" t="str">
        <x:v>Property lender / private real-estate capital prospect</x:v>
      </x:c>
      <x:c r="E2032" s="15" t="str">
        <x:v>Property lender / private-money inquiry</x:v>
      </x:c>
      <x:c r="F2032" s="17" t="str">
        <x:v>New</x:v>
      </x:c>
      <x:c r="G2032" s="24"/>
      <x:c r="H2032" s="24"/>
      <x:c r="I2032" s="24" t="str">
        <x:v>https://www.atincap.com/</x:v>
      </x:c>
      <x:c r="J2032" s="16" t="str">
        <x:v>FL</x:v>
      </x:c>
      <x:c r="K2032" s="16" t="str">
        <x:v>Naples</x:v>
      </x:c>
      <x:c r="L2032" s="16" t="str">
        <x:v>firm_business_routing</x:v>
      </x:c>
      <x:c r="M2032" s="16" t="str">
        <x:v>https://www.atincap.com/</x:v>
      </x:c>
      <x:c r="N2032" s="16" t="str">
        <x:v>$100K-$500K ticket not published / unconfirmed</x:v>
      </x:c>
      <x:c r="O2032" s="20"/>
      <x:c r="P2032" s="20"/>
      <x:c r="Q2032" s="25" t="str">
        <x:v>Property-loan range, not a corporate-capital commitment</x:v>
      </x:c>
      <x:c r="R2032" s="25" t="str">
        <x:v>Private real-estate finance experience. Corporate working capital, minority equity or profit participation requires a separate agreement from a property loan.</x:v>
      </x:c>
      <x:c r="S2032" s="25"/>
      <x:c r="T2032" s="25" t="str">
        <x:v>Confirm direct principal versus broker, $100K-$500K appetite, and whether capital can fund the operating company without a property mortgage.</x:v>
      </x:c>
      <x:c r="U2032" s="25" t="str">
        <x:v>https://www.privatelendersdirectory.com/united-states/naples/top-level-category/atlas-investment-capital</x:v>
      </x:c>
      <x:c r="V2032" s="26" t="d">
        <x:v>2026-10-02T00:00:00.000Z</x:v>
      </x:c>
      <x:c r="W2032" s="26" t="d">
        <x:v>2026-10-02T00:00:00.000Z</x:v>
      </x:c>
      <x:c r="X2032" s="25" t="str">
        <x:v>Public investor directory; business role and contact ownership require qualification</x:v>
      </x:c>
      <x:c r="Y2032" s="25"/>
      <x:c r="Z2032" s="25"/>
      <x:c r="AA2032" s="25" t="str">
        <x:v>Directory member description excerpt: FIX AND FLIP Atlas Investment Capital was built around a core tenant that access to funding can be centered around</x:v>
      </x:c>
      <x:c r="AB2032" s="3" t="str">
        <x:v>New public-source collection</x:v>
      </x:c>
      <x:c r="AC2032" s="3" t="str">
        <x:v>unverified</x:v>
      </x:c>
      <x:c r="AD2032" s="3" t="str">
        <x:v>Not contacted / unconfirmed</x:v>
      </x:c>
      <x:c r="AE2032" s="3" t="str">
        <x:v>No</x:v>
      </x:c>
      <x:c r="AF2032" s="3" t="str">
        <x:v>No</x:v>
      </x:c>
      <x:c r="AG2032" s="3"/>
      <x:c r="AH2032" s="3"/>
      <x:c r="AI2032" s="18"/>
      <x:c r="AJ2032" s="3" t="str">
        <x:v>CF2500-667EAB475032</x:v>
      </x:c>
      <x:c r="AK2032" s="3" t="str">
        <x:v>real estate capital prospect (role unconfirmed)</x:v>
      </x:c>
      <x:c r="AL2032" s="19" t="n">
        <x:v>100000</x:v>
      </x:c>
      <x:c r="AM2032" s="19" t="n">
        <x:v>500000</x:v>
      </x:c>
      <x:c r="AN2032" s="3" t="str">
        <x:v>https://www.privatelendersdirectory.com/united-states/naples/top-level-category/atlas-investment-capital</x:v>
      </x:c>
      <x:c r="AO2032" s="3" t="str">
        <x:v>bulk_new_investors.jsonl</x:v>
      </x:c>
      <x:c r="AP2032" s="19"/>
    </x:row>
    <x:row r="2033" ht="36" customHeight="1">
      <x:c r="A2033" s="23" t="n">
        <x:v>2032</x:v>
      </x:c>
      <x:c r="B2033" s="15" t="str">
        <x:v>AXELRAD CAPITAL</x:v>
      </x:c>
      <x:c r="C2033" s="15"/>
      <x:c r="D2033" s="15" t="str">
        <x:v>Property lender / private real-estate capital prospect</x:v>
      </x:c>
      <x:c r="E2033" s="15" t="str">
        <x:v>Property lender / private-money inquiry</x:v>
      </x:c>
      <x:c r="F2033" s="17" t="str">
        <x:v>New</x:v>
      </x:c>
      <x:c r="G2033" s="24"/>
      <x:c r="H2033" s="24"/>
      <x:c r="I2033" s="24" t="str">
        <x:v>https://axelradcapital.com/</x:v>
      </x:c>
      <x:c r="J2033" s="16" t="str">
        <x:v>TX</x:v>
      </x:c>
      <x:c r="K2033" s="16" t="str">
        <x:v>Houston</x:v>
      </x:c>
      <x:c r="L2033" s="16" t="str">
        <x:v>firm_business_routing</x:v>
      </x:c>
      <x:c r="M2033" s="16" t="str">
        <x:v>https://axelradcapital.com/</x:v>
      </x:c>
      <x:c r="N2033" s="16" t="str">
        <x:v>$100K-$500K ticket not published / unconfirmed</x:v>
      </x:c>
      <x:c r="O2033" s="20"/>
      <x:c r="P2033" s="20"/>
      <x:c r="Q2033" s="25" t="str">
        <x:v>Property-loan range, not a corporate-capital commitment</x:v>
      </x:c>
      <x:c r="R2033" s="25" t="str">
        <x:v>Private real-estate finance experience. Corporate working capital, minority equity or profit participation requires a separate agreement from a property loan.</x:v>
      </x:c>
      <x:c r="S2033" s="25"/>
      <x:c r="T2033" s="25" t="str">
        <x:v>Confirm direct principal versus broker, $100K-$500K appetite, and whether capital can fund the operating company without a property mortgage.</x:v>
      </x:c>
      <x:c r="U2033" s="25" t="str">
        <x:v>https://www.privatelendersdirectory.com/united-states/houston/top-level-category/axelrad-capital</x:v>
      </x:c>
      <x:c r="V2033" s="26" t="d">
        <x:v>2026-10-02T00:00:00.000Z</x:v>
      </x:c>
      <x:c r="W2033" s="26" t="d">
        <x:v>2026-10-02T00:00:00.000Z</x:v>
      </x:c>
      <x:c r="X2033" s="25" t="str">
        <x:v>Public investor directory; business role and contact ownership require qualification</x:v>
      </x:c>
      <x:c r="Y2033" s="25"/>
      <x:c r="Z2033" s="25"/>
      <x:c r="AA2033" s="25" t="str">
        <x:v>Directory member description excerpt: FIX AND FLIP LENDER Direct Private Money Lending "Fast Simple &amp; Reliable Loans". Your Trusted Partner for Real Estate Investments</x:v>
      </x:c>
      <x:c r="AB2033" s="3" t="str">
        <x:v>New public-source collection</x:v>
      </x:c>
      <x:c r="AC2033" s="3" t="str">
        <x:v>unverified</x:v>
      </x:c>
      <x:c r="AD2033" s="3" t="str">
        <x:v>Not contacted / unconfirmed</x:v>
      </x:c>
      <x:c r="AE2033" s="3" t="str">
        <x:v>No</x:v>
      </x:c>
      <x:c r="AF2033" s="3" t="str">
        <x:v>No</x:v>
      </x:c>
      <x:c r="AG2033" s="3"/>
      <x:c r="AH2033" s="3"/>
      <x:c r="AI2033" s="18"/>
      <x:c r="AJ2033" s="3" t="str">
        <x:v>CF2500-BE9959A43C3D</x:v>
      </x:c>
      <x:c r="AK2033" s="3" t="str">
        <x:v>real estate capital prospect (role unconfirmed)</x:v>
      </x:c>
      <x:c r="AL2033" s="19" t="n">
        <x:v>100000</x:v>
      </x:c>
      <x:c r="AM2033" s="19" t="n">
        <x:v>500000</x:v>
      </x:c>
      <x:c r="AN2033" s="3" t="str">
        <x:v>https://www.privatelendersdirectory.com/united-states/houston/top-level-category/axelrad-capital</x:v>
      </x:c>
      <x:c r="AO2033" s="3" t="str">
        <x:v>bulk_new_investors.jsonl</x:v>
      </x:c>
      <x:c r="AP2033" s="19"/>
    </x:row>
    <x:row r="2034" ht="36" customHeight="1">
      <x:c r="A2034" s="23" t="n">
        <x:v>2033</x:v>
      </x:c>
      <x:c r="B2034" s="15" t="str">
        <x:v>BAYSHIRE FUNDING</x:v>
      </x:c>
      <x:c r="C2034" s="15"/>
      <x:c r="D2034" s="15" t="str">
        <x:v>Property lender / private real-estate capital prospect</x:v>
      </x:c>
      <x:c r="E2034" s="15" t="str">
        <x:v>Property lender / private-money inquiry</x:v>
      </x:c>
      <x:c r="F2034" s="17" t="str">
        <x:v>New</x:v>
      </x:c>
      <x:c r="G2034" s="24"/>
      <x:c r="H2034" s="24"/>
      <x:c r="I2034" s="24" t="str">
        <x:v>http://www.bsmfunding.com</x:v>
      </x:c>
      <x:c r="J2034" s="16" t="str">
        <x:v>IL</x:v>
      </x:c>
      <x:c r="K2034" s="16" t="str">
        <x:v>Barrington</x:v>
      </x:c>
      <x:c r="L2034" s="16" t="str">
        <x:v>firm_business_routing</x:v>
      </x:c>
      <x:c r="M2034" s="16" t="str">
        <x:v>http://www.bsmfunding.com</x:v>
      </x:c>
      <x:c r="N2034" s="16" t="str">
        <x:v>$100K-$500K ticket not published / unconfirmed</x:v>
      </x:c>
      <x:c r="O2034" s="20"/>
      <x:c r="P2034" s="20"/>
      <x:c r="Q2034" s="25" t="str">
        <x:v>Property-loan range, not a corporate-capital commitment</x:v>
      </x:c>
      <x:c r="R2034" s="25" t="str">
        <x:v>Private real-estate finance experience. Corporate working capital, minority equity or profit participation requires a separate agreement from a property loan.</x:v>
      </x:c>
      <x:c r="S2034" s="25"/>
      <x:c r="T2034" s="25" t="str">
        <x:v>Confirm direct principal versus broker, $100K-$500K appetite, and whether capital can fund the operating company without a property mortgage.</x:v>
      </x:c>
      <x:c r="U2034" s="25" t="str">
        <x:v>https://www.privatelendersdirectory.com/united-states/barrington/top-level-category/bayshire-funding</x:v>
      </x:c>
      <x:c r="V2034" s="26" t="d">
        <x:v>2026-10-02T00:00:00.000Z</x:v>
      </x:c>
      <x:c r="W2034" s="26" t="d">
        <x:v>2026-10-02T00:00:00.000Z</x:v>
      </x:c>
      <x:c r="X2034" s="25" t="str">
        <x:v>Public investor directory; business role and contact ownership require qualification</x:v>
      </x:c>
      <x:c r="Y2034" s="25"/>
      <x:c r="Z2034" s="25"/>
      <x:c r="AA2034" s="25" t="str">
        <x:v>Directory member description excerpt: BARRINGTON, IL PRIVATE LENDER Bayshore Mortgage Funding is an outstanding Mortgage Lender serving the needs of real estate professionals, builders,</x:v>
      </x:c>
      <x:c r="AB2034" s="3" t="str">
        <x:v>New public-source collection</x:v>
      </x:c>
      <x:c r="AC2034" s="3" t="str">
        <x:v>unverified</x:v>
      </x:c>
      <x:c r="AD2034" s="3" t="str">
        <x:v>Not contacted / unconfirmed</x:v>
      </x:c>
      <x:c r="AE2034" s="3" t="str">
        <x:v>No</x:v>
      </x:c>
      <x:c r="AF2034" s="3" t="str">
        <x:v>No</x:v>
      </x:c>
      <x:c r="AG2034" s="3"/>
      <x:c r="AH2034" s="3"/>
      <x:c r="AI2034" s="18"/>
      <x:c r="AJ2034" s="3" t="str">
        <x:v>CF2500-6DEB11EC6D8C</x:v>
      </x:c>
      <x:c r="AK2034" s="3" t="str">
        <x:v>private real estate lender (directory claim)</x:v>
      </x:c>
      <x:c r="AL2034" s="19" t="n">
        <x:v>100000</x:v>
      </x:c>
      <x:c r="AM2034" s="19" t="n">
        <x:v>500000</x:v>
      </x:c>
      <x:c r="AN2034" s="3" t="str">
        <x:v>https://www.privatelendersdirectory.com/united-states/barrington/top-level-category/bayshire-funding</x:v>
      </x:c>
      <x:c r="AO2034" s="3" t="str">
        <x:v>bulk_new_investors.jsonl</x:v>
      </x:c>
      <x:c r="AP2034" s="19"/>
    </x:row>
    <x:row r="2035" ht="36" customHeight="1">
      <x:c r="A2035" s="23" t="n">
        <x:v>2034</x:v>
      </x:c>
      <x:c r="B2035" s="15" t="str">
        <x:v>BESPOKE CAPITAL</x:v>
      </x:c>
      <x:c r="C2035" s="15"/>
      <x:c r="D2035" s="15" t="str">
        <x:v>Property lender / private real-estate capital prospect</x:v>
      </x:c>
      <x:c r="E2035" s="15" t="str">
        <x:v>Property lender / private-money inquiry</x:v>
      </x:c>
      <x:c r="F2035" s="17" t="str">
        <x:v>New</x:v>
      </x:c>
      <x:c r="G2035" s="24"/>
      <x:c r="H2035" s="24"/>
      <x:c r="I2035" s="24" t="str">
        <x:v>https://www.bespokecp.com/</x:v>
      </x:c>
      <x:c r="J2035" s="16" t="str">
        <x:v>TX</x:v>
      </x:c>
      <x:c r="K2035" s="16" t="str">
        <x:v>San Antonio</x:v>
      </x:c>
      <x:c r="L2035" s="16" t="str">
        <x:v>firm_business_routing</x:v>
      </x:c>
      <x:c r="M2035" s="16" t="str">
        <x:v>https://www.bespokecp.com/</x:v>
      </x:c>
      <x:c r="N2035" s="16" t="str">
        <x:v>$100K-$500K ticket not published / unconfirmed</x:v>
      </x:c>
      <x:c r="O2035" s="20"/>
      <x:c r="P2035" s="20"/>
      <x:c r="Q2035" s="25" t="str">
        <x:v>Property-loan range, not a corporate-capital commitment</x:v>
      </x:c>
      <x:c r="R2035" s="25" t="str">
        <x:v>Private real-estate finance experience. Corporate working capital, minority equity or profit participation requires a separate agreement from a property loan.</x:v>
      </x:c>
      <x:c r="S2035" s="25"/>
      <x:c r="T2035" s="25" t="str">
        <x:v>Confirm direct principal versus broker, $100K-$500K appetite, and whether capital can fund the operating company without a property mortgage.</x:v>
      </x:c>
      <x:c r="U2035" s="25" t="str">
        <x:v>https://www.privatelendersdirectory.com/united-states/san-antonio/top-level-category/bespoke-capital</x:v>
      </x:c>
      <x:c r="V2035" s="26" t="d">
        <x:v>2026-10-02T00:00:00.000Z</x:v>
      </x:c>
      <x:c r="W2035" s="26" t="d">
        <x:v>2026-10-02T00:00:00.000Z</x:v>
      </x:c>
      <x:c r="X2035" s="25" t="str">
        <x:v>Public investor directory; business role and contact ownership require qualification</x:v>
      </x:c>
      <x:c r="Y2035" s="25"/>
      <x:c r="Z2035" s="25"/>
      <x:c r="AA2035" s="25" t="str">
        <x:v>Directory member description excerpt: Bespoke Capital Partners is a private equity firm founded by Rob Berner and Mark Harms in 2014.</x:v>
      </x:c>
      <x:c r="AB2035" s="3" t="str">
        <x:v>New public-source collection</x:v>
      </x:c>
      <x:c r="AC2035" s="3" t="str">
        <x:v>unverified</x:v>
      </x:c>
      <x:c r="AD2035" s="3" t="str">
        <x:v>Not contacted / unconfirmed</x:v>
      </x:c>
      <x:c r="AE2035" s="3" t="str">
        <x:v>No</x:v>
      </x:c>
      <x:c r="AF2035" s="3" t="str">
        <x:v>No</x:v>
      </x:c>
      <x:c r="AG2035" s="3"/>
      <x:c r="AH2035" s="3"/>
      <x:c r="AI2035" s="18"/>
      <x:c r="AJ2035" s="3" t="str">
        <x:v>CF2500-99BFC6AE4449</x:v>
      </x:c>
      <x:c r="AK2035" s="3" t="str">
        <x:v>real estate capital prospect (role unconfirmed)</x:v>
      </x:c>
      <x:c r="AL2035" s="19" t="n">
        <x:v>100000</x:v>
      </x:c>
      <x:c r="AM2035" s="19" t="n">
        <x:v>500000</x:v>
      </x:c>
      <x:c r="AN2035" s="3" t="str">
        <x:v>https://www.privatelendersdirectory.com/united-states/san-antonio/top-level-category/bespoke-capital</x:v>
      </x:c>
      <x:c r="AO2035" s="3" t="str">
        <x:v>bulk_new_investors.jsonl</x:v>
      </x:c>
      <x:c r="AP2035" s="19"/>
    </x:row>
    <x:row r="2036" ht="36" customHeight="1">
      <x:c r="A2036" s="23" t="n">
        <x:v>2035</x:v>
      </x:c>
      <x:c r="B2036" s="15" t="str">
        <x:v>BEVERLY CAPITAL SOLUTIONS</x:v>
      </x:c>
      <x:c r="C2036" s="15"/>
      <x:c r="D2036" s="15" t="str">
        <x:v>Property lender / private real-estate capital prospect</x:v>
      </x:c>
      <x:c r="E2036" s="15" t="str">
        <x:v>Property lender / private-money inquiry</x:v>
      </x:c>
      <x:c r="F2036" s="17" t="str">
        <x:v>New</x:v>
      </x:c>
      <x:c r="G2036" s="24"/>
      <x:c r="H2036" s="24"/>
      <x:c r="I2036" s="24" t="str">
        <x:v>https://www.bcs-investing.com/</x:v>
      </x:c>
      <x:c r="J2036" s="16" t="str">
        <x:v>IL</x:v>
      </x:c>
      <x:c r="K2036" s="16" t="str">
        <x:v>Oak Lawn</x:v>
      </x:c>
      <x:c r="L2036" s="16" t="str">
        <x:v>firm_business_routing</x:v>
      </x:c>
      <x:c r="M2036" s="16" t="str">
        <x:v>https://www.bcs-investing.com/</x:v>
      </x:c>
      <x:c r="N2036" s="16" t="str">
        <x:v>$100K-$500K ticket not published / unconfirmed</x:v>
      </x:c>
      <x:c r="O2036" s="20"/>
      <x:c r="P2036" s="20"/>
      <x:c r="Q2036" s="25" t="str">
        <x:v>Property-loan range, not a corporate-capital commitment</x:v>
      </x:c>
      <x:c r="R2036" s="25" t="str">
        <x:v>Private real-estate finance experience. Corporate working capital, minority equity or profit participation requires a separate agreement from a property loan.</x:v>
      </x:c>
      <x:c r="S2036" s="25"/>
      <x:c r="T2036" s="25" t="str">
        <x:v>Confirm direct principal versus broker, $100K-$500K appetite, and whether capital can fund the operating company without a property mortgage.</x:v>
      </x:c>
      <x:c r="U2036" s="25" t="str">
        <x:v>https://www.privatelendersdirectory.com/united-states/oak-lawn/top-level-category/beverly-capital-solutions</x:v>
      </x:c>
      <x:c r="V2036" s="26" t="d">
        <x:v>2026-10-02T00:00:00.000Z</x:v>
      </x:c>
      <x:c r="W2036" s="26" t="d">
        <x:v>2026-10-02T00:00:00.000Z</x:v>
      </x:c>
      <x:c r="X2036" s="25" t="str">
        <x:v>Public investor directory; business role and contact ownership require qualification</x:v>
      </x:c>
      <x:c r="Y2036" s="25"/>
      <x:c r="Z2036" s="25"/>
      <x:c r="AA2036" s="25" t="str">
        <x:v>Directory member description excerpt: OAK LAWN , IL PRIVATE LENDER Beverly Capital Solutions LLC is the area's leading real estate solutions company.</x:v>
      </x:c>
      <x:c r="AB2036" s="3" t="str">
        <x:v>New public-source collection</x:v>
      </x:c>
      <x:c r="AC2036" s="3" t="str">
        <x:v>unverified</x:v>
      </x:c>
      <x:c r="AD2036" s="3" t="str">
        <x:v>Not contacted / unconfirmed</x:v>
      </x:c>
      <x:c r="AE2036" s="3" t="str">
        <x:v>No</x:v>
      </x:c>
      <x:c r="AF2036" s="3" t="str">
        <x:v>No</x:v>
      </x:c>
      <x:c r="AG2036" s="3"/>
      <x:c r="AH2036" s="3"/>
      <x:c r="AI2036" s="18"/>
      <x:c r="AJ2036" s="3" t="str">
        <x:v>CF2500-C08AB762D3D5</x:v>
      </x:c>
      <x:c r="AK2036" s="3" t="str">
        <x:v>private real estate lender (directory claim)</x:v>
      </x:c>
      <x:c r="AL2036" s="19" t="n">
        <x:v>100000</x:v>
      </x:c>
      <x:c r="AM2036" s="19" t="n">
        <x:v>500000</x:v>
      </x:c>
      <x:c r="AN2036" s="3" t="str">
        <x:v>https://www.privatelendersdirectory.com/united-states/oak-lawn/top-level-category/beverly-capital-solutions</x:v>
      </x:c>
      <x:c r="AO2036" s="3" t="str">
        <x:v>bulk_new_investors.jsonl</x:v>
      </x:c>
      <x:c r="AP2036" s="19"/>
    </x:row>
    <x:row r="2037" ht="36" customHeight="1">
      <x:c r="A2037" s="23" t="n">
        <x:v>2036</x:v>
      </x:c>
      <x:c r="B2037" s="15" t="str">
        <x:v>BINARY INVESTMENTS</x:v>
      </x:c>
      <x:c r="C2037" s="15"/>
      <x:c r="D2037" s="15" t="str">
        <x:v>Property lender / private real-estate capital prospect</x:v>
      </x:c>
      <x:c r="E2037" s="15" t="str">
        <x:v>Property lender / private-money inquiry</x:v>
      </x:c>
      <x:c r="F2037" s="17" t="str">
        <x:v>New</x:v>
      </x:c>
      <x:c r="G2037" s="24"/>
      <x:c r="H2037" s="24"/>
      <x:c r="I2037" s="24" t="str">
        <x:v>https://binaryinvestments.com/</x:v>
      </x:c>
      <x:c r="J2037" s="16" t="str">
        <x:v>TX</x:v>
      </x:c>
      <x:c r="K2037" s="16" t="str">
        <x:v>El Paso</x:v>
      </x:c>
      <x:c r="L2037" s="16" t="str">
        <x:v>firm_business_routing</x:v>
      </x:c>
      <x:c r="M2037" s="16" t="str">
        <x:v>https://binaryinvestments.com/</x:v>
      </x:c>
      <x:c r="N2037" s="16" t="str">
        <x:v>$100K-$500K ticket not published / unconfirmed</x:v>
      </x:c>
      <x:c r="O2037" s="20"/>
      <x:c r="P2037" s="20"/>
      <x:c r="Q2037" s="25" t="str">
        <x:v>Property-loan range, not a corporate-capital commitment</x:v>
      </x:c>
      <x:c r="R2037" s="25" t="str">
        <x:v>Private real-estate finance experience. Corporate working capital, minority equity or profit participation requires a separate agreement from a property loan.</x:v>
      </x:c>
      <x:c r="S2037" s="25"/>
      <x:c r="T2037" s="25" t="str">
        <x:v>Confirm direct principal versus broker, $100K-$500K appetite, and whether capital can fund the operating company without a property mortgage.</x:v>
      </x:c>
      <x:c r="U2037" s="25" t="str">
        <x:v>https://www.privatelendersdirectory.com/united-states/el-paso/top-level-category/binary-investments</x:v>
      </x:c>
      <x:c r="V2037" s="26" t="d">
        <x:v>2026-10-02T00:00:00.000Z</x:v>
      </x:c>
      <x:c r="W2037" s="26" t="d">
        <x:v>2026-10-02T00:00:00.000Z</x:v>
      </x:c>
      <x:c r="X2037" s="25" t="str">
        <x:v>Public investor directory; business role and contact ownership require qualification</x:v>
      </x:c>
      <x:c r="Y2037" s="25"/>
      <x:c r="Z2037" s="25"/>
      <x:c r="AA2037" s="25" t="str">
        <x:v>Directory member description excerpt: EL PASO, TX PRIVATE LENDER Binary Investments provides quick, painless hard money loans for residential and commercial real estate.</x:v>
      </x:c>
      <x:c r="AB2037" s="3" t="str">
        <x:v>New public-source collection</x:v>
      </x:c>
      <x:c r="AC2037" s="3" t="str">
        <x:v>unverified</x:v>
      </x:c>
      <x:c r="AD2037" s="3" t="str">
        <x:v>Not contacted / unconfirmed</x:v>
      </x:c>
      <x:c r="AE2037" s="3" t="str">
        <x:v>No</x:v>
      </x:c>
      <x:c r="AF2037" s="3" t="str">
        <x:v>No</x:v>
      </x:c>
      <x:c r="AG2037" s="3"/>
      <x:c r="AH2037" s="3"/>
      <x:c r="AI2037" s="18"/>
      <x:c r="AJ2037" s="3" t="str">
        <x:v>CF2500-F265B2941F1C</x:v>
      </x:c>
      <x:c r="AK2037" s="3" t="str">
        <x:v>private real estate lender (directory claim)</x:v>
      </x:c>
      <x:c r="AL2037" s="19" t="n">
        <x:v>100000</x:v>
      </x:c>
      <x:c r="AM2037" s="19" t="n">
        <x:v>500000</x:v>
      </x:c>
      <x:c r="AN2037" s="3" t="str">
        <x:v>https://www.privatelendersdirectory.com/united-states/el-paso/top-level-category/binary-investments</x:v>
      </x:c>
      <x:c r="AO2037" s="3" t="str">
        <x:v>bulk_new_investors.jsonl</x:v>
      </x:c>
      <x:c r="AP2037" s="19"/>
    </x:row>
    <x:row r="2038" ht="36" customHeight="1">
      <x:c r="A2038" s="23" t="n">
        <x:v>2037</x:v>
      </x:c>
      <x:c r="B2038" s="15" t="str">
        <x:v>BRIDGE PRIVATE LENDING</x:v>
      </x:c>
      <x:c r="C2038" s="15"/>
      <x:c r="D2038" s="15" t="str">
        <x:v>Property lender / private real-estate capital prospect</x:v>
      </x:c>
      <x:c r="E2038" s="15" t="str">
        <x:v>Property lender / private-money inquiry</x:v>
      </x:c>
      <x:c r="F2038" s="17" t="str">
        <x:v>New</x:v>
      </x:c>
      <x:c r="G2038" s="24"/>
      <x:c r="H2038" s="24"/>
      <x:c r="I2038" s="24" t="str">
        <x:v>https://bridgeprivatelendinglp.com/</x:v>
      </x:c>
      <x:c r="J2038" s="16" t="str">
        <x:v>FL</x:v>
      </x:c>
      <x:c r="K2038" s="16" t="str">
        <x:v>Pompano Beach</x:v>
      </x:c>
      <x:c r="L2038" s="16" t="str">
        <x:v>firm_business_routing</x:v>
      </x:c>
      <x:c r="M2038" s="16" t="str">
        <x:v>https://bridgeprivatelendinglp.com/</x:v>
      </x:c>
      <x:c r="N2038" s="16" t="str">
        <x:v>$100K-$500K ticket not published / unconfirmed</x:v>
      </x:c>
      <x:c r="O2038" s="20"/>
      <x:c r="P2038" s="20"/>
      <x:c r="Q2038" s="25" t="str">
        <x:v>Property-loan range, not a corporate-capital commitment</x:v>
      </x:c>
      <x:c r="R2038" s="25" t="str">
        <x:v>Private real-estate finance experience. Corporate working capital, minority equity or profit participation requires a separate agreement from a property loan.</x:v>
      </x:c>
      <x:c r="S2038" s="25"/>
      <x:c r="T2038" s="25" t="str">
        <x:v>Confirm direct principal versus broker, $100K-$500K appetite, and whether capital can fund the operating company without a property mortgage.</x:v>
      </x:c>
      <x:c r="U2038" s="25" t="str">
        <x:v>https://www.privatelendersdirectory.com/united-states/pompano-beach/real-estate-investment-lending/bridge-private-lending</x:v>
      </x:c>
      <x:c r="V2038" s="26" t="d">
        <x:v>2026-10-02T00:00:00.000Z</x:v>
      </x:c>
      <x:c r="W2038" s="26" t="d">
        <x:v>2026-10-02T00:00:00.000Z</x:v>
      </x:c>
      <x:c r="X2038" s="25" t="str">
        <x:v>Public investor directory; business role and contact ownership require qualification</x:v>
      </x:c>
      <x:c r="Y2038" s="25"/>
      <x:c r="Z2038" s="25"/>
      <x:c r="AA2038" s="25" t="str">
        <x:v>Directory member description excerpt: POMPANO BEACH, FL PRIVATE LENDER We are one of the Private Lending company in Florida</x:v>
      </x:c>
      <x:c r="AB2038" s="3" t="str">
        <x:v>New public-source collection</x:v>
      </x:c>
      <x:c r="AC2038" s="3" t="str">
        <x:v>unverified</x:v>
      </x:c>
      <x:c r="AD2038" s="3" t="str">
        <x:v>Not contacted / unconfirmed</x:v>
      </x:c>
      <x:c r="AE2038" s="3" t="str">
        <x:v>No</x:v>
      </x:c>
      <x:c r="AF2038" s="3" t="str">
        <x:v>No</x:v>
      </x:c>
      <x:c r="AG2038" s="3"/>
      <x:c r="AH2038" s="3"/>
      <x:c r="AI2038" s="18"/>
      <x:c r="AJ2038" s="3" t="str">
        <x:v>CF2500-3B2DCB7BECCE</x:v>
      </x:c>
      <x:c r="AK2038" s="3" t="str">
        <x:v>private real estate lender (directory claim)</x:v>
      </x:c>
      <x:c r="AL2038" s="19" t="n">
        <x:v>100000</x:v>
      </x:c>
      <x:c r="AM2038" s="19" t="n">
        <x:v>500000</x:v>
      </x:c>
      <x:c r="AN2038" s="3" t="str">
        <x:v>https://www.privatelendersdirectory.com/united-states/pompano-beach/real-estate-investment-lending/bridge-private-lending</x:v>
      </x:c>
      <x:c r="AO2038" s="3" t="str">
        <x:v>bulk_new_investors.jsonl</x:v>
      </x:c>
      <x:c r="AP2038" s="19"/>
    </x:row>
    <x:row r="2039" ht="36" customHeight="1">
      <x:c r="A2039" s="23" t="n">
        <x:v>2038</x:v>
      </x:c>
      <x:c r="B2039" s="15" t="str">
        <x:v>CAP FUNDINGS</x:v>
      </x:c>
      <x:c r="C2039" s="15"/>
      <x:c r="D2039" s="15" t="str">
        <x:v>Property lender / private real-estate capital prospect</x:v>
      </x:c>
      <x:c r="E2039" s="15" t="str">
        <x:v>Property lender / private-money inquiry</x:v>
      </x:c>
      <x:c r="F2039" s="17" t="str">
        <x:v>New</x:v>
      </x:c>
      <x:c r="G2039" s="24"/>
      <x:c r="H2039" s="24"/>
      <x:c r="I2039" s="24" t="str">
        <x:v>https://www.capfund.com/</x:v>
      </x:c>
      <x:c r="J2039" s="16" t="str">
        <x:v>FL</x:v>
      </x:c>
      <x:c r="K2039" s="16" t="str">
        <x:v>Orlando</x:v>
      </x:c>
      <x:c r="L2039" s="16" t="str">
        <x:v>firm_business_routing</x:v>
      </x:c>
      <x:c r="M2039" s="16" t="str">
        <x:v>https://www.capfund.com/</x:v>
      </x:c>
      <x:c r="N2039" s="16" t="str">
        <x:v>$100K-$500K ticket not published / unconfirmed</x:v>
      </x:c>
      <x:c r="O2039" s="20"/>
      <x:c r="P2039" s="20"/>
      <x:c r="Q2039" s="25" t="str">
        <x:v>Property-loan range, not a corporate-capital commitment</x:v>
      </x:c>
      <x:c r="R2039" s="25" t="str">
        <x:v>Private real-estate finance experience. Corporate working capital, minority equity or profit participation requires a separate agreement from a property loan.</x:v>
      </x:c>
      <x:c r="S2039" s="25"/>
      <x:c r="T2039" s="25" t="str">
        <x:v>Confirm direct principal versus broker, $100K-$500K appetite, and whether capital can fund the operating company without a property mortgage.</x:v>
      </x:c>
      <x:c r="U2039" s="25" t="str">
        <x:v>https://www.privatelendersdirectory.com/united-states/orlando/top-level-category/cap-fundings</x:v>
      </x:c>
      <x:c r="V2039" s="26" t="d">
        <x:v>2026-10-02T00:00:00.000Z</x:v>
      </x:c>
      <x:c r="W2039" s="26" t="d">
        <x:v>2026-10-02T00:00:00.000Z</x:v>
      </x:c>
      <x:c r="X2039" s="25" t="str">
        <x:v>Public investor directory; business role and contact ownership require qualification</x:v>
      </x:c>
      <x:c r="Y2039" s="25"/>
      <x:c r="Z2039" s="25"/>
      <x:c r="AA2039" s="25" t="str">
        <x:v>Directory member description excerpt: ORLANDO, FL FIX AND FLIP Capital Fundings is a direct private money lender. We are federally licensed with the NMLS</x:v>
      </x:c>
      <x:c r="AB2039" s="3" t="str">
        <x:v>New public-source collection</x:v>
      </x:c>
      <x:c r="AC2039" s="3" t="str">
        <x:v>unverified</x:v>
      </x:c>
      <x:c r="AD2039" s="3" t="str">
        <x:v>Not contacted / unconfirmed</x:v>
      </x:c>
      <x:c r="AE2039" s="3" t="str">
        <x:v>No</x:v>
      </x:c>
      <x:c r="AF2039" s="3" t="str">
        <x:v>No</x:v>
      </x:c>
      <x:c r="AG2039" s="3"/>
      <x:c r="AH2039" s="3"/>
      <x:c r="AI2039" s="18"/>
      <x:c r="AJ2039" s="3" t="str">
        <x:v>CF2500-22A64DAEA8A4</x:v>
      </x:c>
      <x:c r="AK2039" s="3" t="str">
        <x:v>real estate capital prospect (role unconfirmed)</x:v>
      </x:c>
      <x:c r="AL2039" s="19" t="n">
        <x:v>100000</x:v>
      </x:c>
      <x:c r="AM2039" s="19" t="n">
        <x:v>500000</x:v>
      </x:c>
      <x:c r="AN2039" s="3" t="str">
        <x:v>https://www.privatelendersdirectory.com/united-states/orlando/top-level-category/cap-fundings</x:v>
      </x:c>
      <x:c r="AO2039" s="3" t="str">
        <x:v>bulk_new_investors.jsonl</x:v>
      </x:c>
      <x:c r="AP2039" s="19"/>
    </x:row>
    <x:row r="2040" ht="36" customHeight="1">
      <x:c r="A2040" s="23" t="n">
        <x:v>2039</x:v>
      </x:c>
      <x:c r="B2040" s="15" t="str">
        <x:v>CAPITAL FUNDING OPTIONS</x:v>
      </x:c>
      <x:c r="C2040" s="15"/>
      <x:c r="D2040" s="15" t="str">
        <x:v>Property lender / private real-estate capital prospect</x:v>
      </x:c>
      <x:c r="E2040" s="15" t="str">
        <x:v>Property lender / private-money inquiry</x:v>
      </x:c>
      <x:c r="F2040" s="17" t="str">
        <x:v>New</x:v>
      </x:c>
      <x:c r="G2040" s="24"/>
      <x:c r="H2040" s="24"/>
      <x:c r="I2040" s="24" t="str">
        <x:v>http://capitalfundingoptions.com/</x:v>
      </x:c>
      <x:c r="J2040" s="16" t="str">
        <x:v>TX</x:v>
      </x:c>
      <x:c r="K2040" s="16" t="str">
        <x:v>San Antonio</x:v>
      </x:c>
      <x:c r="L2040" s="16" t="str">
        <x:v>firm_business_routing</x:v>
      </x:c>
      <x:c r="M2040" s="16" t="str">
        <x:v>http://capitalfundingoptions.com/</x:v>
      </x:c>
      <x:c r="N2040" s="16" t="str">
        <x:v>$100K-$500K ticket not published / unconfirmed</x:v>
      </x:c>
      <x:c r="O2040" s="20"/>
      <x:c r="P2040" s="20"/>
      <x:c r="Q2040" s="25" t="str">
        <x:v>Property-loan range, not a corporate-capital commitment</x:v>
      </x:c>
      <x:c r="R2040" s="25" t="str">
        <x:v>Private real-estate finance experience. Corporate working capital, minority equity or profit participation requires a separate agreement from a property loan.</x:v>
      </x:c>
      <x:c r="S2040" s="25"/>
      <x:c r="T2040" s="25" t="str">
        <x:v>Confirm direct principal versus broker, $100K-$500K appetite, and whether capital can fund the operating company without a property mortgage.</x:v>
      </x:c>
      <x:c r="U2040" s="25" t="str">
        <x:v>https://www.privatelendersdirectory.com/united-states/san-antonio/top-level-category/capital-funding-options</x:v>
      </x:c>
      <x:c r="V2040" s="26" t="d">
        <x:v>2026-10-02T00:00:00.000Z</x:v>
      </x:c>
      <x:c r="W2040" s="26" t="d">
        <x:v>2026-10-02T00:00:00.000Z</x:v>
      </x:c>
      <x:c r="X2040" s="25" t="str">
        <x:v>Public investor directory; business role and contact ownership require qualification</x:v>
      </x:c>
      <x:c r="Y2040" s="25"/>
      <x:c r="Z2040" s="25"/>
      <x:c r="AA2040" s="25" t="str">
        <x:v>Directory member description excerpt: SAN ANTONIO, TX PRIVATE LENDER We are here to ensure that businesses are given a fair shot at success without</x:v>
      </x:c>
      <x:c r="AB2040" s="3" t="str">
        <x:v>New public-source collection</x:v>
      </x:c>
      <x:c r="AC2040" s="3" t="str">
        <x:v>unverified</x:v>
      </x:c>
      <x:c r="AD2040" s="3" t="str">
        <x:v>Not contacted / unconfirmed</x:v>
      </x:c>
      <x:c r="AE2040" s="3" t="str">
        <x:v>No</x:v>
      </x:c>
      <x:c r="AF2040" s="3" t="str">
        <x:v>No</x:v>
      </x:c>
      <x:c r="AG2040" s="3"/>
      <x:c r="AH2040" s="3"/>
      <x:c r="AI2040" s="18"/>
      <x:c r="AJ2040" s="3" t="str">
        <x:v>CF2500-939547725051</x:v>
      </x:c>
      <x:c r="AK2040" s="3" t="str">
        <x:v>private real estate lender (directory claim)</x:v>
      </x:c>
      <x:c r="AL2040" s="19" t="n">
        <x:v>100000</x:v>
      </x:c>
      <x:c r="AM2040" s="19" t="n">
        <x:v>500000</x:v>
      </x:c>
      <x:c r="AN2040" s="3" t="str">
        <x:v>https://www.privatelendersdirectory.com/united-states/san-antonio/top-level-category/capital-funding-options</x:v>
      </x:c>
      <x:c r="AO2040" s="3" t="str">
        <x:v>bulk_new_investors.jsonl</x:v>
      </x:c>
      <x:c r="AP2040" s="19"/>
    </x:row>
    <x:row r="2041" ht="36" customHeight="1">
      <x:c r="A2041" s="23" t="n">
        <x:v>2040</x:v>
      </x:c>
      <x:c r="B2041" s="15" t="str">
        <x:v>CAPITAL PREFERRED PARTNERS</x:v>
      </x:c>
      <x:c r="C2041" s="15"/>
      <x:c r="D2041" s="15" t="str">
        <x:v>Property lender / private real-estate capital prospect</x:v>
      </x:c>
      <x:c r="E2041" s="15" t="str">
        <x:v>Property lender / private-money inquiry</x:v>
      </x:c>
      <x:c r="F2041" s="17" t="str">
        <x:v>New</x:v>
      </x:c>
      <x:c r="G2041" s="24"/>
      <x:c r="H2041" s="24"/>
      <x:c r="I2041" s="24" t="str">
        <x:v>https://capitalpreferredpartners.com/</x:v>
      </x:c>
      <x:c r="J2041" s="16" t="str">
        <x:v>NC</x:v>
      </x:c>
      <x:c r="K2041" s="16" t="str">
        <x:v>Harrisburg</x:v>
      </x:c>
      <x:c r="L2041" s="16" t="str">
        <x:v>firm_business_routing</x:v>
      </x:c>
      <x:c r="M2041" s="16" t="str">
        <x:v>https://capitalpreferredpartners.com/</x:v>
      </x:c>
      <x:c r="N2041" s="16" t="str">
        <x:v>$100K-$500K ticket not published / unconfirmed</x:v>
      </x:c>
      <x:c r="O2041" s="20"/>
      <x:c r="P2041" s="20"/>
      <x:c r="Q2041" s="25" t="str">
        <x:v>Property-loan range, not a corporate-capital commitment</x:v>
      </x:c>
      <x:c r="R2041" s="25" t="str">
        <x:v>Private real-estate finance experience. Corporate working capital, minority equity or profit participation requires a separate agreement from a property loan.</x:v>
      </x:c>
      <x:c r="S2041" s="25"/>
      <x:c r="T2041" s="25" t="str">
        <x:v>Confirm direct principal versus broker, $100K-$500K appetite, and whether capital can fund the operating company without a property mortgage.</x:v>
      </x:c>
      <x:c r="U2041" s="25" t="str">
        <x:v>https://www.privatelendersdirectory.com/united-states/harrisburg/top-level-category/capital-preferred-partners</x:v>
      </x:c>
      <x:c r="V2041" s="26" t="d">
        <x:v>2026-10-02T00:00:00.000Z</x:v>
      </x:c>
      <x:c r="W2041" s="26" t="d">
        <x:v>2026-10-02T00:00:00.000Z</x:v>
      </x:c>
      <x:c r="X2041" s="25" t="str">
        <x:v>Public investor directory; business role and contact ownership require qualification</x:v>
      </x:c>
      <x:c r="Y2041" s="25"/>
      <x:c r="Z2041" s="25"/>
      <x:c r="AA2041" s="25" t="str">
        <x:v>Directory member description excerpt: HARRISBURG, NC PRIVATE LENDER Founded in 2012, Capital Preferred Partners is a financing advisory firm headquartered in Charlotte, North Carolina.</x:v>
      </x:c>
      <x:c r="AB2041" s="3" t="str">
        <x:v>New public-source collection</x:v>
      </x:c>
      <x:c r="AC2041" s="3" t="str">
        <x:v>unverified</x:v>
      </x:c>
      <x:c r="AD2041" s="3" t="str">
        <x:v>Not contacted / unconfirmed</x:v>
      </x:c>
      <x:c r="AE2041" s="3" t="str">
        <x:v>No</x:v>
      </x:c>
      <x:c r="AF2041" s="3" t="str">
        <x:v>No</x:v>
      </x:c>
      <x:c r="AG2041" s="3"/>
      <x:c r="AH2041" s="3"/>
      <x:c r="AI2041" s="18"/>
      <x:c r="AJ2041" s="3" t="str">
        <x:v>CF2500-A09398183D18</x:v>
      </x:c>
      <x:c r="AK2041" s="3" t="str">
        <x:v>private real estate lender (directory claim)</x:v>
      </x:c>
      <x:c r="AL2041" s="19" t="n">
        <x:v>100000</x:v>
      </x:c>
      <x:c r="AM2041" s="19" t="n">
        <x:v>500000</x:v>
      </x:c>
      <x:c r="AN2041" s="3" t="str">
        <x:v>https://www.privatelendersdirectory.com/united-states/harrisburg/top-level-category/capital-preferred-partners</x:v>
      </x:c>
      <x:c r="AO2041" s="3" t="str">
        <x:v>bulk_new_investors.jsonl</x:v>
      </x:c>
      <x:c r="AP2041" s="19"/>
    </x:row>
    <x:row r="2042" ht="36" customHeight="1">
      <x:c r="A2042" s="23" t="n">
        <x:v>2041</x:v>
      </x:c>
      <x:c r="B2042" s="15" t="str">
        <x:v>CHICAGO CAPITAL MANAGEMENT</x:v>
      </x:c>
      <x:c r="C2042" s="15"/>
      <x:c r="D2042" s="15" t="str">
        <x:v>Property lender / private real-estate capital prospect</x:v>
      </x:c>
      <x:c r="E2042" s="15" t="str">
        <x:v>Property lender / private-money inquiry</x:v>
      </x:c>
      <x:c r="F2042" s="17" t="str">
        <x:v>New</x:v>
      </x:c>
      <x:c r="G2042" s="24"/>
      <x:c r="H2042" s="24"/>
      <x:c r="I2042" s="24" t="str">
        <x:v>https://chicagocapitalmanagementgroup.com/</x:v>
      </x:c>
      <x:c r="J2042" s="16" t="str">
        <x:v>IL</x:v>
      </x:c>
      <x:c r="K2042" s="16" t="str">
        <x:v>Lisle</x:v>
      </x:c>
      <x:c r="L2042" s="16" t="str">
        <x:v>firm_business_routing</x:v>
      </x:c>
      <x:c r="M2042" s="16" t="str">
        <x:v>https://chicagocapitalmanagementgroup.com/</x:v>
      </x:c>
      <x:c r="N2042" s="16" t="str">
        <x:v>$100K-$500K ticket not published / unconfirmed</x:v>
      </x:c>
      <x:c r="O2042" s="20"/>
      <x:c r="P2042" s="20"/>
      <x:c r="Q2042" s="25" t="str">
        <x:v>Property-loan range, not a corporate-capital commitment</x:v>
      </x:c>
      <x:c r="R2042" s="25" t="str">
        <x:v>Private real-estate finance experience. Corporate working capital, minority equity or profit participation requires a separate agreement from a property loan.</x:v>
      </x:c>
      <x:c r="S2042" s="25"/>
      <x:c r="T2042" s="25" t="str">
        <x:v>Confirm direct principal versus broker, $100K-$500K appetite, and whether capital can fund the operating company without a property mortgage.</x:v>
      </x:c>
      <x:c r="U2042" s="25" t="str">
        <x:v>https://www.privatelendersdirectory.com/united-states/lisle/top-level-category/chicago-capital-management</x:v>
      </x:c>
      <x:c r="V2042" s="26" t="d">
        <x:v>2026-10-02T00:00:00.000Z</x:v>
      </x:c>
      <x:c r="W2042" s="26" t="d">
        <x:v>2026-10-02T00:00:00.000Z</x:v>
      </x:c>
      <x:c r="X2042" s="25" t="str">
        <x:v>Public investor directory; business role and contact ownership require qualification</x:v>
      </x:c>
      <x:c r="Y2042" s="25"/>
      <x:c r="Z2042" s="25"/>
      <x:c r="AA2042" s="25" t="str">
        <x:v>Directory member description excerpt: CHICAGO, IL PRIVATE MONEY LENDER For more than a decade, Chicago Capital Management Group LLC has been in the business</x:v>
      </x:c>
      <x:c r="AB2042" s="3" t="str">
        <x:v>New public-source collection</x:v>
      </x:c>
      <x:c r="AC2042" s="3" t="str">
        <x:v>unverified</x:v>
      </x:c>
      <x:c r="AD2042" s="3" t="str">
        <x:v>Not contacted / unconfirmed</x:v>
      </x:c>
      <x:c r="AE2042" s="3" t="str">
        <x:v>No</x:v>
      </x:c>
      <x:c r="AF2042" s="3" t="str">
        <x:v>No</x:v>
      </x:c>
      <x:c r="AG2042" s="3"/>
      <x:c r="AH2042" s="3"/>
      <x:c r="AI2042" s="18"/>
      <x:c r="AJ2042" s="3" t="str">
        <x:v>CF2500-2E14BD63B936</x:v>
      </x:c>
      <x:c r="AK2042" s="3" t="str">
        <x:v>real estate capital prospect (role unconfirmed)</x:v>
      </x:c>
      <x:c r="AL2042" s="19" t="n">
        <x:v>100000</x:v>
      </x:c>
      <x:c r="AM2042" s="19" t="n">
        <x:v>500000</x:v>
      </x:c>
      <x:c r="AN2042" s="3" t="str">
        <x:v>https://www.privatelendersdirectory.com/united-states/lisle/top-level-category/chicago-capital-management</x:v>
      </x:c>
      <x:c r="AO2042" s="3" t="str">
        <x:v>bulk_new_investors.jsonl</x:v>
      </x:c>
      <x:c r="AP2042" s="19"/>
    </x:row>
    <x:row r="2043" ht="36" customHeight="1">
      <x:c r="A2043" s="23" t="n">
        <x:v>2042</x:v>
      </x:c>
      <x:c r="B2043" s="15" t="str">
        <x:v>COMMERCIAL HARD CAPITAL</x:v>
      </x:c>
      <x:c r="C2043" s="15"/>
      <x:c r="D2043" s="15" t="str">
        <x:v>Property lender / private real-estate capital prospect</x:v>
      </x:c>
      <x:c r="E2043" s="15" t="str">
        <x:v>Property lender / private-money inquiry</x:v>
      </x:c>
      <x:c r="F2043" s="17" t="str">
        <x:v>New</x:v>
      </x:c>
      <x:c r="G2043" s="24"/>
      <x:c r="H2043" s="24"/>
      <x:c r="I2043" s="24" t="str">
        <x:v>https://www.commercialhardcapital.com/</x:v>
      </x:c>
      <x:c r="J2043" s="16" t="str">
        <x:v>TX</x:v>
      </x:c>
      <x:c r="K2043" s="16" t="str">
        <x:v>Houston</x:v>
      </x:c>
      <x:c r="L2043" s="16" t="str">
        <x:v>firm_business_routing</x:v>
      </x:c>
      <x:c r="M2043" s="16" t="str">
        <x:v>https://www.commercialhardcapital.com/</x:v>
      </x:c>
      <x:c r="N2043" s="16" t="str">
        <x:v>$100K-$500K ticket not published / unconfirmed</x:v>
      </x:c>
      <x:c r="O2043" s="20"/>
      <x:c r="P2043" s="20"/>
      <x:c r="Q2043" s="25" t="str">
        <x:v>Property-loan range, not a corporate-capital commitment</x:v>
      </x:c>
      <x:c r="R2043" s="25" t="str">
        <x:v>Private real-estate finance experience. Corporate working capital, minority equity or profit participation requires a separate agreement from a property loan.</x:v>
      </x:c>
      <x:c r="S2043" s="25"/>
      <x:c r="T2043" s="25" t="str">
        <x:v>Confirm direct principal versus broker, $100K-$500K appetite, and whether capital can fund the operating company without a property mortgage.</x:v>
      </x:c>
      <x:c r="U2043" s="25" t="str">
        <x:v>https://www.privatelendersdirectory.com/united-states/houston/top-level-category/commercial-hard-capital</x:v>
      </x:c>
      <x:c r="V2043" s="26" t="d">
        <x:v>2026-10-02T00:00:00.000Z</x:v>
      </x:c>
      <x:c r="W2043" s="26" t="d">
        <x:v>2026-10-02T00:00:00.000Z</x:v>
      </x:c>
      <x:c r="X2043" s="25" t="str">
        <x:v>Public investor directory; business role and contact ownership require qualification</x:v>
      </x:c>
      <x:c r="Y2043" s="25"/>
      <x:c r="Z2043" s="25"/>
      <x:c r="AA2043" s="25" t="str">
        <x:v>Directory member description excerpt: HOUSTON, TX PRIVATE MONEY LENDER With over 30 years of combined financing, real estate and trading experience, we understand the</x:v>
      </x:c>
      <x:c r="AB2043" s="3" t="str">
        <x:v>New public-source collection</x:v>
      </x:c>
      <x:c r="AC2043" s="3" t="str">
        <x:v>unverified</x:v>
      </x:c>
      <x:c r="AD2043" s="3" t="str">
        <x:v>Not contacted / unconfirmed</x:v>
      </x:c>
      <x:c r="AE2043" s="3" t="str">
        <x:v>No</x:v>
      </x:c>
      <x:c r="AF2043" s="3" t="str">
        <x:v>No</x:v>
      </x:c>
      <x:c r="AG2043" s="3"/>
      <x:c r="AH2043" s="3"/>
      <x:c r="AI2043" s="18"/>
      <x:c r="AJ2043" s="3" t="str">
        <x:v>CF2500-285408DD1F5B</x:v>
      </x:c>
      <x:c r="AK2043" s="3" t="str">
        <x:v>real estate capital prospect (role unconfirmed)</x:v>
      </x:c>
      <x:c r="AL2043" s="19" t="n">
        <x:v>100000</x:v>
      </x:c>
      <x:c r="AM2043" s="19" t="n">
        <x:v>500000</x:v>
      </x:c>
      <x:c r="AN2043" s="3" t="str">
        <x:v>https://www.privatelendersdirectory.com/united-states/houston/top-level-category/commercial-hard-capital</x:v>
      </x:c>
      <x:c r="AO2043" s="3" t="str">
        <x:v>bulk_new_investors.jsonl</x:v>
      </x:c>
      <x:c r="AP2043" s="19"/>
    </x:row>
    <x:row r="2044" ht="36" customHeight="1">
      <x:c r="A2044" s="23" t="n">
        <x:v>2043</x:v>
      </x:c>
      <x:c r="B2044" s="15" t="str">
        <x:v>COX PRIVATE CAPITAL</x:v>
      </x:c>
      <x:c r="C2044" s="15"/>
      <x:c r="D2044" s="15" t="str">
        <x:v>Property lender / private real-estate capital prospect</x:v>
      </x:c>
      <x:c r="E2044" s="15" t="str">
        <x:v>Property lender / private-money inquiry</x:v>
      </x:c>
      <x:c r="F2044" s="17" t="str">
        <x:v>New</x:v>
      </x:c>
      <x:c r="G2044" s="24"/>
      <x:c r="H2044" s="24"/>
      <x:c r="I2044" s="24" t="str">
        <x:v>https://coxprivatecapital.com/</x:v>
      </x:c>
      <x:c r="J2044" s="16" t="str">
        <x:v>AZ</x:v>
      </x:c>
      <x:c r="K2044" s="16" t="str">
        <x:v>Phoenix</x:v>
      </x:c>
      <x:c r="L2044" s="16" t="str">
        <x:v>firm_business_routing</x:v>
      </x:c>
      <x:c r="M2044" s="16" t="str">
        <x:v>https://coxprivatecapital.com/</x:v>
      </x:c>
      <x:c r="N2044" s="16" t="str">
        <x:v>$100K-$500K ticket not published / unconfirmed</x:v>
      </x:c>
      <x:c r="O2044" s="20"/>
      <x:c r="P2044" s="20"/>
      <x:c r="Q2044" s="25" t="str">
        <x:v>Property-loan range, not a corporate-capital commitment</x:v>
      </x:c>
      <x:c r="R2044" s="25" t="str">
        <x:v>Private real-estate finance experience. Corporate working capital, minority equity or profit participation requires a separate agreement from a property loan.</x:v>
      </x:c>
      <x:c r="S2044" s="25"/>
      <x:c r="T2044" s="25" t="str">
        <x:v>Confirm direct principal versus broker, $100K-$500K appetite, and whether capital can fund the operating company without a property mortgage.</x:v>
      </x:c>
      <x:c r="U2044" s="25" t="str">
        <x:v>https://www.privatelendersdirectory.com/united-states/phoenix/top-level-category/cox-private-capital</x:v>
      </x:c>
      <x:c r="V2044" s="26" t="d">
        <x:v>2026-10-02T00:00:00.000Z</x:v>
      </x:c>
      <x:c r="W2044" s="26" t="d">
        <x:v>2026-10-02T00:00:00.000Z</x:v>
      </x:c>
      <x:c r="X2044" s="25" t="str">
        <x:v>Public investor directory; business role and contact ownership require qualification</x:v>
      </x:c>
      <x:c r="Y2044" s="25"/>
      <x:c r="Z2044" s="25"/>
      <x:c r="AA2044" s="25" t="str">
        <x:v>Directory member description excerpt: PHOENIX, AZ PRIVATE LENDER Cox Private Capital directly invests into fully managed real estate private equity.</x:v>
      </x:c>
      <x:c r="AB2044" s="3" t="str">
        <x:v>New public-source collection</x:v>
      </x:c>
      <x:c r="AC2044" s="3" t="str">
        <x:v>unverified</x:v>
      </x:c>
      <x:c r="AD2044" s="3" t="str">
        <x:v>Not contacted / unconfirmed</x:v>
      </x:c>
      <x:c r="AE2044" s="3" t="str">
        <x:v>No</x:v>
      </x:c>
      <x:c r="AF2044" s="3" t="str">
        <x:v>No</x:v>
      </x:c>
      <x:c r="AG2044" s="3"/>
      <x:c r="AH2044" s="3"/>
      <x:c r="AI2044" s="18"/>
      <x:c r="AJ2044" s="3" t="str">
        <x:v>CF2500-54B9803200C6</x:v>
      </x:c>
      <x:c r="AK2044" s="3" t="str">
        <x:v>private real estate lender (directory claim)</x:v>
      </x:c>
      <x:c r="AL2044" s="19" t="n">
        <x:v>100000</x:v>
      </x:c>
      <x:c r="AM2044" s="19" t="n">
        <x:v>500000</x:v>
      </x:c>
      <x:c r="AN2044" s="3" t="str">
        <x:v>https://www.privatelendersdirectory.com/united-states/phoenix/top-level-category/cox-private-capital</x:v>
      </x:c>
      <x:c r="AO2044" s="3" t="str">
        <x:v>bulk_new_investors.jsonl</x:v>
      </x:c>
      <x:c r="AP2044" s="19"/>
    </x:row>
    <x:row r="2045" ht="36" customHeight="1">
      <x:c r="A2045" s="23" t="n">
        <x:v>2044</x:v>
      </x:c>
      <x:c r="B2045" s="15" t="str">
        <x:v>ELIAS CAPITAL FUNDING CORP</x:v>
      </x:c>
      <x:c r="C2045" s="15"/>
      <x:c r="D2045" s="15" t="str">
        <x:v>Property lender / private real-estate capital prospect</x:v>
      </x:c>
      <x:c r="E2045" s="15" t="str">
        <x:v>Property lender / private-money inquiry</x:v>
      </x:c>
      <x:c r="F2045" s="17" t="str">
        <x:v>New</x:v>
      </x:c>
      <x:c r="G2045" s="24"/>
      <x:c r="H2045" s="24"/>
      <x:c r="I2045" s="24" t="str">
        <x:v>https://www.eliascapital.org/</x:v>
      </x:c>
      <x:c r="J2045" s="16" t="str">
        <x:v>FL</x:v>
      </x:c>
      <x:c r="K2045" s="16" t="str">
        <x:v>Miami</x:v>
      </x:c>
      <x:c r="L2045" s="16" t="str">
        <x:v>firm_business_routing</x:v>
      </x:c>
      <x:c r="M2045" s="16" t="str">
        <x:v>https://www.eliascapital.org/</x:v>
      </x:c>
      <x:c r="N2045" s="16" t="str">
        <x:v>$100K-$500K ticket not published / unconfirmed</x:v>
      </x:c>
      <x:c r="O2045" s="20"/>
      <x:c r="P2045" s="20"/>
      <x:c r="Q2045" s="25" t="str">
        <x:v>Property-loan range, not a corporate-capital commitment</x:v>
      </x:c>
      <x:c r="R2045" s="25" t="str">
        <x:v>Private real-estate finance experience. Corporate working capital, minority equity or profit participation requires a separate agreement from a property loan.</x:v>
      </x:c>
      <x:c r="S2045" s="25"/>
      <x:c r="T2045" s="25" t="str">
        <x:v>Confirm direct principal versus broker, $100K-$500K appetite, and whether capital can fund the operating company without a property mortgage.</x:v>
      </x:c>
      <x:c r="U2045" s="25" t="str">
        <x:v>https://www.privatelendersdirectory.com/united-states/miami/real-estate-investment-lending/elias-capital-funding-corp</x:v>
      </x:c>
      <x:c r="V2045" s="26" t="d">
        <x:v>2026-10-02T00:00:00.000Z</x:v>
      </x:c>
      <x:c r="W2045" s="26" t="d">
        <x:v>2026-10-02T00:00:00.000Z</x:v>
      </x:c>
      <x:c r="X2045" s="25" t="str">
        <x:v>Public investor directory; business role and contact ownership require qualification</x:v>
      </x:c>
      <x:c r="Y2045" s="25"/>
      <x:c r="Z2045" s="25"/>
      <x:c r="AA2045" s="25" t="str">
        <x:v>Directory member description excerpt: MIAMI, FL PRIVATE MONEY LENDER Elias Capital is a respected private mortgage company located in Miami, Florida.</x:v>
      </x:c>
      <x:c r="AB2045" s="3" t="str">
        <x:v>New public-source collection</x:v>
      </x:c>
      <x:c r="AC2045" s="3" t="str">
        <x:v>unverified</x:v>
      </x:c>
      <x:c r="AD2045" s="3" t="str">
        <x:v>Not contacted / unconfirmed</x:v>
      </x:c>
      <x:c r="AE2045" s="3" t="str">
        <x:v>No</x:v>
      </x:c>
      <x:c r="AF2045" s="3" t="str">
        <x:v>No</x:v>
      </x:c>
      <x:c r="AG2045" s="3"/>
      <x:c r="AH2045" s="3"/>
      <x:c r="AI2045" s="18"/>
      <x:c r="AJ2045" s="3" t="str">
        <x:v>CF2500-3979565C6FD7</x:v>
      </x:c>
      <x:c r="AK2045" s="3" t="str">
        <x:v>real estate capital prospect (role unconfirmed)</x:v>
      </x:c>
      <x:c r="AL2045" s="19" t="n">
        <x:v>100000</x:v>
      </x:c>
      <x:c r="AM2045" s="19" t="n">
        <x:v>500000</x:v>
      </x:c>
      <x:c r="AN2045" s="3" t="str">
        <x:v>https://www.privatelendersdirectory.com/united-states/miami/real-estate-investment-lending/elias-capital-funding-corp</x:v>
      </x:c>
      <x:c r="AO2045" s="3" t="str">
        <x:v>bulk_new_investors.jsonl</x:v>
      </x:c>
      <x:c r="AP2045" s="19"/>
    </x:row>
    <x:row r="2046" ht="36" customHeight="1">
      <x:c r="A2046" s="23" t="n">
        <x:v>2045</x:v>
      </x:c>
      <x:c r="B2046" s="15" t="str">
        <x:v>FIRST PRIVATE LENDING</x:v>
      </x:c>
      <x:c r="C2046" s="15"/>
      <x:c r="D2046" s="15" t="str">
        <x:v>Property lender / private real-estate capital prospect</x:v>
      </x:c>
      <x:c r="E2046" s="15" t="str">
        <x:v>Property lender / private-money inquiry</x:v>
      </x:c>
      <x:c r="F2046" s="17" t="str">
        <x:v>New</x:v>
      </x:c>
      <x:c r="G2046" s="24"/>
      <x:c r="H2046" s="24"/>
      <x:c r="I2046" s="24" t="str">
        <x:v>https://firstprivatelending.com/</x:v>
      </x:c>
      <x:c r="J2046" s="16" t="str">
        <x:v>IL</x:v>
      </x:c>
      <x:c r="K2046" s="16" t="str">
        <x:v>Springfield</x:v>
      </x:c>
      <x:c r="L2046" s="16" t="str">
        <x:v>firm_business_routing</x:v>
      </x:c>
      <x:c r="M2046" s="16" t="str">
        <x:v>https://firstprivatelending.com/</x:v>
      </x:c>
      <x:c r="N2046" s="16" t="str">
        <x:v>$100K-$500K ticket not published / unconfirmed</x:v>
      </x:c>
      <x:c r="O2046" s="20"/>
      <x:c r="P2046" s="20"/>
      <x:c r="Q2046" s="25" t="str">
        <x:v>Property-loan range, not a corporate-capital commitment</x:v>
      </x:c>
      <x:c r="R2046" s="25" t="str">
        <x:v>Private real-estate finance experience. Corporate working capital, minority equity or profit participation requires a separate agreement from a property loan.</x:v>
      </x:c>
      <x:c r="S2046" s="25"/>
      <x:c r="T2046" s="25" t="str">
        <x:v>Confirm direct principal versus broker, $100K-$500K appetite, and whether capital can fund the operating company without a property mortgage.</x:v>
      </x:c>
      <x:c r="U2046" s="25" t="str">
        <x:v>https://www.privatelendersdirectory.com/united-states/springfield/top-level-category/first-private-lending</x:v>
      </x:c>
      <x:c r="V2046" s="26" t="d">
        <x:v>2026-10-02T00:00:00.000Z</x:v>
      </x:c>
      <x:c r="W2046" s="26" t="d">
        <x:v>2026-10-02T00:00:00.000Z</x:v>
      </x:c>
      <x:c r="X2046" s="25" t="str">
        <x:v>Public investor directory; business role and contact ownership require qualification</x:v>
      </x:c>
      <x:c r="Y2046" s="25"/>
      <x:c r="Z2046" s="25"/>
      <x:c r="AA2046" s="25" t="str">
        <x:v>Directory member description excerpt: SPRINGFIELD, IL PRIVATE LENDER We are a leading online loan marketplace with one of the largest networks of lenders in</x:v>
      </x:c>
      <x:c r="AB2046" s="3" t="str">
        <x:v>New public-source collection</x:v>
      </x:c>
      <x:c r="AC2046" s="3" t="str">
        <x:v>unverified</x:v>
      </x:c>
      <x:c r="AD2046" s="3" t="str">
        <x:v>Not contacted / unconfirmed</x:v>
      </x:c>
      <x:c r="AE2046" s="3" t="str">
        <x:v>No</x:v>
      </x:c>
      <x:c r="AF2046" s="3" t="str">
        <x:v>No</x:v>
      </x:c>
      <x:c r="AG2046" s="3"/>
      <x:c r="AH2046" s="3"/>
      <x:c r="AI2046" s="18"/>
      <x:c r="AJ2046" s="3" t="str">
        <x:v>CF2500-6B81A09ABF78</x:v>
      </x:c>
      <x:c r="AK2046" s="3" t="str">
        <x:v>private real estate lender (directory claim)</x:v>
      </x:c>
      <x:c r="AL2046" s="19" t="n">
        <x:v>100000</x:v>
      </x:c>
      <x:c r="AM2046" s="19" t="n">
        <x:v>500000</x:v>
      </x:c>
      <x:c r="AN2046" s="3" t="str">
        <x:v>https://www.privatelendersdirectory.com/united-states/springfield/top-level-category/first-private-lending</x:v>
      </x:c>
      <x:c r="AO2046" s="3" t="str">
        <x:v>bulk_new_investors.jsonl</x:v>
      </x:c>
      <x:c r="AP2046" s="19"/>
    </x:row>
    <x:row r="2047" ht="36" customHeight="1">
      <x:c r="A2047" s="23" t="n">
        <x:v>2046</x:v>
      </x:c>
      <x:c r="B2047" s="15" t="str">
        <x:v>INVEST AMERICA LENDING GROUP</x:v>
      </x:c>
      <x:c r="C2047" s="15"/>
      <x:c r="D2047" s="15" t="str">
        <x:v>Property lender / private real-estate capital prospect</x:v>
      </x:c>
      <x:c r="E2047" s="15" t="str">
        <x:v>Property lender / private-money inquiry</x:v>
      </x:c>
      <x:c r="F2047" s="17" t="str">
        <x:v>New</x:v>
      </x:c>
      <x:c r="G2047" s="24"/>
      <x:c r="H2047" s="24"/>
      <x:c r="I2047" s="24" t="str">
        <x:v>https://www.investamericaonline.com/</x:v>
      </x:c>
      <x:c r="J2047" s="16" t="str">
        <x:v>FL</x:v>
      </x:c>
      <x:c r="K2047" s="16" t="str">
        <x:v>Miami</x:v>
      </x:c>
      <x:c r="L2047" s="16" t="str">
        <x:v>firm_business_routing</x:v>
      </x:c>
      <x:c r="M2047" s="16" t="str">
        <x:v>https://www.investamericaonline.com/</x:v>
      </x:c>
      <x:c r="N2047" s="16" t="str">
        <x:v>$100K-$500K ticket not published / unconfirmed</x:v>
      </x:c>
      <x:c r="O2047" s="20"/>
      <x:c r="P2047" s="20"/>
      <x:c r="Q2047" s="25" t="str">
        <x:v>Property-loan range, not a corporate-capital commitment</x:v>
      </x:c>
      <x:c r="R2047" s="25" t="str">
        <x:v>Private real-estate finance experience. Corporate working capital, minority equity or profit participation requires a separate agreement from a property loan.</x:v>
      </x:c>
      <x:c r="S2047" s="25"/>
      <x:c r="T2047" s="25" t="str">
        <x:v>Confirm direct principal versus broker, $100K-$500K appetite, and whether capital can fund the operating company without a property mortgage.</x:v>
      </x:c>
      <x:c r="U2047" s="25" t="str">
        <x:v>https://www.privatelendersdirectory.com/united-states/miami/real-estate-investment-lending/invest-america-lending-group</x:v>
      </x:c>
      <x:c r="V2047" s="26" t="d">
        <x:v>2026-10-02T00:00:00.000Z</x:v>
      </x:c>
      <x:c r="W2047" s="26" t="d">
        <x:v>2026-10-02T00:00:00.000Z</x:v>
      </x:c>
      <x:c r="X2047" s="25" t="str">
        <x:v>Public investor directory; business role and contact ownership require qualification</x:v>
      </x:c>
      <x:c r="Y2047" s="25"/>
      <x:c r="Z2047" s="25"/>
      <x:c r="AA2047" s="25" t="str">
        <x:v>Directory member description excerpt: MIAMI, FL PRIVATE LENDER Company is a customer service based operation with extensive expetise in Government back loans (FHA), Conventional</x:v>
      </x:c>
      <x:c r="AB2047" s="3" t="str">
        <x:v>New public-source collection</x:v>
      </x:c>
      <x:c r="AC2047" s="3" t="str">
        <x:v>unverified</x:v>
      </x:c>
      <x:c r="AD2047" s="3" t="str">
        <x:v>Not contacted / unconfirmed</x:v>
      </x:c>
      <x:c r="AE2047" s="3" t="str">
        <x:v>No</x:v>
      </x:c>
      <x:c r="AF2047" s="3" t="str">
        <x:v>No</x:v>
      </x:c>
      <x:c r="AG2047" s="3"/>
      <x:c r="AH2047" s="3"/>
      <x:c r="AI2047" s="18"/>
      <x:c r="AJ2047" s="3" t="str">
        <x:v>CF2500-92032FD34F62</x:v>
      </x:c>
      <x:c r="AK2047" s="3" t="str">
        <x:v>private real estate lender (directory claim)</x:v>
      </x:c>
      <x:c r="AL2047" s="19" t="n">
        <x:v>100000</x:v>
      </x:c>
      <x:c r="AM2047" s="19" t="n">
        <x:v>500000</x:v>
      </x:c>
      <x:c r="AN2047" s="3" t="str">
        <x:v>https://www.privatelendersdirectory.com/united-states/miami/real-estate-investment-lending/invest-america-lending-group</x:v>
      </x:c>
      <x:c r="AO2047" s="3" t="str">
        <x:v>bulk_new_investors.jsonl</x:v>
      </x:c>
      <x:c r="AP2047" s="19"/>
    </x:row>
    <x:row r="2048" ht="36" customHeight="1">
      <x:c r="A2048" s="23" t="n">
        <x:v>2047</x:v>
      </x:c>
      <x:c r="B2048" s="15" t="str">
        <x:v>INVEST FUNDS GROUP</x:v>
      </x:c>
      <x:c r="C2048" s="15"/>
      <x:c r="D2048" s="15" t="str">
        <x:v>Property lender / private real-estate capital prospect</x:v>
      </x:c>
      <x:c r="E2048" s="15" t="str">
        <x:v>Property lender / private-money inquiry</x:v>
      </x:c>
      <x:c r="F2048" s="17" t="str">
        <x:v>New</x:v>
      </x:c>
      <x:c r="G2048" s="24"/>
      <x:c r="H2048" s="24"/>
      <x:c r="I2048" s="24" t="str">
        <x:v>https://investfundgroups.com/</x:v>
      </x:c>
      <x:c r="J2048" s="16" t="str">
        <x:v>FL</x:v>
      </x:c>
      <x:c r="K2048" s="16" t="str">
        <x:v>Miami</x:v>
      </x:c>
      <x:c r="L2048" s="16" t="str">
        <x:v>firm_business_routing</x:v>
      </x:c>
      <x:c r="M2048" s="16" t="str">
        <x:v>https://investfundgroups.com/</x:v>
      </x:c>
      <x:c r="N2048" s="16" t="str">
        <x:v>$100K-$500K ticket not published / unconfirmed</x:v>
      </x:c>
      <x:c r="O2048" s="20"/>
      <x:c r="P2048" s="20"/>
      <x:c r="Q2048" s="25" t="str">
        <x:v>Property-loan range, not a corporate-capital commitment</x:v>
      </x:c>
      <x:c r="R2048" s="25" t="str">
        <x:v>Private real-estate finance experience. Corporate working capital, minority equity or profit participation requires a separate agreement from a property loan.</x:v>
      </x:c>
      <x:c r="S2048" s="25"/>
      <x:c r="T2048" s="25" t="str">
        <x:v>Confirm direct principal versus broker, $100K-$500K appetite, and whether capital can fund the operating company without a property mortgage.</x:v>
      </x:c>
      <x:c r="U2048" s="25" t="str">
        <x:v>https://www.privatelendersdirectory.com/united-states/miami/top-level-category/invest-funds-group</x:v>
      </x:c>
      <x:c r="V2048" s="26" t="d">
        <x:v>2026-10-02T00:00:00.000Z</x:v>
      </x:c>
      <x:c r="W2048" s="26" t="d">
        <x:v>2026-10-02T00:00:00.000Z</x:v>
      </x:c>
      <x:c r="X2048" s="25" t="str">
        <x:v>Public investor directory; business role and contact ownership require qualification</x:v>
      </x:c>
      <x:c r="Y2048" s="25"/>
      <x:c r="Z2048" s="25"/>
      <x:c r="AA2048" s="25" t="str">
        <x:v>Directory member description excerpt: MIAMI, FL PRIVATE LENDER We've helped thousands of real estate investors and wholesalers with their double closings making.</x:v>
      </x:c>
      <x:c r="AB2048" s="3" t="str">
        <x:v>New public-source collection</x:v>
      </x:c>
      <x:c r="AC2048" s="3" t="str">
        <x:v>unverified</x:v>
      </x:c>
      <x:c r="AD2048" s="3" t="str">
        <x:v>Not contacted / unconfirmed</x:v>
      </x:c>
      <x:c r="AE2048" s="3" t="str">
        <x:v>No</x:v>
      </x:c>
      <x:c r="AF2048" s="3" t="str">
        <x:v>No</x:v>
      </x:c>
      <x:c r="AG2048" s="3"/>
      <x:c r="AH2048" s="3"/>
      <x:c r="AI2048" s="18"/>
      <x:c r="AJ2048" s="3" t="str">
        <x:v>CF2500-12DEC3A3D0DC</x:v>
      </x:c>
      <x:c r="AK2048" s="3" t="str">
        <x:v>private real estate lender (directory claim)</x:v>
      </x:c>
      <x:c r="AL2048" s="19" t="n">
        <x:v>100000</x:v>
      </x:c>
      <x:c r="AM2048" s="19" t="n">
        <x:v>500000</x:v>
      </x:c>
      <x:c r="AN2048" s="3" t="str">
        <x:v>https://www.privatelendersdirectory.com/united-states/miami/top-level-category/invest-funds-group</x:v>
      </x:c>
      <x:c r="AO2048" s="3" t="str">
        <x:v>bulk_new_investors.jsonl</x:v>
      </x:c>
      <x:c r="AP2048" s="19"/>
    </x:row>
    <x:row r="2049" ht="36" customHeight="1">
      <x:c r="A2049" s="23" t="n">
        <x:v>2048</x:v>
      </x:c>
      <x:c r="B2049" s="15" t="str">
        <x:v>INVESTOR DIRECT FUNDING</x:v>
      </x:c>
      <x:c r="C2049" s="15"/>
      <x:c r="D2049" s="15" t="str">
        <x:v>Property lender / private real-estate capital prospect</x:v>
      </x:c>
      <x:c r="E2049" s="15" t="str">
        <x:v>Property lender / private-money inquiry</x:v>
      </x:c>
      <x:c r="F2049" s="17" t="str">
        <x:v>New</x:v>
      </x:c>
      <x:c r="G2049" s="24"/>
      <x:c r="H2049" s="24"/>
      <x:c r="I2049" s="24" t="str">
        <x:v>https://investordirectfunding.com/</x:v>
      </x:c>
      <x:c r="J2049" s="16" t="str">
        <x:v>IL</x:v>
      </x:c>
      <x:c r="K2049" s="16" t="str">
        <x:v>Naperville</x:v>
      </x:c>
      <x:c r="L2049" s="16" t="str">
        <x:v>firm_business_routing</x:v>
      </x:c>
      <x:c r="M2049" s="16" t="str">
        <x:v>https://investordirectfunding.com/</x:v>
      </x:c>
      <x:c r="N2049" s="16" t="str">
        <x:v>$100K-$500K ticket not published / unconfirmed</x:v>
      </x:c>
      <x:c r="O2049" s="20"/>
      <x:c r="P2049" s="20"/>
      <x:c r="Q2049" s="25" t="str">
        <x:v>Property-loan range, not a corporate-capital commitment</x:v>
      </x:c>
      <x:c r="R2049" s="25" t="str">
        <x:v>Private real-estate finance experience. Corporate working capital, minority equity or profit participation requires a separate agreement from a property loan.</x:v>
      </x:c>
      <x:c r="S2049" s="25"/>
      <x:c r="T2049" s="25" t="str">
        <x:v>Confirm direct principal versus broker, $100K-$500K appetite, and whether capital can fund the operating company without a property mortgage.</x:v>
      </x:c>
      <x:c r="U2049" s="25" t="str">
        <x:v>https://www.privatelendersdirectory.com/united-states/naperville/top-level-category/investor-direct-funding</x:v>
      </x:c>
      <x:c r="V2049" s="26" t="d">
        <x:v>2026-10-02T00:00:00.000Z</x:v>
      </x:c>
      <x:c r="W2049" s="26" t="d">
        <x:v>2026-10-02T00:00:00.000Z</x:v>
      </x:c>
      <x:c r="X2049" s="25" t="str">
        <x:v>Public investor directory; business role and contact ownership require qualification</x:v>
      </x:c>
      <x:c r="Y2049" s="25"/>
      <x:c r="Z2049" s="25"/>
      <x:c r="AA2049" s="25" t="str">
        <x:v>Directory member description excerpt: NAPERVILLE, IL PRIVATE LENDER Investor Direct Funding is a licensed alternative commercial finance firm for businesses that may not be</x:v>
      </x:c>
      <x:c r="AB2049" s="3" t="str">
        <x:v>New public-source collection</x:v>
      </x:c>
      <x:c r="AC2049" s="3" t="str">
        <x:v>unverified</x:v>
      </x:c>
      <x:c r="AD2049" s="3" t="str">
        <x:v>Not contacted / unconfirmed</x:v>
      </x:c>
      <x:c r="AE2049" s="3" t="str">
        <x:v>No</x:v>
      </x:c>
      <x:c r="AF2049" s="3" t="str">
        <x:v>No</x:v>
      </x:c>
      <x:c r="AG2049" s="3"/>
      <x:c r="AH2049" s="3"/>
      <x:c r="AI2049" s="18"/>
      <x:c r="AJ2049" s="3" t="str">
        <x:v>CF2500-84593E554CA0</x:v>
      </x:c>
      <x:c r="AK2049" s="3" t="str">
        <x:v>private real estate lender (directory claim)</x:v>
      </x:c>
      <x:c r="AL2049" s="19" t="n">
        <x:v>100000</x:v>
      </x:c>
      <x:c r="AM2049" s="19" t="n">
        <x:v>500000</x:v>
      </x:c>
      <x:c r="AN2049" s="3" t="str">
        <x:v>https://www.privatelendersdirectory.com/united-states/naperville/top-level-category/investor-direct-funding</x:v>
      </x:c>
      <x:c r="AO2049" s="3" t="str">
        <x:v>bulk_new_investors.jsonl</x:v>
      </x:c>
      <x:c r="AP2049" s="19"/>
    </x:row>
    <x:row r="2050" ht="36" customHeight="1">
      <x:c r="A2050" s="23" t="n">
        <x:v>2049</x:v>
      </x:c>
      <x:c r="B2050" s="15" t="str">
        <x:v>JP CAPITAL FUNDING</x:v>
      </x:c>
      <x:c r="C2050" s="15"/>
      <x:c r="D2050" s="15" t="str">
        <x:v>Property lender / private real-estate capital prospect</x:v>
      </x:c>
      <x:c r="E2050" s="15" t="str">
        <x:v>Property lender / private-money inquiry</x:v>
      </x:c>
      <x:c r="F2050" s="17" t="str">
        <x:v>New</x:v>
      </x:c>
      <x:c r="G2050" s="24"/>
      <x:c r="H2050" s="24"/>
      <x:c r="I2050" s="24" t="str">
        <x:v>https://jpcapitalfunding.com/</x:v>
      </x:c>
      <x:c r="J2050" s="16" t="str">
        <x:v>IL</x:v>
      </x:c>
      <x:c r="K2050" s="16" t="str">
        <x:v>Chicago</x:v>
      </x:c>
      <x:c r="L2050" s="16" t="str">
        <x:v>firm_business_routing</x:v>
      </x:c>
      <x:c r="M2050" s="16" t="str">
        <x:v>https://jpcapitalfunding.com/</x:v>
      </x:c>
      <x:c r="N2050" s="16" t="str">
        <x:v>$100K-$500K ticket not published / unconfirmed</x:v>
      </x:c>
      <x:c r="O2050" s="20"/>
      <x:c r="P2050" s="20"/>
      <x:c r="Q2050" s="25" t="str">
        <x:v>Property-loan range, not a corporate-capital commitment</x:v>
      </x:c>
      <x:c r="R2050" s="25" t="str">
        <x:v>Private real-estate finance experience. Corporate working capital, minority equity or profit participation requires a separate agreement from a property loan.</x:v>
      </x:c>
      <x:c r="S2050" s="25"/>
      <x:c r="T2050" s="25" t="str">
        <x:v>Confirm direct principal versus broker, $100K-$500K appetite, and whether capital can fund the operating company without a property mortgage.</x:v>
      </x:c>
      <x:c r="U2050" s="25" t="str">
        <x:v>https://www.privatelendersdirectory.com/united-states/chicago/top-level-category/jp-capital-funding</x:v>
      </x:c>
      <x:c r="V2050" s="26" t="d">
        <x:v>2026-10-02T00:00:00.000Z</x:v>
      </x:c>
      <x:c r="W2050" s="26" t="d">
        <x:v>2026-10-02T00:00:00.000Z</x:v>
      </x:c>
      <x:c r="X2050" s="25" t="str">
        <x:v>Public investor directory; business role and contact ownership require qualification</x:v>
      </x:c>
      <x:c r="Y2050" s="25"/>
      <x:c r="Z2050" s="25"/>
      <x:c r="AA2050" s="25" t="str">
        <x:v>Directory member description excerpt: CHICAGO, IL PRIVATE LENDER JP Capital Funding is the solution you need when searching for a quick online loan that</x:v>
      </x:c>
      <x:c r="AB2050" s="3" t="str">
        <x:v>New public-source collection</x:v>
      </x:c>
      <x:c r="AC2050" s="3" t="str">
        <x:v>unverified</x:v>
      </x:c>
      <x:c r="AD2050" s="3" t="str">
        <x:v>Not contacted / unconfirmed</x:v>
      </x:c>
      <x:c r="AE2050" s="3" t="str">
        <x:v>No</x:v>
      </x:c>
      <x:c r="AF2050" s="3" t="str">
        <x:v>No</x:v>
      </x:c>
      <x:c r="AG2050" s="3"/>
      <x:c r="AH2050" s="3"/>
      <x:c r="AI2050" s="18"/>
      <x:c r="AJ2050" s="3" t="str">
        <x:v>CF2500-3D3AE52D89EB</x:v>
      </x:c>
      <x:c r="AK2050" s="3" t="str">
        <x:v>private real estate lender (directory claim)</x:v>
      </x:c>
      <x:c r="AL2050" s="19" t="n">
        <x:v>100000</x:v>
      </x:c>
      <x:c r="AM2050" s="19" t="n">
        <x:v>500000</x:v>
      </x:c>
      <x:c r="AN2050" s="3" t="str">
        <x:v>https://www.privatelendersdirectory.com/united-states/chicago/top-level-category/jp-capital-funding</x:v>
      </x:c>
      <x:c r="AO2050" s="3" t="str">
        <x:v>bulk_new_investors.jsonl</x:v>
      </x:c>
      <x:c r="AP2050" s="19"/>
    </x:row>
    <x:row r="2051" ht="36" customHeight="1">
      <x:c r="A2051" s="23" t="n">
        <x:v>2050</x:v>
      </x:c>
      <x:c r="B2051" s="15" t="str">
        <x:v>M&amp;L HARD MONEY LENDING</x:v>
      </x:c>
      <x:c r="C2051" s="15"/>
      <x:c r="D2051" s="15" t="str">
        <x:v>Property lender / private real-estate capital prospect</x:v>
      </x:c>
      <x:c r="E2051" s="15" t="str">
        <x:v>Property lender / private-money inquiry</x:v>
      </x:c>
      <x:c r="F2051" s="17" t="str">
        <x:v>New</x:v>
      </x:c>
      <x:c r="G2051" s="24"/>
      <x:c r="H2051" s="24"/>
      <x:c r="I2051" s="24" t="str">
        <x:v>https://www.mlhardmoneylending.net/</x:v>
      </x:c>
      <x:c r="J2051" s="16" t="str">
        <x:v>FL</x:v>
      </x:c>
      <x:c r="K2051" s="16" t="str">
        <x:v>Boca Raton</x:v>
      </x:c>
      <x:c r="L2051" s="16" t="str">
        <x:v>firm_business_routing</x:v>
      </x:c>
      <x:c r="M2051" s="16" t="str">
        <x:v>https://www.mlhardmoneylending.net/</x:v>
      </x:c>
      <x:c r="N2051" s="16" t="str">
        <x:v>$100K-$500K ticket not published / unconfirmed</x:v>
      </x:c>
      <x:c r="O2051" s="20"/>
      <x:c r="P2051" s="20"/>
      <x:c r="Q2051" s="25" t="str">
        <x:v>Property-loan range, not a corporate-capital commitment</x:v>
      </x:c>
      <x:c r="R2051" s="25" t="str">
        <x:v>Private real-estate finance experience. Corporate working capital, minority equity or profit participation requires a separate agreement from a property loan.</x:v>
      </x:c>
      <x:c r="S2051" s="25"/>
      <x:c r="T2051" s="25" t="str">
        <x:v>Confirm direct principal versus broker, $100K-$500K appetite, and whether capital can fund the operating company without a property mortgage.</x:v>
      </x:c>
      <x:c r="U2051" s="25" t="str">
        <x:v>https://www.privatelendersdirectory.com/united-states/boca-raton/top-level-category/m-l-hard-money-lending</x:v>
      </x:c>
      <x:c r="V2051" s="26" t="d">
        <x:v>2026-10-02T00:00:00.000Z</x:v>
      </x:c>
      <x:c r="W2051" s="26" t="d">
        <x:v>2026-10-02T00:00:00.000Z</x:v>
      </x:c>
      <x:c r="X2051" s="25" t="str">
        <x:v>Public investor directory; business role and contact ownership require qualification</x:v>
      </x:c>
      <x:c r="Y2051" s="25"/>
      <x:c r="Z2051" s="25"/>
      <x:c r="AA2051" s="25" t="str">
        <x:v>Directory member description excerpt: BOCA RATON, FL HARD MONEY LENDER At M&amp;L, we specialize in providing reliable and efficient hard money lending solutions for</x:v>
      </x:c>
      <x:c r="AB2051" s="3" t="str">
        <x:v>New public-source collection</x:v>
      </x:c>
      <x:c r="AC2051" s="3" t="str">
        <x:v>unverified</x:v>
      </x:c>
      <x:c r="AD2051" s="3" t="str">
        <x:v>Not contacted / unconfirmed</x:v>
      </x:c>
      <x:c r="AE2051" s="3" t="str">
        <x:v>No</x:v>
      </x:c>
      <x:c r="AF2051" s="3" t="str">
        <x:v>No</x:v>
      </x:c>
      <x:c r="AG2051" s="3"/>
      <x:c r="AH2051" s="3"/>
      <x:c r="AI2051" s="18"/>
      <x:c r="AJ2051" s="3" t="str">
        <x:v>CF2500-90B605322800</x:v>
      </x:c>
      <x:c r="AK2051" s="3" t="str">
        <x:v>private real estate lender (directory claim)</x:v>
      </x:c>
      <x:c r="AL2051" s="19" t="n">
        <x:v>100000</x:v>
      </x:c>
      <x:c r="AM2051" s="19" t="n">
        <x:v>500000</x:v>
      </x:c>
      <x:c r="AN2051" s="3" t="str">
        <x:v>https://www.privatelendersdirectory.com/united-states/boca-raton/top-level-category/m-l-hard-money-lending</x:v>
      </x:c>
      <x:c r="AO2051" s="3" t="str">
        <x:v>bulk_new_investors.jsonl</x:v>
      </x:c>
      <x:c r="AP2051" s="19"/>
    </x:row>
    <x:row r="2052" ht="36" customHeight="1">
      <x:c r="A2052" s="23" t="n">
        <x:v>2051</x:v>
      </x:c>
      <x:c r="B2052" s="15" t="str">
        <x:v>MARKOUR FUNDING AND INVESTMENTS</x:v>
      </x:c>
      <x:c r="C2052" s="15"/>
      <x:c r="D2052" s="15" t="str">
        <x:v>Property lender / private real-estate capital prospect</x:v>
      </x:c>
      <x:c r="E2052" s="15" t="str">
        <x:v>Property lender / private-money inquiry</x:v>
      </x:c>
      <x:c r="F2052" s="17" t="str">
        <x:v>New</x:v>
      </x:c>
      <x:c r="G2052" s="24"/>
      <x:c r="H2052" s="24"/>
      <x:c r="I2052" s="24" t="str">
        <x:v>http://www.markour.com/</x:v>
      </x:c>
      <x:c r="J2052" s="16" t="str">
        <x:v>AZ</x:v>
      </x:c>
      <x:c r="K2052" s="16" t="str">
        <x:v>Scottsdale</x:v>
      </x:c>
      <x:c r="L2052" s="16" t="str">
        <x:v>firm_business_routing</x:v>
      </x:c>
      <x:c r="M2052" s="16" t="str">
        <x:v>http://www.markour.com/</x:v>
      </x:c>
      <x:c r="N2052" s="16" t="str">
        <x:v>$100K-$500K ticket not published / unconfirmed</x:v>
      </x:c>
      <x:c r="O2052" s="20"/>
      <x:c r="P2052" s="20"/>
      <x:c r="Q2052" s="25" t="str">
        <x:v>Property-loan range, not a corporate-capital commitment</x:v>
      </x:c>
      <x:c r="R2052" s="25" t="str">
        <x:v>Private real-estate finance experience. Corporate working capital, minority equity or profit participation requires a separate agreement from a property loan.</x:v>
      </x:c>
      <x:c r="S2052" s="25"/>
      <x:c r="T2052" s="25" t="str">
        <x:v>Confirm direct principal versus broker, $100K-$500K appetite, and whether capital can fund the operating company without a property mortgage.</x:v>
      </x:c>
      <x:c r="U2052" s="25" t="str">
        <x:v>https://www.privatelendersdirectory.com/united-states/scottsdale/real-estate-investment-lending/markour-funding-and-investments</x:v>
      </x:c>
      <x:c r="V2052" s="26" t="d">
        <x:v>2026-10-02T00:00:00.000Z</x:v>
      </x:c>
      <x:c r="W2052" s="26" t="d">
        <x:v>2026-10-02T00:00:00.000Z</x:v>
      </x:c>
      <x:c r="X2052" s="25" t="str">
        <x:v>Public investor directory; business role and contact ownership require qualification</x:v>
      </x:c>
      <x:c r="Y2052" s="25"/>
      <x:c r="Z2052" s="25"/>
      <x:c r="AA2052" s="25" t="str">
        <x:v>Directory member description excerpt: BOSTON, MA PRIVATE MONEY LENDER Markour Funding &amp; Investment, Inc. is a privately held mortgage lender, asset management and advisory</x:v>
      </x:c>
      <x:c r="AB2052" s="3" t="str">
        <x:v>New public-source collection</x:v>
      </x:c>
      <x:c r="AC2052" s="3" t="str">
        <x:v>unverified</x:v>
      </x:c>
      <x:c r="AD2052" s="3" t="str">
        <x:v>Not contacted / unconfirmed</x:v>
      </x:c>
      <x:c r="AE2052" s="3" t="str">
        <x:v>No</x:v>
      </x:c>
      <x:c r="AF2052" s="3" t="str">
        <x:v>No</x:v>
      </x:c>
      <x:c r="AG2052" s="3"/>
      <x:c r="AH2052" s="3"/>
      <x:c r="AI2052" s="18"/>
      <x:c r="AJ2052" s="3" t="str">
        <x:v>CF2500-74FE7A61DC9D</x:v>
      </x:c>
      <x:c r="AK2052" s="3" t="str">
        <x:v>real estate capital prospect (role unconfirmed)</x:v>
      </x:c>
      <x:c r="AL2052" s="19" t="n">
        <x:v>100000</x:v>
      </x:c>
      <x:c r="AM2052" s="19" t="n">
        <x:v>500000</x:v>
      </x:c>
      <x:c r="AN2052" s="3" t="str">
        <x:v>https://www.privatelendersdirectory.com/united-states/scottsdale/real-estate-investment-lending/markour-funding-and-investments</x:v>
      </x:c>
      <x:c r="AO2052" s="3" t="str">
        <x:v>bulk_new_investors.jsonl</x:v>
      </x:c>
      <x:c r="AP2052" s="19"/>
    </x:row>
    <x:row r="2053" ht="36" customHeight="1">
      <x:c r="A2053" s="23" t="n">
        <x:v>2052</x:v>
      </x:c>
      <x:c r="B2053" s="15" t="str">
        <x:v>MCLEOD CAPITAL FUND</x:v>
      </x:c>
      <x:c r="C2053" s="15"/>
      <x:c r="D2053" s="15" t="str">
        <x:v>Property lender / private real-estate capital prospect</x:v>
      </x:c>
      <x:c r="E2053" s="15" t="str">
        <x:v>Property lender / private-money inquiry</x:v>
      </x:c>
      <x:c r="F2053" s="17" t="str">
        <x:v>New</x:v>
      </x:c>
      <x:c r="G2053" s="24"/>
      <x:c r="H2053" s="24"/>
      <x:c r="I2053" s="24" t="str">
        <x:v>https://mcapfunding.info/</x:v>
      </x:c>
      <x:c r="J2053" s="16" t="str">
        <x:v>FL</x:v>
      </x:c>
      <x:c r="K2053" s="16" t="str">
        <x:v>Miramar</x:v>
      </x:c>
      <x:c r="L2053" s="16" t="str">
        <x:v>firm_business_routing</x:v>
      </x:c>
      <x:c r="M2053" s="16" t="str">
        <x:v>https://mcapfunding.info/</x:v>
      </x:c>
      <x:c r="N2053" s="16" t="str">
        <x:v>$100K-$500K ticket not published / unconfirmed</x:v>
      </x:c>
      <x:c r="O2053" s="20"/>
      <x:c r="P2053" s="20"/>
      <x:c r="Q2053" s="25" t="str">
        <x:v>Property-loan range, not a corporate-capital commitment</x:v>
      </x:c>
      <x:c r="R2053" s="25" t="str">
        <x:v>Private real-estate finance experience. Corporate working capital, minority equity or profit participation requires a separate agreement from a property loan.</x:v>
      </x:c>
      <x:c r="S2053" s="25"/>
      <x:c r="T2053" s="25" t="str">
        <x:v>Confirm direct principal versus broker, $100K-$500K appetite, and whether capital can fund the operating company without a property mortgage.</x:v>
      </x:c>
      <x:c r="U2053" s="25" t="str">
        <x:v>https://www.privatelendersdirectory.com/united-states/miramar/top-level-category/mcleod-capital-fund</x:v>
      </x:c>
      <x:c r="V2053" s="26" t="d">
        <x:v>2026-10-02T00:00:00.000Z</x:v>
      </x:c>
      <x:c r="W2053" s="26" t="d">
        <x:v>2026-10-02T00:00:00.000Z</x:v>
      </x:c>
      <x:c r="X2053" s="25" t="str">
        <x:v>Public investor directory; business role and contact ownership require qualification</x:v>
      </x:c>
      <x:c r="Y2053" s="25"/>
      <x:c r="Z2053" s="25"/>
      <x:c r="AA2053" s="25" t="str">
        <x:v>Directory member description excerpt: MIRAMAR, FL PRIVATE LENDER Our comprehensive financial management system helps our clients effectively manage every aspect of their financial lives.</x:v>
      </x:c>
      <x:c r="AB2053" s="3" t="str">
        <x:v>New public-source collection</x:v>
      </x:c>
      <x:c r="AC2053" s="3" t="str">
        <x:v>unverified</x:v>
      </x:c>
      <x:c r="AD2053" s="3" t="str">
        <x:v>Not contacted / unconfirmed</x:v>
      </x:c>
      <x:c r="AE2053" s="3" t="str">
        <x:v>No</x:v>
      </x:c>
      <x:c r="AF2053" s="3" t="str">
        <x:v>No</x:v>
      </x:c>
      <x:c r="AG2053" s="3"/>
      <x:c r="AH2053" s="3"/>
      <x:c r="AI2053" s="18"/>
      <x:c r="AJ2053" s="3" t="str">
        <x:v>CF2500-80714D346899</x:v>
      </x:c>
      <x:c r="AK2053" s="3" t="str">
        <x:v>private real estate lender (directory claim)</x:v>
      </x:c>
      <x:c r="AL2053" s="19" t="n">
        <x:v>100000</x:v>
      </x:c>
      <x:c r="AM2053" s="19" t="n">
        <x:v>500000</x:v>
      </x:c>
      <x:c r="AN2053" s="3" t="str">
        <x:v>https://www.privatelendersdirectory.com/united-states/miramar/top-level-category/mcleod-capital-fund</x:v>
      </x:c>
      <x:c r="AO2053" s="3" t="str">
        <x:v>bulk_new_investors.jsonl</x:v>
      </x:c>
      <x:c r="AP2053" s="19"/>
    </x:row>
    <x:row r="2054" ht="36" customHeight="1">
      <x:c r="A2054" s="23" t="n">
        <x:v>2053</x:v>
      </x:c>
      <x:c r="B2054" s="15" t="str">
        <x:v>METRO PRIVATE LENDING</x:v>
      </x:c>
      <x:c r="C2054" s="15"/>
      <x:c r="D2054" s="15" t="str">
        <x:v>Property lender / private real-estate capital prospect</x:v>
      </x:c>
      <x:c r="E2054" s="15" t="str">
        <x:v>Property lender / private-money inquiry</x:v>
      </x:c>
      <x:c r="F2054" s="17" t="str">
        <x:v>New</x:v>
      </x:c>
      <x:c r="G2054" s="24"/>
      <x:c r="H2054" s="24"/>
      <x:c r="I2054" s="24" t="str">
        <x:v>https://metrowb.com/</x:v>
      </x:c>
      <x:c r="J2054" s="16" t="str">
        <x:v>AZ</x:v>
      </x:c>
      <x:c r="K2054" s="16" t="str">
        <x:v>Phoenix</x:v>
      </x:c>
      <x:c r="L2054" s="16" t="str">
        <x:v>firm_business_routing</x:v>
      </x:c>
      <x:c r="M2054" s="16" t="str">
        <x:v>https://metrowb.com/</x:v>
      </x:c>
      <x:c r="N2054" s="16" t="str">
        <x:v>$100K-$500K ticket not published / unconfirmed</x:v>
      </x:c>
      <x:c r="O2054" s="20"/>
      <x:c r="P2054" s="20"/>
      <x:c r="Q2054" s="25" t="str">
        <x:v>Property-loan range, not a corporate-capital commitment</x:v>
      </x:c>
      <x:c r="R2054" s="25" t="str">
        <x:v>Private real-estate finance experience. Corporate working capital, minority equity or profit participation requires a separate agreement from a property loan.</x:v>
      </x:c>
      <x:c r="S2054" s="25"/>
      <x:c r="T2054" s="25" t="str">
        <x:v>Confirm direct principal versus broker, $100K-$500K appetite, and whether capital can fund the operating company without a property mortgage.</x:v>
      </x:c>
      <x:c r="U2054" s="25" t="str">
        <x:v>https://www.privatelendersdirectory.com/united-states/phoenix/real-estate-investment-lending/metro-private-lending</x:v>
      </x:c>
      <x:c r="V2054" s="26" t="d">
        <x:v>2026-10-02T00:00:00.000Z</x:v>
      </x:c>
      <x:c r="W2054" s="26" t="d">
        <x:v>2026-10-02T00:00:00.000Z</x:v>
      </x:c>
      <x:c r="X2054" s="25" t="str">
        <x:v>Public investor directory; business role and contact ownership require qualification</x:v>
      </x:c>
      <x:c r="Y2054" s="25"/>
      <x:c r="Z2054" s="25"/>
      <x:c r="AA2054" s="25" t="str">
        <x:v>Directory member description excerpt: PHOENIX, AZ PRIVATE MOANY LENDER Offers fast and flexible financing solutions through Hard Money and private money loans</x:v>
      </x:c>
      <x:c r="AB2054" s="3" t="str">
        <x:v>New public-source collection</x:v>
      </x:c>
      <x:c r="AC2054" s="3" t="str">
        <x:v>unverified</x:v>
      </x:c>
      <x:c r="AD2054" s="3" t="str">
        <x:v>Not contacted / unconfirmed</x:v>
      </x:c>
      <x:c r="AE2054" s="3" t="str">
        <x:v>No</x:v>
      </x:c>
      <x:c r="AF2054" s="3" t="str">
        <x:v>No</x:v>
      </x:c>
      <x:c r="AG2054" s="3"/>
      <x:c r="AH2054" s="3"/>
      <x:c r="AI2054" s="18"/>
      <x:c r="AJ2054" s="3" t="str">
        <x:v>CF2500-4C91E66F90D1</x:v>
      </x:c>
      <x:c r="AK2054" s="3" t="str">
        <x:v>private real estate lender (directory claim)</x:v>
      </x:c>
      <x:c r="AL2054" s="19" t="n">
        <x:v>100000</x:v>
      </x:c>
      <x:c r="AM2054" s="19" t="n">
        <x:v>500000</x:v>
      </x:c>
      <x:c r="AN2054" s="3" t="str">
        <x:v>https://www.privatelendersdirectory.com/united-states/phoenix/real-estate-investment-lending/metro-private-lending</x:v>
      </x:c>
      <x:c r="AO2054" s="3" t="str">
        <x:v>bulk_new_investors.jsonl</x:v>
      </x:c>
      <x:c r="AP2054" s="19"/>
    </x:row>
    <x:row r="2055" ht="36" customHeight="1">
      <x:c r="A2055" s="23" t="n">
        <x:v>2054</x:v>
      </x:c>
      <x:c r="B2055" s="15" t="str">
        <x:v>MIAMI CAPITAL LENDING</x:v>
      </x:c>
      <x:c r="C2055" s="15"/>
      <x:c r="D2055" s="15" t="str">
        <x:v>Property lender / private real-estate capital prospect</x:v>
      </x:c>
      <x:c r="E2055" s="15" t="str">
        <x:v>Property lender / private-money inquiry</x:v>
      </x:c>
      <x:c r="F2055" s="17" t="str">
        <x:v>New</x:v>
      </x:c>
      <x:c r="G2055" s="24"/>
      <x:c r="H2055" s="24"/>
      <x:c r="I2055" s="24" t="str">
        <x:v>https://miamicapitallending.com/</x:v>
      </x:c>
      <x:c r="J2055" s="16" t="str">
        <x:v>FL</x:v>
      </x:c>
      <x:c r="K2055" s="16" t="str">
        <x:v>Miami</x:v>
      </x:c>
      <x:c r="L2055" s="16" t="str">
        <x:v>firm_business_routing</x:v>
      </x:c>
      <x:c r="M2055" s="16" t="str">
        <x:v>https://miamicapitallending.com/</x:v>
      </x:c>
      <x:c r="N2055" s="16" t="str">
        <x:v>$100K-$500K ticket not published / unconfirmed</x:v>
      </x:c>
      <x:c r="O2055" s="20"/>
      <x:c r="P2055" s="20"/>
      <x:c r="Q2055" s="25" t="str">
        <x:v>Property-loan range, not a corporate-capital commitment</x:v>
      </x:c>
      <x:c r="R2055" s="25" t="str">
        <x:v>Private real-estate finance experience. Corporate working capital, minority equity or profit participation requires a separate agreement from a property loan.</x:v>
      </x:c>
      <x:c r="S2055" s="25"/>
      <x:c r="T2055" s="25" t="str">
        <x:v>Confirm direct principal versus broker, $100K-$500K appetite, and whether capital can fund the operating company without a property mortgage.</x:v>
      </x:c>
      <x:c r="U2055" s="25" t="str">
        <x:v>https://www.privatelendersdirectory.com/united-states/miami/top-level-category/miami-capital-lending</x:v>
      </x:c>
      <x:c r="V2055" s="26" t="d">
        <x:v>2026-10-02T00:00:00.000Z</x:v>
      </x:c>
      <x:c r="W2055" s="26" t="d">
        <x:v>2026-10-02T00:00:00.000Z</x:v>
      </x:c>
      <x:c r="X2055" s="25" t="str">
        <x:v>Public investor directory; business role and contact ownership require qualification</x:v>
      </x:c>
      <x:c r="Y2055" s="25"/>
      <x:c r="Z2055" s="25"/>
      <x:c r="AA2055" s="25" t="str">
        <x:v>Directory member description excerpt: MIAMI, FL PRIVATE LENDER MIAMI CAPITAL Lending provides customized residential mortgages for purchasing or refinancing homes.</x:v>
      </x:c>
      <x:c r="AB2055" s="3" t="str">
        <x:v>New public-source collection</x:v>
      </x:c>
      <x:c r="AC2055" s="3" t="str">
        <x:v>unverified</x:v>
      </x:c>
      <x:c r="AD2055" s="3" t="str">
        <x:v>Not contacted / unconfirmed</x:v>
      </x:c>
      <x:c r="AE2055" s="3" t="str">
        <x:v>No</x:v>
      </x:c>
      <x:c r="AF2055" s="3" t="str">
        <x:v>No</x:v>
      </x:c>
      <x:c r="AG2055" s="3"/>
      <x:c r="AH2055" s="3"/>
      <x:c r="AI2055" s="18"/>
      <x:c r="AJ2055" s="3" t="str">
        <x:v>CF2500-93D4C03DD182</x:v>
      </x:c>
      <x:c r="AK2055" s="3" t="str">
        <x:v>private real estate lender (directory claim)</x:v>
      </x:c>
      <x:c r="AL2055" s="19" t="n">
        <x:v>100000</x:v>
      </x:c>
      <x:c r="AM2055" s="19" t="n">
        <x:v>500000</x:v>
      </x:c>
      <x:c r="AN2055" s="3" t="str">
        <x:v>https://www.privatelendersdirectory.com/united-states/miami/top-level-category/miami-capital-lending</x:v>
      </x:c>
      <x:c r="AO2055" s="3" t="str">
        <x:v>bulk_new_investors.jsonl</x:v>
      </x:c>
      <x:c r="AP2055" s="19"/>
    </x:row>
    <x:row r="2056" ht="36" customHeight="1">
      <x:c r="A2056" s="23" t="n">
        <x:v>2055</x:v>
      </x:c>
      <x:c r="B2056" s="15" t="str">
        <x:v>MIRACLE CAPITAL LENDING</x:v>
      </x:c>
      <x:c r="C2056" s="15"/>
      <x:c r="D2056" s="15" t="str">
        <x:v>Property lender / private real-estate capital prospect</x:v>
      </x:c>
      <x:c r="E2056" s="15" t="str">
        <x:v>Property lender / private-money inquiry</x:v>
      </x:c>
      <x:c r="F2056" s="17" t="str">
        <x:v>New</x:v>
      </x:c>
      <x:c r="G2056" s="24"/>
      <x:c r="H2056" s="24"/>
      <x:c r="I2056" s="24" t="str">
        <x:v>https://miraclecapitallending.com/</x:v>
      </x:c>
      <x:c r="J2056" s="16" t="str">
        <x:v>TX</x:v>
      </x:c>
      <x:c r="K2056" s="16" t="str">
        <x:v>Arlington</x:v>
      </x:c>
      <x:c r="L2056" s="16" t="str">
        <x:v>firm_business_routing</x:v>
      </x:c>
      <x:c r="M2056" s="16" t="str">
        <x:v>https://miraclecapitallending.com/</x:v>
      </x:c>
      <x:c r="N2056" s="16" t="str">
        <x:v>$100K-$500K ticket not published / unconfirmed</x:v>
      </x:c>
      <x:c r="O2056" s="20"/>
      <x:c r="P2056" s="20"/>
      <x:c r="Q2056" s="25" t="str">
        <x:v>Property-loan range, not a corporate-capital commitment</x:v>
      </x:c>
      <x:c r="R2056" s="25" t="str">
        <x:v>Private real-estate finance experience. Corporate working capital, minority equity or profit participation requires a separate agreement from a property loan.</x:v>
      </x:c>
      <x:c r="S2056" s="25"/>
      <x:c r="T2056" s="25" t="str">
        <x:v>Confirm direct principal versus broker, $100K-$500K appetite, and whether capital can fund the operating company without a property mortgage.</x:v>
      </x:c>
      <x:c r="U2056" s="25" t="str">
        <x:v>https://www.privatelendersdirectory.com/united-states/arlington/top-level-category/miracle-capital-lending</x:v>
      </x:c>
      <x:c r="V2056" s="26" t="d">
        <x:v>2026-10-02T00:00:00.000Z</x:v>
      </x:c>
      <x:c r="W2056" s="26" t="d">
        <x:v>2026-10-02T00:00:00.000Z</x:v>
      </x:c>
      <x:c r="X2056" s="25" t="str">
        <x:v>Public investor directory; business role and contact ownership require qualification</x:v>
      </x:c>
      <x:c r="Y2056" s="25"/>
      <x:c r="Z2056" s="25"/>
      <x:c r="AA2056" s="25" t="str">
        <x:v>Directory member description excerpt: ARLINGTON, TX PRIVATE LENDER Our commitment to excellence is shown through our communication, professionalism, dedication, and consistency in achieving the</x:v>
      </x:c>
      <x:c r="AB2056" s="3" t="str">
        <x:v>New public-source collection</x:v>
      </x:c>
      <x:c r="AC2056" s="3" t="str">
        <x:v>unverified</x:v>
      </x:c>
      <x:c r="AD2056" s="3" t="str">
        <x:v>Not contacted / unconfirmed</x:v>
      </x:c>
      <x:c r="AE2056" s="3" t="str">
        <x:v>No</x:v>
      </x:c>
      <x:c r="AF2056" s="3" t="str">
        <x:v>No</x:v>
      </x:c>
      <x:c r="AG2056" s="3"/>
      <x:c r="AH2056" s="3"/>
      <x:c r="AI2056" s="18"/>
      <x:c r="AJ2056" s="3" t="str">
        <x:v>CF2500-2179553D5605</x:v>
      </x:c>
      <x:c r="AK2056" s="3" t="str">
        <x:v>private real estate lender (directory claim)</x:v>
      </x:c>
      <x:c r="AL2056" s="19" t="n">
        <x:v>100000</x:v>
      </x:c>
      <x:c r="AM2056" s="19" t="n">
        <x:v>500000</x:v>
      </x:c>
      <x:c r="AN2056" s="3" t="str">
        <x:v>https://www.privatelendersdirectory.com/united-states/arlington/top-level-category/miracle-capital-lending</x:v>
      </x:c>
      <x:c r="AO2056" s="3" t="str">
        <x:v>bulk_new_investors.jsonl</x:v>
      </x:c>
      <x:c r="AP2056" s="19"/>
    </x:row>
    <x:row r="2057" ht="36" customHeight="1">
      <x:c r="A2057" s="23" t="n">
        <x:v>2056</x:v>
      </x:c>
      <x:c r="B2057" s="15" t="str">
        <x:v>NATIONAL PRIVATE LENDING</x:v>
      </x:c>
      <x:c r="C2057" s="15"/>
      <x:c r="D2057" s="15" t="str">
        <x:v>Property lender / private real-estate capital prospect</x:v>
      </x:c>
      <x:c r="E2057" s="15" t="str">
        <x:v>Property lender / private-money inquiry</x:v>
      </x:c>
      <x:c r="F2057" s="17" t="str">
        <x:v>New</x:v>
      </x:c>
      <x:c r="G2057" s="24"/>
      <x:c r="H2057" s="24"/>
      <x:c r="I2057" s="24" t="str">
        <x:v>https://www.nationalprivatelending.com/</x:v>
      </x:c>
      <x:c r="J2057" s="16" t="str">
        <x:v>IL</x:v>
      </x:c>
      <x:c r="K2057" s="16" t="str">
        <x:v>Chicago</x:v>
      </x:c>
      <x:c r="L2057" s="16" t="str">
        <x:v>firm_business_routing</x:v>
      </x:c>
      <x:c r="M2057" s="16" t="str">
        <x:v>https://www.nationalprivatelending.com/</x:v>
      </x:c>
      <x:c r="N2057" s="16" t="str">
        <x:v>$100K-$500K ticket not published / unconfirmed</x:v>
      </x:c>
      <x:c r="O2057" s="20"/>
      <x:c r="P2057" s="20"/>
      <x:c r="Q2057" s="25" t="str">
        <x:v>Property-loan range, not a corporate-capital commitment</x:v>
      </x:c>
      <x:c r="R2057" s="25" t="str">
        <x:v>Private real-estate finance experience. Corporate working capital, minority equity or profit participation requires a separate agreement from a property loan.</x:v>
      </x:c>
      <x:c r="S2057" s="25"/>
      <x:c r="T2057" s="25" t="str">
        <x:v>Confirm direct principal versus broker, $100K-$500K appetite, and whether capital can fund the operating company without a property mortgage.</x:v>
      </x:c>
      <x:c r="U2057" s="25" t="str">
        <x:v>https://www.privatelendersdirectory.com/united-states/chicago/top-level-category/national-private-lending</x:v>
      </x:c>
      <x:c r="V2057" s="26" t="d">
        <x:v>2026-10-02T00:00:00.000Z</x:v>
      </x:c>
      <x:c r="W2057" s="26" t="d">
        <x:v>2026-10-02T00:00:00.000Z</x:v>
      </x:c>
      <x:c r="X2057" s="25" t="str">
        <x:v>Public investor directory; business role and contact ownership require qualification</x:v>
      </x:c>
      <x:c r="Y2057" s="25"/>
      <x:c r="Z2057" s="25"/>
      <x:c r="AA2057" s="25" t="str">
        <x:v>Directory member description excerpt: CHICAGO, IL PRIVATE MONEY LENDER National Private Lending is a financial service company that provides term loans to residential real</x:v>
      </x:c>
      <x:c r="AB2057" s="3" t="str">
        <x:v>New public-source collection</x:v>
      </x:c>
      <x:c r="AC2057" s="3" t="str">
        <x:v>unverified</x:v>
      </x:c>
      <x:c r="AD2057" s="3" t="str">
        <x:v>Not contacted / unconfirmed</x:v>
      </x:c>
      <x:c r="AE2057" s="3" t="str">
        <x:v>No</x:v>
      </x:c>
      <x:c r="AF2057" s="3" t="str">
        <x:v>No</x:v>
      </x:c>
      <x:c r="AG2057" s="3"/>
      <x:c r="AH2057" s="3"/>
      <x:c r="AI2057" s="18"/>
      <x:c r="AJ2057" s="3" t="str">
        <x:v>CF2500-8F8533F4C0C9</x:v>
      </x:c>
      <x:c r="AK2057" s="3" t="str">
        <x:v>private real estate lender (directory claim)</x:v>
      </x:c>
      <x:c r="AL2057" s="19" t="n">
        <x:v>100000</x:v>
      </x:c>
      <x:c r="AM2057" s="19" t="n">
        <x:v>500000</x:v>
      </x:c>
      <x:c r="AN2057" s="3" t="str">
        <x:v>https://www.privatelendersdirectory.com/united-states/chicago/top-level-category/national-private-lending</x:v>
      </x:c>
      <x:c r="AO2057" s="3" t="str">
        <x:v>bulk_new_investors.jsonl</x:v>
      </x:c>
      <x:c r="AP2057" s="19"/>
    </x:row>
    <x:row r="2058" ht="36" customHeight="1">
      <x:c r="A2058" s="23" t="n">
        <x:v>2057</x:v>
      </x:c>
      <x:c r="B2058" s="15" t="str">
        <x:v>OLD CAPITAL LENDING</x:v>
      </x:c>
      <x:c r="C2058" s="15"/>
      <x:c r="D2058" s="15" t="str">
        <x:v>Property lender / private real-estate capital prospect</x:v>
      </x:c>
      <x:c r="E2058" s="15" t="str">
        <x:v>Property lender / private-money inquiry</x:v>
      </x:c>
      <x:c r="F2058" s="17" t="str">
        <x:v>New</x:v>
      </x:c>
      <x:c r="G2058" s="24"/>
      <x:c r="H2058" s="24"/>
      <x:c r="I2058" s="24" t="str">
        <x:v>https://oldcapitallending.com/</x:v>
      </x:c>
      <x:c r="J2058" s="16" t="str">
        <x:v>TX</x:v>
      </x:c>
      <x:c r="K2058" s="16" t="str">
        <x:v>Colleyville</x:v>
      </x:c>
      <x:c r="L2058" s="16" t="str">
        <x:v>firm_business_routing</x:v>
      </x:c>
      <x:c r="M2058" s="16" t="str">
        <x:v>https://oldcapitallending.com/</x:v>
      </x:c>
      <x:c r="N2058" s="16" t="str">
        <x:v>$100K-$500K ticket not published / unconfirmed</x:v>
      </x:c>
      <x:c r="O2058" s="20"/>
      <x:c r="P2058" s="20"/>
      <x:c r="Q2058" s="25" t="str">
        <x:v>Property-loan range, not a corporate-capital commitment</x:v>
      </x:c>
      <x:c r="R2058" s="25" t="str">
        <x:v>Private real-estate finance experience. Corporate working capital, minority equity or profit participation requires a separate agreement from a property loan.</x:v>
      </x:c>
      <x:c r="S2058" s="25"/>
      <x:c r="T2058" s="25" t="str">
        <x:v>Confirm direct principal versus broker, $100K-$500K appetite, and whether capital can fund the operating company without a property mortgage.</x:v>
      </x:c>
      <x:c r="U2058" s="25" t="str">
        <x:v>https://www.privatelendersdirectory.com/united-states/colleyville/real-estate-investment-lending/old-capital-lending</x:v>
      </x:c>
      <x:c r="V2058" s="26" t="d">
        <x:v>2026-10-02T00:00:00.000Z</x:v>
      </x:c>
      <x:c r="W2058" s="26" t="d">
        <x:v>2026-10-02T00:00:00.000Z</x:v>
      </x:c>
      <x:c r="X2058" s="25" t="str">
        <x:v>Public investor directory; business role and contact ownership require qualification</x:v>
      </x:c>
      <x:c r="Y2058" s="25"/>
      <x:c r="Z2058" s="25"/>
      <x:c r="AA2058" s="25" t="str">
        <x:v>Directory member description excerpt: COLLEYVILLE, TX PRIVATE REAL ESTATE LENDER Nationwide Commercial Real Estate Lender</x:v>
      </x:c>
      <x:c r="AB2058" s="3" t="str">
        <x:v>New public-source collection</x:v>
      </x:c>
      <x:c r="AC2058" s="3" t="str">
        <x:v>unverified</x:v>
      </x:c>
      <x:c r="AD2058" s="3" t="str">
        <x:v>Not contacted / unconfirmed</x:v>
      </x:c>
      <x:c r="AE2058" s="3" t="str">
        <x:v>No</x:v>
      </x:c>
      <x:c r="AF2058" s="3" t="str">
        <x:v>No</x:v>
      </x:c>
      <x:c r="AG2058" s="3"/>
      <x:c r="AH2058" s="3"/>
      <x:c r="AI2058" s="18"/>
      <x:c r="AJ2058" s="3" t="str">
        <x:v>CF2500-BCB6F7C83871</x:v>
      </x:c>
      <x:c r="AK2058" s="3" t="str">
        <x:v>real estate capital prospect (role unconfirmed)</x:v>
      </x:c>
      <x:c r="AL2058" s="19" t="n">
        <x:v>100000</x:v>
      </x:c>
      <x:c r="AM2058" s="19" t="n">
        <x:v>500000</x:v>
      </x:c>
      <x:c r="AN2058" s="3" t="str">
        <x:v>https://www.privatelendersdirectory.com/united-states/colleyville/real-estate-investment-lending/old-capital-lending</x:v>
      </x:c>
      <x:c r="AO2058" s="3" t="str">
        <x:v>bulk_new_investors.jsonl</x:v>
      </x:c>
      <x:c r="AP2058" s="19"/>
    </x:row>
    <x:row r="2059" ht="36" customHeight="1">
      <x:c r="A2059" s="23" t="n">
        <x:v>2058</x:v>
      </x:c>
      <x:c r="B2059" s="15" t="str">
        <x:v>PALM BEACH PRIVATE LENDERS GROUP INC.</x:v>
      </x:c>
      <x:c r="C2059" s="15"/>
      <x:c r="D2059" s="15" t="str">
        <x:v>Property lender / private real-estate capital prospect</x:v>
      </x:c>
      <x:c r="E2059" s="15" t="str">
        <x:v>Property lender / private-money inquiry</x:v>
      </x:c>
      <x:c r="F2059" s="17" t="str">
        <x:v>New</x:v>
      </x:c>
      <x:c r="G2059" s="24"/>
      <x:c r="H2059" s="24"/>
      <x:c r="I2059" s="24" t="str">
        <x:v>https://palmbeachprivatelendersgroupinc.com/</x:v>
      </x:c>
      <x:c r="J2059" s="16" t="str">
        <x:v>FL</x:v>
      </x:c>
      <x:c r="K2059" s="16" t="str">
        <x:v>Boca Raton</x:v>
      </x:c>
      <x:c r="L2059" s="16" t="str">
        <x:v>firm_business_routing</x:v>
      </x:c>
      <x:c r="M2059" s="16" t="str">
        <x:v>https://palmbeachprivatelendersgroupinc.com/</x:v>
      </x:c>
      <x:c r="N2059" s="16" t="str">
        <x:v>$100K-$500K ticket not published / unconfirmed</x:v>
      </x:c>
      <x:c r="O2059" s="20"/>
      <x:c r="P2059" s="20"/>
      <x:c r="Q2059" s="25" t="str">
        <x:v>Property-loan range, not a corporate-capital commitment</x:v>
      </x:c>
      <x:c r="R2059" s="25" t="str">
        <x:v>Private real-estate finance experience. Corporate working capital, minority equity or profit participation requires a separate agreement from a property loan.</x:v>
      </x:c>
      <x:c r="S2059" s="25"/>
      <x:c r="T2059" s="25" t="str">
        <x:v>Confirm direct principal versus broker, $100K-$500K appetite, and whether capital can fund the operating company without a property mortgage.</x:v>
      </x:c>
      <x:c r="U2059" s="25" t="str">
        <x:v>https://www.privatelendersdirectory.com/united-states/boca-raton/real-estate-investment-lending/palm-beach-private-lenders-group-inc</x:v>
      </x:c>
      <x:c r="V2059" s="26" t="d">
        <x:v>2026-10-02T00:00:00.000Z</x:v>
      </x:c>
      <x:c r="W2059" s="26" t="d">
        <x:v>2026-10-02T00:00:00.000Z</x:v>
      </x:c>
      <x:c r="X2059" s="25" t="str">
        <x:v>Public investor directory; business role and contact ownership require qualification</x:v>
      </x:c>
      <x:c r="Y2059" s="25"/>
      <x:c r="Z2059" s="25"/>
      <x:c r="AA2059" s="25" t="str">
        <x:v>Directory member description excerpt: BOCA RATON, FL PRIVATE LENDER Specializing in purchase, refinance, rehab, bridge, construction, multi family, apartment commercial loan</x:v>
      </x:c>
      <x:c r="AB2059" s="3" t="str">
        <x:v>New public-source collection</x:v>
      </x:c>
      <x:c r="AC2059" s="3" t="str">
        <x:v>unverified</x:v>
      </x:c>
      <x:c r="AD2059" s="3" t="str">
        <x:v>Not contacted / unconfirmed</x:v>
      </x:c>
      <x:c r="AE2059" s="3" t="str">
        <x:v>No</x:v>
      </x:c>
      <x:c r="AF2059" s="3" t="str">
        <x:v>No</x:v>
      </x:c>
      <x:c r="AG2059" s="3"/>
      <x:c r="AH2059" s="3"/>
      <x:c r="AI2059" s="18"/>
      <x:c r="AJ2059" s="3" t="str">
        <x:v>CF2500-762B162F2419</x:v>
      </x:c>
      <x:c r="AK2059" s="3" t="str">
        <x:v>private real estate lender (directory claim)</x:v>
      </x:c>
      <x:c r="AL2059" s="19" t="n">
        <x:v>100000</x:v>
      </x:c>
      <x:c r="AM2059" s="19" t="n">
        <x:v>500000</x:v>
      </x:c>
      <x:c r="AN2059" s="3" t="str">
        <x:v>https://www.privatelendersdirectory.com/united-states/boca-raton/real-estate-investment-lending/palm-beach-private-lenders-group-inc</x:v>
      </x:c>
      <x:c r="AO2059" s="3" t="str">
        <x:v>bulk_new_investors.jsonl</x:v>
      </x:c>
      <x:c r="AP2059" s="19"/>
    </x:row>
    <x:row r="2060" ht="36" customHeight="1">
      <x:c r="A2060" s="23" t="n">
        <x:v>2059</x:v>
      </x:c>
      <x:c r="B2060" s="15" t="str">
        <x:v>PR CAPITAL FUNDING</x:v>
      </x:c>
      <x:c r="C2060" s="15"/>
      <x:c r="D2060" s="15" t="str">
        <x:v>Property lender / private real-estate capital prospect</x:v>
      </x:c>
      <x:c r="E2060" s="15" t="str">
        <x:v>Property lender / private-money inquiry</x:v>
      </x:c>
      <x:c r="F2060" s="17" t="str">
        <x:v>New</x:v>
      </x:c>
      <x:c r="G2060" s="24"/>
      <x:c r="H2060" s="24"/>
      <x:c r="I2060" s="24" t="str">
        <x:v>https://www.prcapitalfunding.com/</x:v>
      </x:c>
      <x:c r="J2060" s="16" t="str">
        <x:v>TX</x:v>
      </x:c>
      <x:c r="K2060" s="16" t="str">
        <x:v>Houston</x:v>
      </x:c>
      <x:c r="L2060" s="16" t="str">
        <x:v>firm_business_routing</x:v>
      </x:c>
      <x:c r="M2060" s="16" t="str">
        <x:v>https://www.prcapitalfunding.com/</x:v>
      </x:c>
      <x:c r="N2060" s="16" t="str">
        <x:v>$100K-$500K ticket not published / unconfirmed</x:v>
      </x:c>
      <x:c r="O2060" s="20"/>
      <x:c r="P2060" s="20"/>
      <x:c r="Q2060" s="25" t="str">
        <x:v>Property-loan range, not a corporate-capital commitment</x:v>
      </x:c>
      <x:c r="R2060" s="25" t="str">
        <x:v>Private real-estate finance experience. Corporate working capital, minority equity or profit participation requires a separate agreement from a property loan.</x:v>
      </x:c>
      <x:c r="S2060" s="25"/>
      <x:c r="T2060" s="25" t="str">
        <x:v>Confirm direct principal versus broker, $100K-$500K appetite, and whether capital can fund the operating company without a property mortgage.</x:v>
      </x:c>
      <x:c r="U2060" s="25" t="str">
        <x:v>https://www.privatelendersdirectory.com/united-states/houston/top-level-category/pr-capital-funding</x:v>
      </x:c>
      <x:c r="V2060" s="26" t="d">
        <x:v>2026-10-02T00:00:00.000Z</x:v>
      </x:c>
      <x:c r="W2060" s="26" t="d">
        <x:v>2026-10-02T00:00:00.000Z</x:v>
      </x:c>
      <x:c r="X2060" s="25" t="str">
        <x:v>Public investor directory; business role and contact ownership require qualification</x:v>
      </x:c>
      <x:c r="Y2060" s="25"/>
      <x:c r="Z2060" s="25"/>
      <x:c r="AA2060" s="25" t="str">
        <x:v>Directory member description excerpt: HOUSTON, TX FIX AND FLIP PR Capital is your answer to nationwide lending for Commercial Real Estate, Business Cash Flow,</x:v>
      </x:c>
      <x:c r="AB2060" s="3" t="str">
        <x:v>New public-source collection</x:v>
      </x:c>
      <x:c r="AC2060" s="3" t="str">
        <x:v>unverified</x:v>
      </x:c>
      <x:c r="AD2060" s="3" t="str">
        <x:v>Not contacted / unconfirmed</x:v>
      </x:c>
      <x:c r="AE2060" s="3" t="str">
        <x:v>No</x:v>
      </x:c>
      <x:c r="AF2060" s="3" t="str">
        <x:v>No</x:v>
      </x:c>
      <x:c r="AG2060" s="3"/>
      <x:c r="AH2060" s="3"/>
      <x:c r="AI2060" s="18"/>
      <x:c r="AJ2060" s="3" t="str">
        <x:v>CF2500-478C2A012763</x:v>
      </x:c>
      <x:c r="AK2060" s="3" t="str">
        <x:v>real estate capital prospect (role unconfirmed)</x:v>
      </x:c>
      <x:c r="AL2060" s="19" t="n">
        <x:v>100000</x:v>
      </x:c>
      <x:c r="AM2060" s="19" t="n">
        <x:v>500000</x:v>
      </x:c>
      <x:c r="AN2060" s="3" t="str">
        <x:v>https://www.privatelendersdirectory.com/united-states/houston/top-level-category/pr-capital-funding</x:v>
      </x:c>
      <x:c r="AO2060" s="3" t="str">
        <x:v>bulk_new_investors.jsonl</x:v>
      </x:c>
      <x:c r="AP2060" s="19"/>
    </x:row>
    <x:row r="2061" ht="36" customHeight="1">
      <x:c r="A2061" s="23" t="n">
        <x:v>2060</x:v>
      </x:c>
      <x:c r="B2061" s="15" t="str">
        <x:v>PREMIER INVESTOR CAPITAL</x:v>
      </x:c>
      <x:c r="C2061" s="15"/>
      <x:c r="D2061" s="15" t="str">
        <x:v>Property lender / private real-estate capital prospect</x:v>
      </x:c>
      <x:c r="E2061" s="15" t="str">
        <x:v>Property lender / private-money inquiry</x:v>
      </x:c>
      <x:c r="F2061" s="17" t="str">
        <x:v>New</x:v>
      </x:c>
      <x:c r="G2061" s="24"/>
      <x:c r="H2061" s="24"/>
      <x:c r="I2061" s="24" t="str">
        <x:v>https://www.premierinvestorcapital.com/</x:v>
      </x:c>
      <x:c r="J2061" s="16" t="str">
        <x:v>TX</x:v>
      </x:c>
      <x:c r="K2061" s="16" t="str">
        <x:v>Dripping Springs</x:v>
      </x:c>
      <x:c r="L2061" s="16" t="str">
        <x:v>firm_business_routing</x:v>
      </x:c>
      <x:c r="M2061" s="16" t="str">
        <x:v>https://www.premierinvestorcapital.com/</x:v>
      </x:c>
      <x:c r="N2061" s="16" t="str">
        <x:v>$100K-$500K ticket not published / unconfirmed</x:v>
      </x:c>
      <x:c r="O2061" s="20"/>
      <x:c r="P2061" s="20"/>
      <x:c r="Q2061" s="25" t="str">
        <x:v>Property-loan range, not a corporate-capital commitment</x:v>
      </x:c>
      <x:c r="R2061" s="25" t="str">
        <x:v>Private real-estate finance experience. Corporate working capital, minority equity or profit participation requires a separate agreement from a property loan.</x:v>
      </x:c>
      <x:c r="S2061" s="25"/>
      <x:c r="T2061" s="25" t="str">
        <x:v>Confirm direct principal versus broker, $100K-$500K appetite, and whether capital can fund the operating company without a property mortgage.</x:v>
      </x:c>
      <x:c r="U2061" s="25" t="str">
        <x:v>https://www.privatelendersdirectory.com/united-states/dripping-springs/real-estate-investment-lending/premier-investor-capital</x:v>
      </x:c>
      <x:c r="V2061" s="26" t="d">
        <x:v>2026-10-02T00:00:00.000Z</x:v>
      </x:c>
      <x:c r="W2061" s="26" t="d">
        <x:v>2026-10-02T00:00:00.000Z</x:v>
      </x:c>
      <x:c r="X2061" s="25" t="str">
        <x:v>Public investor directory; business role and contact ownership require qualification</x:v>
      </x:c>
      <x:c r="Y2061" s="25"/>
      <x:c r="Z2061" s="25"/>
      <x:c r="AA2061" s="25" t="str">
        <x:v>Directory member description excerpt: DRIPPING SPRINGS, TX REAL ESTATE INVESTMENT LENDER we specialize in financing investment real estate using a collateral based approach</x:v>
      </x:c>
      <x:c r="AB2061" s="3" t="str">
        <x:v>New public-source collection</x:v>
      </x:c>
      <x:c r="AC2061" s="3" t="str">
        <x:v>unverified</x:v>
      </x:c>
      <x:c r="AD2061" s="3" t="str">
        <x:v>Not contacted / unconfirmed</x:v>
      </x:c>
      <x:c r="AE2061" s="3" t="str">
        <x:v>No</x:v>
      </x:c>
      <x:c r="AF2061" s="3" t="str">
        <x:v>No</x:v>
      </x:c>
      <x:c r="AG2061" s="3"/>
      <x:c r="AH2061" s="3"/>
      <x:c r="AI2061" s="18"/>
      <x:c r="AJ2061" s="3" t="str">
        <x:v>CF2500-CB3E4632462C</x:v>
      </x:c>
      <x:c r="AK2061" s="3" t="str">
        <x:v>real estate capital prospect (role unconfirmed)</x:v>
      </x:c>
      <x:c r="AL2061" s="19" t="n">
        <x:v>100000</x:v>
      </x:c>
      <x:c r="AM2061" s="19" t="n">
        <x:v>500000</x:v>
      </x:c>
      <x:c r="AN2061" s="3" t="str">
        <x:v>https://www.privatelendersdirectory.com/united-states/dripping-springs/real-estate-investment-lending/premier-investor-capital</x:v>
      </x:c>
      <x:c r="AO2061" s="3" t="str">
        <x:v>bulk_new_investors.jsonl</x:v>
      </x:c>
      <x:c r="AP2061" s="19"/>
    </x:row>
    <x:row r="2062" ht="36" customHeight="1">
      <x:c r="A2062" s="23" t="n">
        <x:v>2061</x:v>
      </x:c>
      <x:c r="B2062" s="15" t="str">
        <x:v>PRIVATE EQUITY CAPITAL PARTNERS</x:v>
      </x:c>
      <x:c r="C2062" s="15"/>
      <x:c r="D2062" s="15" t="str">
        <x:v>Property lender / private real-estate capital prospect</x:v>
      </x:c>
      <x:c r="E2062" s="15" t="str">
        <x:v>Property lender / private-money inquiry</x:v>
      </x:c>
      <x:c r="F2062" s="17" t="str">
        <x:v>New</x:v>
      </x:c>
      <x:c r="G2062" s="24"/>
      <x:c r="H2062" s="24"/>
      <x:c r="I2062" s="24" t="str">
        <x:v>https://www.privateequitypartners.com/</x:v>
      </x:c>
      <x:c r="J2062" s="16" t="str">
        <x:v>FL</x:v>
      </x:c>
      <x:c r="K2062" s="16" t="str">
        <x:v>Miami</x:v>
      </x:c>
      <x:c r="L2062" s="16" t="str">
        <x:v>firm_business_routing</x:v>
      </x:c>
      <x:c r="M2062" s="16" t="str">
        <x:v>https://www.privateequitypartners.com/</x:v>
      </x:c>
      <x:c r="N2062" s="16" t="str">
        <x:v>$100K-$500K ticket not published / unconfirmed</x:v>
      </x:c>
      <x:c r="O2062" s="20"/>
      <x:c r="P2062" s="20"/>
      <x:c r="Q2062" s="25" t="str">
        <x:v>Property-loan range, not a corporate-capital commitment</x:v>
      </x:c>
      <x:c r="R2062" s="25" t="str">
        <x:v>Private real-estate finance experience. Corporate working capital, minority equity or profit participation requires a separate agreement from a property loan.</x:v>
      </x:c>
      <x:c r="S2062" s="25"/>
      <x:c r="T2062" s="25" t="str">
        <x:v>Confirm direct principal versus broker, $100K-$500K appetite, and whether capital can fund the operating company without a property mortgage.</x:v>
      </x:c>
      <x:c r="U2062" s="25" t="str">
        <x:v>https://www.privatelendersdirectory.com/united-states/miami/top-level-category/private-equity-capital-partners</x:v>
      </x:c>
      <x:c r="V2062" s="26" t="d">
        <x:v>2026-10-02T00:00:00.000Z</x:v>
      </x:c>
      <x:c r="W2062" s="26" t="d">
        <x:v>2026-10-02T00:00:00.000Z</x:v>
      </x:c>
      <x:c r="X2062" s="25" t="str">
        <x:v>Public investor directory; business role and contact ownership require qualification</x:v>
      </x:c>
      <x:c r="Y2062" s="25"/>
      <x:c r="Z2062" s="25"/>
      <x:c r="AA2062" s="25" t="str">
        <x:v>Directory member description excerpt: MIAMI, FL REAL ESTATE INVESTMENT LENDER PECP is a Private Commercial Lender specializing in Commercial Real Estate Assets.</x:v>
      </x:c>
      <x:c r="AB2062" s="3" t="str">
        <x:v>New public-source collection</x:v>
      </x:c>
      <x:c r="AC2062" s="3" t="str">
        <x:v>unverified</x:v>
      </x:c>
      <x:c r="AD2062" s="3" t="str">
        <x:v>Not contacted / unconfirmed</x:v>
      </x:c>
      <x:c r="AE2062" s="3" t="str">
        <x:v>No</x:v>
      </x:c>
      <x:c r="AF2062" s="3" t="str">
        <x:v>No</x:v>
      </x:c>
      <x:c r="AG2062" s="3"/>
      <x:c r="AH2062" s="3"/>
      <x:c r="AI2062" s="18"/>
      <x:c r="AJ2062" s="3" t="str">
        <x:v>CF2500-5A1A28776163</x:v>
      </x:c>
      <x:c r="AK2062" s="3" t="str">
        <x:v>real estate capital prospect (role unconfirmed)</x:v>
      </x:c>
      <x:c r="AL2062" s="19" t="n">
        <x:v>100000</x:v>
      </x:c>
      <x:c r="AM2062" s="19" t="n">
        <x:v>500000</x:v>
      </x:c>
      <x:c r="AN2062" s="3" t="str">
        <x:v>https://www.privatelendersdirectory.com/united-states/miami/top-level-category/private-equity-capital-partners</x:v>
      </x:c>
      <x:c r="AO2062" s="3" t="str">
        <x:v>bulk_new_investors.jsonl</x:v>
      </x:c>
      <x:c r="AP2062" s="19"/>
    </x:row>
    <x:row r="2063" ht="36" customHeight="1">
      <x:c r="A2063" s="23" t="n">
        <x:v>2062</x:v>
      </x:c>
      <x:c r="B2063" s="15" t="str">
        <x:v>PRIVATE LENDING OF AMERICA</x:v>
      </x:c>
      <x:c r="C2063" s="15"/>
      <x:c r="D2063" s="15" t="str">
        <x:v>Property lender / private real-estate capital prospect</x:v>
      </x:c>
      <x:c r="E2063" s="15" t="str">
        <x:v>Property lender / private-money inquiry</x:v>
      </x:c>
      <x:c r="F2063" s="17" t="str">
        <x:v>New</x:v>
      </x:c>
      <x:c r="G2063" s="24"/>
      <x:c r="H2063" s="24"/>
      <x:c r="I2063" s="24" t="str">
        <x:v>https://plofamerica.com/</x:v>
      </x:c>
      <x:c r="J2063" s="16" t="str">
        <x:v>TX</x:v>
      </x:c>
      <x:c r="K2063" s="16" t="str">
        <x:v>Waco</x:v>
      </x:c>
      <x:c r="L2063" s="16" t="str">
        <x:v>firm_business_routing</x:v>
      </x:c>
      <x:c r="M2063" s="16" t="str">
        <x:v>https://plofamerica.com/</x:v>
      </x:c>
      <x:c r="N2063" s="16" t="str">
        <x:v>$100K-$500K ticket not published / unconfirmed</x:v>
      </x:c>
      <x:c r="O2063" s="20"/>
      <x:c r="P2063" s="20"/>
      <x:c r="Q2063" s="25" t="str">
        <x:v>Property-loan range, not a corporate-capital commitment</x:v>
      </x:c>
      <x:c r="R2063" s="25" t="str">
        <x:v>Private real-estate finance experience. Corporate working capital, minority equity or profit participation requires a separate agreement from a property loan.</x:v>
      </x:c>
      <x:c r="S2063" s="25"/>
      <x:c r="T2063" s="25" t="str">
        <x:v>Confirm direct principal versus broker, $100K-$500K appetite, and whether capital can fund the operating company without a property mortgage.</x:v>
      </x:c>
      <x:c r="U2063" s="25" t="str">
        <x:v>https://www.privatelendersdirectory.com/united-states/waco/top-level-category/private-lending-of-america</x:v>
      </x:c>
      <x:c r="V2063" s="26" t="d">
        <x:v>2026-10-02T00:00:00.000Z</x:v>
      </x:c>
      <x:c r="W2063" s="26" t="d">
        <x:v>2026-10-02T00:00:00.000Z</x:v>
      </x:c>
      <x:c r="X2063" s="25" t="str">
        <x:v>Public investor directory; business role and contact ownership require qualification</x:v>
      </x:c>
      <x:c r="Y2063" s="25"/>
      <x:c r="Z2063" s="25"/>
      <x:c r="AA2063" s="25" t="str">
        <x:v>Directory member description excerpt: WACO, TX PRIVATE LENDER We are a full-service lending solution for private lenders, brokers and institutions.</x:v>
      </x:c>
      <x:c r="AB2063" s="3" t="str">
        <x:v>New public-source collection</x:v>
      </x:c>
      <x:c r="AC2063" s="3" t="str">
        <x:v>unverified</x:v>
      </x:c>
      <x:c r="AD2063" s="3" t="str">
        <x:v>Not contacted / unconfirmed</x:v>
      </x:c>
      <x:c r="AE2063" s="3" t="str">
        <x:v>No</x:v>
      </x:c>
      <x:c r="AF2063" s="3" t="str">
        <x:v>No</x:v>
      </x:c>
      <x:c r="AG2063" s="3"/>
      <x:c r="AH2063" s="3"/>
      <x:c r="AI2063" s="18"/>
      <x:c r="AJ2063" s="3" t="str">
        <x:v>CF2500-7954C1A2AB9E</x:v>
      </x:c>
      <x:c r="AK2063" s="3" t="str">
        <x:v>private real estate lender (directory claim)</x:v>
      </x:c>
      <x:c r="AL2063" s="19" t="n">
        <x:v>100000</x:v>
      </x:c>
      <x:c r="AM2063" s="19" t="n">
        <x:v>500000</x:v>
      </x:c>
      <x:c r="AN2063" s="3" t="str">
        <x:v>https://www.privatelendersdirectory.com/united-states/waco/top-level-category/private-lending-of-america</x:v>
      </x:c>
      <x:c r="AO2063" s="3" t="str">
        <x:v>bulk_new_investors.jsonl</x:v>
      </x:c>
      <x:c r="AP2063" s="19"/>
    </x:row>
    <x:row r="2064" ht="36" customHeight="1">
      <x:c r="A2064" s="23" t="n">
        <x:v>2063</x:v>
      </x:c>
      <x:c r="B2064" s="15" t="str">
        <x:v>RIVERA CAPITAL PRIVATE LENDING</x:v>
      </x:c>
      <x:c r="C2064" s="15"/>
      <x:c r="D2064" s="15" t="str">
        <x:v>Property lender / private real-estate capital prospect</x:v>
      </x:c>
      <x:c r="E2064" s="15" t="str">
        <x:v>Property lender / private-money inquiry</x:v>
      </x:c>
      <x:c r="F2064" s="17" t="str">
        <x:v>New</x:v>
      </x:c>
      <x:c r="G2064" s="24"/>
      <x:c r="H2064" s="24"/>
      <x:c r="I2064" s="24" t="str">
        <x:v>https://crenaples.com/</x:v>
      </x:c>
      <x:c r="J2064" s="16" t="str">
        <x:v>FL</x:v>
      </x:c>
      <x:c r="K2064" s="16" t="str">
        <x:v>Naples</x:v>
      </x:c>
      <x:c r="L2064" s="16" t="str">
        <x:v>firm_business_routing</x:v>
      </x:c>
      <x:c r="M2064" s="16" t="str">
        <x:v>https://crenaples.com/</x:v>
      </x:c>
      <x:c r="N2064" s="16" t="str">
        <x:v>$100K-$500K ticket not published / unconfirmed</x:v>
      </x:c>
      <x:c r="O2064" s="20"/>
      <x:c r="P2064" s="20"/>
      <x:c r="Q2064" s="25" t="str">
        <x:v>Property-loan range, not a corporate-capital commitment</x:v>
      </x:c>
      <x:c r="R2064" s="25" t="str">
        <x:v>Private real-estate finance experience. Corporate working capital, minority equity or profit participation requires a separate agreement from a property loan.</x:v>
      </x:c>
      <x:c r="S2064" s="25"/>
      <x:c r="T2064" s="25" t="str">
        <x:v>Confirm direct principal versus broker, $100K-$500K appetite, and whether capital can fund the operating company without a property mortgage.</x:v>
      </x:c>
      <x:c r="U2064" s="25" t="str">
        <x:v>https://www.privatelendersdirectory.com/united-states/naples/real-estate-investment-lending/rivera-capital-private-lending</x:v>
      </x:c>
      <x:c r="V2064" s="26" t="d">
        <x:v>2026-10-02T00:00:00.000Z</x:v>
      </x:c>
      <x:c r="W2064" s="26" t="d">
        <x:v>2026-10-02T00:00:00.000Z</x:v>
      </x:c>
      <x:c r="X2064" s="25" t="str">
        <x:v>Public investor directory; business role and contact ownership require qualification</x:v>
      </x:c>
      <x:c r="Y2064" s="25"/>
      <x:c r="Z2064" s="25"/>
      <x:c r="AA2064" s="25" t="str">
        <x:v>Directory member description excerpt: CERES, CA PRIVATE MONEY LENDER Providing Private Bridge Capital loans for Real Estate ventures.</x:v>
      </x:c>
      <x:c r="AB2064" s="3" t="str">
        <x:v>New public-source collection</x:v>
      </x:c>
      <x:c r="AC2064" s="3" t="str">
        <x:v>unverified</x:v>
      </x:c>
      <x:c r="AD2064" s="3" t="str">
        <x:v>Not contacted / unconfirmed</x:v>
      </x:c>
      <x:c r="AE2064" s="3" t="str">
        <x:v>No</x:v>
      </x:c>
      <x:c r="AF2064" s="3" t="str">
        <x:v>No</x:v>
      </x:c>
      <x:c r="AG2064" s="3"/>
      <x:c r="AH2064" s="3"/>
      <x:c r="AI2064" s="18"/>
      <x:c r="AJ2064" s="3" t="str">
        <x:v>CF2500-3059087F786E</x:v>
      </x:c>
      <x:c r="AK2064" s="3" t="str">
        <x:v>real estate capital prospect (role unconfirmed)</x:v>
      </x:c>
      <x:c r="AL2064" s="19" t="n">
        <x:v>100000</x:v>
      </x:c>
      <x:c r="AM2064" s="19" t="n">
        <x:v>500000</x:v>
      </x:c>
      <x:c r="AN2064" s="3" t="str">
        <x:v>https://www.privatelendersdirectory.com/united-states/naples/real-estate-investment-lending/rivera-capital-private-lending</x:v>
      </x:c>
      <x:c r="AO2064" s="3" t="str">
        <x:v>bulk_new_investors.jsonl</x:v>
      </x:c>
      <x:c r="AP2064" s="19"/>
    </x:row>
    <x:row r="2065" ht="36" customHeight="1">
      <x:c r="A2065" s="23" t="n">
        <x:v>2064</x:v>
      </x:c>
      <x:c r="B2065" s="15" t="str">
        <x:v>RS CAPITAL FUNDING</x:v>
      </x:c>
      <x:c r="C2065" s="15"/>
      <x:c r="D2065" s="15" t="str">
        <x:v>Property lender / private real-estate capital prospect</x:v>
      </x:c>
      <x:c r="E2065" s="15" t="str">
        <x:v>Property lender / private-money inquiry</x:v>
      </x:c>
      <x:c r="F2065" s="17" t="str">
        <x:v>New</x:v>
      </x:c>
      <x:c r="G2065" s="24"/>
      <x:c r="H2065" s="24"/>
      <x:c r="I2065" s="24" t="str">
        <x:v>https://rscapitalfunding.com/</x:v>
      </x:c>
      <x:c r="J2065" s="16" t="str">
        <x:v>FL</x:v>
      </x:c>
      <x:c r="K2065" s="16" t="str">
        <x:v>Daytona Beach</x:v>
      </x:c>
      <x:c r="L2065" s="16" t="str">
        <x:v>firm_business_routing</x:v>
      </x:c>
      <x:c r="M2065" s="16" t="str">
        <x:v>https://rscapitalfunding.com/</x:v>
      </x:c>
      <x:c r="N2065" s="16" t="str">
        <x:v>$100K-$500K ticket not published / unconfirmed</x:v>
      </x:c>
      <x:c r="O2065" s="20"/>
      <x:c r="P2065" s="20"/>
      <x:c r="Q2065" s="25" t="str">
        <x:v>Property-loan range, not a corporate-capital commitment</x:v>
      </x:c>
      <x:c r="R2065" s="25" t="str">
        <x:v>Private real-estate finance experience. Corporate working capital, minority equity or profit participation requires a separate agreement from a property loan.</x:v>
      </x:c>
      <x:c r="S2065" s="25"/>
      <x:c r="T2065" s="25" t="str">
        <x:v>Confirm direct principal versus broker, $100K-$500K appetite, and whether capital can fund the operating company without a property mortgage.</x:v>
      </x:c>
      <x:c r="U2065" s="25" t="str">
        <x:v>https://www.privatelendersdirectory.com/united-states/daytona-beach/top-level-category/rs-capital-funding
https://rscapitalfunding.com/</x:v>
      </x:c>
      <x:c r="V2065" s="26" t="d">
        <x:v>2026-10-02T00:00:00.000Z</x:v>
      </x:c>
      <x:c r="W2065" s="26" t="d">
        <x:v>2026-10-02T00:00:00.000Z</x:v>
      </x:c>
      <x:c r="X2065" s="25" t="str">
        <x:v>Public investor directory; business role and contact ownership require qualification</x:v>
      </x:c>
      <x:c r="Y2065" s="25"/>
      <x:c r="Z2065" s="25"/>
      <x:c r="AA2065" s="25" t="str">
        <x:v>Directory member description excerpt: DELRAY BEACH, FL FIX AND FLIP LENDER We have years of experience helping clients prepare for the unknown while meeting</x:v>
      </x:c>
      <x:c r="AB2065" s="3" t="str">
        <x:v>New public-source collection</x:v>
      </x:c>
      <x:c r="AC2065" s="3" t="str">
        <x:v>unverified</x:v>
      </x:c>
      <x:c r="AD2065" s="3" t="str">
        <x:v>Not contacted / unconfirmed</x:v>
      </x:c>
      <x:c r="AE2065" s="3" t="str">
        <x:v>No</x:v>
      </x:c>
      <x:c r="AF2065" s="3" t="str">
        <x:v>No</x:v>
      </x:c>
      <x:c r="AG2065" s="3"/>
      <x:c r="AH2065" s="3"/>
      <x:c r="AI2065" s="18"/>
      <x:c r="AJ2065" s="3" t="str">
        <x:v>CF2500-285432A8D21F</x:v>
      </x:c>
      <x:c r="AK2065" s="3" t="str">
        <x:v>real estate capital prospect (role unconfirmed)</x:v>
      </x:c>
      <x:c r="AL2065" s="19" t="n">
        <x:v>100000</x:v>
      </x:c>
      <x:c r="AM2065" s="19" t="n">
        <x:v>500000</x:v>
      </x:c>
      <x:c r="AN2065" s="3" t="str">
        <x:v>https://www.privatelendersdirectory.com/united-states/daytona-beach/top-level-category/rs-capital-funding</x:v>
      </x:c>
      <x:c r="AO2065" s="3" t="str">
        <x:v>bulk_new_investors.jsonl</x:v>
      </x:c>
      <x:c r="AP2065" s="19"/>
    </x:row>
    <x:row r="2066" ht="36" customHeight="1">
      <x:c r="A2066" s="23" t="n">
        <x:v>2065</x:v>
      </x:c>
      <x:c r="B2066" s="15" t="str">
        <x:v>SCOTTSDALE PRIVATE LENDING</x:v>
      </x:c>
      <x:c r="C2066" s="15"/>
      <x:c r="D2066" s="15" t="str">
        <x:v>Property lender / private real-estate capital prospect</x:v>
      </x:c>
      <x:c r="E2066" s="15" t="str">
        <x:v>Property lender / private-money inquiry</x:v>
      </x:c>
      <x:c r="F2066" s="17" t="str">
        <x:v>New</x:v>
      </x:c>
      <x:c r="G2066" s="24"/>
      <x:c r="H2066" s="24"/>
      <x:c r="I2066" s="24" t="str">
        <x:v>https://www.scottsdaleprivatelending.com/</x:v>
      </x:c>
      <x:c r="J2066" s="16" t="str">
        <x:v>AZ</x:v>
      </x:c>
      <x:c r="K2066" s="16" t="str">
        <x:v>Scottsdale</x:v>
      </x:c>
      <x:c r="L2066" s="16" t="str">
        <x:v>firm_business_routing</x:v>
      </x:c>
      <x:c r="M2066" s="16" t="str">
        <x:v>https://www.scottsdaleprivatelending.com/</x:v>
      </x:c>
      <x:c r="N2066" s="16" t="str">
        <x:v>$100K-$500K ticket not published / unconfirmed</x:v>
      </x:c>
      <x:c r="O2066" s="20"/>
      <x:c r="P2066" s="20"/>
      <x:c r="Q2066" s="25" t="str">
        <x:v>Property-loan range, not a corporate-capital commitment</x:v>
      </x:c>
      <x:c r="R2066" s="25" t="str">
        <x:v>Private real-estate finance experience. Corporate working capital, minority equity or profit participation requires a separate agreement from a property loan.</x:v>
      </x:c>
      <x:c r="S2066" s="25"/>
      <x:c r="T2066" s="25" t="str">
        <x:v>Confirm direct principal versus broker, $100K-$500K appetite, and whether capital can fund the operating company without a property mortgage.</x:v>
      </x:c>
      <x:c r="U2066" s="25" t="str">
        <x:v>https://www.privatelendersdirectory.com/united-states/scottsdale/top-level-category/scottsdale-private-lending</x:v>
      </x:c>
      <x:c r="V2066" s="26" t="d">
        <x:v>2026-10-02T00:00:00.000Z</x:v>
      </x:c>
      <x:c r="W2066" s="26" t="d">
        <x:v>2026-10-02T00:00:00.000Z</x:v>
      </x:c>
      <x:c r="X2066" s="25" t="str">
        <x:v>Public investor directory; business role and contact ownership require qualification</x:v>
      </x:c>
      <x:c r="Y2066" s="25"/>
      <x:c r="Z2066" s="25"/>
      <x:c r="AA2066" s="25" t="str">
        <x:v>Directory member description excerpt: SCOTTSDALE, AZ HARD MONEY LENDER Scottsdale Private Lending, LLC is a private real estate lender based in Scottsdale, Arizona</x:v>
      </x:c>
      <x:c r="AB2066" s="3" t="str">
        <x:v>New public-source collection</x:v>
      </x:c>
      <x:c r="AC2066" s="3" t="str">
        <x:v>unverified</x:v>
      </x:c>
      <x:c r="AD2066" s="3" t="str">
        <x:v>Not contacted / unconfirmed</x:v>
      </x:c>
      <x:c r="AE2066" s="3" t="str">
        <x:v>No</x:v>
      </x:c>
      <x:c r="AF2066" s="3" t="str">
        <x:v>No</x:v>
      </x:c>
      <x:c r="AG2066" s="3"/>
      <x:c r="AH2066" s="3"/>
      <x:c r="AI2066" s="18"/>
      <x:c r="AJ2066" s="3" t="str">
        <x:v>CF2500-4130511768E9</x:v>
      </x:c>
      <x:c r="AK2066" s="3" t="str">
        <x:v>private real estate lender (directory claim)</x:v>
      </x:c>
      <x:c r="AL2066" s="19" t="n">
        <x:v>100000</x:v>
      </x:c>
      <x:c r="AM2066" s="19" t="n">
        <x:v>500000</x:v>
      </x:c>
      <x:c r="AN2066" s="3" t="str">
        <x:v>https://www.privatelendersdirectory.com/united-states/scottsdale/top-level-category/scottsdale-private-lending</x:v>
      </x:c>
      <x:c r="AO2066" s="3" t="str">
        <x:v>bulk_new_investors.jsonl</x:v>
      </x:c>
      <x:c r="AP2066" s="19"/>
    </x:row>
    <x:row r="2067" ht="36" customHeight="1">
      <x:c r="A2067" s="23" t="n">
        <x:v>2066</x:v>
      </x:c>
      <x:c r="B2067" s="15" t="str">
        <x:v>SFMI LENDING CAPITAL</x:v>
      </x:c>
      <x:c r="C2067" s="15"/>
      <x:c r="D2067" s="15" t="str">
        <x:v>Property lender / private real-estate capital prospect</x:v>
      </x:c>
      <x:c r="E2067" s="15" t="str">
        <x:v>Property lender / private-money inquiry</x:v>
      </x:c>
      <x:c r="F2067" s="17" t="str">
        <x:v>New</x:v>
      </x:c>
      <x:c r="G2067" s="24"/>
      <x:c r="H2067" s="24"/>
      <x:c r="I2067" s="24" t="str">
        <x:v>https://www.sfmilendingcapital.com/</x:v>
      </x:c>
      <x:c r="J2067" s="16" t="str">
        <x:v>FL</x:v>
      </x:c>
      <x:c r="K2067" s="16" t="str">
        <x:v>Miami</x:v>
      </x:c>
      <x:c r="L2067" s="16" t="str">
        <x:v>firm_business_routing</x:v>
      </x:c>
      <x:c r="M2067" s="16" t="str">
        <x:v>https://www.sfmilendingcapital.com/</x:v>
      </x:c>
      <x:c r="N2067" s="16" t="str">
        <x:v>$100K-$500K ticket not published / unconfirmed</x:v>
      </x:c>
      <x:c r="O2067" s="20"/>
      <x:c r="P2067" s="20"/>
      <x:c r="Q2067" s="25" t="str">
        <x:v>Property-loan range, not a corporate-capital commitment</x:v>
      </x:c>
      <x:c r="R2067" s="25" t="str">
        <x:v>Private real-estate finance experience. Corporate working capital, minority equity or profit participation requires a separate agreement from a property loan.</x:v>
      </x:c>
      <x:c r="S2067" s="25"/>
      <x:c r="T2067" s="25" t="str">
        <x:v>Confirm direct principal versus broker, $100K-$500K appetite, and whether capital can fund the operating company without a property mortgage.</x:v>
      </x:c>
      <x:c r="U2067" s="25" t="str">
        <x:v>https://www.privatelendersdirectory.com/united-states/miami/real-estate-investment-lending/sfmi-lending-capital</x:v>
      </x:c>
      <x:c r="V2067" s="26" t="d">
        <x:v>2026-10-02T00:00:00.000Z</x:v>
      </x:c>
      <x:c r="W2067" s="26" t="d">
        <x:v>2026-10-02T00:00:00.000Z</x:v>
      </x:c>
      <x:c r="X2067" s="25" t="str">
        <x:v>Public investor directory; business role and contact ownership require qualification</x:v>
      </x:c>
      <x:c r="Y2067" s="25"/>
      <x:c r="Z2067" s="25"/>
      <x:c r="AA2067" s="25" t="str">
        <x:v>Directory member description excerpt: MIAMI, FL PRIVATE LENDER SFMI Lending Capital Inc is a reputable lending company based in Miami, FL, offering a wide</x:v>
      </x:c>
      <x:c r="AB2067" s="3" t="str">
        <x:v>New public-source collection</x:v>
      </x:c>
      <x:c r="AC2067" s="3" t="str">
        <x:v>unverified</x:v>
      </x:c>
      <x:c r="AD2067" s="3" t="str">
        <x:v>Not contacted / unconfirmed</x:v>
      </x:c>
      <x:c r="AE2067" s="3" t="str">
        <x:v>No</x:v>
      </x:c>
      <x:c r="AF2067" s="3" t="str">
        <x:v>No</x:v>
      </x:c>
      <x:c r="AG2067" s="3"/>
      <x:c r="AH2067" s="3"/>
      <x:c r="AI2067" s="18"/>
      <x:c r="AJ2067" s="3" t="str">
        <x:v>CF2500-0C1B9C1B9127</x:v>
      </x:c>
      <x:c r="AK2067" s="3" t="str">
        <x:v>private real estate lender (directory claim)</x:v>
      </x:c>
      <x:c r="AL2067" s="19" t="n">
        <x:v>100000</x:v>
      </x:c>
      <x:c r="AM2067" s="19" t="n">
        <x:v>500000</x:v>
      </x:c>
      <x:c r="AN2067" s="3" t="str">
        <x:v>https://www.privatelendersdirectory.com/united-states/miami/real-estate-investment-lending/sfmi-lending-capital</x:v>
      </x:c>
      <x:c r="AO2067" s="3" t="str">
        <x:v>bulk_new_investors.jsonl</x:v>
      </x:c>
      <x:c r="AP2067" s="19"/>
    </x:row>
    <x:row r="2068" ht="36" customHeight="1">
      <x:c r="A2068" s="23" t="n">
        <x:v>2067</x:v>
      </x:c>
      <x:c r="B2068" s="15" t="str">
        <x:v>SHEPHERD CAPITAL FUNDING</x:v>
      </x:c>
      <x:c r="C2068" s="15"/>
      <x:c r="D2068" s="15" t="str">
        <x:v>Property lender / private real-estate capital prospect</x:v>
      </x:c>
      <x:c r="E2068" s="15" t="str">
        <x:v>Property lender / private-money inquiry</x:v>
      </x:c>
      <x:c r="F2068" s="17" t="str">
        <x:v>New</x:v>
      </x:c>
      <x:c r="G2068" s="24"/>
      <x:c r="H2068" s="24"/>
      <x:c r="I2068" s="24" t="str">
        <x:v>https://shepherdcapital.com/</x:v>
      </x:c>
      <x:c r="J2068" s="16" t="str">
        <x:v>TX</x:v>
      </x:c>
      <x:c r="K2068" s="16" t="str">
        <x:v>Houston</x:v>
      </x:c>
      <x:c r="L2068" s="16" t="str">
        <x:v>firm_business_routing</x:v>
      </x:c>
      <x:c r="M2068" s="16" t="str">
        <x:v>https://shepherdcapital.com/</x:v>
      </x:c>
      <x:c r="N2068" s="16" t="str">
        <x:v>$100K-$500K ticket not published / unconfirmed</x:v>
      </x:c>
      <x:c r="O2068" s="20"/>
      <x:c r="P2068" s="20"/>
      <x:c r="Q2068" s="25" t="str">
        <x:v>Property-loan range, not a corporate-capital commitment</x:v>
      </x:c>
      <x:c r="R2068" s="25" t="str">
        <x:v>Private real-estate finance experience. Corporate working capital, minority equity or profit participation requires a separate agreement from a property loan.</x:v>
      </x:c>
      <x:c r="S2068" s="25"/>
      <x:c r="T2068" s="25" t="str">
        <x:v>Confirm direct principal versus broker, $100K-$500K appetite, and whether capital can fund the operating company without a property mortgage.</x:v>
      </x:c>
      <x:c r="U2068" s="25" t="str">
        <x:v>https://www.privatelendersdirectory.com/united-states/houston/real-estate-investment-lending/shepherd-capital-funding</x:v>
      </x:c>
      <x:c r="V2068" s="26" t="d">
        <x:v>2026-10-02T00:00:00.000Z</x:v>
      </x:c>
      <x:c r="W2068" s="26" t="d">
        <x:v>2026-10-02T00:00:00.000Z</x:v>
      </x:c>
      <x:c r="X2068" s="25" t="str">
        <x:v>Public investor directory; business role and contact ownership require qualification</x:v>
      </x:c>
      <x:c r="Y2068" s="25"/>
      <x:c r="Z2068" s="25"/>
      <x:c r="AA2068" s="25" t="str">
        <x:v>Directory member description excerpt: MIAMI, FL PRIVATE LENDER Shepherd Capital is a nationwide provider of pre settlement funding to injured persons with a pending</x:v>
      </x:c>
      <x:c r="AB2068" s="3" t="str">
        <x:v>New public-source collection</x:v>
      </x:c>
      <x:c r="AC2068" s="3" t="str">
        <x:v>unverified</x:v>
      </x:c>
      <x:c r="AD2068" s="3" t="str">
        <x:v>Not contacted / unconfirmed</x:v>
      </x:c>
      <x:c r="AE2068" s="3" t="str">
        <x:v>No</x:v>
      </x:c>
      <x:c r="AF2068" s="3" t="str">
        <x:v>No</x:v>
      </x:c>
      <x:c r="AG2068" s="3"/>
      <x:c r="AH2068" s="3"/>
      <x:c r="AI2068" s="18"/>
      <x:c r="AJ2068" s="3" t="str">
        <x:v>CF2500-6702FA02F2AA</x:v>
      </x:c>
      <x:c r="AK2068" s="3" t="str">
        <x:v>private real estate lender (directory claim)</x:v>
      </x:c>
      <x:c r="AL2068" s="19" t="n">
        <x:v>100000</x:v>
      </x:c>
      <x:c r="AM2068" s="19" t="n">
        <x:v>500000</x:v>
      </x:c>
      <x:c r="AN2068" s="3" t="str">
        <x:v>https://www.privatelendersdirectory.com/united-states/houston/real-estate-investment-lending/shepherd-capital-funding</x:v>
      </x:c>
      <x:c r="AO2068" s="3" t="str">
        <x:v>bulk_new_investors.jsonl</x:v>
      </x:c>
      <x:c r="AP2068" s="19"/>
    </x:row>
    <x:row r="2069" ht="36" customHeight="1">
      <x:c r="A2069" s="23" t="n">
        <x:v>2068</x:v>
      </x:c>
      <x:c r="B2069" s="15" t="str">
        <x:v>SNC FUNDING &amp; INVESTMENTS</x:v>
      </x:c>
      <x:c r="C2069" s="15"/>
      <x:c r="D2069" s="15" t="str">
        <x:v>Property lender / private real-estate capital prospect</x:v>
      </x:c>
      <x:c r="E2069" s="15" t="str">
        <x:v>Property lender / private-money inquiry</x:v>
      </x:c>
      <x:c r="F2069" s="17" t="str">
        <x:v>New</x:v>
      </x:c>
      <x:c r="G2069" s="24"/>
      <x:c r="H2069" s="24"/>
      <x:c r="I2069" s="24" t="str">
        <x:v>https://sncfunding.com/</x:v>
      </x:c>
      <x:c r="J2069" s="16" t="str">
        <x:v>TX</x:v>
      </x:c>
      <x:c r="K2069" s="16" t="str">
        <x:v>McKinney</x:v>
      </x:c>
      <x:c r="L2069" s="16" t="str">
        <x:v>firm_business_routing</x:v>
      </x:c>
      <x:c r="M2069" s="16" t="str">
        <x:v>https://sncfunding.com/</x:v>
      </x:c>
      <x:c r="N2069" s="16" t="str">
        <x:v>$100K-$500K ticket not published / unconfirmed</x:v>
      </x:c>
      <x:c r="O2069" s="20"/>
      <x:c r="P2069" s="20"/>
      <x:c r="Q2069" s="25" t="str">
        <x:v>Property-loan range, not a corporate-capital commitment</x:v>
      </x:c>
      <x:c r="R2069" s="25" t="str">
        <x:v>Private real-estate finance experience. Corporate working capital, minority equity or profit participation requires a separate agreement from a property loan.</x:v>
      </x:c>
      <x:c r="S2069" s="25"/>
      <x:c r="T2069" s="25" t="str">
        <x:v>Confirm direct principal versus broker, $100K-$500K appetite, and whether capital can fund the operating company without a property mortgage.</x:v>
      </x:c>
      <x:c r="U2069" s="25" t="str">
        <x:v>https://www.privatelendersdirectory.com/united-states/mckinney/real-estate-investment-lending/snc-funding-investments</x:v>
      </x:c>
      <x:c r="V2069" s="26" t="d">
        <x:v>2026-10-02T00:00:00.000Z</x:v>
      </x:c>
      <x:c r="W2069" s="26" t="d">
        <x:v>2026-10-02T00:00:00.000Z</x:v>
      </x:c>
      <x:c r="X2069" s="25" t="str">
        <x:v>Public investor directory; business role and contact ownership require qualification</x:v>
      </x:c>
      <x:c r="Y2069" s="25"/>
      <x:c r="Z2069" s="25"/>
      <x:c r="AA2069" s="25" t="str">
        <x:v>Directory member description excerpt: Your Trusted Source CRE Loans Funding the Dream</x:v>
      </x:c>
      <x:c r="AB2069" s="3" t="str">
        <x:v>New public-source collection</x:v>
      </x:c>
      <x:c r="AC2069" s="3" t="str">
        <x:v>unverified</x:v>
      </x:c>
      <x:c r="AD2069" s="3" t="str">
        <x:v>Not contacted / unconfirmed</x:v>
      </x:c>
      <x:c r="AE2069" s="3" t="str">
        <x:v>No</x:v>
      </x:c>
      <x:c r="AF2069" s="3" t="str">
        <x:v>No</x:v>
      </x:c>
      <x:c r="AG2069" s="3"/>
      <x:c r="AH2069" s="3"/>
      <x:c r="AI2069" s="18"/>
      <x:c r="AJ2069" s="3" t="str">
        <x:v>CF2500-85A870105ABC</x:v>
      </x:c>
      <x:c r="AK2069" s="3" t="str">
        <x:v>real estate capital prospect (role unconfirmed)</x:v>
      </x:c>
      <x:c r="AL2069" s="19" t="n">
        <x:v>100000</x:v>
      </x:c>
      <x:c r="AM2069" s="19" t="n">
        <x:v>500000</x:v>
      </x:c>
      <x:c r="AN2069" s="3" t="str">
        <x:v>https://www.privatelendersdirectory.com/united-states/mckinney/real-estate-investment-lending/snc-funding-investments</x:v>
      </x:c>
      <x:c r="AO2069" s="3" t="str">
        <x:v>bulk_new_investors.jsonl</x:v>
      </x:c>
      <x:c r="AP2069" s="19"/>
    </x:row>
    <x:row r="2070" ht="36" customHeight="1">
      <x:c r="A2070" s="23" t="n">
        <x:v>2069</x:v>
      </x:c>
      <x:c r="B2070" s="15" t="str">
        <x:v>SOUTH FLORIDA HARD MONEY LENDING</x:v>
      </x:c>
      <x:c r="C2070" s="15"/>
      <x:c r="D2070" s="15" t="str">
        <x:v>Property lender / private real-estate capital prospect</x:v>
      </x:c>
      <x:c r="E2070" s="15" t="str">
        <x:v>Property lender / private-money inquiry</x:v>
      </x:c>
      <x:c r="F2070" s="17" t="str">
        <x:v>New</x:v>
      </x:c>
      <x:c r="G2070" s="24"/>
      <x:c r="H2070" s="24"/>
      <x:c r="I2070" s="24" t="str">
        <x:v>https://www.hardmoneylendingflorida.com/</x:v>
      </x:c>
      <x:c r="J2070" s="16" t="str">
        <x:v>FL</x:v>
      </x:c>
      <x:c r="K2070" s="16" t="str">
        <x:v>Boca Raton</x:v>
      </x:c>
      <x:c r="L2070" s="16" t="str">
        <x:v>firm_business_routing</x:v>
      </x:c>
      <x:c r="M2070" s="16" t="str">
        <x:v>https://www.hardmoneylendingflorida.com/</x:v>
      </x:c>
      <x:c r="N2070" s="16" t="str">
        <x:v>$100K-$500K ticket not published / unconfirmed</x:v>
      </x:c>
      <x:c r="O2070" s="20"/>
      <x:c r="P2070" s="20"/>
      <x:c r="Q2070" s="25" t="str">
        <x:v>Property-loan range, not a corporate-capital commitment</x:v>
      </x:c>
      <x:c r="R2070" s="25" t="str">
        <x:v>Private real-estate finance experience. Corporate working capital, minority equity or profit participation requires a separate agreement from a property loan.</x:v>
      </x:c>
      <x:c r="S2070" s="25"/>
      <x:c r="T2070" s="25" t="str">
        <x:v>Confirm direct principal versus broker, $100K-$500K appetite, and whether capital can fund the operating company without a property mortgage.</x:v>
      </x:c>
      <x:c r="U2070" s="25" t="str">
        <x:v>https://www.privatelendersdirectory.com/united-states/boca-raton/top-level-category/south-florida-hard-money-lending</x:v>
      </x:c>
      <x:c r="V2070" s="26" t="d">
        <x:v>2026-10-02T00:00:00.000Z</x:v>
      </x:c>
      <x:c r="W2070" s="26" t="d">
        <x:v>2026-10-02T00:00:00.000Z</x:v>
      </x:c>
      <x:c r="X2070" s="25" t="str">
        <x:v>Public investor directory; business role and contact ownership require qualification</x:v>
      </x:c>
      <x:c r="Y2070" s="25"/>
      <x:c r="Z2070" s="25"/>
      <x:c r="AA2070" s="25" t="str">
        <x:v>Directory member description excerpt: BOCA RATON, FL HARD MONEY LENDER We are private lenders. We lend on real-estate transactions.</x:v>
      </x:c>
      <x:c r="AB2070" s="3" t="str">
        <x:v>New public-source collection</x:v>
      </x:c>
      <x:c r="AC2070" s="3" t="str">
        <x:v>unverified</x:v>
      </x:c>
      <x:c r="AD2070" s="3" t="str">
        <x:v>Not contacted / unconfirmed</x:v>
      </x:c>
      <x:c r="AE2070" s="3" t="str">
        <x:v>No</x:v>
      </x:c>
      <x:c r="AF2070" s="3" t="str">
        <x:v>No</x:v>
      </x:c>
      <x:c r="AG2070" s="3"/>
      <x:c r="AH2070" s="3"/>
      <x:c r="AI2070" s="18"/>
      <x:c r="AJ2070" s="3" t="str">
        <x:v>CF2500-F55FE8443575</x:v>
      </x:c>
      <x:c r="AK2070" s="3" t="str">
        <x:v>private real estate lender (directory claim)</x:v>
      </x:c>
      <x:c r="AL2070" s="19" t="n">
        <x:v>100000</x:v>
      </x:c>
      <x:c r="AM2070" s="19" t="n">
        <x:v>500000</x:v>
      </x:c>
      <x:c r="AN2070" s="3" t="str">
        <x:v>https://www.privatelendersdirectory.com/united-states/boca-raton/top-level-category/south-florida-hard-money-lending</x:v>
      </x:c>
      <x:c r="AO2070" s="3" t="str">
        <x:v>bulk_new_investors.jsonl</x:v>
      </x:c>
      <x:c r="AP2070" s="19"/>
    </x:row>
    <x:row r="2071" ht="36" customHeight="1">
      <x:c r="A2071" s="23" t="n">
        <x:v>2070</x:v>
      </x:c>
      <x:c r="B2071" s="15" t="str">
        <x:v>WALTER CAPITAL FUNDING</x:v>
      </x:c>
      <x:c r="C2071" s="15"/>
      <x:c r="D2071" s="15" t="str">
        <x:v>Property lender / private real-estate capital prospect</x:v>
      </x:c>
      <x:c r="E2071" s="15" t="str">
        <x:v>Property lender / private-money inquiry</x:v>
      </x:c>
      <x:c r="F2071" s="17" t="str">
        <x:v>New</x:v>
      </x:c>
      <x:c r="G2071" s="24"/>
      <x:c r="H2071" s="24"/>
      <x:c r="I2071" s="24" t="str">
        <x:v>http://walterservicing.com</x:v>
      </x:c>
      <x:c r="J2071" s="16" t="str">
        <x:v>TX</x:v>
      </x:c>
      <x:c r="K2071" s="16" t="str">
        <x:v>Austin</x:v>
      </x:c>
      <x:c r="L2071" s="16" t="str">
        <x:v>firm_business_routing</x:v>
      </x:c>
      <x:c r="M2071" s="16" t="str">
        <x:v>http://walterservicing.com</x:v>
      </x:c>
      <x:c r="N2071" s="16" t="str">
        <x:v>$100K-$500K ticket not published / unconfirmed</x:v>
      </x:c>
      <x:c r="O2071" s="20"/>
      <x:c r="P2071" s="20"/>
      <x:c r="Q2071" s="25" t="str">
        <x:v>Property-loan range, not a corporate-capital commitment</x:v>
      </x:c>
      <x:c r="R2071" s="25" t="str">
        <x:v>Private real-estate finance experience. Corporate working capital, minority equity or profit participation requires a separate agreement from a property loan.</x:v>
      </x:c>
      <x:c r="S2071" s="25"/>
      <x:c r="T2071" s="25" t="str">
        <x:v>Confirm direct principal versus broker, $100K-$500K appetite, and whether capital can fund the operating company without a property mortgage.</x:v>
      </x:c>
      <x:c r="U2071" s="25" t="str">
        <x:v>https://www.privatelendersdirectory.com/united-states/austin/real-estate-investment-lending/walter-capital-funding</x:v>
      </x:c>
      <x:c r="V2071" s="26" t="d">
        <x:v>2026-10-02T00:00:00.000Z</x:v>
      </x:c>
      <x:c r="W2071" s="26" t="d">
        <x:v>2026-10-02T00:00:00.000Z</x:v>
      </x:c>
      <x:c r="X2071" s="25" t="str">
        <x:v>Public investor directory; business role and contact ownership require qualification</x:v>
      </x:c>
      <x:c r="Y2071" s="25"/>
      <x:c r="Z2071" s="25"/>
      <x:c r="AA2071" s="25" t="str">
        <x:v>Directory member description excerpt: AUSTIN, TX PRIVATE LENDER We are a full-service loan servicing company specializing in private lenders who provide financing</x:v>
      </x:c>
      <x:c r="AB2071" s="3" t="str">
        <x:v>New public-source collection</x:v>
      </x:c>
      <x:c r="AC2071" s="3" t="str">
        <x:v>unverified</x:v>
      </x:c>
      <x:c r="AD2071" s="3" t="str">
        <x:v>Not contacted / unconfirmed</x:v>
      </x:c>
      <x:c r="AE2071" s="3" t="str">
        <x:v>No</x:v>
      </x:c>
      <x:c r="AF2071" s="3" t="str">
        <x:v>No</x:v>
      </x:c>
      <x:c r="AG2071" s="3"/>
      <x:c r="AH2071" s="3"/>
      <x:c r="AI2071" s="18"/>
      <x:c r="AJ2071" s="3" t="str">
        <x:v>CF2500-43DD90D4A0D0</x:v>
      </x:c>
      <x:c r="AK2071" s="3" t="str">
        <x:v>private real estate lender (directory claim)</x:v>
      </x:c>
      <x:c r="AL2071" s="19" t="n">
        <x:v>100000</x:v>
      </x:c>
      <x:c r="AM2071" s="19" t="n">
        <x:v>500000</x:v>
      </x:c>
      <x:c r="AN2071" s="3" t="str">
        <x:v>https://www.privatelendersdirectory.com/united-states/austin/real-estate-investment-lending/walter-capital-funding</x:v>
      </x:c>
      <x:c r="AO2071" s="3" t="str">
        <x:v>bulk_new_investors.jsonl</x:v>
      </x:c>
      <x:c r="AP2071" s="19"/>
    </x:row>
    <x:row r="2072" ht="36" customHeight="1">
      <x:c r="A2072" s="23" t="n">
        <x:v>2071</x:v>
      </x:c>
      <x:c r="B2072" s="15" t="str">
        <x:v>Aloha Capital</x:v>
      </x:c>
      <x:c r="C2072" s="15"/>
      <x:c r="D2072" s="15" t="str">
        <x:v>Property lender or directory member; operating-company capital unconfirmed</x:v>
      </x:c>
      <x:c r="E2072" s="15" t="str">
        <x:v>Property lender / private-money inquiry</x:v>
      </x:c>
      <x:c r="F2072" s="17" t="str">
        <x:v>New</x:v>
      </x:c>
      <x:c r="G2072" s="24" t="str">
        <x:v>statements@alohacapitalpartners.com</x:v>
      </x:c>
      <x:c r="H2072" s="24" t="str">
        <x:v>+13032450291</x:v>
      </x:c>
      <x:c r="I2072" s="24" t="str">
        <x:v>https://www.alohacapitalpartners.com</x:v>
      </x:c>
      <x:c r="J2072" s="16" t="str">
        <x:v>CO</x:v>
      </x:c>
      <x:c r="K2072" s="16" t="str">
        <x:v>Boulder</x:v>
      </x:c>
      <x:c r="L2072" s="16" t="str">
        <x:v>firm_business_routing</x:v>
      </x:c>
      <x:c r="M2072" s="16" t="str">
        <x:v>https://www.alohacapitalpartners.com</x:v>
      </x:c>
      <x:c r="N2072" s="16" t="str">
        <x:v>Published source range; proposed allocation and structure require confirmation</x:v>
      </x:c>
      <x:c r="O2072" s="20"/>
      <x:c r="P2072" s="20" t="n">
        <x:v>1500000</x:v>
      </x:c>
      <x:c r="Q2072" s="25" t="str">
        <x:v>Property-loan range, not a corporate-capital commitment</x:v>
      </x:c>
      <x:c r="R2072" s="25" t="str">
        <x:v>Private real-estate finance experience. Corporate working capital, minority equity or profit participation requires a separate agreement from a property loan.</x:v>
      </x:c>
      <x:c r="S2072" s="25"/>
      <x:c r="T2072" s="25" t="str">
        <x:v>Confirm direct principal versus broker, $100K-$500K appetite, and whether capital can fund the operating company without a property mortgage.</x:v>
      </x:c>
      <x:c r="U2072" s="25" t="str">
        <x:v>https://www.hardmoneyhome.com/lenders/view/aloha-capital
https://privatelenderlink.com/profile/aloha-capital/
https://www.privatelendersdirectory.com/united-states/boulder/real-estate-investment-lending/aloha-capital-7603</x:v>
      </x:c>
      <x:c r="V2072" s="26" t="d">
        <x:v>2026-10-02T00:00:00.000Z</x:v>
      </x:c>
      <x:c r="W2072" s="26" t="d">
        <x:v>2026-09-30T00:00:00.000Z</x:v>
      </x:c>
      <x:c r="X2072" s="25" t="str">
        <x:v>Saved public company, industry-directory or regulatory source; source date retained</x:v>
      </x:c>
      <x:c r="Y2072" s="25" t="str">
        <x:v>https://privatelenderlink.com/profile/aloha-capital/</x:v>
      </x:c>
      <x:c r="Z2072" s="25" t="str">
        <x:v>https://www.hardmoneyhome.com/lenders/view/aloha-capital</x:v>
      </x:c>
      <x:c r="AA2072" s="25" t="str">
        <x:v>[]</x:v>
      </x:c>
      <x:c r="AB2072" s="3" t="str">
        <x:v>Existing CapitalForge research, newly screened for this campaign</x:v>
      </x:c>
      <x:c r="AC2072" s="3" t="str">
        <x:v>unverified</x:v>
      </x:c>
      <x:c r="AD2072" s="3" t="str">
        <x:v>Not contacted / unconfirmed</x:v>
      </x:c>
      <x:c r="AE2072" s="3" t="str">
        <x:v>No</x:v>
      </x:c>
      <x:c r="AF2072" s="3" t="str">
        <x:v>No</x:v>
      </x:c>
      <x:c r="AG2072" s="3"/>
      <x:c r="AH2072" s="3"/>
      <x:c r="AI2072" s="18"/>
      <x:c r="AJ2072" s="3" t="str">
        <x:v>CF2500-3057C44DD9B1</x:v>
      </x:c>
      <x:c r="AK2072" s="3" t="str">
        <x:v>private_real_estate_lender</x:v>
      </x:c>
      <x:c r="AL2072" s="19" t="n">
        <x:v>100000</x:v>
      </x:c>
      <x:c r="AM2072" s="19" t="n">
        <x:v>500000</x:v>
      </x:c>
      <x:c r="AN2072" s="3" t="str">
        <x:v>https://www.hardmoneyhome.com/lenders/view/aloha-capital</x:v>
      </x:c>
      <x:c r="AO2072" s="3" t="str">
        <x:v>public_directory.jsonl</x:v>
      </x:c>
      <x:c r="AP2072" s="19"/>
    </x:row>
    <x:row r="2073" ht="36" customHeight="1">
      <x:c r="A2073" s="23" t="n">
        <x:v>2072</x:v>
      </x:c>
      <x:c r="B2073" s="15" t="str">
        <x:v>Atlanta Private Lending</x:v>
      </x:c>
      <x:c r="C2073" s="15"/>
      <x:c r="D2073" s="15" t="str">
        <x:v>Property lender or directory member; operating-company capital unconfirmed</x:v>
      </x:c>
      <x:c r="E2073" s="15" t="str">
        <x:v>Property lender / private-money inquiry</x:v>
      </x:c>
      <x:c r="F2073" s="17" t="str">
        <x:v>New</x:v>
      </x:c>
      <x:c r="G2073" s="24" t="str">
        <x:v>jmelton@atlantaprivatelending.com</x:v>
      </x:c>
      <x:c r="H2073" s="24" t="str">
        <x:v>+17703541899</x:v>
      </x:c>
      <x:c r="I2073" s="24" t="str">
        <x:v>http://atlantaprivatelending.com/</x:v>
      </x:c>
      <x:c r="J2073" s="16" t="str">
        <x:v>GA</x:v>
      </x:c>
      <x:c r="K2073" s="16" t="str">
        <x:v>Cumming</x:v>
      </x:c>
      <x:c r="L2073" s="16" t="str">
        <x:v>firm_business_routing</x:v>
      </x:c>
      <x:c r="M2073" s="16" t="str">
        <x:v>http://atlantaprivatelending.com/</x:v>
      </x:c>
      <x:c r="N2073" s="16" t="str">
        <x:v>Published source range; proposed allocation and structure require confirmation</x:v>
      </x:c>
      <x:c r="O2073" s="20"/>
      <x:c r="P2073" s="20" t="n">
        <x:v>5000000</x:v>
      </x:c>
      <x:c r="Q2073" s="25" t="str">
        <x:v>Property-loan range, not a corporate-capital commitment</x:v>
      </x:c>
      <x:c r="R2073" s="25" t="str">
        <x:v>Private real-estate finance experience. Corporate working capital, minority equity or profit participation requires a separate agreement from a property loan.</x:v>
      </x:c>
      <x:c r="S2073" s="25"/>
      <x:c r="T2073" s="25" t="str">
        <x:v>Confirm direct principal versus broker, $100K-$500K appetite, and whether capital can fund the operating company without a property mortgage.</x:v>
      </x:c>
      <x:c r="U2073" s="25" t="str">
        <x:v>https://www.hardmoneyhome.com/lenders/view/atlanta-private-lending
https://atlantaprivatelending.com/
https://www.privatelendersdirectory.com/united-states/cumming/top-level-category/atlanta-private-lending</x:v>
      </x:c>
      <x:c r="V2073" s="26" t="d">
        <x:v>2026-10-02T00:00:00.000Z</x:v>
      </x:c>
      <x:c r="W2073" s="26" t="d">
        <x:v>2026-09-30T00:00:00.000Z</x:v>
      </x:c>
      <x:c r="X2073" s="25" t="str">
        <x:v>Saved public company, industry-directory or regulatory source; source date retained</x:v>
      </x:c>
      <x:c r="Y2073" s="25" t="str">
        <x:v>https://atlantaprivatelending.com/</x:v>
      </x:c>
      <x:c r="Z2073" s="25" t="str">
        <x:v>https://www.hardmoneyhome.com/lenders/view/atlanta-private-lending</x:v>
      </x:c>
      <x:c r="AA2073" s="25" t="str">
        <x:v>[]</x:v>
      </x:c>
      <x:c r="AB2073" s="3" t="str">
        <x:v>Existing CapitalForge research, newly screened for this campaign</x:v>
      </x:c>
      <x:c r="AC2073" s="3" t="str">
        <x:v>unverified</x:v>
      </x:c>
      <x:c r="AD2073" s="3" t="str">
        <x:v>Not contacted / unconfirmed</x:v>
      </x:c>
      <x:c r="AE2073" s="3" t="str">
        <x:v>No</x:v>
      </x:c>
      <x:c r="AF2073" s="3" t="str">
        <x:v>No</x:v>
      </x:c>
      <x:c r="AG2073" s="3"/>
      <x:c r="AH2073" s="3"/>
      <x:c r="AI2073" s="18"/>
      <x:c r="AJ2073" s="3" t="str">
        <x:v>CF2500-3989941C7C91</x:v>
      </x:c>
      <x:c r="AK2073" s="3" t="str">
        <x:v>private_real_estate_lender</x:v>
      </x:c>
      <x:c r="AL2073" s="19" t="n">
        <x:v>100000</x:v>
      </x:c>
      <x:c r="AM2073" s="19" t="n">
        <x:v>500000</x:v>
      </x:c>
      <x:c r="AN2073" s="3" t="str">
        <x:v>https://www.hardmoneyhome.com/lenders/view/atlanta-private-lending</x:v>
      </x:c>
      <x:c r="AO2073" s="3" t="str">
        <x:v>public_directory.jsonl</x:v>
      </x:c>
      <x:c r="AP2073" s="19"/>
    </x:row>
    <x:row r="2074" ht="36" customHeight="1">
      <x:c r="A2074" s="23" t="n">
        <x:v>2073</x:v>
      </x:c>
      <x:c r="B2074" s="15" t="str">
        <x:v>Baker Collins &amp; Co.</x:v>
      </x:c>
      <x:c r="C2074" s="15"/>
      <x:c r="D2074" s="15" t="str">
        <x:v>Property lender or directory member; operating-company capital unconfirmed</x:v>
      </x:c>
      <x:c r="E2074" s="15" t="str">
        <x:v>Property lender / private-money inquiry</x:v>
      </x:c>
      <x:c r="F2074" s="17" t="str">
        <x:v>New</x:v>
      </x:c>
      <x:c r="G2074" s="24" t="str">
        <x:v>loans@bakercollins.com</x:v>
      </x:c>
      <x:c r="H2074" s="24" t="str">
        <x:v>+17709884537</x:v>
      </x:c>
      <x:c r="I2074" s="24" t="str">
        <x:v>http://bakercollins.com/</x:v>
      </x:c>
      <x:c r="J2074" s="16" t="str">
        <x:v>GA</x:v>
      </x:c>
      <x:c r="K2074" s="16" t="str">
        <x:v>Atlanta</x:v>
      </x:c>
      <x:c r="L2074" s="16" t="str">
        <x:v>firm_business_routing</x:v>
      </x:c>
      <x:c r="M2074" s="16" t="str">
        <x:v>http://bakercollins.com/</x:v>
      </x:c>
      <x:c r="N2074" s="16" t="str">
        <x:v>Published source range; proposed allocation and structure require confirmation</x:v>
      </x:c>
      <x:c r="O2074" s="20"/>
      <x:c r="P2074" s="20" t="n">
        <x:v>2500000</x:v>
      </x:c>
      <x:c r="Q2074" s="25" t="str">
        <x:v>Property-loan range, not a corporate-capital commitment</x:v>
      </x:c>
      <x:c r="R2074" s="25" t="str">
        <x:v>Private real-estate finance experience. Corporate working capital, minority equity or profit participation requires a separate agreement from a property loan.</x:v>
      </x:c>
      <x:c r="S2074" s="25"/>
      <x:c r="T2074" s="25" t="str">
        <x:v>Confirm direct principal versus broker, $100K-$500K appetite, and whether capital can fund the operating company without a property mortgage.</x:v>
      </x:c>
      <x:c r="U2074" s="25" t="str">
        <x:v>https://www.hardmoneyhome.com/lenders/view/baker-collins
https://bakercollins.com/
https://www.privatelendersdirectory.com/united-states/atlanta/top-level-category/baker-collins
https://bakercollins.com/contact-us/</x:v>
      </x:c>
      <x:c r="V2074" s="26" t="d">
        <x:v>2026-10-02T00:00:00.000Z</x:v>
      </x:c>
      <x:c r="W2074" s="26" t="d">
        <x:v>2026-09-30T00:00:00.000Z</x:v>
      </x:c>
      <x:c r="X2074" s="25" t="str">
        <x:v>Saved public company, industry-directory or regulatory source; source date retained</x:v>
      </x:c>
      <x:c r="Y2074" s="25" t="str">
        <x:v>https://bakercollins.com/</x:v>
      </x:c>
      <x:c r="Z2074" s="25" t="str">
        <x:v>https://www.hardmoneyhome.com/lenders/view/baker-collins</x:v>
      </x:c>
      <x:c r="AA2074" s="25" t="str">
        <x:v>[]</x:v>
      </x:c>
      <x:c r="AB2074" s="3" t="str">
        <x:v>Existing CapitalForge research, newly screened for this campaign</x:v>
      </x:c>
      <x:c r="AC2074" s="3" t="str">
        <x:v>unverified</x:v>
      </x:c>
      <x:c r="AD2074" s="3" t="str">
        <x:v>Not contacted / unconfirmed</x:v>
      </x:c>
      <x:c r="AE2074" s="3" t="str">
        <x:v>No</x:v>
      </x:c>
      <x:c r="AF2074" s="3" t="str">
        <x:v>No</x:v>
      </x:c>
      <x:c r="AG2074" s="3"/>
      <x:c r="AH2074" s="3"/>
      <x:c r="AI2074" s="18"/>
      <x:c r="AJ2074" s="3" t="str">
        <x:v>CF2500-0E83941AD967</x:v>
      </x:c>
      <x:c r="AK2074" s="3" t="str">
        <x:v>private_real_estate_lender</x:v>
      </x:c>
      <x:c r="AL2074" s="19" t="n">
        <x:v>100000</x:v>
      </x:c>
      <x:c r="AM2074" s="19" t="n">
        <x:v>500000</x:v>
      </x:c>
      <x:c r="AN2074" s="3" t="str">
        <x:v>https://www.hardmoneyhome.com/lenders/view/baker-collins</x:v>
      </x:c>
      <x:c r="AO2074" s="3" t="str">
        <x:v>public_directory.jsonl</x:v>
      </x:c>
      <x:c r="AP2074" s="19"/>
    </x:row>
    <x:row r="2075" ht="36" customHeight="1">
      <x:c r="A2075" s="23" t="n">
        <x:v>2074</x:v>
      </x:c>
      <x:c r="B2075" s="15" t="str">
        <x:v>Do Hard Money</x:v>
      </x:c>
      <x:c r="C2075" s="15"/>
      <x:c r="D2075" s="15" t="str">
        <x:v>Property lender or directory member; operating-company capital unconfirmed</x:v>
      </x:c>
      <x:c r="E2075" s="15" t="str">
        <x:v>Property lender / private-money inquiry</x:v>
      </x:c>
      <x:c r="F2075" s="17" t="str">
        <x:v>New</x:v>
      </x:c>
      <x:c r="G2075" s="24" t="str">
        <x:v>questions@theinvestorsedge.com</x:v>
      </x:c>
      <x:c r="H2075" s="24" t="str">
        <x:v>+18016927703</x:v>
      </x:c>
      <x:c r="I2075" s="24" t="str">
        <x:v>https://www.dohardmoney.com</x:v>
      </x:c>
      <x:c r="J2075" s="16" t="str">
        <x:v>UT</x:v>
      </x:c>
      <x:c r="K2075" s="16" t="str">
        <x:v>West Jordan</x:v>
      </x:c>
      <x:c r="L2075" s="16" t="str">
        <x:v>firm_business_routing</x:v>
      </x:c>
      <x:c r="M2075" s="16" t="str">
        <x:v>https://www.dohardmoney.com</x:v>
      </x:c>
      <x:c r="N2075" s="16" t="str">
        <x:v>Published source range; proposed allocation and structure require confirmation</x:v>
      </x:c>
      <x:c r="O2075" s="20"/>
      <x:c r="P2075" s="20" t="n">
        <x:v>250000</x:v>
      </x:c>
      <x:c r="Q2075" s="25" t="str">
        <x:v>Property-loan range, not a corporate-capital commitment</x:v>
      </x:c>
      <x:c r="R2075" s="25" t="str">
        <x:v>Private real-estate finance experience. Corporate working capital, minority equity or profit participation requires a separate agreement from a property loan.</x:v>
      </x:c>
      <x:c r="S2075" s="25"/>
      <x:c r="T2075" s="25" t="str">
        <x:v>Confirm direct principal versus broker, $100K-$500K appetite, and whether capital can fund the operating company without a property mortgage.</x:v>
      </x:c>
      <x:c r="U2075" s="25" t="str">
        <x:v>https://www.hardmoneyhome.com/lenders/view/do-hard-money
https://www.privatelendersdirectory.com/united-states/salt-lake-city/top-level-category/do-hard-money
https://www.theinvestorsedge.com/
https://privatelenderlink.com/profile/the-investors-edge/
https://www.theinvestorsedge.com/?utm_source=private-lender-link</x:v>
      </x:c>
      <x:c r="V2075" s="26" t="d">
        <x:v>2026-10-02T00:00:00.000Z</x:v>
      </x:c>
      <x:c r="W2075" s="26" t="d">
        <x:v>2026-09-30T00:00:00.000Z</x:v>
      </x:c>
      <x:c r="X2075" s="25" t="str">
        <x:v>Saved public company, industry-directory or regulatory source; source date retained</x:v>
      </x:c>
      <x:c r="Y2075" s="25" t="str">
        <x:v>https://www.theinvestorsedge.com/</x:v>
      </x:c>
      <x:c r="Z2075" s="25" t="str">
        <x:v>https://www.hardmoneyhome.com/lenders/view/do-hard-money</x:v>
      </x:c>
      <x:c r="AA2075" s="25" t="str">
        <x:v>[]</x:v>
      </x:c>
      <x:c r="AB2075" s="3" t="str">
        <x:v>Existing CapitalForge research, newly screened for this campaign</x:v>
      </x:c>
      <x:c r="AC2075" s="3" t="str">
        <x:v>unverified</x:v>
      </x:c>
      <x:c r="AD2075" s="3" t="str">
        <x:v>Not contacted / unconfirmed</x:v>
      </x:c>
      <x:c r="AE2075" s="3" t="str">
        <x:v>No</x:v>
      </x:c>
      <x:c r="AF2075" s="3" t="str">
        <x:v>No</x:v>
      </x:c>
      <x:c r="AG2075" s="3"/>
      <x:c r="AH2075" s="3"/>
      <x:c r="AI2075" s="18"/>
      <x:c r="AJ2075" s="3" t="str">
        <x:v>CF2500-488D0106579F</x:v>
      </x:c>
      <x:c r="AK2075" s="3" t="str">
        <x:v>private_real_estate_lender</x:v>
      </x:c>
      <x:c r="AL2075" s="19" t="n">
        <x:v>100000</x:v>
      </x:c>
      <x:c r="AM2075" s="19" t="n">
        <x:v>500000</x:v>
      </x:c>
      <x:c r="AN2075" s="3" t="str">
        <x:v>https://www.hardmoneyhome.com/lenders/view/do-hard-money</x:v>
      </x:c>
      <x:c r="AO2075" s="3" t="str">
        <x:v>public_directory.jsonl</x:v>
      </x:c>
      <x:c r="AP2075" s="19"/>
    </x:row>
    <x:row r="2076" ht="36" customHeight="1">
      <x:c r="A2076" s="23" t="n">
        <x:v>2075</x:v>
      </x:c>
      <x:c r="B2076" s="15" t="str">
        <x:v>Fairview Commercial Lending</x:v>
      </x:c>
      <x:c r="C2076" s="15"/>
      <x:c r="D2076" s="15" t="str">
        <x:v>Property lender or directory member; operating-company capital unconfirmed</x:v>
      </x:c>
      <x:c r="E2076" s="15" t="str">
        <x:v>Property lender / private-money inquiry</x:v>
      </x:c>
      <x:c r="F2076" s="17" t="str">
        <x:v>New</x:v>
      </x:c>
      <x:c r="G2076" s="24" t="str">
        <x:v>info@fairviewlending.com</x:v>
      </x:c>
      <x:c r="H2076" s="24" t="str">
        <x:v>+18666341270</x:v>
      </x:c>
      <x:c r="I2076" s="24" t="str">
        <x:v>https://www.fairviewlending.com</x:v>
      </x:c>
      <x:c r="J2076" s="16" t="str">
        <x:v>GA</x:v>
      </x:c>
      <x:c r="K2076" s="16" t="str">
        <x:v>Sandy Springs</x:v>
      </x:c>
      <x:c r="L2076" s="16" t="str">
        <x:v>firm_business_routing</x:v>
      </x:c>
      <x:c r="M2076" s="16" t="str">
        <x:v>https://www.fairviewlending.com</x:v>
      </x:c>
      <x:c r="N2076" s="16" t="str">
        <x:v>Published source range; proposed allocation and structure require confirmation</x:v>
      </x:c>
      <x:c r="O2076" s="20"/>
      <x:c r="P2076" s="20" t="n">
        <x:v>3000000</x:v>
      </x:c>
      <x:c r="Q2076" s="25" t="str">
        <x:v>Property-loan range, not a corporate-capital commitment</x:v>
      </x:c>
      <x:c r="R2076" s="25" t="str">
        <x:v>Private real-estate finance experience. Corporate working capital, minority equity or profit participation requires a separate agreement from a property loan.</x:v>
      </x:c>
      <x:c r="S2076" s="25"/>
      <x:c r="T2076" s="25" t="str">
        <x:v>Confirm direct principal versus broker, $100K-$500K appetite, and whether capital can fund the operating company without a property mortgage.</x:v>
      </x:c>
      <x:c r="U2076" s="25" t="str">
        <x:v>https://www.hardmoneyhome.com/lenders/view/fairview-commercial-lending
https://www.fairviewlending.com</x:v>
      </x:c>
      <x:c r="V2076" s="26" t="d">
        <x:v>2026-10-02T00:00:00.000Z</x:v>
      </x:c>
      <x:c r="W2076" s="26" t="d">
        <x:v>2026-09-30T00:00:00.000Z</x:v>
      </x:c>
      <x:c r="X2076" s="25" t="str">
        <x:v>Saved public company, industry-directory or regulatory source; source date retained</x:v>
      </x:c>
      <x:c r="Y2076" s="25" t="str">
        <x:v>https://www.fairviewlending.com</x:v>
      </x:c>
      <x:c r="Z2076" s="25" t="str">
        <x:v>https://www.hardmoneyhome.com/lenders/view/fairview-commercial-lending</x:v>
      </x:c>
      <x:c r="AA2076" s="25" t="str">
        <x:v>[]</x:v>
      </x:c>
      <x:c r="AB2076" s="3" t="str">
        <x:v>Existing CapitalForge research, newly screened for this campaign</x:v>
      </x:c>
      <x:c r="AC2076" s="3" t="str">
        <x:v>unverified</x:v>
      </x:c>
      <x:c r="AD2076" s="3" t="str">
        <x:v>Not contacted / unconfirmed</x:v>
      </x:c>
      <x:c r="AE2076" s="3" t="str">
        <x:v>No</x:v>
      </x:c>
      <x:c r="AF2076" s="3" t="str">
        <x:v>No</x:v>
      </x:c>
      <x:c r="AG2076" s="3"/>
      <x:c r="AH2076" s="3"/>
      <x:c r="AI2076" s="18"/>
      <x:c r="AJ2076" s="3" t="str">
        <x:v>CF2500-072950BFC515</x:v>
      </x:c>
      <x:c r="AK2076" s="3" t="str">
        <x:v>private_real_estate_lender</x:v>
      </x:c>
      <x:c r="AL2076" s="19" t="n">
        <x:v>100000</x:v>
      </x:c>
      <x:c r="AM2076" s="19" t="n">
        <x:v>500000</x:v>
      </x:c>
      <x:c r="AN2076" s="3" t="str">
        <x:v>https://www.hardmoneyhome.com/lenders/view/fairview-commercial-lending</x:v>
      </x:c>
      <x:c r="AO2076" s="3" t="str">
        <x:v>public_directory.jsonl</x:v>
      </x:c>
      <x:c r="AP2076" s="19"/>
    </x:row>
    <x:row r="2077" ht="36" customHeight="1">
      <x:c r="A2077" s="23" t="n">
        <x:v>2076</x:v>
      </x:c>
      <x:c r="B2077" s="15" t="str">
        <x:v>Galloway Lending</x:v>
      </x:c>
      <x:c r="C2077" s="15"/>
      <x:c r="D2077" s="15" t="str">
        <x:v>Property lender or directory member; operating-company capital unconfirmed</x:v>
      </x:c>
      <x:c r="E2077" s="15" t="str">
        <x:v>Property lender / private-money inquiry</x:v>
      </x:c>
      <x:c r="F2077" s="17" t="str">
        <x:v>New</x:v>
      </x:c>
      <x:c r="G2077" s="24" t="str">
        <x:v>info@gallowaylending.com</x:v>
      </x:c>
      <x:c r="H2077" s="24" t="str">
        <x:v>+17204008875</x:v>
      </x:c>
      <x:c r="I2077" s="24" t="str">
        <x:v>http://gallowaylending.com/</x:v>
      </x:c>
      <x:c r="J2077" s="16" t="str">
        <x:v>CO</x:v>
      </x:c>
      <x:c r="K2077" s="16" t="str">
        <x:v>Golden</x:v>
      </x:c>
      <x:c r="L2077" s="16" t="str">
        <x:v>firm_business_routing</x:v>
      </x:c>
      <x:c r="M2077" s="16" t="str">
        <x:v>http://gallowaylending.com/</x:v>
      </x:c>
      <x:c r="N2077" s="16" t="str">
        <x:v>Published source range; proposed allocation and structure require confirmation</x:v>
      </x:c>
      <x:c r="O2077" s="20"/>
      <x:c r="P2077" s="20" t="n">
        <x:v>3000000</x:v>
      </x:c>
      <x:c r="Q2077" s="25" t="str">
        <x:v>Property-loan range, not a corporate-capital commitment</x:v>
      </x:c>
      <x:c r="R2077" s="25" t="str">
        <x:v>Private real-estate finance experience. Corporate working capital, minority equity or profit participation requires a separate agreement from a property loan.</x:v>
      </x:c>
      <x:c r="S2077" s="25"/>
      <x:c r="T2077" s="25" t="str">
        <x:v>Confirm direct principal versus broker, $100K-$500K appetite, and whether capital can fund the operating company without a property mortgage.</x:v>
      </x:c>
      <x:c r="U2077" s="25" t="str">
        <x:v>https://www.hardmoneyhome.com/lenders/view/galloway-lending
https://gallowaylending.com/contact-us</x:v>
      </x:c>
      <x:c r="V2077" s="26" t="d">
        <x:v>2026-10-02T00:00:00.000Z</x:v>
      </x:c>
      <x:c r="W2077" s="26" t="d">
        <x:v>2026-09-30T00:00:00.000Z</x:v>
      </x:c>
      <x:c r="X2077" s="25" t="str">
        <x:v>Saved public company, industry-directory or regulatory source; source date retained</x:v>
      </x:c>
      <x:c r="Y2077" s="25" t="str">
        <x:v>https://gallowaylending.com/contact-us</x:v>
      </x:c>
      <x:c r="Z2077" s="25" t="str">
        <x:v>https://www.hardmoneyhome.com/lenders/view/galloway-lending</x:v>
      </x:c>
      <x:c r="AA2077" s="25" t="str">
        <x:v>[]</x:v>
      </x:c>
      <x:c r="AB2077" s="3" t="str">
        <x:v>Existing CapitalForge research, newly screened for this campaign</x:v>
      </x:c>
      <x:c r="AC2077" s="3" t="str">
        <x:v>unverified</x:v>
      </x:c>
      <x:c r="AD2077" s="3" t="str">
        <x:v>Not contacted / unconfirmed</x:v>
      </x:c>
      <x:c r="AE2077" s="3" t="str">
        <x:v>No</x:v>
      </x:c>
      <x:c r="AF2077" s="3" t="str">
        <x:v>No</x:v>
      </x:c>
      <x:c r="AG2077" s="3"/>
      <x:c r="AH2077" s="3"/>
      <x:c r="AI2077" s="18"/>
      <x:c r="AJ2077" s="3" t="str">
        <x:v>CF2500-F17B22A64A04</x:v>
      </x:c>
      <x:c r="AK2077" s="3" t="str">
        <x:v>private_real_estate_lender</x:v>
      </x:c>
      <x:c r="AL2077" s="19" t="n">
        <x:v>100000</x:v>
      </x:c>
      <x:c r="AM2077" s="19" t="n">
        <x:v>500000</x:v>
      </x:c>
      <x:c r="AN2077" s="3" t="str">
        <x:v>https://www.hardmoneyhome.com/lenders/view/galloway-lending</x:v>
      </x:c>
      <x:c r="AO2077" s="3" t="str">
        <x:v>public_directory.jsonl</x:v>
      </x:c>
      <x:c r="AP2077" s="19"/>
    </x:row>
    <x:row r="2078" ht="36" customHeight="1">
      <x:c r="A2078" s="23" t="n">
        <x:v>2077</x:v>
      </x:c>
      <x:c r="B2078" s="15" t="str">
        <x:v>Groundfloor Lending</x:v>
      </x:c>
      <x:c r="C2078" s="15"/>
      <x:c r="D2078" s="15" t="str">
        <x:v>Property lender or directory member; operating-company capital unconfirmed</x:v>
      </x:c>
      <x:c r="E2078" s="15" t="str">
        <x:v>Property lender / private-money inquiry</x:v>
      </x:c>
      <x:c r="F2078" s="17" t="str">
        <x:v>New</x:v>
      </x:c>
      <x:c r="G2078" s="24" t="str">
        <x:v>lendingsales@groundfloor.us</x:v>
      </x:c>
      <x:c r="H2078" s="24" t="str">
        <x:v>+14048509224</x:v>
      </x:c>
      <x:c r="I2078" s="24" t="str">
        <x:v>https://grdfl.co/no-monthly-pmt</x:v>
      </x:c>
      <x:c r="J2078" s="16" t="str">
        <x:v>GA</x:v>
      </x:c>
      <x:c r="K2078" s="16" t="str">
        <x:v>Atlanta</x:v>
      </x:c>
      <x:c r="L2078" s="16" t="str">
        <x:v>firm_business_routing</x:v>
      </x:c>
      <x:c r="M2078" s="16" t="str">
        <x:v>https://grdfl.co/no-monthly-pmt</x:v>
      </x:c>
      <x:c r="N2078" s="16" t="str">
        <x:v>Published source range; proposed allocation and structure require confirmation</x:v>
      </x:c>
      <x:c r="O2078" s="20"/>
      <x:c r="P2078" s="20" t="n">
        <x:v>5000000</x:v>
      </x:c>
      <x:c r="Q2078" s="25" t="str">
        <x:v>Property-loan range, not a corporate-capital commitment</x:v>
      </x:c>
      <x:c r="R2078" s="25" t="str">
        <x:v>Private real-estate finance experience. Corporate working capital, minority equity or profit participation requires a separate agreement from a property loan.</x:v>
      </x:c>
      <x:c r="S2078" s="25"/>
      <x:c r="T2078" s="25" t="str">
        <x:v>Confirm direct principal versus broker, $100K-$500K appetite, and whether capital can fund the operating company without a property mortgage.</x:v>
      </x:c>
      <x:c r="U2078" s="25" t="str">
        <x:v>https://www.hardmoneyhome.com/lenders/view/groundfloor-lending
https://privatelenderlink.com/profile/groundfloor/</x:v>
      </x:c>
      <x:c r="V2078" s="26" t="d">
        <x:v>2026-10-02T00:00:00.000Z</x:v>
      </x:c>
      <x:c r="W2078" s="26" t="d">
        <x:v>2026-09-30T00:00:00.000Z</x:v>
      </x:c>
      <x:c r="X2078" s="25" t="str">
        <x:v>Saved public company, industry-directory or regulatory source; source date retained</x:v>
      </x:c>
      <x:c r="Y2078" s="25" t="str">
        <x:v>https://privatelenderlink.com/profile/groundfloor/</x:v>
      </x:c>
      <x:c r="Z2078" s="25" t="str">
        <x:v>https://www.hardmoneyhome.com/lenders/view/groundfloor-lending</x:v>
      </x:c>
      <x:c r="AA2078" s="25" t="str">
        <x:v>[]</x:v>
      </x:c>
      <x:c r="AB2078" s="3" t="str">
        <x:v>Existing CapitalForge research, newly screened for this campaign</x:v>
      </x:c>
      <x:c r="AC2078" s="3" t="str">
        <x:v>unverified</x:v>
      </x:c>
      <x:c r="AD2078" s="3" t="str">
        <x:v>Not contacted / unconfirmed</x:v>
      </x:c>
      <x:c r="AE2078" s="3" t="str">
        <x:v>No</x:v>
      </x:c>
      <x:c r="AF2078" s="3" t="str">
        <x:v>No</x:v>
      </x:c>
      <x:c r="AG2078" s="3"/>
      <x:c r="AH2078" s="3"/>
      <x:c r="AI2078" s="18"/>
      <x:c r="AJ2078" s="3" t="str">
        <x:v>CF2500-0B1CC10ECDFB</x:v>
      </x:c>
      <x:c r="AK2078" s="3" t="str">
        <x:v>private_real_estate_lender</x:v>
      </x:c>
      <x:c r="AL2078" s="19" t="n">
        <x:v>100000</x:v>
      </x:c>
      <x:c r="AM2078" s="19" t="n">
        <x:v>500000</x:v>
      </x:c>
      <x:c r="AN2078" s="3" t="str">
        <x:v>https://www.hardmoneyhome.com/lenders/view/groundfloor-lending</x:v>
      </x:c>
      <x:c r="AO2078" s="3" t="str">
        <x:v>public_directory.jsonl</x:v>
      </x:c>
      <x:c r="AP2078" s="19"/>
    </x:row>
    <x:row r="2079" ht="36" customHeight="1">
      <x:c r="A2079" s="23" t="n">
        <x:v>2078</x:v>
      </x:c>
      <x:c r="B2079" s="15" t="str">
        <x:v>Hard Money Mike</x:v>
      </x:c>
      <x:c r="C2079" s="15"/>
      <x:c r="D2079" s="15" t="str">
        <x:v>Property lender or directory member; operating-company capital unconfirmed</x:v>
      </x:c>
      <x:c r="E2079" s="15" t="str">
        <x:v>Property lender / private-money inquiry</x:v>
      </x:c>
      <x:c r="F2079" s="17" t="str">
        <x:v>New</x:v>
      </x:c>
      <x:c r="G2079" s="24" t="str">
        <x:v>info@hardmoneymike.com</x:v>
      </x:c>
      <x:c r="H2079" s="24" t="str">
        <x:v>+13035393000</x:v>
      </x:c>
      <x:c r="I2079" s="24" t="str">
        <x:v>http://hardmoneymike.com</x:v>
      </x:c>
      <x:c r="J2079" s="16" t="str">
        <x:v>CO</x:v>
      </x:c>
      <x:c r="K2079" s="16" t="str">
        <x:v>Littleton</x:v>
      </x:c>
      <x:c r="L2079" s="16" t="str">
        <x:v>firm_business_routing</x:v>
      </x:c>
      <x:c r="M2079" s="16" t="str">
        <x:v>http://hardmoneymike.com</x:v>
      </x:c>
      <x:c r="N2079" s="16" t="str">
        <x:v>Published source range; proposed allocation and structure require confirmation</x:v>
      </x:c>
      <x:c r="O2079" s="20"/>
      <x:c r="P2079" s="20" t="n">
        <x:v>1000000</x:v>
      </x:c>
      <x:c r="Q2079" s="25" t="str">
        <x:v>Property-loan range, not a corporate-capital commitment</x:v>
      </x:c>
      <x:c r="R2079" s="25" t="str">
        <x:v>Private real-estate finance experience. Corporate working capital, minority equity or profit participation requires a separate agreement from a property loan.</x:v>
      </x:c>
      <x:c r="S2079" s="25"/>
      <x:c r="T2079" s="25" t="str">
        <x:v>Confirm direct principal versus broker, $100K-$500K appetite, and whether capital can fund the operating company without a property mortgage.</x:v>
      </x:c>
      <x:c r="U2079" s="25" t="str">
        <x:v>https://www.hardmoneyhome.com/lenders/view/hard-money-mike
http://hardmoneymike.com
https://www.hardmoneyhome.com/lenders/view/tns-loans</x:v>
      </x:c>
      <x:c r="V2079" s="26" t="d">
        <x:v>2026-10-02T00:00:00.000Z</x:v>
      </x:c>
      <x:c r="W2079" s="26" t="d">
        <x:v>2026-09-30T00:00:00.000Z</x:v>
      </x:c>
      <x:c r="X2079" s="25" t="str">
        <x:v>Saved public company, industry-directory or regulatory source; source date retained</x:v>
      </x:c>
      <x:c r="Y2079" s="25" t="str">
        <x:v>http://hardmoneymike.com</x:v>
      </x:c>
      <x:c r="Z2079" s="25" t="str">
        <x:v>https://www.hardmoneyhome.com/lenders/view/hard-money-mike</x:v>
      </x:c>
      <x:c r="AA2079" s="25" t="str">
        <x:v>[]</x:v>
      </x:c>
      <x:c r="AB2079" s="3" t="str">
        <x:v>Existing CapitalForge research, newly screened for this campaign</x:v>
      </x:c>
      <x:c r="AC2079" s="3" t="str">
        <x:v>unverified</x:v>
      </x:c>
      <x:c r="AD2079" s="3" t="str">
        <x:v>Not contacted / unconfirmed</x:v>
      </x:c>
      <x:c r="AE2079" s="3" t="str">
        <x:v>No</x:v>
      </x:c>
      <x:c r="AF2079" s="3" t="str">
        <x:v>No</x:v>
      </x:c>
      <x:c r="AG2079" s="3"/>
      <x:c r="AH2079" s="3" t="str">
        <x:v>TNS Loans</x:v>
      </x:c>
      <x:c r="AI2079" s="18"/>
      <x:c r="AJ2079" s="3" t="str">
        <x:v>CF2500-8F5638652509</x:v>
      </x:c>
      <x:c r="AK2079" s="3" t="str">
        <x:v>private_real_estate_lender</x:v>
      </x:c>
      <x:c r="AL2079" s="19" t="n">
        <x:v>100000</x:v>
      </x:c>
      <x:c r="AM2079" s="19" t="n">
        <x:v>500000</x:v>
      </x:c>
      <x:c r="AN2079" s="3" t="str">
        <x:v>https://www.hardmoneyhome.com/lenders/view/hard-money-mike</x:v>
      </x:c>
      <x:c r="AO2079" s="3" t="str">
        <x:v>public_directory.jsonl</x:v>
      </x:c>
      <x:c r="AP2079" s="19"/>
    </x:row>
    <x:row r="2080" ht="36" customHeight="1">
      <x:c r="A2080" s="23" t="n">
        <x:v>2079</x:v>
      </x:c>
      <x:c r="B2080" s="15" t="str">
        <x:v>Lead Funding</x:v>
      </x:c>
      <x:c r="C2080" s="15"/>
      <x:c r="D2080" s="15" t="str">
        <x:v>Property lender or directory member; operating-company capital unconfirmed</x:v>
      </x:c>
      <x:c r="E2080" s="15" t="str">
        <x:v>Property lender / private-money inquiry</x:v>
      </x:c>
      <x:c r="F2080" s="17" t="str">
        <x:v>New</x:v>
      </x:c>
      <x:c r="G2080" s="24" t="str">
        <x:v>info@leadfunding.com</x:v>
      </x:c>
      <x:c r="H2080" s="24" t="str">
        <x:v>+13038343494</x:v>
      </x:c>
      <x:c r="I2080" s="24" t="str">
        <x:v>http://www.leadfunding.com</x:v>
      </x:c>
      <x:c r="J2080" s="16" t="str">
        <x:v>CO</x:v>
      </x:c>
      <x:c r="K2080" s="16" t="str">
        <x:v>greenwood Village</x:v>
      </x:c>
      <x:c r="L2080" s="16" t="str">
        <x:v>firm_business_routing</x:v>
      </x:c>
      <x:c r="M2080" s="16" t="str">
        <x:v>http://www.leadfunding.com</x:v>
      </x:c>
      <x:c r="N2080" s="16" t="str">
        <x:v>Published source range; proposed allocation and structure require confirmation</x:v>
      </x:c>
      <x:c r="O2080" s="20"/>
      <x:c r="P2080" s="20" t="n">
        <x:v>6000000</x:v>
      </x:c>
      <x:c r="Q2080" s="25" t="str">
        <x:v>Property-loan range, not a corporate-capital commitment</x:v>
      </x:c>
      <x:c r="R2080" s="25" t="str">
        <x:v>Private real-estate finance experience. Corporate working capital, minority equity or profit participation requires a separate agreement from a property loan.</x:v>
      </x:c>
      <x:c r="S2080" s="25"/>
      <x:c r="T2080" s="25" t="str">
        <x:v>Confirm direct principal versus broker, $100K-$500K appetite, and whether capital can fund the operating company without a property mortgage.</x:v>
      </x:c>
      <x:c r="U2080" s="25" t="str">
        <x:v>https://www.hardmoneyhome.com/lenders/view/lead-funding
https://privatelenderlink.com/profile/lead-funding/</x:v>
      </x:c>
      <x:c r="V2080" s="26" t="d">
        <x:v>2026-10-02T00:00:00.000Z</x:v>
      </x:c>
      <x:c r="W2080" s="26" t="d">
        <x:v>2026-09-30T00:00:00.000Z</x:v>
      </x:c>
      <x:c r="X2080" s="25" t="str">
        <x:v>Saved public company, industry-directory or regulatory source; source date retained</x:v>
      </x:c>
      <x:c r="Y2080" s="25" t="str">
        <x:v>https://privatelenderlink.com/profile/lead-funding/</x:v>
      </x:c>
      <x:c r="Z2080" s="25" t="str">
        <x:v>https://www.hardmoneyhome.com/lenders/view/lead-funding</x:v>
      </x:c>
      <x:c r="AA2080" s="25" t="str">
        <x:v>[]</x:v>
      </x:c>
      <x:c r="AB2080" s="3" t="str">
        <x:v>Existing CapitalForge research, newly screened for this campaign</x:v>
      </x:c>
      <x:c r="AC2080" s="3" t="str">
        <x:v>unverified</x:v>
      </x:c>
      <x:c r="AD2080" s="3" t="str">
        <x:v>Not contacted / unconfirmed</x:v>
      </x:c>
      <x:c r="AE2080" s="3" t="str">
        <x:v>No</x:v>
      </x:c>
      <x:c r="AF2080" s="3" t="str">
        <x:v>No</x:v>
      </x:c>
      <x:c r="AG2080" s="3"/>
      <x:c r="AH2080" s="3"/>
      <x:c r="AI2080" s="18"/>
      <x:c r="AJ2080" s="3" t="str">
        <x:v>CF2500-A54C741B4856</x:v>
      </x:c>
      <x:c r="AK2080" s="3" t="str">
        <x:v>private_real_estate_lender</x:v>
      </x:c>
      <x:c r="AL2080" s="19" t="n">
        <x:v>100000</x:v>
      </x:c>
      <x:c r="AM2080" s="19" t="n">
        <x:v>500000</x:v>
      </x:c>
      <x:c r="AN2080" s="3" t="str">
        <x:v>https://www.hardmoneyhome.com/lenders/view/lead-funding</x:v>
      </x:c>
      <x:c r="AO2080" s="3" t="str">
        <x:v>public_directory.jsonl</x:v>
      </x:c>
      <x:c r="AP2080" s="19"/>
    </x:row>
    <x:row r="2081" ht="36" customHeight="1">
      <x:c r="A2081" s="23" t="n">
        <x:v>2080</x:v>
      </x:c>
      <x:c r="B2081" s="15" t="str">
        <x:v>Lima One Capital</x:v>
      </x:c>
      <x:c r="C2081" s="15"/>
      <x:c r="D2081" s="15" t="str">
        <x:v>Property lender or directory member; operating-company capital unconfirmed</x:v>
      </x:c>
      <x:c r="E2081" s="15" t="str">
        <x:v>Property lender / private-money inquiry</x:v>
      </x:c>
      <x:c r="F2081" s="17" t="str">
        <x:v>New</x:v>
      </x:c>
      <x:c r="G2081" s="24" t="str">
        <x:v>hello@limaone.com</x:v>
      </x:c>
      <x:c r="H2081" s="24" t="str">
        <x:v>+18003904212</x:v>
      </x:c>
      <x:c r="I2081" s="24" t="str">
        <x:v>https://limaone.com</x:v>
      </x:c>
      <x:c r="J2081" s="16" t="str">
        <x:v>SC</x:v>
      </x:c>
      <x:c r="K2081" s="16" t="str">
        <x:v>Greenville</x:v>
      </x:c>
      <x:c r="L2081" s="16" t="str">
        <x:v>firm_business_routing</x:v>
      </x:c>
      <x:c r="M2081" s="16" t="str">
        <x:v>https://limaone.com</x:v>
      </x:c>
      <x:c r="N2081" s="16" t="str">
        <x:v>Published source range; proposed allocation and structure require confirmation</x:v>
      </x:c>
      <x:c r="O2081" s="20"/>
      <x:c r="P2081" s="20" t="n">
        <x:v>10000000</x:v>
      </x:c>
      <x:c r="Q2081" s="25" t="str">
        <x:v>Property-loan range, not a corporate-capital commitment</x:v>
      </x:c>
      <x:c r="R2081" s="25" t="str">
        <x:v>Private real-estate finance experience. Corporate working capital, minority equity or profit participation requires a separate agreement from a property loan.</x:v>
      </x:c>
      <x:c r="S2081" s="25"/>
      <x:c r="T2081" s="25" t="str">
        <x:v>Confirm direct principal versus broker, $100K-$500K appetite, and whether capital can fund the operating company without a property mortgage.</x:v>
      </x:c>
      <x:c r="U2081" s="25" t="str">
        <x:v>https://www.hardmoneyhome.com/lenders/view/lima-one-capital
https://nplaconference.com/private-lending-directory/page/10/
https://www.limaone.com/</x:v>
      </x:c>
      <x:c r="V2081" s="26" t="d">
        <x:v>2026-10-02T00:00:00.000Z</x:v>
      </x:c>
      <x:c r="W2081" s="26" t="d">
        <x:v>2026-09-30T00:00:00.000Z</x:v>
      </x:c>
      <x:c r="X2081" s="25" t="str">
        <x:v>Saved public company, industry-directory or regulatory source; source date retained</x:v>
      </x:c>
      <x:c r="Y2081" s="25" t="str">
        <x:v>https://www.limaone.com/</x:v>
      </x:c>
      <x:c r="Z2081" s="25" t="str">
        <x:v>https://www.hardmoneyhome.com/lenders/view/lima-one-capital</x:v>
      </x:c>
      <x:c r="AA2081" s="25" t="str">
        <x:v>[]</x:v>
      </x:c>
      <x:c r="AB2081" s="3" t="str">
        <x:v>Existing CapitalForge research, newly screened for this campaign</x:v>
      </x:c>
      <x:c r="AC2081" s="3" t="str">
        <x:v>unverified</x:v>
      </x:c>
      <x:c r="AD2081" s="3" t="str">
        <x:v>Not contacted / unconfirmed</x:v>
      </x:c>
      <x:c r="AE2081" s="3" t="str">
        <x:v>No</x:v>
      </x:c>
      <x:c r="AF2081" s="3" t="str">
        <x:v>No</x:v>
      </x:c>
      <x:c r="AG2081" s="3"/>
      <x:c r="AH2081" s="3"/>
      <x:c r="AI2081" s="18"/>
      <x:c r="AJ2081" s="3" t="str">
        <x:v>CF2500-429CC5C98D8F</x:v>
      </x:c>
      <x:c r="AK2081" s="3" t="str">
        <x:v>private_real_estate_lender</x:v>
      </x:c>
      <x:c r="AL2081" s="19" t="n">
        <x:v>100000</x:v>
      </x:c>
      <x:c r="AM2081" s="19" t="n">
        <x:v>500000</x:v>
      </x:c>
      <x:c r="AN2081" s="3" t="str">
        <x:v>https://www.hardmoneyhome.com/lenders/view/lima-one-capital</x:v>
      </x:c>
      <x:c r="AO2081" s="3" t="str">
        <x:v>public_directory.jsonl</x:v>
      </x:c>
      <x:c r="AP2081" s="19"/>
    </x:row>
    <x:row r="2082" ht="36" customHeight="1">
      <x:c r="A2082" s="23" t="n">
        <x:v>2081</x:v>
      </x:c>
      <x:c r="B2082" s="15" t="str">
        <x:v>Paces Funding</x:v>
      </x:c>
      <x:c r="C2082" s="15"/>
      <x:c r="D2082" s="15" t="str">
        <x:v>Property lender or directory member; operating-company capital unconfirmed</x:v>
      </x:c>
      <x:c r="E2082" s="15" t="str">
        <x:v>Property lender / private-money inquiry</x:v>
      </x:c>
      <x:c r="F2082" s="17" t="str">
        <x:v>New</x:v>
      </x:c>
      <x:c r="G2082" s="24" t="str">
        <x:v>charles@pacesfunding.com</x:v>
      </x:c>
      <x:c r="H2082" s="24" t="str">
        <x:v>+14048141644</x:v>
      </x:c>
      <x:c r="I2082" s="24" t="str">
        <x:v>http://pacesfunding.com/</x:v>
      </x:c>
      <x:c r="J2082" s="16" t="str">
        <x:v>GA</x:v>
      </x:c>
      <x:c r="K2082" s="16" t="str">
        <x:v>Atlanta</x:v>
      </x:c>
      <x:c r="L2082" s="16" t="str">
        <x:v>firm_business_routing</x:v>
      </x:c>
      <x:c r="M2082" s="16" t="str">
        <x:v>http://pacesfunding.com/</x:v>
      </x:c>
      <x:c r="N2082" s="16" t="str">
        <x:v>Published source range; proposed allocation and structure require confirmation</x:v>
      </x:c>
      <x:c r="O2082" s="20"/>
      <x:c r="P2082" s="20" t="n">
        <x:v>3000000</x:v>
      </x:c>
      <x:c r="Q2082" s="25" t="str">
        <x:v>Property-loan range, not a corporate-capital commitment</x:v>
      </x:c>
      <x:c r="R2082" s="25" t="str">
        <x:v>Private real-estate finance experience. Corporate working capital, minority equity or profit participation requires a separate agreement from a property loan.</x:v>
      </x:c>
      <x:c r="S2082" s="25"/>
      <x:c r="T2082" s="25" t="str">
        <x:v>Confirm direct principal versus broker, $100K-$500K appetite, and whether capital can fund the operating company without a property mortgage.</x:v>
      </x:c>
      <x:c r="U2082" s="25" t="str">
        <x:v>https://www.hardmoneyhome.com/lenders/view/paces-funding
https://privatelenderlink.com/profile/paces-funding/
https://nplaconference.com/private-lending-directory/page/12/
https://www.pacesfunding.com/contact/</x:v>
      </x:c>
      <x:c r="V2082" s="26" t="d">
        <x:v>2026-10-02T00:00:00.000Z</x:v>
      </x:c>
      <x:c r="W2082" s="26" t="d">
        <x:v>2026-09-30T00:00:00.000Z</x:v>
      </x:c>
      <x:c r="X2082" s="25" t="str">
        <x:v>Saved public company, industry-directory or regulatory source; source date retained</x:v>
      </x:c>
      <x:c r="Y2082" s="25" t="str">
        <x:v>https://privatelenderlink.com/profile/paces-funding/</x:v>
      </x:c>
      <x:c r="Z2082" s="25" t="str">
        <x:v>https://www.hardmoneyhome.com/lenders/view/paces-funding</x:v>
      </x:c>
      <x:c r="AA2082" s="25" t="str">
        <x:v>[]</x:v>
      </x:c>
      <x:c r="AB2082" s="3" t="str">
        <x:v>Existing CapitalForge research, newly screened for this campaign</x:v>
      </x:c>
      <x:c r="AC2082" s="3" t="str">
        <x:v>unverified</x:v>
      </x:c>
      <x:c r="AD2082" s="3" t="str">
        <x:v>Not contacted / unconfirmed</x:v>
      </x:c>
      <x:c r="AE2082" s="3" t="str">
        <x:v>No</x:v>
      </x:c>
      <x:c r="AF2082" s="3" t="str">
        <x:v>No</x:v>
      </x:c>
      <x:c r="AG2082" s="3"/>
      <x:c r="AH2082" s="3"/>
      <x:c r="AI2082" s="18"/>
      <x:c r="AJ2082" s="3" t="str">
        <x:v>CF2500-4D81DDE2F626</x:v>
      </x:c>
      <x:c r="AK2082" s="3" t="str">
        <x:v>private_real_estate_lender</x:v>
      </x:c>
      <x:c r="AL2082" s="19" t="n">
        <x:v>100000</x:v>
      </x:c>
      <x:c r="AM2082" s="19" t="n">
        <x:v>500000</x:v>
      </x:c>
      <x:c r="AN2082" s="3" t="str">
        <x:v>https://www.hardmoneyhome.com/lenders/view/paces-funding</x:v>
      </x:c>
      <x:c r="AO2082" s="3" t="str">
        <x:v>public_directory.jsonl</x:v>
      </x:c>
      <x:c r="AP2082" s="19"/>
    </x:row>
    <x:row r="2083" ht="36" customHeight="1">
      <x:c r="A2083" s="23" t="n">
        <x:v>2082</x:v>
      </x:c>
      <x:c r="B2083" s="15" t="str">
        <x:v>Popular Commercial Lending Group</x:v>
      </x:c>
      <x:c r="C2083" s="15"/>
      <x:c r="D2083" s="15" t="str">
        <x:v>Property lender or directory member; operating-company capital unconfirmed</x:v>
      </x:c>
      <x:c r="E2083" s="15" t="str">
        <x:v>Property lender / private-money inquiry</x:v>
      </x:c>
      <x:c r="F2083" s="17" t="str">
        <x:v>New</x:v>
      </x:c>
      <x:c r="G2083" s="24" t="str">
        <x:v>dyoung@popularcommercial.com</x:v>
      </x:c>
      <x:c r="H2083" s="24" t="str">
        <x:v>+18019848221</x:v>
      </x:c>
      <x:c r="I2083" s="24" t="str">
        <x:v>http://www.popularcommercial.com/</x:v>
      </x:c>
      <x:c r="J2083" s="16" t="str">
        <x:v>UT</x:v>
      </x:c>
      <x:c r="K2083" s="16" t="str">
        <x:v>South Jordan</x:v>
      </x:c>
      <x:c r="L2083" s="16" t="str">
        <x:v>firm_business_routing</x:v>
      </x:c>
      <x:c r="M2083" s="16" t="str">
        <x:v>http://www.popularcommercial.com/</x:v>
      </x:c>
      <x:c r="N2083" s="16" t="str">
        <x:v>Published source range; proposed allocation and structure require confirmation</x:v>
      </x:c>
      <x:c r="O2083" s="20"/>
      <x:c r="P2083" s="20" t="n">
        <x:v>20000000</x:v>
      </x:c>
      <x:c r="Q2083" s="25" t="str">
        <x:v>Property-loan range, not a corporate-capital commitment</x:v>
      </x:c>
      <x:c r="R2083" s="25" t="str">
        <x:v>Private real-estate finance experience. Corporate working capital, minority equity or profit participation requires a separate agreement from a property loan.</x:v>
      </x:c>
      <x:c r="S2083" s="25"/>
      <x:c r="T2083" s="25" t="str">
        <x:v>Confirm direct principal versus broker, $100K-$500K appetite, and whether capital can fund the operating company without a property mortgage.</x:v>
      </x:c>
      <x:c r="U2083" s="25" t="str">
        <x:v>https://www.hardmoneyhome.com/lenders/view/popular-commercial-lending-group
https://nplaconference.com/private-lending-directory/page/13/
https://www.popularcommerciallendinggroup.com/contato-1</x:v>
      </x:c>
      <x:c r="V2083" s="26" t="d">
        <x:v>2026-10-02T00:00:00.000Z</x:v>
      </x:c>
      <x:c r="W2083" s="26" t="d">
        <x:v>2026-09-30T00:00:00.000Z</x:v>
      </x:c>
      <x:c r="X2083" s="25" t="str">
        <x:v>Saved public company, industry-directory or regulatory source; source date retained</x:v>
      </x:c>
      <x:c r="Y2083" s="25" t="str">
        <x:v>https://www.popularcommerciallendinggroup.com/contato-1</x:v>
      </x:c>
      <x:c r="Z2083" s="25" t="str">
        <x:v>https://www.hardmoneyhome.com/lenders/view/popular-commercial-lending-group</x:v>
      </x:c>
      <x:c r="AA2083" s="25" t="str">
        <x:v>[]</x:v>
      </x:c>
      <x:c r="AB2083" s="3" t="str">
        <x:v>Existing CapitalForge research, newly screened for this campaign</x:v>
      </x:c>
      <x:c r="AC2083" s="3" t="str">
        <x:v>unverified</x:v>
      </x:c>
      <x:c r="AD2083" s="3" t="str">
        <x:v>Not contacted / unconfirmed</x:v>
      </x:c>
      <x:c r="AE2083" s="3" t="str">
        <x:v>No</x:v>
      </x:c>
      <x:c r="AF2083" s="3" t="str">
        <x:v>No</x:v>
      </x:c>
      <x:c r="AG2083" s="3"/>
      <x:c r="AH2083" s="3"/>
      <x:c r="AI2083" s="18"/>
      <x:c r="AJ2083" s="3" t="str">
        <x:v>CF2500-9DED59963C92</x:v>
      </x:c>
      <x:c r="AK2083" s="3" t="str">
        <x:v>private_real_estate_lender</x:v>
      </x:c>
      <x:c r="AL2083" s="19" t="n">
        <x:v>100000</x:v>
      </x:c>
      <x:c r="AM2083" s="19" t="n">
        <x:v>500000</x:v>
      </x:c>
      <x:c r="AN2083" s="3" t="str">
        <x:v>https://www.hardmoneyhome.com/lenders/view/popular-commercial-lending-group</x:v>
      </x:c>
      <x:c r="AO2083" s="3" t="str">
        <x:v>public_directory.jsonl</x:v>
      </x:c>
      <x:c r="AP2083" s="19"/>
    </x:row>
    <x:row r="2084" ht="36" customHeight="1">
      <x:c r="A2084" s="23" t="n">
        <x:v>2083</x:v>
      </x:c>
      <x:c r="B2084" s="15" t="str">
        <x:v>Private Money Utah</x:v>
      </x:c>
      <x:c r="C2084" s="15"/>
      <x:c r="D2084" s="15" t="str">
        <x:v>Property lender or directory member; operating-company capital unconfirmed</x:v>
      </x:c>
      <x:c r="E2084" s="15" t="str">
        <x:v>Property lender / private-money inquiry</x:v>
      </x:c>
      <x:c r="F2084" s="17" t="str">
        <x:v>New</x:v>
      </x:c>
      <x:c r="G2084" s="24" t="str">
        <x:v>info@privatemoneyutah.com</x:v>
      </x:c>
      <x:c r="H2084" s="24" t="str">
        <x:v>+14355651768</x:v>
      </x:c>
      <x:c r="I2084" s="24" t="str">
        <x:v>https://privatemoneyutah.com</x:v>
      </x:c>
      <x:c r="J2084" s="16" t="str">
        <x:v>UT</x:v>
      </x:c>
      <x:c r="K2084" s="16" t="str">
        <x:v>Salt Lake City</x:v>
      </x:c>
      <x:c r="L2084" s="16" t="str">
        <x:v>firm_business_routing</x:v>
      </x:c>
      <x:c r="M2084" s="16" t="str">
        <x:v>https://privatemoneyutah.com</x:v>
      </x:c>
      <x:c r="N2084" s="16" t="str">
        <x:v>Published source range; proposed allocation and structure require confirmation</x:v>
      </x:c>
      <x:c r="O2084" s="20"/>
      <x:c r="P2084" s="20" t="n">
        <x:v>1000000</x:v>
      </x:c>
      <x:c r="Q2084" s="25" t="str">
        <x:v>Property-loan range, not a corporate-capital commitment</x:v>
      </x:c>
      <x:c r="R2084" s="25" t="str">
        <x:v>Private real-estate finance experience. Corporate working capital, minority equity or profit participation requires a separate agreement from a property loan.</x:v>
      </x:c>
      <x:c r="S2084" s="25"/>
      <x:c r="T2084" s="25" t="str">
        <x:v>Confirm direct principal versus broker, $100K-$500K appetite, and whether capital can fund the operating company without a property mortgage.</x:v>
      </x:c>
      <x:c r="U2084" s="25" t="str">
        <x:v>https://www.hardmoneyhome.com/lenders/view/private-money-utah
https://privatemoneyutah.com</x:v>
      </x:c>
      <x:c r="V2084" s="26" t="d">
        <x:v>2026-10-02T00:00:00.000Z</x:v>
      </x:c>
      <x:c r="W2084" s="26" t="d">
        <x:v>2026-09-30T00:00:00.000Z</x:v>
      </x:c>
      <x:c r="X2084" s="25" t="str">
        <x:v>Saved public company, industry-directory or regulatory source; source date retained</x:v>
      </x:c>
      <x:c r="Y2084" s="25" t="str">
        <x:v>https://privatemoneyutah.com</x:v>
      </x:c>
      <x:c r="Z2084" s="25" t="str">
        <x:v>https://www.hardmoneyhome.com/lenders/view/private-money-utah</x:v>
      </x:c>
      <x:c r="AA2084" s="25" t="str">
        <x:v>[]</x:v>
      </x:c>
      <x:c r="AB2084" s="3" t="str">
        <x:v>Existing CapitalForge research, newly screened for this campaign</x:v>
      </x:c>
      <x:c r="AC2084" s="3" t="str">
        <x:v>unverified</x:v>
      </x:c>
      <x:c r="AD2084" s="3" t="str">
        <x:v>Not contacted / unconfirmed</x:v>
      </x:c>
      <x:c r="AE2084" s="3" t="str">
        <x:v>No</x:v>
      </x:c>
      <x:c r="AF2084" s="3" t="str">
        <x:v>No</x:v>
      </x:c>
      <x:c r="AG2084" s="3"/>
      <x:c r="AH2084" s="3"/>
      <x:c r="AI2084" s="18"/>
      <x:c r="AJ2084" s="3" t="str">
        <x:v>CF2500-B0BEF2944F0C</x:v>
      </x:c>
      <x:c r="AK2084" s="3" t="str">
        <x:v>private_real_estate_lender</x:v>
      </x:c>
      <x:c r="AL2084" s="19" t="n">
        <x:v>100000</x:v>
      </x:c>
      <x:c r="AM2084" s="19" t="n">
        <x:v>500000</x:v>
      </x:c>
      <x:c r="AN2084" s="3" t="str">
        <x:v>https://www.hardmoneyhome.com/lenders/view/private-money-utah</x:v>
      </x:c>
      <x:c r="AO2084" s="3" t="str">
        <x:v>public_directory.jsonl</x:v>
      </x:c>
      <x:c r="AP2084" s="19"/>
    </x:row>
    <x:row r="2085" ht="36" customHeight="1">
      <x:c r="A2085" s="23" t="n">
        <x:v>2084</x:v>
      </x:c>
      <x:c r="B2085" s="15" t="str">
        <x:v>Red Rock Capital</x:v>
      </x:c>
      <x:c r="C2085" s="15"/>
      <x:c r="D2085" s="15" t="str">
        <x:v>Property lender or directory member; operating-company capital unconfirmed</x:v>
      </x:c>
      <x:c r="E2085" s="15" t="str">
        <x:v>Property lender / private-money inquiry</x:v>
      </x:c>
      <x:c r="F2085" s="17" t="str">
        <x:v>New</x:v>
      </x:c>
      <x:c r="G2085" s="24" t="str">
        <x:v>sales@fundwithredrock.com</x:v>
      </x:c>
      <x:c r="H2085" s="24" t="str">
        <x:v>+17199005400</x:v>
      </x:c>
      <x:c r="I2085" s="24" t="str">
        <x:v>http://www.fundwithredrock.com</x:v>
      </x:c>
      <x:c r="J2085" s="16" t="str">
        <x:v>CO</x:v>
      </x:c>
      <x:c r="K2085" s="16" t="str">
        <x:v>Colorado Springs</x:v>
      </x:c>
      <x:c r="L2085" s="16" t="str">
        <x:v>firm_business_routing</x:v>
      </x:c>
      <x:c r="M2085" s="16" t="str">
        <x:v>http://www.fundwithredrock.com</x:v>
      </x:c>
      <x:c r="N2085" s="16" t="str">
        <x:v>Published source range; proposed allocation and structure require confirmation</x:v>
      </x:c>
      <x:c r="O2085" s="20"/>
      <x:c r="P2085" s="20" t="n">
        <x:v>2000000</x:v>
      </x:c>
      <x:c r="Q2085" s="25" t="str">
        <x:v>Property-loan range, not a corporate-capital commitment</x:v>
      </x:c>
      <x:c r="R2085" s="25" t="str">
        <x:v>Private real-estate finance experience. Corporate working capital, minority equity or profit participation requires a separate agreement from a property loan.</x:v>
      </x:c>
      <x:c r="S2085" s="25"/>
      <x:c r="T2085" s="25" t="str">
        <x:v>Confirm direct principal versus broker, $100K-$500K appetite, and whether capital can fund the operating company without a property mortgage.</x:v>
      </x:c>
      <x:c r="U2085" s="25" t="str">
        <x:v>https://www.hardmoneyhome.com/lenders/view/red-rock-capital
https://www.fundwithredrock.com</x:v>
      </x:c>
      <x:c r="V2085" s="26" t="d">
        <x:v>2026-10-02T00:00:00.000Z</x:v>
      </x:c>
      <x:c r="W2085" s="26" t="d">
        <x:v>2026-09-30T00:00:00.000Z</x:v>
      </x:c>
      <x:c r="X2085" s="25" t="str">
        <x:v>Saved public company, industry-directory or regulatory source; source date retained</x:v>
      </x:c>
      <x:c r="Y2085" s="25" t="str">
        <x:v>https://www.fundwithredrock.com</x:v>
      </x:c>
      <x:c r="Z2085" s="25" t="str">
        <x:v>https://www.hardmoneyhome.com/lenders/view/red-rock-capital</x:v>
      </x:c>
      <x:c r="AA2085" s="25" t="str">
        <x:v>[]</x:v>
      </x:c>
      <x:c r="AB2085" s="3" t="str">
        <x:v>Existing CapitalForge research, newly screened for this campaign</x:v>
      </x:c>
      <x:c r="AC2085" s="3" t="str">
        <x:v>unverified</x:v>
      </x:c>
      <x:c r="AD2085" s="3" t="str">
        <x:v>Not contacted / unconfirmed</x:v>
      </x:c>
      <x:c r="AE2085" s="3" t="str">
        <x:v>No</x:v>
      </x:c>
      <x:c r="AF2085" s="3" t="str">
        <x:v>No</x:v>
      </x:c>
      <x:c r="AG2085" s="3"/>
      <x:c r="AH2085" s="3"/>
      <x:c r="AI2085" s="18"/>
      <x:c r="AJ2085" s="3" t="str">
        <x:v>CF2500-96F4BA3E1351</x:v>
      </x:c>
      <x:c r="AK2085" s="3" t="str">
        <x:v>private_real_estate_lender</x:v>
      </x:c>
      <x:c r="AL2085" s="19" t="n">
        <x:v>100000</x:v>
      </x:c>
      <x:c r="AM2085" s="19" t="n">
        <x:v>500000</x:v>
      </x:c>
      <x:c r="AN2085" s="3" t="str">
        <x:v>https://www.hardmoneyhome.com/lenders/view/red-rock-capital</x:v>
      </x:c>
      <x:c r="AO2085" s="3" t="str">
        <x:v>public_directory.jsonl</x:v>
      </x:c>
      <x:c r="AP2085" s="19"/>
    </x:row>
    <x:row r="2086" ht="36" customHeight="1">
      <x:c r="A2086" s="23" t="n">
        <x:v>2085</x:v>
      </x:c>
      <x:c r="B2086" s="15" t="str">
        <x:v>Taylor Derrick Capital</x:v>
      </x:c>
      <x:c r="C2086" s="15" t="str">
        <x:v>CARL S. AGER</x:v>
      </x:c>
      <x:c r="D2086" s="15" t="str">
        <x:v>Property lender or directory member; operating-company capital unconfirmed</x:v>
      </x:c>
      <x:c r="E2086" s="15" t="str">
        <x:v>Property lender / private-money inquiry</x:v>
      </x:c>
      <x:c r="F2086" s="17" t="str">
        <x:v>New</x:v>
      </x:c>
      <x:c r="G2086" s="24" t="str">
        <x:v>info@taylorderrick.com</x:v>
      </x:c>
      <x:c r="H2086" s="24" t="str">
        <x:v>+18557025600</x:v>
      </x:c>
      <x:c r="I2086" s="24" t="str">
        <x:v>http://www.taylorderrick.com/</x:v>
      </x:c>
      <x:c r="J2086" s="16" t="str">
        <x:v>UT</x:v>
      </x:c>
      <x:c r="K2086" s="16" t="str">
        <x:v>Salt Lake City</x:v>
      </x:c>
      <x:c r="L2086" s="16" t="str">
        <x:v>published_professional_contact_directness_unconfirmed</x:v>
      </x:c>
      <x:c r="M2086" s="16" t="str">
        <x:v>http://www.taylorderrick.com/</x:v>
      </x:c>
      <x:c r="N2086" s="16" t="str">
        <x:v>Published source range; proposed allocation and structure require confirmation</x:v>
      </x:c>
      <x:c r="O2086" s="20"/>
      <x:c r="P2086" s="20" t="n">
        <x:v>10000000</x:v>
      </x:c>
      <x:c r="Q2086" s="25" t="str">
        <x:v>Property-loan range, not a corporate-capital commitment</x:v>
      </x:c>
      <x:c r="R2086" s="25" t="str">
        <x:v>Private real-estate finance experience. Corporate working capital, minority equity or profit participation requires a separate agreement from a property loan.</x:v>
      </x:c>
      <x:c r="S2086" s="25"/>
      <x:c r="T2086" s="25" t="str">
        <x:v>Confirm direct principal versus broker, $100K-$500K appetite, and whether capital can fund the operating company without a property mortgage.</x:v>
      </x:c>
      <x:c r="U2086" s="25" t="str">
        <x:v>https://www.hardmoneyhome.com/lenders/view/taylor-derrick-capital
https://www.taylorderrick.com/
https://adviserinfo.sec.gov/firm/summary/158016
https://reports.adviserinfo.sec.gov/reports/CompilationReports/IA_FIRM_SEC_Feed_09_29_2026.xml.gz
http://www.taylorderrick.com
https://reports.adviserinfo.sec.gov/reports/foia/advFilingData/2026/ADV_Filing_Data_20260301_20260331.zip</x:v>
      </x:c>
      <x:c r="V2086" s="26" t="d">
        <x:v>2026-10-02T00:00:00.000Z</x:v>
      </x:c>
      <x:c r="W2086" s="26" t="d">
        <x:v>2026-09-30T00:00:00.000Z</x:v>
      </x:c>
      <x:c r="X2086" s="25" t="str">
        <x:v>Saved public company, industry-directory or regulatory source; source date retained</x:v>
      </x:c>
      <x:c r="Y2086" s="25" t="str">
        <x:v>https://www.taylorderrick.com/</x:v>
      </x:c>
      <x:c r="Z2086" s="25" t="str">
        <x:v>https://www.hardmoneyhome.com/lenders/view/taylor-derrick-capital</x:v>
      </x:c>
      <x:c r="AA2086" s="25" t="str">
        <x:v>[]</x:v>
      </x:c>
      <x:c r="AB2086" s="3" t="str">
        <x:v>Existing CapitalForge research, newly screened for this campaign</x:v>
      </x:c>
      <x:c r="AC2086" s="3" t="str">
        <x:v>unverified</x:v>
      </x:c>
      <x:c r="AD2086" s="3" t="str">
        <x:v>Not contacted / unconfirmed</x:v>
      </x:c>
      <x:c r="AE2086" s="3" t="str">
        <x:v>No</x:v>
      </x:c>
      <x:c r="AF2086" s="3" t="str">
        <x:v>No</x:v>
      </x:c>
      <x:c r="AG2086" s="3"/>
      <x:c r="AH2086" s="3"/>
      <x:c r="AI2086" s="18"/>
      <x:c r="AJ2086" s="3" t="str">
        <x:v>CF2500-983F90A00431</x:v>
      </x:c>
      <x:c r="AK2086" s="3" t="str">
        <x:v>private_real_estate_lender</x:v>
      </x:c>
      <x:c r="AL2086" s="19" t="n">
        <x:v>100000</x:v>
      </x:c>
      <x:c r="AM2086" s="19" t="n">
        <x:v>500000</x:v>
      </x:c>
      <x:c r="AN2086" s="3" t="str">
        <x:v>https://www.hardmoneyhome.com/lenders/view/taylor-derrick-capital</x:v>
      </x:c>
      <x:c r="AO2086" s="3" t="str">
        <x:v>public_directory.jsonl</x:v>
      </x:c>
      <x:c r="AP2086" s="19"/>
    </x:row>
    <x:row r="2087" ht="36" customHeight="1">
      <x:c r="A2087" s="23" t="n">
        <x:v>2086</x:v>
      </x:c>
      <x:c r="B2087" s="15" t="str">
        <x:v>The Bradford Group</x:v>
      </x:c>
      <x:c r="C2087" s="15"/>
      <x:c r="D2087" s="15" t="str">
        <x:v>Property lender or directory member; operating-company capital unconfirmed</x:v>
      </x:c>
      <x:c r="E2087" s="15" t="str">
        <x:v>Property lender / private-money inquiry</x:v>
      </x:c>
      <x:c r="F2087" s="17" t="str">
        <x:v>New</x:v>
      </x:c>
      <x:c r="G2087" s="24" t="str">
        <x:v>info@bradfordgroupmtg.com</x:v>
      </x:c>
      <x:c r="H2087" s="24" t="str">
        <x:v>+14046182824</x:v>
      </x:c>
      <x:c r="I2087" s="24" t="str">
        <x:v>http://www.bradfordgroupmtg.com/</x:v>
      </x:c>
      <x:c r="J2087" s="16" t="str">
        <x:v>GA</x:v>
      </x:c>
      <x:c r="K2087" s="16" t="str">
        <x:v>Atlanta</x:v>
      </x:c>
      <x:c r="L2087" s="16" t="str">
        <x:v>firm_business_routing</x:v>
      </x:c>
      <x:c r="M2087" s="16" t="str">
        <x:v>http://www.bradfordgroupmtg.com/</x:v>
      </x:c>
      <x:c r="N2087" s="16" t="str">
        <x:v>Published source range; proposed allocation and structure require confirmation</x:v>
      </x:c>
      <x:c r="O2087" s="20"/>
      <x:c r="P2087" s="20" t="n">
        <x:v>20000000</x:v>
      </x:c>
      <x:c r="Q2087" s="25" t="str">
        <x:v>Property-loan range, not a corporate-capital commitment</x:v>
      </x:c>
      <x:c r="R2087" s="25" t="str">
        <x:v>Private real-estate finance experience. Corporate working capital, minority equity or profit participation requires a separate agreement from a property loan.</x:v>
      </x:c>
      <x:c r="S2087" s="25"/>
      <x:c r="T2087" s="25" t="str">
        <x:v>Confirm direct principal versus broker, $100K-$500K appetite, and whether capital can fund the operating company without a property mortgage.</x:v>
      </x:c>
      <x:c r="U2087" s="25" t="str">
        <x:v>https://www.hardmoneyhome.com/lenders/view/the-bradford-group
https://www.bradfordgroupmtg.com/</x:v>
      </x:c>
      <x:c r="V2087" s="26" t="d">
        <x:v>2026-10-02T00:00:00.000Z</x:v>
      </x:c>
      <x:c r="W2087" s="26" t="d">
        <x:v>2026-09-30T00:00:00.000Z</x:v>
      </x:c>
      <x:c r="X2087" s="25" t="str">
        <x:v>Saved public company, industry-directory or regulatory source; source date retained</x:v>
      </x:c>
      <x:c r="Y2087" s="25" t="str">
        <x:v>https://www.bradfordgroupmtg.com/</x:v>
      </x:c>
      <x:c r="Z2087" s="25" t="str">
        <x:v>https://www.hardmoneyhome.com/lenders/view/the-bradford-group</x:v>
      </x:c>
      <x:c r="AA2087" s="25" t="str">
        <x:v>[]</x:v>
      </x:c>
      <x:c r="AB2087" s="3" t="str">
        <x:v>Existing CapitalForge research, newly screened for this campaign</x:v>
      </x:c>
      <x:c r="AC2087" s="3" t="str">
        <x:v>unverified</x:v>
      </x:c>
      <x:c r="AD2087" s="3" t="str">
        <x:v>Not contacted / unconfirmed</x:v>
      </x:c>
      <x:c r="AE2087" s="3" t="str">
        <x:v>No</x:v>
      </x:c>
      <x:c r="AF2087" s="3" t="str">
        <x:v>No</x:v>
      </x:c>
      <x:c r="AG2087" s="3"/>
      <x:c r="AH2087" s="3"/>
      <x:c r="AI2087" s="18"/>
      <x:c r="AJ2087" s="3" t="str">
        <x:v>CF2500-162E7F33C7A4</x:v>
      </x:c>
      <x:c r="AK2087" s="3" t="str">
        <x:v>private_real_estate_lender</x:v>
      </x:c>
      <x:c r="AL2087" s="19" t="n">
        <x:v>100000</x:v>
      </x:c>
      <x:c r="AM2087" s="19" t="n">
        <x:v>500000</x:v>
      </x:c>
      <x:c r="AN2087" s="3" t="str">
        <x:v>https://www.hardmoneyhome.com/lenders/view/the-bradford-group</x:v>
      </x:c>
      <x:c r="AO2087" s="3" t="str">
        <x:v>public_directory.jsonl</x:v>
      </x:c>
      <x:c r="AP2087" s="19"/>
    </x:row>
    <x:row r="2088" ht="36" customHeight="1">
      <x:c r="A2088" s="23" t="n">
        <x:v>2087</x:v>
      </x:c>
      <x:c r="B2088" s="15" t="str">
        <x:v>3 ARROWS LENDING</x:v>
      </x:c>
      <x:c r="C2088" s="15"/>
      <x:c r="D2088" s="15" t="str">
        <x:v>Property lender or directory member; operating-company capital unconfirmed</x:v>
      </x:c>
      <x:c r="E2088" s="15" t="str">
        <x:v>Property lender / private-money inquiry</x:v>
      </x:c>
      <x:c r="F2088" s="17" t="str">
        <x:v>New</x:v>
      </x:c>
      <x:c r="G2088" s="24" t="str">
        <x:v>kent@3arrowslending.com</x:v>
      </x:c>
      <x:c r="H2088" s="24" t="str">
        <x:v>+18166073969</x:v>
      </x:c>
      <x:c r="I2088" s="24" t="str">
        <x:v>https://3arrowslending.com/</x:v>
      </x:c>
      <x:c r="J2088" s="16" t="str">
        <x:v>MO</x:v>
      </x:c>
      <x:c r="K2088" s="16" t="str">
        <x:v>Lee's Summit</x:v>
      </x:c>
      <x:c r="L2088" s="16" t="str">
        <x:v>firm_business_routing</x:v>
      </x:c>
      <x:c r="M2088" s="16" t="str">
        <x:v>https://3arrowslending.com/</x:v>
      </x:c>
      <x:c r="N2088" s="16" t="str">
        <x:v>$100K-$500K ticket not published / unconfirmed</x:v>
      </x:c>
      <x:c r="O2088" s="20"/>
      <x:c r="P2088" s="20"/>
      <x:c r="Q2088" s="25" t="str">
        <x:v>Property-loan range, not a corporate-capital commitment</x:v>
      </x:c>
      <x:c r="R2088" s="25" t="str">
        <x:v>Private real-estate finance experience. Corporate working capital, minority equity or profit participation requires a separate agreement from a property loan.</x:v>
      </x:c>
      <x:c r="S2088" s="25"/>
      <x:c r="T2088" s="25" t="str">
        <x:v>Confirm direct principal versus broker, $100K-$500K appetite, and whether capital can fund the operating company without a property mortgage.</x:v>
      </x:c>
      <x:c r="U2088" s="25" t="str">
        <x:v>https://www.privatelendersdirectory.com/united-states/lee-s-summit/top-level-category/3-arrows-lending
https://3arrowslending.com/
https://3arrowslending.com/contact/</x:v>
      </x:c>
      <x:c r="V2088" s="26" t="d">
        <x:v>2026-10-02T00:00:00.000Z</x:v>
      </x:c>
      <x:c r="W2088" s="26" t="d">
        <x:v>2026-09-30T00:00:00.000Z</x:v>
      </x:c>
      <x:c r="X2088" s="25" t="str">
        <x:v>Saved public company, industry-directory or regulatory source; source date retained</x:v>
      </x:c>
      <x:c r="Y2088" s="25" t="str">
        <x:v>https://3arrowslending.com/</x:v>
      </x:c>
      <x:c r="Z2088" s="25" t="str">
        <x:v>https://3arrowslending.com/contact/</x:v>
      </x:c>
      <x:c r="AA2088" s="25" t="str">
        <x:v>[]</x:v>
      </x:c>
      <x:c r="AB2088" s="3" t="str">
        <x:v>Existing CapitalForge research, newly screened for this campaign</x:v>
      </x:c>
      <x:c r="AC2088" s="3" t="str">
        <x:v>unverified</x:v>
      </x:c>
      <x:c r="AD2088" s="3" t="str">
        <x:v>Not contacted / unconfirmed</x:v>
      </x:c>
      <x:c r="AE2088" s="3" t="str">
        <x:v>No</x:v>
      </x:c>
      <x:c r="AF2088" s="3" t="str">
        <x:v>No</x:v>
      </x:c>
      <x:c r="AG2088" s="3"/>
      <x:c r="AH2088" s="3"/>
      <x:c r="AI2088" s="18"/>
      <x:c r="AJ2088" s="3" t="str">
        <x:v>CF2500-24F49C2BF3EB</x:v>
      </x:c>
      <x:c r="AK2088" s="3" t="str">
        <x:v>private_real_estate_lender</x:v>
      </x:c>
      <x:c r="AL2088" s="19" t="n">
        <x:v>100000</x:v>
      </x:c>
      <x:c r="AM2088" s="19" t="n">
        <x:v>500000</x:v>
      </x:c>
      <x:c r="AN2088" s="3" t="str">
        <x:v>https://www.privatelendersdirectory.com/united-states/lee-s-summit/top-level-category/3-arrows-lending</x:v>
      </x:c>
      <x:c r="AO2088" s="3" t="str">
        <x:v>public_directory.jsonl</x:v>
      </x:c>
      <x:c r="AP2088" s="19"/>
    </x:row>
    <x:row r="2089" ht="36" customHeight="1">
      <x:c r="A2089" s="23" t="n">
        <x:v>2088</x:v>
      </x:c>
      <x:c r="B2089" s="15" t="str">
        <x:v>A PRIVATE LENDER</x:v>
      </x:c>
      <x:c r="C2089" s="15"/>
      <x:c r="D2089" s="15" t="str">
        <x:v>Property lender or directory member; operating-company capital unconfirmed</x:v>
      </x:c>
      <x:c r="E2089" s="15" t="str">
        <x:v>Property lender / private-money inquiry</x:v>
      </x:c>
      <x:c r="F2089" s="17" t="str">
        <x:v>New</x:v>
      </x:c>
      <x:c r="G2089" s="24" t="str">
        <x:v>michael@aprivatelender.com</x:v>
      </x:c>
      <x:c r="H2089" s="24" t="str">
        <x:v>+18004407522</x:v>
      </x:c>
      <x:c r="I2089" s="24" t="str">
        <x:v>https://aprivatelender.com/</x:v>
      </x:c>
      <x:c r="J2089" s="16" t="str">
        <x:v>CO</x:v>
      </x:c>
      <x:c r="K2089" s="16" t="str">
        <x:v>Denver</x:v>
      </x:c>
      <x:c r="L2089" s="16" t="str">
        <x:v>firm_business_routing</x:v>
      </x:c>
      <x:c r="M2089" s="16" t="str">
        <x:v>https://aprivatelender.com/</x:v>
      </x:c>
      <x:c r="N2089" s="16" t="str">
        <x:v>$100K-$500K ticket not published / unconfirmed</x:v>
      </x:c>
      <x:c r="O2089" s="20"/>
      <x:c r="P2089" s="20"/>
      <x:c r="Q2089" s="25" t="str">
        <x:v>Property-loan range, not a corporate-capital commitment</x:v>
      </x:c>
      <x:c r="R2089" s="25" t="str">
        <x:v>Private real-estate finance experience. Corporate working capital, minority equity or profit participation requires a separate agreement from a property loan.</x:v>
      </x:c>
      <x:c r="S2089" s="25"/>
      <x:c r="T2089" s="25" t="str">
        <x:v>Confirm direct principal versus broker, $100K-$500K appetite, and whether capital can fund the operating company without a property mortgage.</x:v>
      </x:c>
      <x:c r="U2089" s="25" t="str">
        <x:v>https://www.privatelendersdirectory.com/united-states/denver/top-level-category/a-private-lender
https://aprivatelender.com/</x:v>
      </x:c>
      <x:c r="V2089" s="26" t="d">
        <x:v>2026-10-02T00:00:00.000Z</x:v>
      </x:c>
      <x:c r="W2089" s="26" t="d">
        <x:v>2026-09-30T00:00:00.000Z</x:v>
      </x:c>
      <x:c r="X2089" s="25" t="str">
        <x:v>Saved public company, industry-directory or regulatory source; source date retained</x:v>
      </x:c>
      <x:c r="Y2089" s="25" t="str">
        <x:v>https://aprivatelender.com/</x:v>
      </x:c>
      <x:c r="Z2089" s="25" t="str">
        <x:v>https://aprivatelender.com/</x:v>
      </x:c>
      <x:c r="AA2089" s="25" t="str">
        <x:v>[]</x:v>
      </x:c>
      <x:c r="AB2089" s="3" t="str">
        <x:v>Existing CapitalForge research, newly screened for this campaign</x:v>
      </x:c>
      <x:c r="AC2089" s="3" t="str">
        <x:v>unverified</x:v>
      </x:c>
      <x:c r="AD2089" s="3" t="str">
        <x:v>Not contacted / unconfirmed</x:v>
      </x:c>
      <x:c r="AE2089" s="3" t="str">
        <x:v>No</x:v>
      </x:c>
      <x:c r="AF2089" s="3" t="str">
        <x:v>No</x:v>
      </x:c>
      <x:c r="AG2089" s="3"/>
      <x:c r="AH2089" s="3"/>
      <x:c r="AI2089" s="18"/>
      <x:c r="AJ2089" s="3" t="str">
        <x:v>CF2500-419B64B459A8</x:v>
      </x:c>
      <x:c r="AK2089" s="3" t="str">
        <x:v>private_real_estate_lender</x:v>
      </x:c>
      <x:c r="AL2089" s="19" t="n">
        <x:v>100000</x:v>
      </x:c>
      <x:c r="AM2089" s="19" t="n">
        <x:v>500000</x:v>
      </x:c>
      <x:c r="AN2089" s="3" t="str">
        <x:v>https://www.privatelendersdirectory.com/united-states/denver/top-level-category/a-private-lender</x:v>
      </x:c>
      <x:c r="AO2089" s="3" t="str">
        <x:v>public_directory.jsonl</x:v>
      </x:c>
      <x:c r="AP2089" s="19"/>
    </x:row>
    <x:row r="2090" ht="36" customHeight="1">
      <x:c r="A2090" s="23" t="n">
        <x:v>2089</x:v>
      </x:c>
      <x:c r="B2090" s="15" t="str">
        <x:v>Abbey Mortgage &amp; Investments</x:v>
      </x:c>
      <x:c r="C2090" s="15"/>
      <x:c r="D2090" s="15" t="str">
        <x:v>Property lender or directory member; operating-company capital unconfirmed</x:v>
      </x:c>
      <x:c r="E2090" s="15" t="str">
        <x:v>Property lender / private-money inquiry</x:v>
      </x:c>
      <x:c r="F2090" s="17" t="str">
        <x:v>New</x:v>
      </x:c>
      <x:c r="G2090" s="24" t="str">
        <x:v>info@coloansonline.com</x:v>
      </x:c>
      <x:c r="H2090" s="24" t="str">
        <x:v>+19705411694</x:v>
      </x:c>
      <x:c r="I2090" s="24" t="str">
        <x:v>https://www.coloansonline.com/</x:v>
      </x:c>
      <x:c r="J2090" s="16" t="str">
        <x:v>CO</x:v>
      </x:c>
      <x:c r="K2090" s="16" t="str">
        <x:v>Berthoud</x:v>
      </x:c>
      <x:c r="L2090" s="16" t="str">
        <x:v>firm_business_routing</x:v>
      </x:c>
      <x:c r="M2090" s="16" t="str">
        <x:v>https://www.coloansonline.com/</x:v>
      </x:c>
      <x:c r="N2090" s="16" t="str">
        <x:v>$100K-$500K ticket not published / unconfirmed</x:v>
      </x:c>
      <x:c r="O2090" s="20"/>
      <x:c r="P2090" s="20"/>
      <x:c r="Q2090" s="25" t="str">
        <x:v>Property-loan range, not a corporate-capital commitment</x:v>
      </x:c>
      <x:c r="R2090" s="25" t="str">
        <x:v>Private real-estate finance experience. Corporate working capital, minority equity or profit participation requires a separate agreement from a property loan.</x:v>
      </x:c>
      <x:c r="S2090" s="25"/>
      <x:c r="T2090" s="25" t="str">
        <x:v>Confirm direct principal versus broker, $100K-$500K appetite, and whether capital can fund the operating company without a property mortgage.</x:v>
      </x:c>
      <x:c r="U2090" s="25" t="str">
        <x:v>https://www.hardmoneyhome.com/lenders/view/abbey-mortgage-and-investments
https://www.coloansonline.com/</x:v>
      </x:c>
      <x:c r="V2090" s="26" t="d">
        <x:v>2026-10-02T00:00:00.000Z</x:v>
      </x:c>
      <x:c r="W2090" s="26" t="d">
        <x:v>2026-09-30T00:00:00.000Z</x:v>
      </x:c>
      <x:c r="X2090" s="25" t="str">
        <x:v>Saved public company, industry-directory or regulatory source; source date retained</x:v>
      </x:c>
      <x:c r="Y2090" s="25" t="str">
        <x:v>https://www.coloansonline.com/</x:v>
      </x:c>
      <x:c r="Z2090" s="25" t="str">
        <x:v>https://www.hardmoneyhome.com/lenders/view/abbey-mortgage-and-investments</x:v>
      </x:c>
      <x:c r="AA2090" s="25" t="str">
        <x:v>[]</x:v>
      </x:c>
      <x:c r="AB2090" s="3" t="str">
        <x:v>Existing CapitalForge research, newly screened for this campaign</x:v>
      </x:c>
      <x:c r="AC2090" s="3" t="str">
        <x:v>unverified</x:v>
      </x:c>
      <x:c r="AD2090" s="3" t="str">
        <x:v>Not contacted / unconfirmed</x:v>
      </x:c>
      <x:c r="AE2090" s="3" t="str">
        <x:v>No</x:v>
      </x:c>
      <x:c r="AF2090" s="3" t="str">
        <x:v>No</x:v>
      </x:c>
      <x:c r="AG2090" s="3"/>
      <x:c r="AH2090" s="3"/>
      <x:c r="AI2090" s="18"/>
      <x:c r="AJ2090" s="3" t="str">
        <x:v>CF2500-5487611484A8</x:v>
      </x:c>
      <x:c r="AK2090" s="3" t="str">
        <x:v>private_real_estate_lender</x:v>
      </x:c>
      <x:c r="AL2090" s="19" t="n">
        <x:v>100000</x:v>
      </x:c>
      <x:c r="AM2090" s="19" t="n">
        <x:v>500000</x:v>
      </x:c>
      <x:c r="AN2090" s="3" t="str">
        <x:v>https://www.hardmoneyhome.com/lenders/view/abbey-mortgage-and-investments</x:v>
      </x:c>
      <x:c r="AO2090" s="3" t="str">
        <x:v>public_directory.jsonl</x:v>
      </x:c>
      <x:c r="AP2090" s="19"/>
    </x:row>
    <x:row r="2091" ht="36" customHeight="1">
      <x:c r="A2091" s="23" t="n">
        <x:v>2090</x:v>
      </x:c>
      <x:c r="B2091" s="15" t="str">
        <x:v>ACCESS CAPITAL FUNDING</x:v>
      </x:c>
      <x:c r="C2091" s="15"/>
      <x:c r="D2091" s="15" t="str">
        <x:v>Property lender or directory member; operating-company capital unconfirmed</x:v>
      </x:c>
      <x:c r="E2091" s="15" t="str">
        <x:v>Property lender / private-money inquiry</x:v>
      </x:c>
      <x:c r="F2091" s="17" t="str">
        <x:v>New</x:v>
      </x:c>
      <x:c r="G2091" s="24" t="str">
        <x:v>info@accesscf.com</x:v>
      </x:c>
      <x:c r="H2091" s="24" t="str">
        <x:v>+13147870292</x:v>
      </x:c>
      <x:c r="I2091" s="24" t="str">
        <x:v>https://www.accesscf.com/</x:v>
      </x:c>
      <x:c r="J2091" s="16" t="str">
        <x:v>MO</x:v>
      </x:c>
      <x:c r="K2091" s="16" t="str">
        <x:v>Chesterfield</x:v>
      </x:c>
      <x:c r="L2091" s="16" t="str">
        <x:v>firm_business_routing</x:v>
      </x:c>
      <x:c r="M2091" s="16" t="str">
        <x:v>https://www.accesscf.com/</x:v>
      </x:c>
      <x:c r="N2091" s="16" t="str">
        <x:v>$100K-$500K ticket not published / unconfirmed</x:v>
      </x:c>
      <x:c r="O2091" s="20"/>
      <x:c r="P2091" s="20"/>
      <x:c r="Q2091" s="25" t="str">
        <x:v>Property-loan range, not a corporate-capital commitment</x:v>
      </x:c>
      <x:c r="R2091" s="25" t="str">
        <x:v>Private real-estate finance experience. Corporate working capital, minority equity or profit participation requires a separate agreement from a property loan.</x:v>
      </x:c>
      <x:c r="S2091" s="25"/>
      <x:c r="T2091" s="25" t="str">
        <x:v>Confirm direct principal versus broker, $100K-$500K appetite, and whether capital can fund the operating company without a property mortgage.</x:v>
      </x:c>
      <x:c r="U2091" s="25" t="str">
        <x:v>https://www.privatelendersdirectory.com/united-states/chesterfield/top-level-category/access-capital-funding
https://www.accesscf.com/
https://www.accesscf.com/about/</x:v>
      </x:c>
      <x:c r="V2091" s="26" t="d">
        <x:v>2026-10-02T00:00:00.000Z</x:v>
      </x:c>
      <x:c r="W2091" s="26" t="d">
        <x:v>2026-09-30T00:00:00.000Z</x:v>
      </x:c>
      <x:c r="X2091" s="25" t="str">
        <x:v>Saved public company, industry-directory or regulatory source; source date retained</x:v>
      </x:c>
      <x:c r="Y2091" s="25" t="str">
        <x:v>https://www.accesscf.com/about/</x:v>
      </x:c>
      <x:c r="Z2091" s="25" t="str">
        <x:v>https://www.accesscf.com/</x:v>
      </x:c>
      <x:c r="AA2091" s="25" t="str">
        <x:v>[]</x:v>
      </x:c>
      <x:c r="AB2091" s="3" t="str">
        <x:v>Existing CapitalForge research, newly screened for this campaign</x:v>
      </x:c>
      <x:c r="AC2091" s="3" t="str">
        <x:v>unverified</x:v>
      </x:c>
      <x:c r="AD2091" s="3" t="str">
        <x:v>Not contacted / unconfirmed</x:v>
      </x:c>
      <x:c r="AE2091" s="3" t="str">
        <x:v>No</x:v>
      </x:c>
      <x:c r="AF2091" s="3" t="str">
        <x:v>No</x:v>
      </x:c>
      <x:c r="AG2091" s="3"/>
      <x:c r="AH2091" s="3"/>
      <x:c r="AI2091" s="18"/>
      <x:c r="AJ2091" s="3" t="str">
        <x:v>CF2500-A0EBC69E1929</x:v>
      </x:c>
      <x:c r="AK2091" s="3" t="str">
        <x:v>private_real_estate_lender</x:v>
      </x:c>
      <x:c r="AL2091" s="19" t="n">
        <x:v>100000</x:v>
      </x:c>
      <x:c r="AM2091" s="19" t="n">
        <x:v>500000</x:v>
      </x:c>
      <x:c r="AN2091" s="3" t="str">
        <x:v>https://www.privatelendersdirectory.com/united-states/chesterfield/top-level-category/access-capital-funding</x:v>
      </x:c>
      <x:c r="AO2091" s="3" t="str">
        <x:v>public_directory.jsonl</x:v>
      </x:c>
      <x:c r="AP2091" s="19"/>
    </x:row>
    <x:row r="2092" ht="36" customHeight="1">
      <x:c r="A2092" s="23" t="n">
        <x:v>2091</x:v>
      </x:c>
      <x:c r="B2092" s="15" t="str">
        <x:v>AGYRTIS LENDING</x:v>
      </x:c>
      <x:c r="C2092" s="15"/>
      <x:c r="D2092" s="15" t="str">
        <x:v>Property lender or directory member; operating-company capital unconfirmed</x:v>
      </x:c>
      <x:c r="E2092" s="15" t="str">
        <x:v>Property lender / private-money inquiry</x:v>
      </x:c>
      <x:c r="F2092" s="17" t="str">
        <x:v>New</x:v>
      </x:c>
      <x:c r="G2092" s="24" t="str">
        <x:v>team@agyrtis.com</x:v>
      </x:c>
      <x:c r="H2092" s="24" t="str">
        <x:v>+18167440028</x:v>
      </x:c>
      <x:c r="I2092" s="24" t="str">
        <x:v>https://agyrtis.com/</x:v>
      </x:c>
      <x:c r="J2092" s="16" t="str">
        <x:v>MO</x:v>
      </x:c>
      <x:c r="K2092" s="16" t="str">
        <x:v>Lee's Summit</x:v>
      </x:c>
      <x:c r="L2092" s="16" t="str">
        <x:v>firm_business_routing</x:v>
      </x:c>
      <x:c r="M2092" s="16" t="str">
        <x:v>https://agyrtis.com/</x:v>
      </x:c>
      <x:c r="N2092" s="16" t="str">
        <x:v>$100K-$500K ticket not published / unconfirmed</x:v>
      </x:c>
      <x:c r="O2092" s="20"/>
      <x:c r="P2092" s="20"/>
      <x:c r="Q2092" s="25" t="str">
        <x:v>Property-loan range, not a corporate-capital commitment</x:v>
      </x:c>
      <x:c r="R2092" s="25" t="str">
        <x:v>Private real-estate finance experience. Corporate working capital, minority equity or profit participation requires a separate agreement from a property loan.</x:v>
      </x:c>
      <x:c r="S2092" s="25"/>
      <x:c r="T2092" s="25" t="str">
        <x:v>Confirm direct principal versus broker, $100K-$500K appetite, and whether capital can fund the operating company without a property mortgage.</x:v>
      </x:c>
      <x:c r="U2092" s="25" t="str">
        <x:v>https://www.privatelendersdirectory.com/united-states/lee-s-summit/real-estate-investment-lending/agyrtis-lending
https://agyrtis.com/</x:v>
      </x:c>
      <x:c r="V2092" s="26" t="d">
        <x:v>2026-10-02T00:00:00.000Z</x:v>
      </x:c>
      <x:c r="W2092" s="26" t="d">
        <x:v>2026-09-30T00:00:00.000Z</x:v>
      </x:c>
      <x:c r="X2092" s="25" t="str">
        <x:v>Saved public company, industry-directory or regulatory source; source date retained</x:v>
      </x:c>
      <x:c r="Y2092" s="25" t="str">
        <x:v>https://agyrtis.com/</x:v>
      </x:c>
      <x:c r="Z2092" s="25" t="str">
        <x:v>https://agyrtis.com/</x:v>
      </x:c>
      <x:c r="AA2092" s="25" t="str">
        <x:v>[]</x:v>
      </x:c>
      <x:c r="AB2092" s="3" t="str">
        <x:v>Existing CapitalForge research, newly screened for this campaign</x:v>
      </x:c>
      <x:c r="AC2092" s="3" t="str">
        <x:v>unverified</x:v>
      </x:c>
      <x:c r="AD2092" s="3" t="str">
        <x:v>Not contacted / unconfirmed</x:v>
      </x:c>
      <x:c r="AE2092" s="3" t="str">
        <x:v>No</x:v>
      </x:c>
      <x:c r="AF2092" s="3" t="str">
        <x:v>No</x:v>
      </x:c>
      <x:c r="AG2092" s="3"/>
      <x:c r="AH2092" s="3"/>
      <x:c r="AI2092" s="18"/>
      <x:c r="AJ2092" s="3" t="str">
        <x:v>CF2500-F2132586BC21</x:v>
      </x:c>
      <x:c r="AK2092" s="3" t="str">
        <x:v>private_real_estate_lender</x:v>
      </x:c>
      <x:c r="AL2092" s="19" t="n">
        <x:v>100000</x:v>
      </x:c>
      <x:c r="AM2092" s="19" t="n">
        <x:v>500000</x:v>
      </x:c>
      <x:c r="AN2092" s="3" t="str">
        <x:v>https://www.privatelendersdirectory.com/united-states/lee-s-summit/real-estate-investment-lending/agyrtis-lending</x:v>
      </x:c>
      <x:c r="AO2092" s="3" t="str">
        <x:v>public_directory.jsonl</x:v>
      </x:c>
      <x:c r="AP2092" s="19"/>
    </x:row>
    <x:row r="2093" ht="36" customHeight="1">
      <x:c r="A2093" s="23" t="n">
        <x:v>2092</x:v>
      </x:c>
      <x:c r="B2093" s="15" t="str">
        <x:v>ALL PRO CAPITAL</x:v>
      </x:c>
      <x:c r="C2093" s="15"/>
      <x:c r="D2093" s="15" t="str">
        <x:v>Property lender or directory member; operating-company capital unconfirmed</x:v>
      </x:c>
      <x:c r="E2093" s="15" t="str">
        <x:v>Property lender / private-money inquiry</x:v>
      </x:c>
      <x:c r="F2093" s="17" t="str">
        <x:v>New</x:v>
      </x:c>
      <x:c r="G2093" s="24" t="str">
        <x:v>info@allprocapital.com</x:v>
      </x:c>
      <x:c r="H2093" s="24" t="str">
        <x:v>+17193588580</x:v>
      </x:c>
      <x:c r="I2093" s="24" t="str">
        <x:v>https://allprocapital.com/</x:v>
      </x:c>
      <x:c r="J2093" s="16" t="str">
        <x:v>CO</x:v>
      </x:c>
      <x:c r="K2093" s="16" t="str">
        <x:v>Colorado Springs</x:v>
      </x:c>
      <x:c r="L2093" s="16" t="str">
        <x:v>firm_business_routing</x:v>
      </x:c>
      <x:c r="M2093" s="16" t="str">
        <x:v>https://allprocapital.com/</x:v>
      </x:c>
      <x:c r="N2093" s="16" t="str">
        <x:v>$100K-$500K ticket not published / unconfirmed</x:v>
      </x:c>
      <x:c r="O2093" s="20"/>
      <x:c r="P2093" s="20"/>
      <x:c r="Q2093" s="25" t="str">
        <x:v>Property-loan range, not a corporate-capital commitment</x:v>
      </x:c>
      <x:c r="R2093" s="25" t="str">
        <x:v>Private real-estate finance experience. Corporate working capital, minority equity or profit participation requires a separate agreement from a property loan.</x:v>
      </x:c>
      <x:c r="S2093" s="25"/>
      <x:c r="T2093" s="25" t="str">
        <x:v>Confirm direct principal versus broker, $100K-$500K appetite, and whether capital can fund the operating company without a property mortgage.</x:v>
      </x:c>
      <x:c r="U2093" s="25" t="str">
        <x:v>https://www.privatelendersdirectory.com/united-states/colorado-springs/top-level-category/all-pro-capital
https://www.allprocapital.com/</x:v>
      </x:c>
      <x:c r="V2093" s="26" t="d">
        <x:v>2026-10-02T00:00:00.000Z</x:v>
      </x:c>
      <x:c r="W2093" s="26" t="d">
        <x:v>2026-09-30T00:00:00.000Z</x:v>
      </x:c>
      <x:c r="X2093" s="25" t="str">
        <x:v>Saved public company, industry-directory or regulatory source; source date retained</x:v>
      </x:c>
      <x:c r="Y2093" s="25" t="str">
        <x:v>https://www.allprocapital.com/</x:v>
      </x:c>
      <x:c r="Z2093" s="25" t="str">
        <x:v>https://www.allprocapital.com/</x:v>
      </x:c>
      <x:c r="AA2093" s="25" t="str">
        <x:v>[]</x:v>
      </x:c>
      <x:c r="AB2093" s="3" t="str">
        <x:v>Existing CapitalForge research, newly screened for this campaign</x:v>
      </x:c>
      <x:c r="AC2093" s="3" t="str">
        <x:v>unverified</x:v>
      </x:c>
      <x:c r="AD2093" s="3" t="str">
        <x:v>Not contacted / unconfirmed</x:v>
      </x:c>
      <x:c r="AE2093" s="3" t="str">
        <x:v>No</x:v>
      </x:c>
      <x:c r="AF2093" s="3" t="str">
        <x:v>No</x:v>
      </x:c>
      <x:c r="AG2093" s="3"/>
      <x:c r="AH2093" s="3"/>
      <x:c r="AI2093" s="18"/>
      <x:c r="AJ2093" s="3" t="str">
        <x:v>CF2500-5513B0DAFEE1</x:v>
      </x:c>
      <x:c r="AK2093" s="3" t="str">
        <x:v>private_real_estate_lender</x:v>
      </x:c>
      <x:c r="AL2093" s="19" t="n">
        <x:v>100000</x:v>
      </x:c>
      <x:c r="AM2093" s="19" t="n">
        <x:v>500000</x:v>
      </x:c>
      <x:c r="AN2093" s="3" t="str">
        <x:v>https://www.privatelendersdirectory.com/united-states/colorado-springs/top-level-category/all-pro-capital</x:v>
      </x:c>
      <x:c r="AO2093" s="3" t="str">
        <x:v>public_directory.jsonl</x:v>
      </x:c>
      <x:c r="AP2093" s="19"/>
    </x:row>
    <x:row r="2094" ht="36" customHeight="1">
      <x:c r="A2094" s="23" t="n">
        <x:v>2093</x:v>
      </x:c>
      <x:c r="B2094" s="15" t="str">
        <x:v>Alternative Funding Partners</x:v>
      </x:c>
      <x:c r="C2094" s="15"/>
      <x:c r="D2094" s="15" t="str">
        <x:v>Property lender or directory member; operating-company capital unconfirmed</x:v>
      </x:c>
      <x:c r="E2094" s="15" t="str">
        <x:v>Property lender / private-money inquiry</x:v>
      </x:c>
      <x:c r="F2094" s="17" t="str">
        <x:v>New</x:v>
      </x:c>
      <x:c r="G2094" s="24" t="str">
        <x:v>info@alternativefundingpartners.com</x:v>
      </x:c>
      <x:c r="H2094" s="24" t="str">
        <x:v>+13037181759</x:v>
      </x:c>
      <x:c r="I2094" s="24" t="str">
        <x:v>http://alternativefundingpartners.com</x:v>
      </x:c>
      <x:c r="J2094" s="16" t="str">
        <x:v>CO</x:v>
      </x:c>
      <x:c r="K2094" s="16" t="str">
        <x:v>Denver</x:v>
      </x:c>
      <x:c r="L2094" s="16" t="str">
        <x:v>firm_business_routing</x:v>
      </x:c>
      <x:c r="M2094" s="16" t="str">
        <x:v>http://alternativefundingpartners.com</x:v>
      </x:c>
      <x:c r="N2094" s="16" t="str">
        <x:v>$100K-$500K ticket not published / unconfirmed</x:v>
      </x:c>
      <x:c r="O2094" s="20"/>
      <x:c r="P2094" s="20"/>
      <x:c r="Q2094" s="25" t="str">
        <x:v>Property-loan range, not a corporate-capital commitment</x:v>
      </x:c>
      <x:c r="R2094" s="25" t="str">
        <x:v>Private real-estate finance experience. Corporate working capital, minority equity or profit participation requires a separate agreement from a property loan.</x:v>
      </x:c>
      <x:c r="S2094" s="25"/>
      <x:c r="T2094" s="25" t="str">
        <x:v>Confirm direct principal versus broker, $100K-$500K appetite, and whether capital can fund the operating company without a property mortgage.</x:v>
      </x:c>
      <x:c r="U2094" s="25" t="str">
        <x:v>https://www.hardmoneyhome.com/lenders/view/alternative-funding-partners
https://alternativefundingpartners.com</x:v>
      </x:c>
      <x:c r="V2094" s="26" t="d">
        <x:v>2026-10-02T00:00:00.000Z</x:v>
      </x:c>
      <x:c r="W2094" s="26" t="d">
        <x:v>2026-09-30T00:00:00.000Z</x:v>
      </x:c>
      <x:c r="X2094" s="25" t="str">
        <x:v>Saved public company, industry-directory or regulatory source; source date retained</x:v>
      </x:c>
      <x:c r="Y2094" s="25" t="str">
        <x:v>https://alternativefundingpartners.com</x:v>
      </x:c>
      <x:c r="Z2094" s="25" t="str">
        <x:v>https://www.hardmoneyhome.com/lenders/view/alternative-funding-partners</x:v>
      </x:c>
      <x:c r="AA2094" s="25" t="str">
        <x:v>[]</x:v>
      </x:c>
      <x:c r="AB2094" s="3" t="str">
        <x:v>Existing CapitalForge research, newly screened for this campaign</x:v>
      </x:c>
      <x:c r="AC2094" s="3" t="str">
        <x:v>unverified</x:v>
      </x:c>
      <x:c r="AD2094" s="3" t="str">
        <x:v>Not contacted / unconfirmed</x:v>
      </x:c>
      <x:c r="AE2094" s="3" t="str">
        <x:v>No</x:v>
      </x:c>
      <x:c r="AF2094" s="3" t="str">
        <x:v>No</x:v>
      </x:c>
      <x:c r="AG2094" s="3"/>
      <x:c r="AH2094" s="3"/>
      <x:c r="AI2094" s="18"/>
      <x:c r="AJ2094" s="3" t="str">
        <x:v>CF2500-8F8BAA0C5B91</x:v>
      </x:c>
      <x:c r="AK2094" s="3" t="str">
        <x:v>private_real_estate_lender</x:v>
      </x:c>
      <x:c r="AL2094" s="19" t="n">
        <x:v>100000</x:v>
      </x:c>
      <x:c r="AM2094" s="19" t="n">
        <x:v>500000</x:v>
      </x:c>
      <x:c r="AN2094" s="3" t="str">
        <x:v>https://www.hardmoneyhome.com/lenders/view/alternative-funding-partners</x:v>
      </x:c>
      <x:c r="AO2094" s="3" t="str">
        <x:v>public_directory.jsonl</x:v>
      </x:c>
      <x:c r="AP2094" s="19"/>
    </x:row>
    <x:row r="2095" ht="36" customHeight="1">
      <x:c r="A2095" s="23" t="n">
        <x:v>2094</x:v>
      </x:c>
      <x:c r="B2095" s="15" t="str">
        <x:v>AMPD LENDING</x:v>
      </x:c>
      <x:c r="C2095" s="15"/>
      <x:c r="D2095" s="15" t="str">
        <x:v>Property lender or directory member; operating-company capital unconfirmed</x:v>
      </x:c>
      <x:c r="E2095" s="15" t="str">
        <x:v>Property lender / private-money inquiry</x:v>
      </x:c>
      <x:c r="F2095" s="17" t="str">
        <x:v>New</x:v>
      </x:c>
      <x:c r="G2095" s="24" t="str">
        <x:v>info@ampdlending.com</x:v>
      </x:c>
      <x:c r="H2095" s="24" t="str">
        <x:v>+13178868921</x:v>
      </x:c>
      <x:c r="I2095" s="24" t="str">
        <x:v>https://ampdlending.com/</x:v>
      </x:c>
      <x:c r="J2095" s="16" t="str">
        <x:v>IN</x:v>
      </x:c>
      <x:c r="K2095" s="16" t="str">
        <x:v>Franklin</x:v>
      </x:c>
      <x:c r="L2095" s="16" t="str">
        <x:v>firm_business_routing</x:v>
      </x:c>
      <x:c r="M2095" s="16" t="str">
        <x:v>https://ampdlending.com/</x:v>
      </x:c>
      <x:c r="N2095" s="16" t="str">
        <x:v>$100K-$500K ticket not published / unconfirmed</x:v>
      </x:c>
      <x:c r="O2095" s="20"/>
      <x:c r="P2095" s="20"/>
      <x:c r="Q2095" s="25" t="str">
        <x:v>Property-loan range, not a corporate-capital commitment</x:v>
      </x:c>
      <x:c r="R2095" s="25" t="str">
        <x:v>Private real-estate finance experience. Corporate working capital, minority equity or profit participation requires a separate agreement from a property loan.</x:v>
      </x:c>
      <x:c r="S2095" s="25"/>
      <x:c r="T2095" s="25" t="str">
        <x:v>Confirm direct principal versus broker, $100K-$500K appetite, and whether capital can fund the operating company without a property mortgage.</x:v>
      </x:c>
      <x:c r="U2095" s="25" t="str">
        <x:v>https://www.privatelendersdirectory.com/united-states/franklin/top-level-category/ampd-lending
https://ampdlending.com/</x:v>
      </x:c>
      <x:c r="V2095" s="26" t="d">
        <x:v>2026-10-02T00:00:00.000Z</x:v>
      </x:c>
      <x:c r="W2095" s="26" t="d">
        <x:v>2026-09-30T00:00:00.000Z</x:v>
      </x:c>
      <x:c r="X2095" s="25" t="str">
        <x:v>Saved public company, industry-directory or regulatory source; source date retained</x:v>
      </x:c>
      <x:c r="Y2095" s="25" t="str">
        <x:v>https://ampdlending.com/</x:v>
      </x:c>
      <x:c r="Z2095" s="25" t="str">
        <x:v>https://ampdlending.com/</x:v>
      </x:c>
      <x:c r="AA2095" s="25" t="str">
        <x:v>[]</x:v>
      </x:c>
      <x:c r="AB2095" s="3" t="str">
        <x:v>Existing CapitalForge research, newly screened for this campaign</x:v>
      </x:c>
      <x:c r="AC2095" s="3" t="str">
        <x:v>unverified</x:v>
      </x:c>
      <x:c r="AD2095" s="3" t="str">
        <x:v>Not contacted / unconfirmed</x:v>
      </x:c>
      <x:c r="AE2095" s="3" t="str">
        <x:v>No</x:v>
      </x:c>
      <x:c r="AF2095" s="3" t="str">
        <x:v>No</x:v>
      </x:c>
      <x:c r="AG2095" s="3"/>
      <x:c r="AH2095" s="3"/>
      <x:c r="AI2095" s="18"/>
      <x:c r="AJ2095" s="3" t="str">
        <x:v>CF2500-C04F846CBB9F</x:v>
      </x:c>
      <x:c r="AK2095" s="3" t="str">
        <x:v>private_real_estate_lender</x:v>
      </x:c>
      <x:c r="AL2095" s="19" t="n">
        <x:v>100000</x:v>
      </x:c>
      <x:c r="AM2095" s="19" t="n">
        <x:v>500000</x:v>
      </x:c>
      <x:c r="AN2095" s="3" t="str">
        <x:v>https://www.privatelendersdirectory.com/united-states/franklin/top-level-category/ampd-lending</x:v>
      </x:c>
      <x:c r="AO2095" s="3" t="str">
        <x:v>public_directory.jsonl</x:v>
      </x:c>
      <x:c r="AP2095" s="19"/>
    </x:row>
    <x:row r="2096" ht="36" customHeight="1">
      <x:c r="A2096" s="23" t="n">
        <x:v>2095</x:v>
      </x:c>
      <x:c r="B2096" s="15" t="str">
        <x:v>ANDERSON COMMERCIAL CAPITAL</x:v>
      </x:c>
      <x:c r="C2096" s="15"/>
      <x:c r="D2096" s="15" t="str">
        <x:v>Property lender or directory member; operating-company capital unconfirmed</x:v>
      </x:c>
      <x:c r="E2096" s="15" t="str">
        <x:v>Property lender / private-money inquiry</x:v>
      </x:c>
      <x:c r="F2096" s="17" t="str">
        <x:v>New</x:v>
      </x:c>
      <x:c r="G2096" s="24" t="str">
        <x:v>info@andersoncommercialcapital.com</x:v>
      </x:c>
      <x:c r="H2096" s="24" t="str">
        <x:v>+14702897155</x:v>
      </x:c>
      <x:c r="I2096" s="24" t="str">
        <x:v>https://andersoncommercialcapital.com/</x:v>
      </x:c>
      <x:c r="J2096" s="16" t="str">
        <x:v>GA</x:v>
      </x:c>
      <x:c r="K2096" s="16" t="str">
        <x:v>Canton</x:v>
      </x:c>
      <x:c r="L2096" s="16" t="str">
        <x:v>firm_business_routing</x:v>
      </x:c>
      <x:c r="M2096" s="16" t="str">
        <x:v>https://andersoncommercialcapital.com/</x:v>
      </x:c>
      <x:c r="N2096" s="16" t="str">
        <x:v>$100K-$500K ticket not published / unconfirmed</x:v>
      </x:c>
      <x:c r="O2096" s="20"/>
      <x:c r="P2096" s="20"/>
      <x:c r="Q2096" s="25" t="str">
        <x:v>Property-loan range, not a corporate-capital commitment</x:v>
      </x:c>
      <x:c r="R2096" s="25" t="str">
        <x:v>Private real-estate finance experience. Corporate working capital, minority equity or profit participation requires a separate agreement from a property loan.</x:v>
      </x:c>
      <x:c r="S2096" s="25"/>
      <x:c r="T2096" s="25" t="str">
        <x:v>Confirm direct principal versus broker, $100K-$500K appetite, and whether capital can fund the operating company without a property mortgage.</x:v>
      </x:c>
      <x:c r="U2096" s="25" t="str">
        <x:v>https://www.privatelendersdirectory.com/united-states/canton/top-level-category/anderson-commercial-capital
https://andersoncommercialcapital.com/</x:v>
      </x:c>
      <x:c r="V2096" s="26" t="d">
        <x:v>2026-10-02T00:00:00.000Z</x:v>
      </x:c>
      <x:c r="W2096" s="26" t="d">
        <x:v>2026-09-30T00:00:00.000Z</x:v>
      </x:c>
      <x:c r="X2096" s="25" t="str">
        <x:v>Saved public company, industry-directory or regulatory source; source date retained</x:v>
      </x:c>
      <x:c r="Y2096" s="25" t="str">
        <x:v>https://andersoncommercialcapital.com/</x:v>
      </x:c>
      <x:c r="Z2096" s="25" t="str">
        <x:v>https://andersoncommercialcapital.com/</x:v>
      </x:c>
      <x:c r="AA2096" s="25" t="str">
        <x:v>[]</x:v>
      </x:c>
      <x:c r="AB2096" s="3" t="str">
        <x:v>Existing CapitalForge research, newly screened for this campaign</x:v>
      </x:c>
      <x:c r="AC2096" s="3" t="str">
        <x:v>unverified</x:v>
      </x:c>
      <x:c r="AD2096" s="3" t="str">
        <x:v>Not contacted / unconfirmed</x:v>
      </x:c>
      <x:c r="AE2096" s="3" t="str">
        <x:v>No</x:v>
      </x:c>
      <x:c r="AF2096" s="3" t="str">
        <x:v>No</x:v>
      </x:c>
      <x:c r="AG2096" s="3"/>
      <x:c r="AH2096" s="3"/>
      <x:c r="AI2096" s="18"/>
      <x:c r="AJ2096" s="3" t="str">
        <x:v>CF2500-AA1753499089</x:v>
      </x:c>
      <x:c r="AK2096" s="3" t="str">
        <x:v>private_real_estate_lender</x:v>
      </x:c>
      <x:c r="AL2096" s="19" t="n">
        <x:v>100000</x:v>
      </x:c>
      <x:c r="AM2096" s="19" t="n">
        <x:v>500000</x:v>
      </x:c>
      <x:c r="AN2096" s="3" t="str">
        <x:v>https://www.privatelendersdirectory.com/united-states/canton/top-level-category/anderson-commercial-capital</x:v>
      </x:c>
      <x:c r="AO2096" s="3" t="str">
        <x:v>public_directory.jsonl</x:v>
      </x:c>
      <x:c r="AP2096" s="19"/>
    </x:row>
    <x:row r="2097" ht="36" customHeight="1">
      <x:c r="A2097" s="23" t="n">
        <x:v>2096</x:v>
      </x:c>
      <x:c r="B2097" s="15" t="str">
        <x:v>ARRIVE HOME</x:v>
      </x:c>
      <x:c r="C2097" s="15"/>
      <x:c r="D2097" s="15" t="str">
        <x:v>Property lender or directory member; operating-company capital unconfirmed</x:v>
      </x:c>
      <x:c r="E2097" s="15" t="str">
        <x:v>Property lender / private-money inquiry</x:v>
      </x:c>
      <x:c r="F2097" s="17" t="str">
        <x:v>New</x:v>
      </x:c>
      <x:c r="G2097" s="24" t="str">
        <x:v>info@arrivehome.org</x:v>
      </x:c>
      <x:c r="H2097" s="24" t="str">
        <x:v>+18002707396</x:v>
      </x:c>
      <x:c r="I2097" s="24" t="str">
        <x:v>https://arrivehome.org/</x:v>
      </x:c>
      <x:c r="J2097" s="16" t="str">
        <x:v>UT</x:v>
      </x:c>
      <x:c r="K2097" s="16" t="str">
        <x:v>Salt Lake City</x:v>
      </x:c>
      <x:c r="L2097" s="16" t="str">
        <x:v>firm_business_routing</x:v>
      </x:c>
      <x:c r="M2097" s="16" t="str">
        <x:v>https://arrivehome.org/</x:v>
      </x:c>
      <x:c r="N2097" s="16" t="str">
        <x:v>$100K-$500K ticket not published / unconfirmed</x:v>
      </x:c>
      <x:c r="O2097" s="20"/>
      <x:c r="P2097" s="20"/>
      <x:c r="Q2097" s="25" t="str">
        <x:v>Property-loan range, not a corporate-capital commitment</x:v>
      </x:c>
      <x:c r="R2097" s="25" t="str">
        <x:v>Private real-estate finance experience. Corporate working capital, minority equity or profit participation requires a separate agreement from a property loan.</x:v>
      </x:c>
      <x:c r="S2097" s="25"/>
      <x:c r="T2097" s="25" t="str">
        <x:v>Confirm direct principal versus broker, $100K-$500K appetite, and whether capital can fund the operating company without a property mortgage.</x:v>
      </x:c>
      <x:c r="U2097" s="25" t="str">
        <x:v>https://www.privatelendersdirectory.com/united-states/salt-lake-city/top-level-category/arrive-home
https://arrivehome.org/
https://arrivehome.org/contact/</x:v>
      </x:c>
      <x:c r="V2097" s="26" t="d">
        <x:v>2026-10-02T00:00:00.000Z</x:v>
      </x:c>
      <x:c r="W2097" s="26" t="d">
        <x:v>2026-09-30T00:00:00.000Z</x:v>
      </x:c>
      <x:c r="X2097" s="25" t="str">
        <x:v>Saved public company, industry-directory or regulatory source; source date retained</x:v>
      </x:c>
      <x:c r="Y2097" s="25" t="str">
        <x:v>https://arrivehome.org/contact/</x:v>
      </x:c>
      <x:c r="Z2097" s="25" t="str">
        <x:v>https://arrivehome.org/</x:v>
      </x:c>
      <x:c r="AA2097" s="25" t="str">
        <x:v>[]</x:v>
      </x:c>
      <x:c r="AB2097" s="3" t="str">
        <x:v>Existing CapitalForge research, newly screened for this campaign</x:v>
      </x:c>
      <x:c r="AC2097" s="3" t="str">
        <x:v>unverified</x:v>
      </x:c>
      <x:c r="AD2097" s="3" t="str">
        <x:v>Not contacted / unconfirmed</x:v>
      </x:c>
      <x:c r="AE2097" s="3" t="str">
        <x:v>No</x:v>
      </x:c>
      <x:c r="AF2097" s="3" t="str">
        <x:v>No</x:v>
      </x:c>
      <x:c r="AG2097" s="3"/>
      <x:c r="AH2097" s="3"/>
      <x:c r="AI2097" s="18"/>
      <x:c r="AJ2097" s="3" t="str">
        <x:v>CF2500-6DA5CA8C20C8</x:v>
      </x:c>
      <x:c r="AK2097" s="3" t="str">
        <x:v>private_real_estate_lender</x:v>
      </x:c>
      <x:c r="AL2097" s="19" t="n">
        <x:v>100000</x:v>
      </x:c>
      <x:c r="AM2097" s="19" t="n">
        <x:v>500000</x:v>
      </x:c>
      <x:c r="AN2097" s="3" t="str">
        <x:v>https://www.privatelendersdirectory.com/united-states/salt-lake-city/top-level-category/arrive-home</x:v>
      </x:c>
      <x:c r="AO2097" s="3" t="str">
        <x:v>public_directory.jsonl</x:v>
      </x:c>
      <x:c r="AP2097" s="19"/>
    </x:row>
    <x:row r="2098" ht="36" customHeight="1">
      <x:c r="A2098" s="23" t="n">
        <x:v>2097</x:v>
      </x:c>
      <x:c r="B2098" s="15" t="str">
        <x:v>Atlanta Capital Lending</x:v>
      </x:c>
      <x:c r="C2098" s="15"/>
      <x:c r="D2098" s="15" t="str">
        <x:v>Property lender or directory member; operating-company capital unconfirmed</x:v>
      </x:c>
      <x:c r="E2098" s="15" t="str">
        <x:v>Property lender / private-money inquiry</x:v>
      </x:c>
      <x:c r="F2098" s="17" t="str">
        <x:v>New</x:v>
      </x:c>
      <x:c r="G2098" s="24" t="str">
        <x:v>tom@atlantacapitallending.com</x:v>
      </x:c>
      <x:c r="H2098" s="24" t="str">
        <x:v>+14702235363</x:v>
      </x:c>
      <x:c r="I2098" s="24" t="str">
        <x:v>http://www.atlantacapitallending.com</x:v>
      </x:c>
      <x:c r="J2098" s="16" t="str">
        <x:v>GA</x:v>
      </x:c>
      <x:c r="K2098" s="16" t="str">
        <x:v>Cumming</x:v>
      </x:c>
      <x:c r="L2098" s="16" t="str">
        <x:v>firm_business_routing</x:v>
      </x:c>
      <x:c r="M2098" s="16" t="str">
        <x:v>http://www.atlantacapitallending.com</x:v>
      </x:c>
      <x:c r="N2098" s="16" t="str">
        <x:v>$100K-$500K ticket not published / unconfirmed</x:v>
      </x:c>
      <x:c r="O2098" s="20"/>
      <x:c r="P2098" s="20"/>
      <x:c r="Q2098" s="25" t="str">
        <x:v>Property-loan range, not a corporate-capital commitment</x:v>
      </x:c>
      <x:c r="R2098" s="25" t="str">
        <x:v>Private real-estate finance experience. Corporate working capital, minority equity or profit participation requires a separate agreement from a property loan.</x:v>
      </x:c>
      <x:c r="S2098" s="25"/>
      <x:c r="T2098" s="25" t="str">
        <x:v>Confirm direct principal versus broker, $100K-$500K appetite, and whether capital can fund the operating company without a property mortgage.</x:v>
      </x:c>
      <x:c r="U2098" s="25" t="str">
        <x:v>https://www.hardmoneyhome.com/lenders/view/atlanta-capital-lending
https://privatelenderlink.com/profile/atlanta-capital-lending-llc/
https://www.privatelendersdirectory.com/united-states/cumming/top-level-category/atlanta-capital-lending
https://www.atlantacapitallending.com/</x:v>
      </x:c>
      <x:c r="V2098" s="26" t="d">
        <x:v>2026-10-02T00:00:00.000Z</x:v>
      </x:c>
      <x:c r="W2098" s="26" t="d">
        <x:v>2026-09-30T00:00:00.000Z</x:v>
      </x:c>
      <x:c r="X2098" s="25" t="str">
        <x:v>Saved public company, industry-directory or regulatory source; source date retained</x:v>
      </x:c>
      <x:c r="Y2098" s="25" t="str">
        <x:v>https://privatelenderlink.com/profile/atlanta-capital-lending-llc/</x:v>
      </x:c>
      <x:c r="Z2098" s="25" t="str">
        <x:v>https://www.hardmoneyhome.com/lenders/view/atlanta-capital-lending</x:v>
      </x:c>
      <x:c r="AA2098" s="25" t="str">
        <x:v>[]</x:v>
      </x:c>
      <x:c r="AB2098" s="3" t="str">
        <x:v>Existing CapitalForge research, newly screened for this campaign</x:v>
      </x:c>
      <x:c r="AC2098" s="3" t="str">
        <x:v>unverified</x:v>
      </x:c>
      <x:c r="AD2098" s="3" t="str">
        <x:v>Not contacted / unconfirmed</x:v>
      </x:c>
      <x:c r="AE2098" s="3" t="str">
        <x:v>No</x:v>
      </x:c>
      <x:c r="AF2098" s="3" t="str">
        <x:v>No</x:v>
      </x:c>
      <x:c r="AG2098" s="3"/>
      <x:c r="AH2098" s="3"/>
      <x:c r="AI2098" s="18"/>
      <x:c r="AJ2098" s="3" t="str">
        <x:v>CF2500-5DB6CCD954AF</x:v>
      </x:c>
      <x:c r="AK2098" s="3" t="str">
        <x:v>private_real_estate_lender</x:v>
      </x:c>
      <x:c r="AL2098" s="19" t="n">
        <x:v>100000</x:v>
      </x:c>
      <x:c r="AM2098" s="19" t="n">
        <x:v>500000</x:v>
      </x:c>
      <x:c r="AN2098" s="3" t="str">
        <x:v>https://www.hardmoneyhome.com/lenders/view/atlanta-capital-lending</x:v>
      </x:c>
      <x:c r="AO2098" s="3" t="str">
        <x:v>public_directory.jsonl</x:v>
      </x:c>
      <x:c r="AP2098" s="19"/>
    </x:row>
    <x:row r="2099" ht="36" customHeight="1">
      <x:c r="A2099" s="23" t="n">
        <x:v>2098</x:v>
      </x:c>
      <x:c r="B2099" s="15" t="str">
        <x:v>Avalon Capital</x:v>
      </x:c>
      <x:c r="C2099" s="15"/>
      <x:c r="D2099" s="15" t="str">
        <x:v>Property lender or directory member; operating-company capital unconfirmed</x:v>
      </x:c>
      <x:c r="E2099" s="15" t="str">
        <x:v>Property lender / private-money inquiry</x:v>
      </x:c>
      <x:c r="F2099" s="17" t="str">
        <x:v>New</x:v>
      </x:c>
      <x:c r="G2099" s="24" t="str">
        <x:v>admin@avaloncapitalmemphis.com</x:v>
      </x:c>
      <x:c r="H2099" s="24" t="str">
        <x:v>+19014178427</x:v>
      </x:c>
      <x:c r="I2099" s="24" t="str">
        <x:v>https://avaloncapitalmemphis.com/</x:v>
      </x:c>
      <x:c r="J2099" s="16" t="str">
        <x:v>TN</x:v>
      </x:c>
      <x:c r="K2099" s="16" t="str">
        <x:v>Memphis</x:v>
      </x:c>
      <x:c r="L2099" s="16" t="str">
        <x:v>firm_business_routing</x:v>
      </x:c>
      <x:c r="M2099" s="16" t="str">
        <x:v>https://avaloncapitalmemphis.com/</x:v>
      </x:c>
      <x:c r="N2099" s="16" t="str">
        <x:v>$100K-$500K ticket not published / unconfirmed</x:v>
      </x:c>
      <x:c r="O2099" s="20"/>
      <x:c r="P2099" s="20"/>
      <x:c r="Q2099" s="25" t="str">
        <x:v>Property-loan range, not a corporate-capital commitment</x:v>
      </x:c>
      <x:c r="R2099" s="25" t="str">
        <x:v>Private real-estate finance experience. Corporate working capital, minority equity or profit participation requires a separate agreement from a property loan.</x:v>
      </x:c>
      <x:c r="S2099" s="25"/>
      <x:c r="T2099" s="25" t="str">
        <x:v>Confirm direct principal versus broker, $100K-$500K appetite, and whether capital can fund the operating company without a property mortgage.</x:v>
      </x:c>
      <x:c r="U2099" s="25" t="str">
        <x:v>https://privatelenderlink.com/profile/avalon-capital/
https://avaloncapitalmemphis.com/
https://www.privatelendersdirectory.com/united-states/memphis/real-estate-investment-lending/avalon-capital-thrift-loan</x:v>
      </x:c>
      <x:c r="V2099" s="26" t="d">
        <x:v>2026-10-02T00:00:00.000Z</x:v>
      </x:c>
      <x:c r="W2099" s="26" t="d">
        <x:v>2026-09-30T00:00:00.000Z</x:v>
      </x:c>
      <x:c r="X2099" s="25" t="str">
        <x:v>Saved public company, industry-directory or regulatory source; source date retained</x:v>
      </x:c>
      <x:c r="Y2099" s="25" t="str">
        <x:v>https://privatelenderlink.com/profile/avalon-capital/</x:v>
      </x:c>
      <x:c r="Z2099" s="25" t="str">
        <x:v>https://avaloncapitalmemphis.com/</x:v>
      </x:c>
      <x:c r="AA2099" s="25" t="str">
        <x:v>[]</x:v>
      </x:c>
      <x:c r="AB2099" s="3" t="str">
        <x:v>Existing CapitalForge research, newly screened for this campaign</x:v>
      </x:c>
      <x:c r="AC2099" s="3" t="str">
        <x:v>unverified</x:v>
      </x:c>
      <x:c r="AD2099" s="3" t="str">
        <x:v>Not contacted / unconfirmed</x:v>
      </x:c>
      <x:c r="AE2099" s="3" t="str">
        <x:v>No</x:v>
      </x:c>
      <x:c r="AF2099" s="3" t="str">
        <x:v>No</x:v>
      </x:c>
      <x:c r="AG2099" s="3"/>
      <x:c r="AH2099" s="3"/>
      <x:c r="AI2099" s="18"/>
      <x:c r="AJ2099" s="3" t="str">
        <x:v>CF2500-F73CD95DF6FD</x:v>
      </x:c>
      <x:c r="AK2099" s="3" t="str">
        <x:v>private_real_estate_lender</x:v>
      </x:c>
      <x:c r="AL2099" s="19" t="n">
        <x:v>100000</x:v>
      </x:c>
      <x:c r="AM2099" s="19" t="n">
        <x:v>500000</x:v>
      </x:c>
      <x:c r="AN2099" s="3" t="str">
        <x:v>https://privatelenderlink.com/profile/avalon-capital/</x:v>
      </x:c>
      <x:c r="AO2099" s="3" t="str">
        <x:v>public_directory.jsonl</x:v>
      </x:c>
      <x:c r="AP2099" s="19"/>
    </x:row>
    <x:row r="2100" ht="36" customHeight="1">
      <x:c r="A2100" s="23" t="n">
        <x:v>2099</x:v>
      </x:c>
      <x:c r="B2100" s="15" t="str">
        <x:v>AWESOMELY</x:v>
      </x:c>
      <x:c r="C2100" s="15"/>
      <x:c r="D2100" s="15" t="str">
        <x:v>Property lender or directory member; operating-company capital unconfirmed</x:v>
      </x:c>
      <x:c r="E2100" s="15" t="str">
        <x:v>Property lender / private-money inquiry</x:v>
      </x:c>
      <x:c r="F2100" s="17" t="str">
        <x:v>New</x:v>
      </x:c>
      <x:c r="G2100" s="24" t="str">
        <x:v>support@awesomely.com</x:v>
      </x:c>
      <x:c r="H2100" s="24" t="str">
        <x:v>+18772240445</x:v>
      </x:c>
      <x:c r="I2100" s="24" t="str">
        <x:v>https://awesomely.com/</x:v>
      </x:c>
      <x:c r="J2100" s="16" t="str">
        <x:v>SC</x:v>
      </x:c>
      <x:c r="K2100" s="16" t="str">
        <x:v>Mount Pleasant</x:v>
      </x:c>
      <x:c r="L2100" s="16" t="str">
        <x:v>firm_business_routing</x:v>
      </x:c>
      <x:c r="M2100" s="16" t="str">
        <x:v>https://awesomely.com/</x:v>
      </x:c>
      <x:c r="N2100" s="16" t="str">
        <x:v>$100K-$500K ticket not published / unconfirmed</x:v>
      </x:c>
      <x:c r="O2100" s="20"/>
      <x:c r="P2100" s="20"/>
      <x:c r="Q2100" s="25" t="str">
        <x:v>Property-loan range, not a corporate-capital commitment</x:v>
      </x:c>
      <x:c r="R2100" s="25" t="str">
        <x:v>Private real-estate finance experience. Corporate working capital, minority equity or profit participation requires a separate agreement from a property loan.</x:v>
      </x:c>
      <x:c r="S2100" s="25"/>
      <x:c r="T2100" s="25" t="str">
        <x:v>Confirm direct principal versus broker, $100K-$500K appetite, and whether capital can fund the operating company without a property mortgage.</x:v>
      </x:c>
      <x:c r="U2100" s="25" t="str">
        <x:v>https://www.privatelendersdirectory.com/united-states/mount-pleasant/top-level-category/awesomely
https://awesomely.com/</x:v>
      </x:c>
      <x:c r="V2100" s="26" t="d">
        <x:v>2026-10-02T00:00:00.000Z</x:v>
      </x:c>
      <x:c r="W2100" s="26" t="d">
        <x:v>2026-09-30T00:00:00.000Z</x:v>
      </x:c>
      <x:c r="X2100" s="25" t="str">
        <x:v>Saved public company, industry-directory or regulatory source; source date retained</x:v>
      </x:c>
      <x:c r="Y2100" s="25" t="str">
        <x:v>https://awesomely.com/</x:v>
      </x:c>
      <x:c r="Z2100" s="25" t="str">
        <x:v>https://awesomely.com/</x:v>
      </x:c>
      <x:c r="AA2100" s="25" t="str">
        <x:v>[]</x:v>
      </x:c>
      <x:c r="AB2100" s="3" t="str">
        <x:v>Existing CapitalForge research, newly screened for this campaign</x:v>
      </x:c>
      <x:c r="AC2100" s="3" t="str">
        <x:v>unverified</x:v>
      </x:c>
      <x:c r="AD2100" s="3" t="str">
        <x:v>Not contacted / unconfirmed</x:v>
      </x:c>
      <x:c r="AE2100" s="3" t="str">
        <x:v>No</x:v>
      </x:c>
      <x:c r="AF2100" s="3" t="str">
        <x:v>No</x:v>
      </x:c>
      <x:c r="AG2100" s="3"/>
      <x:c r="AH2100" s="3"/>
      <x:c r="AI2100" s="18"/>
      <x:c r="AJ2100" s="3" t="str">
        <x:v>CF2500-E18286F35CC3</x:v>
      </x:c>
      <x:c r="AK2100" s="3" t="str">
        <x:v>private_real_estate_lender</x:v>
      </x:c>
      <x:c r="AL2100" s="19" t="n">
        <x:v>100000</x:v>
      </x:c>
      <x:c r="AM2100" s="19" t="n">
        <x:v>500000</x:v>
      </x:c>
      <x:c r="AN2100" s="3" t="str">
        <x:v>https://www.privatelendersdirectory.com/united-states/mount-pleasant/top-level-category/awesomely</x:v>
      </x:c>
      <x:c r="AO2100" s="3" t="str">
        <x:v>public_directory.jsonl</x:v>
      </x:c>
      <x:c r="AP2100" s="19"/>
    </x:row>
    <x:row r="2101" ht="36" customHeight="1">
      <x:c r="A2101" s="23" t="n">
        <x:v>2100</x:v>
      </x:c>
      <x:c r="B2101" s="15" t="str">
        <x:v>BENJAMIN INVESTMENT GROUP</x:v>
      </x:c>
      <x:c r="C2101" s="15"/>
      <x:c r="D2101" s="15" t="str">
        <x:v>Property lender or directory member; operating-company capital unconfirmed</x:v>
      </x:c>
      <x:c r="E2101" s="15" t="str">
        <x:v>Property lender / private-money inquiry</x:v>
      </x:c>
      <x:c r="F2101" s="17" t="str">
        <x:v>New</x:v>
      </x:c>
      <x:c r="G2101" s="24" t="str">
        <x:v>luis@beninvest.net</x:v>
      </x:c>
      <x:c r="H2101" s="24" t="str">
        <x:v>+13038341056</x:v>
      </x:c>
      <x:c r="I2101" s="24" t="str">
        <x:v>https://www.beninvest.net/</x:v>
      </x:c>
      <x:c r="J2101" s="16" t="str">
        <x:v>CO</x:v>
      </x:c>
      <x:c r="K2101" s="16" t="str">
        <x:v>Aurora</x:v>
      </x:c>
      <x:c r="L2101" s="16" t="str">
        <x:v>firm_business_routing</x:v>
      </x:c>
      <x:c r="M2101" s="16" t="str">
        <x:v>https://www.beninvest.net/</x:v>
      </x:c>
      <x:c r="N2101" s="16" t="str">
        <x:v>$100K-$500K ticket not published / unconfirmed</x:v>
      </x:c>
      <x:c r="O2101" s="20"/>
      <x:c r="P2101" s="20"/>
      <x:c r="Q2101" s="25" t="str">
        <x:v>Property-loan range, not a corporate-capital commitment</x:v>
      </x:c>
      <x:c r="R2101" s="25" t="str">
        <x:v>Private real-estate finance experience. Corporate working capital, minority equity or profit participation requires a separate agreement from a property loan.</x:v>
      </x:c>
      <x:c r="S2101" s="25"/>
      <x:c r="T2101" s="25" t="str">
        <x:v>Confirm direct principal versus broker, $100K-$500K appetite, and whether capital can fund the operating company without a property mortgage.</x:v>
      </x:c>
      <x:c r="U2101" s="25" t="str">
        <x:v>https://www.privatelendersdirectory.com/united-states/aurora/real-estate-investment-lending/benjamin-investment-group
https://www.beninvest.net/</x:v>
      </x:c>
      <x:c r="V2101" s="26" t="d">
        <x:v>2026-10-02T00:00:00.000Z</x:v>
      </x:c>
      <x:c r="W2101" s="26" t="d">
        <x:v>2026-09-30T00:00:00.000Z</x:v>
      </x:c>
      <x:c r="X2101" s="25" t="str">
        <x:v>Saved public company, industry-directory or regulatory source; source date retained</x:v>
      </x:c>
      <x:c r="Y2101" s="25" t="str">
        <x:v>https://www.beninvest.net/</x:v>
      </x:c>
      <x:c r="Z2101" s="25" t="str">
        <x:v>https://www.beninvest.net/</x:v>
      </x:c>
      <x:c r="AA2101" s="25" t="str">
        <x:v>[]</x:v>
      </x:c>
      <x:c r="AB2101" s="3" t="str">
        <x:v>Existing CapitalForge research, newly screened for this campaign</x:v>
      </x:c>
      <x:c r="AC2101" s="3" t="str">
        <x:v>unverified</x:v>
      </x:c>
      <x:c r="AD2101" s="3" t="str">
        <x:v>Not contacted / unconfirmed</x:v>
      </x:c>
      <x:c r="AE2101" s="3" t="str">
        <x:v>No</x:v>
      </x:c>
      <x:c r="AF2101" s="3" t="str">
        <x:v>No</x:v>
      </x:c>
      <x:c r="AG2101" s="3"/>
      <x:c r="AH2101" s="3"/>
      <x:c r="AI2101" s="18"/>
      <x:c r="AJ2101" s="3" t="str">
        <x:v>CF2500-E1B1670CDE9D</x:v>
      </x:c>
      <x:c r="AK2101" s="3" t="str">
        <x:v>private_real_estate_lender</x:v>
      </x:c>
      <x:c r="AL2101" s="19" t="n">
        <x:v>100000</x:v>
      </x:c>
      <x:c r="AM2101" s="19" t="n">
        <x:v>500000</x:v>
      </x:c>
      <x:c r="AN2101" s="3" t="str">
        <x:v>https://www.privatelendersdirectory.com/united-states/aurora/real-estate-investment-lending/benjamin-investment-group</x:v>
      </x:c>
      <x:c r="AO2101" s="3" t="str">
        <x:v>public_directory.jsonl</x:v>
      </x:c>
      <x:c r="AP2101" s="19"/>
    </x:row>
    <x:row r="2102" ht="36" customHeight="1">
      <x:c r="A2102" s="23" t="n">
        <x:v>2101</x:v>
      </x:c>
      <x:c r="B2102" s="15" t="str">
        <x:v>BILT CAPITAL</x:v>
      </x:c>
      <x:c r="C2102" s="15"/>
      <x:c r="D2102" s="15" t="str">
        <x:v>Property lender or directory member; operating-company capital unconfirmed</x:v>
      </x:c>
      <x:c r="E2102" s="15" t="str">
        <x:v>Property lender / private-money inquiry</x:v>
      </x:c>
      <x:c r="F2102" s="17" t="str">
        <x:v>New</x:v>
      </x:c>
      <x:c r="G2102" s="24" t="str">
        <x:v>chris@biltcapital.com</x:v>
      </x:c>
      <x:c r="H2102" s="24" t="str">
        <x:v>+14357600651</x:v>
      </x:c>
      <x:c r="I2102" s="24" t="str">
        <x:v>https://biltcapital.com/</x:v>
      </x:c>
      <x:c r="J2102" s="16" t="str">
        <x:v>UT</x:v>
      </x:c>
      <x:c r="K2102" s="16" t="str">
        <x:v>St. George</x:v>
      </x:c>
      <x:c r="L2102" s="16" t="str">
        <x:v>firm_business_routing</x:v>
      </x:c>
      <x:c r="M2102" s="16" t="str">
        <x:v>https://biltcapital.com/</x:v>
      </x:c>
      <x:c r="N2102" s="16" t="str">
        <x:v>$100K-$500K ticket not published / unconfirmed</x:v>
      </x:c>
      <x:c r="O2102" s="20"/>
      <x:c r="P2102" s="20"/>
      <x:c r="Q2102" s="25" t="str">
        <x:v>Property-loan range, not a corporate-capital commitment</x:v>
      </x:c>
      <x:c r="R2102" s="25" t="str">
        <x:v>Private real-estate finance experience. Corporate working capital, minority equity or profit participation requires a separate agreement from a property loan.</x:v>
      </x:c>
      <x:c r="S2102" s="25"/>
      <x:c r="T2102" s="25" t="str">
        <x:v>Confirm direct principal versus broker, $100K-$500K appetite, and whether capital can fund the operating company without a property mortgage.</x:v>
      </x:c>
      <x:c r="U2102" s="25" t="str">
        <x:v>https://www.privatelendersdirectory.com/united-states/st-george/real-estate-investment-lending/bilt-capital
https://biltcapital.com/
https://biltcapital.com/about-us</x:v>
      </x:c>
      <x:c r="V2102" s="26" t="d">
        <x:v>2026-10-02T00:00:00.000Z</x:v>
      </x:c>
      <x:c r="W2102" s="26" t="d">
        <x:v>2026-09-30T00:00:00.000Z</x:v>
      </x:c>
      <x:c r="X2102" s="25" t="str">
        <x:v>Saved public company, industry-directory or regulatory source; source date retained</x:v>
      </x:c>
      <x:c r="Y2102" s="25" t="str">
        <x:v>https://biltcapital.com/about-us</x:v>
      </x:c>
      <x:c r="Z2102" s="25" t="str">
        <x:v>https://biltcapital.com/</x:v>
      </x:c>
      <x:c r="AA2102" s="25" t="str">
        <x:v>[]</x:v>
      </x:c>
      <x:c r="AB2102" s="3" t="str">
        <x:v>Existing CapitalForge research, newly screened for this campaign</x:v>
      </x:c>
      <x:c r="AC2102" s="3" t="str">
        <x:v>unverified</x:v>
      </x:c>
      <x:c r="AD2102" s="3" t="str">
        <x:v>Not contacted / unconfirmed</x:v>
      </x:c>
      <x:c r="AE2102" s="3" t="str">
        <x:v>No</x:v>
      </x:c>
      <x:c r="AF2102" s="3" t="str">
        <x:v>No</x:v>
      </x:c>
      <x:c r="AG2102" s="3"/>
      <x:c r="AH2102" s="3"/>
      <x:c r="AI2102" s="18"/>
      <x:c r="AJ2102" s="3" t="str">
        <x:v>CF2500-E6EE44EF6401</x:v>
      </x:c>
      <x:c r="AK2102" s="3" t="str">
        <x:v>private_real_estate_lender</x:v>
      </x:c>
      <x:c r="AL2102" s="19" t="n">
        <x:v>100000</x:v>
      </x:c>
      <x:c r="AM2102" s="19" t="n">
        <x:v>500000</x:v>
      </x:c>
      <x:c r="AN2102" s="3" t="str">
        <x:v>https://www.privatelendersdirectory.com/united-states/st-george/real-estate-investment-lending/bilt-capital</x:v>
      </x:c>
      <x:c r="AO2102" s="3" t="str">
        <x:v>public_directory.jsonl</x:v>
      </x:c>
      <x:c r="AP2102" s="19"/>
    </x:row>
    <x:row r="2103" ht="36" customHeight="1">
      <x:c r="A2103" s="23" t="n">
        <x:v>2102</x:v>
      </x:c>
      <x:c r="B2103" s="15" t="str">
        <x:v>Bluebird Mortgage Corporation</x:v>
      </x:c>
      <x:c r="C2103" s="15"/>
      <x:c r="D2103" s="15" t="str">
        <x:v>Property lender or directory member; operating-company capital unconfirmed</x:v>
      </x:c>
      <x:c r="E2103" s="15" t="str">
        <x:v>Property lender / private-money inquiry</x:v>
      </x:c>
      <x:c r="F2103" s="17" t="str">
        <x:v>New</x:v>
      </x:c>
      <x:c r="G2103" s="24" t="str">
        <x:v>david@bluebirdmortgage.com</x:v>
      </x:c>
      <x:c r="H2103" s="24" t="str">
        <x:v>+17203089697</x:v>
      </x:c>
      <x:c r="I2103" s="24" t="str">
        <x:v>http://www.bluebirdmortgage.com/</x:v>
      </x:c>
      <x:c r="J2103" s="16" t="str">
        <x:v>CO</x:v>
      </x:c>
      <x:c r="K2103" s="16" t="str">
        <x:v>Lakewood</x:v>
      </x:c>
      <x:c r="L2103" s="16" t="str">
        <x:v>firm_business_routing</x:v>
      </x:c>
      <x:c r="M2103" s="16" t="str">
        <x:v>http://www.bluebirdmortgage.com/</x:v>
      </x:c>
      <x:c r="N2103" s="16" t="str">
        <x:v>$100K-$500K ticket not published / unconfirmed</x:v>
      </x:c>
      <x:c r="O2103" s="20"/>
      <x:c r="P2103" s="20"/>
      <x:c r="Q2103" s="25" t="str">
        <x:v>Property-loan range, not a corporate-capital commitment</x:v>
      </x:c>
      <x:c r="R2103" s="25" t="str">
        <x:v>Private real-estate finance experience. Corporate working capital, minority equity or profit participation requires a separate agreement from a property loan.</x:v>
      </x:c>
      <x:c r="S2103" s="25"/>
      <x:c r="T2103" s="25" t="str">
        <x:v>Confirm direct principal versus broker, $100K-$500K appetite, and whether capital can fund the operating company without a property mortgage.</x:v>
      </x:c>
      <x:c r="U2103" s="25" t="str">
        <x:v>https://www.hardmoneyhome.com/lenders/view/bluebird-mortgage-corporation
https://www.bluebirdmortgage.com/</x:v>
      </x:c>
      <x:c r="V2103" s="26" t="d">
        <x:v>2026-10-02T00:00:00.000Z</x:v>
      </x:c>
      <x:c r="W2103" s="26" t="d">
        <x:v>2026-09-30T00:00:00.000Z</x:v>
      </x:c>
      <x:c r="X2103" s="25" t="str">
        <x:v>Saved public company, industry-directory or regulatory source; source date retained</x:v>
      </x:c>
      <x:c r="Y2103" s="25" t="str">
        <x:v>https://www.bluebirdmortgage.com/</x:v>
      </x:c>
      <x:c r="Z2103" s="25" t="str">
        <x:v>https://www.hardmoneyhome.com/lenders/view/bluebird-mortgage-corporation</x:v>
      </x:c>
      <x:c r="AA2103" s="25" t="str">
        <x:v>[]</x:v>
      </x:c>
      <x:c r="AB2103" s="3" t="str">
        <x:v>Existing CapitalForge research, newly screened for this campaign</x:v>
      </x:c>
      <x:c r="AC2103" s="3" t="str">
        <x:v>unverified</x:v>
      </x:c>
      <x:c r="AD2103" s="3" t="str">
        <x:v>Not contacted / unconfirmed</x:v>
      </x:c>
      <x:c r="AE2103" s="3" t="str">
        <x:v>No</x:v>
      </x:c>
      <x:c r="AF2103" s="3" t="str">
        <x:v>No</x:v>
      </x:c>
      <x:c r="AG2103" s="3"/>
      <x:c r="AH2103" s="3"/>
      <x:c r="AI2103" s="18"/>
      <x:c r="AJ2103" s="3" t="str">
        <x:v>CF2500-F7B8D173A847</x:v>
      </x:c>
      <x:c r="AK2103" s="3" t="str">
        <x:v>private_real_estate_lender</x:v>
      </x:c>
      <x:c r="AL2103" s="19" t="n">
        <x:v>100000</x:v>
      </x:c>
      <x:c r="AM2103" s="19" t="n">
        <x:v>500000</x:v>
      </x:c>
      <x:c r="AN2103" s="3" t="str">
        <x:v>https://www.hardmoneyhome.com/lenders/view/bluebird-mortgage-corporation</x:v>
      </x:c>
      <x:c r="AO2103" s="3" t="str">
        <x:v>public_directory.jsonl</x:v>
      </x:c>
      <x:c r="AP2103" s="19"/>
    </x:row>
    <x:row r="2104" ht="36" customHeight="1">
      <x:c r="A2104" s="23" t="n">
        <x:v>2103</x:v>
      </x:c>
      <x:c r="B2104" s="15" t="str">
        <x:v>Bridge Capital Thrift &amp; Loan LLC</x:v>
      </x:c>
      <x:c r="C2104" s="15"/>
      <x:c r="D2104" s="15" t="str">
        <x:v>Property lender or directory member; operating-company capital unconfirmed</x:v>
      </x:c>
      <x:c r="E2104" s="15" t="str">
        <x:v>Property lender / private-money inquiry</x:v>
      </x:c>
      <x:c r="F2104" s="17" t="str">
        <x:v>New</x:v>
      </x:c>
      <x:c r="G2104" s="24" t="str">
        <x:v>info@bridgememphis.com</x:v>
      </x:c>
      <x:c r="H2104" s="24" t="str">
        <x:v>+19018696603</x:v>
      </x:c>
      <x:c r="I2104" s="24" t="str">
        <x:v>https://bridgememphis.com/?utm_source=private-lender-link</x:v>
      </x:c>
      <x:c r="J2104" s="16" t="str">
        <x:v>TN</x:v>
      </x:c>
      <x:c r="K2104" s="16" t="str">
        <x:v>Memphis</x:v>
      </x:c>
      <x:c r="L2104" s="16" t="str">
        <x:v>firm_business_routing</x:v>
      </x:c>
      <x:c r="M2104" s="16" t="str">
        <x:v>https://bridgememphis.com/?utm_source=private-lender-link</x:v>
      </x:c>
      <x:c r="N2104" s="16" t="str">
        <x:v>$100K-$500K ticket not published / unconfirmed</x:v>
      </x:c>
      <x:c r="O2104" s="20"/>
      <x:c r="P2104" s="20"/>
      <x:c r="Q2104" s="25" t="str">
        <x:v>Property-loan range, not a corporate-capital commitment</x:v>
      </x:c>
      <x:c r="R2104" s="25" t="str">
        <x:v>Private real-estate finance experience. Corporate working capital, minority equity or profit participation requires a separate agreement from a property loan.</x:v>
      </x:c>
      <x:c r="S2104" s="25"/>
      <x:c r="T2104" s="25" t="str">
        <x:v>Confirm direct principal versus broker, $100K-$500K appetite, and whether capital can fund the operating company without a property mortgage.</x:v>
      </x:c>
      <x:c r="U2104" s="25" t="str">
        <x:v>https://privatelenderlink.com/profile/bridge-capital/</x:v>
      </x:c>
      <x:c r="V2104" s="26" t="d">
        <x:v>2026-10-02T00:00:00.000Z</x:v>
      </x:c>
      <x:c r="W2104" s="26" t="d">
        <x:v>2026-09-30T00:00:00.000Z</x:v>
      </x:c>
      <x:c r="X2104" s="25" t="str">
        <x:v>Saved public company, industry-directory or regulatory source; source date retained</x:v>
      </x:c>
      <x:c r="Y2104" s="25" t="str">
        <x:v>https://privatelenderlink.com/profile/bridge-capital/</x:v>
      </x:c>
      <x:c r="Z2104" s="25" t="str">
        <x:v>https://privatelenderlink.com/profile/bridge-capital/</x:v>
      </x:c>
      <x:c r="AA2104" s="25" t="str">
        <x:v>[]</x:v>
      </x:c>
      <x:c r="AB2104" s="3" t="str">
        <x:v>Existing CapitalForge research, newly screened for this campaign</x:v>
      </x:c>
      <x:c r="AC2104" s="3" t="str">
        <x:v>unverified</x:v>
      </x:c>
      <x:c r="AD2104" s="3" t="str">
        <x:v>Not contacted / unconfirmed</x:v>
      </x:c>
      <x:c r="AE2104" s="3" t="str">
        <x:v>No</x:v>
      </x:c>
      <x:c r="AF2104" s="3" t="str">
        <x:v>No</x:v>
      </x:c>
      <x:c r="AG2104" s="3"/>
      <x:c r="AH2104" s="3"/>
      <x:c r="AI2104" s="18"/>
      <x:c r="AJ2104" s="3" t="str">
        <x:v>CF2500-5DE0AD50C478</x:v>
      </x:c>
      <x:c r="AK2104" s="3" t="str">
        <x:v>private_real_estate_lender</x:v>
      </x:c>
      <x:c r="AL2104" s="19" t="n">
        <x:v>100000</x:v>
      </x:c>
      <x:c r="AM2104" s="19" t="n">
        <x:v>500000</x:v>
      </x:c>
      <x:c r="AN2104" s="3" t="str">
        <x:v>https://privatelenderlink.com/profile/bridge-capital/</x:v>
      </x:c>
      <x:c r="AO2104" s="3" t="str">
        <x:v>public_directory.jsonl</x:v>
      </x:c>
      <x:c r="AP2104" s="19"/>
    </x:row>
    <x:row r="2105" ht="36" customHeight="1">
      <x:c r="A2105" s="23" t="n">
        <x:v>2104</x:v>
      </x:c>
      <x:c r="B2105" s="15" t="str">
        <x:v>CAROLINA CAPITAL MANAGEMENT</x:v>
      </x:c>
      <x:c r="C2105" s="15"/>
      <x:c r="D2105" s="15" t="str">
        <x:v>Property lender or directory member; operating-company capital unconfirmed</x:v>
      </x:c>
      <x:c r="E2105" s="15" t="str">
        <x:v>Property lender / private-money inquiry</x:v>
      </x:c>
      <x:c r="F2105" s="17" t="str">
        <x:v>New</x:v>
      </x:c>
      <x:c r="G2105" s="24" t="str">
        <x:v>lbishop@ccmsc.net</x:v>
      </x:c>
      <x:c r="H2105" s="24" t="str">
        <x:v>+18434141162</x:v>
      </x:c>
      <x:c r="I2105" s="24" t="str">
        <x:v>https://www.ccmsc.net/</x:v>
      </x:c>
      <x:c r="J2105" s="16" t="str">
        <x:v>SC</x:v>
      </x:c>
      <x:c r="K2105" s="16" t="str">
        <x:v>Mount Pleasant</x:v>
      </x:c>
      <x:c r="L2105" s="16" t="str">
        <x:v>firm_business_routing</x:v>
      </x:c>
      <x:c r="M2105" s="16" t="str">
        <x:v>https://www.ccmsc.net/</x:v>
      </x:c>
      <x:c r="N2105" s="16" t="str">
        <x:v>$100K-$500K ticket not published / unconfirmed</x:v>
      </x:c>
      <x:c r="O2105" s="20"/>
      <x:c r="P2105" s="20"/>
      <x:c r="Q2105" s="25" t="str">
        <x:v>Property-loan range, not a corporate-capital commitment</x:v>
      </x:c>
      <x:c r="R2105" s="25" t="str">
        <x:v>Private real-estate finance experience. Corporate working capital, minority equity or profit participation requires a separate agreement from a property loan.</x:v>
      </x:c>
      <x:c r="S2105" s="25"/>
      <x:c r="T2105" s="25" t="str">
        <x:v>Confirm direct principal versus broker, $100K-$500K appetite, and whether capital can fund the operating company without a property mortgage.</x:v>
      </x:c>
      <x:c r="U2105" s="25" t="str">
        <x:v>https://www.privatelendersdirectory.com/united-states/mount-pleasant/top-level-category/carolina-capital-management
https://www.ccmsc.net/</x:v>
      </x:c>
      <x:c r="V2105" s="26" t="d">
        <x:v>2026-10-02T00:00:00.000Z</x:v>
      </x:c>
      <x:c r="W2105" s="26" t="d">
        <x:v>2026-09-30T00:00:00.000Z</x:v>
      </x:c>
      <x:c r="X2105" s="25" t="str">
        <x:v>Saved public company, industry-directory or regulatory source; source date retained</x:v>
      </x:c>
      <x:c r="Y2105" s="25" t="str">
        <x:v>https://www.ccmsc.net/</x:v>
      </x:c>
      <x:c r="Z2105" s="25" t="str">
        <x:v>https://www.ccmsc.net/</x:v>
      </x:c>
      <x:c r="AA2105" s="25" t="str">
        <x:v>[]</x:v>
      </x:c>
      <x:c r="AB2105" s="3" t="str">
        <x:v>Existing CapitalForge research, newly screened for this campaign</x:v>
      </x:c>
      <x:c r="AC2105" s="3" t="str">
        <x:v>unverified</x:v>
      </x:c>
      <x:c r="AD2105" s="3" t="str">
        <x:v>Not contacted / unconfirmed</x:v>
      </x:c>
      <x:c r="AE2105" s="3" t="str">
        <x:v>No</x:v>
      </x:c>
      <x:c r="AF2105" s="3" t="str">
        <x:v>No</x:v>
      </x:c>
      <x:c r="AG2105" s="3"/>
      <x:c r="AH2105" s="3"/>
      <x:c r="AI2105" s="18"/>
      <x:c r="AJ2105" s="3" t="str">
        <x:v>CF2500-2B8F03E1B6FD</x:v>
      </x:c>
      <x:c r="AK2105" s="3" t="str">
        <x:v>private_real_estate_lender</x:v>
      </x:c>
      <x:c r="AL2105" s="19" t="n">
        <x:v>100000</x:v>
      </x:c>
      <x:c r="AM2105" s="19" t="n">
        <x:v>500000</x:v>
      </x:c>
      <x:c r="AN2105" s="3" t="str">
        <x:v>https://www.privatelendersdirectory.com/united-states/mount-pleasant/top-level-category/carolina-capital-management</x:v>
      </x:c>
      <x:c r="AO2105" s="3" t="str">
        <x:v>public_directory.jsonl</x:v>
      </x:c>
      <x:c r="AP2105" s="19"/>
    </x:row>
    <x:row r="2106" ht="36" customHeight="1">
      <x:c r="A2106" s="23" t="n">
        <x:v>2105</x:v>
      </x:c>
      <x:c r="B2106" s="15" t="str">
        <x:v>CBC MORTGAGE</x:v>
      </x:c>
      <x:c r="C2106" s="15"/>
      <x:c r="D2106" s="15" t="str">
        <x:v>Property lender or directory member; operating-company capital unconfirmed</x:v>
      </x:c>
      <x:c r="E2106" s="15" t="str">
        <x:v>Property lender / private-money inquiry</x:v>
      </x:c>
      <x:c r="F2106" s="17" t="str">
        <x:v>New</x:v>
      </x:c>
      <x:c r="G2106" s="24" t="str">
        <x:v>info@chenoafund.org</x:v>
      </x:c>
      <x:c r="H2106" s="24" t="str">
        <x:v>+18665633507</x:v>
      </x:c>
      <x:c r="I2106" s="24" t="str">
        <x:v>https://chenoafund.org/</x:v>
      </x:c>
      <x:c r="J2106" s="16" t="str">
        <x:v>UT</x:v>
      </x:c>
      <x:c r="K2106" s="16" t="str">
        <x:v>South Jordan</x:v>
      </x:c>
      <x:c r="L2106" s="16" t="str">
        <x:v>firm_business_routing</x:v>
      </x:c>
      <x:c r="M2106" s="16" t="str">
        <x:v>https://chenoafund.org/</x:v>
      </x:c>
      <x:c r="N2106" s="16" t="str">
        <x:v>$100K-$500K ticket not published / unconfirmed</x:v>
      </x:c>
      <x:c r="O2106" s="20"/>
      <x:c r="P2106" s="20"/>
      <x:c r="Q2106" s="25" t="str">
        <x:v>Property-loan range, not a corporate-capital commitment</x:v>
      </x:c>
      <x:c r="R2106" s="25" t="str">
        <x:v>Private real-estate finance experience. Corporate working capital, minority equity or profit participation requires a separate agreement from a property loan.</x:v>
      </x:c>
      <x:c r="S2106" s="25"/>
      <x:c r="T2106" s="25" t="str">
        <x:v>Confirm direct principal versus broker, $100K-$500K appetite, and whether capital can fund the operating company without a property mortgage.</x:v>
      </x:c>
      <x:c r="U2106" s="25" t="str">
        <x:v>https://www.privatelendersdirectory.com/united-states/south-jordan/top-level-category/cbc-mortgage
https://chenoafund.org/
https://www.privatelendersdirectory.com/united-states/south-jordan/top-level-category/chenoa-fund</x:v>
      </x:c>
      <x:c r="V2106" s="26" t="d">
        <x:v>2026-10-02T00:00:00.000Z</x:v>
      </x:c>
      <x:c r="W2106" s="26" t="d">
        <x:v>2026-09-30T00:00:00.000Z</x:v>
      </x:c>
      <x:c r="X2106" s="25" t="str">
        <x:v>Saved public company, industry-directory or regulatory source; source date retained</x:v>
      </x:c>
      <x:c r="Y2106" s="25" t="str">
        <x:v>https://chenoafund.org/</x:v>
      </x:c>
      <x:c r="Z2106" s="25" t="str">
        <x:v>https://chenoafund.org/</x:v>
      </x:c>
      <x:c r="AA2106" s="25" t="str">
        <x:v>[]</x:v>
      </x:c>
      <x:c r="AB2106" s="3" t="str">
        <x:v>Existing CapitalForge research, newly screened for this campaign</x:v>
      </x:c>
      <x:c r="AC2106" s="3" t="str">
        <x:v>unverified</x:v>
      </x:c>
      <x:c r="AD2106" s="3" t="str">
        <x:v>Not contacted / unconfirmed</x:v>
      </x:c>
      <x:c r="AE2106" s="3" t="str">
        <x:v>No</x:v>
      </x:c>
      <x:c r="AF2106" s="3" t="str">
        <x:v>No</x:v>
      </x:c>
      <x:c r="AG2106" s="3"/>
      <x:c r="AH2106" s="3"/>
      <x:c r="AI2106" s="18"/>
      <x:c r="AJ2106" s="3" t="str">
        <x:v>CF2500-AE5FFE4CB8C0</x:v>
      </x:c>
      <x:c r="AK2106" s="3" t="str">
        <x:v>private_real_estate_lender</x:v>
      </x:c>
      <x:c r="AL2106" s="19" t="n">
        <x:v>100000</x:v>
      </x:c>
      <x:c r="AM2106" s="19" t="n">
        <x:v>500000</x:v>
      </x:c>
      <x:c r="AN2106" s="3" t="str">
        <x:v>https://www.privatelendersdirectory.com/united-states/south-jordan/top-level-category/cbc-mortgage</x:v>
      </x:c>
      <x:c r="AO2106" s="3" t="str">
        <x:v>public_directory.jsonl</x:v>
      </x:c>
      <x:c r="AP2106" s="19"/>
    </x:row>
    <x:row r="2107" ht="36" customHeight="1">
      <x:c r="A2107" s="23" t="n">
        <x:v>2106</x:v>
      </x:c>
      <x:c r="B2107" s="15" t="str">
        <x:v>CLAIBORNE COMMERCIAL</x:v>
      </x:c>
      <x:c r="C2107" s="15"/>
      <x:c r="D2107" s="15" t="str">
        <x:v>Property lender or directory member; operating-company capital unconfirmed</x:v>
      </x:c>
      <x:c r="E2107" s="15" t="str">
        <x:v>Property lender / private-money inquiry</x:v>
      </x:c>
      <x:c r="F2107" s="17" t="str">
        <x:v>New</x:v>
      </x:c>
      <x:c r="G2107" s="24" t="str">
        <x:v>bpeart@commercialcapitalltd.com</x:v>
      </x:c>
      <x:c r="H2107" s="24" t="str">
        <x:v>+17709081672</x:v>
      </x:c>
      <x:c r="I2107" s="24" t="str">
        <x:v>https://commercialcapitalltd.com/</x:v>
      </x:c>
      <x:c r="J2107" s="16" t="str">
        <x:v>GA</x:v>
      </x:c>
      <x:c r="K2107" s="16" t="str">
        <x:v>Loganville</x:v>
      </x:c>
      <x:c r="L2107" s="16" t="str">
        <x:v>firm_business_routing</x:v>
      </x:c>
      <x:c r="M2107" s="16" t="str">
        <x:v>https://commercialcapitalltd.com/</x:v>
      </x:c>
      <x:c r="N2107" s="16" t="str">
        <x:v>$100K-$500K ticket not published / unconfirmed</x:v>
      </x:c>
      <x:c r="O2107" s="20"/>
      <x:c r="P2107" s="20"/>
      <x:c r="Q2107" s="25" t="str">
        <x:v>Property-loan range, not a corporate-capital commitment</x:v>
      </x:c>
      <x:c r="R2107" s="25" t="str">
        <x:v>Private real-estate finance experience. Corporate working capital, minority equity or profit participation requires a separate agreement from a property loan.</x:v>
      </x:c>
      <x:c r="S2107" s="25"/>
      <x:c r="T2107" s="25" t="str">
        <x:v>Confirm direct principal versus broker, $100K-$500K appetite, and whether capital can fund the operating company without a property mortgage.</x:v>
      </x:c>
      <x:c r="U2107" s="25" t="str">
        <x:v>https://www.privatelendersdirectory.com/united-states/loganville/top-level-category/claiborne-commercial
https://www.privatelendersdirectory.com/united-states/loganville/top-level-category/commercial-capital-ltd
https://www.commercialcapitalltd.com/</x:v>
      </x:c>
      <x:c r="V2107" s="26" t="d">
        <x:v>2026-10-02T00:00:00.000Z</x:v>
      </x:c>
      <x:c r="W2107" s="26" t="d">
        <x:v>2026-09-30T00:00:00.000Z</x:v>
      </x:c>
      <x:c r="X2107" s="25" t="str">
        <x:v>Saved public company, industry-directory or regulatory source; source date retained</x:v>
      </x:c>
      <x:c r="Y2107" s="25" t="str">
        <x:v>https://www.commercialcapitalltd.com/</x:v>
      </x:c>
      <x:c r="Z2107" s="25" t="str">
        <x:v>https://www.privatelendersdirectory.com/united-states/loganville/top-level-category/claiborne-commercial</x:v>
      </x:c>
      <x:c r="AA2107" s="25" t="str">
        <x:v>[]</x:v>
      </x:c>
      <x:c r="AB2107" s="3" t="str">
        <x:v>Existing CapitalForge research, newly screened for this campaign</x:v>
      </x:c>
      <x:c r="AC2107" s="3" t="str">
        <x:v>unverified</x:v>
      </x:c>
      <x:c r="AD2107" s="3" t="str">
        <x:v>Not contacted / unconfirmed</x:v>
      </x:c>
      <x:c r="AE2107" s="3" t="str">
        <x:v>No</x:v>
      </x:c>
      <x:c r="AF2107" s="3" t="str">
        <x:v>No</x:v>
      </x:c>
      <x:c r="AG2107" s="3"/>
      <x:c r="AH2107" s="3"/>
      <x:c r="AI2107" s="18"/>
      <x:c r="AJ2107" s="3" t="str">
        <x:v>CF2500-622FD73FBC02</x:v>
      </x:c>
      <x:c r="AK2107" s="3" t="str">
        <x:v>private_real_estate_lender</x:v>
      </x:c>
      <x:c r="AL2107" s="19" t="n">
        <x:v>100000</x:v>
      </x:c>
      <x:c r="AM2107" s="19" t="n">
        <x:v>500000</x:v>
      </x:c>
      <x:c r="AN2107" s="3" t="str">
        <x:v>https://www.privatelendersdirectory.com/united-states/loganville/top-level-category/claiborne-commercial</x:v>
      </x:c>
      <x:c r="AO2107" s="3" t="str">
        <x:v>public_directory.jsonl</x:v>
      </x:c>
      <x:c r="AP2107" s="19"/>
    </x:row>
    <x:row r="2108" ht="36" customHeight="1">
      <x:c r="A2108" s="23" t="n">
        <x:v>2107</x:v>
      </x:c>
      <x:c r="B2108" s="15" t="str">
        <x:v>COOKIE HOME LOANS</x:v>
      </x:c>
      <x:c r="C2108" s="15"/>
      <x:c r="D2108" s="15" t="str">
        <x:v>Property lender or directory member; operating-company capital unconfirmed</x:v>
      </x:c>
      <x:c r="E2108" s="15" t="str">
        <x:v>Property lender / private-money inquiry</x:v>
      </x:c>
      <x:c r="F2108" s="17" t="str">
        <x:v>New</x:v>
      </x:c>
      <x:c r="G2108" s="24" t="str">
        <x:v>support@cookiehomeloans.com</x:v>
      </x:c>
      <x:c r="H2108" s="24" t="str">
        <x:v>+18888562672</x:v>
      </x:c>
      <x:c r="I2108" s="24" t="str">
        <x:v>https://cookiehomeloans.com/</x:v>
      </x:c>
      <x:c r="J2108" s="16" t="str">
        <x:v>GA</x:v>
      </x:c>
      <x:c r="K2108" s="16" t="str">
        <x:v>Atlanta</x:v>
      </x:c>
      <x:c r="L2108" s="16" t="str">
        <x:v>firm_business_routing</x:v>
      </x:c>
      <x:c r="M2108" s="16" t="str">
        <x:v>https://cookiehomeloans.com/</x:v>
      </x:c>
      <x:c r="N2108" s="16" t="str">
        <x:v>$100K-$500K ticket not published / unconfirmed</x:v>
      </x:c>
      <x:c r="O2108" s="20"/>
      <x:c r="P2108" s="20"/>
      <x:c r="Q2108" s="25" t="str">
        <x:v>Property-loan range, not a corporate-capital commitment</x:v>
      </x:c>
      <x:c r="R2108" s="25" t="str">
        <x:v>Private real-estate finance experience. Corporate working capital, minority equity or profit participation requires a separate agreement from a property loan.</x:v>
      </x:c>
      <x:c r="S2108" s="25"/>
      <x:c r="T2108" s="25" t="str">
        <x:v>Confirm direct principal versus broker, $100K-$500K appetite, and whether capital can fund the operating company without a property mortgage.</x:v>
      </x:c>
      <x:c r="U2108" s="25" t="str">
        <x:v>https://www.privatelendersdirectory.com/united-states/atlanta/top-level-category/cookie-home-loans
https://cookiehomeloans.com/</x:v>
      </x:c>
      <x:c r="V2108" s="26" t="d">
        <x:v>2026-10-02T00:00:00.000Z</x:v>
      </x:c>
      <x:c r="W2108" s="26" t="d">
        <x:v>2026-09-30T00:00:00.000Z</x:v>
      </x:c>
      <x:c r="X2108" s="25" t="str">
        <x:v>Saved public company, industry-directory or regulatory source; source date retained</x:v>
      </x:c>
      <x:c r="Y2108" s="25" t="str">
        <x:v>https://cookiehomeloans.com/</x:v>
      </x:c>
      <x:c r="Z2108" s="25" t="str">
        <x:v>https://cookiehomeloans.com/</x:v>
      </x:c>
      <x:c r="AA2108" s="25" t="str">
        <x:v>[]</x:v>
      </x:c>
      <x:c r="AB2108" s="3" t="str">
        <x:v>Existing CapitalForge research, newly screened for this campaign</x:v>
      </x:c>
      <x:c r="AC2108" s="3" t="str">
        <x:v>unverified</x:v>
      </x:c>
      <x:c r="AD2108" s="3" t="str">
        <x:v>Not contacted / unconfirmed</x:v>
      </x:c>
      <x:c r="AE2108" s="3" t="str">
        <x:v>No</x:v>
      </x:c>
      <x:c r="AF2108" s="3" t="str">
        <x:v>No</x:v>
      </x:c>
      <x:c r="AG2108" s="3"/>
      <x:c r="AH2108" s="3"/>
      <x:c r="AI2108" s="18"/>
      <x:c r="AJ2108" s="3" t="str">
        <x:v>CF2500-3FA94D658284</x:v>
      </x:c>
      <x:c r="AK2108" s="3" t="str">
        <x:v>private_real_estate_lender</x:v>
      </x:c>
      <x:c r="AL2108" s="19" t="n">
        <x:v>100000</x:v>
      </x:c>
      <x:c r="AM2108" s="19" t="n">
        <x:v>500000</x:v>
      </x:c>
      <x:c r="AN2108" s="3" t="str">
        <x:v>https://www.privatelendersdirectory.com/united-states/atlanta/top-level-category/cookie-home-loans</x:v>
      </x:c>
      <x:c r="AO2108" s="3" t="str">
        <x:v>public_directory.jsonl</x:v>
      </x:c>
      <x:c r="AP2108" s="19"/>
    </x:row>
    <x:row r="2109" ht="36" customHeight="1">
      <x:c r="A2109" s="23" t="n">
        <x:v>2108</x:v>
      </x:c>
      <x:c r="B2109" s="15" t="str">
        <x:v>CoreLend Financial</x:v>
      </x:c>
      <x:c r="C2109" s="15"/>
      <x:c r="D2109" s="15" t="str">
        <x:v>Property lender or directory member; operating-company capital unconfirmed</x:v>
      </x:c>
      <x:c r="E2109" s="15" t="str">
        <x:v>Property lender / private-money inquiry</x:v>
      </x:c>
      <x:c r="F2109" s="17" t="str">
        <x:v>New</x:v>
      </x:c>
      <x:c r="G2109" s="24" t="str">
        <x:v>draws@corelendfinancial.com</x:v>
      </x:c>
      <x:c r="H2109" s="24" t="str">
        <x:v>+19013500685</x:v>
      </x:c>
      <x:c r="I2109" s="24" t="str">
        <x:v>https://corelendfinancial.com/?utm_source=private-lender-link</x:v>
      </x:c>
      <x:c r="J2109" s="16" t="str">
        <x:v>TN</x:v>
      </x:c>
      <x:c r="K2109" s="16" t="str">
        <x:v>Memphis</x:v>
      </x:c>
      <x:c r="L2109" s="16" t="str">
        <x:v>firm_business_routing</x:v>
      </x:c>
      <x:c r="M2109" s="16" t="str">
        <x:v>https://corelendfinancial.com/?utm_source=private-lender-link</x:v>
      </x:c>
      <x:c r="N2109" s="16" t="str">
        <x:v>$100K-$500K ticket not published / unconfirmed</x:v>
      </x:c>
      <x:c r="O2109" s="20"/>
      <x:c r="P2109" s="20"/>
      <x:c r="Q2109" s="25" t="str">
        <x:v>Property-loan range, not a corporate-capital commitment</x:v>
      </x:c>
      <x:c r="R2109" s="25" t="str">
        <x:v>Private real-estate finance experience. Corporate working capital, minority equity or profit participation requires a separate agreement from a property loan.</x:v>
      </x:c>
      <x:c r="S2109" s="25"/>
      <x:c r="T2109" s="25" t="str">
        <x:v>Confirm direct principal versus broker, $100K-$500K appetite, and whether capital can fund the operating company without a property mortgage.</x:v>
      </x:c>
      <x:c r="U2109" s="25" t="str">
        <x:v>https://privatelenderlink.com/profile/corelend-financial/
https://corelendfinancial.com/contact-us/
https://www.privatelendersdirectory.com/united-states/memphis/top-level-category/corelend</x:v>
      </x:c>
      <x:c r="V2109" s="26" t="d">
        <x:v>2026-10-02T00:00:00.000Z</x:v>
      </x:c>
      <x:c r="W2109" s="26" t="d">
        <x:v>2026-09-30T00:00:00.000Z</x:v>
      </x:c>
      <x:c r="X2109" s="25" t="str">
        <x:v>Saved public company, industry-directory or regulatory source; source date retained</x:v>
      </x:c>
      <x:c r="Y2109" s="25" t="str">
        <x:v>https://corelendfinancial.com/contact-us/</x:v>
      </x:c>
      <x:c r="Z2109" s="25" t="str">
        <x:v>https://privatelenderlink.com/profile/corelend-financial/</x:v>
      </x:c>
      <x:c r="AA2109" s="25" t="str">
        <x:v>[]</x:v>
      </x:c>
      <x:c r="AB2109" s="3" t="str">
        <x:v>Existing CapitalForge research, newly screened for this campaign</x:v>
      </x:c>
      <x:c r="AC2109" s="3" t="str">
        <x:v>unverified</x:v>
      </x:c>
      <x:c r="AD2109" s="3" t="str">
        <x:v>Not contacted / unconfirmed</x:v>
      </x:c>
      <x:c r="AE2109" s="3" t="str">
        <x:v>No</x:v>
      </x:c>
      <x:c r="AF2109" s="3" t="str">
        <x:v>No</x:v>
      </x:c>
      <x:c r="AG2109" s="3"/>
      <x:c r="AH2109" s="3"/>
      <x:c r="AI2109" s="18"/>
      <x:c r="AJ2109" s="3" t="str">
        <x:v>CF2500-6262FF4B357B</x:v>
      </x:c>
      <x:c r="AK2109" s="3" t="str">
        <x:v>private_real_estate_lender</x:v>
      </x:c>
      <x:c r="AL2109" s="19" t="n">
        <x:v>100000</x:v>
      </x:c>
      <x:c r="AM2109" s="19" t="n">
        <x:v>500000</x:v>
      </x:c>
      <x:c r="AN2109" s="3" t="str">
        <x:v>https://privatelenderlink.com/profile/corelend-financial/</x:v>
      </x:c>
      <x:c r="AO2109" s="3" t="str">
        <x:v>public_directory.jsonl</x:v>
      </x:c>
      <x:c r="AP2109" s="19"/>
    </x:row>
    <x:row r="2110" ht="36" customHeight="1">
      <x:c r="A2110" s="23" t="n">
        <x:v>2109</x:v>
      </x:c>
      <x:c r="B2110" s="15" t="str">
        <x:v>COTTONWOOD LENDING</x:v>
      </x:c>
      <x:c r="C2110" s="15"/>
      <x:c r="D2110" s="15" t="str">
        <x:v>Property lender or directory member; operating-company capital unconfirmed</x:v>
      </x:c>
      <x:c r="E2110" s="15" t="str">
        <x:v>Property lender / private-money inquiry</x:v>
      </x:c>
      <x:c r="F2110" s="17" t="str">
        <x:v>New</x:v>
      </x:c>
      <x:c r="G2110" s="24" t="str">
        <x:v>dustin@cottonwoodlendinggroup.com</x:v>
      </x:c>
      <x:c r="H2110" s="24" t="str">
        <x:v>+18013260731</x:v>
      </x:c>
      <x:c r="I2110" s="24" t="str">
        <x:v>https://www.cottonwoodlendinggroup.com/</x:v>
      </x:c>
      <x:c r="J2110" s="16" t="str">
        <x:v>UT</x:v>
      </x:c>
      <x:c r="K2110" s="16" t="str">
        <x:v>Cottonwood Heights</x:v>
      </x:c>
      <x:c r="L2110" s="16" t="str">
        <x:v>firm_business_routing</x:v>
      </x:c>
      <x:c r="M2110" s="16" t="str">
        <x:v>https://www.cottonwoodlendinggroup.com/</x:v>
      </x:c>
      <x:c r="N2110" s="16" t="str">
        <x:v>$100K-$500K ticket not published / unconfirmed</x:v>
      </x:c>
      <x:c r="O2110" s="20"/>
      <x:c r="P2110" s="20"/>
      <x:c r="Q2110" s="25" t="str">
        <x:v>Property-loan range, not a corporate-capital commitment</x:v>
      </x:c>
      <x:c r="R2110" s="25" t="str">
        <x:v>Private real-estate finance experience. Corporate working capital, minority equity or profit participation requires a separate agreement from a property loan.</x:v>
      </x:c>
      <x:c r="S2110" s="25"/>
      <x:c r="T2110" s="25" t="str">
        <x:v>Confirm direct principal versus broker, $100K-$500K appetite, and whether capital can fund the operating company without a property mortgage.</x:v>
      </x:c>
      <x:c r="U2110" s="25" t="str">
        <x:v>https://www.privatelendersdirectory.com/united-states/cottonwood-heights/top-level-category/cottonwood-lending
https://www.cottonwoodlendinggroup.com/</x:v>
      </x:c>
      <x:c r="V2110" s="26" t="d">
        <x:v>2026-10-02T00:00:00.000Z</x:v>
      </x:c>
      <x:c r="W2110" s="26" t="d">
        <x:v>2026-09-30T00:00:00.000Z</x:v>
      </x:c>
      <x:c r="X2110" s="25" t="str">
        <x:v>Saved public company, industry-directory or regulatory source; source date retained</x:v>
      </x:c>
      <x:c r="Y2110" s="25" t="str">
        <x:v>https://www.cottonwoodlendinggroup.com/</x:v>
      </x:c>
      <x:c r="Z2110" s="25" t="str">
        <x:v>https://www.cottonwoodlendinggroup.com/</x:v>
      </x:c>
      <x:c r="AA2110" s="25" t="str">
        <x:v>[]</x:v>
      </x:c>
      <x:c r="AB2110" s="3" t="str">
        <x:v>Existing CapitalForge research, newly screened for this campaign</x:v>
      </x:c>
      <x:c r="AC2110" s="3" t="str">
        <x:v>unverified</x:v>
      </x:c>
      <x:c r="AD2110" s="3" t="str">
        <x:v>Not contacted / unconfirmed</x:v>
      </x:c>
      <x:c r="AE2110" s="3" t="str">
        <x:v>No</x:v>
      </x:c>
      <x:c r="AF2110" s="3" t="str">
        <x:v>No</x:v>
      </x:c>
      <x:c r="AG2110" s="3"/>
      <x:c r="AH2110" s="3"/>
      <x:c r="AI2110" s="18"/>
      <x:c r="AJ2110" s="3" t="str">
        <x:v>CF2500-26F42F9633D4</x:v>
      </x:c>
      <x:c r="AK2110" s="3" t="str">
        <x:v>private_real_estate_lender</x:v>
      </x:c>
      <x:c r="AL2110" s="19" t="n">
        <x:v>100000</x:v>
      </x:c>
      <x:c r="AM2110" s="19" t="n">
        <x:v>500000</x:v>
      </x:c>
      <x:c r="AN2110" s="3" t="str">
        <x:v>https://www.privatelendersdirectory.com/united-states/cottonwood-heights/top-level-category/cottonwood-lending</x:v>
      </x:c>
      <x:c r="AO2110" s="3" t="str">
        <x:v>public_directory.jsonl</x:v>
      </x:c>
      <x:c r="AP2110" s="19"/>
    </x:row>
    <x:row r="2111" ht="36" customHeight="1">
      <x:c r="A2111" s="23" t="n">
        <x:v>2110</x:v>
      </x:c>
      <x:c r="B2111" s="15" t="str">
        <x:v>CREEKSIDE MIORTGAGE</x:v>
      </x:c>
      <x:c r="C2111" s="15"/>
      <x:c r="D2111" s="15" t="str">
        <x:v>Property lender or directory member; operating-company capital unconfirmed</x:v>
      </x:c>
      <x:c r="E2111" s="15" t="str">
        <x:v>Property lender / private-money inquiry</x:v>
      </x:c>
      <x:c r="F2111" s="17" t="str">
        <x:v>New</x:v>
      </x:c>
      <x:c r="G2111" s="24" t="str">
        <x:v>info@creeksideutah.com</x:v>
      </x:c>
      <x:c r="H2111" s="24" t="str">
        <x:v>+18014924900</x:v>
      </x:c>
      <x:c r="I2111" s="24" t="str">
        <x:v>https://creeksideutah.com/</x:v>
      </x:c>
      <x:c r="J2111" s="16" t="str">
        <x:v>UT</x:v>
      </x:c>
      <x:c r="K2111" s="16" t="str">
        <x:v>Pleasant Grove</x:v>
      </x:c>
      <x:c r="L2111" s="16" t="str">
        <x:v>firm_business_routing</x:v>
      </x:c>
      <x:c r="M2111" s="16" t="str">
        <x:v>https://creeksideutah.com/</x:v>
      </x:c>
      <x:c r="N2111" s="16" t="str">
        <x:v>$100K-$500K ticket not published / unconfirmed</x:v>
      </x:c>
      <x:c r="O2111" s="20"/>
      <x:c r="P2111" s="20"/>
      <x:c r="Q2111" s="25" t="str">
        <x:v>Property-loan range, not a corporate-capital commitment</x:v>
      </x:c>
      <x:c r="R2111" s="25" t="str">
        <x:v>Private real-estate finance experience. Corporate working capital, minority equity or profit participation requires a separate agreement from a property loan.</x:v>
      </x:c>
      <x:c r="S2111" s="25"/>
      <x:c r="T2111" s="25" t="str">
        <x:v>Confirm direct principal versus broker, $100K-$500K appetite, and whether capital can fund the operating company without a property mortgage.</x:v>
      </x:c>
      <x:c r="U2111" s="25" t="str">
        <x:v>https://www.privatelendersdirectory.com/united-states/pleasant-grove/real-estate-investment-lending/creekside-miortgage
https://creeksideutah.com/</x:v>
      </x:c>
      <x:c r="V2111" s="26" t="d">
        <x:v>2026-10-02T00:00:00.000Z</x:v>
      </x:c>
      <x:c r="W2111" s="26" t="d">
        <x:v>2026-09-30T00:00:00.000Z</x:v>
      </x:c>
      <x:c r="X2111" s="25" t="str">
        <x:v>Saved public company, industry-directory or regulatory source; source date retained</x:v>
      </x:c>
      <x:c r="Y2111" s="25" t="str">
        <x:v>https://creeksideutah.com/</x:v>
      </x:c>
      <x:c r="Z2111" s="25" t="str">
        <x:v>https://creeksideutah.com/</x:v>
      </x:c>
      <x:c r="AA2111" s="25" t="str">
        <x:v>[]</x:v>
      </x:c>
      <x:c r="AB2111" s="3" t="str">
        <x:v>Existing CapitalForge research, newly screened for this campaign</x:v>
      </x:c>
      <x:c r="AC2111" s="3" t="str">
        <x:v>unverified</x:v>
      </x:c>
      <x:c r="AD2111" s="3" t="str">
        <x:v>Not contacted / unconfirmed</x:v>
      </x:c>
      <x:c r="AE2111" s="3" t="str">
        <x:v>No</x:v>
      </x:c>
      <x:c r="AF2111" s="3" t="str">
        <x:v>No</x:v>
      </x:c>
      <x:c r="AG2111" s="3"/>
      <x:c r="AH2111" s="3"/>
      <x:c r="AI2111" s="18"/>
      <x:c r="AJ2111" s="3" t="str">
        <x:v>CF2500-1B13D0009724</x:v>
      </x:c>
      <x:c r="AK2111" s="3" t="str">
        <x:v>private_real_estate_lender</x:v>
      </x:c>
      <x:c r="AL2111" s="19" t="n">
        <x:v>100000</x:v>
      </x:c>
      <x:c r="AM2111" s="19" t="n">
        <x:v>500000</x:v>
      </x:c>
      <x:c r="AN2111" s="3" t="str">
        <x:v>https://www.privatelendersdirectory.com/united-states/pleasant-grove/real-estate-investment-lending/creekside-miortgage</x:v>
      </x:c>
      <x:c r="AO2111" s="3" t="str">
        <x:v>public_directory.jsonl</x:v>
      </x:c>
      <x:c r="AP2111" s="19"/>
    </x:row>
    <x:row r="2112" ht="36" customHeight="1">
      <x:c r="A2112" s="23" t="n">
        <x:v>2111</x:v>
      </x:c>
      <x:c r="B2112" s="15" t="str">
        <x:v>Crossroads Investment Lending</x:v>
      </x:c>
      <x:c r="C2112" s="15"/>
      <x:c r="D2112" s="15" t="str">
        <x:v>Property lender or directory member; operating-company capital unconfirmed</x:v>
      </x:c>
      <x:c r="E2112" s="15" t="str">
        <x:v>Property lender / private-money inquiry</x:v>
      </x:c>
      <x:c r="F2112" s="17" t="str">
        <x:v>New</x:v>
      </x:c>
      <x:c r="G2112" s="24" t="str">
        <x:v>info@kclend.com</x:v>
      </x:c>
      <x:c r="H2112" s="24" t="str">
        <x:v>+19138008226</x:v>
      </x:c>
      <x:c r="I2112" s="24" t="str">
        <x:v>http://www.crossroadsinvestmentlending.com/</x:v>
      </x:c>
      <x:c r="J2112" s="16" t="str">
        <x:v>KS</x:v>
      </x:c>
      <x:c r="K2112" s="16" t="str">
        <x:v>Overland Park</x:v>
      </x:c>
      <x:c r="L2112" s="16" t="str">
        <x:v>firm_business_routing</x:v>
      </x:c>
      <x:c r="M2112" s="16" t="str">
        <x:v>http://www.crossroadsinvestmentlending.com/</x:v>
      </x:c>
      <x:c r="N2112" s="16" t="str">
        <x:v>$100K-$500K ticket not published / unconfirmed</x:v>
      </x:c>
      <x:c r="O2112" s="20"/>
      <x:c r="P2112" s="20"/>
      <x:c r="Q2112" s="25" t="str">
        <x:v>Property-loan range, not a corporate-capital commitment</x:v>
      </x:c>
      <x:c r="R2112" s="25" t="str">
        <x:v>Private real-estate finance experience. Corporate working capital, minority equity or profit participation requires a separate agreement from a property loan.</x:v>
      </x:c>
      <x:c r="S2112" s="25"/>
      <x:c r="T2112" s="25" t="str">
        <x:v>Confirm direct principal versus broker, $100K-$500K appetite, and whether capital can fund the operating company without a property mortgage.</x:v>
      </x:c>
      <x:c r="U2112" s="25" t="str">
        <x:v>https://www.hardmoneyhome.com/lenders/view/crossroads-investment-lending
https://privatelenderlink.com/profile/crossroads-investment-lending/</x:v>
      </x:c>
      <x:c r="V2112" s="26" t="d">
        <x:v>2026-10-02T00:00:00.000Z</x:v>
      </x:c>
      <x:c r="W2112" s="26" t="d">
        <x:v>2026-09-30T00:00:00.000Z</x:v>
      </x:c>
      <x:c r="X2112" s="25" t="str">
        <x:v>Saved public company, industry-directory or regulatory source; source date retained</x:v>
      </x:c>
      <x:c r="Y2112" s="25" t="str">
        <x:v>https://privatelenderlink.com/profile/crossroads-investment-lending/</x:v>
      </x:c>
      <x:c r="Z2112" s="25" t="str">
        <x:v>https://www.hardmoneyhome.com/lenders/view/crossroads-investment-lending</x:v>
      </x:c>
      <x:c r="AA2112" s="25" t="str">
        <x:v>[]</x:v>
      </x:c>
      <x:c r="AB2112" s="3" t="str">
        <x:v>Existing CapitalForge research, newly screened for this campaign</x:v>
      </x:c>
      <x:c r="AC2112" s="3" t="str">
        <x:v>unverified</x:v>
      </x:c>
      <x:c r="AD2112" s="3" t="str">
        <x:v>Not contacted / unconfirmed</x:v>
      </x:c>
      <x:c r="AE2112" s="3" t="str">
        <x:v>No</x:v>
      </x:c>
      <x:c r="AF2112" s="3" t="str">
        <x:v>No</x:v>
      </x:c>
      <x:c r="AG2112" s="3"/>
      <x:c r="AH2112" s="3"/>
      <x:c r="AI2112" s="18"/>
      <x:c r="AJ2112" s="3" t="str">
        <x:v>CF2500-45211CC60D50</x:v>
      </x:c>
      <x:c r="AK2112" s="3" t="str">
        <x:v>private_real_estate_lender</x:v>
      </x:c>
      <x:c r="AL2112" s="19" t="n">
        <x:v>100000</x:v>
      </x:c>
      <x:c r="AM2112" s="19" t="n">
        <x:v>500000</x:v>
      </x:c>
      <x:c r="AN2112" s="3" t="str">
        <x:v>https://www.hardmoneyhome.com/lenders/view/crossroads-investment-lending</x:v>
      </x:c>
      <x:c r="AO2112" s="3" t="str">
        <x:v>public_directory.jsonl</x:v>
      </x:c>
      <x:c r="AP2112" s="19"/>
    </x:row>
    <x:row r="2113" ht="36" customHeight="1">
      <x:c r="A2113" s="23" t="n">
        <x:v>2112</x:v>
      </x:c>
      <x:c r="B2113" s="15" t="str">
        <x:v>DELANEY COMPANY</x:v>
      </x:c>
      <x:c r="C2113" s="15"/>
      <x:c r="D2113" s="15" t="str">
        <x:v>Property lender or directory member; operating-company capital unconfirmed</x:v>
      </x:c>
      <x:c r="E2113" s="15" t="str">
        <x:v>Property lender / private-money inquiry</x:v>
      </x:c>
      <x:c r="F2113" s="17" t="str">
        <x:v>New</x:v>
      </x:c>
      <x:c r="G2113" s="24" t="str">
        <x:v>info@delaneycompany.com</x:v>
      </x:c>
      <x:c r="H2113" s="24" t="str">
        <x:v>+12514760700</x:v>
      </x:c>
      <x:c r="I2113" s="24" t="str">
        <x:v>https://delaneycompany.com/</x:v>
      </x:c>
      <x:c r="J2113" s="16" t="str">
        <x:v>AL</x:v>
      </x:c>
      <x:c r="K2113" s="16" t="str">
        <x:v>Daphne</x:v>
      </x:c>
      <x:c r="L2113" s="16" t="str">
        <x:v>firm_business_routing</x:v>
      </x:c>
      <x:c r="M2113" s="16" t="str">
        <x:v>https://delaneycompany.com/</x:v>
      </x:c>
      <x:c r="N2113" s="16" t="str">
        <x:v>$100K-$500K ticket not published / unconfirmed</x:v>
      </x:c>
      <x:c r="O2113" s="20"/>
      <x:c r="P2113" s="20"/>
      <x:c r="Q2113" s="25" t="str">
        <x:v>Property-loan range, not a corporate-capital commitment</x:v>
      </x:c>
      <x:c r="R2113" s="25" t="str">
        <x:v>Private real-estate finance experience. Corporate working capital, minority equity or profit participation requires a separate agreement from a property loan.</x:v>
      </x:c>
      <x:c r="S2113" s="25"/>
      <x:c r="T2113" s="25" t="str">
        <x:v>Confirm direct principal versus broker, $100K-$500K appetite, and whether capital can fund the operating company without a property mortgage.</x:v>
      </x:c>
      <x:c r="U2113" s="25" t="str">
        <x:v>https://www.privatelendersdirectory.com/united-states/daphne/top-level-category/delaney-company
https://delaneycompany.com/</x:v>
      </x:c>
      <x:c r="V2113" s="26" t="d">
        <x:v>2026-10-02T00:00:00.000Z</x:v>
      </x:c>
      <x:c r="W2113" s="26" t="d">
        <x:v>2026-09-30T00:00:00.000Z</x:v>
      </x:c>
      <x:c r="X2113" s="25" t="str">
        <x:v>Saved public company, industry-directory or regulatory source; source date retained</x:v>
      </x:c>
      <x:c r="Y2113" s="25" t="str">
        <x:v>https://delaneycompany.com/</x:v>
      </x:c>
      <x:c r="Z2113" s="25" t="str">
        <x:v>https://delaneycompany.com/</x:v>
      </x:c>
      <x:c r="AA2113" s="25" t="str">
        <x:v>[]</x:v>
      </x:c>
      <x:c r="AB2113" s="3" t="str">
        <x:v>Existing CapitalForge research, newly screened for this campaign</x:v>
      </x:c>
      <x:c r="AC2113" s="3" t="str">
        <x:v>unverified</x:v>
      </x:c>
      <x:c r="AD2113" s="3" t="str">
        <x:v>Not contacted / unconfirmed</x:v>
      </x:c>
      <x:c r="AE2113" s="3" t="str">
        <x:v>No</x:v>
      </x:c>
      <x:c r="AF2113" s="3" t="str">
        <x:v>No</x:v>
      </x:c>
      <x:c r="AG2113" s="3"/>
      <x:c r="AH2113" s="3"/>
      <x:c r="AI2113" s="18"/>
      <x:c r="AJ2113" s="3" t="str">
        <x:v>CF2500-EEB741FB6BE6</x:v>
      </x:c>
      <x:c r="AK2113" s="3" t="str">
        <x:v>private_real_estate_lender</x:v>
      </x:c>
      <x:c r="AL2113" s="19" t="n">
        <x:v>100000</x:v>
      </x:c>
      <x:c r="AM2113" s="19" t="n">
        <x:v>500000</x:v>
      </x:c>
      <x:c r="AN2113" s="3" t="str">
        <x:v>https://www.privatelendersdirectory.com/united-states/daphne/top-level-category/delaney-company</x:v>
      </x:c>
      <x:c r="AO2113" s="3" t="str">
        <x:v>public_directory.jsonl</x:v>
      </x:c>
      <x:c r="AP2113" s="19"/>
    </x:row>
    <x:row r="2114" ht="36" customHeight="1">
      <x:c r="A2114" s="23" t="n">
        <x:v>2113</x:v>
      </x:c>
      <x:c r="B2114" s="15" t="str">
        <x:v>Deluxe Funding, LLC</x:v>
      </x:c>
      <x:c r="C2114" s="15"/>
      <x:c r="D2114" s="15" t="str">
        <x:v>Property lender or directory member; operating-company capital unconfirmed</x:v>
      </x:c>
      <x:c r="E2114" s="15" t="str">
        <x:v>Property lender / private-money inquiry</x:v>
      </x:c>
      <x:c r="F2114" s="17" t="str">
        <x:v>New</x:v>
      </x:c>
      <x:c r="G2114" s="24" t="str">
        <x:v>miguel@deluxefunding.com</x:v>
      </x:c>
      <x:c r="H2114" s="24" t="str">
        <x:v>+18884368805</x:v>
      </x:c>
      <x:c r="I2114" s="24" t="str">
        <x:v>http://www.deluxefunding.com</x:v>
      </x:c>
      <x:c r="J2114" s="16" t="str">
        <x:v>GA</x:v>
      </x:c>
      <x:c r="K2114" s="16" t="str">
        <x:v>Suwanee</x:v>
      </x:c>
      <x:c r="L2114" s="16" t="str">
        <x:v>firm_business_routing</x:v>
      </x:c>
      <x:c r="M2114" s="16" t="str">
        <x:v>http://www.deluxefunding.com</x:v>
      </x:c>
      <x:c r="N2114" s="16" t="str">
        <x:v>$100K-$500K ticket not published / unconfirmed</x:v>
      </x:c>
      <x:c r="O2114" s="20"/>
      <x:c r="P2114" s="20"/>
      <x:c r="Q2114" s="25" t="str">
        <x:v>Property-loan range, not a corporate-capital commitment</x:v>
      </x:c>
      <x:c r="R2114" s="25" t="str">
        <x:v>Private real-estate finance experience. Corporate working capital, minority equity or profit participation requires a separate agreement from a property loan.</x:v>
      </x:c>
      <x:c r="S2114" s="25"/>
      <x:c r="T2114" s="25" t="str">
        <x:v>Confirm direct principal versus broker, $100K-$500K appetite, and whether capital can fund the operating company without a property mortgage.</x:v>
      </x:c>
      <x:c r="U2114" s="25" t="str">
        <x:v>https://www.privatelendersdirectory.com/georgia/suwanee/top-level-category/deluxe-funding-llc
https://www.deluxefunding.com/</x:v>
      </x:c>
      <x:c r="V2114" s="26" t="d">
        <x:v>2026-10-02T00:00:00.000Z</x:v>
      </x:c>
      <x:c r="W2114" s="26" t="d">
        <x:v>2026-09-30T00:00:00.000Z</x:v>
      </x:c>
      <x:c r="X2114" s="25" t="str">
        <x:v>Saved public company, industry-directory or regulatory source; source date retained</x:v>
      </x:c>
      <x:c r="Y2114" s="25" t="str">
        <x:v>https://www.deluxefunding.com/</x:v>
      </x:c>
      <x:c r="Z2114" s="25" t="str">
        <x:v>https://www.deluxefunding.com/</x:v>
      </x:c>
      <x:c r="AA2114" s="25" t="str">
        <x:v>[]</x:v>
      </x:c>
      <x:c r="AB2114" s="3" t="str">
        <x:v>Existing CapitalForge research, newly screened for this campaign</x:v>
      </x:c>
      <x:c r="AC2114" s="3" t="str">
        <x:v>unverified</x:v>
      </x:c>
      <x:c r="AD2114" s="3" t="str">
        <x:v>Not contacted / unconfirmed</x:v>
      </x:c>
      <x:c r="AE2114" s="3" t="str">
        <x:v>No</x:v>
      </x:c>
      <x:c r="AF2114" s="3" t="str">
        <x:v>No</x:v>
      </x:c>
      <x:c r="AG2114" s="3"/>
      <x:c r="AH2114" s="3"/>
      <x:c r="AI2114" s="18"/>
      <x:c r="AJ2114" s="3" t="str">
        <x:v>CF2500-EEAA840C23EF</x:v>
      </x:c>
      <x:c r="AK2114" s="3" t="str">
        <x:v>private_real_estate_lender</x:v>
      </x:c>
      <x:c r="AL2114" s="19" t="n">
        <x:v>100000</x:v>
      </x:c>
      <x:c r="AM2114" s="19" t="n">
        <x:v>500000</x:v>
      </x:c>
      <x:c r="AN2114" s="3" t="str">
        <x:v>https://www.privatelendersdirectory.com/georgia/suwanee/top-level-category/deluxe-funding-llc</x:v>
      </x:c>
      <x:c r="AO2114" s="3" t="str">
        <x:v>public_directory.jsonl</x:v>
      </x:c>
      <x:c r="AP2114" s="19"/>
    </x:row>
    <x:row r="2115" ht="36" customHeight="1">
      <x:c r="A2115" s="23" t="n">
        <x:v>2114</x:v>
      </x:c>
      <x:c r="B2115" s="15" t="str">
        <x:v>DIAMOND WATER GOLD</x:v>
      </x:c>
      <x:c r="C2115" s="15"/>
      <x:c r="D2115" s="15" t="str">
        <x:v>Property lender or directory member; operating-company capital unconfirmed</x:v>
      </x:c>
      <x:c r="E2115" s="15" t="str">
        <x:v>Property lender / private-money inquiry</x:v>
      </x:c>
      <x:c r="F2115" s="17" t="str">
        <x:v>New</x:v>
      </x:c>
      <x:c r="G2115" s="24" t="str">
        <x:v>info@dwgholdings.com</x:v>
      </x:c>
      <x:c r="H2115" s="24" t="str">
        <x:v>+16786267254</x:v>
      </x:c>
      <x:c r="I2115" s="24" t="str">
        <x:v>https://www.dwgholdings.com/</x:v>
      </x:c>
      <x:c r="J2115" s="16" t="str">
        <x:v>GA</x:v>
      </x:c>
      <x:c r="K2115" s="16" t="str">
        <x:v>Atlanta</x:v>
      </x:c>
      <x:c r="L2115" s="16" t="str">
        <x:v>firm_business_routing</x:v>
      </x:c>
      <x:c r="M2115" s="16" t="str">
        <x:v>https://www.dwgholdings.com/</x:v>
      </x:c>
      <x:c r="N2115" s="16" t="str">
        <x:v>$100K-$500K ticket not published / unconfirmed</x:v>
      </x:c>
      <x:c r="O2115" s="20"/>
      <x:c r="P2115" s="20"/>
      <x:c r="Q2115" s="25" t="str">
        <x:v>Property-loan range, not a corporate-capital commitment</x:v>
      </x:c>
      <x:c r="R2115" s="25" t="str">
        <x:v>Private real-estate finance experience. Corporate working capital, minority equity or profit participation requires a separate agreement from a property loan.</x:v>
      </x:c>
      <x:c r="S2115" s="25"/>
      <x:c r="T2115" s="25" t="str">
        <x:v>Confirm direct principal versus broker, $100K-$500K appetite, and whether capital can fund the operating company without a property mortgage.</x:v>
      </x:c>
      <x:c r="U2115" s="25" t="str">
        <x:v>https://www.privatelendersdirectory.com/united-states/atlanta/top-level-category/diamond-water-gold
https://www.dwgholdings.com/
https://www.dwgholdings.com/contact.html</x:v>
      </x:c>
      <x:c r="V2115" s="26" t="d">
        <x:v>2026-10-02T00:00:00.000Z</x:v>
      </x:c>
      <x:c r="W2115" s="26" t="d">
        <x:v>2026-09-30T00:00:00.000Z</x:v>
      </x:c>
      <x:c r="X2115" s="25" t="str">
        <x:v>Saved public company, industry-directory or regulatory source; source date retained</x:v>
      </x:c>
      <x:c r="Y2115" s="25" t="str">
        <x:v>https://www.dwgholdings.com/</x:v>
      </x:c>
      <x:c r="Z2115" s="25" t="str">
        <x:v>https://www.dwgholdings.com/contact.html</x:v>
      </x:c>
      <x:c r="AA2115" s="25" t="str">
        <x:v>[]</x:v>
      </x:c>
      <x:c r="AB2115" s="3" t="str">
        <x:v>Existing CapitalForge research, newly screened for this campaign</x:v>
      </x:c>
      <x:c r="AC2115" s="3" t="str">
        <x:v>unverified</x:v>
      </x:c>
      <x:c r="AD2115" s="3" t="str">
        <x:v>Not contacted / unconfirmed</x:v>
      </x:c>
      <x:c r="AE2115" s="3" t="str">
        <x:v>No</x:v>
      </x:c>
      <x:c r="AF2115" s="3" t="str">
        <x:v>No</x:v>
      </x:c>
      <x:c r="AG2115" s="3"/>
      <x:c r="AH2115" s="3"/>
      <x:c r="AI2115" s="18"/>
      <x:c r="AJ2115" s="3" t="str">
        <x:v>CF2500-2C8582EAE804</x:v>
      </x:c>
      <x:c r="AK2115" s="3" t="str">
        <x:v>private_real_estate_lender</x:v>
      </x:c>
      <x:c r="AL2115" s="19" t="n">
        <x:v>100000</x:v>
      </x:c>
      <x:c r="AM2115" s="19" t="n">
        <x:v>500000</x:v>
      </x:c>
      <x:c r="AN2115" s="3" t="str">
        <x:v>https://www.privatelendersdirectory.com/united-states/atlanta/top-level-category/diamond-water-gold</x:v>
      </x:c>
      <x:c r="AO2115" s="3" t="str">
        <x:v>public_directory.jsonl</x:v>
      </x:c>
      <x:c r="AP2115" s="19"/>
    </x:row>
    <x:row r="2116" ht="36" customHeight="1">
      <x:c r="A2116" s="23" t="n">
        <x:v>2115</x:v>
      </x:c>
      <x:c r="B2116" s="15" t="str">
        <x:v>DL HUNTER CAPITAL</x:v>
      </x:c>
      <x:c r="C2116" s="15"/>
      <x:c r="D2116" s="15" t="str">
        <x:v>Property lender or directory member; operating-company capital unconfirmed</x:v>
      </x:c>
      <x:c r="E2116" s="15" t="str">
        <x:v>Property lender / private-money inquiry</x:v>
      </x:c>
      <x:c r="F2116" s="17" t="str">
        <x:v>New</x:v>
      </x:c>
      <x:c r="G2116" s="24" t="str">
        <x:v>investorrelations@dlhuntercapital.com</x:v>
      </x:c>
      <x:c r="H2116" s="24" t="str">
        <x:v>+18772244007</x:v>
      </x:c>
      <x:c r="I2116" s="24" t="str">
        <x:v>https://dlhuntercapital.com/</x:v>
      </x:c>
      <x:c r="J2116" s="16" t="str">
        <x:v>GA</x:v>
      </x:c>
      <x:c r="K2116" s="16" t="str">
        <x:v>Macon</x:v>
      </x:c>
      <x:c r="L2116" s="16" t="str">
        <x:v>firm_business_routing</x:v>
      </x:c>
      <x:c r="M2116" s="16" t="str">
        <x:v>https://dlhuntercapital.com/</x:v>
      </x:c>
      <x:c r="N2116" s="16" t="str">
        <x:v>$100K-$500K ticket not published / unconfirmed</x:v>
      </x:c>
      <x:c r="O2116" s="20"/>
      <x:c r="P2116" s="20"/>
      <x:c r="Q2116" s="25" t="str">
        <x:v>Property-loan range, not a corporate-capital commitment</x:v>
      </x:c>
      <x:c r="R2116" s="25" t="str">
        <x:v>Private real-estate finance experience. Corporate working capital, minority equity or profit participation requires a separate agreement from a property loan.</x:v>
      </x:c>
      <x:c r="S2116" s="25"/>
      <x:c r="T2116" s="25" t="str">
        <x:v>Confirm direct principal versus broker, $100K-$500K appetite, and whether capital can fund the operating company without a property mortgage.</x:v>
      </x:c>
      <x:c r="U2116" s="25" t="str">
        <x:v>https://www.privatelendersdirectory.com/united-states/macon/top-level-category/dl-hunter-capital
https://dlhuntercapital.com/</x:v>
      </x:c>
      <x:c r="V2116" s="26" t="d">
        <x:v>2026-10-02T00:00:00.000Z</x:v>
      </x:c>
      <x:c r="W2116" s="26" t="d">
        <x:v>2026-09-30T00:00:00.000Z</x:v>
      </x:c>
      <x:c r="X2116" s="25" t="str">
        <x:v>Saved public company, industry-directory or regulatory source; source date retained</x:v>
      </x:c>
      <x:c r="Y2116" s="25" t="str">
        <x:v>https://dlhuntercapital.com/</x:v>
      </x:c>
      <x:c r="Z2116" s="25" t="str">
        <x:v>https://dlhuntercapital.com/</x:v>
      </x:c>
      <x:c r="AA2116" s="25" t="str">
        <x:v>[]</x:v>
      </x:c>
      <x:c r="AB2116" s="3" t="str">
        <x:v>Existing CapitalForge research, newly screened for this campaign</x:v>
      </x:c>
      <x:c r="AC2116" s="3" t="str">
        <x:v>unverified</x:v>
      </x:c>
      <x:c r="AD2116" s="3" t="str">
        <x:v>Not contacted / unconfirmed</x:v>
      </x:c>
      <x:c r="AE2116" s="3" t="str">
        <x:v>No</x:v>
      </x:c>
      <x:c r="AF2116" s="3" t="str">
        <x:v>No</x:v>
      </x:c>
      <x:c r="AG2116" s="3"/>
      <x:c r="AH2116" s="3"/>
      <x:c r="AI2116" s="18"/>
      <x:c r="AJ2116" s="3" t="str">
        <x:v>CF2500-657162FE3014</x:v>
      </x:c>
      <x:c r="AK2116" s="3" t="str">
        <x:v>private_real_estate_lender</x:v>
      </x:c>
      <x:c r="AL2116" s="19" t="n">
        <x:v>100000</x:v>
      </x:c>
      <x:c r="AM2116" s="19" t="n">
        <x:v>500000</x:v>
      </x:c>
      <x:c r="AN2116" s="3" t="str">
        <x:v>https://www.privatelendersdirectory.com/united-states/macon/top-level-category/dl-hunter-capital</x:v>
      </x:c>
      <x:c r="AO2116" s="3" t="str">
        <x:v>public_directory.jsonl</x:v>
      </x:c>
      <x:c r="AP2116" s="19"/>
    </x:row>
    <x:row r="2117" ht="36" customHeight="1">
      <x:c r="A2117" s="23" t="n">
        <x:v>2116</x:v>
      </x:c>
      <x:c r="B2117" s="15" t="str">
        <x:v>DTD CAPITAL</x:v>
      </x:c>
      <x:c r="C2117" s="15"/>
      <x:c r="D2117" s="15" t="str">
        <x:v>Property lender or directory member; operating-company capital unconfirmed</x:v>
      </x:c>
      <x:c r="E2117" s="15" t="str">
        <x:v>Property lender / private-money inquiry</x:v>
      </x:c>
      <x:c r="F2117" s="17" t="str">
        <x:v>New</x:v>
      </x:c>
      <x:c r="G2117" s="24" t="str">
        <x:v>info@dtdcapitalfunding.com</x:v>
      </x:c>
      <x:c r="H2117" s="24" t="str">
        <x:v>+17206016544</x:v>
      </x:c>
      <x:c r="I2117" s="24" t="str">
        <x:v>https://www.dtdcapitalfunding.com/</x:v>
      </x:c>
      <x:c r="J2117" s="16" t="str">
        <x:v>CO</x:v>
      </x:c>
      <x:c r="K2117" s="16" t="str">
        <x:v>Littleton</x:v>
      </x:c>
      <x:c r="L2117" s="16" t="str">
        <x:v>firm_business_routing</x:v>
      </x:c>
      <x:c r="M2117" s="16" t="str">
        <x:v>https://www.dtdcapitalfunding.com/</x:v>
      </x:c>
      <x:c r="N2117" s="16" t="str">
        <x:v>$100K-$500K ticket not published / unconfirmed</x:v>
      </x:c>
      <x:c r="O2117" s="20"/>
      <x:c r="P2117" s="20"/>
      <x:c r="Q2117" s="25" t="str">
        <x:v>Property-loan range, not a corporate-capital commitment</x:v>
      </x:c>
      <x:c r="R2117" s="25" t="str">
        <x:v>Private real-estate finance experience. Corporate working capital, minority equity or profit participation requires a separate agreement from a property loan.</x:v>
      </x:c>
      <x:c r="S2117" s="25"/>
      <x:c r="T2117" s="25" t="str">
        <x:v>Confirm direct principal versus broker, $100K-$500K appetite, and whether capital can fund the operating company without a property mortgage.</x:v>
      </x:c>
      <x:c r="U2117" s="25" t="str">
        <x:v>https://www.privatelendersdirectory.com/united-states/littleton/top-level-category/dtd-capital
https://www.dtdcapitalfunding.com/</x:v>
      </x:c>
      <x:c r="V2117" s="26" t="d">
        <x:v>2026-10-02T00:00:00.000Z</x:v>
      </x:c>
      <x:c r="W2117" s="26" t="d">
        <x:v>2026-09-30T00:00:00.000Z</x:v>
      </x:c>
      <x:c r="X2117" s="25" t="str">
        <x:v>Saved public company, industry-directory or regulatory source; source date retained</x:v>
      </x:c>
      <x:c r="Y2117" s="25" t="str">
        <x:v>https://www.dtdcapitalfunding.com/</x:v>
      </x:c>
      <x:c r="Z2117" s="25" t="str">
        <x:v>https://www.dtdcapitalfunding.com/</x:v>
      </x:c>
      <x:c r="AA2117" s="25" t="str">
        <x:v>[]</x:v>
      </x:c>
      <x:c r="AB2117" s="3" t="str">
        <x:v>Existing CapitalForge research, newly screened for this campaign</x:v>
      </x:c>
      <x:c r="AC2117" s="3" t="str">
        <x:v>unverified</x:v>
      </x:c>
      <x:c r="AD2117" s="3" t="str">
        <x:v>Not contacted / unconfirmed</x:v>
      </x:c>
      <x:c r="AE2117" s="3" t="str">
        <x:v>No</x:v>
      </x:c>
      <x:c r="AF2117" s="3" t="str">
        <x:v>No</x:v>
      </x:c>
      <x:c r="AG2117" s="3"/>
      <x:c r="AH2117" s="3"/>
      <x:c r="AI2117" s="18"/>
      <x:c r="AJ2117" s="3" t="str">
        <x:v>CF2500-6400C2ACC847</x:v>
      </x:c>
      <x:c r="AK2117" s="3" t="str">
        <x:v>private_real_estate_lender</x:v>
      </x:c>
      <x:c r="AL2117" s="19" t="n">
        <x:v>100000</x:v>
      </x:c>
      <x:c r="AM2117" s="19" t="n">
        <x:v>500000</x:v>
      </x:c>
      <x:c r="AN2117" s="3" t="str">
        <x:v>https://www.privatelendersdirectory.com/united-states/littleton/top-level-category/dtd-capital</x:v>
      </x:c>
      <x:c r="AO2117" s="3" t="str">
        <x:v>public_directory.jsonl</x:v>
      </x:c>
      <x:c r="AP2117" s="19"/>
    </x:row>
    <x:row r="2118" ht="36" customHeight="1">
      <x:c r="A2118" s="23" t="n">
        <x:v>2117</x:v>
      </x:c>
      <x:c r="B2118" s="15" t="str">
        <x:v>EAGLE ROAD PARTNERS</x:v>
      </x:c>
      <x:c r="C2118" s="15"/>
      <x:c r="D2118" s="15" t="str">
        <x:v>Property lender or directory member; operating-company capital unconfirmed</x:v>
      </x:c>
      <x:c r="E2118" s="15" t="str">
        <x:v>Property lender / private-money inquiry</x:v>
      </x:c>
      <x:c r="F2118" s="17" t="str">
        <x:v>New</x:v>
      </x:c>
      <x:c r="G2118" s="24" t="str">
        <x:v>info@eagleroadpartners.com</x:v>
      </x:c>
      <x:c r="H2118" s="24" t="str">
        <x:v>+17206191248</x:v>
      </x:c>
      <x:c r="I2118" s="24" t="str">
        <x:v>https://www.eagleroadpartners.com/</x:v>
      </x:c>
      <x:c r="J2118" s="16" t="str">
        <x:v>CO</x:v>
      </x:c>
      <x:c r="K2118" s="16" t="str">
        <x:v>Denver</x:v>
      </x:c>
      <x:c r="L2118" s="16" t="str">
        <x:v>firm_business_routing</x:v>
      </x:c>
      <x:c r="M2118" s="16" t="str">
        <x:v>https://www.eagleroadpartners.com/</x:v>
      </x:c>
      <x:c r="N2118" s="16" t="str">
        <x:v>$100K-$500K ticket not published / unconfirmed</x:v>
      </x:c>
      <x:c r="O2118" s="20"/>
      <x:c r="P2118" s="20"/>
      <x:c r="Q2118" s="25" t="str">
        <x:v>Property-loan range, not a corporate-capital commitment</x:v>
      </x:c>
      <x:c r="R2118" s="25" t="str">
        <x:v>Private real-estate finance experience. Corporate working capital, minority equity or profit participation requires a separate agreement from a property loan.</x:v>
      </x:c>
      <x:c r="S2118" s="25"/>
      <x:c r="T2118" s="25" t="str">
        <x:v>Confirm direct principal versus broker, $100K-$500K appetite, and whether capital can fund the operating company without a property mortgage.</x:v>
      </x:c>
      <x:c r="U2118" s="25" t="str">
        <x:v>https://www.privatelendersdirectory.com/united-states/denver/top-level-category/eagle-road-partners
https://www.eagleroadpartners.com/</x:v>
      </x:c>
      <x:c r="V2118" s="26" t="d">
        <x:v>2026-10-02T00:00:00.000Z</x:v>
      </x:c>
      <x:c r="W2118" s="26" t="d">
        <x:v>2026-09-30T00:00:00.000Z</x:v>
      </x:c>
      <x:c r="X2118" s="25" t="str">
        <x:v>Saved public company, industry-directory or regulatory source; source date retained</x:v>
      </x:c>
      <x:c r="Y2118" s="25" t="str">
        <x:v>https://www.eagleroadpartners.com/</x:v>
      </x:c>
      <x:c r="Z2118" s="25" t="str">
        <x:v>https://www.eagleroadpartners.com/</x:v>
      </x:c>
      <x:c r="AA2118" s="25" t="str">
        <x:v>[]</x:v>
      </x:c>
      <x:c r="AB2118" s="3" t="str">
        <x:v>Existing CapitalForge research, newly screened for this campaign</x:v>
      </x:c>
      <x:c r="AC2118" s="3" t="str">
        <x:v>unverified</x:v>
      </x:c>
      <x:c r="AD2118" s="3" t="str">
        <x:v>Not contacted / unconfirmed</x:v>
      </x:c>
      <x:c r="AE2118" s="3" t="str">
        <x:v>No</x:v>
      </x:c>
      <x:c r="AF2118" s="3" t="str">
        <x:v>No</x:v>
      </x:c>
      <x:c r="AG2118" s="3"/>
      <x:c r="AH2118" s="3"/>
      <x:c r="AI2118" s="18"/>
      <x:c r="AJ2118" s="3" t="str">
        <x:v>CF2500-7C7DBC3B1AED</x:v>
      </x:c>
      <x:c r="AK2118" s="3" t="str">
        <x:v>private_real_estate_lender</x:v>
      </x:c>
      <x:c r="AL2118" s="19" t="n">
        <x:v>100000</x:v>
      </x:c>
      <x:c r="AM2118" s="19" t="n">
        <x:v>500000</x:v>
      </x:c>
      <x:c r="AN2118" s="3" t="str">
        <x:v>https://www.privatelendersdirectory.com/united-states/denver/top-level-category/eagle-road-partners</x:v>
      </x:c>
      <x:c r="AO2118" s="3" t="str">
        <x:v>public_directory.jsonl</x:v>
      </x:c>
      <x:c r="AP2118" s="19"/>
    </x:row>
    <x:row r="2119" ht="36" customHeight="1">
      <x:c r="A2119" s="23" t="n">
        <x:v>2118</x:v>
      </x:c>
      <x:c r="B2119" s="15" t="str">
        <x:v>GEORGIA PRIVATE LOANS</x:v>
      </x:c>
      <x:c r="C2119" s="15"/>
      <x:c r="D2119" s="15" t="str">
        <x:v>Property lender or directory member; operating-company capital unconfirmed</x:v>
      </x:c>
      <x:c r="E2119" s="15" t="str">
        <x:v>Property lender / private-money inquiry</x:v>
      </x:c>
      <x:c r="F2119" s="17" t="str">
        <x:v>New</x:v>
      </x:c>
      <x:c r="G2119" s="24" t="str">
        <x:v>info@georgiaprivateloans.com</x:v>
      </x:c>
      <x:c r="H2119" s="24" t="str">
        <x:v>+14042298004</x:v>
      </x:c>
      <x:c r="I2119" s="24" t="str">
        <x:v>https://www.georgiaprivateloans.com/</x:v>
      </x:c>
      <x:c r="J2119" s="16" t="str">
        <x:v>GA</x:v>
      </x:c>
      <x:c r="K2119" s="16" t="str">
        <x:v>Brookhaven</x:v>
      </x:c>
      <x:c r="L2119" s="16" t="str">
        <x:v>firm_business_routing</x:v>
      </x:c>
      <x:c r="M2119" s="16" t="str">
        <x:v>https://www.georgiaprivateloans.com/</x:v>
      </x:c>
      <x:c r="N2119" s="16" t="str">
        <x:v>$100K-$500K ticket not published / unconfirmed</x:v>
      </x:c>
      <x:c r="O2119" s="20"/>
      <x:c r="P2119" s="20"/>
      <x:c r="Q2119" s="25" t="str">
        <x:v>Property-loan range, not a corporate-capital commitment</x:v>
      </x:c>
      <x:c r="R2119" s="25" t="str">
        <x:v>Private real-estate finance experience. Corporate working capital, minority equity or profit participation requires a separate agreement from a property loan.</x:v>
      </x:c>
      <x:c r="S2119" s="25"/>
      <x:c r="T2119" s="25" t="str">
        <x:v>Confirm direct principal versus broker, $100K-$500K appetite, and whether capital can fund the operating company without a property mortgage.</x:v>
      </x:c>
      <x:c r="U2119" s="25" t="str">
        <x:v>https://www.privatelendersdirectory.com/united-states/brookhaven/top-level-category/georgia-private-loans
https://www.georgiaprivateloans.com/
https://www.privatelendersdirectory.com/united-states/brookhaven/top-level-category/hard-money-loans-atlanta
https://www.hardmoneyloansatlanta.com/</x:v>
      </x:c>
      <x:c r="V2119" s="26" t="d">
        <x:v>2026-10-02T00:00:00.000Z</x:v>
      </x:c>
      <x:c r="W2119" s="26" t="d">
        <x:v>2026-09-30T00:00:00.000Z</x:v>
      </x:c>
      <x:c r="X2119" s="25" t="str">
        <x:v>Saved public company, industry-directory or regulatory source; source date retained</x:v>
      </x:c>
      <x:c r="Y2119" s="25" t="str">
        <x:v>https://www.georgiaprivateloans.com/</x:v>
      </x:c>
      <x:c r="Z2119" s="25" t="str">
        <x:v>https://www.georgiaprivateloans.com/</x:v>
      </x:c>
      <x:c r="AA2119" s="25" t="str">
        <x:v>[]</x:v>
      </x:c>
      <x:c r="AB2119" s="3" t="str">
        <x:v>Existing CapitalForge research, newly screened for this campaign</x:v>
      </x:c>
      <x:c r="AC2119" s="3" t="str">
        <x:v>unverified</x:v>
      </x:c>
      <x:c r="AD2119" s="3" t="str">
        <x:v>Not contacted / unconfirmed</x:v>
      </x:c>
      <x:c r="AE2119" s="3" t="str">
        <x:v>No</x:v>
      </x:c>
      <x:c r="AF2119" s="3" t="str">
        <x:v>No</x:v>
      </x:c>
      <x:c r="AG2119" s="3"/>
      <x:c r="AH2119" s="3" t="str">
        <x:v>HARD MONEY LOANS ATLANTA</x:v>
      </x:c>
      <x:c r="AI2119" s="18"/>
      <x:c r="AJ2119" s="3" t="str">
        <x:v>CF2500-D46577F9F771</x:v>
      </x:c>
      <x:c r="AK2119" s="3" t="str">
        <x:v>private_real_estate_lender</x:v>
      </x:c>
      <x:c r="AL2119" s="19" t="n">
        <x:v>100000</x:v>
      </x:c>
      <x:c r="AM2119" s="19" t="n">
        <x:v>500000</x:v>
      </x:c>
      <x:c r="AN2119" s="3" t="str">
        <x:v>https://www.privatelendersdirectory.com/united-states/brookhaven/top-level-category/georgia-private-loans</x:v>
      </x:c>
      <x:c r="AO2119" s="3" t="str">
        <x:v>public_directory.jsonl</x:v>
      </x:c>
      <x:c r="AP2119" s="19"/>
    </x:row>
    <x:row r="2120" ht="36" customHeight="1">
      <x:c r="A2120" s="23" t="n">
        <x:v>2119</x:v>
      </x:c>
      <x:c r="B2120" s="15" t="str">
        <x:v>GRAYCLIFF CAPITAL PARTNERS</x:v>
      </x:c>
      <x:c r="C2120" s="15"/>
      <x:c r="D2120" s="15" t="str">
        <x:v>Property lender or directory member; operating-company capital unconfirmed</x:v>
      </x:c>
      <x:c r="E2120" s="15" t="str">
        <x:v>Property lender / private-money inquiry</x:v>
      </x:c>
      <x:c r="F2120" s="17" t="str">
        <x:v>New</x:v>
      </x:c>
      <x:c r="G2120" s="24" t="str">
        <x:v>support@graycliffcapital.com</x:v>
      </x:c>
      <x:c r="H2120" s="24" t="str">
        <x:v>+18646794799</x:v>
      </x:c>
      <x:c r="I2120" s="24" t="str">
        <x:v>https://graycliffcapital.com/portfolio/</x:v>
      </x:c>
      <x:c r="J2120" s="16" t="str">
        <x:v>SC</x:v>
      </x:c>
      <x:c r="K2120" s="16" t="str">
        <x:v>Greenville</x:v>
      </x:c>
      <x:c r="L2120" s="16" t="str">
        <x:v>firm_business_routing</x:v>
      </x:c>
      <x:c r="M2120" s="16" t="str">
        <x:v>https://graycliffcapital.com/portfolio/</x:v>
      </x:c>
      <x:c r="N2120" s="16" t="str">
        <x:v>$100K-$500K ticket not published / unconfirmed</x:v>
      </x:c>
      <x:c r="O2120" s="20"/>
      <x:c r="P2120" s="20"/>
      <x:c r="Q2120" s="25" t="str">
        <x:v>Property-loan range, not a corporate-capital commitment</x:v>
      </x:c>
      <x:c r="R2120" s="25" t="str">
        <x:v>Private real-estate finance experience. Corporate working capital, minority equity or profit participation requires a separate agreement from a property loan.</x:v>
      </x:c>
      <x:c r="S2120" s="25"/>
      <x:c r="T2120" s="25" t="str">
        <x:v>Confirm direct principal versus broker, $100K-$500K appetite, and whether capital can fund the operating company without a property mortgage.</x:v>
      </x:c>
      <x:c r="U2120" s="25" t="str">
        <x:v>https://www.privatelendersdirectory.com/united-states/greenville/real-estate-investment-lending/graycliff-capital-partners
https://graycliffcapital.com/portfolio/</x:v>
      </x:c>
      <x:c r="V2120" s="26" t="d">
        <x:v>2026-10-02T00:00:00.000Z</x:v>
      </x:c>
      <x:c r="W2120" s="26" t="d">
        <x:v>2026-09-30T00:00:00.000Z</x:v>
      </x:c>
      <x:c r="X2120" s="25" t="str">
        <x:v>Saved public company, industry-directory or regulatory source; source date retained</x:v>
      </x:c>
      <x:c r="Y2120" s="25" t="str">
        <x:v>https://graycliffcapital.com/portfolio/</x:v>
      </x:c>
      <x:c r="Z2120" s="25" t="str">
        <x:v>https://graycliffcapital.com/portfolio/</x:v>
      </x:c>
      <x:c r="AA2120" s="25" t="str">
        <x:v>[]</x:v>
      </x:c>
      <x:c r="AB2120" s="3" t="str">
        <x:v>Existing CapitalForge research, newly screened for this campaign</x:v>
      </x:c>
      <x:c r="AC2120" s="3" t="str">
        <x:v>unverified</x:v>
      </x:c>
      <x:c r="AD2120" s="3" t="str">
        <x:v>Not contacted / unconfirmed</x:v>
      </x:c>
      <x:c r="AE2120" s="3" t="str">
        <x:v>No</x:v>
      </x:c>
      <x:c r="AF2120" s="3" t="str">
        <x:v>No</x:v>
      </x:c>
      <x:c r="AG2120" s="3"/>
      <x:c r="AH2120" s="3"/>
      <x:c r="AI2120" s="18"/>
      <x:c r="AJ2120" s="3" t="str">
        <x:v>CF2500-C022EE6C13DC</x:v>
      </x:c>
      <x:c r="AK2120" s="3" t="str">
        <x:v>private_real_estate_lender</x:v>
      </x:c>
      <x:c r="AL2120" s="19" t="n">
        <x:v>100000</x:v>
      </x:c>
      <x:c r="AM2120" s="19" t="n">
        <x:v>500000</x:v>
      </x:c>
      <x:c r="AN2120" s="3" t="str">
        <x:v>https://www.privatelendersdirectory.com/united-states/greenville/real-estate-investment-lending/graycliff-capital-partners</x:v>
      </x:c>
      <x:c r="AO2120" s="3" t="str">
        <x:v>public_directory.jsonl</x:v>
      </x:c>
      <x:c r="AP2120" s="19"/>
    </x:row>
    <x:row r="2121" ht="36" customHeight="1">
      <x:c r="A2121" s="23" t="n">
        <x:v>2120</x:v>
      </x:c>
      <x:c r="B2121" s="15" t="str">
        <x:v>Indicate Capital</x:v>
      </x:c>
      <x:c r="C2121" s="15"/>
      <x:c r="D2121" s="15" t="str">
        <x:v>Property lender or directory member; operating-company capital unconfirmed</x:v>
      </x:c>
      <x:c r="E2121" s="15" t="str">
        <x:v>Property lender / private-money inquiry</x:v>
      </x:c>
      <x:c r="F2121" s="17" t="str">
        <x:v>New</x:v>
      </x:c>
      <x:c r="G2121" s="24" t="str">
        <x:v>info@indicatecapital.com</x:v>
      </x:c>
      <x:c r="H2121" s="24" t="str">
        <x:v>+13035676334</x:v>
      </x:c>
      <x:c r="I2121" s="24" t="str">
        <x:v>https://indicatecapital.com/?utm_source=private-lender-link</x:v>
      </x:c>
      <x:c r="J2121" s="16" t="str">
        <x:v>CO</x:v>
      </x:c>
      <x:c r="K2121" s="16" t="str">
        <x:v>Denver</x:v>
      </x:c>
      <x:c r="L2121" s="16" t="str">
        <x:v>firm_business_routing</x:v>
      </x:c>
      <x:c r="M2121" s="16" t="str">
        <x:v>https://indicatecapital.com/?utm_source=private-lender-link</x:v>
      </x:c>
      <x:c r="N2121" s="16" t="str">
        <x:v>$100K-$500K ticket not published / unconfirmed</x:v>
      </x:c>
      <x:c r="O2121" s="20"/>
      <x:c r="P2121" s="20"/>
      <x:c r="Q2121" s="25" t="str">
        <x:v>Property-loan range, not a corporate-capital commitment</x:v>
      </x:c>
      <x:c r="R2121" s="25" t="str">
        <x:v>Private real-estate finance experience. Corporate working capital, minority equity or profit participation requires a separate agreement from a property loan.</x:v>
      </x:c>
      <x:c r="S2121" s="25"/>
      <x:c r="T2121" s="25" t="str">
        <x:v>Confirm direct principal versus broker, $100K-$500K appetite, and whether capital can fund the operating company without a property mortgage.</x:v>
      </x:c>
      <x:c r="U2121" s="25" t="str">
        <x:v>https://privatelenderlink.com/profile/indicate-capital/</x:v>
      </x:c>
      <x:c r="V2121" s="26" t="d">
        <x:v>2026-10-02T00:00:00.000Z</x:v>
      </x:c>
      <x:c r="W2121" s="26" t="d">
        <x:v>2026-09-30T00:00:00.000Z</x:v>
      </x:c>
      <x:c r="X2121" s="25" t="str">
        <x:v>Saved public company, industry-directory or regulatory source; source date retained</x:v>
      </x:c>
      <x:c r="Y2121" s="25" t="str">
        <x:v>https://privatelenderlink.com/profile/indicate-capital/</x:v>
      </x:c>
      <x:c r="Z2121" s="25" t="str">
        <x:v>https://privatelenderlink.com/profile/indicate-capital/</x:v>
      </x:c>
      <x:c r="AA2121" s="25" t="str">
        <x:v>[]</x:v>
      </x:c>
      <x:c r="AB2121" s="3" t="str">
        <x:v>Existing CapitalForge research, newly screened for this campaign</x:v>
      </x:c>
      <x:c r="AC2121" s="3" t="str">
        <x:v>unverified</x:v>
      </x:c>
      <x:c r="AD2121" s="3" t="str">
        <x:v>Not contacted / unconfirmed</x:v>
      </x:c>
      <x:c r="AE2121" s="3" t="str">
        <x:v>No</x:v>
      </x:c>
      <x:c r="AF2121" s="3" t="str">
        <x:v>No</x:v>
      </x:c>
      <x:c r="AG2121" s="3"/>
      <x:c r="AH2121" s="3"/>
      <x:c r="AI2121" s="18"/>
      <x:c r="AJ2121" s="3" t="str">
        <x:v>CF2500-5D1C38198599</x:v>
      </x:c>
      <x:c r="AK2121" s="3" t="str">
        <x:v>private_real_estate_lender</x:v>
      </x:c>
      <x:c r="AL2121" s="19" t="n">
        <x:v>100000</x:v>
      </x:c>
      <x:c r="AM2121" s="19" t="n">
        <x:v>500000</x:v>
      </x:c>
      <x:c r="AN2121" s="3" t="str">
        <x:v>https://privatelenderlink.com/profile/indicate-capital/</x:v>
      </x:c>
      <x:c r="AO2121" s="3" t="str">
        <x:v>public_directory.jsonl</x:v>
      </x:c>
      <x:c r="AP2121" s="19"/>
    </x:row>
    <x:row r="2122" ht="36" customHeight="1">
      <x:c r="A2122" s="23" t="n">
        <x:v>2121</x:v>
      </x:c>
      <x:c r="B2122" s="15" t="str">
        <x:v>Investor Rehab Funding</x:v>
      </x:c>
      <x:c r="C2122" s="15"/>
      <x:c r="D2122" s="15" t="str">
        <x:v>Property lender or directory member; operating-company capital unconfirmed</x:v>
      </x:c>
      <x:c r="E2122" s="15" t="str">
        <x:v>Property lender / private-money inquiry</x:v>
      </x:c>
      <x:c r="F2122" s="17" t="str">
        <x:v>New</x:v>
      </x:c>
      <x:c r="G2122" s="24" t="str">
        <x:v>support@investorrehabfunding.com</x:v>
      </x:c>
      <x:c r="H2122" s="24" t="str">
        <x:v>+18446566562</x:v>
      </x:c>
      <x:c r="I2122" s="24" t="str">
        <x:v>http://www.investorrehabfunding.com/</x:v>
      </x:c>
      <x:c r="J2122" s="16" t="str">
        <x:v>GA</x:v>
      </x:c>
      <x:c r="K2122" s="16" t="str">
        <x:v>Atlanta</x:v>
      </x:c>
      <x:c r="L2122" s="16" t="str">
        <x:v>firm_business_routing</x:v>
      </x:c>
      <x:c r="M2122" s="16" t="str">
        <x:v>http://www.investorrehabfunding.com/</x:v>
      </x:c>
      <x:c r="N2122" s="16" t="str">
        <x:v>$100K-$500K ticket not published / unconfirmed</x:v>
      </x:c>
      <x:c r="O2122" s="20"/>
      <x:c r="P2122" s="20"/>
      <x:c r="Q2122" s="25" t="str">
        <x:v>Property-loan range, not a corporate-capital commitment</x:v>
      </x:c>
      <x:c r="R2122" s="25" t="str">
        <x:v>Private real-estate finance experience. Corporate working capital, minority equity or profit participation requires a separate agreement from a property loan.</x:v>
      </x:c>
      <x:c r="S2122" s="25"/>
      <x:c r="T2122" s="25" t="str">
        <x:v>Confirm direct principal versus broker, $100K-$500K appetite, and whether capital can fund the operating company without a property mortgage.</x:v>
      </x:c>
      <x:c r="U2122" s="25" t="str">
        <x:v>https://www.hardmoneyhome.com/lenders/view/investor-rehab-funding
https://www.investorrehabfunding.com/</x:v>
      </x:c>
      <x:c r="V2122" s="26" t="d">
        <x:v>2026-10-02T00:00:00.000Z</x:v>
      </x:c>
      <x:c r="W2122" s="26" t="d">
        <x:v>2026-09-30T00:00:00.000Z</x:v>
      </x:c>
      <x:c r="X2122" s="25" t="str">
        <x:v>Saved public company, industry-directory or regulatory source; source date retained</x:v>
      </x:c>
      <x:c r="Y2122" s="25" t="str">
        <x:v>https://www.investorrehabfunding.com/</x:v>
      </x:c>
      <x:c r="Z2122" s="25" t="str">
        <x:v>https://www.hardmoneyhome.com/lenders/view/investor-rehab-funding</x:v>
      </x:c>
      <x:c r="AA2122" s="25" t="str">
        <x:v>[]</x:v>
      </x:c>
      <x:c r="AB2122" s="3" t="str">
        <x:v>Existing CapitalForge research, newly screened for this campaign</x:v>
      </x:c>
      <x:c r="AC2122" s="3" t="str">
        <x:v>unverified</x:v>
      </x:c>
      <x:c r="AD2122" s="3" t="str">
        <x:v>Not contacted / unconfirmed</x:v>
      </x:c>
      <x:c r="AE2122" s="3" t="str">
        <x:v>No</x:v>
      </x:c>
      <x:c r="AF2122" s="3" t="str">
        <x:v>No</x:v>
      </x:c>
      <x:c r="AG2122" s="3"/>
      <x:c r="AH2122" s="3"/>
      <x:c r="AI2122" s="18"/>
      <x:c r="AJ2122" s="3" t="str">
        <x:v>CF2500-EF9D11FB7EC5</x:v>
      </x:c>
      <x:c r="AK2122" s="3" t="str">
        <x:v>private_real_estate_lender</x:v>
      </x:c>
      <x:c r="AL2122" s="19" t="n">
        <x:v>100000</x:v>
      </x:c>
      <x:c r="AM2122" s="19" t="n">
        <x:v>500000</x:v>
      </x:c>
      <x:c r="AN2122" s="3" t="str">
        <x:v>https://www.hardmoneyhome.com/lenders/view/investor-rehab-funding</x:v>
      </x:c>
      <x:c r="AO2122" s="3" t="str">
        <x:v>public_directory.jsonl</x:v>
      </x:c>
      <x:c r="AP2122" s="19"/>
    </x:row>
    <x:row r="2123" ht="36" customHeight="1">
      <x:c r="A2123" s="23" t="n">
        <x:v>2122</x:v>
      </x:c>
      <x:c r="B2123" s="15" t="str">
        <x:v>Kruger Investment Company</x:v>
      </x:c>
      <x:c r="C2123" s="15"/>
      <x:c r="D2123" s="15" t="str">
        <x:v>Property lender or directory member; operating-company capital unconfirmed</x:v>
      </x:c>
      <x:c r="E2123" s="15" t="str">
        <x:v>Property lender / private-money inquiry</x:v>
      </x:c>
      <x:c r="F2123" s="17" t="str">
        <x:v>New</x:v>
      </x:c>
      <x:c r="G2123" s="24" t="str">
        <x:v>info@kicloans.com</x:v>
      </x:c>
      <x:c r="H2123" s="24" t="str">
        <x:v>+14052359332</x:v>
      </x:c>
      <x:c r="I2123" s="24" t="str">
        <x:v>https://www.kicloans.com/</x:v>
      </x:c>
      <x:c r="J2123" s="16" t="str">
        <x:v>OK</x:v>
      </x:c>
      <x:c r="K2123" s="16" t="str">
        <x:v>Oklahoma City</x:v>
      </x:c>
      <x:c r="L2123" s="16" t="str">
        <x:v>firm_business_routing</x:v>
      </x:c>
      <x:c r="M2123" s="16" t="str">
        <x:v>https://www.kicloans.com/</x:v>
      </x:c>
      <x:c r="N2123" s="16" t="str">
        <x:v>$100K-$500K ticket not published / unconfirmed</x:v>
      </x:c>
      <x:c r="O2123" s="20"/>
      <x:c r="P2123" s="20"/>
      <x:c r="Q2123" s="25" t="str">
        <x:v>Property-loan range, not a corporate-capital commitment</x:v>
      </x:c>
      <x:c r="R2123" s="25" t="str">
        <x:v>Private real-estate finance experience. Corporate working capital, minority equity or profit participation requires a separate agreement from a property loan.</x:v>
      </x:c>
      <x:c r="S2123" s="25"/>
      <x:c r="T2123" s="25" t="str">
        <x:v>Confirm direct principal versus broker, $100K-$500K appetite, and whether capital can fund the operating company without a property mortgage.</x:v>
      </x:c>
      <x:c r="U2123" s="25" t="str">
        <x:v>https://www.hardmoneyhome.com/lenders/view/kruger-investment-company
https://www.kicloans.com/</x:v>
      </x:c>
      <x:c r="V2123" s="26" t="d">
        <x:v>2026-10-02T00:00:00.000Z</x:v>
      </x:c>
      <x:c r="W2123" s="26" t="d">
        <x:v>2026-09-30T00:00:00.000Z</x:v>
      </x:c>
      <x:c r="X2123" s="25" t="str">
        <x:v>Saved public company, industry-directory or regulatory source; source date retained</x:v>
      </x:c>
      <x:c r="Y2123" s="25" t="str">
        <x:v>https://www.kicloans.com/</x:v>
      </x:c>
      <x:c r="Z2123" s="25" t="str">
        <x:v>https://www.hardmoneyhome.com/lenders/view/kruger-investment-company</x:v>
      </x:c>
      <x:c r="AA2123" s="25" t="str">
        <x:v>[]</x:v>
      </x:c>
      <x:c r="AB2123" s="3" t="str">
        <x:v>Existing CapitalForge research, newly screened for this campaign</x:v>
      </x:c>
      <x:c r="AC2123" s="3" t="str">
        <x:v>unverified</x:v>
      </x:c>
      <x:c r="AD2123" s="3" t="str">
        <x:v>Not contacted / unconfirmed</x:v>
      </x:c>
      <x:c r="AE2123" s="3" t="str">
        <x:v>No</x:v>
      </x:c>
      <x:c r="AF2123" s="3" t="str">
        <x:v>No</x:v>
      </x:c>
      <x:c r="AG2123" s="3"/>
      <x:c r="AH2123" s="3"/>
      <x:c r="AI2123" s="18"/>
      <x:c r="AJ2123" s="3" t="str">
        <x:v>CF2500-AFECAB9BB188</x:v>
      </x:c>
      <x:c r="AK2123" s="3" t="str">
        <x:v>private_real_estate_lender</x:v>
      </x:c>
      <x:c r="AL2123" s="19" t="n">
        <x:v>100000</x:v>
      </x:c>
      <x:c r="AM2123" s="19" t="n">
        <x:v>500000</x:v>
      </x:c>
      <x:c r="AN2123" s="3" t="str">
        <x:v>https://www.hardmoneyhome.com/lenders/view/kruger-investment-company</x:v>
      </x:c>
      <x:c r="AO2123" s="3" t="str">
        <x:v>public_directory.jsonl</x:v>
      </x:c>
      <x:c r="AP2123" s="19"/>
    </x:row>
    <x:row r="2124" ht="36" customHeight="1">
      <x:c r="A2124" s="23" t="n">
        <x:v>2123</x:v>
      </x:c>
      <x:c r="B2124" s="15" t="str">
        <x:v>Muletown Funding</x:v>
      </x:c>
      <x:c r="C2124" s="15"/>
      <x:c r="D2124" s="15" t="str">
        <x:v>Property lender or directory member; operating-company capital unconfirmed</x:v>
      </x:c>
      <x:c r="E2124" s="15" t="str">
        <x:v>Property lender / private-money inquiry</x:v>
      </x:c>
      <x:c r="F2124" s="17" t="str">
        <x:v>New</x:v>
      </x:c>
      <x:c r="G2124" s="24" t="str">
        <x:v>info@muletownfunding.com</x:v>
      </x:c>
      <x:c r="H2124" s="24" t="str">
        <x:v>+16156545000</x:v>
      </x:c>
      <x:c r="I2124" s="24" t="str">
        <x:v>https://muletownfunding.com/?utm_source=private-lender-link</x:v>
      </x:c>
      <x:c r="J2124" s="16" t="str">
        <x:v>CO</x:v>
      </x:c>
      <x:c r="K2124" s="16" t="str">
        <x:v>Aurora</x:v>
      </x:c>
      <x:c r="L2124" s="16" t="str">
        <x:v>firm_business_routing</x:v>
      </x:c>
      <x:c r="M2124" s="16" t="str">
        <x:v>https://muletownfunding.com/?utm_source=private-lender-link</x:v>
      </x:c>
      <x:c r="N2124" s="16" t="str">
        <x:v>$100K-$500K ticket not published / unconfirmed</x:v>
      </x:c>
      <x:c r="O2124" s="20"/>
      <x:c r="P2124" s="20"/>
      <x:c r="Q2124" s="25" t="str">
        <x:v>Property-loan range, not a corporate-capital commitment</x:v>
      </x:c>
      <x:c r="R2124" s="25" t="str">
        <x:v>Private real-estate finance experience. Corporate working capital, minority equity or profit participation requires a separate agreement from a property loan.</x:v>
      </x:c>
      <x:c r="S2124" s="25"/>
      <x:c r="T2124" s="25" t="str">
        <x:v>Confirm direct principal versus broker, $100K-$500K appetite, and whether capital can fund the operating company without a property mortgage.</x:v>
      </x:c>
      <x:c r="U2124" s="25" t="str">
        <x:v>https://privatelenderlink.com/profile/muletown-funding/</x:v>
      </x:c>
      <x:c r="V2124" s="26" t="d">
        <x:v>2026-10-02T00:00:00.000Z</x:v>
      </x:c>
      <x:c r="W2124" s="26" t="d">
        <x:v>2026-09-30T00:00:00.000Z</x:v>
      </x:c>
      <x:c r="X2124" s="25" t="str">
        <x:v>Saved public company, industry-directory or regulatory source; source date retained</x:v>
      </x:c>
      <x:c r="Y2124" s="25" t="str">
        <x:v>https://privatelenderlink.com/profile/muletown-funding/</x:v>
      </x:c>
      <x:c r="Z2124" s="25" t="str">
        <x:v>https://privatelenderlink.com/profile/muletown-funding/</x:v>
      </x:c>
      <x:c r="AA2124" s="25" t="str">
        <x:v>[]</x:v>
      </x:c>
      <x:c r="AB2124" s="3" t="str">
        <x:v>Existing CapitalForge research, newly screened for this campaign</x:v>
      </x:c>
      <x:c r="AC2124" s="3" t="str">
        <x:v>unverified</x:v>
      </x:c>
      <x:c r="AD2124" s="3" t="str">
        <x:v>Not contacted / unconfirmed</x:v>
      </x:c>
      <x:c r="AE2124" s="3" t="str">
        <x:v>No</x:v>
      </x:c>
      <x:c r="AF2124" s="3" t="str">
        <x:v>No</x:v>
      </x:c>
      <x:c r="AG2124" s="3"/>
      <x:c r="AH2124" s="3"/>
      <x:c r="AI2124" s="18"/>
      <x:c r="AJ2124" s="3" t="str">
        <x:v>CF2500-E9AA4F98467B</x:v>
      </x:c>
      <x:c r="AK2124" s="3" t="str">
        <x:v>private_real_estate_lender</x:v>
      </x:c>
      <x:c r="AL2124" s="19" t="n">
        <x:v>100000</x:v>
      </x:c>
      <x:c r="AM2124" s="19" t="n">
        <x:v>500000</x:v>
      </x:c>
      <x:c r="AN2124" s="3" t="str">
        <x:v>https://privatelenderlink.com/profile/muletown-funding/</x:v>
      </x:c>
      <x:c r="AO2124" s="3" t="str">
        <x:v>public_directory.jsonl</x:v>
      </x:c>
      <x:c r="AP2124" s="19"/>
    </x:row>
    <x:row r="2125" ht="36" customHeight="1">
      <x:c r="A2125" s="23" t="n">
        <x:v>2124</x:v>
      </x:c>
      <x:c r="B2125" s="15" t="str">
        <x:v>PK Capital</x:v>
      </x:c>
      <x:c r="C2125" s="15"/>
      <x:c r="D2125" s="15" t="str">
        <x:v>Property lender or directory member; operating-company capital unconfirmed</x:v>
      </x:c>
      <x:c r="E2125" s="15" t="str">
        <x:v>Property lender / private-money inquiry</x:v>
      </x:c>
      <x:c r="F2125" s="17" t="str">
        <x:v>New</x:v>
      </x:c>
      <x:c r="G2125" s="24" t="str">
        <x:v>info@pk-team.com</x:v>
      </x:c>
      <x:c r="H2125" s="24" t="str">
        <x:v>+18649009900</x:v>
      </x:c>
      <x:c r="I2125" s="24" t="str">
        <x:v>https://www.pkcapital.com/?utm_source=private-lender-link</x:v>
      </x:c>
      <x:c r="J2125" s="16" t="str">
        <x:v>SC</x:v>
      </x:c>
      <x:c r="K2125" s="16" t="str">
        <x:v>Greenville</x:v>
      </x:c>
      <x:c r="L2125" s="16" t="str">
        <x:v>firm_business_routing</x:v>
      </x:c>
      <x:c r="M2125" s="16" t="str">
        <x:v>https://www.pkcapital.com/?utm_source=private-lender-link</x:v>
      </x:c>
      <x:c r="N2125" s="16" t="str">
        <x:v>$100K-$500K ticket not published / unconfirmed</x:v>
      </x:c>
      <x:c r="O2125" s="20"/>
      <x:c r="P2125" s="20"/>
      <x:c r="Q2125" s="25" t="str">
        <x:v>Property-loan range, not a corporate-capital commitment</x:v>
      </x:c>
      <x:c r="R2125" s="25" t="str">
        <x:v>Private real-estate finance experience. Corporate working capital, minority equity or profit participation requires a separate agreement from a property loan.</x:v>
      </x:c>
      <x:c r="S2125" s="25"/>
      <x:c r="T2125" s="25" t="str">
        <x:v>Confirm direct principal versus broker, $100K-$500K appetite, and whether capital can fund the operating company without a property mortgage.</x:v>
      </x:c>
      <x:c r="U2125" s="25" t="str">
        <x:v>https://privatelenderlink.com/profile/pk-capital/</x:v>
      </x:c>
      <x:c r="V2125" s="26" t="d">
        <x:v>2026-10-02T00:00:00.000Z</x:v>
      </x:c>
      <x:c r="W2125" s="26" t="d">
        <x:v>2026-09-30T00:00:00.000Z</x:v>
      </x:c>
      <x:c r="X2125" s="25" t="str">
        <x:v>Saved public company, industry-directory or regulatory source; source date retained</x:v>
      </x:c>
      <x:c r="Y2125" s="25" t="str">
        <x:v>https://privatelenderlink.com/profile/pk-capital/</x:v>
      </x:c>
      <x:c r="Z2125" s="25" t="str">
        <x:v>https://privatelenderlink.com/profile/pk-capital/</x:v>
      </x:c>
      <x:c r="AA2125" s="25" t="str">
        <x:v>[]</x:v>
      </x:c>
      <x:c r="AB2125" s="3" t="str">
        <x:v>Existing CapitalForge research, newly screened for this campaign</x:v>
      </x:c>
      <x:c r="AC2125" s="3" t="str">
        <x:v>unverified</x:v>
      </x:c>
      <x:c r="AD2125" s="3" t="str">
        <x:v>Not contacted / unconfirmed</x:v>
      </x:c>
      <x:c r="AE2125" s="3" t="str">
        <x:v>No</x:v>
      </x:c>
      <x:c r="AF2125" s="3" t="str">
        <x:v>No</x:v>
      </x:c>
      <x:c r="AG2125" s="3"/>
      <x:c r="AH2125" s="3"/>
      <x:c r="AI2125" s="18"/>
      <x:c r="AJ2125" s="3" t="str">
        <x:v>CF2500-5B2FE141D87F</x:v>
      </x:c>
      <x:c r="AK2125" s="3" t="str">
        <x:v>private_real_estate_lender</x:v>
      </x:c>
      <x:c r="AL2125" s="19" t="n">
        <x:v>100000</x:v>
      </x:c>
      <x:c r="AM2125" s="19" t="n">
        <x:v>500000</x:v>
      </x:c>
      <x:c r="AN2125" s="3" t="str">
        <x:v>https://privatelenderlink.com/profile/pk-capital/</x:v>
      </x:c>
      <x:c r="AO2125" s="3" t="str">
        <x:v>public_directory.jsonl</x:v>
      </x:c>
      <x:c r="AP2125" s="19"/>
    </x:row>
    <x:row r="2126" ht="36" customHeight="1">
      <x:c r="A2126" s="23" t="n">
        <x:v>2125</x:v>
      </x:c>
      <x:c r="B2126" s="15" t="str">
        <x:v>REI Funding Partners</x:v>
      </x:c>
      <x:c r="C2126" s="15"/>
      <x:c r="D2126" s="15" t="str">
        <x:v>Property lender or directory member; operating-company capital unconfirmed</x:v>
      </x:c>
      <x:c r="E2126" s="15" t="str">
        <x:v>Property lender / private-money inquiry</x:v>
      </x:c>
      <x:c r="F2126" s="17" t="str">
        <x:v>New</x:v>
      </x:c>
      <x:c r="G2126" s="24" t="str">
        <x:v>info@reifundingpartners.com</x:v>
      </x:c>
      <x:c r="H2126" s="24" t="str">
        <x:v>+12059243418</x:v>
      </x:c>
      <x:c r="I2126" s="24" t="str">
        <x:v>https://reifundingpartners.com/?utm_source=private-lender-link</x:v>
      </x:c>
      <x:c r="J2126" s="16" t="str">
        <x:v>AL</x:v>
      </x:c>
      <x:c r="K2126" s="16" t="str">
        <x:v>Northport</x:v>
      </x:c>
      <x:c r="L2126" s="16" t="str">
        <x:v>firm_business_routing</x:v>
      </x:c>
      <x:c r="M2126" s="16" t="str">
        <x:v>https://reifundingpartners.com/?utm_source=private-lender-link</x:v>
      </x:c>
      <x:c r="N2126" s="16" t="str">
        <x:v>$100K-$500K ticket not published / unconfirmed</x:v>
      </x:c>
      <x:c r="O2126" s="20"/>
      <x:c r="P2126" s="20"/>
      <x:c r="Q2126" s="25" t="str">
        <x:v>Property-loan range, not a corporate-capital commitment</x:v>
      </x:c>
      <x:c r="R2126" s="25" t="str">
        <x:v>Private real-estate finance experience. Corporate working capital, minority equity or profit participation requires a separate agreement from a property loan.</x:v>
      </x:c>
      <x:c r="S2126" s="25"/>
      <x:c r="T2126" s="25" t="str">
        <x:v>Confirm direct principal versus broker, $100K-$500K appetite, and whether capital can fund the operating company without a property mortgage.</x:v>
      </x:c>
      <x:c r="U2126" s="25" t="str">
        <x:v>https://privatelenderlink.com/profile/rei-funding-partners/</x:v>
      </x:c>
      <x:c r="V2126" s="26" t="d">
        <x:v>2026-10-02T00:00:00.000Z</x:v>
      </x:c>
      <x:c r="W2126" s="26" t="d">
        <x:v>2026-09-30T00:00:00.000Z</x:v>
      </x:c>
      <x:c r="X2126" s="25" t="str">
        <x:v>Saved public company, industry-directory or regulatory source; source date retained</x:v>
      </x:c>
      <x:c r="Y2126" s="25" t="str">
        <x:v>https://privatelenderlink.com/profile/rei-funding-partners/</x:v>
      </x:c>
      <x:c r="Z2126" s="25" t="str">
        <x:v>https://privatelenderlink.com/profile/rei-funding-partners/</x:v>
      </x:c>
      <x:c r="AA2126" s="25" t="str">
        <x:v>[]</x:v>
      </x:c>
      <x:c r="AB2126" s="3" t="str">
        <x:v>Existing CapitalForge research, newly screened for this campaign</x:v>
      </x:c>
      <x:c r="AC2126" s="3" t="str">
        <x:v>unverified</x:v>
      </x:c>
      <x:c r="AD2126" s="3" t="str">
        <x:v>Not contacted / unconfirmed</x:v>
      </x:c>
      <x:c r="AE2126" s="3" t="str">
        <x:v>No</x:v>
      </x:c>
      <x:c r="AF2126" s="3" t="str">
        <x:v>No</x:v>
      </x:c>
      <x:c r="AG2126" s="3"/>
      <x:c r="AH2126" s="3"/>
      <x:c r="AI2126" s="18"/>
      <x:c r="AJ2126" s="3" t="str">
        <x:v>CF2500-DFE460DED38A</x:v>
      </x:c>
      <x:c r="AK2126" s="3" t="str">
        <x:v>private_real_estate_lender</x:v>
      </x:c>
      <x:c r="AL2126" s="19" t="n">
        <x:v>100000</x:v>
      </x:c>
      <x:c r="AM2126" s="19" t="n">
        <x:v>500000</x:v>
      </x:c>
      <x:c r="AN2126" s="3" t="str">
        <x:v>https://privatelenderlink.com/profile/rei-funding-partners/</x:v>
      </x:c>
      <x:c r="AO2126" s="3" t="str">
        <x:v>public_directory.jsonl</x:v>
      </x:c>
      <x:c r="AP2126" s="19"/>
    </x:row>
    <x:row r="2127" ht="36" customHeight="1">
      <x:c r="A2127" s="23" t="n">
        <x:v>2126</x:v>
      </x:c>
      <x:c r="B2127" s="15" t="str">
        <x:v>Rental Home Financing</x:v>
      </x:c>
      <x:c r="C2127" s="15"/>
      <x:c r="D2127" s="15" t="str">
        <x:v>Property lender or directory member; operating-company capital unconfirmed</x:v>
      </x:c>
      <x:c r="E2127" s="15" t="str">
        <x:v>Property lender / private-money inquiry</x:v>
      </x:c>
      <x:c r="F2127" s="17" t="str">
        <x:v>New</x:v>
      </x:c>
      <x:c r="G2127" s="24" t="str">
        <x:v>staff@rentalhomefinancing.com</x:v>
      </x:c>
      <x:c r="H2127" s="24" t="str">
        <x:v>+18883757977</x:v>
      </x:c>
      <x:c r="I2127" s="24" t="str">
        <x:v>http://www.rentalhomefinancing.com/</x:v>
      </x:c>
      <x:c r="J2127" s="16" t="str">
        <x:v>IN</x:v>
      </x:c>
      <x:c r="K2127" s="16" t="str">
        <x:v>Indianapolis</x:v>
      </x:c>
      <x:c r="L2127" s="16" t="str">
        <x:v>firm_business_routing</x:v>
      </x:c>
      <x:c r="M2127" s="16" t="str">
        <x:v>http://www.rentalhomefinancing.com/</x:v>
      </x:c>
      <x:c r="N2127" s="16" t="str">
        <x:v>$100K-$500K ticket not published / unconfirmed</x:v>
      </x:c>
      <x:c r="O2127" s="20"/>
      <x:c r="P2127" s="20"/>
      <x:c r="Q2127" s="25" t="str">
        <x:v>Property-loan range, not a corporate-capital commitment</x:v>
      </x:c>
      <x:c r="R2127" s="25" t="str">
        <x:v>Private real-estate finance experience. Corporate working capital, minority equity or profit participation requires a separate agreement from a property loan.</x:v>
      </x:c>
      <x:c r="S2127" s="25"/>
      <x:c r="T2127" s="25" t="str">
        <x:v>Confirm direct principal versus broker, $100K-$500K appetite, and whether capital can fund the operating company without a property mortgage.</x:v>
      </x:c>
      <x:c r="U2127" s="25" t="str">
        <x:v>https://www.hardmoneyhome.com/lenders/view/rental-home-financing
https://www.rentalhomefinancing.com/</x:v>
      </x:c>
      <x:c r="V2127" s="26" t="d">
        <x:v>2026-10-02T00:00:00.000Z</x:v>
      </x:c>
      <x:c r="W2127" s="26" t="d">
        <x:v>2026-09-30T00:00:00.000Z</x:v>
      </x:c>
      <x:c r="X2127" s="25" t="str">
        <x:v>Saved public company, industry-directory or regulatory source; source date retained</x:v>
      </x:c>
      <x:c r="Y2127" s="25" t="str">
        <x:v>https://www.rentalhomefinancing.com/</x:v>
      </x:c>
      <x:c r="Z2127" s="25" t="str">
        <x:v>https://www.hardmoneyhome.com/lenders/view/rental-home-financing</x:v>
      </x:c>
      <x:c r="AA2127" s="25" t="str">
        <x:v>[]</x:v>
      </x:c>
      <x:c r="AB2127" s="3" t="str">
        <x:v>Existing CapitalForge research, newly screened for this campaign</x:v>
      </x:c>
      <x:c r="AC2127" s="3" t="str">
        <x:v>unverified</x:v>
      </x:c>
      <x:c r="AD2127" s="3" t="str">
        <x:v>Not contacted / unconfirmed</x:v>
      </x:c>
      <x:c r="AE2127" s="3" t="str">
        <x:v>No</x:v>
      </x:c>
      <x:c r="AF2127" s="3" t="str">
        <x:v>No</x:v>
      </x:c>
      <x:c r="AG2127" s="3"/>
      <x:c r="AH2127" s="3"/>
      <x:c r="AI2127" s="18"/>
      <x:c r="AJ2127" s="3" t="str">
        <x:v>CF2500-0EEEE1CFC990</x:v>
      </x:c>
      <x:c r="AK2127" s="3" t="str">
        <x:v>private_real_estate_lender</x:v>
      </x:c>
      <x:c r="AL2127" s="19" t="n">
        <x:v>100000</x:v>
      </x:c>
      <x:c r="AM2127" s="19" t="n">
        <x:v>500000</x:v>
      </x:c>
      <x:c r="AN2127" s="3" t="str">
        <x:v>https://www.hardmoneyhome.com/lenders/view/rental-home-financing</x:v>
      </x:c>
      <x:c r="AO2127" s="3" t="str">
        <x:v>public_directory.jsonl</x:v>
      </x:c>
      <x:c r="AP2127" s="19"/>
    </x:row>
    <x:row r="2128" ht="36" customHeight="1">
      <x:c r="A2128" s="23" t="n">
        <x:v>2127</x:v>
      </x:c>
      <x:c r="B2128" s="15" t="str">
        <x:v>SL Lending</x:v>
      </x:c>
      <x:c r="C2128" s="15"/>
      <x:c r="D2128" s="15" t="str">
        <x:v>Property lender or directory member; operating-company capital unconfirmed</x:v>
      </x:c>
      <x:c r="E2128" s="15" t="str">
        <x:v>Property lender / private-money inquiry</x:v>
      </x:c>
      <x:c r="F2128" s="17" t="str">
        <x:v>New</x:v>
      </x:c>
      <x:c r="G2128" s="24" t="str">
        <x:v>contact@sllending.com</x:v>
      </x:c>
      <x:c r="H2128" s="24" t="str">
        <x:v>+14046431982</x:v>
      </x:c>
      <x:c r="I2128" s="24" t="str">
        <x:v>https://www.sllending.com/</x:v>
      </x:c>
      <x:c r="J2128" s="16" t="str">
        <x:v>GA</x:v>
      </x:c>
      <x:c r="K2128" s="16" t="str">
        <x:v>Atlanta</x:v>
      </x:c>
      <x:c r="L2128" s="16" t="str">
        <x:v>firm_business_routing</x:v>
      </x:c>
      <x:c r="M2128" s="16" t="str">
        <x:v>https://www.sllending.com/</x:v>
      </x:c>
      <x:c r="N2128" s="16" t="str">
        <x:v>$100K-$500K ticket not published / unconfirmed</x:v>
      </x:c>
      <x:c r="O2128" s="20"/>
      <x:c r="P2128" s="20"/>
      <x:c r="Q2128" s="25" t="str">
        <x:v>Property-loan range, not a corporate-capital commitment</x:v>
      </x:c>
      <x:c r="R2128" s="25" t="str">
        <x:v>Private real-estate finance experience. Corporate working capital, minority equity or profit participation requires a separate agreement from a property loan.</x:v>
      </x:c>
      <x:c r="S2128" s="25"/>
      <x:c r="T2128" s="25" t="str">
        <x:v>Confirm direct principal versus broker, $100K-$500K appetite, and whether capital can fund the operating company without a property mortgage.</x:v>
      </x:c>
      <x:c r="U2128" s="25" t="str">
        <x:v>https://www.hardmoneyhome.com/lenders/view/sl-lending
https://www.sllending.com/</x:v>
      </x:c>
      <x:c r="V2128" s="26" t="d">
        <x:v>2026-10-02T00:00:00.000Z</x:v>
      </x:c>
      <x:c r="W2128" s="26" t="d">
        <x:v>2026-09-30T00:00:00.000Z</x:v>
      </x:c>
      <x:c r="X2128" s="25" t="str">
        <x:v>Saved public company, industry-directory or regulatory source; source date retained</x:v>
      </x:c>
      <x:c r="Y2128" s="25" t="str">
        <x:v>https://www.sllending.com/</x:v>
      </x:c>
      <x:c r="Z2128" s="25" t="str">
        <x:v>https://www.hardmoneyhome.com/lenders/view/sl-lending</x:v>
      </x:c>
      <x:c r="AA2128" s="25" t="str">
        <x:v>[]</x:v>
      </x:c>
      <x:c r="AB2128" s="3" t="str">
        <x:v>Existing CapitalForge research, newly screened for this campaign</x:v>
      </x:c>
      <x:c r="AC2128" s="3" t="str">
        <x:v>unverified</x:v>
      </x:c>
      <x:c r="AD2128" s="3" t="str">
        <x:v>Not contacted / unconfirmed</x:v>
      </x:c>
      <x:c r="AE2128" s="3" t="str">
        <x:v>No</x:v>
      </x:c>
      <x:c r="AF2128" s="3" t="str">
        <x:v>No</x:v>
      </x:c>
      <x:c r="AG2128" s="3"/>
      <x:c r="AH2128" s="3"/>
      <x:c r="AI2128" s="18"/>
      <x:c r="AJ2128" s="3" t="str">
        <x:v>CF2500-ABC3F6E3A64C</x:v>
      </x:c>
      <x:c r="AK2128" s="3" t="str">
        <x:v>private_real_estate_lender</x:v>
      </x:c>
      <x:c r="AL2128" s="19" t="n">
        <x:v>100000</x:v>
      </x:c>
      <x:c r="AM2128" s="19" t="n">
        <x:v>500000</x:v>
      </x:c>
      <x:c r="AN2128" s="3" t="str">
        <x:v>https://www.hardmoneyhome.com/lenders/view/sl-lending</x:v>
      </x:c>
      <x:c r="AO2128" s="3" t="str">
        <x:v>public_directory.jsonl</x:v>
      </x:c>
      <x:c r="AP2128" s="19"/>
    </x:row>
    <x:row r="2129" ht="36" customHeight="1">
      <x:c r="A2129" s="23" t="n">
        <x:v>2128</x:v>
      </x:c>
      <x:c r="B2129" s="15" t="str">
        <x:v>WN Financial Solutions</x:v>
      </x:c>
      <x:c r="C2129" s="15"/>
      <x:c r="D2129" s="15" t="str">
        <x:v>Property lender or directory member; operating-company capital unconfirmed</x:v>
      </x:c>
      <x:c r="E2129" s="15" t="str">
        <x:v>Property lender / private-money inquiry</x:v>
      </x:c>
      <x:c r="F2129" s="17" t="str">
        <x:v>New</x:v>
      </x:c>
      <x:c r="G2129" s="24" t="str">
        <x:v>ann@wnfinancialsolutions.com</x:v>
      </x:c>
      <x:c r="H2129" s="24" t="str">
        <x:v>+17194458211</x:v>
      </x:c>
      <x:c r="I2129" s="24" t="str">
        <x:v>http://www.wnfinancialsolutions.com/</x:v>
      </x:c>
      <x:c r="J2129" s="16" t="str">
        <x:v>CO</x:v>
      </x:c>
      <x:c r="K2129" s="16" t="str">
        <x:v>Colorado Springs</x:v>
      </x:c>
      <x:c r="L2129" s="16" t="str">
        <x:v>firm_business_routing</x:v>
      </x:c>
      <x:c r="M2129" s="16" t="str">
        <x:v>http://www.wnfinancialsolutions.com/</x:v>
      </x:c>
      <x:c r="N2129" s="16" t="str">
        <x:v>$100K-$500K ticket not published / unconfirmed</x:v>
      </x:c>
      <x:c r="O2129" s="20"/>
      <x:c r="P2129" s="20"/>
      <x:c r="Q2129" s="25" t="str">
        <x:v>Property-loan range, not a corporate-capital commitment</x:v>
      </x:c>
      <x:c r="R2129" s="25" t="str">
        <x:v>Private real-estate finance experience. Corporate working capital, minority equity or profit participation requires a separate agreement from a property loan.</x:v>
      </x:c>
      <x:c r="S2129" s="25"/>
      <x:c r="T2129" s="25" t="str">
        <x:v>Confirm direct principal versus broker, $100K-$500K appetite, and whether capital can fund the operating company without a property mortgage.</x:v>
      </x:c>
      <x:c r="U2129" s="25" t="str">
        <x:v>https://www.hardmoneyhome.com/lenders/view/wn-financial-solutions
https://www.wnfinancialsolutions.com/about/</x:v>
      </x:c>
      <x:c r="V2129" s="26" t="d">
        <x:v>2026-10-02T00:00:00.000Z</x:v>
      </x:c>
      <x:c r="W2129" s="26" t="d">
        <x:v>2026-09-30T00:00:00.000Z</x:v>
      </x:c>
      <x:c r="X2129" s="25" t="str">
        <x:v>Saved public company, industry-directory or regulatory source; source date retained</x:v>
      </x:c>
      <x:c r="Y2129" s="25" t="str">
        <x:v>https://www.wnfinancialsolutions.com/about/</x:v>
      </x:c>
      <x:c r="Z2129" s="25" t="str">
        <x:v>https://www.hardmoneyhome.com/lenders/view/wn-financial-solutions</x:v>
      </x:c>
      <x:c r="AA2129" s="25" t="str">
        <x:v>[]</x:v>
      </x:c>
      <x:c r="AB2129" s="3" t="str">
        <x:v>Existing CapitalForge research, newly screened for this campaign</x:v>
      </x:c>
      <x:c r="AC2129" s="3" t="str">
        <x:v>unverified</x:v>
      </x:c>
      <x:c r="AD2129" s="3" t="str">
        <x:v>Not contacted / unconfirmed</x:v>
      </x:c>
      <x:c r="AE2129" s="3" t="str">
        <x:v>No</x:v>
      </x:c>
      <x:c r="AF2129" s="3" t="str">
        <x:v>No</x:v>
      </x:c>
      <x:c r="AG2129" s="3"/>
      <x:c r="AH2129" s="3"/>
      <x:c r="AI2129" s="18"/>
      <x:c r="AJ2129" s="3" t="str">
        <x:v>CF2500-B889E1BE917A</x:v>
      </x:c>
      <x:c r="AK2129" s="3" t="str">
        <x:v>private_real_estate_lender</x:v>
      </x:c>
      <x:c r="AL2129" s="19" t="n">
        <x:v>100000</x:v>
      </x:c>
      <x:c r="AM2129" s="19" t="n">
        <x:v>500000</x:v>
      </x:c>
      <x:c r="AN2129" s="3" t="str">
        <x:v>https://www.hardmoneyhome.com/lenders/view/wn-financial-solutions</x:v>
      </x:c>
      <x:c r="AO2129" s="3" t="str">
        <x:v>public_directory.jsonl</x:v>
      </x:c>
      <x:c r="AP2129" s="19"/>
    </x:row>
    <x:row r="2130" ht="36" customHeight="1">
      <x:c r="A2130" s="23" t="n">
        <x:v>2129</x:v>
      </x:c>
      <x:c r="B2130" s="15" t="str">
        <x:v>LOW TIDE PRIVATE LENDING</x:v>
      </x:c>
      <x:c r="C2130" s="15" t="str">
        <x:v>Alex Wall</x:v>
      </x:c>
      <x:c r="D2130" s="15" t="str">
        <x:v>Property lender / private real-estate capital prospect</x:v>
      </x:c>
      <x:c r="E2130" s="15" t="str">
        <x:v>Property lender / private-money inquiry</x:v>
      </x:c>
      <x:c r="F2130" s="17" t="str">
        <x:v>New</x:v>
      </x:c>
      <x:c r="G2130" s="24" t="str">
        <x:v>info@lowtidelending.com</x:v>
      </x:c>
      <x:c r="H2130" s="24" t="str">
        <x:v>+18445698433</x:v>
      </x:c>
      <x:c r="I2130" s="24" t="str">
        <x:v>https://lowtidelending.com/</x:v>
      </x:c>
      <x:c r="J2130" s="16" t="str">
        <x:v>SC</x:v>
      </x:c>
      <x:c r="K2130" s="16" t="str">
        <x:v>Charleston</x:v>
      </x:c>
      <x:c r="L2130" s="16" t="str">
        <x:v>published_professional_contact_directness_unconfirmed</x:v>
      </x:c>
      <x:c r="M2130" s="16" t="str">
        <x:v>https://lowtidelending.com/</x:v>
      </x:c>
      <x:c r="N2130" s="16" t="str">
        <x:v>$100K-$500K ticket not published / unconfirmed</x:v>
      </x:c>
      <x:c r="O2130" s="20"/>
      <x:c r="P2130" s="20"/>
      <x:c r="Q2130" s="25" t="str">
        <x:v>Property-loan range, not a corporate-capital commitment</x:v>
      </x:c>
      <x:c r="R2130" s="25" t="str">
        <x:v>Private real-estate finance experience. Corporate working capital, minority equity or profit participation requires a separate agreement from a property loan.</x:v>
      </x:c>
      <x:c r="S2130" s="25"/>
      <x:c r="T2130" s="25" t="str">
        <x:v>Confirm direct principal versus broker, $100K-$500K appetite, and whether capital can fund the operating company without a property mortgage.</x:v>
      </x:c>
      <x:c r="U2130" s="25" t="str">
        <x:v>https://www.privatelendersdirectory.com/united-states/charleston/real-estate-investment-lending/low-tide-private-lending
https://lowtidelending.com/meet-the-team/
https://lowtidelending.com/contact/
https://lowtidelending.com/
https://lowtidelending.com/products/</x:v>
      </x:c>
      <x:c r="V2130" s="26" t="d">
        <x:v>2026-10-02T00:00:00.000Z</x:v>
      </x:c>
      <x:c r="W2130" s="26" t="d">
        <x:v>2026-10-02T00:00:00.000Z</x:v>
      </x:c>
      <x:c r="X2130" s="25" t="str">
        <x:v>Public investor directory; business role and contact ownership require qualification</x:v>
      </x:c>
      <x:c r="Y2130" s="25" t="str">
        <x:v>https://www.privatelendersdirectory.com/united-states/charleston/real-estate-investment-lending/low-tide-private-lending</x:v>
      </x:c>
      <x:c r="Z2130" s="25" t="str">
        <x:v>https://www.privatelendersdirectory.com/united-states/charleston/real-estate-investment-lending/low-tide-private-lending</x:v>
      </x:c>
      <x:c r="AA2130" s="25" t="str">
        <x:v>Directory member description excerpt: CHARLESTON, SC PRIVATE LENDER Our mission is to be a local, reliable, hard-working, and responsive lender.</x:v>
      </x:c>
      <x:c r="AB2130" s="3" t="str">
        <x:v>New public-source collection</x:v>
      </x:c>
      <x:c r="AC2130" s="3" t="str">
        <x:v>unverified</x:v>
      </x:c>
      <x:c r="AD2130" s="3" t="str">
        <x:v>Not contacted / unconfirmed</x:v>
      </x:c>
      <x:c r="AE2130" s="3" t="str">
        <x:v>No</x:v>
      </x:c>
      <x:c r="AF2130" s="3" t="str">
        <x:v>No</x:v>
      </x:c>
      <x:c r="AG2130" s="3"/>
      <x:c r="AH2130" s="3"/>
      <x:c r="AI2130" s="18"/>
      <x:c r="AJ2130" s="3" t="str">
        <x:v>CF2500-90DFE21CC99D</x:v>
      </x:c>
      <x:c r="AK2130" s="3" t="str">
        <x:v>Asset-based residential real estate lender</x:v>
      </x:c>
      <x:c r="AL2130" s="19" t="n">
        <x:v>100000</x:v>
      </x:c>
      <x:c r="AM2130" s="19" t="n">
        <x:v>500000</x:v>
      </x:c>
      <x:c r="AN2130" s="3" t="str">
        <x:v>https://www.privatelendersdirectory.com/united-states/charleston/real-estate-investment-lending/low-tide-private-lending</x:v>
      </x:c>
      <x:c r="AO2130" s="3" t="str">
        <x:v>bulk_new_investors.jsonl</x:v>
      </x:c>
      <x:c r="AP2130" s="19"/>
    </x:row>
    <x:row r="2131" ht="36" customHeight="1">
      <x:c r="A2131" s="23" t="n">
        <x:v>2130</x:v>
      </x:c>
      <x:c r="B2131" s="15" t="str">
        <x:v>AHP CAPITAL</x:v>
      </x:c>
      <x:c r="C2131" s="15"/>
      <x:c r="D2131" s="15" t="str">
        <x:v>Property lender or directory member; operating-company capital unconfirmed</x:v>
      </x:c>
      <x:c r="E2131" s="15" t="str">
        <x:v>Property lender / private-money inquiry</x:v>
      </x:c>
      <x:c r="F2131" s="17" t="str">
        <x:v>New</x:v>
      </x:c>
      <x:c r="G2131" s="24" t="str">
        <x:v>info@ahpcapital.net</x:v>
      </x:c>
      <x:c r="H2131" s="24"/>
      <x:c r="I2131" s="24" t="str">
        <x:v>https://www.ahpcapital.net/</x:v>
      </x:c>
      <x:c r="J2131" s="16" t="str">
        <x:v>GA</x:v>
      </x:c>
      <x:c r="K2131" s="16" t="str">
        <x:v>Decatur</x:v>
      </x:c>
      <x:c r="L2131" s="16" t="str">
        <x:v>firm_business_routing</x:v>
      </x:c>
      <x:c r="M2131" s="16" t="str">
        <x:v>https://www.ahpcapital.net/</x:v>
      </x:c>
      <x:c r="N2131" s="16" t="str">
        <x:v>$100K-$500K ticket not published / unconfirmed</x:v>
      </x:c>
      <x:c r="O2131" s="20"/>
      <x:c r="P2131" s="20"/>
      <x:c r="Q2131" s="25" t="str">
        <x:v>Property-loan range, not a corporate-capital commitment</x:v>
      </x:c>
      <x:c r="R2131" s="25" t="str">
        <x:v>Private real-estate finance experience. Corporate working capital, minority equity or profit participation requires a separate agreement from a property loan.</x:v>
      </x:c>
      <x:c r="S2131" s="25"/>
      <x:c r="T2131" s="25" t="str">
        <x:v>Confirm direct principal versus broker, $100K-$500K appetite, and whether capital can fund the operating company without a property mortgage.</x:v>
      </x:c>
      <x:c r="U2131" s="25" t="str">
        <x:v>https://www.privatelendersdirectory.com/united-states/decatur/top-level-category/ahp-capital
https://ahpcapital.net/</x:v>
      </x:c>
      <x:c r="V2131" s="26" t="d">
        <x:v>2026-10-02T00:00:00.000Z</x:v>
      </x:c>
      <x:c r="W2131" s="26" t="d">
        <x:v>2026-09-30T00:00:00.000Z</x:v>
      </x:c>
      <x:c r="X2131" s="25" t="str">
        <x:v>Saved public company, industry-directory or regulatory source; source date retained</x:v>
      </x:c>
      <x:c r="Y2131" s="25" t="str">
        <x:v>https://ahpcapital.net/</x:v>
      </x:c>
      <x:c r="Z2131" s="25"/>
      <x:c r="AA2131" s="25" t="str">
        <x:v>[]</x:v>
      </x:c>
      <x:c r="AB2131" s="3" t="str">
        <x:v>Existing CapitalForge research, newly screened for this campaign</x:v>
      </x:c>
      <x:c r="AC2131" s="3" t="str">
        <x:v>unverified</x:v>
      </x:c>
      <x:c r="AD2131" s="3" t="str">
        <x:v>Not contacted / unconfirmed</x:v>
      </x:c>
      <x:c r="AE2131" s="3" t="str">
        <x:v>No</x:v>
      </x:c>
      <x:c r="AF2131" s="3" t="str">
        <x:v>No</x:v>
      </x:c>
      <x:c r="AG2131" s="3"/>
      <x:c r="AH2131" s="3"/>
      <x:c r="AI2131" s="18"/>
      <x:c r="AJ2131" s="3" t="str">
        <x:v>CF2500-C69C3531CC32</x:v>
      </x:c>
      <x:c r="AK2131" s="3" t="str">
        <x:v>private_real_estate_lender</x:v>
      </x:c>
      <x:c r="AL2131" s="19" t="n">
        <x:v>100000</x:v>
      </x:c>
      <x:c r="AM2131" s="19" t="n">
        <x:v>500000</x:v>
      </x:c>
      <x:c r="AN2131" s="3" t="str">
        <x:v>https://www.privatelendersdirectory.com/united-states/decatur/top-level-category/ahp-capital</x:v>
      </x:c>
      <x:c r="AO2131" s="3" t="str">
        <x:v>public_directory.jsonl</x:v>
      </x:c>
      <x:c r="AP2131" s="19"/>
    </x:row>
    <x:row r="2132" ht="36" customHeight="1">
      <x:c r="A2132" s="23" t="n">
        <x:v>2131</x:v>
      </x:c>
      <x:c r="B2132" s="15" t="str">
        <x:v>BOULDER EQUITY PARTNERS</x:v>
      </x:c>
      <x:c r="C2132" s="15"/>
      <x:c r="D2132" s="15" t="str">
        <x:v>Property lender or directory member; operating-company capital unconfirmed</x:v>
      </x:c>
      <x:c r="E2132" s="15" t="str">
        <x:v>Property lender / private-money inquiry</x:v>
      </x:c>
      <x:c r="F2132" s="17" t="str">
        <x:v>New</x:v>
      </x:c>
      <x:c r="G2132" s="24" t="str">
        <x:v>contact@boulderequitypartners.com</x:v>
      </x:c>
      <x:c r="H2132" s="24"/>
      <x:c r="I2132" s="24" t="str">
        <x:v>https://boulderequitypartners.com/</x:v>
      </x:c>
      <x:c r="J2132" s="16" t="str">
        <x:v>CO</x:v>
      </x:c>
      <x:c r="K2132" s="16" t="str">
        <x:v>Boulder</x:v>
      </x:c>
      <x:c r="L2132" s="16" t="str">
        <x:v>firm_business_routing</x:v>
      </x:c>
      <x:c r="M2132" s="16" t="str">
        <x:v>https://boulderequitypartners.com/</x:v>
      </x:c>
      <x:c r="N2132" s="16" t="str">
        <x:v>$100K-$500K ticket not published / unconfirmed</x:v>
      </x:c>
      <x:c r="O2132" s="20"/>
      <x:c r="P2132" s="20"/>
      <x:c r="Q2132" s="25" t="str">
        <x:v>Property-loan range, not a corporate-capital commitment</x:v>
      </x:c>
      <x:c r="R2132" s="25" t="str">
        <x:v>Private real-estate finance experience. Corporate working capital, minority equity or profit participation requires a separate agreement from a property loan.</x:v>
      </x:c>
      <x:c r="S2132" s="25"/>
      <x:c r="T2132" s="25" t="str">
        <x:v>Confirm direct principal versus broker, $100K-$500K appetite, and whether capital can fund the operating company without a property mortgage.</x:v>
      </x:c>
      <x:c r="U2132" s="25" t="str">
        <x:v>https://www.privatelendersdirectory.com/united-states/boulder/top-level-category/boulder-equity-partners
https://boulderequitypartners.com/</x:v>
      </x:c>
      <x:c r="V2132" s="26" t="d">
        <x:v>2026-10-02T00:00:00.000Z</x:v>
      </x:c>
      <x:c r="W2132" s="26" t="d">
        <x:v>2026-09-30T00:00:00.000Z</x:v>
      </x:c>
      <x:c r="X2132" s="25" t="str">
        <x:v>Saved public company, industry-directory or regulatory source; source date retained</x:v>
      </x:c>
      <x:c r="Y2132" s="25" t="str">
        <x:v>https://boulderequitypartners.com/</x:v>
      </x:c>
      <x:c r="Z2132" s="25"/>
      <x:c r="AA2132" s="25" t="str">
        <x:v>[]</x:v>
      </x:c>
      <x:c r="AB2132" s="3" t="str">
        <x:v>Existing CapitalForge research, newly screened for this campaign</x:v>
      </x:c>
      <x:c r="AC2132" s="3" t="str">
        <x:v>unverified</x:v>
      </x:c>
      <x:c r="AD2132" s="3" t="str">
        <x:v>Not contacted / unconfirmed</x:v>
      </x:c>
      <x:c r="AE2132" s="3" t="str">
        <x:v>No</x:v>
      </x:c>
      <x:c r="AF2132" s="3" t="str">
        <x:v>No</x:v>
      </x:c>
      <x:c r="AG2132" s="3"/>
      <x:c r="AH2132" s="3"/>
      <x:c r="AI2132" s="18"/>
      <x:c r="AJ2132" s="3" t="str">
        <x:v>CF2500-2863B37B4861</x:v>
      </x:c>
      <x:c r="AK2132" s="3" t="str">
        <x:v>private_real_estate_lender</x:v>
      </x:c>
      <x:c r="AL2132" s="19" t="n">
        <x:v>100000</x:v>
      </x:c>
      <x:c r="AM2132" s="19" t="n">
        <x:v>500000</x:v>
      </x:c>
      <x:c r="AN2132" s="3" t="str">
        <x:v>https://www.privatelendersdirectory.com/united-states/boulder/top-level-category/boulder-equity-partners</x:v>
      </x:c>
      <x:c r="AO2132" s="3" t="str">
        <x:v>public_directory.jsonl</x:v>
      </x:c>
      <x:c r="AP2132" s="19"/>
    </x:row>
    <x:row r="2133" ht="36" customHeight="1">
      <x:c r="A2133" s="23" t="n">
        <x:v>2132</x:v>
      </x:c>
      <x:c r="B2133" s="15" t="str">
        <x:v>CREDIGY</x:v>
      </x:c>
      <x:c r="C2133" s="15"/>
      <x:c r="D2133" s="15" t="str">
        <x:v>Property lender or directory member; operating-company capital unconfirmed</x:v>
      </x:c>
      <x:c r="E2133" s="15" t="str">
        <x:v>Property lender / private-money inquiry</x:v>
      </x:c>
      <x:c r="F2133" s="17" t="str">
        <x:v>New</x:v>
      </x:c>
      <x:c r="G2133" s="24" t="str">
        <x:v>info@credigy.net</x:v>
      </x:c>
      <x:c r="H2133" s="24"/>
      <x:c r="I2133" s="24" t="str">
        <x:v>https://www.credigy.net/</x:v>
      </x:c>
      <x:c r="J2133" s="16" t="str">
        <x:v>GA</x:v>
      </x:c>
      <x:c r="K2133" s="16" t="str">
        <x:v>Norcross</x:v>
      </x:c>
      <x:c r="L2133" s="16" t="str">
        <x:v>firm_business_routing</x:v>
      </x:c>
      <x:c r="M2133" s="16" t="str">
        <x:v>https://www.credigy.net/</x:v>
      </x:c>
      <x:c r="N2133" s="16" t="str">
        <x:v>$100K-$500K ticket not published / unconfirmed</x:v>
      </x:c>
      <x:c r="O2133" s="20"/>
      <x:c r="P2133" s="20"/>
      <x:c r="Q2133" s="25" t="str">
        <x:v>Property-loan range, not a corporate-capital commitment</x:v>
      </x:c>
      <x:c r="R2133" s="25" t="str">
        <x:v>Private real-estate finance experience. Corporate working capital, minority equity or profit participation requires a separate agreement from a property loan.</x:v>
      </x:c>
      <x:c r="S2133" s="25"/>
      <x:c r="T2133" s="25" t="str">
        <x:v>Confirm direct principal versus broker, $100K-$500K appetite, and whether capital can fund the operating company without a property mortgage.</x:v>
      </x:c>
      <x:c r="U2133" s="25" t="str">
        <x:v>https://www.privatelendersdirectory.com/united-states/norcross/top-level-category/credigy
https://www.credigy.net/</x:v>
      </x:c>
      <x:c r="V2133" s="26" t="d">
        <x:v>2026-10-02T00:00:00.000Z</x:v>
      </x:c>
      <x:c r="W2133" s="26" t="d">
        <x:v>2026-09-30T00:00:00.000Z</x:v>
      </x:c>
      <x:c r="X2133" s="25" t="str">
        <x:v>Saved public company, industry-directory or regulatory source; source date retained</x:v>
      </x:c>
      <x:c r="Y2133" s="25" t="str">
        <x:v>https://www.credigy.net/</x:v>
      </x:c>
      <x:c r="Z2133" s="25"/>
      <x:c r="AA2133" s="25" t="str">
        <x:v>[]</x:v>
      </x:c>
      <x:c r="AB2133" s="3" t="str">
        <x:v>Existing CapitalForge research, newly screened for this campaign</x:v>
      </x:c>
      <x:c r="AC2133" s="3" t="str">
        <x:v>unverified</x:v>
      </x:c>
      <x:c r="AD2133" s="3" t="str">
        <x:v>Not contacted / unconfirmed</x:v>
      </x:c>
      <x:c r="AE2133" s="3" t="str">
        <x:v>No</x:v>
      </x:c>
      <x:c r="AF2133" s="3" t="str">
        <x:v>No</x:v>
      </x:c>
      <x:c r="AG2133" s="3"/>
      <x:c r="AH2133" s="3"/>
      <x:c r="AI2133" s="18"/>
      <x:c r="AJ2133" s="3" t="str">
        <x:v>CF2500-DF2644BC32A3</x:v>
      </x:c>
      <x:c r="AK2133" s="3" t="str">
        <x:v>private_real_estate_lender</x:v>
      </x:c>
      <x:c r="AL2133" s="19" t="n">
        <x:v>100000</x:v>
      </x:c>
      <x:c r="AM2133" s="19" t="n">
        <x:v>500000</x:v>
      </x:c>
      <x:c r="AN2133" s="3" t="str">
        <x:v>https://www.privatelendersdirectory.com/united-states/norcross/top-level-category/credigy</x:v>
      </x:c>
      <x:c r="AO2133" s="3" t="str">
        <x:v>public_directory.jsonl</x:v>
      </x:c>
      <x:c r="AP2133" s="19"/>
    </x:row>
    <x:row r="2134" ht="36" customHeight="1">
      <x:c r="A2134" s="23" t="n">
        <x:v>2133</x:v>
      </x:c>
      <x:c r="B2134" s="15" t="str">
        <x:v>GO CAPITAL</x:v>
      </x:c>
      <x:c r="C2134" s="15"/>
      <x:c r="D2134" s="15" t="str">
        <x:v>Property lender or directory member; operating-company capital unconfirmed</x:v>
      </x:c>
      <x:c r="E2134" s="15" t="str">
        <x:v>Property lender / private-money inquiry</x:v>
      </x:c>
      <x:c r="F2134" s="17" t="str">
        <x:v>New</x:v>
      </x:c>
      <x:c r="G2134" s="24" t="str">
        <x:v>rob@gocap.io</x:v>
      </x:c>
      <x:c r="H2134" s="24"/>
      <x:c r="I2134" s="24" t="str">
        <x:v>https://gocap.io/</x:v>
      </x:c>
      <x:c r="J2134" s="16" t="str">
        <x:v>CO</x:v>
      </x:c>
      <x:c r="K2134" s="16" t="str">
        <x:v>Denver</x:v>
      </x:c>
      <x:c r="L2134" s="16" t="str">
        <x:v>firm_business_routing</x:v>
      </x:c>
      <x:c r="M2134" s="16" t="str">
        <x:v>https://gocap.io/</x:v>
      </x:c>
      <x:c r="N2134" s="16" t="str">
        <x:v>$100K-$500K ticket not published / unconfirmed</x:v>
      </x:c>
      <x:c r="O2134" s="20"/>
      <x:c r="P2134" s="20"/>
      <x:c r="Q2134" s="25" t="str">
        <x:v>Property-loan range, not a corporate-capital commitment</x:v>
      </x:c>
      <x:c r="R2134" s="25" t="str">
        <x:v>Private real-estate finance experience. Corporate working capital, minority equity or profit participation requires a separate agreement from a property loan.</x:v>
      </x:c>
      <x:c r="S2134" s="25"/>
      <x:c r="T2134" s="25" t="str">
        <x:v>Confirm direct principal versus broker, $100K-$500K appetite, and whether capital can fund the operating company without a property mortgage.</x:v>
      </x:c>
      <x:c r="U2134" s="25" t="str">
        <x:v>https://www.privatelendersdirectory.com/united-states/denver/real-estate-investment-lending/go-capital
https://gocap.io/</x:v>
      </x:c>
      <x:c r="V2134" s="26" t="d">
        <x:v>2026-10-02T00:00:00.000Z</x:v>
      </x:c>
      <x:c r="W2134" s="26" t="d">
        <x:v>2026-09-30T00:00:00.000Z</x:v>
      </x:c>
      <x:c r="X2134" s="25" t="str">
        <x:v>Saved public company, industry-directory or regulatory source; source date retained</x:v>
      </x:c>
      <x:c r="Y2134" s="25" t="str">
        <x:v>https://gocap.io/</x:v>
      </x:c>
      <x:c r="Z2134" s="25"/>
      <x:c r="AA2134" s="25" t="str">
        <x:v>[]</x:v>
      </x:c>
      <x:c r="AB2134" s="3" t="str">
        <x:v>Existing CapitalForge research, newly screened for this campaign</x:v>
      </x:c>
      <x:c r="AC2134" s="3" t="str">
        <x:v>unverified</x:v>
      </x:c>
      <x:c r="AD2134" s="3" t="str">
        <x:v>Not contacted / unconfirmed</x:v>
      </x:c>
      <x:c r="AE2134" s="3" t="str">
        <x:v>No</x:v>
      </x:c>
      <x:c r="AF2134" s="3" t="str">
        <x:v>No</x:v>
      </x:c>
      <x:c r="AG2134" s="3"/>
      <x:c r="AH2134" s="3"/>
      <x:c r="AI2134" s="18"/>
      <x:c r="AJ2134" s="3" t="str">
        <x:v>CF2500-6079C7CCBD42</x:v>
      </x:c>
      <x:c r="AK2134" s="3" t="str">
        <x:v>private_real_estate_lender</x:v>
      </x:c>
      <x:c r="AL2134" s="19" t="n">
        <x:v>100000</x:v>
      </x:c>
      <x:c r="AM2134" s="19" t="n">
        <x:v>500000</x:v>
      </x:c>
      <x:c r="AN2134" s="3" t="str">
        <x:v>https://www.privatelendersdirectory.com/united-states/denver/real-estate-investment-lending/go-capital</x:v>
      </x:c>
      <x:c r="AO2134" s="3" t="str">
        <x:v>public_directory.jsonl</x:v>
      </x:c>
      <x:c r="AP2134" s="19"/>
    </x:row>
    <x:row r="2135" ht="36" customHeight="1">
      <x:c r="A2135" s="23" t="n">
        <x:v>2134</x:v>
      </x:c>
      <x:c r="B2135" s="15" t="str">
        <x:v>Kevail Capital LLC</x:v>
      </x:c>
      <x:c r="C2135" s="15"/>
      <x:c r="D2135" s="15" t="str">
        <x:v>Property lender or directory member; operating-company capital unconfirmed</x:v>
      </x:c>
      <x:c r="E2135" s="15" t="str">
        <x:v>Property lender / private-money inquiry</x:v>
      </x:c>
      <x:c r="F2135" s="17" t="str">
        <x:v>New</x:v>
      </x:c>
      <x:c r="G2135" s="24" t="str">
        <x:v>info@kevail.com</x:v>
      </x:c>
      <x:c r="H2135" s="24"/>
      <x:c r="I2135" s="24" t="str">
        <x:v>https://kevail.com/?utm_source=private-lender-link</x:v>
      </x:c>
      <x:c r="J2135" s="16" t="str">
        <x:v>IN</x:v>
      </x:c>
      <x:c r="K2135" s="16" t="str">
        <x:v>Crown Point</x:v>
      </x:c>
      <x:c r="L2135" s="16" t="str">
        <x:v>firm_business_routing</x:v>
      </x:c>
      <x:c r="M2135" s="16" t="str">
        <x:v>https://kevail.com/?utm_source=private-lender-link</x:v>
      </x:c>
      <x:c r="N2135" s="16" t="str">
        <x:v>$100K-$500K ticket not published / unconfirmed</x:v>
      </x:c>
      <x:c r="O2135" s="20"/>
      <x:c r="P2135" s="20"/>
      <x:c r="Q2135" s="25" t="str">
        <x:v>Property-loan range, not a corporate-capital commitment</x:v>
      </x:c>
      <x:c r="R2135" s="25" t="str">
        <x:v>Private real-estate finance experience. Corporate working capital, minority equity or profit participation requires a separate agreement from a property loan.</x:v>
      </x:c>
      <x:c r="S2135" s="25"/>
      <x:c r="T2135" s="25" t="str">
        <x:v>Confirm direct principal versus broker, $100K-$500K appetite, and whether capital can fund the operating company without a property mortgage.</x:v>
      </x:c>
      <x:c r="U2135" s="25" t="str">
        <x:v>https://privatelenderlink.com/profile/kevail-capital-llc/</x:v>
      </x:c>
      <x:c r="V2135" s="26" t="d">
        <x:v>2026-10-02T00:00:00.000Z</x:v>
      </x:c>
      <x:c r="W2135" s="26" t="d">
        <x:v>2026-09-30T00:00:00.000Z</x:v>
      </x:c>
      <x:c r="X2135" s="25" t="str">
        <x:v>Saved public company, industry-directory or regulatory source; source date retained</x:v>
      </x:c>
      <x:c r="Y2135" s="25" t="str">
        <x:v>https://privatelenderlink.com/profile/kevail-capital-llc/</x:v>
      </x:c>
      <x:c r="Z2135" s="25"/>
      <x:c r="AA2135" s="25" t="str">
        <x:v>[]</x:v>
      </x:c>
      <x:c r="AB2135" s="3" t="str">
        <x:v>Existing CapitalForge research, newly screened for this campaign</x:v>
      </x:c>
      <x:c r="AC2135" s="3" t="str">
        <x:v>unverified</x:v>
      </x:c>
      <x:c r="AD2135" s="3" t="str">
        <x:v>Not contacted / unconfirmed</x:v>
      </x:c>
      <x:c r="AE2135" s="3" t="str">
        <x:v>No</x:v>
      </x:c>
      <x:c r="AF2135" s="3" t="str">
        <x:v>No</x:v>
      </x:c>
      <x:c r="AG2135" s="3"/>
      <x:c r="AH2135" s="3"/>
      <x:c r="AI2135" s="18"/>
      <x:c r="AJ2135" s="3" t="str">
        <x:v>CF2500-B95A7755C925</x:v>
      </x:c>
      <x:c r="AK2135" s="3" t="str">
        <x:v>private_real_estate_lender</x:v>
      </x:c>
      <x:c r="AL2135" s="19" t="n">
        <x:v>100000</x:v>
      </x:c>
      <x:c r="AM2135" s="19" t="n">
        <x:v>500000</x:v>
      </x:c>
      <x:c r="AN2135" s="3" t="str">
        <x:v>https://privatelenderlink.com/profile/kevail-capital-llc/</x:v>
      </x:c>
      <x:c r="AO2135" s="3" t="str">
        <x:v>public_directory.jsonl</x:v>
      </x:c>
      <x:c r="AP2135" s="19"/>
    </x:row>
    <x:row r="2136" ht="36" customHeight="1">
      <x:c r="A2136" s="23" t="n">
        <x:v>2135</x:v>
      </x:c>
      <x:c r="B2136" s="15" t="str">
        <x:v>Atlanta Capital Funding</x:v>
      </x:c>
      <x:c r="C2136" s="15"/>
      <x:c r="D2136" s="15" t="str">
        <x:v>Property lender or directory member; operating-company capital unconfirmed</x:v>
      </x:c>
      <x:c r="E2136" s="15" t="str">
        <x:v>Property lender / private-money inquiry</x:v>
      </x:c>
      <x:c r="F2136" s="17" t="str">
        <x:v>New</x:v>
      </x:c>
      <x:c r="G2136" s="24"/>
      <x:c r="H2136" s="24" t="str">
        <x:v>+14045838662</x:v>
      </x:c>
      <x:c r="I2136" s="24" t="str">
        <x:v>http://atlantacapitalfunding.com/</x:v>
      </x:c>
      <x:c r="J2136" s="16" t="str">
        <x:v>GA</x:v>
      </x:c>
      <x:c r="K2136" s="16" t="str">
        <x:v>Decatur</x:v>
      </x:c>
      <x:c r="L2136" s="16" t="str">
        <x:v>firm_business_routing</x:v>
      </x:c>
      <x:c r="M2136" s="16" t="str">
        <x:v>http://atlantacapitalfunding.com/</x:v>
      </x:c>
      <x:c r="N2136" s="16" t="str">
        <x:v>Published source range; proposed allocation and structure require confirmation</x:v>
      </x:c>
      <x:c r="O2136" s="20"/>
      <x:c r="P2136" s="20" t="n">
        <x:v>1500000</x:v>
      </x:c>
      <x:c r="Q2136" s="25" t="str">
        <x:v>Property-loan range, not a corporate-capital commitment</x:v>
      </x:c>
      <x:c r="R2136" s="25" t="str">
        <x:v>Private real-estate finance experience. Corporate working capital, minority equity or profit participation requires a separate agreement from a property loan.</x:v>
      </x:c>
      <x:c r="S2136" s="25"/>
      <x:c r="T2136" s="25" t="str">
        <x:v>Confirm direct principal versus broker, $100K-$500K appetite, and whether capital can fund the operating company without a property mortgage.</x:v>
      </x:c>
      <x:c r="U2136" s="25" t="str">
        <x:v>https://www.hardmoneyhome.com/lenders/view/atlanta-capital-funding</x:v>
      </x:c>
      <x:c r="V2136" s="26" t="d">
        <x:v>2026-10-02T00:00:00.000Z</x:v>
      </x:c>
      <x:c r="W2136" s="26" t="d">
        <x:v>2026-09-30T00:00:00.000Z</x:v>
      </x:c>
      <x:c r="X2136" s="25" t="str">
        <x:v>Saved public company, industry-directory or regulatory source; source date retained</x:v>
      </x:c>
      <x:c r="Y2136" s="25"/>
      <x:c r="Z2136" s="25" t="str">
        <x:v>https://www.hardmoneyhome.com/lenders/view/atlanta-capital-funding</x:v>
      </x:c>
      <x:c r="AA2136" s="25" t="str">
        <x:v>[]</x:v>
      </x:c>
      <x:c r="AB2136" s="3" t="str">
        <x:v>Existing CapitalForge research, newly screened for this campaign</x:v>
      </x:c>
      <x:c r="AC2136" s="3" t="str">
        <x:v>unverified</x:v>
      </x:c>
      <x:c r="AD2136" s="3" t="str">
        <x:v>Not contacted / unconfirmed</x:v>
      </x:c>
      <x:c r="AE2136" s="3" t="str">
        <x:v>No</x:v>
      </x:c>
      <x:c r="AF2136" s="3" t="str">
        <x:v>No</x:v>
      </x:c>
      <x:c r="AG2136" s="3"/>
      <x:c r="AH2136" s="3"/>
      <x:c r="AI2136" s="18"/>
      <x:c r="AJ2136" s="3" t="str">
        <x:v>CF2500-C30F385186FB</x:v>
      </x:c>
      <x:c r="AK2136" s="3" t="str">
        <x:v>private_real_estate_lender</x:v>
      </x:c>
      <x:c r="AL2136" s="19" t="n">
        <x:v>100000</x:v>
      </x:c>
      <x:c r="AM2136" s="19" t="n">
        <x:v>500000</x:v>
      </x:c>
      <x:c r="AN2136" s="3" t="str">
        <x:v>https://www.hardmoneyhome.com/lenders/view/atlanta-capital-funding</x:v>
      </x:c>
      <x:c r="AO2136" s="3" t="str">
        <x:v>public_directory.jsonl</x:v>
      </x:c>
      <x:c r="AP2136" s="19"/>
    </x:row>
    <x:row r="2137" ht="36" customHeight="1">
      <x:c r="A2137" s="23" t="n">
        <x:v>2136</x:v>
      </x:c>
      <x:c r="B2137" s="15" t="str">
        <x:v>Broakmark Real Estate Management</x:v>
      </x:c>
      <x:c r="C2137" s="15"/>
      <x:c r="D2137" s="15" t="str">
        <x:v>Property lender or directory member; operating-company capital unconfirmed</x:v>
      </x:c>
      <x:c r="E2137" s="15" t="str">
        <x:v>Property lender / private-money inquiry</x:v>
      </x:c>
      <x:c r="F2137" s="17" t="str">
        <x:v>New</x:v>
      </x:c>
      <x:c r="G2137" s="24"/>
      <x:c r="H2137" s="24" t="str">
        <x:v>+18006098704</x:v>
      </x:c>
      <x:c r="I2137" s="24" t="str">
        <x:v>http://www.broadmarkre.com/</x:v>
      </x:c>
      <x:c r="J2137" s="16" t="str">
        <x:v>CO</x:v>
      </x:c>
      <x:c r="K2137" s="16" t="str">
        <x:v>Denver</x:v>
      </x:c>
      <x:c r="L2137" s="16" t="str">
        <x:v>firm_business_routing</x:v>
      </x:c>
      <x:c r="M2137" s="16" t="str">
        <x:v>http://www.broadmarkre.com/</x:v>
      </x:c>
      <x:c r="N2137" s="16" t="str">
        <x:v>Published source range; proposed allocation and structure require confirmation</x:v>
      </x:c>
      <x:c r="O2137" s="20"/>
      <x:c r="P2137" s="20" t="n">
        <x:v>6000000</x:v>
      </x:c>
      <x:c r="Q2137" s="25" t="str">
        <x:v>Property-loan range, not a corporate-capital commitment</x:v>
      </x:c>
      <x:c r="R2137" s="25" t="str">
        <x:v>Private real-estate finance experience. Corporate working capital, minority equity or profit participation requires a separate agreement from a property loan.</x:v>
      </x:c>
      <x:c r="S2137" s="25"/>
      <x:c r="T2137" s="25" t="str">
        <x:v>Confirm direct principal versus broker, $100K-$500K appetite, and whether capital can fund the operating company without a property mortgage.</x:v>
      </x:c>
      <x:c r="U2137" s="25" t="str">
        <x:v>https://www.hardmoneyhome.com/lenders/view/broakmark-real-estate-management</x:v>
      </x:c>
      <x:c r="V2137" s="26" t="d">
        <x:v>2026-10-02T00:00:00.000Z</x:v>
      </x:c>
      <x:c r="W2137" s="26" t="d">
        <x:v>2026-09-30T00:00:00.000Z</x:v>
      </x:c>
      <x:c r="X2137" s="25" t="str">
        <x:v>Saved public company, industry-directory or regulatory source; source date retained</x:v>
      </x:c>
      <x:c r="Y2137" s="25"/>
      <x:c r="Z2137" s="25" t="str">
        <x:v>https://www.hardmoneyhome.com/lenders/view/broakmark-real-estate-management</x:v>
      </x:c>
      <x:c r="AA2137" s="25" t="str">
        <x:v>[]</x:v>
      </x:c>
      <x:c r="AB2137" s="3" t="str">
        <x:v>Existing CapitalForge research, newly screened for this campaign</x:v>
      </x:c>
      <x:c r="AC2137" s="3" t="str">
        <x:v>unverified</x:v>
      </x:c>
      <x:c r="AD2137" s="3" t="str">
        <x:v>Not contacted / unconfirmed</x:v>
      </x:c>
      <x:c r="AE2137" s="3" t="str">
        <x:v>No</x:v>
      </x:c>
      <x:c r="AF2137" s="3" t="str">
        <x:v>No</x:v>
      </x:c>
      <x:c r="AG2137" s="3"/>
      <x:c r="AH2137" s="3"/>
      <x:c r="AI2137" s="18"/>
      <x:c r="AJ2137" s="3" t="str">
        <x:v>CF2500-3E428B8D06A0</x:v>
      </x:c>
      <x:c r="AK2137" s="3" t="str">
        <x:v>private_real_estate_lender</x:v>
      </x:c>
      <x:c r="AL2137" s="19" t="n">
        <x:v>100000</x:v>
      </x:c>
      <x:c r="AM2137" s="19" t="n">
        <x:v>500000</x:v>
      </x:c>
      <x:c r="AN2137" s="3" t="str">
        <x:v>https://www.hardmoneyhome.com/lenders/view/broakmark-real-estate-management</x:v>
      </x:c>
      <x:c r="AO2137" s="3" t="str">
        <x:v>public_directory.jsonl</x:v>
      </x:c>
      <x:c r="AP2137" s="19"/>
    </x:row>
    <x:row r="2138" ht="36" customHeight="1">
      <x:c r="A2138" s="23" t="n">
        <x:v>2137</x:v>
      </x:c>
      <x:c r="B2138" s="15" t="str">
        <x:v>Capital Assets</x:v>
      </x:c>
      <x:c r="C2138" s="15"/>
      <x:c r="D2138" s="15" t="str">
        <x:v>Property lender or directory member; operating-company capital unconfirmed</x:v>
      </x:c>
      <x:c r="E2138" s="15" t="str">
        <x:v>Property lender / private-money inquiry</x:v>
      </x:c>
      <x:c r="F2138" s="17" t="str">
        <x:v>New</x:v>
      </x:c>
      <x:c r="G2138" s="24"/>
      <x:c r="H2138" s="24" t="str">
        <x:v>+18012699988</x:v>
      </x:c>
      <x:c r="I2138" s="24" t="str">
        <x:v>https://www.capitalassetsfinancial.net/</x:v>
      </x:c>
      <x:c r="J2138" s="16" t="str">
        <x:v>UT</x:v>
      </x:c>
      <x:c r="K2138" s="16" t="str">
        <x:v>Murray</x:v>
      </x:c>
      <x:c r="L2138" s="16" t="str">
        <x:v>firm_business_routing</x:v>
      </x:c>
      <x:c r="M2138" s="16" t="str">
        <x:v>https://www.capitalassetsfinancial.net/</x:v>
      </x:c>
      <x:c r="N2138" s="16" t="str">
        <x:v>Published source range; proposed allocation and structure require confirmation</x:v>
      </x:c>
      <x:c r="O2138" s="20"/>
      <x:c r="P2138" s="20" t="n">
        <x:v>2000000</x:v>
      </x:c>
      <x:c r="Q2138" s="25" t="str">
        <x:v>Property-loan range, not a corporate-capital commitment</x:v>
      </x:c>
      <x:c r="R2138" s="25" t="str">
        <x:v>Private real-estate finance experience. Corporate working capital, minority equity or profit participation requires a separate agreement from a property loan.</x:v>
      </x:c>
      <x:c r="S2138" s="25"/>
      <x:c r="T2138" s="25" t="str">
        <x:v>Confirm direct principal versus broker, $100K-$500K appetite, and whether capital can fund the operating company without a property mortgage.</x:v>
      </x:c>
      <x:c r="U2138" s="25" t="str">
        <x:v>https://www.hardmoneyhome.com/lenders/view/capital-assets</x:v>
      </x:c>
      <x:c r="V2138" s="26" t="d">
        <x:v>2026-10-02T00:00:00.000Z</x:v>
      </x:c>
      <x:c r="W2138" s="26" t="d">
        <x:v>2026-09-30T00:00:00.000Z</x:v>
      </x:c>
      <x:c r="X2138" s="25" t="str">
        <x:v>Saved public company, industry-directory or regulatory source; source date retained</x:v>
      </x:c>
      <x:c r="Y2138" s="25"/>
      <x:c r="Z2138" s="25" t="str">
        <x:v>https://www.hardmoneyhome.com/lenders/view/capital-assets</x:v>
      </x:c>
      <x:c r="AA2138" s="25" t="str">
        <x:v>[]</x:v>
      </x:c>
      <x:c r="AB2138" s="3" t="str">
        <x:v>Existing CapitalForge research, newly screened for this campaign</x:v>
      </x:c>
      <x:c r="AC2138" s="3" t="str">
        <x:v>unverified</x:v>
      </x:c>
      <x:c r="AD2138" s="3" t="str">
        <x:v>Not contacted / unconfirmed</x:v>
      </x:c>
      <x:c r="AE2138" s="3" t="str">
        <x:v>No</x:v>
      </x:c>
      <x:c r="AF2138" s="3" t="str">
        <x:v>No</x:v>
      </x:c>
      <x:c r="AG2138" s="3"/>
      <x:c r="AH2138" s="3"/>
      <x:c r="AI2138" s="18"/>
      <x:c r="AJ2138" s="3" t="str">
        <x:v>CF2500-637BBB0101C1</x:v>
      </x:c>
      <x:c r="AK2138" s="3" t="str">
        <x:v>private_real_estate_lender</x:v>
      </x:c>
      <x:c r="AL2138" s="19" t="n">
        <x:v>100000</x:v>
      </x:c>
      <x:c r="AM2138" s="19" t="n">
        <x:v>500000</x:v>
      </x:c>
      <x:c r="AN2138" s="3" t="str">
        <x:v>https://www.hardmoneyhome.com/lenders/view/capital-assets</x:v>
      </x:c>
      <x:c r="AO2138" s="3" t="str">
        <x:v>public_directory.jsonl</x:v>
      </x:c>
      <x:c r="AP2138" s="19"/>
    </x:row>
    <x:row r="2139" ht="36" customHeight="1">
      <x:c r="A2139" s="23" t="n">
        <x:v>2138</x:v>
      </x:c>
      <x:c r="B2139" s="15" t="str">
        <x:v>Forrest Financial Group</x:v>
      </x:c>
      <x:c r="C2139" s="15"/>
      <x:c r="D2139" s="15" t="str">
        <x:v>Property lender or directory member; operating-company capital unconfirmed</x:v>
      </x:c>
      <x:c r="E2139" s="15" t="str">
        <x:v>Property lender / private-money inquiry</x:v>
      </x:c>
      <x:c r="F2139" s="17" t="str">
        <x:v>New</x:v>
      </x:c>
      <x:c r="G2139" s="24"/>
      <x:c r="H2139" s="24" t="str">
        <x:v>+13037780309</x:v>
      </x:c>
      <x:c r="I2139" s="24" t="str">
        <x:v>http://forrestfinancial.com/</x:v>
      </x:c>
      <x:c r="J2139" s="16" t="str">
        <x:v>CO</x:v>
      </x:c>
      <x:c r="K2139" s="16" t="str">
        <x:v>Denver</x:v>
      </x:c>
      <x:c r="L2139" s="16" t="str">
        <x:v>firm_business_routing</x:v>
      </x:c>
      <x:c r="M2139" s="16" t="str">
        <x:v>http://forrestfinancial.com/</x:v>
      </x:c>
      <x:c r="N2139" s="16" t="str">
        <x:v>Published source range; proposed allocation and structure require confirmation</x:v>
      </x:c>
      <x:c r="O2139" s="20"/>
      <x:c r="P2139" s="20" t="n">
        <x:v>2000000</x:v>
      </x:c>
      <x:c r="Q2139" s="25" t="str">
        <x:v>Property-loan range, not a corporate-capital commitment</x:v>
      </x:c>
      <x:c r="R2139" s="25" t="str">
        <x:v>Private real-estate finance experience. Corporate working capital, minority equity or profit participation requires a separate agreement from a property loan.</x:v>
      </x:c>
      <x:c r="S2139" s="25"/>
      <x:c r="T2139" s="25" t="str">
        <x:v>Confirm direct principal versus broker, $100K-$500K appetite, and whether capital can fund the operating company without a property mortgage.</x:v>
      </x:c>
      <x:c r="U2139" s="25" t="str">
        <x:v>https://www.hardmoneyhome.com/lenders/view/forrest-financial-group</x:v>
      </x:c>
      <x:c r="V2139" s="26" t="d">
        <x:v>2026-10-02T00:00:00.000Z</x:v>
      </x:c>
      <x:c r="W2139" s="26" t="d">
        <x:v>2026-09-30T00:00:00.000Z</x:v>
      </x:c>
      <x:c r="X2139" s="25" t="str">
        <x:v>Saved public company, industry-directory or regulatory source; source date retained</x:v>
      </x:c>
      <x:c r="Y2139" s="25"/>
      <x:c r="Z2139" s="25" t="str">
        <x:v>https://www.hardmoneyhome.com/lenders/view/forrest-financial-group</x:v>
      </x:c>
      <x:c r="AA2139" s="25" t="str">
        <x:v>[]</x:v>
      </x:c>
      <x:c r="AB2139" s="3" t="str">
        <x:v>Existing CapitalForge research, newly screened for this campaign</x:v>
      </x:c>
      <x:c r="AC2139" s="3" t="str">
        <x:v>unverified</x:v>
      </x:c>
      <x:c r="AD2139" s="3" t="str">
        <x:v>Not contacted / unconfirmed</x:v>
      </x:c>
      <x:c r="AE2139" s="3" t="str">
        <x:v>No</x:v>
      </x:c>
      <x:c r="AF2139" s="3" t="str">
        <x:v>No</x:v>
      </x:c>
      <x:c r="AG2139" s="3"/>
      <x:c r="AH2139" s="3"/>
      <x:c r="AI2139" s="18"/>
      <x:c r="AJ2139" s="3" t="str">
        <x:v>CF2500-B726B2FF9ED9</x:v>
      </x:c>
      <x:c r="AK2139" s="3" t="str">
        <x:v>private_real_estate_lender</x:v>
      </x:c>
      <x:c r="AL2139" s="19" t="n">
        <x:v>100000</x:v>
      </x:c>
      <x:c r="AM2139" s="19" t="n">
        <x:v>500000</x:v>
      </x:c>
      <x:c r="AN2139" s="3" t="str">
        <x:v>https://www.hardmoneyhome.com/lenders/view/forrest-financial-group</x:v>
      </x:c>
      <x:c r="AO2139" s="3" t="str">
        <x:v>public_directory.jsonl</x:v>
      </x:c>
      <x:c r="AP2139" s="19"/>
    </x:row>
    <x:row r="2140" ht="36" customHeight="1">
      <x:c r="A2140" s="23" t="n">
        <x:v>2139</x:v>
      </x:c>
      <x:c r="B2140" s="15" t="str">
        <x:v>Good Funds Lending</x:v>
      </x:c>
      <x:c r="C2140" s="15"/>
      <x:c r="D2140" s="15" t="str">
        <x:v>Property lender or directory member; operating-company capital unconfirmed</x:v>
      </x:c>
      <x:c r="E2140" s="15" t="str">
        <x:v>Property lender / private-money inquiry</x:v>
      </x:c>
      <x:c r="F2140" s="17" t="str">
        <x:v>New</x:v>
      </x:c>
      <x:c r="G2140" s="24"/>
      <x:c r="H2140" s="24" t="str">
        <x:v>+13035003288</x:v>
      </x:c>
      <x:c r="I2140" s="24" t="str">
        <x:v>https://goodfundslending.com/</x:v>
      </x:c>
      <x:c r="J2140" s="16" t="str">
        <x:v>CO</x:v>
      </x:c>
      <x:c r="K2140" s="16" t="str">
        <x:v>Littleton</x:v>
      </x:c>
      <x:c r="L2140" s="16" t="str">
        <x:v>firm_business_routing</x:v>
      </x:c>
      <x:c r="M2140" s="16" t="str">
        <x:v>https://goodfundslending.com/</x:v>
      </x:c>
      <x:c r="N2140" s="16" t="str">
        <x:v>Published source range; proposed allocation and structure require confirmation</x:v>
      </x:c>
      <x:c r="O2140" s="20"/>
      <x:c r="P2140" s="20" t="n">
        <x:v>650000</x:v>
      </x:c>
      <x:c r="Q2140" s="25" t="str">
        <x:v>Property-loan range, not a corporate-capital commitment</x:v>
      </x:c>
      <x:c r="R2140" s="25" t="str">
        <x:v>Private real-estate finance experience. Corporate working capital, minority equity or profit participation requires a separate agreement from a property loan.</x:v>
      </x:c>
      <x:c r="S2140" s="25"/>
      <x:c r="T2140" s="25" t="str">
        <x:v>Confirm direct principal versus broker, $100K-$500K appetite, and whether capital can fund the operating company without a property mortgage.</x:v>
      </x:c>
      <x:c r="U2140" s="25" t="str">
        <x:v>https://www.hardmoneyhome.com/lenders/view/good-funds-lending
https://www.privatelendersdirectory.com/united-states/littleton/top-level-category/good-funds-lending
https://goodfundslending.com/</x:v>
      </x:c>
      <x:c r="V2140" s="26" t="d">
        <x:v>2026-10-02T00:00:00.000Z</x:v>
      </x:c>
      <x:c r="W2140" s="26" t="d">
        <x:v>2026-09-30T00:00:00.000Z</x:v>
      </x:c>
      <x:c r="X2140" s="25" t="str">
        <x:v>Saved public company, industry-directory or regulatory source; source date retained</x:v>
      </x:c>
      <x:c r="Y2140" s="25"/>
      <x:c r="Z2140" s="25" t="str">
        <x:v>https://www.hardmoneyhome.com/lenders/view/good-funds-lending</x:v>
      </x:c>
      <x:c r="AA2140" s="25" t="str">
        <x:v>[]</x:v>
      </x:c>
      <x:c r="AB2140" s="3" t="str">
        <x:v>Existing CapitalForge research, newly screened for this campaign</x:v>
      </x:c>
      <x:c r="AC2140" s="3" t="str">
        <x:v>unverified</x:v>
      </x:c>
      <x:c r="AD2140" s="3" t="str">
        <x:v>Not contacted / unconfirmed</x:v>
      </x:c>
      <x:c r="AE2140" s="3" t="str">
        <x:v>No</x:v>
      </x:c>
      <x:c r="AF2140" s="3" t="str">
        <x:v>No</x:v>
      </x:c>
      <x:c r="AG2140" s="3"/>
      <x:c r="AH2140" s="3"/>
      <x:c r="AI2140" s="18"/>
      <x:c r="AJ2140" s="3" t="str">
        <x:v>CF2500-2B39E4472072</x:v>
      </x:c>
      <x:c r="AK2140" s="3" t="str">
        <x:v>private_real_estate_lender</x:v>
      </x:c>
      <x:c r="AL2140" s="19" t="n">
        <x:v>100000</x:v>
      </x:c>
      <x:c r="AM2140" s="19" t="n">
        <x:v>500000</x:v>
      </x:c>
      <x:c r="AN2140" s="3" t="str">
        <x:v>https://www.hardmoneyhome.com/lenders/view/good-funds-lending</x:v>
      </x:c>
      <x:c r="AO2140" s="3" t="str">
        <x:v>public_directory.jsonl</x:v>
      </x:c>
      <x:c r="AP2140" s="19"/>
    </x:row>
    <x:row r="2141" ht="36" customHeight="1">
      <x:c r="A2141" s="23" t="n">
        <x:v>2140</x:v>
      </x:c>
      <x:c r="B2141" s="15" t="str">
        <x:v>GROUNDFLOOR</x:v>
      </x:c>
      <x:c r="C2141" s="15"/>
      <x:c r="D2141" s="15" t="str">
        <x:v>Property lender or directory member; operating-company capital unconfirmed</x:v>
      </x:c>
      <x:c r="E2141" s="15" t="str">
        <x:v>Property lender / private-money inquiry</x:v>
      </x:c>
      <x:c r="F2141" s="17" t="str">
        <x:v>New</x:v>
      </x:c>
      <x:c r="G2141" s="24"/>
      <x:c r="H2141" s="24" t="str">
        <x:v>+16787011194</x:v>
      </x:c>
      <x:c r="I2141" s="24" t="str">
        <x:v>https://www.groundfloor.us</x:v>
      </x:c>
      <x:c r="J2141" s="16" t="str">
        <x:v>GA</x:v>
      </x:c>
      <x:c r="K2141" s="16" t="str">
        <x:v>Atlanta</x:v>
      </x:c>
      <x:c r="L2141" s="16" t="str">
        <x:v>firm_business_routing</x:v>
      </x:c>
      <x:c r="M2141" s="16" t="str">
        <x:v>https://www.groundfloor.us</x:v>
      </x:c>
      <x:c r="N2141" s="16" t="str">
        <x:v>Published source range; proposed allocation and structure require confirmation</x:v>
      </x:c>
      <x:c r="O2141" s="20"/>
      <x:c r="P2141" s="20" t="n">
        <x:v>2000000</x:v>
      </x:c>
      <x:c r="Q2141" s="25" t="str">
        <x:v>Property-loan range, not a corporate-capital commitment</x:v>
      </x:c>
      <x:c r="R2141" s="25" t="str">
        <x:v>Private real-estate finance experience. Corporate working capital, minority equity or profit participation requires a separate agreement from a property loan.</x:v>
      </x:c>
      <x:c r="S2141" s="25"/>
      <x:c r="T2141" s="25" t="str">
        <x:v>Confirm direct principal versus broker, $100K-$500K appetite, and whether capital can fund the operating company without a property mortgage.</x:v>
      </x:c>
      <x:c r="U2141" s="25" t="str">
        <x:v>https://www.hardmoneyhome.com/lenders/view/groundfloor
https://nplaconference.com/private-lending-directory/page/7/</x:v>
      </x:c>
      <x:c r="V2141" s="26" t="d">
        <x:v>2026-10-02T00:00:00.000Z</x:v>
      </x:c>
      <x:c r="W2141" s="26" t="d">
        <x:v>2026-09-30T00:00:00.000Z</x:v>
      </x:c>
      <x:c r="X2141" s="25" t="str">
        <x:v>Saved public company, industry-directory or regulatory source; source date retained</x:v>
      </x:c>
      <x:c r="Y2141" s="25"/>
      <x:c r="Z2141" s="25" t="str">
        <x:v>https://www.hardmoneyhome.com/lenders/view/groundfloor</x:v>
      </x:c>
      <x:c r="AA2141" s="25" t="str">
        <x:v>[]</x:v>
      </x:c>
      <x:c r="AB2141" s="3" t="str">
        <x:v>Existing CapitalForge research, newly screened for this campaign</x:v>
      </x:c>
      <x:c r="AC2141" s="3" t="str">
        <x:v>unverified</x:v>
      </x:c>
      <x:c r="AD2141" s="3" t="str">
        <x:v>Not contacted / unconfirmed</x:v>
      </x:c>
      <x:c r="AE2141" s="3" t="str">
        <x:v>No</x:v>
      </x:c>
      <x:c r="AF2141" s="3" t="str">
        <x:v>No</x:v>
      </x:c>
      <x:c r="AG2141" s="3"/>
      <x:c r="AH2141" s="3"/>
      <x:c r="AI2141" s="18"/>
      <x:c r="AJ2141" s="3" t="str">
        <x:v>CF2500-4CFE8DFAAE71</x:v>
      </x:c>
      <x:c r="AK2141" s="3" t="str">
        <x:v>private_real_estate_lender</x:v>
      </x:c>
      <x:c r="AL2141" s="19" t="n">
        <x:v>100000</x:v>
      </x:c>
      <x:c r="AM2141" s="19" t="n">
        <x:v>500000</x:v>
      </x:c>
      <x:c r="AN2141" s="3" t="str">
        <x:v>https://www.hardmoneyhome.com/lenders/view/groundfloor</x:v>
      </x:c>
      <x:c r="AO2141" s="3" t="str">
        <x:v>public_directory.jsonl</x:v>
      </x:c>
      <x:c r="AP2141" s="19"/>
    </x:row>
    <x:row r="2142" ht="36" customHeight="1">
      <x:c r="A2142" s="23" t="n">
        <x:v>2141</x:v>
      </x:c>
      <x:c r="B2142" s="15" t="str">
        <x:v>Harbor Private Equity</x:v>
      </x:c>
      <x:c r="C2142" s="15"/>
      <x:c r="D2142" s="15" t="str">
        <x:v>Property lender or directory member; operating-company capital unconfirmed</x:v>
      </x:c>
      <x:c r="E2142" s="15" t="str">
        <x:v>Property lender / private-money inquiry</x:v>
      </x:c>
      <x:c r="F2142" s="17" t="str">
        <x:v>New</x:v>
      </x:c>
      <x:c r="G2142" s="24"/>
      <x:c r="H2142" s="24" t="str">
        <x:v>+14049653625</x:v>
      </x:c>
      <x:c r="I2142" s="24" t="str">
        <x:v>http://harborequityllc.com/</x:v>
      </x:c>
      <x:c r="J2142" s="16" t="str">
        <x:v>GA</x:v>
      </x:c>
      <x:c r="K2142" s="16" t="str">
        <x:v>Atlanta</x:v>
      </x:c>
      <x:c r="L2142" s="16" t="str">
        <x:v>firm_business_routing</x:v>
      </x:c>
      <x:c r="M2142" s="16" t="str">
        <x:v>http://harborequityllc.com/</x:v>
      </x:c>
      <x:c r="N2142" s="16" t="str">
        <x:v>Published source range; proposed allocation and structure require confirmation</x:v>
      </x:c>
      <x:c r="O2142" s="20"/>
      <x:c r="P2142" s="20" t="n">
        <x:v>100000000</x:v>
      </x:c>
      <x:c r="Q2142" s="25" t="str">
        <x:v>Property-loan range, not a corporate-capital commitment</x:v>
      </x:c>
      <x:c r="R2142" s="25" t="str">
        <x:v>Private real-estate finance experience. Corporate working capital, minority equity or profit participation requires a separate agreement from a property loan.</x:v>
      </x:c>
      <x:c r="S2142" s="25"/>
      <x:c r="T2142" s="25" t="str">
        <x:v>Confirm direct principal versus broker, $100K-$500K appetite, and whether capital can fund the operating company without a property mortgage.</x:v>
      </x:c>
      <x:c r="U2142" s="25" t="str">
        <x:v>https://www.hardmoneyhome.com/lenders/view/harbor-private-equity</x:v>
      </x:c>
      <x:c r="V2142" s="26" t="d">
        <x:v>2026-10-02T00:00:00.000Z</x:v>
      </x:c>
      <x:c r="W2142" s="26" t="d">
        <x:v>2026-09-30T00:00:00.000Z</x:v>
      </x:c>
      <x:c r="X2142" s="25" t="str">
        <x:v>Saved public company, industry-directory or regulatory source; source date retained</x:v>
      </x:c>
      <x:c r="Y2142" s="25"/>
      <x:c r="Z2142" s="25" t="str">
        <x:v>https://www.hardmoneyhome.com/lenders/view/harbor-private-equity</x:v>
      </x:c>
      <x:c r="AA2142" s="25" t="str">
        <x:v>[]</x:v>
      </x:c>
      <x:c r="AB2142" s="3" t="str">
        <x:v>Existing CapitalForge research, newly screened for this campaign</x:v>
      </x:c>
      <x:c r="AC2142" s="3" t="str">
        <x:v>unverified</x:v>
      </x:c>
      <x:c r="AD2142" s="3" t="str">
        <x:v>Not contacted / unconfirmed</x:v>
      </x:c>
      <x:c r="AE2142" s="3" t="str">
        <x:v>No</x:v>
      </x:c>
      <x:c r="AF2142" s="3" t="str">
        <x:v>No</x:v>
      </x:c>
      <x:c r="AG2142" s="3"/>
      <x:c r="AH2142" s="3"/>
      <x:c r="AI2142" s="18"/>
      <x:c r="AJ2142" s="3" t="str">
        <x:v>CF2500-2961CD29F0F4</x:v>
      </x:c>
      <x:c r="AK2142" s="3" t="str">
        <x:v>private_real_estate_lender</x:v>
      </x:c>
      <x:c r="AL2142" s="19" t="n">
        <x:v>100000</x:v>
      </x:c>
      <x:c r="AM2142" s="19" t="n">
        <x:v>500000</x:v>
      </x:c>
      <x:c r="AN2142" s="3" t="str">
        <x:v>https://www.hardmoneyhome.com/lenders/view/harbor-private-equity</x:v>
      </x:c>
      <x:c r="AO2142" s="3" t="str">
        <x:v>public_directory.jsonl</x:v>
      </x:c>
      <x:c r="AP2142" s="19"/>
    </x:row>
    <x:row r="2143" ht="36" customHeight="1">
      <x:c r="A2143" s="23" t="n">
        <x:v>2142</x:v>
      </x:c>
      <x:c r="B2143" s="15" t="str">
        <x:v>iFund Investment</x:v>
      </x:c>
      <x:c r="C2143" s="15"/>
      <x:c r="D2143" s="15" t="str">
        <x:v>Property lender or directory member; operating-company capital unconfirmed</x:v>
      </x:c>
      <x:c r="E2143" s="15" t="str">
        <x:v>Property lender / private-money inquiry</x:v>
      </x:c>
      <x:c r="F2143" s="17" t="str">
        <x:v>New</x:v>
      </x:c>
      <x:c r="G2143" s="24"/>
      <x:c r="H2143" s="24" t="str">
        <x:v>+14046204986</x:v>
      </x:c>
      <x:c r="I2143" s="24" t="str">
        <x:v>http://www.ifundinternational.com</x:v>
      </x:c>
      <x:c r="J2143" s="16" t="str">
        <x:v>GA</x:v>
      </x:c>
      <x:c r="K2143" s="16" t="str">
        <x:v>Sandy Springs</x:v>
      </x:c>
      <x:c r="L2143" s="16" t="str">
        <x:v>firm_business_routing</x:v>
      </x:c>
      <x:c r="M2143" s="16" t="str">
        <x:v>http://www.ifundinternational.com</x:v>
      </x:c>
      <x:c r="N2143" s="16" t="str">
        <x:v>Published source range; proposed allocation and structure require confirmation</x:v>
      </x:c>
      <x:c r="O2143" s="20"/>
      <x:c r="P2143" s="20" t="n">
        <x:v>20000000</x:v>
      </x:c>
      <x:c r="Q2143" s="25" t="str">
        <x:v>Property-loan range, not a corporate-capital commitment</x:v>
      </x:c>
      <x:c r="R2143" s="25" t="str">
        <x:v>Private real-estate finance experience. Corporate working capital, minority equity or profit participation requires a separate agreement from a property loan.</x:v>
      </x:c>
      <x:c r="S2143" s="25"/>
      <x:c r="T2143" s="25" t="str">
        <x:v>Confirm direct principal versus broker, $100K-$500K appetite, and whether capital can fund the operating company without a property mortgage.</x:v>
      </x:c>
      <x:c r="U2143" s="25" t="str">
        <x:v>https://www.hardmoneyhome.com/lenders/view/ifund-investment</x:v>
      </x:c>
      <x:c r="V2143" s="26" t="d">
        <x:v>2026-10-02T00:00:00.000Z</x:v>
      </x:c>
      <x:c r="W2143" s="26" t="d">
        <x:v>2026-09-30T00:00:00.000Z</x:v>
      </x:c>
      <x:c r="X2143" s="25" t="str">
        <x:v>Saved public company, industry-directory or regulatory source; source date retained</x:v>
      </x:c>
      <x:c r="Y2143" s="25"/>
      <x:c r="Z2143" s="25" t="str">
        <x:v>https://www.hardmoneyhome.com/lenders/view/ifund-investment</x:v>
      </x:c>
      <x:c r="AA2143" s="25" t="str">
        <x:v>[]</x:v>
      </x:c>
      <x:c r="AB2143" s="3" t="str">
        <x:v>Existing CapitalForge research, newly screened for this campaign</x:v>
      </x:c>
      <x:c r="AC2143" s="3" t="str">
        <x:v>unverified</x:v>
      </x:c>
      <x:c r="AD2143" s="3" t="str">
        <x:v>Not contacted / unconfirmed</x:v>
      </x:c>
      <x:c r="AE2143" s="3" t="str">
        <x:v>No</x:v>
      </x:c>
      <x:c r="AF2143" s="3" t="str">
        <x:v>No</x:v>
      </x:c>
      <x:c r="AG2143" s="3"/>
      <x:c r="AH2143" s="3"/>
      <x:c r="AI2143" s="18"/>
      <x:c r="AJ2143" s="3" t="str">
        <x:v>CF2500-E6F7EAD44FAD</x:v>
      </x:c>
      <x:c r="AK2143" s="3" t="str">
        <x:v>private_real_estate_lender</x:v>
      </x:c>
      <x:c r="AL2143" s="19" t="n">
        <x:v>100000</x:v>
      </x:c>
      <x:c r="AM2143" s="19" t="n">
        <x:v>500000</x:v>
      </x:c>
      <x:c r="AN2143" s="3" t="str">
        <x:v>https://www.hardmoneyhome.com/lenders/view/ifund-investment</x:v>
      </x:c>
      <x:c r="AO2143" s="3" t="str">
        <x:v>public_directory.jsonl</x:v>
      </x:c>
      <x:c r="AP2143" s="19"/>
    </x:row>
    <x:row r="2144" ht="36" customHeight="1">
      <x:c r="A2144" s="23" t="n">
        <x:v>2143</x:v>
      </x:c>
      <x:c r="B2144" s="15" t="str">
        <x:v>Investors Choice Funding</x:v>
      </x:c>
      <x:c r="C2144" s="15"/>
      <x:c r="D2144" s="15" t="str">
        <x:v>Property lender or directory member; operating-company capital unconfirmed</x:v>
      </x:c>
      <x:c r="E2144" s="15" t="str">
        <x:v>Property lender / private-money inquiry</x:v>
      </x:c>
      <x:c r="F2144" s="17" t="str">
        <x:v>New</x:v>
      </x:c>
      <x:c r="G2144" s="24"/>
      <x:c r="H2144" s="24" t="str">
        <x:v>+13035007088</x:v>
      </x:c>
      <x:c r="I2144" s="24" t="str">
        <x:v>https://investorschoicefunding.com/</x:v>
      </x:c>
      <x:c r="J2144" s="16" t="str">
        <x:v>CO</x:v>
      </x:c>
      <x:c r="K2144" s="16" t="str">
        <x:v>Louisville</x:v>
      </x:c>
      <x:c r="L2144" s="16" t="str">
        <x:v>firm_business_routing</x:v>
      </x:c>
      <x:c r="M2144" s="16" t="str">
        <x:v>https://investorschoicefunding.com/</x:v>
      </x:c>
      <x:c r="N2144" s="16" t="str">
        <x:v>Published source range; proposed allocation and structure require confirmation</x:v>
      </x:c>
      <x:c r="O2144" s="20"/>
      <x:c r="P2144" s="20" t="n">
        <x:v>1000000</x:v>
      </x:c>
      <x:c r="Q2144" s="25" t="str">
        <x:v>Property-loan range, not a corporate-capital commitment</x:v>
      </x:c>
      <x:c r="R2144" s="25" t="str">
        <x:v>Private real-estate finance experience. Corporate working capital, minority equity or profit participation requires a separate agreement from a property loan.</x:v>
      </x:c>
      <x:c r="S2144" s="25"/>
      <x:c r="T2144" s="25" t="str">
        <x:v>Confirm direct principal versus broker, $100K-$500K appetite, and whether capital can fund the operating company without a property mortgage.</x:v>
      </x:c>
      <x:c r="U2144" s="25" t="str">
        <x:v>https://www.hardmoneyhome.com/lenders/view/investors-choice-funding</x:v>
      </x:c>
      <x:c r="V2144" s="26" t="d">
        <x:v>2026-10-02T00:00:00.000Z</x:v>
      </x:c>
      <x:c r="W2144" s="26" t="d">
        <x:v>2026-09-30T00:00:00.000Z</x:v>
      </x:c>
      <x:c r="X2144" s="25" t="str">
        <x:v>Saved public company, industry-directory or regulatory source; source date retained</x:v>
      </x:c>
      <x:c r="Y2144" s="25"/>
      <x:c r="Z2144" s="25" t="str">
        <x:v>https://www.hardmoneyhome.com/lenders/view/investors-choice-funding</x:v>
      </x:c>
      <x:c r="AA2144" s="25" t="str">
        <x:v>[]</x:v>
      </x:c>
      <x:c r="AB2144" s="3" t="str">
        <x:v>Existing CapitalForge research, newly screened for this campaign</x:v>
      </x:c>
      <x:c r="AC2144" s="3" t="str">
        <x:v>unverified</x:v>
      </x:c>
      <x:c r="AD2144" s="3" t="str">
        <x:v>Not contacted / unconfirmed</x:v>
      </x:c>
      <x:c r="AE2144" s="3" t="str">
        <x:v>No</x:v>
      </x:c>
      <x:c r="AF2144" s="3" t="str">
        <x:v>No</x:v>
      </x:c>
      <x:c r="AG2144" s="3"/>
      <x:c r="AH2144" s="3"/>
      <x:c r="AI2144" s="18"/>
      <x:c r="AJ2144" s="3" t="str">
        <x:v>CF2500-943F9E109369</x:v>
      </x:c>
      <x:c r="AK2144" s="3" t="str">
        <x:v>private_real_estate_lender</x:v>
      </x:c>
      <x:c r="AL2144" s="19" t="n">
        <x:v>100000</x:v>
      </x:c>
      <x:c r="AM2144" s="19" t="n">
        <x:v>500000</x:v>
      </x:c>
      <x:c r="AN2144" s="3" t="str">
        <x:v>https://www.hardmoneyhome.com/lenders/view/investors-choice-funding</x:v>
      </x:c>
      <x:c r="AO2144" s="3" t="str">
        <x:v>public_directory.jsonl</x:v>
      </x:c>
      <x:c r="AP2144" s="19"/>
    </x:row>
    <x:row r="2145" ht="36" customHeight="1">
      <x:c r="A2145" s="23" t="n">
        <x:v>2144</x:v>
      </x:c>
      <x:c r="B2145" s="15" t="str">
        <x:v>Island View Private Loan Fund</x:v>
      </x:c>
      <x:c r="C2145" s="15"/>
      <x:c r="D2145" s="15" t="str">
        <x:v>Property lender or directory member; operating-company capital unconfirmed</x:v>
      </x:c>
      <x:c r="E2145" s="15" t="str">
        <x:v>Property lender / private-money inquiry</x:v>
      </x:c>
      <x:c r="F2145" s="17" t="str">
        <x:v>New</x:v>
      </x:c>
      <x:c r="G2145" s="24"/>
      <x:c r="H2145" s="24" t="str">
        <x:v>+19523453445</x:v>
      </x:c>
      <x:c r="I2145" s="24" t="str">
        <x:v>http://www.ivplfund.com/</x:v>
      </x:c>
      <x:c r="J2145" s="16" t="str">
        <x:v>CO</x:v>
      </x:c>
      <x:c r="K2145" s="16" t="str">
        <x:v>Colorado Springs</x:v>
      </x:c>
      <x:c r="L2145" s="16" t="str">
        <x:v>firm_business_routing</x:v>
      </x:c>
      <x:c r="M2145" s="16" t="str">
        <x:v>http://www.ivplfund.com/</x:v>
      </x:c>
      <x:c r="N2145" s="16" t="str">
        <x:v>Published source range; proposed allocation and structure require confirmation</x:v>
      </x:c>
      <x:c r="O2145" s="20"/>
      <x:c r="P2145" s="20" t="n">
        <x:v>5000000</x:v>
      </x:c>
      <x:c r="Q2145" s="25" t="str">
        <x:v>Property-loan range, not a corporate-capital commitment</x:v>
      </x:c>
      <x:c r="R2145" s="25" t="str">
        <x:v>Private real-estate finance experience. Corporate working capital, minority equity or profit participation requires a separate agreement from a property loan.</x:v>
      </x:c>
      <x:c r="S2145" s="25"/>
      <x:c r="T2145" s="25" t="str">
        <x:v>Confirm direct principal versus broker, $100K-$500K appetite, and whether capital can fund the operating company without a property mortgage.</x:v>
      </x:c>
      <x:c r="U2145" s="25" t="str">
        <x:v>https://www.hardmoneyhome.com/lenders/view/island-view-private-loan-fund</x:v>
      </x:c>
      <x:c r="V2145" s="26" t="d">
        <x:v>2026-10-02T00:00:00.000Z</x:v>
      </x:c>
      <x:c r="W2145" s="26" t="d">
        <x:v>2026-09-30T00:00:00.000Z</x:v>
      </x:c>
      <x:c r="X2145" s="25" t="str">
        <x:v>Saved public company, industry-directory or regulatory source; source date retained</x:v>
      </x:c>
      <x:c r="Y2145" s="25"/>
      <x:c r="Z2145" s="25" t="str">
        <x:v>https://www.hardmoneyhome.com/lenders/view/island-view-private-loan-fund</x:v>
      </x:c>
      <x:c r="AA2145" s="25" t="str">
        <x:v>[]</x:v>
      </x:c>
      <x:c r="AB2145" s="3" t="str">
        <x:v>Existing CapitalForge research, newly screened for this campaign</x:v>
      </x:c>
      <x:c r="AC2145" s="3" t="str">
        <x:v>unverified</x:v>
      </x:c>
      <x:c r="AD2145" s="3" t="str">
        <x:v>Not contacted / unconfirmed</x:v>
      </x:c>
      <x:c r="AE2145" s="3" t="str">
        <x:v>No</x:v>
      </x:c>
      <x:c r="AF2145" s="3" t="str">
        <x:v>No</x:v>
      </x:c>
      <x:c r="AG2145" s="3"/>
      <x:c r="AH2145" s="3"/>
      <x:c r="AI2145" s="18"/>
      <x:c r="AJ2145" s="3" t="str">
        <x:v>CF2500-DF912C25B825</x:v>
      </x:c>
      <x:c r="AK2145" s="3" t="str">
        <x:v>private_real_estate_lender</x:v>
      </x:c>
      <x:c r="AL2145" s="19" t="n">
        <x:v>100000</x:v>
      </x:c>
      <x:c r="AM2145" s="19" t="n">
        <x:v>500000</x:v>
      </x:c>
      <x:c r="AN2145" s="3" t="str">
        <x:v>https://www.hardmoneyhome.com/lenders/view/island-view-private-loan-fund</x:v>
      </x:c>
      <x:c r="AO2145" s="3" t="str">
        <x:v>public_directory.jsonl</x:v>
      </x:c>
      <x:c r="AP2145" s="19"/>
    </x:row>
    <x:row r="2146" ht="36" customHeight="1">
      <x:c r="A2146" s="23" t="n">
        <x:v>2145</x:v>
      </x:c>
      <x:c r="B2146" s="15" t="str">
        <x:v>LandLoan.com</x:v>
      </x:c>
      <x:c r="C2146" s="15"/>
      <x:c r="D2146" s="15" t="str">
        <x:v>Property lender or directory member; operating-company capital unconfirmed</x:v>
      </x:c>
      <x:c r="E2146" s="15" t="str">
        <x:v>Property lender / private-money inquiry</x:v>
      </x:c>
      <x:c r="F2146" s="17" t="str">
        <x:v>New</x:v>
      </x:c>
      <x:c r="G2146" s="24"/>
      <x:c r="H2146" s="24" t="str">
        <x:v>+18883755355</x:v>
      </x:c>
      <x:c r="I2146" s="24" t="str">
        <x:v>http://www.landloan.com</x:v>
      </x:c>
      <x:c r="J2146" s="16" t="str">
        <x:v>IN</x:v>
      </x:c>
      <x:c r="K2146" s="16" t="str">
        <x:v>Indianapolis</x:v>
      </x:c>
      <x:c r="L2146" s="16" t="str">
        <x:v>firm_business_routing</x:v>
      </x:c>
      <x:c r="M2146" s="16" t="str">
        <x:v>http://www.landloan.com</x:v>
      </x:c>
      <x:c r="N2146" s="16" t="str">
        <x:v>Published source range; proposed allocation and structure require confirmation</x:v>
      </x:c>
      <x:c r="O2146" s="20"/>
      <x:c r="P2146" s="20" t="n">
        <x:v>20000000</x:v>
      </x:c>
      <x:c r="Q2146" s="25" t="str">
        <x:v>Property-loan range, not a corporate-capital commitment</x:v>
      </x:c>
      <x:c r="R2146" s="25" t="str">
        <x:v>Private real-estate finance experience. Corporate working capital, minority equity or profit participation requires a separate agreement from a property loan.</x:v>
      </x:c>
      <x:c r="S2146" s="25"/>
      <x:c r="T2146" s="25" t="str">
        <x:v>Confirm direct principal versus broker, $100K-$500K appetite, and whether capital can fund the operating company without a property mortgage.</x:v>
      </x:c>
      <x:c r="U2146" s="25" t="str">
        <x:v>https://www.hardmoneyhome.com/lenders/view/landloan-dot-com</x:v>
      </x:c>
      <x:c r="V2146" s="26" t="d">
        <x:v>2026-10-02T00:00:00.000Z</x:v>
      </x:c>
      <x:c r="W2146" s="26" t="d">
        <x:v>2026-09-30T00:00:00.000Z</x:v>
      </x:c>
      <x:c r="X2146" s="25" t="str">
        <x:v>Saved public company, industry-directory or regulatory source; source date retained</x:v>
      </x:c>
      <x:c r="Y2146" s="25"/>
      <x:c r="Z2146" s="25" t="str">
        <x:v>https://www.hardmoneyhome.com/lenders/view/landloan-dot-com</x:v>
      </x:c>
      <x:c r="AA2146" s="25" t="str">
        <x:v>[]</x:v>
      </x:c>
      <x:c r="AB2146" s="3" t="str">
        <x:v>Existing CapitalForge research, newly screened for this campaign</x:v>
      </x:c>
      <x:c r="AC2146" s="3" t="str">
        <x:v>unverified</x:v>
      </x:c>
      <x:c r="AD2146" s="3" t="str">
        <x:v>Not contacted / unconfirmed</x:v>
      </x:c>
      <x:c r="AE2146" s="3" t="str">
        <x:v>No</x:v>
      </x:c>
      <x:c r="AF2146" s="3" t="str">
        <x:v>No</x:v>
      </x:c>
      <x:c r="AG2146" s="3"/>
      <x:c r="AH2146" s="3"/>
      <x:c r="AI2146" s="18"/>
      <x:c r="AJ2146" s="3" t="str">
        <x:v>CF2500-17BABC568F21</x:v>
      </x:c>
      <x:c r="AK2146" s="3" t="str">
        <x:v>private_real_estate_lender</x:v>
      </x:c>
      <x:c r="AL2146" s="19" t="n">
        <x:v>100000</x:v>
      </x:c>
      <x:c r="AM2146" s="19" t="n">
        <x:v>500000</x:v>
      </x:c>
      <x:c r="AN2146" s="3" t="str">
        <x:v>https://www.hardmoneyhome.com/lenders/view/landloan-dot-com</x:v>
      </x:c>
      <x:c r="AO2146" s="3" t="str">
        <x:v>public_directory.jsonl</x:v>
      </x:c>
      <x:c r="AP2146" s="19"/>
    </x:row>
    <x:row r="2147" ht="36" customHeight="1">
      <x:c r="A2147" s="23" t="n">
        <x:v>2146</x:v>
      </x:c>
      <x:c r="B2147" s="15" t="str">
        <x:v>LendingHQ</x:v>
      </x:c>
      <x:c r="C2147" s="15"/>
      <x:c r="D2147" s="15" t="str">
        <x:v>Property lender or directory member; operating-company capital unconfirmed</x:v>
      </x:c>
      <x:c r="E2147" s="15" t="str">
        <x:v>Property lender / private-money inquiry</x:v>
      </x:c>
      <x:c r="F2147" s="17" t="str">
        <x:v>New</x:v>
      </x:c>
      <x:c r="G2147" s="24"/>
      <x:c r="H2147" s="24" t="str">
        <x:v>+18437323278</x:v>
      </x:c>
      <x:c r="I2147" s="24" t="str">
        <x:v>http://www.lendinghq.com/</x:v>
      </x:c>
      <x:c r="J2147" s="16" t="str">
        <x:v>SC</x:v>
      </x:c>
      <x:c r="K2147" s="16" t="str">
        <x:v>Charleston</x:v>
      </x:c>
      <x:c r="L2147" s="16" t="str">
        <x:v>firm_business_routing</x:v>
      </x:c>
      <x:c r="M2147" s="16" t="str">
        <x:v>http://www.lendinghq.com/</x:v>
      </x:c>
      <x:c r="N2147" s="16" t="str">
        <x:v>Published source range; proposed allocation and structure require confirmation</x:v>
      </x:c>
      <x:c r="O2147" s="20"/>
      <x:c r="P2147" s="20" t="n">
        <x:v>2000000</x:v>
      </x:c>
      <x:c r="Q2147" s="25" t="str">
        <x:v>Property-loan range, not a corporate-capital commitment</x:v>
      </x:c>
      <x:c r="R2147" s="25" t="str">
        <x:v>Private real-estate finance experience. Corporate working capital, minority equity or profit participation requires a separate agreement from a property loan.</x:v>
      </x:c>
      <x:c r="S2147" s="25"/>
      <x:c r="T2147" s="25" t="str">
        <x:v>Confirm direct principal versus broker, $100K-$500K appetite, and whether capital can fund the operating company without a property mortgage.</x:v>
      </x:c>
      <x:c r="U2147" s="25" t="str">
        <x:v>https://www.hardmoneyhome.com/lenders/view/lendinghq</x:v>
      </x:c>
      <x:c r="V2147" s="26" t="d">
        <x:v>2026-10-02T00:00:00.000Z</x:v>
      </x:c>
      <x:c r="W2147" s="26" t="d">
        <x:v>2026-09-30T00:00:00.000Z</x:v>
      </x:c>
      <x:c r="X2147" s="25" t="str">
        <x:v>Saved public company, industry-directory or regulatory source; source date retained</x:v>
      </x:c>
      <x:c r="Y2147" s="25"/>
      <x:c r="Z2147" s="25" t="str">
        <x:v>https://www.hardmoneyhome.com/lenders/view/lendinghq</x:v>
      </x:c>
      <x:c r="AA2147" s="25" t="str">
        <x:v>[]</x:v>
      </x:c>
      <x:c r="AB2147" s="3" t="str">
        <x:v>Existing CapitalForge research, newly screened for this campaign</x:v>
      </x:c>
      <x:c r="AC2147" s="3" t="str">
        <x:v>unverified</x:v>
      </x:c>
      <x:c r="AD2147" s="3" t="str">
        <x:v>Not contacted / unconfirmed</x:v>
      </x:c>
      <x:c r="AE2147" s="3" t="str">
        <x:v>No</x:v>
      </x:c>
      <x:c r="AF2147" s="3" t="str">
        <x:v>No</x:v>
      </x:c>
      <x:c r="AG2147" s="3"/>
      <x:c r="AH2147" s="3"/>
      <x:c r="AI2147" s="18"/>
      <x:c r="AJ2147" s="3" t="str">
        <x:v>CF2500-52D3ACD0AEB3</x:v>
      </x:c>
      <x:c r="AK2147" s="3" t="str">
        <x:v>private_real_estate_lender</x:v>
      </x:c>
      <x:c r="AL2147" s="19" t="n">
        <x:v>100000</x:v>
      </x:c>
      <x:c r="AM2147" s="19" t="n">
        <x:v>500000</x:v>
      </x:c>
      <x:c r="AN2147" s="3" t="str">
        <x:v>https://www.hardmoneyhome.com/lenders/view/lendinghq</x:v>
      </x:c>
      <x:c r="AO2147" s="3" t="str">
        <x:v>public_directory.jsonl</x:v>
      </x:c>
      <x:c r="AP2147" s="19"/>
    </x:row>
    <x:row r="2148" ht="36" customHeight="1">
      <x:c r="A2148" s="23" t="n">
        <x:v>2147</x:v>
      </x:c>
      <x:c r="B2148" s="15" t="str">
        <x:v>Merchants Mortgage &amp; Trust Corporation</x:v>
      </x:c>
      <x:c r="C2148" s="15"/>
      <x:c r="D2148" s="15" t="str">
        <x:v>Property lender or directory member; operating-company capital unconfirmed</x:v>
      </x:c>
      <x:c r="E2148" s="15" t="str">
        <x:v>Property lender / private-money inquiry</x:v>
      </x:c>
      <x:c r="F2148" s="17" t="str">
        <x:v>New</x:v>
      </x:c>
      <x:c r="G2148" s="24"/>
      <x:c r="H2148" s="24" t="str">
        <x:v>+13037706801</x:v>
      </x:c>
      <x:c r="I2148" s="24" t="str">
        <x:v>https://merchantsmtg.com/</x:v>
      </x:c>
      <x:c r="J2148" s="16" t="str">
        <x:v>CO</x:v>
      </x:c>
      <x:c r="K2148" s="16" t="str">
        <x:v>Greenwood Village</x:v>
      </x:c>
      <x:c r="L2148" s="16" t="str">
        <x:v>firm_business_routing</x:v>
      </x:c>
      <x:c r="M2148" s="16" t="str">
        <x:v>https://merchantsmtg.com/</x:v>
      </x:c>
      <x:c r="N2148" s="16" t="str">
        <x:v>Published source range; proposed allocation and structure require confirmation</x:v>
      </x:c>
      <x:c r="O2148" s="20"/>
      <x:c r="P2148" s="20" t="n">
        <x:v>4000000</x:v>
      </x:c>
      <x:c r="Q2148" s="25" t="str">
        <x:v>Property-loan range, not a corporate-capital commitment</x:v>
      </x:c>
      <x:c r="R2148" s="25" t="str">
        <x:v>Private real-estate finance experience. Corporate working capital, minority equity or profit participation requires a separate agreement from a property loan.</x:v>
      </x:c>
      <x:c r="S2148" s="25"/>
      <x:c r="T2148" s="25" t="str">
        <x:v>Confirm direct principal versus broker, $100K-$500K appetite, and whether capital can fund the operating company without a property mortgage.</x:v>
      </x:c>
      <x:c r="U2148" s="25" t="str">
        <x:v>https://www.hardmoneyhome.com/lenders/view/merchants-mortgage-and-trust-corporation</x:v>
      </x:c>
      <x:c r="V2148" s="26" t="d">
        <x:v>2026-10-02T00:00:00.000Z</x:v>
      </x:c>
      <x:c r="W2148" s="26" t="d">
        <x:v>2026-09-30T00:00:00.000Z</x:v>
      </x:c>
      <x:c r="X2148" s="25" t="str">
        <x:v>Saved public company, industry-directory or regulatory source; source date retained</x:v>
      </x:c>
      <x:c r="Y2148" s="25"/>
      <x:c r="Z2148" s="25" t="str">
        <x:v>https://www.hardmoneyhome.com/lenders/view/merchants-mortgage-and-trust-corporation</x:v>
      </x:c>
      <x:c r="AA2148" s="25" t="str">
        <x:v>[]</x:v>
      </x:c>
      <x:c r="AB2148" s="3" t="str">
        <x:v>Existing CapitalForge research, newly screened for this campaign</x:v>
      </x:c>
      <x:c r="AC2148" s="3" t="str">
        <x:v>unverified</x:v>
      </x:c>
      <x:c r="AD2148" s="3" t="str">
        <x:v>Not contacted / unconfirmed</x:v>
      </x:c>
      <x:c r="AE2148" s="3" t="str">
        <x:v>No</x:v>
      </x:c>
      <x:c r="AF2148" s="3" t="str">
        <x:v>No</x:v>
      </x:c>
      <x:c r="AG2148" s="3"/>
      <x:c r="AH2148" s="3"/>
      <x:c r="AI2148" s="18"/>
      <x:c r="AJ2148" s="3" t="str">
        <x:v>CF2500-AF103399B968</x:v>
      </x:c>
      <x:c r="AK2148" s="3" t="str">
        <x:v>private_real_estate_lender</x:v>
      </x:c>
      <x:c r="AL2148" s="19" t="n">
        <x:v>100000</x:v>
      </x:c>
      <x:c r="AM2148" s="19" t="n">
        <x:v>500000</x:v>
      </x:c>
      <x:c r="AN2148" s="3" t="str">
        <x:v>https://www.hardmoneyhome.com/lenders/view/merchants-mortgage-and-trust-corporation</x:v>
      </x:c>
      <x:c r="AO2148" s="3" t="str">
        <x:v>public_directory.jsonl</x:v>
      </x:c>
      <x:c r="AP2148" s="19"/>
    </x:row>
    <x:row r="2149" ht="36" customHeight="1">
      <x:c r="A2149" s="23" t="n">
        <x:v>2148</x:v>
      </x:c>
      <x:c r="B2149" s="15" t="str">
        <x:v>Montegra Capital Resources</x:v>
      </x:c>
      <x:c r="C2149" s="15"/>
      <x:c r="D2149" s="15" t="str">
        <x:v>Property lender or directory member; operating-company capital unconfirmed</x:v>
      </x:c>
      <x:c r="E2149" s="15" t="str">
        <x:v>Property lender / private-money inquiry</x:v>
      </x:c>
      <x:c r="F2149" s="17" t="str">
        <x:v>New</x:v>
      </x:c>
      <x:c r="G2149" s="24"/>
      <x:c r="H2149" s="24" t="str">
        <x:v>+13033774181</x:v>
      </x:c>
      <x:c r="I2149" s="24" t="str">
        <x:v>http://www.montegra.com/</x:v>
      </x:c>
      <x:c r="J2149" s="16" t="str">
        <x:v>CO</x:v>
      </x:c>
      <x:c r="K2149" s="16" t="str">
        <x:v>Denver</x:v>
      </x:c>
      <x:c r="L2149" s="16" t="str">
        <x:v>firm_business_routing</x:v>
      </x:c>
      <x:c r="M2149" s="16" t="str">
        <x:v>http://www.montegra.com/</x:v>
      </x:c>
      <x:c r="N2149" s="16" t="str">
        <x:v>Published source range; proposed allocation and structure require confirmation</x:v>
      </x:c>
      <x:c r="O2149" s="20"/>
      <x:c r="P2149" s="20" t="n">
        <x:v>5000000</x:v>
      </x:c>
      <x:c r="Q2149" s="25" t="str">
        <x:v>Property-loan range, not a corporate-capital commitment</x:v>
      </x:c>
      <x:c r="R2149" s="25" t="str">
        <x:v>Private real-estate finance experience. Corporate working capital, minority equity or profit participation requires a separate agreement from a property loan.</x:v>
      </x:c>
      <x:c r="S2149" s="25"/>
      <x:c r="T2149" s="25" t="str">
        <x:v>Confirm direct principal versus broker, $100K-$500K appetite, and whether capital can fund the operating company without a property mortgage.</x:v>
      </x:c>
      <x:c r="U2149" s="25" t="str">
        <x:v>https://www.hardmoneyhome.com/lenders/view/montegra-capital-resources</x:v>
      </x:c>
      <x:c r="V2149" s="26" t="d">
        <x:v>2026-10-02T00:00:00.000Z</x:v>
      </x:c>
      <x:c r="W2149" s="26" t="d">
        <x:v>2026-09-30T00:00:00.000Z</x:v>
      </x:c>
      <x:c r="X2149" s="25" t="str">
        <x:v>Saved public company, industry-directory or regulatory source; source date retained</x:v>
      </x:c>
      <x:c r="Y2149" s="25"/>
      <x:c r="Z2149" s="25" t="str">
        <x:v>https://www.hardmoneyhome.com/lenders/view/montegra-capital-resources</x:v>
      </x:c>
      <x:c r="AA2149" s="25" t="str">
        <x:v>[]</x:v>
      </x:c>
      <x:c r="AB2149" s="3" t="str">
        <x:v>Existing CapitalForge research, newly screened for this campaign</x:v>
      </x:c>
      <x:c r="AC2149" s="3" t="str">
        <x:v>unverified</x:v>
      </x:c>
      <x:c r="AD2149" s="3" t="str">
        <x:v>Not contacted / unconfirmed</x:v>
      </x:c>
      <x:c r="AE2149" s="3" t="str">
        <x:v>No</x:v>
      </x:c>
      <x:c r="AF2149" s="3" t="str">
        <x:v>No</x:v>
      </x:c>
      <x:c r="AG2149" s="3"/>
      <x:c r="AH2149" s="3"/>
      <x:c r="AI2149" s="18"/>
      <x:c r="AJ2149" s="3" t="str">
        <x:v>CF2500-693DE0C8FA8A</x:v>
      </x:c>
      <x:c r="AK2149" s="3" t="str">
        <x:v>private_real_estate_lender</x:v>
      </x:c>
      <x:c r="AL2149" s="19" t="n">
        <x:v>100000</x:v>
      </x:c>
      <x:c r="AM2149" s="19" t="n">
        <x:v>500000</x:v>
      </x:c>
      <x:c r="AN2149" s="3" t="str">
        <x:v>https://www.hardmoneyhome.com/lenders/view/montegra-capital-resources</x:v>
      </x:c>
      <x:c r="AO2149" s="3" t="str">
        <x:v>public_directory.jsonl</x:v>
      </x:c>
      <x:c r="AP2149" s="19"/>
    </x:row>
    <x:row r="2150" ht="36" customHeight="1">
      <x:c r="A2150" s="23" t="n">
        <x:v>2149</x:v>
      </x:c>
      <x:c r="B2150" s="15" t="str">
        <x:v>Omega Funding</x:v>
      </x:c>
      <x:c r="C2150" s="15"/>
      <x:c r="D2150" s="15" t="str">
        <x:v>Property lender or directory member; operating-company capital unconfirmed</x:v>
      </x:c>
      <x:c r="E2150" s="15" t="str">
        <x:v>Property lender / private-money inquiry</x:v>
      </x:c>
      <x:c r="F2150" s="17" t="str">
        <x:v>New</x:v>
      </x:c>
      <x:c r="G2150" s="24"/>
      <x:c r="H2150" s="24" t="str">
        <x:v>+17202794345</x:v>
      </x:c>
      <x:c r="I2150" s="24" t="str">
        <x:v>http://www.omegafund.com</x:v>
      </x:c>
      <x:c r="J2150" s="16" t="str">
        <x:v>CO</x:v>
      </x:c>
      <x:c r="K2150" s="16" t="str">
        <x:v>Denver</x:v>
      </x:c>
      <x:c r="L2150" s="16" t="str">
        <x:v>firm_business_routing</x:v>
      </x:c>
      <x:c r="M2150" s="16" t="str">
        <x:v>http://www.omegafund.com</x:v>
      </x:c>
      <x:c r="N2150" s="16" t="str">
        <x:v>Published source range; proposed allocation and structure require confirmation</x:v>
      </x:c>
      <x:c r="O2150" s="20"/>
      <x:c r="P2150" s="20" t="n">
        <x:v>25000000</x:v>
      </x:c>
      <x:c r="Q2150" s="25" t="str">
        <x:v>Property-loan range, not a corporate-capital commitment</x:v>
      </x:c>
      <x:c r="R2150" s="25" t="str">
        <x:v>Private real-estate finance experience. Corporate working capital, minority equity or profit participation requires a separate agreement from a property loan.</x:v>
      </x:c>
      <x:c r="S2150" s="25"/>
      <x:c r="T2150" s="25" t="str">
        <x:v>Confirm direct principal versus broker, $100K-$500K appetite, and whether capital can fund the operating company without a property mortgage.</x:v>
      </x:c>
      <x:c r="U2150" s="25" t="str">
        <x:v>https://www.hardmoneyhome.com/lenders/view/omega-funding</x:v>
      </x:c>
      <x:c r="V2150" s="26" t="d">
        <x:v>2026-10-02T00:00:00.000Z</x:v>
      </x:c>
      <x:c r="W2150" s="26" t="d">
        <x:v>2026-09-30T00:00:00.000Z</x:v>
      </x:c>
      <x:c r="X2150" s="25" t="str">
        <x:v>Saved public company, industry-directory or regulatory source; source date retained</x:v>
      </x:c>
      <x:c r="Y2150" s="25"/>
      <x:c r="Z2150" s="25" t="str">
        <x:v>https://www.hardmoneyhome.com/lenders/view/omega-funding</x:v>
      </x:c>
      <x:c r="AA2150" s="25" t="str">
        <x:v>[]</x:v>
      </x:c>
      <x:c r="AB2150" s="3" t="str">
        <x:v>Existing CapitalForge research, newly screened for this campaign</x:v>
      </x:c>
      <x:c r="AC2150" s="3" t="str">
        <x:v>unverified</x:v>
      </x:c>
      <x:c r="AD2150" s="3" t="str">
        <x:v>Not contacted / unconfirmed</x:v>
      </x:c>
      <x:c r="AE2150" s="3" t="str">
        <x:v>No</x:v>
      </x:c>
      <x:c r="AF2150" s="3" t="str">
        <x:v>No</x:v>
      </x:c>
      <x:c r="AG2150" s="3"/>
      <x:c r="AH2150" s="3"/>
      <x:c r="AI2150" s="18"/>
      <x:c r="AJ2150" s="3" t="str">
        <x:v>CF2500-EB77118D2ABF</x:v>
      </x:c>
      <x:c r="AK2150" s="3" t="str">
        <x:v>private_real_estate_lender</x:v>
      </x:c>
      <x:c r="AL2150" s="19" t="n">
        <x:v>100000</x:v>
      </x:c>
      <x:c r="AM2150" s="19" t="n">
        <x:v>500000</x:v>
      </x:c>
      <x:c r="AN2150" s="3" t="str">
        <x:v>https://www.hardmoneyhome.com/lenders/view/omega-funding</x:v>
      </x:c>
      <x:c r="AO2150" s="3" t="str">
        <x:v>public_directory.jsonl</x:v>
      </x:c>
      <x:c r="AP2150" s="19"/>
    </x:row>
    <x:row r="2151" ht="36" customHeight="1">
      <x:c r="A2151" s="23" t="n">
        <x:v>2150</x:v>
      </x:c>
      <x:c r="B2151" s="15" t="str">
        <x:v>REI Funding</x:v>
      </x:c>
      <x:c r="C2151" s="15"/>
      <x:c r="D2151" s="15" t="str">
        <x:v>Property lender or directory member; operating-company capital unconfirmed</x:v>
      </x:c>
      <x:c r="E2151" s="15" t="str">
        <x:v>Property lender / private-money inquiry</x:v>
      </x:c>
      <x:c r="F2151" s="17" t="str">
        <x:v>New</x:v>
      </x:c>
      <x:c r="G2151" s="24"/>
      <x:c r="H2151" s="24" t="str">
        <x:v>+13145764357</x:v>
      </x:c>
      <x:c r="I2151" s="24" t="str">
        <x:v>http://www.reifunding.com</x:v>
      </x:c>
      <x:c r="J2151" s="16" t="str">
        <x:v>MO</x:v>
      </x:c>
      <x:c r="K2151" s="16" t="str">
        <x:v>Chesterfield</x:v>
      </x:c>
      <x:c r="L2151" s="16" t="str">
        <x:v>firm_business_routing</x:v>
      </x:c>
      <x:c r="M2151" s="16" t="str">
        <x:v>http://www.reifunding.com</x:v>
      </x:c>
      <x:c r="N2151" s="16" t="str">
        <x:v>Published source range; proposed allocation and structure require confirmation</x:v>
      </x:c>
      <x:c r="O2151" s="20"/>
      <x:c r="P2151" s="20" t="n">
        <x:v>500000</x:v>
      </x:c>
      <x:c r="Q2151" s="25" t="str">
        <x:v>Property-loan range, not a corporate-capital commitment</x:v>
      </x:c>
      <x:c r="R2151" s="25" t="str">
        <x:v>Private real-estate finance experience. Corporate working capital, minority equity or profit participation requires a separate agreement from a property loan.</x:v>
      </x:c>
      <x:c r="S2151" s="25"/>
      <x:c r="T2151" s="25" t="str">
        <x:v>Confirm direct principal versus broker, $100K-$500K appetite, and whether capital can fund the operating company without a property mortgage.</x:v>
      </x:c>
      <x:c r="U2151" s="25" t="str">
        <x:v>https://www.hardmoneyhome.com/lenders/view/rei-funding</x:v>
      </x:c>
      <x:c r="V2151" s="26" t="d">
        <x:v>2026-10-02T00:00:00.000Z</x:v>
      </x:c>
      <x:c r="W2151" s="26" t="d">
        <x:v>2026-09-30T00:00:00.000Z</x:v>
      </x:c>
      <x:c r="X2151" s="25" t="str">
        <x:v>Saved public company, industry-directory or regulatory source; source date retained</x:v>
      </x:c>
      <x:c r="Y2151" s="25"/>
      <x:c r="Z2151" s="25" t="str">
        <x:v>https://www.hardmoneyhome.com/lenders/view/rei-funding</x:v>
      </x:c>
      <x:c r="AA2151" s="25" t="str">
        <x:v>[]</x:v>
      </x:c>
      <x:c r="AB2151" s="3" t="str">
        <x:v>Existing CapitalForge research, newly screened for this campaign</x:v>
      </x:c>
      <x:c r="AC2151" s="3" t="str">
        <x:v>unverified</x:v>
      </x:c>
      <x:c r="AD2151" s="3" t="str">
        <x:v>Not contacted / unconfirmed</x:v>
      </x:c>
      <x:c r="AE2151" s="3" t="str">
        <x:v>No</x:v>
      </x:c>
      <x:c r="AF2151" s="3" t="str">
        <x:v>No</x:v>
      </x:c>
      <x:c r="AG2151" s="3"/>
      <x:c r="AH2151" s="3"/>
      <x:c r="AI2151" s="18"/>
      <x:c r="AJ2151" s="3" t="str">
        <x:v>CF2500-88F1C291B821</x:v>
      </x:c>
      <x:c r="AK2151" s="3" t="str">
        <x:v>private_real_estate_lender</x:v>
      </x:c>
      <x:c r="AL2151" s="19" t="n">
        <x:v>100000</x:v>
      </x:c>
      <x:c r="AM2151" s="19" t="n">
        <x:v>500000</x:v>
      </x:c>
      <x:c r="AN2151" s="3" t="str">
        <x:v>https://www.hardmoneyhome.com/lenders/view/rei-funding</x:v>
      </x:c>
      <x:c r="AO2151" s="3" t="str">
        <x:v>public_directory.jsonl</x:v>
      </x:c>
      <x:c r="AP2151" s="19"/>
    </x:row>
    <x:row r="2152" ht="36" customHeight="1">
      <x:c r="A2152" s="23" t="n">
        <x:v>2151</x:v>
      </x:c>
      <x:c r="B2152" s="15" t="str">
        <x:v>Render Capital Group</x:v>
      </x:c>
      <x:c r="C2152" s="15"/>
      <x:c r="D2152" s="15" t="str">
        <x:v>Property lender or directory member; operating-company capital unconfirmed</x:v>
      </x:c>
      <x:c r="E2152" s="15" t="str">
        <x:v>Property lender / private-money inquiry</x:v>
      </x:c>
      <x:c r="F2152" s="17" t="str">
        <x:v>New</x:v>
      </x:c>
      <x:c r="G2152" s="24"/>
      <x:c r="H2152" s="24" t="str">
        <x:v>+13122351728</x:v>
      </x:c>
      <x:c r="I2152" s="24" t="str">
        <x:v>https://www.rendercapitalgroup.com</x:v>
      </x:c>
      <x:c r="J2152" s="16" t="str">
        <x:v>IN</x:v>
      </x:c>
      <x:c r="K2152" s="16" t="str">
        <x:v>Hobart</x:v>
      </x:c>
      <x:c r="L2152" s="16" t="str">
        <x:v>firm_business_routing</x:v>
      </x:c>
      <x:c r="M2152" s="16" t="str">
        <x:v>https://www.rendercapitalgroup.com</x:v>
      </x:c>
      <x:c r="N2152" s="16" t="str">
        <x:v>Published source range; proposed allocation and structure require confirmation</x:v>
      </x:c>
      <x:c r="O2152" s="20"/>
      <x:c r="P2152" s="20" t="n">
        <x:v>500000</x:v>
      </x:c>
      <x:c r="Q2152" s="25" t="str">
        <x:v>Property-loan range, not a corporate-capital commitment</x:v>
      </x:c>
      <x:c r="R2152" s="25" t="str">
        <x:v>Private real-estate finance experience. Corporate working capital, minority equity or profit participation requires a separate agreement from a property loan.</x:v>
      </x:c>
      <x:c r="S2152" s="25"/>
      <x:c r="T2152" s="25" t="str">
        <x:v>Confirm direct principal versus broker, $100K-$500K appetite, and whether capital can fund the operating company without a property mortgage.</x:v>
      </x:c>
      <x:c r="U2152" s="25" t="str">
        <x:v>https://www.hardmoneyhome.com/lenders/view/render-capital-group</x:v>
      </x:c>
      <x:c r="V2152" s="26" t="d">
        <x:v>2026-10-02T00:00:00.000Z</x:v>
      </x:c>
      <x:c r="W2152" s="26" t="d">
        <x:v>2026-09-30T00:00:00.000Z</x:v>
      </x:c>
      <x:c r="X2152" s="25" t="str">
        <x:v>Saved public company, industry-directory or regulatory source; source date retained</x:v>
      </x:c>
      <x:c r="Y2152" s="25"/>
      <x:c r="Z2152" s="25" t="str">
        <x:v>https://www.hardmoneyhome.com/lenders/view/render-capital-group</x:v>
      </x:c>
      <x:c r="AA2152" s="25" t="str">
        <x:v>[]</x:v>
      </x:c>
      <x:c r="AB2152" s="3" t="str">
        <x:v>Existing CapitalForge research, newly screened for this campaign</x:v>
      </x:c>
      <x:c r="AC2152" s="3" t="str">
        <x:v>unverified</x:v>
      </x:c>
      <x:c r="AD2152" s="3" t="str">
        <x:v>Not contacted / unconfirmed</x:v>
      </x:c>
      <x:c r="AE2152" s="3" t="str">
        <x:v>No</x:v>
      </x:c>
      <x:c r="AF2152" s="3" t="str">
        <x:v>No</x:v>
      </x:c>
      <x:c r="AG2152" s="3"/>
      <x:c r="AH2152" s="3"/>
      <x:c r="AI2152" s="18"/>
      <x:c r="AJ2152" s="3" t="str">
        <x:v>CF2500-CB04E1AD1251</x:v>
      </x:c>
      <x:c r="AK2152" s="3" t="str">
        <x:v>private_real_estate_lender</x:v>
      </x:c>
      <x:c r="AL2152" s="19" t="n">
        <x:v>100000</x:v>
      </x:c>
      <x:c r="AM2152" s="19" t="n">
        <x:v>500000</x:v>
      </x:c>
      <x:c r="AN2152" s="3" t="str">
        <x:v>https://www.hardmoneyhome.com/lenders/view/render-capital-group</x:v>
      </x:c>
      <x:c r="AO2152" s="3" t="str">
        <x:v>public_directory.jsonl</x:v>
      </x:c>
      <x:c r="AP2152" s="19"/>
    </x:row>
    <x:row r="2153" ht="36" customHeight="1">
      <x:c r="A2153" s="23" t="n">
        <x:v>2152</x:v>
      </x:c>
      <x:c r="B2153" s="15" t="str">
        <x:v>RMAC Lending</x:v>
      </x:c>
      <x:c r="C2153" s="15"/>
      <x:c r="D2153" s="15" t="str">
        <x:v>Property lender or directory member; operating-company capital unconfirmed</x:v>
      </x:c>
      <x:c r="E2153" s="15" t="str">
        <x:v>Property lender / private-money inquiry</x:v>
      </x:c>
      <x:c r="F2153" s="17" t="str">
        <x:v>New</x:v>
      </x:c>
      <x:c r="G2153" s="24"/>
      <x:c r="H2153" s="24" t="str">
        <x:v>+14054185800</x:v>
      </x:c>
      <x:c r="I2153" s="24" t="str">
        <x:v>https://www.rmaclending.com/</x:v>
      </x:c>
      <x:c r="J2153" s="16" t="str">
        <x:v>OK</x:v>
      </x:c>
      <x:c r="K2153" s="16" t="str">
        <x:v>Oklahoma City</x:v>
      </x:c>
      <x:c r="L2153" s="16" t="str">
        <x:v>firm_business_routing</x:v>
      </x:c>
      <x:c r="M2153" s="16" t="str">
        <x:v>https://www.rmaclending.com/</x:v>
      </x:c>
      <x:c r="N2153" s="16" t="str">
        <x:v>Published source range; proposed allocation and structure require confirmation</x:v>
      </x:c>
      <x:c r="O2153" s="20"/>
      <x:c r="P2153" s="20" t="n">
        <x:v>500000</x:v>
      </x:c>
      <x:c r="Q2153" s="25" t="str">
        <x:v>Property-loan range, not a corporate-capital commitment</x:v>
      </x:c>
      <x:c r="R2153" s="25" t="str">
        <x:v>Private real-estate finance experience. Corporate working capital, minority equity or profit participation requires a separate agreement from a property loan.</x:v>
      </x:c>
      <x:c r="S2153" s="25"/>
      <x:c r="T2153" s="25" t="str">
        <x:v>Confirm direct principal versus broker, $100K-$500K appetite, and whether capital can fund the operating company without a property mortgage.</x:v>
      </x:c>
      <x:c r="U2153" s="25" t="str">
        <x:v>https://www.hardmoneyhome.com/lenders/view/rmac-lending</x:v>
      </x:c>
      <x:c r="V2153" s="26" t="d">
        <x:v>2026-10-02T00:00:00.000Z</x:v>
      </x:c>
      <x:c r="W2153" s="26" t="d">
        <x:v>2026-09-30T00:00:00.000Z</x:v>
      </x:c>
      <x:c r="X2153" s="25" t="str">
        <x:v>Saved public company, industry-directory or regulatory source; source date retained</x:v>
      </x:c>
      <x:c r="Y2153" s="25"/>
      <x:c r="Z2153" s="25" t="str">
        <x:v>https://www.hardmoneyhome.com/lenders/view/rmac-lending</x:v>
      </x:c>
      <x:c r="AA2153" s="25" t="str">
        <x:v>[]</x:v>
      </x:c>
      <x:c r="AB2153" s="3" t="str">
        <x:v>Existing CapitalForge research, newly screened for this campaign</x:v>
      </x:c>
      <x:c r="AC2153" s="3" t="str">
        <x:v>unverified</x:v>
      </x:c>
      <x:c r="AD2153" s="3" t="str">
        <x:v>Not contacted / unconfirmed</x:v>
      </x:c>
      <x:c r="AE2153" s="3" t="str">
        <x:v>No</x:v>
      </x:c>
      <x:c r="AF2153" s="3" t="str">
        <x:v>No</x:v>
      </x:c>
      <x:c r="AG2153" s="3"/>
      <x:c r="AH2153" s="3"/>
      <x:c r="AI2153" s="18"/>
      <x:c r="AJ2153" s="3" t="str">
        <x:v>CF2500-89BBCD31EAD0</x:v>
      </x:c>
      <x:c r="AK2153" s="3" t="str">
        <x:v>private_real_estate_lender</x:v>
      </x:c>
      <x:c r="AL2153" s="19" t="n">
        <x:v>100000</x:v>
      </x:c>
      <x:c r="AM2153" s="19" t="n">
        <x:v>500000</x:v>
      </x:c>
      <x:c r="AN2153" s="3" t="str">
        <x:v>https://www.hardmoneyhome.com/lenders/view/rmac-lending</x:v>
      </x:c>
      <x:c r="AO2153" s="3" t="str">
        <x:v>public_directory.jsonl</x:v>
      </x:c>
      <x:c r="AP2153" s="19"/>
    </x:row>
    <x:row r="2154" ht="36" customHeight="1">
      <x:c r="A2154" s="23" t="n">
        <x:v>2153</x:v>
      </x:c>
      <x:c r="B2154" s="15" t="str">
        <x:v>Salt Funding</x:v>
      </x:c>
      <x:c r="C2154" s="15"/>
      <x:c r="D2154" s="15" t="str">
        <x:v>Property lender or directory member; operating-company capital unconfirmed</x:v>
      </x:c>
      <x:c r="E2154" s="15" t="str">
        <x:v>Property lender / private-money inquiry</x:v>
      </x:c>
      <x:c r="F2154" s="17" t="str">
        <x:v>New</x:v>
      </x:c>
      <x:c r="G2154" s="24"/>
      <x:c r="H2154" s="24" t="str">
        <x:v>+13035698447</x:v>
      </x:c>
      <x:c r="I2154" s="24" t="str">
        <x:v>https://www.saltfunding.com/</x:v>
      </x:c>
      <x:c r="J2154" s="16" t="str">
        <x:v>CO</x:v>
      </x:c>
      <x:c r="K2154" s="16" t="str">
        <x:v>Denver</x:v>
      </x:c>
      <x:c r="L2154" s="16" t="str">
        <x:v>firm_business_routing</x:v>
      </x:c>
      <x:c r="M2154" s="16" t="str">
        <x:v>https://www.saltfunding.com/</x:v>
      </x:c>
      <x:c r="N2154" s="16" t="str">
        <x:v>Published source range; proposed allocation and structure require confirmation</x:v>
      </x:c>
      <x:c r="O2154" s="20"/>
      <x:c r="P2154" s="20" t="n">
        <x:v>5000000</x:v>
      </x:c>
      <x:c r="Q2154" s="25" t="str">
        <x:v>Property-loan range, not a corporate-capital commitment</x:v>
      </x:c>
      <x:c r="R2154" s="25" t="str">
        <x:v>Private real-estate finance experience. Corporate working capital, minority equity or profit participation requires a separate agreement from a property loan.</x:v>
      </x:c>
      <x:c r="S2154" s="25"/>
      <x:c r="T2154" s="25" t="str">
        <x:v>Confirm direct principal versus broker, $100K-$500K appetite, and whether capital can fund the operating company without a property mortgage.</x:v>
      </x:c>
      <x:c r="U2154" s="25" t="str">
        <x:v>https://www.hardmoneyhome.com/lenders/view/salt-funding</x:v>
      </x:c>
      <x:c r="V2154" s="26" t="d">
        <x:v>2026-10-02T00:00:00.000Z</x:v>
      </x:c>
      <x:c r="W2154" s="26" t="d">
        <x:v>2026-09-30T00:00:00.000Z</x:v>
      </x:c>
      <x:c r="X2154" s="25" t="str">
        <x:v>Saved public company, industry-directory or regulatory source; source date retained</x:v>
      </x:c>
      <x:c r="Y2154" s="25"/>
      <x:c r="Z2154" s="25" t="str">
        <x:v>https://www.hardmoneyhome.com/lenders/view/salt-funding</x:v>
      </x:c>
      <x:c r="AA2154" s="25" t="str">
        <x:v>[]</x:v>
      </x:c>
      <x:c r="AB2154" s="3" t="str">
        <x:v>Existing CapitalForge research, newly screened for this campaign</x:v>
      </x:c>
      <x:c r="AC2154" s="3" t="str">
        <x:v>unverified</x:v>
      </x:c>
      <x:c r="AD2154" s="3" t="str">
        <x:v>Not contacted / unconfirmed</x:v>
      </x:c>
      <x:c r="AE2154" s="3" t="str">
        <x:v>No</x:v>
      </x:c>
      <x:c r="AF2154" s="3" t="str">
        <x:v>No</x:v>
      </x:c>
      <x:c r="AG2154" s="3"/>
      <x:c r="AH2154" s="3"/>
      <x:c r="AI2154" s="18"/>
      <x:c r="AJ2154" s="3" t="str">
        <x:v>CF2500-1E4C7819C916</x:v>
      </x:c>
      <x:c r="AK2154" s="3" t="str">
        <x:v>private_real_estate_lender</x:v>
      </x:c>
      <x:c r="AL2154" s="19" t="n">
        <x:v>100000</x:v>
      </x:c>
      <x:c r="AM2154" s="19" t="n">
        <x:v>500000</x:v>
      </x:c>
      <x:c r="AN2154" s="3" t="str">
        <x:v>https://www.hardmoneyhome.com/lenders/view/salt-funding</x:v>
      </x:c>
      <x:c r="AO2154" s="3" t="str">
        <x:v>public_directory.jsonl</x:v>
      </x:c>
      <x:c r="AP2154" s="19"/>
    </x:row>
    <x:row r="2155" ht="36" customHeight="1">
      <x:c r="A2155" s="23" t="n">
        <x:v>2154</x:v>
      </x:c>
      <x:c r="B2155" s="15" t="str">
        <x:v>The Investor's Source</x:v>
      </x:c>
      <x:c r="C2155" s="15"/>
      <x:c r="D2155" s="15" t="str">
        <x:v>Property lender or directory member; operating-company capital unconfirmed</x:v>
      </x:c>
      <x:c r="E2155" s="15" t="str">
        <x:v>Property lender / private-money inquiry</x:v>
      </x:c>
      <x:c r="F2155" s="17" t="str">
        <x:v>New</x:v>
      </x:c>
      <x:c r="G2155" s="24"/>
      <x:c r="H2155" s="24" t="str">
        <x:v>+19706352397</x:v>
      </x:c>
      <x:c r="I2155" s="24" t="str">
        <x:v>http://www.theinvestorssource.com/</x:v>
      </x:c>
      <x:c r="J2155" s="16" t="str">
        <x:v>CO</x:v>
      </x:c>
      <x:c r="K2155" s="16" t="str">
        <x:v>Loveland</x:v>
      </x:c>
      <x:c r="L2155" s="16" t="str">
        <x:v>firm_business_routing</x:v>
      </x:c>
      <x:c r="M2155" s="16" t="str">
        <x:v>http://www.theinvestorssource.com/</x:v>
      </x:c>
      <x:c r="N2155" s="16" t="str">
        <x:v>Published source range; proposed allocation and structure require confirmation</x:v>
      </x:c>
      <x:c r="O2155" s="20"/>
      <x:c r="P2155" s="20" t="n">
        <x:v>5000000</x:v>
      </x:c>
      <x:c r="Q2155" s="25" t="str">
        <x:v>Property-loan range, not a corporate-capital commitment</x:v>
      </x:c>
      <x:c r="R2155" s="25" t="str">
        <x:v>Private real-estate finance experience. Corporate working capital, minority equity or profit participation requires a separate agreement from a property loan.</x:v>
      </x:c>
      <x:c r="S2155" s="25"/>
      <x:c r="T2155" s="25" t="str">
        <x:v>Confirm direct principal versus broker, $100K-$500K appetite, and whether capital can fund the operating company without a property mortgage.</x:v>
      </x:c>
      <x:c r="U2155" s="25" t="str">
        <x:v>https://www.hardmoneyhome.com/lenders/view/the-investors-source</x:v>
      </x:c>
      <x:c r="V2155" s="26" t="d">
        <x:v>2026-10-02T00:00:00.000Z</x:v>
      </x:c>
      <x:c r="W2155" s="26" t="d">
        <x:v>2026-09-30T00:00:00.000Z</x:v>
      </x:c>
      <x:c r="X2155" s="25" t="str">
        <x:v>Saved public company, industry-directory or regulatory source; source date retained</x:v>
      </x:c>
      <x:c r="Y2155" s="25"/>
      <x:c r="Z2155" s="25" t="str">
        <x:v>https://www.hardmoneyhome.com/lenders/view/the-investors-source</x:v>
      </x:c>
      <x:c r="AA2155" s="25" t="str">
        <x:v>[]</x:v>
      </x:c>
      <x:c r="AB2155" s="3" t="str">
        <x:v>Existing CapitalForge research, newly screened for this campaign</x:v>
      </x:c>
      <x:c r="AC2155" s="3" t="str">
        <x:v>unverified</x:v>
      </x:c>
      <x:c r="AD2155" s="3" t="str">
        <x:v>Not contacted / unconfirmed</x:v>
      </x:c>
      <x:c r="AE2155" s="3" t="str">
        <x:v>No</x:v>
      </x:c>
      <x:c r="AF2155" s="3" t="str">
        <x:v>No</x:v>
      </x:c>
      <x:c r="AG2155" s="3"/>
      <x:c r="AH2155" s="3"/>
      <x:c r="AI2155" s="18"/>
      <x:c r="AJ2155" s="3" t="str">
        <x:v>CF2500-5B8A38EA96EC</x:v>
      </x:c>
      <x:c r="AK2155" s="3" t="str">
        <x:v>private_real_estate_lender</x:v>
      </x:c>
      <x:c r="AL2155" s="19" t="n">
        <x:v>100000</x:v>
      </x:c>
      <x:c r="AM2155" s="19" t="n">
        <x:v>500000</x:v>
      </x:c>
      <x:c r="AN2155" s="3" t="str">
        <x:v>https://www.hardmoneyhome.com/lenders/view/the-investors-source</x:v>
      </x:c>
      <x:c r="AO2155" s="3" t="str">
        <x:v>public_directory.jsonl</x:v>
      </x:c>
      <x:c r="AP2155" s="19"/>
    </x:row>
    <x:row r="2156" ht="36" customHeight="1">
      <x:c r="A2156" s="23" t="n">
        <x:v>2155</x:v>
      </x:c>
      <x:c r="B2156" s="15" t="str">
        <x:v>Tri-State Mortgage</x:v>
      </x:c>
      <x:c r="C2156" s="15"/>
      <x:c r="D2156" s="15" t="str">
        <x:v>Property lender or directory member; operating-company capital unconfirmed</x:v>
      </x:c>
      <x:c r="E2156" s="15" t="str">
        <x:v>Property lender / private-money inquiry</x:v>
      </x:c>
      <x:c r="F2156" s="17" t="str">
        <x:v>New</x:v>
      </x:c>
      <x:c r="G2156" s="24"/>
      <x:c r="H2156" s="24" t="str">
        <x:v>+13033698000</x:v>
      </x:c>
      <x:c r="I2156" s="24" t="str">
        <x:v>http://tristatemortgage.net/</x:v>
      </x:c>
      <x:c r="J2156" s="16" t="str">
        <x:v>CO</x:v>
      </x:c>
      <x:c r="K2156" s="16" t="str">
        <x:v>Centennial</x:v>
      </x:c>
      <x:c r="L2156" s="16" t="str">
        <x:v>firm_business_routing</x:v>
      </x:c>
      <x:c r="M2156" s="16" t="str">
        <x:v>http://tristatemortgage.net/</x:v>
      </x:c>
      <x:c r="N2156" s="16" t="str">
        <x:v>Published source range; proposed allocation and structure require confirmation</x:v>
      </x:c>
      <x:c r="O2156" s="20"/>
      <x:c r="P2156" s="20" t="n">
        <x:v>2500000</x:v>
      </x:c>
      <x:c r="Q2156" s="25" t="str">
        <x:v>Property-loan range, not a corporate-capital commitment</x:v>
      </x:c>
      <x:c r="R2156" s="25" t="str">
        <x:v>Private real-estate finance experience. Corporate working capital, minority equity or profit participation requires a separate agreement from a property loan.</x:v>
      </x:c>
      <x:c r="S2156" s="25"/>
      <x:c r="T2156" s="25" t="str">
        <x:v>Confirm direct principal versus broker, $100K-$500K appetite, and whether capital can fund the operating company without a property mortgage.</x:v>
      </x:c>
      <x:c r="U2156" s="25" t="str">
        <x:v>https://www.hardmoneyhome.com/lenders/view/tri-state-mortgage</x:v>
      </x:c>
      <x:c r="V2156" s="26" t="d">
        <x:v>2026-10-02T00:00:00.000Z</x:v>
      </x:c>
      <x:c r="W2156" s="26" t="d">
        <x:v>2026-09-30T00:00:00.000Z</x:v>
      </x:c>
      <x:c r="X2156" s="25" t="str">
        <x:v>Saved public company, industry-directory or regulatory source; source date retained</x:v>
      </x:c>
      <x:c r="Y2156" s="25"/>
      <x:c r="Z2156" s="25" t="str">
        <x:v>https://www.hardmoneyhome.com/lenders/view/tri-state-mortgage</x:v>
      </x:c>
      <x:c r="AA2156" s="25" t="str">
        <x:v>[]</x:v>
      </x:c>
      <x:c r="AB2156" s="3" t="str">
        <x:v>Existing CapitalForge research, newly screened for this campaign</x:v>
      </x:c>
      <x:c r="AC2156" s="3" t="str">
        <x:v>unverified</x:v>
      </x:c>
      <x:c r="AD2156" s="3" t="str">
        <x:v>Not contacted / unconfirmed</x:v>
      </x:c>
      <x:c r="AE2156" s="3" t="str">
        <x:v>No</x:v>
      </x:c>
      <x:c r="AF2156" s="3" t="str">
        <x:v>No</x:v>
      </x:c>
      <x:c r="AG2156" s="3"/>
      <x:c r="AH2156" s="3"/>
      <x:c r="AI2156" s="18"/>
      <x:c r="AJ2156" s="3" t="str">
        <x:v>CF2500-9F5706BB8BA3</x:v>
      </x:c>
      <x:c r="AK2156" s="3" t="str">
        <x:v>private_real_estate_lender</x:v>
      </x:c>
      <x:c r="AL2156" s="19" t="n">
        <x:v>100000</x:v>
      </x:c>
      <x:c r="AM2156" s="19" t="n">
        <x:v>500000</x:v>
      </x:c>
      <x:c r="AN2156" s="3" t="str">
        <x:v>https://www.hardmoneyhome.com/lenders/view/tri-state-mortgage</x:v>
      </x:c>
      <x:c r="AO2156" s="3" t="str">
        <x:v>public_directory.jsonl</x:v>
      </x:c>
      <x:c r="AP2156" s="19"/>
    </x:row>
    <x:row r="2157" ht="36" customHeight="1">
      <x:c r="A2157" s="23" t="n">
        <x:v>2156</x:v>
      </x:c>
      <x:c r="B2157" s="15" t="str">
        <x:v>Vintage Real Estate Fund</x:v>
      </x:c>
      <x:c r="C2157" s="15"/>
      <x:c r="D2157" s="15" t="str">
        <x:v>Property lender or directory member; operating-company capital unconfirmed</x:v>
      </x:c>
      <x:c r="E2157" s="15" t="str">
        <x:v>Property lender / private-money inquiry</x:v>
      </x:c>
      <x:c r="F2157" s="17" t="str">
        <x:v>New</x:v>
      </x:c>
      <x:c r="G2157" s="24"/>
      <x:c r="H2157" s="24" t="str">
        <x:v>+14159387331</x:v>
      </x:c>
      <x:c r="I2157" s="24" t="str">
        <x:v>http://vintagerealestatefund.com/</x:v>
      </x:c>
      <x:c r="J2157" s="16" t="str">
        <x:v>UT</x:v>
      </x:c>
      <x:c r="K2157" s="16" t="str">
        <x:v>Cottonwood Heights</x:v>
      </x:c>
      <x:c r="L2157" s="16" t="str">
        <x:v>firm_business_routing</x:v>
      </x:c>
      <x:c r="M2157" s="16" t="str">
        <x:v>http://vintagerealestatefund.com/</x:v>
      </x:c>
      <x:c r="N2157" s="16" t="str">
        <x:v>Published source range; proposed allocation and structure require confirmation</x:v>
      </x:c>
      <x:c r="O2157" s="20"/>
      <x:c r="P2157" s="20" t="n">
        <x:v>1000000</x:v>
      </x:c>
      <x:c r="Q2157" s="25" t="str">
        <x:v>Property-loan range, not a corporate-capital commitment</x:v>
      </x:c>
      <x:c r="R2157" s="25" t="str">
        <x:v>Private real-estate finance experience. Corporate working capital, minority equity or profit participation requires a separate agreement from a property loan.</x:v>
      </x:c>
      <x:c r="S2157" s="25"/>
      <x:c r="T2157" s="25" t="str">
        <x:v>Confirm direct principal versus broker, $100K-$500K appetite, and whether capital can fund the operating company without a property mortgage.</x:v>
      </x:c>
      <x:c r="U2157" s="25" t="str">
        <x:v>https://www.hardmoneyhome.com/lenders/view/vintage-real-estate-fund</x:v>
      </x:c>
      <x:c r="V2157" s="26" t="d">
        <x:v>2026-10-02T00:00:00.000Z</x:v>
      </x:c>
      <x:c r="W2157" s="26" t="d">
        <x:v>2026-09-30T00:00:00.000Z</x:v>
      </x:c>
      <x:c r="X2157" s="25" t="str">
        <x:v>Saved public company, industry-directory or regulatory source; source date retained</x:v>
      </x:c>
      <x:c r="Y2157" s="25"/>
      <x:c r="Z2157" s="25" t="str">
        <x:v>https://www.hardmoneyhome.com/lenders/view/vintage-real-estate-fund</x:v>
      </x:c>
      <x:c r="AA2157" s="25" t="str">
        <x:v>[]</x:v>
      </x:c>
      <x:c r="AB2157" s="3" t="str">
        <x:v>Existing CapitalForge research, newly screened for this campaign</x:v>
      </x:c>
      <x:c r="AC2157" s="3" t="str">
        <x:v>unverified</x:v>
      </x:c>
      <x:c r="AD2157" s="3" t="str">
        <x:v>Not contacted / unconfirmed</x:v>
      </x:c>
      <x:c r="AE2157" s="3" t="str">
        <x:v>No</x:v>
      </x:c>
      <x:c r="AF2157" s="3" t="str">
        <x:v>No</x:v>
      </x:c>
      <x:c r="AG2157" s="3"/>
      <x:c r="AH2157" s="3"/>
      <x:c r="AI2157" s="18"/>
      <x:c r="AJ2157" s="3" t="str">
        <x:v>CF2500-76C8CD4ACBB3</x:v>
      </x:c>
      <x:c r="AK2157" s="3" t="str">
        <x:v>private_real_estate_lender</x:v>
      </x:c>
      <x:c r="AL2157" s="19" t="n">
        <x:v>100000</x:v>
      </x:c>
      <x:c r="AM2157" s="19" t="n">
        <x:v>500000</x:v>
      </x:c>
      <x:c r="AN2157" s="3" t="str">
        <x:v>https://www.hardmoneyhome.com/lenders/view/vintage-real-estate-fund</x:v>
      </x:c>
      <x:c r="AO2157" s="3" t="str">
        <x:v>public_directory.jsonl</x:v>
      </x:c>
      <x:c r="AP2157" s="19"/>
    </x:row>
    <x:row r="2158" ht="36" customHeight="1">
      <x:c r="A2158" s="23" t="n">
        <x:v>2157</x:v>
      </x:c>
      <x:c r="B2158" s="15" t="str">
        <x:v>VRM Capital Corporation</x:v>
      </x:c>
      <x:c r="C2158" s="15"/>
      <x:c r="D2158" s="15" t="str">
        <x:v>Property lender or directory member; operating-company capital unconfirmed</x:v>
      </x:c>
      <x:c r="E2158" s="15" t="str">
        <x:v>Property lender / private-money inquiry</x:v>
      </x:c>
      <x:c r="F2158" s="17" t="str">
        <x:v>New</x:v>
      </x:c>
      <x:c r="G2158" s="24"/>
      <x:c r="H2158" s="24" t="str">
        <x:v>+13038164420</x:v>
      </x:c>
      <x:c r="I2158" s="24" t="str">
        <x:v>http://www.vrmcapital.com/</x:v>
      </x:c>
      <x:c r="J2158" s="16" t="str">
        <x:v>CO</x:v>
      </x:c>
      <x:c r="K2158" s="16" t="str">
        <x:v>Conifer</x:v>
      </x:c>
      <x:c r="L2158" s="16" t="str">
        <x:v>firm_business_routing</x:v>
      </x:c>
      <x:c r="M2158" s="16" t="str">
        <x:v>http://www.vrmcapital.com/</x:v>
      </x:c>
      <x:c r="N2158" s="16" t="str">
        <x:v>Published source range; proposed allocation and structure require confirmation</x:v>
      </x:c>
      <x:c r="O2158" s="20"/>
      <x:c r="P2158" s="20" t="n">
        <x:v>500000</x:v>
      </x:c>
      <x:c r="Q2158" s="25" t="str">
        <x:v>Property-loan range, not a corporate-capital commitment</x:v>
      </x:c>
      <x:c r="R2158" s="25" t="str">
        <x:v>Private real-estate finance experience. Corporate working capital, minority equity or profit participation requires a separate agreement from a property loan.</x:v>
      </x:c>
      <x:c r="S2158" s="25"/>
      <x:c r="T2158" s="25" t="str">
        <x:v>Confirm direct principal versus broker, $100K-$500K appetite, and whether capital can fund the operating company without a property mortgage.</x:v>
      </x:c>
      <x:c r="U2158" s="25" t="str">
        <x:v>https://www.hardmoneyhome.com/lenders/view/vrm-capital-corporation</x:v>
      </x:c>
      <x:c r="V2158" s="26" t="d">
        <x:v>2026-10-02T00:00:00.000Z</x:v>
      </x:c>
      <x:c r="W2158" s="26" t="d">
        <x:v>2026-09-30T00:00:00.000Z</x:v>
      </x:c>
      <x:c r="X2158" s="25" t="str">
        <x:v>Saved public company, industry-directory or regulatory source; source date retained</x:v>
      </x:c>
      <x:c r="Y2158" s="25"/>
      <x:c r="Z2158" s="25" t="str">
        <x:v>https://www.hardmoneyhome.com/lenders/view/vrm-capital-corporation</x:v>
      </x:c>
      <x:c r="AA2158" s="25" t="str">
        <x:v>[]</x:v>
      </x:c>
      <x:c r="AB2158" s="3" t="str">
        <x:v>Existing CapitalForge research, newly screened for this campaign</x:v>
      </x:c>
      <x:c r="AC2158" s="3" t="str">
        <x:v>unverified</x:v>
      </x:c>
      <x:c r="AD2158" s="3" t="str">
        <x:v>Not contacted / unconfirmed</x:v>
      </x:c>
      <x:c r="AE2158" s="3" t="str">
        <x:v>No</x:v>
      </x:c>
      <x:c r="AF2158" s="3" t="str">
        <x:v>No</x:v>
      </x:c>
      <x:c r="AG2158" s="3"/>
      <x:c r="AH2158" s="3"/>
      <x:c r="AI2158" s="18"/>
      <x:c r="AJ2158" s="3" t="str">
        <x:v>CF2500-B611B0CF84CE</x:v>
      </x:c>
      <x:c r="AK2158" s="3" t="str">
        <x:v>private_real_estate_lender</x:v>
      </x:c>
      <x:c r="AL2158" s="19" t="n">
        <x:v>100000</x:v>
      </x:c>
      <x:c r="AM2158" s="19" t="n">
        <x:v>500000</x:v>
      </x:c>
      <x:c r="AN2158" s="3" t="str">
        <x:v>https://www.hardmoneyhome.com/lenders/view/vrm-capital-corporation</x:v>
      </x:c>
      <x:c r="AO2158" s="3" t="str">
        <x:v>public_directory.jsonl</x:v>
      </x:c>
      <x:c r="AP2158" s="19"/>
    </x:row>
    <x:row r="2159" ht="36" customHeight="1">
      <x:c r="A2159" s="23" t="n">
        <x:v>2158</x:v>
      </x:c>
      <x:c r="B2159" s="15" t="str">
        <x:v>Wasatch Credit Association</x:v>
      </x:c>
      <x:c r="C2159" s="15"/>
      <x:c r="D2159" s="15" t="str">
        <x:v>Property lender or directory member; operating-company capital unconfirmed</x:v>
      </x:c>
      <x:c r="E2159" s="15" t="str">
        <x:v>Property lender / private-money inquiry</x:v>
      </x:c>
      <x:c r="F2159" s="17" t="str">
        <x:v>New</x:v>
      </x:c>
      <x:c r="G2159" s="24"/>
      <x:c r="H2159" s="24" t="str">
        <x:v>+18012981847</x:v>
      </x:c>
      <x:c r="I2159" s="24" t="str">
        <x:v>https://www.wasatchcredit.com/</x:v>
      </x:c>
      <x:c r="J2159" s="16" t="str">
        <x:v>UT</x:v>
      </x:c>
      <x:c r="K2159" s="16" t="str">
        <x:v>Bountiful</x:v>
      </x:c>
      <x:c r="L2159" s="16" t="str">
        <x:v>firm_business_routing</x:v>
      </x:c>
      <x:c r="M2159" s="16" t="str">
        <x:v>https://www.wasatchcredit.com/</x:v>
      </x:c>
      <x:c r="N2159" s="16" t="str">
        <x:v>Published source range; proposed allocation and structure require confirmation</x:v>
      </x:c>
      <x:c r="O2159" s="20"/>
      <x:c r="P2159" s="20" t="n">
        <x:v>2500000</x:v>
      </x:c>
      <x:c r="Q2159" s="25" t="str">
        <x:v>Property-loan range, not a corporate-capital commitment</x:v>
      </x:c>
      <x:c r="R2159" s="25" t="str">
        <x:v>Private real-estate finance experience. Corporate working capital, minority equity or profit participation requires a separate agreement from a property loan.</x:v>
      </x:c>
      <x:c r="S2159" s="25"/>
      <x:c r="T2159" s="25" t="str">
        <x:v>Confirm direct principal versus broker, $100K-$500K appetite, and whether capital can fund the operating company without a property mortgage.</x:v>
      </x:c>
      <x:c r="U2159" s="25" t="str">
        <x:v>https://www.hardmoneyhome.com/lenders/view/wasatch-credit-association</x:v>
      </x:c>
      <x:c r="V2159" s="26" t="d">
        <x:v>2026-10-02T00:00:00.000Z</x:v>
      </x:c>
      <x:c r="W2159" s="26" t="d">
        <x:v>2026-09-30T00:00:00.000Z</x:v>
      </x:c>
      <x:c r="X2159" s="25" t="str">
        <x:v>Saved public company, industry-directory or regulatory source; source date retained</x:v>
      </x:c>
      <x:c r="Y2159" s="25"/>
      <x:c r="Z2159" s="25" t="str">
        <x:v>https://www.hardmoneyhome.com/lenders/view/wasatch-credit-association</x:v>
      </x:c>
      <x:c r="AA2159" s="25" t="str">
        <x:v>[]</x:v>
      </x:c>
      <x:c r="AB2159" s="3" t="str">
        <x:v>Existing CapitalForge research, newly screened for this campaign</x:v>
      </x:c>
      <x:c r="AC2159" s="3" t="str">
        <x:v>unverified</x:v>
      </x:c>
      <x:c r="AD2159" s="3" t="str">
        <x:v>Not contacted / unconfirmed</x:v>
      </x:c>
      <x:c r="AE2159" s="3" t="str">
        <x:v>No</x:v>
      </x:c>
      <x:c r="AF2159" s="3" t="str">
        <x:v>No</x:v>
      </x:c>
      <x:c r="AG2159" s="3"/>
      <x:c r="AH2159" s="3"/>
      <x:c r="AI2159" s="18"/>
      <x:c r="AJ2159" s="3" t="str">
        <x:v>CF2500-DC7FE3B04EF0</x:v>
      </x:c>
      <x:c r="AK2159" s="3" t="str">
        <x:v>private_real_estate_lender</x:v>
      </x:c>
      <x:c r="AL2159" s="19" t="n">
        <x:v>100000</x:v>
      </x:c>
      <x:c r="AM2159" s="19" t="n">
        <x:v>500000</x:v>
      </x:c>
      <x:c r="AN2159" s="3" t="str">
        <x:v>https://www.hardmoneyhome.com/lenders/view/wasatch-credit-association</x:v>
      </x:c>
      <x:c r="AO2159" s="3" t="str">
        <x:v>public_directory.jsonl</x:v>
      </x:c>
      <x:c r="AP2159" s="19"/>
    </x:row>
    <x:row r="2160" ht="36" customHeight="1">
      <x:c r="A2160" s="23" t="n">
        <x:v>2159</x:v>
      </x:c>
      <x:c r="B2160" s="15" t="str">
        <x:v>1ST SIGNATURE LENDING</x:v>
      </x:c>
      <x:c r="C2160" s="15"/>
      <x:c r="D2160" s="15" t="str">
        <x:v>Property lender or directory member; operating-company capital unconfirmed</x:v>
      </x:c>
      <x:c r="E2160" s="15" t="str">
        <x:v>Property lender / private-money inquiry</x:v>
      </x:c>
      <x:c r="F2160" s="17" t="str">
        <x:v>New</x:v>
      </x:c>
      <x:c r="G2160" s="24"/>
      <x:c r="H2160" s="24" t="str">
        <x:v>+13178156060</x:v>
      </x:c>
      <x:c r="I2160" s="24" t="str">
        <x:v>https://1stsignaturelending.com/</x:v>
      </x:c>
      <x:c r="J2160" s="16" t="str">
        <x:v>IN</x:v>
      </x:c>
      <x:c r="K2160" s="16" t="str">
        <x:v>Indianapolis</x:v>
      </x:c>
      <x:c r="L2160" s="16" t="str">
        <x:v>firm_business_routing</x:v>
      </x:c>
      <x:c r="M2160" s="16" t="str">
        <x:v>https://1stsignaturelending.com/</x:v>
      </x:c>
      <x:c r="N2160" s="16" t="str">
        <x:v>$100K-$500K ticket not published / unconfirmed</x:v>
      </x:c>
      <x:c r="O2160" s="20"/>
      <x:c r="P2160" s="20"/>
      <x:c r="Q2160" s="25" t="str">
        <x:v>Property-loan range, not a corporate-capital commitment</x:v>
      </x:c>
      <x:c r="R2160" s="25" t="str">
        <x:v>Private real-estate finance experience. Corporate working capital, minority equity or profit participation requires a separate agreement from a property loan.</x:v>
      </x:c>
      <x:c r="S2160" s="25"/>
      <x:c r="T2160" s="25" t="str">
        <x:v>Confirm direct principal versus broker, $100K-$500K appetite, and whether capital can fund the operating company without a property mortgage.</x:v>
      </x:c>
      <x:c r="U2160" s="25" t="str">
        <x:v>https://www.privatelendersdirectory.com/united-states/indianapolis/top-level-category/1st-signature-lending
https://1stsignaturelending.com/</x:v>
      </x:c>
      <x:c r="V2160" s="26" t="d">
        <x:v>2026-10-02T00:00:00.000Z</x:v>
      </x:c>
      <x:c r="W2160" s="26" t="d">
        <x:v>2026-09-30T00:00:00.000Z</x:v>
      </x:c>
      <x:c r="X2160" s="25" t="str">
        <x:v>Saved public company, industry-directory or regulatory source; source date retained</x:v>
      </x:c>
      <x:c r="Y2160" s="25"/>
      <x:c r="Z2160" s="25" t="str">
        <x:v>https://1stsignaturelending.com/</x:v>
      </x:c>
      <x:c r="AA2160" s="25" t="str">
        <x:v>[]</x:v>
      </x:c>
      <x:c r="AB2160" s="3" t="str">
        <x:v>Existing CapitalForge research, newly screened for this campaign</x:v>
      </x:c>
      <x:c r="AC2160" s="3" t="str">
        <x:v>unverified</x:v>
      </x:c>
      <x:c r="AD2160" s="3" t="str">
        <x:v>Not contacted / unconfirmed</x:v>
      </x:c>
      <x:c r="AE2160" s="3" t="str">
        <x:v>No</x:v>
      </x:c>
      <x:c r="AF2160" s="3" t="str">
        <x:v>No</x:v>
      </x:c>
      <x:c r="AG2160" s="3"/>
      <x:c r="AH2160" s="3"/>
      <x:c r="AI2160" s="18"/>
      <x:c r="AJ2160" s="3" t="str">
        <x:v>CF2500-B69E7D379B6F</x:v>
      </x:c>
      <x:c r="AK2160" s="3" t="str">
        <x:v>private_real_estate_lender</x:v>
      </x:c>
      <x:c r="AL2160" s="19" t="n">
        <x:v>100000</x:v>
      </x:c>
      <x:c r="AM2160" s="19" t="n">
        <x:v>500000</x:v>
      </x:c>
      <x:c r="AN2160" s="3" t="str">
        <x:v>https://www.privatelendersdirectory.com/united-states/indianapolis/top-level-category/1st-signature-lending</x:v>
      </x:c>
      <x:c r="AO2160" s="3" t="str">
        <x:v>public_directory.jsonl</x:v>
      </x:c>
      <x:c r="AP2160" s="19"/>
    </x:row>
    <x:row r="2161" ht="36" customHeight="1">
      <x:c r="A2161" s="23" t="n">
        <x:v>2160</x:v>
      </x:c>
      <x:c r="B2161" s="15" t="str">
        <x:v>1ST TRIBAL LENDING</x:v>
      </x:c>
      <x:c r="C2161" s="15"/>
      <x:c r="D2161" s="15" t="str">
        <x:v>Property lender or directory member; operating-company capital unconfirmed</x:v>
      </x:c>
      <x:c r="E2161" s="15" t="str">
        <x:v>Property lender / private-money inquiry</x:v>
      </x:c>
      <x:c r="F2161" s="17" t="str">
        <x:v>New</x:v>
      </x:c>
      <x:c r="G2161" s="24"/>
      <x:c r="H2161" s="24" t="str">
        <x:v>+18662354033</x:v>
      </x:c>
      <x:c r="I2161" s="24" t="str">
        <x:v>https://www.1tribal.com/</x:v>
      </x:c>
      <x:c r="J2161" s="16" t="str">
        <x:v>OK</x:v>
      </x:c>
      <x:c r="K2161" s="16" t="str">
        <x:v>Norman</x:v>
      </x:c>
      <x:c r="L2161" s="16" t="str">
        <x:v>firm_business_routing</x:v>
      </x:c>
      <x:c r="M2161" s="16" t="str">
        <x:v>https://www.1tribal.com/</x:v>
      </x:c>
      <x:c r="N2161" s="16" t="str">
        <x:v>$100K-$500K ticket not published / unconfirmed</x:v>
      </x:c>
      <x:c r="O2161" s="20"/>
      <x:c r="P2161" s="20"/>
      <x:c r="Q2161" s="25" t="str">
        <x:v>Property-loan range, not a corporate-capital commitment</x:v>
      </x:c>
      <x:c r="R2161" s="25" t="str">
        <x:v>Private real-estate finance experience. Corporate working capital, minority equity or profit participation requires a separate agreement from a property loan.</x:v>
      </x:c>
      <x:c r="S2161" s="25"/>
      <x:c r="T2161" s="25" t="str">
        <x:v>Confirm direct principal versus broker, $100K-$500K appetite, and whether capital can fund the operating company without a property mortgage.</x:v>
      </x:c>
      <x:c r="U2161" s="25" t="str">
        <x:v>https://www.privatelendersdirectory.com/united-states/norman/top-level-category/1st-tribal-lending
https://www.1tribal.com/</x:v>
      </x:c>
      <x:c r="V2161" s="26" t="d">
        <x:v>2026-10-02T00:00:00.000Z</x:v>
      </x:c>
      <x:c r="W2161" s="26" t="d">
        <x:v>2026-09-30T00:00:00.000Z</x:v>
      </x:c>
      <x:c r="X2161" s="25" t="str">
        <x:v>Saved public company, industry-directory or regulatory source; source date retained</x:v>
      </x:c>
      <x:c r="Y2161" s="25" t="str">
        <x:v>https://www.1tribal.com/</x:v>
      </x:c>
      <x:c r="Z2161" s="25" t="str">
        <x:v>https://www.1tribal.com/</x:v>
      </x:c>
      <x:c r="AA2161" s="25" t="str">
        <x:v>[]</x:v>
      </x:c>
      <x:c r="AB2161" s="3" t="str">
        <x:v>Existing CapitalForge research, newly screened for this campaign</x:v>
      </x:c>
      <x:c r="AC2161" s="3" t="str">
        <x:v>unverified</x:v>
      </x:c>
      <x:c r="AD2161" s="3" t="str">
        <x:v>Not contacted / unconfirmed</x:v>
      </x:c>
      <x:c r="AE2161" s="3" t="str">
        <x:v>No</x:v>
      </x:c>
      <x:c r="AF2161" s="3" t="str">
        <x:v>No</x:v>
      </x:c>
      <x:c r="AG2161" s="3"/>
      <x:c r="AH2161" s="3"/>
      <x:c r="AI2161" s="18"/>
      <x:c r="AJ2161" s="3" t="str">
        <x:v>CF2500-48B765F37575</x:v>
      </x:c>
      <x:c r="AK2161" s="3" t="str">
        <x:v>private_real_estate_lender</x:v>
      </x:c>
      <x:c r="AL2161" s="19" t="n">
        <x:v>100000</x:v>
      </x:c>
      <x:c r="AM2161" s="19" t="n">
        <x:v>500000</x:v>
      </x:c>
      <x:c r="AN2161" s="3" t="str">
        <x:v>https://www.privatelendersdirectory.com/united-states/norman/top-level-category/1st-tribal-lending</x:v>
      </x:c>
      <x:c r="AO2161" s="3" t="str">
        <x:v>public_directory.jsonl</x:v>
      </x:c>
      <x:c r="AP2161" s="19"/>
    </x:row>
    <x:row r="2162" ht="36" customHeight="1">
      <x:c r="A2162" s="23" t="n">
        <x:v>2161</x:v>
      </x:c>
      <x:c r="B2162" s="15" t="str">
        <x:v>40/86 ADVISORS</x:v>
      </x:c>
      <x:c r="C2162" s="15"/>
      <x:c r="D2162" s="15" t="str">
        <x:v>Property lender or directory member; operating-company capital unconfirmed</x:v>
      </x:c>
      <x:c r="E2162" s="15" t="str">
        <x:v>Property lender / private-money inquiry</x:v>
      </x:c>
      <x:c r="F2162" s="17" t="str">
        <x:v>New</x:v>
      </x:c>
      <x:c r="G2162" s="24"/>
      <x:c r="H2162" s="24" t="str">
        <x:v>+18662994086</x:v>
      </x:c>
      <x:c r="I2162" s="24" t="str">
        <x:v>https://4086.com/</x:v>
      </x:c>
      <x:c r="J2162" s="16" t="str">
        <x:v>IN</x:v>
      </x:c>
      <x:c r="K2162" s="16" t="str">
        <x:v>Carmel</x:v>
      </x:c>
      <x:c r="L2162" s="16" t="str">
        <x:v>firm_business_routing</x:v>
      </x:c>
      <x:c r="M2162" s="16" t="str">
        <x:v>https://4086.com/</x:v>
      </x:c>
      <x:c r="N2162" s="16" t="str">
        <x:v>$100K-$500K ticket not published / unconfirmed</x:v>
      </x:c>
      <x:c r="O2162" s="20"/>
      <x:c r="P2162" s="20"/>
      <x:c r="Q2162" s="25" t="str">
        <x:v>Property-loan range, not a corporate-capital commitment</x:v>
      </x:c>
      <x:c r="R2162" s="25" t="str">
        <x:v>Private real-estate finance experience. Corporate working capital, minority equity or profit participation requires a separate agreement from a property loan.</x:v>
      </x:c>
      <x:c r="S2162" s="25"/>
      <x:c r="T2162" s="25" t="str">
        <x:v>Confirm direct principal versus broker, $100K-$500K appetite, and whether capital can fund the operating company without a property mortgage.</x:v>
      </x:c>
      <x:c r="U2162" s="25" t="str">
        <x:v>https://www.privatelendersdirectory.com/united-states/carmel/top-level-category/40-86-advisors
https://4086.com/Contact-Us</x:v>
      </x:c>
      <x:c r="V2162" s="26" t="d">
        <x:v>2026-10-02T00:00:00.000Z</x:v>
      </x:c>
      <x:c r="W2162" s="26" t="d">
        <x:v>2026-09-30T00:00:00.000Z</x:v>
      </x:c>
      <x:c r="X2162" s="25" t="str">
        <x:v>Saved public company, industry-directory or regulatory source; source date retained</x:v>
      </x:c>
      <x:c r="Y2162" s="25"/>
      <x:c r="Z2162" s="25" t="str">
        <x:v>https://4086.com/Contact-Us</x:v>
      </x:c>
      <x:c r="AA2162" s="25" t="str">
        <x:v>[]</x:v>
      </x:c>
      <x:c r="AB2162" s="3" t="str">
        <x:v>Existing CapitalForge research, newly screened for this campaign</x:v>
      </x:c>
      <x:c r="AC2162" s="3" t="str">
        <x:v>unverified</x:v>
      </x:c>
      <x:c r="AD2162" s="3" t="str">
        <x:v>Not contacted / unconfirmed</x:v>
      </x:c>
      <x:c r="AE2162" s="3" t="str">
        <x:v>No</x:v>
      </x:c>
      <x:c r="AF2162" s="3" t="str">
        <x:v>No</x:v>
      </x:c>
      <x:c r="AG2162" s="3"/>
      <x:c r="AH2162" s="3"/>
      <x:c r="AI2162" s="18"/>
      <x:c r="AJ2162" s="3" t="str">
        <x:v>CF2500-5E5BD70133A2</x:v>
      </x:c>
      <x:c r="AK2162" s="3" t="str">
        <x:v>private_real_estate_lender</x:v>
      </x:c>
      <x:c r="AL2162" s="19" t="n">
        <x:v>100000</x:v>
      </x:c>
      <x:c r="AM2162" s="19" t="n">
        <x:v>500000</x:v>
      </x:c>
      <x:c r="AN2162" s="3" t="str">
        <x:v>https://www.privatelendersdirectory.com/united-states/carmel/top-level-category/40-86-advisors</x:v>
      </x:c>
      <x:c r="AO2162" s="3" t="str">
        <x:v>public_directory.jsonl</x:v>
      </x:c>
      <x:c r="AP2162" s="19"/>
    </x:row>
    <x:row r="2163" ht="36" customHeight="1">
      <x:c r="A2163" s="23" t="n">
        <x:v>2162</x:v>
      </x:c>
      <x:c r="B2163" s="15" t="str">
        <x:v>4MyCash</x:v>
      </x:c>
      <x:c r="C2163" s="15"/>
      <x:c r="D2163" s="15" t="str">
        <x:v>Property lender or directory member; operating-company capital unconfirmed</x:v>
      </x:c>
      <x:c r="E2163" s="15" t="str">
        <x:v>Property lender / private-money inquiry</x:v>
      </x:c>
      <x:c r="F2163" s="17" t="str">
        <x:v>New</x:v>
      </x:c>
      <x:c r="G2163" s="24"/>
      <x:c r="H2163" s="24" t="str">
        <x:v>+13147647656</x:v>
      </x:c>
      <x:c r="I2163" s="24" t="str">
        <x:v>https://www.4mycash.com/</x:v>
      </x:c>
      <x:c r="J2163" s="16" t="str">
        <x:v>MO</x:v>
      </x:c>
      <x:c r="K2163" s="16" t="str">
        <x:v>Clayton</x:v>
      </x:c>
      <x:c r="L2163" s="16" t="str">
        <x:v>firm_business_routing</x:v>
      </x:c>
      <x:c r="M2163" s="16" t="str">
        <x:v>https://www.4mycash.com/</x:v>
      </x:c>
      <x:c r="N2163" s="16" t="str">
        <x:v>$100K-$500K ticket not published / unconfirmed</x:v>
      </x:c>
      <x:c r="O2163" s="20"/>
      <x:c r="P2163" s="20"/>
      <x:c r="Q2163" s="25" t="str">
        <x:v>Property-loan range, not a corporate-capital commitment</x:v>
      </x:c>
      <x:c r="R2163" s="25" t="str">
        <x:v>Private real-estate finance experience. Corporate working capital, minority equity or profit participation requires a separate agreement from a property loan.</x:v>
      </x:c>
      <x:c r="S2163" s="25"/>
      <x:c r="T2163" s="25" t="str">
        <x:v>Confirm direct principal versus broker, $100K-$500K appetite, and whether capital can fund the operating company without a property mortgage.</x:v>
      </x:c>
      <x:c r="U2163" s="25" t="str">
        <x:v>https://www.hardmoneyhome.com/lenders/view/4mycash
https://www.privatelendersdirectory.com/united-states/clayton/top-level-category/4-my-cash</x:v>
      </x:c>
      <x:c r="V2163" s="26" t="d">
        <x:v>2026-10-02T00:00:00.000Z</x:v>
      </x:c>
      <x:c r="W2163" s="26" t="d">
        <x:v>2026-09-30T00:00:00.000Z</x:v>
      </x:c>
      <x:c r="X2163" s="25" t="str">
        <x:v>Saved public company, industry-directory or regulatory source; source date retained</x:v>
      </x:c>
      <x:c r="Y2163" s="25"/>
      <x:c r="Z2163" s="25" t="str">
        <x:v>https://www.hardmoneyhome.com/lenders/view/4mycash</x:v>
      </x:c>
      <x:c r="AA2163" s="25" t="str">
        <x:v>[]</x:v>
      </x:c>
      <x:c r="AB2163" s="3" t="str">
        <x:v>Existing CapitalForge research, newly screened for this campaign</x:v>
      </x:c>
      <x:c r="AC2163" s="3" t="str">
        <x:v>unverified</x:v>
      </x:c>
      <x:c r="AD2163" s="3" t="str">
        <x:v>Not contacted / unconfirmed</x:v>
      </x:c>
      <x:c r="AE2163" s="3" t="str">
        <x:v>No</x:v>
      </x:c>
      <x:c r="AF2163" s="3" t="str">
        <x:v>No</x:v>
      </x:c>
      <x:c r="AG2163" s="3"/>
      <x:c r="AH2163" s="3"/>
      <x:c r="AI2163" s="18"/>
      <x:c r="AJ2163" s="3" t="str">
        <x:v>CF2500-7FE19FF56A18</x:v>
      </x:c>
      <x:c r="AK2163" s="3" t="str">
        <x:v>private_real_estate_lender</x:v>
      </x:c>
      <x:c r="AL2163" s="19" t="n">
        <x:v>100000</x:v>
      </x:c>
      <x:c r="AM2163" s="19" t="n">
        <x:v>500000</x:v>
      </x:c>
      <x:c r="AN2163" s="3" t="str">
        <x:v>https://www.hardmoneyhome.com/lenders/view/4mycash</x:v>
      </x:c>
      <x:c r="AO2163" s="3" t="str">
        <x:v>public_directory.jsonl</x:v>
      </x:c>
      <x:c r="AP2163" s="19"/>
    </x:row>
    <x:row r="2164" ht="36" customHeight="1">
      <x:c r="A2164" s="23" t="n">
        <x:v>2163</x:v>
      </x:c>
      <x:c r="B2164" s="15" t="str">
        <x:v>Actium Partners</x:v>
      </x:c>
      <x:c r="C2164" s="15"/>
      <x:c r="D2164" s="15" t="str">
        <x:v>Property lender or directory member; operating-company capital unconfirmed</x:v>
      </x:c>
      <x:c r="E2164" s="15" t="str">
        <x:v>Property lender / private-money inquiry</x:v>
      </x:c>
      <x:c r="F2164" s="17" t="str">
        <x:v>New</x:v>
      </x:c>
      <x:c r="G2164" s="24"/>
      <x:c r="H2164" s="24" t="str">
        <x:v>+18019836701</x:v>
      </x:c>
      <x:c r="I2164" s="24" t="str">
        <x:v>http://actiumpartners.com</x:v>
      </x:c>
      <x:c r="J2164" s="16" t="str">
        <x:v>UT</x:v>
      </x:c>
      <x:c r="K2164" s="16" t="str">
        <x:v>Salt Lake City</x:v>
      </x:c>
      <x:c r="L2164" s="16" t="str">
        <x:v>firm_business_routing</x:v>
      </x:c>
      <x:c r="M2164" s="16" t="str">
        <x:v>http://actiumpartners.com</x:v>
      </x:c>
      <x:c r="N2164" s="16" t="str">
        <x:v>$100K-$500K ticket not published / unconfirmed</x:v>
      </x:c>
      <x:c r="O2164" s="20"/>
      <x:c r="P2164" s="20"/>
      <x:c r="Q2164" s="25" t="str">
        <x:v>Property-loan range, not a corporate-capital commitment</x:v>
      </x:c>
      <x:c r="R2164" s="25" t="str">
        <x:v>Private real-estate finance experience. Corporate working capital, minority equity or profit participation requires a separate agreement from a property loan.</x:v>
      </x:c>
      <x:c r="S2164" s="25"/>
      <x:c r="T2164" s="25" t="str">
        <x:v>Confirm direct principal versus broker, $100K-$500K appetite, and whether capital can fund the operating company without a property mortgage.</x:v>
      </x:c>
      <x:c r="U2164" s="25" t="str">
        <x:v>https://www.hardmoneyhome.com/lenders/view/actium-partners</x:v>
      </x:c>
      <x:c r="V2164" s="26" t="d">
        <x:v>2026-10-02T00:00:00.000Z</x:v>
      </x:c>
      <x:c r="W2164" s="26" t="d">
        <x:v>2026-09-30T00:00:00.000Z</x:v>
      </x:c>
      <x:c r="X2164" s="25" t="str">
        <x:v>Saved public company, industry-directory or regulatory source; source date retained</x:v>
      </x:c>
      <x:c r="Y2164" s="25"/>
      <x:c r="Z2164" s="25" t="str">
        <x:v>https://www.hardmoneyhome.com/lenders/view/actium-partners</x:v>
      </x:c>
      <x:c r="AA2164" s="25" t="str">
        <x:v>[]</x:v>
      </x:c>
      <x:c r="AB2164" s="3" t="str">
        <x:v>Existing CapitalForge research, newly screened for this campaign</x:v>
      </x:c>
      <x:c r="AC2164" s="3" t="str">
        <x:v>unverified</x:v>
      </x:c>
      <x:c r="AD2164" s="3" t="str">
        <x:v>Not contacted / unconfirmed</x:v>
      </x:c>
      <x:c r="AE2164" s="3" t="str">
        <x:v>No</x:v>
      </x:c>
      <x:c r="AF2164" s="3" t="str">
        <x:v>No</x:v>
      </x:c>
      <x:c r="AG2164" s="3"/>
      <x:c r="AH2164" s="3"/>
      <x:c r="AI2164" s="18"/>
      <x:c r="AJ2164" s="3" t="str">
        <x:v>CF2500-6716E0A8444A</x:v>
      </x:c>
      <x:c r="AK2164" s="3" t="str">
        <x:v>private_real_estate_lender</x:v>
      </x:c>
      <x:c r="AL2164" s="19" t="n">
        <x:v>100000</x:v>
      </x:c>
      <x:c r="AM2164" s="19" t="n">
        <x:v>500000</x:v>
      </x:c>
      <x:c r="AN2164" s="3" t="str">
        <x:v>https://www.hardmoneyhome.com/lenders/view/actium-partners</x:v>
      </x:c>
      <x:c r="AO2164" s="3" t="str">
        <x:v>public_directory.jsonl</x:v>
      </x:c>
      <x:c r="AP2164" s="19"/>
    </x:row>
    <x:row r="2165" ht="36" customHeight="1">
      <x:c r="A2165" s="23" t="n">
        <x:v>2164</x:v>
      </x:c>
      <x:c r="B2165" s="15" t="str">
        <x:v>ALTERNATIVE FINANCE NETWORK</x:v>
      </x:c>
      <x:c r="C2165" s="15"/>
      <x:c r="D2165" s="15" t="str">
        <x:v>Property lender or directory member; operating-company capital unconfirmed</x:v>
      </x:c>
      <x:c r="E2165" s="15" t="str">
        <x:v>Property lender / private-money inquiry</x:v>
      </x:c>
      <x:c r="F2165" s="17" t="str">
        <x:v>New</x:v>
      </x:c>
      <x:c r="G2165" s="24"/>
      <x:c r="H2165" s="24" t="str">
        <x:v>+17205466574</x:v>
      </x:c>
      <x:c r="I2165" s="24" t="str">
        <x:v>https://alternativefinancenetwork.com/</x:v>
      </x:c>
      <x:c r="J2165" s="16" t="str">
        <x:v>CO</x:v>
      </x:c>
      <x:c r="K2165" s="16" t="str">
        <x:v>Highlands Ranch</x:v>
      </x:c>
      <x:c r="L2165" s="16" t="str">
        <x:v>firm_business_routing</x:v>
      </x:c>
      <x:c r="M2165" s="16" t="str">
        <x:v>https://alternativefinancenetwork.com/</x:v>
      </x:c>
      <x:c r="N2165" s="16" t="str">
        <x:v>$100K-$500K ticket not published / unconfirmed</x:v>
      </x:c>
      <x:c r="O2165" s="20"/>
      <x:c r="P2165" s="20"/>
      <x:c r="Q2165" s="25" t="str">
        <x:v>Property-loan range, not a corporate-capital commitment</x:v>
      </x:c>
      <x:c r="R2165" s="25" t="str">
        <x:v>Private real-estate finance experience. Corporate working capital, minority equity or profit participation requires a separate agreement from a property loan.</x:v>
      </x:c>
      <x:c r="S2165" s="25"/>
      <x:c r="T2165" s="25" t="str">
        <x:v>Confirm direct principal versus broker, $100K-$500K appetite, and whether capital can fund the operating company without a property mortgage.</x:v>
      </x:c>
      <x:c r="U2165" s="25" t="str">
        <x:v>https://www.privatelendersdirectory.com/united-states/highlands-ranch/top-level-category/alternative-finance-network
https://alternativefinancenetwork.com/</x:v>
      </x:c>
      <x:c r="V2165" s="26" t="d">
        <x:v>2026-10-02T00:00:00.000Z</x:v>
      </x:c>
      <x:c r="W2165" s="26" t="d">
        <x:v>2026-09-30T00:00:00.000Z</x:v>
      </x:c>
      <x:c r="X2165" s="25" t="str">
        <x:v>Saved public company, industry-directory or regulatory source; source date retained</x:v>
      </x:c>
      <x:c r="Y2165" s="25"/>
      <x:c r="Z2165" s="25" t="str">
        <x:v>https://alternativefinancenetwork.com/</x:v>
      </x:c>
      <x:c r="AA2165" s="25" t="str">
        <x:v>[]</x:v>
      </x:c>
      <x:c r="AB2165" s="3" t="str">
        <x:v>Existing CapitalForge research, newly screened for this campaign</x:v>
      </x:c>
      <x:c r="AC2165" s="3" t="str">
        <x:v>unverified</x:v>
      </x:c>
      <x:c r="AD2165" s="3" t="str">
        <x:v>Not contacted / unconfirmed</x:v>
      </x:c>
      <x:c r="AE2165" s="3" t="str">
        <x:v>No</x:v>
      </x:c>
      <x:c r="AF2165" s="3" t="str">
        <x:v>No</x:v>
      </x:c>
      <x:c r="AG2165" s="3"/>
      <x:c r="AH2165" s="3"/>
      <x:c r="AI2165" s="18"/>
      <x:c r="AJ2165" s="3" t="str">
        <x:v>CF2500-8FEE7236168D</x:v>
      </x:c>
      <x:c r="AK2165" s="3" t="str">
        <x:v>private_real_estate_lender</x:v>
      </x:c>
      <x:c r="AL2165" s="19" t="n">
        <x:v>100000</x:v>
      </x:c>
      <x:c r="AM2165" s="19" t="n">
        <x:v>500000</x:v>
      </x:c>
      <x:c r="AN2165" s="3" t="str">
        <x:v>https://www.privatelendersdirectory.com/united-states/highlands-ranch/top-level-category/alternative-finance-network</x:v>
      </x:c>
      <x:c r="AO2165" s="3" t="str">
        <x:v>public_directory.jsonl</x:v>
      </x:c>
      <x:c r="AP2165" s="19"/>
    </x:row>
    <x:row r="2166" ht="36" customHeight="1">
      <x:c r="A2166" s="23" t="n">
        <x:v>2165</x:v>
      </x:c>
      <x:c r="B2166" s="15" t="str">
        <x:v>Angel Oak Prime Bridge</x:v>
      </x:c>
      <x:c r="C2166" s="15"/>
      <x:c r="D2166" s="15" t="str">
        <x:v>Property lender or directory member; operating-company capital unconfirmed</x:v>
      </x:c>
      <x:c r="E2166" s="15" t="str">
        <x:v>Property lender / private-money inquiry</x:v>
      </x:c>
      <x:c r="F2166" s="17" t="str">
        <x:v>New</x:v>
      </x:c>
      <x:c r="G2166" s="24"/>
      <x:c r="H2166" s="24" t="str">
        <x:v>+18882091333</x:v>
      </x:c>
      <x:c r="I2166" s="24" t="str">
        <x:v>http://www.angeloakprimebridge.com/</x:v>
      </x:c>
      <x:c r="J2166" s="16" t="str">
        <x:v>GA</x:v>
      </x:c>
      <x:c r="K2166" s="16" t="str">
        <x:v>Atlanta</x:v>
      </x:c>
      <x:c r="L2166" s="16" t="str">
        <x:v>firm_business_routing</x:v>
      </x:c>
      <x:c r="M2166" s="16" t="str">
        <x:v>http://www.angeloakprimebridge.com/</x:v>
      </x:c>
      <x:c r="N2166" s="16" t="str">
        <x:v>$100K-$500K ticket not published / unconfirmed</x:v>
      </x:c>
      <x:c r="O2166" s="20"/>
      <x:c r="P2166" s="20"/>
      <x:c r="Q2166" s="25" t="str">
        <x:v>Property-loan range, not a corporate-capital commitment</x:v>
      </x:c>
      <x:c r="R2166" s="25" t="str">
        <x:v>Private real-estate finance experience. Corporate working capital, minority equity or profit participation requires a separate agreement from a property loan.</x:v>
      </x:c>
      <x:c r="S2166" s="25"/>
      <x:c r="T2166" s="25" t="str">
        <x:v>Confirm direct principal versus broker, $100K-$500K appetite, and whether capital can fund the operating company without a property mortgage.</x:v>
      </x:c>
      <x:c r="U2166" s="25" t="str">
        <x:v>https://www.hardmoneyhome.com/lenders/view/angel-oak-prime-bridge</x:v>
      </x:c>
      <x:c r="V2166" s="26" t="d">
        <x:v>2026-10-02T00:00:00.000Z</x:v>
      </x:c>
      <x:c r="W2166" s="26" t="d">
        <x:v>2026-09-30T00:00:00.000Z</x:v>
      </x:c>
      <x:c r="X2166" s="25" t="str">
        <x:v>Saved public company, industry-directory or regulatory source; source date retained</x:v>
      </x:c>
      <x:c r="Y2166" s="25"/>
      <x:c r="Z2166" s="25" t="str">
        <x:v>https://www.hardmoneyhome.com/lenders/view/angel-oak-prime-bridge</x:v>
      </x:c>
      <x:c r="AA2166" s="25" t="str">
        <x:v>[]</x:v>
      </x:c>
      <x:c r="AB2166" s="3" t="str">
        <x:v>Existing CapitalForge research, newly screened for this campaign</x:v>
      </x:c>
      <x:c r="AC2166" s="3" t="str">
        <x:v>unverified</x:v>
      </x:c>
      <x:c r="AD2166" s="3" t="str">
        <x:v>Not contacted / unconfirmed</x:v>
      </x:c>
      <x:c r="AE2166" s="3" t="str">
        <x:v>No</x:v>
      </x:c>
      <x:c r="AF2166" s="3" t="str">
        <x:v>No</x:v>
      </x:c>
      <x:c r="AG2166" s="3"/>
      <x:c r="AH2166" s="3"/>
      <x:c r="AI2166" s="18"/>
      <x:c r="AJ2166" s="3" t="str">
        <x:v>CF2500-3900EC064BDB</x:v>
      </x:c>
      <x:c r="AK2166" s="3" t="str">
        <x:v>private_real_estate_lender</x:v>
      </x:c>
      <x:c r="AL2166" s="19" t="n">
        <x:v>100000</x:v>
      </x:c>
      <x:c r="AM2166" s="19" t="n">
        <x:v>500000</x:v>
      </x:c>
      <x:c r="AN2166" s="3" t="str">
        <x:v>https://www.hardmoneyhome.com/lenders/view/angel-oak-prime-bridge</x:v>
      </x:c>
      <x:c r="AO2166" s="3" t="str">
        <x:v>public_directory.jsonl</x:v>
      </x:c>
      <x:c r="AP2166" s="19"/>
    </x:row>
    <x:row r="2167" ht="36" customHeight="1">
      <x:c r="A2167" s="23" t="n">
        <x:v>2166</x:v>
      </x:c>
      <x:c r="B2167" s="15" t="str">
        <x:v>BRIDGE LENDING</x:v>
      </x:c>
      <x:c r="C2167" s="15"/>
      <x:c r="D2167" s="15" t="str">
        <x:v>Property lender or directory member; operating-company capital unconfirmed</x:v>
      </x:c>
      <x:c r="E2167" s="15" t="str">
        <x:v>Property lender / private-money inquiry</x:v>
      </x:c>
      <x:c r="F2167" s="17" t="str">
        <x:v>New</x:v>
      </x:c>
      <x:c r="G2167" s="24"/>
      <x:c r="H2167" s="24" t="str">
        <x:v>+13034755873</x:v>
      </x:c>
      <x:c r="I2167" s="24" t="str">
        <x:v>https://bridgelending.com/</x:v>
      </x:c>
      <x:c r="J2167" s="16" t="str">
        <x:v>CO</x:v>
      </x:c>
      <x:c r="K2167" s="16" t="str">
        <x:v>Greenwood Village</x:v>
      </x:c>
      <x:c r="L2167" s="16" t="str">
        <x:v>firm_business_routing</x:v>
      </x:c>
      <x:c r="M2167" s="16" t="str">
        <x:v>https://bridgelending.com/</x:v>
      </x:c>
      <x:c r="N2167" s="16" t="str">
        <x:v>$100K-$500K ticket not published / unconfirmed</x:v>
      </x:c>
      <x:c r="O2167" s="20"/>
      <x:c r="P2167" s="20"/>
      <x:c r="Q2167" s="25" t="str">
        <x:v>Property-loan range, not a corporate-capital commitment</x:v>
      </x:c>
      <x:c r="R2167" s="25" t="str">
        <x:v>Private real-estate finance experience. Corporate working capital, minority equity or profit participation requires a separate agreement from a property loan.</x:v>
      </x:c>
      <x:c r="S2167" s="25"/>
      <x:c r="T2167" s="25" t="str">
        <x:v>Confirm direct principal versus broker, $100K-$500K appetite, and whether capital can fund the operating company without a property mortgage.</x:v>
      </x:c>
      <x:c r="U2167" s="25" t="str">
        <x:v>https://www.privatelendersdirectory.com/united-states/greenwood-village/top-level-category/bridge-lending
https://bridgelending.com/</x:v>
      </x:c>
      <x:c r="V2167" s="26" t="d">
        <x:v>2026-10-02T00:00:00.000Z</x:v>
      </x:c>
      <x:c r="W2167" s="26" t="d">
        <x:v>2026-09-30T00:00:00.000Z</x:v>
      </x:c>
      <x:c r="X2167" s="25" t="str">
        <x:v>Saved public company, industry-directory or regulatory source; source date retained</x:v>
      </x:c>
      <x:c r="Y2167" s="25"/>
      <x:c r="Z2167" s="25" t="str">
        <x:v>https://bridgelending.com/</x:v>
      </x:c>
      <x:c r="AA2167" s="25" t="str">
        <x:v>[]</x:v>
      </x:c>
      <x:c r="AB2167" s="3" t="str">
        <x:v>Existing CapitalForge research, newly screened for this campaign</x:v>
      </x:c>
      <x:c r="AC2167" s="3" t="str">
        <x:v>unverified</x:v>
      </x:c>
      <x:c r="AD2167" s="3" t="str">
        <x:v>Not contacted / unconfirmed</x:v>
      </x:c>
      <x:c r="AE2167" s="3" t="str">
        <x:v>No</x:v>
      </x:c>
      <x:c r="AF2167" s="3" t="str">
        <x:v>No</x:v>
      </x:c>
      <x:c r="AG2167" s="3"/>
      <x:c r="AH2167" s="3"/>
      <x:c r="AI2167" s="18"/>
      <x:c r="AJ2167" s="3" t="str">
        <x:v>CF2500-BF65DE02660D</x:v>
      </x:c>
      <x:c r="AK2167" s="3" t="str">
        <x:v>private_real_estate_lender</x:v>
      </x:c>
      <x:c r="AL2167" s="19" t="n">
        <x:v>100000</x:v>
      </x:c>
      <x:c r="AM2167" s="19" t="n">
        <x:v>500000</x:v>
      </x:c>
      <x:c r="AN2167" s="3" t="str">
        <x:v>https://www.privatelendersdirectory.com/united-states/greenwood-village/top-level-category/bridge-lending</x:v>
      </x:c>
      <x:c r="AO2167" s="3" t="str">
        <x:v>public_directory.jsonl</x:v>
      </x:c>
      <x:c r="AP2167" s="19"/>
    </x:row>
    <x:row r="2168" ht="36" customHeight="1">
      <x:c r="A2168" s="23" t="n">
        <x:v>2167</x:v>
      </x:c>
      <x:c r="B2168" s="15" t="str">
        <x:v>CANOPY MORTGAGE</x:v>
      </x:c>
      <x:c r="C2168" s="15"/>
      <x:c r="D2168" s="15" t="str">
        <x:v>Property lender or directory member; operating-company capital unconfirmed</x:v>
      </x:c>
      <x:c r="E2168" s="15" t="str">
        <x:v>Property lender / private-money inquiry</x:v>
      </x:c>
      <x:c r="F2168" s="17" t="str">
        <x:v>New</x:v>
      </x:c>
      <x:c r="G2168" s="24"/>
      <x:c r="H2168" s="24" t="str">
        <x:v>+18779050005</x:v>
      </x:c>
      <x:c r="I2168" s="24" t="str">
        <x:v>https://canopymortgage.com/</x:v>
      </x:c>
      <x:c r="J2168" s="16" t="str">
        <x:v>UT</x:v>
      </x:c>
      <x:c r="K2168" s="16" t="str">
        <x:v>Lindon</x:v>
      </x:c>
      <x:c r="L2168" s="16" t="str">
        <x:v>firm_business_routing</x:v>
      </x:c>
      <x:c r="M2168" s="16" t="str">
        <x:v>https://canopymortgage.com/</x:v>
      </x:c>
      <x:c r="N2168" s="16" t="str">
        <x:v>$100K-$500K ticket not published / unconfirmed</x:v>
      </x:c>
      <x:c r="O2168" s="20"/>
      <x:c r="P2168" s="20"/>
      <x:c r="Q2168" s="25" t="str">
        <x:v>Property-loan range, not a corporate-capital commitment</x:v>
      </x:c>
      <x:c r="R2168" s="25" t="str">
        <x:v>Private real-estate finance experience. Corporate working capital, minority equity or profit participation requires a separate agreement from a property loan.</x:v>
      </x:c>
      <x:c r="S2168" s="25"/>
      <x:c r="T2168" s="25" t="str">
        <x:v>Confirm direct principal versus broker, $100K-$500K appetite, and whether capital can fund the operating company without a property mortgage.</x:v>
      </x:c>
      <x:c r="U2168" s="25" t="str">
        <x:v>https://www.privatelendersdirectory.com/united-states/lindon/real-estate-investment-lending/canopy-mortgage
https://canopymortgage.com/contact-us/</x:v>
      </x:c>
      <x:c r="V2168" s="26" t="d">
        <x:v>2026-10-02T00:00:00.000Z</x:v>
      </x:c>
      <x:c r="W2168" s="26" t="d">
        <x:v>2026-09-30T00:00:00.000Z</x:v>
      </x:c>
      <x:c r="X2168" s="25" t="str">
        <x:v>Saved public company, industry-directory or regulatory source; source date retained</x:v>
      </x:c>
      <x:c r="Y2168" s="25"/>
      <x:c r="Z2168" s="25" t="str">
        <x:v>https://canopymortgage.com/contact-us/</x:v>
      </x:c>
      <x:c r="AA2168" s="25" t="str">
        <x:v>[]</x:v>
      </x:c>
      <x:c r="AB2168" s="3" t="str">
        <x:v>Existing CapitalForge research, newly screened for this campaign</x:v>
      </x:c>
      <x:c r="AC2168" s="3" t="str">
        <x:v>unverified</x:v>
      </x:c>
      <x:c r="AD2168" s="3" t="str">
        <x:v>Not contacted / unconfirmed</x:v>
      </x:c>
      <x:c r="AE2168" s="3" t="str">
        <x:v>No</x:v>
      </x:c>
      <x:c r="AF2168" s="3" t="str">
        <x:v>No</x:v>
      </x:c>
      <x:c r="AG2168" s="3"/>
      <x:c r="AH2168" s="3"/>
      <x:c r="AI2168" s="18"/>
      <x:c r="AJ2168" s="3" t="str">
        <x:v>CF2500-7A5D35596203</x:v>
      </x:c>
      <x:c r="AK2168" s="3" t="str">
        <x:v>private_real_estate_lender</x:v>
      </x:c>
      <x:c r="AL2168" s="19" t="n">
        <x:v>100000</x:v>
      </x:c>
      <x:c r="AM2168" s="19" t="n">
        <x:v>500000</x:v>
      </x:c>
      <x:c r="AN2168" s="3" t="str">
        <x:v>https://www.privatelendersdirectory.com/united-states/lindon/real-estate-investment-lending/canopy-mortgage</x:v>
      </x:c>
      <x:c r="AO2168" s="3" t="str">
        <x:v>public_directory.jsonl</x:v>
      </x:c>
      <x:c r="AP2168" s="19"/>
    </x:row>
    <x:row r="2169" ht="36" customHeight="1">
      <x:c r="A2169" s="23" t="n">
        <x:v>2168</x:v>
      </x:c>
      <x:c r="B2169" s="15" t="str">
        <x:v>Cardinal Financial</x:v>
      </x:c>
      <x:c r="C2169" s="15"/>
      <x:c r="D2169" s="15" t="str">
        <x:v>Property lender or directory member; operating-company capital unconfirmed</x:v>
      </x:c>
      <x:c r="E2169" s="15" t="str">
        <x:v>Property lender / private-money inquiry</x:v>
      </x:c>
      <x:c r="F2169" s="17" t="str">
        <x:v>New</x:v>
      </x:c>
      <x:c r="G2169" s="24"/>
      <x:c r="H2169" s="24" t="str">
        <x:v>+13034581100</x:v>
      </x:c>
      <x:c r="I2169" s="24" t="str">
        <x:v>http://cardinalfinancialinc.com/</x:v>
      </x:c>
      <x:c r="J2169" s="16" t="str">
        <x:v>CO</x:v>
      </x:c>
      <x:c r="K2169" s="16" t="str">
        <x:v>Denver</x:v>
      </x:c>
      <x:c r="L2169" s="16" t="str">
        <x:v>firm_business_routing</x:v>
      </x:c>
      <x:c r="M2169" s="16" t="str">
        <x:v>http://cardinalfinancialinc.com/</x:v>
      </x:c>
      <x:c r="N2169" s="16" t="str">
        <x:v>$100K-$500K ticket not published / unconfirmed</x:v>
      </x:c>
      <x:c r="O2169" s="20"/>
      <x:c r="P2169" s="20"/>
      <x:c r="Q2169" s="25" t="str">
        <x:v>Property-loan range, not a corporate-capital commitment</x:v>
      </x:c>
      <x:c r="R2169" s="25" t="str">
        <x:v>Private real-estate finance experience. Corporate working capital, minority equity or profit participation requires a separate agreement from a property loan.</x:v>
      </x:c>
      <x:c r="S2169" s="25"/>
      <x:c r="T2169" s="25" t="str">
        <x:v>Confirm direct principal versus broker, $100K-$500K appetite, and whether capital can fund the operating company without a property mortgage.</x:v>
      </x:c>
      <x:c r="U2169" s="25" t="str">
        <x:v>https://www.hardmoneyhome.com/lenders/view/cardinal-financial</x:v>
      </x:c>
      <x:c r="V2169" s="26" t="d">
        <x:v>2026-10-02T00:00:00.000Z</x:v>
      </x:c>
      <x:c r="W2169" s="26" t="d">
        <x:v>2026-09-30T00:00:00.000Z</x:v>
      </x:c>
      <x:c r="X2169" s="25" t="str">
        <x:v>Saved public company, industry-directory or regulatory source; source date retained</x:v>
      </x:c>
      <x:c r="Y2169" s="25"/>
      <x:c r="Z2169" s="25" t="str">
        <x:v>https://www.hardmoneyhome.com/lenders/view/cardinal-financial</x:v>
      </x:c>
      <x:c r="AA2169" s="25" t="str">
        <x:v>[]</x:v>
      </x:c>
      <x:c r="AB2169" s="3" t="str">
        <x:v>Existing CapitalForge research, newly screened for this campaign</x:v>
      </x:c>
      <x:c r="AC2169" s="3" t="str">
        <x:v>unverified</x:v>
      </x:c>
      <x:c r="AD2169" s="3" t="str">
        <x:v>Not contacted / unconfirmed</x:v>
      </x:c>
      <x:c r="AE2169" s="3" t="str">
        <x:v>No</x:v>
      </x:c>
      <x:c r="AF2169" s="3" t="str">
        <x:v>No</x:v>
      </x:c>
      <x:c r="AG2169" s="3"/>
      <x:c r="AH2169" s="3"/>
      <x:c r="AI2169" s="18"/>
      <x:c r="AJ2169" s="3" t="str">
        <x:v>CF2500-37604280FD29</x:v>
      </x:c>
      <x:c r="AK2169" s="3" t="str">
        <x:v>private_real_estate_lender</x:v>
      </x:c>
      <x:c r="AL2169" s="19" t="n">
        <x:v>100000</x:v>
      </x:c>
      <x:c r="AM2169" s="19" t="n">
        <x:v>500000</x:v>
      </x:c>
      <x:c r="AN2169" s="3" t="str">
        <x:v>https://www.hardmoneyhome.com/lenders/view/cardinal-financial</x:v>
      </x:c>
      <x:c r="AO2169" s="3" t="str">
        <x:v>public_directory.jsonl</x:v>
      </x:c>
      <x:c r="AP2169" s="19"/>
    </x:row>
    <x:row r="2170" ht="36" customHeight="1">
      <x:c r="A2170" s="23" t="n">
        <x:v>2169</x:v>
      </x:c>
      <x:c r="B2170" s="15" t="str">
        <x:v>Carolina Hard Money</x:v>
      </x:c>
      <x:c r="C2170" s="15"/>
      <x:c r="D2170" s="15" t="str">
        <x:v>Property lender or directory member; operating-company capital unconfirmed</x:v>
      </x:c>
      <x:c r="E2170" s="15" t="str">
        <x:v>Property lender / private-money inquiry</x:v>
      </x:c>
      <x:c r="F2170" s="17" t="str">
        <x:v>New</x:v>
      </x:c>
      <x:c r="G2170" s="24"/>
      <x:c r="H2170" s="24" t="str">
        <x:v>+18038312262</x:v>
      </x:c>
      <x:c r="I2170" s="24" t="str">
        <x:v>http://carolinahardmoney.com/</x:v>
      </x:c>
      <x:c r="J2170" s="16" t="str">
        <x:v>SC</x:v>
      </x:c>
      <x:c r="K2170" s="16" t="str">
        <x:v>Lake Wylie</x:v>
      </x:c>
      <x:c r="L2170" s="16" t="str">
        <x:v>firm_business_routing</x:v>
      </x:c>
      <x:c r="M2170" s="16" t="str">
        <x:v>http://carolinahardmoney.com/</x:v>
      </x:c>
      <x:c r="N2170" s="16" t="str">
        <x:v>$100K-$500K ticket not published / unconfirmed</x:v>
      </x:c>
      <x:c r="O2170" s="20"/>
      <x:c r="P2170" s="20"/>
      <x:c r="Q2170" s="25" t="str">
        <x:v>Property-loan range, not a corporate-capital commitment</x:v>
      </x:c>
      <x:c r="R2170" s="25" t="str">
        <x:v>Private real-estate finance experience. Corporate working capital, minority equity or profit participation requires a separate agreement from a property loan.</x:v>
      </x:c>
      <x:c r="S2170" s="25"/>
      <x:c r="T2170" s="25" t="str">
        <x:v>Confirm direct principal versus broker, $100K-$500K appetite, and whether capital can fund the operating company without a property mortgage.</x:v>
      </x:c>
      <x:c r="U2170" s="25" t="str">
        <x:v>https://www.hardmoneyhome.com/lenders/view/carolina-hard-money
https://www.privatelendersdirectory.com/united-states/rock-hill/top-level-category/chm-lending
https://www.privatelendersdirectory.com/south-carolina/rock-hill/top-level-category/carolina-hard-money</x:v>
      </x:c>
      <x:c r="V2170" s="26" t="d">
        <x:v>2026-10-02T00:00:00.000Z</x:v>
      </x:c>
      <x:c r="W2170" s="26" t="d">
        <x:v>2026-09-30T00:00:00.000Z</x:v>
      </x:c>
      <x:c r="X2170" s="25" t="str">
        <x:v>Saved public company, industry-directory or regulatory source; source date retained</x:v>
      </x:c>
      <x:c r="Y2170" s="25"/>
      <x:c r="Z2170" s="25" t="str">
        <x:v>https://www.hardmoneyhome.com/lenders/view/carolina-hard-money</x:v>
      </x:c>
      <x:c r="AA2170" s="25" t="str">
        <x:v>[]</x:v>
      </x:c>
      <x:c r="AB2170" s="3" t="str">
        <x:v>Existing CapitalForge research, newly screened for this campaign</x:v>
      </x:c>
      <x:c r="AC2170" s="3" t="str">
        <x:v>unverified</x:v>
      </x:c>
      <x:c r="AD2170" s="3" t="str">
        <x:v>Not contacted / unconfirmed</x:v>
      </x:c>
      <x:c r="AE2170" s="3" t="str">
        <x:v>No</x:v>
      </x:c>
      <x:c r="AF2170" s="3" t="str">
        <x:v>No</x:v>
      </x:c>
      <x:c r="AG2170" s="3"/>
      <x:c r="AH2170" s="3"/>
      <x:c r="AI2170" s="18"/>
      <x:c r="AJ2170" s="3" t="str">
        <x:v>CF2500-3748F0130F30</x:v>
      </x:c>
      <x:c r="AK2170" s="3" t="str">
        <x:v>private_real_estate_lender</x:v>
      </x:c>
      <x:c r="AL2170" s="19" t="n">
        <x:v>100000</x:v>
      </x:c>
      <x:c r="AM2170" s="19" t="n">
        <x:v>500000</x:v>
      </x:c>
      <x:c r="AN2170" s="3" t="str">
        <x:v>https://www.hardmoneyhome.com/lenders/view/carolina-hard-money</x:v>
      </x:c>
      <x:c r="AO2170" s="3" t="str">
        <x:v>public_directory.jsonl</x:v>
      </x:c>
      <x:c r="AP2170" s="19"/>
    </x:row>
    <x:row r="2171" ht="36" customHeight="1">
      <x:c r="A2171" s="23" t="n">
        <x:v>2170</x:v>
      </x:c>
      <x:c r="B2171" s="15" t="str">
        <x:v>Castle Country Investments</x:v>
      </x:c>
      <x:c r="C2171" s="15"/>
      <x:c r="D2171" s="15" t="str">
        <x:v>Property lender or directory member; operating-company capital unconfirmed</x:v>
      </x:c>
      <x:c r="E2171" s="15" t="str">
        <x:v>Property lender / private-money inquiry</x:v>
      </x:c>
      <x:c r="F2171" s="17" t="str">
        <x:v>New</x:v>
      </x:c>
      <x:c r="G2171" s="24"/>
      <x:c r="H2171" s="24" t="str">
        <x:v>+13037993745</x:v>
      </x:c>
      <x:c r="I2171" s="24" t="str">
        <x:v>http://castlecountry.net/</x:v>
      </x:c>
      <x:c r="J2171" s="16" t="str">
        <x:v>CO</x:v>
      </x:c>
      <x:c r="K2171" s="16" t="str">
        <x:v>Castle Rock</x:v>
      </x:c>
      <x:c r="L2171" s="16" t="str">
        <x:v>firm_business_routing</x:v>
      </x:c>
      <x:c r="M2171" s="16" t="str">
        <x:v>http://castlecountry.net/</x:v>
      </x:c>
      <x:c r="N2171" s="16" t="str">
        <x:v>$100K-$500K ticket not published / unconfirmed</x:v>
      </x:c>
      <x:c r="O2171" s="20"/>
      <x:c r="P2171" s="20"/>
      <x:c r="Q2171" s="25" t="str">
        <x:v>Property-loan range, not a corporate-capital commitment</x:v>
      </x:c>
      <x:c r="R2171" s="25" t="str">
        <x:v>Private real-estate finance experience. Corporate working capital, minority equity or profit participation requires a separate agreement from a property loan.</x:v>
      </x:c>
      <x:c r="S2171" s="25"/>
      <x:c r="T2171" s="25" t="str">
        <x:v>Confirm direct principal versus broker, $100K-$500K appetite, and whether capital can fund the operating company without a property mortgage.</x:v>
      </x:c>
      <x:c r="U2171" s="25" t="str">
        <x:v>https://www.hardmoneyhome.com/lenders/view/castle-country-investments</x:v>
      </x:c>
      <x:c r="V2171" s="26" t="d">
        <x:v>2026-10-02T00:00:00.000Z</x:v>
      </x:c>
      <x:c r="W2171" s="26" t="d">
        <x:v>2026-09-30T00:00:00.000Z</x:v>
      </x:c>
      <x:c r="X2171" s="25" t="str">
        <x:v>Saved public company, industry-directory or regulatory source; source date retained</x:v>
      </x:c>
      <x:c r="Y2171" s="25"/>
      <x:c r="Z2171" s="25" t="str">
        <x:v>https://www.hardmoneyhome.com/lenders/view/castle-country-investments</x:v>
      </x:c>
      <x:c r="AA2171" s="25" t="str">
        <x:v>[]</x:v>
      </x:c>
      <x:c r="AB2171" s="3" t="str">
        <x:v>Existing CapitalForge research, newly screened for this campaign</x:v>
      </x:c>
      <x:c r="AC2171" s="3" t="str">
        <x:v>unverified</x:v>
      </x:c>
      <x:c r="AD2171" s="3" t="str">
        <x:v>Not contacted / unconfirmed</x:v>
      </x:c>
      <x:c r="AE2171" s="3" t="str">
        <x:v>No</x:v>
      </x:c>
      <x:c r="AF2171" s="3" t="str">
        <x:v>No</x:v>
      </x:c>
      <x:c r="AG2171" s="3"/>
      <x:c r="AH2171" s="3"/>
      <x:c r="AI2171" s="18"/>
      <x:c r="AJ2171" s="3" t="str">
        <x:v>CF2500-8F4DA663FCA1</x:v>
      </x:c>
      <x:c r="AK2171" s="3" t="str">
        <x:v>private_real_estate_lender</x:v>
      </x:c>
      <x:c r="AL2171" s="19" t="n">
        <x:v>100000</x:v>
      </x:c>
      <x:c r="AM2171" s="19" t="n">
        <x:v>500000</x:v>
      </x:c>
      <x:c r="AN2171" s="3" t="str">
        <x:v>https://www.hardmoneyhome.com/lenders/view/castle-country-investments</x:v>
      </x:c>
      <x:c r="AO2171" s="3" t="str">
        <x:v>public_directory.jsonl</x:v>
      </x:c>
      <x:c r="AP2171" s="19"/>
    </x:row>
    <x:row r="2172" ht="36" customHeight="1">
      <x:c r="A2172" s="23" t="n">
        <x:v>2171</x:v>
      </x:c>
      <x:c r="B2172" s="15" t="str">
        <x:v>Cedarline Lending</x:v>
      </x:c>
      <x:c r="C2172" s="15"/>
      <x:c r="D2172" s="15" t="str">
        <x:v>Property lender or directory member; operating-company capital unconfirmed</x:v>
      </x:c>
      <x:c r="E2172" s="15" t="str">
        <x:v>Property lender / private-money inquiry</x:v>
      </x:c>
      <x:c r="F2172" s="17" t="str">
        <x:v>New</x:v>
      </x:c>
      <x:c r="G2172" s="24"/>
      <x:c r="H2172" s="24" t="str">
        <x:v>+18012100144</x:v>
      </x:c>
      <x:c r="I2172" s="24" t="str">
        <x:v>https://www.cedarlinelending.com/?utm_source=private-lender-link</x:v>
      </x:c>
      <x:c r="J2172" s="16" t="str">
        <x:v>UT</x:v>
      </x:c>
      <x:c r="K2172" s="16" t="str">
        <x:v>Lehi</x:v>
      </x:c>
      <x:c r="L2172" s="16" t="str">
        <x:v>firm_business_routing</x:v>
      </x:c>
      <x:c r="M2172" s="16" t="str">
        <x:v>https://www.cedarlinelending.com/?utm_source=private-lender-link</x:v>
      </x:c>
      <x:c r="N2172" s="16" t="str">
        <x:v>$100K-$500K ticket not published / unconfirmed</x:v>
      </x:c>
      <x:c r="O2172" s="20"/>
      <x:c r="P2172" s="20"/>
      <x:c r="Q2172" s="25" t="str">
        <x:v>Property-loan range, not a corporate-capital commitment</x:v>
      </x:c>
      <x:c r="R2172" s="25" t="str">
        <x:v>Private real-estate finance experience. Corporate working capital, minority equity or profit participation requires a separate agreement from a property loan.</x:v>
      </x:c>
      <x:c r="S2172" s="25"/>
      <x:c r="T2172" s="25" t="str">
        <x:v>Confirm direct principal versus broker, $100K-$500K appetite, and whether capital can fund the operating company without a property mortgage.</x:v>
      </x:c>
      <x:c r="U2172" s="25" t="str">
        <x:v>https://privatelenderlink.com/profile/cedarline-lending/</x:v>
      </x:c>
      <x:c r="V2172" s="26" t="d">
        <x:v>2026-10-02T00:00:00.000Z</x:v>
      </x:c>
      <x:c r="W2172" s="26" t="d">
        <x:v>2026-09-30T00:00:00.000Z</x:v>
      </x:c>
      <x:c r="X2172" s="25" t="str">
        <x:v>Saved public company, industry-directory or regulatory source; source date retained</x:v>
      </x:c>
      <x:c r="Y2172" s="25"/>
      <x:c r="Z2172" s="25" t="str">
        <x:v>https://privatelenderlink.com/profile/cedarline-lending/</x:v>
      </x:c>
      <x:c r="AA2172" s="25" t="str">
        <x:v>[]</x:v>
      </x:c>
      <x:c r="AB2172" s="3" t="str">
        <x:v>Existing CapitalForge research, newly screened for this campaign</x:v>
      </x:c>
      <x:c r="AC2172" s="3" t="str">
        <x:v>unverified</x:v>
      </x:c>
      <x:c r="AD2172" s="3" t="str">
        <x:v>Not contacted / unconfirmed</x:v>
      </x:c>
      <x:c r="AE2172" s="3" t="str">
        <x:v>No</x:v>
      </x:c>
      <x:c r="AF2172" s="3" t="str">
        <x:v>No</x:v>
      </x:c>
      <x:c r="AG2172" s="3"/>
      <x:c r="AH2172" s="3"/>
      <x:c r="AI2172" s="18"/>
      <x:c r="AJ2172" s="3" t="str">
        <x:v>CF2500-3823D8B80DC3</x:v>
      </x:c>
      <x:c r="AK2172" s="3" t="str">
        <x:v>private_real_estate_lender</x:v>
      </x:c>
      <x:c r="AL2172" s="19" t="n">
        <x:v>100000</x:v>
      </x:c>
      <x:c r="AM2172" s="19" t="n">
        <x:v>500000</x:v>
      </x:c>
      <x:c r="AN2172" s="3" t="str">
        <x:v>https://privatelenderlink.com/profile/cedarline-lending/</x:v>
      </x:c>
      <x:c r="AO2172" s="3" t="str">
        <x:v>public_directory.jsonl</x:v>
      </x:c>
      <x:c r="AP2172" s="19"/>
    </x:row>
    <x:row r="2173" ht="36" customHeight="1">
      <x:c r="A2173" s="23" t="n">
        <x:v>2172</x:v>
      </x:c>
      <x:c r="B2173" s="15" t="str">
        <x:v>CFSI</x:v>
      </x:c>
      <x:c r="C2173" s="15"/>
      <x:c r="D2173" s="15" t="str">
        <x:v>Property lender or directory member; operating-company capital unconfirmed</x:v>
      </x:c>
      <x:c r="E2173" s="15" t="str">
        <x:v>Property lender / private-money inquiry</x:v>
      </x:c>
      <x:c r="F2173" s="17" t="str">
        <x:v>New</x:v>
      </x:c>
      <x:c r="G2173" s="24"/>
      <x:c r="H2173" s="24" t="str">
        <x:v>+18553442374</x:v>
      </x:c>
      <x:c r="I2173" s="24" t="str">
        <x:v>https://www.thinkcfsi.com/</x:v>
      </x:c>
      <x:c r="J2173" s="16" t="str">
        <x:v>CO</x:v>
      </x:c>
      <x:c r="K2173" s="16" t="str">
        <x:v>Greenwood Village</x:v>
      </x:c>
      <x:c r="L2173" s="16" t="str">
        <x:v>firm_business_routing</x:v>
      </x:c>
      <x:c r="M2173" s="16" t="str">
        <x:v>https://www.thinkcfsi.com/</x:v>
      </x:c>
      <x:c r="N2173" s="16" t="str">
        <x:v>$100K-$500K ticket not published / unconfirmed</x:v>
      </x:c>
      <x:c r="O2173" s="20"/>
      <x:c r="P2173" s="20"/>
      <x:c r="Q2173" s="25" t="str">
        <x:v>Property-loan range, not a corporate-capital commitment</x:v>
      </x:c>
      <x:c r="R2173" s="25" t="str">
        <x:v>Private real-estate finance experience. Corporate working capital, minority equity or profit participation requires a separate agreement from a property loan.</x:v>
      </x:c>
      <x:c r="S2173" s="25"/>
      <x:c r="T2173" s="25" t="str">
        <x:v>Confirm direct principal versus broker, $100K-$500K appetite, and whether capital can fund the operating company without a property mortgage.</x:v>
      </x:c>
      <x:c r="U2173" s="25" t="str">
        <x:v>https://www.privatelendersdirectory.com/united-states/greenwood-village/top-level-category/cfsi
https://www.thinkcfsi.com/</x:v>
      </x:c>
      <x:c r="V2173" s="26" t="d">
        <x:v>2026-10-02T00:00:00.000Z</x:v>
      </x:c>
      <x:c r="W2173" s="26" t="d">
        <x:v>2026-09-30T00:00:00.000Z</x:v>
      </x:c>
      <x:c r="X2173" s="25" t="str">
        <x:v>Saved public company, industry-directory or regulatory source; source date retained</x:v>
      </x:c>
      <x:c r="Y2173" s="25"/>
      <x:c r="Z2173" s="25" t="str">
        <x:v>https://www.thinkcfsi.com/</x:v>
      </x:c>
      <x:c r="AA2173" s="25" t="str">
        <x:v>[]</x:v>
      </x:c>
      <x:c r="AB2173" s="3" t="str">
        <x:v>Existing CapitalForge research, newly screened for this campaign</x:v>
      </x:c>
      <x:c r="AC2173" s="3" t="str">
        <x:v>unverified</x:v>
      </x:c>
      <x:c r="AD2173" s="3" t="str">
        <x:v>Not contacted / unconfirmed</x:v>
      </x:c>
      <x:c r="AE2173" s="3" t="str">
        <x:v>No</x:v>
      </x:c>
      <x:c r="AF2173" s="3" t="str">
        <x:v>No</x:v>
      </x:c>
      <x:c r="AG2173" s="3"/>
      <x:c r="AH2173" s="3"/>
      <x:c r="AI2173" s="18"/>
      <x:c r="AJ2173" s="3" t="str">
        <x:v>CF2500-63B6D08257FD</x:v>
      </x:c>
      <x:c r="AK2173" s="3" t="str">
        <x:v>private_real_estate_lender</x:v>
      </x:c>
      <x:c r="AL2173" s="19" t="n">
        <x:v>100000</x:v>
      </x:c>
      <x:c r="AM2173" s="19" t="n">
        <x:v>500000</x:v>
      </x:c>
      <x:c r="AN2173" s="3" t="str">
        <x:v>https://www.privatelendersdirectory.com/united-states/greenwood-village/top-level-category/cfsi</x:v>
      </x:c>
      <x:c r="AO2173" s="3" t="str">
        <x:v>public_directory.jsonl</x:v>
      </x:c>
      <x:c r="AP2173" s="19"/>
    </x:row>
    <x:row r="2174" ht="36" customHeight="1">
      <x:c r="A2174" s="23" t="n">
        <x:v>2173</x:v>
      </x:c>
      <x:c r="B2174" s="15" t="str">
        <x:v>Charleston Private Lending</x:v>
      </x:c>
      <x:c r="C2174" s="15"/>
      <x:c r="D2174" s="15" t="str">
        <x:v>Property lender or directory member; operating-company capital unconfirmed</x:v>
      </x:c>
      <x:c r="E2174" s="15" t="str">
        <x:v>Property lender / private-money inquiry</x:v>
      </x:c>
      <x:c r="F2174" s="17" t="str">
        <x:v>New</x:v>
      </x:c>
      <x:c r="G2174" s="24"/>
      <x:c r="H2174" s="24" t="str">
        <x:v>+18437795626</x:v>
      </x:c>
      <x:c r="I2174" s="24" t="str">
        <x:v>http://www.charlestonprivatelending.com/</x:v>
      </x:c>
      <x:c r="J2174" s="16" t="str">
        <x:v>SC</x:v>
      </x:c>
      <x:c r="K2174" s="16" t="str">
        <x:v>Charletson</x:v>
      </x:c>
      <x:c r="L2174" s="16" t="str">
        <x:v>firm_business_routing</x:v>
      </x:c>
      <x:c r="M2174" s="16" t="str">
        <x:v>http://www.charlestonprivatelending.com/</x:v>
      </x:c>
      <x:c r="N2174" s="16" t="str">
        <x:v>$100K-$500K ticket not published / unconfirmed</x:v>
      </x:c>
      <x:c r="O2174" s="20"/>
      <x:c r="P2174" s="20"/>
      <x:c r="Q2174" s="25" t="str">
        <x:v>Property-loan range, not a corporate-capital commitment</x:v>
      </x:c>
      <x:c r="R2174" s="25" t="str">
        <x:v>Private real-estate finance experience. Corporate working capital, minority equity or profit participation requires a separate agreement from a property loan.</x:v>
      </x:c>
      <x:c r="S2174" s="25"/>
      <x:c r="T2174" s="25" t="str">
        <x:v>Confirm direct principal versus broker, $100K-$500K appetite, and whether capital can fund the operating company without a property mortgage.</x:v>
      </x:c>
      <x:c r="U2174" s="25" t="str">
        <x:v>https://www.hardmoneyhome.com/lenders/view/charleston-private-lending</x:v>
      </x:c>
      <x:c r="V2174" s="26" t="d">
        <x:v>2026-10-02T00:00:00.000Z</x:v>
      </x:c>
      <x:c r="W2174" s="26" t="d">
        <x:v>2026-09-30T00:00:00.000Z</x:v>
      </x:c>
      <x:c r="X2174" s="25" t="str">
        <x:v>Saved public company, industry-directory or regulatory source; source date retained</x:v>
      </x:c>
      <x:c r="Y2174" s="25"/>
      <x:c r="Z2174" s="25" t="str">
        <x:v>https://www.hardmoneyhome.com/lenders/view/charleston-private-lending</x:v>
      </x:c>
      <x:c r="AA2174" s="25" t="str">
        <x:v>[]</x:v>
      </x:c>
      <x:c r="AB2174" s="3" t="str">
        <x:v>Existing CapitalForge research, newly screened for this campaign</x:v>
      </x:c>
      <x:c r="AC2174" s="3" t="str">
        <x:v>unverified</x:v>
      </x:c>
      <x:c r="AD2174" s="3" t="str">
        <x:v>Not contacted / unconfirmed</x:v>
      </x:c>
      <x:c r="AE2174" s="3" t="str">
        <x:v>No</x:v>
      </x:c>
      <x:c r="AF2174" s="3" t="str">
        <x:v>No</x:v>
      </x:c>
      <x:c r="AG2174" s="3"/>
      <x:c r="AH2174" s="3"/>
      <x:c r="AI2174" s="18"/>
      <x:c r="AJ2174" s="3" t="str">
        <x:v>CF2500-48F74A829C8C</x:v>
      </x:c>
      <x:c r="AK2174" s="3" t="str">
        <x:v>private_real_estate_lender</x:v>
      </x:c>
      <x:c r="AL2174" s="19" t="n">
        <x:v>100000</x:v>
      </x:c>
      <x:c r="AM2174" s="19" t="n">
        <x:v>500000</x:v>
      </x:c>
      <x:c r="AN2174" s="3" t="str">
        <x:v>https://www.hardmoneyhome.com/lenders/view/charleston-private-lending</x:v>
      </x:c>
      <x:c r="AO2174" s="3" t="str">
        <x:v>public_directory.jsonl</x:v>
      </x:c>
      <x:c r="AP2174" s="19"/>
    </x:row>
    <x:row r="2175" ht="36" customHeight="1">
      <x:c r="A2175" s="23" t="n">
        <x:v>2174</x:v>
      </x:c>
      <x:c r="B2175" s="15" t="str">
        <x:v>CJZ Capital</x:v>
      </x:c>
      <x:c r="C2175" s="15"/>
      <x:c r="D2175" s="15" t="str">
        <x:v>Property lender or directory member; operating-company capital unconfirmed</x:v>
      </x:c>
      <x:c r="E2175" s="15" t="str">
        <x:v>Property lender / private-money inquiry</x:v>
      </x:c>
      <x:c r="F2175" s="17" t="str">
        <x:v>New</x:v>
      </x:c>
      <x:c r="G2175" s="24"/>
      <x:c r="H2175" s="24" t="str">
        <x:v>+13035060739</x:v>
      </x:c>
      <x:c r="I2175" s="24" t="str">
        <x:v>http://www.cjzcapital.com</x:v>
      </x:c>
      <x:c r="J2175" s="16" t="str">
        <x:v>CO</x:v>
      </x:c>
      <x:c r="K2175" s="16" t="str">
        <x:v>Denver</x:v>
      </x:c>
      <x:c r="L2175" s="16" t="str">
        <x:v>firm_business_routing</x:v>
      </x:c>
      <x:c r="M2175" s="16" t="str">
        <x:v>http://www.cjzcapital.com</x:v>
      </x:c>
      <x:c r="N2175" s="16" t="str">
        <x:v>$100K-$500K ticket not published / unconfirmed</x:v>
      </x:c>
      <x:c r="O2175" s="20"/>
      <x:c r="P2175" s="20"/>
      <x:c r="Q2175" s="25" t="str">
        <x:v>Property-loan range, not a corporate-capital commitment</x:v>
      </x:c>
      <x:c r="R2175" s="25" t="str">
        <x:v>Private real-estate finance experience. Corporate working capital, minority equity or profit participation requires a separate agreement from a property loan.</x:v>
      </x:c>
      <x:c r="S2175" s="25"/>
      <x:c r="T2175" s="25" t="str">
        <x:v>Confirm direct principal versus broker, $100K-$500K appetite, and whether capital can fund the operating company without a property mortgage.</x:v>
      </x:c>
      <x:c r="U2175" s="25" t="str">
        <x:v>https://www.hardmoneyhome.com/lenders/view/cjz-capital</x:v>
      </x:c>
      <x:c r="V2175" s="26" t="d">
        <x:v>2026-10-02T00:00:00.000Z</x:v>
      </x:c>
      <x:c r="W2175" s="26" t="d">
        <x:v>2026-09-30T00:00:00.000Z</x:v>
      </x:c>
      <x:c r="X2175" s="25" t="str">
        <x:v>Saved public company, industry-directory or regulatory source; source date retained</x:v>
      </x:c>
      <x:c r="Y2175" s="25"/>
      <x:c r="Z2175" s="25" t="str">
        <x:v>https://www.hardmoneyhome.com/lenders/view/cjz-capital</x:v>
      </x:c>
      <x:c r="AA2175" s="25" t="str">
        <x:v>[]</x:v>
      </x:c>
      <x:c r="AB2175" s="3" t="str">
        <x:v>Existing CapitalForge research, newly screened for this campaign</x:v>
      </x:c>
      <x:c r="AC2175" s="3" t="str">
        <x:v>unverified</x:v>
      </x:c>
      <x:c r="AD2175" s="3" t="str">
        <x:v>Not contacted / unconfirmed</x:v>
      </x:c>
      <x:c r="AE2175" s="3" t="str">
        <x:v>No</x:v>
      </x:c>
      <x:c r="AF2175" s="3" t="str">
        <x:v>No</x:v>
      </x:c>
      <x:c r="AG2175" s="3"/>
      <x:c r="AH2175" s="3"/>
      <x:c r="AI2175" s="18"/>
      <x:c r="AJ2175" s="3" t="str">
        <x:v>CF2500-5C756C211872</x:v>
      </x:c>
      <x:c r="AK2175" s="3" t="str">
        <x:v>private_real_estate_lender</x:v>
      </x:c>
      <x:c r="AL2175" s="19" t="n">
        <x:v>100000</x:v>
      </x:c>
      <x:c r="AM2175" s="19" t="n">
        <x:v>500000</x:v>
      </x:c>
      <x:c r="AN2175" s="3" t="str">
        <x:v>https://www.hardmoneyhome.com/lenders/view/cjz-capital</x:v>
      </x:c>
      <x:c r="AO2175" s="3" t="str">
        <x:v>public_directory.jsonl</x:v>
      </x:c>
      <x:c r="AP2175" s="19"/>
    </x:row>
    <x:row r="2176" ht="36" customHeight="1">
      <x:c r="A2176" s="23" t="n">
        <x:v>2175</x:v>
      </x:c>
      <x:c r="B2176" s="15" t="str">
        <x:v>COHI CAPITAL</x:v>
      </x:c>
      <x:c r="C2176" s="15"/>
      <x:c r="D2176" s="15" t="str">
        <x:v>Property lender or directory member; operating-company capital unconfirmed</x:v>
      </x:c>
      <x:c r="E2176" s="15" t="str">
        <x:v>Property lender / private-money inquiry</x:v>
      </x:c>
      <x:c r="F2176" s="17" t="str">
        <x:v>New</x:v>
      </x:c>
      <x:c r="G2176" s="24"/>
      <x:c r="H2176" s="24" t="str">
        <x:v>+18009876543</x:v>
      </x:c>
      <x:c r="I2176" s="24" t="str">
        <x:v>https://cohicapital.com/</x:v>
      </x:c>
      <x:c r="J2176" s="16" t="str">
        <x:v>CO</x:v>
      </x:c>
      <x:c r="K2176" s="16" t="str">
        <x:v>Denver</x:v>
      </x:c>
      <x:c r="L2176" s="16" t="str">
        <x:v>firm_business_routing</x:v>
      </x:c>
      <x:c r="M2176" s="16" t="str">
        <x:v>https://cohicapital.com/</x:v>
      </x:c>
      <x:c r="N2176" s="16" t="str">
        <x:v>$100K-$500K ticket not published / unconfirmed</x:v>
      </x:c>
      <x:c r="O2176" s="20"/>
      <x:c r="P2176" s="20"/>
      <x:c r="Q2176" s="25" t="str">
        <x:v>Property-loan range, not a corporate-capital commitment</x:v>
      </x:c>
      <x:c r="R2176" s="25" t="str">
        <x:v>Private real-estate finance experience. Corporate working capital, minority equity or profit participation requires a separate agreement from a property loan.</x:v>
      </x:c>
      <x:c r="S2176" s="25"/>
      <x:c r="T2176" s="25" t="str">
        <x:v>Confirm direct principal versus broker, $100K-$500K appetite, and whether capital can fund the operating company without a property mortgage.</x:v>
      </x:c>
      <x:c r="U2176" s="25" t="str">
        <x:v>https://www.privatelendersdirectory.com/united-states/denver/top-level-category/cohi-capital
https://cohicapital.com/</x:v>
      </x:c>
      <x:c r="V2176" s="26" t="d">
        <x:v>2026-10-02T00:00:00.000Z</x:v>
      </x:c>
      <x:c r="W2176" s="26" t="d">
        <x:v>2026-09-30T00:00:00.000Z</x:v>
      </x:c>
      <x:c r="X2176" s="25" t="str">
        <x:v>Saved public company, industry-directory or regulatory source; source date retained</x:v>
      </x:c>
      <x:c r="Y2176" s="25"/>
      <x:c r="Z2176" s="25" t="str">
        <x:v>https://cohicapital.com/</x:v>
      </x:c>
      <x:c r="AA2176" s="25" t="str">
        <x:v>[]</x:v>
      </x:c>
      <x:c r="AB2176" s="3" t="str">
        <x:v>Existing CapitalForge research, newly screened for this campaign</x:v>
      </x:c>
      <x:c r="AC2176" s="3" t="str">
        <x:v>unverified</x:v>
      </x:c>
      <x:c r="AD2176" s="3" t="str">
        <x:v>Not contacted / unconfirmed</x:v>
      </x:c>
      <x:c r="AE2176" s="3" t="str">
        <x:v>No</x:v>
      </x:c>
      <x:c r="AF2176" s="3" t="str">
        <x:v>No</x:v>
      </x:c>
      <x:c r="AG2176" s="3"/>
      <x:c r="AH2176" s="3"/>
      <x:c r="AI2176" s="18"/>
      <x:c r="AJ2176" s="3" t="str">
        <x:v>CF2500-494F4C71996E</x:v>
      </x:c>
      <x:c r="AK2176" s="3" t="str">
        <x:v>private_real_estate_lender</x:v>
      </x:c>
      <x:c r="AL2176" s="19" t="n">
        <x:v>100000</x:v>
      </x:c>
      <x:c r="AM2176" s="19" t="n">
        <x:v>500000</x:v>
      </x:c>
      <x:c r="AN2176" s="3" t="str">
        <x:v>https://www.privatelendersdirectory.com/united-states/denver/top-level-category/cohi-capital</x:v>
      </x:c>
      <x:c r="AO2176" s="3" t="str">
        <x:v>public_directory.jsonl</x:v>
      </x:c>
      <x:c r="AP2176" s="19"/>
    </x:row>
    <x:row r="2177" ht="36" customHeight="1">
      <x:c r="A2177" s="23" t="n">
        <x:v>2176</x:v>
      </x:c>
      <x:c r="B2177" s="15" t="str">
        <x:v>CPL INVESTMENTS</x:v>
      </x:c>
      <x:c r="C2177" s="15"/>
      <x:c r="D2177" s="15" t="str">
        <x:v>Property lender or directory member; operating-company capital unconfirmed</x:v>
      </x:c>
      <x:c r="E2177" s="15" t="str">
        <x:v>Property lender / private-money inquiry</x:v>
      </x:c>
      <x:c r="F2177" s="17" t="str">
        <x:v>New</x:v>
      </x:c>
      <x:c r="G2177" s="24"/>
      <x:c r="H2177" s="24" t="str">
        <x:v>+13178362807</x:v>
      </x:c>
      <x:c r="I2177" s="24" t="str">
        <x:v>https://cplinvestments.com/</x:v>
      </x:c>
      <x:c r="J2177" s="16" t="str">
        <x:v>IN</x:v>
      </x:c>
      <x:c r="K2177" s="16" t="str">
        <x:v>Carmel</x:v>
      </x:c>
      <x:c r="L2177" s="16" t="str">
        <x:v>firm_business_routing</x:v>
      </x:c>
      <x:c r="M2177" s="16" t="str">
        <x:v>https://cplinvestments.com/</x:v>
      </x:c>
      <x:c r="N2177" s="16" t="str">
        <x:v>$100K-$500K ticket not published / unconfirmed</x:v>
      </x:c>
      <x:c r="O2177" s="20"/>
      <x:c r="P2177" s="20"/>
      <x:c r="Q2177" s="25" t="str">
        <x:v>Property-loan range, not a corporate-capital commitment</x:v>
      </x:c>
      <x:c r="R2177" s="25" t="str">
        <x:v>Private real-estate finance experience. Corporate working capital, minority equity or profit participation requires a separate agreement from a property loan.</x:v>
      </x:c>
      <x:c r="S2177" s="25"/>
      <x:c r="T2177" s="25" t="str">
        <x:v>Confirm direct principal versus broker, $100K-$500K appetite, and whether capital can fund the operating company without a property mortgage.</x:v>
      </x:c>
      <x:c r="U2177" s="25" t="str">
        <x:v>https://www.privatelendersdirectory.com/united-states/carmel/top-level-category/cpl-investments
https://cplinvestments.com/</x:v>
      </x:c>
      <x:c r="V2177" s="26" t="d">
        <x:v>2026-10-02T00:00:00.000Z</x:v>
      </x:c>
      <x:c r="W2177" s="26" t="d">
        <x:v>2026-09-30T00:00:00.000Z</x:v>
      </x:c>
      <x:c r="X2177" s="25" t="str">
        <x:v>Saved public company, industry-directory or regulatory source; source date retained</x:v>
      </x:c>
      <x:c r="Y2177" s="25"/>
      <x:c r="Z2177" s="25" t="str">
        <x:v>https://cplinvestments.com/</x:v>
      </x:c>
      <x:c r="AA2177" s="25" t="str">
        <x:v>[]</x:v>
      </x:c>
      <x:c r="AB2177" s="3" t="str">
        <x:v>Existing CapitalForge research, newly screened for this campaign</x:v>
      </x:c>
      <x:c r="AC2177" s="3" t="str">
        <x:v>unverified</x:v>
      </x:c>
      <x:c r="AD2177" s="3" t="str">
        <x:v>Not contacted / unconfirmed</x:v>
      </x:c>
      <x:c r="AE2177" s="3" t="str">
        <x:v>No</x:v>
      </x:c>
      <x:c r="AF2177" s="3" t="str">
        <x:v>No</x:v>
      </x:c>
      <x:c r="AG2177" s="3"/>
      <x:c r="AH2177" s="3"/>
      <x:c r="AI2177" s="18"/>
      <x:c r="AJ2177" s="3" t="str">
        <x:v>CF2500-E063AF77912A</x:v>
      </x:c>
      <x:c r="AK2177" s="3" t="str">
        <x:v>private_real_estate_lender</x:v>
      </x:c>
      <x:c r="AL2177" s="19" t="n">
        <x:v>100000</x:v>
      </x:c>
      <x:c r="AM2177" s="19" t="n">
        <x:v>500000</x:v>
      </x:c>
      <x:c r="AN2177" s="3" t="str">
        <x:v>https://www.privatelendersdirectory.com/united-states/carmel/top-level-category/cpl-investments</x:v>
      </x:c>
      <x:c r="AO2177" s="3" t="str">
        <x:v>public_directory.jsonl</x:v>
      </x:c>
      <x:c r="AP2177" s="19"/>
    </x:row>
    <x:row r="2178" ht="36" customHeight="1">
      <x:c r="A2178" s="23" t="n">
        <x:v>2177</x:v>
      </x:c>
      <x:c r="B2178" s="15" t="str">
        <x:v>Dynamo Capital</x:v>
      </x:c>
      <x:c r="C2178" s="15"/>
      <x:c r="D2178" s="15" t="str">
        <x:v>Property lender or directory member; operating-company capital unconfirmed</x:v>
      </x:c>
      <x:c r="E2178" s="15" t="str">
        <x:v>Property lender / private-money inquiry</x:v>
      </x:c>
      <x:c r="F2178" s="17" t="str">
        <x:v>New</x:v>
      </x:c>
      <x:c r="G2178" s="24"/>
      <x:c r="H2178" s="24" t="str">
        <x:v>+13162476894</x:v>
      </x:c>
      <x:c r="I2178" s="24" t="str">
        <x:v>https://dynamocapital.com/?utm_source=private-lender-link</x:v>
      </x:c>
      <x:c r="J2178" s="16" t="str">
        <x:v>KS</x:v>
      </x:c>
      <x:c r="K2178" s="16" t="str">
        <x:v>Wichita</x:v>
      </x:c>
      <x:c r="L2178" s="16" t="str">
        <x:v>firm_business_routing</x:v>
      </x:c>
      <x:c r="M2178" s="16" t="str">
        <x:v>https://dynamocapital.com/?utm_source=private-lender-link</x:v>
      </x:c>
      <x:c r="N2178" s="16" t="str">
        <x:v>$100K-$500K ticket not published / unconfirmed</x:v>
      </x:c>
      <x:c r="O2178" s="20"/>
      <x:c r="P2178" s="20"/>
      <x:c r="Q2178" s="25" t="str">
        <x:v>Property-loan range, not a corporate-capital commitment</x:v>
      </x:c>
      <x:c r="R2178" s="25" t="str">
        <x:v>Private real-estate finance experience. Corporate working capital, minority equity or profit participation requires a separate agreement from a property loan.</x:v>
      </x:c>
      <x:c r="S2178" s="25"/>
      <x:c r="T2178" s="25" t="str">
        <x:v>Confirm direct principal versus broker, $100K-$500K appetite, and whether capital can fund the operating company without a property mortgage.</x:v>
      </x:c>
      <x:c r="U2178" s="25" t="str">
        <x:v>https://privatelenderlink.com/profile/dynamo-capital/</x:v>
      </x:c>
      <x:c r="V2178" s="26" t="d">
        <x:v>2026-10-02T00:00:00.000Z</x:v>
      </x:c>
      <x:c r="W2178" s="26" t="d">
        <x:v>2026-09-30T00:00:00.000Z</x:v>
      </x:c>
      <x:c r="X2178" s="25" t="str">
        <x:v>Saved public company, industry-directory or regulatory source; source date retained</x:v>
      </x:c>
      <x:c r="Y2178" s="25"/>
      <x:c r="Z2178" s="25" t="str">
        <x:v>https://privatelenderlink.com/profile/dynamo-capital/</x:v>
      </x:c>
      <x:c r="AA2178" s="25" t="str">
        <x:v>[]</x:v>
      </x:c>
      <x:c r="AB2178" s="3" t="str">
        <x:v>Existing CapitalForge research, newly screened for this campaign</x:v>
      </x:c>
      <x:c r="AC2178" s="3" t="str">
        <x:v>unverified</x:v>
      </x:c>
      <x:c r="AD2178" s="3" t="str">
        <x:v>Not contacted / unconfirmed</x:v>
      </x:c>
      <x:c r="AE2178" s="3" t="str">
        <x:v>No</x:v>
      </x:c>
      <x:c r="AF2178" s="3" t="str">
        <x:v>No</x:v>
      </x:c>
      <x:c r="AG2178" s="3"/>
      <x:c r="AH2178" s="3"/>
      <x:c r="AI2178" s="18"/>
      <x:c r="AJ2178" s="3" t="str">
        <x:v>CF2500-AE20EF82C7E0</x:v>
      </x:c>
      <x:c r="AK2178" s="3" t="str">
        <x:v>private_real_estate_lender</x:v>
      </x:c>
      <x:c r="AL2178" s="19" t="n">
        <x:v>100000</x:v>
      </x:c>
      <x:c r="AM2178" s="19" t="n">
        <x:v>500000</x:v>
      </x:c>
      <x:c r="AN2178" s="3" t="str">
        <x:v>https://privatelenderlink.com/profile/dynamo-capital/</x:v>
      </x:c>
      <x:c r="AO2178" s="3" t="str">
        <x:v>public_directory.jsonl</x:v>
      </x:c>
      <x:c r="AP2178" s="19"/>
    </x:row>
    <x:row r="2179" ht="36" customHeight="1">
      <x:c r="A2179" s="23" t="n">
        <x:v>2178</x:v>
      </x:c>
      <x:c r="B2179" s="15" t="str">
        <x:v>ELEMENT HOME LOANS</x:v>
      </x:c>
      <x:c r="C2179" s="15"/>
      <x:c r="D2179" s="15" t="str">
        <x:v>Property lender or directory member; operating-company capital unconfirmed</x:v>
      </x:c>
      <x:c r="E2179" s="15" t="str">
        <x:v>Property lender / private-money inquiry</x:v>
      </x:c>
      <x:c r="F2179" s="17" t="str">
        <x:v>New</x:v>
      </x:c>
      <x:c r="G2179" s="24"/>
      <x:c r="H2179" s="24" t="str">
        <x:v>+18882330092</x:v>
      </x:c>
      <x:c r="I2179" s="24" t="str">
        <x:v>https://elementhl.com/</x:v>
      </x:c>
      <x:c r="J2179" s="16" t="str">
        <x:v>SC</x:v>
      </x:c>
      <x:c r="K2179" s="16" t="str">
        <x:v>Charleston</x:v>
      </x:c>
      <x:c r="L2179" s="16" t="str">
        <x:v>firm_business_routing</x:v>
      </x:c>
      <x:c r="M2179" s="16" t="str">
        <x:v>https://elementhl.com/</x:v>
      </x:c>
      <x:c r="N2179" s="16" t="str">
        <x:v>$100K-$500K ticket not published / unconfirmed</x:v>
      </x:c>
      <x:c r="O2179" s="20"/>
      <x:c r="P2179" s="20"/>
      <x:c r="Q2179" s="25" t="str">
        <x:v>Property-loan range, not a corporate-capital commitment</x:v>
      </x:c>
      <x:c r="R2179" s="25" t="str">
        <x:v>Private real-estate finance experience. Corporate working capital, minority equity or profit participation requires a separate agreement from a property loan.</x:v>
      </x:c>
      <x:c r="S2179" s="25"/>
      <x:c r="T2179" s="25" t="str">
        <x:v>Confirm direct principal versus broker, $100K-$500K appetite, and whether capital can fund the operating company without a property mortgage.</x:v>
      </x:c>
      <x:c r="U2179" s="25" t="str">
        <x:v>https://www.privatelendersdirectory.com/united-states/charleston/real-estate-investment-lending/element-home-loans
https://elementhl.com/contact-us/</x:v>
      </x:c>
      <x:c r="V2179" s="26" t="d">
        <x:v>2026-10-02T00:00:00.000Z</x:v>
      </x:c>
      <x:c r="W2179" s="26" t="d">
        <x:v>2026-09-30T00:00:00.000Z</x:v>
      </x:c>
      <x:c r="X2179" s="25" t="str">
        <x:v>Saved public company, industry-directory or regulatory source; source date retained</x:v>
      </x:c>
      <x:c r="Y2179" s="25"/>
      <x:c r="Z2179" s="25" t="str">
        <x:v>https://elementhl.com/contact-us/</x:v>
      </x:c>
      <x:c r="AA2179" s="25" t="str">
        <x:v>[]</x:v>
      </x:c>
      <x:c r="AB2179" s="3" t="str">
        <x:v>Existing CapitalForge research, newly screened for this campaign</x:v>
      </x:c>
      <x:c r="AC2179" s="3" t="str">
        <x:v>unverified</x:v>
      </x:c>
      <x:c r="AD2179" s="3" t="str">
        <x:v>Not contacted / unconfirmed</x:v>
      </x:c>
      <x:c r="AE2179" s="3" t="str">
        <x:v>No</x:v>
      </x:c>
      <x:c r="AF2179" s="3" t="str">
        <x:v>No</x:v>
      </x:c>
      <x:c r="AG2179" s="3"/>
      <x:c r="AH2179" s="3"/>
      <x:c r="AI2179" s="18"/>
      <x:c r="AJ2179" s="3" t="str">
        <x:v>CF2500-4FDB20612AB1</x:v>
      </x:c>
      <x:c r="AK2179" s="3" t="str">
        <x:v>private_real_estate_lender</x:v>
      </x:c>
      <x:c r="AL2179" s="19" t="n">
        <x:v>100000</x:v>
      </x:c>
      <x:c r="AM2179" s="19" t="n">
        <x:v>500000</x:v>
      </x:c>
      <x:c r="AN2179" s="3" t="str">
        <x:v>https://www.privatelendersdirectory.com/united-states/charleston/real-estate-investment-lending/element-home-loans</x:v>
      </x:c>
      <x:c r="AO2179" s="3" t="str">
        <x:v>public_directory.jsonl</x:v>
      </x:c>
      <x:c r="AP2179" s="19"/>
    </x:row>
    <x:row r="2180" ht="36" customHeight="1">
      <x:c r="A2180" s="23" t="n">
        <x:v>2179</x:v>
      </x:c>
      <x:c r="B2180" s="15" t="str">
        <x:v>Equity Group</x:v>
      </x:c>
      <x:c r="C2180" s="15"/>
      <x:c r="D2180" s="15" t="str">
        <x:v>Property lender or directory member; operating-company capital unconfirmed</x:v>
      </x:c>
      <x:c r="E2180" s="15" t="str">
        <x:v>Property lender / private-money inquiry</x:v>
      </x:c>
      <x:c r="F2180" s="17" t="str">
        <x:v>New</x:v>
      </x:c>
      <x:c r="G2180" s="24"/>
      <x:c r="H2180" s="24" t="str">
        <x:v>+19134409785</x:v>
      </x:c>
      <x:c r="I2180" s="24" t="str">
        <x:v>http://www.equitygroupkc.com</x:v>
      </x:c>
      <x:c r="J2180" s="16" t="str">
        <x:v>KS</x:v>
      </x:c>
      <x:c r="K2180" s="16" t="str">
        <x:v>Shawnee</x:v>
      </x:c>
      <x:c r="L2180" s="16" t="str">
        <x:v>firm_business_routing</x:v>
      </x:c>
      <x:c r="M2180" s="16" t="str">
        <x:v>http://www.equitygroupkc.com</x:v>
      </x:c>
      <x:c r="N2180" s="16" t="str">
        <x:v>$100K-$500K ticket not published / unconfirmed</x:v>
      </x:c>
      <x:c r="O2180" s="20"/>
      <x:c r="P2180" s="20"/>
      <x:c r="Q2180" s="25" t="str">
        <x:v>Property-loan range, not a corporate-capital commitment</x:v>
      </x:c>
      <x:c r="R2180" s="25" t="str">
        <x:v>Private real-estate finance experience. Corporate working capital, minority equity or profit participation requires a separate agreement from a property loan.</x:v>
      </x:c>
      <x:c r="S2180" s="25"/>
      <x:c r="T2180" s="25" t="str">
        <x:v>Confirm direct principal versus broker, $100K-$500K appetite, and whether capital can fund the operating company without a property mortgage.</x:v>
      </x:c>
      <x:c r="U2180" s="25" t="str">
        <x:v>https://www.hardmoneyhome.com/lenders/view/equity-group</x:v>
      </x:c>
      <x:c r="V2180" s="26" t="d">
        <x:v>2026-10-02T00:00:00.000Z</x:v>
      </x:c>
      <x:c r="W2180" s="26" t="d">
        <x:v>2026-09-30T00:00:00.000Z</x:v>
      </x:c>
      <x:c r="X2180" s="25" t="str">
        <x:v>Saved public company, industry-directory or regulatory source; source date retained</x:v>
      </x:c>
      <x:c r="Y2180" s="25"/>
      <x:c r="Z2180" s="25" t="str">
        <x:v>https://www.hardmoneyhome.com/lenders/view/equity-group</x:v>
      </x:c>
      <x:c r="AA2180" s="25" t="str">
        <x:v>[]</x:v>
      </x:c>
      <x:c r="AB2180" s="3" t="str">
        <x:v>Existing CapitalForge research, newly screened for this campaign</x:v>
      </x:c>
      <x:c r="AC2180" s="3" t="str">
        <x:v>unverified</x:v>
      </x:c>
      <x:c r="AD2180" s="3" t="str">
        <x:v>Not contacted / unconfirmed</x:v>
      </x:c>
      <x:c r="AE2180" s="3" t="str">
        <x:v>No</x:v>
      </x:c>
      <x:c r="AF2180" s="3" t="str">
        <x:v>No</x:v>
      </x:c>
      <x:c r="AG2180" s="3"/>
      <x:c r="AH2180" s="3"/>
      <x:c r="AI2180" s="18"/>
      <x:c r="AJ2180" s="3" t="str">
        <x:v>CF2500-022C3151B033</x:v>
      </x:c>
      <x:c r="AK2180" s="3" t="str">
        <x:v>private_real_estate_lender</x:v>
      </x:c>
      <x:c r="AL2180" s="19" t="n">
        <x:v>100000</x:v>
      </x:c>
      <x:c r="AM2180" s="19" t="n">
        <x:v>500000</x:v>
      </x:c>
      <x:c r="AN2180" s="3" t="str">
        <x:v>https://www.hardmoneyhome.com/lenders/view/equity-group</x:v>
      </x:c>
      <x:c r="AO2180" s="3" t="str">
        <x:v>public_directory.jsonl</x:v>
      </x:c>
      <x:c r="AP2180" s="19"/>
    </x:row>
    <x:row r="2181" ht="36" customHeight="1">
      <x:c r="A2181" s="23" t="n">
        <x:v>2180</x:v>
      </x:c>
      <x:c r="B2181" s="15" t="str">
        <x:v>EQUITY PRIME MORTGAGE</x:v>
      </x:c>
      <x:c r="C2181" s="15"/>
      <x:c r="D2181" s="15" t="str">
        <x:v>Property lender or directory member; operating-company capital unconfirmed</x:v>
      </x:c>
      <x:c r="E2181" s="15" t="str">
        <x:v>Property lender / private-money inquiry</x:v>
      </x:c>
      <x:c r="F2181" s="17" t="str">
        <x:v>New</x:v>
      </x:c>
      <x:c r="G2181" s="24"/>
      <x:c r="H2181" s="24" t="str">
        <x:v>+18774460004</x:v>
      </x:c>
      <x:c r="I2181" s="24" t="str">
        <x:v>https://www.epmwholesale.com/</x:v>
      </x:c>
      <x:c r="J2181" s="16" t="str">
        <x:v>GA</x:v>
      </x:c>
      <x:c r="K2181" s="16" t="str">
        <x:v>Atlanta</x:v>
      </x:c>
      <x:c r="L2181" s="16" t="str">
        <x:v>firm_business_routing</x:v>
      </x:c>
      <x:c r="M2181" s="16" t="str">
        <x:v>https://www.epmwholesale.com/</x:v>
      </x:c>
      <x:c r="N2181" s="16" t="str">
        <x:v>$100K-$500K ticket not published / unconfirmed</x:v>
      </x:c>
      <x:c r="O2181" s="20"/>
      <x:c r="P2181" s="20"/>
      <x:c r="Q2181" s="25" t="str">
        <x:v>Property-loan range, not a corporate-capital commitment</x:v>
      </x:c>
      <x:c r="R2181" s="25" t="str">
        <x:v>Private real-estate finance experience. Corporate working capital, minority equity or profit participation requires a separate agreement from a property loan.</x:v>
      </x:c>
      <x:c r="S2181" s="25"/>
      <x:c r="T2181" s="25" t="str">
        <x:v>Confirm direct principal versus broker, $100K-$500K appetite, and whether capital can fund the operating company without a property mortgage.</x:v>
      </x:c>
      <x:c r="U2181" s="25" t="str">
        <x:v>https://www.privatelendersdirectory.com/united-states/atlanta/top-level-category/equity-prime-mortgage
https://www.epmwholesale.com/</x:v>
      </x:c>
      <x:c r="V2181" s="26" t="d">
        <x:v>2026-10-02T00:00:00.000Z</x:v>
      </x:c>
      <x:c r="W2181" s="26" t="d">
        <x:v>2026-09-30T00:00:00.000Z</x:v>
      </x:c>
      <x:c r="X2181" s="25" t="str">
        <x:v>Saved public company, industry-directory or regulatory source; source date retained</x:v>
      </x:c>
      <x:c r="Y2181" s="25"/>
      <x:c r="Z2181" s="25" t="str">
        <x:v>https://www.epmwholesale.com/</x:v>
      </x:c>
      <x:c r="AA2181" s="25" t="str">
        <x:v>[]</x:v>
      </x:c>
      <x:c r="AB2181" s="3" t="str">
        <x:v>Existing CapitalForge research, newly screened for this campaign</x:v>
      </x:c>
      <x:c r="AC2181" s="3" t="str">
        <x:v>unverified</x:v>
      </x:c>
      <x:c r="AD2181" s="3" t="str">
        <x:v>Not contacted / unconfirmed</x:v>
      </x:c>
      <x:c r="AE2181" s="3" t="str">
        <x:v>No</x:v>
      </x:c>
      <x:c r="AF2181" s="3" t="str">
        <x:v>No</x:v>
      </x:c>
      <x:c r="AG2181" s="3"/>
      <x:c r="AH2181" s="3"/>
      <x:c r="AI2181" s="18"/>
      <x:c r="AJ2181" s="3" t="str">
        <x:v>CF2500-57F904503333</x:v>
      </x:c>
      <x:c r="AK2181" s="3" t="str">
        <x:v>private_real_estate_lender</x:v>
      </x:c>
      <x:c r="AL2181" s="19" t="n">
        <x:v>100000</x:v>
      </x:c>
      <x:c r="AM2181" s="19" t="n">
        <x:v>500000</x:v>
      </x:c>
      <x:c r="AN2181" s="3" t="str">
        <x:v>https://www.privatelendersdirectory.com/united-states/atlanta/top-level-category/equity-prime-mortgage</x:v>
      </x:c>
      <x:c r="AO2181" s="3" t="str">
        <x:v>public_directory.jsonl</x:v>
      </x:c>
      <x:c r="AP2181" s="19"/>
    </x:row>
    <x:row r="2182" ht="36" customHeight="1">
      <x:c r="A2182" s="23" t="n">
        <x:v>2181</x:v>
      </x:c>
      <x:c r="B2182" s="15" t="str">
        <x:v>Fairview Lending</x:v>
      </x:c>
      <x:c r="C2182" s="15"/>
      <x:c r="D2182" s="15" t="str">
        <x:v>Property lender or directory member; operating-company capital unconfirmed</x:v>
      </x:c>
      <x:c r="E2182" s="15" t="str">
        <x:v>Property lender / private-money inquiry</x:v>
      </x:c>
      <x:c r="F2182" s="17" t="str">
        <x:v>New</x:v>
      </x:c>
      <x:c r="G2182" s="24"/>
      <x:c r="H2182" s="24" t="str">
        <x:v>+13034596061</x:v>
      </x:c>
      <x:c r="I2182" s="24" t="str">
        <x:v>https://coloradohardmoney.com/</x:v>
      </x:c>
      <x:c r="J2182" s="16" t="str">
        <x:v>CO</x:v>
      </x:c>
      <x:c r="K2182" s="16" t="str">
        <x:v>Evergreen</x:v>
      </x:c>
      <x:c r="L2182" s="16" t="str">
        <x:v>firm_business_routing</x:v>
      </x:c>
      <x:c r="M2182" s="16" t="str">
        <x:v>https://coloradohardmoney.com/</x:v>
      </x:c>
      <x:c r="N2182" s="16" t="str">
        <x:v>$100K-$500K ticket not published / unconfirmed</x:v>
      </x:c>
      <x:c r="O2182" s="20"/>
      <x:c r="P2182" s="20"/>
      <x:c r="Q2182" s="25" t="str">
        <x:v>Property-loan range, not a corporate-capital commitment</x:v>
      </x:c>
      <x:c r="R2182" s="25" t="str">
        <x:v>Private real-estate finance experience. Corporate working capital, minority equity or profit participation requires a separate agreement from a property loan.</x:v>
      </x:c>
      <x:c r="S2182" s="25"/>
      <x:c r="T2182" s="25" t="str">
        <x:v>Confirm direct principal versus broker, $100K-$500K appetite, and whether capital can fund the operating company without a property mortgage.</x:v>
      </x:c>
      <x:c r="U2182" s="25" t="str">
        <x:v>https://www.hardmoneyhome.com/lenders/view/fairview-lending</x:v>
      </x:c>
      <x:c r="V2182" s="26" t="d">
        <x:v>2026-10-02T00:00:00.000Z</x:v>
      </x:c>
      <x:c r="W2182" s="26" t="d">
        <x:v>2026-09-30T00:00:00.000Z</x:v>
      </x:c>
      <x:c r="X2182" s="25" t="str">
        <x:v>Saved public company, industry-directory or regulatory source; source date retained</x:v>
      </x:c>
      <x:c r="Y2182" s="25"/>
      <x:c r="Z2182" s="25" t="str">
        <x:v>https://www.hardmoneyhome.com/lenders/view/fairview-lending</x:v>
      </x:c>
      <x:c r="AA2182" s="25" t="str">
        <x:v>[]</x:v>
      </x:c>
      <x:c r="AB2182" s="3" t="str">
        <x:v>Existing CapitalForge research, newly screened for this campaign</x:v>
      </x:c>
      <x:c r="AC2182" s="3" t="str">
        <x:v>unverified</x:v>
      </x:c>
      <x:c r="AD2182" s="3" t="str">
        <x:v>Not contacted / unconfirmed</x:v>
      </x:c>
      <x:c r="AE2182" s="3" t="str">
        <x:v>No</x:v>
      </x:c>
      <x:c r="AF2182" s="3" t="str">
        <x:v>No</x:v>
      </x:c>
      <x:c r="AG2182" s="3"/>
      <x:c r="AH2182" s="3"/>
      <x:c r="AI2182" s="18"/>
      <x:c r="AJ2182" s="3" t="str">
        <x:v>CF2500-CA6BCC3B8DEB</x:v>
      </x:c>
      <x:c r="AK2182" s="3" t="str">
        <x:v>private_real_estate_lender</x:v>
      </x:c>
      <x:c r="AL2182" s="19" t="n">
        <x:v>100000</x:v>
      </x:c>
      <x:c r="AM2182" s="19" t="n">
        <x:v>500000</x:v>
      </x:c>
      <x:c r="AN2182" s="3" t="str">
        <x:v>https://www.hardmoneyhome.com/lenders/view/fairview-lending</x:v>
      </x:c>
      <x:c r="AO2182" s="3" t="str">
        <x:v>public_directory.jsonl</x:v>
      </x:c>
      <x:c r="AP2182" s="19"/>
    </x:row>
    <x:row r="2183" ht="36" customHeight="1">
      <x:c r="A2183" s="23" t="n">
        <x:v>2182</x:v>
      </x:c>
      <x:c r="B2183" s="15" t="str">
        <x:v>Flip Finance</x:v>
      </x:c>
      <x:c r="C2183" s="15"/>
      <x:c r="D2183" s="15" t="str">
        <x:v>Property lender or directory member; operating-company capital unconfirmed</x:v>
      </x:c>
      <x:c r="E2183" s="15" t="str">
        <x:v>Property lender / private-money inquiry</x:v>
      </x:c>
      <x:c r="F2183" s="17" t="str">
        <x:v>New</x:v>
      </x:c>
      <x:c r="G2183" s="24"/>
      <x:c r="H2183" s="24" t="str">
        <x:v>+13149099400</x:v>
      </x:c>
      <x:c r="I2183" s="24" t="str">
        <x:v>http://flipfinancestl.com/</x:v>
      </x:c>
      <x:c r="J2183" s="16" t="str">
        <x:v>MO</x:v>
      </x:c>
      <x:c r="K2183" s="16" t="str">
        <x:v>Kirkwood</x:v>
      </x:c>
      <x:c r="L2183" s="16" t="str">
        <x:v>firm_business_routing</x:v>
      </x:c>
      <x:c r="M2183" s="16" t="str">
        <x:v>http://flipfinancestl.com/</x:v>
      </x:c>
      <x:c r="N2183" s="16" t="str">
        <x:v>$100K-$500K ticket not published / unconfirmed</x:v>
      </x:c>
      <x:c r="O2183" s="20"/>
      <x:c r="P2183" s="20"/>
      <x:c r="Q2183" s="25" t="str">
        <x:v>Property-loan range, not a corporate-capital commitment</x:v>
      </x:c>
      <x:c r="R2183" s="25" t="str">
        <x:v>Private real-estate finance experience. Corporate working capital, minority equity or profit participation requires a separate agreement from a property loan.</x:v>
      </x:c>
      <x:c r="S2183" s="25"/>
      <x:c r="T2183" s="25" t="str">
        <x:v>Confirm direct principal versus broker, $100K-$500K appetite, and whether capital can fund the operating company without a property mortgage.</x:v>
      </x:c>
      <x:c r="U2183" s="25" t="str">
        <x:v>https://www.hardmoneyhome.com/lenders/view/flip-finance</x:v>
      </x:c>
      <x:c r="V2183" s="26" t="d">
        <x:v>2026-10-02T00:00:00.000Z</x:v>
      </x:c>
      <x:c r="W2183" s="26" t="d">
        <x:v>2026-09-30T00:00:00.000Z</x:v>
      </x:c>
      <x:c r="X2183" s="25" t="str">
        <x:v>Saved public company, industry-directory or regulatory source; source date retained</x:v>
      </x:c>
      <x:c r="Y2183" s="25"/>
      <x:c r="Z2183" s="25" t="str">
        <x:v>https://www.hardmoneyhome.com/lenders/view/flip-finance</x:v>
      </x:c>
      <x:c r="AA2183" s="25" t="str">
        <x:v>[]</x:v>
      </x:c>
      <x:c r="AB2183" s="3" t="str">
        <x:v>Existing CapitalForge research, newly screened for this campaign</x:v>
      </x:c>
      <x:c r="AC2183" s="3" t="str">
        <x:v>unverified</x:v>
      </x:c>
      <x:c r="AD2183" s="3" t="str">
        <x:v>Not contacted / unconfirmed</x:v>
      </x:c>
      <x:c r="AE2183" s="3" t="str">
        <x:v>No</x:v>
      </x:c>
      <x:c r="AF2183" s="3" t="str">
        <x:v>No</x:v>
      </x:c>
      <x:c r="AG2183" s="3"/>
      <x:c r="AH2183" s="3"/>
      <x:c r="AI2183" s="18"/>
      <x:c r="AJ2183" s="3" t="str">
        <x:v>CF2500-D177C6742DBB</x:v>
      </x:c>
      <x:c r="AK2183" s="3" t="str">
        <x:v>private_real_estate_lender</x:v>
      </x:c>
      <x:c r="AL2183" s="19" t="n">
        <x:v>100000</x:v>
      </x:c>
      <x:c r="AM2183" s="19" t="n">
        <x:v>500000</x:v>
      </x:c>
      <x:c r="AN2183" s="3" t="str">
        <x:v>https://www.hardmoneyhome.com/lenders/view/flip-finance</x:v>
      </x:c>
      <x:c r="AO2183" s="3" t="str">
        <x:v>public_directory.jsonl</x:v>
      </x:c>
      <x:c r="AP2183" s="19"/>
    </x:row>
    <x:row r="2184" ht="36" customHeight="1">
      <x:c r="A2184" s="23" t="n">
        <x:v>2183</x:v>
      </x:c>
      <x:c r="B2184" s="15" t="str">
        <x:v>Great Plains Funding</x:v>
      </x:c>
      <x:c r="C2184" s="15"/>
      <x:c r="D2184" s="15" t="str">
        <x:v>Property lender or directory member; operating-company capital unconfirmed</x:v>
      </x:c>
      <x:c r="E2184" s="15" t="str">
        <x:v>Property lender / private-money inquiry</x:v>
      </x:c>
      <x:c r="F2184" s="17" t="str">
        <x:v>New</x:v>
      </x:c>
      <x:c r="G2184" s="24"/>
      <x:c r="H2184" s="24" t="str">
        <x:v>+17852724800</x:v>
      </x:c>
      <x:c r="I2184" s="24" t="str">
        <x:v>http://www.greatplainsfunding.com</x:v>
      </x:c>
      <x:c r="J2184" s="16" t="str">
        <x:v>KS</x:v>
      </x:c>
      <x:c r="K2184" s="16" t="str">
        <x:v>Topeka</x:v>
      </x:c>
      <x:c r="L2184" s="16" t="str">
        <x:v>firm_business_routing</x:v>
      </x:c>
      <x:c r="M2184" s="16" t="str">
        <x:v>http://www.greatplainsfunding.com</x:v>
      </x:c>
      <x:c r="N2184" s="16" t="str">
        <x:v>$100K-$500K ticket not published / unconfirmed</x:v>
      </x:c>
      <x:c r="O2184" s="20"/>
      <x:c r="P2184" s="20"/>
      <x:c r="Q2184" s="25" t="str">
        <x:v>Property-loan range, not a corporate-capital commitment</x:v>
      </x:c>
      <x:c r="R2184" s="25" t="str">
        <x:v>Private real-estate finance experience. Corporate working capital, minority equity or profit participation requires a separate agreement from a property loan.</x:v>
      </x:c>
      <x:c r="S2184" s="25"/>
      <x:c r="T2184" s="25" t="str">
        <x:v>Confirm direct principal versus broker, $100K-$500K appetite, and whether capital can fund the operating company without a property mortgage.</x:v>
      </x:c>
      <x:c r="U2184" s="25" t="str">
        <x:v>https://www.hardmoneyhome.com/lenders/view/great-plains-funding
https://www.privatelendersdirectory.com/united-states/topeka/top-level-category/great-plains-funding</x:v>
      </x:c>
      <x:c r="V2184" s="26" t="d">
        <x:v>2026-10-02T00:00:00.000Z</x:v>
      </x:c>
      <x:c r="W2184" s="26" t="d">
        <x:v>2026-09-30T00:00:00.000Z</x:v>
      </x:c>
      <x:c r="X2184" s="25" t="str">
        <x:v>Saved public company, industry-directory or regulatory source; source date retained</x:v>
      </x:c>
      <x:c r="Y2184" s="25"/>
      <x:c r="Z2184" s="25" t="str">
        <x:v>https://www.hardmoneyhome.com/lenders/view/great-plains-funding</x:v>
      </x:c>
      <x:c r="AA2184" s="25" t="str">
        <x:v>[]</x:v>
      </x:c>
      <x:c r="AB2184" s="3" t="str">
        <x:v>Existing CapitalForge research, newly screened for this campaign</x:v>
      </x:c>
      <x:c r="AC2184" s="3" t="str">
        <x:v>unverified</x:v>
      </x:c>
      <x:c r="AD2184" s="3" t="str">
        <x:v>Not contacted / unconfirmed</x:v>
      </x:c>
      <x:c r="AE2184" s="3" t="str">
        <x:v>No</x:v>
      </x:c>
      <x:c r="AF2184" s="3" t="str">
        <x:v>No</x:v>
      </x:c>
      <x:c r="AG2184" s="3"/>
      <x:c r="AH2184" s="3"/>
      <x:c r="AI2184" s="18"/>
      <x:c r="AJ2184" s="3" t="str">
        <x:v>CF2500-B4582C67AD4D</x:v>
      </x:c>
      <x:c r="AK2184" s="3" t="str">
        <x:v>private_real_estate_lender</x:v>
      </x:c>
      <x:c r="AL2184" s="19" t="n">
        <x:v>100000</x:v>
      </x:c>
      <x:c r="AM2184" s="19" t="n">
        <x:v>500000</x:v>
      </x:c>
      <x:c r="AN2184" s="3" t="str">
        <x:v>https://www.hardmoneyhome.com/lenders/view/great-plains-funding</x:v>
      </x:c>
      <x:c r="AO2184" s="3" t="str">
        <x:v>public_directory.jsonl</x:v>
      </x:c>
      <x:c r="AP2184" s="19"/>
    </x:row>
    <x:row r="2185" ht="36" customHeight="1">
      <x:c r="A2185" s="23" t="n">
        <x:v>2184</x:v>
      </x:c>
      <x:c r="B2185" s="15" t="str">
        <x:v>Hallmark Funding</x:v>
      </x:c>
      <x:c r="C2185" s="15"/>
      <x:c r="D2185" s="15" t="str">
        <x:v>Property lender or directory member; operating-company capital unconfirmed</x:v>
      </x:c>
      <x:c r="E2185" s="15" t="str">
        <x:v>Property lender / private-money inquiry</x:v>
      </x:c>
      <x:c r="F2185" s="17" t="str">
        <x:v>New</x:v>
      </x:c>
      <x:c r="G2185" s="24"/>
      <x:c r="H2185" s="24" t="str">
        <x:v>+16783256908</x:v>
      </x:c>
      <x:c r="I2185" s="24" t="str">
        <x:v>http://www.hallmarkfunding.com/</x:v>
      </x:c>
      <x:c r="J2185" s="16" t="str">
        <x:v>GA</x:v>
      </x:c>
      <x:c r="K2185" s="16" t="str">
        <x:v>Atlanta</x:v>
      </x:c>
      <x:c r="L2185" s="16" t="str">
        <x:v>firm_business_routing</x:v>
      </x:c>
      <x:c r="M2185" s="16" t="str">
        <x:v>http://www.hallmarkfunding.com/</x:v>
      </x:c>
      <x:c r="N2185" s="16" t="str">
        <x:v>$100K-$500K ticket not published / unconfirmed</x:v>
      </x:c>
      <x:c r="O2185" s="20"/>
      <x:c r="P2185" s="20"/>
      <x:c r="Q2185" s="25" t="str">
        <x:v>Property-loan range, not a corporate-capital commitment</x:v>
      </x:c>
      <x:c r="R2185" s="25" t="str">
        <x:v>Private real-estate finance experience. Corporate working capital, minority equity or profit participation requires a separate agreement from a property loan.</x:v>
      </x:c>
      <x:c r="S2185" s="25"/>
      <x:c r="T2185" s="25" t="str">
        <x:v>Confirm direct principal versus broker, $100K-$500K appetite, and whether capital can fund the operating company without a property mortgage.</x:v>
      </x:c>
      <x:c r="U2185" s="25" t="str">
        <x:v>https://www.hardmoneyhome.com/lenders/view/hallmark-funding</x:v>
      </x:c>
      <x:c r="V2185" s="26" t="d">
        <x:v>2026-10-02T00:00:00.000Z</x:v>
      </x:c>
      <x:c r="W2185" s="26" t="d">
        <x:v>2026-09-30T00:00:00.000Z</x:v>
      </x:c>
      <x:c r="X2185" s="25" t="str">
        <x:v>Saved public company, industry-directory or regulatory source; source date retained</x:v>
      </x:c>
      <x:c r="Y2185" s="25"/>
      <x:c r="Z2185" s="25" t="str">
        <x:v>https://www.hardmoneyhome.com/lenders/view/hallmark-funding</x:v>
      </x:c>
      <x:c r="AA2185" s="25" t="str">
        <x:v>[]</x:v>
      </x:c>
      <x:c r="AB2185" s="3" t="str">
        <x:v>Existing CapitalForge research, newly screened for this campaign</x:v>
      </x:c>
      <x:c r="AC2185" s="3" t="str">
        <x:v>unverified</x:v>
      </x:c>
      <x:c r="AD2185" s="3" t="str">
        <x:v>Not contacted / unconfirmed</x:v>
      </x:c>
      <x:c r="AE2185" s="3" t="str">
        <x:v>No</x:v>
      </x:c>
      <x:c r="AF2185" s="3" t="str">
        <x:v>No</x:v>
      </x:c>
      <x:c r="AG2185" s="3"/>
      <x:c r="AH2185" s="3"/>
      <x:c r="AI2185" s="18"/>
      <x:c r="AJ2185" s="3" t="str">
        <x:v>CF2500-36F226AC7B0B</x:v>
      </x:c>
      <x:c r="AK2185" s="3" t="str">
        <x:v>private_real_estate_lender</x:v>
      </x:c>
      <x:c r="AL2185" s="19" t="n">
        <x:v>100000</x:v>
      </x:c>
      <x:c r="AM2185" s="19" t="n">
        <x:v>500000</x:v>
      </x:c>
      <x:c r="AN2185" s="3" t="str">
        <x:v>https://www.hardmoneyhome.com/lenders/view/hallmark-funding</x:v>
      </x:c>
      <x:c r="AO2185" s="3" t="str">
        <x:v>public_directory.jsonl</x:v>
      </x:c>
      <x:c r="AP2185" s="19"/>
    </x:row>
    <x:row r="2186" ht="36" customHeight="1">
      <x:c r="A2186" s="23" t="n">
        <x:v>2185</x:v>
      </x:c>
      <x:c r="B2186" s="15" t="str">
        <x:v>Hard Money Atlanta</x:v>
      </x:c>
      <x:c r="C2186" s="15"/>
      <x:c r="D2186" s="15" t="str">
        <x:v>Property lender or directory member; operating-company capital unconfirmed</x:v>
      </x:c>
      <x:c r="E2186" s="15" t="str">
        <x:v>Property lender / private-money inquiry</x:v>
      </x:c>
      <x:c r="F2186" s="17" t="str">
        <x:v>New</x:v>
      </x:c>
      <x:c r="G2186" s="24"/>
      <x:c r="H2186" s="24" t="str">
        <x:v>+16788417300</x:v>
      </x:c>
      <x:c r="I2186" s="24" t="str">
        <x:v>http://hardmoneyatlanta.net/</x:v>
      </x:c>
      <x:c r="J2186" s="16" t="str">
        <x:v>GA</x:v>
      </x:c>
      <x:c r="K2186" s="16" t="str">
        <x:v>McDonough</x:v>
      </x:c>
      <x:c r="L2186" s="16" t="str">
        <x:v>firm_business_routing</x:v>
      </x:c>
      <x:c r="M2186" s="16" t="str">
        <x:v>http://hardmoneyatlanta.net/</x:v>
      </x:c>
      <x:c r="N2186" s="16" t="str">
        <x:v>$100K-$500K ticket not published / unconfirmed</x:v>
      </x:c>
      <x:c r="O2186" s="20"/>
      <x:c r="P2186" s="20"/>
      <x:c r="Q2186" s="25" t="str">
        <x:v>Property-loan range, not a corporate-capital commitment</x:v>
      </x:c>
      <x:c r="R2186" s="25" t="str">
        <x:v>Private real-estate finance experience. Corporate working capital, minority equity or profit participation requires a separate agreement from a property loan.</x:v>
      </x:c>
      <x:c r="S2186" s="25"/>
      <x:c r="T2186" s="25" t="str">
        <x:v>Confirm direct principal versus broker, $100K-$500K appetite, and whether capital can fund the operating company without a property mortgage.</x:v>
      </x:c>
      <x:c r="U2186" s="25" t="str">
        <x:v>https://www.hardmoneyhome.com/lenders/view/hard-money-atlanta</x:v>
      </x:c>
      <x:c r="V2186" s="26" t="d">
        <x:v>2026-10-02T00:00:00.000Z</x:v>
      </x:c>
      <x:c r="W2186" s="26" t="d">
        <x:v>2026-09-30T00:00:00.000Z</x:v>
      </x:c>
      <x:c r="X2186" s="25" t="str">
        <x:v>Saved public company, industry-directory or regulatory source; source date retained</x:v>
      </x:c>
      <x:c r="Y2186" s="25"/>
      <x:c r="Z2186" s="25" t="str">
        <x:v>https://www.hardmoneyhome.com/lenders/view/hard-money-atlanta</x:v>
      </x:c>
      <x:c r="AA2186" s="25" t="str">
        <x:v>[]</x:v>
      </x:c>
      <x:c r="AB2186" s="3" t="str">
        <x:v>Existing CapitalForge research, newly screened for this campaign</x:v>
      </x:c>
      <x:c r="AC2186" s="3" t="str">
        <x:v>unverified</x:v>
      </x:c>
      <x:c r="AD2186" s="3" t="str">
        <x:v>Not contacted / unconfirmed</x:v>
      </x:c>
      <x:c r="AE2186" s="3" t="str">
        <x:v>No</x:v>
      </x:c>
      <x:c r="AF2186" s="3" t="str">
        <x:v>No</x:v>
      </x:c>
      <x:c r="AG2186" s="3"/>
      <x:c r="AH2186" s="3"/>
      <x:c r="AI2186" s="18"/>
      <x:c r="AJ2186" s="3" t="str">
        <x:v>CF2500-D94C6505F961</x:v>
      </x:c>
      <x:c r="AK2186" s="3" t="str">
        <x:v>private_real_estate_lender</x:v>
      </x:c>
      <x:c r="AL2186" s="19" t="n">
        <x:v>100000</x:v>
      </x:c>
      <x:c r="AM2186" s="19" t="n">
        <x:v>500000</x:v>
      </x:c>
      <x:c r="AN2186" s="3" t="str">
        <x:v>https://www.hardmoneyhome.com/lenders/view/hard-money-atlanta</x:v>
      </x:c>
      <x:c r="AO2186" s="3" t="str">
        <x:v>public_directory.jsonl</x:v>
      </x:c>
      <x:c r="AP2186" s="19"/>
    </x:row>
    <x:row r="2187" ht="36" customHeight="1">
      <x:c r="A2187" s="23" t="n">
        <x:v>2186</x:v>
      </x:c>
      <x:c r="B2187" s="15" t="str">
        <x:v>Hard Money Lenders of Kansas City</x:v>
      </x:c>
      <x:c r="C2187" s="15"/>
      <x:c r="D2187" s="15" t="str">
        <x:v>Property lender or directory member; operating-company capital unconfirmed</x:v>
      </x:c>
      <x:c r="E2187" s="15" t="str">
        <x:v>Property lender / private-money inquiry</x:v>
      </x:c>
      <x:c r="F2187" s="17" t="str">
        <x:v>New</x:v>
      </x:c>
      <x:c r="G2187" s="24"/>
      <x:c r="H2187" s="24" t="str">
        <x:v>+18162932999</x:v>
      </x:c>
      <x:c r="I2187" s="24" t="str">
        <x:v>http://www.kcinvestorfunding.com/</x:v>
      </x:c>
      <x:c r="J2187" s="16" t="str">
        <x:v>MO</x:v>
      </x:c>
      <x:c r="K2187" s="16" t="str">
        <x:v>Kansas City</x:v>
      </x:c>
      <x:c r="L2187" s="16" t="str">
        <x:v>firm_business_routing</x:v>
      </x:c>
      <x:c r="M2187" s="16" t="str">
        <x:v>http://www.kcinvestorfunding.com/</x:v>
      </x:c>
      <x:c r="N2187" s="16" t="str">
        <x:v>$100K-$500K ticket not published / unconfirmed</x:v>
      </x:c>
      <x:c r="O2187" s="20"/>
      <x:c r="P2187" s="20"/>
      <x:c r="Q2187" s="25" t="str">
        <x:v>Property-loan range, not a corporate-capital commitment</x:v>
      </x:c>
      <x:c r="R2187" s="25" t="str">
        <x:v>Private real-estate finance experience. Corporate working capital, minority equity or profit participation requires a separate agreement from a property loan.</x:v>
      </x:c>
      <x:c r="S2187" s="25"/>
      <x:c r="T2187" s="25" t="str">
        <x:v>Confirm direct principal versus broker, $100K-$500K appetite, and whether capital can fund the operating company without a property mortgage.</x:v>
      </x:c>
      <x:c r="U2187" s="25" t="str">
        <x:v>https://www.hardmoneyhome.com/lenders/view/hard-money-lenders-of-kansas-city</x:v>
      </x:c>
      <x:c r="V2187" s="26" t="d">
        <x:v>2026-10-02T00:00:00.000Z</x:v>
      </x:c>
      <x:c r="W2187" s="26" t="d">
        <x:v>2026-09-30T00:00:00.000Z</x:v>
      </x:c>
      <x:c r="X2187" s="25" t="str">
        <x:v>Saved public company, industry-directory or regulatory source; source date retained</x:v>
      </x:c>
      <x:c r="Y2187" s="25"/>
      <x:c r="Z2187" s="25" t="str">
        <x:v>https://www.hardmoneyhome.com/lenders/view/hard-money-lenders-of-kansas-city</x:v>
      </x:c>
      <x:c r="AA2187" s="25" t="str">
        <x:v>[]</x:v>
      </x:c>
      <x:c r="AB2187" s="3" t="str">
        <x:v>Existing CapitalForge research, newly screened for this campaign</x:v>
      </x:c>
      <x:c r="AC2187" s="3" t="str">
        <x:v>unverified</x:v>
      </x:c>
      <x:c r="AD2187" s="3" t="str">
        <x:v>Not contacted / unconfirmed</x:v>
      </x:c>
      <x:c r="AE2187" s="3" t="str">
        <x:v>No</x:v>
      </x:c>
      <x:c r="AF2187" s="3" t="str">
        <x:v>No</x:v>
      </x:c>
      <x:c r="AG2187" s="3"/>
      <x:c r="AH2187" s="3"/>
      <x:c r="AI2187" s="18"/>
      <x:c r="AJ2187" s="3" t="str">
        <x:v>CF2500-37034AA59B71</x:v>
      </x:c>
      <x:c r="AK2187" s="3" t="str">
        <x:v>private_real_estate_lender</x:v>
      </x:c>
      <x:c r="AL2187" s="19" t="n">
        <x:v>100000</x:v>
      </x:c>
      <x:c r="AM2187" s="19" t="n">
        <x:v>500000</x:v>
      </x:c>
      <x:c r="AN2187" s="3" t="str">
        <x:v>https://www.hardmoneyhome.com/lenders/view/hard-money-lenders-of-kansas-city</x:v>
      </x:c>
      <x:c r="AO2187" s="3" t="str">
        <x:v>public_directory.jsonl</x:v>
      </x:c>
      <x:c r="AP2187" s="19"/>
    </x:row>
    <x:row r="2188" ht="36" customHeight="1">
      <x:c r="A2188" s="23" t="n">
        <x:v>2187</x:v>
      </x:c>
      <x:c r="B2188" s="15" t="str">
        <x:v>HardMoneyLoansAtlanta.com</x:v>
      </x:c>
      <x:c r="C2188" s="15"/>
      <x:c r="D2188" s="15" t="str">
        <x:v>Property lender or directory member; operating-company capital unconfirmed</x:v>
      </x:c>
      <x:c r="E2188" s="15" t="str">
        <x:v>Property lender / private-money inquiry</x:v>
      </x:c>
      <x:c r="F2188" s="17" t="str">
        <x:v>New</x:v>
      </x:c>
      <x:c r="G2188" s="24"/>
      <x:c r="H2188" s="24" t="str">
        <x:v>+16784607872</x:v>
      </x:c>
      <x:c r="I2188" s="24" t="str">
        <x:v>http://www.hardmoneyloanatlanta.com/</x:v>
      </x:c>
      <x:c r="J2188" s="16" t="str">
        <x:v>GA</x:v>
      </x:c>
      <x:c r="K2188" s="16" t="str">
        <x:v>Atlanta</x:v>
      </x:c>
      <x:c r="L2188" s="16" t="str">
        <x:v>firm_business_routing</x:v>
      </x:c>
      <x:c r="M2188" s="16" t="str">
        <x:v>http://www.hardmoneyloanatlanta.com/</x:v>
      </x:c>
      <x:c r="N2188" s="16" t="str">
        <x:v>$100K-$500K ticket not published / unconfirmed</x:v>
      </x:c>
      <x:c r="O2188" s="20"/>
      <x:c r="P2188" s="20"/>
      <x:c r="Q2188" s="25" t="str">
        <x:v>Property-loan range, not a corporate-capital commitment</x:v>
      </x:c>
      <x:c r="R2188" s="25" t="str">
        <x:v>Private real-estate finance experience. Corporate working capital, minority equity or profit participation requires a separate agreement from a property loan.</x:v>
      </x:c>
      <x:c r="S2188" s="25"/>
      <x:c r="T2188" s="25" t="str">
        <x:v>Confirm direct principal versus broker, $100K-$500K appetite, and whether capital can fund the operating company without a property mortgage.</x:v>
      </x:c>
      <x:c r="U2188" s="25" t="str">
        <x:v>https://www.hardmoneyhome.com/lenders/view/hardmoneyloansatlanta-dot-com</x:v>
      </x:c>
      <x:c r="V2188" s="26" t="d">
        <x:v>2026-10-02T00:00:00.000Z</x:v>
      </x:c>
      <x:c r="W2188" s="26" t="d">
        <x:v>2026-09-30T00:00:00.000Z</x:v>
      </x:c>
      <x:c r="X2188" s="25" t="str">
        <x:v>Saved public company, industry-directory or regulatory source; source date retained</x:v>
      </x:c>
      <x:c r="Y2188" s="25"/>
      <x:c r="Z2188" s="25" t="str">
        <x:v>https://www.hardmoneyhome.com/lenders/view/hardmoneyloansatlanta-dot-com</x:v>
      </x:c>
      <x:c r="AA2188" s="25" t="str">
        <x:v>[]</x:v>
      </x:c>
      <x:c r="AB2188" s="3" t="str">
        <x:v>Existing CapitalForge research, newly screened for this campaign</x:v>
      </x:c>
      <x:c r="AC2188" s="3" t="str">
        <x:v>unverified</x:v>
      </x:c>
      <x:c r="AD2188" s="3" t="str">
        <x:v>Not contacted / unconfirmed</x:v>
      </x:c>
      <x:c r="AE2188" s="3" t="str">
        <x:v>No</x:v>
      </x:c>
      <x:c r="AF2188" s="3" t="str">
        <x:v>No</x:v>
      </x:c>
      <x:c r="AG2188" s="3"/>
      <x:c r="AH2188" s="3"/>
      <x:c r="AI2188" s="18"/>
      <x:c r="AJ2188" s="3" t="str">
        <x:v>CF2500-4318AE664CEC</x:v>
      </x:c>
      <x:c r="AK2188" s="3" t="str">
        <x:v>private_real_estate_lender</x:v>
      </x:c>
      <x:c r="AL2188" s="19" t="n">
        <x:v>100000</x:v>
      </x:c>
      <x:c r="AM2188" s="19" t="n">
        <x:v>500000</x:v>
      </x:c>
      <x:c r="AN2188" s="3" t="str">
        <x:v>https://www.hardmoneyhome.com/lenders/view/hardmoneyloansatlanta-dot-com</x:v>
      </x:c>
      <x:c r="AO2188" s="3" t="str">
        <x:v>public_directory.jsonl</x:v>
      </x:c>
      <x:c r="AP2188" s="19"/>
    </x:row>
    <x:row r="2189" ht="36" customHeight="1">
      <x:c r="A2189" s="23" t="n">
        <x:v>2188</x:v>
      </x:c>
      <x:c r="B2189" s="15" t="str">
        <x:v>Investment Property Financing</x:v>
      </x:c>
      <x:c r="C2189" s="15"/>
      <x:c r="D2189" s="15" t="str">
        <x:v>Property lender or directory member; operating-company capital unconfirmed</x:v>
      </x:c>
      <x:c r="E2189" s="15" t="str">
        <x:v>Property lender / private-money inquiry</x:v>
      </x:c>
      <x:c r="F2189" s="17" t="str">
        <x:v>New</x:v>
      </x:c>
      <x:c r="G2189" s="24"/>
      <x:c r="H2189" s="24" t="str">
        <x:v>+19018443333</x:v>
      </x:c>
      <x:c r="I2189" s="24" t="str">
        <x:v>http://hardmoneylendingmemphis.com/</x:v>
      </x:c>
      <x:c r="J2189" s="16" t="str">
        <x:v>TN</x:v>
      </x:c>
      <x:c r="K2189" s="16" t="str">
        <x:v>Memphis</x:v>
      </x:c>
      <x:c r="L2189" s="16" t="str">
        <x:v>firm_business_routing</x:v>
      </x:c>
      <x:c r="M2189" s="16" t="str">
        <x:v>http://hardmoneylendingmemphis.com/</x:v>
      </x:c>
      <x:c r="N2189" s="16" t="str">
        <x:v>$100K-$500K ticket not published / unconfirmed</x:v>
      </x:c>
      <x:c r="O2189" s="20"/>
      <x:c r="P2189" s="20"/>
      <x:c r="Q2189" s="25" t="str">
        <x:v>Property-loan range, not a corporate-capital commitment</x:v>
      </x:c>
      <x:c r="R2189" s="25" t="str">
        <x:v>Private real-estate finance experience. Corporate working capital, minority equity or profit participation requires a separate agreement from a property loan.</x:v>
      </x:c>
      <x:c r="S2189" s="25"/>
      <x:c r="T2189" s="25" t="str">
        <x:v>Confirm direct principal versus broker, $100K-$500K appetite, and whether capital can fund the operating company without a property mortgage.</x:v>
      </x:c>
      <x:c r="U2189" s="25" t="str">
        <x:v>https://www.hardmoneyhome.com/lenders/view/investment-property-financing</x:v>
      </x:c>
      <x:c r="V2189" s="26" t="d">
        <x:v>2026-10-02T00:00:00.000Z</x:v>
      </x:c>
      <x:c r="W2189" s="26" t="d">
        <x:v>2026-09-30T00:00:00.000Z</x:v>
      </x:c>
      <x:c r="X2189" s="25" t="str">
        <x:v>Saved public company, industry-directory or regulatory source; source date retained</x:v>
      </x:c>
      <x:c r="Y2189" s="25"/>
      <x:c r="Z2189" s="25" t="str">
        <x:v>https://www.hardmoneyhome.com/lenders/view/investment-property-financing</x:v>
      </x:c>
      <x:c r="AA2189" s="25" t="str">
        <x:v>[]</x:v>
      </x:c>
      <x:c r="AB2189" s="3" t="str">
        <x:v>Existing CapitalForge research, newly screened for this campaign</x:v>
      </x:c>
      <x:c r="AC2189" s="3" t="str">
        <x:v>unverified</x:v>
      </x:c>
      <x:c r="AD2189" s="3" t="str">
        <x:v>Not contacted / unconfirmed</x:v>
      </x:c>
      <x:c r="AE2189" s="3" t="str">
        <x:v>No</x:v>
      </x:c>
      <x:c r="AF2189" s="3" t="str">
        <x:v>No</x:v>
      </x:c>
      <x:c r="AG2189" s="3"/>
      <x:c r="AH2189" s="3"/>
      <x:c r="AI2189" s="18"/>
      <x:c r="AJ2189" s="3" t="str">
        <x:v>CF2500-FDCE2C6759C0</x:v>
      </x:c>
      <x:c r="AK2189" s="3" t="str">
        <x:v>private_real_estate_lender</x:v>
      </x:c>
      <x:c r="AL2189" s="19" t="n">
        <x:v>100000</x:v>
      </x:c>
      <x:c r="AM2189" s="19" t="n">
        <x:v>500000</x:v>
      </x:c>
      <x:c r="AN2189" s="3" t="str">
        <x:v>https://www.hardmoneyhome.com/lenders/view/investment-property-financing</x:v>
      </x:c>
      <x:c r="AO2189" s="3" t="str">
        <x:v>public_directory.jsonl</x:v>
      </x:c>
      <x:c r="AP2189" s="19"/>
    </x:row>
    <x:row r="2190" ht="36" customHeight="1">
      <x:c r="A2190" s="23" t="n">
        <x:v>2189</x:v>
      </x:c>
      <x:c r="B2190" s="15" t="str">
        <x:v>Jade Dog Capital</x:v>
      </x:c>
      <x:c r="C2190" s="15"/>
      <x:c r="D2190" s="15" t="str">
        <x:v>Property lender or directory member; operating-company capital unconfirmed</x:v>
      </x:c>
      <x:c r="E2190" s="15" t="str">
        <x:v>Property lender / private-money inquiry</x:v>
      </x:c>
      <x:c r="F2190" s="17" t="str">
        <x:v>New</x:v>
      </x:c>
      <x:c r="G2190" s="24"/>
      <x:c r="H2190" s="24" t="str">
        <x:v>+13854985122</x:v>
      </x:c>
      <x:c r="I2190" s="24" t="str">
        <x:v>http://www.jadedogcapital.com</x:v>
      </x:c>
      <x:c r="J2190" s="16" t="str">
        <x:v>UT</x:v>
      </x:c>
      <x:c r="K2190" s="16" t="str">
        <x:v>Draper</x:v>
      </x:c>
      <x:c r="L2190" s="16" t="str">
        <x:v>firm_business_routing</x:v>
      </x:c>
      <x:c r="M2190" s="16" t="str">
        <x:v>http://www.jadedogcapital.com</x:v>
      </x:c>
      <x:c r="N2190" s="16" t="str">
        <x:v>$100K-$500K ticket not published / unconfirmed</x:v>
      </x:c>
      <x:c r="O2190" s="20"/>
      <x:c r="P2190" s="20"/>
      <x:c r="Q2190" s="25" t="str">
        <x:v>Property-loan range, not a corporate-capital commitment</x:v>
      </x:c>
      <x:c r="R2190" s="25" t="str">
        <x:v>Private real-estate finance experience. Corporate working capital, minority equity or profit participation requires a separate agreement from a property loan.</x:v>
      </x:c>
      <x:c r="S2190" s="25"/>
      <x:c r="T2190" s="25" t="str">
        <x:v>Confirm direct principal versus broker, $100K-$500K appetite, and whether capital can fund the operating company without a property mortgage.</x:v>
      </x:c>
      <x:c r="U2190" s="25" t="str">
        <x:v>https://www.hardmoneyhome.com/lenders/view/jade-dog-capital</x:v>
      </x:c>
      <x:c r="V2190" s="26" t="d">
        <x:v>2026-10-02T00:00:00.000Z</x:v>
      </x:c>
      <x:c r="W2190" s="26" t="d">
        <x:v>2026-09-30T00:00:00.000Z</x:v>
      </x:c>
      <x:c r="X2190" s="25" t="str">
        <x:v>Saved public company, industry-directory or regulatory source; source date retained</x:v>
      </x:c>
      <x:c r="Y2190" s="25"/>
      <x:c r="Z2190" s="25" t="str">
        <x:v>https://www.hardmoneyhome.com/lenders/view/jade-dog-capital</x:v>
      </x:c>
      <x:c r="AA2190" s="25" t="str">
        <x:v>[]</x:v>
      </x:c>
      <x:c r="AB2190" s="3" t="str">
        <x:v>Existing CapitalForge research, newly screened for this campaign</x:v>
      </x:c>
      <x:c r="AC2190" s="3" t="str">
        <x:v>unverified</x:v>
      </x:c>
      <x:c r="AD2190" s="3" t="str">
        <x:v>Not contacted / unconfirmed</x:v>
      </x:c>
      <x:c r="AE2190" s="3" t="str">
        <x:v>No</x:v>
      </x:c>
      <x:c r="AF2190" s="3" t="str">
        <x:v>No</x:v>
      </x:c>
      <x:c r="AG2190" s="3"/>
      <x:c r="AH2190" s="3"/>
      <x:c r="AI2190" s="18"/>
      <x:c r="AJ2190" s="3" t="str">
        <x:v>CF2500-4126118FAC22</x:v>
      </x:c>
      <x:c r="AK2190" s="3" t="str">
        <x:v>private_real_estate_lender</x:v>
      </x:c>
      <x:c r="AL2190" s="19" t="n">
        <x:v>100000</x:v>
      </x:c>
      <x:c r="AM2190" s="19" t="n">
        <x:v>500000</x:v>
      </x:c>
      <x:c r="AN2190" s="3" t="str">
        <x:v>https://www.hardmoneyhome.com/lenders/view/jade-dog-capital</x:v>
      </x:c>
      <x:c r="AO2190" s="3" t="str">
        <x:v>public_directory.jsonl</x:v>
      </x:c>
      <x:c r="AP2190" s="19"/>
    </x:row>
    <x:row r="2191" ht="36" customHeight="1">
      <x:c r="A2191" s="23" t="n">
        <x:v>2190</x:v>
      </x:c>
      <x:c r="B2191" s="15" t="str">
        <x:v>Kansas City Rehab Funding</x:v>
      </x:c>
      <x:c r="C2191" s="15"/>
      <x:c r="D2191" s="15" t="str">
        <x:v>Property lender or directory member; operating-company capital unconfirmed</x:v>
      </x:c>
      <x:c r="E2191" s="15" t="str">
        <x:v>Property lender / private-money inquiry</x:v>
      </x:c>
      <x:c r="F2191" s="17" t="str">
        <x:v>New</x:v>
      </x:c>
      <x:c r="G2191" s="24"/>
      <x:c r="H2191" s="24" t="str">
        <x:v>+19132146677</x:v>
      </x:c>
      <x:c r="I2191" s="24" t="str">
        <x:v>http://kcrehabfunding.com/</x:v>
      </x:c>
      <x:c r="J2191" s="16" t="str">
        <x:v>KS</x:v>
      </x:c>
      <x:c r="K2191" s="16" t="str">
        <x:v>Overland Park</x:v>
      </x:c>
      <x:c r="L2191" s="16" t="str">
        <x:v>firm_business_routing</x:v>
      </x:c>
      <x:c r="M2191" s="16" t="str">
        <x:v>http://kcrehabfunding.com/</x:v>
      </x:c>
      <x:c r="N2191" s="16" t="str">
        <x:v>$100K-$500K ticket not published / unconfirmed</x:v>
      </x:c>
      <x:c r="O2191" s="20"/>
      <x:c r="P2191" s="20"/>
      <x:c r="Q2191" s="25" t="str">
        <x:v>Property-loan range, not a corporate-capital commitment</x:v>
      </x:c>
      <x:c r="R2191" s="25" t="str">
        <x:v>Private real-estate finance experience. Corporate working capital, minority equity or profit participation requires a separate agreement from a property loan.</x:v>
      </x:c>
      <x:c r="S2191" s="25"/>
      <x:c r="T2191" s="25" t="str">
        <x:v>Confirm direct principal versus broker, $100K-$500K appetite, and whether capital can fund the operating company without a property mortgage.</x:v>
      </x:c>
      <x:c r="U2191" s="25" t="str">
        <x:v>https://www.hardmoneyhome.com/lenders/view/kansas-city-rehab-funding</x:v>
      </x:c>
      <x:c r="V2191" s="26" t="d">
        <x:v>2026-10-02T00:00:00.000Z</x:v>
      </x:c>
      <x:c r="W2191" s="26" t="d">
        <x:v>2026-09-30T00:00:00.000Z</x:v>
      </x:c>
      <x:c r="X2191" s="25" t="str">
        <x:v>Saved public company, industry-directory or regulatory source; source date retained</x:v>
      </x:c>
      <x:c r="Y2191" s="25"/>
      <x:c r="Z2191" s="25" t="str">
        <x:v>https://www.hardmoneyhome.com/lenders/view/kansas-city-rehab-funding</x:v>
      </x:c>
      <x:c r="AA2191" s="25" t="str">
        <x:v>[]</x:v>
      </x:c>
      <x:c r="AB2191" s="3" t="str">
        <x:v>Existing CapitalForge research, newly screened for this campaign</x:v>
      </x:c>
      <x:c r="AC2191" s="3" t="str">
        <x:v>unverified</x:v>
      </x:c>
      <x:c r="AD2191" s="3" t="str">
        <x:v>Not contacted / unconfirmed</x:v>
      </x:c>
      <x:c r="AE2191" s="3" t="str">
        <x:v>No</x:v>
      </x:c>
      <x:c r="AF2191" s="3" t="str">
        <x:v>No</x:v>
      </x:c>
      <x:c r="AG2191" s="3"/>
      <x:c r="AH2191" s="3"/>
      <x:c r="AI2191" s="18"/>
      <x:c r="AJ2191" s="3" t="str">
        <x:v>CF2500-2D0ABD25A3E3</x:v>
      </x:c>
      <x:c r="AK2191" s="3" t="str">
        <x:v>private_real_estate_lender</x:v>
      </x:c>
      <x:c r="AL2191" s="19" t="n">
        <x:v>100000</x:v>
      </x:c>
      <x:c r="AM2191" s="19" t="n">
        <x:v>500000</x:v>
      </x:c>
      <x:c r="AN2191" s="3" t="str">
        <x:v>https://www.hardmoneyhome.com/lenders/view/kansas-city-rehab-funding</x:v>
      </x:c>
      <x:c r="AO2191" s="3" t="str">
        <x:v>public_directory.jsonl</x:v>
      </x:c>
      <x:c r="AP2191" s="19"/>
    </x:row>
    <x:row r="2192" ht="36" customHeight="1">
      <x:c r="A2192" s="23" t="n">
        <x:v>2191</x:v>
      </x:c>
      <x:c r="B2192" s="15" t="str">
        <x:v>LoanSum</x:v>
      </x:c>
      <x:c r="C2192" s="15"/>
      <x:c r="D2192" s="15" t="str">
        <x:v>Property lender or directory member; operating-company capital unconfirmed</x:v>
      </x:c>
      <x:c r="E2192" s="15" t="str">
        <x:v>Property lender / private-money inquiry</x:v>
      </x:c>
      <x:c r="F2192" s="17" t="str">
        <x:v>New</x:v>
      </x:c>
      <x:c r="G2192" s="24"/>
      <x:c r="H2192" s="24" t="str">
        <x:v>+13145695003</x:v>
      </x:c>
      <x:c r="I2192" s="24" t="str">
        <x:v>http://loansumstl.com/</x:v>
      </x:c>
      <x:c r="J2192" s="16" t="str">
        <x:v>MO</x:v>
      </x:c>
      <x:c r="K2192" s="16" t="str">
        <x:v>Maryland Heights</x:v>
      </x:c>
      <x:c r="L2192" s="16" t="str">
        <x:v>firm_business_routing</x:v>
      </x:c>
      <x:c r="M2192" s="16" t="str">
        <x:v>http://loansumstl.com/</x:v>
      </x:c>
      <x:c r="N2192" s="16" t="str">
        <x:v>$100K-$500K ticket not published / unconfirmed</x:v>
      </x:c>
      <x:c r="O2192" s="20"/>
      <x:c r="P2192" s="20"/>
      <x:c r="Q2192" s="25" t="str">
        <x:v>Property-loan range, not a corporate-capital commitment</x:v>
      </x:c>
      <x:c r="R2192" s="25" t="str">
        <x:v>Private real-estate finance experience. Corporate working capital, minority equity or profit participation requires a separate agreement from a property loan.</x:v>
      </x:c>
      <x:c r="S2192" s="25"/>
      <x:c r="T2192" s="25" t="str">
        <x:v>Confirm direct principal versus broker, $100K-$500K appetite, and whether capital can fund the operating company without a property mortgage.</x:v>
      </x:c>
      <x:c r="U2192" s="25" t="str">
        <x:v>https://www.hardmoneyhome.com/lenders/view/loansum</x:v>
      </x:c>
      <x:c r="V2192" s="26" t="d">
        <x:v>2026-10-02T00:00:00.000Z</x:v>
      </x:c>
      <x:c r="W2192" s="26" t="d">
        <x:v>2026-09-30T00:00:00.000Z</x:v>
      </x:c>
      <x:c r="X2192" s="25" t="str">
        <x:v>Saved public company, industry-directory or regulatory source; source date retained</x:v>
      </x:c>
      <x:c r="Y2192" s="25"/>
      <x:c r="Z2192" s="25" t="str">
        <x:v>https://www.hardmoneyhome.com/lenders/view/loansum</x:v>
      </x:c>
      <x:c r="AA2192" s="25" t="str">
        <x:v>[]</x:v>
      </x:c>
      <x:c r="AB2192" s="3" t="str">
        <x:v>Existing CapitalForge research, newly screened for this campaign</x:v>
      </x:c>
      <x:c r="AC2192" s="3" t="str">
        <x:v>unverified</x:v>
      </x:c>
      <x:c r="AD2192" s="3" t="str">
        <x:v>Not contacted / unconfirmed</x:v>
      </x:c>
      <x:c r="AE2192" s="3" t="str">
        <x:v>No</x:v>
      </x:c>
      <x:c r="AF2192" s="3" t="str">
        <x:v>No</x:v>
      </x:c>
      <x:c r="AG2192" s="3"/>
      <x:c r="AH2192" s="3"/>
      <x:c r="AI2192" s="18"/>
      <x:c r="AJ2192" s="3" t="str">
        <x:v>CF2500-DC203D8A5994</x:v>
      </x:c>
      <x:c r="AK2192" s="3" t="str">
        <x:v>private_real_estate_lender</x:v>
      </x:c>
      <x:c r="AL2192" s="19" t="n">
        <x:v>100000</x:v>
      </x:c>
      <x:c r="AM2192" s="19" t="n">
        <x:v>500000</x:v>
      </x:c>
      <x:c r="AN2192" s="3" t="str">
        <x:v>https://www.hardmoneyhome.com/lenders/view/loansum</x:v>
      </x:c>
      <x:c r="AO2192" s="3" t="str">
        <x:v>public_directory.jsonl</x:v>
      </x:c>
      <x:c r="AP2192" s="19"/>
    </x:row>
    <x:row r="2193" ht="36" customHeight="1">
      <x:c r="A2193" s="23" t="n">
        <x:v>2192</x:v>
      </x:c>
      <x:c r="B2193" s="15" t="str">
        <x:v>Money Line</x:v>
      </x:c>
      <x:c r="C2193" s="15"/>
      <x:c r="D2193" s="15" t="str">
        <x:v>Property lender or directory member; operating-company capital unconfirmed</x:v>
      </x:c>
      <x:c r="E2193" s="15" t="str">
        <x:v>Property lender / private-money inquiry</x:v>
      </x:c>
      <x:c r="F2193" s="17" t="str">
        <x:v>New</x:v>
      </x:c>
      <x:c r="G2193" s="24"/>
      <x:c r="H2193" s="24" t="str">
        <x:v>+18439580340</x:v>
      </x:c>
      <x:c r="I2193" s="24" t="str">
        <x:v>https://money-line.com/?utm_source=private-lender-link</x:v>
      </x:c>
      <x:c r="J2193" s="16" t="str">
        <x:v>SC</x:v>
      </x:c>
      <x:c r="K2193" s="16" t="str">
        <x:v>Charleston</x:v>
      </x:c>
      <x:c r="L2193" s="16" t="str">
        <x:v>firm_business_routing</x:v>
      </x:c>
      <x:c r="M2193" s="16" t="str">
        <x:v>https://money-line.com/?utm_source=private-lender-link</x:v>
      </x:c>
      <x:c r="N2193" s="16" t="str">
        <x:v>$100K-$500K ticket not published / unconfirmed</x:v>
      </x:c>
      <x:c r="O2193" s="20"/>
      <x:c r="P2193" s="20"/>
      <x:c r="Q2193" s="25" t="str">
        <x:v>Property-loan range, not a corporate-capital commitment</x:v>
      </x:c>
      <x:c r="R2193" s="25" t="str">
        <x:v>Private real-estate finance experience. Corporate working capital, minority equity or profit participation requires a separate agreement from a property loan.</x:v>
      </x:c>
      <x:c r="S2193" s="25"/>
      <x:c r="T2193" s="25" t="str">
        <x:v>Confirm direct principal versus broker, $100K-$500K appetite, and whether capital can fund the operating company without a property mortgage.</x:v>
      </x:c>
      <x:c r="U2193" s="25" t="str">
        <x:v>https://privatelenderlink.com/profile/money-line/</x:v>
      </x:c>
      <x:c r="V2193" s="26" t="d">
        <x:v>2026-10-02T00:00:00.000Z</x:v>
      </x:c>
      <x:c r="W2193" s="26" t="d">
        <x:v>2026-09-30T00:00:00.000Z</x:v>
      </x:c>
      <x:c r="X2193" s="25" t="str">
        <x:v>Saved public company, industry-directory or regulatory source; source date retained</x:v>
      </x:c>
      <x:c r="Y2193" s="25"/>
      <x:c r="Z2193" s="25" t="str">
        <x:v>https://privatelenderlink.com/profile/money-line/</x:v>
      </x:c>
      <x:c r="AA2193" s="25" t="str">
        <x:v>[]</x:v>
      </x:c>
      <x:c r="AB2193" s="3" t="str">
        <x:v>Existing CapitalForge research, newly screened for this campaign</x:v>
      </x:c>
      <x:c r="AC2193" s="3" t="str">
        <x:v>unverified</x:v>
      </x:c>
      <x:c r="AD2193" s="3" t="str">
        <x:v>Not contacted / unconfirmed</x:v>
      </x:c>
      <x:c r="AE2193" s="3" t="str">
        <x:v>No</x:v>
      </x:c>
      <x:c r="AF2193" s="3" t="str">
        <x:v>No</x:v>
      </x:c>
      <x:c r="AG2193" s="3"/>
      <x:c r="AH2193" s="3"/>
      <x:c r="AI2193" s="18"/>
      <x:c r="AJ2193" s="3" t="str">
        <x:v>CF2500-29925F195D78</x:v>
      </x:c>
      <x:c r="AK2193" s="3" t="str">
        <x:v>private_real_estate_lender</x:v>
      </x:c>
      <x:c r="AL2193" s="19" t="n">
        <x:v>100000</x:v>
      </x:c>
      <x:c r="AM2193" s="19" t="n">
        <x:v>500000</x:v>
      </x:c>
      <x:c r="AN2193" s="3" t="str">
        <x:v>https://privatelenderlink.com/profile/money-line/</x:v>
      </x:c>
      <x:c r="AO2193" s="3" t="str">
        <x:v>public_directory.jsonl</x:v>
      </x:c>
      <x:c r="AP2193" s="19"/>
    </x:row>
    <x:row r="2194" ht="36" customHeight="1">
      <x:c r="A2194" s="23" t="n">
        <x:v>2193</x:v>
      </x:c>
      <x:c r="B2194" s="15" t="str">
        <x:v>One West</x:v>
      </x:c>
      <x:c r="C2194" s="15"/>
      <x:c r="D2194" s="15" t="str">
        <x:v>Property lender or directory member; operating-company capital unconfirmed</x:v>
      </x:c>
      <x:c r="E2194" s="15" t="str">
        <x:v>Property lender / private-money inquiry</x:v>
      </x:c>
      <x:c r="F2194" s="17" t="str">
        <x:v>New</x:v>
      </x:c>
      <x:c r="G2194" s="24"/>
      <x:c r="H2194" s="24" t="str">
        <x:v>+13149321445</x:v>
      </x:c>
      <x:c r="I2194" s="24" t="str">
        <x:v>http://www.onewest.com</x:v>
      </x:c>
      <x:c r="J2194" s="16" t="str">
        <x:v>MO</x:v>
      </x:c>
      <x:c r="K2194" s="16" t="str">
        <x:v>Saint Louis</x:v>
      </x:c>
      <x:c r="L2194" s="16" t="str">
        <x:v>firm_business_routing</x:v>
      </x:c>
      <x:c r="M2194" s="16" t="str">
        <x:v>http://www.onewest.com</x:v>
      </x:c>
      <x:c r="N2194" s="16" t="str">
        <x:v>$100K-$500K ticket not published / unconfirmed</x:v>
      </x:c>
      <x:c r="O2194" s="20"/>
      <x:c r="P2194" s="20"/>
      <x:c r="Q2194" s="25" t="str">
        <x:v>Property-loan range, not a corporate-capital commitment</x:v>
      </x:c>
      <x:c r="R2194" s="25" t="str">
        <x:v>Private real-estate finance experience. Corporate working capital, minority equity or profit participation requires a separate agreement from a property loan.</x:v>
      </x:c>
      <x:c r="S2194" s="25"/>
      <x:c r="T2194" s="25" t="str">
        <x:v>Confirm direct principal versus broker, $100K-$500K appetite, and whether capital can fund the operating company without a property mortgage.</x:v>
      </x:c>
      <x:c r="U2194" s="25" t="str">
        <x:v>https://www.hardmoneyhome.com/lenders/view/one-west</x:v>
      </x:c>
      <x:c r="V2194" s="26" t="d">
        <x:v>2026-10-02T00:00:00.000Z</x:v>
      </x:c>
      <x:c r="W2194" s="26" t="d">
        <x:v>2026-09-30T00:00:00.000Z</x:v>
      </x:c>
      <x:c r="X2194" s="25" t="str">
        <x:v>Saved public company, industry-directory or regulatory source; source date retained</x:v>
      </x:c>
      <x:c r="Y2194" s="25"/>
      <x:c r="Z2194" s="25" t="str">
        <x:v>https://www.hardmoneyhome.com/lenders/view/one-west</x:v>
      </x:c>
      <x:c r="AA2194" s="25" t="str">
        <x:v>[]</x:v>
      </x:c>
      <x:c r="AB2194" s="3" t="str">
        <x:v>Existing CapitalForge research, newly screened for this campaign</x:v>
      </x:c>
      <x:c r="AC2194" s="3" t="str">
        <x:v>unverified</x:v>
      </x:c>
      <x:c r="AD2194" s="3" t="str">
        <x:v>Not contacted / unconfirmed</x:v>
      </x:c>
      <x:c r="AE2194" s="3" t="str">
        <x:v>No</x:v>
      </x:c>
      <x:c r="AF2194" s="3" t="str">
        <x:v>No</x:v>
      </x:c>
      <x:c r="AG2194" s="3"/>
      <x:c r="AH2194" s="3"/>
      <x:c r="AI2194" s="18"/>
      <x:c r="AJ2194" s="3" t="str">
        <x:v>CF2500-3B246D43305A</x:v>
      </x:c>
      <x:c r="AK2194" s="3" t="str">
        <x:v>private_real_estate_lender</x:v>
      </x:c>
      <x:c r="AL2194" s="19" t="n">
        <x:v>100000</x:v>
      </x:c>
      <x:c r="AM2194" s="19" t="n">
        <x:v>500000</x:v>
      </x:c>
      <x:c r="AN2194" s="3" t="str">
        <x:v>https://www.hardmoneyhome.com/lenders/view/one-west</x:v>
      </x:c>
      <x:c r="AO2194" s="3" t="str">
        <x:v>public_directory.jsonl</x:v>
      </x:c>
      <x:c r="AP2194" s="19"/>
    </x:row>
    <x:row r="2195" ht="36" customHeight="1">
      <x:c r="A2195" s="23" t="n">
        <x:v>2194</x:v>
      </x:c>
      <x:c r="B2195" s="15" t="str">
        <x:v>Overland Group Inc</x:v>
      </x:c>
      <x:c r="C2195" s="15"/>
      <x:c r="D2195" s="15" t="str">
        <x:v>Property lender or directory member; operating-company capital unconfirmed</x:v>
      </x:c>
      <x:c r="E2195" s="15" t="str">
        <x:v>Property lender / private-money inquiry</x:v>
      </x:c>
      <x:c r="F2195" s="17" t="str">
        <x:v>New</x:v>
      </x:c>
      <x:c r="G2195" s="24"/>
      <x:c r="H2195" s="24" t="str">
        <x:v>+18013551111</x:v>
      </x:c>
      <x:c r="I2195" s="24" t="str">
        <x:v>http://www.overlandgroupinc.com</x:v>
      </x:c>
      <x:c r="J2195" s="16" t="str">
        <x:v>UT</x:v>
      </x:c>
      <x:c r="K2195" s="16" t="str">
        <x:v>Draper</x:v>
      </x:c>
      <x:c r="L2195" s="16" t="str">
        <x:v>firm_business_routing</x:v>
      </x:c>
      <x:c r="M2195" s="16" t="str">
        <x:v>http://www.overlandgroupinc.com</x:v>
      </x:c>
      <x:c r="N2195" s="16" t="str">
        <x:v>$100K-$500K ticket not published / unconfirmed</x:v>
      </x:c>
      <x:c r="O2195" s="20"/>
      <x:c r="P2195" s="20"/>
      <x:c r="Q2195" s="25" t="str">
        <x:v>Property-loan range, not a corporate-capital commitment</x:v>
      </x:c>
      <x:c r="R2195" s="25" t="str">
        <x:v>Private real-estate finance experience. Corporate working capital, minority equity or profit participation requires a separate agreement from a property loan.</x:v>
      </x:c>
      <x:c r="S2195" s="25"/>
      <x:c r="T2195" s="25" t="str">
        <x:v>Confirm direct principal versus broker, $100K-$500K appetite, and whether capital can fund the operating company without a property mortgage.</x:v>
      </x:c>
      <x:c r="U2195" s="25" t="str">
        <x:v>https://www.hardmoneyhome.com/lenders/view/overland-group-inc</x:v>
      </x:c>
      <x:c r="V2195" s="26" t="d">
        <x:v>2026-10-02T00:00:00.000Z</x:v>
      </x:c>
      <x:c r="W2195" s="26" t="d">
        <x:v>2026-09-30T00:00:00.000Z</x:v>
      </x:c>
      <x:c r="X2195" s="25" t="str">
        <x:v>Saved public company, industry-directory or regulatory source; source date retained</x:v>
      </x:c>
      <x:c r="Y2195" s="25"/>
      <x:c r="Z2195" s="25" t="str">
        <x:v>https://www.hardmoneyhome.com/lenders/view/overland-group-inc</x:v>
      </x:c>
      <x:c r="AA2195" s="25" t="str">
        <x:v>[]</x:v>
      </x:c>
      <x:c r="AB2195" s="3" t="str">
        <x:v>Existing CapitalForge research, newly screened for this campaign</x:v>
      </x:c>
      <x:c r="AC2195" s="3" t="str">
        <x:v>unverified</x:v>
      </x:c>
      <x:c r="AD2195" s="3" t="str">
        <x:v>Not contacted / unconfirmed</x:v>
      </x:c>
      <x:c r="AE2195" s="3" t="str">
        <x:v>No</x:v>
      </x:c>
      <x:c r="AF2195" s="3" t="str">
        <x:v>No</x:v>
      </x:c>
      <x:c r="AG2195" s="3"/>
      <x:c r="AH2195" s="3"/>
      <x:c r="AI2195" s="18"/>
      <x:c r="AJ2195" s="3" t="str">
        <x:v>CF2500-A4C00CA8CB63</x:v>
      </x:c>
      <x:c r="AK2195" s="3" t="str">
        <x:v>private_real_estate_lender</x:v>
      </x:c>
      <x:c r="AL2195" s="19" t="n">
        <x:v>100000</x:v>
      </x:c>
      <x:c r="AM2195" s="19" t="n">
        <x:v>500000</x:v>
      </x:c>
      <x:c r="AN2195" s="3" t="str">
        <x:v>https://www.hardmoneyhome.com/lenders/view/overland-group-inc</x:v>
      </x:c>
      <x:c r="AO2195" s="3" t="str">
        <x:v>public_directory.jsonl</x:v>
      </x:c>
      <x:c r="AP2195" s="19"/>
    </x:row>
    <x:row r="2196" ht="36" customHeight="1">
      <x:c r="A2196" s="23" t="n">
        <x:v>2195</x:v>
      </x:c>
      <x:c r="B2196" s="15" t="str">
        <x:v>Peach Stone Capital</x:v>
      </x:c>
      <x:c r="C2196" s="15"/>
      <x:c r="D2196" s="15" t="str">
        <x:v>Property lender or directory member; operating-company capital unconfirmed</x:v>
      </x:c>
      <x:c r="E2196" s="15" t="str">
        <x:v>Property lender / private-money inquiry</x:v>
      </x:c>
      <x:c r="F2196" s="17" t="str">
        <x:v>New</x:v>
      </x:c>
      <x:c r="G2196" s="24"/>
      <x:c r="H2196" s="24" t="str">
        <x:v>+14044215578</x:v>
      </x:c>
      <x:c r="I2196" s="24" t="str">
        <x:v>http://www.peachstonecapital.com/</x:v>
      </x:c>
      <x:c r="J2196" s="16" t="str">
        <x:v>GA</x:v>
      </x:c>
      <x:c r="K2196" s="16" t="str">
        <x:v>Atlanta</x:v>
      </x:c>
      <x:c r="L2196" s="16" t="str">
        <x:v>firm_business_routing</x:v>
      </x:c>
      <x:c r="M2196" s="16" t="str">
        <x:v>http://www.peachstonecapital.com/</x:v>
      </x:c>
      <x:c r="N2196" s="16" t="str">
        <x:v>$100K-$500K ticket not published / unconfirmed</x:v>
      </x:c>
      <x:c r="O2196" s="20"/>
      <x:c r="P2196" s="20"/>
      <x:c r="Q2196" s="25" t="str">
        <x:v>Property-loan range, not a corporate-capital commitment</x:v>
      </x:c>
      <x:c r="R2196" s="25" t="str">
        <x:v>Private real-estate finance experience. Corporate working capital, minority equity or profit participation requires a separate agreement from a property loan.</x:v>
      </x:c>
      <x:c r="S2196" s="25"/>
      <x:c r="T2196" s="25" t="str">
        <x:v>Confirm direct principal versus broker, $100K-$500K appetite, and whether capital can fund the operating company without a property mortgage.</x:v>
      </x:c>
      <x:c r="U2196" s="25" t="str">
        <x:v>https://www.hardmoneyhome.com/lenders/view/peach-stone-capital</x:v>
      </x:c>
      <x:c r="V2196" s="26" t="d">
        <x:v>2026-10-02T00:00:00.000Z</x:v>
      </x:c>
      <x:c r="W2196" s="26" t="d">
        <x:v>2026-09-30T00:00:00.000Z</x:v>
      </x:c>
      <x:c r="X2196" s="25" t="str">
        <x:v>Saved public company, industry-directory or regulatory source; source date retained</x:v>
      </x:c>
      <x:c r="Y2196" s="25"/>
      <x:c r="Z2196" s="25" t="str">
        <x:v>https://www.hardmoneyhome.com/lenders/view/peach-stone-capital</x:v>
      </x:c>
      <x:c r="AA2196" s="25" t="str">
        <x:v>[]</x:v>
      </x:c>
      <x:c r="AB2196" s="3" t="str">
        <x:v>Existing CapitalForge research, newly screened for this campaign</x:v>
      </x:c>
      <x:c r="AC2196" s="3" t="str">
        <x:v>unverified</x:v>
      </x:c>
      <x:c r="AD2196" s="3" t="str">
        <x:v>Not contacted / unconfirmed</x:v>
      </x:c>
      <x:c r="AE2196" s="3" t="str">
        <x:v>No</x:v>
      </x:c>
      <x:c r="AF2196" s="3" t="str">
        <x:v>No</x:v>
      </x:c>
      <x:c r="AG2196" s="3"/>
      <x:c r="AH2196" s="3"/>
      <x:c r="AI2196" s="18"/>
      <x:c r="AJ2196" s="3" t="str">
        <x:v>CF2500-14DF05C2F56A</x:v>
      </x:c>
      <x:c r="AK2196" s="3" t="str">
        <x:v>private_real_estate_lender</x:v>
      </x:c>
      <x:c r="AL2196" s="19" t="n">
        <x:v>100000</x:v>
      </x:c>
      <x:c r="AM2196" s="19" t="n">
        <x:v>500000</x:v>
      </x:c>
      <x:c r="AN2196" s="3" t="str">
        <x:v>https://www.hardmoneyhome.com/lenders/view/peach-stone-capital</x:v>
      </x:c>
      <x:c r="AO2196" s="3" t="str">
        <x:v>public_directory.jsonl</x:v>
      </x:c>
      <x:c r="AP2196" s="19"/>
    </x:row>
    <x:row r="2197" ht="36" customHeight="1">
      <x:c r="A2197" s="23" t="n">
        <x:v>2196</x:v>
      </x:c>
      <x:c r="B2197" s="15" t="str">
        <x:v>Pennylane Funding, LLC</x:v>
      </x:c>
      <x:c r="C2197" s="15"/>
      <x:c r="D2197" s="15" t="str">
        <x:v>Property lender or directory member; operating-company capital unconfirmed</x:v>
      </x:c>
      <x:c r="E2197" s="15" t="str">
        <x:v>Property lender / private-money inquiry</x:v>
      </x:c>
      <x:c r="F2197" s="17" t="str">
        <x:v>New</x:v>
      </x:c>
      <x:c r="G2197" s="24"/>
      <x:c r="H2197" s="24" t="str">
        <x:v>+16789547499</x:v>
      </x:c>
      <x:c r="I2197" s="24" t="str">
        <x:v>http://www.pennylaneprops.com</x:v>
      </x:c>
      <x:c r="J2197" s="16" t="str">
        <x:v>GA</x:v>
      </x:c>
      <x:c r="K2197" s="16" t="str">
        <x:v>Decatur</x:v>
      </x:c>
      <x:c r="L2197" s="16" t="str">
        <x:v>firm_business_routing</x:v>
      </x:c>
      <x:c r="M2197" s="16" t="str">
        <x:v>http://www.pennylaneprops.com</x:v>
      </x:c>
      <x:c r="N2197" s="16" t="str">
        <x:v>$100K-$500K ticket not published / unconfirmed</x:v>
      </x:c>
      <x:c r="O2197" s="20"/>
      <x:c r="P2197" s="20"/>
      <x:c r="Q2197" s="25" t="str">
        <x:v>Property-loan range, not a corporate-capital commitment</x:v>
      </x:c>
      <x:c r="R2197" s="25" t="str">
        <x:v>Private real-estate finance experience. Corporate working capital, minority equity or profit participation requires a separate agreement from a property loan.</x:v>
      </x:c>
      <x:c r="S2197" s="25"/>
      <x:c r="T2197" s="25" t="str">
        <x:v>Confirm direct principal versus broker, $100K-$500K appetite, and whether capital can fund the operating company without a property mortgage.</x:v>
      </x:c>
      <x:c r="U2197" s="25" t="str">
        <x:v>https://www.hardmoneyhome.com/lenders/view/pennylane-funding-llc</x:v>
      </x:c>
      <x:c r="V2197" s="26" t="d">
        <x:v>2026-10-02T00:00:00.000Z</x:v>
      </x:c>
      <x:c r="W2197" s="26" t="d">
        <x:v>2026-09-30T00:00:00.000Z</x:v>
      </x:c>
      <x:c r="X2197" s="25" t="str">
        <x:v>Saved public company, industry-directory or regulatory source; source date retained</x:v>
      </x:c>
      <x:c r="Y2197" s="25"/>
      <x:c r="Z2197" s="25" t="str">
        <x:v>https://www.hardmoneyhome.com/lenders/view/pennylane-funding-llc</x:v>
      </x:c>
      <x:c r="AA2197" s="25" t="str">
        <x:v>[]</x:v>
      </x:c>
      <x:c r="AB2197" s="3" t="str">
        <x:v>Existing CapitalForge research, newly screened for this campaign</x:v>
      </x:c>
      <x:c r="AC2197" s="3" t="str">
        <x:v>unverified</x:v>
      </x:c>
      <x:c r="AD2197" s="3" t="str">
        <x:v>Not contacted / unconfirmed</x:v>
      </x:c>
      <x:c r="AE2197" s="3" t="str">
        <x:v>No</x:v>
      </x:c>
      <x:c r="AF2197" s="3" t="str">
        <x:v>No</x:v>
      </x:c>
      <x:c r="AG2197" s="3"/>
      <x:c r="AH2197" s="3"/>
      <x:c r="AI2197" s="18"/>
      <x:c r="AJ2197" s="3" t="str">
        <x:v>CF2500-C586847EBCD6</x:v>
      </x:c>
      <x:c r="AK2197" s="3" t="str">
        <x:v>private_real_estate_lender</x:v>
      </x:c>
      <x:c r="AL2197" s="19" t="n">
        <x:v>100000</x:v>
      </x:c>
      <x:c r="AM2197" s="19" t="n">
        <x:v>500000</x:v>
      </x:c>
      <x:c r="AN2197" s="3" t="str">
        <x:v>https://www.hardmoneyhome.com/lenders/view/pennylane-funding-llc</x:v>
      </x:c>
      <x:c r="AO2197" s="3" t="str">
        <x:v>public_directory.jsonl</x:v>
      </x:c>
      <x:c r="AP2197" s="19"/>
    </x:row>
    <x:row r="2198" ht="36" customHeight="1">
      <x:c r="A2198" s="23" t="n">
        <x:v>2197</x:v>
      </x:c>
      <x:c r="B2198" s="15" t="str">
        <x:v>Pine Financial Group</x:v>
      </x:c>
      <x:c r="C2198" s="15"/>
      <x:c r="D2198" s="15" t="str">
        <x:v>Property lender or directory member; operating-company capital unconfirmed</x:v>
      </x:c>
      <x:c r="E2198" s="15" t="str">
        <x:v>Property lender / private-money inquiry</x:v>
      </x:c>
      <x:c r="F2198" s="17" t="str">
        <x:v>New</x:v>
      </x:c>
      <x:c r="G2198" s="24"/>
      <x:c r="H2198" s="24" t="str">
        <x:v>+13038354445</x:v>
      </x:c>
      <x:c r="I2198" s="24" t="str">
        <x:v>http://www.pinefinancialgroup.com/</x:v>
      </x:c>
      <x:c r="J2198" s="16" t="str">
        <x:v>CO</x:v>
      </x:c>
      <x:c r="K2198" s="16" t="str">
        <x:v>Wheat Ridge</x:v>
      </x:c>
      <x:c r="L2198" s="16" t="str">
        <x:v>firm_business_routing</x:v>
      </x:c>
      <x:c r="M2198" s="16" t="str">
        <x:v>http://www.pinefinancialgroup.com/</x:v>
      </x:c>
      <x:c r="N2198" s="16" t="str">
        <x:v>$100K-$500K ticket not published / unconfirmed</x:v>
      </x:c>
      <x:c r="O2198" s="20"/>
      <x:c r="P2198" s="20"/>
      <x:c r="Q2198" s="25" t="str">
        <x:v>Property-loan range, not a corporate-capital commitment</x:v>
      </x:c>
      <x:c r="R2198" s="25" t="str">
        <x:v>Private real-estate finance experience. Corporate working capital, minority equity or profit participation requires a separate agreement from a property loan.</x:v>
      </x:c>
      <x:c r="S2198" s="25"/>
      <x:c r="T2198" s="25" t="str">
        <x:v>Confirm direct principal versus broker, $100K-$500K appetite, and whether capital can fund the operating company without a property mortgage.</x:v>
      </x:c>
      <x:c r="U2198" s="25" t="str">
        <x:v>https://www.hardmoneyhome.com/lenders/view/pine-financial-group</x:v>
      </x:c>
      <x:c r="V2198" s="26" t="d">
        <x:v>2026-10-02T00:00:00.000Z</x:v>
      </x:c>
      <x:c r="W2198" s="26" t="d">
        <x:v>2026-09-30T00:00:00.000Z</x:v>
      </x:c>
      <x:c r="X2198" s="25" t="str">
        <x:v>Saved public company, industry-directory or regulatory source; source date retained</x:v>
      </x:c>
      <x:c r="Y2198" s="25"/>
      <x:c r="Z2198" s="25" t="str">
        <x:v>https://www.hardmoneyhome.com/lenders/view/pine-financial-group</x:v>
      </x:c>
      <x:c r="AA2198" s="25" t="str">
        <x:v>[]</x:v>
      </x:c>
      <x:c r="AB2198" s="3" t="str">
        <x:v>Existing CapitalForge research, newly screened for this campaign</x:v>
      </x:c>
      <x:c r="AC2198" s="3" t="str">
        <x:v>unverified</x:v>
      </x:c>
      <x:c r="AD2198" s="3" t="str">
        <x:v>Not contacted / unconfirmed</x:v>
      </x:c>
      <x:c r="AE2198" s="3" t="str">
        <x:v>No</x:v>
      </x:c>
      <x:c r="AF2198" s="3" t="str">
        <x:v>No</x:v>
      </x:c>
      <x:c r="AG2198" s="3"/>
      <x:c r="AH2198" s="3"/>
      <x:c r="AI2198" s="18"/>
      <x:c r="AJ2198" s="3" t="str">
        <x:v>CF2500-3B0210816F8F</x:v>
      </x:c>
      <x:c r="AK2198" s="3" t="str">
        <x:v>private_real_estate_lender</x:v>
      </x:c>
      <x:c r="AL2198" s="19" t="n">
        <x:v>100000</x:v>
      </x:c>
      <x:c r="AM2198" s="19" t="n">
        <x:v>500000</x:v>
      </x:c>
      <x:c r="AN2198" s="3" t="str">
        <x:v>https://www.hardmoneyhome.com/lenders/view/pine-financial-group</x:v>
      </x:c>
      <x:c r="AO2198" s="3" t="str">
        <x:v>public_directory.jsonl</x:v>
      </x:c>
      <x:c r="AP2198" s="19"/>
    </x:row>
    <x:row r="2199" ht="36" customHeight="1">
      <x:c r="A2199" s="23" t="n">
        <x:v>2198</x:v>
      </x:c>
      <x:c r="B2199" s="15" t="str">
        <x:v>Plymouth Funding</x:v>
      </x:c>
      <x:c r="C2199" s="15"/>
      <x:c r="D2199" s="15" t="str">
        <x:v>Property lender or directory member; operating-company capital unconfirmed</x:v>
      </x:c>
      <x:c r="E2199" s="15" t="str">
        <x:v>Property lender / private-money inquiry</x:v>
      </x:c>
      <x:c r="F2199" s="17" t="str">
        <x:v>New</x:v>
      </x:c>
      <x:c r="G2199" s="24"/>
      <x:c r="H2199" s="24" t="str">
        <x:v>+14045548700</x:v>
      </x:c>
      <x:c r="I2199" s="24" t="str">
        <x:v>http://www.plymouthfundingllc.com</x:v>
      </x:c>
      <x:c r="J2199" s="16" t="str">
        <x:v>GA</x:v>
      </x:c>
      <x:c r="K2199" s="16" t="str">
        <x:v>Atlanta</x:v>
      </x:c>
      <x:c r="L2199" s="16" t="str">
        <x:v>firm_business_routing</x:v>
      </x:c>
      <x:c r="M2199" s="16" t="str">
        <x:v>http://www.plymouthfundingllc.com</x:v>
      </x:c>
      <x:c r="N2199" s="16" t="str">
        <x:v>$100K-$500K ticket not published / unconfirmed</x:v>
      </x:c>
      <x:c r="O2199" s="20"/>
      <x:c r="P2199" s="20"/>
      <x:c r="Q2199" s="25" t="str">
        <x:v>Property-loan range, not a corporate-capital commitment</x:v>
      </x:c>
      <x:c r="R2199" s="25" t="str">
        <x:v>Private real-estate finance experience. Corporate working capital, minority equity or profit participation requires a separate agreement from a property loan.</x:v>
      </x:c>
      <x:c r="S2199" s="25"/>
      <x:c r="T2199" s="25" t="str">
        <x:v>Confirm direct principal versus broker, $100K-$500K appetite, and whether capital can fund the operating company without a property mortgage.</x:v>
      </x:c>
      <x:c r="U2199" s="25" t="str">
        <x:v>https://www.hardmoneyhome.com/lenders/view/plymouth-funding</x:v>
      </x:c>
      <x:c r="V2199" s="26" t="d">
        <x:v>2026-10-02T00:00:00.000Z</x:v>
      </x:c>
      <x:c r="W2199" s="26" t="d">
        <x:v>2026-09-30T00:00:00.000Z</x:v>
      </x:c>
      <x:c r="X2199" s="25" t="str">
        <x:v>Saved public company, industry-directory or regulatory source; source date retained</x:v>
      </x:c>
      <x:c r="Y2199" s="25"/>
      <x:c r="Z2199" s="25" t="str">
        <x:v>https://www.hardmoneyhome.com/lenders/view/plymouth-funding</x:v>
      </x:c>
      <x:c r="AA2199" s="25" t="str">
        <x:v>[]</x:v>
      </x:c>
      <x:c r="AB2199" s="3" t="str">
        <x:v>Existing CapitalForge research, newly screened for this campaign</x:v>
      </x:c>
      <x:c r="AC2199" s="3" t="str">
        <x:v>unverified</x:v>
      </x:c>
      <x:c r="AD2199" s="3" t="str">
        <x:v>Not contacted / unconfirmed</x:v>
      </x:c>
      <x:c r="AE2199" s="3" t="str">
        <x:v>No</x:v>
      </x:c>
      <x:c r="AF2199" s="3" t="str">
        <x:v>No</x:v>
      </x:c>
      <x:c r="AG2199" s="3"/>
      <x:c r="AH2199" s="3"/>
      <x:c r="AI2199" s="18"/>
      <x:c r="AJ2199" s="3" t="str">
        <x:v>CF2500-81BD78494494</x:v>
      </x:c>
      <x:c r="AK2199" s="3" t="str">
        <x:v>private_real_estate_lender</x:v>
      </x:c>
      <x:c r="AL2199" s="19" t="n">
        <x:v>100000</x:v>
      </x:c>
      <x:c r="AM2199" s="19" t="n">
        <x:v>500000</x:v>
      </x:c>
      <x:c r="AN2199" s="3" t="str">
        <x:v>https://www.hardmoneyhome.com/lenders/view/plymouth-funding</x:v>
      </x:c>
      <x:c r="AO2199" s="3" t="str">
        <x:v>public_directory.jsonl</x:v>
      </x:c>
      <x:c r="AP2199" s="19"/>
    </x:row>
    <x:row r="2200" ht="36" customHeight="1">
      <x:c r="A2200" s="23" t="n">
        <x:v>2199</x:v>
      </x:c>
      <x:c r="B2200" s="15" t="str">
        <x:v>Red Dirt Lending</x:v>
      </x:c>
      <x:c r="C2200" s="15"/>
      <x:c r="D2200" s="15" t="str">
        <x:v>Property lender or directory member; operating-company capital unconfirmed</x:v>
      </x:c>
      <x:c r="E2200" s="15" t="str">
        <x:v>Property lender / private-money inquiry</x:v>
      </x:c>
      <x:c r="F2200" s="17" t="str">
        <x:v>New</x:v>
      </x:c>
      <x:c r="G2200" s="24"/>
      <x:c r="H2200" s="24" t="str">
        <x:v>+14055125626</x:v>
      </x:c>
      <x:c r="I2200" s="24" t="str">
        <x:v>https://reddirtlending.com/</x:v>
      </x:c>
      <x:c r="J2200" s="16" t="str">
        <x:v>OK</x:v>
      </x:c>
      <x:c r="K2200" s="16" t="str">
        <x:v>Oklahoma City</x:v>
      </x:c>
      <x:c r="L2200" s="16" t="str">
        <x:v>firm_business_routing</x:v>
      </x:c>
      <x:c r="M2200" s="16" t="str">
        <x:v>https://reddirtlending.com/</x:v>
      </x:c>
      <x:c r="N2200" s="16" t="str">
        <x:v>$100K-$500K ticket not published / unconfirmed</x:v>
      </x:c>
      <x:c r="O2200" s="20"/>
      <x:c r="P2200" s="20"/>
      <x:c r="Q2200" s="25" t="str">
        <x:v>Property-loan range, not a corporate-capital commitment</x:v>
      </x:c>
      <x:c r="R2200" s="25" t="str">
        <x:v>Private real-estate finance experience. Corporate working capital, minority equity or profit participation requires a separate agreement from a property loan.</x:v>
      </x:c>
      <x:c r="S2200" s="25"/>
      <x:c r="T2200" s="25" t="str">
        <x:v>Confirm direct principal versus broker, $100K-$500K appetite, and whether capital can fund the operating company without a property mortgage.</x:v>
      </x:c>
      <x:c r="U2200" s="25" t="str">
        <x:v>https://www.hardmoneyhome.com/lenders/view/red-dirt-lending</x:v>
      </x:c>
      <x:c r="V2200" s="26" t="d">
        <x:v>2026-10-02T00:00:00.000Z</x:v>
      </x:c>
      <x:c r="W2200" s="26" t="d">
        <x:v>2026-09-30T00:00:00.000Z</x:v>
      </x:c>
      <x:c r="X2200" s="25" t="str">
        <x:v>Saved public company, industry-directory or regulatory source; source date retained</x:v>
      </x:c>
      <x:c r="Y2200" s="25"/>
      <x:c r="Z2200" s="25" t="str">
        <x:v>https://www.hardmoneyhome.com/lenders/view/red-dirt-lending</x:v>
      </x:c>
      <x:c r="AA2200" s="25" t="str">
        <x:v>[]</x:v>
      </x:c>
      <x:c r="AB2200" s="3" t="str">
        <x:v>Existing CapitalForge research, newly screened for this campaign</x:v>
      </x:c>
      <x:c r="AC2200" s="3" t="str">
        <x:v>unverified</x:v>
      </x:c>
      <x:c r="AD2200" s="3" t="str">
        <x:v>Not contacted / unconfirmed</x:v>
      </x:c>
      <x:c r="AE2200" s="3" t="str">
        <x:v>No</x:v>
      </x:c>
      <x:c r="AF2200" s="3" t="str">
        <x:v>No</x:v>
      </x:c>
      <x:c r="AG2200" s="3"/>
      <x:c r="AH2200" s="3"/>
      <x:c r="AI2200" s="18"/>
      <x:c r="AJ2200" s="3" t="str">
        <x:v>CF2500-DA2406B61D54</x:v>
      </x:c>
      <x:c r="AK2200" s="3" t="str">
        <x:v>private_real_estate_lender</x:v>
      </x:c>
      <x:c r="AL2200" s="19" t="n">
        <x:v>100000</x:v>
      </x:c>
      <x:c r="AM2200" s="19" t="n">
        <x:v>500000</x:v>
      </x:c>
      <x:c r="AN2200" s="3" t="str">
        <x:v>https://www.hardmoneyhome.com/lenders/view/red-dirt-lending</x:v>
      </x:c>
      <x:c r="AO2200" s="3" t="str">
        <x:v>public_directory.jsonl</x:v>
      </x:c>
      <x:c r="AP2200" s="19"/>
    </x:row>
    <x:row r="2201" ht="36" customHeight="1">
      <x:c r="A2201" s="23" t="n">
        <x:v>2200</x:v>
      </x:c>
      <x:c r="B2201" s="15" t="str">
        <x:v>Sage Capital</x:v>
      </x:c>
      <x:c r="C2201" s="15" t="str">
        <x:v>J. SPENCER FINNEY JR.</x:v>
      </x:c>
      <x:c r="D2201" s="15" t="str">
        <x:v>Property lender or directory member; operating-company capital unconfirmed</x:v>
      </x:c>
      <x:c r="E2201" s="15" t="str">
        <x:v>Property lender / private-money inquiry</x:v>
      </x:c>
      <x:c r="F2201" s="17" t="str">
        <x:v>New</x:v>
      </x:c>
      <x:c r="G2201" s="24"/>
      <x:c r="H2201" s="24" t="str">
        <x:v>+13034588800</x:v>
      </x:c>
      <x:c r="I2201" s="24" t="str">
        <x:v>http://www.sageloans.com</x:v>
      </x:c>
      <x:c r="J2201" s="16" t="str">
        <x:v>CO</x:v>
      </x:c>
      <x:c r="K2201" s="16" t="str">
        <x:v>Denver</x:v>
      </x:c>
      <x:c r="L2201" s="16" t="str">
        <x:v>published_professional_contact_directness_unconfirmed</x:v>
      </x:c>
      <x:c r="M2201" s="16" t="str">
        <x:v>http://www.sageloans.com</x:v>
      </x:c>
      <x:c r="N2201" s="16" t="str">
        <x:v>$100K-$500K ticket not published / unconfirmed</x:v>
      </x:c>
      <x:c r="O2201" s="20"/>
      <x:c r="P2201" s="20"/>
      <x:c r="Q2201" s="25" t="str">
        <x:v>Property-loan range, not a corporate-capital commitment</x:v>
      </x:c>
      <x:c r="R2201" s="25" t="str">
        <x:v>Private real-estate finance experience. Corporate working capital, minority equity or profit participation requires a separate agreement from a property loan.</x:v>
      </x:c>
      <x:c r="S2201" s="25"/>
      <x:c r="T2201" s="25" t="str">
        <x:v>Confirm direct principal versus broker, $100K-$500K appetite, and whether capital can fund the operating company without a property mortgage.</x:v>
      </x:c>
      <x:c r="U2201" s="25" t="str">
        <x:v>https://www.hardmoneyhome.com/lenders/view/sage-capital
https://adviserinfo.sec.gov/firm/summary/288430
https://reports.adviserinfo.sec.gov/reports/CompilationReports/IA_FIRM_SEC_Feed_09_29_2026.xml.gz
https://reports.adviserinfo.sec.gov/reports/foia/advFilingData/2026/ADV_Filing_Data_20260401_20260430.zip</x:v>
      </x:c>
      <x:c r="V2201" s="26" t="d">
        <x:v>2026-10-02T00:00:00.000Z</x:v>
      </x:c>
      <x:c r="W2201" s="26" t="d">
        <x:v>2026-09-30T00:00:00.000Z</x:v>
      </x:c>
      <x:c r="X2201" s="25" t="str">
        <x:v>Saved public company, industry-directory or regulatory source; source date retained</x:v>
      </x:c>
      <x:c r="Y2201" s="25"/>
      <x:c r="Z2201" s="25" t="str">
        <x:v>https://www.hardmoneyhome.com/lenders/view/sage-capital</x:v>
      </x:c>
      <x:c r="AA2201" s="25" t="str">
        <x:v>[]</x:v>
      </x:c>
      <x:c r="AB2201" s="3" t="str">
        <x:v>Existing CapitalForge research, newly screened for this campaign</x:v>
      </x:c>
      <x:c r="AC2201" s="3" t="str">
        <x:v>unverified</x:v>
      </x:c>
      <x:c r="AD2201" s="3" t="str">
        <x:v>Not contacted / unconfirmed</x:v>
      </x:c>
      <x:c r="AE2201" s="3" t="str">
        <x:v>No</x:v>
      </x:c>
      <x:c r="AF2201" s="3" t="str">
        <x:v>No</x:v>
      </x:c>
      <x:c r="AG2201" s="3"/>
      <x:c r="AH2201" s="3"/>
      <x:c r="AI2201" s="18"/>
      <x:c r="AJ2201" s="3" t="str">
        <x:v>CF2500-F5EA24F142AE</x:v>
      </x:c>
      <x:c r="AK2201" s="3" t="str">
        <x:v>private_real_estate_lender</x:v>
      </x:c>
      <x:c r="AL2201" s="19" t="n">
        <x:v>100000</x:v>
      </x:c>
      <x:c r="AM2201" s="19" t="n">
        <x:v>500000</x:v>
      </x:c>
      <x:c r="AN2201" s="3" t="str">
        <x:v>https://www.hardmoneyhome.com/lenders/view/sage-capital</x:v>
      </x:c>
      <x:c r="AO2201" s="3" t="str">
        <x:v>public_directory.jsonl</x:v>
      </x:c>
      <x:c r="AP2201" s="19"/>
    </x:row>
    <x:row r="2202" ht="36" customHeight="1">
      <x:c r="A2202" s="23" t="n">
        <x:v>2201</x:v>
      </x:c>
      <x:c r="B2202" s="15" t="str">
        <x:v>Say Yes Realty</x:v>
      </x:c>
      <x:c r="C2202" s="15"/>
      <x:c r="D2202" s="15" t="str">
        <x:v>Property lender or directory member; operating-company capital unconfirmed</x:v>
      </x:c>
      <x:c r="E2202" s="15" t="str">
        <x:v>Property lender / private-money inquiry</x:v>
      </x:c>
      <x:c r="F2202" s="17" t="str">
        <x:v>New</x:v>
      </x:c>
      <x:c r="G2202" s="24"/>
      <x:c r="H2202" s="24" t="str">
        <x:v>+16787705046</x:v>
      </x:c>
      <x:c r="I2202" s="24" t="str">
        <x:v>http://sayyesrealtyllc.com</x:v>
      </x:c>
      <x:c r="J2202" s="16" t="str">
        <x:v>GA</x:v>
      </x:c>
      <x:c r="K2202" s="16" t="str">
        <x:v>Cumming</x:v>
      </x:c>
      <x:c r="L2202" s="16" t="str">
        <x:v>firm_business_routing</x:v>
      </x:c>
      <x:c r="M2202" s="16" t="str">
        <x:v>http://sayyesrealtyllc.com</x:v>
      </x:c>
      <x:c r="N2202" s="16" t="str">
        <x:v>$100K-$500K ticket not published / unconfirmed</x:v>
      </x:c>
      <x:c r="O2202" s="20"/>
      <x:c r="P2202" s="20"/>
      <x:c r="Q2202" s="25" t="str">
        <x:v>Property-loan range, not a corporate-capital commitment</x:v>
      </x:c>
      <x:c r="R2202" s="25" t="str">
        <x:v>Private real-estate finance experience. Corporate working capital, minority equity or profit participation requires a separate agreement from a property loan.</x:v>
      </x:c>
      <x:c r="S2202" s="25"/>
      <x:c r="T2202" s="25" t="str">
        <x:v>Confirm direct principal versus broker, $100K-$500K appetite, and whether capital can fund the operating company without a property mortgage.</x:v>
      </x:c>
      <x:c r="U2202" s="25" t="str">
        <x:v>https://www.hardmoneyhome.com/lenders/view/say-yes-realty</x:v>
      </x:c>
      <x:c r="V2202" s="26" t="d">
        <x:v>2026-10-02T00:00:00.000Z</x:v>
      </x:c>
      <x:c r="W2202" s="26" t="d">
        <x:v>2026-09-30T00:00:00.000Z</x:v>
      </x:c>
      <x:c r="X2202" s="25" t="str">
        <x:v>Saved public company, industry-directory or regulatory source; source date retained</x:v>
      </x:c>
      <x:c r="Y2202" s="25"/>
      <x:c r="Z2202" s="25" t="str">
        <x:v>https://www.hardmoneyhome.com/lenders/view/say-yes-realty</x:v>
      </x:c>
      <x:c r="AA2202" s="25" t="str">
        <x:v>[]</x:v>
      </x:c>
      <x:c r="AB2202" s="3" t="str">
        <x:v>Existing CapitalForge research, newly screened for this campaign</x:v>
      </x:c>
      <x:c r="AC2202" s="3" t="str">
        <x:v>unverified</x:v>
      </x:c>
      <x:c r="AD2202" s="3" t="str">
        <x:v>Not contacted / unconfirmed</x:v>
      </x:c>
      <x:c r="AE2202" s="3" t="str">
        <x:v>No</x:v>
      </x:c>
      <x:c r="AF2202" s="3" t="str">
        <x:v>No</x:v>
      </x:c>
      <x:c r="AG2202" s="3"/>
      <x:c r="AH2202" s="3"/>
      <x:c r="AI2202" s="18"/>
      <x:c r="AJ2202" s="3" t="str">
        <x:v>CF2500-A52910A130B0</x:v>
      </x:c>
      <x:c r="AK2202" s="3" t="str">
        <x:v>private_real_estate_lender</x:v>
      </x:c>
      <x:c r="AL2202" s="19" t="n">
        <x:v>100000</x:v>
      </x:c>
      <x:c r="AM2202" s="19" t="n">
        <x:v>500000</x:v>
      </x:c>
      <x:c r="AN2202" s="3" t="str">
        <x:v>https://www.hardmoneyhome.com/lenders/view/say-yes-realty</x:v>
      </x:c>
      <x:c r="AO2202" s="3" t="str">
        <x:v>public_directory.jsonl</x:v>
      </x:c>
      <x:c r="AP2202" s="19"/>
    </x:row>
    <x:row r="2203" ht="36" customHeight="1">
      <x:c r="A2203" s="23" t="n">
        <x:v>2202</x:v>
      </x:c>
      <x:c r="B2203" s="15" t="str">
        <x:v>SCL Mortgage</x:v>
      </x:c>
      <x:c r="C2203" s="15"/>
      <x:c r="D2203" s="15" t="str">
        <x:v>Property lender or directory member; operating-company capital unconfirmed</x:v>
      </x:c>
      <x:c r="E2203" s="15" t="str">
        <x:v>Property lender / private-money inquiry</x:v>
      </x:c>
      <x:c r="F2203" s="17" t="str">
        <x:v>New</x:v>
      </x:c>
      <x:c r="G2203" s="24"/>
      <x:c r="H2203" s="24" t="str">
        <x:v>+13037902222</x:v>
      </x:c>
      <x:c r="I2203" s="24" t="str">
        <x:v>http://www.sclmortgage.com</x:v>
      </x:c>
      <x:c r="J2203" s="16" t="str">
        <x:v>CO</x:v>
      </x:c>
      <x:c r="K2203" s="16" t="str">
        <x:v>Castle Rock</x:v>
      </x:c>
      <x:c r="L2203" s="16" t="str">
        <x:v>firm_business_routing</x:v>
      </x:c>
      <x:c r="M2203" s="16" t="str">
        <x:v>http://www.sclmortgage.com</x:v>
      </x:c>
      <x:c r="N2203" s="16" t="str">
        <x:v>$100K-$500K ticket not published / unconfirmed</x:v>
      </x:c>
      <x:c r="O2203" s="20"/>
      <x:c r="P2203" s="20"/>
      <x:c r="Q2203" s="25" t="str">
        <x:v>Property-loan range, not a corporate-capital commitment</x:v>
      </x:c>
      <x:c r="R2203" s="25" t="str">
        <x:v>Private real-estate finance experience. Corporate working capital, minority equity or profit participation requires a separate agreement from a property loan.</x:v>
      </x:c>
      <x:c r="S2203" s="25"/>
      <x:c r="T2203" s="25" t="str">
        <x:v>Confirm direct principal versus broker, $100K-$500K appetite, and whether capital can fund the operating company without a property mortgage.</x:v>
      </x:c>
      <x:c r="U2203" s="25" t="str">
        <x:v>https://www.hardmoneyhome.com/lenders/view/scl-mortgage</x:v>
      </x:c>
      <x:c r="V2203" s="26" t="d">
        <x:v>2026-10-02T00:00:00.000Z</x:v>
      </x:c>
      <x:c r="W2203" s="26" t="d">
        <x:v>2026-09-30T00:00:00.000Z</x:v>
      </x:c>
      <x:c r="X2203" s="25" t="str">
        <x:v>Saved public company, industry-directory or regulatory source; source date retained</x:v>
      </x:c>
      <x:c r="Y2203" s="25"/>
      <x:c r="Z2203" s="25" t="str">
        <x:v>https://www.hardmoneyhome.com/lenders/view/scl-mortgage</x:v>
      </x:c>
      <x:c r="AA2203" s="25" t="str">
        <x:v>[]</x:v>
      </x:c>
      <x:c r="AB2203" s="3" t="str">
        <x:v>Existing CapitalForge research, newly screened for this campaign</x:v>
      </x:c>
      <x:c r="AC2203" s="3" t="str">
        <x:v>unverified</x:v>
      </x:c>
      <x:c r="AD2203" s="3" t="str">
        <x:v>Not contacted / unconfirmed</x:v>
      </x:c>
      <x:c r="AE2203" s="3" t="str">
        <x:v>No</x:v>
      </x:c>
      <x:c r="AF2203" s="3" t="str">
        <x:v>No</x:v>
      </x:c>
      <x:c r="AG2203" s="3"/>
      <x:c r="AH2203" s="3"/>
      <x:c r="AI2203" s="18"/>
      <x:c r="AJ2203" s="3" t="str">
        <x:v>CF2500-73B124C8334E</x:v>
      </x:c>
      <x:c r="AK2203" s="3" t="str">
        <x:v>private_real_estate_lender</x:v>
      </x:c>
      <x:c r="AL2203" s="19" t="n">
        <x:v>100000</x:v>
      </x:c>
      <x:c r="AM2203" s="19" t="n">
        <x:v>500000</x:v>
      </x:c>
      <x:c r="AN2203" s="3" t="str">
        <x:v>https://www.hardmoneyhome.com/lenders/view/scl-mortgage</x:v>
      </x:c>
      <x:c r="AO2203" s="3" t="str">
        <x:v>public_directory.jsonl</x:v>
      </x:c>
      <x:c r="AP2203" s="19"/>
    </x:row>
    <x:row r="2204" ht="36" customHeight="1">
      <x:c r="A2204" s="23" t="n">
        <x:v>2203</x:v>
      </x:c>
      <x:c r="B2204" s="15" t="str">
        <x:v>Talt Properties</x:v>
      </x:c>
      <x:c r="C2204" s="15"/>
      <x:c r="D2204" s="15" t="str">
        <x:v>Property lender or directory member; operating-company capital unconfirmed</x:v>
      </x:c>
      <x:c r="E2204" s="15" t="str">
        <x:v>Property lender / private-money inquiry</x:v>
      </x:c>
      <x:c r="F2204" s="17" t="str">
        <x:v>New</x:v>
      </x:c>
      <x:c r="G2204" s="24"/>
      <x:c r="H2204" s="24" t="str">
        <x:v>+14055033247</x:v>
      </x:c>
      <x:c r="I2204" s="24" t="str">
        <x:v>http://www.taltproperties.com/</x:v>
      </x:c>
      <x:c r="J2204" s="16" t="str">
        <x:v>OK</x:v>
      </x:c>
      <x:c r="K2204" s="16" t="str">
        <x:v>Moore</x:v>
      </x:c>
      <x:c r="L2204" s="16" t="str">
        <x:v>firm_business_routing</x:v>
      </x:c>
      <x:c r="M2204" s="16" t="str">
        <x:v>http://www.taltproperties.com/</x:v>
      </x:c>
      <x:c r="N2204" s="16" t="str">
        <x:v>$100K-$500K ticket not published / unconfirmed</x:v>
      </x:c>
      <x:c r="O2204" s="20"/>
      <x:c r="P2204" s="20"/>
      <x:c r="Q2204" s="25" t="str">
        <x:v>Property-loan range, not a corporate-capital commitment</x:v>
      </x:c>
      <x:c r="R2204" s="25" t="str">
        <x:v>Private real-estate finance experience. Corporate working capital, minority equity or profit participation requires a separate agreement from a property loan.</x:v>
      </x:c>
      <x:c r="S2204" s="25"/>
      <x:c r="T2204" s="25" t="str">
        <x:v>Confirm direct principal versus broker, $100K-$500K appetite, and whether capital can fund the operating company without a property mortgage.</x:v>
      </x:c>
      <x:c r="U2204" s="25" t="str">
        <x:v>https://www.hardmoneyhome.com/lenders/view/talt-properties</x:v>
      </x:c>
      <x:c r="V2204" s="26" t="d">
        <x:v>2026-10-02T00:00:00.000Z</x:v>
      </x:c>
      <x:c r="W2204" s="26" t="d">
        <x:v>2026-09-30T00:00:00.000Z</x:v>
      </x:c>
      <x:c r="X2204" s="25" t="str">
        <x:v>Saved public company, industry-directory or regulatory source; source date retained</x:v>
      </x:c>
      <x:c r="Y2204" s="25"/>
      <x:c r="Z2204" s="25" t="str">
        <x:v>https://www.hardmoneyhome.com/lenders/view/talt-properties</x:v>
      </x:c>
      <x:c r="AA2204" s="25" t="str">
        <x:v>[]</x:v>
      </x:c>
      <x:c r="AB2204" s="3" t="str">
        <x:v>Existing CapitalForge research, newly screened for this campaign</x:v>
      </x:c>
      <x:c r="AC2204" s="3" t="str">
        <x:v>unverified</x:v>
      </x:c>
      <x:c r="AD2204" s="3" t="str">
        <x:v>Not contacted / unconfirmed</x:v>
      </x:c>
      <x:c r="AE2204" s="3" t="str">
        <x:v>No</x:v>
      </x:c>
      <x:c r="AF2204" s="3" t="str">
        <x:v>No</x:v>
      </x:c>
      <x:c r="AG2204" s="3"/>
      <x:c r="AH2204" s="3"/>
      <x:c r="AI2204" s="18"/>
      <x:c r="AJ2204" s="3" t="str">
        <x:v>CF2500-B52F66B7129D</x:v>
      </x:c>
      <x:c r="AK2204" s="3" t="str">
        <x:v>private_real_estate_lender</x:v>
      </x:c>
      <x:c r="AL2204" s="19" t="n">
        <x:v>100000</x:v>
      </x:c>
      <x:c r="AM2204" s="19" t="n">
        <x:v>500000</x:v>
      </x:c>
      <x:c r="AN2204" s="3" t="str">
        <x:v>https://www.hardmoneyhome.com/lenders/view/talt-properties</x:v>
      </x:c>
      <x:c r="AO2204" s="3" t="str">
        <x:v>public_directory.jsonl</x:v>
      </x:c>
      <x:c r="AP2204" s="19"/>
    </x:row>
    <x:row r="2205" ht="36" customHeight="1">
      <x:c r="A2205" s="23" t="n">
        <x:v>2204</x:v>
      </x:c>
      <x:c r="B2205" s="15" t="str">
        <x:v>Taylor Mortgage Group</x:v>
      </x:c>
      <x:c r="C2205" s="15"/>
      <x:c r="D2205" s="15" t="str">
        <x:v>Property lender or directory member; operating-company capital unconfirmed</x:v>
      </x:c>
      <x:c r="E2205" s="15" t="str">
        <x:v>Property lender / private-money inquiry</x:v>
      </x:c>
      <x:c r="F2205" s="17" t="str">
        <x:v>New</x:v>
      </x:c>
      <x:c r="G2205" s="24"/>
      <x:c r="H2205" s="24" t="str">
        <x:v>+13033395950</x:v>
      </x:c>
      <x:c r="I2205" s="24" t="str">
        <x:v>http://www.creativemortgagefunding.com</x:v>
      </x:c>
      <x:c r="J2205" s="16" t="str">
        <x:v>CO</x:v>
      </x:c>
      <x:c r="K2205" s="16" t="str">
        <x:v>Elizabeth</x:v>
      </x:c>
      <x:c r="L2205" s="16" t="str">
        <x:v>firm_business_routing</x:v>
      </x:c>
      <x:c r="M2205" s="16" t="str">
        <x:v>http://www.creativemortgagefunding.com</x:v>
      </x:c>
      <x:c r="N2205" s="16" t="str">
        <x:v>$100K-$500K ticket not published / unconfirmed</x:v>
      </x:c>
      <x:c r="O2205" s="20"/>
      <x:c r="P2205" s="20"/>
      <x:c r="Q2205" s="25" t="str">
        <x:v>Property-loan range, not a corporate-capital commitment</x:v>
      </x:c>
      <x:c r="R2205" s="25" t="str">
        <x:v>Private real-estate finance experience. Corporate working capital, minority equity or profit participation requires a separate agreement from a property loan.</x:v>
      </x:c>
      <x:c r="S2205" s="25"/>
      <x:c r="T2205" s="25" t="str">
        <x:v>Confirm direct principal versus broker, $100K-$500K appetite, and whether capital can fund the operating company without a property mortgage.</x:v>
      </x:c>
      <x:c r="U2205" s="25" t="str">
        <x:v>https://www.hardmoneyhome.com/lenders/view/taylor-mortgage-group</x:v>
      </x:c>
      <x:c r="V2205" s="26" t="d">
        <x:v>2026-10-02T00:00:00.000Z</x:v>
      </x:c>
      <x:c r="W2205" s="26" t="d">
        <x:v>2026-09-30T00:00:00.000Z</x:v>
      </x:c>
      <x:c r="X2205" s="25" t="str">
        <x:v>Saved public company, industry-directory or regulatory source; source date retained</x:v>
      </x:c>
      <x:c r="Y2205" s="25"/>
      <x:c r="Z2205" s="25" t="str">
        <x:v>https://www.hardmoneyhome.com/lenders/view/taylor-mortgage-group</x:v>
      </x:c>
      <x:c r="AA2205" s="25" t="str">
        <x:v>[]</x:v>
      </x:c>
      <x:c r="AB2205" s="3" t="str">
        <x:v>Existing CapitalForge research, newly screened for this campaign</x:v>
      </x:c>
      <x:c r="AC2205" s="3" t="str">
        <x:v>unverified</x:v>
      </x:c>
      <x:c r="AD2205" s="3" t="str">
        <x:v>Not contacted / unconfirmed</x:v>
      </x:c>
      <x:c r="AE2205" s="3" t="str">
        <x:v>No</x:v>
      </x:c>
      <x:c r="AF2205" s="3" t="str">
        <x:v>No</x:v>
      </x:c>
      <x:c r="AG2205" s="3"/>
      <x:c r="AH2205" s="3"/>
      <x:c r="AI2205" s="18"/>
      <x:c r="AJ2205" s="3" t="str">
        <x:v>CF2500-85E3B434F5DD</x:v>
      </x:c>
      <x:c r="AK2205" s="3" t="str">
        <x:v>private_real_estate_lender</x:v>
      </x:c>
      <x:c r="AL2205" s="19" t="n">
        <x:v>100000</x:v>
      </x:c>
      <x:c r="AM2205" s="19" t="n">
        <x:v>500000</x:v>
      </x:c>
      <x:c r="AN2205" s="3" t="str">
        <x:v>https://www.hardmoneyhome.com/lenders/view/taylor-mortgage-group</x:v>
      </x:c>
      <x:c r="AO2205" s="3" t="str">
        <x:v>public_directory.jsonl</x:v>
      </x:c>
      <x:c r="AP2205" s="19"/>
    </x:row>
    <x:row r="2206" ht="36" customHeight="1">
      <x:c r="A2206" s="23" t="n">
        <x:v>2205</x:v>
      </x:c>
      <x:c r="B2206" s="15" t="str">
        <x:v>The Legacy Group</x:v>
      </x:c>
      <x:c r="C2206" s="15"/>
      <x:c r="D2206" s="15" t="str">
        <x:v>Property lender or directory member; operating-company capital unconfirmed</x:v>
      </x:c>
      <x:c r="E2206" s="15" t="str">
        <x:v>Property lender / private-money inquiry</x:v>
      </x:c>
      <x:c r="F2206" s="17" t="str">
        <x:v>New</x:v>
      </x:c>
      <x:c r="G2206" s="24"/>
      <x:c r="H2206" s="24" t="str">
        <x:v>+18885465395</x:v>
      </x:c>
      <x:c r="I2206" s="24" t="str">
        <x:v>http://www.tlg.capital/</x:v>
      </x:c>
      <x:c r="J2206" s="16" t="str">
        <x:v>CO</x:v>
      </x:c>
      <x:c r="K2206" s="16" t="str">
        <x:v>Colorado Springs</x:v>
      </x:c>
      <x:c r="L2206" s="16" t="str">
        <x:v>firm_business_routing</x:v>
      </x:c>
      <x:c r="M2206" s="16" t="str">
        <x:v>http://www.tlg.capital/</x:v>
      </x:c>
      <x:c r="N2206" s="16" t="str">
        <x:v>$100K-$500K ticket not published / unconfirmed</x:v>
      </x:c>
      <x:c r="O2206" s="20"/>
      <x:c r="P2206" s="20"/>
      <x:c r="Q2206" s="25" t="str">
        <x:v>Property-loan range, not a corporate-capital commitment</x:v>
      </x:c>
      <x:c r="R2206" s="25" t="str">
        <x:v>Private real-estate finance experience. Corporate working capital, minority equity or profit participation requires a separate agreement from a property loan.</x:v>
      </x:c>
      <x:c r="S2206" s="25"/>
      <x:c r="T2206" s="25" t="str">
        <x:v>Confirm direct principal versus broker, $100K-$500K appetite, and whether capital can fund the operating company without a property mortgage.</x:v>
      </x:c>
      <x:c r="U2206" s="25" t="str">
        <x:v>https://www.hardmoneyhome.com/lenders/view/the-legacy-group</x:v>
      </x:c>
      <x:c r="V2206" s="26" t="d">
        <x:v>2026-10-02T00:00:00.000Z</x:v>
      </x:c>
      <x:c r="W2206" s="26" t="d">
        <x:v>2026-09-30T00:00:00.000Z</x:v>
      </x:c>
      <x:c r="X2206" s="25" t="str">
        <x:v>Saved public company, industry-directory or regulatory source; source date retained</x:v>
      </x:c>
      <x:c r="Y2206" s="25"/>
      <x:c r="Z2206" s="25" t="str">
        <x:v>https://www.hardmoneyhome.com/lenders/view/the-legacy-group</x:v>
      </x:c>
      <x:c r="AA2206" s="25" t="str">
        <x:v>[]</x:v>
      </x:c>
      <x:c r="AB2206" s="3" t="str">
        <x:v>Existing CapitalForge research, newly screened for this campaign</x:v>
      </x:c>
      <x:c r="AC2206" s="3" t="str">
        <x:v>unverified</x:v>
      </x:c>
      <x:c r="AD2206" s="3" t="str">
        <x:v>Not contacted / unconfirmed</x:v>
      </x:c>
      <x:c r="AE2206" s="3" t="str">
        <x:v>No</x:v>
      </x:c>
      <x:c r="AF2206" s="3" t="str">
        <x:v>No</x:v>
      </x:c>
      <x:c r="AG2206" s="3"/>
      <x:c r="AH2206" s="3"/>
      <x:c r="AI2206" s="18"/>
      <x:c r="AJ2206" s="3" t="str">
        <x:v>CF2500-96ACCB69A0BA</x:v>
      </x:c>
      <x:c r="AK2206" s="3" t="str">
        <x:v>private_real_estate_lender</x:v>
      </x:c>
      <x:c r="AL2206" s="19" t="n">
        <x:v>100000</x:v>
      </x:c>
      <x:c r="AM2206" s="19" t="n">
        <x:v>500000</x:v>
      </x:c>
      <x:c r="AN2206" s="3" t="str">
        <x:v>https://www.hardmoneyhome.com/lenders/view/the-legacy-group</x:v>
      </x:c>
      <x:c r="AO2206" s="3" t="str">
        <x:v>public_directory.jsonl</x:v>
      </x:c>
      <x:c r="AP2206" s="19"/>
    </x:row>
    <x:row r="2207" ht="36" customHeight="1">
      <x:c r="A2207" s="23" t="n">
        <x:v>2206</x:v>
      </x:c>
      <x:c r="B2207" s="15" t="str">
        <x:v>Wasatch Private Money</x:v>
      </x:c>
      <x:c r="C2207" s="15"/>
      <x:c r="D2207" s="15" t="str">
        <x:v>Property lender or directory member; operating-company capital unconfirmed</x:v>
      </x:c>
      <x:c r="E2207" s="15" t="str">
        <x:v>Property lender / private-money inquiry</x:v>
      </x:c>
      <x:c r="F2207" s="17" t="str">
        <x:v>New</x:v>
      </x:c>
      <x:c r="G2207" s="24"/>
      <x:c r="H2207" s="24" t="str">
        <x:v>+18016184643</x:v>
      </x:c>
      <x:c r="I2207" s="24" t="str">
        <x:v>http://www.wasatchprivatemoney.com/</x:v>
      </x:c>
      <x:c r="J2207" s="16" t="str">
        <x:v>UT</x:v>
      </x:c>
      <x:c r="K2207" s="16" t="str">
        <x:v>Bluffdale</x:v>
      </x:c>
      <x:c r="L2207" s="16" t="str">
        <x:v>firm_business_routing</x:v>
      </x:c>
      <x:c r="M2207" s="16" t="str">
        <x:v>http://www.wasatchprivatemoney.com/</x:v>
      </x:c>
      <x:c r="N2207" s="16" t="str">
        <x:v>$100K-$500K ticket not published / unconfirmed</x:v>
      </x:c>
      <x:c r="O2207" s="20"/>
      <x:c r="P2207" s="20"/>
      <x:c r="Q2207" s="25" t="str">
        <x:v>Property-loan range, not a corporate-capital commitment</x:v>
      </x:c>
      <x:c r="R2207" s="25" t="str">
        <x:v>Private real-estate finance experience. Corporate working capital, minority equity or profit participation requires a separate agreement from a property loan.</x:v>
      </x:c>
      <x:c r="S2207" s="25"/>
      <x:c r="T2207" s="25" t="str">
        <x:v>Confirm direct principal versus broker, $100K-$500K appetite, and whether capital can fund the operating company without a property mortgage.</x:v>
      </x:c>
      <x:c r="U2207" s="25" t="str">
        <x:v>https://www.hardmoneyhome.com/lenders/view/wasatch-private-money</x:v>
      </x:c>
      <x:c r="V2207" s="26" t="d">
        <x:v>2026-10-02T00:00:00.000Z</x:v>
      </x:c>
      <x:c r="W2207" s="26" t="d">
        <x:v>2026-09-30T00:00:00.000Z</x:v>
      </x:c>
      <x:c r="X2207" s="25" t="str">
        <x:v>Saved public company, industry-directory or regulatory source; source date retained</x:v>
      </x:c>
      <x:c r="Y2207" s="25"/>
      <x:c r="Z2207" s="25" t="str">
        <x:v>https://www.hardmoneyhome.com/lenders/view/wasatch-private-money</x:v>
      </x:c>
      <x:c r="AA2207" s="25" t="str">
        <x:v>[]</x:v>
      </x:c>
      <x:c r="AB2207" s="3" t="str">
        <x:v>Existing CapitalForge research, newly screened for this campaign</x:v>
      </x:c>
      <x:c r="AC2207" s="3" t="str">
        <x:v>unverified</x:v>
      </x:c>
      <x:c r="AD2207" s="3" t="str">
        <x:v>Not contacted / unconfirmed</x:v>
      </x:c>
      <x:c r="AE2207" s="3" t="str">
        <x:v>No</x:v>
      </x:c>
      <x:c r="AF2207" s="3" t="str">
        <x:v>No</x:v>
      </x:c>
      <x:c r="AG2207" s="3"/>
      <x:c r="AH2207" s="3"/>
      <x:c r="AI2207" s="18"/>
      <x:c r="AJ2207" s="3" t="str">
        <x:v>CF2500-263D95ED6D4C</x:v>
      </x:c>
      <x:c r="AK2207" s="3" t="str">
        <x:v>private_real_estate_lender</x:v>
      </x:c>
      <x:c r="AL2207" s="19" t="n">
        <x:v>100000</x:v>
      </x:c>
      <x:c r="AM2207" s="19" t="n">
        <x:v>500000</x:v>
      </x:c>
      <x:c r="AN2207" s="3" t="str">
        <x:v>https://www.hardmoneyhome.com/lenders/view/wasatch-private-money</x:v>
      </x:c>
      <x:c r="AO2207" s="3" t="str">
        <x:v>public_directory.jsonl</x:v>
      </x:c>
      <x:c r="AP2207" s="19"/>
    </x:row>
    <x:row r="2208" ht="36" customHeight="1">
      <x:c r="A2208" s="23" t="n">
        <x:v>2207</x:v>
      </x:c>
      <x:c r="B2208" s="15" t="str">
        <x:v>Wilco Capital</x:v>
      </x:c>
      <x:c r="C2208" s="15"/>
      <x:c r="D2208" s="15" t="str">
        <x:v>Property lender or directory member; operating-company capital unconfirmed</x:v>
      </x:c>
      <x:c r="E2208" s="15" t="str">
        <x:v>Property lender / private-money inquiry</x:v>
      </x:c>
      <x:c r="F2208" s="17" t="str">
        <x:v>New</x:v>
      </x:c>
      <x:c r="G2208" s="24"/>
      <x:c r="H2208" s="24" t="str">
        <x:v>+18434786863</x:v>
      </x:c>
      <x:c r="I2208" s="24" t="str">
        <x:v>http://wilcocapital.com/</x:v>
      </x:c>
      <x:c r="J2208" s="16" t="str">
        <x:v>SC</x:v>
      </x:c>
      <x:c r="K2208" s="16" t="str">
        <x:v>Charletson</x:v>
      </x:c>
      <x:c r="L2208" s="16" t="str">
        <x:v>firm_business_routing</x:v>
      </x:c>
      <x:c r="M2208" s="16" t="str">
        <x:v>http://wilcocapital.com/</x:v>
      </x:c>
      <x:c r="N2208" s="16" t="str">
        <x:v>$100K-$500K ticket not published / unconfirmed</x:v>
      </x:c>
      <x:c r="O2208" s="20"/>
      <x:c r="P2208" s="20"/>
      <x:c r="Q2208" s="25" t="str">
        <x:v>Property-loan range, not a corporate-capital commitment</x:v>
      </x:c>
      <x:c r="R2208" s="25" t="str">
        <x:v>Private real-estate finance experience. Corporate working capital, minority equity or profit participation requires a separate agreement from a property loan.</x:v>
      </x:c>
      <x:c r="S2208" s="25"/>
      <x:c r="T2208" s="25" t="str">
        <x:v>Confirm direct principal versus broker, $100K-$500K appetite, and whether capital can fund the operating company without a property mortgage.</x:v>
      </x:c>
      <x:c r="U2208" s="25" t="str">
        <x:v>https://www.hardmoneyhome.com/lenders/view/wilco-capital</x:v>
      </x:c>
      <x:c r="V2208" s="26" t="d">
        <x:v>2026-10-02T00:00:00.000Z</x:v>
      </x:c>
      <x:c r="W2208" s="26" t="d">
        <x:v>2026-09-30T00:00:00.000Z</x:v>
      </x:c>
      <x:c r="X2208" s="25" t="str">
        <x:v>Saved public company, industry-directory or regulatory source; source date retained</x:v>
      </x:c>
      <x:c r="Y2208" s="25"/>
      <x:c r="Z2208" s="25" t="str">
        <x:v>https://www.hardmoneyhome.com/lenders/view/wilco-capital</x:v>
      </x:c>
      <x:c r="AA2208" s="25" t="str">
        <x:v>[]</x:v>
      </x:c>
      <x:c r="AB2208" s="3" t="str">
        <x:v>Existing CapitalForge research, newly screened for this campaign</x:v>
      </x:c>
      <x:c r="AC2208" s="3" t="str">
        <x:v>unverified</x:v>
      </x:c>
      <x:c r="AD2208" s="3" t="str">
        <x:v>Not contacted / unconfirmed</x:v>
      </x:c>
      <x:c r="AE2208" s="3" t="str">
        <x:v>No</x:v>
      </x:c>
      <x:c r="AF2208" s="3" t="str">
        <x:v>No</x:v>
      </x:c>
      <x:c r="AG2208" s="3"/>
      <x:c r="AH2208" s="3"/>
      <x:c r="AI2208" s="18"/>
      <x:c r="AJ2208" s="3" t="str">
        <x:v>CF2500-B81EFBB4E240</x:v>
      </x:c>
      <x:c r="AK2208" s="3" t="str">
        <x:v>private_real_estate_lender</x:v>
      </x:c>
      <x:c r="AL2208" s="19" t="n">
        <x:v>100000</x:v>
      </x:c>
      <x:c r="AM2208" s="19" t="n">
        <x:v>500000</x:v>
      </x:c>
      <x:c r="AN2208" s="3" t="str">
        <x:v>https://www.hardmoneyhome.com/lenders/view/wilco-capital</x:v>
      </x:c>
      <x:c r="AO2208" s="3" t="str">
        <x:v>public_directory.jsonl</x:v>
      </x:c>
      <x:c r="AP2208" s="19"/>
    </x:row>
    <x:row r="2209" ht="36" customHeight="1">
      <x:c r="A2209" s="23" t="n">
        <x:v>2208</x:v>
      </x:c>
      <x:c r="B2209" s="15" t="str">
        <x:v>Worcester Financial</x:v>
      </x:c>
      <x:c r="C2209" s="15"/>
      <x:c r="D2209" s="15" t="str">
        <x:v>Property lender or directory member; operating-company capital unconfirmed</x:v>
      </x:c>
      <x:c r="E2209" s="15" t="str">
        <x:v>Property lender / private-money inquiry</x:v>
      </x:c>
      <x:c r="F2209" s="17" t="str">
        <x:v>New</x:v>
      </x:c>
      <x:c r="G2209" s="24"/>
      <x:c r="H2209" s="24" t="str">
        <x:v>+18162914146</x:v>
      </x:c>
      <x:c r="I2209" s="24" t="str">
        <x:v>http://www.worcesterfinancial.com/</x:v>
      </x:c>
      <x:c r="J2209" s="16" t="str">
        <x:v>MO</x:v>
      </x:c>
      <x:c r="K2209" s="16" t="str">
        <x:v>Kansas City</x:v>
      </x:c>
      <x:c r="L2209" s="16" t="str">
        <x:v>firm_business_routing</x:v>
      </x:c>
      <x:c r="M2209" s="16" t="str">
        <x:v>http://www.worcesterfinancial.com/</x:v>
      </x:c>
      <x:c r="N2209" s="16" t="str">
        <x:v>$100K-$500K ticket not published / unconfirmed</x:v>
      </x:c>
      <x:c r="O2209" s="20"/>
      <x:c r="P2209" s="20"/>
      <x:c r="Q2209" s="25" t="str">
        <x:v>Property-loan range, not a corporate-capital commitment</x:v>
      </x:c>
      <x:c r="R2209" s="25" t="str">
        <x:v>Private real-estate finance experience. Corporate working capital, minority equity or profit participation requires a separate agreement from a property loan.</x:v>
      </x:c>
      <x:c r="S2209" s="25"/>
      <x:c r="T2209" s="25" t="str">
        <x:v>Confirm direct principal versus broker, $100K-$500K appetite, and whether capital can fund the operating company without a property mortgage.</x:v>
      </x:c>
      <x:c r="U2209" s="25" t="str">
        <x:v>https://www.hardmoneyhome.com/lenders/view/worcester-financial</x:v>
      </x:c>
      <x:c r="V2209" s="26" t="d">
        <x:v>2026-10-02T00:00:00.000Z</x:v>
      </x:c>
      <x:c r="W2209" s="26" t="d">
        <x:v>2026-09-30T00:00:00.000Z</x:v>
      </x:c>
      <x:c r="X2209" s="25" t="str">
        <x:v>Saved public company, industry-directory or regulatory source; source date retained</x:v>
      </x:c>
      <x:c r="Y2209" s="25"/>
      <x:c r="Z2209" s="25" t="str">
        <x:v>https://www.hardmoneyhome.com/lenders/view/worcester-financial</x:v>
      </x:c>
      <x:c r="AA2209" s="25" t="str">
        <x:v>[]</x:v>
      </x:c>
      <x:c r="AB2209" s="3" t="str">
        <x:v>Existing CapitalForge research, newly screened for this campaign</x:v>
      </x:c>
      <x:c r="AC2209" s="3" t="str">
        <x:v>unverified</x:v>
      </x:c>
      <x:c r="AD2209" s="3" t="str">
        <x:v>Not contacted / unconfirmed</x:v>
      </x:c>
      <x:c r="AE2209" s="3" t="str">
        <x:v>No</x:v>
      </x:c>
      <x:c r="AF2209" s="3" t="str">
        <x:v>No</x:v>
      </x:c>
      <x:c r="AG2209" s="3"/>
      <x:c r="AH2209" s="3"/>
      <x:c r="AI2209" s="18"/>
      <x:c r="AJ2209" s="3" t="str">
        <x:v>CF2500-15725576D6C6</x:v>
      </x:c>
      <x:c r="AK2209" s="3" t="str">
        <x:v>private_real_estate_lender</x:v>
      </x:c>
      <x:c r="AL2209" s="19" t="n">
        <x:v>100000</x:v>
      </x:c>
      <x:c r="AM2209" s="19" t="n">
        <x:v>500000</x:v>
      </x:c>
      <x:c r="AN2209" s="3" t="str">
        <x:v>https://www.hardmoneyhome.com/lenders/view/worcester-financial</x:v>
      </x:c>
      <x:c r="AO2209" s="3" t="str">
        <x:v>public_directory.jsonl</x:v>
      </x:c>
      <x:c r="AP2209" s="19"/>
    </x:row>
    <x:row r="2210" ht="36" customHeight="1">
      <x:c r="A2210" s="23" t="n">
        <x:v>2209</x:v>
      </x:c>
      <x:c r="B2210" s="15" t="str">
        <x:v>World Net Capital</x:v>
      </x:c>
      <x:c r="C2210" s="15"/>
      <x:c r="D2210" s="15" t="str">
        <x:v>Property lender or directory member; operating-company capital unconfirmed</x:v>
      </x:c>
      <x:c r="E2210" s="15" t="str">
        <x:v>Property lender / private-money inquiry</x:v>
      </x:c>
      <x:c r="F2210" s="17" t="str">
        <x:v>New</x:v>
      </x:c>
      <x:c r="G2210" s="24"/>
      <x:c r="H2210" s="24" t="str">
        <x:v>+18124499956</x:v>
      </x:c>
      <x:c r="I2210" s="24" t="str">
        <x:v>http://www.worldnetcapital1.com/</x:v>
      </x:c>
      <x:c r="J2210" s="16" t="str">
        <x:v>IN</x:v>
      </x:c>
      <x:c r="K2210" s="16" t="str">
        <x:v>Evansville</x:v>
      </x:c>
      <x:c r="L2210" s="16" t="str">
        <x:v>firm_business_routing</x:v>
      </x:c>
      <x:c r="M2210" s="16" t="str">
        <x:v>http://www.worldnetcapital1.com/</x:v>
      </x:c>
      <x:c r="N2210" s="16" t="str">
        <x:v>$100K-$500K ticket not published / unconfirmed</x:v>
      </x:c>
      <x:c r="O2210" s="20"/>
      <x:c r="P2210" s="20"/>
      <x:c r="Q2210" s="25" t="str">
        <x:v>Property-loan range, not a corporate-capital commitment</x:v>
      </x:c>
      <x:c r="R2210" s="25" t="str">
        <x:v>Private real-estate finance experience. Corporate working capital, minority equity or profit participation requires a separate agreement from a property loan.</x:v>
      </x:c>
      <x:c r="S2210" s="25"/>
      <x:c r="T2210" s="25" t="str">
        <x:v>Confirm direct principal versus broker, $100K-$500K appetite, and whether capital can fund the operating company without a property mortgage.</x:v>
      </x:c>
      <x:c r="U2210" s="25" t="str">
        <x:v>https://www.hardmoneyhome.com/lenders/view/world-net-capital</x:v>
      </x:c>
      <x:c r="V2210" s="26" t="d">
        <x:v>2026-10-02T00:00:00.000Z</x:v>
      </x:c>
      <x:c r="W2210" s="26" t="d">
        <x:v>2026-09-30T00:00:00.000Z</x:v>
      </x:c>
      <x:c r="X2210" s="25" t="str">
        <x:v>Saved public company, industry-directory or regulatory source; source date retained</x:v>
      </x:c>
      <x:c r="Y2210" s="25"/>
      <x:c r="Z2210" s="25" t="str">
        <x:v>https://www.hardmoneyhome.com/lenders/view/world-net-capital</x:v>
      </x:c>
      <x:c r="AA2210" s="25" t="str">
        <x:v>[]</x:v>
      </x:c>
      <x:c r="AB2210" s="3" t="str">
        <x:v>Existing CapitalForge research, newly screened for this campaign</x:v>
      </x:c>
      <x:c r="AC2210" s="3" t="str">
        <x:v>unverified</x:v>
      </x:c>
      <x:c r="AD2210" s="3" t="str">
        <x:v>Not contacted / unconfirmed</x:v>
      </x:c>
      <x:c r="AE2210" s="3" t="str">
        <x:v>No</x:v>
      </x:c>
      <x:c r="AF2210" s="3" t="str">
        <x:v>No</x:v>
      </x:c>
      <x:c r="AG2210" s="3"/>
      <x:c r="AH2210" s="3"/>
      <x:c r="AI2210" s="18"/>
      <x:c r="AJ2210" s="3" t="str">
        <x:v>CF2500-B1DA0EBEDF45</x:v>
      </x:c>
      <x:c r="AK2210" s="3" t="str">
        <x:v>private_real_estate_lender</x:v>
      </x:c>
      <x:c r="AL2210" s="19" t="n">
        <x:v>100000</x:v>
      </x:c>
      <x:c r="AM2210" s="19" t="n">
        <x:v>500000</x:v>
      </x:c>
      <x:c r="AN2210" s="3" t="str">
        <x:v>https://www.hardmoneyhome.com/lenders/view/world-net-capital</x:v>
      </x:c>
      <x:c r="AO2210" s="3" t="str">
        <x:v>public_directory.jsonl</x:v>
      </x:c>
      <x:c r="AP2210" s="19"/>
    </x:row>
    <x:row r="2211" ht="36" customHeight="1">
      <x:c r="A2211" s="23" t="n">
        <x:v>2210</x:v>
      </x:c>
      <x:c r="B2211" s="15" t="str">
        <x:v>COLORADO LENDING INC.</x:v>
      </x:c>
      <x:c r="C2211" s="15"/>
      <x:c r="D2211" s="15" t="str">
        <x:v>Property lender / private real-estate capital prospect</x:v>
      </x:c>
      <x:c r="E2211" s="15" t="str">
        <x:v>Property lender / private-money inquiry</x:v>
      </x:c>
      <x:c r="F2211" s="17" t="str">
        <x:v>New</x:v>
      </x:c>
      <x:c r="G2211" s="24"/>
      <x:c r="H2211" s="24" t="str">
        <x:v>+13037714111</x:v>
      </x:c>
      <x:c r="I2211" s="24" t="str">
        <x:v>https://www.coloradolending.com/</x:v>
      </x:c>
      <x:c r="J2211" s="16" t="str">
        <x:v>CO</x:v>
      </x:c>
      <x:c r="K2211" s="16" t="str">
        <x:v>Centennial</x:v>
      </x:c>
      <x:c r="L2211" s="16" t="str">
        <x:v>firm_business_routing</x:v>
      </x:c>
      <x:c r="M2211" s="16" t="str">
        <x:v>https://www.coloradolending.com/</x:v>
      </x:c>
      <x:c r="N2211" s="16" t="str">
        <x:v>$100K-$500K ticket not published / unconfirmed</x:v>
      </x:c>
      <x:c r="O2211" s="20"/>
      <x:c r="P2211" s="20"/>
      <x:c r="Q2211" s="25" t="str">
        <x:v>Property-loan range, not a corporate-capital commitment</x:v>
      </x:c>
      <x:c r="R2211" s="25" t="str">
        <x:v>Private real-estate finance experience. Corporate working capital, minority equity or profit participation requires a separate agreement from a property loan.</x:v>
      </x:c>
      <x:c r="S2211" s="25"/>
      <x:c r="T2211" s="25" t="str">
        <x:v>Confirm direct principal versus broker, $100K-$500K appetite, and whether capital can fund the operating company without a property mortgage.</x:v>
      </x:c>
      <x:c r="U2211" s="25" t="str">
        <x:v>https://www.privatelendersdirectory.com/united-states/centennial/real-estate-investment-lending/colorado-lending-inc
https://www.coloradolending.com/</x:v>
      </x:c>
      <x:c r="V2211" s="26" t="d">
        <x:v>2026-10-02T00:00:00.000Z</x:v>
      </x:c>
      <x:c r="W2211" s="26" t="d">
        <x:v>2026-10-02T00:00:00.000Z</x:v>
      </x:c>
      <x:c r="X2211" s="25" t="str">
        <x:v>Public investor directory; business role and contact ownership require qualification</x:v>
      </x:c>
      <x:c r="Y2211" s="25"/>
      <x:c r="Z2211" s="25" t="str">
        <x:v>https://www.privatelendersdirectory.com/united-states/centennial/real-estate-investment-lending/colorado-lending-inc</x:v>
      </x:c>
      <x:c r="AA2211" s="25" t="str">
        <x:v>Directory member description excerpt: CENTENNIAL, CO PRIVATE LENDER Colorado Lending specializes in mortgage loan services in Colorado.</x:v>
      </x:c>
      <x:c r="AB2211" s="3" t="str">
        <x:v>New public-source collection</x:v>
      </x:c>
      <x:c r="AC2211" s="3" t="str">
        <x:v>unverified</x:v>
      </x:c>
      <x:c r="AD2211" s="3" t="str">
        <x:v>Not contacted / unconfirmed</x:v>
      </x:c>
      <x:c r="AE2211" s="3" t="str">
        <x:v>No</x:v>
      </x:c>
      <x:c r="AF2211" s="3" t="str">
        <x:v>No</x:v>
      </x:c>
      <x:c r="AG2211" s="3"/>
      <x:c r="AH2211" s="3"/>
      <x:c r="AI2211" s="18"/>
      <x:c r="AJ2211" s="3" t="str">
        <x:v>CF2500-224E81E4A96F</x:v>
      </x:c>
      <x:c r="AK2211" s="3" t="str">
        <x:v>private real estate lender (directory claim)</x:v>
      </x:c>
      <x:c r="AL2211" s="19" t="n">
        <x:v>100000</x:v>
      </x:c>
      <x:c r="AM2211" s="19" t="n">
        <x:v>500000</x:v>
      </x:c>
      <x:c r="AN2211" s="3" t="str">
        <x:v>https://www.privatelendersdirectory.com/united-states/centennial/real-estate-investment-lending/colorado-lending-inc</x:v>
      </x:c>
      <x:c r="AO2211" s="3" t="str">
        <x:v>bulk_new_investors.jsonl</x:v>
      </x:c>
      <x:c r="AP2211" s="19"/>
    </x:row>
    <x:row r="2212" ht="36" customHeight="1">
      <x:c r="A2212" s="23" t="n">
        <x:v>2211</x:v>
      </x:c>
      <x:c r="B2212" s="15" t="str">
        <x:v>FASTER FUNDS LENDING</x:v>
      </x:c>
      <x:c r="C2212" s="15"/>
      <x:c r="D2212" s="15" t="str">
        <x:v>Property lender / private real-estate capital prospect</x:v>
      </x:c>
      <x:c r="E2212" s="15" t="str">
        <x:v>Property lender / private-money inquiry</x:v>
      </x:c>
      <x:c r="F2212" s="17" t="str">
        <x:v>New</x:v>
      </x:c>
      <x:c r="G2212" s="24"/>
      <x:c r="H2212" s="24" t="str">
        <x:v>+16362234262</x:v>
      </x:c>
      <x:c r="I2212" s="24" t="str">
        <x:v>https://fasterfundslending.com/</x:v>
      </x:c>
      <x:c r="J2212" s="16" t="str">
        <x:v>MO</x:v>
      </x:c>
      <x:c r="K2212" s="16" t="str">
        <x:v>O'Fallon</x:v>
      </x:c>
      <x:c r="L2212" s="16" t="str">
        <x:v>firm_business_routing</x:v>
      </x:c>
      <x:c r="M2212" s="16" t="str">
        <x:v>https://fasterfundslending.com/</x:v>
      </x:c>
      <x:c r="N2212" s="16" t="str">
        <x:v>$100K-$500K ticket not published / unconfirmed</x:v>
      </x:c>
      <x:c r="O2212" s="20"/>
      <x:c r="P2212" s="20"/>
      <x:c r="Q2212" s="25" t="str">
        <x:v>Property-loan range, not a corporate-capital commitment</x:v>
      </x:c>
      <x:c r="R2212" s="25" t="str">
        <x:v>Private real-estate finance experience. Corporate working capital, minority equity or profit participation requires a separate agreement from a property loan.</x:v>
      </x:c>
      <x:c r="S2212" s="25"/>
      <x:c r="T2212" s="25" t="str">
        <x:v>Confirm direct principal versus broker, $100K-$500K appetite, and whether capital can fund the operating company without a property mortgage.</x:v>
      </x:c>
      <x:c r="U2212" s="25" t="str">
        <x:v>https://www.privatelendersdirectory.com/united-states/o-fallon/top-level-category/faster-funds-lending
https://fasterfundslending.com/</x:v>
      </x:c>
      <x:c r="V2212" s="26" t="d">
        <x:v>2026-10-02T00:00:00.000Z</x:v>
      </x:c>
      <x:c r="W2212" s="26" t="d">
        <x:v>2026-10-02T00:00:00.000Z</x:v>
      </x:c>
      <x:c r="X2212" s="25" t="str">
        <x:v>Public investor directory; business role and contact ownership require qualification</x:v>
      </x:c>
      <x:c r="Y2212" s="25"/>
      <x:c r="Z2212" s="25" t="str">
        <x:v>https://www.privatelendersdirectory.com/united-states/o-fallon/top-level-category/faster-funds-lending</x:v>
      </x:c>
      <x:c r="AA2212" s="25" t="str">
        <x:v>Directory member description excerpt: O'FALLON, MO HARD MONEY LENDER FasterFunds Lending was started to provide local landlords and rehabbers short term money to fund</x:v>
      </x:c>
      <x:c r="AB2212" s="3" t="str">
        <x:v>New public-source collection</x:v>
      </x:c>
      <x:c r="AC2212" s="3" t="str">
        <x:v>unverified</x:v>
      </x:c>
      <x:c r="AD2212" s="3" t="str">
        <x:v>Not contacted / unconfirmed</x:v>
      </x:c>
      <x:c r="AE2212" s="3" t="str">
        <x:v>No</x:v>
      </x:c>
      <x:c r="AF2212" s="3" t="str">
        <x:v>No</x:v>
      </x:c>
      <x:c r="AG2212" s="3"/>
      <x:c r="AH2212" s="3"/>
      <x:c r="AI2212" s="18"/>
      <x:c r="AJ2212" s="3" t="str">
        <x:v>CF2500-0A640D825255</x:v>
      </x:c>
      <x:c r="AK2212" s="3" t="str">
        <x:v>Local hard-money lender (published claim)</x:v>
      </x:c>
      <x:c r="AL2212" s="19" t="n">
        <x:v>100000</x:v>
      </x:c>
      <x:c r="AM2212" s="19" t="n">
        <x:v>500000</x:v>
      </x:c>
      <x:c r="AN2212" s="3" t="str">
        <x:v>https://www.privatelendersdirectory.com/united-states/o-fallon/top-level-category/faster-funds-lending</x:v>
      </x:c>
      <x:c r="AO2212" s="3" t="str">
        <x:v>bulk_new_investors.jsonl</x:v>
      </x:c>
      <x:c r="AP2212" s="19"/>
    </x:row>
    <x:row r="2213" ht="36" customHeight="1">
      <x:c r="A2213" s="23" t="n">
        <x:v>2212</x:v>
      </x:c>
      <x:c r="B2213" s="15" t="str">
        <x:v>Real Funding Group</x:v>
      </x:c>
      <x:c r="C2213" s="15"/>
      <x:c r="D2213" s="15" t="str">
        <x:v>Property lender or directory member; operating-company capital unconfirmed</x:v>
      </x:c>
      <x:c r="E2213" s="15" t="str">
        <x:v>Property lender / private-money inquiry</x:v>
      </x:c>
      <x:c r="F2213" s="17" t="str">
        <x:v>New</x:v>
      </x:c>
      <x:c r="G2213" s="24"/>
      <x:c r="H2213" s="24" t="str">
        <x:v>+18012052760</x:v>
      </x:c>
      <x:c r="I2213" s="24"/>
      <x:c r="J2213" s="16" t="str">
        <x:v>UT</x:v>
      </x:c>
      <x:c r="K2213" s="16" t="str">
        <x:v>Salt Lake City</x:v>
      </x:c>
      <x:c r="L2213" s="16" t="str">
        <x:v>firm_business_routing</x:v>
      </x:c>
      <x:c r="M2213" s="16"/>
      <x:c r="N2213" s="16" t="str">
        <x:v>Published source range; proposed allocation and structure require confirmation</x:v>
      </x:c>
      <x:c r="O2213" s="20"/>
      <x:c r="P2213" s="20" t="n">
        <x:v>1000000</x:v>
      </x:c>
      <x:c r="Q2213" s="25" t="str">
        <x:v>Property-loan range, not a corporate-capital commitment</x:v>
      </x:c>
      <x:c r="R2213" s="25" t="str">
        <x:v>Private real-estate finance experience. Corporate working capital, minority equity or profit participation requires a separate agreement from a property loan.</x:v>
      </x:c>
      <x:c r="S2213" s="25"/>
      <x:c r="T2213" s="25" t="str">
        <x:v>Confirm direct principal versus broker, $100K-$500K appetite, and whether capital can fund the operating company without a property mortgage.</x:v>
      </x:c>
      <x:c r="U2213" s="25" t="str">
        <x:v>https://www.hardmoneyhome.com/lenders/view/real-funding-group</x:v>
      </x:c>
      <x:c r="V2213" s="26" t="d">
        <x:v>2026-10-02T00:00:00.000Z</x:v>
      </x:c>
      <x:c r="W2213" s="26" t="d">
        <x:v>2026-09-30T00:00:00.000Z</x:v>
      </x:c>
      <x:c r="X2213" s="25" t="str">
        <x:v>Saved public company, industry-directory or regulatory source; source date retained</x:v>
      </x:c>
      <x:c r="Y2213" s="25"/>
      <x:c r="Z2213" s="25" t="str">
        <x:v>https://www.hardmoneyhome.com/lenders/view/real-funding-group</x:v>
      </x:c>
      <x:c r="AA2213" s="25" t="str">
        <x:v>[]</x:v>
      </x:c>
      <x:c r="AB2213" s="3" t="str">
        <x:v>Existing CapitalForge research, newly screened for this campaign</x:v>
      </x:c>
      <x:c r="AC2213" s="3" t="str">
        <x:v>unverified</x:v>
      </x:c>
      <x:c r="AD2213" s="3" t="str">
        <x:v>Not contacted / unconfirmed</x:v>
      </x:c>
      <x:c r="AE2213" s="3" t="str">
        <x:v>No</x:v>
      </x:c>
      <x:c r="AF2213" s="3" t="str">
        <x:v>No</x:v>
      </x:c>
      <x:c r="AG2213" s="3"/>
      <x:c r="AH2213" s="3"/>
      <x:c r="AI2213" s="18"/>
      <x:c r="AJ2213" s="3" t="str">
        <x:v>CF2500-A9F79AC17345</x:v>
      </x:c>
      <x:c r="AK2213" s="3" t="str">
        <x:v>private_real_estate_lender</x:v>
      </x:c>
      <x:c r="AL2213" s="19" t="n">
        <x:v>100000</x:v>
      </x:c>
      <x:c r="AM2213" s="19" t="n">
        <x:v>500000</x:v>
      </x:c>
      <x:c r="AN2213" s="3" t="str">
        <x:v>https://www.hardmoneyhome.com/lenders/view/real-funding-group</x:v>
      </x:c>
      <x:c r="AO2213" s="3" t="str">
        <x:v>public_directory.jsonl</x:v>
      </x:c>
      <x:c r="AP2213" s="19"/>
    </x:row>
    <x:row r="2214" ht="36" customHeight="1">
      <x:c r="A2214" s="23" t="n">
        <x:v>2213</x:v>
      </x:c>
      <x:c r="B2214" s="15" t="str">
        <x:v>Resolve Funding</x:v>
      </x:c>
      <x:c r="C2214" s="15"/>
      <x:c r="D2214" s="15" t="str">
        <x:v>Property lender or directory member; operating-company capital unconfirmed</x:v>
      </x:c>
      <x:c r="E2214" s="15" t="str">
        <x:v>Property lender / private-money inquiry</x:v>
      </x:c>
      <x:c r="F2214" s="17" t="str">
        <x:v>New</x:v>
      </x:c>
      <x:c r="G2214" s="24"/>
      <x:c r="H2214" s="24" t="str">
        <x:v>+13034953414</x:v>
      </x:c>
      <x:c r="I2214" s="24"/>
      <x:c r="J2214" s="16" t="str">
        <x:v>CO</x:v>
      </x:c>
      <x:c r="K2214" s="16" t="str">
        <x:v>Boulder</x:v>
      </x:c>
      <x:c r="L2214" s="16" t="str">
        <x:v>firm_business_routing</x:v>
      </x:c>
      <x:c r="M2214" s="16"/>
      <x:c r="N2214" s="16" t="str">
        <x:v>Published source range; proposed allocation and structure require confirmation</x:v>
      </x:c>
      <x:c r="O2214" s="20"/>
      <x:c r="P2214" s="20" t="n">
        <x:v>3000000</x:v>
      </x:c>
      <x:c r="Q2214" s="25" t="str">
        <x:v>Property-loan range, not a corporate-capital commitment</x:v>
      </x:c>
      <x:c r="R2214" s="25" t="str">
        <x:v>Private real-estate finance experience. Corporate working capital, minority equity or profit participation requires a separate agreement from a property loan.</x:v>
      </x:c>
      <x:c r="S2214" s="25"/>
      <x:c r="T2214" s="25" t="str">
        <x:v>Confirm direct principal versus broker, $100K-$500K appetite, and whether capital can fund the operating company without a property mortgage.</x:v>
      </x:c>
      <x:c r="U2214" s="25" t="str">
        <x:v>https://www.hardmoneyhome.com/lenders/view/resolve-funding</x:v>
      </x:c>
      <x:c r="V2214" s="26" t="d">
        <x:v>2026-10-02T00:00:00.000Z</x:v>
      </x:c>
      <x:c r="W2214" s="26" t="d">
        <x:v>2026-09-30T00:00:00.000Z</x:v>
      </x:c>
      <x:c r="X2214" s="25" t="str">
        <x:v>Saved public company, industry-directory or regulatory source; source date retained</x:v>
      </x:c>
      <x:c r="Y2214" s="25"/>
      <x:c r="Z2214" s="25" t="str">
        <x:v>https://www.hardmoneyhome.com/lenders/view/resolve-funding</x:v>
      </x:c>
      <x:c r="AA2214" s="25" t="str">
        <x:v>[]</x:v>
      </x:c>
      <x:c r="AB2214" s="3" t="str">
        <x:v>Existing CapitalForge research, newly screened for this campaign</x:v>
      </x:c>
      <x:c r="AC2214" s="3" t="str">
        <x:v>unverified</x:v>
      </x:c>
      <x:c r="AD2214" s="3" t="str">
        <x:v>Not contacted / unconfirmed</x:v>
      </x:c>
      <x:c r="AE2214" s="3" t="str">
        <x:v>No</x:v>
      </x:c>
      <x:c r="AF2214" s="3" t="str">
        <x:v>No</x:v>
      </x:c>
      <x:c r="AG2214" s="3"/>
      <x:c r="AH2214" s="3"/>
      <x:c r="AI2214" s="18"/>
      <x:c r="AJ2214" s="3" t="str">
        <x:v>CF2500-074EE44B0E21</x:v>
      </x:c>
      <x:c r="AK2214" s="3" t="str">
        <x:v>private_real_estate_lender</x:v>
      </x:c>
      <x:c r="AL2214" s="19" t="n">
        <x:v>100000</x:v>
      </x:c>
      <x:c r="AM2214" s="19" t="n">
        <x:v>500000</x:v>
      </x:c>
      <x:c r="AN2214" s="3" t="str">
        <x:v>https://www.hardmoneyhome.com/lenders/view/resolve-funding</x:v>
      </x:c>
      <x:c r="AO2214" s="3" t="str">
        <x:v>public_directory.jsonl</x:v>
      </x:c>
      <x:c r="AP2214" s="19"/>
    </x:row>
    <x:row r="2215" ht="36" customHeight="1">
      <x:c r="A2215" s="23" t="n">
        <x:v>2214</x:v>
      </x:c>
      <x:c r="B2215" s="15" t="str">
        <x:v>Riverdale Funding</x:v>
      </x:c>
      <x:c r="C2215" s="15"/>
      <x:c r="D2215" s="15" t="str">
        <x:v>Property lender or directory member; operating-company capital unconfirmed</x:v>
      </x:c>
      <x:c r="E2215" s="15" t="str">
        <x:v>Property lender / private-money inquiry</x:v>
      </x:c>
      <x:c r="F2215" s="17" t="str">
        <x:v>New</x:v>
      </x:c>
      <x:c r="G2215" s="24"/>
      <x:c r="H2215" s="24" t="str">
        <x:v>+18883684983</x:v>
      </x:c>
      <x:c r="I2215" s="24"/>
      <x:c r="J2215" s="16" t="str">
        <x:v>TN</x:v>
      </x:c>
      <x:c r="K2215" s="16" t="str">
        <x:v>Johnson City</x:v>
      </x:c>
      <x:c r="L2215" s="16" t="str">
        <x:v>firm_business_routing</x:v>
      </x:c>
      <x:c r="M2215" s="16"/>
      <x:c r="N2215" s="16" t="str">
        <x:v>$100K-$500K ticket not published / unconfirmed</x:v>
      </x:c>
      <x:c r="O2215" s="20"/>
      <x:c r="P2215" s="20"/>
      <x:c r="Q2215" s="25" t="str">
        <x:v>Property-loan range, not a corporate-capital commitment</x:v>
      </x:c>
      <x:c r="R2215" s="25" t="str">
        <x:v>Private real-estate finance experience. Corporate working capital, minority equity or profit participation requires a separate agreement from a property loan.</x:v>
      </x:c>
      <x:c r="S2215" s="25"/>
      <x:c r="T2215" s="25" t="str">
        <x:v>Confirm direct principal versus broker, $100K-$500K appetite, and whether capital can fund the operating company without a property mortgage.</x:v>
      </x:c>
      <x:c r="U2215" s="25" t="str">
        <x:v>https://www.hardmoneyhome.com/lenders/view/riverdale-funding</x:v>
      </x:c>
      <x:c r="V2215" s="26" t="d">
        <x:v>2026-10-02T00:00:00.000Z</x:v>
      </x:c>
      <x:c r="W2215" s="26" t="d">
        <x:v>2026-09-30T00:00:00.000Z</x:v>
      </x:c>
      <x:c r="X2215" s="25" t="str">
        <x:v>Saved public company, industry-directory or regulatory source; source date retained</x:v>
      </x:c>
      <x:c r="Y2215" s="25"/>
      <x:c r="Z2215" s="25" t="str">
        <x:v>https://www.hardmoneyhome.com/lenders/view/riverdale-funding</x:v>
      </x:c>
      <x:c r="AA2215" s="25" t="str">
        <x:v>[]</x:v>
      </x:c>
      <x:c r="AB2215" s="3" t="str">
        <x:v>Existing CapitalForge research, newly screened for this campaign</x:v>
      </x:c>
      <x:c r="AC2215" s="3" t="str">
        <x:v>unverified</x:v>
      </x:c>
      <x:c r="AD2215" s="3" t="str">
        <x:v>Not contacted / unconfirmed</x:v>
      </x:c>
      <x:c r="AE2215" s="3" t="str">
        <x:v>No</x:v>
      </x:c>
      <x:c r="AF2215" s="3" t="str">
        <x:v>No</x:v>
      </x:c>
      <x:c r="AG2215" s="3"/>
      <x:c r="AH2215" s="3"/>
      <x:c r="AI2215" s="18"/>
      <x:c r="AJ2215" s="3" t="str">
        <x:v>CF2500-695EC859E321</x:v>
      </x:c>
      <x:c r="AK2215" s="3" t="str">
        <x:v>private_real_estate_lender</x:v>
      </x:c>
      <x:c r="AL2215" s="19" t="n">
        <x:v>100000</x:v>
      </x:c>
      <x:c r="AM2215" s="19" t="n">
        <x:v>500000</x:v>
      </x:c>
      <x:c r="AN2215" s="3" t="str">
        <x:v>https://www.hardmoneyhome.com/lenders/view/riverdale-funding</x:v>
      </x:c>
      <x:c r="AO2215" s="3" t="str">
        <x:v>public_directory.jsonl</x:v>
      </x:c>
      <x:c r="AP2215" s="19"/>
    </x:row>
    <x:row r="2216" ht="36" customHeight="1">
      <x:c r="A2216" s="23" t="n">
        <x:v>2215</x:v>
      </x:c>
      <x:c r="B2216" s="15" t="str">
        <x:v>7 FIGURES FUNDING</x:v>
      </x:c>
      <x:c r="C2216" s="15"/>
      <x:c r="D2216" s="15" t="str">
        <x:v>Property lender / private real-estate capital prospect</x:v>
      </x:c>
      <x:c r="E2216" s="15" t="str">
        <x:v>Property lender / private-money inquiry</x:v>
      </x:c>
      <x:c r="F2216" s="17" t="str">
        <x:v>New</x:v>
      </x:c>
      <x:c r="G2216" s="24"/>
      <x:c r="H2216" s="24"/>
      <x:c r="I2216" s="24" t="str">
        <x:v>https://www.7figuresfunding.com/</x:v>
      </x:c>
      <x:c r="J2216" s="16" t="str">
        <x:v>UT</x:v>
      </x:c>
      <x:c r="K2216" s="16" t="str">
        <x:v>American Fork</x:v>
      </x:c>
      <x:c r="L2216" s="16" t="str">
        <x:v>firm_business_routing</x:v>
      </x:c>
      <x:c r="M2216" s="16" t="str">
        <x:v>https://www.7figuresfunding.com/</x:v>
      </x:c>
      <x:c r="N2216" s="16" t="str">
        <x:v>$100K-$500K ticket not published / unconfirmed</x:v>
      </x:c>
      <x:c r="O2216" s="20"/>
      <x:c r="P2216" s="20"/>
      <x:c r="Q2216" s="25" t="str">
        <x:v>Property-loan range, not a corporate-capital commitment</x:v>
      </x:c>
      <x:c r="R2216" s="25" t="str">
        <x:v>Private real-estate finance experience. Corporate working capital, minority equity or profit participation requires a separate agreement from a property loan.</x:v>
      </x:c>
      <x:c r="S2216" s="25"/>
      <x:c r="T2216" s="25" t="str">
        <x:v>Confirm direct principal versus broker, $100K-$500K appetite, and whether capital can fund the operating company without a property mortgage.</x:v>
      </x:c>
      <x:c r="U2216" s="25" t="str">
        <x:v>https://www.privatelendersdirectory.com/united-states/american-fork/top-level-category/7-figures-funding</x:v>
      </x:c>
      <x:c r="V2216" s="26" t="d">
        <x:v>2026-10-02T00:00:00.000Z</x:v>
      </x:c>
      <x:c r="W2216" s="26" t="d">
        <x:v>2026-10-02T00:00:00.000Z</x:v>
      </x:c>
      <x:c r="X2216" s="25" t="str">
        <x:v>Public investor directory; business role and contact ownership require qualification</x:v>
      </x:c>
      <x:c r="Y2216" s="25"/>
      <x:c r="Z2216" s="25"/>
      <x:c r="AA2216" s="25" t="str">
        <x:v>Directory member description excerpt: UT PORTFOLIO LENDER Making raise in finances easier for small businesses and startups, today, 7 Figures Funding offers an alternative</x:v>
      </x:c>
      <x:c r="AB2216" s="3" t="str">
        <x:v>New public-source collection</x:v>
      </x:c>
      <x:c r="AC2216" s="3" t="str">
        <x:v>unverified</x:v>
      </x:c>
      <x:c r="AD2216" s="3" t="str">
        <x:v>Not contacted / unconfirmed</x:v>
      </x:c>
      <x:c r="AE2216" s="3" t="str">
        <x:v>No</x:v>
      </x:c>
      <x:c r="AF2216" s="3" t="str">
        <x:v>No</x:v>
      </x:c>
      <x:c r="AG2216" s="3"/>
      <x:c r="AH2216" s="3"/>
      <x:c r="AI2216" s="18"/>
      <x:c r="AJ2216" s="3" t="str">
        <x:v>CF2500-31A4E8157B51</x:v>
      </x:c>
      <x:c r="AK2216" s="3" t="str">
        <x:v>real estate capital prospect (role unconfirmed)</x:v>
      </x:c>
      <x:c r="AL2216" s="19" t="n">
        <x:v>100000</x:v>
      </x:c>
      <x:c r="AM2216" s="19" t="n">
        <x:v>500000</x:v>
      </x:c>
      <x:c r="AN2216" s="3" t="str">
        <x:v>https://www.privatelendersdirectory.com/united-states/american-fork/top-level-category/7-figures-funding</x:v>
      </x:c>
      <x:c r="AO2216" s="3" t="str">
        <x:v>bulk_new_investors.jsonl</x:v>
      </x:c>
      <x:c r="AP2216" s="19"/>
    </x:row>
    <x:row r="2217" ht="36" customHeight="1">
      <x:c r="A2217" s="23" t="n">
        <x:v>2216</x:v>
      </x:c>
      <x:c r="B2217" s="15" t="str">
        <x:v>ALOHA PRIVATE LENDING</x:v>
      </x:c>
      <x:c r="C2217" s="15"/>
      <x:c r="D2217" s="15" t="str">
        <x:v>Property lender / private real-estate capital prospect</x:v>
      </x:c>
      <x:c r="E2217" s="15" t="str">
        <x:v>Property lender / private-money inquiry</x:v>
      </x:c>
      <x:c r="F2217" s="17" t="str">
        <x:v>New</x:v>
      </x:c>
      <x:c r="G2217" s="24"/>
      <x:c r="H2217" s="24"/>
      <x:c r="I2217" s="24" t="str">
        <x:v>https://alohaprivatelending.com/</x:v>
      </x:c>
      <x:c r="J2217" s="16" t="str">
        <x:v>CO</x:v>
      </x:c>
      <x:c r="K2217" s="16" t="str">
        <x:v>Boulder</x:v>
      </x:c>
      <x:c r="L2217" s="16" t="str">
        <x:v>firm_business_routing</x:v>
      </x:c>
      <x:c r="M2217" s="16" t="str">
        <x:v>https://alohaprivatelending.com/</x:v>
      </x:c>
      <x:c r="N2217" s="16" t="str">
        <x:v>$100K-$500K ticket not published / unconfirmed</x:v>
      </x:c>
      <x:c r="O2217" s="20"/>
      <x:c r="P2217" s="20"/>
      <x:c r="Q2217" s="25" t="str">
        <x:v>Property-loan range, not a corporate-capital commitment</x:v>
      </x:c>
      <x:c r="R2217" s="25" t="str">
        <x:v>Private real-estate finance experience. Corporate working capital, minority equity or profit participation requires a separate agreement from a property loan.</x:v>
      </x:c>
      <x:c r="S2217" s="25"/>
      <x:c r="T2217" s="25" t="str">
        <x:v>Confirm direct principal versus broker, $100K-$500K appetite, and whether capital can fund the operating company without a property mortgage.</x:v>
      </x:c>
      <x:c r="U2217" s="25" t="str">
        <x:v>https://www.privatelendersdirectory.com/united-states/boulder/top-level-category/aloha-private-lending</x:v>
      </x:c>
      <x:c r="V2217" s="26" t="d">
        <x:v>2026-10-02T00:00:00.000Z</x:v>
      </x:c>
      <x:c r="W2217" s="26" t="d">
        <x:v>2026-10-02T00:00:00.000Z</x:v>
      </x:c>
      <x:c r="X2217" s="25" t="str">
        <x:v>Public investor directory; business role and contact ownership require qualification</x:v>
      </x:c>
      <x:c r="Y2217" s="25"/>
      <x:c r="Z2217" s="25"/>
      <x:c r="AA2217" s="25" t="str">
        <x:v>Directory member description excerpt: BOULDER, CO HARD MONEY LENDER Specializing in Hard Money real estate loans (bridge loans, short term loans, and hard money</x:v>
      </x:c>
      <x:c r="AB2217" s="3" t="str">
        <x:v>New public-source collection</x:v>
      </x:c>
      <x:c r="AC2217" s="3" t="str">
        <x:v>unverified</x:v>
      </x:c>
      <x:c r="AD2217" s="3" t="str">
        <x:v>Not contacted / unconfirmed</x:v>
      </x:c>
      <x:c r="AE2217" s="3" t="str">
        <x:v>No</x:v>
      </x:c>
      <x:c r="AF2217" s="3" t="str">
        <x:v>No</x:v>
      </x:c>
      <x:c r="AG2217" s="3"/>
      <x:c r="AH2217" s="3"/>
      <x:c r="AI2217" s="18"/>
      <x:c r="AJ2217" s="3" t="str">
        <x:v>CF2500-012045A7C50E</x:v>
      </x:c>
      <x:c r="AK2217" s="3" t="str">
        <x:v>private real estate lender (directory claim)</x:v>
      </x:c>
      <x:c r="AL2217" s="19" t="n">
        <x:v>100000</x:v>
      </x:c>
      <x:c r="AM2217" s="19" t="n">
        <x:v>500000</x:v>
      </x:c>
      <x:c r="AN2217" s="3" t="str">
        <x:v>https://www.privatelendersdirectory.com/united-states/boulder/top-level-category/aloha-private-lending</x:v>
      </x:c>
      <x:c r="AO2217" s="3" t="str">
        <x:v>bulk_new_investors.jsonl</x:v>
      </x:c>
      <x:c r="AP2217" s="19"/>
    </x:row>
    <x:row r="2218" ht="36" customHeight="1">
      <x:c r="A2218" s="23" t="n">
        <x:v>2217</x:v>
      </x:c>
      <x:c r="B2218" s="15" t="str">
        <x:v>ALTERNATIVE CAPITAL INC.</x:v>
      </x:c>
      <x:c r="C2218" s="15"/>
      <x:c r="D2218" s="15" t="str">
        <x:v>Property lender / private real-estate capital prospect</x:v>
      </x:c>
      <x:c r="E2218" s="15" t="str">
        <x:v>Property lender / private-money inquiry</x:v>
      </x:c>
      <x:c r="F2218" s="17" t="str">
        <x:v>New</x:v>
      </x:c>
      <x:c r="G2218" s="24"/>
      <x:c r="H2218" s="24"/>
      <x:c r="I2218" s="24" t="str">
        <x:v>https://www.alternativecapitalus.com/</x:v>
      </x:c>
      <x:c r="J2218" s="16" t="str">
        <x:v>GA</x:v>
      </x:c>
      <x:c r="K2218" s="16" t="str">
        <x:v>Peachtree City</x:v>
      </x:c>
      <x:c r="L2218" s="16" t="str">
        <x:v>firm_business_routing</x:v>
      </x:c>
      <x:c r="M2218" s="16" t="str">
        <x:v>https://www.alternativecapitalus.com/</x:v>
      </x:c>
      <x:c r="N2218" s="16" t="str">
        <x:v>$100K-$500K ticket not published / unconfirmed</x:v>
      </x:c>
      <x:c r="O2218" s="20"/>
      <x:c r="P2218" s="20"/>
      <x:c r="Q2218" s="25" t="str">
        <x:v>Property-loan range, not a corporate-capital commitment</x:v>
      </x:c>
      <x:c r="R2218" s="25" t="str">
        <x:v>Private real-estate finance experience. Corporate working capital, minority equity or profit participation requires a separate agreement from a property loan.</x:v>
      </x:c>
      <x:c r="S2218" s="25"/>
      <x:c r="T2218" s="25" t="str">
        <x:v>Confirm direct principal versus broker, $100K-$500K appetite, and whether capital can fund the operating company without a property mortgage.</x:v>
      </x:c>
      <x:c r="U2218" s="25" t="str">
        <x:v>https://www.privatelendersdirectory.com/united-states/peachtree-city/real-estate-investment-lending/alternative-capital-inc
https://www.alternativecapitalus.com/</x:v>
      </x:c>
      <x:c r="V2218" s="26" t="d">
        <x:v>2026-10-02T00:00:00.000Z</x:v>
      </x:c>
      <x:c r="W2218" s="26" t="d">
        <x:v>2026-10-02T00:00:00.000Z</x:v>
      </x:c>
      <x:c r="X2218" s="25" t="str">
        <x:v>Public investor directory; business role and contact ownership require qualification</x:v>
      </x:c>
      <x:c r="Y2218" s="25"/>
      <x:c r="Z2218" s="25"/>
      <x:c r="AA2218" s="25" t="str">
        <x:v>Directory member description excerpt: PEACHTREE CITY, GA PRIVATE MONEY LENDER We provide funding for Real-estate Investors</x:v>
      </x:c>
      <x:c r="AB2218" s="3" t="str">
        <x:v>New public-source collection</x:v>
      </x:c>
      <x:c r="AC2218" s="3" t="str">
        <x:v>unverified</x:v>
      </x:c>
      <x:c r="AD2218" s="3" t="str">
        <x:v>Not contacted / unconfirmed</x:v>
      </x:c>
      <x:c r="AE2218" s="3" t="str">
        <x:v>No</x:v>
      </x:c>
      <x:c r="AF2218" s="3" t="str">
        <x:v>No</x:v>
      </x:c>
      <x:c r="AG2218" s="3"/>
      <x:c r="AH2218" s="3"/>
      <x:c r="AI2218" s="18"/>
      <x:c r="AJ2218" s="3" t="str">
        <x:v>CF2500-67B5A440F0EF</x:v>
      </x:c>
      <x:c r="AK2218" s="3" t="str">
        <x:v>real estate capital prospect (role unconfirmed)</x:v>
      </x:c>
      <x:c r="AL2218" s="19" t="n">
        <x:v>100000</x:v>
      </x:c>
      <x:c r="AM2218" s="19" t="n">
        <x:v>500000</x:v>
      </x:c>
      <x:c r="AN2218" s="3" t="str">
        <x:v>https://www.privatelendersdirectory.com/united-states/peachtree-city/real-estate-investment-lending/alternative-capital-inc</x:v>
      </x:c>
      <x:c r="AO2218" s="3" t="str">
        <x:v>bulk_new_investors.jsonl</x:v>
      </x:c>
      <x:c r="AP2218" s="19"/>
    </x:row>
    <x:row r="2219" ht="36" customHeight="1">
      <x:c r="A2219" s="23" t="n">
        <x:v>2218</x:v>
      </x:c>
      <x:c r="B2219" s="15" t="str">
        <x:v>APEX CAPITAL LENDING</x:v>
      </x:c>
      <x:c r="C2219" s="15"/>
      <x:c r="D2219" s="15" t="str">
        <x:v>Property lender / private real-estate capital prospect</x:v>
      </x:c>
      <x:c r="E2219" s="15" t="str">
        <x:v>Property lender / private-money inquiry</x:v>
      </x:c>
      <x:c r="F2219" s="17" t="str">
        <x:v>New</x:v>
      </x:c>
      <x:c r="G2219" s="24"/>
      <x:c r="H2219" s="24"/>
      <x:c r="I2219" s="24" t="str">
        <x:v>https://apexcapitallending.com/</x:v>
      </x:c>
      <x:c r="J2219" s="16" t="str">
        <x:v>SC</x:v>
      </x:c>
      <x:c r="K2219" s="16" t="str">
        <x:v>Florence</x:v>
      </x:c>
      <x:c r="L2219" s="16" t="str">
        <x:v>firm_business_routing</x:v>
      </x:c>
      <x:c r="M2219" s="16" t="str">
        <x:v>https://apexcapitallending.com/</x:v>
      </x:c>
      <x:c r="N2219" s="16" t="str">
        <x:v>$100K-$500K ticket not published / unconfirmed</x:v>
      </x:c>
      <x:c r="O2219" s="20"/>
      <x:c r="P2219" s="20"/>
      <x:c r="Q2219" s="25" t="str">
        <x:v>Property-loan range, not a corporate-capital commitment</x:v>
      </x:c>
      <x:c r="R2219" s="25" t="str">
        <x:v>Private real-estate finance experience. Corporate working capital, minority equity or profit participation requires a separate agreement from a property loan.</x:v>
      </x:c>
      <x:c r="S2219" s="25"/>
      <x:c r="T2219" s="25" t="str">
        <x:v>Confirm direct principal versus broker, $100K-$500K appetite, and whether capital can fund the operating company without a property mortgage.</x:v>
      </x:c>
      <x:c r="U2219" s="25" t="str">
        <x:v>https://www.privatelendersdirectory.com/united-states/florence/real-estate-investment-lending/apex-capital-lending</x:v>
      </x:c>
      <x:c r="V2219" s="26" t="d">
        <x:v>2026-10-02T00:00:00.000Z</x:v>
      </x:c>
      <x:c r="W2219" s="26" t="d">
        <x:v>2026-10-02T00:00:00.000Z</x:v>
      </x:c>
      <x:c r="X2219" s="25" t="str">
        <x:v>Public investor directory; business role and contact ownership require qualification</x:v>
      </x:c>
      <x:c r="Y2219" s="25"/>
      <x:c r="Z2219" s="25"/>
      <x:c r="AA2219" s="25" t="str">
        <x:v>Directory member description excerpt: FLORENCE, SC PRIVATE MONEY LENDER Apex Capital Lending is a private money lender providing business purpose loans for real estate</x:v>
      </x:c>
      <x:c r="AB2219" s="3" t="str">
        <x:v>New public-source collection</x:v>
      </x:c>
      <x:c r="AC2219" s="3" t="str">
        <x:v>unverified</x:v>
      </x:c>
      <x:c r="AD2219" s="3" t="str">
        <x:v>Not contacted / unconfirmed</x:v>
      </x:c>
      <x:c r="AE2219" s="3" t="str">
        <x:v>No</x:v>
      </x:c>
      <x:c r="AF2219" s="3" t="str">
        <x:v>No</x:v>
      </x:c>
      <x:c r="AG2219" s="3"/>
      <x:c r="AH2219" s="3"/>
      <x:c r="AI2219" s="18"/>
      <x:c r="AJ2219" s="3" t="str">
        <x:v>CF2500-563222A7BC17</x:v>
      </x:c>
      <x:c r="AK2219" s="3" t="str">
        <x:v>real estate capital prospect (role unconfirmed)</x:v>
      </x:c>
      <x:c r="AL2219" s="19" t="n">
        <x:v>100000</x:v>
      </x:c>
      <x:c r="AM2219" s="19" t="n">
        <x:v>500000</x:v>
      </x:c>
      <x:c r="AN2219" s="3" t="str">
        <x:v>https://www.privatelendersdirectory.com/united-states/florence/real-estate-investment-lending/apex-capital-lending</x:v>
      </x:c>
      <x:c r="AO2219" s="3" t="str">
        <x:v>bulk_new_investors.jsonl</x:v>
      </x:c>
      <x:c r="AP2219" s="19"/>
    </x:row>
    <x:row r="2220" ht="36" customHeight="1">
      <x:c r="A2220" s="23" t="n">
        <x:v>2219</x:v>
      </x:c>
      <x:c r="B2220" s="15" t="str">
        <x:v>BACKPACK INVESTMENT GROUP</x:v>
      </x:c>
      <x:c r="C2220" s="15"/>
      <x:c r="D2220" s="15" t="str">
        <x:v>Property lender / private real-estate capital prospect</x:v>
      </x:c>
      <x:c r="E2220" s="15" t="str">
        <x:v>Property lender / private-money inquiry</x:v>
      </x:c>
      <x:c r="F2220" s="17" t="str">
        <x:v>New</x:v>
      </x:c>
      <x:c r="G2220" s="24"/>
      <x:c r="H2220" s="24"/>
      <x:c r="I2220" s="24" t="str">
        <x:v>https://www.homes-in-boulder.com/</x:v>
      </x:c>
      <x:c r="J2220" s="16" t="str">
        <x:v>CO</x:v>
      </x:c>
      <x:c r="K2220" s="16" t="str">
        <x:v>Englewood</x:v>
      </x:c>
      <x:c r="L2220" s="16" t="str">
        <x:v>firm_business_routing</x:v>
      </x:c>
      <x:c r="M2220" s="16" t="str">
        <x:v>https://www.homes-in-boulder.com/</x:v>
      </x:c>
      <x:c r="N2220" s="16" t="str">
        <x:v>$100K-$500K ticket not published / unconfirmed</x:v>
      </x:c>
      <x:c r="O2220" s="20"/>
      <x:c r="P2220" s="20"/>
      <x:c r="Q2220" s="25" t="str">
        <x:v>Property-loan range, not a corporate-capital commitment</x:v>
      </x:c>
      <x:c r="R2220" s="25" t="str">
        <x:v>Private real-estate finance experience. Corporate working capital, minority equity or profit participation requires a separate agreement from a property loan.</x:v>
      </x:c>
      <x:c r="S2220" s="25"/>
      <x:c r="T2220" s="25" t="str">
        <x:v>Confirm direct principal versus broker, $100K-$500K appetite, and whether capital can fund the operating company without a property mortgage.</x:v>
      </x:c>
      <x:c r="U2220" s="25" t="str">
        <x:v>https://www.privatelendersdirectory.com/united-states/englewood/top-level-category/backpack-investment-group</x:v>
      </x:c>
      <x:c r="V2220" s="26" t="d">
        <x:v>2026-10-02T00:00:00.000Z</x:v>
      </x:c>
      <x:c r="W2220" s="26" t="d">
        <x:v>2026-10-02T00:00:00.000Z</x:v>
      </x:c>
      <x:c r="X2220" s="25" t="str">
        <x:v>Public investor directory; business role and contact ownership require qualification</x:v>
      </x:c>
      <x:c r="Y2220" s="25"/>
      <x:c r="Z2220" s="25"/>
      <x:c r="AA2220" s="25" t="str">
        <x:v>Directory member description excerpt: ENGLEWOOD, CO PRIVATE LENDER We lend to private and experienced Fix &amp; Flip businesses, partnering to provide added value to</x:v>
      </x:c>
      <x:c r="AB2220" s="3" t="str">
        <x:v>New public-source collection</x:v>
      </x:c>
      <x:c r="AC2220" s="3" t="str">
        <x:v>unverified</x:v>
      </x:c>
      <x:c r="AD2220" s="3" t="str">
        <x:v>Not contacted / unconfirmed</x:v>
      </x:c>
      <x:c r="AE2220" s="3" t="str">
        <x:v>No</x:v>
      </x:c>
      <x:c r="AF2220" s="3" t="str">
        <x:v>No</x:v>
      </x:c>
      <x:c r="AG2220" s="3"/>
      <x:c r="AH2220" s="3"/>
      <x:c r="AI2220" s="18"/>
      <x:c r="AJ2220" s="3" t="str">
        <x:v>CF2500-5D44F35524CA</x:v>
      </x:c>
      <x:c r="AK2220" s="3" t="str">
        <x:v>private real estate lender (directory claim)</x:v>
      </x:c>
      <x:c r="AL2220" s="19" t="n">
        <x:v>100000</x:v>
      </x:c>
      <x:c r="AM2220" s="19" t="n">
        <x:v>500000</x:v>
      </x:c>
      <x:c r="AN2220" s="3" t="str">
        <x:v>https://www.privatelendersdirectory.com/united-states/englewood/top-level-category/backpack-investment-group</x:v>
      </x:c>
      <x:c r="AO2220" s="3" t="str">
        <x:v>bulk_new_investors.jsonl</x:v>
      </x:c>
      <x:c r="AP2220" s="19"/>
    </x:row>
    <x:row r="2221" ht="36" customHeight="1">
      <x:c r="A2221" s="23" t="n">
        <x:v>2220</x:v>
      </x:c>
      <x:c r="B2221" s="15" t="str">
        <x:v>BAM CAPITAL</x:v>
      </x:c>
      <x:c r="C2221" s="15"/>
      <x:c r="D2221" s="15" t="str">
        <x:v>Property lender / private real-estate capital prospect</x:v>
      </x:c>
      <x:c r="E2221" s="15" t="str">
        <x:v>Property lender / private-money inquiry</x:v>
      </x:c>
      <x:c r="F2221" s="17" t="str">
        <x:v>New</x:v>
      </x:c>
      <x:c r="G2221" s="24"/>
      <x:c r="H2221" s="24"/>
      <x:c r="I2221" s="24" t="str">
        <x:v>https://capital.thebamcompanies.com/</x:v>
      </x:c>
      <x:c r="J2221" s="16" t="str">
        <x:v>IN</x:v>
      </x:c>
      <x:c r="K2221" s="16" t="str">
        <x:v>Carmel</x:v>
      </x:c>
      <x:c r="L2221" s="16" t="str">
        <x:v>firm_business_routing</x:v>
      </x:c>
      <x:c r="M2221" s="16" t="str">
        <x:v>https://capital.thebamcompanies.com/</x:v>
      </x:c>
      <x:c r="N2221" s="16" t="str">
        <x:v>$100K-$500K ticket not published / unconfirmed</x:v>
      </x:c>
      <x:c r="O2221" s="20"/>
      <x:c r="P2221" s="20"/>
      <x:c r="Q2221" s="25" t="str">
        <x:v>Property-loan range, not a corporate-capital commitment</x:v>
      </x:c>
      <x:c r="R2221" s="25" t="str">
        <x:v>Private real-estate finance experience. Corporate working capital, minority equity or profit participation requires a separate agreement from a property loan.</x:v>
      </x:c>
      <x:c r="S2221" s="25"/>
      <x:c r="T2221" s="25" t="str">
        <x:v>Confirm direct principal versus broker, $100K-$500K appetite, and whether capital can fund the operating company without a property mortgage.</x:v>
      </x:c>
      <x:c r="U2221" s="25" t="str">
        <x:v>https://www.privatelendersdirectory.com/united-states/carmel/top-level-category/bam-capital</x:v>
      </x:c>
      <x:c r="V2221" s="26" t="d">
        <x:v>2026-10-02T00:00:00.000Z</x:v>
      </x:c>
      <x:c r="W2221" s="26" t="d">
        <x:v>2026-10-02T00:00:00.000Z</x:v>
      </x:c>
      <x:c r="X2221" s="25" t="str">
        <x:v>Public investor directory; business role and contact ownership require qualification</x:v>
      </x:c>
      <x:c r="Y2221" s="25"/>
      <x:c r="Z2221" s="25"/>
      <x:c r="AA2221" s="25" t="str">
        <x:v>Directory member description excerpt: CARMEL, IN PRIVATE LENDER BAM Capital specializes in the acquisition of income-producing multifamily apartment communities.</x:v>
      </x:c>
      <x:c r="AB2221" s="3" t="str">
        <x:v>New public-source collection</x:v>
      </x:c>
      <x:c r="AC2221" s="3" t="str">
        <x:v>unverified</x:v>
      </x:c>
      <x:c r="AD2221" s="3" t="str">
        <x:v>Not contacted / unconfirmed</x:v>
      </x:c>
      <x:c r="AE2221" s="3" t="str">
        <x:v>No</x:v>
      </x:c>
      <x:c r="AF2221" s="3" t="str">
        <x:v>No</x:v>
      </x:c>
      <x:c r="AG2221" s="3"/>
      <x:c r="AH2221" s="3"/>
      <x:c r="AI2221" s="18"/>
      <x:c r="AJ2221" s="3" t="str">
        <x:v>CF2500-08E600F2C505</x:v>
      </x:c>
      <x:c r="AK2221" s="3" t="str">
        <x:v>private real estate lender (directory claim)</x:v>
      </x:c>
      <x:c r="AL2221" s="19" t="n">
        <x:v>100000</x:v>
      </x:c>
      <x:c r="AM2221" s="19" t="n">
        <x:v>500000</x:v>
      </x:c>
      <x:c r="AN2221" s="3" t="str">
        <x:v>https://www.privatelendersdirectory.com/united-states/carmel/top-level-category/bam-capital</x:v>
      </x:c>
      <x:c r="AO2221" s="3" t="str">
        <x:v>bulk_new_investors.jsonl</x:v>
      </x:c>
      <x:c r="AP2221" s="19"/>
    </x:row>
    <x:row r="2222" ht="36" customHeight="1">
      <x:c r="A2222" s="23" t="n">
        <x:v>2221</x:v>
      </x:c>
      <x:c r="B2222" s="15" t="str">
        <x:v>BLUEFIN FUNDING</x:v>
      </x:c>
      <x:c r="C2222" s="15"/>
      <x:c r="D2222" s="15" t="str">
        <x:v>Property lender / private real-estate capital prospect</x:v>
      </x:c>
      <x:c r="E2222" s="15" t="str">
        <x:v>Property lender / private-money inquiry</x:v>
      </x:c>
      <x:c r="F2222" s="17" t="str">
        <x:v>New</x:v>
      </x:c>
      <x:c r="G2222" s="24"/>
      <x:c r="H2222" s="24"/>
      <x:c r="I2222" s="24" t="str">
        <x:v>https://www.bluefinfunding.com/</x:v>
      </x:c>
      <x:c r="J2222" s="16" t="str">
        <x:v>CO</x:v>
      </x:c>
      <x:c r="K2222" s="16" t="str">
        <x:v>Denver</x:v>
      </x:c>
      <x:c r="L2222" s="16" t="str">
        <x:v>firm_business_routing</x:v>
      </x:c>
      <x:c r="M2222" s="16" t="str">
        <x:v>https://www.bluefinfunding.com/</x:v>
      </x:c>
      <x:c r="N2222" s="16" t="str">
        <x:v>$100K-$500K ticket not published / unconfirmed</x:v>
      </x:c>
      <x:c r="O2222" s="20"/>
      <x:c r="P2222" s="20"/>
      <x:c r="Q2222" s="25" t="str">
        <x:v>Property-loan range, not a corporate-capital commitment</x:v>
      </x:c>
      <x:c r="R2222" s="25" t="str">
        <x:v>Private real-estate finance experience. Corporate working capital, minority equity or profit participation requires a separate agreement from a property loan.</x:v>
      </x:c>
      <x:c r="S2222" s="25"/>
      <x:c r="T2222" s="25" t="str">
        <x:v>Confirm direct principal versus broker, $100K-$500K appetite, and whether capital can fund the operating company without a property mortgage.</x:v>
      </x:c>
      <x:c r="U2222" s="25" t="str">
        <x:v>https://www.privatelendersdirectory.com/united-states/denver/top-level-category/bluefin-funding</x:v>
      </x:c>
      <x:c r="V2222" s="26" t="d">
        <x:v>2026-10-02T00:00:00.000Z</x:v>
      </x:c>
      <x:c r="W2222" s="26" t="d">
        <x:v>2026-10-02T00:00:00.000Z</x:v>
      </x:c>
      <x:c r="X2222" s="25" t="str">
        <x:v>Public investor directory; business role and contact ownership require qualification</x:v>
      </x:c>
      <x:c r="Y2222" s="25"/>
      <x:c r="Z2222" s="25"/>
      <x:c r="AA2222" s="25" t="str">
        <x:v>Directory member description excerpt: DENVER, CO HARD MONEY LENDER We provide various types of hard money loans to real estate investors &amp; property owners</x:v>
      </x:c>
      <x:c r="AB2222" s="3" t="str">
        <x:v>New public-source collection</x:v>
      </x:c>
      <x:c r="AC2222" s="3" t="str">
        <x:v>unverified</x:v>
      </x:c>
      <x:c r="AD2222" s="3" t="str">
        <x:v>Not contacted / unconfirmed</x:v>
      </x:c>
      <x:c r="AE2222" s="3" t="str">
        <x:v>No</x:v>
      </x:c>
      <x:c r="AF2222" s="3" t="str">
        <x:v>No</x:v>
      </x:c>
      <x:c r="AG2222" s="3"/>
      <x:c r="AH2222" s="3"/>
      <x:c r="AI2222" s="18"/>
      <x:c r="AJ2222" s="3" t="str">
        <x:v>CF2500-BB02A6A1646A</x:v>
      </x:c>
      <x:c r="AK2222" s="3" t="str">
        <x:v>private real estate lender (directory claim)</x:v>
      </x:c>
      <x:c r="AL2222" s="19" t="n">
        <x:v>100000</x:v>
      </x:c>
      <x:c r="AM2222" s="19" t="n">
        <x:v>500000</x:v>
      </x:c>
      <x:c r="AN2222" s="3" t="str">
        <x:v>https://www.privatelendersdirectory.com/united-states/denver/top-level-category/bluefin-funding</x:v>
      </x:c>
      <x:c r="AO2222" s="3" t="str">
        <x:v>bulk_new_investors.jsonl</x:v>
      </x:c>
      <x:c r="AP2222" s="19"/>
    </x:row>
    <x:row r="2223" ht="36" customHeight="1">
      <x:c r="A2223" s="23" t="n">
        <x:v>2222</x:v>
      </x:c>
      <x:c r="B2223" s="15" t="str">
        <x:v>BOOM BAM PRIVATE FUNDING</x:v>
      </x:c>
      <x:c r="C2223" s="15"/>
      <x:c r="D2223" s="15" t="str">
        <x:v>Property lender / private real-estate capital prospect</x:v>
      </x:c>
      <x:c r="E2223" s="15" t="str">
        <x:v>Property lender / private-money inquiry</x:v>
      </x:c>
      <x:c r="F2223" s="17" t="str">
        <x:v>New</x:v>
      </x:c>
      <x:c r="G2223" s="24"/>
      <x:c r="H2223" s="24"/>
      <x:c r="I2223" s="24" t="str">
        <x:v>https://www.boomprivatefunding.com/</x:v>
      </x:c>
      <x:c r="J2223" s="16" t="str">
        <x:v>SC</x:v>
      </x:c>
      <x:c r="K2223" s="16" t="str">
        <x:v>Columbia</x:v>
      </x:c>
      <x:c r="L2223" s="16" t="str">
        <x:v>firm_business_routing</x:v>
      </x:c>
      <x:c r="M2223" s="16" t="str">
        <x:v>https://www.boomprivatefunding.com/</x:v>
      </x:c>
      <x:c r="N2223" s="16" t="str">
        <x:v>$100K-$500K ticket not published / unconfirmed</x:v>
      </x:c>
      <x:c r="O2223" s="20"/>
      <x:c r="P2223" s="20"/>
      <x:c r="Q2223" s="25" t="str">
        <x:v>Property-loan range, not a corporate-capital commitment</x:v>
      </x:c>
      <x:c r="R2223" s="25" t="str">
        <x:v>Private real-estate finance experience. Corporate working capital, minority equity or profit participation requires a separate agreement from a property loan.</x:v>
      </x:c>
      <x:c r="S2223" s="25"/>
      <x:c r="T2223" s="25" t="str">
        <x:v>Confirm direct principal versus broker, $100K-$500K appetite, and whether capital can fund the operating company without a property mortgage.</x:v>
      </x:c>
      <x:c r="U2223" s="25" t="str">
        <x:v>https://www.privatelendersdirectory.com/united-states/columbia/top-level-category/boom-bam-private-funding</x:v>
      </x:c>
      <x:c r="V2223" s="26" t="d">
        <x:v>2026-10-02T00:00:00.000Z</x:v>
      </x:c>
      <x:c r="W2223" s="26" t="d">
        <x:v>2026-10-02T00:00:00.000Z</x:v>
      </x:c>
      <x:c r="X2223" s="25" t="str">
        <x:v>Public investor directory; business role and contact ownership require qualification</x:v>
      </x:c>
      <x:c r="Y2223" s="25"/>
      <x:c r="Z2223" s="25"/>
      <x:c r="AA2223" s="25" t="str">
        <x:v>Directory member description excerpt: COLUMBIA, SC HARD MONEY LENDER Boomprivatefunding offers a best place to find the best service of Rental loans in Columbia</x:v>
      </x:c>
      <x:c r="AB2223" s="3" t="str">
        <x:v>New public-source collection</x:v>
      </x:c>
      <x:c r="AC2223" s="3" t="str">
        <x:v>unverified</x:v>
      </x:c>
      <x:c r="AD2223" s="3" t="str">
        <x:v>Not contacted / unconfirmed</x:v>
      </x:c>
      <x:c r="AE2223" s="3" t="str">
        <x:v>No</x:v>
      </x:c>
      <x:c r="AF2223" s="3" t="str">
        <x:v>No</x:v>
      </x:c>
      <x:c r="AG2223" s="3"/>
      <x:c r="AH2223" s="3"/>
      <x:c r="AI2223" s="18"/>
      <x:c r="AJ2223" s="3" t="str">
        <x:v>CF2500-81FF87BCAC3D</x:v>
      </x:c>
      <x:c r="AK2223" s="3" t="str">
        <x:v>private real estate lender (directory claim)</x:v>
      </x:c>
      <x:c r="AL2223" s="19" t="n">
        <x:v>100000</x:v>
      </x:c>
      <x:c r="AM2223" s="19" t="n">
        <x:v>500000</x:v>
      </x:c>
      <x:c r="AN2223" s="3" t="str">
        <x:v>https://www.privatelendersdirectory.com/united-states/columbia/top-level-category/boom-bam-private-funding</x:v>
      </x:c>
      <x:c r="AO2223" s="3" t="str">
        <x:v>bulk_new_investors.jsonl</x:v>
      </x:c>
      <x:c r="AP2223" s="19"/>
    </x:row>
    <x:row r="2224" ht="36" customHeight="1">
      <x:c r="A2224" s="23" t="n">
        <x:v>2223</x:v>
      </x:c>
      <x:c r="B2224" s="15" t="str">
        <x:v>BUILD LENDING</x:v>
      </x:c>
      <x:c r="C2224" s="15"/>
      <x:c r="D2224" s="15" t="str">
        <x:v>Property lender / private real-estate capital prospect</x:v>
      </x:c>
      <x:c r="E2224" s="15" t="str">
        <x:v>Property lender / private-money inquiry</x:v>
      </x:c>
      <x:c r="F2224" s="17" t="str">
        <x:v>New</x:v>
      </x:c>
      <x:c r="G2224" s="24"/>
      <x:c r="H2224" s="24"/>
      <x:c r="I2224" s="24" t="str">
        <x:v>https://www.buildlending.com/about</x:v>
      </x:c>
      <x:c r="J2224" s="16" t="str">
        <x:v>CO</x:v>
      </x:c>
      <x:c r="K2224" s="16" t="str">
        <x:v>Englewood</x:v>
      </x:c>
      <x:c r="L2224" s="16" t="str">
        <x:v>firm_business_routing</x:v>
      </x:c>
      <x:c r="M2224" s="16" t="str">
        <x:v>https://www.buildlending.com/about</x:v>
      </x:c>
      <x:c r="N2224" s="16" t="str">
        <x:v>$100K-$500K ticket not published / unconfirmed</x:v>
      </x:c>
      <x:c r="O2224" s="20"/>
      <x:c r="P2224" s="20"/>
      <x:c r="Q2224" s="25" t="str">
        <x:v>Property-loan range, not a corporate-capital commitment</x:v>
      </x:c>
      <x:c r="R2224" s="25" t="str">
        <x:v>Private real-estate finance experience. Corporate working capital, minority equity or profit participation requires a separate agreement from a property loan.</x:v>
      </x:c>
      <x:c r="S2224" s="25"/>
      <x:c r="T2224" s="25" t="str">
        <x:v>Confirm direct principal versus broker, $100K-$500K appetite, and whether capital can fund the operating company without a property mortgage.</x:v>
      </x:c>
      <x:c r="U2224" s="25" t="str">
        <x:v>https://www.privatelendersdirectory.com/united-states/englewood/real-estate-investment-lending/build-lending</x:v>
      </x:c>
      <x:c r="V2224" s="26" t="d">
        <x:v>2026-10-02T00:00:00.000Z</x:v>
      </x:c>
      <x:c r="W2224" s="26" t="d">
        <x:v>2026-10-02T00:00:00.000Z</x:v>
      </x:c>
      <x:c r="X2224" s="25" t="str">
        <x:v>Public investor directory; business role and contact ownership require qualification</x:v>
      </x:c>
      <x:c r="Y2224" s="25"/>
      <x:c r="Z2224" s="25"/>
      <x:c r="AA2224" s="25" t="str">
        <x:v>Directory member description excerpt: Build Lending is a diversified real estate lending and capital advisory firm offering services nationwide.</x:v>
      </x:c>
      <x:c r="AB2224" s="3" t="str">
        <x:v>New public-source collection</x:v>
      </x:c>
      <x:c r="AC2224" s="3" t="str">
        <x:v>unverified</x:v>
      </x:c>
      <x:c r="AD2224" s="3" t="str">
        <x:v>Not contacted / unconfirmed</x:v>
      </x:c>
      <x:c r="AE2224" s="3" t="str">
        <x:v>No</x:v>
      </x:c>
      <x:c r="AF2224" s="3" t="str">
        <x:v>No</x:v>
      </x:c>
      <x:c r="AG2224" s="3"/>
      <x:c r="AH2224" s="3"/>
      <x:c r="AI2224" s="18"/>
      <x:c r="AJ2224" s="3" t="str">
        <x:v>CF2500-9FCD582D0B17</x:v>
      </x:c>
      <x:c r="AK2224" s="3" t="str">
        <x:v>real estate capital prospect (role unconfirmed)</x:v>
      </x:c>
      <x:c r="AL2224" s="19" t="n">
        <x:v>100000</x:v>
      </x:c>
      <x:c r="AM2224" s="19" t="n">
        <x:v>500000</x:v>
      </x:c>
      <x:c r="AN2224" s="3" t="str">
        <x:v>https://www.privatelendersdirectory.com/united-states/englewood/real-estate-investment-lending/build-lending</x:v>
      </x:c>
      <x:c r="AO2224" s="3" t="str">
        <x:v>bulk_new_investors.jsonl</x:v>
      </x:c>
      <x:c r="AP2224" s="19"/>
    </x:row>
    <x:row r="2225" ht="36" customHeight="1">
      <x:c r="A2225" s="23" t="n">
        <x:v>2224</x:v>
      </x:c>
      <x:c r="B2225" s="15" t="str">
        <x:v>BULWARK INVESTMENT</x:v>
      </x:c>
      <x:c r="C2225" s="15"/>
      <x:c r="D2225" s="15" t="str">
        <x:v>Property lender / private real-estate capital prospect</x:v>
      </x:c>
      <x:c r="E2225" s="15" t="str">
        <x:v>Property lender / private-money inquiry</x:v>
      </x:c>
      <x:c r="F2225" s="17" t="str">
        <x:v>New</x:v>
      </x:c>
      <x:c r="G2225" s="24"/>
      <x:c r="H2225" s="24"/>
      <x:c r="I2225" s="24" t="str">
        <x:v>https://bulwarkinvests.com/</x:v>
      </x:c>
      <x:c r="J2225" s="16" t="str">
        <x:v>UT</x:v>
      </x:c>
      <x:c r="K2225" s="16" t="str">
        <x:v>Salt Lake City</x:v>
      </x:c>
      <x:c r="L2225" s="16" t="str">
        <x:v>firm_business_routing</x:v>
      </x:c>
      <x:c r="M2225" s="16" t="str">
        <x:v>https://bulwarkinvests.com/</x:v>
      </x:c>
      <x:c r="N2225" s="16" t="str">
        <x:v>$100K-$500K ticket not published / unconfirmed</x:v>
      </x:c>
      <x:c r="O2225" s="20"/>
      <x:c r="P2225" s="20"/>
      <x:c r="Q2225" s="25" t="str">
        <x:v>Property-loan range, not a corporate-capital commitment</x:v>
      </x:c>
      <x:c r="R2225" s="25" t="str">
        <x:v>Private real-estate finance experience. Corporate working capital, minority equity or profit participation requires a separate agreement from a property loan.</x:v>
      </x:c>
      <x:c r="S2225" s="25"/>
      <x:c r="T2225" s="25" t="str">
        <x:v>Confirm direct principal versus broker, $100K-$500K appetite, and whether capital can fund the operating company without a property mortgage.</x:v>
      </x:c>
      <x:c r="U2225" s="25" t="str">
        <x:v>https://www.privatelendersdirectory.com/united-states/salt-lake-city/top-level-category/bulwark-investment</x:v>
      </x:c>
      <x:c r="V2225" s="26" t="d">
        <x:v>2026-10-02T00:00:00.000Z</x:v>
      </x:c>
      <x:c r="W2225" s="26" t="d">
        <x:v>2026-10-02T00:00:00.000Z</x:v>
      </x:c>
      <x:c r="X2225" s="25" t="str">
        <x:v>Public investor directory; business role and contact ownership require qualification</x:v>
      </x:c>
      <x:c r="Y2225" s="25"/>
      <x:c r="Z2225" s="25"/>
      <x:c r="AA2225" s="25" t="str">
        <x:v>Directory member description excerpt: SALT LAKE CITY, UT PRIVATE LENDER We offer private money loans, hard money loans, and transactional funding. It is designed</x:v>
      </x:c>
      <x:c r="AB2225" s="3" t="str">
        <x:v>New public-source collection</x:v>
      </x:c>
      <x:c r="AC2225" s="3" t="str">
        <x:v>unverified</x:v>
      </x:c>
      <x:c r="AD2225" s="3" t="str">
        <x:v>Not contacted / unconfirmed</x:v>
      </x:c>
      <x:c r="AE2225" s="3" t="str">
        <x:v>No</x:v>
      </x:c>
      <x:c r="AF2225" s="3" t="str">
        <x:v>No</x:v>
      </x:c>
      <x:c r="AG2225" s="3"/>
      <x:c r="AH2225" s="3"/>
      <x:c r="AI2225" s="18"/>
      <x:c r="AJ2225" s="3" t="str">
        <x:v>CF2500-3FEDB93ABBA1</x:v>
      </x:c>
      <x:c r="AK2225" s="3" t="str">
        <x:v>private real estate lender (directory claim)</x:v>
      </x:c>
      <x:c r="AL2225" s="19" t="n">
        <x:v>100000</x:v>
      </x:c>
      <x:c r="AM2225" s="19" t="n">
        <x:v>500000</x:v>
      </x:c>
      <x:c r="AN2225" s="3" t="str">
        <x:v>https://www.privatelendersdirectory.com/united-states/salt-lake-city/top-level-category/bulwark-investment</x:v>
      </x:c>
      <x:c r="AO2225" s="3" t="str">
        <x:v>bulk_new_investors.jsonl</x:v>
      </x:c>
      <x:c r="AP2225" s="19"/>
    </x:row>
    <x:row r="2226" ht="36" customHeight="1">
      <x:c r="A2226" s="23" t="n">
        <x:v>2225</x:v>
      </x:c>
      <x:c r="B2226" s="15" t="str">
        <x:v>CAROLINA INVESTOR LOANS</x:v>
      </x:c>
      <x:c r="C2226" s="15"/>
      <x:c r="D2226" s="15" t="str">
        <x:v>Property lender / private real-estate capital prospect</x:v>
      </x:c>
      <x:c r="E2226" s="15" t="str">
        <x:v>Property lender / private-money inquiry</x:v>
      </x:c>
      <x:c r="F2226" s="17" t="str">
        <x:v>New</x:v>
      </x:c>
      <x:c r="G2226" s="24"/>
      <x:c r="H2226" s="24"/>
      <x:c r="I2226" s="24" t="str">
        <x:v>https://www.carolinainvestorloans.com/</x:v>
      </x:c>
      <x:c r="J2226" s="16" t="str">
        <x:v>SC</x:v>
      </x:c>
      <x:c r="K2226" s="16" t="str">
        <x:v>Lake Wylie</x:v>
      </x:c>
      <x:c r="L2226" s="16" t="str">
        <x:v>firm_business_routing</x:v>
      </x:c>
      <x:c r="M2226" s="16" t="str">
        <x:v>https://www.carolinainvestorloans.com/</x:v>
      </x:c>
      <x:c r="N2226" s="16" t="str">
        <x:v>$100K-$500K ticket not published / unconfirmed</x:v>
      </x:c>
      <x:c r="O2226" s="20"/>
      <x:c r="P2226" s="20"/>
      <x:c r="Q2226" s="25" t="str">
        <x:v>Property-loan range, not a corporate-capital commitment</x:v>
      </x:c>
      <x:c r="R2226" s="25" t="str">
        <x:v>Private real-estate finance experience. Corporate working capital, minority equity or profit participation requires a separate agreement from a property loan.</x:v>
      </x:c>
      <x:c r="S2226" s="25"/>
      <x:c r="T2226" s="25" t="str">
        <x:v>Confirm direct principal versus broker, $100K-$500K appetite, and whether capital can fund the operating company without a property mortgage.</x:v>
      </x:c>
      <x:c r="U2226" s="25" t="str">
        <x:v>https://www.privatelendersdirectory.com/united-states/lake-wylie/top-level-category/carolina-investor-loans</x:v>
      </x:c>
      <x:c r="V2226" s="26" t="d">
        <x:v>2026-10-02T00:00:00.000Z</x:v>
      </x:c>
      <x:c r="W2226" s="26" t="d">
        <x:v>2026-10-02T00:00:00.000Z</x:v>
      </x:c>
      <x:c r="X2226" s="25" t="str">
        <x:v>Public investor directory; business role and contact ownership require qualification</x:v>
      </x:c>
      <x:c r="Y2226" s="25"/>
      <x:c r="Z2226" s="25"/>
      <x:c r="AA2226" s="25" t="str">
        <x:v>Directory member description excerpt: LAKE WYLIE, SC HARD MONEY LENDER We make North Carolina and South Carolina hard money loans to experienced real estate</x:v>
      </x:c>
      <x:c r="AB2226" s="3" t="str">
        <x:v>New public-source collection</x:v>
      </x:c>
      <x:c r="AC2226" s="3" t="str">
        <x:v>unverified</x:v>
      </x:c>
      <x:c r="AD2226" s="3" t="str">
        <x:v>Not contacted / unconfirmed</x:v>
      </x:c>
      <x:c r="AE2226" s="3" t="str">
        <x:v>No</x:v>
      </x:c>
      <x:c r="AF2226" s="3" t="str">
        <x:v>No</x:v>
      </x:c>
      <x:c r="AG2226" s="3"/>
      <x:c r="AH2226" s="3"/>
      <x:c r="AI2226" s="18"/>
      <x:c r="AJ2226" s="3" t="str">
        <x:v>CF2500-041E8A772BBA</x:v>
      </x:c>
      <x:c r="AK2226" s="3" t="str">
        <x:v>private real estate lender (directory claim)</x:v>
      </x:c>
      <x:c r="AL2226" s="19" t="n">
        <x:v>100000</x:v>
      </x:c>
      <x:c r="AM2226" s="19" t="n">
        <x:v>500000</x:v>
      </x:c>
      <x:c r="AN2226" s="3" t="str">
        <x:v>https://www.privatelendersdirectory.com/united-states/lake-wylie/top-level-category/carolina-investor-loans</x:v>
      </x:c>
      <x:c r="AO2226" s="3" t="str">
        <x:v>bulk_new_investors.jsonl</x:v>
      </x:c>
      <x:c r="AP2226" s="19"/>
    </x:row>
    <x:row r="2227" ht="36" customHeight="1">
      <x:c r="A2227" s="23" t="n">
        <x:v>2226</x:v>
      </x:c>
      <x:c r="B2227" s="15" t="str">
        <x:v>CATO CAPITAL</x:v>
      </x:c>
      <x:c r="C2227" s="15"/>
      <x:c r="D2227" s="15" t="str">
        <x:v>Property lender / private real-estate capital prospect</x:v>
      </x:c>
      <x:c r="E2227" s="15" t="str">
        <x:v>Property lender / private-money inquiry</x:v>
      </x:c>
      <x:c r="F2227" s="17" t="str">
        <x:v>New</x:v>
      </x:c>
      <x:c r="G2227" s="24"/>
      <x:c r="H2227" s="24"/>
      <x:c r="I2227" s="24" t="str">
        <x:v>http://catocap.com/</x:v>
      </x:c>
      <x:c r="J2227" s="16" t="str">
        <x:v>CO</x:v>
      </x:c>
      <x:c r="K2227" s="16" t="str">
        <x:v>Longmont</x:v>
      </x:c>
      <x:c r="L2227" s="16" t="str">
        <x:v>firm_business_routing</x:v>
      </x:c>
      <x:c r="M2227" s="16" t="str">
        <x:v>http://catocap.com/</x:v>
      </x:c>
      <x:c r="N2227" s="16" t="str">
        <x:v>$100K-$500K ticket not published / unconfirmed</x:v>
      </x:c>
      <x:c r="O2227" s="20"/>
      <x:c r="P2227" s="20"/>
      <x:c r="Q2227" s="25" t="str">
        <x:v>Property-loan range, not a corporate-capital commitment</x:v>
      </x:c>
      <x:c r="R2227" s="25" t="str">
        <x:v>Private real-estate finance experience. Corporate working capital, minority equity or profit participation requires a separate agreement from a property loan.</x:v>
      </x:c>
      <x:c r="S2227" s="25"/>
      <x:c r="T2227" s="25" t="str">
        <x:v>Confirm direct principal versus broker, $100K-$500K appetite, and whether capital can fund the operating company without a property mortgage.</x:v>
      </x:c>
      <x:c r="U2227" s="25" t="str">
        <x:v>https://www.privatelendersdirectory.com/united-states/longmont/real-estate-investment-lending/cato-capital</x:v>
      </x:c>
      <x:c r="V2227" s="26" t="d">
        <x:v>2026-10-02T00:00:00.000Z</x:v>
      </x:c>
      <x:c r="W2227" s="26" t="d">
        <x:v>2026-10-02T00:00:00.000Z</x:v>
      </x:c>
      <x:c r="X2227" s="25" t="str">
        <x:v>Public investor directory; business role and contact ownership require qualification</x:v>
      </x:c>
      <x:c r="Y2227" s="25"/>
      <x:c r="Z2227" s="25"/>
      <x:c r="AA2227" s="25" t="str">
        <x:v>Directory member description excerpt: LONGMONT, CO PRIVATE LENDER Private debt and equity investor for construction, fix n flip and commercial projects.</x:v>
      </x:c>
      <x:c r="AB2227" s="3" t="str">
        <x:v>New public-source collection</x:v>
      </x:c>
      <x:c r="AC2227" s="3" t="str">
        <x:v>unverified</x:v>
      </x:c>
      <x:c r="AD2227" s="3" t="str">
        <x:v>Not contacted / unconfirmed</x:v>
      </x:c>
      <x:c r="AE2227" s="3" t="str">
        <x:v>No</x:v>
      </x:c>
      <x:c r="AF2227" s="3" t="str">
        <x:v>No</x:v>
      </x:c>
      <x:c r="AG2227" s="3"/>
      <x:c r="AH2227" s="3"/>
      <x:c r="AI2227" s="18"/>
      <x:c r="AJ2227" s="3" t="str">
        <x:v>CF2500-0674FA45C3FC</x:v>
      </x:c>
      <x:c r="AK2227" s="3" t="str">
        <x:v>private real estate lender (directory claim)</x:v>
      </x:c>
      <x:c r="AL2227" s="19" t="n">
        <x:v>100000</x:v>
      </x:c>
      <x:c r="AM2227" s="19" t="n">
        <x:v>500000</x:v>
      </x:c>
      <x:c r="AN2227" s="3" t="str">
        <x:v>https://www.privatelendersdirectory.com/united-states/longmont/real-estate-investment-lending/cato-capital</x:v>
      </x:c>
      <x:c r="AO2227" s="3" t="str">
        <x:v>bulk_new_investors.jsonl</x:v>
      </x:c>
      <x:c r="AP2227" s="19"/>
    </x:row>
    <x:row r="2228" ht="36" customHeight="1">
      <x:c r="A2228" s="23" t="n">
        <x:v>2227</x:v>
      </x:c>
      <x:c r="B2228" s="15" t="str">
        <x:v>CHASE CAPITAL</x:v>
      </x:c>
      <x:c r="C2228" s="15"/>
      <x:c r="D2228" s="15" t="str">
        <x:v>Property lender / private real-estate capital prospect</x:v>
      </x:c>
      <x:c r="E2228" s="15" t="str">
        <x:v>Property lender / private-money inquiry</x:v>
      </x:c>
      <x:c r="F2228" s="17" t="str">
        <x:v>New</x:v>
      </x:c>
      <x:c r="G2228" s="24"/>
      <x:c r="H2228" s="24"/>
      <x:c r="I2228" s="24" t="str">
        <x:v>https://chasecapital.net/</x:v>
      </x:c>
      <x:c r="J2228" s="16" t="str">
        <x:v>GA</x:v>
      </x:c>
      <x:c r="K2228" s="16" t="str">
        <x:v>Alpharetta</x:v>
      </x:c>
      <x:c r="L2228" s="16" t="str">
        <x:v>firm_business_routing</x:v>
      </x:c>
      <x:c r="M2228" s="16" t="str">
        <x:v>https://chasecapital.net/</x:v>
      </x:c>
      <x:c r="N2228" s="16" t="str">
        <x:v>$100K-$500K ticket not published / unconfirmed</x:v>
      </x:c>
      <x:c r="O2228" s="20"/>
      <x:c r="P2228" s="20"/>
      <x:c r="Q2228" s="25" t="str">
        <x:v>Property-loan range, not a corporate-capital commitment</x:v>
      </x:c>
      <x:c r="R2228" s="25" t="str">
        <x:v>Private real-estate finance experience. Corporate working capital, minority equity or profit participation requires a separate agreement from a property loan.</x:v>
      </x:c>
      <x:c r="S2228" s="25"/>
      <x:c r="T2228" s="25" t="str">
        <x:v>Confirm direct principal versus broker, $100K-$500K appetite, and whether capital can fund the operating company without a property mortgage.</x:v>
      </x:c>
      <x:c r="U2228" s="25" t="str">
        <x:v>https://www.privatelendersdirectory.com/united-states/alpharetta/top-level-category/chase-capital</x:v>
      </x:c>
      <x:c r="V2228" s="26" t="d">
        <x:v>2026-10-02T00:00:00.000Z</x:v>
      </x:c>
      <x:c r="W2228" s="26" t="d">
        <x:v>2026-10-02T00:00:00.000Z</x:v>
      </x:c>
      <x:c r="X2228" s="25" t="str">
        <x:v>Public investor directory; business role and contact ownership require qualification</x:v>
      </x:c>
      <x:c r="Y2228" s="25"/>
      <x:c r="Z2228" s="25"/>
      <x:c r="AA2228" s="25" t="str">
        <x:v>Directory member description excerpt: MILTON, GA HARD MONEY LENDER Chase Capital Holdings is a family-run Hard Money Lender serving Real Estate Investors.</x:v>
      </x:c>
      <x:c r="AB2228" s="3" t="str">
        <x:v>New public-source collection</x:v>
      </x:c>
      <x:c r="AC2228" s="3" t="str">
        <x:v>unverified</x:v>
      </x:c>
      <x:c r="AD2228" s="3" t="str">
        <x:v>Not contacted / unconfirmed</x:v>
      </x:c>
      <x:c r="AE2228" s="3" t="str">
        <x:v>No</x:v>
      </x:c>
      <x:c r="AF2228" s="3" t="str">
        <x:v>No</x:v>
      </x:c>
      <x:c r="AG2228" s="3"/>
      <x:c r="AH2228" s="3"/>
      <x:c r="AI2228" s="18"/>
      <x:c r="AJ2228" s="3" t="str">
        <x:v>CF2500-296B644CF841</x:v>
      </x:c>
      <x:c r="AK2228" s="3" t="str">
        <x:v>private real estate lender (directory claim)</x:v>
      </x:c>
      <x:c r="AL2228" s="19" t="n">
        <x:v>100000</x:v>
      </x:c>
      <x:c r="AM2228" s="19" t="n">
        <x:v>500000</x:v>
      </x:c>
      <x:c r="AN2228" s="3" t="str">
        <x:v>https://www.privatelendersdirectory.com/united-states/alpharetta/top-level-category/chase-capital</x:v>
      </x:c>
      <x:c r="AO2228" s="3" t="str">
        <x:v>bulk_new_investors.jsonl</x:v>
      </x:c>
      <x:c r="AP2228" s="19"/>
    </x:row>
    <x:row r="2229" ht="36" customHeight="1">
      <x:c r="A2229" s="23" t="n">
        <x:v>2228</x:v>
      </x:c>
      <x:c r="B2229" s="15" t="str">
        <x:v>CIRQUE CAPITAL</x:v>
      </x:c>
      <x:c r="C2229" s="15"/>
      <x:c r="D2229" s="15" t="str">
        <x:v>Property lender / private real-estate capital prospect</x:v>
      </x:c>
      <x:c r="E2229" s="15" t="str">
        <x:v>Property lender / private-money inquiry</x:v>
      </x:c>
      <x:c r="F2229" s="17" t="str">
        <x:v>New</x:v>
      </x:c>
      <x:c r="G2229" s="24"/>
      <x:c r="H2229" s="24"/>
      <x:c r="I2229" s="24" t="str">
        <x:v>https://www.cirquecapital.net/</x:v>
      </x:c>
      <x:c r="J2229" s="16" t="str">
        <x:v>UT</x:v>
      </x:c>
      <x:c r="K2229" s="16" t="str">
        <x:v>Salt Lake City</x:v>
      </x:c>
      <x:c r="L2229" s="16" t="str">
        <x:v>firm_business_routing</x:v>
      </x:c>
      <x:c r="M2229" s="16" t="str">
        <x:v>https://www.cirquecapital.net/</x:v>
      </x:c>
      <x:c r="N2229" s="16" t="str">
        <x:v>$100K-$500K ticket not published / unconfirmed</x:v>
      </x:c>
      <x:c r="O2229" s="20"/>
      <x:c r="P2229" s="20"/>
      <x:c r="Q2229" s="25" t="str">
        <x:v>Property-loan range, not a corporate-capital commitment</x:v>
      </x:c>
      <x:c r="R2229" s="25" t="str">
        <x:v>Private real-estate finance experience. Corporate working capital, minority equity or profit participation requires a separate agreement from a property loan.</x:v>
      </x:c>
      <x:c r="S2229" s="25"/>
      <x:c r="T2229" s="25" t="str">
        <x:v>Confirm direct principal versus broker, $100K-$500K appetite, and whether capital can fund the operating company without a property mortgage.</x:v>
      </x:c>
      <x:c r="U2229" s="25" t="str">
        <x:v>https://www.privatelendersdirectory.com/united-states/salt-lake-city/top-level-category/cirque-capital</x:v>
      </x:c>
      <x:c r="V2229" s="26" t="d">
        <x:v>2026-10-02T00:00:00.000Z</x:v>
      </x:c>
      <x:c r="W2229" s="26" t="d">
        <x:v>2026-10-02T00:00:00.000Z</x:v>
      </x:c>
      <x:c r="X2229" s="25" t="str">
        <x:v>Public investor directory; business role and contact ownership require qualification</x:v>
      </x:c>
      <x:c r="Y2229" s="25"/>
      <x:c r="Z2229" s="25"/>
      <x:c r="AA2229" s="25" t="str">
        <x:v>Directory member description excerpt: SALT LAKE CITY, UT PRIVATE LENDER Cirque Capital specializes in real estate investment banking offering a range of financial services</x:v>
      </x:c>
      <x:c r="AB2229" s="3" t="str">
        <x:v>New public-source collection</x:v>
      </x:c>
      <x:c r="AC2229" s="3" t="str">
        <x:v>unverified</x:v>
      </x:c>
      <x:c r="AD2229" s="3" t="str">
        <x:v>Not contacted / unconfirmed</x:v>
      </x:c>
      <x:c r="AE2229" s="3" t="str">
        <x:v>No</x:v>
      </x:c>
      <x:c r="AF2229" s="3" t="str">
        <x:v>No</x:v>
      </x:c>
      <x:c r="AG2229" s="3"/>
      <x:c r="AH2229" s="3"/>
      <x:c r="AI2229" s="18"/>
      <x:c r="AJ2229" s="3" t="str">
        <x:v>CF2500-3F83AD7C4C6C</x:v>
      </x:c>
      <x:c r="AK2229" s="3" t="str">
        <x:v>private real estate lender (directory claim)</x:v>
      </x:c>
      <x:c r="AL2229" s="19" t="n">
        <x:v>100000</x:v>
      </x:c>
      <x:c r="AM2229" s="19" t="n">
        <x:v>500000</x:v>
      </x:c>
      <x:c r="AN2229" s="3" t="str">
        <x:v>https://www.privatelendersdirectory.com/united-states/salt-lake-city/top-level-category/cirque-capital</x:v>
      </x:c>
      <x:c r="AO2229" s="3" t="str">
        <x:v>bulk_new_investors.jsonl</x:v>
      </x:c>
      <x:c r="AP2229" s="19"/>
    </x:row>
    <x:row r="2230" ht="36" customHeight="1">
      <x:c r="A2230" s="23" t="n">
        <x:v>2229</x:v>
      </x:c>
      <x:c r="B2230" s="15" t="str">
        <x:v>CLOUD CITY CAPITAL</x:v>
      </x:c>
      <x:c r="C2230" s="15"/>
      <x:c r="D2230" s="15" t="str">
        <x:v>Property lender / private real-estate capital prospect</x:v>
      </x:c>
      <x:c r="E2230" s="15" t="str">
        <x:v>Property lender / private-money inquiry</x:v>
      </x:c>
      <x:c r="F2230" s="17" t="str">
        <x:v>New</x:v>
      </x:c>
      <x:c r="G2230" s="24"/>
      <x:c r="H2230" s="24"/>
      <x:c r="I2230" s="24" t="str">
        <x:v>https://cloudcitycapital.com/</x:v>
      </x:c>
      <x:c r="J2230" s="16" t="str">
        <x:v>CO</x:v>
      </x:c>
      <x:c r="K2230" s="16" t="str">
        <x:v>Denver</x:v>
      </x:c>
      <x:c r="L2230" s="16" t="str">
        <x:v>firm_business_routing</x:v>
      </x:c>
      <x:c r="M2230" s="16" t="str">
        <x:v>https://cloudcitycapital.com/</x:v>
      </x:c>
      <x:c r="N2230" s="16" t="str">
        <x:v>$100K-$500K ticket not published / unconfirmed</x:v>
      </x:c>
      <x:c r="O2230" s="20"/>
      <x:c r="P2230" s="20"/>
      <x:c r="Q2230" s="25" t="str">
        <x:v>Property-loan range, not a corporate-capital commitment</x:v>
      </x:c>
      <x:c r="R2230" s="25" t="str">
        <x:v>Private real-estate finance experience. Corporate working capital, minority equity or profit participation requires a separate agreement from a property loan.</x:v>
      </x:c>
      <x:c r="S2230" s="25"/>
      <x:c r="T2230" s="25" t="str">
        <x:v>Confirm direct principal versus broker, $100K-$500K appetite, and whether capital can fund the operating company without a property mortgage.</x:v>
      </x:c>
      <x:c r="U2230" s="25" t="str">
        <x:v>https://www.privatelendersdirectory.com/united-states/denver/top-level-category/cloud-city-capital</x:v>
      </x:c>
      <x:c r="V2230" s="26" t="d">
        <x:v>2026-10-02T00:00:00.000Z</x:v>
      </x:c>
      <x:c r="W2230" s="26" t="d">
        <x:v>2026-10-02T00:00:00.000Z</x:v>
      </x:c>
      <x:c r="X2230" s="25" t="str">
        <x:v>Public investor directory; business role and contact ownership require qualification</x:v>
      </x:c>
      <x:c r="Y2230" s="25"/>
      <x:c r="Z2230" s="25"/>
      <x:c r="AA2230" s="25" t="str">
        <x:v>Directory member description excerpt: DENVER, CO REAL ESTATE INVESTMENT LENDER Cloud City is a commercial real estate investment firm specializing in real estate syndication,</x:v>
      </x:c>
      <x:c r="AB2230" s="3" t="str">
        <x:v>New public-source collection</x:v>
      </x:c>
      <x:c r="AC2230" s="3" t="str">
        <x:v>unverified</x:v>
      </x:c>
      <x:c r="AD2230" s="3" t="str">
        <x:v>Not contacted / unconfirmed</x:v>
      </x:c>
      <x:c r="AE2230" s="3" t="str">
        <x:v>No</x:v>
      </x:c>
      <x:c r="AF2230" s="3" t="str">
        <x:v>No</x:v>
      </x:c>
      <x:c r="AG2230" s="3"/>
      <x:c r="AH2230" s="3"/>
      <x:c r="AI2230" s="18"/>
      <x:c r="AJ2230" s="3" t="str">
        <x:v>CF2500-A1093BF5E399</x:v>
      </x:c>
      <x:c r="AK2230" s="3" t="str">
        <x:v>real estate capital prospect (role unconfirmed)</x:v>
      </x:c>
      <x:c r="AL2230" s="19" t="n">
        <x:v>100000</x:v>
      </x:c>
      <x:c r="AM2230" s="19" t="n">
        <x:v>500000</x:v>
      </x:c>
      <x:c r="AN2230" s="3" t="str">
        <x:v>https://www.privatelendersdirectory.com/united-states/denver/top-level-category/cloud-city-capital</x:v>
      </x:c>
      <x:c r="AO2230" s="3" t="str">
        <x:v>bulk_new_investors.jsonl</x:v>
      </x:c>
      <x:c r="AP2230" s="19"/>
    </x:row>
    <x:row r="2231" ht="36" customHeight="1">
      <x:c r="A2231" s="23" t="n">
        <x:v>2230</x:v>
      </x:c>
      <x:c r="B2231" s="15" t="str">
        <x:v>COAST TO COAST LENDING</x:v>
      </x:c>
      <x:c r="C2231" s="15"/>
      <x:c r="D2231" s="15" t="str">
        <x:v>Property lender / private real-estate capital prospect</x:v>
      </x:c>
      <x:c r="E2231" s="15" t="str">
        <x:v>Property lender / private-money inquiry</x:v>
      </x:c>
      <x:c r="F2231" s="17" t="str">
        <x:v>New</x:v>
      </x:c>
      <x:c r="G2231" s="24"/>
      <x:c r="H2231" s="24"/>
      <x:c r="I2231" s="24" t="str">
        <x:v>https://coasttocoastlending.com/</x:v>
      </x:c>
      <x:c r="J2231" s="16" t="str">
        <x:v>GA</x:v>
      </x:c>
      <x:c r="K2231" s="16" t="str">
        <x:v>Cumming</x:v>
      </x:c>
      <x:c r="L2231" s="16" t="str">
        <x:v>firm_business_routing</x:v>
      </x:c>
      <x:c r="M2231" s="16" t="str">
        <x:v>https://coasttocoastlending.com/</x:v>
      </x:c>
      <x:c r="N2231" s="16" t="str">
        <x:v>$100K-$500K ticket not published / unconfirmed</x:v>
      </x:c>
      <x:c r="O2231" s="20"/>
      <x:c r="P2231" s="20"/>
      <x:c r="Q2231" s="25" t="str">
        <x:v>Property-loan range, not a corporate-capital commitment</x:v>
      </x:c>
      <x:c r="R2231" s="25" t="str">
        <x:v>Private real-estate finance experience. Corporate working capital, minority equity or profit participation requires a separate agreement from a property loan.</x:v>
      </x:c>
      <x:c r="S2231" s="25"/>
      <x:c r="T2231" s="25" t="str">
        <x:v>Confirm direct principal versus broker, $100K-$500K appetite, and whether capital can fund the operating company without a property mortgage.</x:v>
      </x:c>
      <x:c r="U2231" s="25" t="str">
        <x:v>https://www.privatelendersdirectory.com/united-states/cumming/real-estate-investment-lending/coast-to-coast-lending</x:v>
      </x:c>
      <x:c r="V2231" s="26" t="d">
        <x:v>2026-10-02T00:00:00.000Z</x:v>
      </x:c>
      <x:c r="W2231" s="26" t="d">
        <x:v>2026-10-02T00:00:00.000Z</x:v>
      </x:c>
      <x:c r="X2231" s="25" t="str">
        <x:v>Public investor directory; business role and contact ownership require qualification</x:v>
      </x:c>
      <x:c r="Y2231" s="25"/>
      <x:c r="Z2231" s="25"/>
      <x:c r="AA2231" s="25" t="str">
        <x:v>Directory member description excerpt: CUMMING, GA PRIVATE REAL ESTATE LENDER Direct lender for Real estate investors I land in 50 states.</x:v>
      </x:c>
      <x:c r="AB2231" s="3" t="str">
        <x:v>New public-source collection</x:v>
      </x:c>
      <x:c r="AC2231" s="3" t="str">
        <x:v>unverified</x:v>
      </x:c>
      <x:c r="AD2231" s="3" t="str">
        <x:v>Not contacted / unconfirmed</x:v>
      </x:c>
      <x:c r="AE2231" s="3" t="str">
        <x:v>No</x:v>
      </x:c>
      <x:c r="AF2231" s="3" t="str">
        <x:v>No</x:v>
      </x:c>
      <x:c r="AG2231" s="3"/>
      <x:c r="AH2231" s="3"/>
      <x:c r="AI2231" s="18"/>
      <x:c r="AJ2231" s="3" t="str">
        <x:v>CF2500-91307FDE7616</x:v>
      </x:c>
      <x:c r="AK2231" s="3" t="str">
        <x:v>private real estate lender (directory claim)</x:v>
      </x:c>
      <x:c r="AL2231" s="19" t="n">
        <x:v>100000</x:v>
      </x:c>
      <x:c r="AM2231" s="19" t="n">
        <x:v>500000</x:v>
      </x:c>
      <x:c r="AN2231" s="3" t="str">
        <x:v>https://www.privatelendersdirectory.com/united-states/cumming/real-estate-investment-lending/coast-to-coast-lending</x:v>
      </x:c>
      <x:c r="AO2231" s="3" t="str">
        <x:v>bulk_new_investors.jsonl</x:v>
      </x:c>
      <x:c r="AP2231" s="19"/>
    </x:row>
    <x:row r="2232" ht="36" customHeight="1">
      <x:c r="A2232" s="23" t="n">
        <x:v>2231</x:v>
      </x:c>
      <x:c r="B2232" s="15" t="str">
        <x:v>COCKRELL'S CAPITAL</x:v>
      </x:c>
      <x:c r="C2232" s="15"/>
      <x:c r="D2232" s="15" t="str">
        <x:v>Property lender / private real-estate capital prospect</x:v>
      </x:c>
      <x:c r="E2232" s="15" t="str">
        <x:v>Property lender / private-money inquiry</x:v>
      </x:c>
      <x:c r="F2232" s="17" t="str">
        <x:v>New</x:v>
      </x:c>
      <x:c r="G2232" s="24"/>
      <x:c r="H2232" s="24"/>
      <x:c r="I2232" s="24" t="str">
        <x:v>https://www.cockrellscapital.com/</x:v>
      </x:c>
      <x:c r="J2232" s="16" t="str">
        <x:v>CO</x:v>
      </x:c>
      <x:c r="K2232" s="16" t="str">
        <x:v>Denver</x:v>
      </x:c>
      <x:c r="L2232" s="16" t="str">
        <x:v>firm_business_routing</x:v>
      </x:c>
      <x:c r="M2232" s="16" t="str">
        <x:v>https://www.cockrellscapital.com/</x:v>
      </x:c>
      <x:c r="N2232" s="16" t="str">
        <x:v>$100K-$500K ticket not published / unconfirmed</x:v>
      </x:c>
      <x:c r="O2232" s="20"/>
      <x:c r="P2232" s="20"/>
      <x:c r="Q2232" s="25" t="str">
        <x:v>Property-loan range, not a corporate-capital commitment</x:v>
      </x:c>
      <x:c r="R2232" s="25" t="str">
        <x:v>Private real-estate finance experience. Corporate working capital, minority equity or profit participation requires a separate agreement from a property loan.</x:v>
      </x:c>
      <x:c r="S2232" s="25"/>
      <x:c r="T2232" s="25" t="str">
        <x:v>Confirm direct principal versus broker, $100K-$500K appetite, and whether capital can fund the operating company without a property mortgage.</x:v>
      </x:c>
      <x:c r="U2232" s="25" t="str">
        <x:v>https://www.privatelendersdirectory.com/united-states/denver/top-level-category/cockrell-s-capital</x:v>
      </x:c>
      <x:c r="V2232" s="26" t="d">
        <x:v>2026-10-02T00:00:00.000Z</x:v>
      </x:c>
      <x:c r="W2232" s="26" t="d">
        <x:v>2026-10-02T00:00:00.000Z</x:v>
      </x:c>
      <x:c r="X2232" s="25" t="str">
        <x:v>Public investor directory; business role and contact ownership require qualification</x:v>
      </x:c>
      <x:c r="Y2232" s="25"/>
      <x:c r="Z2232" s="25"/>
      <x:c r="AA2232" s="25" t="str">
        <x:v>Directory member description excerpt: DENVER, CO PRIVATE LENDER Fast funding for your real estate investment projects without all the red tape.</x:v>
      </x:c>
      <x:c r="AB2232" s="3" t="str">
        <x:v>New public-source collection</x:v>
      </x:c>
      <x:c r="AC2232" s="3" t="str">
        <x:v>unverified</x:v>
      </x:c>
      <x:c r="AD2232" s="3" t="str">
        <x:v>Not contacted / unconfirmed</x:v>
      </x:c>
      <x:c r="AE2232" s="3" t="str">
        <x:v>No</x:v>
      </x:c>
      <x:c r="AF2232" s="3" t="str">
        <x:v>No</x:v>
      </x:c>
      <x:c r="AG2232" s="3"/>
      <x:c r="AH2232" s="3"/>
      <x:c r="AI2232" s="18"/>
      <x:c r="AJ2232" s="3" t="str">
        <x:v>CF2500-B54BA84F78D5</x:v>
      </x:c>
      <x:c r="AK2232" s="3" t="str">
        <x:v>private real estate lender (directory claim)</x:v>
      </x:c>
      <x:c r="AL2232" s="19" t="n">
        <x:v>100000</x:v>
      </x:c>
      <x:c r="AM2232" s="19" t="n">
        <x:v>500000</x:v>
      </x:c>
      <x:c r="AN2232" s="3" t="str">
        <x:v>https://www.privatelendersdirectory.com/united-states/denver/top-level-category/cockrell-s-capital</x:v>
      </x:c>
      <x:c r="AO2232" s="3" t="str">
        <x:v>bulk_new_investors.jsonl</x:v>
      </x:c>
      <x:c r="AP2232" s="19"/>
    </x:row>
    <x:row r="2233" ht="36" customHeight="1">
      <x:c r="A2233" s="23" t="n">
        <x:v>2232</x:v>
      </x:c>
      <x:c r="B2233" s="15" t="str">
        <x:v>INVESTMENT CAPITAL PARTNERS</x:v>
      </x:c>
      <x:c r="C2233" s="15"/>
      <x:c r="D2233" s="15" t="str">
        <x:v>Property lender / private real-estate capital prospect</x:v>
      </x:c>
      <x:c r="E2233" s="15" t="str">
        <x:v>Property lender / private-money inquiry</x:v>
      </x:c>
      <x:c r="F2233" s="17" t="str">
        <x:v>New</x:v>
      </x:c>
      <x:c r="G2233" s="24"/>
      <x:c r="H2233" s="24"/>
      <x:c r="I2233" s="24" t="str">
        <x:v>https://www.icpkc.com/</x:v>
      </x:c>
      <x:c r="J2233" s="16" t="str">
        <x:v>MO</x:v>
      </x:c>
      <x:c r="K2233" s="16" t="str">
        <x:v>Kansas City</x:v>
      </x:c>
      <x:c r="L2233" s="16" t="str">
        <x:v>firm_business_routing</x:v>
      </x:c>
      <x:c r="M2233" s="16" t="str">
        <x:v>https://www.icpkc.com/</x:v>
      </x:c>
      <x:c r="N2233" s="16" t="str">
        <x:v>$100K-$500K ticket not published / unconfirmed</x:v>
      </x:c>
      <x:c r="O2233" s="20"/>
      <x:c r="P2233" s="20"/>
      <x:c r="Q2233" s="25" t="str">
        <x:v>Property-loan range, not a corporate-capital commitment</x:v>
      </x:c>
      <x:c r="R2233" s="25" t="str">
        <x:v>Private real-estate finance experience. Corporate working capital, minority equity or profit participation requires a separate agreement from a property loan.</x:v>
      </x:c>
      <x:c r="S2233" s="25"/>
      <x:c r="T2233" s="25" t="str">
        <x:v>Confirm direct principal versus broker, $100K-$500K appetite, and whether capital can fund the operating company without a property mortgage.</x:v>
      </x:c>
      <x:c r="U2233" s="25" t="str">
        <x:v>https://www.privatelendersdirectory.com/united-states/kansas-city/top-level-category/investment-capital-partners
https://www.icpkc.com/
https://www.icpkc.com/contact</x:v>
      </x:c>
      <x:c r="V2233" s="26" t="d">
        <x:v>2026-10-02T00:00:00.000Z</x:v>
      </x:c>
      <x:c r="W2233" s="26" t="d">
        <x:v>2026-10-02T00:00:00.000Z</x:v>
      </x:c>
      <x:c r="X2233" s="25" t="str">
        <x:v>Public investor directory; business role and contact ownership require qualification</x:v>
      </x:c>
      <x:c r="Y2233" s="25"/>
      <x:c r="Z2233" s="25"/>
      <x:c r="AA2233" s="25" t="str">
        <x:v>Directory member description excerpt: KANSAS CITY, MO PRIVATE LENDER Our company is in the business of providing a full range of capital services to</x:v>
      </x:c>
      <x:c r="AB2233" s="3" t="str">
        <x:v>New public-source collection</x:v>
      </x:c>
      <x:c r="AC2233" s="3" t="str">
        <x:v>unverified</x:v>
      </x:c>
      <x:c r="AD2233" s="3" t="str">
        <x:v>Not contacted / unconfirmed</x:v>
      </x:c>
      <x:c r="AE2233" s="3" t="str">
        <x:v>No</x:v>
      </x:c>
      <x:c r="AF2233" s="3" t="str">
        <x:v>No</x:v>
      </x:c>
      <x:c r="AG2233" s="3"/>
      <x:c r="AH2233" s="3"/>
      <x:c r="AI2233" s="18"/>
      <x:c r="AJ2233" s="3" t="str">
        <x:v>CF2500-6A44334FAB67</x:v>
      </x:c>
      <x:c r="AK2233" s="3" t="str">
        <x:v>private real estate lender (directory claim)</x:v>
      </x:c>
      <x:c r="AL2233" s="19" t="n">
        <x:v>100000</x:v>
      </x:c>
      <x:c r="AM2233" s="19" t="n">
        <x:v>500000</x:v>
      </x:c>
      <x:c r="AN2233" s="3" t="str">
        <x:v>https://www.privatelendersdirectory.com/united-states/kansas-city/top-level-category/investment-capital-partners</x:v>
      </x:c>
      <x:c r="AO2233" s="3" t="str">
        <x:v>bulk_new_investors.jsonl</x:v>
      </x:c>
      <x:c r="AP2233" s="19"/>
    </x:row>
    <x:row r="2234" ht="36" customHeight="1">
      <x:c r="A2234" s="23" t="n">
        <x:v>2233</x:v>
      </x:c>
      <x:c r="B2234" s="15" t="str">
        <x:v>LOWCOUNTRY PRIVATE LENDING</x:v>
      </x:c>
      <x:c r="C2234" s="15"/>
      <x:c r="D2234" s="15" t="str">
        <x:v>Property lender / private real-estate capital prospect</x:v>
      </x:c>
      <x:c r="E2234" s="15" t="str">
        <x:v>Property lender / private-money inquiry</x:v>
      </x:c>
      <x:c r="F2234" s="17" t="str">
        <x:v>New</x:v>
      </x:c>
      <x:c r="G2234" s="24"/>
      <x:c r="H2234" s="24"/>
      <x:c r="I2234" s="24" t="str">
        <x:v>https://lowcountryprivatelending.com/</x:v>
      </x:c>
      <x:c r="J2234" s="16" t="str">
        <x:v>SC</x:v>
      </x:c>
      <x:c r="K2234" s="16" t="str">
        <x:v>Charleston</x:v>
      </x:c>
      <x:c r="L2234" s="16" t="str">
        <x:v>firm_business_routing</x:v>
      </x:c>
      <x:c r="M2234" s="16" t="str">
        <x:v>https://lowcountryprivatelending.com/</x:v>
      </x:c>
      <x:c r="N2234" s="16" t="str">
        <x:v>$100K-$500K ticket not published / unconfirmed</x:v>
      </x:c>
      <x:c r="O2234" s="20"/>
      <x:c r="P2234" s="20"/>
      <x:c r="Q2234" s="25" t="str">
        <x:v>Property-loan range, not a corporate-capital commitment</x:v>
      </x:c>
      <x:c r="R2234" s="25" t="str">
        <x:v>Private real-estate finance experience. Corporate working capital, minority equity or profit participation requires a separate agreement from a property loan.</x:v>
      </x:c>
      <x:c r="S2234" s="25"/>
      <x:c r="T2234" s="25" t="str">
        <x:v>Confirm direct principal versus broker, $100K-$500K appetite, and whether capital can fund the operating company without a property mortgage.</x:v>
      </x:c>
      <x:c r="U2234" s="25" t="str">
        <x:v>https://www.privatelendersdirectory.com/united-states/charleston/real-estate-investment-lending/lowcountry-private-lending</x:v>
      </x:c>
      <x:c r="V2234" s="26" t="d">
        <x:v>2026-10-02T00:00:00.000Z</x:v>
      </x:c>
      <x:c r="W2234" s="26" t="d">
        <x:v>2026-10-02T00:00:00.000Z</x:v>
      </x:c>
      <x:c r="X2234" s="25" t="str">
        <x:v>Public investor directory; business role and contact ownership require qualification</x:v>
      </x:c>
      <x:c r="Y2234" s="25"/>
      <x:c r="Z2234" s="25"/>
      <x:c r="AA2234" s="25" t="str">
        <x:v>Directory member description excerpt: CHARLESTON, SC HARD MONEY LENDER Lowcountry Private Lending, LLC, is a direct, private hard money lender providing asset-based loans in</x:v>
      </x:c>
      <x:c r="AB2234" s="3" t="str">
        <x:v>New public-source collection</x:v>
      </x:c>
      <x:c r="AC2234" s="3" t="str">
        <x:v>unverified</x:v>
      </x:c>
      <x:c r="AD2234" s="3" t="str">
        <x:v>Not contacted / unconfirmed</x:v>
      </x:c>
      <x:c r="AE2234" s="3" t="str">
        <x:v>No</x:v>
      </x:c>
      <x:c r="AF2234" s="3" t="str">
        <x:v>No</x:v>
      </x:c>
      <x:c r="AG2234" s="3"/>
      <x:c r="AH2234" s="3"/>
      <x:c r="AI2234" s="18"/>
      <x:c r="AJ2234" s="3" t="str">
        <x:v>CF2500-E7CE298B4707</x:v>
      </x:c>
      <x:c r="AK2234" s="3" t="str">
        <x:v>private real estate lender (directory claim)</x:v>
      </x:c>
      <x:c r="AL2234" s="19" t="n">
        <x:v>100000</x:v>
      </x:c>
      <x:c r="AM2234" s="19" t="n">
        <x:v>500000</x:v>
      </x:c>
      <x:c r="AN2234" s="3" t="str">
        <x:v>https://www.privatelendersdirectory.com/united-states/charleston/real-estate-investment-lending/lowcountry-private-lending</x:v>
      </x:c>
      <x:c r="AO2234" s="3" t="str">
        <x:v>bulk_new_investors.jsonl</x:v>
      </x:c>
      <x:c r="AP2234" s="19"/>
    </x:row>
    <x:row r="2235" ht="36" customHeight="1">
      <x:c r="A2235" s="23" t="n">
        <x:v>2234</x:v>
      </x:c>
      <x:c r="B2235" s="15" t="str">
        <x:v>MCL PRIVATE LENDING</x:v>
      </x:c>
      <x:c r="C2235" s="15"/>
      <x:c r="D2235" s="15" t="str">
        <x:v>Property lender / private real-estate capital prospect</x:v>
      </x:c>
      <x:c r="E2235" s="15" t="str">
        <x:v>Property lender / private-money inquiry</x:v>
      </x:c>
      <x:c r="F2235" s="17" t="str">
        <x:v>New</x:v>
      </x:c>
      <x:c r="G2235" s="24"/>
      <x:c r="H2235" s="24"/>
      <x:c r="I2235" s="24" t="str">
        <x:v>https://mcl-pl.com/</x:v>
      </x:c>
      <x:c r="J2235" s="16" t="str">
        <x:v>TN</x:v>
      </x:c>
      <x:c r="K2235" s="16" t="str">
        <x:v>Brentwood</x:v>
      </x:c>
      <x:c r="L2235" s="16" t="str">
        <x:v>firm_business_routing</x:v>
      </x:c>
      <x:c r="M2235" s="16" t="str">
        <x:v>https://mcl-pl.com/</x:v>
      </x:c>
      <x:c r="N2235" s="16" t="str">
        <x:v>$100K-$500K ticket not published / unconfirmed</x:v>
      </x:c>
      <x:c r="O2235" s="20"/>
      <x:c r="P2235" s="20"/>
      <x:c r="Q2235" s="25" t="str">
        <x:v>Property-loan range, not a corporate-capital commitment</x:v>
      </x:c>
      <x:c r="R2235" s="25" t="str">
        <x:v>Private real-estate finance experience. Corporate working capital, minority equity or profit participation requires a separate agreement from a property loan.</x:v>
      </x:c>
      <x:c r="S2235" s="25"/>
      <x:c r="T2235" s="25" t="str">
        <x:v>Confirm direct principal versus broker, $100K-$500K appetite, and whether capital can fund the operating company without a property mortgage.</x:v>
      </x:c>
      <x:c r="U2235" s="25" t="str">
        <x:v>https://www.privatelendersdirectory.com/united-states/brentwood/top-level-category/mcl-private-lending</x:v>
      </x:c>
      <x:c r="V2235" s="26" t="d">
        <x:v>2026-10-02T00:00:00.000Z</x:v>
      </x:c>
      <x:c r="W2235" s="26" t="d">
        <x:v>2026-10-02T00:00:00.000Z</x:v>
      </x:c>
      <x:c r="X2235" s="25" t="str">
        <x:v>Public investor directory; business role and contact ownership require qualification</x:v>
      </x:c>
      <x:c r="Y2235" s="25"/>
      <x:c r="Z2235" s="25"/>
      <x:c r="AA2235" s="25" t="str">
        <x:v>Directory member description excerpt: BRENTWOOD, TN PRIVATE MONEY LENDER MCL specializes in short term financing in the Greater Nashville Area.</x:v>
      </x:c>
      <x:c r="AB2235" s="3" t="str">
        <x:v>New public-source collection</x:v>
      </x:c>
      <x:c r="AC2235" s="3" t="str">
        <x:v>unverified</x:v>
      </x:c>
      <x:c r="AD2235" s="3" t="str">
        <x:v>Not contacted / unconfirmed</x:v>
      </x:c>
      <x:c r="AE2235" s="3" t="str">
        <x:v>No</x:v>
      </x:c>
      <x:c r="AF2235" s="3" t="str">
        <x:v>No</x:v>
      </x:c>
      <x:c r="AG2235" s="3"/>
      <x:c r="AH2235" s="3"/>
      <x:c r="AI2235" s="18"/>
      <x:c r="AJ2235" s="3" t="str">
        <x:v>CF2500-D3FB5ABA43F6</x:v>
      </x:c>
      <x:c r="AK2235" s="3" t="str">
        <x:v>real estate capital prospect (role unconfirmed)</x:v>
      </x:c>
      <x:c r="AL2235" s="19" t="n">
        <x:v>100000</x:v>
      </x:c>
      <x:c r="AM2235" s="19" t="n">
        <x:v>500000</x:v>
      </x:c>
      <x:c r="AN2235" s="3" t="str">
        <x:v>https://www.privatelendersdirectory.com/united-states/brentwood/top-level-category/mcl-private-lending</x:v>
      </x:c>
      <x:c r="AO2235" s="3" t="str">
        <x:v>bulk_new_investors.jsonl</x:v>
      </x:c>
      <x:c r="AP2235" s="19"/>
    </x:row>
    <x:row r="2236" ht="36" customHeight="1">
      <x:c r="A2236" s="23" t="n">
        <x:v>2235</x:v>
      </x:c>
      <x:c r="B2236" s="15" t="str">
        <x:v>PRIVATE LENDER THAT’S ME</x:v>
      </x:c>
      <x:c r="C2236" s="15"/>
      <x:c r="D2236" s="15" t="str">
        <x:v>Property lender / private real-estate capital prospect</x:v>
      </x:c>
      <x:c r="E2236" s="15" t="str">
        <x:v>Property lender / private-money inquiry</x:v>
      </x:c>
      <x:c r="F2236" s="17" t="str">
        <x:v>New</x:v>
      </x:c>
      <x:c r="G2236" s="24"/>
      <x:c r="H2236" s="24"/>
      <x:c r="I2236" s="24" t="str">
        <x:v>http://privatemoneylenderthatsme.com/</x:v>
      </x:c>
      <x:c r="J2236" s="16" t="str">
        <x:v>IN</x:v>
      </x:c>
      <x:c r="K2236" s="16" t="str">
        <x:v>Chesterton</x:v>
      </x:c>
      <x:c r="L2236" s="16" t="str">
        <x:v>firm_business_routing</x:v>
      </x:c>
      <x:c r="M2236" s="16" t="str">
        <x:v>http://privatemoneylenderthatsme.com/</x:v>
      </x:c>
      <x:c r="N2236" s="16" t="str">
        <x:v>$100K-$500K ticket not published / unconfirmed</x:v>
      </x:c>
      <x:c r="O2236" s="20"/>
      <x:c r="P2236" s="20"/>
      <x:c r="Q2236" s="25" t="str">
        <x:v>Property-loan range, not a corporate-capital commitment</x:v>
      </x:c>
      <x:c r="R2236" s="25" t="str">
        <x:v>Private real-estate finance experience. Corporate working capital, minority equity or profit participation requires a separate agreement from a property loan.</x:v>
      </x:c>
      <x:c r="S2236" s="25"/>
      <x:c r="T2236" s="25" t="str">
        <x:v>Confirm direct principal versus broker, $100K-$500K appetite, and whether capital can fund the operating company without a property mortgage.</x:v>
      </x:c>
      <x:c r="U2236" s="25" t="str">
        <x:v>https://www.privatelendersdirectory.com/united-states/chesterton/top-level-category/private-lender-that’s-me</x:v>
      </x:c>
      <x:c r="V2236" s="26" t="d">
        <x:v>2026-10-02T00:00:00.000Z</x:v>
      </x:c>
      <x:c r="W2236" s="26" t="d">
        <x:v>2026-10-02T00:00:00.000Z</x:v>
      </x:c>
      <x:c r="X2236" s="25" t="str">
        <x:v>Public investor directory; business role and contact ownership require qualification</x:v>
      </x:c>
      <x:c r="Y2236" s="25"/>
      <x:c r="Z2236" s="25"/>
      <x:c r="AA2236" s="25" t="str">
        <x:v>Directory member description excerpt: CHESTERTON, IN PRIVATE MONEY LENDER I work with private money lenders to the funding you need for your next real</x:v>
      </x:c>
      <x:c r="AB2236" s="3" t="str">
        <x:v>New public-source collection</x:v>
      </x:c>
      <x:c r="AC2236" s="3" t="str">
        <x:v>unverified</x:v>
      </x:c>
      <x:c r="AD2236" s="3" t="str">
        <x:v>Not contacted / unconfirmed</x:v>
      </x:c>
      <x:c r="AE2236" s="3" t="str">
        <x:v>No</x:v>
      </x:c>
      <x:c r="AF2236" s="3" t="str">
        <x:v>No</x:v>
      </x:c>
      <x:c r="AG2236" s="3"/>
      <x:c r="AH2236" s="3"/>
      <x:c r="AI2236" s="18"/>
      <x:c r="AJ2236" s="3" t="str">
        <x:v>CF2500-30BD3C9504C7</x:v>
      </x:c>
      <x:c r="AK2236" s="3" t="str">
        <x:v>real estate capital prospect (role unconfirmed)</x:v>
      </x:c>
      <x:c r="AL2236" s="19" t="n">
        <x:v>100000</x:v>
      </x:c>
      <x:c r="AM2236" s="19" t="n">
        <x:v>500000</x:v>
      </x:c>
      <x:c r="AN2236" s="3" t="str">
        <x:v>https://www.privatelendersdirectory.com/united-states/chesterton/top-level-category/private-lender-that’s-me</x:v>
      </x:c>
      <x:c r="AO2236" s="3" t="str">
        <x:v>bulk_new_investors.jsonl</x:v>
      </x:c>
      <x:c r="AP2236" s="19"/>
    </x:row>
    <x:row r="2237" ht="36" customHeight="1">
      <x:c r="A2237" s="23" t="n">
        <x:v>2236</x:v>
      </x:c>
      <x:c r="B2237" s="15" t="str">
        <x:v>REHAB CAPITAL LENDING</x:v>
      </x:c>
      <x:c r="C2237" s="15"/>
      <x:c r="D2237" s="15" t="str">
        <x:v>Property lender / private real-estate capital prospect</x:v>
      </x:c>
      <x:c r="E2237" s="15" t="str">
        <x:v>Property lender / private-money inquiry</x:v>
      </x:c>
      <x:c r="F2237" s="17" t="str">
        <x:v>New</x:v>
      </x:c>
      <x:c r="G2237" s="24"/>
      <x:c r="H2237" s="24"/>
      <x:c r="I2237" s="24" t="str">
        <x:v>http://rehabcapitallending.com</x:v>
      </x:c>
      <x:c r="J2237" s="16" t="str">
        <x:v>CO</x:v>
      </x:c>
      <x:c r="K2237" s="16" t="str">
        <x:v>Aurora</x:v>
      </x:c>
      <x:c r="L2237" s="16" t="str">
        <x:v>firm_business_routing</x:v>
      </x:c>
      <x:c r="M2237" s="16" t="str">
        <x:v>http://rehabcapitallending.com</x:v>
      </x:c>
      <x:c r="N2237" s="16" t="str">
        <x:v>$100K-$500K ticket not published / unconfirmed</x:v>
      </x:c>
      <x:c r="O2237" s="20"/>
      <x:c r="P2237" s="20"/>
      <x:c r="Q2237" s="25" t="str">
        <x:v>Property-loan range, not a corporate-capital commitment</x:v>
      </x:c>
      <x:c r="R2237" s="25" t="str">
        <x:v>Private real-estate finance experience. Corporate working capital, minority equity or profit participation requires a separate agreement from a property loan.</x:v>
      </x:c>
      <x:c r="S2237" s="25"/>
      <x:c r="T2237" s="25" t="str">
        <x:v>Confirm direct principal versus broker, $100K-$500K appetite, and whether capital can fund the operating company without a property mortgage.</x:v>
      </x:c>
      <x:c r="U2237" s="25" t="str">
        <x:v>https://www.privatelendersdirectory.com/united-states/aurora/top-level-category/rehab-capital-lending</x:v>
      </x:c>
      <x:c r="V2237" s="26" t="d">
        <x:v>2026-10-02T00:00:00.000Z</x:v>
      </x:c>
      <x:c r="W2237" s="26" t="d">
        <x:v>2026-10-02T00:00:00.000Z</x:v>
      </x:c>
      <x:c r="X2237" s="25" t="str">
        <x:v>Public investor directory; business role and contact ownership require qualification</x:v>
      </x:c>
      <x:c r="Y2237" s="25"/>
      <x:c r="Z2237" s="25"/>
      <x:c r="AA2237" s="25" t="str">
        <x:v>Directory member description excerpt:</x:v>
      </x:c>
      <x:c r="AB2237" s="3" t="str">
        <x:v>New public-source collection</x:v>
      </x:c>
      <x:c r="AC2237" s="3" t="str">
        <x:v>unverified</x:v>
      </x:c>
      <x:c r="AD2237" s="3" t="str">
        <x:v>Not contacted / unconfirmed</x:v>
      </x:c>
      <x:c r="AE2237" s="3" t="str">
        <x:v>No</x:v>
      </x:c>
      <x:c r="AF2237" s="3" t="str">
        <x:v>No</x:v>
      </x:c>
      <x:c r="AG2237" s="3"/>
      <x:c r="AH2237" s="3"/>
      <x:c r="AI2237" s="18"/>
      <x:c r="AJ2237" s="3" t="str">
        <x:v>CF2500-5B3BA7E69089</x:v>
      </x:c>
      <x:c r="AK2237" s="3" t="str">
        <x:v>real estate capital prospect (role unconfirmed)</x:v>
      </x:c>
      <x:c r="AL2237" s="19" t="n">
        <x:v>100000</x:v>
      </x:c>
      <x:c r="AM2237" s="19" t="n">
        <x:v>500000</x:v>
      </x:c>
      <x:c r="AN2237" s="3" t="str">
        <x:v>https://www.privatelendersdirectory.com/united-states/aurora/top-level-category/rehab-capital-lending</x:v>
      </x:c>
      <x:c r="AO2237" s="3" t="str">
        <x:v>bulk_new_investors.jsonl</x:v>
      </x:c>
      <x:c r="AP2237" s="19"/>
    </x:row>
    <x:row r="2238" ht="36" customHeight="1">
      <x:c r="A2238" s="23" t="n">
        <x:v>2237</x:v>
      </x:c>
      <x:c r="B2238" s="15" t="str">
        <x:v>RUSHFIRE PRIVATE LENDING</x:v>
      </x:c>
      <x:c r="C2238" s="15"/>
      <x:c r="D2238" s="15" t="str">
        <x:v>Property lender / private real-estate capital prospect</x:v>
      </x:c>
      <x:c r="E2238" s="15" t="str">
        <x:v>Property lender / private-money inquiry</x:v>
      </x:c>
      <x:c r="F2238" s="17" t="str">
        <x:v>New</x:v>
      </x:c>
      <x:c r="G2238" s="24"/>
      <x:c r="H2238" s="24"/>
      <x:c r="I2238" s="24" t="str">
        <x:v>https://rushfire.io/</x:v>
      </x:c>
      <x:c r="J2238" s="16" t="str">
        <x:v>UT</x:v>
      </x:c>
      <x:c r="K2238" s="16" t="str">
        <x:v>Salt Lake City</x:v>
      </x:c>
      <x:c r="L2238" s="16" t="str">
        <x:v>firm_business_routing</x:v>
      </x:c>
      <x:c r="M2238" s="16" t="str">
        <x:v>https://rushfire.io/</x:v>
      </x:c>
      <x:c r="N2238" s="16" t="str">
        <x:v>$100K-$500K ticket not published / unconfirmed</x:v>
      </x:c>
      <x:c r="O2238" s="20"/>
      <x:c r="P2238" s="20"/>
      <x:c r="Q2238" s="25" t="str">
        <x:v>Property-loan range, not a corporate-capital commitment</x:v>
      </x:c>
      <x:c r="R2238" s="25" t="str">
        <x:v>Private real-estate finance experience. Corporate working capital, minority equity or profit participation requires a separate agreement from a property loan.</x:v>
      </x:c>
      <x:c r="S2238" s="25"/>
      <x:c r="T2238" s="25" t="str">
        <x:v>Confirm direct principal versus broker, $100K-$500K appetite, and whether capital can fund the operating company without a property mortgage.</x:v>
      </x:c>
      <x:c r="U2238" s="25" t="str">
        <x:v>https://www.privatelendersdirectory.com/united-states/salt-lake-city/real-estate-investment-lending/rushfire-private-lending</x:v>
      </x:c>
      <x:c r="V2238" s="26" t="d">
        <x:v>2026-10-02T00:00:00.000Z</x:v>
      </x:c>
      <x:c r="W2238" s="26" t="d">
        <x:v>2026-10-02T00:00:00.000Z</x:v>
      </x:c>
      <x:c r="X2238" s="25" t="str">
        <x:v>Public investor directory; business role and contact ownership require qualification</x:v>
      </x:c>
      <x:c r="Y2238" s="25"/>
      <x:c r="Z2238" s="25"/>
      <x:c r="AA2238" s="25" t="str">
        <x:v>Directory member description excerpt: SALT LAKE CITY, UT PRIVATE MONEY LENDER RushFire Private Lending is a privately owned non-traditional real estate finance company</x:v>
      </x:c>
      <x:c r="AB2238" s="3" t="str">
        <x:v>New public-source collection</x:v>
      </x:c>
      <x:c r="AC2238" s="3" t="str">
        <x:v>unverified</x:v>
      </x:c>
      <x:c r="AD2238" s="3" t="str">
        <x:v>Not contacted / unconfirmed</x:v>
      </x:c>
      <x:c r="AE2238" s="3" t="str">
        <x:v>No</x:v>
      </x:c>
      <x:c r="AF2238" s="3" t="str">
        <x:v>No</x:v>
      </x:c>
      <x:c r="AG2238" s="3"/>
      <x:c r="AH2238" s="3"/>
      <x:c r="AI2238" s="18"/>
      <x:c r="AJ2238" s="3" t="str">
        <x:v>CF2500-DD9C05C310EE</x:v>
      </x:c>
      <x:c r="AK2238" s="3" t="str">
        <x:v>private real estate lender (directory claim)</x:v>
      </x:c>
      <x:c r="AL2238" s="19" t="n">
        <x:v>100000</x:v>
      </x:c>
      <x:c r="AM2238" s="19" t="n">
        <x:v>500000</x:v>
      </x:c>
      <x:c r="AN2238" s="3" t="str">
        <x:v>https://www.privatelendersdirectory.com/united-states/salt-lake-city/real-estate-investment-lending/rushfire-private-lending</x:v>
      </x:c>
      <x:c r="AO2238" s="3" t="str">
        <x:v>bulk_new_investors.jsonl</x:v>
      </x:c>
      <x:c r="AP2238" s="19"/>
    </x:row>
    <x:row r="2239" ht="36" customHeight="1">
      <x:c r="A2239" s="23" t="n">
        <x:v>2238</x:v>
      </x:c>
      <x:c r="B2239" s="15" t="str">
        <x:v>SEATTLE PRIVATE FUNDING</x:v>
      </x:c>
      <x:c r="C2239" s="15"/>
      <x:c r="D2239" s="15" t="str">
        <x:v>Property lender / private real-estate capital prospect</x:v>
      </x:c>
      <x:c r="E2239" s="15" t="str">
        <x:v>Property lender / private-money inquiry</x:v>
      </x:c>
      <x:c r="F2239" s="17" t="str">
        <x:v>New</x:v>
      </x:c>
      <x:c r="G2239" s="24"/>
      <x:c r="H2239" s="24"/>
      <x:c r="I2239" s="24" t="str">
        <x:v>http://www.seattleprivatemoney.com/</x:v>
      </x:c>
      <x:c r="J2239" s="16" t="str">
        <x:v>GA</x:v>
      </x:c>
      <x:c r="K2239" s="16" t="str">
        <x:v>Rome</x:v>
      </x:c>
      <x:c r="L2239" s="16" t="str">
        <x:v>firm_business_routing</x:v>
      </x:c>
      <x:c r="M2239" s="16" t="str">
        <x:v>http://www.seattleprivatemoney.com/</x:v>
      </x:c>
      <x:c r="N2239" s="16" t="str">
        <x:v>$100K-$500K ticket not published / unconfirmed</x:v>
      </x:c>
      <x:c r="O2239" s="20"/>
      <x:c r="P2239" s="20"/>
      <x:c r="Q2239" s="25" t="str">
        <x:v>Property-loan range, not a corporate-capital commitment</x:v>
      </x:c>
      <x:c r="R2239" s="25" t="str">
        <x:v>Private real-estate finance experience. Corporate working capital, minority equity or profit participation requires a separate agreement from a property loan.</x:v>
      </x:c>
      <x:c r="S2239" s="25"/>
      <x:c r="T2239" s="25" t="str">
        <x:v>Confirm direct principal versus broker, $100K-$500K appetite, and whether capital can fund the operating company without a property mortgage.</x:v>
      </x:c>
      <x:c r="U2239" s="25" t="str">
        <x:v>https://www.privatelendersdirectory.com/united-states/rome/real-estate-investment-lending/seattle-private-funding</x:v>
      </x:c>
      <x:c r="V2239" s="26" t="d">
        <x:v>2026-10-02T00:00:00.000Z</x:v>
      </x:c>
      <x:c r="W2239" s="26" t="d">
        <x:v>2026-10-02T00:00:00.000Z</x:v>
      </x:c>
      <x:c r="X2239" s="25" t="str">
        <x:v>Public investor directory; business role and contact ownership require qualification</x:v>
      </x:c>
      <x:c r="Y2239" s="25"/>
      <x:c r="Z2239" s="25"/>
      <x:c r="AA2239" s="25" t="str">
        <x:v>Directory member description excerpt: ROME, GA PRIVATE LENDER We fund loans that Convention banking cannot fund.</x:v>
      </x:c>
      <x:c r="AB2239" s="3" t="str">
        <x:v>New public-source collection</x:v>
      </x:c>
      <x:c r="AC2239" s="3" t="str">
        <x:v>unverified</x:v>
      </x:c>
      <x:c r="AD2239" s="3" t="str">
        <x:v>Not contacted / unconfirmed</x:v>
      </x:c>
      <x:c r="AE2239" s="3" t="str">
        <x:v>No</x:v>
      </x:c>
      <x:c r="AF2239" s="3" t="str">
        <x:v>No</x:v>
      </x:c>
      <x:c r="AG2239" s="3"/>
      <x:c r="AH2239" s="3"/>
      <x:c r="AI2239" s="18"/>
      <x:c r="AJ2239" s="3" t="str">
        <x:v>CF2500-7A092BD479AE</x:v>
      </x:c>
      <x:c r="AK2239" s="3" t="str">
        <x:v>private real estate lender (directory claim)</x:v>
      </x:c>
      <x:c r="AL2239" s="19" t="n">
        <x:v>100000</x:v>
      </x:c>
      <x:c r="AM2239" s="19" t="n">
        <x:v>500000</x:v>
      </x:c>
      <x:c r="AN2239" s="3" t="str">
        <x:v>https://www.privatelendersdirectory.com/united-states/rome/real-estate-investment-lending/seattle-private-funding</x:v>
      </x:c>
      <x:c r="AO2239" s="3" t="str">
        <x:v>bulk_new_investors.jsonl</x:v>
      </x:c>
      <x:c r="AP2239" s="19"/>
    </x:row>
    <x:row r="2240" ht="36" customHeight="1">
      <x:c r="A2240" s="23" t="n">
        <x:v>2239</x:v>
      </x:c>
      <x:c r="B2240" s="15" t="str">
        <x:v>VP CAPITAL LENDING</x:v>
      </x:c>
      <x:c r="C2240" s="15"/>
      <x:c r="D2240" s="15" t="str">
        <x:v>Property lender / private real-estate capital prospect</x:v>
      </x:c>
      <x:c r="E2240" s="15" t="str">
        <x:v>Property lender / private-money inquiry</x:v>
      </x:c>
      <x:c r="F2240" s="17" t="str">
        <x:v>New</x:v>
      </x:c>
      <x:c r="G2240" s="24"/>
      <x:c r="H2240" s="24"/>
      <x:c r="I2240" s="24" t="str">
        <x:v>https://vpcapitallending.com/</x:v>
      </x:c>
      <x:c r="J2240" s="16" t="str">
        <x:v>SC</x:v>
      </x:c>
      <x:c r="K2240" s="16" t="str">
        <x:v>Greenville</x:v>
      </x:c>
      <x:c r="L2240" s="16" t="str">
        <x:v>firm_business_routing</x:v>
      </x:c>
      <x:c r="M2240" s="16" t="str">
        <x:v>https://vpcapitallending.com/</x:v>
      </x:c>
      <x:c r="N2240" s="16" t="str">
        <x:v>$100K-$500K ticket not published / unconfirmed</x:v>
      </x:c>
      <x:c r="O2240" s="20"/>
      <x:c r="P2240" s="20"/>
      <x:c r="Q2240" s="25" t="str">
        <x:v>Property-loan range, not a corporate-capital commitment</x:v>
      </x:c>
      <x:c r="R2240" s="25" t="str">
        <x:v>Private real-estate finance experience. Corporate working capital, minority equity or profit participation requires a separate agreement from a property loan.</x:v>
      </x:c>
      <x:c r="S2240" s="25"/>
      <x:c r="T2240" s="25" t="str">
        <x:v>Confirm direct principal versus broker, $100K-$500K appetite, and whether capital can fund the operating company without a property mortgage.</x:v>
      </x:c>
      <x:c r="U2240" s="25" t="str">
        <x:v>https://www.privatelendersdirectory.com/united-states/greenville/top-level-category/vp-capital-lending</x:v>
      </x:c>
      <x:c r="V2240" s="26" t="d">
        <x:v>2026-10-02T00:00:00.000Z</x:v>
      </x:c>
      <x:c r="W2240" s="26" t="d">
        <x:v>2026-10-02T00:00:00.000Z</x:v>
      </x:c>
      <x:c r="X2240" s="25" t="str">
        <x:v>Public investor directory; business role and contact ownership require qualification</x:v>
      </x:c>
      <x:c r="Y2240" s="25"/>
      <x:c r="Z2240" s="25"/>
      <x:c r="AA2240" s="25" t="str">
        <x:v>Directory member description excerpt: COLUMBIA, SC FIX AND FLIP LENDER We go beyond being your local source for fix-and-flip, hard money, and rental property</x:v>
      </x:c>
      <x:c r="AB2240" s="3" t="str">
        <x:v>New public-source collection</x:v>
      </x:c>
      <x:c r="AC2240" s="3" t="str">
        <x:v>unverified</x:v>
      </x:c>
      <x:c r="AD2240" s="3" t="str">
        <x:v>Not contacted / unconfirmed</x:v>
      </x:c>
      <x:c r="AE2240" s="3" t="str">
        <x:v>No</x:v>
      </x:c>
      <x:c r="AF2240" s="3" t="str">
        <x:v>No</x:v>
      </x:c>
      <x:c r="AG2240" s="3"/>
      <x:c r="AH2240" s="3"/>
      <x:c r="AI2240" s="18"/>
      <x:c r="AJ2240" s="3" t="str">
        <x:v>CF2500-8E18BEEDCFC0</x:v>
      </x:c>
      <x:c r="AK2240" s="3" t="str">
        <x:v>private real estate lender (directory claim)</x:v>
      </x:c>
      <x:c r="AL2240" s="19" t="n">
        <x:v>100000</x:v>
      </x:c>
      <x:c r="AM2240" s="19" t="n">
        <x:v>500000</x:v>
      </x:c>
      <x:c r="AN2240" s="3" t="str">
        <x:v>https://www.privatelendersdirectory.com/united-states/greenville/top-level-category/vp-capital-lending</x:v>
      </x:c>
      <x:c r="AO2240" s="3" t="str">
        <x:v>bulk_new_investors.jsonl</x:v>
      </x:c>
      <x:c r="AP2240" s="19"/>
    </x:row>
    <x:row r="2241" ht="36" customHeight="1">
      <x:c r="A2241" s="23" t="n">
        <x:v>2240</x:v>
      </x:c>
      <x:c r="B2241" s="15" t="str">
        <x:v>Agoura Hills Financial</x:v>
      </x:c>
      <x:c r="C2241" s="15"/>
      <x:c r="D2241" s="15" t="str">
        <x:v>Property lender or directory member; operating-company capital unconfirmed</x:v>
      </x:c>
      <x:c r="E2241" s="15" t="str">
        <x:v>Property lender / private-money inquiry</x:v>
      </x:c>
      <x:c r="F2241" s="17" t="str">
        <x:v>New</x:v>
      </x:c>
      <x:c r="G2241" s="24" t="str">
        <x:v>bentley@agourahillsfinancial.com</x:v>
      </x:c>
      <x:c r="H2241" s="24" t="str">
        <x:v>+18187073452</x:v>
      </x:c>
      <x:c r="I2241" s="24" t="str">
        <x:v>http://www.agourahillsfinancial.com/</x:v>
      </x:c>
      <x:c r="J2241" s="16" t="str">
        <x:v>CA</x:v>
      </x:c>
      <x:c r="K2241" s="16" t="str">
        <x:v>Agoura Hills</x:v>
      </x:c>
      <x:c r="L2241" s="16" t="str">
        <x:v>firm_business_routing</x:v>
      </x:c>
      <x:c r="M2241" s="16" t="str">
        <x:v>http://www.agourahillsfinancial.com/</x:v>
      </x:c>
      <x:c r="N2241" s="16" t="str">
        <x:v>Published source range; proposed allocation and structure require confirmation</x:v>
      </x:c>
      <x:c r="O2241" s="20"/>
      <x:c r="P2241" s="20" t="n">
        <x:v>1000000</x:v>
      </x:c>
      <x:c r="Q2241" s="25" t="str">
        <x:v>Property-loan range, not a corporate-capital commitment</x:v>
      </x:c>
      <x:c r="R2241" s="25" t="str">
        <x:v>Private real-estate finance experience. Corporate working capital, minority equity or profit participation requires a separate agreement from a property loan.</x:v>
      </x:c>
      <x:c r="S2241" s="25"/>
      <x:c r="T2241" s="25" t="str">
        <x:v>Confirm direct principal versus broker, $100K-$500K appetite, and whether capital can fund the operating company without a property mortgage.</x:v>
      </x:c>
      <x:c r="U2241" s="25" t="str">
        <x:v>https://www.hardmoneyhome.com/lenders/view/agoura-hills-financial
https://www.agourahillsfinancial.com/</x:v>
      </x:c>
      <x:c r="V2241" s="26" t="d">
        <x:v>2026-10-02T00:00:00.000Z</x:v>
      </x:c>
      <x:c r="W2241" s="26" t="d">
        <x:v>2026-09-30T00:00:00.000Z</x:v>
      </x:c>
      <x:c r="X2241" s="25" t="str">
        <x:v>Saved public company, industry-directory or regulatory source; source date retained</x:v>
      </x:c>
      <x:c r="Y2241" s="25" t="str">
        <x:v>https://www.agourahillsfinancial.com/</x:v>
      </x:c>
      <x:c r="Z2241" s="25" t="str">
        <x:v>https://www.hardmoneyhome.com/lenders/view/agoura-hills-financial</x:v>
      </x:c>
      <x:c r="AA2241" s="25" t="str">
        <x:v>[]</x:v>
      </x:c>
      <x:c r="AB2241" s="3" t="str">
        <x:v>Existing CapitalForge research, newly screened for this campaign</x:v>
      </x:c>
      <x:c r="AC2241" s="3" t="str">
        <x:v>unverified</x:v>
      </x:c>
      <x:c r="AD2241" s="3" t="str">
        <x:v>Not contacted / unconfirmed</x:v>
      </x:c>
      <x:c r="AE2241" s="3" t="str">
        <x:v>No</x:v>
      </x:c>
      <x:c r="AF2241" s="3" t="str">
        <x:v>No</x:v>
      </x:c>
      <x:c r="AG2241" s="3"/>
      <x:c r="AH2241" s="3"/>
      <x:c r="AI2241" s="18"/>
      <x:c r="AJ2241" s="3" t="str">
        <x:v>CF2500-0B697C31E2C7</x:v>
      </x:c>
      <x:c r="AK2241" s="3" t="str">
        <x:v>private_real_estate_lender</x:v>
      </x:c>
      <x:c r="AL2241" s="19" t="n">
        <x:v>100000</x:v>
      </x:c>
      <x:c r="AM2241" s="19" t="n">
        <x:v>500000</x:v>
      </x:c>
      <x:c r="AN2241" s="3" t="str">
        <x:v>https://www.hardmoneyhome.com/lenders/view/agoura-hills-financial</x:v>
      </x:c>
      <x:c r="AO2241" s="3" t="str">
        <x:v>public_directory.jsonl</x:v>
      </x:c>
      <x:c r="AP2241" s="19"/>
    </x:row>
    <x:row r="2242" ht="36" customHeight="1">
      <x:c r="A2242" s="23" t="n">
        <x:v>2241</x:v>
      </x:c>
      <x:c r="B2242" s="15" t="str">
        <x:v>All Inclusive Realty Group</x:v>
      </x:c>
      <x:c r="C2242" s="15"/>
      <x:c r="D2242" s="15" t="str">
        <x:v>Property lender or directory member; operating-company capital unconfirmed</x:v>
      </x:c>
      <x:c r="E2242" s="15" t="str">
        <x:v>Property lender / private-money inquiry</x:v>
      </x:c>
      <x:c r="F2242" s="17" t="str">
        <x:v>New</x:v>
      </x:c>
      <x:c r="G2242" s="24" t="str">
        <x:v>info@allinclusiverealtygroup.com</x:v>
      </x:c>
      <x:c r="H2242" s="24" t="str">
        <x:v>+19169780992</x:v>
      </x:c>
      <x:c r="I2242" s="24" t="str">
        <x:v>https://www.allinclusiverealtygroup.com</x:v>
      </x:c>
      <x:c r="J2242" s="16" t="str">
        <x:v>CA</x:v>
      </x:c>
      <x:c r="K2242" s="16" t="str">
        <x:v>Sacramento</x:v>
      </x:c>
      <x:c r="L2242" s="16" t="str">
        <x:v>firm_business_routing</x:v>
      </x:c>
      <x:c r="M2242" s="16" t="str">
        <x:v>https://www.allinclusiverealtygroup.com</x:v>
      </x:c>
      <x:c r="N2242" s="16" t="str">
        <x:v>Published source range; proposed allocation and structure require confirmation</x:v>
      </x:c>
      <x:c r="O2242" s="20"/>
      <x:c r="P2242" s="20" t="n">
        <x:v>500000</x:v>
      </x:c>
      <x:c r="Q2242" s="25" t="str">
        <x:v>Property-loan range, not a corporate-capital commitment</x:v>
      </x:c>
      <x:c r="R2242" s="25" t="str">
        <x:v>Private real-estate finance experience. Corporate working capital, minority equity or profit participation requires a separate agreement from a property loan.</x:v>
      </x:c>
      <x:c r="S2242" s="25"/>
      <x:c r="T2242" s="25" t="str">
        <x:v>Confirm direct principal versus broker, $100K-$500K appetite, and whether capital can fund the operating company without a property mortgage.</x:v>
      </x:c>
      <x:c r="U2242" s="25" t="str">
        <x:v>https://www.hardmoneyhome.com/lenders/view/all-inclusive-realty-group
https://www.allinclusiverealtygroup.com</x:v>
      </x:c>
      <x:c r="V2242" s="26" t="d">
        <x:v>2026-10-02T00:00:00.000Z</x:v>
      </x:c>
      <x:c r="W2242" s="26" t="d">
        <x:v>2026-09-30T00:00:00.000Z</x:v>
      </x:c>
      <x:c r="X2242" s="25" t="str">
        <x:v>Saved public company, industry-directory or regulatory source; source date retained</x:v>
      </x:c>
      <x:c r="Y2242" s="25" t="str">
        <x:v>https://www.allinclusiverealtygroup.com</x:v>
      </x:c>
      <x:c r="Z2242" s="25" t="str">
        <x:v>https://www.hardmoneyhome.com/lenders/view/all-inclusive-realty-group</x:v>
      </x:c>
      <x:c r="AA2242" s="25" t="str">
        <x:v>[]</x:v>
      </x:c>
      <x:c r="AB2242" s="3" t="str">
        <x:v>Existing CapitalForge research, newly screened for this campaign</x:v>
      </x:c>
      <x:c r="AC2242" s="3" t="str">
        <x:v>unverified</x:v>
      </x:c>
      <x:c r="AD2242" s="3" t="str">
        <x:v>Not contacted / unconfirmed</x:v>
      </x:c>
      <x:c r="AE2242" s="3" t="str">
        <x:v>No</x:v>
      </x:c>
      <x:c r="AF2242" s="3" t="str">
        <x:v>No</x:v>
      </x:c>
      <x:c r="AG2242" s="3"/>
      <x:c r="AH2242" s="3"/>
      <x:c r="AI2242" s="18"/>
      <x:c r="AJ2242" s="3" t="str">
        <x:v>CF2500-649484C3AE9C</x:v>
      </x:c>
      <x:c r="AK2242" s="3" t="str">
        <x:v>private_real_estate_lender</x:v>
      </x:c>
      <x:c r="AL2242" s="19" t="n">
        <x:v>100000</x:v>
      </x:c>
      <x:c r="AM2242" s="19" t="n">
        <x:v>500000</x:v>
      </x:c>
      <x:c r="AN2242" s="3" t="str">
        <x:v>https://www.hardmoneyhome.com/lenders/view/all-inclusive-realty-group</x:v>
      </x:c>
      <x:c r="AO2242" s="3" t="str">
        <x:v>public_directory.jsonl</x:v>
      </x:c>
      <x:c r="AP2242" s="19"/>
    </x:row>
    <x:row r="2243" ht="36" customHeight="1">
      <x:c r="A2243" s="23" t="n">
        <x:v>2242</x:v>
      </x:c>
      <x:c r="B2243" s="15" t="str">
        <x:v>Allied Commercial Funding</x:v>
      </x:c>
      <x:c r="C2243" s="15"/>
      <x:c r="D2243" s="15" t="str">
        <x:v>Property lender or directory member; operating-company capital unconfirmed</x:v>
      </x:c>
      <x:c r="E2243" s="15" t="str">
        <x:v>Property lender / private-money inquiry</x:v>
      </x:c>
      <x:c r="F2243" s="17" t="str">
        <x:v>New</x:v>
      </x:c>
      <x:c r="G2243" s="24" t="str">
        <x:v>loans@alliedcommercialfunding.com</x:v>
      </x:c>
      <x:c r="H2243" s="24" t="str">
        <x:v>+18002478212</x:v>
      </x:c>
      <x:c r="I2243" s="24" t="str">
        <x:v>http://alliedcommercialfunding.com/</x:v>
      </x:c>
      <x:c r="J2243" s="16" t="str">
        <x:v>CA</x:v>
      </x:c>
      <x:c r="K2243" s="16" t="str">
        <x:v>Agoura Hills</x:v>
      </x:c>
      <x:c r="L2243" s="16" t="str">
        <x:v>firm_business_routing</x:v>
      </x:c>
      <x:c r="M2243" s="16" t="str">
        <x:v>http://alliedcommercialfunding.com/</x:v>
      </x:c>
      <x:c r="N2243" s="16" t="str">
        <x:v>Published source range; proposed allocation and structure require confirmation</x:v>
      </x:c>
      <x:c r="O2243" s="20"/>
      <x:c r="P2243" s="20" t="n">
        <x:v>25000000</x:v>
      </x:c>
      <x:c r="Q2243" s="25" t="str">
        <x:v>Property-loan range, not a corporate-capital commitment</x:v>
      </x:c>
      <x:c r="R2243" s="25" t="str">
        <x:v>Private real-estate finance experience. Corporate working capital, minority equity or profit participation requires a separate agreement from a property loan.</x:v>
      </x:c>
      <x:c r="S2243" s="25"/>
      <x:c r="T2243" s="25" t="str">
        <x:v>Confirm direct principal versus broker, $100K-$500K appetite, and whether capital can fund the operating company without a property mortgage.</x:v>
      </x:c>
      <x:c r="U2243" s="25" t="str">
        <x:v>https://www.hardmoneyhome.com/lenders/view/allied-commercial-funding
https://alliedcommercialfunding.com/
https://www.privatelendersdirectory.com/united-states/agoura-hills/real-estate-investment-lending/allied-commercial-funding-corp</x:v>
      </x:c>
      <x:c r="V2243" s="26" t="d">
        <x:v>2026-10-02T00:00:00.000Z</x:v>
      </x:c>
      <x:c r="W2243" s="26" t="d">
        <x:v>2026-09-30T00:00:00.000Z</x:v>
      </x:c>
      <x:c r="X2243" s="25" t="str">
        <x:v>Saved public company, industry-directory or regulatory source; source date retained</x:v>
      </x:c>
      <x:c r="Y2243" s="25" t="str">
        <x:v>https://alliedcommercialfunding.com/</x:v>
      </x:c>
      <x:c r="Z2243" s="25" t="str">
        <x:v>https://www.hardmoneyhome.com/lenders/view/allied-commercial-funding</x:v>
      </x:c>
      <x:c r="AA2243" s="25" t="str">
        <x:v>[]</x:v>
      </x:c>
      <x:c r="AB2243" s="3" t="str">
        <x:v>Existing CapitalForge research, newly screened for this campaign</x:v>
      </x:c>
      <x:c r="AC2243" s="3" t="str">
        <x:v>unverified</x:v>
      </x:c>
      <x:c r="AD2243" s="3" t="str">
        <x:v>Not contacted / unconfirmed</x:v>
      </x:c>
      <x:c r="AE2243" s="3" t="str">
        <x:v>No</x:v>
      </x:c>
      <x:c r="AF2243" s="3" t="str">
        <x:v>No</x:v>
      </x:c>
      <x:c r="AG2243" s="3"/>
      <x:c r="AH2243" s="3"/>
      <x:c r="AI2243" s="18"/>
      <x:c r="AJ2243" s="3" t="str">
        <x:v>CF2500-32C18F78424E</x:v>
      </x:c>
      <x:c r="AK2243" s="3" t="str">
        <x:v>private_real_estate_lender</x:v>
      </x:c>
      <x:c r="AL2243" s="19" t="n">
        <x:v>100000</x:v>
      </x:c>
      <x:c r="AM2243" s="19" t="n">
        <x:v>500000</x:v>
      </x:c>
      <x:c r="AN2243" s="3" t="str">
        <x:v>https://www.hardmoneyhome.com/lenders/view/allied-commercial-funding</x:v>
      </x:c>
      <x:c r="AO2243" s="3" t="str">
        <x:v>public_directory.jsonl</x:v>
      </x:c>
      <x:c r="AP2243" s="19"/>
    </x:row>
    <x:row r="2244" ht="36" customHeight="1">
      <x:c r="A2244" s="23" t="n">
        <x:v>2243</x:v>
      </x:c>
      <x:c r="B2244" s="15" t="str">
        <x:v>Alternative Financial Services</x:v>
      </x:c>
      <x:c r="C2244" s="15"/>
      <x:c r="D2244" s="15" t="str">
        <x:v>Property lender or directory member; operating-company capital unconfirmed</x:v>
      </x:c>
      <x:c r="E2244" s="15" t="str">
        <x:v>Property lender / private-money inquiry</x:v>
      </x:c>
      <x:c r="F2244" s="17" t="str">
        <x:v>New</x:v>
      </x:c>
      <x:c r="G2244" s="24" t="str">
        <x:v>philross.afs@gmail.com</x:v>
      </x:c>
      <x:c r="H2244" s="24" t="str">
        <x:v>+15094434442</x:v>
      </x:c>
      <x:c r="I2244" s="24" t="str">
        <x:v>http://alternativefinancial.biz</x:v>
      </x:c>
      <x:c r="J2244" s="16" t="str">
        <x:v>WA</x:v>
      </x:c>
      <x:c r="K2244" s="16" t="str">
        <x:v>Spokane</x:v>
      </x:c>
      <x:c r="L2244" s="16" t="str">
        <x:v>firm_business_routing</x:v>
      </x:c>
      <x:c r="M2244" s="16" t="str">
        <x:v>http://alternativefinancial.biz</x:v>
      </x:c>
      <x:c r="N2244" s="16" t="str">
        <x:v>Published source range; proposed allocation and structure require confirmation</x:v>
      </x:c>
      <x:c r="O2244" s="20"/>
      <x:c r="P2244" s="20" t="n">
        <x:v>20000000</x:v>
      </x:c>
      <x:c r="Q2244" s="25" t="str">
        <x:v>Property-loan range, not a corporate-capital commitment</x:v>
      </x:c>
      <x:c r="R2244" s="25" t="str">
        <x:v>Private real-estate finance experience. Corporate working capital, minority equity or profit participation requires a separate agreement from a property loan.</x:v>
      </x:c>
      <x:c r="S2244" s="25"/>
      <x:c r="T2244" s="25" t="str">
        <x:v>Confirm direct principal versus broker, $100K-$500K appetite, and whether capital can fund the operating company without a property mortgage.</x:v>
      </x:c>
      <x:c r="U2244" s="25" t="str">
        <x:v>https://www.hardmoneyhome.com/lenders/view/alternative-financial-services
https://alternativefinancial.biz</x:v>
      </x:c>
      <x:c r="V2244" s="26" t="d">
        <x:v>2026-10-02T00:00:00.000Z</x:v>
      </x:c>
      <x:c r="W2244" s="26" t="d">
        <x:v>2026-09-30T00:00:00.000Z</x:v>
      </x:c>
      <x:c r="X2244" s="25" t="str">
        <x:v>Saved public company, industry-directory or regulatory source; source date retained</x:v>
      </x:c>
      <x:c r="Y2244" s="25" t="str">
        <x:v>https://alternativefinancial.biz</x:v>
      </x:c>
      <x:c r="Z2244" s="25" t="str">
        <x:v>https://www.hardmoneyhome.com/lenders/view/alternative-financial-services</x:v>
      </x:c>
      <x:c r="AA2244" s="25" t="str">
        <x:v>[]</x:v>
      </x:c>
      <x:c r="AB2244" s="3" t="str">
        <x:v>Existing CapitalForge research, newly screened for this campaign</x:v>
      </x:c>
      <x:c r="AC2244" s="3" t="str">
        <x:v>unverified</x:v>
      </x:c>
      <x:c r="AD2244" s="3" t="str">
        <x:v>Not contacted / unconfirmed</x:v>
      </x:c>
      <x:c r="AE2244" s="3" t="str">
        <x:v>No</x:v>
      </x:c>
      <x:c r="AF2244" s="3" t="str">
        <x:v>No</x:v>
      </x:c>
      <x:c r="AG2244" s="3"/>
      <x:c r="AH2244" s="3"/>
      <x:c r="AI2244" s="18"/>
      <x:c r="AJ2244" s="3" t="str">
        <x:v>CF2500-436F79D334F9</x:v>
      </x:c>
      <x:c r="AK2244" s="3" t="str">
        <x:v>private_real_estate_lender</x:v>
      </x:c>
      <x:c r="AL2244" s="19" t="n">
        <x:v>100000</x:v>
      </x:c>
      <x:c r="AM2244" s="19" t="n">
        <x:v>500000</x:v>
      </x:c>
      <x:c r="AN2244" s="3" t="str">
        <x:v>https://www.hardmoneyhome.com/lenders/view/alternative-financial-services</x:v>
      </x:c>
      <x:c r="AO2244" s="3" t="str">
        <x:v>public_directory.jsonl</x:v>
      </x:c>
      <x:c r="AP2244" s="19"/>
    </x:row>
    <x:row r="2245" ht="36" customHeight="1">
      <x:c r="A2245" s="23" t="n">
        <x:v>2244</x:v>
      </x:c>
      <x:c r="B2245" s="15" t="str">
        <x:v>Anchor Loans</x:v>
      </x:c>
      <x:c r="C2245" s="15"/>
      <x:c r="D2245" s="15" t="str">
        <x:v>Property lender or directory member; operating-company capital unconfirmed</x:v>
      </x:c>
      <x:c r="E2245" s="15" t="str">
        <x:v>Property lender / private-money inquiry</x:v>
      </x:c>
      <x:c r="F2245" s="17" t="str">
        <x:v>New</x:v>
      </x:c>
      <x:c r="G2245" s="24" t="str">
        <x:v>info@anchorloans.com</x:v>
      </x:c>
      <x:c r="H2245" s="24" t="str">
        <x:v>+13103950010</x:v>
      </x:c>
      <x:c r="I2245" s="24" t="str">
        <x:v>https://www.anchorloans.com/</x:v>
      </x:c>
      <x:c r="J2245" s="16" t="str">
        <x:v>CA</x:v>
      </x:c>
      <x:c r="K2245" s="16" t="str">
        <x:v>Calabasas</x:v>
      </x:c>
      <x:c r="L2245" s="16" t="str">
        <x:v>firm_business_routing</x:v>
      </x:c>
      <x:c r="M2245" s="16" t="str">
        <x:v>https://www.anchorloans.com/</x:v>
      </x:c>
      <x:c r="N2245" s="16" t="str">
        <x:v>Published source range; proposed allocation and structure require confirmation</x:v>
      </x:c>
      <x:c r="O2245" s="20"/>
      <x:c r="P2245" s="20" t="n">
        <x:v>20000000</x:v>
      </x:c>
      <x:c r="Q2245" s="25" t="str">
        <x:v>Property-loan range, not a corporate-capital commitment</x:v>
      </x:c>
      <x:c r="R2245" s="25" t="str">
        <x:v>Private real-estate finance experience. Corporate working capital, minority equity or profit participation requires a separate agreement from a property loan.</x:v>
      </x:c>
      <x:c r="S2245" s="25"/>
      <x:c r="T2245" s="25" t="str">
        <x:v>Confirm direct principal versus broker, $100K-$500K appetite, and whether capital can fund the operating company without a property mortgage.</x:v>
      </x:c>
      <x:c r="U2245" s="25" t="str">
        <x:v>https://www.hardmoneyhome.com/lenders/view/anchor-loans
https://privatelenderlink.com/profile/anchor-loans/
https://nplaconference.com/private-lending-directory/
https://www.anchorloans.com/contact
https://www.privatelendersdirectory.com/united-states/thousand-oaks/top-level-category/anchor-loans</x:v>
      </x:c>
      <x:c r="V2245" s="26" t="d">
        <x:v>2026-10-02T00:00:00.000Z</x:v>
      </x:c>
      <x:c r="W2245" s="26" t="d">
        <x:v>2026-09-30T00:00:00.000Z</x:v>
      </x:c>
      <x:c r="X2245" s="25" t="str">
        <x:v>Saved public company, industry-directory or regulatory source; source date retained</x:v>
      </x:c>
      <x:c r="Y2245" s="25" t="str">
        <x:v>https://privatelenderlink.com/profile/anchor-loans/</x:v>
      </x:c>
      <x:c r="Z2245" s="25" t="str">
        <x:v>https://www.hardmoneyhome.com/lenders/view/anchor-loans</x:v>
      </x:c>
      <x:c r="AA2245" s="25" t="str">
        <x:v>[]</x:v>
      </x:c>
      <x:c r="AB2245" s="3" t="str">
        <x:v>Existing CapitalForge research, newly screened for this campaign</x:v>
      </x:c>
      <x:c r="AC2245" s="3" t="str">
        <x:v>unverified</x:v>
      </x:c>
      <x:c r="AD2245" s="3" t="str">
        <x:v>Not contacted / unconfirmed</x:v>
      </x:c>
      <x:c r="AE2245" s="3" t="str">
        <x:v>No</x:v>
      </x:c>
      <x:c r="AF2245" s="3" t="str">
        <x:v>No</x:v>
      </x:c>
      <x:c r="AG2245" s="3"/>
      <x:c r="AH2245" s="3"/>
      <x:c r="AI2245" s="18"/>
      <x:c r="AJ2245" s="3" t="str">
        <x:v>CF2500-C9BFBEBD47F4</x:v>
      </x:c>
      <x:c r="AK2245" s="3" t="str">
        <x:v>private_real_estate_lender</x:v>
      </x:c>
      <x:c r="AL2245" s="19" t="n">
        <x:v>100000</x:v>
      </x:c>
      <x:c r="AM2245" s="19" t="n">
        <x:v>500000</x:v>
      </x:c>
      <x:c r="AN2245" s="3" t="str">
        <x:v>https://www.hardmoneyhome.com/lenders/view/anchor-loans</x:v>
      </x:c>
      <x:c r="AO2245" s="3" t="str">
        <x:v>public_directory.jsonl</x:v>
      </x:c>
      <x:c r="AP2245" s="19"/>
    </x:row>
    <x:row r="2246" ht="36" customHeight="1">
      <x:c r="A2246" s="23" t="n">
        <x:v>2245</x:v>
      </x:c>
      <x:c r="B2246" s="15" t="str">
        <x:v>Ary Ming Asset Funding</x:v>
      </x:c>
      <x:c r="C2246" s="15"/>
      <x:c r="D2246" s="15" t="str">
        <x:v>Property lender or directory member; operating-company capital unconfirmed</x:v>
      </x:c>
      <x:c r="E2246" s="15" t="str">
        <x:v>Property lender / private-money inquiry</x:v>
      </x:c>
      <x:c r="F2246" s="17" t="str">
        <x:v>New</x:v>
      </x:c>
      <x:c r="G2246" s="24" t="str">
        <x:v>investors@aryming.com</x:v>
      </x:c>
      <x:c r="H2246" s="24" t="str">
        <x:v>+19737350888</x:v>
      </x:c>
      <x:c r="I2246" s="24" t="str">
        <x:v>http://aryming.com/</x:v>
      </x:c>
      <x:c r="J2246" s="16" t="str">
        <x:v>NJ</x:v>
      </x:c>
      <x:c r="K2246" s="16" t="str">
        <x:v>Newark</x:v>
      </x:c>
      <x:c r="L2246" s="16" t="str">
        <x:v>firm_business_routing</x:v>
      </x:c>
      <x:c r="M2246" s="16" t="str">
        <x:v>http://aryming.com/</x:v>
      </x:c>
      <x:c r="N2246" s="16" t="str">
        <x:v>Published source range; proposed allocation and structure require confirmation</x:v>
      </x:c>
      <x:c r="O2246" s="20"/>
      <x:c r="P2246" s="20" t="n">
        <x:v>1000000</x:v>
      </x:c>
      <x:c r="Q2246" s="25" t="str">
        <x:v>Property-loan range, not a corporate-capital commitment</x:v>
      </x:c>
      <x:c r="R2246" s="25" t="str">
        <x:v>Private real-estate finance experience. Corporate working capital, minority equity or profit participation requires a separate agreement from a property loan.</x:v>
      </x:c>
      <x:c r="S2246" s="25"/>
      <x:c r="T2246" s="25" t="str">
        <x:v>Confirm direct principal versus broker, $100K-$500K appetite, and whether capital can fund the operating company without a property mortgage.</x:v>
      </x:c>
      <x:c r="U2246" s="25" t="str">
        <x:v>https://www.hardmoneyhome.com/lenders/view/ary-ming-asset-funding
https://aryming.com/
https://www.privatelendersdirectory.com/united-states/newark/top-level-category/aryming-funding</x:v>
      </x:c>
      <x:c r="V2246" s="26" t="d">
        <x:v>2026-10-02T00:00:00.000Z</x:v>
      </x:c>
      <x:c r="W2246" s="26" t="d">
        <x:v>2026-09-30T00:00:00.000Z</x:v>
      </x:c>
      <x:c r="X2246" s="25" t="str">
        <x:v>Saved public company, industry-directory or regulatory source; source date retained</x:v>
      </x:c>
      <x:c r="Y2246" s="25" t="str">
        <x:v>https://aryming.com/</x:v>
      </x:c>
      <x:c r="Z2246" s="25" t="str">
        <x:v>https://www.hardmoneyhome.com/lenders/view/ary-ming-asset-funding</x:v>
      </x:c>
      <x:c r="AA2246" s="25" t="str">
        <x:v>[]</x:v>
      </x:c>
      <x:c r="AB2246" s="3" t="str">
        <x:v>Existing CapitalForge research, newly screened for this campaign</x:v>
      </x:c>
      <x:c r="AC2246" s="3" t="str">
        <x:v>unverified</x:v>
      </x:c>
      <x:c r="AD2246" s="3" t="str">
        <x:v>Not contacted / unconfirmed</x:v>
      </x:c>
      <x:c r="AE2246" s="3" t="str">
        <x:v>No</x:v>
      </x:c>
      <x:c r="AF2246" s="3" t="str">
        <x:v>No</x:v>
      </x:c>
      <x:c r="AG2246" s="3"/>
      <x:c r="AH2246" s="3"/>
      <x:c r="AI2246" s="18"/>
      <x:c r="AJ2246" s="3" t="str">
        <x:v>CF2500-9B76E5E44D25</x:v>
      </x:c>
      <x:c r="AK2246" s="3" t="str">
        <x:v>private_real_estate_lender</x:v>
      </x:c>
      <x:c r="AL2246" s="19" t="n">
        <x:v>100000</x:v>
      </x:c>
      <x:c r="AM2246" s="19" t="n">
        <x:v>500000</x:v>
      </x:c>
      <x:c r="AN2246" s="3" t="str">
        <x:v>https://www.hardmoneyhome.com/lenders/view/ary-ming-asset-funding</x:v>
      </x:c>
      <x:c r="AO2246" s="3" t="str">
        <x:v>public_directory.jsonl</x:v>
      </x:c>
      <x:c r="AP2246" s="19"/>
    </x:row>
    <x:row r="2247" ht="36" customHeight="1">
      <x:c r="A2247" s="23" t="n">
        <x:v>2246</x:v>
      </x:c>
      <x:c r="B2247" s="15" t="str">
        <x:v>Avant Capital Partners</x:v>
      </x:c>
      <x:c r="C2247" s="15"/>
      <x:c r="D2247" s="15" t="str">
        <x:v>Property lender or directory member; operating-company capital unconfirmed</x:v>
      </x:c>
      <x:c r="E2247" s="15" t="str">
        <x:v>Property lender / private-money inquiry</x:v>
      </x:c>
      <x:c r="F2247" s="17" t="str">
        <x:v>New</x:v>
      </x:c>
      <x:c r="G2247" s="24" t="str">
        <x:v>info@avant-capital.com</x:v>
      </x:c>
      <x:c r="H2247" s="24" t="str">
        <x:v>+12039303400</x:v>
      </x:c>
      <x:c r="I2247" s="24" t="str">
        <x:v>http://www.avant-capital.com/</x:v>
      </x:c>
      <x:c r="J2247" s="16" t="str">
        <x:v>NY</x:v>
      </x:c>
      <x:c r="K2247" s="16" t="str">
        <x:v>New York</x:v>
      </x:c>
      <x:c r="L2247" s="16" t="str">
        <x:v>firm_business_routing</x:v>
      </x:c>
      <x:c r="M2247" s="16" t="str">
        <x:v>http://www.avant-capital.com/</x:v>
      </x:c>
      <x:c r="N2247" s="16" t="str">
        <x:v>Published source range; proposed allocation and structure require confirmation</x:v>
      </x:c>
      <x:c r="O2247" s="20"/>
      <x:c r="P2247" s="20" t="n">
        <x:v>15000000</x:v>
      </x:c>
      <x:c r="Q2247" s="25" t="str">
        <x:v>Property-loan range, not a corporate-capital commitment</x:v>
      </x:c>
      <x:c r="R2247" s="25" t="str">
        <x:v>Private real-estate finance experience. Corporate working capital, minority equity or profit participation requires a separate agreement from a property loan.</x:v>
      </x:c>
      <x:c r="S2247" s="25"/>
      <x:c r="T2247" s="25" t="str">
        <x:v>Confirm direct principal versus broker, $100K-$500K appetite, and whether capital can fund the operating company without a property mortgage.</x:v>
      </x:c>
      <x:c r="U2247" s="25" t="str">
        <x:v>https://www.hardmoneyhome.com/lenders/view/avant-capital-partners
https://www.avant-capital.com/
https://www.privatelendersdirectory.com/united-states/westport/top-level-category/avant-capital-partners
https://avant-capital.com/</x:v>
      </x:c>
      <x:c r="V2247" s="26" t="d">
        <x:v>2026-10-02T00:00:00.000Z</x:v>
      </x:c>
      <x:c r="W2247" s="26" t="d">
        <x:v>2026-09-30T00:00:00.000Z</x:v>
      </x:c>
      <x:c r="X2247" s="25" t="str">
        <x:v>Saved public company, industry-directory or regulatory source; source date retained</x:v>
      </x:c>
      <x:c r="Y2247" s="25" t="str">
        <x:v>https://www.avant-capital.com/</x:v>
      </x:c>
      <x:c r="Z2247" s="25" t="str">
        <x:v>https://www.hardmoneyhome.com/lenders/view/avant-capital-partners</x:v>
      </x:c>
      <x:c r="AA2247" s="25" t="str">
        <x:v>[]</x:v>
      </x:c>
      <x:c r="AB2247" s="3" t="str">
        <x:v>Existing CapitalForge research, newly screened for this campaign</x:v>
      </x:c>
      <x:c r="AC2247" s="3" t="str">
        <x:v>unverified</x:v>
      </x:c>
      <x:c r="AD2247" s="3" t="str">
        <x:v>Not contacted / unconfirmed</x:v>
      </x:c>
      <x:c r="AE2247" s="3" t="str">
        <x:v>No</x:v>
      </x:c>
      <x:c r="AF2247" s="3" t="str">
        <x:v>No</x:v>
      </x:c>
      <x:c r="AG2247" s="3"/>
      <x:c r="AH2247" s="3"/>
      <x:c r="AI2247" s="18"/>
      <x:c r="AJ2247" s="3" t="str">
        <x:v>CF2500-EED19245B873</x:v>
      </x:c>
      <x:c r="AK2247" s="3" t="str">
        <x:v>private_real_estate_lender</x:v>
      </x:c>
      <x:c r="AL2247" s="19" t="n">
        <x:v>100000</x:v>
      </x:c>
      <x:c r="AM2247" s="19" t="n">
        <x:v>500000</x:v>
      </x:c>
      <x:c r="AN2247" s="3" t="str">
        <x:v>https://www.hardmoneyhome.com/lenders/view/avant-capital-partners</x:v>
      </x:c>
      <x:c r="AO2247" s="3" t="str">
        <x:v>public_directory.jsonl</x:v>
      </x:c>
      <x:c r="AP2247" s="19"/>
    </x:row>
    <x:row r="2248" ht="36" customHeight="1">
      <x:c r="A2248" s="23" t="n">
        <x:v>2247</x:v>
      </x:c>
      <x:c r="B2248" s="15" t="str">
        <x:v>Aztec Financial</x:v>
      </x:c>
      <x:c r="C2248" s="15"/>
      <x:c r="D2248" s="15" t="str">
        <x:v>Property lender or directory member; operating-company capital unconfirmed</x:v>
      </x:c>
      <x:c r="E2248" s="15" t="str">
        <x:v>Property lender / private-money inquiry</x:v>
      </x:c>
      <x:c r="F2248" s="17" t="str">
        <x:v>New</x:v>
      </x:c>
      <x:c r="G2248" s="24" t="str">
        <x:v>jhofaztec@aol.com</x:v>
      </x:c>
      <x:c r="H2248" s="24" t="str">
        <x:v>+18188488960</x:v>
      </x:c>
      <x:c r="I2248" s="24" t="str">
        <x:v>http://www.aztecfin.com</x:v>
      </x:c>
      <x:c r="J2248" s="16" t="str">
        <x:v>CA</x:v>
      </x:c>
      <x:c r="K2248" s="16" t="str">
        <x:v>Burbank</x:v>
      </x:c>
      <x:c r="L2248" s="16" t="str">
        <x:v>firm_business_routing</x:v>
      </x:c>
      <x:c r="M2248" s="16" t="str">
        <x:v>http://www.aztecfin.com</x:v>
      </x:c>
      <x:c r="N2248" s="16" t="str">
        <x:v>Published source range; proposed allocation and structure require confirmation</x:v>
      </x:c>
      <x:c r="O2248" s="20"/>
      <x:c r="P2248" s="20" t="n">
        <x:v>3000000</x:v>
      </x:c>
      <x:c r="Q2248" s="25" t="str">
        <x:v>Property-loan range, not a corporate-capital commitment</x:v>
      </x:c>
      <x:c r="R2248" s="25" t="str">
        <x:v>Private real-estate finance experience. Corporate working capital, minority equity or profit participation requires a separate agreement from a property loan.</x:v>
      </x:c>
      <x:c r="S2248" s="25"/>
      <x:c r="T2248" s="25" t="str">
        <x:v>Confirm direct principal versus broker, $100K-$500K appetite, and whether capital can fund the operating company without a property mortgage.</x:v>
      </x:c>
      <x:c r="U2248" s="25" t="str">
        <x:v>https://www.hardmoneyhome.com/lenders/view/aztec-financial
https://privatelenderlink.com/profile/aztec-financial/
https://aztecfinancial.net/
https://www.privatelendersdirectory.com/united-states/south-jordan/top-level-category/aztec-financial
https://aztecfinancial.com/</x:v>
      </x:c>
      <x:c r="V2248" s="26" t="d">
        <x:v>2026-10-02T00:00:00.000Z</x:v>
      </x:c>
      <x:c r="W2248" s="26" t="d">
        <x:v>2026-09-30T00:00:00.000Z</x:v>
      </x:c>
      <x:c r="X2248" s="25" t="str">
        <x:v>Saved public company, industry-directory or regulatory source; source date retained</x:v>
      </x:c>
      <x:c r="Y2248" s="25" t="str">
        <x:v>https://privatelenderlink.com/profile/aztec-financial/</x:v>
      </x:c>
      <x:c r="Z2248" s="25" t="str">
        <x:v>https://www.hardmoneyhome.com/lenders/view/aztec-financial</x:v>
      </x:c>
      <x:c r="AA2248" s="25" t="str">
        <x:v>[]</x:v>
      </x:c>
      <x:c r="AB2248" s="3" t="str">
        <x:v>Existing CapitalForge research, newly screened for this campaign</x:v>
      </x:c>
      <x:c r="AC2248" s="3" t="str">
        <x:v>unverified</x:v>
      </x:c>
      <x:c r="AD2248" s="3" t="str">
        <x:v>Not contacted / unconfirmed</x:v>
      </x:c>
      <x:c r="AE2248" s="3" t="str">
        <x:v>No</x:v>
      </x:c>
      <x:c r="AF2248" s="3" t="str">
        <x:v>No</x:v>
      </x:c>
      <x:c r="AG2248" s="3"/>
      <x:c r="AH2248" s="3"/>
      <x:c r="AI2248" s="18"/>
      <x:c r="AJ2248" s="3" t="str">
        <x:v>CF2500-19D701EB2192</x:v>
      </x:c>
      <x:c r="AK2248" s="3" t="str">
        <x:v>private_real_estate_lender</x:v>
      </x:c>
      <x:c r="AL2248" s="19" t="n">
        <x:v>100000</x:v>
      </x:c>
      <x:c r="AM2248" s="19" t="n">
        <x:v>500000</x:v>
      </x:c>
      <x:c r="AN2248" s="3" t="str">
        <x:v>https://www.hardmoneyhome.com/lenders/view/aztec-financial</x:v>
      </x:c>
      <x:c r="AO2248" s="3" t="str">
        <x:v>public_directory.jsonl</x:v>
      </x:c>
      <x:c r="AP2248" s="19"/>
    </x:row>
    <x:row r="2249" ht="36" customHeight="1">
      <x:c r="A2249" s="23" t="n">
        <x:v>2248</x:v>
      </x:c>
      <x:c r="B2249" s="15" t="str">
        <x:v>Bankers Group</x:v>
      </x:c>
      <x:c r="C2249" s="15"/>
      <x:c r="D2249" s="15" t="str">
        <x:v>Property lender or directory member; operating-company capital unconfirmed</x:v>
      </x:c>
      <x:c r="E2249" s="15" t="str">
        <x:v>Property lender / private-money inquiry</x:v>
      </x:c>
      <x:c r="F2249" s="17" t="str">
        <x:v>New</x:v>
      </x:c>
      <x:c r="G2249" s="24" t="str">
        <x:v>dorothy@bankersgroup.us</x:v>
      </x:c>
      <x:c r="H2249" s="24" t="str">
        <x:v>+13104554050</x:v>
      </x:c>
      <x:c r="I2249" s="24" t="str">
        <x:v>http://www.bankersgroup.us</x:v>
      </x:c>
      <x:c r="J2249" s="16" t="str">
        <x:v>CA</x:v>
      </x:c>
      <x:c r="K2249" s="16" t="str">
        <x:v>Woodland Hills</x:v>
      </x:c>
      <x:c r="L2249" s="16" t="str">
        <x:v>firm_business_routing</x:v>
      </x:c>
      <x:c r="M2249" s="16" t="str">
        <x:v>http://www.bankersgroup.us</x:v>
      </x:c>
      <x:c r="N2249" s="16" t="str">
        <x:v>Published source range; proposed allocation and structure require confirmation</x:v>
      </x:c>
      <x:c r="O2249" s="20"/>
      <x:c r="P2249" s="20" t="n">
        <x:v>20000000</x:v>
      </x:c>
      <x:c r="Q2249" s="25" t="str">
        <x:v>Property-loan range, not a corporate-capital commitment</x:v>
      </x:c>
      <x:c r="R2249" s="25" t="str">
        <x:v>Private real-estate finance experience. Corporate working capital, minority equity or profit participation requires a separate agreement from a property loan.</x:v>
      </x:c>
      <x:c r="S2249" s="25"/>
      <x:c r="T2249" s="25" t="str">
        <x:v>Confirm direct principal versus broker, $100K-$500K appetite, and whether capital can fund the operating company without a property mortgage.</x:v>
      </x:c>
      <x:c r="U2249" s="25" t="str">
        <x:v>https://www.hardmoneyhome.com/lenders/view/bankers-group
https://www.bankersgroup.us</x:v>
      </x:c>
      <x:c r="V2249" s="26" t="d">
        <x:v>2026-10-02T00:00:00.000Z</x:v>
      </x:c>
      <x:c r="W2249" s="26" t="d">
        <x:v>2026-09-30T00:00:00.000Z</x:v>
      </x:c>
      <x:c r="X2249" s="25" t="str">
        <x:v>Saved public company, industry-directory or regulatory source; source date retained</x:v>
      </x:c>
      <x:c r="Y2249" s="25" t="str">
        <x:v>https://www.bankersgroup.us</x:v>
      </x:c>
      <x:c r="Z2249" s="25" t="str">
        <x:v>https://www.hardmoneyhome.com/lenders/view/bankers-group</x:v>
      </x:c>
      <x:c r="AA2249" s="25" t="str">
        <x:v>[]</x:v>
      </x:c>
      <x:c r="AB2249" s="3" t="str">
        <x:v>Existing CapitalForge research, newly screened for this campaign</x:v>
      </x:c>
      <x:c r="AC2249" s="3" t="str">
        <x:v>unverified</x:v>
      </x:c>
      <x:c r="AD2249" s="3" t="str">
        <x:v>Not contacted / unconfirmed</x:v>
      </x:c>
      <x:c r="AE2249" s="3" t="str">
        <x:v>No</x:v>
      </x:c>
      <x:c r="AF2249" s="3" t="str">
        <x:v>No</x:v>
      </x:c>
      <x:c r="AG2249" s="3"/>
      <x:c r="AH2249" s="3"/>
      <x:c r="AI2249" s="18"/>
      <x:c r="AJ2249" s="3" t="str">
        <x:v>CF2500-480E374AA3F2</x:v>
      </x:c>
      <x:c r="AK2249" s="3" t="str">
        <x:v>private_real_estate_lender</x:v>
      </x:c>
      <x:c r="AL2249" s="19" t="n">
        <x:v>100000</x:v>
      </x:c>
      <x:c r="AM2249" s="19" t="n">
        <x:v>500000</x:v>
      </x:c>
      <x:c r="AN2249" s="3" t="str">
        <x:v>https://www.hardmoneyhome.com/lenders/view/bankers-group</x:v>
      </x:c>
      <x:c r="AO2249" s="3" t="str">
        <x:v>public_directory.jsonl</x:v>
      </x:c>
      <x:c r="AP2249" s="19"/>
    </x:row>
    <x:row r="2250" ht="36" customHeight="1">
      <x:c r="A2250" s="23" t="n">
        <x:v>2249</x:v>
      </x:c>
      <x:c r="B2250" s="15" t="str">
        <x:v>BD Capital</x:v>
      </x:c>
      <x:c r="C2250" s="15"/>
      <x:c r="D2250" s="15" t="str">
        <x:v>Property lender or directory member; operating-company capital unconfirmed</x:v>
      </x:c>
      <x:c r="E2250" s="15" t="str">
        <x:v>Property lender / private-money inquiry</x:v>
      </x:c>
      <x:c r="F2250" s="17" t="str">
        <x:v>New</x:v>
      </x:c>
      <x:c r="G2250" s="24" t="str">
        <x:v>loans@bdcapitalllc.com</x:v>
      </x:c>
      <x:c r="H2250" s="24" t="str">
        <x:v>+19082797881</x:v>
      </x:c>
      <x:c r="I2250" s="24" t="str">
        <x:v>http://bdcapitalllc.com</x:v>
      </x:c>
      <x:c r="J2250" s="16" t="str">
        <x:v>NJ</x:v>
      </x:c>
      <x:c r="K2250" s="16" t="str">
        <x:v>Watchung</x:v>
      </x:c>
      <x:c r="L2250" s="16" t="str">
        <x:v>firm_business_routing</x:v>
      </x:c>
      <x:c r="M2250" s="16" t="str">
        <x:v>http://bdcapitalllc.com</x:v>
      </x:c>
      <x:c r="N2250" s="16" t="str">
        <x:v>Published source range; proposed allocation and structure require confirmation</x:v>
      </x:c>
      <x:c r="O2250" s="20"/>
      <x:c r="P2250" s="20" t="n">
        <x:v>2000000</x:v>
      </x:c>
      <x:c r="Q2250" s="25" t="str">
        <x:v>Property-loan range, not a corporate-capital commitment</x:v>
      </x:c>
      <x:c r="R2250" s="25" t="str">
        <x:v>Private real-estate finance experience. Corporate working capital, minority equity or profit participation requires a separate agreement from a property loan.</x:v>
      </x:c>
      <x:c r="S2250" s="25"/>
      <x:c r="T2250" s="25" t="str">
        <x:v>Confirm direct principal versus broker, $100K-$500K appetite, and whether capital can fund the operating company without a property mortgage.</x:v>
      </x:c>
      <x:c r="U2250" s="25" t="str">
        <x:v>https://www.hardmoneyhome.com/lenders/view/bd-capital
https://bdcapitalllc.com
https://privatelenderlink.com/profile/bd-capital-llc/
https://www.privatelendersdirectory.com/united-states/warren/top-level-category/bd-capital</x:v>
      </x:c>
      <x:c r="V2250" s="26" t="d">
        <x:v>2026-10-02T00:00:00.000Z</x:v>
      </x:c>
      <x:c r="W2250" s="26" t="d">
        <x:v>2026-09-30T00:00:00.000Z</x:v>
      </x:c>
      <x:c r="X2250" s="25" t="str">
        <x:v>Saved public company, industry-directory or regulatory source; source date retained</x:v>
      </x:c>
      <x:c r="Y2250" s="25" t="str">
        <x:v>https://bdcapitalllc.com</x:v>
      </x:c>
      <x:c r="Z2250" s="25" t="str">
        <x:v>https://www.hardmoneyhome.com/lenders/view/bd-capital</x:v>
      </x:c>
      <x:c r="AA2250" s="25" t="str">
        <x:v>[]</x:v>
      </x:c>
      <x:c r="AB2250" s="3" t="str">
        <x:v>Existing CapitalForge research, newly screened for this campaign</x:v>
      </x:c>
      <x:c r="AC2250" s="3" t="str">
        <x:v>unverified</x:v>
      </x:c>
      <x:c r="AD2250" s="3" t="str">
        <x:v>Not contacted / unconfirmed</x:v>
      </x:c>
      <x:c r="AE2250" s="3" t="str">
        <x:v>No</x:v>
      </x:c>
      <x:c r="AF2250" s="3" t="str">
        <x:v>No</x:v>
      </x:c>
      <x:c r="AG2250" s="3"/>
      <x:c r="AH2250" s="3"/>
      <x:c r="AI2250" s="18"/>
      <x:c r="AJ2250" s="3" t="str">
        <x:v>CF2500-920F94F56D58</x:v>
      </x:c>
      <x:c r="AK2250" s="3" t="str">
        <x:v>private_real_estate_lender</x:v>
      </x:c>
      <x:c r="AL2250" s="19" t="n">
        <x:v>100000</x:v>
      </x:c>
      <x:c r="AM2250" s="19" t="n">
        <x:v>500000</x:v>
      </x:c>
      <x:c r="AN2250" s="3" t="str">
        <x:v>https://www.hardmoneyhome.com/lenders/view/bd-capital</x:v>
      </x:c>
      <x:c r="AO2250" s="3" t="str">
        <x:v>public_directory.jsonl</x:v>
      </x:c>
      <x:c r="AP2250" s="19"/>
    </x:row>
    <x:row r="2251" ht="36" customHeight="1">
      <x:c r="A2251" s="23" t="n">
        <x:v>2250</x:v>
      </x:c>
      <x:c r="B2251" s="15" t="str">
        <x:v>Bolour Associates</x:v>
      </x:c>
      <x:c r="C2251" s="15"/>
      <x:c r="D2251" s="15" t="str">
        <x:v>Property lender or directory member; operating-company capital unconfirmed</x:v>
      </x:c>
      <x:c r="E2251" s="15" t="str">
        <x:v>Property lender / private-money inquiry</x:v>
      </x:c>
      <x:c r="F2251" s="17" t="str">
        <x:v>New</x:v>
      </x:c>
      <x:c r="G2251" s="24" t="str">
        <x:v>info@bolourassociates.com</x:v>
      </x:c>
      <x:c r="H2251" s="24" t="str">
        <x:v>+13236770550</x:v>
      </x:c>
      <x:c r="I2251" s="24" t="str">
        <x:v>http://www.bolourassociates.com/</x:v>
      </x:c>
      <x:c r="J2251" s="16" t="str">
        <x:v>CA</x:v>
      </x:c>
      <x:c r="K2251" s="16" t="str">
        <x:v>Beverly Hills</x:v>
      </x:c>
      <x:c r="L2251" s="16" t="str">
        <x:v>firm_business_routing</x:v>
      </x:c>
      <x:c r="M2251" s="16" t="str">
        <x:v>http://www.bolourassociates.com/</x:v>
      </x:c>
      <x:c r="N2251" s="16" t="str">
        <x:v>Published source range; proposed allocation and structure require confirmation</x:v>
      </x:c>
      <x:c r="O2251" s="20"/>
      <x:c r="P2251" s="20" t="n">
        <x:v>15000000</x:v>
      </x:c>
      <x:c r="Q2251" s="25" t="str">
        <x:v>Property-loan range, not a corporate-capital commitment</x:v>
      </x:c>
      <x:c r="R2251" s="25" t="str">
        <x:v>Private real-estate finance experience. Corporate working capital, minority equity or profit participation requires a separate agreement from a property loan.</x:v>
      </x:c>
      <x:c r="S2251" s="25"/>
      <x:c r="T2251" s="25" t="str">
        <x:v>Confirm direct principal versus broker, $100K-$500K appetite, and whether capital can fund the operating company without a property mortgage.</x:v>
      </x:c>
      <x:c r="U2251" s="25" t="str">
        <x:v>https://www.hardmoneyhome.com/lenders/view/bolour-associates
https://bolourassociates.com/contact/
https://www.privatelendersdirectory.com/united-states/beverly-hills/top-level-category/bolour-associates</x:v>
      </x:c>
      <x:c r="V2251" s="26" t="d">
        <x:v>2026-10-02T00:00:00.000Z</x:v>
      </x:c>
      <x:c r="W2251" s="26" t="d">
        <x:v>2026-09-30T00:00:00.000Z</x:v>
      </x:c>
      <x:c r="X2251" s="25" t="str">
        <x:v>Saved public company, industry-directory or regulatory source; source date retained</x:v>
      </x:c>
      <x:c r="Y2251" s="25" t="str">
        <x:v>https://bolourassociates.com/contact/</x:v>
      </x:c>
      <x:c r="Z2251" s="25" t="str">
        <x:v>https://www.hardmoneyhome.com/lenders/view/bolour-associates</x:v>
      </x:c>
      <x:c r="AA2251" s="25" t="str">
        <x:v>[]</x:v>
      </x:c>
      <x:c r="AB2251" s="3" t="str">
        <x:v>Existing CapitalForge research, newly screened for this campaign</x:v>
      </x:c>
      <x:c r="AC2251" s="3" t="str">
        <x:v>unverified</x:v>
      </x:c>
      <x:c r="AD2251" s="3" t="str">
        <x:v>Not contacted / unconfirmed</x:v>
      </x:c>
      <x:c r="AE2251" s="3" t="str">
        <x:v>No</x:v>
      </x:c>
      <x:c r="AF2251" s="3" t="str">
        <x:v>No</x:v>
      </x:c>
      <x:c r="AG2251" s="3"/>
      <x:c r="AH2251" s="3"/>
      <x:c r="AI2251" s="18"/>
      <x:c r="AJ2251" s="3" t="str">
        <x:v>CF2500-419234F0B716</x:v>
      </x:c>
      <x:c r="AK2251" s="3" t="str">
        <x:v>private_real_estate_lender</x:v>
      </x:c>
      <x:c r="AL2251" s="19" t="n">
        <x:v>100000</x:v>
      </x:c>
      <x:c r="AM2251" s="19" t="n">
        <x:v>500000</x:v>
      </x:c>
      <x:c r="AN2251" s="3" t="str">
        <x:v>https://www.hardmoneyhome.com/lenders/view/bolour-associates</x:v>
      </x:c>
      <x:c r="AO2251" s="3" t="str">
        <x:v>public_directory.jsonl</x:v>
      </x:c>
      <x:c r="AP2251" s="19"/>
    </x:row>
    <x:row r="2252" ht="36" customHeight="1">
      <x:c r="A2252" s="23" t="n">
        <x:v>2251</x:v>
      </x:c>
      <x:c r="B2252" s="15" t="str">
        <x:v>Brookview Financial</x:v>
      </x:c>
      <x:c r="C2252" s="15"/>
      <x:c r="D2252" s="15" t="str">
        <x:v>Property lender or directory member; operating-company capital unconfirmed</x:v>
      </x:c>
      <x:c r="E2252" s="15" t="str">
        <x:v>Property lender / private-money inquiry</x:v>
      </x:c>
      <x:c r="F2252" s="17" t="str">
        <x:v>New</x:v>
      </x:c>
      <x:c r="G2252" s="24" t="str">
        <x:v>getfunded@brookviewfinancial.com</x:v>
      </x:c>
      <x:c r="H2252" s="24" t="str">
        <x:v>+12032308500</x:v>
      </x:c>
      <x:c r="I2252" s="24" t="str">
        <x:v>https://www.brookviewfinancial.com/</x:v>
      </x:c>
      <x:c r="J2252" s="16" t="str">
        <x:v>CT</x:v>
      </x:c>
      <x:c r="K2252" s="16" t="str">
        <x:v>Hamden</x:v>
      </x:c>
      <x:c r="L2252" s="16" t="str">
        <x:v>firm_business_routing</x:v>
      </x:c>
      <x:c r="M2252" s="16" t="str">
        <x:v>https://www.brookviewfinancial.com/</x:v>
      </x:c>
      <x:c r="N2252" s="16" t="str">
        <x:v>Published source range; proposed allocation and structure require confirmation</x:v>
      </x:c>
      <x:c r="O2252" s="20"/>
      <x:c r="P2252" s="20" t="n">
        <x:v>3000000</x:v>
      </x:c>
      <x:c r="Q2252" s="25" t="str">
        <x:v>Property-loan range, not a corporate-capital commitment</x:v>
      </x:c>
      <x:c r="R2252" s="25" t="str">
        <x:v>Private real-estate finance experience. Corporate working capital, minority equity or profit participation requires a separate agreement from a property loan.</x:v>
      </x:c>
      <x:c r="S2252" s="25"/>
      <x:c r="T2252" s="25" t="str">
        <x:v>Confirm direct principal versus broker, $100K-$500K appetite, and whether capital can fund the operating company without a property mortgage.</x:v>
      </x:c>
      <x:c r="U2252" s="25" t="str">
        <x:v>https://www.hardmoneyhome.com/lenders/view/brookview-financial
https://www.brookviewfinancial.com/
https://www.privatelendersdirectory.com/united-states/hamden/top-level-category/brookview-financial</x:v>
      </x:c>
      <x:c r="V2252" s="26" t="d">
        <x:v>2026-10-02T00:00:00.000Z</x:v>
      </x:c>
      <x:c r="W2252" s="26" t="d">
        <x:v>2026-09-30T00:00:00.000Z</x:v>
      </x:c>
      <x:c r="X2252" s="25" t="str">
        <x:v>Saved public company, industry-directory or regulatory source; source date retained</x:v>
      </x:c>
      <x:c r="Y2252" s="25" t="str">
        <x:v>https://www.brookviewfinancial.com/</x:v>
      </x:c>
      <x:c r="Z2252" s="25" t="str">
        <x:v>https://www.hardmoneyhome.com/lenders/view/brookview-financial</x:v>
      </x:c>
      <x:c r="AA2252" s="25" t="str">
        <x:v>[]</x:v>
      </x:c>
      <x:c r="AB2252" s="3" t="str">
        <x:v>Existing CapitalForge research, newly screened for this campaign</x:v>
      </x:c>
      <x:c r="AC2252" s="3" t="str">
        <x:v>unverified</x:v>
      </x:c>
      <x:c r="AD2252" s="3" t="str">
        <x:v>Not contacted / unconfirmed</x:v>
      </x:c>
      <x:c r="AE2252" s="3" t="str">
        <x:v>No</x:v>
      </x:c>
      <x:c r="AF2252" s="3" t="str">
        <x:v>No</x:v>
      </x:c>
      <x:c r="AG2252" s="3"/>
      <x:c r="AH2252" s="3"/>
      <x:c r="AI2252" s="18"/>
      <x:c r="AJ2252" s="3" t="str">
        <x:v>CF2500-E7BCE7F500E3</x:v>
      </x:c>
      <x:c r="AK2252" s="3" t="str">
        <x:v>private_real_estate_lender</x:v>
      </x:c>
      <x:c r="AL2252" s="19" t="n">
        <x:v>100000</x:v>
      </x:c>
      <x:c r="AM2252" s="19" t="n">
        <x:v>500000</x:v>
      </x:c>
      <x:c r="AN2252" s="3" t="str">
        <x:v>https://www.hardmoneyhome.com/lenders/view/brookview-financial</x:v>
      </x:c>
      <x:c r="AO2252" s="3" t="str">
        <x:v>public_directory.jsonl</x:v>
      </x:c>
      <x:c r="AP2252" s="19"/>
    </x:row>
    <x:row r="2253" ht="36" customHeight="1">
      <x:c r="A2253" s="23" t="n">
        <x:v>2252</x:v>
      </x:c>
      <x:c r="B2253" s="15" t="str">
        <x:v>Builders Capital</x:v>
      </x:c>
      <x:c r="C2253" s="15"/>
      <x:c r="D2253" s="15" t="str">
        <x:v>Property lender or directory member; operating-company capital unconfirmed</x:v>
      </x:c>
      <x:c r="E2253" s="15" t="str">
        <x:v>Property lender / private-money inquiry</x:v>
      </x:c>
      <x:c r="F2253" s="17" t="str">
        <x:v>New</x:v>
      </x:c>
      <x:c r="G2253" s="24" t="str">
        <x:v>info@builderscapital.com</x:v>
      </x:c>
      <x:c r="H2253" s="24" t="str">
        <x:v>+12062672650</x:v>
      </x:c>
      <x:c r="I2253" s="24" t="str">
        <x:v>http://builders-capital.com</x:v>
      </x:c>
      <x:c r="J2253" s="16" t="str">
        <x:v>WA</x:v>
      </x:c>
      <x:c r="K2253" s="16" t="str">
        <x:v>Seattle</x:v>
      </x:c>
      <x:c r="L2253" s="16" t="str">
        <x:v>firm_business_routing</x:v>
      </x:c>
      <x:c r="M2253" s="16" t="str">
        <x:v>http://builders-capital.com</x:v>
      </x:c>
      <x:c r="N2253" s="16" t="str">
        <x:v>Published source range; proposed allocation and structure require confirmation</x:v>
      </x:c>
      <x:c r="O2253" s="20"/>
      <x:c r="P2253" s="20" t="n">
        <x:v>100000000</x:v>
      </x:c>
      <x:c r="Q2253" s="25" t="str">
        <x:v>Property-loan range, not a corporate-capital commitment</x:v>
      </x:c>
      <x:c r="R2253" s="25" t="str">
        <x:v>Private real-estate finance experience. Corporate working capital, minority equity or profit participation requires a separate agreement from a property loan.</x:v>
      </x:c>
      <x:c r="S2253" s="25"/>
      <x:c r="T2253" s="25" t="str">
        <x:v>Confirm direct principal versus broker, $100K-$500K appetite, and whether capital can fund the operating company without a property mortgage.</x:v>
      </x:c>
      <x:c r="U2253" s="25" t="str">
        <x:v>https://www.hardmoneyhome.com/lenders/view/builders-capital
https://privatelenderlink.com/profile/builders-capital/
https://nplaconference.com/private-lending-directory/page/3/
https://builderscapital.com/
https://www.privatelendersdirectory.com/united-states/puyallup/top-level-category/builders-capital
https://www.builderscapital.com/</x:v>
      </x:c>
      <x:c r="V2253" s="26" t="d">
        <x:v>2026-10-02T00:00:00.000Z</x:v>
      </x:c>
      <x:c r="W2253" s="26" t="d">
        <x:v>2026-09-30T00:00:00.000Z</x:v>
      </x:c>
      <x:c r="X2253" s="25" t="str">
        <x:v>Saved public company, industry-directory or regulatory source; source date retained</x:v>
      </x:c>
      <x:c r="Y2253" s="25" t="str">
        <x:v>https://privatelenderlink.com/profile/builders-capital/</x:v>
      </x:c>
      <x:c r="Z2253" s="25" t="str">
        <x:v>https://www.hardmoneyhome.com/lenders/view/builders-capital</x:v>
      </x:c>
      <x:c r="AA2253" s="25" t="str">
        <x:v>[]</x:v>
      </x:c>
      <x:c r="AB2253" s="3" t="str">
        <x:v>Existing CapitalForge research, newly screened for this campaign</x:v>
      </x:c>
      <x:c r="AC2253" s="3" t="str">
        <x:v>unverified</x:v>
      </x:c>
      <x:c r="AD2253" s="3" t="str">
        <x:v>Not contacted / unconfirmed</x:v>
      </x:c>
      <x:c r="AE2253" s="3" t="str">
        <x:v>No</x:v>
      </x:c>
      <x:c r="AF2253" s="3" t="str">
        <x:v>No</x:v>
      </x:c>
      <x:c r="AG2253" s="3"/>
      <x:c r="AH2253" s="3"/>
      <x:c r="AI2253" s="18"/>
      <x:c r="AJ2253" s="3" t="str">
        <x:v>CF2500-962FC1DCD207</x:v>
      </x:c>
      <x:c r="AK2253" s="3" t="str">
        <x:v>private_real_estate_lender</x:v>
      </x:c>
      <x:c r="AL2253" s="19" t="n">
        <x:v>100000</x:v>
      </x:c>
      <x:c r="AM2253" s="19" t="n">
        <x:v>500000</x:v>
      </x:c>
      <x:c r="AN2253" s="3" t="str">
        <x:v>https://www.hardmoneyhome.com/lenders/view/builders-capital</x:v>
      </x:c>
      <x:c r="AO2253" s="3" t="str">
        <x:v>public_directory.jsonl</x:v>
      </x:c>
      <x:c r="AP2253" s="19"/>
    </x:row>
    <x:row r="2254" ht="36" customHeight="1">
      <x:c r="A2254" s="23" t="n">
        <x:v>2253</x:v>
      </x:c>
      <x:c r="B2254" s="15" t="str">
        <x:v>Capital Three Sixty</x:v>
      </x:c>
      <x:c r="C2254" s="15"/>
      <x:c r="D2254" s="15" t="str">
        <x:v>Property lender or directory member; operating-company capital unconfirmed</x:v>
      </x:c>
      <x:c r="E2254" s="15" t="str">
        <x:v>Property lender / private-money inquiry</x:v>
      </x:c>
      <x:c r="F2254" s="17" t="str">
        <x:v>New</x:v>
      </x:c>
      <x:c r="G2254" s="24" t="str">
        <x:v>apply@capitalthreesixty.com</x:v>
      </x:c>
      <x:c r="H2254" s="24" t="str">
        <x:v>+18606732300</x:v>
      </x:c>
      <x:c r="I2254" s="24" t="str">
        <x:v>https://www.capitalthreesixty.com/</x:v>
      </x:c>
      <x:c r="J2254" s="16" t="str">
        <x:v>CT</x:v>
      </x:c>
      <x:c r="K2254" s="16" t="str">
        <x:v>Avon</x:v>
      </x:c>
      <x:c r="L2254" s="16" t="str">
        <x:v>firm_business_routing</x:v>
      </x:c>
      <x:c r="M2254" s="16" t="str">
        <x:v>https://www.capitalthreesixty.com/</x:v>
      </x:c>
      <x:c r="N2254" s="16" t="str">
        <x:v>Published source range; proposed allocation and structure require confirmation</x:v>
      </x:c>
      <x:c r="O2254" s="20"/>
      <x:c r="P2254" s="20" t="n">
        <x:v>25000000</x:v>
      </x:c>
      <x:c r="Q2254" s="25" t="str">
        <x:v>Property-loan range, not a corporate-capital commitment</x:v>
      </x:c>
      <x:c r="R2254" s="25" t="str">
        <x:v>Private real-estate finance experience. Corporate working capital, minority equity or profit participation requires a separate agreement from a property loan.</x:v>
      </x:c>
      <x:c r="S2254" s="25"/>
      <x:c r="T2254" s="25" t="str">
        <x:v>Confirm direct principal versus broker, $100K-$500K appetite, and whether capital can fund the operating company without a property mortgage.</x:v>
      </x:c>
      <x:c r="U2254" s="25" t="str">
        <x:v>https://www.hardmoneyhome.com/lenders/view/capital-three-sixty
https://www.capitalthreesixty.com/</x:v>
      </x:c>
      <x:c r="V2254" s="26" t="d">
        <x:v>2026-10-02T00:00:00.000Z</x:v>
      </x:c>
      <x:c r="W2254" s="26" t="d">
        <x:v>2026-09-30T00:00:00.000Z</x:v>
      </x:c>
      <x:c r="X2254" s="25" t="str">
        <x:v>Saved public company, industry-directory or regulatory source; source date retained</x:v>
      </x:c>
      <x:c r="Y2254" s="25" t="str">
        <x:v>https://www.capitalthreesixty.com/</x:v>
      </x:c>
      <x:c r="Z2254" s="25" t="str">
        <x:v>https://www.hardmoneyhome.com/lenders/view/capital-three-sixty</x:v>
      </x:c>
      <x:c r="AA2254" s="25" t="str">
        <x:v>[]</x:v>
      </x:c>
      <x:c r="AB2254" s="3" t="str">
        <x:v>Existing CapitalForge research, newly screened for this campaign</x:v>
      </x:c>
      <x:c r="AC2254" s="3" t="str">
        <x:v>unverified</x:v>
      </x:c>
      <x:c r="AD2254" s="3" t="str">
        <x:v>Not contacted / unconfirmed</x:v>
      </x:c>
      <x:c r="AE2254" s="3" t="str">
        <x:v>No</x:v>
      </x:c>
      <x:c r="AF2254" s="3" t="str">
        <x:v>No</x:v>
      </x:c>
      <x:c r="AG2254" s="3"/>
      <x:c r="AH2254" s="3"/>
      <x:c r="AI2254" s="18"/>
      <x:c r="AJ2254" s="3" t="str">
        <x:v>CF2500-DC5F4C51A4C1</x:v>
      </x:c>
      <x:c r="AK2254" s="3" t="str">
        <x:v>private_real_estate_lender</x:v>
      </x:c>
      <x:c r="AL2254" s="19" t="n">
        <x:v>100000</x:v>
      </x:c>
      <x:c r="AM2254" s="19" t="n">
        <x:v>500000</x:v>
      </x:c>
      <x:c r="AN2254" s="3" t="str">
        <x:v>https://www.hardmoneyhome.com/lenders/view/capital-three-sixty</x:v>
      </x:c>
      <x:c r="AO2254" s="3" t="str">
        <x:v>public_directory.jsonl</x:v>
      </x:c>
      <x:c r="AP2254" s="19"/>
    </x:row>
    <x:row r="2255" ht="36" customHeight="1">
      <x:c r="A2255" s="23" t="n">
        <x:v>2254</x:v>
      </x:c>
      <x:c r="B2255" s="15" t="str">
        <x:v>CBC Realty Investments</x:v>
      </x:c>
      <x:c r="C2255" s="15"/>
      <x:c r="D2255" s="15" t="str">
        <x:v>Property lender or directory member; operating-company capital unconfirmed</x:v>
      </x:c>
      <x:c r="E2255" s="15" t="str">
        <x:v>Property lender / private-money inquiry</x:v>
      </x:c>
      <x:c r="F2255" s="17" t="str">
        <x:v>New</x:v>
      </x:c>
      <x:c r="G2255" s="24" t="str">
        <x:v>bryan@cbcfinancial.com</x:v>
      </x:c>
      <x:c r="H2255" s="24" t="str">
        <x:v>+19782552949</x:v>
      </x:c>
      <x:c r="I2255" s="24" t="str">
        <x:v>https://cbcfinancial.com/</x:v>
      </x:c>
      <x:c r="J2255" s="16" t="str">
        <x:v>MA</x:v>
      </x:c>
      <x:c r="K2255" s="16" t="str">
        <x:v>Newburyport</x:v>
      </x:c>
      <x:c r="L2255" s="16" t="str">
        <x:v>firm_business_routing</x:v>
      </x:c>
      <x:c r="M2255" s="16" t="str">
        <x:v>https://cbcfinancial.com/</x:v>
      </x:c>
      <x:c r="N2255" s="16" t="str">
        <x:v>Published source range; proposed allocation and structure require confirmation</x:v>
      </x:c>
      <x:c r="O2255" s="20"/>
      <x:c r="P2255" s="20" t="n">
        <x:v>3000000</x:v>
      </x:c>
      <x:c r="Q2255" s="25" t="str">
        <x:v>Property-loan range, not a corporate-capital commitment</x:v>
      </x:c>
      <x:c r="R2255" s="25" t="str">
        <x:v>Private real-estate finance experience. Corporate working capital, minority equity or profit participation requires a separate agreement from a property loan.</x:v>
      </x:c>
      <x:c r="S2255" s="25"/>
      <x:c r="T2255" s="25" t="str">
        <x:v>Confirm direct principal versus broker, $100K-$500K appetite, and whether capital can fund the operating company without a property mortgage.</x:v>
      </x:c>
      <x:c r="U2255" s="25" t="str">
        <x:v>https://www.hardmoneyhome.com/lenders/view/cbc-realty-investments
https://cbcfinancial.com/about/meet-the-team/</x:v>
      </x:c>
      <x:c r="V2255" s="26" t="d">
        <x:v>2026-10-02T00:00:00.000Z</x:v>
      </x:c>
      <x:c r="W2255" s="26" t="d">
        <x:v>2026-09-30T00:00:00.000Z</x:v>
      </x:c>
      <x:c r="X2255" s="25" t="str">
        <x:v>Saved public company, industry-directory or regulatory source; source date retained</x:v>
      </x:c>
      <x:c r="Y2255" s="25" t="str">
        <x:v>https://cbcfinancial.com/about/meet-the-team/</x:v>
      </x:c>
      <x:c r="Z2255" s="25" t="str">
        <x:v>https://www.hardmoneyhome.com/lenders/view/cbc-realty-investments</x:v>
      </x:c>
      <x:c r="AA2255" s="25" t="str">
        <x:v>[]</x:v>
      </x:c>
      <x:c r="AB2255" s="3" t="str">
        <x:v>Existing CapitalForge research, newly screened for this campaign</x:v>
      </x:c>
      <x:c r="AC2255" s="3" t="str">
        <x:v>unverified</x:v>
      </x:c>
      <x:c r="AD2255" s="3" t="str">
        <x:v>Not contacted / unconfirmed</x:v>
      </x:c>
      <x:c r="AE2255" s="3" t="str">
        <x:v>No</x:v>
      </x:c>
      <x:c r="AF2255" s="3" t="str">
        <x:v>No</x:v>
      </x:c>
      <x:c r="AG2255" s="3"/>
      <x:c r="AH2255" s="3"/>
      <x:c r="AI2255" s="18"/>
      <x:c r="AJ2255" s="3" t="str">
        <x:v>CF2500-45B181CB8326</x:v>
      </x:c>
      <x:c r="AK2255" s="3" t="str">
        <x:v>private_real_estate_lender</x:v>
      </x:c>
      <x:c r="AL2255" s="19" t="n">
        <x:v>100000</x:v>
      </x:c>
      <x:c r="AM2255" s="19" t="n">
        <x:v>500000</x:v>
      </x:c>
      <x:c r="AN2255" s="3" t="str">
        <x:v>https://www.hardmoneyhome.com/lenders/view/cbc-realty-investments</x:v>
      </x:c>
      <x:c r="AO2255" s="3" t="str">
        <x:v>public_directory.jsonl</x:v>
      </x:c>
      <x:c r="AP2255" s="19"/>
    </x:row>
    <x:row r="2256" ht="36" customHeight="1">
      <x:c r="A2256" s="23" t="n">
        <x:v>2255</x:v>
      </x:c>
      <x:c r="B2256" s="15" t="str">
        <x:v>Center Street Lending</x:v>
      </x:c>
      <x:c r="C2256" s="15"/>
      <x:c r="D2256" s="15" t="str">
        <x:v>Property lender or directory member; operating-company capital unconfirmed</x:v>
      </x:c>
      <x:c r="E2256" s="15" t="str">
        <x:v>Property lender / private-money inquiry</x:v>
      </x:c>
      <x:c r="F2256" s="17" t="str">
        <x:v>New</x:v>
      </x:c>
      <x:c r="G2256" s="24" t="str">
        <x:v>team@centerstreetlending.com</x:v>
      </x:c>
      <x:c r="H2256" s="24" t="str">
        <x:v>+19492441090</x:v>
      </x:c>
      <x:c r="I2256" s="24" t="str">
        <x:v>http://centerstreetlending.com?utm_source=hardmoneyhome&amp;utm_medium=referral&amp;utm_term=&amp;utm_content=profile&amp;utm_campaign=csl_borrower_acquisition</x:v>
      </x:c>
      <x:c r="J2256" s="16" t="str">
        <x:v>CA</x:v>
      </x:c>
      <x:c r="K2256" s="16" t="str">
        <x:v>Irvine</x:v>
      </x:c>
      <x:c r="L2256" s="16" t="str">
        <x:v>firm_business_routing</x:v>
      </x:c>
      <x:c r="M2256" s="16" t="str">
        <x:v>http://centerstreetlending.com?utm_source=hardmoneyhome&amp;utm_medium=referral&amp;utm_term=&amp;utm_content=profile&amp;utm_campaign=csl_borrower_acquisition</x:v>
      </x:c>
      <x:c r="N2256" s="16" t="str">
        <x:v>Published source range; proposed allocation and structure require confirmation</x:v>
      </x:c>
      <x:c r="O2256" s="20"/>
      <x:c r="P2256" s="20" t="n">
        <x:v>10000000</x:v>
      </x:c>
      <x:c r="Q2256" s="25" t="str">
        <x:v>Property-loan range, not a corporate-capital commitment</x:v>
      </x:c>
      <x:c r="R2256" s="25" t="str">
        <x:v>Private real-estate finance experience. Corporate working capital, minority equity or profit participation requires a separate agreement from a property loan.</x:v>
      </x:c>
      <x:c r="S2256" s="25"/>
      <x:c r="T2256" s="25" t="str">
        <x:v>Confirm direct principal versus broker, $100K-$500K appetite, and whether capital can fund the operating company without a property mortgage.</x:v>
      </x:c>
      <x:c r="U2256" s="25" t="str">
        <x:v>https://www.hardmoneyhome.com/lenders/view/center-street-lending
https://privatelenderlink.com/profile/center-street-lending/
https://www.privatelendersdirectory.com/united-states/irvine/real-estate-investment-lending/center-street-lending
https://www.centerstreetlending.com/
https://www.centerstreetlending.com/contact</x:v>
      </x:c>
      <x:c r="V2256" s="26" t="d">
        <x:v>2026-10-02T00:00:00.000Z</x:v>
      </x:c>
      <x:c r="W2256" s="26" t="d">
        <x:v>2026-09-30T00:00:00.000Z</x:v>
      </x:c>
      <x:c r="X2256" s="25" t="str">
        <x:v>Saved public company, industry-directory or regulatory source; source date retained</x:v>
      </x:c>
      <x:c r="Y2256" s="25" t="str">
        <x:v>https://privatelenderlink.com/profile/center-street-lending/</x:v>
      </x:c>
      <x:c r="Z2256" s="25" t="str">
        <x:v>https://www.hardmoneyhome.com/lenders/view/center-street-lending</x:v>
      </x:c>
      <x:c r="AA2256" s="25" t="str">
        <x:v>[]</x:v>
      </x:c>
      <x:c r="AB2256" s="3" t="str">
        <x:v>Existing CapitalForge research, newly screened for this campaign</x:v>
      </x:c>
      <x:c r="AC2256" s="3" t="str">
        <x:v>unverified</x:v>
      </x:c>
      <x:c r="AD2256" s="3" t="str">
        <x:v>Not contacted / unconfirmed</x:v>
      </x:c>
      <x:c r="AE2256" s="3" t="str">
        <x:v>No</x:v>
      </x:c>
      <x:c r="AF2256" s="3" t="str">
        <x:v>No</x:v>
      </x:c>
      <x:c r="AG2256" s="3"/>
      <x:c r="AH2256" s="3"/>
      <x:c r="AI2256" s="18"/>
      <x:c r="AJ2256" s="3" t="str">
        <x:v>CF2500-732E8CDBB51C</x:v>
      </x:c>
      <x:c r="AK2256" s="3" t="str">
        <x:v>private_real_estate_lender</x:v>
      </x:c>
      <x:c r="AL2256" s="19" t="n">
        <x:v>100000</x:v>
      </x:c>
      <x:c r="AM2256" s="19" t="n">
        <x:v>500000</x:v>
      </x:c>
      <x:c r="AN2256" s="3" t="str">
        <x:v>https://www.hardmoneyhome.com/lenders/view/center-street-lending</x:v>
      </x:c>
      <x:c r="AO2256" s="3" t="str">
        <x:v>public_directory.jsonl</x:v>
      </x:c>
      <x:c r="AP2256" s="19"/>
    </x:row>
    <x:row r="2257" ht="36" customHeight="1">
      <x:c r="A2257" s="23" t="n">
        <x:v>2256</x:v>
      </x:c>
      <x:c r="B2257" s="15" t="str">
        <x:v>Charger Funding</x:v>
      </x:c>
      <x:c r="C2257" s="15"/>
      <x:c r="D2257" s="15" t="str">
        <x:v>Property lender or directory member; operating-company capital unconfirmed</x:v>
      </x:c>
      <x:c r="E2257" s="15" t="str">
        <x:v>Property lender / private-money inquiry</x:v>
      </x:c>
      <x:c r="F2257" s="17" t="str">
        <x:v>New</x:v>
      </x:c>
      <x:c r="G2257" s="24" t="str">
        <x:v>info@chargerfunding.com</x:v>
      </x:c>
      <x:c r="H2257" s="24" t="str">
        <x:v>+18582486598</x:v>
      </x:c>
      <x:c r="I2257" s="24" t="str">
        <x:v>http://www.chargerfunding.com/</x:v>
      </x:c>
      <x:c r="J2257" s="16" t="str">
        <x:v>CA</x:v>
      </x:c>
      <x:c r="K2257" s="16" t="str">
        <x:v>Encinitas</x:v>
      </x:c>
      <x:c r="L2257" s="16" t="str">
        <x:v>firm_business_routing</x:v>
      </x:c>
      <x:c r="M2257" s="16" t="str">
        <x:v>http://www.chargerfunding.com/</x:v>
      </x:c>
      <x:c r="N2257" s="16" t="str">
        <x:v>Published source range; proposed allocation and structure require confirmation</x:v>
      </x:c>
      <x:c r="O2257" s="20"/>
      <x:c r="P2257" s="20" t="n">
        <x:v>1000000</x:v>
      </x:c>
      <x:c r="Q2257" s="25" t="str">
        <x:v>Property-loan range, not a corporate-capital commitment</x:v>
      </x:c>
      <x:c r="R2257" s="25" t="str">
        <x:v>Private real-estate finance experience. Corporate working capital, minority equity or profit participation requires a separate agreement from a property loan.</x:v>
      </x:c>
      <x:c r="S2257" s="25"/>
      <x:c r="T2257" s="25" t="str">
        <x:v>Confirm direct principal versus broker, $100K-$500K appetite, and whether capital can fund the operating company without a property mortgage.</x:v>
      </x:c>
      <x:c r="U2257" s="25" t="str">
        <x:v>https://www.hardmoneyhome.com/lenders/view/charger-funding
https://www.chargerfunding.com/</x:v>
      </x:c>
      <x:c r="V2257" s="26" t="d">
        <x:v>2026-10-02T00:00:00.000Z</x:v>
      </x:c>
      <x:c r="W2257" s="26" t="d">
        <x:v>2026-09-30T00:00:00.000Z</x:v>
      </x:c>
      <x:c r="X2257" s="25" t="str">
        <x:v>Saved public company, industry-directory or regulatory source; source date retained</x:v>
      </x:c>
      <x:c r="Y2257" s="25" t="str">
        <x:v>https://www.chargerfunding.com/</x:v>
      </x:c>
      <x:c r="Z2257" s="25" t="str">
        <x:v>https://www.hardmoneyhome.com/lenders/view/charger-funding</x:v>
      </x:c>
      <x:c r="AA2257" s="25" t="str">
        <x:v>[]</x:v>
      </x:c>
      <x:c r="AB2257" s="3" t="str">
        <x:v>Existing CapitalForge research, newly screened for this campaign</x:v>
      </x:c>
      <x:c r="AC2257" s="3" t="str">
        <x:v>unverified</x:v>
      </x:c>
      <x:c r="AD2257" s="3" t="str">
        <x:v>Not contacted / unconfirmed</x:v>
      </x:c>
      <x:c r="AE2257" s="3" t="str">
        <x:v>No</x:v>
      </x:c>
      <x:c r="AF2257" s="3" t="str">
        <x:v>No</x:v>
      </x:c>
      <x:c r="AG2257" s="3"/>
      <x:c r="AH2257" s="3"/>
      <x:c r="AI2257" s="18"/>
      <x:c r="AJ2257" s="3" t="str">
        <x:v>CF2500-B41672F0293D</x:v>
      </x:c>
      <x:c r="AK2257" s="3" t="str">
        <x:v>private_real_estate_lender</x:v>
      </x:c>
      <x:c r="AL2257" s="19" t="n">
        <x:v>100000</x:v>
      </x:c>
      <x:c r="AM2257" s="19" t="n">
        <x:v>500000</x:v>
      </x:c>
      <x:c r="AN2257" s="3" t="str">
        <x:v>https://www.hardmoneyhome.com/lenders/view/charger-funding</x:v>
      </x:c>
      <x:c r="AO2257" s="3" t="str">
        <x:v>public_directory.jsonl</x:v>
      </x:c>
      <x:c r="AP2257" s="19"/>
    </x:row>
    <x:row r="2258" ht="36" customHeight="1">
      <x:c r="A2258" s="23" t="n">
        <x:v>2257</x:v>
      </x:c>
      <x:c r="B2258" s="15" t="str">
        <x:v>City Capital Realty</x:v>
      </x:c>
      <x:c r="C2258" s="15"/>
      <x:c r="D2258" s="15" t="str">
        <x:v>Property lender or directory member; operating-company capital unconfirmed</x:v>
      </x:c>
      <x:c r="E2258" s="15" t="str">
        <x:v>Property lender / private-money inquiry</x:v>
      </x:c>
      <x:c r="F2258" s="17" t="str">
        <x:v>New</x:v>
      </x:c>
      <x:c r="G2258" s="24" t="str">
        <x:v>shawnrabban@yahoo.com</x:v>
      </x:c>
      <x:c r="H2258" s="24" t="str">
        <x:v>+13107145616</x:v>
      </x:c>
      <x:c r="I2258" s="24" t="str">
        <x:v>http://www.citycapitalrealty.com/</x:v>
      </x:c>
      <x:c r="J2258" s="16" t="str">
        <x:v>CA</x:v>
      </x:c>
      <x:c r="K2258" s="16" t="str">
        <x:v>Los Angeles</x:v>
      </x:c>
      <x:c r="L2258" s="16" t="str">
        <x:v>firm_business_routing</x:v>
      </x:c>
      <x:c r="M2258" s="16" t="str">
        <x:v>http://www.citycapitalrealty.com/</x:v>
      </x:c>
      <x:c r="N2258" s="16" t="str">
        <x:v>Published source range; proposed allocation and structure require confirmation</x:v>
      </x:c>
      <x:c r="O2258" s="20"/>
      <x:c r="P2258" s="20" t="n">
        <x:v>5000000</x:v>
      </x:c>
      <x:c r="Q2258" s="25" t="str">
        <x:v>Property-loan range, not a corporate-capital commitment</x:v>
      </x:c>
      <x:c r="R2258" s="25" t="str">
        <x:v>Private real-estate finance experience. Corporate working capital, minority equity or profit participation requires a separate agreement from a property loan.</x:v>
      </x:c>
      <x:c r="S2258" s="25"/>
      <x:c r="T2258" s="25" t="str">
        <x:v>Confirm direct principal versus broker, $100K-$500K appetite, and whether capital can fund the operating company without a property mortgage.</x:v>
      </x:c>
      <x:c r="U2258" s="25" t="str">
        <x:v>https://www.hardmoneyhome.com/lenders/view/city-capital-realty
http://www.citycapitalrealty.com/</x:v>
      </x:c>
      <x:c r="V2258" s="26" t="d">
        <x:v>2026-10-02T00:00:00.000Z</x:v>
      </x:c>
      <x:c r="W2258" s="26" t="d">
        <x:v>2026-09-30T00:00:00.000Z</x:v>
      </x:c>
      <x:c r="X2258" s="25" t="str">
        <x:v>Saved public company, industry-directory or regulatory source; source date retained</x:v>
      </x:c>
      <x:c r="Y2258" s="25" t="str">
        <x:v>http://www.citycapitalrealty.com/</x:v>
      </x:c>
      <x:c r="Z2258" s="25" t="str">
        <x:v>https://www.hardmoneyhome.com/lenders/view/city-capital-realty</x:v>
      </x:c>
      <x:c r="AA2258" s="25" t="str">
        <x:v>[]</x:v>
      </x:c>
      <x:c r="AB2258" s="3" t="str">
        <x:v>Existing CapitalForge research, newly screened for this campaign</x:v>
      </x:c>
      <x:c r="AC2258" s="3" t="str">
        <x:v>unverified</x:v>
      </x:c>
      <x:c r="AD2258" s="3" t="str">
        <x:v>Not contacted / unconfirmed</x:v>
      </x:c>
      <x:c r="AE2258" s="3" t="str">
        <x:v>No</x:v>
      </x:c>
      <x:c r="AF2258" s="3" t="str">
        <x:v>No</x:v>
      </x:c>
      <x:c r="AG2258" s="3"/>
      <x:c r="AH2258" s="3"/>
      <x:c r="AI2258" s="18"/>
      <x:c r="AJ2258" s="3" t="str">
        <x:v>CF2500-95D91A32C294</x:v>
      </x:c>
      <x:c r="AK2258" s="3" t="str">
        <x:v>private_real_estate_lender</x:v>
      </x:c>
      <x:c r="AL2258" s="19" t="n">
        <x:v>100000</x:v>
      </x:c>
      <x:c r="AM2258" s="19" t="n">
        <x:v>500000</x:v>
      </x:c>
      <x:c r="AN2258" s="3" t="str">
        <x:v>https://www.hardmoneyhome.com/lenders/view/city-capital-realty</x:v>
      </x:c>
      <x:c r="AO2258" s="3" t="str">
        <x:v>public_directory.jsonl</x:v>
      </x:c>
      <x:c r="AP2258" s="19"/>
    </x:row>
    <x:row r="2259" ht="36" customHeight="1">
      <x:c r="A2259" s="23" t="n">
        <x:v>2258</x:v>
      </x:c>
      <x:c r="B2259" s="15" t="str">
        <x:v>CIVIC Private Money Lending</x:v>
      </x:c>
      <x:c r="C2259" s="15"/>
      <x:c r="D2259" s="15" t="str">
        <x:v>Property lender or directory member; operating-company capital unconfirmed</x:v>
      </x:c>
      <x:c r="E2259" s="15" t="str">
        <x:v>Property lender / private-money inquiry</x:v>
      </x:c>
      <x:c r="F2259" s="17" t="str">
        <x:v>New</x:v>
      </x:c>
      <x:c r="G2259" s="24" t="str">
        <x:v>taylor.morgan@roc360.com</x:v>
      </x:c>
      <x:c r="H2259" s="24" t="str">
        <x:v>+18552484237</x:v>
      </x:c>
      <x:c r="I2259" s="24" t="str">
        <x:v>http://www.civicfs.com/</x:v>
      </x:c>
      <x:c r="J2259" s="16" t="str">
        <x:v>CA</x:v>
      </x:c>
      <x:c r="K2259" s="16" t="str">
        <x:v>Redondo Beach</x:v>
      </x:c>
      <x:c r="L2259" s="16" t="str">
        <x:v>firm_business_routing</x:v>
      </x:c>
      <x:c r="M2259" s="16" t="str">
        <x:v>http://www.civicfs.com/</x:v>
      </x:c>
      <x:c r="N2259" s="16" t="str">
        <x:v>Published source range; proposed allocation and structure require confirmation</x:v>
      </x:c>
      <x:c r="O2259" s="20"/>
      <x:c r="P2259" s="20" t="n">
        <x:v>5000000</x:v>
      </x:c>
      <x:c r="Q2259" s="25" t="str">
        <x:v>Property-loan range, not a corporate-capital commitment</x:v>
      </x:c>
      <x:c r="R2259" s="25" t="str">
        <x:v>Private real-estate finance experience. Corporate working capital, minority equity or profit participation requires a separate agreement from a property loan.</x:v>
      </x:c>
      <x:c r="S2259" s="25"/>
      <x:c r="T2259" s="25" t="str">
        <x:v>Confirm direct principal versus broker, $100K-$500K appetite, and whether capital can fund the operating company without a property mortgage.</x:v>
      </x:c>
      <x:c r="U2259" s="25" t="str">
        <x:v>https://www.hardmoneyhome.com/lenders/view/civic-private-money-lending
https://www.civicfs.com/
https://privatelenderlink.com/profile/civic-financial-services/
https://nplaconference.com/private-lending-directory/page/4/
https://civicfs.com/contact/
https://www.privatelendersdirectory.com/united-states/new-york/top-level-category/civic-financial-services
https://civicfs.com/
https://www.privatelendersdirectory.com/united-states/new-york/real-estate-investment-lending/civic-financial</x:v>
      </x:c>
      <x:c r="V2259" s="26" t="d">
        <x:v>2026-10-02T00:00:00.000Z</x:v>
      </x:c>
      <x:c r="W2259" s="26" t="d">
        <x:v>2026-09-30T00:00:00.000Z</x:v>
      </x:c>
      <x:c r="X2259" s="25" t="str">
        <x:v>Saved public company, industry-directory or regulatory source; source date retained</x:v>
      </x:c>
      <x:c r="Y2259" s="25" t="str">
        <x:v>https://privatelenderlink.com/profile/civic-financial-services/</x:v>
      </x:c>
      <x:c r="Z2259" s="25" t="str">
        <x:v>https://www.civicfs.com/</x:v>
      </x:c>
      <x:c r="AA2259" s="25" t="str">
        <x:v>[]</x:v>
      </x:c>
      <x:c r="AB2259" s="3" t="str">
        <x:v>Existing CapitalForge research, newly screened for this campaign</x:v>
      </x:c>
      <x:c r="AC2259" s="3" t="str">
        <x:v>unverified</x:v>
      </x:c>
      <x:c r="AD2259" s="3" t="str">
        <x:v>Not contacted / unconfirmed</x:v>
      </x:c>
      <x:c r="AE2259" s="3" t="str">
        <x:v>No</x:v>
      </x:c>
      <x:c r="AF2259" s="3" t="str">
        <x:v>No</x:v>
      </x:c>
      <x:c r="AG2259" s="3"/>
      <x:c r="AH2259" s="3"/>
      <x:c r="AI2259" s="18"/>
      <x:c r="AJ2259" s="3" t="str">
        <x:v>CF2500-B8DE52A70C33</x:v>
      </x:c>
      <x:c r="AK2259" s="3" t="str">
        <x:v>private_real_estate_lender</x:v>
      </x:c>
      <x:c r="AL2259" s="19" t="n">
        <x:v>100000</x:v>
      </x:c>
      <x:c r="AM2259" s="19" t="n">
        <x:v>500000</x:v>
      </x:c>
      <x:c r="AN2259" s="3" t="str">
        <x:v>https://www.hardmoneyhome.com/lenders/view/civic-private-money-lending</x:v>
      </x:c>
      <x:c r="AO2259" s="3" t="str">
        <x:v>public_directory.jsonl</x:v>
      </x:c>
      <x:c r="AP2259" s="19"/>
    </x:row>
    <x:row r="2260" ht="36" customHeight="1">
      <x:c r="A2260" s="23" t="n">
        <x:v>2259</x:v>
      </x:c>
      <x:c r="B2260" s="15" t="str">
        <x:v>CMN Funding</x:v>
      </x:c>
      <x:c r="C2260" s="15"/>
      <x:c r="D2260" s="15" t="str">
        <x:v>Property lender or directory member; operating-company capital unconfirmed</x:v>
      </x:c>
      <x:c r="E2260" s="15" t="str">
        <x:v>Property lender / private-money inquiry</x:v>
      </x:c>
      <x:c r="F2260" s="17" t="str">
        <x:v>New</x:v>
      </x:c>
      <x:c r="G2260" s="24" t="str">
        <x:v>info@cmnfunding.com</x:v>
      </x:c>
      <x:c r="H2260" s="24" t="str">
        <x:v>+15188071710</x:v>
      </x:c>
      <x:c r="I2260" s="24" t="str">
        <x:v>http://cmnfunding.com/</x:v>
      </x:c>
      <x:c r="J2260" s="16" t="str">
        <x:v>NY</x:v>
      </x:c>
      <x:c r="K2260" s="16" t="str">
        <x:v>Albany</x:v>
      </x:c>
      <x:c r="L2260" s="16" t="str">
        <x:v>firm_business_routing</x:v>
      </x:c>
      <x:c r="M2260" s="16" t="str">
        <x:v>http://cmnfunding.com/</x:v>
      </x:c>
      <x:c r="N2260" s="16" t="str">
        <x:v>Published source range; proposed allocation and structure require confirmation</x:v>
      </x:c>
      <x:c r="O2260" s="20"/>
      <x:c r="P2260" s="20" t="n">
        <x:v>50000000</x:v>
      </x:c>
      <x:c r="Q2260" s="25" t="str">
        <x:v>Property-loan range, not a corporate-capital commitment</x:v>
      </x:c>
      <x:c r="R2260" s="25" t="str">
        <x:v>Private real-estate finance experience. Corporate working capital, minority equity or profit participation requires a separate agreement from a property loan.</x:v>
      </x:c>
      <x:c r="S2260" s="25"/>
      <x:c r="T2260" s="25" t="str">
        <x:v>Confirm direct principal versus broker, $100K-$500K appetite, and whether capital can fund the operating company without a property mortgage.</x:v>
      </x:c>
      <x:c r="U2260" s="25" t="str">
        <x:v>https://www.hardmoneyhome.com/lenders/view/cmn-funding
https://cmnfunding.com/contact/
https://www.privatelendersdirectory.com/new-york/albany/top-level-category/cmn-funding</x:v>
      </x:c>
      <x:c r="V2260" s="26" t="d">
        <x:v>2026-10-02T00:00:00.000Z</x:v>
      </x:c>
      <x:c r="W2260" s="26" t="d">
        <x:v>2026-09-30T00:00:00.000Z</x:v>
      </x:c>
      <x:c r="X2260" s="25" t="str">
        <x:v>Saved public company, industry-directory or regulatory source; source date retained</x:v>
      </x:c>
      <x:c r="Y2260" s="25" t="str">
        <x:v>https://cmnfunding.com/contact/</x:v>
      </x:c>
      <x:c r="Z2260" s="25" t="str">
        <x:v>https://www.hardmoneyhome.com/lenders/view/cmn-funding</x:v>
      </x:c>
      <x:c r="AA2260" s="25" t="str">
        <x:v>[]</x:v>
      </x:c>
      <x:c r="AB2260" s="3" t="str">
        <x:v>Existing CapitalForge research, newly screened for this campaign</x:v>
      </x:c>
      <x:c r="AC2260" s="3" t="str">
        <x:v>unverified</x:v>
      </x:c>
      <x:c r="AD2260" s="3" t="str">
        <x:v>Not contacted / unconfirmed</x:v>
      </x:c>
      <x:c r="AE2260" s="3" t="str">
        <x:v>No</x:v>
      </x:c>
      <x:c r="AF2260" s="3" t="str">
        <x:v>No</x:v>
      </x:c>
      <x:c r="AG2260" s="3"/>
      <x:c r="AH2260" s="3"/>
      <x:c r="AI2260" s="18"/>
      <x:c r="AJ2260" s="3" t="str">
        <x:v>CF2500-095FD707A9AA</x:v>
      </x:c>
      <x:c r="AK2260" s="3" t="str">
        <x:v>private_real_estate_lender</x:v>
      </x:c>
      <x:c r="AL2260" s="19" t="n">
        <x:v>100000</x:v>
      </x:c>
      <x:c r="AM2260" s="19" t="n">
        <x:v>500000</x:v>
      </x:c>
      <x:c r="AN2260" s="3" t="str">
        <x:v>https://www.hardmoneyhome.com/lenders/view/cmn-funding</x:v>
      </x:c>
      <x:c r="AO2260" s="3" t="str">
        <x:v>public_directory.jsonl</x:v>
      </x:c>
      <x:c r="AP2260" s="19"/>
    </x:row>
    <x:row r="2261" ht="36" customHeight="1">
      <x:c r="A2261" s="23" t="n">
        <x:v>2260</x:v>
      </x:c>
      <x:c r="B2261" s="15" t="str">
        <x:v>Congressional Capital</x:v>
      </x:c>
      <x:c r="C2261" s="15"/>
      <x:c r="D2261" s="15" t="str">
        <x:v>Property lender or directory member; operating-company capital unconfirmed</x:v>
      </x:c>
      <x:c r="E2261" s="15" t="str">
        <x:v>Property lender / private-money inquiry</x:v>
      </x:c>
      <x:c r="F2261" s="17" t="str">
        <x:v>New</x:v>
      </x:c>
      <x:c r="G2261" s="24" t="str">
        <x:v>info@congressionalcap.com</x:v>
      </x:c>
      <x:c r="H2261" s="24" t="str">
        <x:v>+12028102271</x:v>
      </x:c>
      <x:c r="I2261" s="24" t="str">
        <x:v>http://www.congressionalcap.com/</x:v>
      </x:c>
      <x:c r="J2261" s="16" t="str">
        <x:v>DC</x:v>
      </x:c>
      <x:c r="K2261" s="16" t="str">
        <x:v>Washington</x:v>
      </x:c>
      <x:c r="L2261" s="16" t="str">
        <x:v>firm_business_routing</x:v>
      </x:c>
      <x:c r="M2261" s="16" t="str">
        <x:v>http://www.congressionalcap.com/</x:v>
      </x:c>
      <x:c r="N2261" s="16" t="str">
        <x:v>Published source range; proposed allocation and structure require confirmation</x:v>
      </x:c>
      <x:c r="O2261" s="20"/>
      <x:c r="P2261" s="20" t="n">
        <x:v>2000000</x:v>
      </x:c>
      <x:c r="Q2261" s="25" t="str">
        <x:v>Property-loan range, not a corporate-capital commitment</x:v>
      </x:c>
      <x:c r="R2261" s="25" t="str">
        <x:v>Private real-estate finance experience. Corporate working capital, minority equity or profit participation requires a separate agreement from a property loan.</x:v>
      </x:c>
      <x:c r="S2261" s="25"/>
      <x:c r="T2261" s="25" t="str">
        <x:v>Confirm direct principal versus broker, $100K-$500K appetite, and whether capital can fund the operating company without a property mortgage.</x:v>
      </x:c>
      <x:c r="U2261" s="25" t="str">
        <x:v>https://www.hardmoneyhome.com/lenders/view/congressional-capital
https://www.congressionalcap.com/
https://www.privatelendersdirectory.com/united-states/falls-church/top-level-category/congressional-capital</x:v>
      </x:c>
      <x:c r="V2261" s="26" t="d">
        <x:v>2026-10-02T00:00:00.000Z</x:v>
      </x:c>
      <x:c r="W2261" s="26" t="d">
        <x:v>2026-09-30T00:00:00.000Z</x:v>
      </x:c>
      <x:c r="X2261" s="25" t="str">
        <x:v>Saved public company, industry-directory or regulatory source; source date retained</x:v>
      </x:c>
      <x:c r="Y2261" s="25" t="str">
        <x:v>https://www.congressionalcap.com/</x:v>
      </x:c>
      <x:c r="Z2261" s="25" t="str">
        <x:v>https://www.hardmoneyhome.com/lenders/view/congressional-capital</x:v>
      </x:c>
      <x:c r="AA2261" s="25" t="str">
        <x:v>[]</x:v>
      </x:c>
      <x:c r="AB2261" s="3" t="str">
        <x:v>Existing CapitalForge research, newly screened for this campaign</x:v>
      </x:c>
      <x:c r="AC2261" s="3" t="str">
        <x:v>unverified</x:v>
      </x:c>
      <x:c r="AD2261" s="3" t="str">
        <x:v>Not contacted / unconfirmed</x:v>
      </x:c>
      <x:c r="AE2261" s="3" t="str">
        <x:v>No</x:v>
      </x:c>
      <x:c r="AF2261" s="3" t="str">
        <x:v>No</x:v>
      </x:c>
      <x:c r="AG2261" s="3"/>
      <x:c r="AH2261" s="3"/>
      <x:c r="AI2261" s="18"/>
      <x:c r="AJ2261" s="3" t="str">
        <x:v>CF2500-6B830EE42C21</x:v>
      </x:c>
      <x:c r="AK2261" s="3" t="str">
        <x:v>private_real_estate_lender</x:v>
      </x:c>
      <x:c r="AL2261" s="19" t="n">
        <x:v>100000</x:v>
      </x:c>
      <x:c r="AM2261" s="19" t="n">
        <x:v>500000</x:v>
      </x:c>
      <x:c r="AN2261" s="3" t="str">
        <x:v>https://www.hardmoneyhome.com/lenders/view/congressional-capital</x:v>
      </x:c>
      <x:c r="AO2261" s="3" t="str">
        <x:v>public_directory.jsonl</x:v>
      </x:c>
      <x:c r="AP2261" s="19"/>
    </x:row>
    <x:row r="2262" ht="36" customHeight="1">
      <x:c r="A2262" s="23" t="n">
        <x:v>2261</x:v>
      </x:c>
      <x:c r="B2262" s="15" t="str">
        <x:v>Conquest Funding, Inc</x:v>
      </x:c>
      <x:c r="C2262" s="15"/>
      <x:c r="D2262" s="15" t="str">
        <x:v>Property lender or directory member; operating-company capital unconfirmed</x:v>
      </x:c>
      <x:c r="E2262" s="15" t="str">
        <x:v>Property lender / private-money inquiry</x:v>
      </x:c>
      <x:c r="F2262" s="17" t="str">
        <x:v>New</x:v>
      </x:c>
      <x:c r="G2262" s="24" t="str">
        <x:v>info@conquestfunding.com</x:v>
      </x:c>
      <x:c r="H2262" s="24" t="str">
        <x:v>+14847127372</x:v>
      </x:c>
      <x:c r="I2262" s="24" t="str">
        <x:v>http://conquestfunding.com</x:v>
      </x:c>
      <x:c r="J2262" s="16" t="str">
        <x:v>PA</x:v>
      </x:c>
      <x:c r="K2262" s="16" t="str">
        <x:v>Allentown</x:v>
      </x:c>
      <x:c r="L2262" s="16" t="str">
        <x:v>firm_business_routing</x:v>
      </x:c>
      <x:c r="M2262" s="16" t="str">
        <x:v>http://conquestfunding.com</x:v>
      </x:c>
      <x:c r="N2262" s="16" t="str">
        <x:v>Published source range; proposed allocation and structure require confirmation</x:v>
      </x:c>
      <x:c r="O2262" s="20"/>
      <x:c r="P2262" s="20" t="n">
        <x:v>500000</x:v>
      </x:c>
      <x:c r="Q2262" s="25" t="str">
        <x:v>Property-loan range, not a corporate-capital commitment</x:v>
      </x:c>
      <x:c r="R2262" s="25" t="str">
        <x:v>Private real-estate finance experience. Corporate working capital, minority equity or profit participation requires a separate agreement from a property loan.</x:v>
      </x:c>
      <x:c r="S2262" s="25"/>
      <x:c r="T2262" s="25" t="str">
        <x:v>Confirm direct principal versus broker, $100K-$500K appetite, and whether capital can fund the operating company without a property mortgage.</x:v>
      </x:c>
      <x:c r="U2262" s="25" t="str">
        <x:v>https://www.hardmoneyhome.com/lenders/view/conquest-funding-inc
https://conquestfunding.com/contact-us/
https://www.privatelendersdirectory.com/united-states/allentown/top-level-category/conquest-funding</x:v>
      </x:c>
      <x:c r="V2262" s="26" t="d">
        <x:v>2026-10-02T00:00:00.000Z</x:v>
      </x:c>
      <x:c r="W2262" s="26" t="d">
        <x:v>2026-09-30T00:00:00.000Z</x:v>
      </x:c>
      <x:c r="X2262" s="25" t="str">
        <x:v>Saved public company, industry-directory or regulatory source; source date retained</x:v>
      </x:c>
      <x:c r="Y2262" s="25" t="str">
        <x:v>https://conquestfunding.com/contact-us/</x:v>
      </x:c>
      <x:c r="Z2262" s="25" t="str">
        <x:v>https://www.hardmoneyhome.com/lenders/view/conquest-funding-inc</x:v>
      </x:c>
      <x:c r="AA2262" s="25" t="str">
        <x:v>[]</x:v>
      </x:c>
      <x:c r="AB2262" s="3" t="str">
        <x:v>Existing CapitalForge research, newly screened for this campaign</x:v>
      </x:c>
      <x:c r="AC2262" s="3" t="str">
        <x:v>unverified</x:v>
      </x:c>
      <x:c r="AD2262" s="3" t="str">
        <x:v>Not contacted / unconfirmed</x:v>
      </x:c>
      <x:c r="AE2262" s="3" t="str">
        <x:v>No</x:v>
      </x:c>
      <x:c r="AF2262" s="3" t="str">
        <x:v>No</x:v>
      </x:c>
      <x:c r="AG2262" s="3"/>
      <x:c r="AH2262" s="3"/>
      <x:c r="AI2262" s="18"/>
      <x:c r="AJ2262" s="3" t="str">
        <x:v>CF2500-FCEFDBC7ACE7</x:v>
      </x:c>
      <x:c r="AK2262" s="3" t="str">
        <x:v>private_real_estate_lender</x:v>
      </x:c>
      <x:c r="AL2262" s="19" t="n">
        <x:v>100000</x:v>
      </x:c>
      <x:c r="AM2262" s="19" t="n">
        <x:v>500000</x:v>
      </x:c>
      <x:c r="AN2262" s="3" t="str">
        <x:v>https://www.hardmoneyhome.com/lenders/view/conquest-funding-inc</x:v>
      </x:c>
      <x:c r="AO2262" s="3" t="str">
        <x:v>public_directory.jsonl</x:v>
      </x:c>
      <x:c r="AP2262" s="19"/>
    </x:row>
    <x:row r="2263" ht="36" customHeight="1">
      <x:c r="A2263" s="23" t="n">
        <x:v>2262</x:v>
      </x:c>
      <x:c r="B2263" s="15" t="str">
        <x:v>Conventus</x:v>
      </x:c>
      <x:c r="C2263" s="15"/>
      <x:c r="D2263" s="15" t="str">
        <x:v>Property lender or directory member; operating-company capital unconfirmed</x:v>
      </x:c>
      <x:c r="E2263" s="15" t="str">
        <x:v>Property lender / private-money inquiry</x:v>
      </x:c>
      <x:c r="F2263" s="17" t="str">
        <x:v>New</x:v>
      </x:c>
      <x:c r="G2263" s="24" t="str">
        <x:v>mkorda@cvlending.com</x:v>
      </x:c>
      <x:c r="H2263" s="24" t="str">
        <x:v>+16282417214</x:v>
      </x:c>
      <x:c r="I2263" s="24" t="str">
        <x:v>https://www.cvlending.com/</x:v>
      </x:c>
      <x:c r="J2263" s="16" t="str">
        <x:v>CA</x:v>
      </x:c>
      <x:c r="K2263" s="16" t="str">
        <x:v>San Francisco</x:v>
      </x:c>
      <x:c r="L2263" s="16" t="str">
        <x:v>firm_business_routing</x:v>
      </x:c>
      <x:c r="M2263" s="16" t="str">
        <x:v>https://www.cvlending.com/</x:v>
      </x:c>
      <x:c r="N2263" s="16" t="str">
        <x:v>Published source range; proposed allocation and structure require confirmation</x:v>
      </x:c>
      <x:c r="O2263" s="20"/>
      <x:c r="P2263" s="20" t="n">
        <x:v>5000000</x:v>
      </x:c>
      <x:c r="Q2263" s="25" t="str">
        <x:v>Property-loan range, not a corporate-capital commitment</x:v>
      </x:c>
      <x:c r="R2263" s="25" t="str">
        <x:v>Private real-estate finance experience. Corporate working capital, minority equity or profit participation requires a separate agreement from a property loan.</x:v>
      </x:c>
      <x:c r="S2263" s="25"/>
      <x:c r="T2263" s="25" t="str">
        <x:v>Confirm direct principal versus broker, $100K-$500K appetite, and whether capital can fund the operating company without a property mortgage.</x:v>
      </x:c>
      <x:c r="U2263" s="25" t="str">
        <x:v>https://www.hardmoneyhome.com/lenders/view/conventus
https://nplaconference.com/private-lending-directory/page/4/
https://www.cvlending.com/
https://www.privatelendersdirectory.com/united-states/san-francisco/top-level-category/conventus</x:v>
      </x:c>
      <x:c r="V2263" s="26" t="d">
        <x:v>2026-10-02T00:00:00.000Z</x:v>
      </x:c>
      <x:c r="W2263" s="26" t="d">
        <x:v>2026-09-30T00:00:00.000Z</x:v>
      </x:c>
      <x:c r="X2263" s="25" t="str">
        <x:v>Saved public company, industry-directory or regulatory source; source date retained</x:v>
      </x:c>
      <x:c r="Y2263" s="25" t="str">
        <x:v>https://www.hardmoneyhome.com/lenders/view/conventus</x:v>
      </x:c>
      <x:c r="Z2263" s="25" t="str">
        <x:v>https://www.hardmoneyhome.com/lenders/view/conventus</x:v>
      </x:c>
      <x:c r="AA2263" s="25" t="str">
        <x:v>[]</x:v>
      </x:c>
      <x:c r="AB2263" s="3" t="str">
        <x:v>Existing CapitalForge research, newly screened for this campaign</x:v>
      </x:c>
      <x:c r="AC2263" s="3" t="str">
        <x:v>unverified</x:v>
      </x:c>
      <x:c r="AD2263" s="3" t="str">
        <x:v>Not contacted / unconfirmed</x:v>
      </x:c>
      <x:c r="AE2263" s="3" t="str">
        <x:v>No</x:v>
      </x:c>
      <x:c r="AF2263" s="3" t="str">
        <x:v>No</x:v>
      </x:c>
      <x:c r="AG2263" s="3"/>
      <x:c r="AH2263" s="3"/>
      <x:c r="AI2263" s="18"/>
      <x:c r="AJ2263" s="3" t="str">
        <x:v>CF2500-96DFB3FE31B0</x:v>
      </x:c>
      <x:c r="AK2263" s="3" t="str">
        <x:v>private_real_estate_lender</x:v>
      </x:c>
      <x:c r="AL2263" s="19" t="n">
        <x:v>100000</x:v>
      </x:c>
      <x:c r="AM2263" s="19" t="n">
        <x:v>500000</x:v>
      </x:c>
      <x:c r="AN2263" s="3" t="str">
        <x:v>https://www.hardmoneyhome.com/lenders/view/conventus</x:v>
      </x:c>
      <x:c r="AO2263" s="3" t="str">
        <x:v>public_directory.jsonl</x:v>
      </x:c>
      <x:c r="AP2263" s="19"/>
    </x:row>
    <x:row r="2264" ht="36" customHeight="1">
      <x:c r="A2264" s="23" t="n">
        <x:v>2263</x:v>
      </x:c>
      <x:c r="B2264" s="15" t="str">
        <x:v>Dimension Equities</x:v>
      </x:c>
      <x:c r="C2264" s="15"/>
      <x:c r="D2264" s="15" t="str">
        <x:v>Property lender or directory member; operating-company capital unconfirmed</x:v>
      </x:c>
      <x:c r="E2264" s="15" t="str">
        <x:v>Property lender / private-money inquiry</x:v>
      </x:c>
      <x:c r="F2264" s="17" t="str">
        <x:v>New</x:v>
      </x:c>
      <x:c r="G2264" s="24" t="str">
        <x:v>info@dimensionequities.com</x:v>
      </x:c>
      <x:c r="H2264" s="24" t="str">
        <x:v>+12122030613</x:v>
      </x:c>
      <x:c r="I2264" s="24" t="str">
        <x:v>https://www.dimensionequities.com/</x:v>
      </x:c>
      <x:c r="J2264" s="16" t="str">
        <x:v>NY</x:v>
      </x:c>
      <x:c r="K2264" s="16" t="str">
        <x:v>New York</x:v>
      </x:c>
      <x:c r="L2264" s="16" t="str">
        <x:v>firm_business_routing</x:v>
      </x:c>
      <x:c r="M2264" s="16" t="str">
        <x:v>https://www.dimensionequities.com/</x:v>
      </x:c>
      <x:c r="N2264" s="16" t="str">
        <x:v>Published source range; proposed allocation and structure require confirmation</x:v>
      </x:c>
      <x:c r="O2264" s="20"/>
      <x:c r="P2264" s="20" t="n">
        <x:v>15000000</x:v>
      </x:c>
      <x:c r="Q2264" s="25" t="str">
        <x:v>Property-loan range, not a corporate-capital commitment</x:v>
      </x:c>
      <x:c r="R2264" s="25" t="str">
        <x:v>Private real-estate finance experience. Corporate working capital, minority equity or profit participation requires a separate agreement from a property loan.</x:v>
      </x:c>
      <x:c r="S2264" s="25"/>
      <x:c r="T2264" s="25" t="str">
        <x:v>Confirm direct principal versus broker, $100K-$500K appetite, and whether capital can fund the operating company without a property mortgage.</x:v>
      </x:c>
      <x:c r="U2264" s="25" t="str">
        <x:v>https://www.hardmoneyhome.com/lenders/view/dimension-equities
https://www.dimensionequities.com/
https://www.privatelendersdirectory.com/united-states/brooklyn/top-level-category/dimension-equities</x:v>
      </x:c>
      <x:c r="V2264" s="26" t="d">
        <x:v>2026-10-02T00:00:00.000Z</x:v>
      </x:c>
      <x:c r="W2264" s="26" t="d">
        <x:v>2026-09-30T00:00:00.000Z</x:v>
      </x:c>
      <x:c r="X2264" s="25" t="str">
        <x:v>Saved public company, industry-directory or regulatory source; source date retained</x:v>
      </x:c>
      <x:c r="Y2264" s="25" t="str">
        <x:v>https://www.dimensionequities.com/</x:v>
      </x:c>
      <x:c r="Z2264" s="25" t="str">
        <x:v>https://www.hardmoneyhome.com/lenders/view/dimension-equities</x:v>
      </x:c>
      <x:c r="AA2264" s="25" t="str">
        <x:v>[]</x:v>
      </x:c>
      <x:c r="AB2264" s="3" t="str">
        <x:v>Existing CapitalForge research, newly screened for this campaign</x:v>
      </x:c>
      <x:c r="AC2264" s="3" t="str">
        <x:v>unverified</x:v>
      </x:c>
      <x:c r="AD2264" s="3" t="str">
        <x:v>Not contacted / unconfirmed</x:v>
      </x:c>
      <x:c r="AE2264" s="3" t="str">
        <x:v>No</x:v>
      </x:c>
      <x:c r="AF2264" s="3" t="str">
        <x:v>No</x:v>
      </x:c>
      <x:c r="AG2264" s="3"/>
      <x:c r="AH2264" s="3"/>
      <x:c r="AI2264" s="18"/>
      <x:c r="AJ2264" s="3" t="str">
        <x:v>CF2500-38B86D042291</x:v>
      </x:c>
      <x:c r="AK2264" s="3" t="str">
        <x:v>private_real_estate_lender</x:v>
      </x:c>
      <x:c r="AL2264" s="19" t="n">
        <x:v>100000</x:v>
      </x:c>
      <x:c r="AM2264" s="19" t="n">
        <x:v>500000</x:v>
      </x:c>
      <x:c r="AN2264" s="3" t="str">
        <x:v>https://www.hardmoneyhome.com/lenders/view/dimension-equities</x:v>
      </x:c>
      <x:c r="AO2264" s="3" t="str">
        <x:v>public_directory.jsonl</x:v>
      </x:c>
      <x:c r="AP2264" s="19"/>
    </x:row>
    <x:row r="2265" ht="36" customHeight="1">
      <x:c r="A2265" s="23" t="n">
        <x:v>2264</x:v>
      </x:c>
      <x:c r="B2265" s="15" t="str">
        <x:v>Dr Daniels and Son</x:v>
      </x:c>
      <x:c r="C2265" s="15"/>
      <x:c r="D2265" s="15" t="str">
        <x:v>Property lender or directory member; operating-company capital unconfirmed</x:v>
      </x:c>
      <x:c r="E2265" s="15" t="str">
        <x:v>Property lender / private-money inquiry</x:v>
      </x:c>
      <x:c r="F2265" s="17" t="str">
        <x:v>New</x:v>
      </x:c>
      <x:c r="G2265" s="24" t="str">
        <x:v>allan@drdanielsandson.com</x:v>
      </x:c>
      <x:c r="H2265" s="24" t="str">
        <x:v>+12483356166</x:v>
      </x:c>
      <x:c r="I2265" s="24" t="str">
        <x:v>http://drdanielsandson.com</x:v>
      </x:c>
      <x:c r="J2265" s="16" t="str">
        <x:v>MA</x:v>
      </x:c>
      <x:c r="K2265" s="16" t="str">
        <x:v>Bloomfield Hills</x:v>
      </x:c>
      <x:c r="L2265" s="16" t="str">
        <x:v>firm_business_routing</x:v>
      </x:c>
      <x:c r="M2265" s="16" t="str">
        <x:v>http://drdanielsandson.com</x:v>
      </x:c>
      <x:c r="N2265" s="16" t="str">
        <x:v>Published source range; proposed allocation and structure require confirmation</x:v>
      </x:c>
      <x:c r="O2265" s="20"/>
      <x:c r="P2265" s="20" t="n">
        <x:v>500000</x:v>
      </x:c>
      <x:c r="Q2265" s="25" t="str">
        <x:v>Property-loan range, not a corporate-capital commitment</x:v>
      </x:c>
      <x:c r="R2265" s="25" t="str">
        <x:v>Private real-estate finance experience. Corporate working capital, minority equity or profit participation requires a separate agreement from a property loan.</x:v>
      </x:c>
      <x:c r="S2265" s="25"/>
      <x:c r="T2265" s="25" t="str">
        <x:v>Confirm direct principal versus broker, $100K-$500K appetite, and whether capital can fund the operating company without a property mortgage.</x:v>
      </x:c>
      <x:c r="U2265" s="25" t="str">
        <x:v>https://www.hardmoneyhome.com/lenders/view/dr-daniels-and-son
https://drdanielsandson.com</x:v>
      </x:c>
      <x:c r="V2265" s="26" t="d">
        <x:v>2026-10-02T00:00:00.000Z</x:v>
      </x:c>
      <x:c r="W2265" s="26" t="d">
        <x:v>2026-09-30T00:00:00.000Z</x:v>
      </x:c>
      <x:c r="X2265" s="25" t="str">
        <x:v>Saved public company, industry-directory or regulatory source; source date retained</x:v>
      </x:c>
      <x:c r="Y2265" s="25" t="str">
        <x:v>https://drdanielsandson.com</x:v>
      </x:c>
      <x:c r="Z2265" s="25" t="str">
        <x:v>https://www.hardmoneyhome.com/lenders/view/dr-daniels-and-son</x:v>
      </x:c>
      <x:c r="AA2265" s="25" t="str">
        <x:v>[]</x:v>
      </x:c>
      <x:c r="AB2265" s="3" t="str">
        <x:v>Existing CapitalForge research, newly screened for this campaign</x:v>
      </x:c>
      <x:c r="AC2265" s="3" t="str">
        <x:v>unverified</x:v>
      </x:c>
      <x:c r="AD2265" s="3" t="str">
        <x:v>Not contacted / unconfirmed</x:v>
      </x:c>
      <x:c r="AE2265" s="3" t="str">
        <x:v>No</x:v>
      </x:c>
      <x:c r="AF2265" s="3" t="str">
        <x:v>No</x:v>
      </x:c>
      <x:c r="AG2265" s="3"/>
      <x:c r="AH2265" s="3"/>
      <x:c r="AI2265" s="18"/>
      <x:c r="AJ2265" s="3" t="str">
        <x:v>CF2500-0A1523475E78</x:v>
      </x:c>
      <x:c r="AK2265" s="3" t="str">
        <x:v>private_real_estate_lender</x:v>
      </x:c>
      <x:c r="AL2265" s="19" t="n">
        <x:v>100000</x:v>
      </x:c>
      <x:c r="AM2265" s="19" t="n">
        <x:v>500000</x:v>
      </x:c>
      <x:c r="AN2265" s="3" t="str">
        <x:v>https://www.hardmoneyhome.com/lenders/view/dr-daniels-and-son</x:v>
      </x:c>
      <x:c r="AO2265" s="3" t="str">
        <x:v>public_directory.jsonl</x:v>
      </x:c>
      <x:c r="AP2265" s="19"/>
    </x:row>
    <x:row r="2266" ht="36" customHeight="1">
      <x:c r="A2266" s="23" t="n">
        <x:v>2265</x:v>
      </x:c>
      <x:c r="B2266" s="15" t="str">
        <x:v>Equity Lending Inc</x:v>
      </x:c>
      <x:c r="C2266" s="15"/>
      <x:c r="D2266" s="15" t="str">
        <x:v>Property lender or directory member; operating-company capital unconfirmed</x:v>
      </x:c>
      <x:c r="E2266" s="15" t="str">
        <x:v>Property lender / private-money inquiry</x:v>
      </x:c>
      <x:c r="F2266" s="17" t="str">
        <x:v>New</x:v>
      </x:c>
      <x:c r="G2266" s="24" t="str">
        <x:v>equitylendinginc@gmail.com</x:v>
      </x:c>
      <x:c r="H2266" s="24" t="str">
        <x:v>+12022571500</x:v>
      </x:c>
      <x:c r="I2266" s="24" t="str">
        <x:v>https://www.equitylendinginc.net/</x:v>
      </x:c>
      <x:c r="J2266" s="16" t="str">
        <x:v>MD</x:v>
      </x:c>
      <x:c r="K2266" s="16" t="str">
        <x:v>North Potomac</x:v>
      </x:c>
      <x:c r="L2266" s="16" t="str">
        <x:v>firm_business_routing</x:v>
      </x:c>
      <x:c r="M2266" s="16" t="str">
        <x:v>https://www.equitylendinginc.net/</x:v>
      </x:c>
      <x:c r="N2266" s="16" t="str">
        <x:v>Published source range; proposed allocation and structure require confirmation</x:v>
      </x:c>
      <x:c r="O2266" s="20"/>
      <x:c r="P2266" s="20" t="n">
        <x:v>10000000</x:v>
      </x:c>
      <x:c r="Q2266" s="25" t="str">
        <x:v>Property-loan range, not a corporate-capital commitment</x:v>
      </x:c>
      <x:c r="R2266" s="25" t="str">
        <x:v>Private real-estate finance experience. Corporate working capital, minority equity or profit participation requires a separate agreement from a property loan.</x:v>
      </x:c>
      <x:c r="S2266" s="25"/>
      <x:c r="T2266" s="25" t="str">
        <x:v>Confirm direct principal versus broker, $100K-$500K appetite, and whether capital can fund the operating company without a property mortgage.</x:v>
      </x:c>
      <x:c r="U2266" s="25" t="str">
        <x:v>https://www.hardmoneyhome.com/lenders/view/equity-lending-inc
https://privatelenderlink.com/profile/equity-lending-inc/</x:v>
      </x:c>
      <x:c r="V2266" s="26" t="d">
        <x:v>2026-10-02T00:00:00.000Z</x:v>
      </x:c>
      <x:c r="W2266" s="26" t="d">
        <x:v>2026-09-30T00:00:00.000Z</x:v>
      </x:c>
      <x:c r="X2266" s="25" t="str">
        <x:v>Saved public company, industry-directory or regulatory source; source date retained</x:v>
      </x:c>
      <x:c r="Y2266" s="25" t="str">
        <x:v>https://privatelenderlink.com/profile/equity-lending-inc/</x:v>
      </x:c>
      <x:c r="Z2266" s="25" t="str">
        <x:v>https://www.hardmoneyhome.com/lenders/view/equity-lending-inc</x:v>
      </x:c>
      <x:c r="AA2266" s="25" t="str">
        <x:v>[]</x:v>
      </x:c>
      <x:c r="AB2266" s="3" t="str">
        <x:v>Existing CapitalForge research, newly screened for this campaign</x:v>
      </x:c>
      <x:c r="AC2266" s="3" t="str">
        <x:v>unverified</x:v>
      </x:c>
      <x:c r="AD2266" s="3" t="str">
        <x:v>Not contacted / unconfirmed</x:v>
      </x:c>
      <x:c r="AE2266" s="3" t="str">
        <x:v>No</x:v>
      </x:c>
      <x:c r="AF2266" s="3" t="str">
        <x:v>No</x:v>
      </x:c>
      <x:c r="AG2266" s="3"/>
      <x:c r="AH2266" s="3"/>
      <x:c r="AI2266" s="18"/>
      <x:c r="AJ2266" s="3" t="str">
        <x:v>CF2500-84D2F0FD353F</x:v>
      </x:c>
      <x:c r="AK2266" s="3" t="str">
        <x:v>private_real_estate_lender</x:v>
      </x:c>
      <x:c r="AL2266" s="19" t="n">
        <x:v>100000</x:v>
      </x:c>
      <x:c r="AM2266" s="19" t="n">
        <x:v>500000</x:v>
      </x:c>
      <x:c r="AN2266" s="3" t="str">
        <x:v>https://www.hardmoneyhome.com/lenders/view/equity-lending-inc</x:v>
      </x:c>
      <x:c r="AO2266" s="3" t="str">
        <x:v>public_directory.jsonl</x:v>
      </x:c>
      <x:c r="AP2266" s="19"/>
    </x:row>
    <x:row r="2267" ht="36" customHeight="1">
      <x:c r="A2267" s="23" t="n">
        <x:v>2266</x:v>
      </x:c>
      <x:c r="B2267" s="15" t="str">
        <x:v>Fidelity Bancorp Funding</x:v>
      </x:c>
      <x:c r="C2267" s="15"/>
      <x:c r="D2267" s="15" t="str">
        <x:v>Property lender or directory member; operating-company capital unconfirmed</x:v>
      </x:c>
      <x:c r="E2267" s="15" t="str">
        <x:v>Property lender / private-money inquiry</x:v>
      </x:c>
      <x:c r="F2267" s="17" t="str">
        <x:v>New</x:v>
      </x:c>
      <x:c r="G2267" s="24" t="str">
        <x:v>bridgeloaninfo@fbfloans.com</x:v>
      </x:c>
      <x:c r="H2267" s="24" t="str">
        <x:v>+18775853863</x:v>
      </x:c>
      <x:c r="I2267" s="24" t="str">
        <x:v>https://www.fbfloans.com</x:v>
      </x:c>
      <x:c r="J2267" s="16" t="str">
        <x:v>CA</x:v>
      </x:c>
      <x:c r="K2267" s="16" t="str">
        <x:v>Santa Ana</x:v>
      </x:c>
      <x:c r="L2267" s="16" t="str">
        <x:v>firm_business_routing</x:v>
      </x:c>
      <x:c r="M2267" s="16" t="str">
        <x:v>https://www.fbfloans.com</x:v>
      </x:c>
      <x:c r="N2267" s="16" t="str">
        <x:v>Published source range; proposed allocation and structure require confirmation</x:v>
      </x:c>
      <x:c r="O2267" s="20"/>
      <x:c r="P2267" s="20" t="n">
        <x:v>125000000</x:v>
      </x:c>
      <x:c r="Q2267" s="25" t="str">
        <x:v>Property-loan range, not a corporate-capital commitment</x:v>
      </x:c>
      <x:c r="R2267" s="25" t="str">
        <x:v>Private real-estate finance experience. Corporate working capital, minority equity or profit participation requires a separate agreement from a property loan.</x:v>
      </x:c>
      <x:c r="S2267" s="25"/>
      <x:c r="T2267" s="25" t="str">
        <x:v>Confirm direct principal versus broker, $100K-$500K appetite, and whether capital can fund the operating company without a property mortgage.</x:v>
      </x:c>
      <x:c r="U2267" s="25" t="str">
        <x:v>https://www.hardmoneyhome.com/lenders/view/fidelity-bancorp-funding
https://privatelenderlink.com/profile/fidelity-bancorp-funding/</x:v>
      </x:c>
      <x:c r="V2267" s="26" t="d">
        <x:v>2026-10-02T00:00:00.000Z</x:v>
      </x:c>
      <x:c r="W2267" s="26" t="d">
        <x:v>2026-09-30T00:00:00.000Z</x:v>
      </x:c>
      <x:c r="X2267" s="25" t="str">
        <x:v>Saved public company, industry-directory or regulatory source; source date retained</x:v>
      </x:c>
      <x:c r="Y2267" s="25" t="str">
        <x:v>https://privatelenderlink.com/profile/fidelity-bancorp-funding/</x:v>
      </x:c>
      <x:c r="Z2267" s="25" t="str">
        <x:v>https://www.hardmoneyhome.com/lenders/view/fidelity-bancorp-funding</x:v>
      </x:c>
      <x:c r="AA2267" s="25" t="str">
        <x:v>[]</x:v>
      </x:c>
      <x:c r="AB2267" s="3" t="str">
        <x:v>Existing CapitalForge research, newly screened for this campaign</x:v>
      </x:c>
      <x:c r="AC2267" s="3" t="str">
        <x:v>unverified</x:v>
      </x:c>
      <x:c r="AD2267" s="3" t="str">
        <x:v>Not contacted / unconfirmed</x:v>
      </x:c>
      <x:c r="AE2267" s="3" t="str">
        <x:v>No</x:v>
      </x:c>
      <x:c r="AF2267" s="3" t="str">
        <x:v>No</x:v>
      </x:c>
      <x:c r="AG2267" s="3"/>
      <x:c r="AH2267" s="3"/>
      <x:c r="AI2267" s="18"/>
      <x:c r="AJ2267" s="3" t="str">
        <x:v>CF2500-198E5B924021</x:v>
      </x:c>
      <x:c r="AK2267" s="3" t="str">
        <x:v>private_real_estate_lender</x:v>
      </x:c>
      <x:c r="AL2267" s="19" t="n">
        <x:v>100000</x:v>
      </x:c>
      <x:c r="AM2267" s="19" t="n">
        <x:v>500000</x:v>
      </x:c>
      <x:c r="AN2267" s="3" t="str">
        <x:v>https://www.hardmoneyhome.com/lenders/view/fidelity-bancorp-funding</x:v>
      </x:c>
      <x:c r="AO2267" s="3" t="str">
        <x:v>public_directory.jsonl</x:v>
      </x:c>
      <x:c r="AP2267" s="19"/>
    </x:row>
    <x:row r="2268" ht="36" customHeight="1">
      <x:c r="A2268" s="23" t="n">
        <x:v>2267</x:v>
      </x:c>
      <x:c r="B2268" s="15" t="str">
        <x:v>Fort Amsterdam Capital</x:v>
      </x:c>
      <x:c r="C2268" s="15"/>
      <x:c r="D2268" s="15" t="str">
        <x:v>Property lender or directory member; operating-company capital unconfirmed</x:v>
      </x:c>
      <x:c r="E2268" s="15" t="str">
        <x:v>Property lender / private-money inquiry</x:v>
      </x:c>
      <x:c r="F2268" s="17" t="str">
        <x:v>New</x:v>
      </x:c>
      <x:c r="G2268" s="24" t="str">
        <x:v>david.schwartz@fortamcap.com</x:v>
      </x:c>
      <x:c r="H2268" s="24" t="str">
        <x:v>+16466858451</x:v>
      </x:c>
      <x:c r="I2268" s="24" t="str">
        <x:v>https://fortamcap.com/</x:v>
      </x:c>
      <x:c r="J2268" s="16" t="str">
        <x:v>NY</x:v>
      </x:c>
      <x:c r="K2268" s="16" t="str">
        <x:v>New York</x:v>
      </x:c>
      <x:c r="L2268" s="16" t="str">
        <x:v>firm_business_routing</x:v>
      </x:c>
      <x:c r="M2268" s="16" t="str">
        <x:v>https://fortamcap.com/</x:v>
      </x:c>
      <x:c r="N2268" s="16" t="str">
        <x:v>Published source range; proposed allocation and structure require confirmation</x:v>
      </x:c>
      <x:c r="O2268" s="20"/>
      <x:c r="P2268" s="20" t="n">
        <x:v>20000000</x:v>
      </x:c>
      <x:c r="Q2268" s="25" t="str">
        <x:v>Property-loan range, not a corporate-capital commitment</x:v>
      </x:c>
      <x:c r="R2268" s="25" t="str">
        <x:v>Private real-estate finance experience. Corporate working capital, minority equity or profit participation requires a separate agreement from a property loan.</x:v>
      </x:c>
      <x:c r="S2268" s="25"/>
      <x:c r="T2268" s="25" t="str">
        <x:v>Confirm direct principal versus broker, $100K-$500K appetite, and whether capital can fund the operating company without a property mortgage.</x:v>
      </x:c>
      <x:c r="U2268" s="25" t="str">
        <x:v>https://www.hardmoneyhome.com/lenders/view/fort-amsterdam-capital
https://fortamcap.com/
https://www.privatelendersdirectory.com/united-states/new-york/top-level-category/fort-amsterdam-capital</x:v>
      </x:c>
      <x:c r="V2268" s="26" t="d">
        <x:v>2026-10-02T00:00:00.000Z</x:v>
      </x:c>
      <x:c r="W2268" s="26" t="d">
        <x:v>2026-09-30T00:00:00.000Z</x:v>
      </x:c>
      <x:c r="X2268" s="25" t="str">
        <x:v>Saved public company, industry-directory or regulatory source; source date retained</x:v>
      </x:c>
      <x:c r="Y2268" s="25" t="str">
        <x:v>https://fortamcap.com/</x:v>
      </x:c>
      <x:c r="Z2268" s="25" t="str">
        <x:v>https://www.hardmoneyhome.com/lenders/view/fort-amsterdam-capital</x:v>
      </x:c>
      <x:c r="AA2268" s="25" t="str">
        <x:v>[]</x:v>
      </x:c>
      <x:c r="AB2268" s="3" t="str">
        <x:v>Existing CapitalForge research, newly screened for this campaign</x:v>
      </x:c>
      <x:c r="AC2268" s="3" t="str">
        <x:v>unverified</x:v>
      </x:c>
      <x:c r="AD2268" s="3" t="str">
        <x:v>Not contacted / unconfirmed</x:v>
      </x:c>
      <x:c r="AE2268" s="3" t="str">
        <x:v>No</x:v>
      </x:c>
      <x:c r="AF2268" s="3" t="str">
        <x:v>No</x:v>
      </x:c>
      <x:c r="AG2268" s="3"/>
      <x:c r="AH2268" s="3"/>
      <x:c r="AI2268" s="18"/>
      <x:c r="AJ2268" s="3" t="str">
        <x:v>CF2500-1B6AD28F51FB</x:v>
      </x:c>
      <x:c r="AK2268" s="3" t="str">
        <x:v>private_real_estate_lender</x:v>
      </x:c>
      <x:c r="AL2268" s="19" t="n">
        <x:v>100000</x:v>
      </x:c>
      <x:c r="AM2268" s="19" t="n">
        <x:v>500000</x:v>
      </x:c>
      <x:c r="AN2268" s="3" t="str">
        <x:v>https://www.hardmoneyhome.com/lenders/view/fort-amsterdam-capital</x:v>
      </x:c>
      <x:c r="AO2268" s="3" t="str">
        <x:v>public_directory.jsonl</x:v>
      </x:c>
      <x:c r="AP2268" s="19"/>
    </x:row>
    <x:row r="2269" ht="36" customHeight="1">
      <x:c r="A2269" s="23" t="n">
        <x:v>2268</x:v>
      </x:c>
      <x:c r="B2269" s="15" t="str">
        <x:v>Fulford Lending</x:v>
      </x:c>
      <x:c r="C2269" s="15"/>
      <x:c r="D2269" s="15" t="str">
        <x:v>Property lender or directory member; operating-company capital unconfirmed</x:v>
      </x:c>
      <x:c r="E2269" s="15" t="str">
        <x:v>Property lender / private-money inquiry</x:v>
      </x:c>
      <x:c r="F2269" s="17" t="str">
        <x:v>New</x:v>
      </x:c>
      <x:c r="G2269" s="24" t="str">
        <x:v>contact@fulfordlending.com</x:v>
      </x:c>
      <x:c r="H2269" s="24" t="str">
        <x:v>+17036783984</x:v>
      </x:c>
      <x:c r="I2269" s="24" t="str">
        <x:v>https://www.fulfordlending.com/</x:v>
      </x:c>
      <x:c r="J2269" s="16" t="str">
        <x:v>VA</x:v>
      </x:c>
      <x:c r="K2269" s="16" t="str">
        <x:v>Falls Church</x:v>
      </x:c>
      <x:c r="L2269" s="16" t="str">
        <x:v>firm_business_routing</x:v>
      </x:c>
      <x:c r="M2269" s="16" t="str">
        <x:v>https://www.fulfordlending.com/</x:v>
      </x:c>
      <x:c r="N2269" s="16" t="str">
        <x:v>Published source range; proposed allocation and structure require confirmation</x:v>
      </x:c>
      <x:c r="O2269" s="20"/>
      <x:c r="P2269" s="20" t="n">
        <x:v>2000000</x:v>
      </x:c>
      <x:c r="Q2269" s="25" t="str">
        <x:v>Property-loan range, not a corporate-capital commitment</x:v>
      </x:c>
      <x:c r="R2269" s="25" t="str">
        <x:v>Private real-estate finance experience. Corporate working capital, minority equity or profit participation requires a separate agreement from a property loan.</x:v>
      </x:c>
      <x:c r="S2269" s="25"/>
      <x:c r="T2269" s="25" t="str">
        <x:v>Confirm direct principal versus broker, $100K-$500K appetite, and whether capital can fund the operating company without a property mortgage.</x:v>
      </x:c>
      <x:c r="U2269" s="25" t="str">
        <x:v>https://www.hardmoneyhome.com/lenders/view/fulford-lending
https://privatelenderlink.com/profile/fulford-lending/</x:v>
      </x:c>
      <x:c r="V2269" s="26" t="d">
        <x:v>2026-10-02T00:00:00.000Z</x:v>
      </x:c>
      <x:c r="W2269" s="26" t="d">
        <x:v>2026-09-30T00:00:00.000Z</x:v>
      </x:c>
      <x:c r="X2269" s="25" t="str">
        <x:v>Saved public company, industry-directory or regulatory source; source date retained</x:v>
      </x:c>
      <x:c r="Y2269" s="25" t="str">
        <x:v>https://privatelenderlink.com/profile/fulford-lending/</x:v>
      </x:c>
      <x:c r="Z2269" s="25" t="str">
        <x:v>https://www.hardmoneyhome.com/lenders/view/fulford-lending</x:v>
      </x:c>
      <x:c r="AA2269" s="25" t="str">
        <x:v>[]</x:v>
      </x:c>
      <x:c r="AB2269" s="3" t="str">
        <x:v>Existing CapitalForge research, newly screened for this campaign</x:v>
      </x:c>
      <x:c r="AC2269" s="3" t="str">
        <x:v>unverified</x:v>
      </x:c>
      <x:c r="AD2269" s="3" t="str">
        <x:v>Not contacted / unconfirmed</x:v>
      </x:c>
      <x:c r="AE2269" s="3" t="str">
        <x:v>No</x:v>
      </x:c>
      <x:c r="AF2269" s="3" t="str">
        <x:v>No</x:v>
      </x:c>
      <x:c r="AG2269" s="3"/>
      <x:c r="AH2269" s="3"/>
      <x:c r="AI2269" s="18"/>
      <x:c r="AJ2269" s="3" t="str">
        <x:v>CF2500-9C98D0DE9EB2</x:v>
      </x:c>
      <x:c r="AK2269" s="3" t="str">
        <x:v>private_real_estate_lender</x:v>
      </x:c>
      <x:c r="AL2269" s="19" t="n">
        <x:v>100000</x:v>
      </x:c>
      <x:c r="AM2269" s="19" t="n">
        <x:v>500000</x:v>
      </x:c>
      <x:c r="AN2269" s="3" t="str">
        <x:v>https://www.hardmoneyhome.com/lenders/view/fulford-lending</x:v>
      </x:c>
      <x:c r="AO2269" s="3" t="str">
        <x:v>public_directory.jsonl</x:v>
      </x:c>
      <x:c r="AP2269" s="19"/>
    </x:row>
    <x:row r="2270" ht="36" customHeight="1">
      <x:c r="A2270" s="23" t="n">
        <x:v>2269</x:v>
      </x:c>
      <x:c r="B2270" s="15" t="str">
        <x:v>Grand Coast Capital Group</x:v>
      </x:c>
      <x:c r="C2270" s="15"/>
      <x:c r="D2270" s="15" t="str">
        <x:v>Property lender or directory member; operating-company capital unconfirmed</x:v>
      </x:c>
      <x:c r="E2270" s="15" t="str">
        <x:v>Property lender / private-money inquiry</x:v>
      </x:c>
      <x:c r="F2270" s="17" t="str">
        <x:v>New</x:v>
      </x:c>
      <x:c r="G2270" s="24" t="str">
        <x:v>borrow@grandcoastcapital.com</x:v>
      </x:c>
      <x:c r="H2270" s="24" t="str">
        <x:v>+18888330381</x:v>
      </x:c>
      <x:c r="I2270" s="24" t="str">
        <x:v>http://www.grandcoastcapital.com/</x:v>
      </x:c>
      <x:c r="J2270" s="16" t="str">
        <x:v>MA</x:v>
      </x:c>
      <x:c r="K2270" s="16" t="str">
        <x:v>Quincy</x:v>
      </x:c>
      <x:c r="L2270" s="16" t="str">
        <x:v>firm_business_routing</x:v>
      </x:c>
      <x:c r="M2270" s="16" t="str">
        <x:v>http://www.grandcoastcapital.com/</x:v>
      </x:c>
      <x:c r="N2270" s="16" t="str">
        <x:v>Published source range; proposed allocation and structure require confirmation</x:v>
      </x:c>
      <x:c r="O2270" s="20"/>
      <x:c r="P2270" s="20" t="n">
        <x:v>5000000</x:v>
      </x:c>
      <x:c r="Q2270" s="25" t="str">
        <x:v>Property-loan range, not a corporate-capital commitment</x:v>
      </x:c>
      <x:c r="R2270" s="25" t="str">
        <x:v>Private real-estate finance experience. Corporate working capital, minority equity or profit participation requires a separate agreement from a property loan.</x:v>
      </x:c>
      <x:c r="S2270" s="25"/>
      <x:c r="T2270" s="25" t="str">
        <x:v>Confirm direct principal versus broker, $100K-$500K appetite, and whether capital can fund the operating company without a property mortgage.</x:v>
      </x:c>
      <x:c r="U2270" s="25" t="str">
        <x:v>https://www.hardmoneyhome.com/lenders/view/grand-coast-capital-group
https://www.grandcoastcapital.com/
https://www.privatelendersdirectory.com/united-states/cohasset/top-level-category/grand-coast-capital</x:v>
      </x:c>
      <x:c r="V2270" s="26" t="d">
        <x:v>2026-10-02T00:00:00.000Z</x:v>
      </x:c>
      <x:c r="W2270" s="26" t="d">
        <x:v>2026-09-30T00:00:00.000Z</x:v>
      </x:c>
      <x:c r="X2270" s="25" t="str">
        <x:v>Saved public company, industry-directory or regulatory source; source date retained</x:v>
      </x:c>
      <x:c r="Y2270" s="25" t="str">
        <x:v>https://www.grandcoastcapital.com/</x:v>
      </x:c>
      <x:c r="Z2270" s="25" t="str">
        <x:v>https://www.hardmoneyhome.com/lenders/view/grand-coast-capital-group</x:v>
      </x:c>
      <x:c r="AA2270" s="25" t="str">
        <x:v>[]</x:v>
      </x:c>
      <x:c r="AB2270" s="3" t="str">
        <x:v>Existing CapitalForge research, newly screened for this campaign</x:v>
      </x:c>
      <x:c r="AC2270" s="3" t="str">
        <x:v>unverified</x:v>
      </x:c>
      <x:c r="AD2270" s="3" t="str">
        <x:v>Not contacted / unconfirmed</x:v>
      </x:c>
      <x:c r="AE2270" s="3" t="str">
        <x:v>No</x:v>
      </x:c>
      <x:c r="AF2270" s="3" t="str">
        <x:v>No</x:v>
      </x:c>
      <x:c r="AG2270" s="3"/>
      <x:c r="AH2270" s="3"/>
      <x:c r="AI2270" s="18"/>
      <x:c r="AJ2270" s="3" t="str">
        <x:v>CF2500-3D3E8C94041D</x:v>
      </x:c>
      <x:c r="AK2270" s="3" t="str">
        <x:v>private_real_estate_lender</x:v>
      </x:c>
      <x:c r="AL2270" s="19" t="n">
        <x:v>100000</x:v>
      </x:c>
      <x:c r="AM2270" s="19" t="n">
        <x:v>500000</x:v>
      </x:c>
      <x:c r="AN2270" s="3" t="str">
        <x:v>https://www.hardmoneyhome.com/lenders/view/grand-coast-capital-group</x:v>
      </x:c>
      <x:c r="AO2270" s="3" t="str">
        <x:v>public_directory.jsonl</x:v>
      </x:c>
      <x:c r="AP2270" s="19"/>
    </x:row>
    <x:row r="2271" ht="36" customHeight="1">
      <x:c r="A2271" s="23" t="n">
        <x:v>2270</x:v>
      </x:c>
      <x:c r="B2271" s="15" t="str">
        <x:v>Grand River USA</x:v>
      </x:c>
      <x:c r="C2271" s="15"/>
      <x:c r="D2271" s="15" t="str">
        <x:v>Property lender or directory member; operating-company capital unconfirmed</x:v>
      </x:c>
      <x:c r="E2271" s="15" t="str">
        <x:v>Property lender / private-money inquiry</x:v>
      </x:c>
      <x:c r="F2271" s="17" t="str">
        <x:v>New</x:v>
      </x:c>
      <x:c r="G2271" s="24" t="str">
        <x:v>info@grandriverusa.com</x:v>
      </x:c>
      <x:c r="H2271" s="24" t="str">
        <x:v>+18779019400</x:v>
      </x:c>
      <x:c r="I2271" s="24" t="str">
        <x:v>http://www.grandriverusa.com/</x:v>
      </x:c>
      <x:c r="J2271" s="16" t="str">
        <x:v>MI</x:v>
      </x:c>
      <x:c r="K2271" s="16" t="str">
        <x:v>Novi</x:v>
      </x:c>
      <x:c r="L2271" s="16" t="str">
        <x:v>firm_business_routing</x:v>
      </x:c>
      <x:c r="M2271" s="16" t="str">
        <x:v>http://www.grandriverusa.com/</x:v>
      </x:c>
      <x:c r="N2271" s="16" t="str">
        <x:v>Published source range; proposed allocation and structure require confirmation</x:v>
      </x:c>
      <x:c r="O2271" s="20"/>
      <x:c r="P2271" s="20" t="n">
        <x:v>500000000</x:v>
      </x:c>
      <x:c r="Q2271" s="25" t="str">
        <x:v>Property-loan range, not a corporate-capital commitment</x:v>
      </x:c>
      <x:c r="R2271" s="25" t="str">
        <x:v>Private real-estate finance experience. Corporate working capital, minority equity or profit participation requires a separate agreement from a property loan.</x:v>
      </x:c>
      <x:c r="S2271" s="25"/>
      <x:c r="T2271" s="25" t="str">
        <x:v>Confirm direct principal versus broker, $100K-$500K appetite, and whether capital can fund the operating company without a property mortgage.</x:v>
      </x:c>
      <x:c r="U2271" s="25" t="str">
        <x:v>https://www.hardmoneyhome.com/lenders/view/grand-river-usa
https://www.grandriverusa.com/</x:v>
      </x:c>
      <x:c r="V2271" s="26" t="d">
        <x:v>2026-10-02T00:00:00.000Z</x:v>
      </x:c>
      <x:c r="W2271" s="26" t="d">
        <x:v>2026-09-30T00:00:00.000Z</x:v>
      </x:c>
      <x:c r="X2271" s="25" t="str">
        <x:v>Saved public company, industry-directory or regulatory source; source date retained</x:v>
      </x:c>
      <x:c r="Y2271" s="25" t="str">
        <x:v>https://www.grandriverusa.com/</x:v>
      </x:c>
      <x:c r="Z2271" s="25" t="str">
        <x:v>https://www.hardmoneyhome.com/lenders/view/grand-river-usa</x:v>
      </x:c>
      <x:c r="AA2271" s="25" t="str">
        <x:v>[]</x:v>
      </x:c>
      <x:c r="AB2271" s="3" t="str">
        <x:v>Existing CapitalForge research, newly screened for this campaign</x:v>
      </x:c>
      <x:c r="AC2271" s="3" t="str">
        <x:v>unverified</x:v>
      </x:c>
      <x:c r="AD2271" s="3" t="str">
        <x:v>Not contacted / unconfirmed</x:v>
      </x:c>
      <x:c r="AE2271" s="3" t="str">
        <x:v>No</x:v>
      </x:c>
      <x:c r="AF2271" s="3" t="str">
        <x:v>No</x:v>
      </x:c>
      <x:c r="AG2271" s="3"/>
      <x:c r="AH2271" s="3"/>
      <x:c r="AI2271" s="18"/>
      <x:c r="AJ2271" s="3" t="str">
        <x:v>CF2500-6D88386815B7</x:v>
      </x:c>
      <x:c r="AK2271" s="3" t="str">
        <x:v>private_real_estate_lender</x:v>
      </x:c>
      <x:c r="AL2271" s="19" t="n">
        <x:v>100000</x:v>
      </x:c>
      <x:c r="AM2271" s="19" t="n">
        <x:v>500000</x:v>
      </x:c>
      <x:c r="AN2271" s="3" t="str">
        <x:v>https://www.hardmoneyhome.com/lenders/view/grand-river-usa</x:v>
      </x:c>
      <x:c r="AO2271" s="3" t="str">
        <x:v>public_directory.jsonl</x:v>
      </x:c>
      <x:c r="AP2271" s="19"/>
    </x:row>
    <x:row r="2272" ht="36" customHeight="1">
      <x:c r="A2272" s="23" t="n">
        <x:v>2271</x:v>
      </x:c>
      <x:c r="B2272" s="15" t="str">
        <x:v>Happy Investments Inc</x:v>
      </x:c>
      <x:c r="C2272" s="15"/>
      <x:c r="D2272" s="15" t="str">
        <x:v>Property lender or directory member; operating-company capital unconfirmed</x:v>
      </x:c>
      <x:c r="E2272" s="15" t="str">
        <x:v>Property lender / private-money inquiry</x:v>
      </x:c>
      <x:c r="F2272" s="17" t="str">
        <x:v>New</x:v>
      </x:c>
      <x:c r="G2272" s="24" t="str">
        <x:v>loans@happyinvestmentsinc.com</x:v>
      </x:c>
      <x:c r="H2272" s="24" t="str">
        <x:v>+19512213929</x:v>
      </x:c>
      <x:c r="I2272" s="24" t="str">
        <x:v>http://www.happyinvestmentsinc.com</x:v>
      </x:c>
      <x:c r="J2272" s="16" t="str">
        <x:v>CA</x:v>
      </x:c>
      <x:c r="K2272" s="16" t="str">
        <x:v>Corona</x:v>
      </x:c>
      <x:c r="L2272" s="16" t="str">
        <x:v>firm_business_routing</x:v>
      </x:c>
      <x:c r="M2272" s="16" t="str">
        <x:v>http://www.happyinvestmentsinc.com</x:v>
      </x:c>
      <x:c r="N2272" s="16" t="str">
        <x:v>Published source range; proposed allocation and structure require confirmation</x:v>
      </x:c>
      <x:c r="O2272" s="20"/>
      <x:c r="P2272" s="20" t="n">
        <x:v>2500000</x:v>
      </x:c>
      <x:c r="Q2272" s="25" t="str">
        <x:v>Property-loan range, not a corporate-capital commitment</x:v>
      </x:c>
      <x:c r="R2272" s="25" t="str">
        <x:v>Private real-estate finance experience. Corporate working capital, minority equity or profit participation requires a separate agreement from a property loan.</x:v>
      </x:c>
      <x:c r="S2272" s="25"/>
      <x:c r="T2272" s="25" t="str">
        <x:v>Confirm direct principal versus broker, $100K-$500K appetite, and whether capital can fund the operating company without a property mortgage.</x:v>
      </x:c>
      <x:c r="U2272" s="25" t="str">
        <x:v>https://www.hardmoneyhome.com/lenders/view/happy-investments-inc
https://www.happyinvestmentsinc.com</x:v>
      </x:c>
      <x:c r="V2272" s="26" t="d">
        <x:v>2026-10-02T00:00:00.000Z</x:v>
      </x:c>
      <x:c r="W2272" s="26" t="d">
        <x:v>2026-09-30T00:00:00.000Z</x:v>
      </x:c>
      <x:c r="X2272" s="25" t="str">
        <x:v>Saved public company, industry-directory or regulatory source; source date retained</x:v>
      </x:c>
      <x:c r="Y2272" s="25" t="str">
        <x:v>https://www.happyinvestmentsinc.com</x:v>
      </x:c>
      <x:c r="Z2272" s="25" t="str">
        <x:v>https://www.hardmoneyhome.com/lenders/view/happy-investments-inc</x:v>
      </x:c>
      <x:c r="AA2272" s="25" t="str">
        <x:v>[]</x:v>
      </x:c>
      <x:c r="AB2272" s="3" t="str">
        <x:v>Existing CapitalForge research, newly screened for this campaign</x:v>
      </x:c>
      <x:c r="AC2272" s="3" t="str">
        <x:v>unverified</x:v>
      </x:c>
      <x:c r="AD2272" s="3" t="str">
        <x:v>Not contacted / unconfirmed</x:v>
      </x:c>
      <x:c r="AE2272" s="3" t="str">
        <x:v>No</x:v>
      </x:c>
      <x:c r="AF2272" s="3" t="str">
        <x:v>No</x:v>
      </x:c>
      <x:c r="AG2272" s="3"/>
      <x:c r="AH2272" s="3"/>
      <x:c r="AI2272" s="18"/>
      <x:c r="AJ2272" s="3" t="str">
        <x:v>CF2500-ABB73FE35F35</x:v>
      </x:c>
      <x:c r="AK2272" s="3" t="str">
        <x:v>private_real_estate_lender</x:v>
      </x:c>
      <x:c r="AL2272" s="19" t="n">
        <x:v>100000</x:v>
      </x:c>
      <x:c r="AM2272" s="19" t="n">
        <x:v>500000</x:v>
      </x:c>
      <x:c r="AN2272" s="3" t="str">
        <x:v>https://www.hardmoneyhome.com/lenders/view/happy-investments-inc</x:v>
      </x:c>
      <x:c r="AO2272" s="3" t="str">
        <x:v>public_directory.jsonl</x:v>
      </x:c>
      <x:c r="AP2272" s="19"/>
    </x:row>
    <x:row r="2273" ht="36" customHeight="1">
      <x:c r="A2273" s="23" t="n">
        <x:v>2272</x:v>
      </x:c>
      <x:c r="B2273" s="15" t="str">
        <x:v>Hard Money Brooklyn</x:v>
      </x:c>
      <x:c r="C2273" s="15"/>
      <x:c r="D2273" s="15" t="str">
        <x:v>Property lender or directory member; operating-company capital unconfirmed</x:v>
      </x:c>
      <x:c r="E2273" s="15" t="str">
        <x:v>Property lender / private-money inquiry</x:v>
      </x:c>
      <x:c r="F2273" s="17" t="str">
        <x:v>New</x:v>
      </x:c>
      <x:c r="G2273" s="24" t="str">
        <x:v>john@hardmoneybrooklyn.com</x:v>
      </x:c>
      <x:c r="H2273" s="24" t="str">
        <x:v>+17185934527</x:v>
      </x:c>
      <x:c r="I2273" s="24" t="str">
        <x:v>http://www.hardmoneybrooklyn.com</x:v>
      </x:c>
      <x:c r="J2273" s="16" t="str">
        <x:v>NY</x:v>
      </x:c>
      <x:c r="K2273" s="16" t="str">
        <x:v>Brooklyn</x:v>
      </x:c>
      <x:c r="L2273" s="16" t="str">
        <x:v>firm_business_routing</x:v>
      </x:c>
      <x:c r="M2273" s="16" t="str">
        <x:v>http://www.hardmoneybrooklyn.com</x:v>
      </x:c>
      <x:c r="N2273" s="16" t="str">
        <x:v>Published source range; proposed allocation and structure require confirmation</x:v>
      </x:c>
      <x:c r="O2273" s="20"/>
      <x:c r="P2273" s="20" t="n">
        <x:v>10000000</x:v>
      </x:c>
      <x:c r="Q2273" s="25" t="str">
        <x:v>Property-loan range, not a corporate-capital commitment</x:v>
      </x:c>
      <x:c r="R2273" s="25" t="str">
        <x:v>Private real-estate finance experience. Corporate working capital, minority equity or profit participation requires a separate agreement from a property loan.</x:v>
      </x:c>
      <x:c r="S2273" s="25"/>
      <x:c r="T2273" s="25" t="str">
        <x:v>Confirm direct principal versus broker, $100K-$500K appetite, and whether capital can fund the operating company without a property mortgage.</x:v>
      </x:c>
      <x:c r="U2273" s="25" t="str">
        <x:v>https://www.hardmoneyhome.com/lenders/view/hard-money-brooklyn
https://www.hardmoneybrooklyn.com</x:v>
      </x:c>
      <x:c r="V2273" s="26" t="d">
        <x:v>2026-10-02T00:00:00.000Z</x:v>
      </x:c>
      <x:c r="W2273" s="26" t="d">
        <x:v>2026-09-30T00:00:00.000Z</x:v>
      </x:c>
      <x:c r="X2273" s="25" t="str">
        <x:v>Saved public company, industry-directory or regulatory source; source date retained</x:v>
      </x:c>
      <x:c r="Y2273" s="25" t="str">
        <x:v>https://www.hardmoneybrooklyn.com</x:v>
      </x:c>
      <x:c r="Z2273" s="25" t="str">
        <x:v>https://www.hardmoneyhome.com/lenders/view/hard-money-brooklyn</x:v>
      </x:c>
      <x:c r="AA2273" s="25" t="str">
        <x:v>[]</x:v>
      </x:c>
      <x:c r="AB2273" s="3" t="str">
        <x:v>Existing CapitalForge research, newly screened for this campaign</x:v>
      </x:c>
      <x:c r="AC2273" s="3" t="str">
        <x:v>unverified</x:v>
      </x:c>
      <x:c r="AD2273" s="3" t="str">
        <x:v>Not contacted / unconfirmed</x:v>
      </x:c>
      <x:c r="AE2273" s="3" t="str">
        <x:v>No</x:v>
      </x:c>
      <x:c r="AF2273" s="3" t="str">
        <x:v>No</x:v>
      </x:c>
      <x:c r="AG2273" s="3"/>
      <x:c r="AH2273" s="3"/>
      <x:c r="AI2273" s="18"/>
      <x:c r="AJ2273" s="3" t="str">
        <x:v>CF2500-404124038F8E</x:v>
      </x:c>
      <x:c r="AK2273" s="3" t="str">
        <x:v>private_real_estate_lender</x:v>
      </x:c>
      <x:c r="AL2273" s="19" t="n">
        <x:v>100000</x:v>
      </x:c>
      <x:c r="AM2273" s="19" t="n">
        <x:v>500000</x:v>
      </x:c>
      <x:c r="AN2273" s="3" t="str">
        <x:v>https://www.hardmoneyhome.com/lenders/view/hard-money-brooklyn</x:v>
      </x:c>
      <x:c r="AO2273" s="3" t="str">
        <x:v>public_directory.jsonl</x:v>
      </x:c>
      <x:c r="AP2273" s="19"/>
    </x:row>
    <x:row r="2274" ht="36" customHeight="1">
      <x:c r="A2274" s="23" t="n">
        <x:v>2273</x:v>
      </x:c>
      <x:c r="B2274" s="15" t="str">
        <x:v>Hard Money Company</x:v>
      </x:c>
      <x:c r="C2274" s="15"/>
      <x:c r="D2274" s="15" t="str">
        <x:v>Property lender or directory member; operating-company capital unconfirmed</x:v>
      </x:c>
      <x:c r="E2274" s="15" t="str">
        <x:v>Property lender / private-money inquiry</x:v>
      </x:c>
      <x:c r="F2274" s="17" t="str">
        <x:v>New</x:v>
      </x:c>
      <x:c r="G2274" s="24" t="str">
        <x:v>info@hardmoneycompany.com</x:v>
      </x:c>
      <x:c r="H2274" s="24" t="str">
        <x:v>+17034779211</x:v>
      </x:c>
      <x:c r="I2274" s="24" t="str">
        <x:v>http://www.hardmoneycompany.com/</x:v>
      </x:c>
      <x:c r="J2274" s="16" t="str">
        <x:v>VA</x:v>
      </x:c>
      <x:c r="K2274" s="16" t="str">
        <x:v>Vienna</x:v>
      </x:c>
      <x:c r="L2274" s="16" t="str">
        <x:v>firm_business_routing</x:v>
      </x:c>
      <x:c r="M2274" s="16" t="str">
        <x:v>http://www.hardmoneycompany.com/</x:v>
      </x:c>
      <x:c r="N2274" s="16" t="str">
        <x:v>Published source range; proposed allocation and structure require confirmation</x:v>
      </x:c>
      <x:c r="O2274" s="20"/>
      <x:c r="P2274" s="20" t="n">
        <x:v>5000000</x:v>
      </x:c>
      <x:c r="Q2274" s="25" t="str">
        <x:v>Property-loan range, not a corporate-capital commitment</x:v>
      </x:c>
      <x:c r="R2274" s="25" t="str">
        <x:v>Private real-estate finance experience. Corporate working capital, minority equity or profit participation requires a separate agreement from a property loan.</x:v>
      </x:c>
      <x:c r="S2274" s="25"/>
      <x:c r="T2274" s="25" t="str">
        <x:v>Confirm direct principal versus broker, $100K-$500K appetite, and whether capital can fund the operating company without a property mortgage.</x:v>
      </x:c>
      <x:c r="U2274" s="25" t="str">
        <x:v>https://www.hardmoneyhome.com/lenders/view/hard-money-company
https://www.hardmoneycompany.com/
https://www.privatelendersdirectory.com/united-states/aventura/top-level-category/goldsmith-equity
https://hardmoneycompany.com/</x:v>
      </x:c>
      <x:c r="V2274" s="26" t="d">
        <x:v>2026-10-02T00:00:00.000Z</x:v>
      </x:c>
      <x:c r="W2274" s="26" t="d">
        <x:v>2026-09-30T00:00:00.000Z</x:v>
      </x:c>
      <x:c r="X2274" s="25" t="str">
        <x:v>Saved public company, industry-directory or regulatory source; source date retained</x:v>
      </x:c>
      <x:c r="Y2274" s="25" t="str">
        <x:v>https://www.hardmoneycompany.com/</x:v>
      </x:c>
      <x:c r="Z2274" s="25" t="str">
        <x:v>https://www.hardmoneyhome.com/lenders/view/hard-money-company</x:v>
      </x:c>
      <x:c r="AA2274" s="25" t="str">
        <x:v>[]</x:v>
      </x:c>
      <x:c r="AB2274" s="3" t="str">
        <x:v>Existing CapitalForge research, newly screened for this campaign</x:v>
      </x:c>
      <x:c r="AC2274" s="3" t="str">
        <x:v>unverified</x:v>
      </x:c>
      <x:c r="AD2274" s="3" t="str">
        <x:v>Not contacted / unconfirmed</x:v>
      </x:c>
      <x:c r="AE2274" s="3" t="str">
        <x:v>No</x:v>
      </x:c>
      <x:c r="AF2274" s="3" t="str">
        <x:v>No</x:v>
      </x:c>
      <x:c r="AG2274" s="3"/>
      <x:c r="AH2274" s="3"/>
      <x:c r="AI2274" s="18"/>
      <x:c r="AJ2274" s="3" t="str">
        <x:v>CF2500-F1722BE1C517</x:v>
      </x:c>
      <x:c r="AK2274" s="3" t="str">
        <x:v>private_real_estate_lender</x:v>
      </x:c>
      <x:c r="AL2274" s="19" t="n">
        <x:v>100000</x:v>
      </x:c>
      <x:c r="AM2274" s="19" t="n">
        <x:v>500000</x:v>
      </x:c>
      <x:c r="AN2274" s="3" t="str">
        <x:v>https://www.hardmoneyhome.com/lenders/view/hard-money-company</x:v>
      </x:c>
      <x:c r="AO2274" s="3" t="str">
        <x:v>public_directory.jsonl</x:v>
      </x:c>
      <x:c r="AP2274" s="19"/>
    </x:row>
    <x:row r="2275" ht="36" customHeight="1">
      <x:c r="A2275" s="23" t="n">
        <x:v>2274</x:v>
      </x:c>
      <x:c r="B2275" s="15" t="str">
        <x:v>HardMoneyLoans.com</x:v>
      </x:c>
      <x:c r="C2275" s="15"/>
      <x:c r="D2275" s="15" t="str">
        <x:v>Property lender or directory member; operating-company capital unconfirmed</x:v>
      </x:c>
      <x:c r="E2275" s="15" t="str">
        <x:v>Property lender / private-money inquiry</x:v>
      </x:c>
      <x:c r="F2275" s="17" t="str">
        <x:v>New</x:v>
      </x:c>
      <x:c r="G2275" s="24" t="str">
        <x:v>deals@hardmoneyloans.com</x:v>
      </x:c>
      <x:c r="H2275" s="24" t="str">
        <x:v>+18888587515</x:v>
      </x:c>
      <x:c r="I2275" s="24" t="str">
        <x:v>https://hardmoneyloans.com/</x:v>
      </x:c>
      <x:c r="J2275" s="16" t="str">
        <x:v>CA</x:v>
      </x:c>
      <x:c r="K2275" s="16" t="str">
        <x:v>Beverly Hills</x:v>
      </x:c>
      <x:c r="L2275" s="16" t="str">
        <x:v>firm_business_routing</x:v>
      </x:c>
      <x:c r="M2275" s="16" t="str">
        <x:v>https://hardmoneyloans.com/</x:v>
      </x:c>
      <x:c r="N2275" s="16" t="str">
        <x:v>Published source range; proposed allocation and structure require confirmation</x:v>
      </x:c>
      <x:c r="O2275" s="20"/>
      <x:c r="P2275" s="20" t="n">
        <x:v>75000000</x:v>
      </x:c>
      <x:c r="Q2275" s="25" t="str">
        <x:v>Property-loan range, not a corporate-capital commitment</x:v>
      </x:c>
      <x:c r="R2275" s="25" t="str">
        <x:v>Private real-estate finance experience. Corporate working capital, minority equity or profit participation requires a separate agreement from a property loan.</x:v>
      </x:c>
      <x:c r="S2275" s="25"/>
      <x:c r="T2275" s="25" t="str">
        <x:v>Confirm direct principal versus broker, $100K-$500K appetite, and whether capital can fund the operating company without a property mortgage.</x:v>
      </x:c>
      <x:c r="U2275" s="25" t="str">
        <x:v>https://www.hardmoneyhome.com/lenders/view/hardmoneyloans-com
http://hardmoneyloans.com/</x:v>
      </x:c>
      <x:c r="V2275" s="26" t="d">
        <x:v>2026-10-02T00:00:00.000Z</x:v>
      </x:c>
      <x:c r="W2275" s="26" t="d">
        <x:v>2026-09-30T00:00:00.000Z</x:v>
      </x:c>
      <x:c r="X2275" s="25" t="str">
        <x:v>Saved public company, industry-directory or regulatory source; source date retained</x:v>
      </x:c>
      <x:c r="Y2275" s="25" t="str">
        <x:v>http://hardmoneyloans.com/</x:v>
      </x:c>
      <x:c r="Z2275" s="25" t="str">
        <x:v>https://www.hardmoneyhome.com/lenders/view/hardmoneyloans-com</x:v>
      </x:c>
      <x:c r="AA2275" s="25" t="str">
        <x:v>[]</x:v>
      </x:c>
      <x:c r="AB2275" s="3" t="str">
        <x:v>Existing CapitalForge research, newly screened for this campaign</x:v>
      </x:c>
      <x:c r="AC2275" s="3" t="str">
        <x:v>unverified</x:v>
      </x:c>
      <x:c r="AD2275" s="3" t="str">
        <x:v>Not contacted / unconfirmed</x:v>
      </x:c>
      <x:c r="AE2275" s="3" t="str">
        <x:v>No</x:v>
      </x:c>
      <x:c r="AF2275" s="3" t="str">
        <x:v>No</x:v>
      </x:c>
      <x:c r="AG2275" s="3"/>
      <x:c r="AH2275" s="3"/>
      <x:c r="AI2275" s="18"/>
      <x:c r="AJ2275" s="3" t="str">
        <x:v>CF2500-BD0BD84DA146</x:v>
      </x:c>
      <x:c r="AK2275" s="3" t="str">
        <x:v>private_real_estate_lender</x:v>
      </x:c>
      <x:c r="AL2275" s="19" t="n">
        <x:v>100000</x:v>
      </x:c>
      <x:c r="AM2275" s="19" t="n">
        <x:v>500000</x:v>
      </x:c>
      <x:c r="AN2275" s="3" t="str">
        <x:v>https://www.hardmoneyhome.com/lenders/view/hardmoneyloans-com</x:v>
      </x:c>
      <x:c r="AO2275" s="3" t="str">
        <x:v>public_directory.jsonl</x:v>
      </x:c>
      <x:c r="AP2275" s="19"/>
    </x:row>
    <x:row r="2276" ht="36" customHeight="1">
      <x:c r="A2276" s="23" t="n">
        <x:v>2275</x:v>
      </x:c>
      <x:c r="B2276" s="15" t="str">
        <x:v>Helvetica Funding Group</x:v>
      </x:c>
      <x:c r="C2276" s="15"/>
      <x:c r="D2276" s="15" t="str">
        <x:v>Property lender or directory member; operating-company capital unconfirmed</x:v>
      </x:c>
      <x:c r="E2276" s="15" t="str">
        <x:v>Property lender / private-money inquiry</x:v>
      </x:c>
      <x:c r="F2276" s="17" t="str">
        <x:v>New</x:v>
      </x:c>
      <x:c r="G2276" s="24" t="str">
        <x:v>cmestler@helveticagroup.com</x:v>
      </x:c>
      <x:c r="H2276" s="24" t="str">
        <x:v>+17606075400</x:v>
      </x:c>
      <x:c r="I2276" s="24" t="str">
        <x:v>http://helveticagroup.com/</x:v>
      </x:c>
      <x:c r="J2276" s="16" t="str">
        <x:v>CA</x:v>
      </x:c>
      <x:c r="K2276" s="16" t="str">
        <x:v>Carlsbad</x:v>
      </x:c>
      <x:c r="L2276" s="16" t="str">
        <x:v>firm_business_routing</x:v>
      </x:c>
      <x:c r="M2276" s="16" t="str">
        <x:v>http://helveticagroup.com/</x:v>
      </x:c>
      <x:c r="N2276" s="16" t="str">
        <x:v>Published source range; proposed allocation and structure require confirmation</x:v>
      </x:c>
      <x:c r="O2276" s="20"/>
      <x:c r="P2276" s="20" t="n">
        <x:v>10000000</x:v>
      </x:c>
      <x:c r="Q2276" s="25" t="str">
        <x:v>Property-loan range, not a corporate-capital commitment</x:v>
      </x:c>
      <x:c r="R2276" s="25" t="str">
        <x:v>Private real-estate finance experience. Corporate working capital, minority equity or profit participation requires a separate agreement from a property loan.</x:v>
      </x:c>
      <x:c r="S2276" s="25"/>
      <x:c r="T2276" s="25" t="str">
        <x:v>Confirm direct principal versus broker, $100K-$500K appetite, and whether capital can fund the operating company without a property mortgage.</x:v>
      </x:c>
      <x:c r="U2276" s="25" t="str">
        <x:v>https://www.hardmoneyhome.com/lenders/view/helvetica-funding-group
https://privatelenderlink.com/profile/helvetica-group/
https://www.privatelendersdirectory.com/united-states/carlsbad/top-level-category/helvetica-group
https://helveticagroup.com/</x:v>
      </x:c>
      <x:c r="V2276" s="26" t="d">
        <x:v>2026-10-02T00:00:00.000Z</x:v>
      </x:c>
      <x:c r="W2276" s="26" t="d">
        <x:v>2026-09-30T00:00:00.000Z</x:v>
      </x:c>
      <x:c r="X2276" s="25" t="str">
        <x:v>Saved public company, industry-directory or regulatory source; source date retained</x:v>
      </x:c>
      <x:c r="Y2276" s="25" t="str">
        <x:v>https://privatelenderlink.com/profile/helvetica-group/</x:v>
      </x:c>
      <x:c r="Z2276" s="25" t="str">
        <x:v>https://www.hardmoneyhome.com/lenders/view/helvetica-funding-group</x:v>
      </x:c>
      <x:c r="AA2276" s="25" t="str">
        <x:v>[]</x:v>
      </x:c>
      <x:c r="AB2276" s="3" t="str">
        <x:v>Existing CapitalForge research, newly screened for this campaign</x:v>
      </x:c>
      <x:c r="AC2276" s="3" t="str">
        <x:v>unverified</x:v>
      </x:c>
      <x:c r="AD2276" s="3" t="str">
        <x:v>Not contacted / unconfirmed</x:v>
      </x:c>
      <x:c r="AE2276" s="3" t="str">
        <x:v>No</x:v>
      </x:c>
      <x:c r="AF2276" s="3" t="str">
        <x:v>No</x:v>
      </x:c>
      <x:c r="AG2276" s="3"/>
      <x:c r="AH2276" s="3"/>
      <x:c r="AI2276" s="18"/>
      <x:c r="AJ2276" s="3" t="str">
        <x:v>CF2500-878C9FF2F064</x:v>
      </x:c>
      <x:c r="AK2276" s="3" t="str">
        <x:v>private_real_estate_lender</x:v>
      </x:c>
      <x:c r="AL2276" s="19" t="n">
        <x:v>100000</x:v>
      </x:c>
      <x:c r="AM2276" s="19" t="n">
        <x:v>500000</x:v>
      </x:c>
      <x:c r="AN2276" s="3" t="str">
        <x:v>https://www.hardmoneyhome.com/lenders/view/helvetica-funding-group</x:v>
      </x:c>
      <x:c r="AO2276" s="3" t="str">
        <x:v>public_directory.jsonl</x:v>
      </x:c>
      <x:c r="AP2276" s="19"/>
    </x:row>
    <x:row r="2277" ht="36" customHeight="1">
      <x:c r="A2277" s="23" t="n">
        <x:v>2276</x:v>
      </x:c>
      <x:c r="B2277" s="15" t="str">
        <x:v>HML Investments</x:v>
      </x:c>
      <x:c r="C2277" s="15"/>
      <x:c r="D2277" s="15" t="str">
        <x:v>Property lender or directory member; operating-company capital unconfirmed</x:v>
      </x:c>
      <x:c r="E2277" s="15" t="str">
        <x:v>Property lender / private-money inquiry</x:v>
      </x:c>
      <x:c r="F2277" s="17" t="str">
        <x:v>New</x:v>
      </x:c>
      <x:c r="G2277" s="24" t="str">
        <x:v>info@hmlinvestments.com</x:v>
      </x:c>
      <x:c r="H2277" s="24" t="str">
        <x:v>+18183084443</x:v>
      </x:c>
      <x:c r="I2277" s="24" t="str">
        <x:v>https://www.hmlinvestments.com</x:v>
      </x:c>
      <x:c r="J2277" s="16" t="str">
        <x:v>CA</x:v>
      </x:c>
      <x:c r="K2277" s="16" t="str">
        <x:v>Los Angeles</x:v>
      </x:c>
      <x:c r="L2277" s="16" t="str">
        <x:v>firm_business_routing</x:v>
      </x:c>
      <x:c r="M2277" s="16" t="str">
        <x:v>https://www.hmlinvestments.com</x:v>
      </x:c>
      <x:c r="N2277" s="16" t="str">
        <x:v>Published source range; proposed allocation and structure require confirmation</x:v>
      </x:c>
      <x:c r="O2277" s="20"/>
      <x:c r="P2277" s="20" t="n">
        <x:v>10000000</x:v>
      </x:c>
      <x:c r="Q2277" s="25" t="str">
        <x:v>Property-loan range, not a corporate-capital commitment</x:v>
      </x:c>
      <x:c r="R2277" s="25" t="str">
        <x:v>Private real-estate finance experience. Corporate working capital, minority equity or profit participation requires a separate agreement from a property loan.</x:v>
      </x:c>
      <x:c r="S2277" s="25"/>
      <x:c r="T2277" s="25" t="str">
        <x:v>Confirm direct principal versus broker, $100K-$500K appetite, and whether capital can fund the operating company without a property mortgage.</x:v>
      </x:c>
      <x:c r="U2277" s="25" t="str">
        <x:v>https://www.hardmoneyhome.com/lenders/view/hml-investments
https://privatelenderlink.com/profile/hml-investments/
https://www.privatelendersdirectory.com/united-states/los-angeles/real-estate-investment-lending/hard-money-trust-deeds-specialists
https://www.privatelendersdirectory.com/united-states/los-angeles/top-level-category/hml-investments</x:v>
      </x:c>
      <x:c r="V2277" s="26" t="d">
        <x:v>2026-10-02T00:00:00.000Z</x:v>
      </x:c>
      <x:c r="W2277" s="26" t="d">
        <x:v>2026-09-30T00:00:00.000Z</x:v>
      </x:c>
      <x:c r="X2277" s="25" t="str">
        <x:v>Saved public company, industry-directory or regulatory source; source date retained</x:v>
      </x:c>
      <x:c r="Y2277" s="25" t="str">
        <x:v>https://privatelenderlink.com/profile/hml-investments/</x:v>
      </x:c>
      <x:c r="Z2277" s="25" t="str">
        <x:v>https://www.hardmoneyhome.com/lenders/view/hml-investments</x:v>
      </x:c>
      <x:c r="AA2277" s="25" t="str">
        <x:v>[]</x:v>
      </x:c>
      <x:c r="AB2277" s="3" t="str">
        <x:v>Existing CapitalForge research, newly screened for this campaign</x:v>
      </x:c>
      <x:c r="AC2277" s="3" t="str">
        <x:v>unverified</x:v>
      </x:c>
      <x:c r="AD2277" s="3" t="str">
        <x:v>Not contacted / unconfirmed</x:v>
      </x:c>
      <x:c r="AE2277" s="3" t="str">
        <x:v>No</x:v>
      </x:c>
      <x:c r="AF2277" s="3" t="str">
        <x:v>No</x:v>
      </x:c>
      <x:c r="AG2277" s="3"/>
      <x:c r="AH2277" s="3"/>
      <x:c r="AI2277" s="18"/>
      <x:c r="AJ2277" s="3" t="str">
        <x:v>CF2500-830CC69C0DE7</x:v>
      </x:c>
      <x:c r="AK2277" s="3" t="str">
        <x:v>private_real_estate_lender</x:v>
      </x:c>
      <x:c r="AL2277" s="19" t="n">
        <x:v>100000</x:v>
      </x:c>
      <x:c r="AM2277" s="19" t="n">
        <x:v>500000</x:v>
      </x:c>
      <x:c r="AN2277" s="3" t="str">
        <x:v>https://www.hardmoneyhome.com/lenders/view/hml-investments</x:v>
      </x:c>
      <x:c r="AO2277" s="3" t="str">
        <x:v>public_directory.jsonl</x:v>
      </x:c>
      <x:c r="AP2277" s="19"/>
    </x:row>
    <x:row r="2278" ht="36" customHeight="1">
      <x:c r="A2278" s="23" t="n">
        <x:v>2277</x:v>
      </x:c>
      <x:c r="B2278" s="15" t="str">
        <x:v>Kiavi</x:v>
      </x:c>
      <x:c r="C2278" s="15"/>
      <x:c r="D2278" s="15" t="str">
        <x:v>Property lender or directory member; operating-company capital unconfirmed</x:v>
      </x:c>
      <x:c r="E2278" s="15" t="str">
        <x:v>Property lender / private-money inquiry</x:v>
      </x:c>
      <x:c r="F2278" s="17" t="str">
        <x:v>New</x:v>
      </x:c>
      <x:c r="G2278" s="24" t="str">
        <x:v>thirdpartyleads@kiavi.com</x:v>
      </x:c>
      <x:c r="H2278" s="24" t="str">
        <x:v>+18444154663</x:v>
      </x:c>
      <x:c r="I2278" s="24" t="str">
        <x:v>https://www.kiavi.com/hardmoneyhome?utm_source=hardmoneyhome&amp;utm_medium=content%20partner&amp;utm_campaign=Hard-Money-Home_EG_CP_Website-Referral_Mix&amp;m_mdm=content%20partner&amp;m_src=hardmoneyhome&amp;m_cpn=Hard</x:v>
      </x:c>
      <x:c r="J2278" s="16" t="str">
        <x:v>PA</x:v>
      </x:c>
      <x:c r="K2278" s="16" t="str">
        <x:v>Pittsburgh</x:v>
      </x:c>
      <x:c r="L2278" s="16" t="str">
        <x:v>firm_business_routing</x:v>
      </x:c>
      <x:c r="M2278" s="16" t="str">
        <x:v>https://www.kiavi.com/hardmoneyhome?utm_source=hardmoneyhome&amp;utm_medium=content%20partner&amp;utm_campaign=Hard-Money-Home_EG_CP_Website-Referral_Mix&amp;m_mdm=content%20partner&amp;m_src=hardmoneyhome&amp;m_cpn=Hard</x:v>
      </x:c>
      <x:c r="N2278" s="16" t="str">
        <x:v>Published source range; proposed allocation and structure require confirmation</x:v>
      </x:c>
      <x:c r="O2278" s="20"/>
      <x:c r="P2278" s="20" t="n">
        <x:v>3000000</x:v>
      </x:c>
      <x:c r="Q2278" s="25" t="str">
        <x:v>Property-loan range, not a corporate-capital commitment</x:v>
      </x:c>
      <x:c r="R2278" s="25" t="str">
        <x:v>Private real-estate finance experience. Corporate working capital, minority equity or profit participation requires a separate agreement from a property loan.</x:v>
      </x:c>
      <x:c r="S2278" s="25"/>
      <x:c r="T2278" s="25" t="str">
        <x:v>Confirm direct principal versus broker, $100K-$500K appetite, and whether capital can fund the operating company without a property mortgage.</x:v>
      </x:c>
      <x:c r="U2278" s="25" t="str">
        <x:v>https://www.hardmoneyhome.com/lenders/view/lendinghome-corporation
https://privatelenderlink.com/profile/kiavi/</x:v>
      </x:c>
      <x:c r="V2278" s="26" t="d">
        <x:v>2026-10-02T00:00:00.000Z</x:v>
      </x:c>
      <x:c r="W2278" s="26" t="d">
        <x:v>2026-09-30T00:00:00.000Z</x:v>
      </x:c>
      <x:c r="X2278" s="25" t="str">
        <x:v>Saved public company, industry-directory or regulatory source; source date retained</x:v>
      </x:c>
      <x:c r="Y2278" s="25" t="str">
        <x:v>https://privatelenderlink.com/profile/kiavi/</x:v>
      </x:c>
      <x:c r="Z2278" s="25" t="str">
        <x:v>https://www.hardmoneyhome.com/lenders/view/lendinghome-corporation</x:v>
      </x:c>
      <x:c r="AA2278" s="25" t="str">
        <x:v>[]</x:v>
      </x:c>
      <x:c r="AB2278" s="3" t="str">
        <x:v>Existing CapitalForge research, newly screened for this campaign</x:v>
      </x:c>
      <x:c r="AC2278" s="3" t="str">
        <x:v>unverified</x:v>
      </x:c>
      <x:c r="AD2278" s="3" t="str">
        <x:v>Not contacted / unconfirmed</x:v>
      </x:c>
      <x:c r="AE2278" s="3" t="str">
        <x:v>No</x:v>
      </x:c>
      <x:c r="AF2278" s="3" t="str">
        <x:v>No</x:v>
      </x:c>
      <x:c r="AG2278" s="3"/>
      <x:c r="AH2278" s="3"/>
      <x:c r="AI2278" s="18"/>
      <x:c r="AJ2278" s="3" t="str">
        <x:v>CF2500-34A444938E92</x:v>
      </x:c>
      <x:c r="AK2278" s="3" t="str">
        <x:v>private_real_estate_lender</x:v>
      </x:c>
      <x:c r="AL2278" s="19" t="n">
        <x:v>100000</x:v>
      </x:c>
      <x:c r="AM2278" s="19" t="n">
        <x:v>500000</x:v>
      </x:c>
      <x:c r="AN2278" s="3" t="str">
        <x:v>https://www.hardmoneyhome.com/lenders/view/lendinghome-corporation</x:v>
      </x:c>
      <x:c r="AO2278" s="3" t="str">
        <x:v>public_directory.jsonl</x:v>
      </x:c>
      <x:c r="AP2278" s="19"/>
    </x:row>
    <x:row r="2279" ht="36" customHeight="1">
      <x:c r="A2279" s="23" t="n">
        <x:v>2278</x:v>
      </x:c>
      <x:c r="B2279" s="15" t="str">
        <x:v>Lantzman Lending</x:v>
      </x:c>
      <x:c r="C2279" s="15"/>
      <x:c r="D2279" s="15" t="str">
        <x:v>Property lender or directory member; operating-company capital unconfirmed</x:v>
      </x:c>
      <x:c r="E2279" s="15" t="str">
        <x:v>Property lender / private-money inquiry</x:v>
      </x:c>
      <x:c r="F2279" s="17" t="str">
        <x:v>New</x:v>
      </x:c>
      <x:c r="G2279" s="24" t="str">
        <x:v>joel@lantzmanlending.com</x:v>
      </x:c>
      <x:c r="H2279" s="24" t="str">
        <x:v>+18587200229</x:v>
      </x:c>
      <x:c r="I2279" s="24" t="str">
        <x:v>http://www.lantzmanlending.com/</x:v>
      </x:c>
      <x:c r="J2279" s="16" t="str">
        <x:v>CA</x:v>
      </x:c>
      <x:c r="K2279" s="16" t="str">
        <x:v>San Diego</x:v>
      </x:c>
      <x:c r="L2279" s="16" t="str">
        <x:v>firm_business_routing</x:v>
      </x:c>
      <x:c r="M2279" s="16" t="str">
        <x:v>http://www.lantzmanlending.com/</x:v>
      </x:c>
      <x:c r="N2279" s="16" t="str">
        <x:v>Published source range; proposed allocation and structure require confirmation</x:v>
      </x:c>
      <x:c r="O2279" s="20"/>
      <x:c r="P2279" s="20" t="n">
        <x:v>3000000</x:v>
      </x:c>
      <x:c r="Q2279" s="25" t="str">
        <x:v>Property-loan range, not a corporate-capital commitment</x:v>
      </x:c>
      <x:c r="R2279" s="25" t="str">
        <x:v>Private real-estate finance experience. Corporate working capital, minority equity or profit participation requires a separate agreement from a property loan.</x:v>
      </x:c>
      <x:c r="S2279" s="25"/>
      <x:c r="T2279" s="25" t="str">
        <x:v>Confirm direct principal versus broker, $100K-$500K appetite, and whether capital can fund the operating company without a property mortgage.</x:v>
      </x:c>
      <x:c r="U2279" s="25" t="str">
        <x:v>https://www.hardmoneyhome.com/lenders/view/lantzman-lending
https://privatelenderlink.com/profile/lantzman-lending/</x:v>
      </x:c>
      <x:c r="V2279" s="26" t="d">
        <x:v>2026-10-02T00:00:00.000Z</x:v>
      </x:c>
      <x:c r="W2279" s="26" t="d">
        <x:v>2026-09-30T00:00:00.000Z</x:v>
      </x:c>
      <x:c r="X2279" s="25" t="str">
        <x:v>Saved public company, industry-directory or regulatory source; source date retained</x:v>
      </x:c>
      <x:c r="Y2279" s="25" t="str">
        <x:v>https://privatelenderlink.com/profile/lantzman-lending/</x:v>
      </x:c>
      <x:c r="Z2279" s="25" t="str">
        <x:v>https://www.hardmoneyhome.com/lenders/view/lantzman-lending</x:v>
      </x:c>
      <x:c r="AA2279" s="25" t="str">
        <x:v>[]</x:v>
      </x:c>
      <x:c r="AB2279" s="3" t="str">
        <x:v>Existing CapitalForge research, newly screened for this campaign</x:v>
      </x:c>
      <x:c r="AC2279" s="3" t="str">
        <x:v>unverified</x:v>
      </x:c>
      <x:c r="AD2279" s="3" t="str">
        <x:v>Not contacted / unconfirmed</x:v>
      </x:c>
      <x:c r="AE2279" s="3" t="str">
        <x:v>No</x:v>
      </x:c>
      <x:c r="AF2279" s="3" t="str">
        <x:v>No</x:v>
      </x:c>
      <x:c r="AG2279" s="3"/>
      <x:c r="AH2279" s="3"/>
      <x:c r="AI2279" s="18"/>
      <x:c r="AJ2279" s="3" t="str">
        <x:v>CF2500-34BC8B084B4F</x:v>
      </x:c>
      <x:c r="AK2279" s="3" t="str">
        <x:v>private_real_estate_lender</x:v>
      </x:c>
      <x:c r="AL2279" s="19" t="n">
        <x:v>100000</x:v>
      </x:c>
      <x:c r="AM2279" s="19" t="n">
        <x:v>500000</x:v>
      </x:c>
      <x:c r="AN2279" s="3" t="str">
        <x:v>https://www.hardmoneyhome.com/lenders/view/lantzman-lending</x:v>
      </x:c>
      <x:c r="AO2279" s="3" t="str">
        <x:v>public_directory.jsonl</x:v>
      </x:c>
      <x:c r="AP2279" s="19"/>
    </x:row>
    <x:row r="2280" ht="36" customHeight="1">
      <x:c r="A2280" s="23" t="n">
        <x:v>2279</x:v>
      </x:c>
      <x:c r="B2280" s="15" t="str">
        <x:v>LBC Capital</x:v>
      </x:c>
      <x:c r="C2280" s="15"/>
      <x:c r="D2280" s="15" t="str">
        <x:v>Property lender or directory member; operating-company capital unconfirmed</x:v>
      </x:c>
      <x:c r="E2280" s="15" t="str">
        <x:v>Property lender / private-money inquiry</x:v>
      </x:c>
      <x:c r="F2280" s="17" t="str">
        <x:v>New</x:v>
      </x:c>
      <x:c r="G2280" s="24" t="str">
        <x:v>submit@lbccapital.com</x:v>
      </x:c>
      <x:c r="H2280" s="24" t="str">
        <x:v>+18187617234</x:v>
      </x:c>
      <x:c r="I2280" s="24" t="str">
        <x:v>http://lbccapital.com/</x:v>
      </x:c>
      <x:c r="J2280" s="16" t="str">
        <x:v>CA</x:v>
      </x:c>
      <x:c r="K2280" s="16" t="str">
        <x:v>North Hollywood</x:v>
      </x:c>
      <x:c r="L2280" s="16" t="str">
        <x:v>firm_business_routing</x:v>
      </x:c>
      <x:c r="M2280" s="16" t="str">
        <x:v>http://lbccapital.com/</x:v>
      </x:c>
      <x:c r="N2280" s="16" t="str">
        <x:v>Published source range; proposed allocation and structure require confirmation</x:v>
      </x:c>
      <x:c r="O2280" s="20"/>
      <x:c r="P2280" s="20" t="n">
        <x:v>5000000</x:v>
      </x:c>
      <x:c r="Q2280" s="25" t="str">
        <x:v>Property-loan range, not a corporate-capital commitment</x:v>
      </x:c>
      <x:c r="R2280" s="25" t="str">
        <x:v>Private real-estate finance experience. Corporate working capital, minority equity or profit participation requires a separate agreement from a property loan.</x:v>
      </x:c>
      <x:c r="S2280" s="25"/>
      <x:c r="T2280" s="25" t="str">
        <x:v>Confirm direct principal versus broker, $100K-$500K appetite, and whether capital can fund the operating company without a property mortgage.</x:v>
      </x:c>
      <x:c r="U2280" s="25" t="str">
        <x:v>https://www.hardmoneyhome.com/lenders/view/lbc-capital
https://lbccapital.com/</x:v>
      </x:c>
      <x:c r="V2280" s="26" t="d">
        <x:v>2026-10-02T00:00:00.000Z</x:v>
      </x:c>
      <x:c r="W2280" s="26" t="d">
        <x:v>2026-09-30T00:00:00.000Z</x:v>
      </x:c>
      <x:c r="X2280" s="25" t="str">
        <x:v>Saved public company, industry-directory or regulatory source; source date retained</x:v>
      </x:c>
      <x:c r="Y2280" s="25" t="str">
        <x:v>https://lbccapital.com/</x:v>
      </x:c>
      <x:c r="Z2280" s="25" t="str">
        <x:v>https://www.hardmoneyhome.com/lenders/view/lbc-capital</x:v>
      </x:c>
      <x:c r="AA2280" s="25" t="str">
        <x:v>[]</x:v>
      </x:c>
      <x:c r="AB2280" s="3" t="str">
        <x:v>Existing CapitalForge research, newly screened for this campaign</x:v>
      </x:c>
      <x:c r="AC2280" s="3" t="str">
        <x:v>unverified</x:v>
      </x:c>
      <x:c r="AD2280" s="3" t="str">
        <x:v>Not contacted / unconfirmed</x:v>
      </x:c>
      <x:c r="AE2280" s="3" t="str">
        <x:v>No</x:v>
      </x:c>
      <x:c r="AF2280" s="3" t="str">
        <x:v>No</x:v>
      </x:c>
      <x:c r="AG2280" s="3"/>
      <x:c r="AH2280" s="3"/>
      <x:c r="AI2280" s="18"/>
      <x:c r="AJ2280" s="3" t="str">
        <x:v>CF2500-E66599B905BA</x:v>
      </x:c>
      <x:c r="AK2280" s="3" t="str">
        <x:v>private_real_estate_lender</x:v>
      </x:c>
      <x:c r="AL2280" s="19" t="n">
        <x:v>100000</x:v>
      </x:c>
      <x:c r="AM2280" s="19" t="n">
        <x:v>500000</x:v>
      </x:c>
      <x:c r="AN2280" s="3" t="str">
        <x:v>https://www.hardmoneyhome.com/lenders/view/lbc-capital</x:v>
      </x:c>
      <x:c r="AO2280" s="3" t="str">
        <x:v>public_directory.jsonl</x:v>
      </x:c>
      <x:c r="AP2280" s="19"/>
    </x:row>
    <x:row r="2281" ht="36" customHeight="1">
      <x:c r="A2281" s="23" t="n">
        <x:v>2280</x:v>
      </x:c>
      <x:c r="B2281" s="15" t="str">
        <x:v>M&amp;M Real Estate Holdings</x:v>
      </x:c>
      <x:c r="C2281" s="15"/>
      <x:c r="D2281" s="15" t="str">
        <x:v>Property lender or directory member; operating-company capital unconfirmed</x:v>
      </x:c>
      <x:c r="E2281" s="15" t="str">
        <x:v>Property lender / private-money inquiry</x:v>
      </x:c>
      <x:c r="F2281" s="17" t="str">
        <x:v>New</x:v>
      </x:c>
      <x:c r="G2281" s="24" t="str">
        <x:v>chris@mmreholdings.com</x:v>
      </x:c>
      <x:c r="H2281" s="24" t="str">
        <x:v>+14123368069</x:v>
      </x:c>
      <x:c r="I2281" s="24" t="str">
        <x:v>http://www.mmreholdings.com/</x:v>
      </x:c>
      <x:c r="J2281" s="16" t="str">
        <x:v>PA</x:v>
      </x:c>
      <x:c r="K2281" s="16" t="str">
        <x:v>Pittsburgh</x:v>
      </x:c>
      <x:c r="L2281" s="16" t="str">
        <x:v>firm_business_routing</x:v>
      </x:c>
      <x:c r="M2281" s="16" t="str">
        <x:v>http://www.mmreholdings.com/</x:v>
      </x:c>
      <x:c r="N2281" s="16" t="str">
        <x:v>Published source range; proposed allocation and structure require confirmation</x:v>
      </x:c>
      <x:c r="O2281" s="20"/>
      <x:c r="P2281" s="20" t="n">
        <x:v>500000</x:v>
      </x:c>
      <x:c r="Q2281" s="25" t="str">
        <x:v>Property-loan range, not a corporate-capital commitment</x:v>
      </x:c>
      <x:c r="R2281" s="25" t="str">
        <x:v>Private real-estate finance experience. Corporate working capital, minority equity or profit participation requires a separate agreement from a property loan.</x:v>
      </x:c>
      <x:c r="S2281" s="25"/>
      <x:c r="T2281" s="25" t="str">
        <x:v>Confirm direct principal versus broker, $100K-$500K appetite, and whether capital can fund the operating company without a property mortgage.</x:v>
      </x:c>
      <x:c r="U2281" s="25" t="str">
        <x:v>https://www.hardmoneyhome.com/lenders/view/mandm-real-estate-holdings
https://privatelenderlink.com/profile/mm-re-holdings-llc/</x:v>
      </x:c>
      <x:c r="V2281" s="26" t="d">
        <x:v>2026-10-02T00:00:00.000Z</x:v>
      </x:c>
      <x:c r="W2281" s="26" t="d">
        <x:v>2026-09-30T00:00:00.000Z</x:v>
      </x:c>
      <x:c r="X2281" s="25" t="str">
        <x:v>Saved public company, industry-directory or regulatory source; source date retained</x:v>
      </x:c>
      <x:c r="Y2281" s="25" t="str">
        <x:v>https://privatelenderlink.com/profile/mm-re-holdings-llc/</x:v>
      </x:c>
      <x:c r="Z2281" s="25" t="str">
        <x:v>https://www.hardmoneyhome.com/lenders/view/mandm-real-estate-holdings</x:v>
      </x:c>
      <x:c r="AA2281" s="25" t="str">
        <x:v>[]</x:v>
      </x:c>
      <x:c r="AB2281" s="3" t="str">
        <x:v>Existing CapitalForge research, newly screened for this campaign</x:v>
      </x:c>
      <x:c r="AC2281" s="3" t="str">
        <x:v>unverified</x:v>
      </x:c>
      <x:c r="AD2281" s="3" t="str">
        <x:v>Not contacted / unconfirmed</x:v>
      </x:c>
      <x:c r="AE2281" s="3" t="str">
        <x:v>No</x:v>
      </x:c>
      <x:c r="AF2281" s="3" t="str">
        <x:v>No</x:v>
      </x:c>
      <x:c r="AG2281" s="3"/>
      <x:c r="AH2281" s="3"/>
      <x:c r="AI2281" s="18"/>
      <x:c r="AJ2281" s="3" t="str">
        <x:v>CF2500-D5E542F198D9</x:v>
      </x:c>
      <x:c r="AK2281" s="3" t="str">
        <x:v>private_real_estate_lender</x:v>
      </x:c>
      <x:c r="AL2281" s="19" t="n">
        <x:v>100000</x:v>
      </x:c>
      <x:c r="AM2281" s="19" t="n">
        <x:v>500000</x:v>
      </x:c>
      <x:c r="AN2281" s="3" t="str">
        <x:v>https://www.hardmoneyhome.com/lenders/view/mandm-real-estate-holdings</x:v>
      </x:c>
      <x:c r="AO2281" s="3" t="str">
        <x:v>public_directory.jsonl</x:v>
      </x:c>
      <x:c r="AP2281" s="19"/>
    </x:row>
    <x:row r="2282" ht="36" customHeight="1">
      <x:c r="A2282" s="23" t="n">
        <x:v>2281</x:v>
      </x:c>
      <x:c r="B2282" s="15" t="str">
        <x:v>Macoy Capital</x:v>
      </x:c>
      <x:c r="C2282" s="15"/>
      <x:c r="D2282" s="15" t="str">
        <x:v>Property lender or directory member; operating-company capital unconfirmed</x:v>
      </x:c>
      <x:c r="E2282" s="15" t="str">
        <x:v>Property lender / private-money inquiry</x:v>
      </x:c>
      <x:c r="F2282" s="17" t="str">
        <x:v>New</x:v>
      </x:c>
      <x:c r="G2282" s="24" t="str">
        <x:v>info@macoycapital.com</x:v>
      </x:c>
      <x:c r="H2282" s="24" t="str">
        <x:v>+13109436366</x:v>
      </x:c>
      <x:c r="I2282" s="24" t="str">
        <x:v>http://www.macoycapital.com/</x:v>
      </x:c>
      <x:c r="J2282" s="16" t="str">
        <x:v>CA</x:v>
      </x:c>
      <x:c r="K2282" s="16" t="str">
        <x:v>Beverly Hills</x:v>
      </x:c>
      <x:c r="L2282" s="16" t="str">
        <x:v>firm_business_routing</x:v>
      </x:c>
      <x:c r="M2282" s="16" t="str">
        <x:v>http://www.macoycapital.com/</x:v>
      </x:c>
      <x:c r="N2282" s="16" t="str">
        <x:v>Published source range; proposed allocation and structure require confirmation</x:v>
      </x:c>
      <x:c r="O2282" s="20"/>
      <x:c r="P2282" s="20" t="n">
        <x:v>10000000</x:v>
      </x:c>
      <x:c r="Q2282" s="25" t="str">
        <x:v>Property-loan range, not a corporate-capital commitment</x:v>
      </x:c>
      <x:c r="R2282" s="25" t="str">
        <x:v>Private real-estate finance experience. Corporate working capital, minority equity or profit participation requires a separate agreement from a property loan.</x:v>
      </x:c>
      <x:c r="S2282" s="25"/>
      <x:c r="T2282" s="25" t="str">
        <x:v>Confirm direct principal versus broker, $100K-$500K appetite, and whether capital can fund the operating company without a property mortgage.</x:v>
      </x:c>
      <x:c r="U2282" s="25" t="str">
        <x:v>https://www.hardmoneyhome.com/lenders/view/macoy-capital
https://www.macoycapital.com/</x:v>
      </x:c>
      <x:c r="V2282" s="26" t="d">
        <x:v>2026-10-02T00:00:00.000Z</x:v>
      </x:c>
      <x:c r="W2282" s="26" t="d">
        <x:v>2026-09-30T00:00:00.000Z</x:v>
      </x:c>
      <x:c r="X2282" s="25" t="str">
        <x:v>Saved public company, industry-directory or regulatory source; source date retained</x:v>
      </x:c>
      <x:c r="Y2282" s="25" t="str">
        <x:v>https://www.macoycapital.com/</x:v>
      </x:c>
      <x:c r="Z2282" s="25" t="str">
        <x:v>https://www.hardmoneyhome.com/lenders/view/macoy-capital</x:v>
      </x:c>
      <x:c r="AA2282" s="25" t="str">
        <x:v>[]</x:v>
      </x:c>
      <x:c r="AB2282" s="3" t="str">
        <x:v>Existing CapitalForge research, newly screened for this campaign</x:v>
      </x:c>
      <x:c r="AC2282" s="3" t="str">
        <x:v>unverified</x:v>
      </x:c>
      <x:c r="AD2282" s="3" t="str">
        <x:v>Not contacted / unconfirmed</x:v>
      </x:c>
      <x:c r="AE2282" s="3" t="str">
        <x:v>No</x:v>
      </x:c>
      <x:c r="AF2282" s="3" t="str">
        <x:v>No</x:v>
      </x:c>
      <x:c r="AG2282" s="3"/>
      <x:c r="AH2282" s="3"/>
      <x:c r="AI2282" s="18"/>
      <x:c r="AJ2282" s="3" t="str">
        <x:v>CF2500-284FF7C54916</x:v>
      </x:c>
      <x:c r="AK2282" s="3" t="str">
        <x:v>private_real_estate_lender</x:v>
      </x:c>
      <x:c r="AL2282" s="19" t="n">
        <x:v>100000</x:v>
      </x:c>
      <x:c r="AM2282" s="19" t="n">
        <x:v>500000</x:v>
      </x:c>
      <x:c r="AN2282" s="3" t="str">
        <x:v>https://www.hardmoneyhome.com/lenders/view/macoy-capital</x:v>
      </x:c>
      <x:c r="AO2282" s="3" t="str">
        <x:v>public_directory.jsonl</x:v>
      </x:c>
      <x:c r="AP2282" s="19"/>
    </x:row>
    <x:row r="2283" ht="36" customHeight="1">
      <x:c r="A2283" s="23" t="n">
        <x:v>2282</x:v>
      </x:c>
      <x:c r="B2283" s="15" t="str">
        <x:v>Malve Capital</x:v>
      </x:c>
      <x:c r="C2283" s="15"/>
      <x:c r="D2283" s="15" t="str">
        <x:v>Property lender or directory member; operating-company capital unconfirmed</x:v>
      </x:c>
      <x:c r="E2283" s="15" t="str">
        <x:v>Property lender / private-money inquiry</x:v>
      </x:c>
      <x:c r="F2283" s="17" t="str">
        <x:v>New</x:v>
      </x:c>
      <x:c r="G2283" s="24" t="str">
        <x:v>privatelenderlinkinq@malvecapital.com</x:v>
      </x:c>
      <x:c r="H2283" s="24" t="str">
        <x:v>+18664276035</x:v>
      </x:c>
      <x:c r="I2283" s="24" t="str">
        <x:v>https://malvecapital.com?utm_source=hardmoneyhome&amp;utm_medium=profile_listing&amp;utm_campaign=link</x:v>
      </x:c>
      <x:c r="J2283" s="16" t="str">
        <x:v>NY</x:v>
      </x:c>
      <x:c r="K2283" s="16" t="str">
        <x:v>Port Washington</x:v>
      </x:c>
      <x:c r="L2283" s="16" t="str">
        <x:v>firm_business_routing</x:v>
      </x:c>
      <x:c r="M2283" s="16" t="str">
        <x:v>https://malvecapital.com?utm_source=hardmoneyhome&amp;utm_medium=profile_listing&amp;utm_campaign=link</x:v>
      </x:c>
      <x:c r="N2283" s="16" t="str">
        <x:v>Published source range; proposed allocation and structure require confirmation</x:v>
      </x:c>
      <x:c r="O2283" s="20"/>
      <x:c r="P2283" s="20" t="n">
        <x:v>10000000</x:v>
      </x:c>
      <x:c r="Q2283" s="25" t="str">
        <x:v>Property-loan range, not a corporate-capital commitment</x:v>
      </x:c>
      <x:c r="R2283" s="25" t="str">
        <x:v>Private real-estate finance experience. Corporate working capital, minority equity or profit participation requires a separate agreement from a property loan.</x:v>
      </x:c>
      <x:c r="S2283" s="25"/>
      <x:c r="T2283" s="25" t="str">
        <x:v>Confirm direct principal versus broker, $100K-$500K appetite, and whether capital can fund the operating company without a property mortgage.</x:v>
      </x:c>
      <x:c r="U2283" s="25" t="str">
        <x:v>https://www.hardmoneyhome.com/lenders/view/malve-capital
https://privatelenderlink.com/profile/malve-capital-llc/
https://nplaconference.com/private-lending-directory/page/10/
https://malvecapital.com/contact/</x:v>
      </x:c>
      <x:c r="V2283" s="26" t="d">
        <x:v>2026-10-02T00:00:00.000Z</x:v>
      </x:c>
      <x:c r="W2283" s="26" t="d">
        <x:v>2026-09-30T00:00:00.000Z</x:v>
      </x:c>
      <x:c r="X2283" s="25" t="str">
        <x:v>Saved public company, industry-directory or regulatory source; source date retained</x:v>
      </x:c>
      <x:c r="Y2283" s="25" t="str">
        <x:v>https://privatelenderlink.com/profile/malve-capital-llc/</x:v>
      </x:c>
      <x:c r="Z2283" s="25" t="str">
        <x:v>https://www.hardmoneyhome.com/lenders/view/malve-capital</x:v>
      </x:c>
      <x:c r="AA2283" s="25" t="str">
        <x:v>[]</x:v>
      </x:c>
      <x:c r="AB2283" s="3" t="str">
        <x:v>Existing CapitalForge research, newly screened for this campaign</x:v>
      </x:c>
      <x:c r="AC2283" s="3" t="str">
        <x:v>unverified</x:v>
      </x:c>
      <x:c r="AD2283" s="3" t="str">
        <x:v>Not contacted / unconfirmed</x:v>
      </x:c>
      <x:c r="AE2283" s="3" t="str">
        <x:v>No</x:v>
      </x:c>
      <x:c r="AF2283" s="3" t="str">
        <x:v>No</x:v>
      </x:c>
      <x:c r="AG2283" s="3"/>
      <x:c r="AH2283" s="3"/>
      <x:c r="AI2283" s="18"/>
      <x:c r="AJ2283" s="3" t="str">
        <x:v>CF2500-A204A4C68F19</x:v>
      </x:c>
      <x:c r="AK2283" s="3" t="str">
        <x:v>private_real_estate_lender</x:v>
      </x:c>
      <x:c r="AL2283" s="19" t="n">
        <x:v>100000</x:v>
      </x:c>
      <x:c r="AM2283" s="19" t="n">
        <x:v>500000</x:v>
      </x:c>
      <x:c r="AN2283" s="3" t="str">
        <x:v>https://www.hardmoneyhome.com/lenders/view/malve-capital</x:v>
      </x:c>
      <x:c r="AO2283" s="3" t="str">
        <x:v>public_directory.jsonl</x:v>
      </x:c>
      <x:c r="AP2283" s="19"/>
    </x:row>
    <x:row r="2284" ht="36" customHeight="1">
      <x:c r="A2284" s="23" t="n">
        <x:v>2283</x:v>
      </x:c>
      <x:c r="B2284" s="15" t="str">
        <x:v>Manhattan Bridge Capital</x:v>
      </x:c>
      <x:c r="C2284" s="15"/>
      <x:c r="D2284" s="15" t="str">
        <x:v>Property lender or directory member; operating-company capital unconfirmed</x:v>
      </x:c>
      <x:c r="E2284" s="15" t="str">
        <x:v>Property lender / private-money inquiry</x:v>
      </x:c>
      <x:c r="F2284" s="17" t="str">
        <x:v>New</x:v>
      </x:c>
      <x:c r="G2284" s="24" t="str">
        <x:v>info@manhattanbridgecapital.com</x:v>
      </x:c>
      <x:c r="H2284" s="24" t="str">
        <x:v>+15164443400</x:v>
      </x:c>
      <x:c r="I2284" s="24" t="str">
        <x:v>http://manhattanbridgecapital.com/</x:v>
      </x:c>
      <x:c r="J2284" s="16" t="str">
        <x:v>NY</x:v>
      </x:c>
      <x:c r="K2284" s="16" t="str">
        <x:v>Great Neck</x:v>
      </x:c>
      <x:c r="L2284" s="16" t="str">
        <x:v>firm_business_routing</x:v>
      </x:c>
      <x:c r="M2284" s="16" t="str">
        <x:v>http://manhattanbridgecapital.com/</x:v>
      </x:c>
      <x:c r="N2284" s="16" t="str">
        <x:v>Published source range; proposed allocation and structure require confirmation</x:v>
      </x:c>
      <x:c r="O2284" s="20"/>
      <x:c r="P2284" s="20" t="n">
        <x:v>2000000</x:v>
      </x:c>
      <x:c r="Q2284" s="25" t="str">
        <x:v>Property-loan range, not a corporate-capital commitment</x:v>
      </x:c>
      <x:c r="R2284" s="25" t="str">
        <x:v>Private real-estate finance experience. Corporate working capital, minority equity or profit participation requires a separate agreement from a property loan.</x:v>
      </x:c>
      <x:c r="S2284" s="25"/>
      <x:c r="T2284" s="25" t="str">
        <x:v>Confirm direct principal versus broker, $100K-$500K appetite, and whether capital can fund the operating company without a property mortgage.</x:v>
      </x:c>
      <x:c r="U2284" s="25" t="str">
        <x:v>https://www.hardmoneyhome.com/lenders/view/manhattan-bridge-capital
https://privatelenderlink.com/profile/manhattan-bridge-capital-inc/</x:v>
      </x:c>
      <x:c r="V2284" s="26" t="d">
        <x:v>2026-10-02T00:00:00.000Z</x:v>
      </x:c>
      <x:c r="W2284" s="26" t="d">
        <x:v>2026-09-30T00:00:00.000Z</x:v>
      </x:c>
      <x:c r="X2284" s="25" t="str">
        <x:v>Saved public company, industry-directory or regulatory source; source date retained</x:v>
      </x:c>
      <x:c r="Y2284" s="25" t="str">
        <x:v>https://privatelenderlink.com/profile/manhattan-bridge-capital-inc/</x:v>
      </x:c>
      <x:c r="Z2284" s="25" t="str">
        <x:v>https://www.hardmoneyhome.com/lenders/view/manhattan-bridge-capital</x:v>
      </x:c>
      <x:c r="AA2284" s="25" t="str">
        <x:v>[]</x:v>
      </x:c>
      <x:c r="AB2284" s="3" t="str">
        <x:v>Existing CapitalForge research, newly screened for this campaign</x:v>
      </x:c>
      <x:c r="AC2284" s="3" t="str">
        <x:v>unverified</x:v>
      </x:c>
      <x:c r="AD2284" s="3" t="str">
        <x:v>Not contacted / unconfirmed</x:v>
      </x:c>
      <x:c r="AE2284" s="3" t="str">
        <x:v>No</x:v>
      </x:c>
      <x:c r="AF2284" s="3" t="str">
        <x:v>No</x:v>
      </x:c>
      <x:c r="AG2284" s="3"/>
      <x:c r="AH2284" s="3"/>
      <x:c r="AI2284" s="18"/>
      <x:c r="AJ2284" s="3" t="str">
        <x:v>CF2500-5D1E8B50BF4F</x:v>
      </x:c>
      <x:c r="AK2284" s="3" t="str">
        <x:v>private_real_estate_lender</x:v>
      </x:c>
      <x:c r="AL2284" s="19" t="n">
        <x:v>100000</x:v>
      </x:c>
      <x:c r="AM2284" s="19" t="n">
        <x:v>500000</x:v>
      </x:c>
      <x:c r="AN2284" s="3" t="str">
        <x:v>https://www.hardmoneyhome.com/lenders/view/manhattan-bridge-capital</x:v>
      </x:c>
      <x:c r="AO2284" s="3" t="str">
        <x:v>public_directory.jsonl</x:v>
      </x:c>
      <x:c r="AP2284" s="19"/>
    </x:row>
    <x:row r="2285" ht="36" customHeight="1">
      <x:c r="A2285" s="23" t="n">
        <x:v>2284</x:v>
      </x:c>
      <x:c r="B2285" s="15" t="str">
        <x:v>Marquee Funding Group</x:v>
      </x:c>
      <x:c r="C2285" s="15"/>
      <x:c r="D2285" s="15" t="str">
        <x:v>Property lender or directory member; operating-company capital unconfirmed</x:v>
      </x:c>
      <x:c r="E2285" s="15" t="str">
        <x:v>Property lender / private-money inquiry</x:v>
      </x:c>
      <x:c r="F2285" s="17" t="str">
        <x:v>New</x:v>
      </x:c>
      <x:c r="G2285" s="24" t="str">
        <x:v>sstein@marqueefg.com</x:v>
      </x:c>
      <x:c r="H2285" s="24" t="str">
        <x:v>+18182225222</x:v>
      </x:c>
      <x:c r="I2285" s="24" t="str">
        <x:v>http://www.marqueefundinggroup.com/</x:v>
      </x:c>
      <x:c r="J2285" s="16" t="str">
        <x:v>CA</x:v>
      </x:c>
      <x:c r="K2285" s="16" t="str">
        <x:v>Calabasas</x:v>
      </x:c>
      <x:c r="L2285" s="16" t="str">
        <x:v>firm_business_routing</x:v>
      </x:c>
      <x:c r="M2285" s="16" t="str">
        <x:v>http://www.marqueefundinggroup.com/</x:v>
      </x:c>
      <x:c r="N2285" s="16" t="str">
        <x:v>Published source range; proposed allocation and structure require confirmation</x:v>
      </x:c>
      <x:c r="O2285" s="20"/>
      <x:c r="P2285" s="20" t="n">
        <x:v>10000000</x:v>
      </x:c>
      <x:c r="Q2285" s="25" t="str">
        <x:v>Property-loan range, not a corporate-capital commitment</x:v>
      </x:c>
      <x:c r="R2285" s="25" t="str">
        <x:v>Private real-estate finance experience. Corporate working capital, minority equity or profit participation requires a separate agreement from a property loan.</x:v>
      </x:c>
      <x:c r="S2285" s="25"/>
      <x:c r="T2285" s="25" t="str">
        <x:v>Confirm direct principal versus broker, $100K-$500K appetite, and whether capital can fund the operating company without a property mortgage.</x:v>
      </x:c>
      <x:c r="U2285" s="25" t="str">
        <x:v>https://www.hardmoneyhome.com/lenders/view/marquee-funding-group
https://privatelenderlink.com/profile/marquee-funding-group/</x:v>
      </x:c>
      <x:c r="V2285" s="26" t="d">
        <x:v>2026-10-02T00:00:00.000Z</x:v>
      </x:c>
      <x:c r="W2285" s="26" t="d">
        <x:v>2026-09-30T00:00:00.000Z</x:v>
      </x:c>
      <x:c r="X2285" s="25" t="str">
        <x:v>Saved public company, industry-directory or regulatory source; source date retained</x:v>
      </x:c>
      <x:c r="Y2285" s="25" t="str">
        <x:v>https://privatelenderlink.com/profile/marquee-funding-group/</x:v>
      </x:c>
      <x:c r="Z2285" s="25" t="str">
        <x:v>https://www.hardmoneyhome.com/lenders/view/marquee-funding-group</x:v>
      </x:c>
      <x:c r="AA2285" s="25" t="str">
        <x:v>[]</x:v>
      </x:c>
      <x:c r="AB2285" s="3" t="str">
        <x:v>Existing CapitalForge research, newly screened for this campaign</x:v>
      </x:c>
      <x:c r="AC2285" s="3" t="str">
        <x:v>unverified</x:v>
      </x:c>
      <x:c r="AD2285" s="3" t="str">
        <x:v>Not contacted / unconfirmed</x:v>
      </x:c>
      <x:c r="AE2285" s="3" t="str">
        <x:v>No</x:v>
      </x:c>
      <x:c r="AF2285" s="3" t="str">
        <x:v>No</x:v>
      </x:c>
      <x:c r="AG2285" s="3"/>
      <x:c r="AH2285" s="3"/>
      <x:c r="AI2285" s="18"/>
      <x:c r="AJ2285" s="3" t="str">
        <x:v>CF2500-11B85843012F</x:v>
      </x:c>
      <x:c r="AK2285" s="3" t="str">
        <x:v>private_real_estate_lender</x:v>
      </x:c>
      <x:c r="AL2285" s="19" t="n">
        <x:v>100000</x:v>
      </x:c>
      <x:c r="AM2285" s="19" t="n">
        <x:v>500000</x:v>
      </x:c>
      <x:c r="AN2285" s="3" t="str">
        <x:v>https://www.hardmoneyhome.com/lenders/view/marquee-funding-group</x:v>
      </x:c>
      <x:c r="AO2285" s="3" t="str">
        <x:v>public_directory.jsonl</x:v>
      </x:c>
      <x:c r="AP2285" s="19"/>
    </x:row>
    <x:row r="2286" ht="36" customHeight="1">
      <x:c r="A2286" s="23" t="n">
        <x:v>2285</x:v>
      </x:c>
      <x:c r="B2286" s="15" t="str">
        <x:v>Maryland Hard Money Lenders</x:v>
      </x:c>
      <x:c r="C2286" s="15"/>
      <x:c r="D2286" s="15" t="str">
        <x:v>Property lender or directory member; operating-company capital unconfirmed</x:v>
      </x:c>
      <x:c r="E2286" s="15" t="str">
        <x:v>Property lender / private-money inquiry</x:v>
      </x:c>
      <x:c r="F2286" s="17" t="str">
        <x:v>New</x:v>
      </x:c>
      <x:c r="G2286" s="24" t="str">
        <x:v>info@marylandrealestatelenders.com</x:v>
      </x:c>
      <x:c r="H2286" s="24" t="str">
        <x:v>+14437593644</x:v>
      </x:c>
      <x:c r="I2286" s="24" t="str">
        <x:v>https://www.marylandrealestatelenders.com/</x:v>
      </x:c>
      <x:c r="J2286" s="16" t="str">
        <x:v>MD</x:v>
      </x:c>
      <x:c r="K2286" s="16" t="str">
        <x:v>Baltimore</x:v>
      </x:c>
      <x:c r="L2286" s="16" t="str">
        <x:v>firm_business_routing</x:v>
      </x:c>
      <x:c r="M2286" s="16" t="str">
        <x:v>https://www.marylandrealestatelenders.com/</x:v>
      </x:c>
      <x:c r="N2286" s="16" t="str">
        <x:v>Published source range; proposed allocation and structure require confirmation</x:v>
      </x:c>
      <x:c r="O2286" s="20"/>
      <x:c r="P2286" s="20" t="n">
        <x:v>1000000</x:v>
      </x:c>
      <x:c r="Q2286" s="25" t="str">
        <x:v>Property-loan range, not a corporate-capital commitment</x:v>
      </x:c>
      <x:c r="R2286" s="25" t="str">
        <x:v>Private real-estate finance experience. Corporate working capital, minority equity or profit participation requires a separate agreement from a property loan.</x:v>
      </x:c>
      <x:c r="S2286" s="25"/>
      <x:c r="T2286" s="25" t="str">
        <x:v>Confirm direct principal versus broker, $100K-$500K appetite, and whether capital can fund the operating company without a property mortgage.</x:v>
      </x:c>
      <x:c r="U2286" s="25" t="str">
        <x:v>https://www.hardmoneyhome.com/lenders/view/Maryland-hard-money-lenders
https://privatelenderlink.com/profile/maryland-hard-money-lenders-llc-2/
https://nplaconference.com/private-lending-directory/page/10/
https://www.marylandrealestatelenders.com/</x:v>
      </x:c>
      <x:c r="V2286" s="26" t="d">
        <x:v>2026-10-02T00:00:00.000Z</x:v>
      </x:c>
      <x:c r="W2286" s="26" t="d">
        <x:v>2026-09-30T00:00:00.000Z</x:v>
      </x:c>
      <x:c r="X2286" s="25" t="str">
        <x:v>Saved public company, industry-directory or regulatory source; source date retained</x:v>
      </x:c>
      <x:c r="Y2286" s="25" t="str">
        <x:v>https://privatelenderlink.com/profile/maryland-hard-money-lenders-llc-2/</x:v>
      </x:c>
      <x:c r="Z2286" s="25" t="str">
        <x:v>https://www.hardmoneyhome.com/lenders/view/Maryland-hard-money-lenders</x:v>
      </x:c>
      <x:c r="AA2286" s="25" t="str">
        <x:v>[]</x:v>
      </x:c>
      <x:c r="AB2286" s="3" t="str">
        <x:v>Existing CapitalForge research, newly screened for this campaign</x:v>
      </x:c>
      <x:c r="AC2286" s="3" t="str">
        <x:v>unverified</x:v>
      </x:c>
      <x:c r="AD2286" s="3" t="str">
        <x:v>Not contacted / unconfirmed</x:v>
      </x:c>
      <x:c r="AE2286" s="3" t="str">
        <x:v>No</x:v>
      </x:c>
      <x:c r="AF2286" s="3" t="str">
        <x:v>No</x:v>
      </x:c>
      <x:c r="AG2286" s="3"/>
      <x:c r="AH2286" s="3"/>
      <x:c r="AI2286" s="18"/>
      <x:c r="AJ2286" s="3" t="str">
        <x:v>CF2500-C0A2D13904E8</x:v>
      </x:c>
      <x:c r="AK2286" s="3" t="str">
        <x:v>private_real_estate_lender</x:v>
      </x:c>
      <x:c r="AL2286" s="19" t="n">
        <x:v>100000</x:v>
      </x:c>
      <x:c r="AM2286" s="19" t="n">
        <x:v>500000</x:v>
      </x:c>
      <x:c r="AN2286" s="3" t="str">
        <x:v>https://www.hardmoneyhome.com/lenders/view/Maryland-hard-money-lenders</x:v>
      </x:c>
      <x:c r="AO2286" s="3" t="str">
        <x:v>public_directory.jsonl</x:v>
      </x:c>
      <x:c r="AP2286" s="19"/>
    </x:row>
    <x:row r="2287" ht="36" customHeight="1">
      <x:c r="A2287" s="23" t="n">
        <x:v>2286</x:v>
      </x:c>
      <x:c r="B2287" s="15" t="str">
        <x:v>Mass Private Lending</x:v>
      </x:c>
      <x:c r="C2287" s="15"/>
      <x:c r="D2287" s="15" t="str">
        <x:v>Property lender or directory member; operating-company capital unconfirmed</x:v>
      </x:c>
      <x:c r="E2287" s="15" t="str">
        <x:v>Property lender / private-money inquiry</x:v>
      </x:c>
      <x:c r="F2287" s="17" t="str">
        <x:v>New</x:v>
      </x:c>
      <x:c r="G2287" s="24" t="str">
        <x:v>loans@massprivatelending.com</x:v>
      </x:c>
      <x:c r="H2287" s="24" t="str">
        <x:v>+16173908840</x:v>
      </x:c>
      <x:c r="I2287" s="24" t="str">
        <x:v>http://massprivatelending.com/</x:v>
      </x:c>
      <x:c r="J2287" s="16" t="str">
        <x:v>MA</x:v>
      </x:c>
      <x:c r="K2287" s="16" t="str">
        <x:v>Cohasset</x:v>
      </x:c>
      <x:c r="L2287" s="16" t="str">
        <x:v>firm_business_routing</x:v>
      </x:c>
      <x:c r="M2287" s="16" t="str">
        <x:v>http://massprivatelending.com/</x:v>
      </x:c>
      <x:c r="N2287" s="16" t="str">
        <x:v>Published source range; proposed allocation and structure require confirmation</x:v>
      </x:c>
      <x:c r="O2287" s="20"/>
      <x:c r="P2287" s="20" t="n">
        <x:v>3000000</x:v>
      </x:c>
      <x:c r="Q2287" s="25" t="str">
        <x:v>Property-loan range, not a corporate-capital commitment</x:v>
      </x:c>
      <x:c r="R2287" s="25" t="str">
        <x:v>Private real-estate finance experience. Corporate working capital, minority equity or profit participation requires a separate agreement from a property loan.</x:v>
      </x:c>
      <x:c r="S2287" s="25"/>
      <x:c r="T2287" s="25" t="str">
        <x:v>Confirm direct principal versus broker, $100K-$500K appetite, and whether capital can fund the operating company without a property mortgage.</x:v>
      </x:c>
      <x:c r="U2287" s="25" t="str">
        <x:v>https://www.hardmoneyhome.com/lenders/view/mass-private-lending
https://massprivatelending.com/</x:v>
      </x:c>
      <x:c r="V2287" s="26" t="d">
        <x:v>2026-10-02T00:00:00.000Z</x:v>
      </x:c>
      <x:c r="W2287" s="26" t="d">
        <x:v>2026-09-30T00:00:00.000Z</x:v>
      </x:c>
      <x:c r="X2287" s="25" t="str">
        <x:v>Saved public company, industry-directory or regulatory source; source date retained</x:v>
      </x:c>
      <x:c r="Y2287" s="25" t="str">
        <x:v>https://massprivatelending.com/</x:v>
      </x:c>
      <x:c r="Z2287" s="25" t="str">
        <x:v>https://www.hardmoneyhome.com/lenders/view/mass-private-lending</x:v>
      </x:c>
      <x:c r="AA2287" s="25" t="str">
        <x:v>[]</x:v>
      </x:c>
      <x:c r="AB2287" s="3" t="str">
        <x:v>Existing CapitalForge research, newly screened for this campaign</x:v>
      </x:c>
      <x:c r="AC2287" s="3" t="str">
        <x:v>unverified</x:v>
      </x:c>
      <x:c r="AD2287" s="3" t="str">
        <x:v>Not contacted / unconfirmed</x:v>
      </x:c>
      <x:c r="AE2287" s="3" t="str">
        <x:v>No</x:v>
      </x:c>
      <x:c r="AF2287" s="3" t="str">
        <x:v>No</x:v>
      </x:c>
      <x:c r="AG2287" s="3"/>
      <x:c r="AH2287" s="3"/>
      <x:c r="AI2287" s="18"/>
      <x:c r="AJ2287" s="3" t="str">
        <x:v>CF2500-61D8F569A010</x:v>
      </x:c>
      <x:c r="AK2287" s="3" t="str">
        <x:v>private_real_estate_lender</x:v>
      </x:c>
      <x:c r="AL2287" s="19" t="n">
        <x:v>100000</x:v>
      </x:c>
      <x:c r="AM2287" s="19" t="n">
        <x:v>500000</x:v>
      </x:c>
      <x:c r="AN2287" s="3" t="str">
        <x:v>https://www.hardmoneyhome.com/lenders/view/mass-private-lending</x:v>
      </x:c>
      <x:c r="AO2287" s="3" t="str">
        <x:v>public_directory.jsonl</x:v>
      </x:c>
      <x:c r="AP2287" s="19"/>
    </x:row>
    <x:row r="2288" ht="36" customHeight="1">
      <x:c r="A2288" s="23" t="n">
        <x:v>2287</x:v>
      </x:c>
      <x:c r="B2288" s="15" t="str">
        <x:v>New Silver</x:v>
      </x:c>
      <x:c r="C2288" s="15"/>
      <x:c r="D2288" s="15" t="str">
        <x:v>Property lender or directory member; operating-company capital unconfirmed</x:v>
      </x:c>
      <x:c r="E2288" s="15" t="str">
        <x:v>Property lender / private-money inquiry</x:v>
      </x:c>
      <x:c r="F2288" s="17" t="str">
        <x:v>New</x:v>
      </x:c>
      <x:c r="G2288" s="24" t="str">
        <x:v>sales@newsilver.com</x:v>
      </x:c>
      <x:c r="H2288" s="24" t="str">
        <x:v>+18558445626</x:v>
      </x:c>
      <x:c r="I2288" s="24" t="str">
        <x:v>https://newsilver.com/</x:v>
      </x:c>
      <x:c r="J2288" s="16" t="str">
        <x:v>CT</x:v>
      </x:c>
      <x:c r="K2288" s="16" t="str">
        <x:v>West Hartford</x:v>
      </x:c>
      <x:c r="L2288" s="16" t="str">
        <x:v>firm_business_routing</x:v>
      </x:c>
      <x:c r="M2288" s="16" t="str">
        <x:v>https://newsilver.com/</x:v>
      </x:c>
      <x:c r="N2288" s="16" t="str">
        <x:v>Published source range; proposed allocation and structure require confirmation</x:v>
      </x:c>
      <x:c r="O2288" s="20"/>
      <x:c r="P2288" s="20" t="n">
        <x:v>5000000</x:v>
      </x:c>
      <x:c r="Q2288" s="25" t="str">
        <x:v>Property-loan range, not a corporate-capital commitment</x:v>
      </x:c>
      <x:c r="R2288" s="25" t="str">
        <x:v>Private real-estate finance experience. Corporate working capital, minority equity or profit participation requires a separate agreement from a property loan.</x:v>
      </x:c>
      <x:c r="S2288" s="25"/>
      <x:c r="T2288" s="25" t="str">
        <x:v>Confirm direct principal versus broker, $100K-$500K appetite, and whether capital can fund the operating company without a property mortgage.</x:v>
      </x:c>
      <x:c r="U2288" s="25" t="str">
        <x:v>https://www.hardmoneyhome.com/lenders/view/new-silver
https://newsilver.com/
https://privatelenderlink.com/profile/new-silver/
https://nplaconference.com/private-lending-directory/page/12/
https://newsilver.com/contact-us/
https://newsilver.com</x:v>
      </x:c>
      <x:c r="V2288" s="26" t="d">
        <x:v>2026-10-02T00:00:00.000Z</x:v>
      </x:c>
      <x:c r="W2288" s="26" t="d">
        <x:v>2026-09-30T00:00:00.000Z</x:v>
      </x:c>
      <x:c r="X2288" s="25" t="str">
        <x:v>Saved public company, industry-directory or regulatory source; source date retained</x:v>
      </x:c>
      <x:c r="Y2288" s="25" t="str">
        <x:v>https://newsilver.com/</x:v>
      </x:c>
      <x:c r="Z2288" s="25" t="str">
        <x:v>https://www.hardmoneyhome.com/lenders/view/new-silver</x:v>
      </x:c>
      <x:c r="AA2288" s="25" t="str">
        <x:v>[]</x:v>
      </x:c>
      <x:c r="AB2288" s="3" t="str">
        <x:v>Existing CapitalForge research, newly screened for this campaign</x:v>
      </x:c>
      <x:c r="AC2288" s="3" t="str">
        <x:v>unverified</x:v>
      </x:c>
      <x:c r="AD2288" s="3" t="str">
        <x:v>Not contacted / unconfirmed</x:v>
      </x:c>
      <x:c r="AE2288" s="3" t="str">
        <x:v>No</x:v>
      </x:c>
      <x:c r="AF2288" s="3" t="str">
        <x:v>No</x:v>
      </x:c>
      <x:c r="AG2288" s="3"/>
      <x:c r="AH2288" s="3"/>
      <x:c r="AI2288" s="18"/>
      <x:c r="AJ2288" s="3" t="str">
        <x:v>CF2500-A7736672D340</x:v>
      </x:c>
      <x:c r="AK2288" s="3" t="str">
        <x:v>private_real_estate_lender</x:v>
      </x:c>
      <x:c r="AL2288" s="19" t="n">
        <x:v>100000</x:v>
      </x:c>
      <x:c r="AM2288" s="19" t="n">
        <x:v>500000</x:v>
      </x:c>
      <x:c r="AN2288" s="3" t="str">
        <x:v>https://www.hardmoneyhome.com/lenders/view/new-silver</x:v>
      </x:c>
      <x:c r="AO2288" s="3" t="str">
        <x:v>public_directory.jsonl</x:v>
      </x:c>
      <x:c r="AP2288" s="19"/>
    </x:row>
    <x:row r="2289" ht="36" customHeight="1">
      <x:c r="A2289" s="23" t="n">
        <x:v>2288</x:v>
      </x:c>
      <x:c r="B2289" s="15" t="str">
        <x:v>NLDS Corp</x:v>
      </x:c>
      <x:c r="C2289" s="15"/>
      <x:c r="D2289" s="15" t="str">
        <x:v>Property lender or directory member; operating-company capital unconfirmed</x:v>
      </x:c>
      <x:c r="E2289" s="15" t="str">
        <x:v>Property lender / private-money inquiry</x:v>
      </x:c>
      <x:c r="F2289" s="17" t="str">
        <x:v>New</x:v>
      </x:c>
      <x:c r="G2289" s="24" t="str">
        <x:v>ken@hardmoneyman.com</x:v>
      </x:c>
      <x:c r="H2289" s="24" t="str">
        <x:v>+18664612695</x:v>
      </x:c>
      <x:c r="I2289" s="24" t="str">
        <x:v>https://hardmoneyman.com/</x:v>
      </x:c>
      <x:c r="J2289" s="16" t="str">
        <x:v>NY</x:v>
      </x:c>
      <x:c r="K2289" s="16" t="str">
        <x:v>Long Beach</x:v>
      </x:c>
      <x:c r="L2289" s="16" t="str">
        <x:v>firm_business_routing</x:v>
      </x:c>
      <x:c r="M2289" s="16" t="str">
        <x:v>https://hardmoneyman.com/</x:v>
      </x:c>
      <x:c r="N2289" s="16" t="str">
        <x:v>Published source range; proposed allocation and structure require confirmation</x:v>
      </x:c>
      <x:c r="O2289" s="20"/>
      <x:c r="P2289" s="20" t="n">
        <x:v>50000000</x:v>
      </x:c>
      <x:c r="Q2289" s="25" t="str">
        <x:v>Property-loan range, not a corporate-capital commitment</x:v>
      </x:c>
      <x:c r="R2289" s="25" t="str">
        <x:v>Private real-estate finance experience. Corporate working capital, minority equity or profit participation requires a separate agreement from a property loan.</x:v>
      </x:c>
      <x:c r="S2289" s="25"/>
      <x:c r="T2289" s="25" t="str">
        <x:v>Confirm direct principal versus broker, $100K-$500K appetite, and whether capital can fund the operating company without a property mortgage.</x:v>
      </x:c>
      <x:c r="U2289" s="25" t="str">
        <x:v>https://www.hardmoneyhome.com/lenders/view/nlds-corp
https://hardmoneyman.com/</x:v>
      </x:c>
      <x:c r="V2289" s="26" t="d">
        <x:v>2026-10-02T00:00:00.000Z</x:v>
      </x:c>
      <x:c r="W2289" s="26" t="d">
        <x:v>2026-09-30T00:00:00.000Z</x:v>
      </x:c>
      <x:c r="X2289" s="25" t="str">
        <x:v>Saved public company, industry-directory or regulatory source; source date retained</x:v>
      </x:c>
      <x:c r="Y2289" s="25" t="str">
        <x:v>https://hardmoneyman.com/</x:v>
      </x:c>
      <x:c r="Z2289" s="25" t="str">
        <x:v>https://www.hardmoneyhome.com/lenders/view/nlds-corp</x:v>
      </x:c>
      <x:c r="AA2289" s="25" t="str">
        <x:v>[]</x:v>
      </x:c>
      <x:c r="AB2289" s="3" t="str">
        <x:v>Existing CapitalForge research, newly screened for this campaign</x:v>
      </x:c>
      <x:c r="AC2289" s="3" t="str">
        <x:v>unverified</x:v>
      </x:c>
      <x:c r="AD2289" s="3" t="str">
        <x:v>Not contacted / unconfirmed</x:v>
      </x:c>
      <x:c r="AE2289" s="3" t="str">
        <x:v>No</x:v>
      </x:c>
      <x:c r="AF2289" s="3" t="str">
        <x:v>No</x:v>
      </x:c>
      <x:c r="AG2289" s="3"/>
      <x:c r="AH2289" s="3"/>
      <x:c r="AI2289" s="18"/>
      <x:c r="AJ2289" s="3" t="str">
        <x:v>CF2500-00D4DC31A0B7</x:v>
      </x:c>
      <x:c r="AK2289" s="3" t="str">
        <x:v>private_real_estate_lender</x:v>
      </x:c>
      <x:c r="AL2289" s="19" t="n">
        <x:v>100000</x:v>
      </x:c>
      <x:c r="AM2289" s="19" t="n">
        <x:v>500000</x:v>
      </x:c>
      <x:c r="AN2289" s="3" t="str">
        <x:v>https://www.hardmoneyhome.com/lenders/view/nlds-corp</x:v>
      </x:c>
      <x:c r="AO2289" s="3" t="str">
        <x:v>public_directory.jsonl</x:v>
      </x:c>
      <x:c r="AP2289" s="19"/>
    </x:row>
    <x:row r="2290" ht="36" customHeight="1">
      <x:c r="A2290" s="23" t="n">
        <x:v>2289</x:v>
      </x:c>
      <x:c r="B2290" s="15" t="str">
        <x:v>North Coast Financial</x:v>
      </x:c>
      <x:c r="C2290" s="15"/>
      <x:c r="D2290" s="15" t="str">
        <x:v>Property lender or directory member; operating-company capital unconfirmed</x:v>
      </x:c>
      <x:c r="E2290" s="15" t="str">
        <x:v>Property lender / private-money inquiry</x:v>
      </x:c>
      <x:c r="F2290" s="17" t="str">
        <x:v>New</x:v>
      </x:c>
      <x:c r="G2290" s="24" t="str">
        <x:v>contact@northcoastfinancialinc.com</x:v>
      </x:c>
      <x:c r="H2290" s="24" t="str">
        <x:v>+17607222991</x:v>
      </x:c>
      <x:c r="I2290" s="24" t="str">
        <x:v>https://www.northcoastfinancialinc.com/</x:v>
      </x:c>
      <x:c r="J2290" s="16" t="str">
        <x:v>CA</x:v>
      </x:c>
      <x:c r="K2290" s="16" t="str">
        <x:v>Oceanside</x:v>
      </x:c>
      <x:c r="L2290" s="16" t="str">
        <x:v>firm_business_routing</x:v>
      </x:c>
      <x:c r="M2290" s="16" t="str">
        <x:v>https://www.northcoastfinancialinc.com/</x:v>
      </x:c>
      <x:c r="N2290" s="16" t="str">
        <x:v>Published source range; proposed allocation and structure require confirmation</x:v>
      </x:c>
      <x:c r="O2290" s="20"/>
      <x:c r="P2290" s="20" t="n">
        <x:v>10000000</x:v>
      </x:c>
      <x:c r="Q2290" s="25" t="str">
        <x:v>Property-loan range, not a corporate-capital commitment</x:v>
      </x:c>
      <x:c r="R2290" s="25" t="str">
        <x:v>Private real-estate finance experience. Corporate working capital, minority equity or profit participation requires a separate agreement from a property loan.</x:v>
      </x:c>
      <x:c r="S2290" s="25"/>
      <x:c r="T2290" s="25" t="str">
        <x:v>Confirm direct principal versus broker, $100K-$500K appetite, and whether capital can fund the operating company without a property mortgage.</x:v>
      </x:c>
      <x:c r="U2290" s="25" t="str">
        <x:v>https://www.hardmoneyhome.com/lenders/view/north-coast-financial
https://www.northcoastfinancialinc.com/</x:v>
      </x:c>
      <x:c r="V2290" s="26" t="d">
        <x:v>2026-10-02T00:00:00.000Z</x:v>
      </x:c>
      <x:c r="W2290" s="26" t="d">
        <x:v>2026-09-30T00:00:00.000Z</x:v>
      </x:c>
      <x:c r="X2290" s="25" t="str">
        <x:v>Saved public company, industry-directory or regulatory source; source date retained</x:v>
      </x:c>
      <x:c r="Y2290" s="25" t="str">
        <x:v>https://www.northcoastfinancialinc.com/</x:v>
      </x:c>
      <x:c r="Z2290" s="25" t="str">
        <x:v>https://www.hardmoneyhome.com/lenders/view/north-coast-financial</x:v>
      </x:c>
      <x:c r="AA2290" s="25" t="str">
        <x:v>[]</x:v>
      </x:c>
      <x:c r="AB2290" s="3" t="str">
        <x:v>Existing CapitalForge research, newly screened for this campaign</x:v>
      </x:c>
      <x:c r="AC2290" s="3" t="str">
        <x:v>unverified</x:v>
      </x:c>
      <x:c r="AD2290" s="3" t="str">
        <x:v>Not contacted / unconfirmed</x:v>
      </x:c>
      <x:c r="AE2290" s="3" t="str">
        <x:v>No</x:v>
      </x:c>
      <x:c r="AF2290" s="3" t="str">
        <x:v>No</x:v>
      </x:c>
      <x:c r="AG2290" s="3"/>
      <x:c r="AH2290" s="3"/>
      <x:c r="AI2290" s="18"/>
      <x:c r="AJ2290" s="3" t="str">
        <x:v>CF2500-18C1CCDB53A1</x:v>
      </x:c>
      <x:c r="AK2290" s="3" t="str">
        <x:v>private_real_estate_lender</x:v>
      </x:c>
      <x:c r="AL2290" s="19" t="n">
        <x:v>100000</x:v>
      </x:c>
      <x:c r="AM2290" s="19" t="n">
        <x:v>500000</x:v>
      </x:c>
      <x:c r="AN2290" s="3" t="str">
        <x:v>https://www.hardmoneyhome.com/lenders/view/north-coast-financial</x:v>
      </x:c>
      <x:c r="AO2290" s="3" t="str">
        <x:v>public_directory.jsonl</x:v>
      </x:c>
      <x:c r="AP2290" s="19"/>
    </x:row>
    <x:row r="2291" ht="36" customHeight="1">
      <x:c r="A2291" s="23" t="n">
        <x:v>2290</x:v>
      </x:c>
      <x:c r="B2291" s="15" t="str">
        <x:v>Payette Financial Services</x:v>
      </x:c>
      <x:c r="C2291" s="15"/>
      <x:c r="D2291" s="15" t="str">
        <x:v>Property lender or directory member; operating-company capital unconfirmed</x:v>
      </x:c>
      <x:c r="E2291" s="15" t="str">
        <x:v>Property lender / private-money inquiry</x:v>
      </x:c>
      <x:c r="F2291" s="17" t="str">
        <x:v>New</x:v>
      </x:c>
      <x:c r="G2291" s="24" t="str">
        <x:v>cchristensen@payettefinancial.com</x:v>
      </x:c>
      <x:c r="H2291" s="24" t="str">
        <x:v>+12083332040</x:v>
      </x:c>
      <x:c r="I2291" s="24" t="str">
        <x:v>http://www.payettefinancial.com/</x:v>
      </x:c>
      <x:c r="J2291" s="16" t="str">
        <x:v>ID</x:v>
      </x:c>
      <x:c r="K2291" s="16" t="str">
        <x:v>Boise</x:v>
      </x:c>
      <x:c r="L2291" s="16" t="str">
        <x:v>firm_business_routing</x:v>
      </x:c>
      <x:c r="M2291" s="16" t="str">
        <x:v>http://www.payettefinancial.com/</x:v>
      </x:c>
      <x:c r="N2291" s="16" t="str">
        <x:v>Published source range; proposed allocation and structure require confirmation</x:v>
      </x:c>
      <x:c r="O2291" s="20"/>
      <x:c r="P2291" s="20" t="n">
        <x:v>2500000</x:v>
      </x:c>
      <x:c r="Q2291" s="25" t="str">
        <x:v>Property-loan range, not a corporate-capital commitment</x:v>
      </x:c>
      <x:c r="R2291" s="25" t="str">
        <x:v>Private real-estate finance experience. Corporate working capital, minority equity or profit participation requires a separate agreement from a property loan.</x:v>
      </x:c>
      <x:c r="S2291" s="25"/>
      <x:c r="T2291" s="25" t="str">
        <x:v>Confirm direct principal versus broker, $100K-$500K appetite, and whether capital can fund the operating company without a property mortgage.</x:v>
      </x:c>
      <x:c r="U2291" s="25" t="str">
        <x:v>https://www.hardmoneyhome.com/lenders/view/payette-financial-services
https://privatelenderlink.com/profile/payette-financial-services/</x:v>
      </x:c>
      <x:c r="V2291" s="26" t="d">
        <x:v>2026-10-02T00:00:00.000Z</x:v>
      </x:c>
      <x:c r="W2291" s="26" t="d">
        <x:v>2026-09-30T00:00:00.000Z</x:v>
      </x:c>
      <x:c r="X2291" s="25" t="str">
        <x:v>Saved public company, industry-directory or regulatory source; source date retained</x:v>
      </x:c>
      <x:c r="Y2291" s="25" t="str">
        <x:v>https://privatelenderlink.com/profile/payette-financial-services/</x:v>
      </x:c>
      <x:c r="Z2291" s="25" t="str">
        <x:v>https://www.hardmoneyhome.com/lenders/view/payette-financial-services</x:v>
      </x:c>
      <x:c r="AA2291" s="25" t="str">
        <x:v>[]</x:v>
      </x:c>
      <x:c r="AB2291" s="3" t="str">
        <x:v>Existing CapitalForge research, newly screened for this campaign</x:v>
      </x:c>
      <x:c r="AC2291" s="3" t="str">
        <x:v>unverified</x:v>
      </x:c>
      <x:c r="AD2291" s="3" t="str">
        <x:v>Not contacted / unconfirmed</x:v>
      </x:c>
      <x:c r="AE2291" s="3" t="str">
        <x:v>No</x:v>
      </x:c>
      <x:c r="AF2291" s="3" t="str">
        <x:v>No</x:v>
      </x:c>
      <x:c r="AG2291" s="3"/>
      <x:c r="AH2291" s="3"/>
      <x:c r="AI2291" s="18"/>
      <x:c r="AJ2291" s="3" t="str">
        <x:v>CF2500-DEEBCCDC5227</x:v>
      </x:c>
      <x:c r="AK2291" s="3" t="str">
        <x:v>private_real_estate_lender</x:v>
      </x:c>
      <x:c r="AL2291" s="19" t="n">
        <x:v>100000</x:v>
      </x:c>
      <x:c r="AM2291" s="19" t="n">
        <x:v>500000</x:v>
      </x:c>
      <x:c r="AN2291" s="3" t="str">
        <x:v>https://www.hardmoneyhome.com/lenders/view/payette-financial-services</x:v>
      </x:c>
      <x:c r="AO2291" s="3" t="str">
        <x:v>public_directory.jsonl</x:v>
      </x:c>
      <x:c r="AP2291" s="19"/>
    </x:row>
    <x:row r="2292" ht="36" customHeight="1">
      <x:c r="A2292" s="23" t="n">
        <x:v>2291</x:v>
      </x:c>
      <x:c r="B2292" s="15" t="str">
        <x:v>PB Financial Group</x:v>
      </x:c>
      <x:c r="C2292" s="15"/>
      <x:c r="D2292" s="15" t="str">
        <x:v>Property lender or directory member; operating-company capital unconfirmed</x:v>
      </x:c>
      <x:c r="E2292" s="15" t="str">
        <x:v>Property lender / private-money inquiry</x:v>
      </x:c>
      <x:c r="F2292" s="17" t="str">
        <x:v>New</x:v>
      </x:c>
      <x:c r="G2292" s="24" t="str">
        <x:v>info@calhardmoney.com</x:v>
      </x:c>
      <x:c r="H2292" s="24" t="str">
        <x:v>+18777003703</x:v>
      </x:c>
      <x:c r="I2292" s="24" t="str">
        <x:v>http://www.calhardmoney.com/</x:v>
      </x:c>
      <x:c r="J2292" s="16" t="str">
        <x:v>CA</x:v>
      </x:c>
      <x:c r="K2292" s="16" t="str">
        <x:v>Los Angeles</x:v>
      </x:c>
      <x:c r="L2292" s="16" t="str">
        <x:v>firm_business_routing</x:v>
      </x:c>
      <x:c r="M2292" s="16" t="str">
        <x:v>http://www.calhardmoney.com/</x:v>
      </x:c>
      <x:c r="N2292" s="16" t="str">
        <x:v>Published source range; proposed allocation and structure require confirmation</x:v>
      </x:c>
      <x:c r="O2292" s="20"/>
      <x:c r="P2292" s="20" t="n">
        <x:v>5000000</x:v>
      </x:c>
      <x:c r="Q2292" s="25" t="str">
        <x:v>Property-loan range, not a corporate-capital commitment</x:v>
      </x:c>
      <x:c r="R2292" s="25" t="str">
        <x:v>Private real-estate finance experience. Corporate working capital, minority equity or profit participation requires a separate agreement from a property loan.</x:v>
      </x:c>
      <x:c r="S2292" s="25"/>
      <x:c r="T2292" s="25" t="str">
        <x:v>Confirm direct principal versus broker, $100K-$500K appetite, and whether capital can fund the operating company without a property mortgage.</x:v>
      </x:c>
      <x:c r="U2292" s="25" t="str">
        <x:v>https://www.hardmoneyhome.com/lenders/view/pb-financial-group
https://privatelenderlink.com/profile/pb-financial-group/</x:v>
      </x:c>
      <x:c r="V2292" s="26" t="d">
        <x:v>2026-10-02T00:00:00.000Z</x:v>
      </x:c>
      <x:c r="W2292" s="26" t="d">
        <x:v>2026-09-30T00:00:00.000Z</x:v>
      </x:c>
      <x:c r="X2292" s="25" t="str">
        <x:v>Saved public company, industry-directory or regulatory source; source date retained</x:v>
      </x:c>
      <x:c r="Y2292" s="25" t="str">
        <x:v>https://privatelenderlink.com/profile/pb-financial-group/</x:v>
      </x:c>
      <x:c r="Z2292" s="25" t="str">
        <x:v>https://www.hardmoneyhome.com/lenders/view/pb-financial-group</x:v>
      </x:c>
      <x:c r="AA2292" s="25" t="str">
        <x:v>[]</x:v>
      </x:c>
      <x:c r="AB2292" s="3" t="str">
        <x:v>Existing CapitalForge research, newly screened for this campaign</x:v>
      </x:c>
      <x:c r="AC2292" s="3" t="str">
        <x:v>unverified</x:v>
      </x:c>
      <x:c r="AD2292" s="3" t="str">
        <x:v>Not contacted / unconfirmed</x:v>
      </x:c>
      <x:c r="AE2292" s="3" t="str">
        <x:v>No</x:v>
      </x:c>
      <x:c r="AF2292" s="3" t="str">
        <x:v>No</x:v>
      </x:c>
      <x:c r="AG2292" s="3"/>
      <x:c r="AH2292" s="3"/>
      <x:c r="AI2292" s="18"/>
      <x:c r="AJ2292" s="3" t="str">
        <x:v>CF2500-1737D928F84C</x:v>
      </x:c>
      <x:c r="AK2292" s="3" t="str">
        <x:v>private_real_estate_lender</x:v>
      </x:c>
      <x:c r="AL2292" s="19" t="n">
        <x:v>100000</x:v>
      </x:c>
      <x:c r="AM2292" s="19" t="n">
        <x:v>500000</x:v>
      </x:c>
      <x:c r="AN2292" s="3" t="str">
        <x:v>https://www.hardmoneyhome.com/lenders/view/pb-financial-group</x:v>
      </x:c>
      <x:c r="AO2292" s="3" t="str">
        <x:v>public_directory.jsonl</x:v>
      </x:c>
      <x:c r="AP2292" s="19"/>
    </x:row>
    <x:row r="2293" ht="36" customHeight="1">
      <x:c r="A2293" s="23" t="n">
        <x:v>2292</x:v>
      </x:c>
      <x:c r="B2293" s="15" t="str">
        <x:v>Pepe Berard Capital</x:v>
      </x:c>
      <x:c r="C2293" s="15"/>
      <x:c r="D2293" s="15" t="str">
        <x:v>Property lender or directory member; operating-company capital unconfirmed</x:v>
      </x:c>
      <x:c r="E2293" s="15" t="str">
        <x:v>Property lender / private-money inquiry</x:v>
      </x:c>
      <x:c r="F2293" s="17" t="str">
        <x:v>New</x:v>
      </x:c>
      <x:c r="G2293" s="24" t="str">
        <x:v>pbc@pepeberard.com</x:v>
      </x:c>
      <x:c r="H2293" s="24" t="str">
        <x:v>+18662690254</x:v>
      </x:c>
      <x:c r="I2293" s="24" t="str">
        <x:v>https://pepeberard.com/</x:v>
      </x:c>
      <x:c r="J2293" s="16" t="str">
        <x:v>NY</x:v>
      </x:c>
      <x:c r="K2293" s="16" t="str">
        <x:v>Rye Brook</x:v>
      </x:c>
      <x:c r="L2293" s="16" t="str">
        <x:v>firm_business_routing</x:v>
      </x:c>
      <x:c r="M2293" s="16" t="str">
        <x:v>https://pepeberard.com/</x:v>
      </x:c>
      <x:c r="N2293" s="16" t="str">
        <x:v>Published source range; proposed allocation and structure require confirmation</x:v>
      </x:c>
      <x:c r="O2293" s="20"/>
      <x:c r="P2293" s="20" t="n">
        <x:v>5000000</x:v>
      </x:c>
      <x:c r="Q2293" s="25" t="str">
        <x:v>Property-loan range, not a corporate-capital commitment</x:v>
      </x:c>
      <x:c r="R2293" s="25" t="str">
        <x:v>Private real-estate finance experience. Corporate working capital, minority equity or profit participation requires a separate agreement from a property loan.</x:v>
      </x:c>
      <x:c r="S2293" s="25"/>
      <x:c r="T2293" s="25" t="str">
        <x:v>Confirm direct principal versus broker, $100K-$500K appetite, and whether capital can fund the operating company without a property mortgage.</x:v>
      </x:c>
      <x:c r="U2293" s="25" t="str">
        <x:v>https://www.hardmoneyhome.com/lenders/view/pepe-berard-capital
https://privatelenderlink.com/profile/pepe-berard-capital-llc/</x:v>
      </x:c>
      <x:c r="V2293" s="26" t="d">
        <x:v>2026-10-02T00:00:00.000Z</x:v>
      </x:c>
      <x:c r="W2293" s="26" t="d">
        <x:v>2026-09-30T00:00:00.000Z</x:v>
      </x:c>
      <x:c r="X2293" s="25" t="str">
        <x:v>Saved public company, industry-directory or regulatory source; source date retained</x:v>
      </x:c>
      <x:c r="Y2293" s="25" t="str">
        <x:v>https://privatelenderlink.com/profile/pepe-berard-capital-llc/</x:v>
      </x:c>
      <x:c r="Z2293" s="25" t="str">
        <x:v>https://www.hardmoneyhome.com/lenders/view/pepe-berard-capital</x:v>
      </x:c>
      <x:c r="AA2293" s="25" t="str">
        <x:v>[]</x:v>
      </x:c>
      <x:c r="AB2293" s="3" t="str">
        <x:v>Existing CapitalForge research, newly screened for this campaign</x:v>
      </x:c>
      <x:c r="AC2293" s="3" t="str">
        <x:v>unverified</x:v>
      </x:c>
      <x:c r="AD2293" s="3" t="str">
        <x:v>Not contacted / unconfirmed</x:v>
      </x:c>
      <x:c r="AE2293" s="3" t="str">
        <x:v>No</x:v>
      </x:c>
      <x:c r="AF2293" s="3" t="str">
        <x:v>No</x:v>
      </x:c>
      <x:c r="AG2293" s="3"/>
      <x:c r="AH2293" s="3"/>
      <x:c r="AI2293" s="18"/>
      <x:c r="AJ2293" s="3" t="str">
        <x:v>CF2500-77D17C45CF51</x:v>
      </x:c>
      <x:c r="AK2293" s="3" t="str">
        <x:v>private_real_estate_lender</x:v>
      </x:c>
      <x:c r="AL2293" s="19" t="n">
        <x:v>100000</x:v>
      </x:c>
      <x:c r="AM2293" s="19" t="n">
        <x:v>500000</x:v>
      </x:c>
      <x:c r="AN2293" s="3" t="str">
        <x:v>https://www.hardmoneyhome.com/lenders/view/pepe-berard-capital</x:v>
      </x:c>
      <x:c r="AO2293" s="3" t="str">
        <x:v>public_directory.jsonl</x:v>
      </x:c>
      <x:c r="AP2293" s="19"/>
    </x:row>
    <x:row r="2294" ht="36" customHeight="1">
      <x:c r="A2294" s="23" t="n">
        <x:v>2293</x:v>
      </x:c>
      <x:c r="B2294" s="15" t="str">
        <x:v>Puget Sound Investors</x:v>
      </x:c>
      <x:c r="C2294" s="15"/>
      <x:c r="D2294" s="15" t="str">
        <x:v>Property lender or directory member; operating-company capital unconfirmed</x:v>
      </x:c>
      <x:c r="E2294" s="15" t="str">
        <x:v>Property lender / private-money inquiry</x:v>
      </x:c>
      <x:c r="F2294" s="17" t="str">
        <x:v>New</x:v>
      </x:c>
      <x:c r="G2294" s="24" t="str">
        <x:v>kylehaberly@pugetsoundinvestors.com</x:v>
      </x:c>
      <x:c r="H2294" s="24" t="str">
        <x:v>+13604243323</x:v>
      </x:c>
      <x:c r="I2294" s="24" t="str">
        <x:v>http://www.pugetsoundinvestors.com/</x:v>
      </x:c>
      <x:c r="J2294" s="16" t="str">
        <x:v>WA</x:v>
      </x:c>
      <x:c r="K2294" s="16" t="str">
        <x:v>Mount Vernon</x:v>
      </x:c>
      <x:c r="L2294" s="16" t="str">
        <x:v>firm_business_routing</x:v>
      </x:c>
      <x:c r="M2294" s="16" t="str">
        <x:v>http://www.pugetsoundinvestors.com/</x:v>
      </x:c>
      <x:c r="N2294" s="16" t="str">
        <x:v>Published source range; proposed allocation and structure require confirmation</x:v>
      </x:c>
      <x:c r="O2294" s="20"/>
      <x:c r="P2294" s="20" t="n">
        <x:v>2000000</x:v>
      </x:c>
      <x:c r="Q2294" s="25" t="str">
        <x:v>Property-loan range, not a corporate-capital commitment</x:v>
      </x:c>
      <x:c r="R2294" s="25" t="str">
        <x:v>Private real-estate finance experience. Corporate working capital, minority equity or profit participation requires a separate agreement from a property loan.</x:v>
      </x:c>
      <x:c r="S2294" s="25"/>
      <x:c r="T2294" s="25" t="str">
        <x:v>Confirm direct principal versus broker, $100K-$500K appetite, and whether capital can fund the operating company without a property mortgage.</x:v>
      </x:c>
      <x:c r="U2294" s="25" t="str">
        <x:v>https://www.hardmoneyhome.com/lenders/view/puget-sound-investors
https://www.pugetsoundinvestors.com/
https://privatelenderlink.com/profile/puget-sound-investors/</x:v>
      </x:c>
      <x:c r="V2294" s="26" t="d">
        <x:v>2026-10-02T00:00:00.000Z</x:v>
      </x:c>
      <x:c r="W2294" s="26" t="d">
        <x:v>2026-09-30T00:00:00.000Z</x:v>
      </x:c>
      <x:c r="X2294" s="25" t="str">
        <x:v>Saved public company, industry-directory or regulatory source; source date retained</x:v>
      </x:c>
      <x:c r="Y2294" s="25" t="str">
        <x:v>https://privatelenderlink.com/profile/puget-sound-investors/</x:v>
      </x:c>
      <x:c r="Z2294" s="25" t="str">
        <x:v>https://www.pugetsoundinvestors.com/</x:v>
      </x:c>
      <x:c r="AA2294" s="25" t="str">
        <x:v>[]</x:v>
      </x:c>
      <x:c r="AB2294" s="3" t="str">
        <x:v>Existing CapitalForge research, newly screened for this campaign</x:v>
      </x:c>
      <x:c r="AC2294" s="3" t="str">
        <x:v>unverified</x:v>
      </x:c>
      <x:c r="AD2294" s="3" t="str">
        <x:v>Not contacted / unconfirmed</x:v>
      </x:c>
      <x:c r="AE2294" s="3" t="str">
        <x:v>No</x:v>
      </x:c>
      <x:c r="AF2294" s="3" t="str">
        <x:v>No</x:v>
      </x:c>
      <x:c r="AG2294" s="3"/>
      <x:c r="AH2294" s="3"/>
      <x:c r="AI2294" s="18"/>
      <x:c r="AJ2294" s="3" t="str">
        <x:v>CF2500-175284BD4B05</x:v>
      </x:c>
      <x:c r="AK2294" s="3" t="str">
        <x:v>private_real_estate_lender</x:v>
      </x:c>
      <x:c r="AL2294" s="19" t="n">
        <x:v>100000</x:v>
      </x:c>
      <x:c r="AM2294" s="19" t="n">
        <x:v>500000</x:v>
      </x:c>
      <x:c r="AN2294" s="3" t="str">
        <x:v>https://www.hardmoneyhome.com/lenders/view/puget-sound-investors</x:v>
      </x:c>
      <x:c r="AO2294" s="3" t="str">
        <x:v>public_directory.jsonl</x:v>
      </x:c>
      <x:c r="AP2294" s="19"/>
    </x:row>
    <x:row r="2295" ht="36" customHeight="1">
      <x:c r="A2295" s="23" t="n">
        <x:v>2294</x:v>
      </x:c>
      <x:c r="B2295" s="15" t="str">
        <x:v>Rainbow Funding and Real Estate</x:v>
      </x:c>
      <x:c r="C2295" s="15"/>
      <x:c r="D2295" s="15" t="str">
        <x:v>Property lender or directory member; operating-company capital unconfirmed</x:v>
      </x:c>
      <x:c r="E2295" s="15" t="str">
        <x:v>Property lender / private-money inquiry</x:v>
      </x:c>
      <x:c r="F2295" s="17" t="str">
        <x:v>New</x:v>
      </x:c>
      <x:c r="G2295" s="24" t="str">
        <x:v>info@rainbowfunding.com</x:v>
      </x:c>
      <x:c r="H2295" s="24" t="str">
        <x:v>+15109441454</x:v>
      </x:c>
      <x:c r="I2295" s="24" t="str">
        <x:v>http://www.rainbowfunding.com</x:v>
      </x:c>
      <x:c r="J2295" s="16" t="str">
        <x:v>CA</x:v>
      </x:c>
      <x:c r="K2295" s="16" t="str">
        <x:v>Newark</x:v>
      </x:c>
      <x:c r="L2295" s="16" t="str">
        <x:v>firm_business_routing</x:v>
      </x:c>
      <x:c r="M2295" s="16" t="str">
        <x:v>http://www.rainbowfunding.com</x:v>
      </x:c>
      <x:c r="N2295" s="16" t="str">
        <x:v>Published source range; proposed allocation and structure require confirmation</x:v>
      </x:c>
      <x:c r="O2295" s="20"/>
      <x:c r="P2295" s="20" t="n">
        <x:v>10000000</x:v>
      </x:c>
      <x:c r="Q2295" s="25" t="str">
        <x:v>Property-loan range, not a corporate-capital commitment</x:v>
      </x:c>
      <x:c r="R2295" s="25" t="str">
        <x:v>Private real-estate finance experience. Corporate working capital, minority equity or profit participation requires a separate agreement from a property loan.</x:v>
      </x:c>
      <x:c r="S2295" s="25"/>
      <x:c r="T2295" s="25" t="str">
        <x:v>Confirm direct principal versus broker, $100K-$500K appetite, and whether capital can fund the operating company without a property mortgage.</x:v>
      </x:c>
      <x:c r="U2295" s="25" t="str">
        <x:v>https://www.hardmoneyhome.com/lenders/view/rainbow-funding-and-real-estate
https://www.rainbowfunding.com/team</x:v>
      </x:c>
      <x:c r="V2295" s="26" t="d">
        <x:v>2026-10-02T00:00:00.000Z</x:v>
      </x:c>
      <x:c r="W2295" s="26" t="d">
        <x:v>2026-09-30T00:00:00.000Z</x:v>
      </x:c>
      <x:c r="X2295" s="25" t="str">
        <x:v>Saved public company, industry-directory or regulatory source; source date retained</x:v>
      </x:c>
      <x:c r="Y2295" s="25" t="str">
        <x:v>https://www.rainbowfunding.com/team</x:v>
      </x:c>
      <x:c r="Z2295" s="25" t="str">
        <x:v>https://www.hardmoneyhome.com/lenders/view/rainbow-funding-and-real-estate</x:v>
      </x:c>
      <x:c r="AA2295" s="25" t="str">
        <x:v>[]</x:v>
      </x:c>
      <x:c r="AB2295" s="3" t="str">
        <x:v>Existing CapitalForge research, newly screened for this campaign</x:v>
      </x:c>
      <x:c r="AC2295" s="3" t="str">
        <x:v>unverified</x:v>
      </x:c>
      <x:c r="AD2295" s="3" t="str">
        <x:v>Not contacted / unconfirmed</x:v>
      </x:c>
      <x:c r="AE2295" s="3" t="str">
        <x:v>No</x:v>
      </x:c>
      <x:c r="AF2295" s="3" t="str">
        <x:v>No</x:v>
      </x:c>
      <x:c r="AG2295" s="3"/>
      <x:c r="AH2295" s="3"/>
      <x:c r="AI2295" s="18"/>
      <x:c r="AJ2295" s="3" t="str">
        <x:v>CF2500-9958A1A4404B</x:v>
      </x:c>
      <x:c r="AK2295" s="3" t="str">
        <x:v>private_real_estate_lender</x:v>
      </x:c>
      <x:c r="AL2295" s="19" t="n">
        <x:v>100000</x:v>
      </x:c>
      <x:c r="AM2295" s="19" t="n">
        <x:v>500000</x:v>
      </x:c>
      <x:c r="AN2295" s="3" t="str">
        <x:v>https://www.hardmoneyhome.com/lenders/view/rainbow-funding-and-real-estate</x:v>
      </x:c>
      <x:c r="AO2295" s="3" t="str">
        <x:v>public_directory.jsonl</x:v>
      </x:c>
      <x:c r="AP2295" s="19"/>
    </x:row>
    <x:row r="2296" ht="36" customHeight="1">
      <x:c r="A2296" s="23" t="n">
        <x:v>2295</x:v>
      </x:c>
      <x:c r="B2296" s="15" t="str">
        <x:v>Raymond C Green Companies</x:v>
      </x:c>
      <x:c r="C2296" s="15"/>
      <x:c r="D2296" s="15" t="str">
        <x:v>Property lender or directory member; operating-company capital unconfirmed</x:v>
      </x:c>
      <x:c r="E2296" s="15" t="str">
        <x:v>Property lender / private-money inquiry</x:v>
      </x:c>
      <x:c r="F2296" s="17" t="str">
        <x:v>New</x:v>
      </x:c>
      <x:c r="G2296" s="24" t="str">
        <x:v>justin@raygreen.com</x:v>
      </x:c>
      <x:c r="H2296" s="24" t="str">
        <x:v>+16178594599</x:v>
      </x:c>
      <x:c r="I2296" s="24" t="str">
        <x:v>https://www.raygreen.com/</x:v>
      </x:c>
      <x:c r="J2296" s="16" t="str">
        <x:v>MA</x:v>
      </x:c>
      <x:c r="K2296" s="16" t="str">
        <x:v>Boston</x:v>
      </x:c>
      <x:c r="L2296" s="16" t="str">
        <x:v>firm_business_routing</x:v>
      </x:c>
      <x:c r="M2296" s="16" t="str">
        <x:v>https://www.raygreen.com/</x:v>
      </x:c>
      <x:c r="N2296" s="16" t="str">
        <x:v>Published source range; proposed allocation and structure require confirmation</x:v>
      </x:c>
      <x:c r="O2296" s="20"/>
      <x:c r="P2296" s="20" t="n">
        <x:v>5000000</x:v>
      </x:c>
      <x:c r="Q2296" s="25" t="str">
        <x:v>Property-loan range, not a corporate-capital commitment</x:v>
      </x:c>
      <x:c r="R2296" s="25" t="str">
        <x:v>Private real-estate finance experience. Corporate working capital, minority equity or profit participation requires a separate agreement from a property loan.</x:v>
      </x:c>
      <x:c r="S2296" s="25"/>
      <x:c r="T2296" s="25" t="str">
        <x:v>Confirm direct principal versus broker, $100K-$500K appetite, and whether capital can fund the operating company without a property mortgage.</x:v>
      </x:c>
      <x:c r="U2296" s="25" t="str">
        <x:v>https://www.hardmoneyhome.com/lenders/view/raymond-c-green-companies
https://privatelenderlink.com/profile/ray-green-companies/</x:v>
      </x:c>
      <x:c r="V2296" s="26" t="d">
        <x:v>2026-10-02T00:00:00.000Z</x:v>
      </x:c>
      <x:c r="W2296" s="26" t="d">
        <x:v>2026-09-30T00:00:00.000Z</x:v>
      </x:c>
      <x:c r="X2296" s="25" t="str">
        <x:v>Saved public company, industry-directory or regulatory source; source date retained</x:v>
      </x:c>
      <x:c r="Y2296" s="25" t="str">
        <x:v>https://privatelenderlink.com/profile/ray-green-companies/</x:v>
      </x:c>
      <x:c r="Z2296" s="25" t="str">
        <x:v>https://www.hardmoneyhome.com/lenders/view/raymond-c-green-companies</x:v>
      </x:c>
      <x:c r="AA2296" s="25" t="str">
        <x:v>[]</x:v>
      </x:c>
      <x:c r="AB2296" s="3" t="str">
        <x:v>Existing CapitalForge research, newly screened for this campaign</x:v>
      </x:c>
      <x:c r="AC2296" s="3" t="str">
        <x:v>unverified</x:v>
      </x:c>
      <x:c r="AD2296" s="3" t="str">
        <x:v>Not contacted / unconfirmed</x:v>
      </x:c>
      <x:c r="AE2296" s="3" t="str">
        <x:v>No</x:v>
      </x:c>
      <x:c r="AF2296" s="3" t="str">
        <x:v>No</x:v>
      </x:c>
      <x:c r="AG2296" s="3"/>
      <x:c r="AH2296" s="3"/>
      <x:c r="AI2296" s="18"/>
      <x:c r="AJ2296" s="3" t="str">
        <x:v>CF2500-09CC311C6E6D</x:v>
      </x:c>
      <x:c r="AK2296" s="3" t="str">
        <x:v>private_real_estate_lender</x:v>
      </x:c>
      <x:c r="AL2296" s="19" t="n">
        <x:v>100000</x:v>
      </x:c>
      <x:c r="AM2296" s="19" t="n">
        <x:v>500000</x:v>
      </x:c>
      <x:c r="AN2296" s="3" t="str">
        <x:v>https://www.hardmoneyhome.com/lenders/view/raymond-c-green-companies</x:v>
      </x:c>
      <x:c r="AO2296" s="3" t="str">
        <x:v>public_directory.jsonl</x:v>
      </x:c>
      <x:c r="AP2296" s="19"/>
    </x:row>
    <x:row r="2297" ht="36" customHeight="1">
      <x:c r="A2297" s="23" t="n">
        <x:v>2296</x:v>
      </x:c>
      <x:c r="B2297" s="15" t="str">
        <x:v>RCN Capital</x:v>
      </x:c>
      <x:c r="C2297" s="15"/>
      <x:c r="D2297" s="15" t="str">
        <x:v>Property lender or directory member; operating-company capital unconfirmed</x:v>
      </x:c>
      <x:c r="E2297" s="15" t="str">
        <x:v>Property lender / private-money inquiry</x:v>
      </x:c>
      <x:c r="F2297" s="17" t="str">
        <x:v>New</x:v>
      </x:c>
      <x:c r="G2297" s="24" t="str">
        <x:v>leads@rcncapital.com</x:v>
      </x:c>
      <x:c r="H2297" s="24" t="str">
        <x:v>+18604325858</x:v>
      </x:c>
      <x:c r="I2297" s="24" t="str">
        <x:v>http://www.rcncapital.com/</x:v>
      </x:c>
      <x:c r="J2297" s="16" t="str">
        <x:v>CT</x:v>
      </x:c>
      <x:c r="K2297" s="16" t="str">
        <x:v>South Windsor</x:v>
      </x:c>
      <x:c r="L2297" s="16" t="str">
        <x:v>firm_business_routing</x:v>
      </x:c>
      <x:c r="M2297" s="16" t="str">
        <x:v>http://www.rcncapital.com/</x:v>
      </x:c>
      <x:c r="N2297" s="16" t="str">
        <x:v>Published source range; proposed allocation and structure require confirmation</x:v>
      </x:c>
      <x:c r="O2297" s="20"/>
      <x:c r="P2297" s="20" t="n">
        <x:v>2500000</x:v>
      </x:c>
      <x:c r="Q2297" s="25" t="str">
        <x:v>Property-loan range, not a corporate-capital commitment</x:v>
      </x:c>
      <x:c r="R2297" s="25" t="str">
        <x:v>Private real-estate finance experience. Corporate working capital, minority equity or profit participation requires a separate agreement from a property loan.</x:v>
      </x:c>
      <x:c r="S2297" s="25"/>
      <x:c r="T2297" s="25" t="str">
        <x:v>Confirm direct principal versus broker, $100K-$500K appetite, and whether capital can fund the operating company without a property mortgage.</x:v>
      </x:c>
      <x:c r="U2297" s="25" t="str">
        <x:v>https://www.hardmoneyhome.com/lenders/view/rcn-capital
https://privatelenderlink.com/profile/rcn-capital/
https://nplaconference.com/private-lending-directory/page/14/
https://rcncapital.com/</x:v>
      </x:c>
      <x:c r="V2297" s="26" t="d">
        <x:v>2026-10-02T00:00:00.000Z</x:v>
      </x:c>
      <x:c r="W2297" s="26" t="d">
        <x:v>2026-09-30T00:00:00.000Z</x:v>
      </x:c>
      <x:c r="X2297" s="25" t="str">
        <x:v>Saved public company, industry-directory or regulatory source; source date retained</x:v>
      </x:c>
      <x:c r="Y2297" s="25" t="str">
        <x:v>https://privatelenderlink.com/profile/rcn-capital/</x:v>
      </x:c>
      <x:c r="Z2297" s="25" t="str">
        <x:v>https://www.hardmoneyhome.com/lenders/view/rcn-capital</x:v>
      </x:c>
      <x:c r="AA2297" s="25" t="str">
        <x:v>[]</x:v>
      </x:c>
      <x:c r="AB2297" s="3" t="str">
        <x:v>Existing CapitalForge research, newly screened for this campaign</x:v>
      </x:c>
      <x:c r="AC2297" s="3" t="str">
        <x:v>unverified</x:v>
      </x:c>
      <x:c r="AD2297" s="3" t="str">
        <x:v>Not contacted / unconfirmed</x:v>
      </x:c>
      <x:c r="AE2297" s="3" t="str">
        <x:v>No</x:v>
      </x:c>
      <x:c r="AF2297" s="3" t="str">
        <x:v>No</x:v>
      </x:c>
      <x:c r="AG2297" s="3"/>
      <x:c r="AH2297" s="3"/>
      <x:c r="AI2297" s="18"/>
      <x:c r="AJ2297" s="3" t="str">
        <x:v>CF2500-4617CC257453</x:v>
      </x:c>
      <x:c r="AK2297" s="3" t="str">
        <x:v>private_real_estate_lender</x:v>
      </x:c>
      <x:c r="AL2297" s="19" t="n">
        <x:v>100000</x:v>
      </x:c>
      <x:c r="AM2297" s="19" t="n">
        <x:v>500000</x:v>
      </x:c>
      <x:c r="AN2297" s="3" t="str">
        <x:v>https://www.hardmoneyhome.com/lenders/view/rcn-capital</x:v>
      </x:c>
      <x:c r="AO2297" s="3" t="str">
        <x:v>public_directory.jsonl</x:v>
      </x:c>
      <x:c r="AP2297" s="19"/>
    </x:row>
    <x:row r="2298" ht="36" customHeight="1">
      <x:c r="A2298" s="23" t="n">
        <x:v>2297</x:v>
      </x:c>
      <x:c r="B2298" s="15" t="str">
        <x:v>ReCasa Financial Group</x:v>
      </x:c>
      <x:c r="C2298" s="15"/>
      <x:c r="D2298" s="15" t="str">
        <x:v>Property lender or directory member; operating-company capital unconfirmed</x:v>
      </x:c>
      <x:c r="E2298" s="15" t="str">
        <x:v>Property lender / private-money inquiry</x:v>
      </x:c>
      <x:c r="F2298" s="17" t="str">
        <x:v>New</x:v>
      </x:c>
      <x:c r="G2298" s="24" t="str">
        <x:v>info@recasafinancial.com</x:v>
      </x:c>
      <x:c r="H2298" s="24" t="str">
        <x:v>+16142216770</x:v>
      </x:c>
      <x:c r="I2298" s="24" t="str">
        <x:v>http://recasafinancial.com/</x:v>
      </x:c>
      <x:c r="J2298" s="16" t="str">
        <x:v>OH</x:v>
      </x:c>
      <x:c r="K2298" s="16" t="str">
        <x:v>Columbus</x:v>
      </x:c>
      <x:c r="L2298" s="16" t="str">
        <x:v>firm_business_routing</x:v>
      </x:c>
      <x:c r="M2298" s="16" t="str">
        <x:v>http://recasafinancial.com/</x:v>
      </x:c>
      <x:c r="N2298" s="16" t="str">
        <x:v>Published source range; proposed allocation and structure require confirmation</x:v>
      </x:c>
      <x:c r="O2298" s="20"/>
      <x:c r="P2298" s="20" t="n">
        <x:v>750000</x:v>
      </x:c>
      <x:c r="Q2298" s="25" t="str">
        <x:v>Property-loan range, not a corporate-capital commitment</x:v>
      </x:c>
      <x:c r="R2298" s="25" t="str">
        <x:v>Private real-estate finance experience. Corporate working capital, minority equity or profit participation requires a separate agreement from a property loan.</x:v>
      </x:c>
      <x:c r="S2298" s="25"/>
      <x:c r="T2298" s="25" t="str">
        <x:v>Confirm direct principal versus broker, $100K-$500K appetite, and whether capital can fund the operating company without a property mortgage.</x:v>
      </x:c>
      <x:c r="U2298" s="25" t="str">
        <x:v>https://www.hardmoneyhome.com/lenders/view/recasa-financial-group
http://recasafinancial.com/</x:v>
      </x:c>
      <x:c r="V2298" s="26" t="d">
        <x:v>2026-10-02T00:00:00.000Z</x:v>
      </x:c>
      <x:c r="W2298" s="26" t="d">
        <x:v>2026-09-30T00:00:00.000Z</x:v>
      </x:c>
      <x:c r="X2298" s="25" t="str">
        <x:v>Saved public company, industry-directory or regulatory source; source date retained</x:v>
      </x:c>
      <x:c r="Y2298" s="25" t="str">
        <x:v>http://recasafinancial.com/</x:v>
      </x:c>
      <x:c r="Z2298" s="25" t="str">
        <x:v>https://www.hardmoneyhome.com/lenders/view/recasa-financial-group</x:v>
      </x:c>
      <x:c r="AA2298" s="25" t="str">
        <x:v>[]</x:v>
      </x:c>
      <x:c r="AB2298" s="3" t="str">
        <x:v>Existing CapitalForge research, newly screened for this campaign</x:v>
      </x:c>
      <x:c r="AC2298" s="3" t="str">
        <x:v>unverified</x:v>
      </x:c>
      <x:c r="AD2298" s="3" t="str">
        <x:v>Not contacted / unconfirmed</x:v>
      </x:c>
      <x:c r="AE2298" s="3" t="str">
        <x:v>No</x:v>
      </x:c>
      <x:c r="AF2298" s="3" t="str">
        <x:v>No</x:v>
      </x:c>
      <x:c r="AG2298" s="3"/>
      <x:c r="AH2298" s="3"/>
      <x:c r="AI2298" s="18"/>
      <x:c r="AJ2298" s="3" t="str">
        <x:v>CF2500-BFD61592AA40</x:v>
      </x:c>
      <x:c r="AK2298" s="3" t="str">
        <x:v>private_real_estate_lender</x:v>
      </x:c>
      <x:c r="AL2298" s="19" t="n">
        <x:v>100000</x:v>
      </x:c>
      <x:c r="AM2298" s="19" t="n">
        <x:v>500000</x:v>
      </x:c>
      <x:c r="AN2298" s="3" t="str">
        <x:v>https://www.hardmoneyhome.com/lenders/view/recasa-financial-group</x:v>
      </x:c>
      <x:c r="AO2298" s="3" t="str">
        <x:v>public_directory.jsonl</x:v>
      </x:c>
      <x:c r="AP2298" s="19"/>
    </x:row>
    <x:row r="2299" ht="36" customHeight="1">
      <x:c r="A2299" s="23" t="n">
        <x:v>2298</x:v>
      </x:c>
      <x:c r="B2299" s="15" t="str">
        <x:v>Red Tower Capital</x:v>
      </x:c>
      <x:c r="C2299" s="15"/>
      <x:c r="D2299" s="15" t="str">
        <x:v>Property lender or directory member; operating-company capital unconfirmed</x:v>
      </x:c>
      <x:c r="E2299" s="15" t="str">
        <x:v>Property lender / private-money inquiry</x:v>
      </x:c>
      <x:c r="F2299" s="17" t="str">
        <x:v>New</x:v>
      </x:c>
      <x:c r="G2299" s="24" t="str">
        <x:v>pll@redtowercapital.com</x:v>
      </x:c>
      <x:c r="H2299" s="24" t="str">
        <x:v>+14158896900</x:v>
      </x:c>
      <x:c r="I2299" s="24" t="str">
        <x:v>http://www.redtowercapital.com/</x:v>
      </x:c>
      <x:c r="J2299" s="16" t="str">
        <x:v>CA</x:v>
      </x:c>
      <x:c r="K2299" s="16" t="str">
        <x:v>San Francisco</x:v>
      </x:c>
      <x:c r="L2299" s="16" t="str">
        <x:v>firm_business_routing</x:v>
      </x:c>
      <x:c r="M2299" s="16" t="str">
        <x:v>http://www.redtowercapital.com/</x:v>
      </x:c>
      <x:c r="N2299" s="16" t="str">
        <x:v>Published source range; proposed allocation and structure require confirmation</x:v>
      </x:c>
      <x:c r="O2299" s="20"/>
      <x:c r="P2299" s="20" t="n">
        <x:v>3000000</x:v>
      </x:c>
      <x:c r="Q2299" s="25" t="str">
        <x:v>Property-loan range, not a corporate-capital commitment</x:v>
      </x:c>
      <x:c r="R2299" s="25" t="str">
        <x:v>Private real-estate finance experience. Corporate working capital, minority equity or profit participation requires a separate agreement from a property loan.</x:v>
      </x:c>
      <x:c r="S2299" s="25"/>
      <x:c r="T2299" s="25" t="str">
        <x:v>Confirm direct principal versus broker, $100K-$500K appetite, and whether capital can fund the operating company without a property mortgage.</x:v>
      </x:c>
      <x:c r="U2299" s="25" t="str">
        <x:v>https://www.hardmoneyhome.com/lenders/view/red-tower-capital
https://privatelenderlink.com/profile/red-tower-capital/</x:v>
      </x:c>
      <x:c r="V2299" s="26" t="d">
        <x:v>2026-10-02T00:00:00.000Z</x:v>
      </x:c>
      <x:c r="W2299" s="26" t="d">
        <x:v>2026-09-30T00:00:00.000Z</x:v>
      </x:c>
      <x:c r="X2299" s="25" t="str">
        <x:v>Saved public company, industry-directory or regulatory source; source date retained</x:v>
      </x:c>
      <x:c r="Y2299" s="25" t="str">
        <x:v>https://privatelenderlink.com/profile/red-tower-capital/</x:v>
      </x:c>
      <x:c r="Z2299" s="25" t="str">
        <x:v>https://www.hardmoneyhome.com/lenders/view/red-tower-capital</x:v>
      </x:c>
      <x:c r="AA2299" s="25" t="str">
        <x:v>[]</x:v>
      </x:c>
      <x:c r="AB2299" s="3" t="str">
        <x:v>Existing CapitalForge research, newly screened for this campaign</x:v>
      </x:c>
      <x:c r="AC2299" s="3" t="str">
        <x:v>unverified</x:v>
      </x:c>
      <x:c r="AD2299" s="3" t="str">
        <x:v>Not contacted / unconfirmed</x:v>
      </x:c>
      <x:c r="AE2299" s="3" t="str">
        <x:v>No</x:v>
      </x:c>
      <x:c r="AF2299" s="3" t="str">
        <x:v>No</x:v>
      </x:c>
      <x:c r="AG2299" s="3"/>
      <x:c r="AH2299" s="3"/>
      <x:c r="AI2299" s="18"/>
      <x:c r="AJ2299" s="3" t="str">
        <x:v>CF2500-749E05DE656B</x:v>
      </x:c>
      <x:c r="AK2299" s="3" t="str">
        <x:v>private_real_estate_lender</x:v>
      </x:c>
      <x:c r="AL2299" s="19" t="n">
        <x:v>100000</x:v>
      </x:c>
      <x:c r="AM2299" s="19" t="n">
        <x:v>500000</x:v>
      </x:c>
      <x:c r="AN2299" s="3" t="str">
        <x:v>https://www.hardmoneyhome.com/lenders/view/red-tower-capital</x:v>
      </x:c>
      <x:c r="AO2299" s="3" t="str">
        <x:v>public_directory.jsonl</x:v>
      </x:c>
      <x:c r="AP2299" s="19"/>
    </x:row>
    <x:row r="2300" ht="36" customHeight="1">
      <x:c r="A2300" s="23" t="n">
        <x:v>2299</x:v>
      </x:c>
      <x:c r="B2300" s="15" t="str">
        <x:v>Rehab Financial Group</x:v>
      </x:c>
      <x:c r="C2300" s="15"/>
      <x:c r="D2300" s="15" t="str">
        <x:v>Property lender or directory member; operating-company capital unconfirmed</x:v>
      </x:c>
      <x:c r="E2300" s="15" t="str">
        <x:v>Property lender / private-money inquiry</x:v>
      </x:c>
      <x:c r="F2300" s="17" t="str">
        <x:v>New</x:v>
      </x:c>
      <x:c r="G2300" s="24" t="str">
        <x:v>rfgpll@rehabfinancial.com</x:v>
      </x:c>
      <x:c r="H2300" s="24" t="str">
        <x:v>+18779600207</x:v>
      </x:c>
      <x:c r="I2300" s="24" t="str">
        <x:v>http://rehabfinancial.com/</x:v>
      </x:c>
      <x:c r="J2300" s="16" t="str">
        <x:v>PA</x:v>
      </x:c>
      <x:c r="K2300" s="16" t="str">
        <x:v>Rosemont</x:v>
      </x:c>
      <x:c r="L2300" s="16" t="str">
        <x:v>firm_business_routing</x:v>
      </x:c>
      <x:c r="M2300" s="16" t="str">
        <x:v>http://rehabfinancial.com/</x:v>
      </x:c>
      <x:c r="N2300" s="16" t="str">
        <x:v>Published source range; proposed allocation and structure require confirmation</x:v>
      </x:c>
      <x:c r="O2300" s="20"/>
      <x:c r="P2300" s="20" t="n">
        <x:v>2000000</x:v>
      </x:c>
      <x:c r="Q2300" s="25" t="str">
        <x:v>Property-loan range, not a corporate-capital commitment</x:v>
      </x:c>
      <x:c r="R2300" s="25" t="str">
        <x:v>Private real-estate finance experience. Corporate working capital, minority equity or profit participation requires a separate agreement from a property loan.</x:v>
      </x:c>
      <x:c r="S2300" s="25"/>
      <x:c r="T2300" s="25" t="str">
        <x:v>Confirm direct principal versus broker, $100K-$500K appetite, and whether capital can fund the operating company without a property mortgage.</x:v>
      </x:c>
      <x:c r="U2300" s="25" t="str">
        <x:v>https://www.hardmoneyhome.com/lenders/view/rehab-financial-group
https://privatelenderlink.com/profile/rehab-financial-group/
https://nplaconference.com/private-lending-directory/page/14/
https://rehabfinancial.com/</x:v>
      </x:c>
      <x:c r="V2300" s="26" t="d">
        <x:v>2026-10-02T00:00:00.000Z</x:v>
      </x:c>
      <x:c r="W2300" s="26" t="d">
        <x:v>2026-09-30T00:00:00.000Z</x:v>
      </x:c>
      <x:c r="X2300" s="25" t="str">
        <x:v>Saved public company, industry-directory or regulatory source; source date retained</x:v>
      </x:c>
      <x:c r="Y2300" s="25" t="str">
        <x:v>https://privatelenderlink.com/profile/rehab-financial-group/</x:v>
      </x:c>
      <x:c r="Z2300" s="25" t="str">
        <x:v>https://www.hardmoneyhome.com/lenders/view/rehab-financial-group</x:v>
      </x:c>
      <x:c r="AA2300" s="25" t="str">
        <x:v>[]</x:v>
      </x:c>
      <x:c r="AB2300" s="3" t="str">
        <x:v>Existing CapitalForge research, newly screened for this campaign</x:v>
      </x:c>
      <x:c r="AC2300" s="3" t="str">
        <x:v>unverified</x:v>
      </x:c>
      <x:c r="AD2300" s="3" t="str">
        <x:v>Not contacted / unconfirmed</x:v>
      </x:c>
      <x:c r="AE2300" s="3" t="str">
        <x:v>No</x:v>
      </x:c>
      <x:c r="AF2300" s="3" t="str">
        <x:v>No</x:v>
      </x:c>
      <x:c r="AG2300" s="3"/>
      <x:c r="AH2300" s="3"/>
      <x:c r="AI2300" s="18"/>
      <x:c r="AJ2300" s="3" t="str">
        <x:v>CF2500-65ADBA07D33A</x:v>
      </x:c>
      <x:c r="AK2300" s="3" t="str">
        <x:v>private_real_estate_lender</x:v>
      </x:c>
      <x:c r="AL2300" s="19" t="n">
        <x:v>100000</x:v>
      </x:c>
      <x:c r="AM2300" s="19" t="n">
        <x:v>500000</x:v>
      </x:c>
      <x:c r="AN2300" s="3" t="str">
        <x:v>https://www.hardmoneyhome.com/lenders/view/rehab-financial-group</x:v>
      </x:c>
      <x:c r="AO2300" s="3" t="str">
        <x:v>public_directory.jsonl</x:v>
      </x:c>
      <x:c r="AP2300" s="19"/>
    </x:row>
    <x:row r="2301" ht="36" customHeight="1">
      <x:c r="A2301" s="23" t="n">
        <x:v>2300</x:v>
      </x:c>
      <x:c r="B2301" s="15" t="str">
        <x:v>Restoration Capital, LLC</x:v>
      </x:c>
      <x:c r="C2301" s="15"/>
      <x:c r="D2301" s="15" t="str">
        <x:v>Property lender or directory member; operating-company capital unconfirmed</x:v>
      </x:c>
      <x:c r="E2301" s="15" t="str">
        <x:v>Property lender / private-money inquiry</x:v>
      </x:c>
      <x:c r="F2301" s="17" t="str">
        <x:v>New</x:v>
      </x:c>
      <x:c r="G2301" s="24" t="str">
        <x:v>loans@restorationcapital.com</x:v>
      </x:c>
      <x:c r="H2301" s="24" t="str">
        <x:v>+17033759937</x:v>
      </x:c>
      <x:c r="I2301" s="24" t="str">
        <x:v>http://restorationcapital.com</x:v>
      </x:c>
      <x:c r="J2301" s="16" t="str">
        <x:v>VA</x:v>
      </x:c>
      <x:c r="K2301" s="16" t="str">
        <x:v>Chantilly</x:v>
      </x:c>
      <x:c r="L2301" s="16" t="str">
        <x:v>firm_business_routing</x:v>
      </x:c>
      <x:c r="M2301" s="16" t="str">
        <x:v>http://restorationcapital.com</x:v>
      </x:c>
      <x:c r="N2301" s="16" t="str">
        <x:v>Published source range; proposed allocation and structure require confirmation</x:v>
      </x:c>
      <x:c r="O2301" s="20"/>
      <x:c r="P2301" s="20" t="n">
        <x:v>1000000</x:v>
      </x:c>
      <x:c r="Q2301" s="25" t="str">
        <x:v>Property-loan range, not a corporate-capital commitment</x:v>
      </x:c>
      <x:c r="R2301" s="25" t="str">
        <x:v>Private real-estate finance experience. Corporate working capital, minority equity or profit participation requires a separate agreement from a property loan.</x:v>
      </x:c>
      <x:c r="S2301" s="25"/>
      <x:c r="T2301" s="25" t="str">
        <x:v>Confirm direct principal versus broker, $100K-$500K appetite, and whether capital can fund the operating company without a property mortgage.</x:v>
      </x:c>
      <x:c r="U2301" s="25" t="str">
        <x:v>https://www.hardmoneyhome.com/lenders/view/restoration-capital-llc
https://restorationcapital.com</x:v>
      </x:c>
      <x:c r="V2301" s="26" t="d">
        <x:v>2026-10-02T00:00:00.000Z</x:v>
      </x:c>
      <x:c r="W2301" s="26" t="d">
        <x:v>2026-09-30T00:00:00.000Z</x:v>
      </x:c>
      <x:c r="X2301" s="25" t="str">
        <x:v>Saved public company, industry-directory or regulatory source; source date retained</x:v>
      </x:c>
      <x:c r="Y2301" s="25" t="str">
        <x:v>https://restorationcapital.com</x:v>
      </x:c>
      <x:c r="Z2301" s="25" t="str">
        <x:v>https://www.hardmoneyhome.com/lenders/view/restoration-capital-llc</x:v>
      </x:c>
      <x:c r="AA2301" s="25" t="str">
        <x:v>[]</x:v>
      </x:c>
      <x:c r="AB2301" s="3" t="str">
        <x:v>Existing CapitalForge research, newly screened for this campaign</x:v>
      </x:c>
      <x:c r="AC2301" s="3" t="str">
        <x:v>unverified</x:v>
      </x:c>
      <x:c r="AD2301" s="3" t="str">
        <x:v>Not contacted / unconfirmed</x:v>
      </x:c>
      <x:c r="AE2301" s="3" t="str">
        <x:v>No</x:v>
      </x:c>
      <x:c r="AF2301" s="3" t="str">
        <x:v>No</x:v>
      </x:c>
      <x:c r="AG2301" s="3"/>
      <x:c r="AH2301" s="3"/>
      <x:c r="AI2301" s="18"/>
      <x:c r="AJ2301" s="3" t="str">
        <x:v>CF2500-03DA11E7F8FA</x:v>
      </x:c>
      <x:c r="AK2301" s="3" t="str">
        <x:v>private_real_estate_lender</x:v>
      </x:c>
      <x:c r="AL2301" s="19" t="n">
        <x:v>100000</x:v>
      </x:c>
      <x:c r="AM2301" s="19" t="n">
        <x:v>500000</x:v>
      </x:c>
      <x:c r="AN2301" s="3" t="str">
        <x:v>https://www.hardmoneyhome.com/lenders/view/restoration-capital-llc</x:v>
      </x:c>
      <x:c r="AO2301" s="3" t="str">
        <x:v>public_directory.jsonl</x:v>
      </x:c>
      <x:c r="AP2301" s="19"/>
    </x:row>
    <x:row r="2302" ht="36" customHeight="1">
      <x:c r="A2302" s="23" t="n">
        <x:v>2301</x:v>
      </x:c>
      <x:c r="B2302" s="15" t="str">
        <x:v>RevitaLending</x:v>
      </x:c>
      <x:c r="C2302" s="15"/>
      <x:c r="D2302" s="15" t="str">
        <x:v>Property lender or directory member; operating-company capital unconfirmed</x:v>
      </x:c>
      <x:c r="E2302" s="15" t="str">
        <x:v>Property lender / private-money inquiry</x:v>
      </x:c>
      <x:c r="F2302" s="17" t="str">
        <x:v>New</x:v>
      </x:c>
      <x:c r="G2302" s="24" t="str">
        <x:v>info@revitalending.com</x:v>
      </x:c>
      <x:c r="H2302" s="24" t="str">
        <x:v>+12025707050</x:v>
      </x:c>
      <x:c r="I2302" s="24" t="str">
        <x:v>http://www.revitalending.com</x:v>
      </x:c>
      <x:c r="J2302" s="16" t="str">
        <x:v>DC</x:v>
      </x:c>
      <x:c r="K2302" s="16" t="str">
        <x:v>Washington DC</x:v>
      </x:c>
      <x:c r="L2302" s="16" t="str">
        <x:v>firm_business_routing</x:v>
      </x:c>
      <x:c r="M2302" s="16" t="str">
        <x:v>http://www.revitalending.com</x:v>
      </x:c>
      <x:c r="N2302" s="16" t="str">
        <x:v>Published source range; proposed allocation and structure require confirmation</x:v>
      </x:c>
      <x:c r="O2302" s="20"/>
      <x:c r="P2302" s="20" t="n">
        <x:v>5000000</x:v>
      </x:c>
      <x:c r="Q2302" s="25" t="str">
        <x:v>Property-loan range, not a corporate-capital commitment</x:v>
      </x:c>
      <x:c r="R2302" s="25" t="str">
        <x:v>Private real-estate finance experience. Corporate working capital, minority equity or profit participation requires a separate agreement from a property loan.</x:v>
      </x:c>
      <x:c r="S2302" s="25"/>
      <x:c r="T2302" s="25" t="str">
        <x:v>Confirm direct principal versus broker, $100K-$500K appetite, and whether capital can fund the operating company without a property mortgage.</x:v>
      </x:c>
      <x:c r="U2302" s="25" t="str">
        <x:v>https://www.hardmoneyhome.com/lenders/view/revitalending
https://www.revitalending.com</x:v>
      </x:c>
      <x:c r="V2302" s="26" t="d">
        <x:v>2026-10-02T00:00:00.000Z</x:v>
      </x:c>
      <x:c r="W2302" s="26" t="d">
        <x:v>2026-09-30T00:00:00.000Z</x:v>
      </x:c>
      <x:c r="X2302" s="25" t="str">
        <x:v>Saved public company, industry-directory or regulatory source; source date retained</x:v>
      </x:c>
      <x:c r="Y2302" s="25" t="str">
        <x:v>https://www.revitalending.com</x:v>
      </x:c>
      <x:c r="Z2302" s="25" t="str">
        <x:v>https://www.hardmoneyhome.com/lenders/view/revitalending</x:v>
      </x:c>
      <x:c r="AA2302" s="25" t="str">
        <x:v>[]</x:v>
      </x:c>
      <x:c r="AB2302" s="3" t="str">
        <x:v>Existing CapitalForge research, newly screened for this campaign</x:v>
      </x:c>
      <x:c r="AC2302" s="3" t="str">
        <x:v>unverified</x:v>
      </x:c>
      <x:c r="AD2302" s="3" t="str">
        <x:v>Not contacted / unconfirmed</x:v>
      </x:c>
      <x:c r="AE2302" s="3" t="str">
        <x:v>No</x:v>
      </x:c>
      <x:c r="AF2302" s="3" t="str">
        <x:v>No</x:v>
      </x:c>
      <x:c r="AG2302" s="3"/>
      <x:c r="AH2302" s="3"/>
      <x:c r="AI2302" s="18"/>
      <x:c r="AJ2302" s="3" t="str">
        <x:v>CF2500-5A6E0FD0E3C7</x:v>
      </x:c>
      <x:c r="AK2302" s="3" t="str">
        <x:v>private_real_estate_lender</x:v>
      </x:c>
      <x:c r="AL2302" s="19" t="n">
        <x:v>100000</x:v>
      </x:c>
      <x:c r="AM2302" s="19" t="n">
        <x:v>500000</x:v>
      </x:c>
      <x:c r="AN2302" s="3" t="str">
        <x:v>https://www.hardmoneyhome.com/lenders/view/revitalending</x:v>
      </x:c>
      <x:c r="AO2302" s="3" t="str">
        <x:v>public_directory.jsonl</x:v>
      </x:c>
      <x:c r="AP2302" s="19"/>
    </x:row>
    <x:row r="2303" ht="36" customHeight="1">
      <x:c r="A2303" s="23" t="n">
        <x:v>2302</x:v>
      </x:c>
      <x:c r="B2303" s="15" t="str">
        <x:v>Richard Tifone</x:v>
      </x:c>
      <x:c r="C2303" s="15"/>
      <x:c r="D2303" s="15" t="str">
        <x:v>Property lender or directory member; operating-company capital unconfirmed</x:v>
      </x:c>
      <x:c r="E2303" s="15" t="str">
        <x:v>Property lender / private-money inquiry</x:v>
      </x:c>
      <x:c r="F2303" s="17" t="str">
        <x:v>New</x:v>
      </x:c>
      <x:c r="G2303" s="24" t="str">
        <x:v>info@hardmoneypgh.com</x:v>
      </x:c>
      <x:c r="H2303" s="24" t="str">
        <x:v>+14124927495</x:v>
      </x:c>
      <x:c r="I2303" s="24" t="str">
        <x:v>http://www.hardmoneypgh.com/</x:v>
      </x:c>
      <x:c r="J2303" s="16" t="str">
        <x:v>PA</x:v>
      </x:c>
      <x:c r="K2303" s="16" t="str">
        <x:v>Gibsonia</x:v>
      </x:c>
      <x:c r="L2303" s="16" t="str">
        <x:v>firm_business_routing</x:v>
      </x:c>
      <x:c r="M2303" s="16" t="str">
        <x:v>http://www.hardmoneypgh.com/</x:v>
      </x:c>
      <x:c r="N2303" s="16" t="str">
        <x:v>Published source range; proposed allocation and structure require confirmation</x:v>
      </x:c>
      <x:c r="O2303" s="20"/>
      <x:c r="P2303" s="20" t="n">
        <x:v>600000</x:v>
      </x:c>
      <x:c r="Q2303" s="25" t="str">
        <x:v>Property-loan range, not a corporate-capital commitment</x:v>
      </x:c>
      <x:c r="R2303" s="25" t="str">
        <x:v>Private real-estate finance experience. Corporate working capital, minority equity or profit participation requires a separate agreement from a property loan.</x:v>
      </x:c>
      <x:c r="S2303" s="25"/>
      <x:c r="T2303" s="25" t="str">
        <x:v>Confirm direct principal versus broker, $100K-$500K appetite, and whether capital can fund the operating company without a property mortgage.</x:v>
      </x:c>
      <x:c r="U2303" s="25" t="str">
        <x:v>https://www.hardmoneyhome.com/lenders/view/richard-tifone
https://www.hardmoneypgh.com/
https://www.privatelendersdirectory.com/united-states/pittsburgh/top-level-category/hard-money-pittsburgh</x:v>
      </x:c>
      <x:c r="V2303" s="26" t="d">
        <x:v>2026-10-02T00:00:00.000Z</x:v>
      </x:c>
      <x:c r="W2303" s="26" t="d">
        <x:v>2026-09-30T00:00:00.000Z</x:v>
      </x:c>
      <x:c r="X2303" s="25" t="str">
        <x:v>Saved public company, industry-directory or regulatory source; source date retained</x:v>
      </x:c>
      <x:c r="Y2303" s="25" t="str">
        <x:v>https://www.hardmoneypgh.com/</x:v>
      </x:c>
      <x:c r="Z2303" s="25" t="str">
        <x:v>https://www.hardmoneyhome.com/lenders/view/richard-tifone</x:v>
      </x:c>
      <x:c r="AA2303" s="25" t="str">
        <x:v>[]</x:v>
      </x:c>
      <x:c r="AB2303" s="3" t="str">
        <x:v>Existing CapitalForge research, newly screened for this campaign</x:v>
      </x:c>
      <x:c r="AC2303" s="3" t="str">
        <x:v>unverified</x:v>
      </x:c>
      <x:c r="AD2303" s="3" t="str">
        <x:v>Not contacted / unconfirmed</x:v>
      </x:c>
      <x:c r="AE2303" s="3" t="str">
        <x:v>No</x:v>
      </x:c>
      <x:c r="AF2303" s="3" t="str">
        <x:v>No</x:v>
      </x:c>
      <x:c r="AG2303" s="3"/>
      <x:c r="AH2303" s="3"/>
      <x:c r="AI2303" s="18"/>
      <x:c r="AJ2303" s="3" t="str">
        <x:v>CF2500-ADAAE635843F</x:v>
      </x:c>
      <x:c r="AK2303" s="3" t="str">
        <x:v>private_real_estate_lender</x:v>
      </x:c>
      <x:c r="AL2303" s="19" t="n">
        <x:v>100000</x:v>
      </x:c>
      <x:c r="AM2303" s="19" t="n">
        <x:v>500000</x:v>
      </x:c>
      <x:c r="AN2303" s="3" t="str">
        <x:v>https://www.hardmoneyhome.com/lenders/view/richard-tifone</x:v>
      </x:c>
      <x:c r="AO2303" s="3" t="str">
        <x:v>public_directory.jsonl</x:v>
      </x:c>
      <x:c r="AP2303" s="19"/>
    </x:row>
    <x:row r="2304" ht="36" customHeight="1">
      <x:c r="A2304" s="23" t="n">
        <x:v>2303</x:v>
      </x:c>
      <x:c r="B2304" s="15" t="str">
        <x:v>Rubicon Mortgage Fund</x:v>
      </x:c>
      <x:c r="C2304" s="15"/>
      <x:c r="D2304" s="15" t="str">
        <x:v>Property lender or directory member; operating-company capital unconfirmed</x:v>
      </x:c>
      <x:c r="E2304" s="15" t="str">
        <x:v>Property lender / private-money inquiry</x:v>
      </x:c>
      <x:c r="F2304" s="17" t="str">
        <x:v>New</x:v>
      </x:c>
      <x:c r="G2304" s="24" t="str">
        <x:v>vance@rubiconfund.net</x:v>
      </x:c>
      <x:c r="H2304" s="24" t="str">
        <x:v>+19252838919</x:v>
      </x:c>
      <x:c r="I2304" s="24" t="str">
        <x:v>https://www.rubiconfund.net/</x:v>
      </x:c>
      <x:c r="J2304" s="16" t="str">
        <x:v>CA</x:v>
      </x:c>
      <x:c r="K2304" s="16" t="str">
        <x:v>Lafayette</x:v>
      </x:c>
      <x:c r="L2304" s="16" t="str">
        <x:v>firm_business_routing</x:v>
      </x:c>
      <x:c r="M2304" s="16" t="str">
        <x:v>https://www.rubiconfund.net/</x:v>
      </x:c>
      <x:c r="N2304" s="16" t="str">
        <x:v>Published source range; proposed allocation and structure require confirmation</x:v>
      </x:c>
      <x:c r="O2304" s="20"/>
      <x:c r="P2304" s="20" t="n">
        <x:v>10000000</x:v>
      </x:c>
      <x:c r="Q2304" s="25" t="str">
        <x:v>Property-loan range, not a corporate-capital commitment</x:v>
      </x:c>
      <x:c r="R2304" s="25" t="str">
        <x:v>Private real-estate finance experience. Corporate working capital, minority equity or profit participation requires a separate agreement from a property loan.</x:v>
      </x:c>
      <x:c r="S2304" s="25"/>
      <x:c r="T2304" s="25" t="str">
        <x:v>Confirm direct principal versus broker, $100K-$500K appetite, and whether capital can fund the operating company without a property mortgage.</x:v>
      </x:c>
      <x:c r="U2304" s="25" t="str">
        <x:v>https://www.hardmoneyhome.com/lenders/view/rubicon-mortgage-fund
https://privatelenderlink.com/profile/rubicon-mortgage-fund/</x:v>
      </x:c>
      <x:c r="V2304" s="26" t="d">
        <x:v>2026-10-02T00:00:00.000Z</x:v>
      </x:c>
      <x:c r="W2304" s="26" t="d">
        <x:v>2026-09-30T00:00:00.000Z</x:v>
      </x:c>
      <x:c r="X2304" s="25" t="str">
        <x:v>Saved public company, industry-directory or regulatory source; source date retained</x:v>
      </x:c>
      <x:c r="Y2304" s="25" t="str">
        <x:v>https://privatelenderlink.com/profile/rubicon-mortgage-fund/</x:v>
      </x:c>
      <x:c r="Z2304" s="25" t="str">
        <x:v>https://www.hardmoneyhome.com/lenders/view/rubicon-mortgage-fund</x:v>
      </x:c>
      <x:c r="AA2304" s="25" t="str">
        <x:v>[]</x:v>
      </x:c>
      <x:c r="AB2304" s="3" t="str">
        <x:v>Existing CapitalForge research, newly screened for this campaign</x:v>
      </x:c>
      <x:c r="AC2304" s="3" t="str">
        <x:v>unverified</x:v>
      </x:c>
      <x:c r="AD2304" s="3" t="str">
        <x:v>Not contacted / unconfirmed</x:v>
      </x:c>
      <x:c r="AE2304" s="3" t="str">
        <x:v>No</x:v>
      </x:c>
      <x:c r="AF2304" s="3" t="str">
        <x:v>No</x:v>
      </x:c>
      <x:c r="AG2304" s="3"/>
      <x:c r="AH2304" s="3"/>
      <x:c r="AI2304" s="18"/>
      <x:c r="AJ2304" s="3" t="str">
        <x:v>CF2500-D925294FAB21</x:v>
      </x:c>
      <x:c r="AK2304" s="3" t="str">
        <x:v>private_real_estate_lender</x:v>
      </x:c>
      <x:c r="AL2304" s="19" t="n">
        <x:v>100000</x:v>
      </x:c>
      <x:c r="AM2304" s="19" t="n">
        <x:v>500000</x:v>
      </x:c>
      <x:c r="AN2304" s="3" t="str">
        <x:v>https://www.hardmoneyhome.com/lenders/view/rubicon-mortgage-fund</x:v>
      </x:c>
      <x:c r="AO2304" s="3" t="str">
        <x:v>public_directory.jsonl</x:v>
      </x:c>
      <x:c r="AP2304" s="19"/>
    </x:row>
    <x:row r="2305" ht="36" customHeight="1">
      <x:c r="A2305" s="23" t="n">
        <x:v>2304</x:v>
      </x:c>
      <x:c r="B2305" s="15" t="str">
        <x:v>Sequoian Investments</x:v>
      </x:c>
      <x:c r="C2305" s="15"/>
      <x:c r="D2305" s="15" t="str">
        <x:v>Property lender or directory member; operating-company capital unconfirmed</x:v>
      </x:c>
      <x:c r="E2305" s="15" t="str">
        <x:v>Property lender / private-money inquiry</x:v>
      </x:c>
      <x:c r="F2305" s="17" t="str">
        <x:v>New</x:v>
      </x:c>
      <x:c r="G2305" s="24" t="str">
        <x:v>contact@sequ.com</x:v>
      </x:c>
      <x:c r="H2305" s="24" t="str">
        <x:v>+16199614100</x:v>
      </x:c>
      <x:c r="I2305" s="24" t="str">
        <x:v>https://sequ.com/</x:v>
      </x:c>
      <x:c r="J2305" s="16" t="str">
        <x:v>CA</x:v>
      </x:c>
      <x:c r="K2305" s="16" t="str">
        <x:v>San Diego</x:v>
      </x:c>
      <x:c r="L2305" s="16" t="str">
        <x:v>firm_business_routing</x:v>
      </x:c>
      <x:c r="M2305" s="16" t="str">
        <x:v>https://sequ.com/</x:v>
      </x:c>
      <x:c r="N2305" s="16" t="str">
        <x:v>Published source range; proposed allocation and structure require confirmation</x:v>
      </x:c>
      <x:c r="O2305" s="20"/>
      <x:c r="P2305" s="20" t="n">
        <x:v>2000000</x:v>
      </x:c>
      <x:c r="Q2305" s="25" t="str">
        <x:v>Property-loan range, not a corporate-capital commitment</x:v>
      </x:c>
      <x:c r="R2305" s="25" t="str">
        <x:v>Private real-estate finance experience. Corporate working capital, minority equity or profit participation requires a separate agreement from a property loan.</x:v>
      </x:c>
      <x:c r="S2305" s="25"/>
      <x:c r="T2305" s="25" t="str">
        <x:v>Confirm direct principal versus broker, $100K-$500K appetite, and whether capital can fund the operating company without a property mortgage.</x:v>
      </x:c>
      <x:c r="U2305" s="25" t="str">
        <x:v>https://www.hardmoneyhome.com/lenders/view/sequoian-investments
https://www.sequ.com/contact</x:v>
      </x:c>
      <x:c r="V2305" s="26" t="d">
        <x:v>2026-10-02T00:00:00.000Z</x:v>
      </x:c>
      <x:c r="W2305" s="26" t="d">
        <x:v>2026-09-30T00:00:00.000Z</x:v>
      </x:c>
      <x:c r="X2305" s="25" t="str">
        <x:v>Saved public company, industry-directory or regulatory source; source date retained</x:v>
      </x:c>
      <x:c r="Y2305" s="25" t="str">
        <x:v>https://www.sequ.com/contact</x:v>
      </x:c>
      <x:c r="Z2305" s="25" t="str">
        <x:v>https://www.hardmoneyhome.com/lenders/view/sequoian-investments</x:v>
      </x:c>
      <x:c r="AA2305" s="25" t="str">
        <x:v>[]</x:v>
      </x:c>
      <x:c r="AB2305" s="3" t="str">
        <x:v>Existing CapitalForge research, newly screened for this campaign</x:v>
      </x:c>
      <x:c r="AC2305" s="3" t="str">
        <x:v>unverified</x:v>
      </x:c>
      <x:c r="AD2305" s="3" t="str">
        <x:v>Not contacted / unconfirmed</x:v>
      </x:c>
      <x:c r="AE2305" s="3" t="str">
        <x:v>No</x:v>
      </x:c>
      <x:c r="AF2305" s="3" t="str">
        <x:v>No</x:v>
      </x:c>
      <x:c r="AG2305" s="3"/>
      <x:c r="AH2305" s="3"/>
      <x:c r="AI2305" s="18"/>
      <x:c r="AJ2305" s="3" t="str">
        <x:v>CF2500-2B0E9CC3EC09</x:v>
      </x:c>
      <x:c r="AK2305" s="3" t="str">
        <x:v>private_real_estate_lender</x:v>
      </x:c>
      <x:c r="AL2305" s="19" t="n">
        <x:v>100000</x:v>
      </x:c>
      <x:c r="AM2305" s="19" t="n">
        <x:v>500000</x:v>
      </x:c>
      <x:c r="AN2305" s="3" t="str">
        <x:v>https://www.hardmoneyhome.com/lenders/view/sequoian-investments</x:v>
      </x:c>
      <x:c r="AO2305" s="3" t="str">
        <x:v>public_directory.jsonl</x:v>
      </x:c>
      <x:c r="AP2305" s="19"/>
    </x:row>
    <x:row r="2306" ht="36" customHeight="1">
      <x:c r="A2306" s="23" t="n">
        <x:v>2305</x:v>
      </x:c>
      <x:c r="B2306" s="15" t="str">
        <x:v>Sharestates</x:v>
      </x:c>
      <x:c r="C2306" s="15"/>
      <x:c r="D2306" s="15" t="str">
        <x:v>Property lender or directory member; operating-company capital unconfirmed</x:v>
      </x:c>
      <x:c r="E2306" s="15" t="str">
        <x:v>Property lender / private-money inquiry</x:v>
      </x:c>
      <x:c r="F2306" s="17" t="str">
        <x:v>New</x:v>
      </x:c>
      <x:c r="G2306" s="24" t="str">
        <x:v>jredding@sharestates.com</x:v>
      </x:c>
      <x:c r="H2306" s="24" t="str">
        <x:v>+12122010750</x:v>
      </x:c>
      <x:c r="I2306" s="24" t="str">
        <x:v>http://www.sharestates.com/</x:v>
      </x:c>
      <x:c r="J2306" s="16" t="str">
        <x:v>NY</x:v>
      </x:c>
      <x:c r="K2306" s="16" t="str">
        <x:v>Great Neck</x:v>
      </x:c>
      <x:c r="L2306" s="16" t="str">
        <x:v>firm_business_routing</x:v>
      </x:c>
      <x:c r="M2306" s="16" t="str">
        <x:v>http://www.sharestates.com/</x:v>
      </x:c>
      <x:c r="N2306" s="16" t="str">
        <x:v>Published source range; proposed allocation and structure require confirmation</x:v>
      </x:c>
      <x:c r="O2306" s="20"/>
      <x:c r="P2306" s="20" t="n">
        <x:v>5000000</x:v>
      </x:c>
      <x:c r="Q2306" s="25" t="str">
        <x:v>Property-loan range, not a corporate-capital commitment</x:v>
      </x:c>
      <x:c r="R2306" s="25" t="str">
        <x:v>Private real-estate finance experience. Corporate working capital, minority equity or profit participation requires a separate agreement from a property loan.</x:v>
      </x:c>
      <x:c r="S2306" s="25"/>
      <x:c r="T2306" s="25" t="str">
        <x:v>Confirm direct principal versus broker, $100K-$500K appetite, and whether capital can fund the operating company without a property mortgage.</x:v>
      </x:c>
      <x:c r="U2306" s="25" t="str">
        <x:v>https://www.hardmoneyhome.com/lenders/view/sharestates
https://privatelenderlink.com/profile/sharestates/</x:v>
      </x:c>
      <x:c r="V2306" s="26" t="d">
        <x:v>2026-10-02T00:00:00.000Z</x:v>
      </x:c>
      <x:c r="W2306" s="26" t="d">
        <x:v>2026-09-30T00:00:00.000Z</x:v>
      </x:c>
      <x:c r="X2306" s="25" t="str">
        <x:v>Saved public company, industry-directory or regulatory source; source date retained</x:v>
      </x:c>
      <x:c r="Y2306" s="25" t="str">
        <x:v>https://privatelenderlink.com/profile/sharestates/</x:v>
      </x:c>
      <x:c r="Z2306" s="25" t="str">
        <x:v>https://www.hardmoneyhome.com/lenders/view/sharestates</x:v>
      </x:c>
      <x:c r="AA2306" s="25" t="str">
        <x:v>[]</x:v>
      </x:c>
      <x:c r="AB2306" s="3" t="str">
        <x:v>Existing CapitalForge research, newly screened for this campaign</x:v>
      </x:c>
      <x:c r="AC2306" s="3" t="str">
        <x:v>unverified</x:v>
      </x:c>
      <x:c r="AD2306" s="3" t="str">
        <x:v>Not contacted / unconfirmed</x:v>
      </x:c>
      <x:c r="AE2306" s="3" t="str">
        <x:v>No</x:v>
      </x:c>
      <x:c r="AF2306" s="3" t="str">
        <x:v>No</x:v>
      </x:c>
      <x:c r="AG2306" s="3"/>
      <x:c r="AH2306" s="3"/>
      <x:c r="AI2306" s="18"/>
      <x:c r="AJ2306" s="3" t="str">
        <x:v>CF2500-7DCB84A6061A</x:v>
      </x:c>
      <x:c r="AK2306" s="3" t="str">
        <x:v>private_real_estate_lender</x:v>
      </x:c>
      <x:c r="AL2306" s="19" t="n">
        <x:v>100000</x:v>
      </x:c>
      <x:c r="AM2306" s="19" t="n">
        <x:v>500000</x:v>
      </x:c>
      <x:c r="AN2306" s="3" t="str">
        <x:v>https://www.hardmoneyhome.com/lenders/view/sharestates</x:v>
      </x:c>
      <x:c r="AO2306" s="3" t="str">
        <x:v>public_directory.jsonl</x:v>
      </x:c>
      <x:c r="AP2306" s="19"/>
    </x:row>
    <x:row r="2307" ht="36" customHeight="1">
      <x:c r="A2307" s="23" t="n">
        <x:v>2306</x:v>
      </x:c>
      <x:c r="B2307" s="15" t="str">
        <x:v>Singer Financial Corp</x:v>
      </x:c>
      <x:c r="C2307" s="15"/>
      <x:c r="D2307" s="15" t="str">
        <x:v>Property lender or directory member; operating-company capital unconfirmed</x:v>
      </x:c>
      <x:c r="E2307" s="15" t="str">
        <x:v>Property lender / private-money inquiry</x:v>
      </x:c>
      <x:c r="F2307" s="17" t="str">
        <x:v>New</x:v>
      </x:c>
      <x:c r="G2307" s="24" t="str">
        <x:v>paul@singerfinancial.com</x:v>
      </x:c>
      <x:c r="H2307" s="24" t="str">
        <x:v>+12158939722</x:v>
      </x:c>
      <x:c r="I2307" s="24" t="str">
        <x:v>http://www.singerfinancial.com/</x:v>
      </x:c>
      <x:c r="J2307" s="16" t="str">
        <x:v>PA</x:v>
      </x:c>
      <x:c r="K2307" s="16" t="str">
        <x:v>Philadelphia</x:v>
      </x:c>
      <x:c r="L2307" s="16" t="str">
        <x:v>firm_business_routing</x:v>
      </x:c>
      <x:c r="M2307" s="16" t="str">
        <x:v>http://www.singerfinancial.com/</x:v>
      </x:c>
      <x:c r="N2307" s="16" t="str">
        <x:v>Published source range; proposed allocation and structure require confirmation</x:v>
      </x:c>
      <x:c r="O2307" s="20"/>
      <x:c r="P2307" s="20" t="n">
        <x:v>1000000</x:v>
      </x:c>
      <x:c r="Q2307" s="25" t="str">
        <x:v>Property-loan range, not a corporate-capital commitment</x:v>
      </x:c>
      <x:c r="R2307" s="25" t="str">
        <x:v>Private real-estate finance experience. Corporate working capital, minority equity or profit participation requires a separate agreement from a property loan.</x:v>
      </x:c>
      <x:c r="S2307" s="25"/>
      <x:c r="T2307" s="25" t="str">
        <x:v>Confirm direct principal versus broker, $100K-$500K appetite, and whether capital can fund the operating company without a property mortgage.</x:v>
      </x:c>
      <x:c r="U2307" s="25" t="str">
        <x:v>https://www.hardmoneyhome.com/lenders/view/singer-financial-corp
https://www.singerfinancial.com/</x:v>
      </x:c>
      <x:c r="V2307" s="26" t="d">
        <x:v>2026-10-02T00:00:00.000Z</x:v>
      </x:c>
      <x:c r="W2307" s="26" t="d">
        <x:v>2026-09-30T00:00:00.000Z</x:v>
      </x:c>
      <x:c r="X2307" s="25" t="str">
        <x:v>Saved public company, industry-directory or regulatory source; source date retained</x:v>
      </x:c>
      <x:c r="Y2307" s="25" t="str">
        <x:v>https://www.singerfinancial.com/</x:v>
      </x:c>
      <x:c r="Z2307" s="25" t="str">
        <x:v>https://www.hardmoneyhome.com/lenders/view/singer-financial-corp</x:v>
      </x:c>
      <x:c r="AA2307" s="25" t="str">
        <x:v>[]</x:v>
      </x:c>
      <x:c r="AB2307" s="3" t="str">
        <x:v>Existing CapitalForge research, newly screened for this campaign</x:v>
      </x:c>
      <x:c r="AC2307" s="3" t="str">
        <x:v>unverified</x:v>
      </x:c>
      <x:c r="AD2307" s="3" t="str">
        <x:v>Not contacted / unconfirmed</x:v>
      </x:c>
      <x:c r="AE2307" s="3" t="str">
        <x:v>No</x:v>
      </x:c>
      <x:c r="AF2307" s="3" t="str">
        <x:v>No</x:v>
      </x:c>
      <x:c r="AG2307" s="3"/>
      <x:c r="AH2307" s="3"/>
      <x:c r="AI2307" s="18"/>
      <x:c r="AJ2307" s="3" t="str">
        <x:v>CF2500-52943944C4C8</x:v>
      </x:c>
      <x:c r="AK2307" s="3" t="str">
        <x:v>private_real_estate_lender</x:v>
      </x:c>
      <x:c r="AL2307" s="19" t="n">
        <x:v>100000</x:v>
      </x:c>
      <x:c r="AM2307" s="19" t="n">
        <x:v>500000</x:v>
      </x:c>
      <x:c r="AN2307" s="3" t="str">
        <x:v>https://www.hardmoneyhome.com/lenders/view/singer-financial-corp</x:v>
      </x:c>
      <x:c r="AO2307" s="3" t="str">
        <x:v>public_directory.jsonl</x:v>
      </x:c>
      <x:c r="AP2307" s="19"/>
    </x:row>
    <x:row r="2308" ht="36" customHeight="1">
      <x:c r="A2308" s="23" t="n">
        <x:v>2307</x:v>
      </x:c>
      <x:c r="B2308" s="15" t="str">
        <x:v>Socotra Capital</x:v>
      </x:c>
      <x:c r="C2308" s="15"/>
      <x:c r="D2308" s="15" t="str">
        <x:v>Property lender or directory member; operating-company capital unconfirmed</x:v>
      </x:c>
      <x:c r="E2308" s="15" t="str">
        <x:v>Property lender / private-money inquiry</x:v>
      </x:c>
      <x:c r="F2308" s="17" t="str">
        <x:v>New</x:v>
      </x:c>
      <x:c r="G2308" s="24" t="str">
        <x:v>smcdonald@socotracapital.com</x:v>
      </x:c>
      <x:c r="H2308" s="24" t="str">
        <x:v>+18558897626</x:v>
      </x:c>
      <x:c r="I2308" s="24" t="str">
        <x:v>http://socotracapital.com</x:v>
      </x:c>
      <x:c r="J2308" s="16" t="str">
        <x:v>CA</x:v>
      </x:c>
      <x:c r="K2308" s="16" t="str">
        <x:v>Sacramento</x:v>
      </x:c>
      <x:c r="L2308" s="16" t="str">
        <x:v>firm_business_routing</x:v>
      </x:c>
      <x:c r="M2308" s="16" t="str">
        <x:v>http://socotracapital.com</x:v>
      </x:c>
      <x:c r="N2308" s="16" t="str">
        <x:v>Published source range; proposed allocation and structure require confirmation</x:v>
      </x:c>
      <x:c r="O2308" s="20"/>
      <x:c r="P2308" s="20" t="n">
        <x:v>6000000</x:v>
      </x:c>
      <x:c r="Q2308" s="25" t="str">
        <x:v>Property-loan range, not a corporate-capital commitment</x:v>
      </x:c>
      <x:c r="R2308" s="25" t="str">
        <x:v>Private real-estate finance experience. Corporate working capital, minority equity or profit participation requires a separate agreement from a property loan.</x:v>
      </x:c>
      <x:c r="S2308" s="25"/>
      <x:c r="T2308" s="25" t="str">
        <x:v>Confirm direct principal versus broker, $100K-$500K appetite, and whether capital can fund the operating company without a property mortgage.</x:v>
      </x:c>
      <x:c r="U2308" s="25" t="str">
        <x:v>https://www.hardmoneyhome.com/lenders/view/socotra-capital
https://privatelenderlink.com/profile/socotra-capital/
https://nplaconference.com/private-lending-directory/page/15/
https://socotracapital.com/</x:v>
      </x:c>
      <x:c r="V2308" s="26" t="d">
        <x:v>2026-10-02T00:00:00.000Z</x:v>
      </x:c>
      <x:c r="W2308" s="26" t="d">
        <x:v>2026-09-30T00:00:00.000Z</x:v>
      </x:c>
      <x:c r="X2308" s="25" t="str">
        <x:v>Saved public company, industry-directory or regulatory source; source date retained</x:v>
      </x:c>
      <x:c r="Y2308" s="25" t="str">
        <x:v>https://privatelenderlink.com/profile/socotra-capital/</x:v>
      </x:c>
      <x:c r="Z2308" s="25" t="str">
        <x:v>https://www.hardmoneyhome.com/lenders/view/socotra-capital</x:v>
      </x:c>
      <x:c r="AA2308" s="25" t="str">
        <x:v>[]</x:v>
      </x:c>
      <x:c r="AB2308" s="3" t="str">
        <x:v>Existing CapitalForge research, newly screened for this campaign</x:v>
      </x:c>
      <x:c r="AC2308" s="3" t="str">
        <x:v>unverified</x:v>
      </x:c>
      <x:c r="AD2308" s="3" t="str">
        <x:v>Not contacted / unconfirmed</x:v>
      </x:c>
      <x:c r="AE2308" s="3" t="str">
        <x:v>No</x:v>
      </x:c>
      <x:c r="AF2308" s="3" t="str">
        <x:v>No</x:v>
      </x:c>
      <x:c r="AG2308" s="3"/>
      <x:c r="AH2308" s="3"/>
      <x:c r="AI2308" s="18"/>
      <x:c r="AJ2308" s="3" t="str">
        <x:v>CF2500-14F494C47C2D</x:v>
      </x:c>
      <x:c r="AK2308" s="3" t="str">
        <x:v>private_real_estate_lender</x:v>
      </x:c>
      <x:c r="AL2308" s="19" t="n">
        <x:v>100000</x:v>
      </x:c>
      <x:c r="AM2308" s="19" t="n">
        <x:v>500000</x:v>
      </x:c>
      <x:c r="AN2308" s="3" t="str">
        <x:v>https://www.hardmoneyhome.com/lenders/view/socotra-capital</x:v>
      </x:c>
      <x:c r="AO2308" s="3" t="str">
        <x:v>public_directory.jsonl</x:v>
      </x:c>
      <x:c r="AP2308" s="19"/>
    </x:row>
    <x:row r="2309" ht="36" customHeight="1">
      <x:c r="A2309" s="23" t="n">
        <x:v>2308</x:v>
      </x:c>
      <x:c r="B2309" s="15" t="str">
        <x:v>Sterling Pacific</x:v>
      </x:c>
      <x:c r="C2309" s="15"/>
      <x:c r="D2309" s="15" t="str">
        <x:v>Property lender or directory member; operating-company capital unconfirmed</x:v>
      </x:c>
      <x:c r="E2309" s="15" t="str">
        <x:v>Property lender / private-money inquiry</x:v>
      </x:c>
      <x:c r="F2309" s="17" t="str">
        <x:v>New</x:v>
      </x:c>
      <x:c r="G2309" s="24" t="str">
        <x:v>joshua.fischer@sterlpac.com</x:v>
      </x:c>
      <x:c r="H2309" s="24" t="str">
        <x:v>+18668963605</x:v>
      </x:c>
      <x:c r="I2309" s="24" t="str">
        <x:v>http://sterlpac.com/</x:v>
      </x:c>
      <x:c r="J2309" s="16" t="str">
        <x:v>CA</x:v>
      </x:c>
      <x:c r="K2309" s="16" t="str">
        <x:v>Watsonville</x:v>
      </x:c>
      <x:c r="L2309" s="16" t="str">
        <x:v>firm_business_routing</x:v>
      </x:c>
      <x:c r="M2309" s="16" t="str">
        <x:v>http://sterlpac.com/</x:v>
      </x:c>
      <x:c r="N2309" s="16" t="str">
        <x:v>Published source range; proposed allocation and structure require confirmation</x:v>
      </x:c>
      <x:c r="O2309" s="20"/>
      <x:c r="P2309" s="20" t="n">
        <x:v>5000000</x:v>
      </x:c>
      <x:c r="Q2309" s="25" t="str">
        <x:v>Property-loan range, not a corporate-capital commitment</x:v>
      </x:c>
      <x:c r="R2309" s="25" t="str">
        <x:v>Private real-estate finance experience. Corporate working capital, minority equity or profit participation requires a separate agreement from a property loan.</x:v>
      </x:c>
      <x:c r="S2309" s="25"/>
      <x:c r="T2309" s="25" t="str">
        <x:v>Confirm direct principal versus broker, $100K-$500K appetite, and whether capital can fund the operating company without a property mortgage.</x:v>
      </x:c>
      <x:c r="U2309" s="25" t="str">
        <x:v>https://www.hardmoneyhome.com/lenders/view/sterling-pacific
https://privatelenderlink.com/profile/sterling-pacific-financial/</x:v>
      </x:c>
      <x:c r="V2309" s="26" t="d">
        <x:v>2026-10-02T00:00:00.000Z</x:v>
      </x:c>
      <x:c r="W2309" s="26" t="d">
        <x:v>2026-09-30T00:00:00.000Z</x:v>
      </x:c>
      <x:c r="X2309" s="25" t="str">
        <x:v>Saved public company, industry-directory or regulatory source; source date retained</x:v>
      </x:c>
      <x:c r="Y2309" s="25" t="str">
        <x:v>https://privatelenderlink.com/profile/sterling-pacific-financial/</x:v>
      </x:c>
      <x:c r="Z2309" s="25" t="str">
        <x:v>https://www.hardmoneyhome.com/lenders/view/sterling-pacific</x:v>
      </x:c>
      <x:c r="AA2309" s="25" t="str">
        <x:v>[]</x:v>
      </x:c>
      <x:c r="AB2309" s="3" t="str">
        <x:v>Existing CapitalForge research, newly screened for this campaign</x:v>
      </x:c>
      <x:c r="AC2309" s="3" t="str">
        <x:v>unverified</x:v>
      </x:c>
      <x:c r="AD2309" s="3" t="str">
        <x:v>Not contacted / unconfirmed</x:v>
      </x:c>
      <x:c r="AE2309" s="3" t="str">
        <x:v>No</x:v>
      </x:c>
      <x:c r="AF2309" s="3" t="str">
        <x:v>No</x:v>
      </x:c>
      <x:c r="AG2309" s="3"/>
      <x:c r="AH2309" s="3"/>
      <x:c r="AI2309" s="18"/>
      <x:c r="AJ2309" s="3" t="str">
        <x:v>CF2500-195681CC4C1A</x:v>
      </x:c>
      <x:c r="AK2309" s="3" t="str">
        <x:v>private_real_estate_lender</x:v>
      </x:c>
      <x:c r="AL2309" s="19" t="n">
        <x:v>100000</x:v>
      </x:c>
      <x:c r="AM2309" s="19" t="n">
        <x:v>500000</x:v>
      </x:c>
      <x:c r="AN2309" s="3" t="str">
        <x:v>https://www.hardmoneyhome.com/lenders/view/sterling-pacific</x:v>
      </x:c>
      <x:c r="AO2309" s="3" t="str">
        <x:v>public_directory.jsonl</x:v>
      </x:c>
      <x:c r="AP2309" s="19"/>
    </x:row>
    <x:row r="2310" ht="36" customHeight="1">
      <x:c r="A2310" s="23" t="n">
        <x:v>2309</x:v>
      </x:c>
      <x:c r="B2310" s="15" t="str">
        <x:v>Stonecrest Financial</x:v>
      </x:c>
      <x:c r="C2310" s="15"/>
      <x:c r="D2310" s="15" t="str">
        <x:v>Property lender or directory member; operating-company capital unconfirmed</x:v>
      </x:c>
      <x:c r="E2310" s="15" t="str">
        <x:v>Property lender / private-money inquiry</x:v>
      </x:c>
      <x:c r="F2310" s="17" t="str">
        <x:v>New</x:v>
      </x:c>
      <x:c r="G2310" s="24" t="str">
        <x:v>pll@stonecrest.net</x:v>
      </x:c>
      <x:c r="H2310" s="24" t="str">
        <x:v>+14085570700</x:v>
      </x:c>
      <x:c r="I2310" s="24" t="str">
        <x:v>http://stonecrestfinancial.net/</x:v>
      </x:c>
      <x:c r="J2310" s="16" t="str">
        <x:v>CA</x:v>
      </x:c>
      <x:c r="K2310" s="16" t="str">
        <x:v>San Jose</x:v>
      </x:c>
      <x:c r="L2310" s="16" t="str">
        <x:v>firm_business_routing</x:v>
      </x:c>
      <x:c r="M2310" s="16" t="str">
        <x:v>http://stonecrestfinancial.net/</x:v>
      </x:c>
      <x:c r="N2310" s="16" t="str">
        <x:v>Published source range; proposed allocation and structure require confirmation</x:v>
      </x:c>
      <x:c r="O2310" s="20"/>
      <x:c r="P2310" s="20" t="n">
        <x:v>5000000</x:v>
      </x:c>
      <x:c r="Q2310" s="25" t="str">
        <x:v>Property-loan range, not a corporate-capital commitment</x:v>
      </x:c>
      <x:c r="R2310" s="25" t="str">
        <x:v>Private real-estate finance experience. Corporate working capital, minority equity or profit participation requires a separate agreement from a property loan.</x:v>
      </x:c>
      <x:c r="S2310" s="25"/>
      <x:c r="T2310" s="25" t="str">
        <x:v>Confirm direct principal versus broker, $100K-$500K appetite, and whether capital can fund the operating company without a property mortgage.</x:v>
      </x:c>
      <x:c r="U2310" s="25" t="str">
        <x:v>https://www.hardmoneyhome.com/lenders/view/stonecrest-financial
https://privatelenderlink.com/profile/stonecrest-financial/</x:v>
      </x:c>
      <x:c r="V2310" s="26" t="d">
        <x:v>2026-10-02T00:00:00.000Z</x:v>
      </x:c>
      <x:c r="W2310" s="26" t="d">
        <x:v>2026-09-30T00:00:00.000Z</x:v>
      </x:c>
      <x:c r="X2310" s="25" t="str">
        <x:v>Saved public company, industry-directory or regulatory source; source date retained</x:v>
      </x:c>
      <x:c r="Y2310" s="25" t="str">
        <x:v>https://privatelenderlink.com/profile/stonecrest-financial/</x:v>
      </x:c>
      <x:c r="Z2310" s="25" t="str">
        <x:v>https://www.hardmoneyhome.com/lenders/view/stonecrest-financial</x:v>
      </x:c>
      <x:c r="AA2310" s="25" t="str">
        <x:v>[]</x:v>
      </x:c>
      <x:c r="AB2310" s="3" t="str">
        <x:v>Existing CapitalForge research, newly screened for this campaign</x:v>
      </x:c>
      <x:c r="AC2310" s="3" t="str">
        <x:v>unverified</x:v>
      </x:c>
      <x:c r="AD2310" s="3" t="str">
        <x:v>Not contacted / unconfirmed</x:v>
      </x:c>
      <x:c r="AE2310" s="3" t="str">
        <x:v>No</x:v>
      </x:c>
      <x:c r="AF2310" s="3" t="str">
        <x:v>No</x:v>
      </x:c>
      <x:c r="AG2310" s="3"/>
      <x:c r="AH2310" s="3"/>
      <x:c r="AI2310" s="18"/>
      <x:c r="AJ2310" s="3" t="str">
        <x:v>CF2500-D65F7549ABDB</x:v>
      </x:c>
      <x:c r="AK2310" s="3" t="str">
        <x:v>private_real_estate_lender</x:v>
      </x:c>
      <x:c r="AL2310" s="19" t="n">
        <x:v>100000</x:v>
      </x:c>
      <x:c r="AM2310" s="19" t="n">
        <x:v>500000</x:v>
      </x:c>
      <x:c r="AN2310" s="3" t="str">
        <x:v>https://www.hardmoneyhome.com/lenders/view/stonecrest-financial</x:v>
      </x:c>
      <x:c r="AO2310" s="3" t="str">
        <x:v>public_directory.jsonl</x:v>
      </x:c>
      <x:c r="AP2310" s="19"/>
    </x:row>
    <x:row r="2311" ht="36" customHeight="1">
      <x:c r="A2311" s="23" t="n">
        <x:v>2310</x:v>
      </x:c>
      <x:c r="B2311" s="15" t="str">
        <x:v>Stormfield Capital</x:v>
      </x:c>
      <x:c r="C2311" s="15"/>
      <x:c r="D2311" s="15" t="str">
        <x:v>Property lender or directory member; operating-company capital unconfirmed</x:v>
      </x:c>
      <x:c r="E2311" s="15" t="str">
        <x:v>Property lender / private-money inquiry</x:v>
      </x:c>
      <x:c r="F2311" s="17" t="str">
        <x:v>New</x:v>
      </x:c>
      <x:c r="G2311" s="24" t="str">
        <x:v>loans@stormfieldcapital.com</x:v>
      </x:c>
      <x:c r="H2311" s="24" t="str">
        <x:v>+12037626094</x:v>
      </x:c>
      <x:c r="I2311" s="24" t="str">
        <x:v>http://www.stormfieldcapital.com/</x:v>
      </x:c>
      <x:c r="J2311" s="16" t="str">
        <x:v>CT</x:v>
      </x:c>
      <x:c r="K2311" s="16" t="str">
        <x:v>Southport</x:v>
      </x:c>
      <x:c r="L2311" s="16" t="str">
        <x:v>firm_business_routing</x:v>
      </x:c>
      <x:c r="M2311" s="16" t="str">
        <x:v>http://www.stormfieldcapital.com/</x:v>
      </x:c>
      <x:c r="N2311" s="16" t="str">
        <x:v>Published source range; proposed allocation and structure require confirmation</x:v>
      </x:c>
      <x:c r="O2311" s="20"/>
      <x:c r="P2311" s="20" t="n">
        <x:v>5000000</x:v>
      </x:c>
      <x:c r="Q2311" s="25" t="str">
        <x:v>Property-loan range, not a corporate-capital commitment</x:v>
      </x:c>
      <x:c r="R2311" s="25" t="str">
        <x:v>Private real-estate finance experience. Corporate working capital, minority equity or profit participation requires a separate agreement from a property loan.</x:v>
      </x:c>
      <x:c r="S2311" s="25"/>
      <x:c r="T2311" s="25" t="str">
        <x:v>Confirm direct principal versus broker, $100K-$500K appetite, and whether capital can fund the operating company without a property mortgage.</x:v>
      </x:c>
      <x:c r="U2311" s="25" t="str">
        <x:v>https://www.hardmoneyhome.com/lenders/view/stormfield-capital
https://privatelenderlink.com/profile/stormfield-capital/</x:v>
      </x:c>
      <x:c r="V2311" s="26" t="d">
        <x:v>2026-10-02T00:00:00.000Z</x:v>
      </x:c>
      <x:c r="W2311" s="26" t="d">
        <x:v>2026-09-30T00:00:00.000Z</x:v>
      </x:c>
      <x:c r="X2311" s="25" t="str">
        <x:v>Saved public company, industry-directory or regulatory source; source date retained</x:v>
      </x:c>
      <x:c r="Y2311" s="25" t="str">
        <x:v>https://privatelenderlink.com/profile/stormfield-capital/</x:v>
      </x:c>
      <x:c r="Z2311" s="25" t="str">
        <x:v>https://www.hardmoneyhome.com/lenders/view/stormfield-capital</x:v>
      </x:c>
      <x:c r="AA2311" s="25" t="str">
        <x:v>[]</x:v>
      </x:c>
      <x:c r="AB2311" s="3" t="str">
        <x:v>Existing CapitalForge research, newly screened for this campaign</x:v>
      </x:c>
      <x:c r="AC2311" s="3" t="str">
        <x:v>unverified</x:v>
      </x:c>
      <x:c r="AD2311" s="3" t="str">
        <x:v>Not contacted / unconfirmed</x:v>
      </x:c>
      <x:c r="AE2311" s="3" t="str">
        <x:v>No</x:v>
      </x:c>
      <x:c r="AF2311" s="3" t="str">
        <x:v>No</x:v>
      </x:c>
      <x:c r="AG2311" s="3"/>
      <x:c r="AH2311" s="3"/>
      <x:c r="AI2311" s="18"/>
      <x:c r="AJ2311" s="3" t="str">
        <x:v>CF2500-1B8DC698BD7E</x:v>
      </x:c>
      <x:c r="AK2311" s="3" t="str">
        <x:v>private_real_estate_lender</x:v>
      </x:c>
      <x:c r="AL2311" s="19" t="n">
        <x:v>100000</x:v>
      </x:c>
      <x:c r="AM2311" s="19" t="n">
        <x:v>500000</x:v>
      </x:c>
      <x:c r="AN2311" s="3" t="str">
        <x:v>https://www.hardmoneyhome.com/lenders/view/stormfield-capital</x:v>
      </x:c>
      <x:c r="AO2311" s="3" t="str">
        <x:v>public_directory.jsonl</x:v>
      </x:c>
      <x:c r="AP2311" s="19"/>
    </x:row>
    <x:row r="2312" ht="36" customHeight="1">
      <x:c r="A2312" s="23" t="n">
        <x:v>2311</x:v>
      </x:c>
      <x:c r="B2312" s="15" t="str">
        <x:v>Stratton Equities</x:v>
      </x:c>
      <x:c r="C2312" s="15"/>
      <x:c r="D2312" s="15" t="str">
        <x:v>Property lender or directory member; operating-company capital unconfirmed</x:v>
      </x:c>
      <x:c r="E2312" s="15" t="str">
        <x:v>Property lender / private-money inquiry</x:v>
      </x:c>
      <x:c r="F2312" s="17" t="str">
        <x:v>New</x:v>
      </x:c>
      <x:c r="G2312" s="24" t="str">
        <x:v>info@strattonequities.com</x:v>
      </x:c>
      <x:c r="H2312" s="24" t="str">
        <x:v>+18009626613</x:v>
      </x:c>
      <x:c r="I2312" s="24" t="str">
        <x:v>https://www.strattonequities.com/</x:v>
      </x:c>
      <x:c r="J2312" s="16" t="str">
        <x:v>NJ</x:v>
      </x:c>
      <x:c r="K2312" s="16" t="str">
        <x:v>Pine Brook</x:v>
      </x:c>
      <x:c r="L2312" s="16" t="str">
        <x:v>firm_business_routing</x:v>
      </x:c>
      <x:c r="M2312" s="16" t="str">
        <x:v>https://www.strattonequities.com/</x:v>
      </x:c>
      <x:c r="N2312" s="16" t="str">
        <x:v>Published source range; proposed allocation and structure require confirmation</x:v>
      </x:c>
      <x:c r="O2312" s="20"/>
      <x:c r="P2312" s="20" t="n">
        <x:v>5000000</x:v>
      </x:c>
      <x:c r="Q2312" s="25" t="str">
        <x:v>Property-loan range, not a corporate-capital commitment</x:v>
      </x:c>
      <x:c r="R2312" s="25" t="str">
        <x:v>Private real-estate finance experience. Corporate working capital, minority equity or profit participation requires a separate agreement from a property loan.</x:v>
      </x:c>
      <x:c r="S2312" s="25"/>
      <x:c r="T2312" s="25" t="str">
        <x:v>Confirm direct principal versus broker, $100K-$500K appetite, and whether capital can fund the operating company without a property mortgage.</x:v>
      </x:c>
      <x:c r="U2312" s="25" t="str">
        <x:v>https://www.hardmoneyhome.com/lenders/view/stratton-equities
https://privatelenderlink.com/profile/stratton-equities/
https://www.privatelendersdirectory.com/new-jersey/pine-brook/top-level-category/stratton-equities-249
https://www.strattonequities.com/</x:v>
      </x:c>
      <x:c r="V2312" s="26" t="d">
        <x:v>2026-10-02T00:00:00.000Z</x:v>
      </x:c>
      <x:c r="W2312" s="26" t="d">
        <x:v>2026-09-30T00:00:00.000Z</x:v>
      </x:c>
      <x:c r="X2312" s="25" t="str">
        <x:v>Saved public company, industry-directory or regulatory source; source date retained</x:v>
      </x:c>
      <x:c r="Y2312" s="25" t="str">
        <x:v>https://privatelenderlink.com/profile/stratton-equities/</x:v>
      </x:c>
      <x:c r="Z2312" s="25" t="str">
        <x:v>https://www.hardmoneyhome.com/lenders/view/stratton-equities</x:v>
      </x:c>
      <x:c r="AA2312" s="25" t="str">
        <x:v>[]</x:v>
      </x:c>
      <x:c r="AB2312" s="3" t="str">
        <x:v>Existing CapitalForge research, newly screened for this campaign</x:v>
      </x:c>
      <x:c r="AC2312" s="3" t="str">
        <x:v>unverified</x:v>
      </x:c>
      <x:c r="AD2312" s="3" t="str">
        <x:v>Not contacted / unconfirmed</x:v>
      </x:c>
      <x:c r="AE2312" s="3" t="str">
        <x:v>No</x:v>
      </x:c>
      <x:c r="AF2312" s="3" t="str">
        <x:v>No</x:v>
      </x:c>
      <x:c r="AG2312" s="3"/>
      <x:c r="AH2312" s="3"/>
      <x:c r="AI2312" s="18"/>
      <x:c r="AJ2312" s="3" t="str">
        <x:v>CF2500-B426240F3B43</x:v>
      </x:c>
      <x:c r="AK2312" s="3" t="str">
        <x:v>private_real_estate_lender</x:v>
      </x:c>
      <x:c r="AL2312" s="19" t="n">
        <x:v>100000</x:v>
      </x:c>
      <x:c r="AM2312" s="19" t="n">
        <x:v>500000</x:v>
      </x:c>
      <x:c r="AN2312" s="3" t="str">
        <x:v>https://www.hardmoneyhome.com/lenders/view/stratton-equities</x:v>
      </x:c>
      <x:c r="AO2312" s="3" t="str">
        <x:v>public_directory.jsonl</x:v>
      </x:c>
      <x:c r="AP2312" s="19"/>
    </x:row>
    <x:row r="2313" ht="36" customHeight="1">
      <x:c r="A2313" s="23" t="n">
        <x:v>2312</x:v>
      </x:c>
      <x:c r="B2313" s="15" t="str">
        <x:v>Temple View Capital</x:v>
      </x:c>
      <x:c r="C2313" s="15"/>
      <x:c r="D2313" s="15" t="str">
        <x:v>Property lender or directory member; operating-company capital unconfirmed</x:v>
      </x:c>
      <x:c r="E2313" s="15" t="str">
        <x:v>Property lender / private-money inquiry</x:v>
      </x:c>
      <x:c r="F2313" s="17" t="str">
        <x:v>New</x:v>
      </x:c>
      <x:c r="G2313" s="24" t="str">
        <x:v>info@templeviewcap.com</x:v>
      </x:c>
      <x:c r="H2313" s="24" t="str">
        <x:v>+18445044049</x:v>
      </x:c>
      <x:c r="I2313" s="24" t="str">
        <x:v>http://www.templeviewcap.com/</x:v>
      </x:c>
      <x:c r="J2313" s="16" t="str">
        <x:v>MD</x:v>
      </x:c>
      <x:c r="K2313" s="16" t="str">
        <x:v>Bethesda</x:v>
      </x:c>
      <x:c r="L2313" s="16" t="str">
        <x:v>firm_business_routing</x:v>
      </x:c>
      <x:c r="M2313" s="16" t="str">
        <x:v>http://www.templeviewcap.com/</x:v>
      </x:c>
      <x:c r="N2313" s="16" t="str">
        <x:v>Published source range; proposed allocation and structure require confirmation</x:v>
      </x:c>
      <x:c r="O2313" s="20"/>
      <x:c r="P2313" s="20" t="n">
        <x:v>7500000</x:v>
      </x:c>
      <x:c r="Q2313" s="25" t="str">
        <x:v>Property-loan range, not a corporate-capital commitment</x:v>
      </x:c>
      <x:c r="R2313" s="25" t="str">
        <x:v>Private real-estate finance experience. Corporate working capital, minority equity or profit participation requires a separate agreement from a property loan.</x:v>
      </x:c>
      <x:c r="S2313" s="25"/>
      <x:c r="T2313" s="25" t="str">
        <x:v>Confirm direct principal versus broker, $100K-$500K appetite, and whether capital can fund the operating company without a property mortgage.</x:v>
      </x:c>
      <x:c r="U2313" s="25" t="str">
        <x:v>https://www.hardmoneyhome.com/lenders/view/temple-view-capital
https://www.templeviewcap.com/
https://privatelenderlink.com/profile/temple-view-capital/
https://www.templeviewcap.com/contact-us/private-lender-link
https://nplaconference.com/private-lending-directory/page/16/</x:v>
      </x:c>
      <x:c r="V2313" s="26" t="d">
        <x:v>2026-10-02T00:00:00.000Z</x:v>
      </x:c>
      <x:c r="W2313" s="26" t="d">
        <x:v>2026-09-30T00:00:00.000Z</x:v>
      </x:c>
      <x:c r="X2313" s="25" t="str">
        <x:v>Saved public company, industry-directory or regulatory source; source date retained</x:v>
      </x:c>
      <x:c r="Y2313" s="25" t="str">
        <x:v>https://www.templeviewcap.com/</x:v>
      </x:c>
      <x:c r="Z2313" s="25" t="str">
        <x:v>https://www.hardmoneyhome.com/lenders/view/temple-view-capital</x:v>
      </x:c>
      <x:c r="AA2313" s="25" t="str">
        <x:v>[]</x:v>
      </x:c>
      <x:c r="AB2313" s="3" t="str">
        <x:v>Existing CapitalForge research, newly screened for this campaign</x:v>
      </x:c>
      <x:c r="AC2313" s="3" t="str">
        <x:v>unverified</x:v>
      </x:c>
      <x:c r="AD2313" s="3" t="str">
        <x:v>Not contacted / unconfirmed</x:v>
      </x:c>
      <x:c r="AE2313" s="3" t="str">
        <x:v>No</x:v>
      </x:c>
      <x:c r="AF2313" s="3" t="str">
        <x:v>No</x:v>
      </x:c>
      <x:c r="AG2313" s="3"/>
      <x:c r="AH2313" s="3"/>
      <x:c r="AI2313" s="18"/>
      <x:c r="AJ2313" s="3" t="str">
        <x:v>CF2500-CD0D51A3E552</x:v>
      </x:c>
      <x:c r="AK2313" s="3" t="str">
        <x:v>private_real_estate_lender</x:v>
      </x:c>
      <x:c r="AL2313" s="19" t="n">
        <x:v>100000</x:v>
      </x:c>
      <x:c r="AM2313" s="19" t="n">
        <x:v>500000</x:v>
      </x:c>
      <x:c r="AN2313" s="3" t="str">
        <x:v>https://www.hardmoneyhome.com/lenders/view/temple-view-capital</x:v>
      </x:c>
      <x:c r="AO2313" s="3" t="str">
        <x:v>public_directory.jsonl</x:v>
      </x:c>
      <x:c r="AP2313" s="19"/>
    </x:row>
    <x:row r="2314" ht="36" customHeight="1">
      <x:c r="A2314" s="23" t="n">
        <x:v>2313</x:v>
      </x:c>
      <x:c r="B2314" s="15" t="str">
        <x:v>The Grossman Companies</x:v>
      </x:c>
      <x:c r="C2314" s="15"/>
      <x:c r="D2314" s="15" t="str">
        <x:v>Property lender or directory member; operating-company capital unconfirmed</x:v>
      </x:c>
      <x:c r="E2314" s="15" t="str">
        <x:v>Property lender / private-money inquiry</x:v>
      </x:c>
      <x:c r="F2314" s="17" t="str">
        <x:v>New</x:v>
      </x:c>
      <x:c r="G2314" s="24" t="str">
        <x:v>info@grossmanco.com</x:v>
      </x:c>
      <x:c r="H2314" s="24" t="str">
        <x:v>+16174722000</x:v>
      </x:c>
      <x:c r="I2314" s="24" t="str">
        <x:v>https://grossmanco.com</x:v>
      </x:c>
      <x:c r="J2314" s="16" t="str">
        <x:v>MA</x:v>
      </x:c>
      <x:c r="K2314" s="16" t="str">
        <x:v>Quincy</x:v>
      </x:c>
      <x:c r="L2314" s="16" t="str">
        <x:v>firm_business_routing</x:v>
      </x:c>
      <x:c r="M2314" s="16" t="str">
        <x:v>https://grossmanco.com</x:v>
      </x:c>
      <x:c r="N2314" s="16" t="str">
        <x:v>Published source range; proposed allocation and structure require confirmation</x:v>
      </x:c>
      <x:c r="O2314" s="20"/>
      <x:c r="P2314" s="20" t="n">
        <x:v>10000000</x:v>
      </x:c>
      <x:c r="Q2314" s="25" t="str">
        <x:v>Property-loan range, not a corporate-capital commitment</x:v>
      </x:c>
      <x:c r="R2314" s="25" t="str">
        <x:v>Private real-estate finance experience. Corporate working capital, minority equity or profit participation requires a separate agreement from a property loan.</x:v>
      </x:c>
      <x:c r="S2314" s="25"/>
      <x:c r="T2314" s="25" t="str">
        <x:v>Confirm direct principal versus broker, $100K-$500K appetite, and whether capital can fund the operating company without a property mortgage.</x:v>
      </x:c>
      <x:c r="U2314" s="25" t="str">
        <x:v>https://www.hardmoneyhome.com/lenders/view/the-grossman-companies
https://grossmanco.com
https://privatelenderlink.com/profile/first-boston-capital-partners/
https://firstbostoncapitalpartners.com/</x:v>
      </x:c>
      <x:c r="V2314" s="26" t="d">
        <x:v>2026-10-02T00:00:00.000Z</x:v>
      </x:c>
      <x:c r="W2314" s="26" t="d">
        <x:v>2026-09-30T00:00:00.000Z</x:v>
      </x:c>
      <x:c r="X2314" s="25" t="str">
        <x:v>Saved public company, industry-directory or regulatory source; source date retained</x:v>
      </x:c>
      <x:c r="Y2314" s="25" t="str">
        <x:v>https://grossmanco.com</x:v>
      </x:c>
      <x:c r="Z2314" s="25" t="str">
        <x:v>https://www.hardmoneyhome.com/lenders/view/the-grossman-companies</x:v>
      </x:c>
      <x:c r="AA2314" s="25" t="str">
        <x:v>[]</x:v>
      </x:c>
      <x:c r="AB2314" s="3" t="str">
        <x:v>Existing CapitalForge research, newly screened for this campaign</x:v>
      </x:c>
      <x:c r="AC2314" s="3" t="str">
        <x:v>unverified</x:v>
      </x:c>
      <x:c r="AD2314" s="3" t="str">
        <x:v>Not contacted / unconfirmed</x:v>
      </x:c>
      <x:c r="AE2314" s="3" t="str">
        <x:v>No</x:v>
      </x:c>
      <x:c r="AF2314" s="3" t="str">
        <x:v>No</x:v>
      </x:c>
      <x:c r="AG2314" s="3"/>
      <x:c r="AH2314" s="3" t="str">
        <x:v>First Boston Capital Partners</x:v>
      </x:c>
      <x:c r="AI2314" s="18"/>
      <x:c r="AJ2314" s="3" t="str">
        <x:v>CF2500-51BC0C54E643</x:v>
      </x:c>
      <x:c r="AK2314" s="3" t="str">
        <x:v>private_real_estate_lender</x:v>
      </x:c>
      <x:c r="AL2314" s="19" t="n">
        <x:v>100000</x:v>
      </x:c>
      <x:c r="AM2314" s="19" t="n">
        <x:v>500000</x:v>
      </x:c>
      <x:c r="AN2314" s="3" t="str">
        <x:v>https://www.hardmoneyhome.com/lenders/view/the-grossman-companies</x:v>
      </x:c>
      <x:c r="AO2314" s="3" t="str">
        <x:v>public_directory.jsonl</x:v>
      </x:c>
      <x:c r="AP2314" s="19"/>
    </x:row>
    <x:row r="2315" ht="36" customHeight="1">
      <x:c r="A2315" s="23" t="n">
        <x:v>2314</x:v>
      </x:c>
      <x:c r="B2315" s="15" t="str">
        <x:v>The Loan Company</x:v>
      </x:c>
      <x:c r="C2315" s="15"/>
      <x:c r="D2315" s="15" t="str">
        <x:v>Property lender or directory member; operating-company capital unconfirmed</x:v>
      </x:c>
      <x:c r="E2315" s="15" t="str">
        <x:v>Property lender / private-money inquiry</x:v>
      </x:c>
      <x:c r="F2315" s="17" t="str">
        <x:v>New</x:v>
      </x:c>
      <x:c r="G2315" s="24" t="str">
        <x:v>invest@theloancompany.com</x:v>
      </x:c>
      <x:c r="H2315" s="24" t="str">
        <x:v>+16192937770</x:v>
      </x:c>
      <x:c r="I2315" s="24" t="str">
        <x:v>http://theloancompany.com/</x:v>
      </x:c>
      <x:c r="J2315" s="16" t="str">
        <x:v>CA</x:v>
      </x:c>
      <x:c r="K2315" s="16" t="str">
        <x:v>San Diego</x:v>
      </x:c>
      <x:c r="L2315" s="16" t="str">
        <x:v>firm_business_routing</x:v>
      </x:c>
      <x:c r="M2315" s="16" t="str">
        <x:v>http://theloancompany.com/</x:v>
      </x:c>
      <x:c r="N2315" s="16" t="str">
        <x:v>Published source range; proposed allocation and structure require confirmation</x:v>
      </x:c>
      <x:c r="O2315" s="20"/>
      <x:c r="P2315" s="20" t="n">
        <x:v>3000000</x:v>
      </x:c>
      <x:c r="Q2315" s="25" t="str">
        <x:v>Property-loan range, not a corporate-capital commitment</x:v>
      </x:c>
      <x:c r="R2315" s="25" t="str">
        <x:v>Private real-estate finance experience. Corporate working capital, minority equity or profit participation requires a separate agreement from a property loan.</x:v>
      </x:c>
      <x:c r="S2315" s="25"/>
      <x:c r="T2315" s="25" t="str">
        <x:v>Confirm direct principal versus broker, $100K-$500K appetite, and whether capital can fund the operating company without a property mortgage.</x:v>
      </x:c>
      <x:c r="U2315" s="25" t="str">
        <x:v>https://www.hardmoneyhome.com/lenders/view/the-loan-company
https://theloancompany.com/</x:v>
      </x:c>
      <x:c r="V2315" s="26" t="d">
        <x:v>2026-10-02T00:00:00.000Z</x:v>
      </x:c>
      <x:c r="W2315" s="26" t="d">
        <x:v>2026-09-30T00:00:00.000Z</x:v>
      </x:c>
      <x:c r="X2315" s="25" t="str">
        <x:v>Saved public company, industry-directory or regulatory source; source date retained</x:v>
      </x:c>
      <x:c r="Y2315" s="25" t="str">
        <x:v>https://theloancompany.com/</x:v>
      </x:c>
      <x:c r="Z2315" s="25" t="str">
        <x:v>https://www.hardmoneyhome.com/lenders/view/the-loan-company</x:v>
      </x:c>
      <x:c r="AA2315" s="25" t="str">
        <x:v>[]</x:v>
      </x:c>
      <x:c r="AB2315" s="3" t="str">
        <x:v>Existing CapitalForge research, newly screened for this campaign</x:v>
      </x:c>
      <x:c r="AC2315" s="3" t="str">
        <x:v>unverified</x:v>
      </x:c>
      <x:c r="AD2315" s="3" t="str">
        <x:v>Not contacted / unconfirmed</x:v>
      </x:c>
      <x:c r="AE2315" s="3" t="str">
        <x:v>No</x:v>
      </x:c>
      <x:c r="AF2315" s="3" t="str">
        <x:v>No</x:v>
      </x:c>
      <x:c r="AG2315" s="3"/>
      <x:c r="AH2315" s="3"/>
      <x:c r="AI2315" s="18"/>
      <x:c r="AJ2315" s="3" t="str">
        <x:v>CF2500-C78D6C152330</x:v>
      </x:c>
      <x:c r="AK2315" s="3" t="str">
        <x:v>private_real_estate_lender</x:v>
      </x:c>
      <x:c r="AL2315" s="19" t="n">
        <x:v>100000</x:v>
      </x:c>
      <x:c r="AM2315" s="19" t="n">
        <x:v>500000</x:v>
      </x:c>
      <x:c r="AN2315" s="3" t="str">
        <x:v>https://www.hardmoneyhome.com/lenders/view/the-loan-company</x:v>
      </x:c>
      <x:c r="AO2315" s="3" t="str">
        <x:v>public_directory.jsonl</x:v>
      </x:c>
      <x:c r="AP2315" s="19"/>
    </x:row>
    <x:row r="2316" ht="36" customHeight="1">
      <x:c r="A2316" s="23" t="n">
        <x:v>2315</x:v>
      </x:c>
      <x:c r="B2316" s="15" t="str">
        <x:v>Trilion Capital</x:v>
      </x:c>
      <x:c r="C2316" s="15"/>
      <x:c r="D2316" s="15" t="str">
        <x:v>Property lender or directory member; operating-company capital unconfirmed</x:v>
      </x:c>
      <x:c r="E2316" s="15" t="str">
        <x:v>Property lender / private-money inquiry</x:v>
      </x:c>
      <x:c r="F2316" s="17" t="str">
        <x:v>New</x:v>
      </x:c>
      <x:c r="G2316" s="24" t="str">
        <x:v>loans@trilioncapital.com</x:v>
      </x:c>
      <x:c r="H2316" s="24" t="str">
        <x:v>+18585302251</x:v>
      </x:c>
      <x:c r="I2316" s="24" t="str">
        <x:v>http://trilioncapital.com/</x:v>
      </x:c>
      <x:c r="J2316" s="16" t="str">
        <x:v>CA</x:v>
      </x:c>
      <x:c r="K2316" s="16" t="str">
        <x:v>San Diego</x:v>
      </x:c>
      <x:c r="L2316" s="16" t="str">
        <x:v>firm_business_routing</x:v>
      </x:c>
      <x:c r="M2316" s="16" t="str">
        <x:v>http://trilioncapital.com/</x:v>
      </x:c>
      <x:c r="N2316" s="16" t="str">
        <x:v>Published source range; proposed allocation and structure require confirmation</x:v>
      </x:c>
      <x:c r="O2316" s="20"/>
      <x:c r="P2316" s="20" t="n">
        <x:v>2500000</x:v>
      </x:c>
      <x:c r="Q2316" s="25" t="str">
        <x:v>Property-loan range, not a corporate-capital commitment</x:v>
      </x:c>
      <x:c r="R2316" s="25" t="str">
        <x:v>Private real-estate finance experience. Corporate working capital, minority equity or profit participation requires a separate agreement from a property loan.</x:v>
      </x:c>
      <x:c r="S2316" s="25"/>
      <x:c r="T2316" s="25" t="str">
        <x:v>Confirm direct principal versus broker, $100K-$500K appetite, and whether capital can fund the operating company without a property mortgage.</x:v>
      </x:c>
      <x:c r="U2316" s="25" t="str">
        <x:v>https://www.hardmoneyhome.com/lenders/view/trilion-capital
https://privatelenderlink.com/profile/trilion-capital/</x:v>
      </x:c>
      <x:c r="V2316" s="26" t="d">
        <x:v>2026-10-02T00:00:00.000Z</x:v>
      </x:c>
      <x:c r="W2316" s="26" t="d">
        <x:v>2026-09-30T00:00:00.000Z</x:v>
      </x:c>
      <x:c r="X2316" s="25" t="str">
        <x:v>Saved public company, industry-directory or regulatory source; source date retained</x:v>
      </x:c>
      <x:c r="Y2316" s="25" t="str">
        <x:v>https://privatelenderlink.com/profile/trilion-capital/</x:v>
      </x:c>
      <x:c r="Z2316" s="25" t="str">
        <x:v>https://www.hardmoneyhome.com/lenders/view/trilion-capital</x:v>
      </x:c>
      <x:c r="AA2316" s="25" t="str">
        <x:v>[]</x:v>
      </x:c>
      <x:c r="AB2316" s="3" t="str">
        <x:v>Existing CapitalForge research, newly screened for this campaign</x:v>
      </x:c>
      <x:c r="AC2316" s="3" t="str">
        <x:v>unverified</x:v>
      </x:c>
      <x:c r="AD2316" s="3" t="str">
        <x:v>Not contacted / unconfirmed</x:v>
      </x:c>
      <x:c r="AE2316" s="3" t="str">
        <x:v>No</x:v>
      </x:c>
      <x:c r="AF2316" s="3" t="str">
        <x:v>No</x:v>
      </x:c>
      <x:c r="AG2316" s="3"/>
      <x:c r="AH2316" s="3"/>
      <x:c r="AI2316" s="18"/>
      <x:c r="AJ2316" s="3" t="str">
        <x:v>CF2500-6E09B1EEB2C3</x:v>
      </x:c>
      <x:c r="AK2316" s="3" t="str">
        <x:v>private_real_estate_lender</x:v>
      </x:c>
      <x:c r="AL2316" s="19" t="n">
        <x:v>100000</x:v>
      </x:c>
      <x:c r="AM2316" s="19" t="n">
        <x:v>500000</x:v>
      </x:c>
      <x:c r="AN2316" s="3" t="str">
        <x:v>https://www.hardmoneyhome.com/lenders/view/trilion-capital</x:v>
      </x:c>
      <x:c r="AO2316" s="3" t="str">
        <x:v>public_directory.jsonl</x:v>
      </x:c>
      <x:c r="AP2316" s="19"/>
    </x:row>
    <x:row r="2317" ht="36" customHeight="1">
      <x:c r="A2317" s="23" t="n">
        <x:v>2316</x:v>
      </x:c>
      <x:c r="B2317" s="15" t="str">
        <x:v>Trueline Capital</x:v>
      </x:c>
      <x:c r="C2317" s="15"/>
      <x:c r="D2317" s="15" t="str">
        <x:v>Property lender or directory member; operating-company capital unconfirmed</x:v>
      </x:c>
      <x:c r="E2317" s="15" t="str">
        <x:v>Property lender / private-money inquiry</x:v>
      </x:c>
      <x:c r="F2317" s="17" t="str">
        <x:v>New</x:v>
      </x:c>
      <x:c r="G2317" s="24" t="str">
        <x:v>info@truelinecapital.com</x:v>
      </x:c>
      <x:c r="H2317" s="24" t="str">
        <x:v>+18002926561</x:v>
      </x:c>
      <x:c r="I2317" s="24" t="str">
        <x:v>https://truelinecapital.com/</x:v>
      </x:c>
      <x:c r="J2317" s="16" t="str">
        <x:v>OR</x:v>
      </x:c>
      <x:c r="K2317" s="16" t="str">
        <x:v>Bend</x:v>
      </x:c>
      <x:c r="L2317" s="16" t="str">
        <x:v>firm_business_routing</x:v>
      </x:c>
      <x:c r="M2317" s="16" t="str">
        <x:v>https://truelinecapital.com/</x:v>
      </x:c>
      <x:c r="N2317" s="16" t="str">
        <x:v>Published source range; proposed allocation and structure require confirmation</x:v>
      </x:c>
      <x:c r="O2317" s="20"/>
      <x:c r="P2317" s="20" t="n">
        <x:v>5000000</x:v>
      </x:c>
      <x:c r="Q2317" s="25" t="str">
        <x:v>Property-loan range, not a corporate-capital commitment</x:v>
      </x:c>
      <x:c r="R2317" s="25" t="str">
        <x:v>Private real-estate finance experience. Corporate working capital, minority equity or profit participation requires a separate agreement from a property loan.</x:v>
      </x:c>
      <x:c r="S2317" s="25"/>
      <x:c r="T2317" s="25" t="str">
        <x:v>Confirm direct principal versus broker, $100K-$500K appetite, and whether capital can fund the operating company without a property mortgage.</x:v>
      </x:c>
      <x:c r="U2317" s="25" t="str">
        <x:v>https://www.hardmoneyhome.com/lenders/view/trueline-capital
https://truelinecapital.com/</x:v>
      </x:c>
      <x:c r="V2317" s="26" t="d">
        <x:v>2026-10-02T00:00:00.000Z</x:v>
      </x:c>
      <x:c r="W2317" s="26" t="d">
        <x:v>2026-09-30T00:00:00.000Z</x:v>
      </x:c>
      <x:c r="X2317" s="25" t="str">
        <x:v>Saved public company, industry-directory or regulatory source; source date retained</x:v>
      </x:c>
      <x:c r="Y2317" s="25" t="str">
        <x:v>https://truelinecapital.com/</x:v>
      </x:c>
      <x:c r="Z2317" s="25" t="str">
        <x:v>https://www.hardmoneyhome.com/lenders/view/trueline-capital</x:v>
      </x:c>
      <x:c r="AA2317" s="25" t="str">
        <x:v>[]</x:v>
      </x:c>
      <x:c r="AB2317" s="3" t="str">
        <x:v>Existing CapitalForge research, newly screened for this campaign</x:v>
      </x:c>
      <x:c r="AC2317" s="3" t="str">
        <x:v>unverified</x:v>
      </x:c>
      <x:c r="AD2317" s="3" t="str">
        <x:v>Not contacted / unconfirmed</x:v>
      </x:c>
      <x:c r="AE2317" s="3" t="str">
        <x:v>No</x:v>
      </x:c>
      <x:c r="AF2317" s="3" t="str">
        <x:v>No</x:v>
      </x:c>
      <x:c r="AG2317" s="3"/>
      <x:c r="AH2317" s="3"/>
      <x:c r="AI2317" s="18"/>
      <x:c r="AJ2317" s="3" t="str">
        <x:v>CF2500-BAE85725F591</x:v>
      </x:c>
      <x:c r="AK2317" s="3" t="str">
        <x:v>private_real_estate_lender</x:v>
      </x:c>
      <x:c r="AL2317" s="19" t="n">
        <x:v>100000</x:v>
      </x:c>
      <x:c r="AM2317" s="19" t="n">
        <x:v>500000</x:v>
      </x:c>
      <x:c r="AN2317" s="3" t="str">
        <x:v>https://www.hardmoneyhome.com/lenders/view/trueline-capital</x:v>
      </x:c>
      <x:c r="AO2317" s="3" t="str">
        <x:v>public_directory.jsonl</x:v>
      </x:c>
      <x:c r="AP2317" s="19"/>
    </x:row>
    <x:row r="2318" ht="36" customHeight="1">
      <x:c r="A2318" s="23" t="n">
        <x:v>2317</x:v>
      </x:c>
      <x:c r="B2318" s="15" t="str">
        <x:v>Universal Capital</x:v>
      </x:c>
      <x:c r="C2318" s="15"/>
      <x:c r="D2318" s="15" t="str">
        <x:v>Property lender or directory member; operating-company capital unconfirmed</x:v>
      </x:c>
      <x:c r="E2318" s="15" t="str">
        <x:v>Property lender / private-money inquiry</x:v>
      </x:c>
      <x:c r="F2318" s="17" t="str">
        <x:v>New</x:v>
      </x:c>
      <x:c r="G2318" s="24" t="str">
        <x:v>info@uclend.com</x:v>
      </x:c>
      <x:c r="H2318" s="24" t="str">
        <x:v>+18002591614</x:v>
      </x:c>
      <x:c r="I2318" s="24" t="str">
        <x:v>https://uclend.com/</x:v>
      </x:c>
      <x:c r="J2318" s="16" t="str">
        <x:v>MA</x:v>
      </x:c>
      <x:c r="K2318" s="16" t="str">
        <x:v>Andover</x:v>
      </x:c>
      <x:c r="L2318" s="16" t="str">
        <x:v>firm_business_routing</x:v>
      </x:c>
      <x:c r="M2318" s="16" t="str">
        <x:v>https://uclend.com/</x:v>
      </x:c>
      <x:c r="N2318" s="16" t="str">
        <x:v>Published source range; proposed allocation and structure require confirmation</x:v>
      </x:c>
      <x:c r="O2318" s="20"/>
      <x:c r="P2318" s="20" t="n">
        <x:v>3000000</x:v>
      </x:c>
      <x:c r="Q2318" s="25" t="str">
        <x:v>Property-loan range, not a corporate-capital commitment</x:v>
      </x:c>
      <x:c r="R2318" s="25" t="str">
        <x:v>Private real-estate finance experience. Corporate working capital, minority equity or profit participation requires a separate agreement from a property loan.</x:v>
      </x:c>
      <x:c r="S2318" s="25"/>
      <x:c r="T2318" s="25" t="str">
        <x:v>Confirm direct principal versus broker, $100K-$500K appetite, and whether capital can fund the operating company without a property mortgage.</x:v>
      </x:c>
      <x:c r="U2318" s="25" t="str">
        <x:v>https://www.hardmoneyhome.com/lenders/view/universal-capital
https://uclend.com/</x:v>
      </x:c>
      <x:c r="V2318" s="26" t="d">
        <x:v>2026-10-02T00:00:00.000Z</x:v>
      </x:c>
      <x:c r="W2318" s="26" t="d">
        <x:v>2026-09-30T00:00:00.000Z</x:v>
      </x:c>
      <x:c r="X2318" s="25" t="str">
        <x:v>Saved public company, industry-directory or regulatory source; source date retained</x:v>
      </x:c>
      <x:c r="Y2318" s="25" t="str">
        <x:v>https://uclend.com/</x:v>
      </x:c>
      <x:c r="Z2318" s="25" t="str">
        <x:v>https://www.hardmoneyhome.com/lenders/view/universal-capital</x:v>
      </x:c>
      <x:c r="AA2318" s="25" t="str">
        <x:v>[]</x:v>
      </x:c>
      <x:c r="AB2318" s="3" t="str">
        <x:v>Existing CapitalForge research, newly screened for this campaign</x:v>
      </x:c>
      <x:c r="AC2318" s="3" t="str">
        <x:v>unverified</x:v>
      </x:c>
      <x:c r="AD2318" s="3" t="str">
        <x:v>Not contacted / unconfirmed</x:v>
      </x:c>
      <x:c r="AE2318" s="3" t="str">
        <x:v>No</x:v>
      </x:c>
      <x:c r="AF2318" s="3" t="str">
        <x:v>No</x:v>
      </x:c>
      <x:c r="AG2318" s="3"/>
      <x:c r="AH2318" s="3"/>
      <x:c r="AI2318" s="18"/>
      <x:c r="AJ2318" s="3" t="str">
        <x:v>CF2500-7D5207A4D4B3</x:v>
      </x:c>
      <x:c r="AK2318" s="3" t="str">
        <x:v>private_real_estate_lender</x:v>
      </x:c>
      <x:c r="AL2318" s="19" t="n">
        <x:v>100000</x:v>
      </x:c>
      <x:c r="AM2318" s="19" t="n">
        <x:v>500000</x:v>
      </x:c>
      <x:c r="AN2318" s="3" t="str">
        <x:v>https://www.hardmoneyhome.com/lenders/view/universal-capital</x:v>
      </x:c>
      <x:c r="AO2318" s="3" t="str">
        <x:v>public_directory.jsonl</x:v>
      </x:c>
      <x:c r="AP2318" s="19"/>
    </x:row>
    <x:row r="2319" ht="36" customHeight="1">
      <x:c r="A2319" s="23" t="n">
        <x:v>2318</x:v>
      </x:c>
      <x:c r="B2319" s="15" t="str">
        <x:v>Val Chris Investments</x:v>
      </x:c>
      <x:c r="C2319" s="15"/>
      <x:c r="D2319" s="15" t="str">
        <x:v>Property lender or directory member; operating-company capital unconfirmed</x:v>
      </x:c>
      <x:c r="E2319" s="15" t="str">
        <x:v>Property lender / private-money inquiry</x:v>
      </x:c>
      <x:c r="F2319" s="17" t="str">
        <x:v>New</x:v>
      </x:c>
      <x:c r="G2319" s="24" t="str">
        <x:v>jeff@val-chris.com</x:v>
      </x:c>
      <x:c r="H2319" s="24" t="str">
        <x:v>+19492528020</x:v>
      </x:c>
      <x:c r="I2319" s="24" t="str">
        <x:v>https://www.val-chris.com/</x:v>
      </x:c>
      <x:c r="J2319" s="16" t="str">
        <x:v>CA</x:v>
      </x:c>
      <x:c r="K2319" s="16" t="str">
        <x:v>Irvine</x:v>
      </x:c>
      <x:c r="L2319" s="16" t="str">
        <x:v>firm_business_routing</x:v>
      </x:c>
      <x:c r="M2319" s="16" t="str">
        <x:v>https://www.val-chris.com/</x:v>
      </x:c>
      <x:c r="N2319" s="16" t="str">
        <x:v>Published source range; proposed allocation and structure require confirmation</x:v>
      </x:c>
      <x:c r="O2319" s="20"/>
      <x:c r="P2319" s="20" t="n">
        <x:v>4000000</x:v>
      </x:c>
      <x:c r="Q2319" s="25" t="str">
        <x:v>Property-loan range, not a corporate-capital commitment</x:v>
      </x:c>
      <x:c r="R2319" s="25" t="str">
        <x:v>Private real-estate finance experience. Corporate working capital, minority equity or profit participation requires a separate agreement from a property loan.</x:v>
      </x:c>
      <x:c r="S2319" s="25"/>
      <x:c r="T2319" s="25" t="str">
        <x:v>Confirm direct principal versus broker, $100K-$500K appetite, and whether capital can fund the operating company without a property mortgage.</x:v>
      </x:c>
      <x:c r="U2319" s="25" t="str">
        <x:v>https://www.hardmoneyhome.com/lenders/view/val-chris-investments
https://privatelenderlink.com/profile/val-chris-investments/
https://nplaconference.com/private-lending-directory/page/17/
https://www.val-chris.com/contact/</x:v>
      </x:c>
      <x:c r="V2319" s="26" t="d">
        <x:v>2026-10-02T00:00:00.000Z</x:v>
      </x:c>
      <x:c r="W2319" s="26" t="d">
        <x:v>2026-09-30T00:00:00.000Z</x:v>
      </x:c>
      <x:c r="X2319" s="25" t="str">
        <x:v>Saved public company, industry-directory or regulatory source; source date retained</x:v>
      </x:c>
      <x:c r="Y2319" s="25" t="str">
        <x:v>https://privatelenderlink.com/profile/val-chris-investments/</x:v>
      </x:c>
      <x:c r="Z2319" s="25" t="str">
        <x:v>https://www.hardmoneyhome.com/lenders/view/val-chris-investments</x:v>
      </x:c>
      <x:c r="AA2319" s="25" t="str">
        <x:v>[]</x:v>
      </x:c>
      <x:c r="AB2319" s="3" t="str">
        <x:v>Existing CapitalForge research, newly screened for this campaign</x:v>
      </x:c>
      <x:c r="AC2319" s="3" t="str">
        <x:v>unverified</x:v>
      </x:c>
      <x:c r="AD2319" s="3" t="str">
        <x:v>Not contacted / unconfirmed</x:v>
      </x:c>
      <x:c r="AE2319" s="3" t="str">
        <x:v>No</x:v>
      </x:c>
      <x:c r="AF2319" s="3" t="str">
        <x:v>No</x:v>
      </x:c>
      <x:c r="AG2319" s="3"/>
      <x:c r="AH2319" s="3"/>
      <x:c r="AI2319" s="18"/>
      <x:c r="AJ2319" s="3" t="str">
        <x:v>CF2500-F90B23115C84</x:v>
      </x:c>
      <x:c r="AK2319" s="3" t="str">
        <x:v>private_real_estate_lender</x:v>
      </x:c>
      <x:c r="AL2319" s="19" t="n">
        <x:v>100000</x:v>
      </x:c>
      <x:c r="AM2319" s="19" t="n">
        <x:v>500000</x:v>
      </x:c>
      <x:c r="AN2319" s="3" t="str">
        <x:v>https://www.hardmoneyhome.com/lenders/view/val-chris-investments</x:v>
      </x:c>
      <x:c r="AO2319" s="3" t="str">
        <x:v>public_directory.jsonl</x:v>
      </x:c>
      <x:c r="AP2319" s="19"/>
    </x:row>
    <x:row r="2320" ht="36" customHeight="1">
      <x:c r="A2320" s="23" t="n">
        <x:v>2319</x:v>
      </x:c>
      <x:c r="B2320" s="15" t="str">
        <x:v>Washington Capital Partners</x:v>
      </x:c>
      <x:c r="C2320" s="15"/>
      <x:c r="D2320" s="15" t="str">
        <x:v>Property lender or directory member; operating-company capital unconfirmed</x:v>
      </x:c>
      <x:c r="E2320" s="15" t="str">
        <x:v>Property lender / private-money inquiry</x:v>
      </x:c>
      <x:c r="F2320" s="17" t="str">
        <x:v>New</x:v>
      </x:c>
      <x:c r="G2320" s="24" t="str">
        <x:v>info@wcp.team</x:v>
      </x:c>
      <x:c r="H2320" s="24" t="str">
        <x:v>+17033480549</x:v>
      </x:c>
      <x:c r="I2320" s="24" t="str">
        <x:v>https://www.washingtoncapitalpartners.com/</x:v>
      </x:c>
      <x:c r="J2320" s="16" t="str">
        <x:v>VA</x:v>
      </x:c>
      <x:c r="K2320" s="16" t="str">
        <x:v>Falls Church</x:v>
      </x:c>
      <x:c r="L2320" s="16" t="str">
        <x:v>firm_business_routing</x:v>
      </x:c>
      <x:c r="M2320" s="16" t="str">
        <x:v>https://www.washingtoncapitalpartners.com/</x:v>
      </x:c>
      <x:c r="N2320" s="16" t="str">
        <x:v>Published source range; proposed allocation and structure require confirmation</x:v>
      </x:c>
      <x:c r="O2320" s="20"/>
      <x:c r="P2320" s="20" t="n">
        <x:v>5000000</x:v>
      </x:c>
      <x:c r="Q2320" s="25" t="str">
        <x:v>Property-loan range, not a corporate-capital commitment</x:v>
      </x:c>
      <x:c r="R2320" s="25" t="str">
        <x:v>Private real-estate finance experience. Corporate working capital, minority equity or profit participation requires a separate agreement from a property loan.</x:v>
      </x:c>
      <x:c r="S2320" s="25"/>
      <x:c r="T2320" s="25" t="str">
        <x:v>Confirm direct principal versus broker, $100K-$500K appetite, and whether capital can fund the operating company without a property mortgage.</x:v>
      </x:c>
      <x:c r="U2320" s="25" t="str">
        <x:v>https://www.hardmoneyhome.com/lenders/view/washington-capital-partners
https://privatelenderlink.com/profile/washington-capital-partners/
https://nplaconference.com/private-lending-directory/page/18/
https://www.washingtoncapitalpartners.com/</x:v>
      </x:c>
      <x:c r="V2320" s="26" t="d">
        <x:v>2026-10-02T00:00:00.000Z</x:v>
      </x:c>
      <x:c r="W2320" s="26" t="d">
        <x:v>2026-09-30T00:00:00.000Z</x:v>
      </x:c>
      <x:c r="X2320" s="25" t="str">
        <x:v>Saved public company, industry-directory or regulatory source; source date retained</x:v>
      </x:c>
      <x:c r="Y2320" s="25" t="str">
        <x:v>https://privatelenderlink.com/profile/washington-capital-partners/</x:v>
      </x:c>
      <x:c r="Z2320" s="25" t="str">
        <x:v>https://www.hardmoneyhome.com/lenders/view/washington-capital-partners</x:v>
      </x:c>
      <x:c r="AA2320" s="25" t="str">
        <x:v>[]</x:v>
      </x:c>
      <x:c r="AB2320" s="3" t="str">
        <x:v>Existing CapitalForge research, newly screened for this campaign</x:v>
      </x:c>
      <x:c r="AC2320" s="3" t="str">
        <x:v>unverified</x:v>
      </x:c>
      <x:c r="AD2320" s="3" t="str">
        <x:v>Not contacted / unconfirmed</x:v>
      </x:c>
      <x:c r="AE2320" s="3" t="str">
        <x:v>No</x:v>
      </x:c>
      <x:c r="AF2320" s="3" t="str">
        <x:v>No</x:v>
      </x:c>
      <x:c r="AG2320" s="3"/>
      <x:c r="AH2320" s="3"/>
      <x:c r="AI2320" s="18"/>
      <x:c r="AJ2320" s="3" t="str">
        <x:v>CF2500-20E331C4237F</x:v>
      </x:c>
      <x:c r="AK2320" s="3" t="str">
        <x:v>private_real_estate_lender</x:v>
      </x:c>
      <x:c r="AL2320" s="19" t="n">
        <x:v>100000</x:v>
      </x:c>
      <x:c r="AM2320" s="19" t="n">
        <x:v>500000</x:v>
      </x:c>
      <x:c r="AN2320" s="3" t="str">
        <x:v>https://www.hardmoneyhome.com/lenders/view/washington-capital-partners</x:v>
      </x:c>
      <x:c r="AO2320" s="3" t="str">
        <x:v>public_directory.jsonl</x:v>
      </x:c>
      <x:c r="AP2320" s="19"/>
    </x:row>
    <x:row r="2321" ht="36" customHeight="1">
      <x:c r="A2321" s="23" t="n">
        <x:v>2320</x:v>
      </x:c>
      <x:c r="B2321" s="15" t="str">
        <x:v>Wilshire Quinn Capital</x:v>
      </x:c>
      <x:c r="C2321" s="15"/>
      <x:c r="D2321" s="15" t="str">
        <x:v>Property lender or directory member; operating-company capital unconfirmed</x:v>
      </x:c>
      <x:c r="E2321" s="15" t="str">
        <x:v>Property lender / private-money inquiry</x:v>
      </x:c>
      <x:c r="F2321" s="17" t="str">
        <x:v>New</x:v>
      </x:c>
      <x:c r="G2321" s="24" t="str">
        <x:v>mmielke@wilshirequinn.com</x:v>
      </x:c>
      <x:c r="H2321" s="24" t="str">
        <x:v>+16198726000</x:v>
      </x:c>
      <x:c r="I2321" s="24" t="str">
        <x:v>https://wilshirequinn.com/?utm_source=lender-link</x:v>
      </x:c>
      <x:c r="J2321" s="16" t="str">
        <x:v>CA</x:v>
      </x:c>
      <x:c r="K2321" s="16" t="str">
        <x:v>San Diego</x:v>
      </x:c>
      <x:c r="L2321" s="16" t="str">
        <x:v>firm_business_routing</x:v>
      </x:c>
      <x:c r="M2321" s="16" t="str">
        <x:v>https://wilshirequinn.com/?utm_source=lender-link</x:v>
      </x:c>
      <x:c r="N2321" s="16" t="str">
        <x:v>Published source range; proposed allocation and structure require confirmation</x:v>
      </x:c>
      <x:c r="O2321" s="20"/>
      <x:c r="P2321" s="20" t="n">
        <x:v>10000000</x:v>
      </x:c>
      <x:c r="Q2321" s="25" t="str">
        <x:v>Property-loan range, not a corporate-capital commitment</x:v>
      </x:c>
      <x:c r="R2321" s="25" t="str">
        <x:v>Private real-estate finance experience. Corporate working capital, minority equity or profit participation requires a separate agreement from a property loan.</x:v>
      </x:c>
      <x:c r="S2321" s="25"/>
      <x:c r="T2321" s="25" t="str">
        <x:v>Confirm direct principal versus broker, $100K-$500K appetite, and whether capital can fund the operating company without a property mortgage.</x:v>
      </x:c>
      <x:c r="U2321" s="25" t="str">
        <x:v>https://www.hardmoneyhome.com/lenders/view/wilshire-quinn-capital
https://privatelenderlink.com/profile/wilshire-quinn-capital/</x:v>
      </x:c>
      <x:c r="V2321" s="26" t="d">
        <x:v>2026-10-02T00:00:00.000Z</x:v>
      </x:c>
      <x:c r="W2321" s="26" t="d">
        <x:v>2026-09-30T00:00:00.000Z</x:v>
      </x:c>
      <x:c r="X2321" s="25" t="str">
        <x:v>Saved public company, industry-directory or regulatory source; source date retained</x:v>
      </x:c>
      <x:c r="Y2321" s="25" t="str">
        <x:v>https://privatelenderlink.com/profile/wilshire-quinn-capital/</x:v>
      </x:c>
      <x:c r="Z2321" s="25" t="str">
        <x:v>https://www.hardmoneyhome.com/lenders/view/wilshire-quinn-capital</x:v>
      </x:c>
      <x:c r="AA2321" s="25" t="str">
        <x:v>[]</x:v>
      </x:c>
      <x:c r="AB2321" s="3" t="str">
        <x:v>Existing CapitalForge research, newly screened for this campaign</x:v>
      </x:c>
      <x:c r="AC2321" s="3" t="str">
        <x:v>unverified</x:v>
      </x:c>
      <x:c r="AD2321" s="3" t="str">
        <x:v>Not contacted / unconfirmed</x:v>
      </x:c>
      <x:c r="AE2321" s="3" t="str">
        <x:v>No</x:v>
      </x:c>
      <x:c r="AF2321" s="3" t="str">
        <x:v>No</x:v>
      </x:c>
      <x:c r="AG2321" s="3"/>
      <x:c r="AH2321" s="3"/>
      <x:c r="AI2321" s="18"/>
      <x:c r="AJ2321" s="3" t="str">
        <x:v>CF2500-864763C3A491</x:v>
      </x:c>
      <x:c r="AK2321" s="3" t="str">
        <x:v>private_real_estate_lender</x:v>
      </x:c>
      <x:c r="AL2321" s="19" t="n">
        <x:v>100000</x:v>
      </x:c>
      <x:c r="AM2321" s="19" t="n">
        <x:v>500000</x:v>
      </x:c>
      <x:c r="AN2321" s="3" t="str">
        <x:v>https://www.hardmoneyhome.com/lenders/view/wilshire-quinn-capital</x:v>
      </x:c>
      <x:c r="AO2321" s="3" t="str">
        <x:v>public_directory.jsonl</x:v>
      </x:c>
      <x:c r="AP2321" s="19"/>
    </x:row>
    <x:row r="2322" ht="36" customHeight="1">
      <x:c r="A2322" s="23" t="n">
        <x:v>2321</x:v>
      </x:c>
      <x:c r="B2322" s="15" t="str">
        <x:v>Windvest Corporation</x:v>
      </x:c>
      <x:c r="C2322" s="15"/>
      <x:c r="D2322" s="15" t="str">
        <x:v>Property lender or directory member; operating-company capital unconfirmed</x:v>
      </x:c>
      <x:c r="E2322" s="15" t="str">
        <x:v>Property lender / private-money inquiry</x:v>
      </x:c>
      <x:c r="F2322" s="17" t="str">
        <x:v>New</x:v>
      </x:c>
      <x:c r="G2322" s="24" t="str">
        <x:v>andre@windvestcorp.com</x:v>
      </x:c>
      <x:c r="H2322" s="24" t="str">
        <x:v>+18772850777</x:v>
      </x:c>
      <x:c r="I2322" s="24" t="str">
        <x:v>http://www.windvestcorp.com/</x:v>
      </x:c>
      <x:c r="J2322" s="16" t="str">
        <x:v>CA</x:v>
      </x:c>
      <x:c r="K2322" s="16" t="str">
        <x:v>San Diego</x:v>
      </x:c>
      <x:c r="L2322" s="16" t="str">
        <x:v>firm_business_routing</x:v>
      </x:c>
      <x:c r="M2322" s="16" t="str">
        <x:v>http://www.windvestcorp.com/</x:v>
      </x:c>
      <x:c r="N2322" s="16" t="str">
        <x:v>Published source range; proposed allocation and structure require confirmation</x:v>
      </x:c>
      <x:c r="O2322" s="20"/>
      <x:c r="P2322" s="20" t="n">
        <x:v>3000000</x:v>
      </x:c>
      <x:c r="Q2322" s="25" t="str">
        <x:v>Property-loan range, not a corporate-capital commitment</x:v>
      </x:c>
      <x:c r="R2322" s="25" t="str">
        <x:v>Private real-estate finance experience. Corporate working capital, minority equity or profit participation requires a separate agreement from a property loan.</x:v>
      </x:c>
      <x:c r="S2322" s="25"/>
      <x:c r="T2322" s="25" t="str">
        <x:v>Confirm direct principal versus broker, $100K-$500K appetite, and whether capital can fund the operating company without a property mortgage.</x:v>
      </x:c>
      <x:c r="U2322" s="25" t="str">
        <x:v>https://www.hardmoneyhome.com/lenders/view/windvest-corporation
http://windvestcorp.com/contact-us/</x:v>
      </x:c>
      <x:c r="V2322" s="26" t="d">
        <x:v>2026-10-02T00:00:00.000Z</x:v>
      </x:c>
      <x:c r="W2322" s="26" t="d">
        <x:v>2026-09-30T00:00:00.000Z</x:v>
      </x:c>
      <x:c r="X2322" s="25" t="str">
        <x:v>Saved public company, industry-directory or regulatory source; source date retained</x:v>
      </x:c>
      <x:c r="Y2322" s="25" t="str">
        <x:v>http://windvestcorp.com/contact-us/</x:v>
      </x:c>
      <x:c r="Z2322" s="25" t="str">
        <x:v>https://www.hardmoneyhome.com/lenders/view/windvest-corporation</x:v>
      </x:c>
      <x:c r="AA2322" s="25" t="str">
        <x:v>[]</x:v>
      </x:c>
      <x:c r="AB2322" s="3" t="str">
        <x:v>Existing CapitalForge research, newly screened for this campaign</x:v>
      </x:c>
      <x:c r="AC2322" s="3" t="str">
        <x:v>unverified</x:v>
      </x:c>
      <x:c r="AD2322" s="3" t="str">
        <x:v>Not contacted / unconfirmed</x:v>
      </x:c>
      <x:c r="AE2322" s="3" t="str">
        <x:v>No</x:v>
      </x:c>
      <x:c r="AF2322" s="3" t="str">
        <x:v>No</x:v>
      </x:c>
      <x:c r="AG2322" s="3"/>
      <x:c r="AH2322" s="3"/>
      <x:c r="AI2322" s="18"/>
      <x:c r="AJ2322" s="3" t="str">
        <x:v>CF2500-00558350CDF7</x:v>
      </x:c>
      <x:c r="AK2322" s="3" t="str">
        <x:v>private_real_estate_lender</x:v>
      </x:c>
      <x:c r="AL2322" s="19" t="n">
        <x:v>100000</x:v>
      </x:c>
      <x:c r="AM2322" s="19" t="n">
        <x:v>500000</x:v>
      </x:c>
      <x:c r="AN2322" s="3" t="str">
        <x:v>https://www.hardmoneyhome.com/lenders/view/windvest-corporation</x:v>
      </x:c>
      <x:c r="AO2322" s="3" t="str">
        <x:v>public_directory.jsonl</x:v>
      </x:c>
      <x:c r="AP2322" s="19"/>
    </x:row>
    <x:row r="2323" ht="36" customHeight="1">
      <x:c r="A2323" s="23" t="n">
        <x:v>2322</x:v>
      </x:c>
      <x:c r="B2323" s="15" t="str">
        <x:v>1892 CAPITAL PARTNERS</x:v>
      </x:c>
      <x:c r="C2323" s="15"/>
      <x:c r="D2323" s="15" t="str">
        <x:v>Property lender or directory member; operating-company capital unconfirmed</x:v>
      </x:c>
      <x:c r="E2323" s="15" t="str">
        <x:v>Property lender / private-money inquiry</x:v>
      </x:c>
      <x:c r="F2323" s="17" t="str">
        <x:v>New</x:v>
      </x:c>
      <x:c r="G2323" s="24" t="str">
        <x:v>loans@1892capital.com</x:v>
      </x:c>
      <x:c r="H2323" s="24" t="str">
        <x:v>+12532644657</x:v>
      </x:c>
      <x:c r="I2323" s="24" t="str">
        <x:v>https://www.1892capital.com/</x:v>
      </x:c>
      <x:c r="J2323" s="16" t="str">
        <x:v>WA</x:v>
      </x:c>
      <x:c r="K2323" s="16" t="str">
        <x:v>Seattle</x:v>
      </x:c>
      <x:c r="L2323" s="16" t="str">
        <x:v>firm_business_routing</x:v>
      </x:c>
      <x:c r="M2323" s="16" t="str">
        <x:v>https://www.1892capital.com/</x:v>
      </x:c>
      <x:c r="N2323" s="16" t="str">
        <x:v>$100K-$500K ticket not published / unconfirmed</x:v>
      </x:c>
      <x:c r="O2323" s="20"/>
      <x:c r="P2323" s="20"/>
      <x:c r="Q2323" s="25" t="str">
        <x:v>Property-loan range, not a corporate-capital commitment</x:v>
      </x:c>
      <x:c r="R2323" s="25" t="str">
        <x:v>Private real-estate finance experience. Corporate working capital, minority equity or profit participation requires a separate agreement from a property loan.</x:v>
      </x:c>
      <x:c r="S2323" s="25"/>
      <x:c r="T2323" s="25" t="str">
        <x:v>Confirm direct principal versus broker, $100K-$500K appetite, and whether capital can fund the operating company without a property mortgage.</x:v>
      </x:c>
      <x:c r="U2323" s="25" t="str">
        <x:v>https://www.privatelendersdirectory.com/united-states/seattle/top-level-category/1892-capital-partners
https://www.1892capital.com/</x:v>
      </x:c>
      <x:c r="V2323" s="26" t="d">
        <x:v>2026-10-02T00:00:00.000Z</x:v>
      </x:c>
      <x:c r="W2323" s="26" t="d">
        <x:v>2026-09-30T00:00:00.000Z</x:v>
      </x:c>
      <x:c r="X2323" s="25" t="str">
        <x:v>Saved public company, industry-directory or regulatory source; source date retained</x:v>
      </x:c>
      <x:c r="Y2323" s="25" t="str">
        <x:v>https://www.1892capital.com/</x:v>
      </x:c>
      <x:c r="Z2323" s="25" t="str">
        <x:v>https://www.1892capital.com/</x:v>
      </x:c>
      <x:c r="AA2323" s="25" t="str">
        <x:v>[]</x:v>
      </x:c>
      <x:c r="AB2323" s="3" t="str">
        <x:v>Existing CapitalForge research, newly screened for this campaign</x:v>
      </x:c>
      <x:c r="AC2323" s="3" t="str">
        <x:v>unverified</x:v>
      </x:c>
      <x:c r="AD2323" s="3" t="str">
        <x:v>Not contacted / unconfirmed</x:v>
      </x:c>
      <x:c r="AE2323" s="3" t="str">
        <x:v>No</x:v>
      </x:c>
      <x:c r="AF2323" s="3" t="str">
        <x:v>No</x:v>
      </x:c>
      <x:c r="AG2323" s="3"/>
      <x:c r="AH2323" s="3"/>
      <x:c r="AI2323" s="18"/>
      <x:c r="AJ2323" s="3" t="str">
        <x:v>CF2500-4DC2CE0AFBEA</x:v>
      </x:c>
      <x:c r="AK2323" s="3" t="str">
        <x:v>private_real_estate_lender</x:v>
      </x:c>
      <x:c r="AL2323" s="19" t="n">
        <x:v>100000</x:v>
      </x:c>
      <x:c r="AM2323" s="19" t="n">
        <x:v>500000</x:v>
      </x:c>
      <x:c r="AN2323" s="3" t="str">
        <x:v>https://www.privatelendersdirectory.com/united-states/seattle/top-level-category/1892-capital-partners</x:v>
      </x:c>
      <x:c r="AO2323" s="3" t="str">
        <x:v>public_directory.jsonl</x:v>
      </x:c>
      <x:c r="AP2323" s="19"/>
    </x:row>
    <x:row r="2324" ht="36" customHeight="1">
      <x:c r="A2324" s="23" t="n">
        <x:v>2323</x:v>
      </x:c>
      <x:c r="B2324" s="15" t="str">
        <x:v>1ST 2ND MORTGAGE</x:v>
      </x:c>
      <x:c r="C2324" s="15"/>
      <x:c r="D2324" s="15" t="str">
        <x:v>Property lender or directory member; operating-company capital unconfirmed</x:v>
      </x:c>
      <x:c r="E2324" s="15" t="str">
        <x:v>Property lender / private-money inquiry</x:v>
      </x:c>
      <x:c r="F2324" s="17" t="str">
        <x:v>New</x:v>
      </x:c>
      <x:c r="G2324" s="24" t="str">
        <x:v>info@1st2ndmortgage.com</x:v>
      </x:c>
      <x:c r="H2324" s="24" t="str">
        <x:v>+18005626466</x:v>
      </x:c>
      <x:c r="I2324" s="24" t="str">
        <x:v>https://www.1st2ndmortgage.com/</x:v>
      </x:c>
      <x:c r="J2324" s="16" t="str">
        <x:v>CA</x:v>
      </x:c>
      <x:c r="K2324" s="16" t="str">
        <x:v>San Diego</x:v>
      </x:c>
      <x:c r="L2324" s="16" t="str">
        <x:v>firm_business_routing</x:v>
      </x:c>
      <x:c r="M2324" s="16" t="str">
        <x:v>https://www.1st2ndmortgage.com/</x:v>
      </x:c>
      <x:c r="N2324" s="16" t="str">
        <x:v>$100K-$500K ticket not published / unconfirmed</x:v>
      </x:c>
      <x:c r="O2324" s="20"/>
      <x:c r="P2324" s="20"/>
      <x:c r="Q2324" s="25" t="str">
        <x:v>Property-loan range, not a corporate-capital commitment</x:v>
      </x:c>
      <x:c r="R2324" s="25" t="str">
        <x:v>Private real-estate finance experience. Corporate working capital, minority equity or profit participation requires a separate agreement from a property loan.</x:v>
      </x:c>
      <x:c r="S2324" s="25"/>
      <x:c r="T2324" s="25" t="str">
        <x:v>Confirm direct principal versus broker, $100K-$500K appetite, and whether capital can fund the operating company without a property mortgage.</x:v>
      </x:c>
      <x:c r="U2324" s="25" t="str">
        <x:v>https://www.privatelendersdirectory.com/united-states/san-diego/top-level-category/1st-2nd-mortgage
https://www.1st2ndmortgage.com/</x:v>
      </x:c>
      <x:c r="V2324" s="26" t="d">
        <x:v>2026-10-02T00:00:00.000Z</x:v>
      </x:c>
      <x:c r="W2324" s="26" t="d">
        <x:v>2026-09-30T00:00:00.000Z</x:v>
      </x:c>
      <x:c r="X2324" s="25" t="str">
        <x:v>Saved public company, industry-directory or regulatory source; source date retained</x:v>
      </x:c>
      <x:c r="Y2324" s="25" t="str">
        <x:v>https://www.1st2ndmortgage.com/</x:v>
      </x:c>
      <x:c r="Z2324" s="25" t="str">
        <x:v>https://www.1st2ndmortgage.com/</x:v>
      </x:c>
      <x:c r="AA2324" s="25" t="str">
        <x:v>[]</x:v>
      </x:c>
      <x:c r="AB2324" s="3" t="str">
        <x:v>Existing CapitalForge research, newly screened for this campaign</x:v>
      </x:c>
      <x:c r="AC2324" s="3" t="str">
        <x:v>unverified</x:v>
      </x:c>
      <x:c r="AD2324" s="3" t="str">
        <x:v>Not contacted / unconfirmed</x:v>
      </x:c>
      <x:c r="AE2324" s="3" t="str">
        <x:v>No</x:v>
      </x:c>
      <x:c r="AF2324" s="3" t="str">
        <x:v>No</x:v>
      </x:c>
      <x:c r="AG2324" s="3"/>
      <x:c r="AH2324" s="3"/>
      <x:c r="AI2324" s="18"/>
      <x:c r="AJ2324" s="3" t="str">
        <x:v>CF2500-0458E8A6B83C</x:v>
      </x:c>
      <x:c r="AK2324" s="3" t="str">
        <x:v>private_real_estate_lender</x:v>
      </x:c>
      <x:c r="AL2324" s="19" t="n">
        <x:v>100000</x:v>
      </x:c>
      <x:c r="AM2324" s="19" t="n">
        <x:v>500000</x:v>
      </x:c>
      <x:c r="AN2324" s="3" t="str">
        <x:v>https://www.privatelendersdirectory.com/united-states/san-diego/top-level-category/1st-2nd-mortgage</x:v>
      </x:c>
      <x:c r="AO2324" s="3" t="str">
        <x:v>public_directory.jsonl</x:v>
      </x:c>
      <x:c r="AP2324" s="19"/>
    </x:row>
    <x:row r="2325" ht="36" customHeight="1">
      <x:c r="A2325" s="23" t="n">
        <x:v>2324</x:v>
      </x:c>
      <x:c r="B2325" s="15" t="str">
        <x:v>1ST COAST COMMERCIAL CAPITAL</x:v>
      </x:c>
      <x:c r="C2325" s="15"/>
      <x:c r="D2325" s="15" t="str">
        <x:v>Property lender or directory member; operating-company capital unconfirmed</x:v>
      </x:c>
      <x:c r="E2325" s="15" t="str">
        <x:v>Property lender / private-money inquiry</x:v>
      </x:c>
      <x:c r="F2325" s="17" t="str">
        <x:v>New</x:v>
      </x:c>
      <x:c r="G2325" s="24" t="str">
        <x:v>dg1stccc@aol.com</x:v>
      </x:c>
      <x:c r="H2325" s="24" t="str">
        <x:v>+18883161787</x:v>
      </x:c>
      <x:c r="I2325" s="24" t="str">
        <x:v>https://www.1stcoastalcc.com/</x:v>
      </x:c>
      <x:c r="J2325" s="16" t="str">
        <x:v>MD</x:v>
      </x:c>
      <x:c r="K2325" s="16" t="str">
        <x:v>Pasadena</x:v>
      </x:c>
      <x:c r="L2325" s="16" t="str">
        <x:v>firm_business_routing</x:v>
      </x:c>
      <x:c r="M2325" s="16" t="str">
        <x:v>https://www.1stcoastalcc.com/</x:v>
      </x:c>
      <x:c r="N2325" s="16" t="str">
        <x:v>$100K-$500K ticket not published / unconfirmed</x:v>
      </x:c>
      <x:c r="O2325" s="20"/>
      <x:c r="P2325" s="20"/>
      <x:c r="Q2325" s="25" t="str">
        <x:v>Property-loan range, not a corporate-capital commitment</x:v>
      </x:c>
      <x:c r="R2325" s="25" t="str">
        <x:v>Private real-estate finance experience. Corporate working capital, minority equity or profit participation requires a separate agreement from a property loan.</x:v>
      </x:c>
      <x:c r="S2325" s="25"/>
      <x:c r="T2325" s="25" t="str">
        <x:v>Confirm direct principal versus broker, $100K-$500K appetite, and whether capital can fund the operating company without a property mortgage.</x:v>
      </x:c>
      <x:c r="U2325" s="25" t="str">
        <x:v>https://www.privatelendersdirectory.com/united-states/pasadena/top-level-category/1st-coast-commercial-capital
https://www.1stcoastalcc.com/</x:v>
      </x:c>
      <x:c r="V2325" s="26" t="d">
        <x:v>2026-10-02T00:00:00.000Z</x:v>
      </x:c>
      <x:c r="W2325" s="26" t="d">
        <x:v>2026-09-30T00:00:00.000Z</x:v>
      </x:c>
      <x:c r="X2325" s="25" t="str">
        <x:v>Saved public company, industry-directory or regulatory source; source date retained</x:v>
      </x:c>
      <x:c r="Y2325" s="25" t="str">
        <x:v>https://www.1stcoastalcc.com/</x:v>
      </x:c>
      <x:c r="Z2325" s="25" t="str">
        <x:v>https://www.1stcoastalcc.com/</x:v>
      </x:c>
      <x:c r="AA2325" s="25" t="str">
        <x:v>[]</x:v>
      </x:c>
      <x:c r="AB2325" s="3" t="str">
        <x:v>Existing CapitalForge research, newly screened for this campaign</x:v>
      </x:c>
      <x:c r="AC2325" s="3" t="str">
        <x:v>unverified</x:v>
      </x:c>
      <x:c r="AD2325" s="3" t="str">
        <x:v>Not contacted / unconfirmed</x:v>
      </x:c>
      <x:c r="AE2325" s="3" t="str">
        <x:v>No</x:v>
      </x:c>
      <x:c r="AF2325" s="3" t="str">
        <x:v>No</x:v>
      </x:c>
      <x:c r="AG2325" s="3"/>
      <x:c r="AH2325" s="3"/>
      <x:c r="AI2325" s="18"/>
      <x:c r="AJ2325" s="3" t="str">
        <x:v>CF2500-DE70EDAAF441</x:v>
      </x:c>
      <x:c r="AK2325" s="3" t="str">
        <x:v>private_real_estate_lender</x:v>
      </x:c>
      <x:c r="AL2325" s="19" t="n">
        <x:v>100000</x:v>
      </x:c>
      <x:c r="AM2325" s="19" t="n">
        <x:v>500000</x:v>
      </x:c>
      <x:c r="AN2325" s="3" t="str">
        <x:v>https://www.privatelendersdirectory.com/united-states/pasadena/top-level-category/1st-coast-commercial-capital</x:v>
      </x:c>
      <x:c r="AO2325" s="3" t="str">
        <x:v>public_directory.jsonl</x:v>
      </x:c>
      <x:c r="AP2325" s="19"/>
    </x:row>
    <x:row r="2326" ht="36" customHeight="1">
      <x:c r="A2326" s="23" t="n">
        <x:v>2325</x:v>
      </x:c>
      <x:c r="B2326" s="15" t="str">
        <x:v>1ST POINT LENDING</x:v>
      </x:c>
      <x:c r="C2326" s="15"/>
      <x:c r="D2326" s="15" t="str">
        <x:v>Property lender or directory member; operating-company capital unconfirmed</x:v>
      </x:c>
      <x:c r="E2326" s="15" t="str">
        <x:v>Property lender / private-money inquiry</x:v>
      </x:c>
      <x:c r="F2326" s="17" t="str">
        <x:v>New</x:v>
      </x:c>
      <x:c r="G2326" s="24" t="str">
        <x:v>info@firstpointlending.net</x:v>
      </x:c>
      <x:c r="H2326" s="24" t="str">
        <x:v>+18184323580</x:v>
      </x:c>
      <x:c r="I2326" s="24" t="str">
        <x:v>http://firstpointlending.net/</x:v>
      </x:c>
      <x:c r="J2326" s="16" t="str">
        <x:v>CA</x:v>
      </x:c>
      <x:c r="K2326" s="16" t="str">
        <x:v>Los Angeles</x:v>
      </x:c>
      <x:c r="L2326" s="16" t="str">
        <x:v>firm_business_routing</x:v>
      </x:c>
      <x:c r="M2326" s="16" t="str">
        <x:v>http://firstpointlending.net/</x:v>
      </x:c>
      <x:c r="N2326" s="16" t="str">
        <x:v>$100K-$500K ticket not published / unconfirmed</x:v>
      </x:c>
      <x:c r="O2326" s="20"/>
      <x:c r="P2326" s="20"/>
      <x:c r="Q2326" s="25" t="str">
        <x:v>Property-loan range, not a corporate-capital commitment</x:v>
      </x:c>
      <x:c r="R2326" s="25" t="str">
        <x:v>Private real-estate finance experience. Corporate working capital, minority equity or profit participation requires a separate agreement from a property loan.</x:v>
      </x:c>
      <x:c r="S2326" s="25"/>
      <x:c r="T2326" s="25" t="str">
        <x:v>Confirm direct principal versus broker, $100K-$500K appetite, and whether capital can fund the operating company without a property mortgage.</x:v>
      </x:c>
      <x:c r="U2326" s="25" t="str">
        <x:v>https://www.privatelendersdirectory.com/united-states/los-angeles/top-level-category/1st-point-lending
http://firstpointlending.net/</x:v>
      </x:c>
      <x:c r="V2326" s="26" t="d">
        <x:v>2026-10-02T00:00:00.000Z</x:v>
      </x:c>
      <x:c r="W2326" s="26" t="d">
        <x:v>2026-09-30T00:00:00.000Z</x:v>
      </x:c>
      <x:c r="X2326" s="25" t="str">
        <x:v>Saved public company, industry-directory or regulatory source; source date retained</x:v>
      </x:c>
      <x:c r="Y2326" s="25" t="str">
        <x:v>http://firstpointlending.net/</x:v>
      </x:c>
      <x:c r="Z2326" s="25" t="str">
        <x:v>http://firstpointlending.net/</x:v>
      </x:c>
      <x:c r="AA2326" s="25" t="str">
        <x:v>[]</x:v>
      </x:c>
      <x:c r="AB2326" s="3" t="str">
        <x:v>Existing CapitalForge research, newly screened for this campaign</x:v>
      </x:c>
      <x:c r="AC2326" s="3" t="str">
        <x:v>unverified</x:v>
      </x:c>
      <x:c r="AD2326" s="3" t="str">
        <x:v>Not contacted / unconfirmed</x:v>
      </x:c>
      <x:c r="AE2326" s="3" t="str">
        <x:v>No</x:v>
      </x:c>
      <x:c r="AF2326" s="3" t="str">
        <x:v>No</x:v>
      </x:c>
      <x:c r="AG2326" s="3"/>
      <x:c r="AH2326" s="3"/>
      <x:c r="AI2326" s="18"/>
      <x:c r="AJ2326" s="3" t="str">
        <x:v>CF2500-9B2C34AC62AF</x:v>
      </x:c>
      <x:c r="AK2326" s="3" t="str">
        <x:v>private_real_estate_lender</x:v>
      </x:c>
      <x:c r="AL2326" s="19" t="n">
        <x:v>100000</x:v>
      </x:c>
      <x:c r="AM2326" s="19" t="n">
        <x:v>500000</x:v>
      </x:c>
      <x:c r="AN2326" s="3" t="str">
        <x:v>https://www.privatelendersdirectory.com/united-states/los-angeles/top-level-category/1st-point-lending</x:v>
      </x:c>
      <x:c r="AO2326" s="3" t="str">
        <x:v>public_directory.jsonl</x:v>
      </x:c>
      <x:c r="AP2326" s="19"/>
    </x:row>
    <x:row r="2327" ht="36" customHeight="1">
      <x:c r="A2327" s="23" t="n">
        <x:v>2326</x:v>
      </x:c>
      <x:c r="B2327" s="15" t="str">
        <x:v>3122 Consulting</x:v>
      </x:c>
      <x:c r="C2327" s="15" t="str">
        <x:v>3122 Consulting</x:v>
      </x:c>
      <x:c r="D2327" s="15" t="str">
        <x:v>Property lender or directory member; operating-company capital unconfirmed</x:v>
      </x:c>
      <x:c r="E2327" s="15" t="str">
        <x:v>Property lender / private-money inquiry</x:v>
      </x:c>
      <x:c r="F2327" s="17" t="str">
        <x:v>New</x:v>
      </x:c>
      <x:c r="G2327" s="24" t="str">
        <x:v>kurt.tesh@3122consulting.com</x:v>
      </x:c>
      <x:c r="H2327" s="24" t="str">
        <x:v>+14045508869</x:v>
      </x:c>
      <x:c r="I2327" s="24" t="str">
        <x:v>https://www.3122consulting.com/</x:v>
      </x:c>
      <x:c r="J2327" s="16"/>
      <x:c r="K2327" s="16"/>
      <x:c r="L2327" s="16" t="str">
        <x:v>published_professional_contact_directness_unconfirmed</x:v>
      </x:c>
      <x:c r="M2327" s="16" t="str">
        <x:v>https://www.3122consulting.com/</x:v>
      </x:c>
      <x:c r="N2327" s="16" t="str">
        <x:v>$100K-$500K ticket not published / unconfirmed</x:v>
      </x:c>
      <x:c r="O2327" s="20"/>
      <x:c r="P2327" s="20"/>
      <x:c r="Q2327" s="25" t="str">
        <x:v>Property-loan range, not a corporate-capital commitment</x:v>
      </x:c>
      <x:c r="R2327" s="25" t="str">
        <x:v>Private real-estate finance experience. Corporate working capital, minority equity or profit participation requires a separate agreement from a property loan.</x:v>
      </x:c>
      <x:c r="S2327" s="25"/>
      <x:c r="T2327" s="25" t="str">
        <x:v>Confirm direct principal versus broker, $100K-$500K appetite, and whether capital can fund the operating company without a property mortgage.</x:v>
      </x:c>
      <x:c r="U2327" s="25" t="str">
        <x:v>https://nplaconference.com/private-lending-directory/
https://www.3122consulting.com/contact-us/</x:v>
      </x:c>
      <x:c r="V2327" s="26" t="d">
        <x:v>2026-10-02T00:00:00.000Z</x:v>
      </x:c>
      <x:c r="W2327" s="26" t="d">
        <x:v>2026-09-30T00:00:00.000Z</x:v>
      </x:c>
      <x:c r="X2327" s="25" t="str">
        <x:v>Saved public company, industry-directory or regulatory source; source date retained</x:v>
      </x:c>
      <x:c r="Y2327" s="25" t="str">
        <x:v>https://www.3122consulting.com/contact-us/</x:v>
      </x:c>
      <x:c r="Z2327" s="25" t="str">
        <x:v>https://www.3122consulting.com/contact-us/</x:v>
      </x:c>
      <x:c r="AA2327" s="25" t="str">
        <x:v>[]</x:v>
      </x:c>
      <x:c r="AB2327" s="3" t="str">
        <x:v>Existing CapitalForge research, newly screened for this campaign</x:v>
      </x:c>
      <x:c r="AC2327" s="3" t="str">
        <x:v>unverified</x:v>
      </x:c>
      <x:c r="AD2327" s="3" t="str">
        <x:v>Not contacted / unconfirmed</x:v>
      </x:c>
      <x:c r="AE2327" s="3" t="str">
        <x:v>No</x:v>
      </x:c>
      <x:c r="AF2327" s="3" t="str">
        <x:v>No</x:v>
      </x:c>
      <x:c r="AG2327" s="3"/>
      <x:c r="AH2327" s="3"/>
      <x:c r="AI2327" s="18"/>
      <x:c r="AJ2327" s="3" t="str">
        <x:v>CF2500-1B2DA3647539</x:v>
      </x:c>
      <x:c r="AK2327" s="3" t="str">
        <x:v>private_real_estate_or_finance_directory_member</x:v>
      </x:c>
      <x:c r="AL2327" s="19" t="n">
        <x:v>100000</x:v>
      </x:c>
      <x:c r="AM2327" s="19" t="n">
        <x:v>500000</x:v>
      </x:c>
      <x:c r="AN2327" s="3" t="str">
        <x:v>https://nplaconference.com/private-lending-directory/</x:v>
      </x:c>
      <x:c r="AO2327" s="3" t="str">
        <x:v>public_directory.jsonl</x:v>
      </x:c>
      <x:c r="AP2327" s="19"/>
    </x:row>
    <x:row r="2328" ht="36" customHeight="1">
      <x:c r="A2328" s="23" t="n">
        <x:v>2327</x:v>
      </x:c>
      <x:c r="B2328" s="15" t="str">
        <x:v>314 CAPITAL PARTNERS</x:v>
      </x:c>
      <x:c r="C2328" s="15"/>
      <x:c r="D2328" s="15" t="str">
        <x:v>Property lender or directory member; operating-company capital unconfirmed</x:v>
      </x:c>
      <x:c r="E2328" s="15" t="str">
        <x:v>Property lender / private-money inquiry</x:v>
      </x:c>
      <x:c r="F2328" s="17" t="str">
        <x:v>New</x:v>
      </x:c>
      <x:c r="G2328" s="24" t="str">
        <x:v>lending@314capitalpartners.com</x:v>
      </x:c>
      <x:c r="H2328" s="24" t="str">
        <x:v>+12027704466</x:v>
      </x:c>
      <x:c r="I2328" s="24" t="str">
        <x:v>https://www.314capitalpartners.com/</x:v>
      </x:c>
      <x:c r="J2328" s="16" t="str">
        <x:v>DC</x:v>
      </x:c>
      <x:c r="K2328" s="16" t="str">
        <x:v>Washington</x:v>
      </x:c>
      <x:c r="L2328" s="16" t="str">
        <x:v>firm_business_routing</x:v>
      </x:c>
      <x:c r="M2328" s="16" t="str">
        <x:v>https://www.314capitalpartners.com/</x:v>
      </x:c>
      <x:c r="N2328" s="16" t="str">
        <x:v>$100K-$500K ticket not published / unconfirmed</x:v>
      </x:c>
      <x:c r="O2328" s="20"/>
      <x:c r="P2328" s="20"/>
      <x:c r="Q2328" s="25" t="str">
        <x:v>Property-loan range, not a corporate-capital commitment</x:v>
      </x:c>
      <x:c r="R2328" s="25" t="str">
        <x:v>Private real-estate finance experience. Corporate working capital, minority equity or profit participation requires a separate agreement from a property loan.</x:v>
      </x:c>
      <x:c r="S2328" s="25"/>
      <x:c r="T2328" s="25" t="str">
        <x:v>Confirm direct principal versus broker, $100K-$500K appetite, and whether capital can fund the operating company without a property mortgage.</x:v>
      </x:c>
      <x:c r="U2328" s="25" t="str">
        <x:v>https://www.privatelendersdirectory.com/united-states/washington/top-level-category/314-capital-partners
https://www.314capitalpartners.com/</x:v>
      </x:c>
      <x:c r="V2328" s="26" t="d">
        <x:v>2026-10-02T00:00:00.000Z</x:v>
      </x:c>
      <x:c r="W2328" s="26" t="d">
        <x:v>2026-09-30T00:00:00.000Z</x:v>
      </x:c>
      <x:c r="X2328" s="25" t="str">
        <x:v>Saved public company, industry-directory or regulatory source; source date retained</x:v>
      </x:c>
      <x:c r="Y2328" s="25" t="str">
        <x:v>https://www.314capitalpartners.com/</x:v>
      </x:c>
      <x:c r="Z2328" s="25" t="str">
        <x:v>https://www.314capitalpartners.com/</x:v>
      </x:c>
      <x:c r="AA2328" s="25" t="str">
        <x:v>[]</x:v>
      </x:c>
      <x:c r="AB2328" s="3" t="str">
        <x:v>Existing CapitalForge research, newly screened for this campaign</x:v>
      </x:c>
      <x:c r="AC2328" s="3" t="str">
        <x:v>unverified</x:v>
      </x:c>
      <x:c r="AD2328" s="3" t="str">
        <x:v>Not contacted / unconfirmed</x:v>
      </x:c>
      <x:c r="AE2328" s="3" t="str">
        <x:v>No</x:v>
      </x:c>
      <x:c r="AF2328" s="3" t="str">
        <x:v>No</x:v>
      </x:c>
      <x:c r="AG2328" s="3"/>
      <x:c r="AH2328" s="3"/>
      <x:c r="AI2328" s="18"/>
      <x:c r="AJ2328" s="3" t="str">
        <x:v>CF2500-91A8C8486399</x:v>
      </x:c>
      <x:c r="AK2328" s="3" t="str">
        <x:v>private_real_estate_lender</x:v>
      </x:c>
      <x:c r="AL2328" s="19" t="n">
        <x:v>100000</x:v>
      </x:c>
      <x:c r="AM2328" s="19" t="n">
        <x:v>500000</x:v>
      </x:c>
      <x:c r="AN2328" s="3" t="str">
        <x:v>https://www.privatelendersdirectory.com/united-states/washington/top-level-category/314-capital-partners</x:v>
      </x:c>
      <x:c r="AO2328" s="3" t="str">
        <x:v>public_directory.jsonl</x:v>
      </x:c>
      <x:c r="AP2328" s="19"/>
    </x:row>
    <x:row r="2329" ht="36" customHeight="1">
      <x:c r="A2329" s="23" t="n">
        <x:v>2328</x:v>
      </x:c>
      <x:c r="B2329" s="15" t="str">
        <x:v>42 NORTH PRIVATE</x:v>
      </x:c>
      <x:c r="C2329" s="15"/>
      <x:c r="D2329" s="15" t="str">
        <x:v>Property lender or directory member; operating-company capital unconfirmed</x:v>
      </x:c>
      <x:c r="E2329" s="15" t="str">
        <x:v>Property lender / private-money inquiry</x:v>
      </x:c>
      <x:c r="F2329" s="17" t="str">
        <x:v>New</x:v>
      </x:c>
      <x:c r="G2329" s="24" t="str">
        <x:v>42npb@42northprivate.com</x:v>
      </x:c>
      <x:c r="H2329" s="24" t="str">
        <x:v>+16177176100</x:v>
      </x:c>
      <x:c r="I2329" s="24" t="str">
        <x:v>https://www.42northprivate.com/</x:v>
      </x:c>
      <x:c r="J2329" s="16" t="str">
        <x:v>MA</x:v>
      </x:c>
      <x:c r="K2329" s="16" t="str">
        <x:v>Chelsea</x:v>
      </x:c>
      <x:c r="L2329" s="16" t="str">
        <x:v>firm_business_routing</x:v>
      </x:c>
      <x:c r="M2329" s="16" t="str">
        <x:v>https://www.42northprivate.com/</x:v>
      </x:c>
      <x:c r="N2329" s="16" t="str">
        <x:v>$100K-$500K ticket not published / unconfirmed</x:v>
      </x:c>
      <x:c r="O2329" s="20"/>
      <x:c r="P2329" s="20"/>
      <x:c r="Q2329" s="25" t="str">
        <x:v>Property-loan range, not a corporate-capital commitment</x:v>
      </x:c>
      <x:c r="R2329" s="25" t="str">
        <x:v>Private real-estate finance experience. Corporate working capital, minority equity or profit participation requires a separate agreement from a property loan.</x:v>
      </x:c>
      <x:c r="S2329" s="25"/>
      <x:c r="T2329" s="25" t="str">
        <x:v>Confirm direct principal versus broker, $100K-$500K appetite, and whether capital can fund the operating company without a property mortgage.</x:v>
      </x:c>
      <x:c r="U2329" s="25" t="str">
        <x:v>https://www.privatelendersdirectory.com/united-states/chelsea/top-level-category/42-north-private
https://www.42northprivate.com/</x:v>
      </x:c>
      <x:c r="V2329" s="26" t="d">
        <x:v>2026-10-02T00:00:00.000Z</x:v>
      </x:c>
      <x:c r="W2329" s="26" t="d">
        <x:v>2026-09-30T00:00:00.000Z</x:v>
      </x:c>
      <x:c r="X2329" s="25" t="str">
        <x:v>Saved public company, industry-directory or regulatory source; source date retained</x:v>
      </x:c>
      <x:c r="Y2329" s="25" t="str">
        <x:v>https://www.42northprivate.com/</x:v>
      </x:c>
      <x:c r="Z2329" s="25" t="str">
        <x:v>https://www.42northprivate.com/</x:v>
      </x:c>
      <x:c r="AA2329" s="25" t="str">
        <x:v>[]</x:v>
      </x:c>
      <x:c r="AB2329" s="3" t="str">
        <x:v>Existing CapitalForge research, newly screened for this campaign</x:v>
      </x:c>
      <x:c r="AC2329" s="3" t="str">
        <x:v>unverified</x:v>
      </x:c>
      <x:c r="AD2329" s="3" t="str">
        <x:v>Not contacted / unconfirmed</x:v>
      </x:c>
      <x:c r="AE2329" s="3" t="str">
        <x:v>No</x:v>
      </x:c>
      <x:c r="AF2329" s="3" t="str">
        <x:v>No</x:v>
      </x:c>
      <x:c r="AG2329" s="3"/>
      <x:c r="AH2329" s="3"/>
      <x:c r="AI2329" s="18"/>
      <x:c r="AJ2329" s="3" t="str">
        <x:v>CF2500-B3D13DFE0972</x:v>
      </x:c>
      <x:c r="AK2329" s="3" t="str">
        <x:v>private_real_estate_lender</x:v>
      </x:c>
      <x:c r="AL2329" s="19" t="n">
        <x:v>100000</x:v>
      </x:c>
      <x:c r="AM2329" s="19" t="n">
        <x:v>500000</x:v>
      </x:c>
      <x:c r="AN2329" s="3" t="str">
        <x:v>https://www.privatelendersdirectory.com/united-states/chelsea/top-level-category/42-north-private</x:v>
      </x:c>
      <x:c r="AO2329" s="3" t="str">
        <x:v>public_directory.jsonl</x:v>
      </x:c>
      <x:c r="AP2329" s="19"/>
    </x:row>
    <x:row r="2330" ht="36" customHeight="1">
      <x:c r="A2330" s="23" t="n">
        <x:v>2329</x:v>
      </x:c>
      <x:c r="B2330" s="15" t="str">
        <x:v>420 PROPERTY</x:v>
      </x:c>
      <x:c r="C2330" s="15"/>
      <x:c r="D2330" s="15" t="str">
        <x:v>Property lender or directory member; operating-company capital unconfirmed</x:v>
      </x:c>
      <x:c r="E2330" s="15" t="str">
        <x:v>Property lender / private-money inquiry</x:v>
      </x:c>
      <x:c r="F2330" s="17" t="str">
        <x:v>New</x:v>
      </x:c>
      <x:c r="G2330" s="24" t="str">
        <x:v>support@420property.com</x:v>
      </x:c>
      <x:c r="H2330" s="24" t="str">
        <x:v>+18667420776</x:v>
      </x:c>
      <x:c r="I2330" s="24" t="str">
        <x:v>https://www.420property.com/</x:v>
      </x:c>
      <x:c r="J2330" s="16" t="str">
        <x:v>CA</x:v>
      </x:c>
      <x:c r="K2330" s="16" t="str">
        <x:v>Sacramento</x:v>
      </x:c>
      <x:c r="L2330" s="16" t="str">
        <x:v>firm_business_routing</x:v>
      </x:c>
      <x:c r="M2330" s="16" t="str">
        <x:v>https://www.420property.com/</x:v>
      </x:c>
      <x:c r="N2330" s="16" t="str">
        <x:v>$100K-$500K ticket not published / unconfirmed</x:v>
      </x:c>
      <x:c r="O2330" s="20"/>
      <x:c r="P2330" s="20"/>
      <x:c r="Q2330" s="25" t="str">
        <x:v>Property-loan range, not a corporate-capital commitment</x:v>
      </x:c>
      <x:c r="R2330" s="25" t="str">
        <x:v>Private real-estate finance experience. Corporate working capital, minority equity or profit participation requires a separate agreement from a property loan.</x:v>
      </x:c>
      <x:c r="S2330" s="25"/>
      <x:c r="T2330" s="25" t="str">
        <x:v>Confirm direct principal versus broker, $100K-$500K appetite, and whether capital can fund the operating company without a property mortgage.</x:v>
      </x:c>
      <x:c r="U2330" s="25" t="str">
        <x:v>https://www.privatelendersdirectory.com/united-states/sacramento/top-level-category/420-property
https://www.420property.com/</x:v>
      </x:c>
      <x:c r="V2330" s="26" t="d">
        <x:v>2026-10-02T00:00:00.000Z</x:v>
      </x:c>
      <x:c r="W2330" s="26" t="d">
        <x:v>2026-09-30T00:00:00.000Z</x:v>
      </x:c>
      <x:c r="X2330" s="25" t="str">
        <x:v>Saved public company, industry-directory or regulatory source; source date retained</x:v>
      </x:c>
      <x:c r="Y2330" s="25" t="str">
        <x:v>https://www.420property.com/</x:v>
      </x:c>
      <x:c r="Z2330" s="25" t="str">
        <x:v>https://www.420property.com/</x:v>
      </x:c>
      <x:c r="AA2330" s="25" t="str">
        <x:v>[]</x:v>
      </x:c>
      <x:c r="AB2330" s="3" t="str">
        <x:v>Existing CapitalForge research, newly screened for this campaign</x:v>
      </x:c>
      <x:c r="AC2330" s="3" t="str">
        <x:v>unverified</x:v>
      </x:c>
      <x:c r="AD2330" s="3" t="str">
        <x:v>Not contacted / unconfirmed</x:v>
      </x:c>
      <x:c r="AE2330" s="3" t="str">
        <x:v>No</x:v>
      </x:c>
      <x:c r="AF2330" s="3" t="str">
        <x:v>No</x:v>
      </x:c>
      <x:c r="AG2330" s="3"/>
      <x:c r="AH2330" s="3"/>
      <x:c r="AI2330" s="18"/>
      <x:c r="AJ2330" s="3" t="str">
        <x:v>CF2500-F365AAD0249B</x:v>
      </x:c>
      <x:c r="AK2330" s="3" t="str">
        <x:v>private_real_estate_lender</x:v>
      </x:c>
      <x:c r="AL2330" s="19" t="n">
        <x:v>100000</x:v>
      </x:c>
      <x:c r="AM2330" s="19" t="n">
        <x:v>500000</x:v>
      </x:c>
      <x:c r="AN2330" s="3" t="str">
        <x:v>https://www.privatelendersdirectory.com/united-states/sacramento/top-level-category/420-property</x:v>
      </x:c>
      <x:c r="AO2330" s="3" t="str">
        <x:v>public_directory.jsonl</x:v>
      </x:c>
      <x:c r="AP2330" s="19"/>
    </x:row>
    <x:row r="2331" ht="36" customHeight="1">
      <x:c r="A2331" s="23" t="n">
        <x:v>2330</x:v>
      </x:c>
      <x:c r="B2331" s="15" t="str">
        <x:v>513 CAPITAL</x:v>
      </x:c>
      <x:c r="C2331" s="15"/>
      <x:c r="D2331" s="15" t="str">
        <x:v>Property lender or directory member; operating-company capital unconfirmed</x:v>
      </x:c>
      <x:c r="E2331" s="15" t="str">
        <x:v>Property lender / private-money inquiry</x:v>
      </x:c>
      <x:c r="F2331" s="17" t="str">
        <x:v>New</x:v>
      </x:c>
      <x:c r="G2331" s="24" t="str">
        <x:v>info@513cap.com</x:v>
      </x:c>
      <x:c r="H2331" s="24" t="str">
        <x:v>+15139889700</x:v>
      </x:c>
      <x:c r="I2331" s="24" t="str">
        <x:v>https://513cap.com/</x:v>
      </x:c>
      <x:c r="J2331" s="16" t="str">
        <x:v>OH</x:v>
      </x:c>
      <x:c r="K2331" s="16" t="str">
        <x:v>Cincinnati</x:v>
      </x:c>
      <x:c r="L2331" s="16" t="str">
        <x:v>firm_business_routing</x:v>
      </x:c>
      <x:c r="M2331" s="16" t="str">
        <x:v>https://513cap.com/</x:v>
      </x:c>
      <x:c r="N2331" s="16" t="str">
        <x:v>$100K-$500K ticket not published / unconfirmed</x:v>
      </x:c>
      <x:c r="O2331" s="20"/>
      <x:c r="P2331" s="20"/>
      <x:c r="Q2331" s="25" t="str">
        <x:v>Property-loan range, not a corporate-capital commitment</x:v>
      </x:c>
      <x:c r="R2331" s="25" t="str">
        <x:v>Private real-estate finance experience. Corporate working capital, minority equity or profit participation requires a separate agreement from a property loan.</x:v>
      </x:c>
      <x:c r="S2331" s="25"/>
      <x:c r="T2331" s="25" t="str">
        <x:v>Confirm direct principal versus broker, $100K-$500K appetite, and whether capital can fund the operating company without a property mortgage.</x:v>
      </x:c>
      <x:c r="U2331" s="25" t="str">
        <x:v>https://www.privatelendersdirectory.com/united-states/cincinnati/real-estate-investment-lending/513-capital
https://513cap.com/</x:v>
      </x:c>
      <x:c r="V2331" s="26" t="d">
        <x:v>2026-10-02T00:00:00.000Z</x:v>
      </x:c>
      <x:c r="W2331" s="26" t="d">
        <x:v>2026-09-30T00:00:00.000Z</x:v>
      </x:c>
      <x:c r="X2331" s="25" t="str">
        <x:v>Saved public company, industry-directory or regulatory source; source date retained</x:v>
      </x:c>
      <x:c r="Y2331" s="25" t="str">
        <x:v>https://513cap.com/</x:v>
      </x:c>
      <x:c r="Z2331" s="25" t="str">
        <x:v>https://513cap.com/</x:v>
      </x:c>
      <x:c r="AA2331" s="25" t="str">
        <x:v>[]</x:v>
      </x:c>
      <x:c r="AB2331" s="3" t="str">
        <x:v>Existing CapitalForge research, newly screened for this campaign</x:v>
      </x:c>
      <x:c r="AC2331" s="3" t="str">
        <x:v>unverified</x:v>
      </x:c>
      <x:c r="AD2331" s="3" t="str">
        <x:v>Not contacted / unconfirmed</x:v>
      </x:c>
      <x:c r="AE2331" s="3" t="str">
        <x:v>No</x:v>
      </x:c>
      <x:c r="AF2331" s="3" t="str">
        <x:v>No</x:v>
      </x:c>
      <x:c r="AG2331" s="3"/>
      <x:c r="AH2331" s="3"/>
      <x:c r="AI2331" s="18"/>
      <x:c r="AJ2331" s="3" t="str">
        <x:v>CF2500-F52112FDA6B6</x:v>
      </x:c>
      <x:c r="AK2331" s="3" t="str">
        <x:v>private_real_estate_lender</x:v>
      </x:c>
      <x:c r="AL2331" s="19" t="n">
        <x:v>100000</x:v>
      </x:c>
      <x:c r="AM2331" s="19" t="n">
        <x:v>500000</x:v>
      </x:c>
      <x:c r="AN2331" s="3" t="str">
        <x:v>https://www.privatelendersdirectory.com/united-states/cincinnati/real-estate-investment-lending/513-capital</x:v>
      </x:c>
      <x:c r="AO2331" s="3" t="str">
        <x:v>public_directory.jsonl</x:v>
      </x:c>
      <x:c r="AP2331" s="19"/>
    </x:row>
    <x:row r="2332" ht="36" customHeight="1">
      <x:c r="A2332" s="23" t="n">
        <x:v>2331</x:v>
      </x:c>
      <x:c r="B2332" s="15" t="str">
        <x:v>5TH BRIDGE FUNDING</x:v>
      </x:c>
      <x:c r="C2332" s="15"/>
      <x:c r="D2332" s="15" t="str">
        <x:v>Property lender or directory member; operating-company capital unconfirmed</x:v>
      </x:c>
      <x:c r="E2332" s="15" t="str">
        <x:v>Property lender / private-money inquiry</x:v>
      </x:c>
      <x:c r="F2332" s="17" t="str">
        <x:v>New</x:v>
      </x:c>
      <x:c r="G2332" s="24" t="str">
        <x:v>5thbridgefunding@gmail.com</x:v>
      </x:c>
      <x:c r="H2332" s="24" t="str">
        <x:v>+17022812304</x:v>
      </x:c>
      <x:c r="I2332" s="24" t="str">
        <x:v>https://www.5thbridgefunding.com/</x:v>
      </x:c>
      <x:c r="J2332" s="16" t="str">
        <x:v>NV</x:v>
      </x:c>
      <x:c r="K2332" s="16" t="str">
        <x:v>Las Vegas</x:v>
      </x:c>
      <x:c r="L2332" s="16" t="str">
        <x:v>firm_business_routing</x:v>
      </x:c>
      <x:c r="M2332" s="16" t="str">
        <x:v>https://www.5thbridgefunding.com/</x:v>
      </x:c>
      <x:c r="N2332" s="16" t="str">
        <x:v>$100K-$500K ticket not published / unconfirmed</x:v>
      </x:c>
      <x:c r="O2332" s="20"/>
      <x:c r="P2332" s="20"/>
      <x:c r="Q2332" s="25" t="str">
        <x:v>Property-loan range, not a corporate-capital commitment</x:v>
      </x:c>
      <x:c r="R2332" s="25" t="str">
        <x:v>Private real-estate finance experience. Corporate working capital, minority equity or profit participation requires a separate agreement from a property loan.</x:v>
      </x:c>
      <x:c r="S2332" s="25"/>
      <x:c r="T2332" s="25" t="str">
        <x:v>Confirm direct principal versus broker, $100K-$500K appetite, and whether capital can fund the operating company without a property mortgage.</x:v>
      </x:c>
      <x:c r="U2332" s="25" t="str">
        <x:v>https://www.privatelendersdirectory.com/united-states/las-vegas/top-level-category/5th-bridge-funding
https://www.5thbridgefunding.com/</x:v>
      </x:c>
      <x:c r="V2332" s="26" t="d">
        <x:v>2026-10-02T00:00:00.000Z</x:v>
      </x:c>
      <x:c r="W2332" s="26" t="d">
        <x:v>2026-09-30T00:00:00.000Z</x:v>
      </x:c>
      <x:c r="X2332" s="25" t="str">
        <x:v>Saved public company, industry-directory or regulatory source; source date retained</x:v>
      </x:c>
      <x:c r="Y2332" s="25" t="str">
        <x:v>https://www.5thbridgefunding.com/</x:v>
      </x:c>
      <x:c r="Z2332" s="25" t="str">
        <x:v>https://www.5thbridgefunding.com/</x:v>
      </x:c>
      <x:c r="AA2332" s="25" t="str">
        <x:v>[]</x:v>
      </x:c>
      <x:c r="AB2332" s="3" t="str">
        <x:v>Existing CapitalForge research, newly screened for this campaign</x:v>
      </x:c>
      <x:c r="AC2332" s="3" t="str">
        <x:v>unverified</x:v>
      </x:c>
      <x:c r="AD2332" s="3" t="str">
        <x:v>Not contacted / unconfirmed</x:v>
      </x:c>
      <x:c r="AE2332" s="3" t="str">
        <x:v>No</x:v>
      </x:c>
      <x:c r="AF2332" s="3" t="str">
        <x:v>No</x:v>
      </x:c>
      <x:c r="AG2332" s="3"/>
      <x:c r="AH2332" s="3"/>
      <x:c r="AI2332" s="18"/>
      <x:c r="AJ2332" s="3" t="str">
        <x:v>CF2500-6456668C9C68</x:v>
      </x:c>
      <x:c r="AK2332" s="3" t="str">
        <x:v>private_real_estate_lender</x:v>
      </x:c>
      <x:c r="AL2332" s="19" t="n">
        <x:v>100000</x:v>
      </x:c>
      <x:c r="AM2332" s="19" t="n">
        <x:v>500000</x:v>
      </x:c>
      <x:c r="AN2332" s="3" t="str">
        <x:v>https://www.privatelendersdirectory.com/united-states/las-vegas/top-level-category/5th-bridge-funding</x:v>
      </x:c>
      <x:c r="AO2332" s="3" t="str">
        <x:v>public_directory.jsonl</x:v>
      </x:c>
      <x:c r="AP2332" s="19"/>
    </x:row>
    <x:row r="2333" ht="36" customHeight="1">
      <x:c r="A2333" s="23" t="n">
        <x:v>2332</x:v>
      </x:c>
      <x:c r="B2333" s="15" t="str">
        <x:v>5TH STREET CAPITAL</x:v>
      </x:c>
      <x:c r="C2333" s="15"/>
      <x:c r="D2333" s="15" t="str">
        <x:v>Property lender or directory member; operating-company capital unconfirmed</x:v>
      </x:c>
      <x:c r="E2333" s="15" t="str">
        <x:v>Property lender / private-money inquiry</x:v>
      </x:c>
      <x:c r="F2333" s="17" t="str">
        <x:v>New</x:v>
      </x:c>
      <x:c r="G2333" s="24" t="str">
        <x:v>info@5thstcap.com</x:v>
      </x:c>
      <x:c r="H2333" s="24" t="str">
        <x:v>+18887023385</x:v>
      </x:c>
      <x:c r="I2333" s="24" t="str">
        <x:v>https://www.5thstcap.com/</x:v>
      </x:c>
      <x:c r="J2333" s="16" t="str">
        <x:v>CA</x:v>
      </x:c>
      <x:c r="K2333" s="16" t="str">
        <x:v>San Diego</x:v>
      </x:c>
      <x:c r="L2333" s="16" t="str">
        <x:v>firm_business_routing</x:v>
      </x:c>
      <x:c r="M2333" s="16" t="str">
        <x:v>https://www.5thstcap.com/</x:v>
      </x:c>
      <x:c r="N2333" s="16" t="str">
        <x:v>$100K-$500K ticket not published / unconfirmed</x:v>
      </x:c>
      <x:c r="O2333" s="20"/>
      <x:c r="P2333" s="20"/>
      <x:c r="Q2333" s="25" t="str">
        <x:v>Property-loan range, not a corporate-capital commitment</x:v>
      </x:c>
      <x:c r="R2333" s="25" t="str">
        <x:v>Private real-estate finance experience. Corporate working capital, minority equity or profit participation requires a separate agreement from a property loan.</x:v>
      </x:c>
      <x:c r="S2333" s="25"/>
      <x:c r="T2333" s="25" t="str">
        <x:v>Confirm direct principal versus broker, $100K-$500K appetite, and whether capital can fund the operating company without a property mortgage.</x:v>
      </x:c>
      <x:c r="U2333" s="25" t="str">
        <x:v>https://www.privatelendersdirectory.com/united-states/san-diego/real-estate-investment-lending/5th-street-capital
https://www.5thstcap.com/</x:v>
      </x:c>
      <x:c r="V2333" s="26" t="d">
        <x:v>2026-10-02T00:00:00.000Z</x:v>
      </x:c>
      <x:c r="W2333" s="26" t="d">
        <x:v>2026-09-30T00:00:00.000Z</x:v>
      </x:c>
      <x:c r="X2333" s="25" t="str">
        <x:v>Saved public company, industry-directory or regulatory source; source date retained</x:v>
      </x:c>
      <x:c r="Y2333" s="25" t="str">
        <x:v>https://www.5thstcap.com/</x:v>
      </x:c>
      <x:c r="Z2333" s="25" t="str">
        <x:v>https://www.5thstcap.com/</x:v>
      </x:c>
      <x:c r="AA2333" s="25" t="str">
        <x:v>[]</x:v>
      </x:c>
      <x:c r="AB2333" s="3" t="str">
        <x:v>Existing CapitalForge research, newly screened for this campaign</x:v>
      </x:c>
      <x:c r="AC2333" s="3" t="str">
        <x:v>unverified</x:v>
      </x:c>
      <x:c r="AD2333" s="3" t="str">
        <x:v>Not contacted / unconfirmed</x:v>
      </x:c>
      <x:c r="AE2333" s="3" t="str">
        <x:v>No</x:v>
      </x:c>
      <x:c r="AF2333" s="3" t="str">
        <x:v>No</x:v>
      </x:c>
      <x:c r="AG2333" s="3"/>
      <x:c r="AH2333" s="3"/>
      <x:c r="AI2333" s="18"/>
      <x:c r="AJ2333" s="3" t="str">
        <x:v>CF2500-FF0789CE7326</x:v>
      </x:c>
      <x:c r="AK2333" s="3" t="str">
        <x:v>private_real_estate_lender</x:v>
      </x:c>
      <x:c r="AL2333" s="19" t="n">
        <x:v>100000</x:v>
      </x:c>
      <x:c r="AM2333" s="19" t="n">
        <x:v>500000</x:v>
      </x:c>
      <x:c r="AN2333" s="3" t="str">
        <x:v>https://www.privatelendersdirectory.com/united-states/san-diego/real-estate-investment-lending/5th-street-capital</x:v>
      </x:c>
      <x:c r="AO2333" s="3" t="str">
        <x:v>public_directory.jsonl</x:v>
      </x:c>
      <x:c r="AP2333" s="19"/>
    </x:row>
    <x:row r="2334" ht="36" customHeight="1">
      <x:c r="A2334" s="23" t="n">
        <x:v>2333</x:v>
      </x:c>
      <x:c r="B2334" s="15" t="str">
        <x:v>6350 CAPITAL GROUP.</x:v>
      </x:c>
      <x:c r="C2334" s="15"/>
      <x:c r="D2334" s="15" t="str">
        <x:v>Property lender or directory member; operating-company capital unconfirmed</x:v>
      </x:c>
      <x:c r="E2334" s="15" t="str">
        <x:v>Property lender / private-money inquiry</x:v>
      </x:c>
      <x:c r="F2334" s="17" t="str">
        <x:v>New</x:v>
      </x:c>
      <x:c r="G2334" s="24" t="str">
        <x:v>info@6350capital.com</x:v>
      </x:c>
      <x:c r="H2334" s="24" t="str">
        <x:v>+19496982106</x:v>
      </x:c>
      <x:c r="I2334" s="24" t="str">
        <x:v>https://www.6350capital.com/</x:v>
      </x:c>
      <x:c r="J2334" s="16" t="str">
        <x:v>ID</x:v>
      </x:c>
      <x:c r="K2334" s="16" t="str">
        <x:v>Ketchum</x:v>
      </x:c>
      <x:c r="L2334" s="16" t="str">
        <x:v>firm_business_routing</x:v>
      </x:c>
      <x:c r="M2334" s="16" t="str">
        <x:v>https://www.6350capital.com/</x:v>
      </x:c>
      <x:c r="N2334" s="16" t="str">
        <x:v>$100K-$500K ticket not published / unconfirmed</x:v>
      </x:c>
      <x:c r="O2334" s="20"/>
      <x:c r="P2334" s="20"/>
      <x:c r="Q2334" s="25" t="str">
        <x:v>Property-loan range, not a corporate-capital commitment</x:v>
      </x:c>
      <x:c r="R2334" s="25" t="str">
        <x:v>Private real-estate finance experience. Corporate working capital, minority equity or profit participation requires a separate agreement from a property loan.</x:v>
      </x:c>
      <x:c r="S2334" s="25"/>
      <x:c r="T2334" s="25" t="str">
        <x:v>Confirm direct principal versus broker, $100K-$500K appetite, and whether capital can fund the operating company without a property mortgage.</x:v>
      </x:c>
      <x:c r="U2334" s="25" t="str">
        <x:v>https://www.privatelendersdirectory.com/united-states/ketchum/real-estate-investment-lending/6350-capital-group
https://www.6350capital.com/</x:v>
      </x:c>
      <x:c r="V2334" s="26" t="d">
        <x:v>2026-10-02T00:00:00.000Z</x:v>
      </x:c>
      <x:c r="W2334" s="26" t="d">
        <x:v>2026-09-30T00:00:00.000Z</x:v>
      </x:c>
      <x:c r="X2334" s="25" t="str">
        <x:v>Saved public company, industry-directory or regulatory source; source date retained</x:v>
      </x:c>
      <x:c r="Y2334" s="25" t="str">
        <x:v>https://www.6350capital.com/</x:v>
      </x:c>
      <x:c r="Z2334" s="25" t="str">
        <x:v>https://www.6350capital.com/</x:v>
      </x:c>
      <x:c r="AA2334" s="25" t="str">
        <x:v>[]</x:v>
      </x:c>
      <x:c r="AB2334" s="3" t="str">
        <x:v>Existing CapitalForge research, newly screened for this campaign</x:v>
      </x:c>
      <x:c r="AC2334" s="3" t="str">
        <x:v>unverified</x:v>
      </x:c>
      <x:c r="AD2334" s="3" t="str">
        <x:v>Not contacted / unconfirmed</x:v>
      </x:c>
      <x:c r="AE2334" s="3" t="str">
        <x:v>No</x:v>
      </x:c>
      <x:c r="AF2334" s="3" t="str">
        <x:v>No</x:v>
      </x:c>
      <x:c r="AG2334" s="3"/>
      <x:c r="AH2334" s="3"/>
      <x:c r="AI2334" s="18"/>
      <x:c r="AJ2334" s="3" t="str">
        <x:v>CF2500-5C5A1E9FF9B2</x:v>
      </x:c>
      <x:c r="AK2334" s="3" t="str">
        <x:v>private_real_estate_lender</x:v>
      </x:c>
      <x:c r="AL2334" s="19" t="n">
        <x:v>100000</x:v>
      </x:c>
      <x:c r="AM2334" s="19" t="n">
        <x:v>500000</x:v>
      </x:c>
      <x:c r="AN2334" s="3" t="str">
        <x:v>https://www.privatelendersdirectory.com/united-states/ketchum/real-estate-investment-lending/6350-capital-group</x:v>
      </x:c>
      <x:c r="AO2334" s="3" t="str">
        <x:v>public_directory.jsonl</x:v>
      </x:c>
      <x:c r="AP2334" s="19"/>
    </x:row>
    <x:row r="2335" ht="36" customHeight="1">
      <x:c r="A2335" s="23" t="n">
        <x:v>2334</x:v>
      </x:c>
      <x:c r="B2335" s="15" t="str">
        <x:v>A-1 LOANS</x:v>
      </x:c>
      <x:c r="C2335" s="15"/>
      <x:c r="D2335" s="15" t="str">
        <x:v>Property lender or directory member; operating-company capital unconfirmed</x:v>
      </x:c>
      <x:c r="E2335" s="15" t="str">
        <x:v>Property lender / private-money inquiry</x:v>
      </x:c>
      <x:c r="F2335" s="17" t="str">
        <x:v>New</x:v>
      </x:c>
      <x:c r="G2335" s="24" t="str">
        <x:v>info@a-1loans.com</x:v>
      </x:c>
      <x:c r="H2335" s="24" t="str">
        <x:v>+17073211111</x:v>
      </x:c>
      <x:c r="I2335" s="24" t="str">
        <x:v>https://www.a-1loans.com/</x:v>
      </x:c>
      <x:c r="J2335" s="16" t="str">
        <x:v>CA</x:v>
      </x:c>
      <x:c r="K2335" s="16" t="str">
        <x:v>Santa Rosa</x:v>
      </x:c>
      <x:c r="L2335" s="16" t="str">
        <x:v>firm_business_routing</x:v>
      </x:c>
      <x:c r="M2335" s="16" t="str">
        <x:v>https://www.a-1loans.com/</x:v>
      </x:c>
      <x:c r="N2335" s="16" t="str">
        <x:v>$100K-$500K ticket not published / unconfirmed</x:v>
      </x:c>
      <x:c r="O2335" s="20"/>
      <x:c r="P2335" s="20"/>
      <x:c r="Q2335" s="25" t="str">
        <x:v>Property-loan range, not a corporate-capital commitment</x:v>
      </x:c>
      <x:c r="R2335" s="25" t="str">
        <x:v>Private real-estate finance experience. Corporate working capital, minority equity or profit participation requires a separate agreement from a property loan.</x:v>
      </x:c>
      <x:c r="S2335" s="25"/>
      <x:c r="T2335" s="25" t="str">
        <x:v>Confirm direct principal versus broker, $100K-$500K appetite, and whether capital can fund the operating company without a property mortgage.</x:v>
      </x:c>
      <x:c r="U2335" s="25" t="str">
        <x:v>https://www.privatelendersdirectory.com/united-states/santa-rosa/top-level-category/a-1-loans
https://www.a-1loans.com/</x:v>
      </x:c>
      <x:c r="V2335" s="26" t="d">
        <x:v>2026-10-02T00:00:00.000Z</x:v>
      </x:c>
      <x:c r="W2335" s="26" t="d">
        <x:v>2026-09-30T00:00:00.000Z</x:v>
      </x:c>
      <x:c r="X2335" s="25" t="str">
        <x:v>Saved public company, industry-directory or regulatory source; source date retained</x:v>
      </x:c>
      <x:c r="Y2335" s="25" t="str">
        <x:v>https://www.a-1loans.com/</x:v>
      </x:c>
      <x:c r="Z2335" s="25" t="str">
        <x:v>https://www.a-1loans.com/</x:v>
      </x:c>
      <x:c r="AA2335" s="25" t="str">
        <x:v>[]</x:v>
      </x:c>
      <x:c r="AB2335" s="3" t="str">
        <x:v>Existing CapitalForge research, newly screened for this campaign</x:v>
      </x:c>
      <x:c r="AC2335" s="3" t="str">
        <x:v>unverified</x:v>
      </x:c>
      <x:c r="AD2335" s="3" t="str">
        <x:v>Not contacted / unconfirmed</x:v>
      </x:c>
      <x:c r="AE2335" s="3" t="str">
        <x:v>No</x:v>
      </x:c>
      <x:c r="AF2335" s="3" t="str">
        <x:v>No</x:v>
      </x:c>
      <x:c r="AG2335" s="3"/>
      <x:c r="AH2335" s="3"/>
      <x:c r="AI2335" s="18"/>
      <x:c r="AJ2335" s="3" t="str">
        <x:v>CF2500-2FA8EBF401D2</x:v>
      </x:c>
      <x:c r="AK2335" s="3" t="str">
        <x:v>private_real_estate_lender</x:v>
      </x:c>
      <x:c r="AL2335" s="19" t="n">
        <x:v>100000</x:v>
      </x:c>
      <x:c r="AM2335" s="19" t="n">
        <x:v>500000</x:v>
      </x:c>
      <x:c r="AN2335" s="3" t="str">
        <x:v>https://www.privatelendersdirectory.com/united-states/santa-rosa/top-level-category/a-1-loans</x:v>
      </x:c>
      <x:c r="AO2335" s="3" t="str">
        <x:v>public_directory.jsonl</x:v>
      </x:c>
      <x:c r="AP2335" s="19"/>
    </x:row>
    <x:row r="2336" ht="36" customHeight="1">
      <x:c r="A2336" s="23" t="n">
        <x:v>2335</x:v>
      </x:c>
      <x:c r="B2336" s="15" t="str">
        <x:v>A REMODLED HOME</x:v>
      </x:c>
      <x:c r="C2336" s="15"/>
      <x:c r="D2336" s="15" t="str">
        <x:v>Property lender or directory member; operating-company capital unconfirmed</x:v>
      </x:c>
      <x:c r="E2336" s="15" t="str">
        <x:v>Property lender / private-money inquiry</x:v>
      </x:c>
      <x:c r="F2336" s="17" t="str">
        <x:v>New</x:v>
      </x:c>
      <x:c r="G2336" s="24" t="str">
        <x:v>robert@aremodeledhome.com</x:v>
      </x:c>
      <x:c r="H2336" s="24" t="str">
        <x:v>+19495724468</x:v>
      </x:c>
      <x:c r="I2336" s="24" t="str">
        <x:v>http://www.aremodeledhome.com/</x:v>
      </x:c>
      <x:c r="J2336" s="16" t="str">
        <x:v>CA</x:v>
      </x:c>
      <x:c r="K2336" s="16" t="str">
        <x:v>Irvine</x:v>
      </x:c>
      <x:c r="L2336" s="16" t="str">
        <x:v>firm_business_routing</x:v>
      </x:c>
      <x:c r="M2336" s="16" t="str">
        <x:v>http://www.aremodeledhome.com/</x:v>
      </x:c>
      <x:c r="N2336" s="16" t="str">
        <x:v>$100K-$500K ticket not published / unconfirmed</x:v>
      </x:c>
      <x:c r="O2336" s="20"/>
      <x:c r="P2336" s="20"/>
      <x:c r="Q2336" s="25" t="str">
        <x:v>Property-loan range, not a corporate-capital commitment</x:v>
      </x:c>
      <x:c r="R2336" s="25" t="str">
        <x:v>Private real-estate finance experience. Corporate working capital, minority equity or profit participation requires a separate agreement from a property loan.</x:v>
      </x:c>
      <x:c r="S2336" s="25"/>
      <x:c r="T2336" s="25" t="str">
        <x:v>Confirm direct principal versus broker, $100K-$500K appetite, and whether capital can fund the operating company without a property mortgage.</x:v>
      </x:c>
      <x:c r="U2336" s="25" t="str">
        <x:v>https://www.privatelendersdirectory.com/united-states/irvine/top-level-category/a-remodled-home
https://www.aremodeledhome.com/</x:v>
      </x:c>
      <x:c r="V2336" s="26" t="d">
        <x:v>2026-10-02T00:00:00.000Z</x:v>
      </x:c>
      <x:c r="W2336" s="26" t="d">
        <x:v>2026-09-30T00:00:00.000Z</x:v>
      </x:c>
      <x:c r="X2336" s="25" t="str">
        <x:v>Saved public company, industry-directory or regulatory source; source date retained</x:v>
      </x:c>
      <x:c r="Y2336" s="25" t="str">
        <x:v>https://www.aremodeledhome.com/</x:v>
      </x:c>
      <x:c r="Z2336" s="25" t="str">
        <x:v>https://www.aremodeledhome.com/</x:v>
      </x:c>
      <x:c r="AA2336" s="25" t="str">
        <x:v>[]</x:v>
      </x:c>
      <x:c r="AB2336" s="3" t="str">
        <x:v>Existing CapitalForge research, newly screened for this campaign</x:v>
      </x:c>
      <x:c r="AC2336" s="3" t="str">
        <x:v>unverified</x:v>
      </x:c>
      <x:c r="AD2336" s="3" t="str">
        <x:v>Not contacted / unconfirmed</x:v>
      </x:c>
      <x:c r="AE2336" s="3" t="str">
        <x:v>No</x:v>
      </x:c>
      <x:c r="AF2336" s="3" t="str">
        <x:v>No</x:v>
      </x:c>
      <x:c r="AG2336" s="3"/>
      <x:c r="AH2336" s="3"/>
      <x:c r="AI2336" s="18"/>
      <x:c r="AJ2336" s="3" t="str">
        <x:v>CF2500-09DAB80C3640</x:v>
      </x:c>
      <x:c r="AK2336" s="3" t="str">
        <x:v>private_real_estate_lender</x:v>
      </x:c>
      <x:c r="AL2336" s="19" t="n">
        <x:v>100000</x:v>
      </x:c>
      <x:c r="AM2336" s="19" t="n">
        <x:v>500000</x:v>
      </x:c>
      <x:c r="AN2336" s="3" t="str">
        <x:v>https://www.privatelendersdirectory.com/united-states/irvine/top-level-category/a-remodled-home</x:v>
      </x:c>
      <x:c r="AO2336" s="3" t="str">
        <x:v>public_directory.jsonl</x:v>
      </x:c>
      <x:c r="AP2336" s="19"/>
    </x:row>
    <x:row r="2337" ht="36" customHeight="1">
      <x:c r="A2337" s="23" t="n">
        <x:v>2336</x:v>
      </x:c>
      <x:c r="B2337" s="15" t="str">
        <x:v>A4 Capital Partners</x:v>
      </x:c>
      <x:c r="C2337" s="15"/>
      <x:c r="D2337" s="15" t="str">
        <x:v>Property lender or directory member; operating-company capital unconfirmed</x:v>
      </x:c>
      <x:c r="E2337" s="15" t="str">
        <x:v>Property lender / private-money inquiry</x:v>
      </x:c>
      <x:c r="F2337" s="17" t="str">
        <x:v>New</x:v>
      </x:c>
      <x:c r="G2337" s="24" t="str">
        <x:v>gyasevac@a4cp.com</x:v>
      </x:c>
      <x:c r="H2337" s="24" t="str">
        <x:v>+12039411055</x:v>
      </x:c>
      <x:c r="I2337" s="24" t="str">
        <x:v>https://a4cp.com/?utm_source=lender-link</x:v>
      </x:c>
      <x:c r="J2337" s="16"/>
      <x:c r="K2337" s="16"/>
      <x:c r="L2337" s="16" t="str">
        <x:v>firm_business_routing</x:v>
      </x:c>
      <x:c r="M2337" s="16" t="str">
        <x:v>https://a4cp.com/?utm_source=lender-link</x:v>
      </x:c>
      <x:c r="N2337" s="16" t="str">
        <x:v>$100K-$500K ticket not published / unconfirmed</x:v>
      </x:c>
      <x:c r="O2337" s="20"/>
      <x:c r="P2337" s="20"/>
      <x:c r="Q2337" s="25" t="str">
        <x:v>Property-loan range, not a corporate-capital commitment</x:v>
      </x:c>
      <x:c r="R2337" s="25" t="str">
        <x:v>Private real-estate finance experience. Corporate working capital, minority equity or profit participation requires a separate agreement from a property loan.</x:v>
      </x:c>
      <x:c r="S2337" s="25"/>
      <x:c r="T2337" s="25" t="str">
        <x:v>Confirm direct principal versus broker, $100K-$500K appetite, and whether capital can fund the operating company without a property mortgage.</x:v>
      </x:c>
      <x:c r="U2337" s="25" t="str">
        <x:v>https://privatelenderlink.com/profile/a4-capital-partners/</x:v>
      </x:c>
      <x:c r="V2337" s="26" t="d">
        <x:v>2026-10-02T00:00:00.000Z</x:v>
      </x:c>
      <x:c r="W2337" s="26" t="d">
        <x:v>2026-09-30T00:00:00.000Z</x:v>
      </x:c>
      <x:c r="X2337" s="25" t="str">
        <x:v>Saved public company, industry-directory or regulatory source; source date retained</x:v>
      </x:c>
      <x:c r="Y2337" s="25" t="str">
        <x:v>https://privatelenderlink.com/profile/a4-capital-partners/</x:v>
      </x:c>
      <x:c r="Z2337" s="25" t="str">
        <x:v>https://privatelenderlink.com/profile/a4-capital-partners/</x:v>
      </x:c>
      <x:c r="AA2337" s="25" t="str">
        <x:v>[]</x:v>
      </x:c>
      <x:c r="AB2337" s="3" t="str">
        <x:v>Existing CapitalForge research, newly screened for this campaign</x:v>
      </x:c>
      <x:c r="AC2337" s="3" t="str">
        <x:v>unverified</x:v>
      </x:c>
      <x:c r="AD2337" s="3" t="str">
        <x:v>Not contacted / unconfirmed</x:v>
      </x:c>
      <x:c r="AE2337" s="3" t="str">
        <x:v>No</x:v>
      </x:c>
      <x:c r="AF2337" s="3" t="str">
        <x:v>No</x:v>
      </x:c>
      <x:c r="AG2337" s="3"/>
      <x:c r="AH2337" s="3"/>
      <x:c r="AI2337" s="18"/>
      <x:c r="AJ2337" s="3" t="str">
        <x:v>CF2500-534977F34638</x:v>
      </x:c>
      <x:c r="AK2337" s="3" t="str">
        <x:v>private_real_estate_lender</x:v>
      </x:c>
      <x:c r="AL2337" s="19" t="n">
        <x:v>100000</x:v>
      </x:c>
      <x:c r="AM2337" s="19" t="n">
        <x:v>500000</x:v>
      </x:c>
      <x:c r="AN2337" s="3" t="str">
        <x:v>https://privatelenderlink.com/profile/a4-capital-partners/</x:v>
      </x:c>
      <x:c r="AO2337" s="3" t="str">
        <x:v>public_directory.jsonl</x:v>
      </x:c>
      <x:c r="AP2337" s="19"/>
    </x:row>
    <x:row r="2338" ht="36" customHeight="1">
      <x:c r="A2338" s="23" t="n">
        <x:v>2337</x:v>
      </x:c>
      <x:c r="B2338" s="15" t="str">
        <x:v>AAA FUNDING</x:v>
      </x:c>
      <x:c r="C2338" s="15"/>
      <x:c r="D2338" s="15" t="str">
        <x:v>Property lender or directory member; operating-company capital unconfirmed</x:v>
      </x:c>
      <x:c r="E2338" s="15" t="str">
        <x:v>Property lender / private-money inquiry</x:v>
      </x:c>
      <x:c r="F2338" s="17" t="str">
        <x:v>New</x:v>
      </x:c>
      <x:c r="G2338" s="24" t="str">
        <x:v>shaye@aaafundingnow.com</x:v>
      </x:c>
      <x:c r="H2338" s="24" t="str">
        <x:v>+18455231700</x:v>
      </x:c>
      <x:c r="I2338" s="24" t="str">
        <x:v>https://aaafundingnow.com/</x:v>
      </x:c>
      <x:c r="J2338" s="16" t="str">
        <x:v>NY</x:v>
      </x:c>
      <x:c r="K2338" s="16" t="str">
        <x:v>Spring Valley</x:v>
      </x:c>
      <x:c r="L2338" s="16" t="str">
        <x:v>firm_business_routing</x:v>
      </x:c>
      <x:c r="M2338" s="16" t="str">
        <x:v>https://aaafundingnow.com/</x:v>
      </x:c>
      <x:c r="N2338" s="16" t="str">
        <x:v>$100K-$500K ticket not published / unconfirmed</x:v>
      </x:c>
      <x:c r="O2338" s="20"/>
      <x:c r="P2338" s="20"/>
      <x:c r="Q2338" s="25" t="str">
        <x:v>Property-loan range, not a corporate-capital commitment</x:v>
      </x:c>
      <x:c r="R2338" s="25" t="str">
        <x:v>Private real-estate finance experience. Corporate working capital, minority equity or profit participation requires a separate agreement from a property loan.</x:v>
      </x:c>
      <x:c r="S2338" s="25"/>
      <x:c r="T2338" s="25" t="str">
        <x:v>Confirm direct principal versus broker, $100K-$500K appetite, and whether capital can fund the operating company without a property mortgage.</x:v>
      </x:c>
      <x:c r="U2338" s="25" t="str">
        <x:v>https://www.privatelendersdirectory.com/united-states/spring-valley/top-level-category/aaa-funding
https://aaafundingnow.com/</x:v>
      </x:c>
      <x:c r="V2338" s="26" t="d">
        <x:v>2026-10-02T00:00:00.000Z</x:v>
      </x:c>
      <x:c r="W2338" s="26" t="d">
        <x:v>2026-09-30T00:00:00.000Z</x:v>
      </x:c>
      <x:c r="X2338" s="25" t="str">
        <x:v>Saved public company, industry-directory or regulatory source; source date retained</x:v>
      </x:c>
      <x:c r="Y2338" s="25" t="str">
        <x:v>https://aaafundingnow.com/</x:v>
      </x:c>
      <x:c r="Z2338" s="25" t="str">
        <x:v>https://aaafundingnow.com/</x:v>
      </x:c>
      <x:c r="AA2338" s="25" t="str">
        <x:v>[]</x:v>
      </x:c>
      <x:c r="AB2338" s="3" t="str">
        <x:v>Existing CapitalForge research, newly screened for this campaign</x:v>
      </x:c>
      <x:c r="AC2338" s="3" t="str">
        <x:v>unverified</x:v>
      </x:c>
      <x:c r="AD2338" s="3" t="str">
        <x:v>Not contacted / unconfirmed</x:v>
      </x:c>
      <x:c r="AE2338" s="3" t="str">
        <x:v>No</x:v>
      </x:c>
      <x:c r="AF2338" s="3" t="str">
        <x:v>No</x:v>
      </x:c>
      <x:c r="AG2338" s="3"/>
      <x:c r="AH2338" s="3"/>
      <x:c r="AI2338" s="18"/>
      <x:c r="AJ2338" s="3" t="str">
        <x:v>CF2500-B8175F1E9C2A</x:v>
      </x:c>
      <x:c r="AK2338" s="3" t="str">
        <x:v>private_real_estate_lender</x:v>
      </x:c>
      <x:c r="AL2338" s="19" t="n">
        <x:v>100000</x:v>
      </x:c>
      <x:c r="AM2338" s="19" t="n">
        <x:v>500000</x:v>
      </x:c>
      <x:c r="AN2338" s="3" t="str">
        <x:v>https://www.privatelendersdirectory.com/united-states/spring-valley/top-level-category/aaa-funding</x:v>
      </x:c>
      <x:c r="AO2338" s="3" t="str">
        <x:v>public_directory.jsonl</x:v>
      </x:c>
      <x:c r="AP2338" s="19"/>
    </x:row>
    <x:row r="2339" ht="36" customHeight="1">
      <x:c r="A2339" s="23" t="n">
        <x:v>2338</x:v>
      </x:c>
      <x:c r="B2339" s="15" t="str">
        <x:v>AAA LENDINGS</x:v>
      </x:c>
      <x:c r="C2339" s="15"/>
      <x:c r="D2339" s="15" t="str">
        <x:v>Property lender or directory member; operating-company capital unconfirmed</x:v>
      </x:c>
      <x:c r="E2339" s="15" t="str">
        <x:v>Property lender / private-money inquiry</x:v>
      </x:c>
      <x:c r="F2339" s="17" t="str">
        <x:v>New</x:v>
      </x:c>
      <x:c r="G2339" s="24" t="str">
        <x:v>hello@aaalendings.com</x:v>
      </x:c>
      <x:c r="H2339" s="24" t="str">
        <x:v>+18777898816</x:v>
      </x:c>
      <x:c r="I2339" s="24" t="str">
        <x:v>https://www.aaalendings.com/</x:v>
      </x:c>
      <x:c r="J2339" s="16" t="str">
        <x:v>CA</x:v>
      </x:c>
      <x:c r="K2339" s="16" t="str">
        <x:v>Alhambra</x:v>
      </x:c>
      <x:c r="L2339" s="16" t="str">
        <x:v>firm_business_routing</x:v>
      </x:c>
      <x:c r="M2339" s="16" t="str">
        <x:v>https://www.aaalendings.com/</x:v>
      </x:c>
      <x:c r="N2339" s="16" t="str">
        <x:v>$100K-$500K ticket not published / unconfirmed</x:v>
      </x:c>
      <x:c r="O2339" s="20"/>
      <x:c r="P2339" s="20"/>
      <x:c r="Q2339" s="25" t="str">
        <x:v>Property-loan range, not a corporate-capital commitment</x:v>
      </x:c>
      <x:c r="R2339" s="25" t="str">
        <x:v>Private real-estate finance experience. Corporate working capital, minority equity or profit participation requires a separate agreement from a property loan.</x:v>
      </x:c>
      <x:c r="S2339" s="25"/>
      <x:c r="T2339" s="25" t="str">
        <x:v>Confirm direct principal versus broker, $100K-$500K appetite, and whether capital can fund the operating company without a property mortgage.</x:v>
      </x:c>
      <x:c r="U2339" s="25" t="str">
        <x:v>https://www.privatelendersdirectory.com/united-states/alhambra/top-level-category/aaa-lendings
https://www.aaalendings.com/
https://www.privatelendersdirectory.com/united-states/alhambra/top-level-category/aaa-capital-investment</x:v>
      </x:c>
      <x:c r="V2339" s="26" t="d">
        <x:v>2026-10-02T00:00:00.000Z</x:v>
      </x:c>
      <x:c r="W2339" s="26" t="d">
        <x:v>2026-09-30T00:00:00.000Z</x:v>
      </x:c>
      <x:c r="X2339" s="25" t="str">
        <x:v>Saved public company, industry-directory or regulatory source; source date retained</x:v>
      </x:c>
      <x:c r="Y2339" s="25" t="str">
        <x:v>https://www.aaalendings.com/</x:v>
      </x:c>
      <x:c r="Z2339" s="25" t="str">
        <x:v>https://www.aaalendings.com/</x:v>
      </x:c>
      <x:c r="AA2339" s="25" t="str">
        <x:v>[]</x:v>
      </x:c>
      <x:c r="AB2339" s="3" t="str">
        <x:v>Existing CapitalForge research, newly screened for this campaign</x:v>
      </x:c>
      <x:c r="AC2339" s="3" t="str">
        <x:v>unverified</x:v>
      </x:c>
      <x:c r="AD2339" s="3" t="str">
        <x:v>Not contacted / unconfirmed</x:v>
      </x:c>
      <x:c r="AE2339" s="3" t="str">
        <x:v>No</x:v>
      </x:c>
      <x:c r="AF2339" s="3" t="str">
        <x:v>No</x:v>
      </x:c>
      <x:c r="AG2339" s="3"/>
      <x:c r="AH2339" s="3"/>
      <x:c r="AI2339" s="18"/>
      <x:c r="AJ2339" s="3" t="str">
        <x:v>CF2500-37096F0C3AF8</x:v>
      </x:c>
      <x:c r="AK2339" s="3" t="str">
        <x:v>private_real_estate_lender</x:v>
      </x:c>
      <x:c r="AL2339" s="19" t="n">
        <x:v>100000</x:v>
      </x:c>
      <x:c r="AM2339" s="19" t="n">
        <x:v>500000</x:v>
      </x:c>
      <x:c r="AN2339" s="3" t="str">
        <x:v>https://www.privatelendersdirectory.com/united-states/alhambra/top-level-category/aaa-lendings</x:v>
      </x:c>
      <x:c r="AO2339" s="3" t="str">
        <x:v>public_directory.jsonl</x:v>
      </x:c>
      <x:c r="AP2339" s="19"/>
    </x:row>
    <x:row r="2340" ht="36" customHeight="1">
      <x:c r="A2340" s="23" t="n">
        <x:v>2339</x:v>
      </x:c>
      <x:c r="B2340" s="15" t="str">
        <x:v>AANDAR REAL ESATE CAPITAL</x:v>
      </x:c>
      <x:c r="C2340" s="15"/>
      <x:c r="D2340" s="15" t="str">
        <x:v>Property lender or directory member; operating-company capital unconfirmed</x:v>
      </x:c>
      <x:c r="E2340" s="15" t="str">
        <x:v>Property lender / private-money inquiry</x:v>
      </x:c>
      <x:c r="F2340" s="17" t="str">
        <x:v>New</x:v>
      </x:c>
      <x:c r="G2340" s="24" t="str">
        <x:v>arosenfeld@aandar.com</x:v>
      </x:c>
      <x:c r="H2340" s="24" t="str">
        <x:v>+19732640024</x:v>
      </x:c>
      <x:c r="I2340" s="24" t="str">
        <x:v>https://www.aandar.com/</x:v>
      </x:c>
      <x:c r="J2340" s="16" t="str">
        <x:v>NJ</x:v>
      </x:c>
      <x:c r="K2340" s="16" t="str">
        <x:v>Rochelle Park</x:v>
      </x:c>
      <x:c r="L2340" s="16" t="str">
        <x:v>firm_business_routing</x:v>
      </x:c>
      <x:c r="M2340" s="16" t="str">
        <x:v>https://www.aandar.com/</x:v>
      </x:c>
      <x:c r="N2340" s="16" t="str">
        <x:v>$100K-$500K ticket not published / unconfirmed</x:v>
      </x:c>
      <x:c r="O2340" s="20"/>
      <x:c r="P2340" s="20"/>
      <x:c r="Q2340" s="25" t="str">
        <x:v>Property-loan range, not a corporate-capital commitment</x:v>
      </x:c>
      <x:c r="R2340" s="25" t="str">
        <x:v>Private real-estate finance experience. Corporate working capital, minority equity or profit participation requires a separate agreement from a property loan.</x:v>
      </x:c>
      <x:c r="S2340" s="25"/>
      <x:c r="T2340" s="25" t="str">
        <x:v>Confirm direct principal versus broker, $100K-$500K appetite, and whether capital can fund the operating company without a property mortgage.</x:v>
      </x:c>
      <x:c r="U2340" s="25" t="str">
        <x:v>https://www.privatelendersdirectory.com/united-states/rochelle-park/top-level-category/aandar-real-esate-capital
https://www.aandar.com/</x:v>
      </x:c>
      <x:c r="V2340" s="26" t="d">
        <x:v>2026-10-02T00:00:00.000Z</x:v>
      </x:c>
      <x:c r="W2340" s="26" t="d">
        <x:v>2026-09-30T00:00:00.000Z</x:v>
      </x:c>
      <x:c r="X2340" s="25" t="str">
        <x:v>Saved public company, industry-directory or regulatory source; source date retained</x:v>
      </x:c>
      <x:c r="Y2340" s="25" t="str">
        <x:v>https://www.aandar.com/</x:v>
      </x:c>
      <x:c r="Z2340" s="25" t="str">
        <x:v>https://www.aandar.com/</x:v>
      </x:c>
      <x:c r="AA2340" s="25" t="str">
        <x:v>[]</x:v>
      </x:c>
      <x:c r="AB2340" s="3" t="str">
        <x:v>Existing CapitalForge research, newly screened for this campaign</x:v>
      </x:c>
      <x:c r="AC2340" s="3" t="str">
        <x:v>unverified</x:v>
      </x:c>
      <x:c r="AD2340" s="3" t="str">
        <x:v>Not contacted / unconfirmed</x:v>
      </x:c>
      <x:c r="AE2340" s="3" t="str">
        <x:v>No</x:v>
      </x:c>
      <x:c r="AF2340" s="3" t="str">
        <x:v>No</x:v>
      </x:c>
      <x:c r="AG2340" s="3"/>
      <x:c r="AH2340" s="3"/>
      <x:c r="AI2340" s="18"/>
      <x:c r="AJ2340" s="3" t="str">
        <x:v>CF2500-C42023026262</x:v>
      </x:c>
      <x:c r="AK2340" s="3" t="str">
        <x:v>private_real_estate_lender</x:v>
      </x:c>
      <x:c r="AL2340" s="19" t="n">
        <x:v>100000</x:v>
      </x:c>
      <x:c r="AM2340" s="19" t="n">
        <x:v>500000</x:v>
      </x:c>
      <x:c r="AN2340" s="3" t="str">
        <x:v>https://www.privatelendersdirectory.com/united-states/rochelle-park/top-level-category/aandar-real-esate-capital</x:v>
      </x:c>
      <x:c r="AO2340" s="3" t="str">
        <x:v>public_directory.jsonl</x:v>
      </x:c>
      <x:c r="AP2340" s="19"/>
    </x:row>
    <x:row r="2341" ht="36" customHeight="1">
      <x:c r="A2341" s="23" t="n">
        <x:v>2340</x:v>
      </x:c>
      <x:c r="B2341" s="15" t="str">
        <x:v>ABO CAPITAL</x:v>
      </x:c>
      <x:c r="C2341" s="15"/>
      <x:c r="D2341" s="15" t="str">
        <x:v>Property lender or directory member; operating-company capital unconfirmed</x:v>
      </x:c>
      <x:c r="E2341" s="15" t="str">
        <x:v>Property lender / private-money inquiry</x:v>
      </x:c>
      <x:c r="F2341" s="17" t="str">
        <x:v>New</x:v>
      </x:c>
      <x:c r="G2341" s="24" t="str">
        <x:v>sa@abocapital.com</x:v>
      </x:c>
      <x:c r="H2341" s="24" t="str">
        <x:v>+13103121200</x:v>
      </x:c>
      <x:c r="I2341" s="24" t="str">
        <x:v>https://abocapital.com/</x:v>
      </x:c>
      <x:c r="J2341" s="16" t="str">
        <x:v>CA</x:v>
      </x:c>
      <x:c r="K2341" s="16" t="str">
        <x:v>Los Angeles</x:v>
      </x:c>
      <x:c r="L2341" s="16" t="str">
        <x:v>firm_business_routing</x:v>
      </x:c>
      <x:c r="M2341" s="16" t="str">
        <x:v>https://abocapital.com/</x:v>
      </x:c>
      <x:c r="N2341" s="16" t="str">
        <x:v>$100K-$500K ticket not published / unconfirmed</x:v>
      </x:c>
      <x:c r="O2341" s="20"/>
      <x:c r="P2341" s="20"/>
      <x:c r="Q2341" s="25" t="str">
        <x:v>Property-loan range, not a corporate-capital commitment</x:v>
      </x:c>
      <x:c r="R2341" s="25" t="str">
        <x:v>Private real-estate finance experience. Corporate working capital, minority equity or profit participation requires a separate agreement from a property loan.</x:v>
      </x:c>
      <x:c r="S2341" s="25"/>
      <x:c r="T2341" s="25" t="str">
        <x:v>Confirm direct principal versus broker, $100K-$500K appetite, and whether capital can fund the operating company without a property mortgage.</x:v>
      </x:c>
      <x:c r="U2341" s="25" t="str">
        <x:v>https://www.privatelendersdirectory.com/united-states/los-angeles/real-estate-investment-lending/abo-capital
https://abocapital.com/</x:v>
      </x:c>
      <x:c r="V2341" s="26" t="d">
        <x:v>2026-10-02T00:00:00.000Z</x:v>
      </x:c>
      <x:c r="W2341" s="26" t="d">
        <x:v>2026-09-30T00:00:00.000Z</x:v>
      </x:c>
      <x:c r="X2341" s="25" t="str">
        <x:v>Saved public company, industry-directory or regulatory source; source date retained</x:v>
      </x:c>
      <x:c r="Y2341" s="25" t="str">
        <x:v>https://abocapital.com/</x:v>
      </x:c>
      <x:c r="Z2341" s="25" t="str">
        <x:v>https://abocapital.com/</x:v>
      </x:c>
      <x:c r="AA2341" s="25" t="str">
        <x:v>[]</x:v>
      </x:c>
      <x:c r="AB2341" s="3" t="str">
        <x:v>Existing CapitalForge research, newly screened for this campaign</x:v>
      </x:c>
      <x:c r="AC2341" s="3" t="str">
        <x:v>unverified</x:v>
      </x:c>
      <x:c r="AD2341" s="3" t="str">
        <x:v>Not contacted / unconfirmed</x:v>
      </x:c>
      <x:c r="AE2341" s="3" t="str">
        <x:v>No</x:v>
      </x:c>
      <x:c r="AF2341" s="3" t="str">
        <x:v>No</x:v>
      </x:c>
      <x:c r="AG2341" s="3"/>
      <x:c r="AH2341" s="3"/>
      <x:c r="AI2341" s="18"/>
      <x:c r="AJ2341" s="3" t="str">
        <x:v>CF2500-36F8D37D171E</x:v>
      </x:c>
      <x:c r="AK2341" s="3" t="str">
        <x:v>private_real_estate_lender</x:v>
      </x:c>
      <x:c r="AL2341" s="19" t="n">
        <x:v>100000</x:v>
      </x:c>
      <x:c r="AM2341" s="19" t="n">
        <x:v>500000</x:v>
      </x:c>
      <x:c r="AN2341" s="3" t="str">
        <x:v>https://www.privatelendersdirectory.com/united-states/los-angeles/real-estate-investment-lending/abo-capital</x:v>
      </x:c>
      <x:c r="AO2341" s="3" t="str">
        <x:v>public_directory.jsonl</x:v>
      </x:c>
      <x:c r="AP2341" s="19"/>
    </x:row>
    <x:row r="2342" ht="36" customHeight="1">
      <x:c r="A2342" s="23" t="n">
        <x:v>2341</x:v>
      </x:c>
      <x:c r="B2342" s="15" t="str">
        <x:v>ACC MORTGAGE</x:v>
      </x:c>
      <x:c r="C2342" s="15"/>
      <x:c r="D2342" s="15" t="str">
        <x:v>Property lender or directory member; operating-company capital unconfirmed</x:v>
      </x:c>
      <x:c r="E2342" s="15" t="str">
        <x:v>Property lender / private-money inquiry</x:v>
      </x:c>
      <x:c r="F2342" s="17" t="str">
        <x:v>New</x:v>
      </x:c>
      <x:c r="G2342" s="24" t="str">
        <x:v>info@accmortgage.com</x:v>
      </x:c>
      <x:c r="H2342" s="24" t="str">
        <x:v>+18773532233</x:v>
      </x:c>
      <x:c r="I2342" s="24" t="str">
        <x:v>https://accmortgage.com/</x:v>
      </x:c>
      <x:c r="J2342" s="16" t="str">
        <x:v>MD</x:v>
      </x:c>
      <x:c r="K2342" s="16" t="str">
        <x:v>Rockville</x:v>
      </x:c>
      <x:c r="L2342" s="16" t="str">
        <x:v>firm_business_routing</x:v>
      </x:c>
      <x:c r="M2342" s="16" t="str">
        <x:v>https://accmortgage.com/</x:v>
      </x:c>
      <x:c r="N2342" s="16" t="str">
        <x:v>$100K-$500K ticket not published / unconfirmed</x:v>
      </x:c>
      <x:c r="O2342" s="20"/>
      <x:c r="P2342" s="20"/>
      <x:c r="Q2342" s="25" t="str">
        <x:v>Property-loan range, not a corporate-capital commitment</x:v>
      </x:c>
      <x:c r="R2342" s="25" t="str">
        <x:v>Private real-estate finance experience. Corporate working capital, minority equity or profit participation requires a separate agreement from a property loan.</x:v>
      </x:c>
      <x:c r="S2342" s="25"/>
      <x:c r="T2342" s="25" t="str">
        <x:v>Confirm direct principal versus broker, $100K-$500K appetite, and whether capital can fund the operating company without a property mortgage.</x:v>
      </x:c>
      <x:c r="U2342" s="25" t="str">
        <x:v>https://www.privatelendersdirectory.com/united-states/rockville/top-level-category/acc-mortgage
https://accmortgage.com/
https://accmortgage.com/contact-us/</x:v>
      </x:c>
      <x:c r="V2342" s="26" t="d">
        <x:v>2026-10-02T00:00:00.000Z</x:v>
      </x:c>
      <x:c r="W2342" s="26" t="d">
        <x:v>2026-09-30T00:00:00.000Z</x:v>
      </x:c>
      <x:c r="X2342" s="25" t="str">
        <x:v>Saved public company, industry-directory or regulatory source; source date retained</x:v>
      </x:c>
      <x:c r="Y2342" s="25" t="str">
        <x:v>https://accmortgage.com/contact-us/</x:v>
      </x:c>
      <x:c r="Z2342" s="25" t="str">
        <x:v>https://accmortgage.com/</x:v>
      </x:c>
      <x:c r="AA2342" s="25" t="str">
        <x:v>[]</x:v>
      </x:c>
      <x:c r="AB2342" s="3" t="str">
        <x:v>Existing CapitalForge research, newly screened for this campaign</x:v>
      </x:c>
      <x:c r="AC2342" s="3" t="str">
        <x:v>unverified</x:v>
      </x:c>
      <x:c r="AD2342" s="3" t="str">
        <x:v>Not contacted / unconfirmed</x:v>
      </x:c>
      <x:c r="AE2342" s="3" t="str">
        <x:v>No</x:v>
      </x:c>
      <x:c r="AF2342" s="3" t="str">
        <x:v>No</x:v>
      </x:c>
      <x:c r="AG2342" s="3"/>
      <x:c r="AH2342" s="3"/>
      <x:c r="AI2342" s="18"/>
      <x:c r="AJ2342" s="3" t="str">
        <x:v>CF2500-EE2395D0FE4C</x:v>
      </x:c>
      <x:c r="AK2342" s="3" t="str">
        <x:v>private_real_estate_lender</x:v>
      </x:c>
      <x:c r="AL2342" s="19" t="n">
        <x:v>100000</x:v>
      </x:c>
      <x:c r="AM2342" s="19" t="n">
        <x:v>500000</x:v>
      </x:c>
      <x:c r="AN2342" s="3" t="str">
        <x:v>https://www.privatelendersdirectory.com/united-states/rockville/top-level-category/acc-mortgage</x:v>
      </x:c>
      <x:c r="AO2342" s="3" t="str">
        <x:v>public_directory.jsonl</x:v>
      </x:c>
      <x:c r="AP2342" s="19"/>
    </x:row>
    <x:row r="2343" ht="36" customHeight="1">
      <x:c r="A2343" s="23" t="n">
        <x:v>2342</x:v>
      </x:c>
      <x:c r="B2343" s="15" t="str">
        <x:v>ACCESS 1</x:v>
      </x:c>
      <x:c r="C2343" s="15"/>
      <x:c r="D2343" s="15" t="str">
        <x:v>Property lender or directory member; operating-company capital unconfirmed</x:v>
      </x:c>
      <x:c r="E2343" s="15" t="str">
        <x:v>Property lender / private-money inquiry</x:v>
      </x:c>
      <x:c r="F2343" s="17" t="str">
        <x:v>New</x:v>
      </x:c>
      <x:c r="G2343" s="24" t="str">
        <x:v>info@access1properties.com</x:v>
      </x:c>
      <x:c r="H2343" s="24" t="str">
        <x:v>+14432569500</x:v>
      </x:c>
      <x:c r="I2343" s="24" t="str">
        <x:v>https://access1properties.com/</x:v>
      </x:c>
      <x:c r="J2343" s="16" t="str">
        <x:v>MD</x:v>
      </x:c>
      <x:c r="K2343" s="16" t="str">
        <x:v>Owings Mills</x:v>
      </x:c>
      <x:c r="L2343" s="16" t="str">
        <x:v>firm_business_routing</x:v>
      </x:c>
      <x:c r="M2343" s="16" t="str">
        <x:v>https://access1properties.com/</x:v>
      </x:c>
      <x:c r="N2343" s="16" t="str">
        <x:v>$100K-$500K ticket not published / unconfirmed</x:v>
      </x:c>
      <x:c r="O2343" s="20"/>
      <x:c r="P2343" s="20"/>
      <x:c r="Q2343" s="25" t="str">
        <x:v>Property-loan range, not a corporate-capital commitment</x:v>
      </x:c>
      <x:c r="R2343" s="25" t="str">
        <x:v>Private real-estate finance experience. Corporate working capital, minority equity or profit participation requires a separate agreement from a property loan.</x:v>
      </x:c>
      <x:c r="S2343" s="25"/>
      <x:c r="T2343" s="25" t="str">
        <x:v>Confirm direct principal versus broker, $100K-$500K appetite, and whether capital can fund the operating company without a property mortgage.</x:v>
      </x:c>
      <x:c r="U2343" s="25" t="str">
        <x:v>https://www.privatelendersdirectory.com/united-states/owings-mills/top-level-category/access-1
https://access1properties.com/</x:v>
      </x:c>
      <x:c r="V2343" s="26" t="d">
        <x:v>2026-10-02T00:00:00.000Z</x:v>
      </x:c>
      <x:c r="W2343" s="26" t="d">
        <x:v>2026-09-30T00:00:00.000Z</x:v>
      </x:c>
      <x:c r="X2343" s="25" t="str">
        <x:v>Saved public company, industry-directory or regulatory source; source date retained</x:v>
      </x:c>
      <x:c r="Y2343" s="25" t="str">
        <x:v>https://access1properties.com/</x:v>
      </x:c>
      <x:c r="Z2343" s="25" t="str">
        <x:v>https://access1properties.com/</x:v>
      </x:c>
      <x:c r="AA2343" s="25" t="str">
        <x:v>[]</x:v>
      </x:c>
      <x:c r="AB2343" s="3" t="str">
        <x:v>Existing CapitalForge research, newly screened for this campaign</x:v>
      </x:c>
      <x:c r="AC2343" s="3" t="str">
        <x:v>unverified</x:v>
      </x:c>
      <x:c r="AD2343" s="3" t="str">
        <x:v>Not contacted / unconfirmed</x:v>
      </x:c>
      <x:c r="AE2343" s="3" t="str">
        <x:v>No</x:v>
      </x:c>
      <x:c r="AF2343" s="3" t="str">
        <x:v>No</x:v>
      </x:c>
      <x:c r="AG2343" s="3"/>
      <x:c r="AH2343" s="3"/>
      <x:c r="AI2343" s="18"/>
      <x:c r="AJ2343" s="3" t="str">
        <x:v>CF2500-87D0C78C1015</x:v>
      </x:c>
      <x:c r="AK2343" s="3" t="str">
        <x:v>private_real_estate_lender</x:v>
      </x:c>
      <x:c r="AL2343" s="19" t="n">
        <x:v>100000</x:v>
      </x:c>
      <x:c r="AM2343" s="19" t="n">
        <x:v>500000</x:v>
      </x:c>
      <x:c r="AN2343" s="3" t="str">
        <x:v>https://www.privatelendersdirectory.com/united-states/owings-mills/top-level-category/access-1</x:v>
      </x:c>
      <x:c r="AO2343" s="3" t="str">
        <x:v>public_directory.jsonl</x:v>
      </x:c>
      <x:c r="AP2343" s="19"/>
    </x:row>
    <x:row r="2344" ht="36" customHeight="1">
      <x:c r="A2344" s="23" t="n">
        <x:v>2343</x:v>
      </x:c>
      <x:c r="B2344" s="15" t="str">
        <x:v>ACCESS BUSINESS FINANCE</x:v>
      </x:c>
      <x:c r="C2344" s="15"/>
      <x:c r="D2344" s="15" t="str">
        <x:v>Property lender or directory member; operating-company capital unconfirmed</x:v>
      </x:c>
      <x:c r="E2344" s="15" t="str">
        <x:v>Property lender / private-money inquiry</x:v>
      </x:c>
      <x:c r="F2344" s="17" t="str">
        <x:v>New</x:v>
      </x:c>
      <x:c r="G2344" s="24" t="str">
        <x:v>swest@accessbusinessfinance.com</x:v>
      </x:c>
      <x:c r="H2344" s="24" t="str">
        <x:v>+14257479090</x:v>
      </x:c>
      <x:c r="I2344" s="24" t="str">
        <x:v>https://accessbusinessfinance.com/</x:v>
      </x:c>
      <x:c r="J2344" s="16" t="str">
        <x:v>WA</x:v>
      </x:c>
      <x:c r="K2344" s="16" t="str">
        <x:v>Bellevue</x:v>
      </x:c>
      <x:c r="L2344" s="16" t="str">
        <x:v>firm_business_routing</x:v>
      </x:c>
      <x:c r="M2344" s="16" t="str">
        <x:v>https://accessbusinessfinance.com/</x:v>
      </x:c>
      <x:c r="N2344" s="16" t="str">
        <x:v>$100K-$500K ticket not published / unconfirmed</x:v>
      </x:c>
      <x:c r="O2344" s="20"/>
      <x:c r="P2344" s="20"/>
      <x:c r="Q2344" s="25" t="str">
        <x:v>Property-loan range, not a corporate-capital commitment</x:v>
      </x:c>
      <x:c r="R2344" s="25" t="str">
        <x:v>Private real-estate finance experience. Corporate working capital, minority equity or profit participation requires a separate agreement from a property loan.</x:v>
      </x:c>
      <x:c r="S2344" s="25"/>
      <x:c r="T2344" s="25" t="str">
        <x:v>Confirm direct principal versus broker, $100K-$500K appetite, and whether capital can fund the operating company without a property mortgage.</x:v>
      </x:c>
      <x:c r="U2344" s="25" t="str">
        <x:v>https://www.privatelendersdirectory.com/united-states/bellevue/real-estate-investment-lending/access-business-finance
https://accessbusinessfinance.com/
https://accessbusinessfinance.com/our-team/</x:v>
      </x:c>
      <x:c r="V2344" s="26" t="d">
        <x:v>2026-10-02T00:00:00.000Z</x:v>
      </x:c>
      <x:c r="W2344" s="26" t="d">
        <x:v>2026-09-30T00:00:00.000Z</x:v>
      </x:c>
      <x:c r="X2344" s="25" t="str">
        <x:v>Saved public company, industry-directory or regulatory source; source date retained</x:v>
      </x:c>
      <x:c r="Y2344" s="25" t="str">
        <x:v>https://accessbusinessfinance.com/our-team/</x:v>
      </x:c>
      <x:c r="Z2344" s="25" t="str">
        <x:v>https://accessbusinessfinance.com/</x:v>
      </x:c>
      <x:c r="AA2344" s="25" t="str">
        <x:v>[]</x:v>
      </x:c>
      <x:c r="AB2344" s="3" t="str">
        <x:v>Existing CapitalForge research, newly screened for this campaign</x:v>
      </x:c>
      <x:c r="AC2344" s="3" t="str">
        <x:v>unverified</x:v>
      </x:c>
      <x:c r="AD2344" s="3" t="str">
        <x:v>Not contacted / unconfirmed</x:v>
      </x:c>
      <x:c r="AE2344" s="3" t="str">
        <x:v>No</x:v>
      </x:c>
      <x:c r="AF2344" s="3" t="str">
        <x:v>No</x:v>
      </x:c>
      <x:c r="AG2344" s="3"/>
      <x:c r="AH2344" s="3"/>
      <x:c r="AI2344" s="18"/>
      <x:c r="AJ2344" s="3" t="str">
        <x:v>CF2500-3FBD840027FE</x:v>
      </x:c>
      <x:c r="AK2344" s="3" t="str">
        <x:v>private_real_estate_lender</x:v>
      </x:c>
      <x:c r="AL2344" s="19" t="n">
        <x:v>100000</x:v>
      </x:c>
      <x:c r="AM2344" s="19" t="n">
        <x:v>500000</x:v>
      </x:c>
      <x:c r="AN2344" s="3" t="str">
        <x:v>https://www.privatelendersdirectory.com/united-states/bellevue/real-estate-investment-lending/access-business-finance</x:v>
      </x:c>
      <x:c r="AO2344" s="3" t="str">
        <x:v>public_directory.jsonl</x:v>
      </x:c>
      <x:c r="AP2344" s="19"/>
    </x:row>
    <x:row r="2345" ht="36" customHeight="1">
      <x:c r="A2345" s="23" t="n">
        <x:v>2344</x:v>
      </x:c>
      <x:c r="B2345" s="15" t="str">
        <x:v>Accolend</x:v>
      </x:c>
      <x:c r="C2345" s="15"/>
      <x:c r="D2345" s="15" t="str">
        <x:v>Property lender or directory member; operating-company capital unconfirmed</x:v>
      </x:c>
      <x:c r="E2345" s="15" t="str">
        <x:v>Property lender / private-money inquiry</x:v>
      </x:c>
      <x:c r="F2345" s="17" t="str">
        <x:v>New</x:v>
      </x:c>
      <x:c r="G2345" s="24" t="str">
        <x:v>sales@accolend.com</x:v>
      </x:c>
      <x:c r="H2345" s="24" t="str">
        <x:v>+12018173247</x:v>
      </x:c>
      <x:c r="I2345" s="24" t="str">
        <x:v>http://accolend.com/?utm_source=lender-link</x:v>
      </x:c>
      <x:c r="J2345" s="16" t="str">
        <x:v>Alabama, Birmingham, Huntsville, Mobile, Montgomery, Arkansas, Colorado, Denver, Connecticut, Fairfield County, Hartford, New Haven, New London, Delaware, Florida, Fort Myers, Gainesville, Jacksonville, Lakeland, Miami, Ocala, Orlando, Palm Bay, Palm Beach County, Pensacola, Port Charlotte, Port St. Lucie, Sarasota, Tallahassee, Tampa, Volusia County, Georgia, Albany, Athens, Atlanta, Augusta, Columbus, Dalton, Macon, Rome, Savannah, Valdosta, Hawaii, Idaho, Boise, Illinois, Chicago, Peoria, Rockford, Indiana, Evansville, Fort Wayne, Indianapolis, Jeffersonville, Kokomo, Lafayette, Lake and Porter County, South Bend, Terre Haute, Iowa, Kansas, Kentucky, Louisiana, Maine, Maryland, Annapolis, Baltimore, Frederick, Hagerstown, Montgomery County, Massachusetts, Boston, Bristol County, Cape Cod, Plymouth County, Western Mass, Worcester, Michigan, Mississippi, Missouri, Columbia, Joplin, Kansas City, Springfield, St Louis, St. Joseph, Montana, Billings, Bozeman, Missoula, Nebraska, New Hampshire, New Jersey, Atlantic City, Camden, Newark, New Mexico, New York, Buffalo, New York City, Rochester, North Carolina, Asheville, Charlotte, Fayetteville, Greensboro, Greenville, Hickory, New Bern, Raleigh, Rocky Mount, Sanford, Wilmington, Wilson, Winston-Salem, Ohio, Oklahoma, Pennsylvania, Allentown, Harrisburg, Philadelphia, Pittsburgh, Rhode Island, South Carolina, Augusta-Richmond County, Charleston, Florence, Hilton Head Island, Myrtle Beach, Sumter, York County, Tennessee, Chattanooga, Clarksville, Gatlinburg, Knoxville, Memphis, Nashville, Texas, Austin, Beaumont, Corpus Christi, Dallas, El Paso, Houston, Laredo, Rio Grande Valley, San Antonio, Waco, Virginia, Charlottesville, Danville, Fredericksburg, Harrisonburg, Lynchburg, NOVA, Richmond, Roanoke, Virginia Beach, Winchester, Washington, Cascades, Columbia Basin, Seattle, Spokane, Vancouver, Washington DC, West Virginia, Wisconsin, Wyoming</x:v>
      </x:c>
      <x:c r="K2345" s="16" t="str">
        <x:v>Paramus</x:v>
      </x:c>
      <x:c r="L2345" s="16" t="str">
        <x:v>firm_business_routing</x:v>
      </x:c>
      <x:c r="M2345" s="16" t="str">
        <x:v>http://accolend.com/?utm_source=lender-link</x:v>
      </x:c>
      <x:c r="N2345" s="16" t="str">
        <x:v>$100K-$500K ticket not published / unconfirmed</x:v>
      </x:c>
      <x:c r="O2345" s="20"/>
      <x:c r="P2345" s="20"/>
      <x:c r="Q2345" s="25" t="str">
        <x:v>Property-loan range, not a corporate-capital commitment</x:v>
      </x:c>
      <x:c r="R2345" s="25" t="str">
        <x:v>Private real-estate finance experience. Corporate working capital, minority equity or profit participation requires a separate agreement from a property loan.</x:v>
      </x:c>
      <x:c r="S2345" s="25"/>
      <x:c r="T2345" s="25" t="str">
        <x:v>Confirm direct principal versus broker, $100K-$500K appetite, and whether capital can fund the operating company without a property mortgage.</x:v>
      </x:c>
      <x:c r="U2345" s="25" t="str">
        <x:v>https://privatelenderlink.com/profile/accolend/
https://nplaconference.com/private-lending-directory/
https://accolend.com/</x:v>
      </x:c>
      <x:c r="V2345" s="26" t="d">
        <x:v>2026-10-02T00:00:00.000Z</x:v>
      </x:c>
      <x:c r="W2345" s="26" t="d">
        <x:v>2026-09-30T00:00:00.000Z</x:v>
      </x:c>
      <x:c r="X2345" s="25" t="str">
        <x:v>Saved public company, industry-directory or regulatory source; source date retained</x:v>
      </x:c>
      <x:c r="Y2345" s="25" t="str">
        <x:v>https://privatelenderlink.com/profile/accolend/</x:v>
      </x:c>
      <x:c r="Z2345" s="25" t="str">
        <x:v>https://privatelenderlink.com/profile/accolend/</x:v>
      </x:c>
      <x:c r="AA2345" s="25" t="str">
        <x:v>[]</x:v>
      </x:c>
      <x:c r="AB2345" s="3" t="str">
        <x:v>Existing CapitalForge research, newly screened for this campaign</x:v>
      </x:c>
      <x:c r="AC2345" s="3" t="str">
        <x:v>unverified</x:v>
      </x:c>
      <x:c r="AD2345" s="3" t="str">
        <x:v>Not contacted / unconfirmed</x:v>
      </x:c>
      <x:c r="AE2345" s="3" t="str">
        <x:v>No</x:v>
      </x:c>
      <x:c r="AF2345" s="3" t="str">
        <x:v>No</x:v>
      </x:c>
      <x:c r="AG2345" s="3"/>
      <x:c r="AH2345" s="3"/>
      <x:c r="AI2345" s="18"/>
      <x:c r="AJ2345" s="3" t="str">
        <x:v>CF2500-548EEE9D76D1</x:v>
      </x:c>
      <x:c r="AK2345" s="3" t="str">
        <x:v>private_real_estate_lender</x:v>
      </x:c>
      <x:c r="AL2345" s="19" t="n">
        <x:v>100000</x:v>
      </x:c>
      <x:c r="AM2345" s="19" t="n">
        <x:v>500000</x:v>
      </x:c>
      <x:c r="AN2345" s="3" t="str">
        <x:v>https://privatelenderlink.com/profile/accolend/</x:v>
      </x:c>
      <x:c r="AO2345" s="3" t="str">
        <x:v>public_directory.jsonl</x:v>
      </x:c>
      <x:c r="AP2345" s="19"/>
    </x:row>
    <x:row r="2346" ht="36" customHeight="1">
      <x:c r="A2346" s="23" t="n">
        <x:v>2345</x:v>
      </x:c>
      <x:c r="B2346" s="15" t="str">
        <x:v>ACG FUNDING</x:v>
      </x:c>
      <x:c r="C2346" s="15"/>
      <x:c r="D2346" s="15" t="str">
        <x:v>Property lender or directory member; operating-company capital unconfirmed</x:v>
      </x:c>
      <x:c r="E2346" s="15" t="str">
        <x:v>Property lender / private-money inquiry</x:v>
      </x:c>
      <x:c r="F2346" s="17" t="str">
        <x:v>New</x:v>
      </x:c>
      <x:c r="G2346" s="24" t="str">
        <x:v>info@acgfunding.com</x:v>
      </x:c>
      <x:c r="H2346" s="24" t="str">
        <x:v>+16269655500</x:v>
      </x:c>
      <x:c r="I2346" s="24" t="str">
        <x:v>https://acgfunding.com/</x:v>
      </x:c>
      <x:c r="J2346" s="16" t="str">
        <x:v>CA</x:v>
      </x:c>
      <x:c r="K2346" s="16" t="str">
        <x:v>City of Industry</x:v>
      </x:c>
      <x:c r="L2346" s="16" t="str">
        <x:v>firm_business_routing</x:v>
      </x:c>
      <x:c r="M2346" s="16" t="str">
        <x:v>https://acgfunding.com/</x:v>
      </x:c>
      <x:c r="N2346" s="16" t="str">
        <x:v>$100K-$500K ticket not published / unconfirmed</x:v>
      </x:c>
      <x:c r="O2346" s="20"/>
      <x:c r="P2346" s="20"/>
      <x:c r="Q2346" s="25" t="str">
        <x:v>Property-loan range, not a corporate-capital commitment</x:v>
      </x:c>
      <x:c r="R2346" s="25" t="str">
        <x:v>Private real-estate finance experience. Corporate working capital, minority equity or profit participation requires a separate agreement from a property loan.</x:v>
      </x:c>
      <x:c r="S2346" s="25"/>
      <x:c r="T2346" s="25" t="str">
        <x:v>Confirm direct principal versus broker, $100K-$500K appetite, and whether capital can fund the operating company without a property mortgage.</x:v>
      </x:c>
      <x:c r="U2346" s="25" t="str">
        <x:v>https://www.privatelendersdirectory.com/united-states/city-of-industry/top-level-category/acg-funding
https://acgfunding.com/</x:v>
      </x:c>
      <x:c r="V2346" s="26" t="d">
        <x:v>2026-10-02T00:00:00.000Z</x:v>
      </x:c>
      <x:c r="W2346" s="26" t="d">
        <x:v>2026-09-30T00:00:00.000Z</x:v>
      </x:c>
      <x:c r="X2346" s="25" t="str">
        <x:v>Saved public company, industry-directory or regulatory source; source date retained</x:v>
      </x:c>
      <x:c r="Y2346" s="25" t="str">
        <x:v>https://acgfunding.com/</x:v>
      </x:c>
      <x:c r="Z2346" s="25" t="str">
        <x:v>https://acgfunding.com/</x:v>
      </x:c>
      <x:c r="AA2346" s="25" t="str">
        <x:v>[]</x:v>
      </x:c>
      <x:c r="AB2346" s="3" t="str">
        <x:v>Existing CapitalForge research, newly screened for this campaign</x:v>
      </x:c>
      <x:c r="AC2346" s="3" t="str">
        <x:v>unverified</x:v>
      </x:c>
      <x:c r="AD2346" s="3" t="str">
        <x:v>Not contacted / unconfirmed</x:v>
      </x:c>
      <x:c r="AE2346" s="3" t="str">
        <x:v>No</x:v>
      </x:c>
      <x:c r="AF2346" s="3" t="str">
        <x:v>No</x:v>
      </x:c>
      <x:c r="AG2346" s="3"/>
      <x:c r="AH2346" s="3"/>
      <x:c r="AI2346" s="18"/>
      <x:c r="AJ2346" s="3" t="str">
        <x:v>CF2500-9C4CE5368E35</x:v>
      </x:c>
      <x:c r="AK2346" s="3" t="str">
        <x:v>private_real_estate_lender</x:v>
      </x:c>
      <x:c r="AL2346" s="19" t="n">
        <x:v>100000</x:v>
      </x:c>
      <x:c r="AM2346" s="19" t="n">
        <x:v>500000</x:v>
      </x:c>
      <x:c r="AN2346" s="3" t="str">
        <x:v>https://www.privatelendersdirectory.com/united-states/city-of-industry/top-level-category/acg-funding</x:v>
      </x:c>
      <x:c r="AO2346" s="3" t="str">
        <x:v>public_directory.jsonl</x:v>
      </x:c>
      <x:c r="AP2346" s="19"/>
    </x:row>
    <x:row r="2347" ht="36" customHeight="1">
      <x:c r="A2347" s="23" t="n">
        <x:v>2346</x:v>
      </x:c>
      <x:c r="B2347" s="15" t="str">
        <x:v>ACM Investor Services Inc.</x:v>
      </x:c>
      <x:c r="C2347" s="15"/>
      <x:c r="D2347" s="15" t="str">
        <x:v>Property lender or directory member; operating-company capital unconfirmed</x:v>
      </x:c>
      <x:c r="E2347" s="15" t="str">
        <x:v>Property lender / private-money inquiry</x:v>
      </x:c>
      <x:c r="F2347" s="17" t="str">
        <x:v>New</x:v>
      </x:c>
      <x:c r="G2347" s="24" t="str">
        <x:v>info@acmis.net</x:v>
      </x:c>
      <x:c r="H2347" s="24" t="str">
        <x:v>+14159255252</x:v>
      </x:c>
      <x:c r="I2347" s="24" t="str">
        <x:v>https://www.acmis.net/?utm_source=private-lender-link</x:v>
      </x:c>
      <x:c r="J2347" s="16" t="str">
        <x:v>CA</x:v>
      </x:c>
      <x:c r="K2347" s="16" t="str">
        <x:v>San Rafael</x:v>
      </x:c>
      <x:c r="L2347" s="16" t="str">
        <x:v>firm_business_routing</x:v>
      </x:c>
      <x:c r="M2347" s="16" t="str">
        <x:v>https://www.acmis.net/?utm_source=private-lender-link</x:v>
      </x:c>
      <x:c r="N2347" s="16" t="str">
        <x:v>$100K-$500K ticket not published / unconfirmed</x:v>
      </x:c>
      <x:c r="O2347" s="20"/>
      <x:c r="P2347" s="20"/>
      <x:c r="Q2347" s="25" t="str">
        <x:v>Property-loan range, not a corporate-capital commitment</x:v>
      </x:c>
      <x:c r="R2347" s="25" t="str">
        <x:v>Private real-estate finance experience. Corporate working capital, minority equity or profit participation requires a separate agreement from a property loan.</x:v>
      </x:c>
      <x:c r="S2347" s="25"/>
      <x:c r="T2347" s="25" t="str">
        <x:v>Confirm direct principal versus broker, $100K-$500K appetite, and whether capital can fund the operating company without a property mortgage.</x:v>
      </x:c>
      <x:c r="U2347" s="25" t="str">
        <x:v>https://privatelenderlink.com/profile/acm-investor-services-inc/
http://www.acmis.net/?utm_source=private-lender-link</x:v>
      </x:c>
      <x:c r="V2347" s="26" t="d">
        <x:v>2026-10-02T00:00:00.000Z</x:v>
      </x:c>
      <x:c r="W2347" s="26" t="d">
        <x:v>2026-09-30T00:00:00.000Z</x:v>
      </x:c>
      <x:c r="X2347" s="25" t="str">
        <x:v>Saved public company, industry-directory or regulatory source; source date retained</x:v>
      </x:c>
      <x:c r="Y2347" s="25" t="str">
        <x:v>http://www.acmis.net/?utm_source=private-lender-link</x:v>
      </x:c>
      <x:c r="Z2347" s="25" t="str">
        <x:v>https://privatelenderlink.com/profile/acm-investor-services-inc/</x:v>
      </x:c>
      <x:c r="AA2347" s="25" t="str">
        <x:v>[]</x:v>
      </x:c>
      <x:c r="AB2347" s="3" t="str">
        <x:v>Existing CapitalForge research, newly screened for this campaign</x:v>
      </x:c>
      <x:c r="AC2347" s="3" t="str">
        <x:v>unverified</x:v>
      </x:c>
      <x:c r="AD2347" s="3" t="str">
        <x:v>Not contacted / unconfirmed</x:v>
      </x:c>
      <x:c r="AE2347" s="3" t="str">
        <x:v>No</x:v>
      </x:c>
      <x:c r="AF2347" s="3" t="str">
        <x:v>No</x:v>
      </x:c>
      <x:c r="AG2347" s="3"/>
      <x:c r="AH2347" s="3"/>
      <x:c r="AI2347" s="18"/>
      <x:c r="AJ2347" s="3" t="str">
        <x:v>CF2500-0A827ECEFE91</x:v>
      </x:c>
      <x:c r="AK2347" s="3" t="str">
        <x:v>private_real_estate_lender</x:v>
      </x:c>
      <x:c r="AL2347" s="19" t="n">
        <x:v>100000</x:v>
      </x:c>
      <x:c r="AM2347" s="19" t="n">
        <x:v>500000</x:v>
      </x:c>
      <x:c r="AN2347" s="3" t="str">
        <x:v>https://privatelenderlink.com/profile/acm-investor-services-inc/</x:v>
      </x:c>
      <x:c r="AO2347" s="3" t="str">
        <x:v>public_directory.jsonl</x:v>
      </x:c>
      <x:c r="AP2347" s="19"/>
    </x:row>
    <x:row r="2348" ht="36" customHeight="1">
      <x:c r="A2348" s="23" t="n">
        <x:v>2347</x:v>
      </x:c>
      <x:c r="B2348" s="15" t="str">
        <x:v>ACORN FINANCE</x:v>
      </x:c>
      <x:c r="C2348" s="15"/>
      <x:c r="D2348" s="15" t="str">
        <x:v>Property lender or directory member; operating-company capital unconfirmed</x:v>
      </x:c>
      <x:c r="E2348" s="15" t="str">
        <x:v>Property lender / private-money inquiry</x:v>
      </x:c>
      <x:c r="F2348" s="17" t="str">
        <x:v>New</x:v>
      </x:c>
      <x:c r="G2348" s="24" t="str">
        <x:v>support@acornfinance.com</x:v>
      </x:c>
      <x:c r="H2348" s="24" t="str">
        <x:v>+19164041982</x:v>
      </x:c>
      <x:c r="I2348" s="24" t="str">
        <x:v>https://www.acornfinance.com/</x:v>
      </x:c>
      <x:c r="J2348" s="16" t="str">
        <x:v>CA</x:v>
      </x:c>
      <x:c r="K2348" s="16" t="str">
        <x:v>Sacramento</x:v>
      </x:c>
      <x:c r="L2348" s="16" t="str">
        <x:v>firm_business_routing</x:v>
      </x:c>
      <x:c r="M2348" s="16" t="str">
        <x:v>https://www.acornfinance.com/</x:v>
      </x:c>
      <x:c r="N2348" s="16" t="str">
        <x:v>$100K-$500K ticket not published / unconfirmed</x:v>
      </x:c>
      <x:c r="O2348" s="20"/>
      <x:c r="P2348" s="20"/>
      <x:c r="Q2348" s="25" t="str">
        <x:v>Property-loan range, not a corporate-capital commitment</x:v>
      </x:c>
      <x:c r="R2348" s="25" t="str">
        <x:v>Private real-estate finance experience. Corporate working capital, minority equity or profit participation requires a separate agreement from a property loan.</x:v>
      </x:c>
      <x:c r="S2348" s="25"/>
      <x:c r="T2348" s="25" t="str">
        <x:v>Confirm direct principal versus broker, $100K-$500K appetite, and whether capital can fund the operating company without a property mortgage.</x:v>
      </x:c>
      <x:c r="U2348" s="25" t="str">
        <x:v>https://www.privatelendersdirectory.com/united-states/sacramento/top-level-category/acorn-finance
https://www.acornfinance.com/
https://www.acornfinance.com/contact-us/</x:v>
      </x:c>
      <x:c r="V2348" s="26" t="d">
        <x:v>2026-10-02T00:00:00.000Z</x:v>
      </x:c>
      <x:c r="W2348" s="26" t="d">
        <x:v>2026-09-30T00:00:00.000Z</x:v>
      </x:c>
      <x:c r="X2348" s="25" t="str">
        <x:v>Saved public company, industry-directory or regulatory source; source date retained</x:v>
      </x:c>
      <x:c r="Y2348" s="25" t="str">
        <x:v>https://www.acornfinance.com/</x:v>
      </x:c>
      <x:c r="Z2348" s="25" t="str">
        <x:v>https://www.acornfinance.com/contact-us/</x:v>
      </x:c>
      <x:c r="AA2348" s="25" t="str">
        <x:v>[]</x:v>
      </x:c>
      <x:c r="AB2348" s="3" t="str">
        <x:v>Existing CapitalForge research, newly screened for this campaign</x:v>
      </x:c>
      <x:c r="AC2348" s="3" t="str">
        <x:v>unverified</x:v>
      </x:c>
      <x:c r="AD2348" s="3" t="str">
        <x:v>Not contacted / unconfirmed</x:v>
      </x:c>
      <x:c r="AE2348" s="3" t="str">
        <x:v>No</x:v>
      </x:c>
      <x:c r="AF2348" s="3" t="str">
        <x:v>No</x:v>
      </x:c>
      <x:c r="AG2348" s="3"/>
      <x:c r="AH2348" s="3"/>
      <x:c r="AI2348" s="18"/>
      <x:c r="AJ2348" s="3" t="str">
        <x:v>CF2500-A7E6F2DC2AD6</x:v>
      </x:c>
      <x:c r="AK2348" s="3" t="str">
        <x:v>private_real_estate_lender</x:v>
      </x:c>
      <x:c r="AL2348" s="19" t="n">
        <x:v>100000</x:v>
      </x:c>
      <x:c r="AM2348" s="19" t="n">
        <x:v>500000</x:v>
      </x:c>
      <x:c r="AN2348" s="3" t="str">
        <x:v>https://www.privatelendersdirectory.com/united-states/sacramento/top-level-category/acorn-finance</x:v>
      </x:c>
      <x:c r="AO2348" s="3" t="str">
        <x:v>public_directory.jsonl</x:v>
      </x:c>
      <x:c r="AP2348" s="19"/>
    </x:row>
    <x:row r="2349" ht="36" customHeight="1">
      <x:c r="A2349" s="23" t="n">
        <x:v>2348</x:v>
      </x:c>
      <x:c r="B2349" s="15" t="str">
        <x:v>Acra Lending</x:v>
      </x:c>
      <x:c r="C2349" s="15" t="str">
        <x:v>Acra Lending</x:v>
      </x:c>
      <x:c r="D2349" s="15" t="str">
        <x:v>Property lender or directory member; operating-company capital unconfirmed</x:v>
      </x:c>
      <x:c r="E2349" s="15" t="str">
        <x:v>Property lender / private-money inquiry</x:v>
      </x:c>
      <x:c r="F2349" s="17" t="str">
        <x:v>New</x:v>
      </x:c>
      <x:c r="G2349" s="24" t="str">
        <x:v>sales@acralending.com</x:v>
      </x:c>
      <x:c r="H2349" s="24" t="str">
        <x:v>+18888007661</x:v>
      </x:c>
      <x:c r="I2349" s="24" t="str">
        <x:v>https://acralending.com/</x:v>
      </x:c>
      <x:c r="J2349" s="16"/>
      <x:c r="K2349" s="16"/>
      <x:c r="L2349" s="16" t="str">
        <x:v>published_professional_contact_directness_unconfirmed</x:v>
      </x:c>
      <x:c r="M2349" s="16" t="str">
        <x:v>https://acralending.com/</x:v>
      </x:c>
      <x:c r="N2349" s="16" t="str">
        <x:v>$100K-$500K ticket not published / unconfirmed</x:v>
      </x:c>
      <x:c r="O2349" s="20"/>
      <x:c r="P2349" s="20"/>
      <x:c r="Q2349" s="25" t="str">
        <x:v>Property-loan range, not a corporate-capital commitment</x:v>
      </x:c>
      <x:c r="R2349" s="25" t="str">
        <x:v>Private real-estate finance experience. Corporate working capital, minority equity or profit participation requires a separate agreement from a property loan.</x:v>
      </x:c>
      <x:c r="S2349" s="25"/>
      <x:c r="T2349" s="25" t="str">
        <x:v>Confirm direct principal versus broker, $100K-$500K appetite, and whether capital can fund the operating company without a property mortgage.</x:v>
      </x:c>
      <x:c r="U2349" s="25" t="str">
        <x:v>https://nplaconference.com/private-lending-directory/
https://acralending.com/contact-us/
https://www.privatelendersdirectory.com/united-states/irvine/top-level-category/acra-lending
https://acralending.com/
https://www.privatelendersdirectory.com/united-states/irvine/top-level-category/citadel
https://citadelservicing.com/</x:v>
      </x:c>
      <x:c r="V2349" s="26" t="d">
        <x:v>2026-10-02T00:00:00.000Z</x:v>
      </x:c>
      <x:c r="W2349" s="26" t="d">
        <x:v>2026-09-30T00:00:00.000Z</x:v>
      </x:c>
      <x:c r="X2349" s="25" t="str">
        <x:v>Saved public company, industry-directory or regulatory source; source date retained</x:v>
      </x:c>
      <x:c r="Y2349" s="25" t="str">
        <x:v>https://acralending.com/contact-us/</x:v>
      </x:c>
      <x:c r="Z2349" s="25" t="str">
        <x:v>https://acralending.com/contact-us/</x:v>
      </x:c>
      <x:c r="AA2349" s="25" t="str">
        <x:v>[]</x:v>
      </x:c>
      <x:c r="AB2349" s="3" t="str">
        <x:v>Existing CapitalForge research, newly screened for this campaign</x:v>
      </x:c>
      <x:c r="AC2349" s="3" t="str">
        <x:v>unverified</x:v>
      </x:c>
      <x:c r="AD2349" s="3" t="str">
        <x:v>Not contacted / unconfirmed</x:v>
      </x:c>
      <x:c r="AE2349" s="3" t="str">
        <x:v>No</x:v>
      </x:c>
      <x:c r="AF2349" s="3" t="str">
        <x:v>No</x:v>
      </x:c>
      <x:c r="AG2349" s="3"/>
      <x:c r="AH2349" s="3" t="str">
        <x:v>CITADEL</x:v>
      </x:c>
      <x:c r="AI2349" s="18"/>
      <x:c r="AJ2349" s="3" t="str">
        <x:v>CF2500-0FA1F26400BA</x:v>
      </x:c>
      <x:c r="AK2349" s="3" t="str">
        <x:v>property_secured_lender</x:v>
      </x:c>
      <x:c r="AL2349" s="19" t="n">
        <x:v>100000</x:v>
      </x:c>
      <x:c r="AM2349" s="19" t="n">
        <x:v>500000</x:v>
      </x:c>
      <x:c r="AN2349" s="3" t="str">
        <x:v>https://nplaconference.com/private-lending-directory/</x:v>
      </x:c>
      <x:c r="AO2349" s="3" t="str">
        <x:v>public_directory.jsonl</x:v>
      </x:c>
      <x:c r="AP2349" s="19"/>
    </x:row>
    <x:row r="2350" ht="36" customHeight="1">
      <x:c r="A2350" s="23" t="n">
        <x:v>2349</x:v>
      </x:c>
      <x:c r="B2350" s="15" t="str">
        <x:v>ACTIVE CAPITAL ADVISORS</x:v>
      </x:c>
      <x:c r="C2350" s="15"/>
      <x:c r="D2350" s="15" t="str">
        <x:v>Property lender or directory member; operating-company capital unconfirmed</x:v>
      </x:c>
      <x:c r="E2350" s="15" t="str">
        <x:v>Property lender / private-money inquiry</x:v>
      </x:c>
      <x:c r="F2350" s="17" t="str">
        <x:v>New</x:v>
      </x:c>
      <x:c r="G2350" s="24" t="str">
        <x:v>info@activecapitaladvisors.com</x:v>
      </x:c>
      <x:c r="H2350" s="24" t="str">
        <x:v>+18189364800</x:v>
      </x:c>
      <x:c r="I2350" s="24" t="str">
        <x:v>https://www.activecapitaladvisors.com/</x:v>
      </x:c>
      <x:c r="J2350" s="16" t="str">
        <x:v>CA</x:v>
      </x:c>
      <x:c r="K2350" s="16" t="str">
        <x:v>Calabasas</x:v>
      </x:c>
      <x:c r="L2350" s="16" t="str">
        <x:v>firm_business_routing</x:v>
      </x:c>
      <x:c r="M2350" s="16" t="str">
        <x:v>https://www.activecapitaladvisors.com/</x:v>
      </x:c>
      <x:c r="N2350" s="16" t="str">
        <x:v>$100K-$500K ticket not published / unconfirmed</x:v>
      </x:c>
      <x:c r="O2350" s="20"/>
      <x:c r="P2350" s="20"/>
      <x:c r="Q2350" s="25" t="str">
        <x:v>Property-loan range, not a corporate-capital commitment</x:v>
      </x:c>
      <x:c r="R2350" s="25" t="str">
        <x:v>Private real-estate finance experience. Corporate working capital, minority equity or profit participation requires a separate agreement from a property loan.</x:v>
      </x:c>
      <x:c r="S2350" s="25"/>
      <x:c r="T2350" s="25" t="str">
        <x:v>Confirm direct principal versus broker, $100K-$500K appetite, and whether capital can fund the operating company without a property mortgage.</x:v>
      </x:c>
      <x:c r="U2350" s="25" t="str">
        <x:v>https://www.privatelendersdirectory.com/united-states/calabasas/top-level-category/active-capital-advisors
https://www.activecapitaladvisors.com/</x:v>
      </x:c>
      <x:c r="V2350" s="26" t="d">
        <x:v>2026-10-02T00:00:00.000Z</x:v>
      </x:c>
      <x:c r="W2350" s="26" t="d">
        <x:v>2026-09-30T00:00:00.000Z</x:v>
      </x:c>
      <x:c r="X2350" s="25" t="str">
        <x:v>Saved public company, industry-directory or regulatory source; source date retained</x:v>
      </x:c>
      <x:c r="Y2350" s="25" t="str">
        <x:v>https://www.activecapitaladvisors.com/</x:v>
      </x:c>
      <x:c r="Z2350" s="25" t="str">
        <x:v>https://www.activecapitaladvisors.com/</x:v>
      </x:c>
      <x:c r="AA2350" s="25" t="str">
        <x:v>[]</x:v>
      </x:c>
      <x:c r="AB2350" s="3" t="str">
        <x:v>Existing CapitalForge research, newly screened for this campaign</x:v>
      </x:c>
      <x:c r="AC2350" s="3" t="str">
        <x:v>unverified</x:v>
      </x:c>
      <x:c r="AD2350" s="3" t="str">
        <x:v>Not contacted / unconfirmed</x:v>
      </x:c>
      <x:c r="AE2350" s="3" t="str">
        <x:v>No</x:v>
      </x:c>
      <x:c r="AF2350" s="3" t="str">
        <x:v>No</x:v>
      </x:c>
      <x:c r="AG2350" s="3"/>
      <x:c r="AH2350" s="3"/>
      <x:c r="AI2350" s="18"/>
      <x:c r="AJ2350" s="3" t="str">
        <x:v>CF2500-5B541057EA08</x:v>
      </x:c>
      <x:c r="AK2350" s="3" t="str">
        <x:v>private_real_estate_lender</x:v>
      </x:c>
      <x:c r="AL2350" s="19" t="n">
        <x:v>100000</x:v>
      </x:c>
      <x:c r="AM2350" s="19" t="n">
        <x:v>500000</x:v>
      </x:c>
      <x:c r="AN2350" s="3" t="str">
        <x:v>https://www.privatelendersdirectory.com/united-states/calabasas/top-level-category/active-capital-advisors</x:v>
      </x:c>
      <x:c r="AO2350" s="3" t="str">
        <x:v>public_directory.jsonl</x:v>
      </x:c>
      <x:c r="AP2350" s="19"/>
    </x:row>
    <x:row r="2351" ht="36" customHeight="1">
      <x:c r="A2351" s="23" t="n">
        <x:v>2350</x:v>
      </x:c>
      <x:c r="B2351" s="15" t="str">
        <x:v>ADVANCE FORWARD CAPITAL</x:v>
      </x:c>
      <x:c r="C2351" s="15"/>
      <x:c r="D2351" s="15" t="str">
        <x:v>Property lender or directory member; operating-company capital unconfirmed</x:v>
      </x:c>
      <x:c r="E2351" s="15" t="str">
        <x:v>Property lender / private-money inquiry</x:v>
      </x:c>
      <x:c r="F2351" s="17" t="str">
        <x:v>New</x:v>
      </x:c>
      <x:c r="G2351" s="24" t="str">
        <x:v>hello@advanceforwardcapital.com</x:v>
      </x:c>
      <x:c r="H2351" s="24" t="str">
        <x:v>+16192590090</x:v>
      </x:c>
      <x:c r="I2351" s="24" t="str">
        <x:v>https://www.advanceforwardcapital.com/</x:v>
      </x:c>
      <x:c r="J2351" s="16" t="str">
        <x:v>CA</x:v>
      </x:c>
      <x:c r="K2351" s="16" t="str">
        <x:v>San Diego</x:v>
      </x:c>
      <x:c r="L2351" s="16" t="str">
        <x:v>firm_business_routing</x:v>
      </x:c>
      <x:c r="M2351" s="16" t="str">
        <x:v>https://www.advanceforwardcapital.com/</x:v>
      </x:c>
      <x:c r="N2351" s="16" t="str">
        <x:v>$100K-$500K ticket not published / unconfirmed</x:v>
      </x:c>
      <x:c r="O2351" s="20"/>
      <x:c r="P2351" s="20"/>
      <x:c r="Q2351" s="25" t="str">
        <x:v>Property-loan range, not a corporate-capital commitment</x:v>
      </x:c>
      <x:c r="R2351" s="25" t="str">
        <x:v>Private real-estate finance experience. Corporate working capital, minority equity or profit participation requires a separate agreement from a property loan.</x:v>
      </x:c>
      <x:c r="S2351" s="25"/>
      <x:c r="T2351" s="25" t="str">
        <x:v>Confirm direct principal versus broker, $100K-$500K appetite, and whether capital can fund the operating company without a property mortgage.</x:v>
      </x:c>
      <x:c r="U2351" s="25" t="str">
        <x:v>https://www.privatelendersdirectory.com/united-states/san-diego/top-level-category/advance-forward-capital
https://www.advanceforwardcapital.com/</x:v>
      </x:c>
      <x:c r="V2351" s="26" t="d">
        <x:v>2026-10-02T00:00:00.000Z</x:v>
      </x:c>
      <x:c r="W2351" s="26" t="d">
        <x:v>2026-09-30T00:00:00.000Z</x:v>
      </x:c>
      <x:c r="X2351" s="25" t="str">
        <x:v>Saved public company, industry-directory or regulatory source; source date retained</x:v>
      </x:c>
      <x:c r="Y2351" s="25" t="str">
        <x:v>https://www.advanceforwardcapital.com/</x:v>
      </x:c>
      <x:c r="Z2351" s="25" t="str">
        <x:v>https://www.advanceforwardcapital.com/</x:v>
      </x:c>
      <x:c r="AA2351" s="25" t="str">
        <x:v>[]</x:v>
      </x:c>
      <x:c r="AB2351" s="3" t="str">
        <x:v>Existing CapitalForge research, newly screened for this campaign</x:v>
      </x:c>
      <x:c r="AC2351" s="3" t="str">
        <x:v>unverified</x:v>
      </x:c>
      <x:c r="AD2351" s="3" t="str">
        <x:v>Not contacted / unconfirmed</x:v>
      </x:c>
      <x:c r="AE2351" s="3" t="str">
        <x:v>No</x:v>
      </x:c>
      <x:c r="AF2351" s="3" t="str">
        <x:v>No</x:v>
      </x:c>
      <x:c r="AG2351" s="3"/>
      <x:c r="AH2351" s="3"/>
      <x:c r="AI2351" s="18"/>
      <x:c r="AJ2351" s="3" t="str">
        <x:v>CF2500-F0BC2831B726</x:v>
      </x:c>
      <x:c r="AK2351" s="3" t="str">
        <x:v>private_real_estate_lender</x:v>
      </x:c>
      <x:c r="AL2351" s="19" t="n">
        <x:v>100000</x:v>
      </x:c>
      <x:c r="AM2351" s="19" t="n">
        <x:v>500000</x:v>
      </x:c>
      <x:c r="AN2351" s="3" t="str">
        <x:v>https://www.privatelendersdirectory.com/united-states/san-diego/top-level-category/advance-forward-capital</x:v>
      </x:c>
      <x:c r="AO2351" s="3" t="str">
        <x:v>public_directory.jsonl</x:v>
      </x:c>
      <x:c r="AP2351" s="19"/>
    </x:row>
    <x:row r="2352" ht="36" customHeight="1">
      <x:c r="A2352" s="23" t="n">
        <x:v>2351</x:v>
      </x:c>
      <x:c r="B2352" s="15" t="str">
        <x:v>ADVANCE POINT CAPITAL</x:v>
      </x:c>
      <x:c r="C2352" s="15"/>
      <x:c r="D2352" s="15" t="str">
        <x:v>Property lender or directory member; operating-company capital unconfirmed</x:v>
      </x:c>
      <x:c r="E2352" s="15" t="str">
        <x:v>Property lender / private-money inquiry</x:v>
      </x:c>
      <x:c r="F2352" s="17" t="str">
        <x:v>New</x:v>
      </x:c>
      <x:c r="G2352" s="24" t="str">
        <x:v>bholladay@advancepointcap.com</x:v>
      </x:c>
      <x:c r="H2352" s="24" t="str">
        <x:v>+18003818920</x:v>
      </x:c>
      <x:c r="I2352" s="24" t="str">
        <x:v>https://advancepointcap.com/</x:v>
      </x:c>
      <x:c r="J2352" s="16" t="str">
        <x:v>NJ</x:v>
      </x:c>
      <x:c r="K2352" s="16" t="str">
        <x:v>Cherry Hill</x:v>
      </x:c>
      <x:c r="L2352" s="16" t="str">
        <x:v>firm_business_routing</x:v>
      </x:c>
      <x:c r="M2352" s="16" t="str">
        <x:v>https://advancepointcap.com/</x:v>
      </x:c>
      <x:c r="N2352" s="16" t="str">
        <x:v>$100K-$500K ticket not published / unconfirmed</x:v>
      </x:c>
      <x:c r="O2352" s="20"/>
      <x:c r="P2352" s="20"/>
      <x:c r="Q2352" s="25" t="str">
        <x:v>Property-loan range, not a corporate-capital commitment</x:v>
      </x:c>
      <x:c r="R2352" s="25" t="str">
        <x:v>Private real-estate finance experience. Corporate working capital, minority equity or profit participation requires a separate agreement from a property loan.</x:v>
      </x:c>
      <x:c r="S2352" s="25"/>
      <x:c r="T2352" s="25" t="str">
        <x:v>Confirm direct principal versus broker, $100K-$500K appetite, and whether capital can fund the operating company without a property mortgage.</x:v>
      </x:c>
      <x:c r="U2352" s="25" t="str">
        <x:v>https://www.privatelendersdirectory.com/united-states/cherry-hill/top-level-category/advance-point-capital
https://advancepointcap.com/
https://advancepointcap.com/about-us/</x:v>
      </x:c>
      <x:c r="V2352" s="26" t="d">
        <x:v>2026-10-02T00:00:00.000Z</x:v>
      </x:c>
      <x:c r="W2352" s="26" t="d">
        <x:v>2026-09-30T00:00:00.000Z</x:v>
      </x:c>
      <x:c r="X2352" s="25" t="str">
        <x:v>Saved public company, industry-directory or regulatory source; source date retained</x:v>
      </x:c>
      <x:c r="Y2352" s="25" t="str">
        <x:v>https://advancepointcap.com/about-us/</x:v>
      </x:c>
      <x:c r="Z2352" s="25" t="str">
        <x:v>https://advancepointcap.com/</x:v>
      </x:c>
      <x:c r="AA2352" s="25" t="str">
        <x:v>[]</x:v>
      </x:c>
      <x:c r="AB2352" s="3" t="str">
        <x:v>Existing CapitalForge research, newly screened for this campaign</x:v>
      </x:c>
      <x:c r="AC2352" s="3" t="str">
        <x:v>unverified</x:v>
      </x:c>
      <x:c r="AD2352" s="3" t="str">
        <x:v>Not contacted / unconfirmed</x:v>
      </x:c>
      <x:c r="AE2352" s="3" t="str">
        <x:v>No</x:v>
      </x:c>
      <x:c r="AF2352" s="3" t="str">
        <x:v>No</x:v>
      </x:c>
      <x:c r="AG2352" s="3"/>
      <x:c r="AH2352" s="3"/>
      <x:c r="AI2352" s="18"/>
      <x:c r="AJ2352" s="3" t="str">
        <x:v>CF2500-72FF9BB11766</x:v>
      </x:c>
      <x:c r="AK2352" s="3" t="str">
        <x:v>private_real_estate_lender</x:v>
      </x:c>
      <x:c r="AL2352" s="19" t="n">
        <x:v>100000</x:v>
      </x:c>
      <x:c r="AM2352" s="19" t="n">
        <x:v>500000</x:v>
      </x:c>
      <x:c r="AN2352" s="3" t="str">
        <x:v>https://www.privatelendersdirectory.com/united-states/cherry-hill/top-level-category/advance-point-capital</x:v>
      </x:c>
      <x:c r="AO2352" s="3" t="str">
        <x:v>public_directory.jsonl</x:v>
      </x:c>
      <x:c r="AP2352" s="19"/>
    </x:row>
    <x:row r="2353" ht="36" customHeight="1">
      <x:c r="A2353" s="23" t="n">
        <x:v>2352</x:v>
      </x:c>
      <x:c r="B2353" s="15" t="str">
        <x:v>ADVEST FINANCIAL GROUP</x:v>
      </x:c>
      <x:c r="C2353" s="15"/>
      <x:c r="D2353" s="15" t="str">
        <x:v>Property lender or directory member; operating-company capital unconfirmed</x:v>
      </x:c>
      <x:c r="E2353" s="15" t="str">
        <x:v>Property lender / private-money inquiry</x:v>
      </x:c>
      <x:c r="F2353" s="17" t="str">
        <x:v>New</x:v>
      </x:c>
      <x:c r="G2353" s="24" t="str">
        <x:v>info@advestfinancialgroup.com</x:v>
      </x:c>
      <x:c r="H2353" s="24" t="str">
        <x:v>+12155501322</x:v>
      </x:c>
      <x:c r="I2353" s="24" t="str">
        <x:v>https://www.advestfinancialgroup.com/</x:v>
      </x:c>
      <x:c r="J2353" s="16" t="str">
        <x:v>PA</x:v>
      </x:c>
      <x:c r="K2353" s="16" t="str">
        <x:v>Newtown</x:v>
      </x:c>
      <x:c r="L2353" s="16" t="str">
        <x:v>firm_business_routing</x:v>
      </x:c>
      <x:c r="M2353" s="16" t="str">
        <x:v>https://www.advestfinancialgroup.com/</x:v>
      </x:c>
      <x:c r="N2353" s="16" t="str">
        <x:v>$100K-$500K ticket not published / unconfirmed</x:v>
      </x:c>
      <x:c r="O2353" s="20"/>
      <x:c r="P2353" s="20"/>
      <x:c r="Q2353" s="25" t="str">
        <x:v>Property-loan range, not a corporate-capital commitment</x:v>
      </x:c>
      <x:c r="R2353" s="25" t="str">
        <x:v>Private real-estate finance experience. Corporate working capital, minority equity or profit participation requires a separate agreement from a property loan.</x:v>
      </x:c>
      <x:c r="S2353" s="25"/>
      <x:c r="T2353" s="25" t="str">
        <x:v>Confirm direct principal versus broker, $100K-$500K appetite, and whether capital can fund the operating company without a property mortgage.</x:v>
      </x:c>
      <x:c r="U2353" s="25" t="str">
        <x:v>https://www.privatelendersdirectory.com/united-states/newtown/top-level-category/advest-financial-group
https://www.advestfinancialgroup.com/
https://www.advestfinancialgroup.com/contact-us</x:v>
      </x:c>
      <x:c r="V2353" s="26" t="d">
        <x:v>2026-10-02T00:00:00.000Z</x:v>
      </x:c>
      <x:c r="W2353" s="26" t="d">
        <x:v>2026-09-30T00:00:00.000Z</x:v>
      </x:c>
      <x:c r="X2353" s="25" t="str">
        <x:v>Saved public company, industry-directory or regulatory source; source date retained</x:v>
      </x:c>
      <x:c r="Y2353" s="25" t="str">
        <x:v>https://www.advestfinancialgroup.com/contact-us</x:v>
      </x:c>
      <x:c r="Z2353" s="25" t="str">
        <x:v>https://www.advestfinancialgroup.com/</x:v>
      </x:c>
      <x:c r="AA2353" s="25" t="str">
        <x:v>[]</x:v>
      </x:c>
      <x:c r="AB2353" s="3" t="str">
        <x:v>Existing CapitalForge research, newly screened for this campaign</x:v>
      </x:c>
      <x:c r="AC2353" s="3" t="str">
        <x:v>unverified</x:v>
      </x:c>
      <x:c r="AD2353" s="3" t="str">
        <x:v>Not contacted / unconfirmed</x:v>
      </x:c>
      <x:c r="AE2353" s="3" t="str">
        <x:v>No</x:v>
      </x:c>
      <x:c r="AF2353" s="3" t="str">
        <x:v>No</x:v>
      </x:c>
      <x:c r="AG2353" s="3"/>
      <x:c r="AH2353" s="3"/>
      <x:c r="AI2353" s="18"/>
      <x:c r="AJ2353" s="3" t="str">
        <x:v>CF2500-03596142DB45</x:v>
      </x:c>
      <x:c r="AK2353" s="3" t="str">
        <x:v>private_real_estate_lender</x:v>
      </x:c>
      <x:c r="AL2353" s="19" t="n">
        <x:v>100000</x:v>
      </x:c>
      <x:c r="AM2353" s="19" t="n">
        <x:v>500000</x:v>
      </x:c>
      <x:c r="AN2353" s="3" t="str">
        <x:v>https://www.privatelendersdirectory.com/united-states/newtown/top-level-category/advest-financial-group</x:v>
      </x:c>
      <x:c r="AO2353" s="3" t="str">
        <x:v>public_directory.jsonl</x:v>
      </x:c>
      <x:c r="AP2353" s="19"/>
    </x:row>
    <x:row r="2354" ht="36" customHeight="1">
      <x:c r="A2354" s="23" t="n">
        <x:v>2353</x:v>
      </x:c>
      <x:c r="B2354" s="15" t="str">
        <x:v>AFC MORTGAGE</x:v>
      </x:c>
      <x:c r="C2354" s="15"/>
      <x:c r="D2354" s="15" t="str">
        <x:v>Property lender or directory member; operating-company capital unconfirmed</x:v>
      </x:c>
      <x:c r="E2354" s="15" t="str">
        <x:v>Property lender / private-money inquiry</x:v>
      </x:c>
      <x:c r="F2354" s="17" t="str">
        <x:v>New</x:v>
      </x:c>
      <x:c r="G2354" s="24" t="str">
        <x:v>frank@afcmortgagegroup.net</x:v>
      </x:c>
      <x:c r="H2354" s="24" t="str">
        <x:v>+12034529899</x:v>
      </x:c>
      <x:c r="I2354" s="24" t="str">
        <x:v>https://www.afcmortgagegroup.net/</x:v>
      </x:c>
      <x:c r="J2354" s="16" t="str">
        <x:v>CT</x:v>
      </x:c>
      <x:c r="K2354" s="16" t="str">
        <x:v>Monroe</x:v>
      </x:c>
      <x:c r="L2354" s="16" t="str">
        <x:v>firm_business_routing</x:v>
      </x:c>
      <x:c r="M2354" s="16" t="str">
        <x:v>https://www.afcmortgagegroup.net/</x:v>
      </x:c>
      <x:c r="N2354" s="16" t="str">
        <x:v>$100K-$500K ticket not published / unconfirmed</x:v>
      </x:c>
      <x:c r="O2354" s="20"/>
      <x:c r="P2354" s="20"/>
      <x:c r="Q2354" s="25" t="str">
        <x:v>Property-loan range, not a corporate-capital commitment</x:v>
      </x:c>
      <x:c r="R2354" s="25" t="str">
        <x:v>Private real-estate finance experience. Corporate working capital, minority equity or profit participation requires a separate agreement from a property loan.</x:v>
      </x:c>
      <x:c r="S2354" s="25"/>
      <x:c r="T2354" s="25" t="str">
        <x:v>Confirm direct principal versus broker, $100K-$500K appetite, and whether capital can fund the operating company without a property mortgage.</x:v>
      </x:c>
      <x:c r="U2354" s="25" t="str">
        <x:v>https://www.privatelendersdirectory.com/united-states/monroe/top-level-category/afc-mortgage
https://www.afcmortgagegroup.net/</x:v>
      </x:c>
      <x:c r="V2354" s="26" t="d">
        <x:v>2026-10-02T00:00:00.000Z</x:v>
      </x:c>
      <x:c r="W2354" s="26" t="d">
        <x:v>2026-09-30T00:00:00.000Z</x:v>
      </x:c>
      <x:c r="X2354" s="25" t="str">
        <x:v>Saved public company, industry-directory or regulatory source; source date retained</x:v>
      </x:c>
      <x:c r="Y2354" s="25" t="str">
        <x:v>https://www.afcmortgagegroup.net/</x:v>
      </x:c>
      <x:c r="Z2354" s="25" t="str">
        <x:v>https://www.afcmortgagegroup.net/</x:v>
      </x:c>
      <x:c r="AA2354" s="25" t="str">
        <x:v>[]</x:v>
      </x:c>
      <x:c r="AB2354" s="3" t="str">
        <x:v>Existing CapitalForge research, newly screened for this campaign</x:v>
      </x:c>
      <x:c r="AC2354" s="3" t="str">
        <x:v>unverified</x:v>
      </x:c>
      <x:c r="AD2354" s="3" t="str">
        <x:v>Not contacted / unconfirmed</x:v>
      </x:c>
      <x:c r="AE2354" s="3" t="str">
        <x:v>No</x:v>
      </x:c>
      <x:c r="AF2354" s="3" t="str">
        <x:v>No</x:v>
      </x:c>
      <x:c r="AG2354" s="3"/>
      <x:c r="AH2354" s="3"/>
      <x:c r="AI2354" s="18"/>
      <x:c r="AJ2354" s="3" t="str">
        <x:v>CF2500-E18C7655B530</x:v>
      </x:c>
      <x:c r="AK2354" s="3" t="str">
        <x:v>private_real_estate_lender</x:v>
      </x:c>
      <x:c r="AL2354" s="19" t="n">
        <x:v>100000</x:v>
      </x:c>
      <x:c r="AM2354" s="19" t="n">
        <x:v>500000</x:v>
      </x:c>
      <x:c r="AN2354" s="3" t="str">
        <x:v>https://www.privatelendersdirectory.com/united-states/monroe/top-level-category/afc-mortgage</x:v>
      </x:c>
      <x:c r="AO2354" s="3" t="str">
        <x:v>public_directory.jsonl</x:v>
      </x:c>
      <x:c r="AP2354" s="19"/>
    </x:row>
    <x:row r="2355" ht="36" customHeight="1">
      <x:c r="A2355" s="23" t="n">
        <x:v>2354</x:v>
      </x:c>
      <x:c r="B2355" s="15" t="str">
        <x:v>Agri Capital Inc.</x:v>
      </x:c>
      <x:c r="C2355" s="15"/>
      <x:c r="D2355" s="15" t="str">
        <x:v>Property lender or directory member; operating-company capital unconfirmed</x:v>
      </x:c>
      <x:c r="E2355" s="15" t="str">
        <x:v>Property lender / private-money inquiry</x:v>
      </x:c>
      <x:c r="F2355" s="17" t="str">
        <x:v>New</x:v>
      </x:c>
      <x:c r="G2355" s="24" t="str">
        <x:v>brian@agricapitalinc.com</x:v>
      </x:c>
      <x:c r="H2355" s="24" t="str">
        <x:v>+15598256650</x:v>
      </x:c>
      <x:c r="I2355" s="24" t="str">
        <x:v>http://www.agricapitalinc.com</x:v>
      </x:c>
      <x:c r="J2355" s="16" t="str">
        <x:v>CA</x:v>
      </x:c>
      <x:c r="K2355" s="16" t="str">
        <x:v>Chowchilla</x:v>
      </x:c>
      <x:c r="L2355" s="16" t="str">
        <x:v>firm_business_routing</x:v>
      </x:c>
      <x:c r="M2355" s="16" t="str">
        <x:v>http://www.agricapitalinc.com</x:v>
      </x:c>
      <x:c r="N2355" s="16" t="str">
        <x:v>$100K-$500K ticket not published / unconfirmed</x:v>
      </x:c>
      <x:c r="O2355" s="20"/>
      <x:c r="P2355" s="20"/>
      <x:c r="Q2355" s="25" t="str">
        <x:v>Property-loan range, not a corporate-capital commitment</x:v>
      </x:c>
      <x:c r="R2355" s="25" t="str">
        <x:v>Private real-estate finance experience. Corporate working capital, minority equity or profit participation requires a separate agreement from a property loan.</x:v>
      </x:c>
      <x:c r="S2355" s="25"/>
      <x:c r="T2355" s="25" t="str">
        <x:v>Confirm direct principal versus broker, $100K-$500K appetite, and whether capital can fund the operating company without a property mortgage.</x:v>
      </x:c>
      <x:c r="U2355" s="25" t="str">
        <x:v>https://privatelenderlink.com/profile/agri-capital-inc/
https://www.agricapitalinc.com
https://www.privatelendersdirectory.com/united-states/chowchilla/top-level-category/agri-capital
https://www.agricapitalinc.com/</x:v>
      </x:c>
      <x:c r="V2355" s="26" t="d">
        <x:v>2026-10-02T00:00:00.000Z</x:v>
      </x:c>
      <x:c r="W2355" s="26" t="d">
        <x:v>2026-09-30T00:00:00.000Z</x:v>
      </x:c>
      <x:c r="X2355" s="25" t="str">
        <x:v>Saved public company, industry-directory or regulatory source; source date retained</x:v>
      </x:c>
      <x:c r="Y2355" s="25" t="str">
        <x:v>https://privatelenderlink.com/profile/agri-capital-inc/</x:v>
      </x:c>
      <x:c r="Z2355" s="25" t="str">
        <x:v>https://www.agricapitalinc.com</x:v>
      </x:c>
      <x:c r="AA2355" s="25" t="str">
        <x:v>[]</x:v>
      </x:c>
      <x:c r="AB2355" s="3" t="str">
        <x:v>Existing CapitalForge research, newly screened for this campaign</x:v>
      </x:c>
      <x:c r="AC2355" s="3" t="str">
        <x:v>unverified</x:v>
      </x:c>
      <x:c r="AD2355" s="3" t="str">
        <x:v>Not contacted / unconfirmed</x:v>
      </x:c>
      <x:c r="AE2355" s="3" t="str">
        <x:v>No</x:v>
      </x:c>
      <x:c r="AF2355" s="3" t="str">
        <x:v>No</x:v>
      </x:c>
      <x:c r="AG2355" s="3"/>
      <x:c r="AH2355" s="3"/>
      <x:c r="AI2355" s="18"/>
      <x:c r="AJ2355" s="3" t="str">
        <x:v>CF2500-76428BBF8747</x:v>
      </x:c>
      <x:c r="AK2355" s="3" t="str">
        <x:v>private_real_estate_lender</x:v>
      </x:c>
      <x:c r="AL2355" s="19" t="n">
        <x:v>100000</x:v>
      </x:c>
      <x:c r="AM2355" s="19" t="n">
        <x:v>500000</x:v>
      </x:c>
      <x:c r="AN2355" s="3" t="str">
        <x:v>https://privatelenderlink.com/profile/agri-capital-inc/</x:v>
      </x:c>
      <x:c r="AO2355" s="3" t="str">
        <x:v>public_directory.jsonl</x:v>
      </x:c>
      <x:c r="AP2355" s="19"/>
    </x:row>
    <x:row r="2356" ht="36" customHeight="1">
      <x:c r="A2356" s="23" t="n">
        <x:v>2355</x:v>
      </x:c>
      <x:c r="B2356" s="15" t="str">
        <x:v>AHL FUNDING</x:v>
      </x:c>
      <x:c r="C2356" s="15"/>
      <x:c r="D2356" s="15" t="str">
        <x:v>Property lender or directory member; operating-company capital unconfirmed</x:v>
      </x:c>
      <x:c r="E2356" s="15" t="str">
        <x:v>Property lender / private-money inquiry</x:v>
      </x:c>
      <x:c r="F2356" s="17" t="str">
        <x:v>New</x:v>
      </x:c>
      <x:c r="G2356" s="24" t="str">
        <x:v>info@ahlfunding.com</x:v>
      </x:c>
      <x:c r="H2356" s="24" t="str">
        <x:v>+19493300988</x:v>
      </x:c>
      <x:c r="I2356" s="24" t="str">
        <x:v>https://ahlfunding.com/</x:v>
      </x:c>
      <x:c r="J2356" s="16" t="str">
        <x:v>CA</x:v>
      </x:c>
      <x:c r="K2356" s="16" t="str">
        <x:v>Irvine</x:v>
      </x:c>
      <x:c r="L2356" s="16" t="str">
        <x:v>firm_business_routing</x:v>
      </x:c>
      <x:c r="M2356" s="16" t="str">
        <x:v>https://ahlfunding.com/</x:v>
      </x:c>
      <x:c r="N2356" s="16" t="str">
        <x:v>$100K-$500K ticket not published / unconfirmed</x:v>
      </x:c>
      <x:c r="O2356" s="20"/>
      <x:c r="P2356" s="20"/>
      <x:c r="Q2356" s="25" t="str">
        <x:v>Property-loan range, not a corporate-capital commitment</x:v>
      </x:c>
      <x:c r="R2356" s="25" t="str">
        <x:v>Private real-estate finance experience. Corporate working capital, minority equity or profit participation requires a separate agreement from a property loan.</x:v>
      </x:c>
      <x:c r="S2356" s="25"/>
      <x:c r="T2356" s="25" t="str">
        <x:v>Confirm direct principal versus broker, $100K-$500K appetite, and whether capital can fund the operating company without a property mortgage.</x:v>
      </x:c>
      <x:c r="U2356" s="25" t="str">
        <x:v>https://www.privatelendersdirectory.com/united-states/irvine/top-level-category/ahl-funding
https://ahlfunding.com/</x:v>
      </x:c>
      <x:c r="V2356" s="26" t="d">
        <x:v>2026-10-02T00:00:00.000Z</x:v>
      </x:c>
      <x:c r="W2356" s="26" t="d">
        <x:v>2026-09-30T00:00:00.000Z</x:v>
      </x:c>
      <x:c r="X2356" s="25" t="str">
        <x:v>Saved public company, industry-directory or regulatory source; source date retained</x:v>
      </x:c>
      <x:c r="Y2356" s="25" t="str">
        <x:v>https://ahlfunding.com/</x:v>
      </x:c>
      <x:c r="Z2356" s="25" t="str">
        <x:v>https://ahlfunding.com/</x:v>
      </x:c>
      <x:c r="AA2356" s="25" t="str">
        <x:v>[]</x:v>
      </x:c>
      <x:c r="AB2356" s="3" t="str">
        <x:v>Existing CapitalForge research, newly screened for this campaign</x:v>
      </x:c>
      <x:c r="AC2356" s="3" t="str">
        <x:v>unverified</x:v>
      </x:c>
      <x:c r="AD2356" s="3" t="str">
        <x:v>Not contacted / unconfirmed</x:v>
      </x:c>
      <x:c r="AE2356" s="3" t="str">
        <x:v>No</x:v>
      </x:c>
      <x:c r="AF2356" s="3" t="str">
        <x:v>No</x:v>
      </x:c>
      <x:c r="AG2356" s="3"/>
      <x:c r="AH2356" s="3"/>
      <x:c r="AI2356" s="18"/>
      <x:c r="AJ2356" s="3" t="str">
        <x:v>CF2500-FE270A7163DF</x:v>
      </x:c>
      <x:c r="AK2356" s="3" t="str">
        <x:v>private_real_estate_lender</x:v>
      </x:c>
      <x:c r="AL2356" s="19" t="n">
        <x:v>100000</x:v>
      </x:c>
      <x:c r="AM2356" s="19" t="n">
        <x:v>500000</x:v>
      </x:c>
      <x:c r="AN2356" s="3" t="str">
        <x:v>https://www.privatelendersdirectory.com/united-states/irvine/top-level-category/ahl-funding</x:v>
      </x:c>
      <x:c r="AO2356" s="3" t="str">
        <x:v>public_directory.jsonl</x:v>
      </x:c>
      <x:c r="AP2356" s="19"/>
    </x:row>
    <x:row r="2357" ht="36" customHeight="1">
      <x:c r="A2357" s="23" t="n">
        <x:v>2356</x:v>
      </x:c>
      <x:c r="B2357" s="15" t="str">
        <x:v>ALAMEDA MORTGAGE</x:v>
      </x:c>
      <x:c r="C2357" s="15"/>
      <x:c r="D2357" s="15" t="str">
        <x:v>Property lender or directory member; operating-company capital unconfirmed</x:v>
      </x:c>
      <x:c r="E2357" s="15" t="str">
        <x:v>Property lender / private-money inquiry</x:v>
      </x:c>
      <x:c r="F2357" s="17" t="str">
        <x:v>New</x:v>
      </x:c>
      <x:c r="G2357" s="24" t="str">
        <x:v>info@alamedamortgage.com</x:v>
      </x:c>
      <x:c r="H2357" s="24" t="str">
        <x:v>+19258557131</x:v>
      </x:c>
      <x:c r="I2357" s="24" t="str">
        <x:v>https://www.alamedamortgage.com/</x:v>
      </x:c>
      <x:c r="J2357" s="16" t="str">
        <x:v>CA</x:v>
      </x:c>
      <x:c r="K2357" s="16" t="str">
        <x:v>Walnut Creek</x:v>
      </x:c>
      <x:c r="L2357" s="16" t="str">
        <x:v>firm_business_routing</x:v>
      </x:c>
      <x:c r="M2357" s="16" t="str">
        <x:v>https://www.alamedamortgage.com/</x:v>
      </x:c>
      <x:c r="N2357" s="16" t="str">
        <x:v>$100K-$500K ticket not published / unconfirmed</x:v>
      </x:c>
      <x:c r="O2357" s="20"/>
      <x:c r="P2357" s="20"/>
      <x:c r="Q2357" s="25" t="str">
        <x:v>Property-loan range, not a corporate-capital commitment</x:v>
      </x:c>
      <x:c r="R2357" s="25" t="str">
        <x:v>Private real-estate finance experience. Corporate working capital, minority equity or profit participation requires a separate agreement from a property loan.</x:v>
      </x:c>
      <x:c r="S2357" s="25"/>
      <x:c r="T2357" s="25" t="str">
        <x:v>Confirm direct principal versus broker, $100K-$500K appetite, and whether capital can fund the operating company without a property mortgage.</x:v>
      </x:c>
      <x:c r="U2357" s="25" t="str">
        <x:v>https://www.privatelendersdirectory.com/united-states/walnut-creek/real-estate-investment-lending/alameda-mortgage
https://www.alamedamortgage.com/</x:v>
      </x:c>
      <x:c r="V2357" s="26" t="d">
        <x:v>2026-10-02T00:00:00.000Z</x:v>
      </x:c>
      <x:c r="W2357" s="26" t="d">
        <x:v>2026-09-30T00:00:00.000Z</x:v>
      </x:c>
      <x:c r="X2357" s="25" t="str">
        <x:v>Saved public company, industry-directory or regulatory source; source date retained</x:v>
      </x:c>
      <x:c r="Y2357" s="25" t="str">
        <x:v>https://www.alamedamortgage.com/</x:v>
      </x:c>
      <x:c r="Z2357" s="25" t="str">
        <x:v>https://www.alamedamortgage.com/</x:v>
      </x:c>
      <x:c r="AA2357" s="25" t="str">
        <x:v>[]</x:v>
      </x:c>
      <x:c r="AB2357" s="3" t="str">
        <x:v>Existing CapitalForge research, newly screened for this campaign</x:v>
      </x:c>
      <x:c r="AC2357" s="3" t="str">
        <x:v>unverified</x:v>
      </x:c>
      <x:c r="AD2357" s="3" t="str">
        <x:v>Not contacted / unconfirmed</x:v>
      </x:c>
      <x:c r="AE2357" s="3" t="str">
        <x:v>No</x:v>
      </x:c>
      <x:c r="AF2357" s="3" t="str">
        <x:v>No</x:v>
      </x:c>
      <x:c r="AG2357" s="3"/>
      <x:c r="AH2357" s="3"/>
      <x:c r="AI2357" s="18"/>
      <x:c r="AJ2357" s="3" t="str">
        <x:v>CF2500-322F3DFA4566</x:v>
      </x:c>
      <x:c r="AK2357" s="3" t="str">
        <x:v>private_real_estate_lender</x:v>
      </x:c>
      <x:c r="AL2357" s="19" t="n">
        <x:v>100000</x:v>
      </x:c>
      <x:c r="AM2357" s="19" t="n">
        <x:v>500000</x:v>
      </x:c>
      <x:c r="AN2357" s="3" t="str">
        <x:v>https://www.privatelendersdirectory.com/united-states/walnut-creek/real-estate-investment-lending/alameda-mortgage</x:v>
      </x:c>
      <x:c r="AO2357" s="3" t="str">
        <x:v>public_directory.jsonl</x:v>
      </x:c>
      <x:c r="AP2357" s="19"/>
    </x:row>
    <x:row r="2358" ht="36" customHeight="1">
      <x:c r="A2358" s="23" t="n">
        <x:v>2357</x:v>
      </x:c>
      <x:c r="B2358" s="15" t="str">
        <x:v>ALBANY HARD MONEY</x:v>
      </x:c>
      <x:c r="C2358" s="15"/>
      <x:c r="D2358" s="15" t="str">
        <x:v>Property lender or directory member; operating-company capital unconfirmed</x:v>
      </x:c>
      <x:c r="E2358" s="15" t="str">
        <x:v>Property lender / private-money inquiry</x:v>
      </x:c>
      <x:c r="F2358" s="17" t="str">
        <x:v>New</x:v>
      </x:c>
      <x:c r="G2358" s="24" t="str">
        <x:v>albanyhardmoney@gmail.com</x:v>
      </x:c>
      <x:c r="H2358" s="24" t="str">
        <x:v>+15188100101</x:v>
      </x:c>
      <x:c r="I2358" s="24" t="str">
        <x:v>https://www.albanyhardmoney.com/</x:v>
      </x:c>
      <x:c r="J2358" s="16" t="str">
        <x:v>NY</x:v>
      </x:c>
      <x:c r="K2358" s="16" t="str">
        <x:v>Menands</x:v>
      </x:c>
      <x:c r="L2358" s="16" t="str">
        <x:v>firm_business_routing</x:v>
      </x:c>
      <x:c r="M2358" s="16" t="str">
        <x:v>https://www.albanyhardmoney.com/</x:v>
      </x:c>
      <x:c r="N2358" s="16" t="str">
        <x:v>$100K-$500K ticket not published / unconfirmed</x:v>
      </x:c>
      <x:c r="O2358" s="20"/>
      <x:c r="P2358" s="20"/>
      <x:c r="Q2358" s="25" t="str">
        <x:v>Property-loan range, not a corporate-capital commitment</x:v>
      </x:c>
      <x:c r="R2358" s="25" t="str">
        <x:v>Private real-estate finance experience. Corporate working capital, minority equity or profit participation requires a separate agreement from a property loan.</x:v>
      </x:c>
      <x:c r="S2358" s="25"/>
      <x:c r="T2358" s="25" t="str">
        <x:v>Confirm direct principal versus broker, $100K-$500K appetite, and whether capital can fund the operating company without a property mortgage.</x:v>
      </x:c>
      <x:c r="U2358" s="25" t="str">
        <x:v>https://www.privatelendersdirectory.com/united-states/menands/top-level-category/albany-hard-money
http://www.albanyhardmoney.com/</x:v>
      </x:c>
      <x:c r="V2358" s="26" t="d">
        <x:v>2026-10-02T00:00:00.000Z</x:v>
      </x:c>
      <x:c r="W2358" s="26" t="d">
        <x:v>2026-09-30T00:00:00.000Z</x:v>
      </x:c>
      <x:c r="X2358" s="25" t="str">
        <x:v>Saved public company, industry-directory or regulatory source; source date retained</x:v>
      </x:c>
      <x:c r="Y2358" s="25" t="str">
        <x:v>http://www.albanyhardmoney.com/</x:v>
      </x:c>
      <x:c r="Z2358" s="25" t="str">
        <x:v>http://www.albanyhardmoney.com/</x:v>
      </x:c>
      <x:c r="AA2358" s="25" t="str">
        <x:v>[]</x:v>
      </x:c>
      <x:c r="AB2358" s="3" t="str">
        <x:v>Existing CapitalForge research, newly screened for this campaign</x:v>
      </x:c>
      <x:c r="AC2358" s="3" t="str">
        <x:v>unverified</x:v>
      </x:c>
      <x:c r="AD2358" s="3" t="str">
        <x:v>Not contacted / unconfirmed</x:v>
      </x:c>
      <x:c r="AE2358" s="3" t="str">
        <x:v>No</x:v>
      </x:c>
      <x:c r="AF2358" s="3" t="str">
        <x:v>No</x:v>
      </x:c>
      <x:c r="AG2358" s="3"/>
      <x:c r="AH2358" s="3"/>
      <x:c r="AI2358" s="18"/>
      <x:c r="AJ2358" s="3" t="str">
        <x:v>CF2500-9DBE1C520258</x:v>
      </x:c>
      <x:c r="AK2358" s="3" t="str">
        <x:v>private_real_estate_lender</x:v>
      </x:c>
      <x:c r="AL2358" s="19" t="n">
        <x:v>100000</x:v>
      </x:c>
      <x:c r="AM2358" s="19" t="n">
        <x:v>500000</x:v>
      </x:c>
      <x:c r="AN2358" s="3" t="str">
        <x:v>https://www.privatelendersdirectory.com/united-states/menands/top-level-category/albany-hard-money</x:v>
      </x:c>
      <x:c r="AO2358" s="3" t="str">
        <x:v>public_directory.jsonl</x:v>
      </x:c>
      <x:c r="AP2358" s="19"/>
    </x:row>
    <x:row r="2359" ht="36" customHeight="1">
      <x:c r="A2359" s="23" t="n">
        <x:v>2358</x:v>
      </x:c>
      <x:c r="B2359" s="15" t="str">
        <x:v>ALIGNABLE CAPITAL</x:v>
      </x:c>
      <x:c r="C2359" s="15"/>
      <x:c r="D2359" s="15" t="str">
        <x:v>Property lender or directory member; operating-company capital unconfirmed</x:v>
      </x:c>
      <x:c r="E2359" s="15" t="str">
        <x:v>Property lender / private-money inquiry</x:v>
      </x:c>
      <x:c r="F2359" s="17" t="str">
        <x:v>New</x:v>
      </x:c>
      <x:c r="G2359" s="24" t="str">
        <x:v>contactus@alignablecapital.com</x:v>
      </x:c>
      <x:c r="H2359" s="24" t="str">
        <x:v>+12675715140</x:v>
      </x:c>
      <x:c r="I2359" s="24" t="str">
        <x:v>https://alignablecapital.com/</x:v>
      </x:c>
      <x:c r="J2359" s="16" t="str">
        <x:v>NJ</x:v>
      </x:c>
      <x:c r="K2359" s="16" t="str">
        <x:v>Swedesboro</x:v>
      </x:c>
      <x:c r="L2359" s="16" t="str">
        <x:v>firm_business_routing</x:v>
      </x:c>
      <x:c r="M2359" s="16" t="str">
        <x:v>https://alignablecapital.com/</x:v>
      </x:c>
      <x:c r="N2359" s="16" t="str">
        <x:v>$100K-$500K ticket not published / unconfirmed</x:v>
      </x:c>
      <x:c r="O2359" s="20"/>
      <x:c r="P2359" s="20"/>
      <x:c r="Q2359" s="25" t="str">
        <x:v>Property-loan range, not a corporate-capital commitment</x:v>
      </x:c>
      <x:c r="R2359" s="25" t="str">
        <x:v>Private real-estate finance experience. Corporate working capital, minority equity or profit participation requires a separate agreement from a property loan.</x:v>
      </x:c>
      <x:c r="S2359" s="25"/>
      <x:c r="T2359" s="25" t="str">
        <x:v>Confirm direct principal versus broker, $100K-$500K appetite, and whether capital can fund the operating company without a property mortgage.</x:v>
      </x:c>
      <x:c r="U2359" s="25" t="str">
        <x:v>https://www.privatelendersdirectory.com/united-states/swedesboro/top-level-category/alignable-capital
https://alignablecapital.com/</x:v>
      </x:c>
      <x:c r="V2359" s="26" t="d">
        <x:v>2026-10-02T00:00:00.000Z</x:v>
      </x:c>
      <x:c r="W2359" s="26" t="d">
        <x:v>2026-09-30T00:00:00.000Z</x:v>
      </x:c>
      <x:c r="X2359" s="25" t="str">
        <x:v>Saved public company, industry-directory or regulatory source; source date retained</x:v>
      </x:c>
      <x:c r="Y2359" s="25" t="str">
        <x:v>https://alignablecapital.com/</x:v>
      </x:c>
      <x:c r="Z2359" s="25" t="str">
        <x:v>https://alignablecapital.com/</x:v>
      </x:c>
      <x:c r="AA2359" s="25" t="str">
        <x:v>[]</x:v>
      </x:c>
      <x:c r="AB2359" s="3" t="str">
        <x:v>Existing CapitalForge research, newly screened for this campaign</x:v>
      </x:c>
      <x:c r="AC2359" s="3" t="str">
        <x:v>unverified</x:v>
      </x:c>
      <x:c r="AD2359" s="3" t="str">
        <x:v>Not contacted / unconfirmed</x:v>
      </x:c>
      <x:c r="AE2359" s="3" t="str">
        <x:v>No</x:v>
      </x:c>
      <x:c r="AF2359" s="3" t="str">
        <x:v>No</x:v>
      </x:c>
      <x:c r="AG2359" s="3"/>
      <x:c r="AH2359" s="3"/>
      <x:c r="AI2359" s="18"/>
      <x:c r="AJ2359" s="3" t="str">
        <x:v>CF2500-F7C924086B25</x:v>
      </x:c>
      <x:c r="AK2359" s="3" t="str">
        <x:v>private_real_estate_lender</x:v>
      </x:c>
      <x:c r="AL2359" s="19" t="n">
        <x:v>100000</x:v>
      </x:c>
      <x:c r="AM2359" s="19" t="n">
        <x:v>500000</x:v>
      </x:c>
      <x:c r="AN2359" s="3" t="str">
        <x:v>https://www.privatelendersdirectory.com/united-states/swedesboro/top-level-category/alignable-capital</x:v>
      </x:c>
      <x:c r="AO2359" s="3" t="str">
        <x:v>public_directory.jsonl</x:v>
      </x:c>
      <x:c r="AP2359" s="19"/>
    </x:row>
    <x:row r="2360" ht="36" customHeight="1">
      <x:c r="A2360" s="23" t="n">
        <x:v>2359</x:v>
      </x:c>
      <x:c r="B2360" s="15" t="str">
        <x:v>ALL CALIFORNIA MORTGAGE</x:v>
      </x:c>
      <x:c r="C2360" s="15"/>
      <x:c r="D2360" s="15" t="str">
        <x:v>Property lender or directory member; operating-company capital unconfirmed</x:v>
      </x:c>
      <x:c r="E2360" s="15" t="str">
        <x:v>Property lender / private-money inquiry</x:v>
      </x:c>
      <x:c r="F2360" s="17" t="str">
        <x:v>New</x:v>
      </x:c>
      <x:c r="G2360" s="24" t="str">
        <x:v>inquire@allcalifornia.com</x:v>
      </x:c>
      <x:c r="H2360" s="24" t="str">
        <x:v>+18003714545</x:v>
      </x:c>
      <x:c r="I2360" s="24" t="str">
        <x:v>http://www.allcalifornia.com/</x:v>
      </x:c>
      <x:c r="J2360" s="16" t="str">
        <x:v>CA</x:v>
      </x:c>
      <x:c r="K2360" s="16" t="str">
        <x:v>San Rafael</x:v>
      </x:c>
      <x:c r="L2360" s="16" t="str">
        <x:v>firm_business_routing</x:v>
      </x:c>
      <x:c r="M2360" s="16" t="str">
        <x:v>http://www.allcalifornia.com/</x:v>
      </x:c>
      <x:c r="N2360" s="16" t="str">
        <x:v>$100K-$500K ticket not published / unconfirmed</x:v>
      </x:c>
      <x:c r="O2360" s="20"/>
      <x:c r="P2360" s="20"/>
      <x:c r="Q2360" s="25" t="str">
        <x:v>Property-loan range, not a corporate-capital commitment</x:v>
      </x:c>
      <x:c r="R2360" s="25" t="str">
        <x:v>Private real-estate finance experience. Corporate working capital, minority equity or profit participation requires a separate agreement from a property loan.</x:v>
      </x:c>
      <x:c r="S2360" s="25"/>
      <x:c r="T2360" s="25" t="str">
        <x:v>Confirm direct principal versus broker, $100K-$500K appetite, and whether capital can fund the operating company without a property mortgage.</x:v>
      </x:c>
      <x:c r="U2360" s="25" t="str">
        <x:v>https://www.privatelendersdirectory.com/united-states/san-rafael/real-estate-investment-lending/all-california-mortgage
https://www.allcalifornia.com/</x:v>
      </x:c>
      <x:c r="V2360" s="26" t="d">
        <x:v>2026-10-02T00:00:00.000Z</x:v>
      </x:c>
      <x:c r="W2360" s="26" t="d">
        <x:v>2026-09-30T00:00:00.000Z</x:v>
      </x:c>
      <x:c r="X2360" s="25" t="str">
        <x:v>Saved public company, industry-directory or regulatory source; source date retained</x:v>
      </x:c>
      <x:c r="Y2360" s="25" t="str">
        <x:v>https://www.allcalifornia.com/</x:v>
      </x:c>
      <x:c r="Z2360" s="25" t="str">
        <x:v>https://www.allcalifornia.com/</x:v>
      </x:c>
      <x:c r="AA2360" s="25" t="str">
        <x:v>[]</x:v>
      </x:c>
      <x:c r="AB2360" s="3" t="str">
        <x:v>Existing CapitalForge research, newly screened for this campaign</x:v>
      </x:c>
      <x:c r="AC2360" s="3" t="str">
        <x:v>unverified</x:v>
      </x:c>
      <x:c r="AD2360" s="3" t="str">
        <x:v>Not contacted / unconfirmed</x:v>
      </x:c>
      <x:c r="AE2360" s="3" t="str">
        <x:v>No</x:v>
      </x:c>
      <x:c r="AF2360" s="3" t="str">
        <x:v>No</x:v>
      </x:c>
      <x:c r="AG2360" s="3"/>
      <x:c r="AH2360" s="3"/>
      <x:c r="AI2360" s="18"/>
      <x:c r="AJ2360" s="3" t="str">
        <x:v>CF2500-4E7F5CFB3CAD</x:v>
      </x:c>
      <x:c r="AK2360" s="3" t="str">
        <x:v>private_real_estate_lender</x:v>
      </x:c>
      <x:c r="AL2360" s="19" t="n">
        <x:v>100000</x:v>
      </x:c>
      <x:c r="AM2360" s="19" t="n">
        <x:v>500000</x:v>
      </x:c>
      <x:c r="AN2360" s="3" t="str">
        <x:v>https://www.privatelendersdirectory.com/united-states/san-rafael/real-estate-investment-lending/all-california-mortgage</x:v>
      </x:c>
      <x:c r="AO2360" s="3" t="str">
        <x:v>public_directory.jsonl</x:v>
      </x:c>
      <x:c r="AP2360" s="19"/>
    </x:row>
    <x:row r="2361" ht="36" customHeight="1">
      <x:c r="A2361" s="23" t="n">
        <x:v>2360</x:v>
      </x:c>
      <x:c r="B2361" s="15" t="str">
        <x:v>ALL STAR CAPITAL</x:v>
      </x:c>
      <x:c r="C2361" s="15"/>
      <x:c r="D2361" s="15" t="str">
        <x:v>Property lender or directory member; operating-company capital unconfirmed</x:v>
      </x:c>
      <x:c r="E2361" s="15" t="str">
        <x:v>Property lender / private-money inquiry</x:v>
      </x:c>
      <x:c r="F2361" s="17" t="str">
        <x:v>New</x:v>
      </x:c>
      <x:c r="G2361" s="24" t="str">
        <x:v>info@allstarcapitalgroup.com</x:v>
      </x:c>
      <x:c r="H2361" s="24" t="str">
        <x:v>+17604796000</x:v>
      </x:c>
      <x:c r="I2361" s="24" t="str">
        <x:v>https://allstarcapitalgroup.com/</x:v>
      </x:c>
      <x:c r="J2361" s="16" t="str">
        <x:v>CA</x:v>
      </x:c>
      <x:c r="K2361" s="16" t="str">
        <x:v>Encinitas</x:v>
      </x:c>
      <x:c r="L2361" s="16" t="str">
        <x:v>firm_business_routing</x:v>
      </x:c>
      <x:c r="M2361" s="16" t="str">
        <x:v>https://allstarcapitalgroup.com/</x:v>
      </x:c>
      <x:c r="N2361" s="16" t="str">
        <x:v>$100K-$500K ticket not published / unconfirmed</x:v>
      </x:c>
      <x:c r="O2361" s="20"/>
      <x:c r="P2361" s="20"/>
      <x:c r="Q2361" s="25" t="str">
        <x:v>Property-loan range, not a corporate-capital commitment</x:v>
      </x:c>
      <x:c r="R2361" s="25" t="str">
        <x:v>Private real-estate finance experience. Corporate working capital, minority equity or profit participation requires a separate agreement from a property loan.</x:v>
      </x:c>
      <x:c r="S2361" s="25"/>
      <x:c r="T2361" s="25" t="str">
        <x:v>Confirm direct principal versus broker, $100K-$500K appetite, and whether capital can fund the operating company without a property mortgage.</x:v>
      </x:c>
      <x:c r="U2361" s="25" t="str">
        <x:v>https://www.privatelendersdirectory.com/united-states/encinitas/top-level-category/all-star-capital
https://allstarcapitalgroup.com/
https://allstarcapitalgroup.com/contact-2/</x:v>
      </x:c>
      <x:c r="V2361" s="26" t="d">
        <x:v>2026-10-02T00:00:00.000Z</x:v>
      </x:c>
      <x:c r="W2361" s="26" t="d">
        <x:v>2026-09-30T00:00:00.000Z</x:v>
      </x:c>
      <x:c r="X2361" s="25" t="str">
        <x:v>Saved public company, industry-directory or regulatory source; source date retained</x:v>
      </x:c>
      <x:c r="Y2361" s="25" t="str">
        <x:v>https://allstarcapitalgroup.com/contact-2/</x:v>
      </x:c>
      <x:c r="Z2361" s="25" t="str">
        <x:v>https://allstarcapitalgroup.com/</x:v>
      </x:c>
      <x:c r="AA2361" s="25" t="str">
        <x:v>[]</x:v>
      </x:c>
      <x:c r="AB2361" s="3" t="str">
        <x:v>Existing CapitalForge research, newly screened for this campaign</x:v>
      </x:c>
      <x:c r="AC2361" s="3" t="str">
        <x:v>unverified</x:v>
      </x:c>
      <x:c r="AD2361" s="3" t="str">
        <x:v>Not contacted / unconfirmed</x:v>
      </x:c>
      <x:c r="AE2361" s="3" t="str">
        <x:v>No</x:v>
      </x:c>
      <x:c r="AF2361" s="3" t="str">
        <x:v>No</x:v>
      </x:c>
      <x:c r="AG2361" s="3"/>
      <x:c r="AH2361" s="3"/>
      <x:c r="AI2361" s="18"/>
      <x:c r="AJ2361" s="3" t="str">
        <x:v>CF2500-4DFE386ACAF4</x:v>
      </x:c>
      <x:c r="AK2361" s="3" t="str">
        <x:v>private_real_estate_lender</x:v>
      </x:c>
      <x:c r="AL2361" s="19" t="n">
        <x:v>100000</x:v>
      </x:c>
      <x:c r="AM2361" s="19" t="n">
        <x:v>500000</x:v>
      </x:c>
      <x:c r="AN2361" s="3" t="str">
        <x:v>https://www.privatelendersdirectory.com/united-states/encinitas/top-level-category/all-star-capital</x:v>
      </x:c>
      <x:c r="AO2361" s="3" t="str">
        <x:v>public_directory.jsonl</x:v>
      </x:c>
      <x:c r="AP2361" s="19"/>
    </x:row>
    <x:row r="2362" ht="36" customHeight="1">
      <x:c r="A2362" s="23" t="n">
        <x:v>2361</x:v>
      </x:c>
      <x:c r="B2362" s="15" t="str">
        <x:v>Alliance Portfolio</x:v>
      </x:c>
      <x:c r="C2362" s="15"/>
      <x:c r="D2362" s="15" t="str">
        <x:v>Property lender or directory member; operating-company capital unconfirmed</x:v>
      </x:c>
      <x:c r="E2362" s="15" t="str">
        <x:v>Property lender / private-money inquiry</x:v>
      </x:c>
      <x:c r="F2362" s="17" t="str">
        <x:v>New</x:v>
      </x:c>
      <x:c r="G2362" s="24" t="str">
        <x:v>info@allianceportfolio.com</x:v>
      </x:c>
      <x:c r="H2362" s="24" t="str">
        <x:v>+19493491322</x:v>
      </x:c>
      <x:c r="I2362" s="24" t="str">
        <x:v>http://allianceportfolio.com/</x:v>
      </x:c>
      <x:c r="J2362" s="16" t="str">
        <x:v>CA</x:v>
      </x:c>
      <x:c r="K2362" s="16" t="str">
        <x:v>Aliso Viejo</x:v>
      </x:c>
      <x:c r="L2362" s="16" t="str">
        <x:v>firm_business_routing</x:v>
      </x:c>
      <x:c r="M2362" s="16" t="str">
        <x:v>http://allianceportfolio.com/</x:v>
      </x:c>
      <x:c r="N2362" s="16" t="str">
        <x:v>$100K-$500K ticket not published / unconfirmed</x:v>
      </x:c>
      <x:c r="O2362" s="20"/>
      <x:c r="P2362" s="20"/>
      <x:c r="Q2362" s="25" t="str">
        <x:v>Property-loan range, not a corporate-capital commitment</x:v>
      </x:c>
      <x:c r="R2362" s="25" t="str">
        <x:v>Private real-estate finance experience. Corporate working capital, minority equity or profit participation requires a separate agreement from a property loan.</x:v>
      </x:c>
      <x:c r="S2362" s="25"/>
      <x:c r="T2362" s="25" t="str">
        <x:v>Confirm direct principal versus broker, $100K-$500K appetite, and whether capital can fund the operating company without a property mortgage.</x:v>
      </x:c>
      <x:c r="U2362" s="25" t="str">
        <x:v>https://www.hardmoneyhome.com/lenders/view/alliance-portfolio
https://privatelenderlink.com/profile/alliance-portfolio/
https://www.privatelendersdirectory.com/united-states/aliso-viejo/top-level-category/alliance-portfolio
https://allianceportfolio.com/</x:v>
      </x:c>
      <x:c r="V2362" s="26" t="d">
        <x:v>2026-10-02T00:00:00.000Z</x:v>
      </x:c>
      <x:c r="W2362" s="26" t="d">
        <x:v>2026-09-30T00:00:00.000Z</x:v>
      </x:c>
      <x:c r="X2362" s="25" t="str">
        <x:v>Saved public company, industry-directory or regulatory source; source date retained</x:v>
      </x:c>
      <x:c r="Y2362" s="25" t="str">
        <x:v>https://privatelenderlink.com/profile/alliance-portfolio/</x:v>
      </x:c>
      <x:c r="Z2362" s="25" t="str">
        <x:v>https://www.hardmoneyhome.com/lenders/view/alliance-portfolio</x:v>
      </x:c>
      <x:c r="AA2362" s="25" t="str">
        <x:v>[]</x:v>
      </x:c>
      <x:c r="AB2362" s="3" t="str">
        <x:v>Existing CapitalForge research, newly screened for this campaign</x:v>
      </x:c>
      <x:c r="AC2362" s="3" t="str">
        <x:v>unverified</x:v>
      </x:c>
      <x:c r="AD2362" s="3" t="str">
        <x:v>Not contacted / unconfirmed</x:v>
      </x:c>
      <x:c r="AE2362" s="3" t="str">
        <x:v>No</x:v>
      </x:c>
      <x:c r="AF2362" s="3" t="str">
        <x:v>No</x:v>
      </x:c>
      <x:c r="AG2362" s="3"/>
      <x:c r="AH2362" s="3"/>
      <x:c r="AI2362" s="18"/>
      <x:c r="AJ2362" s="3" t="str">
        <x:v>CF2500-190C95F80799</x:v>
      </x:c>
      <x:c r="AK2362" s="3" t="str">
        <x:v>private_real_estate_lender</x:v>
      </x:c>
      <x:c r="AL2362" s="19" t="n">
        <x:v>100000</x:v>
      </x:c>
      <x:c r="AM2362" s="19" t="n">
        <x:v>500000</x:v>
      </x:c>
      <x:c r="AN2362" s="3" t="str">
        <x:v>https://www.hardmoneyhome.com/lenders/view/alliance-portfolio</x:v>
      </x:c>
      <x:c r="AO2362" s="3" t="str">
        <x:v>public_directory.jsonl</x:v>
      </x:c>
      <x:c r="AP2362" s="19"/>
    </x:row>
    <x:row r="2363" ht="36" customHeight="1">
      <x:c r="A2363" s="23" t="n">
        <x:v>2362</x:v>
      </x:c>
      <x:c r="B2363" s="15" t="str">
        <x:v>Allied Equity</x:v>
      </x:c>
      <x:c r="C2363" s="15"/>
      <x:c r="D2363" s="15" t="str">
        <x:v>Property lender or directory member; operating-company capital unconfirmed</x:v>
      </x:c>
      <x:c r="E2363" s="15" t="str">
        <x:v>Property lender / private-money inquiry</x:v>
      </x:c>
      <x:c r="F2363" s="17" t="str">
        <x:v>New</x:v>
      </x:c>
      <x:c r="G2363" s="24" t="str">
        <x:v>jsanchez@alliedequity.com</x:v>
      </x:c>
      <x:c r="H2363" s="24" t="str">
        <x:v>+19099329226</x:v>
      </x:c>
      <x:c r="I2363" s="24" t="str">
        <x:v>http://www.alliedequity.com</x:v>
      </x:c>
      <x:c r="J2363" s="16" t="str">
        <x:v>CA</x:v>
      </x:c>
      <x:c r="K2363" s="16" t="str">
        <x:v>Upland</x:v>
      </x:c>
      <x:c r="L2363" s="16" t="str">
        <x:v>firm_business_routing</x:v>
      </x:c>
      <x:c r="M2363" s="16" t="str">
        <x:v>http://www.alliedequity.com</x:v>
      </x:c>
      <x:c r="N2363" s="16" t="str">
        <x:v>$100K-$500K ticket not published / unconfirmed</x:v>
      </x:c>
      <x:c r="O2363" s="20"/>
      <x:c r="P2363" s="20"/>
      <x:c r="Q2363" s="25" t="str">
        <x:v>Property-loan range, not a corporate-capital commitment</x:v>
      </x:c>
      <x:c r="R2363" s="25" t="str">
        <x:v>Private real-estate finance experience. Corporate working capital, minority equity or profit participation requires a separate agreement from a property loan.</x:v>
      </x:c>
      <x:c r="S2363" s="25"/>
      <x:c r="T2363" s="25" t="str">
        <x:v>Confirm direct principal versus broker, $100K-$500K appetite, and whether capital can fund the operating company without a property mortgage.</x:v>
      </x:c>
      <x:c r="U2363" s="25" t="str">
        <x:v>https://www.hardmoneyhome.com/lenders/view/allied-equity
https://www.alliedequity.com</x:v>
      </x:c>
      <x:c r="V2363" s="26" t="d">
        <x:v>2026-10-02T00:00:00.000Z</x:v>
      </x:c>
      <x:c r="W2363" s="26" t="d">
        <x:v>2026-09-30T00:00:00.000Z</x:v>
      </x:c>
      <x:c r="X2363" s="25" t="str">
        <x:v>Saved public company, industry-directory or regulatory source; source date retained</x:v>
      </x:c>
      <x:c r="Y2363" s="25" t="str">
        <x:v>https://www.alliedequity.com</x:v>
      </x:c>
      <x:c r="Z2363" s="25" t="str">
        <x:v>https://www.hardmoneyhome.com/lenders/view/allied-equity</x:v>
      </x:c>
      <x:c r="AA2363" s="25" t="str">
        <x:v>[]</x:v>
      </x:c>
      <x:c r="AB2363" s="3" t="str">
        <x:v>Existing CapitalForge research, newly screened for this campaign</x:v>
      </x:c>
      <x:c r="AC2363" s="3" t="str">
        <x:v>unverified</x:v>
      </x:c>
      <x:c r="AD2363" s="3" t="str">
        <x:v>Not contacted / unconfirmed</x:v>
      </x:c>
      <x:c r="AE2363" s="3" t="str">
        <x:v>No</x:v>
      </x:c>
      <x:c r="AF2363" s="3" t="str">
        <x:v>No</x:v>
      </x:c>
      <x:c r="AG2363" s="3"/>
      <x:c r="AH2363" s="3"/>
      <x:c r="AI2363" s="18"/>
      <x:c r="AJ2363" s="3" t="str">
        <x:v>CF2500-161CEDF25BAB</x:v>
      </x:c>
      <x:c r="AK2363" s="3" t="str">
        <x:v>private_real_estate_lender</x:v>
      </x:c>
      <x:c r="AL2363" s="19" t="n">
        <x:v>100000</x:v>
      </x:c>
      <x:c r="AM2363" s="19" t="n">
        <x:v>500000</x:v>
      </x:c>
      <x:c r="AN2363" s="3" t="str">
        <x:v>https://www.hardmoneyhome.com/lenders/view/allied-equity</x:v>
      </x:c>
      <x:c r="AO2363" s="3" t="str">
        <x:v>public_directory.jsonl</x:v>
      </x:c>
      <x:c r="AP2363" s="19"/>
    </x:row>
    <x:row r="2364" ht="36" customHeight="1">
      <x:c r="A2364" s="23" t="n">
        <x:v>2363</x:v>
      </x:c>
      <x:c r="B2364" s="15" t="str">
        <x:v>Alpha Funding Solutions</x:v>
      </x:c>
      <x:c r="C2364" s="15"/>
      <x:c r="D2364" s="15" t="str">
        <x:v>Property lender or directory member; operating-company capital unconfirmed</x:v>
      </x:c>
      <x:c r="E2364" s="15" t="str">
        <x:v>Property lender / private-money inquiry</x:v>
      </x:c>
      <x:c r="F2364" s="17" t="str">
        <x:v>New</x:v>
      </x:c>
      <x:c r="G2364" s="24" t="str">
        <x:v>info@alphafunding.com</x:v>
      </x:c>
      <x:c r="H2364" s="24" t="str">
        <x:v>+17326572014</x:v>
      </x:c>
      <x:c r="I2364" s="24" t="str">
        <x:v>http://alphafunding.com</x:v>
      </x:c>
      <x:c r="J2364" s="16" t="str">
        <x:v>NJ</x:v>
      </x:c>
      <x:c r="K2364" s="16" t="str">
        <x:v>Lakehurst</x:v>
      </x:c>
      <x:c r="L2364" s="16" t="str">
        <x:v>firm_business_routing</x:v>
      </x:c>
      <x:c r="M2364" s="16" t="str">
        <x:v>http://alphafunding.com</x:v>
      </x:c>
      <x:c r="N2364" s="16" t="str">
        <x:v>$100K-$500K ticket not published / unconfirmed</x:v>
      </x:c>
      <x:c r="O2364" s="20"/>
      <x:c r="P2364" s="20"/>
      <x:c r="Q2364" s="25" t="str">
        <x:v>Property-loan range, not a corporate-capital commitment</x:v>
      </x:c>
      <x:c r="R2364" s="25" t="str">
        <x:v>Private real-estate finance experience. Corporate working capital, minority equity or profit participation requires a separate agreement from a property loan.</x:v>
      </x:c>
      <x:c r="S2364" s="25"/>
      <x:c r="T2364" s="25" t="str">
        <x:v>Confirm direct principal versus broker, $100K-$500K appetite, and whether capital can fund the operating company without a property mortgage.</x:v>
      </x:c>
      <x:c r="U2364" s="25" t="str">
        <x:v>https://www.hardmoneyhome.com/lenders/view/alpha-funding-solutions
https://privatelenderlink.com/profile/alpha-funding-solutions/
https://nplaconference.com/private-lending-directory/
https://www.alphafunding.com/contact-us/
https://www.alphafunding.com/
https://www.privatelendersdirectory.com/united-states/red-bank/top-level-category/alpha-funding</x:v>
      </x:c>
      <x:c r="V2364" s="26" t="d">
        <x:v>2026-10-02T00:00:00.000Z</x:v>
      </x:c>
      <x:c r="W2364" s="26" t="d">
        <x:v>2026-09-30T00:00:00.000Z</x:v>
      </x:c>
      <x:c r="X2364" s="25" t="str">
        <x:v>Saved public company, industry-directory or regulatory source; source date retained</x:v>
      </x:c>
      <x:c r="Y2364" s="25" t="str">
        <x:v>https://privatelenderlink.com/profile/alpha-funding-solutions/</x:v>
      </x:c>
      <x:c r="Z2364" s="25" t="str">
        <x:v>https://www.hardmoneyhome.com/lenders/view/alpha-funding-solutions</x:v>
      </x:c>
      <x:c r="AA2364" s="25" t="str">
        <x:v>[]</x:v>
      </x:c>
      <x:c r="AB2364" s="3" t="str">
        <x:v>Existing CapitalForge research, newly screened for this campaign</x:v>
      </x:c>
      <x:c r="AC2364" s="3" t="str">
        <x:v>unverified</x:v>
      </x:c>
      <x:c r="AD2364" s="3" t="str">
        <x:v>Not contacted / unconfirmed</x:v>
      </x:c>
      <x:c r="AE2364" s="3" t="str">
        <x:v>No</x:v>
      </x:c>
      <x:c r="AF2364" s="3" t="str">
        <x:v>No</x:v>
      </x:c>
      <x:c r="AG2364" s="3"/>
      <x:c r="AH2364" s="3"/>
      <x:c r="AI2364" s="18"/>
      <x:c r="AJ2364" s="3" t="str">
        <x:v>CF2500-5A47E241AB43</x:v>
      </x:c>
      <x:c r="AK2364" s="3" t="str">
        <x:v>private_real_estate_lender</x:v>
      </x:c>
      <x:c r="AL2364" s="19" t="n">
        <x:v>100000</x:v>
      </x:c>
      <x:c r="AM2364" s="19" t="n">
        <x:v>500000</x:v>
      </x:c>
      <x:c r="AN2364" s="3" t="str">
        <x:v>https://www.hardmoneyhome.com/lenders/view/alpha-funding-solutions</x:v>
      </x:c>
      <x:c r="AO2364" s="3" t="str">
        <x:v>public_directory.jsonl</x:v>
      </x:c>
      <x:c r="AP2364" s="19"/>
    </x:row>
    <x:row r="2365" ht="36" customHeight="1">
      <x:c r="A2365" s="23" t="n">
        <x:v>2364</x:v>
      </x:c>
      <x:c r="B2365" s="15" t="str">
        <x:v>Alpha Lending</x:v>
      </x:c>
      <x:c r="C2365" s="15"/>
      <x:c r="D2365" s="15" t="str">
        <x:v>Property lender or directory member; operating-company capital unconfirmed</x:v>
      </x:c>
      <x:c r="E2365" s="15" t="str">
        <x:v>Property lender / private-money inquiry</x:v>
      </x:c>
      <x:c r="F2365" s="17" t="str">
        <x:v>New</x:v>
      </x:c>
      <x:c r="G2365" s="24" t="str">
        <x:v>info@alphalendingllc.com</x:v>
      </x:c>
      <x:c r="H2365" s="24" t="str">
        <x:v>+12088541122</x:v>
      </x:c>
      <x:c r="I2365" s="24" t="str">
        <x:v>http://www.alphalendingllc.com/</x:v>
      </x:c>
      <x:c r="J2365" s="16" t="str">
        <x:v>ID</x:v>
      </x:c>
      <x:c r="K2365" s="16" t="str">
        <x:v>Boise</x:v>
      </x:c>
      <x:c r="L2365" s="16" t="str">
        <x:v>firm_business_routing</x:v>
      </x:c>
      <x:c r="M2365" s="16" t="str">
        <x:v>http://www.alphalendingllc.com/</x:v>
      </x:c>
      <x:c r="N2365" s="16" t="str">
        <x:v>$100K-$500K ticket not published / unconfirmed</x:v>
      </x:c>
      <x:c r="O2365" s="20"/>
      <x:c r="P2365" s="20"/>
      <x:c r="Q2365" s="25" t="str">
        <x:v>Property-loan range, not a corporate-capital commitment</x:v>
      </x:c>
      <x:c r="R2365" s="25" t="str">
        <x:v>Private real-estate finance experience. Corporate working capital, minority equity or profit participation requires a separate agreement from a property loan.</x:v>
      </x:c>
      <x:c r="S2365" s="25"/>
      <x:c r="T2365" s="25" t="str">
        <x:v>Confirm direct principal versus broker, $100K-$500K appetite, and whether capital can fund the operating company without a property mortgage.</x:v>
      </x:c>
      <x:c r="U2365" s="25" t="str">
        <x:v>https://www.hardmoneyhome.com/lenders/view/alpha-lending
https://www.alphalendingllc.com/
https://www.privatelendersdirectory.com/idaho/boise/top-level-category/alpha-lending</x:v>
      </x:c>
      <x:c r="V2365" s="26" t="d">
        <x:v>2026-10-02T00:00:00.000Z</x:v>
      </x:c>
      <x:c r="W2365" s="26" t="d">
        <x:v>2026-09-30T00:00:00.000Z</x:v>
      </x:c>
      <x:c r="X2365" s="25" t="str">
        <x:v>Saved public company, industry-directory or regulatory source; source date retained</x:v>
      </x:c>
      <x:c r="Y2365" s="25" t="str">
        <x:v>https://www.alphalendingllc.com/</x:v>
      </x:c>
      <x:c r="Z2365" s="25" t="str">
        <x:v>https://www.hardmoneyhome.com/lenders/view/alpha-lending</x:v>
      </x:c>
      <x:c r="AA2365" s="25" t="str">
        <x:v>[]</x:v>
      </x:c>
      <x:c r="AB2365" s="3" t="str">
        <x:v>Existing CapitalForge research, newly screened for this campaign</x:v>
      </x:c>
      <x:c r="AC2365" s="3" t="str">
        <x:v>unverified</x:v>
      </x:c>
      <x:c r="AD2365" s="3" t="str">
        <x:v>Not contacted / unconfirmed</x:v>
      </x:c>
      <x:c r="AE2365" s="3" t="str">
        <x:v>No</x:v>
      </x:c>
      <x:c r="AF2365" s="3" t="str">
        <x:v>No</x:v>
      </x:c>
      <x:c r="AG2365" s="3"/>
      <x:c r="AH2365" s="3"/>
      <x:c r="AI2365" s="18"/>
      <x:c r="AJ2365" s="3" t="str">
        <x:v>CF2500-1DB69D556DE3</x:v>
      </x:c>
      <x:c r="AK2365" s="3" t="str">
        <x:v>private_real_estate_lender</x:v>
      </x:c>
      <x:c r="AL2365" s="19" t="n">
        <x:v>100000</x:v>
      </x:c>
      <x:c r="AM2365" s="19" t="n">
        <x:v>500000</x:v>
      </x:c>
      <x:c r="AN2365" s="3" t="str">
        <x:v>https://www.hardmoneyhome.com/lenders/view/alpha-lending</x:v>
      </x:c>
      <x:c r="AO2365" s="3" t="str">
        <x:v>public_directory.jsonl</x:v>
      </x:c>
      <x:c r="AP2365" s="19"/>
    </x:row>
    <x:row r="2366" ht="36" customHeight="1">
      <x:c r="A2366" s="23" t="n">
        <x:v>2365</x:v>
      </x:c>
      <x:c r="B2366" s="15" t="str">
        <x:v>Alpha Tech Lending</x:v>
      </x:c>
      <x:c r="C2366" s="15"/>
      <x:c r="D2366" s="15" t="str">
        <x:v>Property lender or directory member; operating-company capital unconfirmed</x:v>
      </x:c>
      <x:c r="E2366" s="15" t="str">
        <x:v>Property lender / private-money inquiry</x:v>
      </x:c>
      <x:c r="F2366" s="17" t="str">
        <x:v>New</x:v>
      </x:c>
      <x:c r="G2366" s="24" t="str">
        <x:v>info@alphatechlending.com</x:v>
      </x:c>
      <x:c r="H2366" s="24" t="str">
        <x:v>+18882766565</x:v>
      </x:c>
      <x:c r="I2366" s="24" t="str">
        <x:v>https://www.alphatechlending.com/?utm_source=private-lender-link</x:v>
      </x:c>
      <x:c r="J2366" s="16" t="str">
        <x:v>NY</x:v>
      </x:c>
      <x:c r="K2366" s="16" t="str">
        <x:v>W Hempstead</x:v>
      </x:c>
      <x:c r="L2366" s="16" t="str">
        <x:v>firm_business_routing</x:v>
      </x:c>
      <x:c r="M2366" s="16" t="str">
        <x:v>https://www.alphatechlending.com/?utm_source=private-lender-link</x:v>
      </x:c>
      <x:c r="N2366" s="16" t="str">
        <x:v>$100K-$500K ticket not published / unconfirmed</x:v>
      </x:c>
      <x:c r="O2366" s="20"/>
      <x:c r="P2366" s="20"/>
      <x:c r="Q2366" s="25" t="str">
        <x:v>Property-loan range, not a corporate-capital commitment</x:v>
      </x:c>
      <x:c r="R2366" s="25" t="str">
        <x:v>Private real-estate finance experience. Corporate working capital, minority equity or profit participation requires a separate agreement from a property loan.</x:v>
      </x:c>
      <x:c r="S2366" s="25"/>
      <x:c r="T2366" s="25" t="str">
        <x:v>Confirm direct principal versus broker, $100K-$500K appetite, and whether capital can fund the operating company without a property mortgage.</x:v>
      </x:c>
      <x:c r="U2366" s="25" t="str">
        <x:v>https://privatelenderlink.com/profile/alpha-tech-lending/
https://nplaconference.com/private-lending-directory/
https://alphatechlending.com/</x:v>
      </x:c>
      <x:c r="V2366" s="26" t="d">
        <x:v>2026-10-02T00:00:00.000Z</x:v>
      </x:c>
      <x:c r="W2366" s="26" t="d">
        <x:v>2026-09-30T00:00:00.000Z</x:v>
      </x:c>
      <x:c r="X2366" s="25" t="str">
        <x:v>Saved public company, industry-directory or regulatory source; source date retained</x:v>
      </x:c>
      <x:c r="Y2366" s="25" t="str">
        <x:v>https://privatelenderlink.com/profile/alpha-tech-lending/</x:v>
      </x:c>
      <x:c r="Z2366" s="25" t="str">
        <x:v>https://privatelenderlink.com/profile/alpha-tech-lending/</x:v>
      </x:c>
      <x:c r="AA2366" s="25" t="str">
        <x:v>[]</x:v>
      </x:c>
      <x:c r="AB2366" s="3" t="str">
        <x:v>Existing CapitalForge research, newly screened for this campaign</x:v>
      </x:c>
      <x:c r="AC2366" s="3" t="str">
        <x:v>unverified</x:v>
      </x:c>
      <x:c r="AD2366" s="3" t="str">
        <x:v>Not contacted / unconfirmed</x:v>
      </x:c>
      <x:c r="AE2366" s="3" t="str">
        <x:v>No</x:v>
      </x:c>
      <x:c r="AF2366" s="3" t="str">
        <x:v>No</x:v>
      </x:c>
      <x:c r="AG2366" s="3"/>
      <x:c r="AH2366" s="3"/>
      <x:c r="AI2366" s="18"/>
      <x:c r="AJ2366" s="3" t="str">
        <x:v>CF2500-08FD66AB3BC8</x:v>
      </x:c>
      <x:c r="AK2366" s="3" t="str">
        <x:v>private_real_estate_lender</x:v>
      </x:c>
      <x:c r="AL2366" s="19" t="n">
        <x:v>100000</x:v>
      </x:c>
      <x:c r="AM2366" s="19" t="n">
        <x:v>500000</x:v>
      </x:c>
      <x:c r="AN2366" s="3" t="str">
        <x:v>https://privatelenderlink.com/profile/alpha-tech-lending/</x:v>
      </x:c>
      <x:c r="AO2366" s="3" t="str">
        <x:v>public_directory.jsonl</x:v>
      </x:c>
      <x:c r="AP2366" s="19"/>
    </x:row>
    <x:row r="2367" ht="36" customHeight="1">
      <x:c r="A2367" s="23" t="n">
        <x:v>2366</x:v>
      </x:c>
      <x:c r="B2367" s="15" t="str">
        <x:v>Alt Financial</x:v>
      </x:c>
      <x:c r="C2367" s="15"/>
      <x:c r="D2367" s="15" t="str">
        <x:v>Property lender or directory member; operating-company capital unconfirmed</x:v>
      </x:c>
      <x:c r="E2367" s="15" t="str">
        <x:v>Property lender / private-money inquiry</x:v>
      </x:c>
      <x:c r="F2367" s="17" t="str">
        <x:v>New</x:v>
      </x:c>
      <x:c r="G2367" s="24" t="str">
        <x:v>albert@altfn.com</x:v>
      </x:c>
      <x:c r="H2367" s="24" t="str">
        <x:v>+18009815626</x:v>
      </x:c>
      <x:c r="I2367" s="24" t="str">
        <x:v>http://www.altfn.com</x:v>
      </x:c>
      <x:c r="J2367" s="16" t="str">
        <x:v>CA</x:v>
      </x:c>
      <x:c r="K2367" s="16" t="str">
        <x:v>Irvine</x:v>
      </x:c>
      <x:c r="L2367" s="16" t="str">
        <x:v>firm_business_routing</x:v>
      </x:c>
      <x:c r="M2367" s="16" t="str">
        <x:v>http://www.altfn.com</x:v>
      </x:c>
      <x:c r="N2367" s="16" t="str">
        <x:v>$100K-$500K ticket not published / unconfirmed</x:v>
      </x:c>
      <x:c r="O2367" s="20"/>
      <x:c r="P2367" s="20"/>
      <x:c r="Q2367" s="25" t="str">
        <x:v>Property-loan range, not a corporate-capital commitment</x:v>
      </x:c>
      <x:c r="R2367" s="25" t="str">
        <x:v>Private real-estate finance experience. Corporate working capital, minority equity or profit participation requires a separate agreement from a property loan.</x:v>
      </x:c>
      <x:c r="S2367" s="25"/>
      <x:c r="T2367" s="25" t="str">
        <x:v>Confirm direct principal versus broker, $100K-$500K appetite, and whether capital can fund the operating company without a property mortgage.</x:v>
      </x:c>
      <x:c r="U2367" s="25" t="str">
        <x:v>https://www.hardmoneyhome.com/lenders/view/alt-financial
https://www.altfn.com</x:v>
      </x:c>
      <x:c r="V2367" s="26" t="d">
        <x:v>2026-10-02T00:00:00.000Z</x:v>
      </x:c>
      <x:c r="W2367" s="26" t="d">
        <x:v>2026-09-30T00:00:00.000Z</x:v>
      </x:c>
      <x:c r="X2367" s="25" t="str">
        <x:v>Saved public company, industry-directory or regulatory source; source date retained</x:v>
      </x:c>
      <x:c r="Y2367" s="25" t="str">
        <x:v>https://www.altfn.com</x:v>
      </x:c>
      <x:c r="Z2367" s="25" t="str">
        <x:v>https://www.hardmoneyhome.com/lenders/view/alt-financial</x:v>
      </x:c>
      <x:c r="AA2367" s="25" t="str">
        <x:v>[]</x:v>
      </x:c>
      <x:c r="AB2367" s="3" t="str">
        <x:v>Existing CapitalForge research, newly screened for this campaign</x:v>
      </x:c>
      <x:c r="AC2367" s="3" t="str">
        <x:v>unverified</x:v>
      </x:c>
      <x:c r="AD2367" s="3" t="str">
        <x:v>Not contacted / unconfirmed</x:v>
      </x:c>
      <x:c r="AE2367" s="3" t="str">
        <x:v>No</x:v>
      </x:c>
      <x:c r="AF2367" s="3" t="str">
        <x:v>No</x:v>
      </x:c>
      <x:c r="AG2367" s="3"/>
      <x:c r="AH2367" s="3"/>
      <x:c r="AI2367" s="18"/>
      <x:c r="AJ2367" s="3" t="str">
        <x:v>CF2500-730818A5A1E6</x:v>
      </x:c>
      <x:c r="AK2367" s="3" t="str">
        <x:v>private_real_estate_lender</x:v>
      </x:c>
      <x:c r="AL2367" s="19" t="n">
        <x:v>100000</x:v>
      </x:c>
      <x:c r="AM2367" s="19" t="n">
        <x:v>500000</x:v>
      </x:c>
      <x:c r="AN2367" s="3" t="str">
        <x:v>https://www.hardmoneyhome.com/lenders/view/alt-financial</x:v>
      </x:c>
      <x:c r="AO2367" s="3" t="str">
        <x:v>public_directory.jsonl</x:v>
      </x:c>
      <x:c r="AP2367" s="19"/>
    </x:row>
    <x:row r="2368" ht="36" customHeight="1">
      <x:c r="A2368" s="23" t="n">
        <x:v>2367</x:v>
      </x:c>
      <x:c r="B2368" s="15" t="str">
        <x:v>Alta Funding &amp; Investments</x:v>
      </x:c>
      <x:c r="C2368" s="15"/>
      <x:c r="D2368" s="15" t="str">
        <x:v>Property lender or directory member; operating-company capital unconfirmed</x:v>
      </x:c>
      <x:c r="E2368" s="15" t="str">
        <x:v>Property lender / private-money inquiry</x:v>
      </x:c>
      <x:c r="F2368" s="17" t="str">
        <x:v>New</x:v>
      </x:c>
      <x:c r="G2368" s="24" t="str">
        <x:v>toni@altainvestments.com</x:v>
      </x:c>
      <x:c r="H2368" s="24" t="str">
        <x:v>+18316887700</x:v>
      </x:c>
      <x:c r="I2368" s="24" t="str">
        <x:v>https://www.altainvestments.com/?utm_source=private-lender-link</x:v>
      </x:c>
      <x:c r="J2368" s="16" t="str">
        <x:v>CA</x:v>
      </x:c>
      <x:c r="K2368" s="16" t="str">
        <x:v>Aptos</x:v>
      </x:c>
      <x:c r="L2368" s="16" t="str">
        <x:v>firm_business_routing</x:v>
      </x:c>
      <x:c r="M2368" s="16" t="str">
        <x:v>https://www.altainvestments.com/?utm_source=private-lender-link</x:v>
      </x:c>
      <x:c r="N2368" s="16" t="str">
        <x:v>$100K-$500K ticket not published / unconfirmed</x:v>
      </x:c>
      <x:c r="O2368" s="20"/>
      <x:c r="P2368" s="20"/>
      <x:c r="Q2368" s="25" t="str">
        <x:v>Property-loan range, not a corporate-capital commitment</x:v>
      </x:c>
      <x:c r="R2368" s="25" t="str">
        <x:v>Private real-estate finance experience. Corporate working capital, minority equity or profit participation requires a separate agreement from a property loan.</x:v>
      </x:c>
      <x:c r="S2368" s="25"/>
      <x:c r="T2368" s="25" t="str">
        <x:v>Confirm direct principal versus broker, $100K-$500K appetite, and whether capital can fund the operating company without a property mortgage.</x:v>
      </x:c>
      <x:c r="U2368" s="25" t="str">
        <x:v>https://privatelenderlink.com/profile/alta-funding-investments/</x:v>
      </x:c>
      <x:c r="V2368" s="26" t="d">
        <x:v>2026-10-02T00:00:00.000Z</x:v>
      </x:c>
      <x:c r="W2368" s="26" t="d">
        <x:v>2026-09-30T00:00:00.000Z</x:v>
      </x:c>
      <x:c r="X2368" s="25" t="str">
        <x:v>Saved public company, industry-directory or regulatory source; source date retained</x:v>
      </x:c>
      <x:c r="Y2368" s="25" t="str">
        <x:v>https://privatelenderlink.com/profile/alta-funding-investments/</x:v>
      </x:c>
      <x:c r="Z2368" s="25" t="str">
        <x:v>https://privatelenderlink.com/profile/alta-funding-investments/</x:v>
      </x:c>
      <x:c r="AA2368" s="25" t="str">
        <x:v>[]</x:v>
      </x:c>
      <x:c r="AB2368" s="3" t="str">
        <x:v>Existing CapitalForge research, newly screened for this campaign</x:v>
      </x:c>
      <x:c r="AC2368" s="3" t="str">
        <x:v>unverified</x:v>
      </x:c>
      <x:c r="AD2368" s="3" t="str">
        <x:v>Not contacted / unconfirmed</x:v>
      </x:c>
      <x:c r="AE2368" s="3" t="str">
        <x:v>No</x:v>
      </x:c>
      <x:c r="AF2368" s="3" t="str">
        <x:v>No</x:v>
      </x:c>
      <x:c r="AG2368" s="3"/>
      <x:c r="AH2368" s="3"/>
      <x:c r="AI2368" s="18"/>
      <x:c r="AJ2368" s="3" t="str">
        <x:v>CF2500-7564E75155EF</x:v>
      </x:c>
      <x:c r="AK2368" s="3" t="str">
        <x:v>private_real_estate_lender</x:v>
      </x:c>
      <x:c r="AL2368" s="19" t="n">
        <x:v>100000</x:v>
      </x:c>
      <x:c r="AM2368" s="19" t="n">
        <x:v>500000</x:v>
      </x:c>
      <x:c r="AN2368" s="3" t="str">
        <x:v>https://privatelenderlink.com/profile/alta-funding-investments/</x:v>
      </x:c>
      <x:c r="AO2368" s="3" t="str">
        <x:v>public_directory.jsonl</x:v>
      </x:c>
      <x:c r="AP2368" s="19"/>
    </x:row>
    <x:row r="2369" ht="36" customHeight="1">
      <x:c r="A2369" s="23" t="n">
        <x:v>2368</x:v>
      </x:c>
      <x:c r="B2369" s="15" t="str">
        <x:v>Altaloans</x:v>
      </x:c>
      <x:c r="C2369" s="15"/>
      <x:c r="D2369" s="15" t="str">
        <x:v>Property lender or directory member; operating-company capital unconfirmed</x:v>
      </x:c>
      <x:c r="E2369" s="15" t="str">
        <x:v>Property lender / private-money inquiry</x:v>
      </x:c>
      <x:c r="F2369" s="17" t="str">
        <x:v>New</x:v>
      </x:c>
      <x:c r="G2369" s="24" t="str">
        <x:v>lenderlink@altaloans.com</x:v>
      </x:c>
      <x:c r="H2369" s="24" t="str">
        <x:v>+17868820937</x:v>
      </x:c>
      <x:c r="I2369" s="24" t="str">
        <x:v>https://altaloans.com/?utm_source=lender-link</x:v>
      </x:c>
      <x:c r="J2369" s="16" t="str">
        <x:v>Florida, Fort Myers, Gainesville, Jacksonville, Key West, Lakeland, Miami, Ocala, Orlando, Palm Bay, Palm Beach County, Pensacola, Port Charlotte, Port St. Lucie, Sarasota, Tallahassee, Tampa, Volusia County</x:v>
      </x:c>
      <x:c r="K2369" s="16" t="str">
        <x:v>Aventura</x:v>
      </x:c>
      <x:c r="L2369" s="16" t="str">
        <x:v>firm_business_routing</x:v>
      </x:c>
      <x:c r="M2369" s="16" t="str">
        <x:v>https://altaloans.com/?utm_source=lender-link</x:v>
      </x:c>
      <x:c r="N2369" s="16" t="str">
        <x:v>$100K-$500K ticket not published / unconfirmed</x:v>
      </x:c>
      <x:c r="O2369" s="20"/>
      <x:c r="P2369" s="20"/>
      <x:c r="Q2369" s="25" t="str">
        <x:v>Property-loan range, not a corporate-capital commitment</x:v>
      </x:c>
      <x:c r="R2369" s="25" t="str">
        <x:v>Private real-estate finance experience. Corporate working capital, minority equity or profit participation requires a separate agreement from a property loan.</x:v>
      </x:c>
      <x:c r="S2369" s="25"/>
      <x:c r="T2369" s="25" t="str">
        <x:v>Confirm direct principal versus broker, $100K-$500K appetite, and whether capital can fund the operating company without a property mortgage.</x:v>
      </x:c>
      <x:c r="U2369" s="25" t="str">
        <x:v>https://privatelenderlink.com/profile/altaloans/</x:v>
      </x:c>
      <x:c r="V2369" s="26" t="d">
        <x:v>2026-10-02T00:00:00.000Z</x:v>
      </x:c>
      <x:c r="W2369" s="26" t="d">
        <x:v>2026-09-30T00:00:00.000Z</x:v>
      </x:c>
      <x:c r="X2369" s="25" t="str">
        <x:v>Saved public company, industry-directory or regulatory source; source date retained</x:v>
      </x:c>
      <x:c r="Y2369" s="25" t="str">
        <x:v>https://privatelenderlink.com/profile/altaloans/</x:v>
      </x:c>
      <x:c r="Z2369" s="25" t="str">
        <x:v>https://privatelenderlink.com/profile/altaloans/</x:v>
      </x:c>
      <x:c r="AA2369" s="25" t="str">
        <x:v>[]</x:v>
      </x:c>
      <x:c r="AB2369" s="3" t="str">
        <x:v>Existing CapitalForge research, newly screened for this campaign</x:v>
      </x:c>
      <x:c r="AC2369" s="3" t="str">
        <x:v>unverified</x:v>
      </x:c>
      <x:c r="AD2369" s="3" t="str">
        <x:v>Not contacted / unconfirmed</x:v>
      </x:c>
      <x:c r="AE2369" s="3" t="str">
        <x:v>No</x:v>
      </x:c>
      <x:c r="AF2369" s="3" t="str">
        <x:v>No</x:v>
      </x:c>
      <x:c r="AG2369" s="3"/>
      <x:c r="AH2369" s="3"/>
      <x:c r="AI2369" s="18"/>
      <x:c r="AJ2369" s="3" t="str">
        <x:v>CF2500-9E98E1856820</x:v>
      </x:c>
      <x:c r="AK2369" s="3" t="str">
        <x:v>private_real_estate_lender</x:v>
      </x:c>
      <x:c r="AL2369" s="19" t="n">
        <x:v>100000</x:v>
      </x:c>
      <x:c r="AM2369" s="19" t="n">
        <x:v>500000</x:v>
      </x:c>
      <x:c r="AN2369" s="3" t="str">
        <x:v>https://privatelenderlink.com/profile/altaloans/</x:v>
      </x:c>
      <x:c r="AO2369" s="3" t="str">
        <x:v>public_directory.jsonl</x:v>
      </x:c>
      <x:c r="AP2369" s="19"/>
    </x:row>
    <x:row r="2370" ht="36" customHeight="1">
      <x:c r="A2370" s="23" t="n">
        <x:v>2369</x:v>
      </x:c>
      <x:c r="B2370" s="15" t="str">
        <x:v>ALTUS EQUITY</x:v>
      </x:c>
      <x:c r="C2370" s="15"/>
      <x:c r="D2370" s="15" t="str">
        <x:v>Property lender or directory member; operating-company capital unconfirmed</x:v>
      </x:c>
      <x:c r="E2370" s="15" t="str">
        <x:v>Property lender / private-money inquiry</x:v>
      </x:c>
      <x:c r="F2370" s="17" t="str">
        <x:v>New</x:v>
      </x:c>
      <x:c r="G2370" s="24" t="str">
        <x:v>info@altusequity.com</x:v>
      </x:c>
      <x:c r="H2370" s="24" t="str">
        <x:v>+17079325887</x:v>
      </x:c>
      <x:c r="I2370" s="24" t="str">
        <x:v>https://www.altusequity.com/</x:v>
      </x:c>
      <x:c r="J2370" s="16" t="str">
        <x:v>CA</x:v>
      </x:c>
      <x:c r="K2370" s="16" t="str">
        <x:v>Rohnert Park</x:v>
      </x:c>
      <x:c r="L2370" s="16" t="str">
        <x:v>firm_business_routing</x:v>
      </x:c>
      <x:c r="M2370" s="16" t="str">
        <x:v>https://www.altusequity.com/</x:v>
      </x:c>
      <x:c r="N2370" s="16" t="str">
        <x:v>$100K-$500K ticket not published / unconfirmed</x:v>
      </x:c>
      <x:c r="O2370" s="20"/>
      <x:c r="P2370" s="20"/>
      <x:c r="Q2370" s="25" t="str">
        <x:v>Property-loan range, not a corporate-capital commitment</x:v>
      </x:c>
      <x:c r="R2370" s="25" t="str">
        <x:v>Private real-estate finance experience. Corporate working capital, minority equity or profit participation requires a separate agreement from a property loan.</x:v>
      </x:c>
      <x:c r="S2370" s="25"/>
      <x:c r="T2370" s="25" t="str">
        <x:v>Confirm direct principal versus broker, $100K-$500K appetite, and whether capital can fund the operating company without a property mortgage.</x:v>
      </x:c>
      <x:c r="U2370" s="25" t="str">
        <x:v>https://www.privatelendersdirectory.com/united-states/rohnert-park/top-level-category/altus-equity
https://www.altusequity.com/</x:v>
      </x:c>
      <x:c r="V2370" s="26" t="d">
        <x:v>2026-10-02T00:00:00.000Z</x:v>
      </x:c>
      <x:c r="W2370" s="26" t="d">
        <x:v>2026-09-30T00:00:00.000Z</x:v>
      </x:c>
      <x:c r="X2370" s="25" t="str">
        <x:v>Saved public company, industry-directory or regulatory source; source date retained</x:v>
      </x:c>
      <x:c r="Y2370" s="25" t="str">
        <x:v>https://www.altusequity.com/</x:v>
      </x:c>
      <x:c r="Z2370" s="25" t="str">
        <x:v>https://www.altusequity.com/</x:v>
      </x:c>
      <x:c r="AA2370" s="25" t="str">
        <x:v>[]</x:v>
      </x:c>
      <x:c r="AB2370" s="3" t="str">
        <x:v>Existing CapitalForge research, newly screened for this campaign</x:v>
      </x:c>
      <x:c r="AC2370" s="3" t="str">
        <x:v>unverified</x:v>
      </x:c>
      <x:c r="AD2370" s="3" t="str">
        <x:v>Not contacted / unconfirmed</x:v>
      </x:c>
      <x:c r="AE2370" s="3" t="str">
        <x:v>No</x:v>
      </x:c>
      <x:c r="AF2370" s="3" t="str">
        <x:v>No</x:v>
      </x:c>
      <x:c r="AG2370" s="3"/>
      <x:c r="AH2370" s="3"/>
      <x:c r="AI2370" s="18"/>
      <x:c r="AJ2370" s="3" t="str">
        <x:v>CF2500-B50E150F9BD3</x:v>
      </x:c>
      <x:c r="AK2370" s="3" t="str">
        <x:v>private_real_estate_lender</x:v>
      </x:c>
      <x:c r="AL2370" s="19" t="n">
        <x:v>100000</x:v>
      </x:c>
      <x:c r="AM2370" s="19" t="n">
        <x:v>500000</x:v>
      </x:c>
      <x:c r="AN2370" s="3" t="str">
        <x:v>https://www.privatelendersdirectory.com/united-states/rohnert-park/top-level-category/altus-equity</x:v>
      </x:c>
      <x:c r="AO2370" s="3" t="str">
        <x:v>public_directory.jsonl</x:v>
      </x:c>
      <x:c r="AP2370" s="19"/>
    </x:row>
    <x:row r="2371" ht="36" customHeight="1">
      <x:c r="A2371" s="23" t="n">
        <x:v>2370</x:v>
      </x:c>
      <x:c r="B2371" s="15" t="str">
        <x:v>American Commercial Lending</x:v>
      </x:c>
      <x:c r="C2371" s="15" t="str">
        <x:v>American Commercial Lending</x:v>
      </x:c>
      <x:c r="D2371" s="15" t="str">
        <x:v>Property lender or directory member; operating-company capital unconfirmed</x:v>
      </x:c>
      <x:c r="E2371" s="15" t="str">
        <x:v>Property lender / private-money inquiry</x:v>
      </x:c>
      <x:c r="F2371" s="17" t="str">
        <x:v>New</x:v>
      </x:c>
      <x:c r="G2371" s="24" t="str">
        <x:v>info@americancommerciallending.com</x:v>
      </x:c>
      <x:c r="H2371" s="24" t="str">
        <x:v>+12155748810</x:v>
      </x:c>
      <x:c r="I2371" s="24" t="str">
        <x:v>https://americancommerciallending.com/</x:v>
      </x:c>
      <x:c r="J2371" s="16"/>
      <x:c r="K2371" s="16"/>
      <x:c r="L2371" s="16" t="str">
        <x:v>published_professional_contact_directness_unconfirmed</x:v>
      </x:c>
      <x:c r="M2371" s="16" t="str">
        <x:v>https://americancommerciallending.com/</x:v>
      </x:c>
      <x:c r="N2371" s="16" t="str">
        <x:v>$100K-$500K ticket not published / unconfirmed</x:v>
      </x:c>
      <x:c r="O2371" s="20"/>
      <x:c r="P2371" s="20"/>
      <x:c r="Q2371" s="25" t="str">
        <x:v>Property-loan range, not a corporate-capital commitment</x:v>
      </x:c>
      <x:c r="R2371" s="25" t="str">
        <x:v>Private real-estate finance experience. Corporate working capital, minority equity or profit participation requires a separate agreement from a property loan.</x:v>
      </x:c>
      <x:c r="S2371" s="25"/>
      <x:c r="T2371" s="25" t="str">
        <x:v>Confirm direct principal versus broker, $100K-$500K appetite, and whether capital can fund the operating company without a property mortgage.</x:v>
      </x:c>
      <x:c r="U2371" s="25" t="str">
        <x:v>https://nplaconference.com/private-lending-directory/
https://americancommerciallending.com/</x:v>
      </x:c>
      <x:c r="V2371" s="26" t="d">
        <x:v>2026-10-02T00:00:00.000Z</x:v>
      </x:c>
      <x:c r="W2371" s="26" t="d">
        <x:v>2026-09-30T00:00:00.000Z</x:v>
      </x:c>
      <x:c r="X2371" s="25" t="str">
        <x:v>Saved public company, industry-directory or regulatory source; source date retained</x:v>
      </x:c>
      <x:c r="Y2371" s="25" t="str">
        <x:v>https://americancommerciallending.com/</x:v>
      </x:c>
      <x:c r="Z2371" s="25" t="str">
        <x:v>https://americancommerciallending.com/</x:v>
      </x:c>
      <x:c r="AA2371" s="25" t="str">
        <x:v>[]</x:v>
      </x:c>
      <x:c r="AB2371" s="3" t="str">
        <x:v>Existing CapitalForge research, newly screened for this campaign</x:v>
      </x:c>
      <x:c r="AC2371" s="3" t="str">
        <x:v>unverified</x:v>
      </x:c>
      <x:c r="AD2371" s="3" t="str">
        <x:v>Not contacted / unconfirmed</x:v>
      </x:c>
      <x:c r="AE2371" s="3" t="str">
        <x:v>No</x:v>
      </x:c>
      <x:c r="AF2371" s="3" t="str">
        <x:v>No</x:v>
      </x:c>
      <x:c r="AG2371" s="3"/>
      <x:c r="AH2371" s="3"/>
      <x:c r="AI2371" s="18"/>
      <x:c r="AJ2371" s="3" t="str">
        <x:v>CF2500-700EE0A1F863</x:v>
      </x:c>
      <x:c r="AK2371" s="3" t="str">
        <x:v>property_secured_lender</x:v>
      </x:c>
      <x:c r="AL2371" s="19" t="n">
        <x:v>100000</x:v>
      </x:c>
      <x:c r="AM2371" s="19" t="n">
        <x:v>500000</x:v>
      </x:c>
      <x:c r="AN2371" s="3" t="str">
        <x:v>https://nplaconference.com/private-lending-directory/</x:v>
      </x:c>
      <x:c r="AO2371" s="3" t="str">
        <x:v>public_directory.jsonl</x:v>
      </x:c>
      <x:c r="AP2371" s="19"/>
    </x:row>
    <x:row r="2372" ht="36" customHeight="1">
      <x:c r="A2372" s="23" t="n">
        <x:v>2371</x:v>
      </x:c>
      <x:c r="B2372" s="15" t="str">
        <x:v>AMERICAN FINANCIAL LENDING</x:v>
      </x:c>
      <x:c r="C2372" s="15"/>
      <x:c r="D2372" s="15" t="str">
        <x:v>Property lender or directory member; operating-company capital unconfirmed</x:v>
      </x:c>
      <x:c r="E2372" s="15" t="str">
        <x:v>Property lender / private-money inquiry</x:v>
      </x:c>
      <x:c r="F2372" s="17" t="str">
        <x:v>New</x:v>
      </x:c>
      <x:c r="G2372" s="24" t="str">
        <x:v>info@afloans.mortgage</x:v>
      </x:c>
      <x:c r="H2372" s="24" t="str">
        <x:v>+18052030991</x:v>
      </x:c>
      <x:c r="I2372" s="24" t="str">
        <x:v>https://afloans.mortgage/</x:v>
      </x:c>
      <x:c r="J2372" s="16" t="str">
        <x:v>CA</x:v>
      </x:c>
      <x:c r="K2372" s="16" t="str">
        <x:v>Camarillo</x:v>
      </x:c>
      <x:c r="L2372" s="16" t="str">
        <x:v>firm_business_routing</x:v>
      </x:c>
      <x:c r="M2372" s="16" t="str">
        <x:v>https://afloans.mortgage/</x:v>
      </x:c>
      <x:c r="N2372" s="16" t="str">
        <x:v>$100K-$500K ticket not published / unconfirmed</x:v>
      </x:c>
      <x:c r="O2372" s="20"/>
      <x:c r="P2372" s="20"/>
      <x:c r="Q2372" s="25" t="str">
        <x:v>Property-loan range, not a corporate-capital commitment</x:v>
      </x:c>
      <x:c r="R2372" s="25" t="str">
        <x:v>Private real-estate finance experience. Corporate working capital, minority equity or profit participation requires a separate agreement from a property loan.</x:v>
      </x:c>
      <x:c r="S2372" s="25"/>
      <x:c r="T2372" s="25" t="str">
        <x:v>Confirm direct principal versus broker, $100K-$500K appetite, and whether capital can fund the operating company without a property mortgage.</x:v>
      </x:c>
      <x:c r="U2372" s="25" t="str">
        <x:v>https://www.privatelendersdirectory.com/united-states/camarillo/top-level-category/american-financial-lending
https://afloans.mortgage/</x:v>
      </x:c>
      <x:c r="V2372" s="26" t="d">
        <x:v>2026-10-02T00:00:00.000Z</x:v>
      </x:c>
      <x:c r="W2372" s="26" t="d">
        <x:v>2026-09-30T00:00:00.000Z</x:v>
      </x:c>
      <x:c r="X2372" s="25" t="str">
        <x:v>Saved public company, industry-directory or regulatory source; source date retained</x:v>
      </x:c>
      <x:c r="Y2372" s="25" t="str">
        <x:v>https://afloans.mortgage/</x:v>
      </x:c>
      <x:c r="Z2372" s="25" t="str">
        <x:v>https://afloans.mortgage/</x:v>
      </x:c>
      <x:c r="AA2372" s="25" t="str">
        <x:v>[]</x:v>
      </x:c>
      <x:c r="AB2372" s="3" t="str">
        <x:v>Existing CapitalForge research, newly screened for this campaign</x:v>
      </x:c>
      <x:c r="AC2372" s="3" t="str">
        <x:v>unverified</x:v>
      </x:c>
      <x:c r="AD2372" s="3" t="str">
        <x:v>Not contacted / unconfirmed</x:v>
      </x:c>
      <x:c r="AE2372" s="3" t="str">
        <x:v>No</x:v>
      </x:c>
      <x:c r="AF2372" s="3" t="str">
        <x:v>No</x:v>
      </x:c>
      <x:c r="AG2372" s="3"/>
      <x:c r="AH2372" s="3"/>
      <x:c r="AI2372" s="18"/>
      <x:c r="AJ2372" s="3" t="str">
        <x:v>CF2500-F1E03EE82F68</x:v>
      </x:c>
      <x:c r="AK2372" s="3" t="str">
        <x:v>private_real_estate_lender</x:v>
      </x:c>
      <x:c r="AL2372" s="19" t="n">
        <x:v>100000</x:v>
      </x:c>
      <x:c r="AM2372" s="19" t="n">
        <x:v>500000</x:v>
      </x:c>
      <x:c r="AN2372" s="3" t="str">
        <x:v>https://www.privatelendersdirectory.com/united-states/camarillo/top-level-category/american-financial-lending</x:v>
      </x:c>
      <x:c r="AO2372" s="3" t="str">
        <x:v>public_directory.jsonl</x:v>
      </x:c>
      <x:c r="AP2372" s="19"/>
    </x:row>
    <x:row r="2373" ht="36" customHeight="1">
      <x:c r="A2373" s="23" t="n">
        <x:v>2372</x:v>
      </x:c>
      <x:c r="B2373" s="15" t="str">
        <x:v>American Heritage Lending</x:v>
      </x:c>
      <x:c r="C2373" s="15"/>
      <x:c r="D2373" s="15" t="str">
        <x:v>Property lender or directory member; operating-company capital unconfirmed</x:v>
      </x:c>
      <x:c r="E2373" s="15" t="str">
        <x:v>Property lender / private-money inquiry</x:v>
      </x:c>
      <x:c r="F2373" s="17" t="str">
        <x:v>New</x:v>
      </x:c>
      <x:c r="G2373" s="24" t="str">
        <x:v>dave@ahlend.com</x:v>
      </x:c>
      <x:c r="H2373" s="24" t="str">
        <x:v>+17148825345</x:v>
      </x:c>
      <x:c r="I2373" s="24" t="str">
        <x:v>https://www.ahlend.com/?utm_source=private-lender-link</x:v>
      </x:c>
      <x:c r="J2373" s="16" t="str">
        <x:v>Alabama, Birmingham, Huntsville, Mobile, Montgomery, Alaska, Arizona, Apache County, Cochise County, Coconino County, Gila County, Graham County, La Paz County, Maricopa County, Mohave County, Navajo County, Pima County, Pinal County, Yavapai County, Yuma County, Arkansas, California, Bakersfield, Central Coast, Central Valley, Desert Region, Far North, Fresno, Lake Tahoe, Los Angeles, Monterey Bay, North Coast, Orange County, Riverside County, Sacramento, San Bernardino County, San Diego, Santa Barbara, SF Bay Area, Sierra Nevada, Ventura, Colorado, Denver, High Country, Western Slope, Connecticut, Fairfield County, Hartford, New Haven, New London, Delaware, Florida, Fort Myers, Gainesville, Jacksonville, Key West, Lakeland, Miami, Ocala, Orlando, Palm Bay, Palm Beach County, Pensacola, Port Charlotte, Port St. Lucie, Sarasota, Tallahassee, Tampa, Volusia County, Georgia, Albany, Athens, Atlanta, Augusta, Columbus, Dalton, Macon, Rome, Savannah, Valdosta, Hawaii, Illinois, Chicago, Peoria, Rockford, Indiana, Evansville, Fort Wayne, Indianapolis, Jeffersonville, Kokomo, Lafayette, Lake and Porter County, South Bend, Terre Haute, Iowa, Kansas, Kentucky, Louisiana, Maine, Maryland, Annapolis, Baltimore, Frederick, Hagerstown, Montgomery County, Massachusetts, Boston, Bristol County, Cape Cod, Plymouth County, Western Mass, Worcester, Michigan, Mississippi, Missouri, Columbia, Joplin, Kansas City, Springfield, St Louis, St. Joseph, Montana, Billings, Bozeman, Great Falls, Kalispell, Missoula, Nebraska, New Hampshire, New Jersey, Atlantic City, Camden, Newark, New Mexico, New York, Buffalo, New York City, Rochester, North Carolina, Asheville, Charlotte, Fayetteville, Greensboro, Greenville, Hickory, New Bern, Raleigh, Rocky Mount, Sanford, Wilmington, Wilson, Winston-Salem, Ohio, Oklahoma, Oregon, Bend, Corvallis, Eugene, Grants Pass, Klamath Falls, Medford, Portland, Salem, Pennsylvania, Allentown, Harrisburg, Philadelphia, Pittsburgh, Rhode Island, South Carolina, Augusta-Richmond County, Charleston, Florence, Hilton Head Island, Myrtle Beach, Sumter, York County, Tennessee, Chattanooga, Clarksville, Gatlinburg, Knoxville, Memphis, Nashville, Texas, Austin, Beaumont, Corpus Christi, Dallas, El Paso, Houston, Laredo, Rio Grande Valley, San Antonio, Waco, Utah, Cache County, Iron County, Salt Lake City, St. George, Virginia, Charlottesville, Danville, Fredericksburg, Harrisonburg, Lynchburg, NOVA, Richmond, Roanoke, Virginia Beach, Winchester, Washington, Cascades, Columbia Basin, Seattle, Spokane, Vancouver, Washington DC, West Virginia, Wisconsin, Wyoming</x:v>
      </x:c>
      <x:c r="K2373" s="16" t="str">
        <x:v>Irvine</x:v>
      </x:c>
      <x:c r="L2373" s="16" t="str">
        <x:v>firm_business_routing</x:v>
      </x:c>
      <x:c r="M2373" s="16" t="str">
        <x:v>https://www.ahlend.com/?utm_source=private-lender-link</x:v>
      </x:c>
      <x:c r="N2373" s="16" t="str">
        <x:v>$100K-$500K ticket not published / unconfirmed</x:v>
      </x:c>
      <x:c r="O2373" s="20"/>
      <x:c r="P2373" s="20"/>
      <x:c r="Q2373" s="25" t="str">
        <x:v>Property-loan range, not a corporate-capital commitment</x:v>
      </x:c>
      <x:c r="R2373" s="25" t="str">
        <x:v>Private real-estate finance experience. Corporate working capital, minority equity or profit participation requires a separate agreement from a property loan.</x:v>
      </x:c>
      <x:c r="S2373" s="25"/>
      <x:c r="T2373" s="25" t="str">
        <x:v>Confirm direct principal versus broker, $100K-$500K appetite, and whether capital can fund the operating company without a property mortgage.</x:v>
      </x:c>
      <x:c r="U2373" s="25" t="str">
        <x:v>https://privatelenderlink.com/profile/american-heritage-lending/</x:v>
      </x:c>
      <x:c r="V2373" s="26" t="d">
        <x:v>2026-10-02T00:00:00.000Z</x:v>
      </x:c>
      <x:c r="W2373" s="26" t="d">
        <x:v>2026-09-30T00:00:00.000Z</x:v>
      </x:c>
      <x:c r="X2373" s="25" t="str">
        <x:v>Saved public company, industry-directory or regulatory source; source date retained</x:v>
      </x:c>
      <x:c r="Y2373" s="25" t="str">
        <x:v>https://privatelenderlink.com/profile/american-heritage-lending/</x:v>
      </x:c>
      <x:c r="Z2373" s="25" t="str">
        <x:v>https://privatelenderlink.com/profile/american-heritage-lending/</x:v>
      </x:c>
      <x:c r="AA2373" s="25" t="str">
        <x:v>[]</x:v>
      </x:c>
      <x:c r="AB2373" s="3" t="str">
        <x:v>Existing CapitalForge research, newly screened for this campaign</x:v>
      </x:c>
      <x:c r="AC2373" s="3" t="str">
        <x:v>unverified</x:v>
      </x:c>
      <x:c r="AD2373" s="3" t="str">
        <x:v>Not contacted / unconfirmed</x:v>
      </x:c>
      <x:c r="AE2373" s="3" t="str">
        <x:v>No</x:v>
      </x:c>
      <x:c r="AF2373" s="3" t="str">
        <x:v>No</x:v>
      </x:c>
      <x:c r="AG2373" s="3"/>
      <x:c r="AH2373" s="3"/>
      <x:c r="AI2373" s="18"/>
      <x:c r="AJ2373" s="3" t="str">
        <x:v>CF2500-7E7B40811CB2</x:v>
      </x:c>
      <x:c r="AK2373" s="3" t="str">
        <x:v>private_real_estate_lender</x:v>
      </x:c>
      <x:c r="AL2373" s="19" t="n">
        <x:v>100000</x:v>
      </x:c>
      <x:c r="AM2373" s="19" t="n">
        <x:v>500000</x:v>
      </x:c>
      <x:c r="AN2373" s="3" t="str">
        <x:v>https://privatelenderlink.com/profile/american-heritage-lending/</x:v>
      </x:c>
      <x:c r="AO2373" s="3" t="str">
        <x:v>public_directory.jsonl</x:v>
      </x:c>
      <x:c r="AP2373" s="19"/>
    </x:row>
    <x:row r="2374" ht="36" customHeight="1">
      <x:c r="A2374" s="23" t="n">
        <x:v>2373</x:v>
      </x:c>
      <x:c r="B2374" s="15" t="str">
        <x:v>American Land and Capital</x:v>
      </x:c>
      <x:c r="C2374" s="15"/>
      <x:c r="D2374" s="15" t="str">
        <x:v>Property lender or directory member; operating-company capital unconfirmed</x:v>
      </x:c>
      <x:c r="E2374" s="15" t="str">
        <x:v>Property lender / private-money inquiry</x:v>
      </x:c>
      <x:c r="F2374" s="17" t="str">
        <x:v>New</x:v>
      </x:c>
      <x:c r="G2374" s="24" t="str">
        <x:v>info@americanlandandcapital.com</x:v>
      </x:c>
      <x:c r="H2374" s="24" t="str">
        <x:v>+16512896400</x:v>
      </x:c>
      <x:c r="I2374" s="24" t="str">
        <x:v>https://americanlandandcapital.com</x:v>
      </x:c>
      <x:c r="J2374" s="16" t="str">
        <x:v>MN</x:v>
      </x:c>
      <x:c r="K2374" s="16" t="str">
        <x:v>Lakeville</x:v>
      </x:c>
      <x:c r="L2374" s="16" t="str">
        <x:v>firm_business_routing</x:v>
      </x:c>
      <x:c r="M2374" s="16" t="str">
        <x:v>https://americanlandandcapital.com</x:v>
      </x:c>
      <x:c r="N2374" s="16" t="str">
        <x:v>$100K-$500K ticket not published / unconfirmed</x:v>
      </x:c>
      <x:c r="O2374" s="20"/>
      <x:c r="P2374" s="20"/>
      <x:c r="Q2374" s="25" t="str">
        <x:v>Property-loan range, not a corporate-capital commitment</x:v>
      </x:c>
      <x:c r="R2374" s="25" t="str">
        <x:v>Private real-estate finance experience. Corporate working capital, minority equity or profit participation requires a separate agreement from a property loan.</x:v>
      </x:c>
      <x:c r="S2374" s="25"/>
      <x:c r="T2374" s="25" t="str">
        <x:v>Confirm direct principal versus broker, $100K-$500K appetite, and whether capital can fund the operating company without a property mortgage.</x:v>
      </x:c>
      <x:c r="U2374" s="25" t="str">
        <x:v>https://www.hardmoneyhome.com/lenders/view/american-land-and-capital
https://privatelenderlink.com/profile/american-land-and-capital/</x:v>
      </x:c>
      <x:c r="V2374" s="26" t="d">
        <x:v>2026-10-02T00:00:00.000Z</x:v>
      </x:c>
      <x:c r="W2374" s="26" t="d">
        <x:v>2026-09-30T00:00:00.000Z</x:v>
      </x:c>
      <x:c r="X2374" s="25" t="str">
        <x:v>Saved public company, industry-directory or regulatory source; source date retained</x:v>
      </x:c>
      <x:c r="Y2374" s="25" t="str">
        <x:v>https://privatelenderlink.com/profile/american-land-and-capital/</x:v>
      </x:c>
      <x:c r="Z2374" s="25" t="str">
        <x:v>https://www.hardmoneyhome.com/lenders/view/american-land-and-capital</x:v>
      </x:c>
      <x:c r="AA2374" s="25" t="str">
        <x:v>[]</x:v>
      </x:c>
      <x:c r="AB2374" s="3" t="str">
        <x:v>Existing CapitalForge research, newly screened for this campaign</x:v>
      </x:c>
      <x:c r="AC2374" s="3" t="str">
        <x:v>unverified</x:v>
      </x:c>
      <x:c r="AD2374" s="3" t="str">
        <x:v>Not contacted / unconfirmed</x:v>
      </x:c>
      <x:c r="AE2374" s="3" t="str">
        <x:v>No</x:v>
      </x:c>
      <x:c r="AF2374" s="3" t="str">
        <x:v>No</x:v>
      </x:c>
      <x:c r="AG2374" s="3"/>
      <x:c r="AH2374" s="3"/>
      <x:c r="AI2374" s="18"/>
      <x:c r="AJ2374" s="3" t="str">
        <x:v>CF2500-490A473D4281</x:v>
      </x:c>
      <x:c r="AK2374" s="3" t="str">
        <x:v>private_real_estate_lender</x:v>
      </x:c>
      <x:c r="AL2374" s="19" t="n">
        <x:v>100000</x:v>
      </x:c>
      <x:c r="AM2374" s="19" t="n">
        <x:v>500000</x:v>
      </x:c>
      <x:c r="AN2374" s="3" t="str">
        <x:v>https://www.hardmoneyhome.com/lenders/view/american-land-and-capital</x:v>
      </x:c>
      <x:c r="AO2374" s="3" t="str">
        <x:v>public_directory.jsonl</x:v>
      </x:c>
      <x:c r="AP2374" s="19"/>
    </x:row>
    <x:row r="2375" ht="36" customHeight="1">
      <x:c r="A2375" s="23" t="n">
        <x:v>2374</x:v>
      </x:c>
      <x:c r="B2375" s="15" t="str">
        <x:v>AMERICAN LENDING CENTER</x:v>
      </x:c>
      <x:c r="C2375" s="15"/>
      <x:c r="D2375" s="15" t="str">
        <x:v>Property lender or directory member; operating-company capital unconfirmed</x:v>
      </x:c>
      <x:c r="E2375" s="15" t="str">
        <x:v>Property lender / private-money inquiry</x:v>
      </x:c>
      <x:c r="F2375" s="17" t="str">
        <x:v>New</x:v>
      </x:c>
      <x:c r="G2375" s="24" t="str">
        <x:v>info2@americanlendingcenter.com</x:v>
      </x:c>
      <x:c r="H2375" s="24" t="str">
        <x:v>+15624490139</x:v>
      </x:c>
      <x:c r="I2375" s="24" t="str">
        <x:v>https://americanlendingcenter.com/</x:v>
      </x:c>
      <x:c r="J2375" s="16" t="str">
        <x:v>CA</x:v>
      </x:c>
      <x:c r="K2375" s="16" t="str">
        <x:v>Irvine</x:v>
      </x:c>
      <x:c r="L2375" s="16" t="str">
        <x:v>firm_business_routing</x:v>
      </x:c>
      <x:c r="M2375" s="16" t="str">
        <x:v>https://americanlendingcenter.com/</x:v>
      </x:c>
      <x:c r="N2375" s="16" t="str">
        <x:v>$100K-$500K ticket not published / unconfirmed</x:v>
      </x:c>
      <x:c r="O2375" s="20"/>
      <x:c r="P2375" s="20"/>
      <x:c r="Q2375" s="25" t="str">
        <x:v>Property-loan range, not a corporate-capital commitment</x:v>
      </x:c>
      <x:c r="R2375" s="25" t="str">
        <x:v>Private real-estate finance experience. Corporate working capital, minority equity or profit participation requires a separate agreement from a property loan.</x:v>
      </x:c>
      <x:c r="S2375" s="25"/>
      <x:c r="T2375" s="25" t="str">
        <x:v>Confirm direct principal versus broker, $100K-$500K appetite, and whether capital can fund the operating company without a property mortgage.</x:v>
      </x:c>
      <x:c r="U2375" s="25" t="str">
        <x:v>https://www.privatelendersdirectory.com/united-states/irvine/top-level-category/american-lending-center
https://americanlendingcenter.com/</x:v>
      </x:c>
      <x:c r="V2375" s="26" t="d">
        <x:v>2026-10-02T00:00:00.000Z</x:v>
      </x:c>
      <x:c r="W2375" s="26" t="d">
        <x:v>2026-09-30T00:00:00.000Z</x:v>
      </x:c>
      <x:c r="X2375" s="25" t="str">
        <x:v>Saved public company, industry-directory or regulatory source; source date retained</x:v>
      </x:c>
      <x:c r="Y2375" s="25" t="str">
        <x:v>https://americanlendingcenter.com/</x:v>
      </x:c>
      <x:c r="Z2375" s="25" t="str">
        <x:v>https://americanlendingcenter.com/</x:v>
      </x:c>
      <x:c r="AA2375" s="25" t="str">
        <x:v>[]</x:v>
      </x:c>
      <x:c r="AB2375" s="3" t="str">
        <x:v>Existing CapitalForge research, newly screened for this campaign</x:v>
      </x:c>
      <x:c r="AC2375" s="3" t="str">
        <x:v>unverified</x:v>
      </x:c>
      <x:c r="AD2375" s="3" t="str">
        <x:v>Not contacted / unconfirmed</x:v>
      </x:c>
      <x:c r="AE2375" s="3" t="str">
        <x:v>No</x:v>
      </x:c>
      <x:c r="AF2375" s="3" t="str">
        <x:v>No</x:v>
      </x:c>
      <x:c r="AG2375" s="3"/>
      <x:c r="AH2375" s="3"/>
      <x:c r="AI2375" s="18"/>
      <x:c r="AJ2375" s="3" t="str">
        <x:v>CF2500-B5831D6FBA1F</x:v>
      </x:c>
      <x:c r="AK2375" s="3" t="str">
        <x:v>private_real_estate_lender</x:v>
      </x:c>
      <x:c r="AL2375" s="19" t="n">
        <x:v>100000</x:v>
      </x:c>
      <x:c r="AM2375" s="19" t="n">
        <x:v>500000</x:v>
      </x:c>
      <x:c r="AN2375" s="3" t="str">
        <x:v>https://www.privatelendersdirectory.com/united-states/irvine/top-level-category/american-lending-center</x:v>
      </x:c>
      <x:c r="AO2375" s="3" t="str">
        <x:v>public_directory.jsonl</x:v>
      </x:c>
      <x:c r="AP2375" s="19"/>
    </x:row>
    <x:row r="2376" ht="36" customHeight="1">
      <x:c r="A2376" s="23" t="n">
        <x:v>2375</x:v>
      </x:c>
      <x:c r="B2376" s="15" t="str">
        <x:v>AmeriCommercial Capital</x:v>
      </x:c>
      <x:c r="C2376" s="15"/>
      <x:c r="D2376" s="15" t="str">
        <x:v>Property lender or directory member; operating-company capital unconfirmed</x:v>
      </x:c>
      <x:c r="E2376" s="15" t="str">
        <x:v>Property lender / private-money inquiry</x:v>
      </x:c>
      <x:c r="F2376" s="17" t="str">
        <x:v>New</x:v>
      </x:c>
      <x:c r="G2376" s="24" t="str">
        <x:v>rcook@americommercialcapital.com</x:v>
      </x:c>
      <x:c r="H2376" s="24" t="str">
        <x:v>+15135245111</x:v>
      </x:c>
      <x:c r="I2376" s="24" t="str">
        <x:v>http://www.americommercialcapital.com</x:v>
      </x:c>
      <x:c r="J2376" s="16" t="str">
        <x:v>OH</x:v>
      </x:c>
      <x:c r="K2376" s="16" t="str">
        <x:v>Oxford</x:v>
      </x:c>
      <x:c r="L2376" s="16" t="str">
        <x:v>firm_business_routing</x:v>
      </x:c>
      <x:c r="M2376" s="16" t="str">
        <x:v>http://www.americommercialcapital.com</x:v>
      </x:c>
      <x:c r="N2376" s="16" t="str">
        <x:v>$100K-$500K ticket not published / unconfirmed</x:v>
      </x:c>
      <x:c r="O2376" s="20"/>
      <x:c r="P2376" s="20"/>
      <x:c r="Q2376" s="25" t="str">
        <x:v>Property-loan range, not a corporate-capital commitment</x:v>
      </x:c>
      <x:c r="R2376" s="25" t="str">
        <x:v>Private real-estate finance experience. Corporate working capital, minority equity or profit participation requires a separate agreement from a property loan.</x:v>
      </x:c>
      <x:c r="S2376" s="25"/>
      <x:c r="T2376" s="25" t="str">
        <x:v>Confirm direct principal versus broker, $100K-$500K appetite, and whether capital can fund the operating company without a property mortgage.</x:v>
      </x:c>
      <x:c r="U2376" s="25" t="str">
        <x:v>https://www.hardmoneyhome.com/lenders/view/americommercial-capital
https://www.americommercialcapital.com/contact-us
https://www.privatelendersdirectory.com/ohio/oxford/top-level-category/americommercial-capital</x:v>
      </x:c>
      <x:c r="V2376" s="26" t="d">
        <x:v>2026-10-02T00:00:00.000Z</x:v>
      </x:c>
      <x:c r="W2376" s="26" t="d">
        <x:v>2026-09-30T00:00:00.000Z</x:v>
      </x:c>
      <x:c r="X2376" s="25" t="str">
        <x:v>Saved public company, industry-directory or regulatory source; source date retained</x:v>
      </x:c>
      <x:c r="Y2376" s="25" t="str">
        <x:v>https://www.americommercialcapital.com/contact-us</x:v>
      </x:c>
      <x:c r="Z2376" s="25" t="str">
        <x:v>https://www.hardmoneyhome.com/lenders/view/americommercial-capital</x:v>
      </x:c>
      <x:c r="AA2376" s="25" t="str">
        <x:v>[]</x:v>
      </x:c>
      <x:c r="AB2376" s="3" t="str">
        <x:v>Existing CapitalForge research, newly screened for this campaign</x:v>
      </x:c>
      <x:c r="AC2376" s="3" t="str">
        <x:v>unverified</x:v>
      </x:c>
      <x:c r="AD2376" s="3" t="str">
        <x:v>Not contacted / unconfirmed</x:v>
      </x:c>
      <x:c r="AE2376" s="3" t="str">
        <x:v>No</x:v>
      </x:c>
      <x:c r="AF2376" s="3" t="str">
        <x:v>No</x:v>
      </x:c>
      <x:c r="AG2376" s="3"/>
      <x:c r="AH2376" s="3"/>
      <x:c r="AI2376" s="18"/>
      <x:c r="AJ2376" s="3" t="str">
        <x:v>CF2500-BA4C11782B78</x:v>
      </x:c>
      <x:c r="AK2376" s="3" t="str">
        <x:v>private_real_estate_lender</x:v>
      </x:c>
      <x:c r="AL2376" s="19" t="n">
        <x:v>100000</x:v>
      </x:c>
      <x:c r="AM2376" s="19" t="n">
        <x:v>500000</x:v>
      </x:c>
      <x:c r="AN2376" s="3" t="str">
        <x:v>https://www.hardmoneyhome.com/lenders/view/americommercial-capital</x:v>
      </x:c>
      <x:c r="AO2376" s="3" t="str">
        <x:v>public_directory.jsonl</x:v>
      </x:c>
      <x:c r="AP2376" s="19"/>
    </x:row>
    <x:row r="2377" ht="36" customHeight="1">
      <x:c r="A2377" s="23" t="n">
        <x:v>2376</x:v>
      </x:c>
      <x:c r="B2377" s="15" t="str">
        <x:v>AMERICOR</x:v>
      </x:c>
      <x:c r="C2377" s="15"/>
      <x:c r="D2377" s="15" t="str">
        <x:v>Property lender or directory member; operating-company capital unconfirmed</x:v>
      </x:c>
      <x:c r="E2377" s="15" t="str">
        <x:v>Property lender / private-money inquiry</x:v>
      </x:c>
      <x:c r="F2377" s="17" t="str">
        <x:v>New</x:v>
      </x:c>
      <x:c r="G2377" s="24" t="str">
        <x:v>info@americor.com</x:v>
      </x:c>
      <x:c r="H2377" s="24" t="str">
        <x:v>+18882112660</x:v>
      </x:c>
      <x:c r="I2377" s="24" t="str">
        <x:v>https://americor.com/</x:v>
      </x:c>
      <x:c r="J2377" s="16" t="str">
        <x:v>CA</x:v>
      </x:c>
      <x:c r="K2377" s="16" t="str">
        <x:v>Irvine</x:v>
      </x:c>
      <x:c r="L2377" s="16" t="str">
        <x:v>firm_business_routing</x:v>
      </x:c>
      <x:c r="M2377" s="16" t="str">
        <x:v>https://americor.com/</x:v>
      </x:c>
      <x:c r="N2377" s="16" t="str">
        <x:v>$100K-$500K ticket not published / unconfirmed</x:v>
      </x:c>
      <x:c r="O2377" s="20"/>
      <x:c r="P2377" s="20"/>
      <x:c r="Q2377" s="25" t="str">
        <x:v>Property-loan range, not a corporate-capital commitment</x:v>
      </x:c>
      <x:c r="R2377" s="25" t="str">
        <x:v>Private real-estate finance experience. Corporate working capital, minority equity or profit participation requires a separate agreement from a property loan.</x:v>
      </x:c>
      <x:c r="S2377" s="25"/>
      <x:c r="T2377" s="25" t="str">
        <x:v>Confirm direct principal versus broker, $100K-$500K appetite, and whether capital can fund the operating company without a property mortgage.</x:v>
      </x:c>
      <x:c r="U2377" s="25" t="str">
        <x:v>https://www.privatelendersdirectory.com/united-states/irvine/top-level-category/americor
https://americor.com/</x:v>
      </x:c>
      <x:c r="V2377" s="26" t="d">
        <x:v>2026-10-02T00:00:00.000Z</x:v>
      </x:c>
      <x:c r="W2377" s="26" t="d">
        <x:v>2026-09-30T00:00:00.000Z</x:v>
      </x:c>
      <x:c r="X2377" s="25" t="str">
        <x:v>Saved public company, industry-directory or regulatory source; source date retained</x:v>
      </x:c>
      <x:c r="Y2377" s="25" t="str">
        <x:v>https://americor.com/</x:v>
      </x:c>
      <x:c r="Z2377" s="25" t="str">
        <x:v>https://americor.com/</x:v>
      </x:c>
      <x:c r="AA2377" s="25" t="str">
        <x:v>[]</x:v>
      </x:c>
      <x:c r="AB2377" s="3" t="str">
        <x:v>Existing CapitalForge research, newly screened for this campaign</x:v>
      </x:c>
      <x:c r="AC2377" s="3" t="str">
        <x:v>unverified</x:v>
      </x:c>
      <x:c r="AD2377" s="3" t="str">
        <x:v>Not contacted / unconfirmed</x:v>
      </x:c>
      <x:c r="AE2377" s="3" t="str">
        <x:v>No</x:v>
      </x:c>
      <x:c r="AF2377" s="3" t="str">
        <x:v>No</x:v>
      </x:c>
      <x:c r="AG2377" s="3"/>
      <x:c r="AH2377" s="3"/>
      <x:c r="AI2377" s="18"/>
      <x:c r="AJ2377" s="3" t="str">
        <x:v>CF2500-E54A36A435FE</x:v>
      </x:c>
      <x:c r="AK2377" s="3" t="str">
        <x:v>private_real_estate_lender</x:v>
      </x:c>
      <x:c r="AL2377" s="19" t="n">
        <x:v>100000</x:v>
      </x:c>
      <x:c r="AM2377" s="19" t="n">
        <x:v>500000</x:v>
      </x:c>
      <x:c r="AN2377" s="3" t="str">
        <x:v>https://www.privatelendersdirectory.com/united-states/irvine/top-level-category/americor</x:v>
      </x:c>
      <x:c r="AO2377" s="3" t="str">
        <x:v>public_directory.jsonl</x:v>
      </x:c>
      <x:c r="AP2377" s="19"/>
    </x:row>
    <x:row r="2378" ht="36" customHeight="1">
      <x:c r="A2378" s="23" t="n">
        <x:v>2377</x:v>
      </x:c>
      <x:c r="B2378" s="15" t="str">
        <x:v>Ameristar Financial Corporation</x:v>
      </x:c>
      <x:c r="C2378" s="15" t="str">
        <x:v>Ameristar Financial Corporation</x:v>
      </x:c>
      <x:c r="D2378" s="15" t="str">
        <x:v>Property lender or directory member; operating-company capital unconfirmed</x:v>
      </x:c>
      <x:c r="E2378" s="15" t="str">
        <x:v>Property lender / private-money inquiry</x:v>
      </x:c>
      <x:c r="F2378" s="17" t="str">
        <x:v>New</x:v>
      </x:c>
      <x:c r="G2378" s="24" t="str">
        <x:v>funding@ameristarfinance.com</x:v>
      </x:c>
      <x:c r="H2378" s="24" t="str">
        <x:v>+15188802780</x:v>
      </x:c>
      <x:c r="I2378" s="24" t="str">
        <x:v>https://ameristarfinancial.com</x:v>
      </x:c>
      <x:c r="J2378" s="16"/>
      <x:c r="K2378" s="16"/>
      <x:c r="L2378" s="16" t="str">
        <x:v>published_professional_contact_directness_unconfirmed</x:v>
      </x:c>
      <x:c r="M2378" s="16" t="str">
        <x:v>https://ameristarfinancial.com</x:v>
      </x:c>
      <x:c r="N2378" s="16" t="str">
        <x:v>$100K-$500K ticket not published / unconfirmed</x:v>
      </x:c>
      <x:c r="O2378" s="20"/>
      <x:c r="P2378" s="20"/>
      <x:c r="Q2378" s="25" t="str">
        <x:v>Property-loan range, not a corporate-capital commitment</x:v>
      </x:c>
      <x:c r="R2378" s="25" t="str">
        <x:v>Private real-estate finance experience. Corporate working capital, minority equity or profit participation requires a separate agreement from a property loan.</x:v>
      </x:c>
      <x:c r="S2378" s="25"/>
      <x:c r="T2378" s="25" t="str">
        <x:v>Confirm direct principal versus broker, $100K-$500K appetite, and whether capital can fund the operating company without a property mortgage.</x:v>
      </x:c>
      <x:c r="U2378" s="25" t="str">
        <x:v>https://nplaconference.com/private-lending-directory/
https://AmeristarFinancial.com
https://www.privatelendersdirectory.com/united-states/albany/real-estate-investment-lending/ameristar-financial-corporation</x:v>
      </x:c>
      <x:c r="V2378" s="26" t="d">
        <x:v>2026-10-02T00:00:00.000Z</x:v>
      </x:c>
      <x:c r="W2378" s="26" t="d">
        <x:v>2026-09-30T00:00:00.000Z</x:v>
      </x:c>
      <x:c r="X2378" s="25" t="str">
        <x:v>Saved public company, industry-directory or regulatory source; source date retained</x:v>
      </x:c>
      <x:c r="Y2378" s="25" t="str">
        <x:v>https://AmeristarFinancial.com</x:v>
      </x:c>
      <x:c r="Z2378" s="25" t="str">
        <x:v>https://AmeristarFinancial.com</x:v>
      </x:c>
      <x:c r="AA2378" s="25" t="str">
        <x:v>[]</x:v>
      </x:c>
      <x:c r="AB2378" s="3" t="str">
        <x:v>Existing CapitalForge research, newly screened for this campaign</x:v>
      </x:c>
      <x:c r="AC2378" s="3" t="str">
        <x:v>unverified</x:v>
      </x:c>
      <x:c r="AD2378" s="3" t="str">
        <x:v>Not contacted / unconfirmed</x:v>
      </x:c>
      <x:c r="AE2378" s="3" t="str">
        <x:v>No</x:v>
      </x:c>
      <x:c r="AF2378" s="3" t="str">
        <x:v>No</x:v>
      </x:c>
      <x:c r="AG2378" s="3"/>
      <x:c r="AH2378" s="3"/>
      <x:c r="AI2378" s="18"/>
      <x:c r="AJ2378" s="3" t="str">
        <x:v>CF2500-4BECBEFCD96D</x:v>
      </x:c>
      <x:c r="AK2378" s="3" t="str">
        <x:v>property_secured_lender</x:v>
      </x:c>
      <x:c r="AL2378" s="19" t="n">
        <x:v>100000</x:v>
      </x:c>
      <x:c r="AM2378" s="19" t="n">
        <x:v>500000</x:v>
      </x:c>
      <x:c r="AN2378" s="3" t="str">
        <x:v>https://nplaconference.com/private-lending-directory/</x:v>
      </x:c>
      <x:c r="AO2378" s="3" t="str">
        <x:v>public_directory.jsonl</x:v>
      </x:c>
      <x:c r="AP2378" s="19"/>
    </x:row>
    <x:row r="2379" ht="36" customHeight="1">
      <x:c r="A2379" s="23" t="n">
        <x:v>2378</x:v>
      </x:c>
      <x:c r="B2379" s="15" t="str">
        <x:v>AMERITRUST</x:v>
      </x:c>
      <x:c r="C2379" s="15"/>
      <x:c r="D2379" s="15" t="str">
        <x:v>Property lender or directory member; operating-company capital unconfirmed</x:v>
      </x:c>
      <x:c r="E2379" s="15" t="str">
        <x:v>Property lender / private-money inquiry</x:v>
      </x:c>
      <x:c r="F2379" s="17" t="str">
        <x:v>New</x:v>
      </x:c>
      <x:c r="G2379" s="24" t="str">
        <x:v>info@ameritrust-mortgage.com</x:v>
      </x:c>
      <x:c r="H2379" s="24" t="str">
        <x:v>+18889697654</x:v>
      </x:c>
      <x:c r="I2379" s="24" t="str">
        <x:v>https://www.ameritrust-mortgage.com/</x:v>
      </x:c>
      <x:c r="J2379" s="16" t="str">
        <x:v>CA</x:v>
      </x:c>
      <x:c r="K2379" s="16" t="str">
        <x:v>Tustin</x:v>
      </x:c>
      <x:c r="L2379" s="16" t="str">
        <x:v>firm_business_routing</x:v>
      </x:c>
      <x:c r="M2379" s="16" t="str">
        <x:v>https://www.ameritrust-mortgage.com/</x:v>
      </x:c>
      <x:c r="N2379" s="16" t="str">
        <x:v>$100K-$500K ticket not published / unconfirmed</x:v>
      </x:c>
      <x:c r="O2379" s="20"/>
      <x:c r="P2379" s="20"/>
      <x:c r="Q2379" s="25" t="str">
        <x:v>Property-loan range, not a corporate-capital commitment</x:v>
      </x:c>
      <x:c r="R2379" s="25" t="str">
        <x:v>Private real-estate finance experience. Corporate working capital, minority equity or profit participation requires a separate agreement from a property loan.</x:v>
      </x:c>
      <x:c r="S2379" s="25"/>
      <x:c r="T2379" s="25" t="str">
        <x:v>Confirm direct principal versus broker, $100K-$500K appetite, and whether capital can fund the operating company without a property mortgage.</x:v>
      </x:c>
      <x:c r="U2379" s="25" t="str">
        <x:v>https://www.privatelendersdirectory.com/united-states/tustin/top-level-category/ameritrust
https://www.ameritrust-mortgage.com/</x:v>
      </x:c>
      <x:c r="V2379" s="26" t="d">
        <x:v>2026-10-02T00:00:00.000Z</x:v>
      </x:c>
      <x:c r="W2379" s="26" t="d">
        <x:v>2026-09-30T00:00:00.000Z</x:v>
      </x:c>
      <x:c r="X2379" s="25" t="str">
        <x:v>Saved public company, industry-directory or regulatory source; source date retained</x:v>
      </x:c>
      <x:c r="Y2379" s="25" t="str">
        <x:v>https://www.ameritrust-mortgage.com/</x:v>
      </x:c>
      <x:c r="Z2379" s="25" t="str">
        <x:v>https://www.ameritrust-mortgage.com/</x:v>
      </x:c>
      <x:c r="AA2379" s="25" t="str">
        <x:v>[]</x:v>
      </x:c>
      <x:c r="AB2379" s="3" t="str">
        <x:v>Existing CapitalForge research, newly screened for this campaign</x:v>
      </x:c>
      <x:c r="AC2379" s="3" t="str">
        <x:v>unverified</x:v>
      </x:c>
      <x:c r="AD2379" s="3" t="str">
        <x:v>Not contacted / unconfirmed</x:v>
      </x:c>
      <x:c r="AE2379" s="3" t="str">
        <x:v>No</x:v>
      </x:c>
      <x:c r="AF2379" s="3" t="str">
        <x:v>No</x:v>
      </x:c>
      <x:c r="AG2379" s="3"/>
      <x:c r="AH2379" s="3"/>
      <x:c r="AI2379" s="18"/>
      <x:c r="AJ2379" s="3" t="str">
        <x:v>CF2500-BC979B7E2021</x:v>
      </x:c>
      <x:c r="AK2379" s="3" t="str">
        <x:v>private_real_estate_lender</x:v>
      </x:c>
      <x:c r="AL2379" s="19" t="n">
        <x:v>100000</x:v>
      </x:c>
      <x:c r="AM2379" s="19" t="n">
        <x:v>500000</x:v>
      </x:c>
      <x:c r="AN2379" s="3" t="str">
        <x:v>https://www.privatelendersdirectory.com/united-states/tustin/top-level-category/ameritrust</x:v>
      </x:c>
      <x:c r="AO2379" s="3" t="str">
        <x:v>public_directory.jsonl</x:v>
      </x:c>
      <x:c r="AP2379" s="19"/>
    </x:row>
    <x:row r="2380" ht="36" customHeight="1">
      <x:c r="A2380" s="23" t="n">
        <x:v>2379</x:v>
      </x:c>
      <x:c r="B2380" s="15" t="str">
        <x:v>Amida Lending</x:v>
      </x:c>
      <x:c r="C2380" s="15"/>
      <x:c r="D2380" s="15" t="str">
        <x:v>Property lender or directory member; operating-company capital unconfirmed</x:v>
      </x:c>
      <x:c r="E2380" s="15" t="str">
        <x:v>Property lender / private-money inquiry</x:v>
      </x:c>
      <x:c r="F2380" s="17" t="str">
        <x:v>New</x:v>
      </x:c>
      <x:c r="G2380" s="24" t="str">
        <x:v>info@amidaspecialopps.com</x:v>
      </x:c>
      <x:c r="H2380" s="24" t="str">
        <x:v>+12126594084</x:v>
      </x:c>
      <x:c r="I2380" s="24" t="str">
        <x:v>https://amidalending.com/</x:v>
      </x:c>
      <x:c r="J2380" s="16" t="str">
        <x:v>NY</x:v>
      </x:c>
      <x:c r="K2380" s="16" t="str">
        <x:v>New York</x:v>
      </x:c>
      <x:c r="L2380" s="16" t="str">
        <x:v>firm_business_routing</x:v>
      </x:c>
      <x:c r="M2380" s="16" t="str">
        <x:v>https://amidalending.com/</x:v>
      </x:c>
      <x:c r="N2380" s="16" t="str">
        <x:v>$100K-$500K ticket not published / unconfirmed</x:v>
      </x:c>
      <x:c r="O2380" s="20"/>
      <x:c r="P2380" s="20"/>
      <x:c r="Q2380" s="25" t="str">
        <x:v>Property-loan range, not a corporate-capital commitment</x:v>
      </x:c>
      <x:c r="R2380" s="25" t="str">
        <x:v>Private real-estate finance experience. Corporate working capital, minority equity or profit participation requires a separate agreement from a property loan.</x:v>
      </x:c>
      <x:c r="S2380" s="25"/>
      <x:c r="T2380" s="25" t="str">
        <x:v>Confirm direct principal versus broker, $100K-$500K appetite, and whether capital can fund the operating company without a property mortgage.</x:v>
      </x:c>
      <x:c r="U2380" s="25" t="str">
        <x:v>https://privatelenderlink.com/profile/amida-lending/
https://amidalending.com/</x:v>
      </x:c>
      <x:c r="V2380" s="26" t="d">
        <x:v>2026-10-02T00:00:00.000Z</x:v>
      </x:c>
      <x:c r="W2380" s="26" t="d">
        <x:v>2026-09-30T00:00:00.000Z</x:v>
      </x:c>
      <x:c r="X2380" s="25" t="str">
        <x:v>Saved public company, industry-directory or regulatory source; source date retained</x:v>
      </x:c>
      <x:c r="Y2380" s="25" t="str">
        <x:v>https://privatelenderlink.com/profile/amida-lending/</x:v>
      </x:c>
      <x:c r="Z2380" s="25" t="str">
        <x:v>https://amidalending.com/</x:v>
      </x:c>
      <x:c r="AA2380" s="25" t="str">
        <x:v>[]</x:v>
      </x:c>
      <x:c r="AB2380" s="3" t="str">
        <x:v>Existing CapitalForge research, newly screened for this campaign</x:v>
      </x:c>
      <x:c r="AC2380" s="3" t="str">
        <x:v>unverified</x:v>
      </x:c>
      <x:c r="AD2380" s="3" t="str">
        <x:v>Not contacted / unconfirmed</x:v>
      </x:c>
      <x:c r="AE2380" s="3" t="str">
        <x:v>No</x:v>
      </x:c>
      <x:c r="AF2380" s="3" t="str">
        <x:v>No</x:v>
      </x:c>
      <x:c r="AG2380" s="3"/>
      <x:c r="AH2380" s="3"/>
      <x:c r="AI2380" s="18"/>
      <x:c r="AJ2380" s="3" t="str">
        <x:v>CF2500-62C317F3CE23</x:v>
      </x:c>
      <x:c r="AK2380" s="3" t="str">
        <x:v>private_real_estate_lender</x:v>
      </x:c>
      <x:c r="AL2380" s="19" t="n">
        <x:v>100000</x:v>
      </x:c>
      <x:c r="AM2380" s="19" t="n">
        <x:v>500000</x:v>
      </x:c>
      <x:c r="AN2380" s="3" t="str">
        <x:v>https://privatelenderlink.com/profile/amida-lending/</x:v>
      </x:c>
      <x:c r="AO2380" s="3" t="str">
        <x:v>public_directory.jsonl</x:v>
      </x:c>
      <x:c r="AP2380" s="19"/>
    </x:row>
    <x:row r="2381" ht="36" customHeight="1">
      <x:c r="A2381" s="23" t="n">
        <x:v>2380</x:v>
      </x:c>
      <x:c r="B2381" s="15" t="str">
        <x:v>AMNET MORTGAGE</x:v>
      </x:c>
      <x:c r="C2381" s="15"/>
      <x:c r="D2381" s="15" t="str">
        <x:v>Property lender or directory member; operating-company capital unconfirmed</x:v>
      </x:c>
      <x:c r="E2381" s="15" t="str">
        <x:v>Property lender / private-money inquiry</x:v>
      </x:c>
      <x:c r="F2381" s="17" t="str">
        <x:v>New</x:v>
      </x:c>
      <x:c r="G2381" s="24" t="str">
        <x:v>info@amnetmtg.com</x:v>
      </x:c>
      <x:c r="H2381" s="24" t="str">
        <x:v>+18773541110</x:v>
      </x:c>
      <x:c r="I2381" s="24" t="str">
        <x:v>https://www.amnetmtg.com/</x:v>
      </x:c>
      <x:c r="J2381" s="16" t="str">
        <x:v>CA</x:v>
      </x:c>
      <x:c r="K2381" s="16" t="str">
        <x:v>Chula Vista</x:v>
      </x:c>
      <x:c r="L2381" s="16" t="str">
        <x:v>firm_business_routing</x:v>
      </x:c>
      <x:c r="M2381" s="16" t="str">
        <x:v>https://www.amnetmtg.com/</x:v>
      </x:c>
      <x:c r="N2381" s="16" t="str">
        <x:v>$100K-$500K ticket not published / unconfirmed</x:v>
      </x:c>
      <x:c r="O2381" s="20"/>
      <x:c r="P2381" s="20"/>
      <x:c r="Q2381" s="25" t="str">
        <x:v>Property-loan range, not a corporate-capital commitment</x:v>
      </x:c>
      <x:c r="R2381" s="25" t="str">
        <x:v>Private real-estate finance experience. Corporate working capital, minority equity or profit participation requires a separate agreement from a property loan.</x:v>
      </x:c>
      <x:c r="S2381" s="25"/>
      <x:c r="T2381" s="25" t="str">
        <x:v>Confirm direct principal versus broker, $100K-$500K appetite, and whether capital can fund the operating company without a property mortgage.</x:v>
      </x:c>
      <x:c r="U2381" s="25" t="str">
        <x:v>https://www.privatelendersdirectory.com/united-states/chula-vista/top-level-category/amnet-mortgage
https://www.amnetmtg.com/</x:v>
      </x:c>
      <x:c r="V2381" s="26" t="d">
        <x:v>2026-10-02T00:00:00.000Z</x:v>
      </x:c>
      <x:c r="W2381" s="26" t="d">
        <x:v>2026-09-30T00:00:00.000Z</x:v>
      </x:c>
      <x:c r="X2381" s="25" t="str">
        <x:v>Saved public company, industry-directory or regulatory source; source date retained</x:v>
      </x:c>
      <x:c r="Y2381" s="25" t="str">
        <x:v>https://www.amnetmtg.com/</x:v>
      </x:c>
      <x:c r="Z2381" s="25" t="str">
        <x:v>https://www.amnetmtg.com/</x:v>
      </x:c>
      <x:c r="AA2381" s="25" t="str">
        <x:v>[]</x:v>
      </x:c>
      <x:c r="AB2381" s="3" t="str">
        <x:v>Existing CapitalForge research, newly screened for this campaign</x:v>
      </x:c>
      <x:c r="AC2381" s="3" t="str">
        <x:v>unverified</x:v>
      </x:c>
      <x:c r="AD2381" s="3" t="str">
        <x:v>Not contacted / unconfirmed</x:v>
      </x:c>
      <x:c r="AE2381" s="3" t="str">
        <x:v>No</x:v>
      </x:c>
      <x:c r="AF2381" s="3" t="str">
        <x:v>No</x:v>
      </x:c>
      <x:c r="AG2381" s="3"/>
      <x:c r="AH2381" s="3"/>
      <x:c r="AI2381" s="18"/>
      <x:c r="AJ2381" s="3" t="str">
        <x:v>CF2500-73F089FC9FC1</x:v>
      </x:c>
      <x:c r="AK2381" s="3" t="str">
        <x:v>private_real_estate_lender</x:v>
      </x:c>
      <x:c r="AL2381" s="19" t="n">
        <x:v>100000</x:v>
      </x:c>
      <x:c r="AM2381" s="19" t="n">
        <x:v>500000</x:v>
      </x:c>
      <x:c r="AN2381" s="3" t="str">
        <x:v>https://www.privatelendersdirectory.com/united-states/chula-vista/top-level-category/amnet-mortgage</x:v>
      </x:c>
      <x:c r="AO2381" s="3" t="str">
        <x:v>public_directory.jsonl</x:v>
      </x:c>
      <x:c r="AP2381" s="19"/>
    </x:row>
    <x:row r="2382" ht="36" customHeight="1">
      <x:c r="A2382" s="23" t="n">
        <x:v>2381</x:v>
      </x:c>
      <x:c r="B2382" s="15" t="str">
        <x:v>Amped-Up</x:v>
      </x:c>
      <x:c r="C2382" s="15" t="str">
        <x:v>Amped-Up</x:v>
      </x:c>
      <x:c r="D2382" s="15" t="str">
        <x:v>Property lender or directory member; operating-company capital unconfirmed</x:v>
      </x:c>
      <x:c r="E2382" s="15" t="str">
        <x:v>Property lender / private-money inquiry</x:v>
      </x:c>
      <x:c r="F2382" s="17" t="str">
        <x:v>New</x:v>
      </x:c>
      <x:c r="G2382" s="24" t="str">
        <x:v>sharounian@ampedupinc.com</x:v>
      </x:c>
      <x:c r="H2382" s="24" t="str">
        <x:v>+18622273348</x:v>
      </x:c>
      <x:c r="I2382" s="24" t="str">
        <x:v>https://www.ampedupinc.com/</x:v>
      </x:c>
      <x:c r="J2382" s="16"/>
      <x:c r="K2382" s="16"/>
      <x:c r="L2382" s="16" t="str">
        <x:v>published_professional_contact_directness_unconfirmed</x:v>
      </x:c>
      <x:c r="M2382" s="16" t="str">
        <x:v>https://www.ampedupinc.com/</x:v>
      </x:c>
      <x:c r="N2382" s="16" t="str">
        <x:v>$100K-$500K ticket not published / unconfirmed</x:v>
      </x:c>
      <x:c r="O2382" s="20"/>
      <x:c r="P2382" s="20"/>
      <x:c r="Q2382" s="25" t="str">
        <x:v>Property-loan range, not a corporate-capital commitment</x:v>
      </x:c>
      <x:c r="R2382" s="25" t="str">
        <x:v>Private real-estate finance experience. Corporate working capital, minority equity or profit participation requires a separate agreement from a property loan.</x:v>
      </x:c>
      <x:c r="S2382" s="25"/>
      <x:c r="T2382" s="25" t="str">
        <x:v>Confirm direct principal versus broker, $100K-$500K appetite, and whether capital can fund the operating company without a property mortgage.</x:v>
      </x:c>
      <x:c r="U2382" s="25" t="str">
        <x:v>https://nplaconference.com/private-lending-directory/
https://www.ampedupinc.com/</x:v>
      </x:c>
      <x:c r="V2382" s="26" t="d">
        <x:v>2026-10-02T00:00:00.000Z</x:v>
      </x:c>
      <x:c r="W2382" s="26" t="d">
        <x:v>2026-09-30T00:00:00.000Z</x:v>
      </x:c>
      <x:c r="X2382" s="25" t="str">
        <x:v>Saved public company, industry-directory or regulatory source; source date retained</x:v>
      </x:c>
      <x:c r="Y2382" s="25" t="str">
        <x:v>https://www.ampedupinc.com/</x:v>
      </x:c>
      <x:c r="Z2382" s="25" t="str">
        <x:v>https://www.ampedupinc.com/</x:v>
      </x:c>
      <x:c r="AA2382" s="25" t="str">
        <x:v>[]</x:v>
      </x:c>
      <x:c r="AB2382" s="3" t="str">
        <x:v>Existing CapitalForge research, newly screened for this campaign</x:v>
      </x:c>
      <x:c r="AC2382" s="3" t="str">
        <x:v>unverified</x:v>
      </x:c>
      <x:c r="AD2382" s="3" t="str">
        <x:v>Not contacted / unconfirmed</x:v>
      </x:c>
      <x:c r="AE2382" s="3" t="str">
        <x:v>No</x:v>
      </x:c>
      <x:c r="AF2382" s="3" t="str">
        <x:v>No</x:v>
      </x:c>
      <x:c r="AG2382" s="3"/>
      <x:c r="AH2382" s="3"/>
      <x:c r="AI2382" s="18"/>
      <x:c r="AJ2382" s="3" t="str">
        <x:v>CF2500-C853FBE6BE32</x:v>
      </x:c>
      <x:c r="AK2382" s="3" t="str">
        <x:v>property_secured_lender</x:v>
      </x:c>
      <x:c r="AL2382" s="19" t="n">
        <x:v>100000</x:v>
      </x:c>
      <x:c r="AM2382" s="19" t="n">
        <x:v>500000</x:v>
      </x:c>
      <x:c r="AN2382" s="3" t="str">
        <x:v>https://nplaconference.com/private-lending-directory/</x:v>
      </x:c>
      <x:c r="AO2382" s="3" t="str">
        <x:v>public_directory.jsonl</x:v>
      </x:c>
      <x:c r="AP2382" s="19"/>
    </x:row>
    <x:row r="2383" ht="36" customHeight="1">
      <x:c r="A2383" s="23" t="n">
        <x:v>2382</x:v>
      </x:c>
      <x:c r="B2383" s="15" t="str">
        <x:v>ANDERSON ROBERTS FINANCIAL</x:v>
      </x:c>
      <x:c r="C2383" s="15"/>
      <x:c r="D2383" s="15" t="str">
        <x:v>Property lender or directory member; operating-company capital unconfirmed</x:v>
      </x:c>
      <x:c r="E2383" s="15" t="str">
        <x:v>Property lender / private-money inquiry</x:v>
      </x:c>
      <x:c r="F2383" s="17" t="str">
        <x:v>New</x:v>
      </x:c>
      <x:c r="G2383" s="24" t="str">
        <x:v>info@arfinancialinc.com</x:v>
      </x:c>
      <x:c r="H2383" s="24" t="str">
        <x:v>+14156927449</x:v>
      </x:c>
      <x:c r="I2383" s="24" t="str">
        <x:v>https://www.arfinancialinc.com/</x:v>
      </x:c>
      <x:c r="J2383" s="16" t="str">
        <x:v>CA</x:v>
      </x:c>
      <x:c r="K2383" s="16" t="str">
        <x:v>Tiburon</x:v>
      </x:c>
      <x:c r="L2383" s="16" t="str">
        <x:v>firm_business_routing</x:v>
      </x:c>
      <x:c r="M2383" s="16" t="str">
        <x:v>https://www.arfinancialinc.com/</x:v>
      </x:c>
      <x:c r="N2383" s="16" t="str">
        <x:v>$100K-$500K ticket not published / unconfirmed</x:v>
      </x:c>
      <x:c r="O2383" s="20"/>
      <x:c r="P2383" s="20"/>
      <x:c r="Q2383" s="25" t="str">
        <x:v>Property-loan range, not a corporate-capital commitment</x:v>
      </x:c>
      <x:c r="R2383" s="25" t="str">
        <x:v>Private real-estate finance experience. Corporate working capital, minority equity or profit participation requires a separate agreement from a property loan.</x:v>
      </x:c>
      <x:c r="S2383" s="25"/>
      <x:c r="T2383" s="25" t="str">
        <x:v>Confirm direct principal versus broker, $100K-$500K appetite, and whether capital can fund the operating company without a property mortgage.</x:v>
      </x:c>
      <x:c r="U2383" s="25" t="str">
        <x:v>https://www.privatelendersdirectory.com/united-states/tiburon/top-level-category/anderson-roberts-financial
https://www.arfinancialinc.com/</x:v>
      </x:c>
      <x:c r="V2383" s="26" t="d">
        <x:v>2026-10-02T00:00:00.000Z</x:v>
      </x:c>
      <x:c r="W2383" s="26" t="d">
        <x:v>2026-09-30T00:00:00.000Z</x:v>
      </x:c>
      <x:c r="X2383" s="25" t="str">
        <x:v>Saved public company, industry-directory or regulatory source; source date retained</x:v>
      </x:c>
      <x:c r="Y2383" s="25" t="str">
        <x:v>https://www.arfinancialinc.com/</x:v>
      </x:c>
      <x:c r="Z2383" s="25" t="str">
        <x:v>https://www.arfinancialinc.com/</x:v>
      </x:c>
      <x:c r="AA2383" s="25" t="str">
        <x:v>[]</x:v>
      </x:c>
      <x:c r="AB2383" s="3" t="str">
        <x:v>Existing CapitalForge research, newly screened for this campaign</x:v>
      </x:c>
      <x:c r="AC2383" s="3" t="str">
        <x:v>unverified</x:v>
      </x:c>
      <x:c r="AD2383" s="3" t="str">
        <x:v>Not contacted / unconfirmed</x:v>
      </x:c>
      <x:c r="AE2383" s="3" t="str">
        <x:v>No</x:v>
      </x:c>
      <x:c r="AF2383" s="3" t="str">
        <x:v>No</x:v>
      </x:c>
      <x:c r="AG2383" s="3"/>
      <x:c r="AH2383" s="3"/>
      <x:c r="AI2383" s="18"/>
      <x:c r="AJ2383" s="3" t="str">
        <x:v>CF2500-A2C91EAD6EF9</x:v>
      </x:c>
      <x:c r="AK2383" s="3" t="str">
        <x:v>private_real_estate_lender</x:v>
      </x:c>
      <x:c r="AL2383" s="19" t="n">
        <x:v>100000</x:v>
      </x:c>
      <x:c r="AM2383" s="19" t="n">
        <x:v>500000</x:v>
      </x:c>
      <x:c r="AN2383" s="3" t="str">
        <x:v>https://www.privatelendersdirectory.com/united-states/tiburon/top-level-category/anderson-roberts-financial</x:v>
      </x:c>
      <x:c r="AO2383" s="3" t="str">
        <x:v>public_directory.jsonl</x:v>
      </x:c>
      <x:c r="AP2383" s="19"/>
    </x:row>
    <x:row r="2384" ht="36" customHeight="1">
      <x:c r="A2384" s="23" t="n">
        <x:v>2383</x:v>
      </x:c>
      <x:c r="B2384" s="15" t="str">
        <x:v>Annex Capital LLC</x:v>
      </x:c>
      <x:c r="C2384" s="15"/>
      <x:c r="D2384" s="15" t="str">
        <x:v>Property lender or directory member; operating-company capital unconfirmed</x:v>
      </x:c>
      <x:c r="E2384" s="15" t="str">
        <x:v>Property lender / private-money inquiry</x:v>
      </x:c>
      <x:c r="F2384" s="17" t="str">
        <x:v>New</x:v>
      </x:c>
      <x:c r="G2384" s="24" t="str">
        <x:v>alove@annexcapitalus.com</x:v>
      </x:c>
      <x:c r="H2384" s="24" t="str">
        <x:v>+15026180383</x:v>
      </x:c>
      <x:c r="I2384" s="24" t="str">
        <x:v>https://annexcapitalus.com/?utm_source=private-lender-link</x:v>
      </x:c>
      <x:c r="J2384" s="16" t="str">
        <x:v>Kentucky</x:v>
      </x:c>
      <x:c r="K2384" s="16" t="str">
        <x:v>Louisville</x:v>
      </x:c>
      <x:c r="L2384" s="16" t="str">
        <x:v>firm_business_routing</x:v>
      </x:c>
      <x:c r="M2384" s="16" t="str">
        <x:v>https://annexcapitalus.com/?utm_source=private-lender-link</x:v>
      </x:c>
      <x:c r="N2384" s="16" t="str">
        <x:v>$100K-$500K ticket not published / unconfirmed</x:v>
      </x:c>
      <x:c r="O2384" s="20"/>
      <x:c r="P2384" s="20"/>
      <x:c r="Q2384" s="25" t="str">
        <x:v>Property-loan range, not a corporate-capital commitment</x:v>
      </x:c>
      <x:c r="R2384" s="25" t="str">
        <x:v>Private real-estate finance experience. Corporate working capital, minority equity or profit participation requires a separate agreement from a property loan.</x:v>
      </x:c>
      <x:c r="S2384" s="25"/>
      <x:c r="T2384" s="25" t="str">
        <x:v>Confirm direct principal versus broker, $100K-$500K appetite, and whether capital can fund the operating company without a property mortgage.</x:v>
      </x:c>
      <x:c r="U2384" s="25" t="str">
        <x:v>https://privatelenderlink.com/profile/annex-capital-llc/
https://privatelenderlink.com/profile/annex-capital/</x:v>
      </x:c>
      <x:c r="V2384" s="26" t="d">
        <x:v>2026-10-02T00:00:00.000Z</x:v>
      </x:c>
      <x:c r="W2384" s="26" t="d">
        <x:v>2026-09-30T00:00:00.000Z</x:v>
      </x:c>
      <x:c r="X2384" s="25" t="str">
        <x:v>Saved public company, industry-directory or regulatory source; source date retained</x:v>
      </x:c>
      <x:c r="Y2384" s="25" t="str">
        <x:v>https://privatelenderlink.com/profile/annex-capital-llc/</x:v>
      </x:c>
      <x:c r="Z2384" s="25" t="str">
        <x:v>https://privatelenderlink.com/profile/annex-capital/</x:v>
      </x:c>
      <x:c r="AA2384" s="25" t="str">
        <x:v>[]</x:v>
      </x:c>
      <x:c r="AB2384" s="3" t="str">
        <x:v>Existing CapitalForge research, newly screened for this campaign</x:v>
      </x:c>
      <x:c r="AC2384" s="3" t="str">
        <x:v>unverified</x:v>
      </x:c>
      <x:c r="AD2384" s="3" t="str">
        <x:v>Not contacted / unconfirmed</x:v>
      </x:c>
      <x:c r="AE2384" s="3" t="str">
        <x:v>No</x:v>
      </x:c>
      <x:c r="AF2384" s="3" t="str">
        <x:v>No</x:v>
      </x:c>
      <x:c r="AG2384" s="3"/>
      <x:c r="AH2384" s="3"/>
      <x:c r="AI2384" s="18"/>
      <x:c r="AJ2384" s="3" t="str">
        <x:v>CF2500-14B0BCC1C9F3</x:v>
      </x:c>
      <x:c r="AK2384" s="3" t="str">
        <x:v>private_real_estate_lender</x:v>
      </x:c>
      <x:c r="AL2384" s="19" t="n">
        <x:v>100000</x:v>
      </x:c>
      <x:c r="AM2384" s="19" t="n">
        <x:v>500000</x:v>
      </x:c>
      <x:c r="AN2384" s="3" t="str">
        <x:v>https://privatelenderlink.com/profile/annex-capital-llc/</x:v>
      </x:c>
      <x:c r="AO2384" s="3" t="str">
        <x:v>public_directory.jsonl</x:v>
      </x:c>
      <x:c r="AP2384" s="19"/>
    </x:row>
    <x:row r="2385" ht="36" customHeight="1">
      <x:c r="A2385" s="23" t="n">
        <x:v>2384</x:v>
      </x:c>
      <x:c r="B2385" s="15" t="str">
        <x:v>ApartmentLoans.com</x:v>
      </x:c>
      <x:c r="C2385" s="15" t="str">
        <x:v>ApartmentLoans.com</x:v>
      </x:c>
      <x:c r="D2385" s="15" t="str">
        <x:v>Property lender or directory member; operating-company capital unconfirmed</x:v>
      </x:c>
      <x:c r="E2385" s="15" t="str">
        <x:v>Property lender / private-money inquiry</x:v>
      </x:c>
      <x:c r="F2385" s="17" t="str">
        <x:v>New</x:v>
      </x:c>
      <x:c r="G2385" s="24" t="str">
        <x:v>terry@northpennfinancial.com</x:v>
      </x:c>
      <x:c r="H2385" s="24" t="str">
        <x:v>+18772207334</x:v>
      </x:c>
      <x:c r="I2385" s="24" t="str">
        <x:v>https://apartmentloans.com</x:v>
      </x:c>
      <x:c r="J2385" s="16"/>
      <x:c r="K2385" s="16"/>
      <x:c r="L2385" s="16" t="str">
        <x:v>published_professional_contact_directness_unconfirmed</x:v>
      </x:c>
      <x:c r="M2385" s="16" t="str">
        <x:v>https://apartmentloans.com</x:v>
      </x:c>
      <x:c r="N2385" s="16" t="str">
        <x:v>$100K-$500K ticket not published / unconfirmed</x:v>
      </x:c>
      <x:c r="O2385" s="20"/>
      <x:c r="P2385" s="20"/>
      <x:c r="Q2385" s="25" t="str">
        <x:v>Property-loan range, not a corporate-capital commitment</x:v>
      </x:c>
      <x:c r="R2385" s="25" t="str">
        <x:v>Private real-estate finance experience. Corporate working capital, minority equity or profit participation requires a separate agreement from a property loan.</x:v>
      </x:c>
      <x:c r="S2385" s="25"/>
      <x:c r="T2385" s="25" t="str">
        <x:v>Confirm direct principal versus broker, $100K-$500K appetite, and whether capital can fund the operating company without a property mortgage.</x:v>
      </x:c>
      <x:c r="U2385" s="25" t="str">
        <x:v>https://nplaconference.com/private-lending-directory/page/2/
https://apartmentloans.com</x:v>
      </x:c>
      <x:c r="V2385" s="26" t="d">
        <x:v>2026-10-02T00:00:00.000Z</x:v>
      </x:c>
      <x:c r="W2385" s="26" t="d">
        <x:v>2026-09-30T00:00:00.000Z</x:v>
      </x:c>
      <x:c r="X2385" s="25" t="str">
        <x:v>Saved public company, industry-directory or regulatory source; source date retained</x:v>
      </x:c>
      <x:c r="Y2385" s="25" t="str">
        <x:v>https://apartmentloans.com</x:v>
      </x:c>
      <x:c r="Z2385" s="25" t="str">
        <x:v>https://apartmentloans.com</x:v>
      </x:c>
      <x:c r="AA2385" s="25" t="str">
        <x:v>[]</x:v>
      </x:c>
      <x:c r="AB2385" s="3" t="str">
        <x:v>Existing CapitalForge research, newly screened for this campaign</x:v>
      </x:c>
      <x:c r="AC2385" s="3" t="str">
        <x:v>unverified</x:v>
      </x:c>
      <x:c r="AD2385" s="3" t="str">
        <x:v>Not contacted / unconfirmed</x:v>
      </x:c>
      <x:c r="AE2385" s="3" t="str">
        <x:v>No</x:v>
      </x:c>
      <x:c r="AF2385" s="3" t="str">
        <x:v>No</x:v>
      </x:c>
      <x:c r="AG2385" s="3"/>
      <x:c r="AH2385" s="3"/>
      <x:c r="AI2385" s="18"/>
      <x:c r="AJ2385" s="3" t="str">
        <x:v>CF2500-E9442908DF5C</x:v>
      </x:c>
      <x:c r="AK2385" s="3" t="str">
        <x:v>property_secured_lender</x:v>
      </x:c>
      <x:c r="AL2385" s="19" t="n">
        <x:v>100000</x:v>
      </x:c>
      <x:c r="AM2385" s="19" t="n">
        <x:v>500000</x:v>
      </x:c>
      <x:c r="AN2385" s="3" t="str">
        <x:v>https://nplaconference.com/private-lending-directory/page/2/</x:v>
      </x:c>
      <x:c r="AO2385" s="3" t="str">
        <x:v>public_directory.jsonl</x:v>
      </x:c>
      <x:c r="AP2385" s="19"/>
    </x:row>
    <x:row r="2386" ht="36" customHeight="1">
      <x:c r="A2386" s="23" t="n">
        <x:v>2385</x:v>
      </x:c>
      <x:c r="B2386" s="15" t="str">
        <x:v>Apex Commercial Capital</x:v>
      </x:c>
      <x:c r="C2386" s="15" t="str">
        <x:v>Mr. Donald Richard Wampler, CLFP</x:v>
      </x:c>
      <x:c r="D2386" s="15" t="str">
        <x:v>Property lender or directory member; operating-company capital unconfirmed</x:v>
      </x:c>
      <x:c r="E2386" s="15" t="str">
        <x:v>Property lender / private-money inquiry</x:v>
      </x:c>
      <x:c r="F2386" s="17" t="str">
        <x:v>New</x:v>
      </x:c>
      <x:c r="G2386" s="24" t="str">
        <x:v>shannah@apexcommercial.com</x:v>
      </x:c>
      <x:c r="H2386" s="24" t="str">
        <x:v>+18002622739</x:v>
      </x:c>
      <x:c r="I2386" s="24" t="str">
        <x:v>https://www.apexmtg.com/</x:v>
      </x:c>
      <x:c r="J2386" s="16" t="str">
        <x:v>Pennsylvania</x:v>
      </x:c>
      <x:c r="K2386" s="16" t="str">
        <x:v>Horsham</x:v>
      </x:c>
      <x:c r="L2386" s="16" t="str">
        <x:v>published_professional_contact_directness_unconfirmed</x:v>
      </x:c>
      <x:c r="M2386" s="16" t="str">
        <x:v>https://www.apexmtg.com/</x:v>
      </x:c>
      <x:c r="N2386" s="16" t="str">
        <x:v>$100K-$500K ticket not published / unconfirmed</x:v>
      </x:c>
      <x:c r="O2386" s="20"/>
      <x:c r="P2386" s="20"/>
      <x:c r="Q2386" s="25" t="str">
        <x:v>Property-loan range, not a corporate-capital commitment</x:v>
      </x:c>
      <x:c r="R2386" s="25" t="str">
        <x:v>Private real-estate finance experience. Corporate working capital, minority equity or profit participation requires a separate agreement from a property loan.</x:v>
      </x:c>
      <x:c r="S2386" s="25"/>
      <x:c r="T2386" s="25" t="str">
        <x:v>Confirm direct principal versus broker, $100K-$500K appetite, and whether capital can fund the operating company without a property mortgage.</x:v>
      </x:c>
      <x:c r="U2386" s="25" t="str">
        <x:v>https://privatelenderlink.com/profile/apex-commercial-capital/
https://www.apexmtg.com/
https://www.nefassociation.org/wp-content/uploads/2025/06/Q2-2025-Membership-Directory.pdf
https://members.aacfb.org/AACFBMembers/AACFBMembers/Members_Only/NewFundDir.aspx
https://www.privatelendersdirectory.com/united-states/horsham/business-lending/apex-commercial-capital
https://www.apexcommercial.com/</x:v>
      </x:c>
      <x:c r="V2386" s="26" t="d">
        <x:v>2026-10-02T00:00:00.000Z</x:v>
      </x:c>
      <x:c r="W2386" s="26" t="d">
        <x:v>2026-09-30T00:00:00.000Z</x:v>
      </x:c>
      <x:c r="X2386" s="25" t="str">
        <x:v>Saved public company, industry-directory or regulatory source; source date retained</x:v>
      </x:c>
      <x:c r="Y2386" s="25" t="str">
        <x:v>https://privatelenderlink.com/profile/apex-commercial-capital/</x:v>
      </x:c>
      <x:c r="Z2386" s="25" t="str">
        <x:v>https://www.apexmtg.com/</x:v>
      </x:c>
      <x:c r="AA2386" s="25" t="str">
        <x:v>[]</x:v>
      </x:c>
      <x:c r="AB2386" s="3" t="str">
        <x:v>Existing CapitalForge research, newly screened for this campaign</x:v>
      </x:c>
      <x:c r="AC2386" s="3" t="str">
        <x:v>unverified</x:v>
      </x:c>
      <x:c r="AD2386" s="3" t="str">
        <x:v>Not contacted / unconfirmed</x:v>
      </x:c>
      <x:c r="AE2386" s="3" t="str">
        <x:v>No</x:v>
      </x:c>
      <x:c r="AF2386" s="3" t="str">
        <x:v>No</x:v>
      </x:c>
      <x:c r="AG2386" s="3"/>
      <x:c r="AH2386" s="3"/>
      <x:c r="AI2386" s="18"/>
      <x:c r="AJ2386" s="3" t="str">
        <x:v>CF2500-A3579A348BB9</x:v>
      </x:c>
      <x:c r="AK2386" s="3" t="str">
        <x:v>private_real_estate_lender</x:v>
      </x:c>
      <x:c r="AL2386" s="19" t="n">
        <x:v>100000</x:v>
      </x:c>
      <x:c r="AM2386" s="19" t="n">
        <x:v>500000</x:v>
      </x:c>
      <x:c r="AN2386" s="3" t="str">
        <x:v>https://privatelenderlink.com/profile/apex-commercial-capital/</x:v>
      </x:c>
      <x:c r="AO2386" s="3" t="str">
        <x:v>public_directory.jsonl</x:v>
      </x:c>
      <x:c r="AP2386" s="19"/>
    </x:row>
    <x:row r="2387" ht="36" customHeight="1">
      <x:c r="A2387" s="23" t="n">
        <x:v>2386</x:v>
      </x:c>
      <x:c r="B2387" s="15" t="str">
        <x:v>Apple Valley Capital Group</x:v>
      </x:c>
      <x:c r="C2387" s="15" t="str">
        <x:v>Apple Valley Capital Group</x:v>
      </x:c>
      <x:c r="D2387" s="15" t="str">
        <x:v>Property lender or directory member; operating-company capital unconfirmed</x:v>
      </x:c>
      <x:c r="E2387" s="15" t="str">
        <x:v>Property lender / private-money inquiry</x:v>
      </x:c>
      <x:c r="F2387" s="17" t="str">
        <x:v>New</x:v>
      </x:c>
      <x:c r="G2387" s="24" t="str">
        <x:v>support@applevalleycapital.com</x:v>
      </x:c>
      <x:c r="H2387" s="24" t="str">
        <x:v>+12162643797</x:v>
      </x:c>
      <x:c r="I2387" s="24" t="str">
        <x:v>https://www.applevalleycapital.com/</x:v>
      </x:c>
      <x:c r="J2387" s="16"/>
      <x:c r="K2387" s="16"/>
      <x:c r="L2387" s="16" t="str">
        <x:v>published_professional_contact_directness_unconfirmed</x:v>
      </x:c>
      <x:c r="M2387" s="16" t="str">
        <x:v>https://www.applevalleycapital.com/</x:v>
      </x:c>
      <x:c r="N2387" s="16" t="str">
        <x:v>$100K-$500K ticket not published / unconfirmed</x:v>
      </x:c>
      <x:c r="O2387" s="20"/>
      <x:c r="P2387" s="20"/>
      <x:c r="Q2387" s="25" t="str">
        <x:v>Property-loan range, not a corporate-capital commitment</x:v>
      </x:c>
      <x:c r="R2387" s="25" t="str">
        <x:v>Private real-estate finance experience. Corporate working capital, minority equity or profit participation requires a separate agreement from a property loan.</x:v>
      </x:c>
      <x:c r="S2387" s="25"/>
      <x:c r="T2387" s="25" t="str">
        <x:v>Confirm direct principal versus broker, $100K-$500K appetite, and whether capital can fund the operating company without a property mortgage.</x:v>
      </x:c>
      <x:c r="U2387" s="25" t="str">
        <x:v>https://nplaconference.com/private-lending-directory/page/2/
https://www.applevalleycapital.com/contact</x:v>
      </x:c>
      <x:c r="V2387" s="26" t="d">
        <x:v>2026-10-02T00:00:00.000Z</x:v>
      </x:c>
      <x:c r="W2387" s="26" t="d">
        <x:v>2026-09-30T00:00:00.000Z</x:v>
      </x:c>
      <x:c r="X2387" s="25" t="str">
        <x:v>Saved public company, industry-directory or regulatory source; source date retained</x:v>
      </x:c>
      <x:c r="Y2387" s="25" t="str">
        <x:v>https://www.applevalleycapital.com/contact</x:v>
      </x:c>
      <x:c r="Z2387" s="25" t="str">
        <x:v>https://www.applevalleycapital.com/contact</x:v>
      </x:c>
      <x:c r="AA2387" s="25" t="str">
        <x:v>[]</x:v>
      </x:c>
      <x:c r="AB2387" s="3" t="str">
        <x:v>Existing CapitalForge research, newly screened for this campaign</x:v>
      </x:c>
      <x:c r="AC2387" s="3" t="str">
        <x:v>unverified</x:v>
      </x:c>
      <x:c r="AD2387" s="3" t="str">
        <x:v>Not contacted / unconfirmed</x:v>
      </x:c>
      <x:c r="AE2387" s="3" t="str">
        <x:v>No</x:v>
      </x:c>
      <x:c r="AF2387" s="3" t="str">
        <x:v>No</x:v>
      </x:c>
      <x:c r="AG2387" s="3"/>
      <x:c r="AH2387" s="3"/>
      <x:c r="AI2387" s="18"/>
      <x:c r="AJ2387" s="3" t="str">
        <x:v>CF2500-88191CCBB214</x:v>
      </x:c>
      <x:c r="AK2387" s="3" t="str">
        <x:v>private_real_estate_or_finance_directory_member</x:v>
      </x:c>
      <x:c r="AL2387" s="19" t="n">
        <x:v>100000</x:v>
      </x:c>
      <x:c r="AM2387" s="19" t="n">
        <x:v>500000</x:v>
      </x:c>
      <x:c r="AN2387" s="3" t="str">
        <x:v>https://nplaconference.com/private-lending-directory/page/2/</x:v>
      </x:c>
      <x:c r="AO2387" s="3" t="str">
        <x:v>public_directory.jsonl</x:v>
      </x:c>
      <x:c r="AP2387" s="19"/>
    </x:row>
    <x:row r="2388" ht="36" customHeight="1">
      <x:c r="A2388" s="23" t="n">
        <x:v>2387</x:v>
      </x:c>
      <x:c r="B2388" s="15" t="str">
        <x:v>Arbitrust Lending</x:v>
      </x:c>
      <x:c r="C2388" s="15" t="str">
        <x:v>Arbitrust Lending</x:v>
      </x:c>
      <x:c r="D2388" s="15" t="str">
        <x:v>Property lender or directory member; operating-company capital unconfirmed</x:v>
      </x:c>
      <x:c r="E2388" s="15" t="str">
        <x:v>Property lender / private-money inquiry</x:v>
      </x:c>
      <x:c r="F2388" s="17" t="str">
        <x:v>New</x:v>
      </x:c>
      <x:c r="G2388" s="24" t="str">
        <x:v>loans@arbitrustlending.com</x:v>
      </x:c>
      <x:c r="H2388" s="24" t="str">
        <x:v>+19546757277</x:v>
      </x:c>
      <x:c r="I2388" s="24" t="str">
        <x:v>https://www.arbitrustlending.com/</x:v>
      </x:c>
      <x:c r="J2388" s="16"/>
      <x:c r="K2388" s="16"/>
      <x:c r="L2388" s="16" t="str">
        <x:v>published_professional_contact_directness_unconfirmed</x:v>
      </x:c>
      <x:c r="M2388" s="16" t="str">
        <x:v>https://www.arbitrustlending.com/</x:v>
      </x:c>
      <x:c r="N2388" s="16" t="str">
        <x:v>$100K-$500K ticket not published / unconfirmed</x:v>
      </x:c>
      <x:c r="O2388" s="20"/>
      <x:c r="P2388" s="20"/>
      <x:c r="Q2388" s="25" t="str">
        <x:v>Property-loan range, not a corporate-capital commitment</x:v>
      </x:c>
      <x:c r="R2388" s="25" t="str">
        <x:v>Private real-estate finance experience. Corporate working capital, minority equity or profit participation requires a separate agreement from a property loan.</x:v>
      </x:c>
      <x:c r="S2388" s="25"/>
      <x:c r="T2388" s="25" t="str">
        <x:v>Confirm direct principal versus broker, $100K-$500K appetite, and whether capital can fund the operating company without a property mortgage.</x:v>
      </x:c>
      <x:c r="U2388" s="25" t="str">
        <x:v>https://nplaconference.com/private-lending-directory/page/2/
https://www.arbitrustlending.com/</x:v>
      </x:c>
      <x:c r="V2388" s="26" t="d">
        <x:v>2026-10-02T00:00:00.000Z</x:v>
      </x:c>
      <x:c r="W2388" s="26" t="d">
        <x:v>2026-09-30T00:00:00.000Z</x:v>
      </x:c>
      <x:c r="X2388" s="25" t="str">
        <x:v>Saved public company, industry-directory or regulatory source; source date retained</x:v>
      </x:c>
      <x:c r="Y2388" s="25" t="str">
        <x:v>https://www.arbitrustlending.com/</x:v>
      </x:c>
      <x:c r="Z2388" s="25" t="str">
        <x:v>https://www.arbitrustlending.com/</x:v>
      </x:c>
      <x:c r="AA2388" s="25" t="str">
        <x:v>[]</x:v>
      </x:c>
      <x:c r="AB2388" s="3" t="str">
        <x:v>Existing CapitalForge research, newly screened for this campaign</x:v>
      </x:c>
      <x:c r="AC2388" s="3" t="str">
        <x:v>unverified</x:v>
      </x:c>
      <x:c r="AD2388" s="3" t="str">
        <x:v>Not contacted / unconfirmed</x:v>
      </x:c>
      <x:c r="AE2388" s="3" t="str">
        <x:v>No</x:v>
      </x:c>
      <x:c r="AF2388" s="3" t="str">
        <x:v>No</x:v>
      </x:c>
      <x:c r="AG2388" s="3"/>
      <x:c r="AH2388" s="3"/>
      <x:c r="AI2388" s="18"/>
      <x:c r="AJ2388" s="3" t="str">
        <x:v>CF2500-7043140F8161</x:v>
      </x:c>
      <x:c r="AK2388" s="3" t="str">
        <x:v>property_secured_lender</x:v>
      </x:c>
      <x:c r="AL2388" s="19" t="n">
        <x:v>100000</x:v>
      </x:c>
      <x:c r="AM2388" s="19" t="n">
        <x:v>500000</x:v>
      </x:c>
      <x:c r="AN2388" s="3" t="str">
        <x:v>https://nplaconference.com/private-lending-directory/page/2/</x:v>
      </x:c>
      <x:c r="AO2388" s="3" t="str">
        <x:v>public_directory.jsonl</x:v>
      </x:c>
      <x:c r="AP2388" s="19"/>
    </x:row>
    <x:row r="2389" ht="36" customHeight="1">
      <x:c r="A2389" s="23" t="n">
        <x:v>2388</x:v>
      </x:c>
      <x:c r="B2389" s="15" t="str">
        <x:v>ARC Private Lending</x:v>
      </x:c>
      <x:c r="C2389" s="15"/>
      <x:c r="D2389" s="15" t="str">
        <x:v>Property lender or directory member; operating-company capital unconfirmed</x:v>
      </x:c>
      <x:c r="E2389" s="15" t="str">
        <x:v>Property lender / private-money inquiry</x:v>
      </x:c>
      <x:c r="F2389" s="17" t="str">
        <x:v>New</x:v>
      </x:c>
      <x:c r="G2389" s="24" t="str">
        <x:v>loans@arcprivatelending.com</x:v>
      </x:c>
      <x:c r="H2389" s="24" t="str">
        <x:v>+17075431588</x:v>
      </x:c>
      <x:c r="I2389" s="24" t="str">
        <x:v>https://arcprivatelending.com/</x:v>
      </x:c>
      <x:c r="J2389" s="16" t="str">
        <x:v>CA</x:v>
      </x:c>
      <x:c r="K2389" s="16" t="str">
        <x:v>Santa Rosa</x:v>
      </x:c>
      <x:c r="L2389" s="16" t="str">
        <x:v>firm_business_routing</x:v>
      </x:c>
      <x:c r="M2389" s="16" t="str">
        <x:v>https://arcprivatelending.com/</x:v>
      </x:c>
      <x:c r="N2389" s="16" t="str">
        <x:v>$100K-$500K ticket not published / unconfirmed</x:v>
      </x:c>
      <x:c r="O2389" s="20"/>
      <x:c r="P2389" s="20"/>
      <x:c r="Q2389" s="25" t="str">
        <x:v>Property-loan range, not a corporate-capital commitment</x:v>
      </x:c>
      <x:c r="R2389" s="25" t="str">
        <x:v>Private real-estate finance experience. Corporate working capital, minority equity or profit participation requires a separate agreement from a property loan.</x:v>
      </x:c>
      <x:c r="S2389" s="25"/>
      <x:c r="T2389" s="25" t="str">
        <x:v>Confirm direct principal versus broker, $100K-$500K appetite, and whether capital can fund the operating company without a property mortgage.</x:v>
      </x:c>
      <x:c r="U2389" s="25" t="str">
        <x:v>https://www.privatelendersdirectory.com/california/santa-rosa/top-level-category/arc-private-lending
https://www.arcprivatelending.com/</x:v>
      </x:c>
      <x:c r="V2389" s="26" t="d">
        <x:v>2026-10-02T00:00:00.000Z</x:v>
      </x:c>
      <x:c r="W2389" s="26" t="d">
        <x:v>2026-09-30T00:00:00.000Z</x:v>
      </x:c>
      <x:c r="X2389" s="25" t="str">
        <x:v>Saved public company, industry-directory or regulatory source; source date retained</x:v>
      </x:c>
      <x:c r="Y2389" s="25" t="str">
        <x:v>https://www.arcprivatelending.com/</x:v>
      </x:c>
      <x:c r="Z2389" s="25" t="str">
        <x:v>https://www.arcprivatelending.com/</x:v>
      </x:c>
      <x:c r="AA2389" s="25" t="str">
        <x:v>[]</x:v>
      </x:c>
      <x:c r="AB2389" s="3" t="str">
        <x:v>Existing CapitalForge research, newly screened for this campaign</x:v>
      </x:c>
      <x:c r="AC2389" s="3" t="str">
        <x:v>unverified</x:v>
      </x:c>
      <x:c r="AD2389" s="3" t="str">
        <x:v>Not contacted / unconfirmed</x:v>
      </x:c>
      <x:c r="AE2389" s="3" t="str">
        <x:v>No</x:v>
      </x:c>
      <x:c r="AF2389" s="3" t="str">
        <x:v>No</x:v>
      </x:c>
      <x:c r="AG2389" s="3"/>
      <x:c r="AH2389" s="3"/>
      <x:c r="AI2389" s="18"/>
      <x:c r="AJ2389" s="3" t="str">
        <x:v>CF2500-2EC22032DED9</x:v>
      </x:c>
      <x:c r="AK2389" s="3" t="str">
        <x:v>private_real_estate_lender</x:v>
      </x:c>
      <x:c r="AL2389" s="19" t="n">
        <x:v>100000</x:v>
      </x:c>
      <x:c r="AM2389" s="19" t="n">
        <x:v>500000</x:v>
      </x:c>
      <x:c r="AN2389" s="3" t="str">
        <x:v>https://www.privatelendersdirectory.com/california/santa-rosa/top-level-category/arc-private-lending</x:v>
      </x:c>
      <x:c r="AO2389" s="3" t="str">
        <x:v>public_directory.jsonl</x:v>
      </x:c>
      <x:c r="AP2389" s="19"/>
    </x:row>
    <x:row r="2390" ht="36" customHeight="1">
      <x:c r="A2390" s="23" t="n">
        <x:v>2389</x:v>
      </x:c>
      <x:c r="B2390" s="15" t="str">
        <x:v>Arch Bridge Loans</x:v>
      </x:c>
      <x:c r="C2390" s="15"/>
      <x:c r="D2390" s="15" t="str">
        <x:v>Property lender or directory member; operating-company capital unconfirmed</x:v>
      </x:c>
      <x:c r="E2390" s="15" t="str">
        <x:v>Property lender / private-money inquiry</x:v>
      </x:c>
      <x:c r="F2390" s="17" t="str">
        <x:v>New</x:v>
      </x:c>
      <x:c r="G2390" s="24" t="str">
        <x:v>more.info@archloans.com</x:v>
      </x:c>
      <x:c r="H2390" s="24" t="str">
        <x:v>+19498910272</x:v>
      </x:c>
      <x:c r="I2390" s="24" t="str">
        <x:v>https://www.archloans.com/</x:v>
      </x:c>
      <x:c r="J2390" s="16" t="str">
        <x:v>CA</x:v>
      </x:c>
      <x:c r="K2390" s="16" t="str">
        <x:v>Newport Beach</x:v>
      </x:c>
      <x:c r="L2390" s="16" t="str">
        <x:v>firm_business_routing</x:v>
      </x:c>
      <x:c r="M2390" s="16" t="str">
        <x:v>https://www.archloans.com/</x:v>
      </x:c>
      <x:c r="N2390" s="16" t="str">
        <x:v>$100K-$500K ticket not published / unconfirmed</x:v>
      </x:c>
      <x:c r="O2390" s="20"/>
      <x:c r="P2390" s="20"/>
      <x:c r="Q2390" s="25" t="str">
        <x:v>Property-loan range, not a corporate-capital commitment</x:v>
      </x:c>
      <x:c r="R2390" s="25" t="str">
        <x:v>Private real-estate finance experience. Corporate working capital, minority equity or profit participation requires a separate agreement from a property loan.</x:v>
      </x:c>
      <x:c r="S2390" s="25"/>
      <x:c r="T2390" s="25" t="str">
        <x:v>Confirm direct principal versus broker, $100K-$500K appetite, and whether capital can fund the operating company without a property mortgage.</x:v>
      </x:c>
      <x:c r="U2390" s="25" t="str">
        <x:v>https://www.hardmoneyhome.com/lenders/view/arch-bridge-loans
https://www.archloans.com/contact/
https://www.privatelendersdirectory.com/united-states/newport-beach/real-estate-investment-lending/arch-loans</x:v>
      </x:c>
      <x:c r="V2390" s="26" t="d">
        <x:v>2026-10-02T00:00:00.000Z</x:v>
      </x:c>
      <x:c r="W2390" s="26" t="d">
        <x:v>2026-09-30T00:00:00.000Z</x:v>
      </x:c>
      <x:c r="X2390" s="25" t="str">
        <x:v>Saved public company, industry-directory or regulatory source; source date retained</x:v>
      </x:c>
      <x:c r="Y2390" s="25" t="str">
        <x:v>https://www.archloans.com/contact/</x:v>
      </x:c>
      <x:c r="Z2390" s="25" t="str">
        <x:v>https://www.hardmoneyhome.com/lenders/view/arch-bridge-loans</x:v>
      </x:c>
      <x:c r="AA2390" s="25" t="str">
        <x:v>[]</x:v>
      </x:c>
      <x:c r="AB2390" s="3" t="str">
        <x:v>Existing CapitalForge research, newly screened for this campaign</x:v>
      </x:c>
      <x:c r="AC2390" s="3" t="str">
        <x:v>unverified</x:v>
      </x:c>
      <x:c r="AD2390" s="3" t="str">
        <x:v>Not contacted / unconfirmed</x:v>
      </x:c>
      <x:c r="AE2390" s="3" t="str">
        <x:v>No</x:v>
      </x:c>
      <x:c r="AF2390" s="3" t="str">
        <x:v>No</x:v>
      </x:c>
      <x:c r="AG2390" s="3"/>
      <x:c r="AH2390" s="3"/>
      <x:c r="AI2390" s="18"/>
      <x:c r="AJ2390" s="3" t="str">
        <x:v>CF2500-D25D1EBA3DE8</x:v>
      </x:c>
      <x:c r="AK2390" s="3" t="str">
        <x:v>private_real_estate_lender</x:v>
      </x:c>
      <x:c r="AL2390" s="19" t="n">
        <x:v>100000</x:v>
      </x:c>
      <x:c r="AM2390" s="19" t="n">
        <x:v>500000</x:v>
      </x:c>
      <x:c r="AN2390" s="3" t="str">
        <x:v>https://www.hardmoneyhome.com/lenders/view/arch-bridge-loans</x:v>
      </x:c>
      <x:c r="AO2390" s="3" t="str">
        <x:v>public_directory.jsonl</x:v>
      </x:c>
      <x:c r="AP2390" s="19"/>
    </x:row>
    <x:row r="2391" ht="36" customHeight="1">
      <x:c r="A2391" s="23" t="n">
        <x:v>2390</x:v>
      </x:c>
      <x:c r="B2391" s="15" t="str">
        <x:v>ARCUS HARBOR RE CAPITAL</x:v>
      </x:c>
      <x:c r="C2391" s="15"/>
      <x:c r="D2391" s="15" t="str">
        <x:v>Property lender or directory member; operating-company capital unconfirmed</x:v>
      </x:c>
      <x:c r="E2391" s="15" t="str">
        <x:v>Property lender / private-money inquiry</x:v>
      </x:c>
      <x:c r="F2391" s="17" t="str">
        <x:v>New</x:v>
      </x:c>
      <x:c r="G2391" s="24" t="str">
        <x:v>team@arcusharbor.com</x:v>
      </x:c>
      <x:c r="H2391" s="24" t="str">
        <x:v>+19492756939</x:v>
      </x:c>
      <x:c r="I2391" s="24" t="str">
        <x:v>https://www.arcusharbor.com/</x:v>
      </x:c>
      <x:c r="J2391" s="16" t="str">
        <x:v>CA</x:v>
      </x:c>
      <x:c r="K2391" s="16" t="str">
        <x:v>Newport Beach</x:v>
      </x:c>
      <x:c r="L2391" s="16" t="str">
        <x:v>firm_business_routing</x:v>
      </x:c>
      <x:c r="M2391" s="16" t="str">
        <x:v>https://www.arcusharbor.com/</x:v>
      </x:c>
      <x:c r="N2391" s="16" t="str">
        <x:v>$100K-$500K ticket not published / unconfirmed</x:v>
      </x:c>
      <x:c r="O2391" s="20"/>
      <x:c r="P2391" s="20"/>
      <x:c r="Q2391" s="25" t="str">
        <x:v>Property-loan range, not a corporate-capital commitment</x:v>
      </x:c>
      <x:c r="R2391" s="25" t="str">
        <x:v>Private real-estate finance experience. Corporate working capital, minority equity or profit participation requires a separate agreement from a property loan.</x:v>
      </x:c>
      <x:c r="S2391" s="25"/>
      <x:c r="T2391" s="25" t="str">
        <x:v>Confirm direct principal versus broker, $100K-$500K appetite, and whether capital can fund the operating company without a property mortgage.</x:v>
      </x:c>
      <x:c r="U2391" s="25" t="str">
        <x:v>https://www.privatelendersdirectory.com/united-states/newport-beach/real-estate-investment-lending/arcus-harbor-re-capital
https://www.arcusharbor.com/contact/
https://www.arcusharbor.com/team/greg-reed/</x:v>
      </x:c>
      <x:c r="V2391" s="26" t="d">
        <x:v>2026-10-02T00:00:00.000Z</x:v>
      </x:c>
      <x:c r="W2391" s="26" t="d">
        <x:v>2026-09-30T00:00:00.000Z</x:v>
      </x:c>
      <x:c r="X2391" s="25" t="str">
        <x:v>Saved public company, industry-directory or regulatory source; source date retained</x:v>
      </x:c>
      <x:c r="Y2391" s="25" t="str">
        <x:v>https://www.arcusharbor.com/contact/</x:v>
      </x:c>
      <x:c r="Z2391" s="25" t="str">
        <x:v>https://www.arcusharbor.com/team/greg-reed/</x:v>
      </x:c>
      <x:c r="AA2391" s="25" t="str">
        <x:v>[]</x:v>
      </x:c>
      <x:c r="AB2391" s="3" t="str">
        <x:v>Existing CapitalForge research, newly screened for this campaign</x:v>
      </x:c>
      <x:c r="AC2391" s="3" t="str">
        <x:v>unverified</x:v>
      </x:c>
      <x:c r="AD2391" s="3" t="str">
        <x:v>Not contacted / unconfirmed</x:v>
      </x:c>
      <x:c r="AE2391" s="3" t="str">
        <x:v>No</x:v>
      </x:c>
      <x:c r="AF2391" s="3" t="str">
        <x:v>No</x:v>
      </x:c>
      <x:c r="AG2391" s="3"/>
      <x:c r="AH2391" s="3"/>
      <x:c r="AI2391" s="18"/>
      <x:c r="AJ2391" s="3" t="str">
        <x:v>CF2500-BA3E9B8D1E2B</x:v>
      </x:c>
      <x:c r="AK2391" s="3" t="str">
        <x:v>private_real_estate_lender</x:v>
      </x:c>
      <x:c r="AL2391" s="19" t="n">
        <x:v>100000</x:v>
      </x:c>
      <x:c r="AM2391" s="19" t="n">
        <x:v>500000</x:v>
      </x:c>
      <x:c r="AN2391" s="3" t="str">
        <x:v>https://www.privatelendersdirectory.com/united-states/newport-beach/real-estate-investment-lending/arcus-harbor-re-capital</x:v>
      </x:c>
      <x:c r="AO2391" s="3" t="str">
        <x:v>public_directory.jsonl</x:v>
      </x:c>
      <x:c r="AP2391" s="19"/>
    </x:row>
    <x:row r="2392" ht="36" customHeight="1">
      <x:c r="A2392" s="23" t="n">
        <x:v>2391</x:v>
      </x:c>
      <x:c r="B2392" s="15" t="str">
        <x:v>Arion Fund</x:v>
      </x:c>
      <x:c r="C2392" s="15" t="str">
        <x:v>Arion Fund</x:v>
      </x:c>
      <x:c r="D2392" s="15" t="str">
        <x:v>Property lender or directory member; operating-company capital unconfirmed</x:v>
      </x:c>
      <x:c r="E2392" s="15" t="str">
        <x:v>Property lender / private-money inquiry</x:v>
      </x:c>
      <x:c r="F2392" s="17" t="str">
        <x:v>New</x:v>
      </x:c>
      <x:c r="G2392" s="24" t="str">
        <x:v>office@arionfund.com</x:v>
      </x:c>
      <x:c r="H2392" s="24" t="str">
        <x:v>+12013743121</x:v>
      </x:c>
      <x:c r="I2392" s="24" t="str">
        <x:v>https://arionfund.com/</x:v>
      </x:c>
      <x:c r="J2392" s="16"/>
      <x:c r="K2392" s="16"/>
      <x:c r="L2392" s="16" t="str">
        <x:v>published_professional_contact_directness_unconfirmed</x:v>
      </x:c>
      <x:c r="M2392" s="16" t="str">
        <x:v>https://arionfund.com/</x:v>
      </x:c>
      <x:c r="N2392" s="16" t="str">
        <x:v>$100K-$500K ticket not published / unconfirmed</x:v>
      </x:c>
      <x:c r="O2392" s="20"/>
      <x:c r="P2392" s="20"/>
      <x:c r="Q2392" s="25" t="str">
        <x:v>Property-loan range, not a corporate-capital commitment</x:v>
      </x:c>
      <x:c r="R2392" s="25" t="str">
        <x:v>Private real-estate finance experience. Corporate working capital, minority equity or profit participation requires a separate agreement from a property loan.</x:v>
      </x:c>
      <x:c r="S2392" s="25"/>
      <x:c r="T2392" s="25" t="str">
        <x:v>Confirm direct principal versus broker, $100K-$500K appetite, and whether capital can fund the operating company without a property mortgage.</x:v>
      </x:c>
      <x:c r="U2392" s="25" t="str">
        <x:v>https://nplaconference.com/private-lending-directory/page/2/
https://arionfund.com/contact/
https://arionfund.com/</x:v>
      </x:c>
      <x:c r="V2392" s="26" t="d">
        <x:v>2026-10-02T00:00:00.000Z</x:v>
      </x:c>
      <x:c r="W2392" s="26" t="d">
        <x:v>2026-09-30T00:00:00.000Z</x:v>
      </x:c>
      <x:c r="X2392" s="25" t="str">
        <x:v>Saved public company, industry-directory or regulatory source; source date retained</x:v>
      </x:c>
      <x:c r="Y2392" s="25" t="str">
        <x:v>https://arionfund.com/</x:v>
      </x:c>
      <x:c r="Z2392" s="25" t="str">
        <x:v>https://arionfund.com/contact/</x:v>
      </x:c>
      <x:c r="AA2392" s="25" t="str">
        <x:v>[]</x:v>
      </x:c>
      <x:c r="AB2392" s="3" t="str">
        <x:v>Existing CapitalForge research, newly screened for this campaign</x:v>
      </x:c>
      <x:c r="AC2392" s="3" t="str">
        <x:v>unverified</x:v>
      </x:c>
      <x:c r="AD2392" s="3" t="str">
        <x:v>Not contacted / unconfirmed</x:v>
      </x:c>
      <x:c r="AE2392" s="3" t="str">
        <x:v>No</x:v>
      </x:c>
      <x:c r="AF2392" s="3" t="str">
        <x:v>No</x:v>
      </x:c>
      <x:c r="AG2392" s="3"/>
      <x:c r="AH2392" s="3"/>
      <x:c r="AI2392" s="18"/>
      <x:c r="AJ2392" s="3" t="str">
        <x:v>CF2500-9A18C65526DA</x:v>
      </x:c>
      <x:c r="AK2392" s="3" t="str">
        <x:v>private_real_estate_or_finance_directory_member</x:v>
      </x:c>
      <x:c r="AL2392" s="19" t="n">
        <x:v>100000</x:v>
      </x:c>
      <x:c r="AM2392" s="19" t="n">
        <x:v>500000</x:v>
      </x:c>
      <x:c r="AN2392" s="3" t="str">
        <x:v>https://nplaconference.com/private-lending-directory/page/2/</x:v>
      </x:c>
      <x:c r="AO2392" s="3" t="str">
        <x:v>public_directory.jsonl</x:v>
      </x:c>
      <x:c r="AP2392" s="19"/>
    </x:row>
    <x:row r="2393" ht="36" customHeight="1">
      <x:c r="A2393" s="23" t="n">
        <x:v>2392</x:v>
      </x:c>
      <x:c r="B2393" s="15" t="str">
        <x:v>Arixa Capital</x:v>
      </x:c>
      <x:c r="C2393" s="15"/>
      <x:c r="D2393" s="15" t="str">
        <x:v>Property lender or directory member; operating-company capital unconfirmed</x:v>
      </x:c>
      <x:c r="E2393" s="15" t="str">
        <x:v>Property lender / private-money inquiry</x:v>
      </x:c>
      <x:c r="F2393" s="17" t="str">
        <x:v>New</x:v>
      </x:c>
      <x:c r="G2393" s="24" t="str">
        <x:v>ksawyer@arixacapital.com</x:v>
      </x:c>
      <x:c r="H2393" s="24" t="str">
        <x:v>+13109053050</x:v>
      </x:c>
      <x:c r="I2393" s="24" t="str">
        <x:v>https://www.arixacapital.com/?utm_source=private-lender-link</x:v>
      </x:c>
      <x:c r="J2393" s="16" t="str">
        <x:v>California</x:v>
      </x:c>
      <x:c r="K2393" s="16" t="str">
        <x:v>Los Angeles</x:v>
      </x:c>
      <x:c r="L2393" s="16" t="str">
        <x:v>firm_business_routing</x:v>
      </x:c>
      <x:c r="M2393" s="16" t="str">
        <x:v>https://www.arixacapital.com/?utm_source=private-lender-link</x:v>
      </x:c>
      <x:c r="N2393" s="16" t="str">
        <x:v>$100K-$500K ticket not published / unconfirmed</x:v>
      </x:c>
      <x:c r="O2393" s="20"/>
      <x:c r="P2393" s="20"/>
      <x:c r="Q2393" s="25" t="str">
        <x:v>Property-loan range, not a corporate-capital commitment</x:v>
      </x:c>
      <x:c r="R2393" s="25" t="str">
        <x:v>Private real-estate finance experience. Corporate working capital, minority equity or profit participation requires a separate agreement from a property loan.</x:v>
      </x:c>
      <x:c r="S2393" s="25"/>
      <x:c r="T2393" s="25" t="str">
        <x:v>Confirm direct principal versus broker, $100K-$500K appetite, and whether capital can fund the operating company without a property mortgage.</x:v>
      </x:c>
      <x:c r="U2393" s="25" t="str">
        <x:v>https://privatelenderlink.com/profile/arixa-capital/
https://www.arixacapital.com/?utm_source=private-lender-link
https://www.privatelendersdirectory.com/united-states/los-angeles/real-estate-investment-lending/arixa-capital-advisors
https://www.arixacapital.com/
https://www.privatelendersdirectory.com/united-states/los-angeles/real-estate-investment-lending/arixa-capital
https://www.arixacapital.com/who-we-are</x:v>
      </x:c>
      <x:c r="V2393" s="26" t="d">
        <x:v>2026-10-02T00:00:00.000Z</x:v>
      </x:c>
      <x:c r="W2393" s="26" t="d">
        <x:v>2026-09-30T00:00:00.000Z</x:v>
      </x:c>
      <x:c r="X2393" s="25" t="str">
        <x:v>Saved public company, industry-directory or regulatory source; source date retained</x:v>
      </x:c>
      <x:c r="Y2393" s="25" t="str">
        <x:v>https://privatelenderlink.com/profile/arixa-capital/</x:v>
      </x:c>
      <x:c r="Z2393" s="25" t="str">
        <x:v>https://www.arixacapital.com/?utm_source=private-lender-link</x:v>
      </x:c>
      <x:c r="AA2393" s="25" t="str">
        <x:v>[]</x:v>
      </x:c>
      <x:c r="AB2393" s="3" t="str">
        <x:v>Existing CapitalForge research, newly screened for this campaign</x:v>
      </x:c>
      <x:c r="AC2393" s="3" t="str">
        <x:v>unverified</x:v>
      </x:c>
      <x:c r="AD2393" s="3" t="str">
        <x:v>Not contacted / unconfirmed</x:v>
      </x:c>
      <x:c r="AE2393" s="3" t="str">
        <x:v>No</x:v>
      </x:c>
      <x:c r="AF2393" s="3" t="str">
        <x:v>No</x:v>
      </x:c>
      <x:c r="AG2393" s="3"/>
      <x:c r="AH2393" s="3"/>
      <x:c r="AI2393" s="18"/>
      <x:c r="AJ2393" s="3" t="str">
        <x:v>CF2500-E7E6AA749180</x:v>
      </x:c>
      <x:c r="AK2393" s="3" t="str">
        <x:v>private_real_estate_lender</x:v>
      </x:c>
      <x:c r="AL2393" s="19" t="n">
        <x:v>100000</x:v>
      </x:c>
      <x:c r="AM2393" s="19" t="n">
        <x:v>500000</x:v>
      </x:c>
      <x:c r="AN2393" s="3" t="str">
        <x:v>https://privatelenderlink.com/profile/arixa-capital/</x:v>
      </x:c>
      <x:c r="AO2393" s="3" t="str">
        <x:v>public_directory.jsonl</x:v>
      </x:c>
      <x:c r="AP2393" s="19"/>
    </x:row>
    <x:row r="2394" ht="36" customHeight="1">
      <x:c r="A2394" s="23" t="n">
        <x:v>2393</x:v>
      </x:c>
      <x:c r="B2394" s="15" t="str">
        <x:v>ARKAD CAPITAL</x:v>
      </x:c>
      <x:c r="C2394" s="15"/>
      <x:c r="D2394" s="15" t="str">
        <x:v>Property lender or directory member; operating-company capital unconfirmed</x:v>
      </x:c>
      <x:c r="E2394" s="15" t="str">
        <x:v>Property lender / private-money inquiry</x:v>
      </x:c>
      <x:c r="F2394" s="17" t="str">
        <x:v>New</x:v>
      </x:c>
      <x:c r="G2394" s="24" t="str">
        <x:v>info@arkad.capital</x:v>
      </x:c>
      <x:c r="H2394" s="24" t="str">
        <x:v>+17326271141</x:v>
      </x:c>
      <x:c r="I2394" s="24" t="str">
        <x:v>https://arkad.capital/</x:v>
      </x:c>
      <x:c r="J2394" s="16" t="str">
        <x:v>NJ</x:v>
      </x:c>
      <x:c r="K2394" s="16" t="str">
        <x:v>Plainfield</x:v>
      </x:c>
      <x:c r="L2394" s="16" t="str">
        <x:v>firm_business_routing</x:v>
      </x:c>
      <x:c r="M2394" s="16" t="str">
        <x:v>https://arkad.capital/</x:v>
      </x:c>
      <x:c r="N2394" s="16" t="str">
        <x:v>$100K-$500K ticket not published / unconfirmed</x:v>
      </x:c>
      <x:c r="O2394" s="20"/>
      <x:c r="P2394" s="20"/>
      <x:c r="Q2394" s="25" t="str">
        <x:v>Property-loan range, not a corporate-capital commitment</x:v>
      </x:c>
      <x:c r="R2394" s="25" t="str">
        <x:v>Private real-estate finance experience. Corporate working capital, minority equity or profit participation requires a separate agreement from a property loan.</x:v>
      </x:c>
      <x:c r="S2394" s="25"/>
      <x:c r="T2394" s="25" t="str">
        <x:v>Confirm direct principal versus broker, $100K-$500K appetite, and whether capital can fund the operating company without a property mortgage.</x:v>
      </x:c>
      <x:c r="U2394" s="25" t="str">
        <x:v>https://www.privatelendersdirectory.com/united-states/plainfield/top-level-category/arkad-capital
https://arkad.capital/</x:v>
      </x:c>
      <x:c r="V2394" s="26" t="d">
        <x:v>2026-10-02T00:00:00.000Z</x:v>
      </x:c>
      <x:c r="W2394" s="26" t="d">
        <x:v>2026-09-30T00:00:00.000Z</x:v>
      </x:c>
      <x:c r="X2394" s="25" t="str">
        <x:v>Saved public company, industry-directory or regulatory source; source date retained</x:v>
      </x:c>
      <x:c r="Y2394" s="25" t="str">
        <x:v>https://arkad.capital/</x:v>
      </x:c>
      <x:c r="Z2394" s="25" t="str">
        <x:v>https://arkad.capital/</x:v>
      </x:c>
      <x:c r="AA2394" s="25" t="str">
        <x:v>[]</x:v>
      </x:c>
      <x:c r="AB2394" s="3" t="str">
        <x:v>Existing CapitalForge research, newly screened for this campaign</x:v>
      </x:c>
      <x:c r="AC2394" s="3" t="str">
        <x:v>unverified</x:v>
      </x:c>
      <x:c r="AD2394" s="3" t="str">
        <x:v>Not contacted / unconfirmed</x:v>
      </x:c>
      <x:c r="AE2394" s="3" t="str">
        <x:v>No</x:v>
      </x:c>
      <x:c r="AF2394" s="3" t="str">
        <x:v>No</x:v>
      </x:c>
      <x:c r="AG2394" s="3"/>
      <x:c r="AH2394" s="3"/>
      <x:c r="AI2394" s="18"/>
      <x:c r="AJ2394" s="3" t="str">
        <x:v>CF2500-EBF13128EF55</x:v>
      </x:c>
      <x:c r="AK2394" s="3" t="str">
        <x:v>private_real_estate_lender</x:v>
      </x:c>
      <x:c r="AL2394" s="19" t="n">
        <x:v>100000</x:v>
      </x:c>
      <x:c r="AM2394" s="19" t="n">
        <x:v>500000</x:v>
      </x:c>
      <x:c r="AN2394" s="3" t="str">
        <x:v>https://www.privatelendersdirectory.com/united-states/plainfield/top-level-category/arkad-capital</x:v>
      </x:c>
      <x:c r="AO2394" s="3" t="str">
        <x:v>public_directory.jsonl</x:v>
      </x:c>
      <x:c r="AP2394" s="19"/>
    </x:row>
    <x:row r="2395" ht="36" customHeight="1">
      <x:c r="A2395" s="23" t="n">
        <x:v>2394</x:v>
      </x:c>
      <x:c r="B2395" s="15" t="str">
        <x:v>ARV Finance</x:v>
      </x:c>
      <x:c r="C2395" s="15"/>
      <x:c r="D2395" s="15" t="str">
        <x:v>Property lender or directory member; operating-company capital unconfirmed</x:v>
      </x:c>
      <x:c r="E2395" s="15" t="str">
        <x:v>Property lender / private-money inquiry</x:v>
      </x:c>
      <x:c r="F2395" s="17" t="str">
        <x:v>New</x:v>
      </x:c>
      <x:c r="G2395" s="24" t="str">
        <x:v>neil@arvfinance.com</x:v>
      </x:c>
      <x:c r="H2395" s="24" t="str">
        <x:v>+16193025009</x:v>
      </x:c>
      <x:c r="I2395" s="24" t="str">
        <x:v>https://arvfinance.com/?utm_source=private-lender-link</x:v>
      </x:c>
      <x:c r="J2395" s="16" t="str">
        <x:v>CA</x:v>
      </x:c>
      <x:c r="K2395" s="16" t="str">
        <x:v>La Jolla</x:v>
      </x:c>
      <x:c r="L2395" s="16" t="str">
        <x:v>firm_business_routing</x:v>
      </x:c>
      <x:c r="M2395" s="16" t="str">
        <x:v>https://arvfinance.com/?utm_source=private-lender-link</x:v>
      </x:c>
      <x:c r="N2395" s="16" t="str">
        <x:v>$100K-$500K ticket not published / unconfirmed</x:v>
      </x:c>
      <x:c r="O2395" s="20"/>
      <x:c r="P2395" s="20"/>
      <x:c r="Q2395" s="25" t="str">
        <x:v>Property-loan range, not a corporate-capital commitment</x:v>
      </x:c>
      <x:c r="R2395" s="25" t="str">
        <x:v>Private real-estate finance experience. Corporate working capital, minority equity or profit participation requires a separate agreement from a property loan.</x:v>
      </x:c>
      <x:c r="S2395" s="25"/>
      <x:c r="T2395" s="25" t="str">
        <x:v>Confirm direct principal versus broker, $100K-$500K appetite, and whether capital can fund the operating company without a property mortgage.</x:v>
      </x:c>
      <x:c r="U2395" s="25" t="str">
        <x:v>https://privatelenderlink.com/profile/arv-finance/</x:v>
      </x:c>
      <x:c r="V2395" s="26" t="d">
        <x:v>2026-10-02T00:00:00.000Z</x:v>
      </x:c>
      <x:c r="W2395" s="26" t="d">
        <x:v>2026-09-30T00:00:00.000Z</x:v>
      </x:c>
      <x:c r="X2395" s="25" t="str">
        <x:v>Saved public company, industry-directory or regulatory source; source date retained</x:v>
      </x:c>
      <x:c r="Y2395" s="25" t="str">
        <x:v>https://privatelenderlink.com/profile/arv-finance/</x:v>
      </x:c>
      <x:c r="Z2395" s="25" t="str">
        <x:v>https://privatelenderlink.com/profile/arv-finance/</x:v>
      </x:c>
      <x:c r="AA2395" s="25" t="str">
        <x:v>[]</x:v>
      </x:c>
      <x:c r="AB2395" s="3" t="str">
        <x:v>Existing CapitalForge research, newly screened for this campaign</x:v>
      </x:c>
      <x:c r="AC2395" s="3" t="str">
        <x:v>unverified</x:v>
      </x:c>
      <x:c r="AD2395" s="3" t="str">
        <x:v>Not contacted / unconfirmed</x:v>
      </x:c>
      <x:c r="AE2395" s="3" t="str">
        <x:v>No</x:v>
      </x:c>
      <x:c r="AF2395" s="3" t="str">
        <x:v>No</x:v>
      </x:c>
      <x:c r="AG2395" s="3"/>
      <x:c r="AH2395" s="3"/>
      <x:c r="AI2395" s="18"/>
      <x:c r="AJ2395" s="3" t="str">
        <x:v>CF2500-3F73E33DD8EA</x:v>
      </x:c>
      <x:c r="AK2395" s="3" t="str">
        <x:v>private_real_estate_lender</x:v>
      </x:c>
      <x:c r="AL2395" s="19" t="n">
        <x:v>100000</x:v>
      </x:c>
      <x:c r="AM2395" s="19" t="n">
        <x:v>500000</x:v>
      </x:c>
      <x:c r="AN2395" s="3" t="str">
        <x:v>https://privatelenderlink.com/profile/arv-finance/</x:v>
      </x:c>
      <x:c r="AO2395" s="3" t="str">
        <x:v>public_directory.jsonl</x:v>
      </x:c>
      <x:c r="AP2395" s="19"/>
    </x:row>
    <x:row r="2396" ht="36" customHeight="1">
      <x:c r="A2396" s="23" t="n">
        <x:v>2395</x:v>
      </x:c>
      <x:c r="B2396" s="15" t="str">
        <x:v>ASAP FUNDING</x:v>
      </x:c>
      <x:c r="C2396" s="15"/>
      <x:c r="D2396" s="15" t="str">
        <x:v>Property lender or directory member; operating-company capital unconfirmed</x:v>
      </x:c>
      <x:c r="E2396" s="15" t="str">
        <x:v>Property lender / private-money inquiry</x:v>
      </x:c>
      <x:c r="F2396" s="17" t="str">
        <x:v>New</x:v>
      </x:c>
      <x:c r="G2396" s="24" t="str">
        <x:v>support@asap-funding.com</x:v>
      </x:c>
      <x:c r="H2396" s="24" t="str">
        <x:v>+18443202727</x:v>
      </x:c>
      <x:c r="I2396" s="24" t="str">
        <x:v>https://asap-funding.com/</x:v>
      </x:c>
      <x:c r="J2396" s="16" t="str">
        <x:v>CA</x:v>
      </x:c>
      <x:c r="K2396" s="16" t="str">
        <x:v>Fullerton</x:v>
      </x:c>
      <x:c r="L2396" s="16" t="str">
        <x:v>firm_business_routing</x:v>
      </x:c>
      <x:c r="M2396" s="16" t="str">
        <x:v>https://asap-funding.com/</x:v>
      </x:c>
      <x:c r="N2396" s="16" t="str">
        <x:v>$100K-$500K ticket not published / unconfirmed</x:v>
      </x:c>
      <x:c r="O2396" s="20"/>
      <x:c r="P2396" s="20"/>
      <x:c r="Q2396" s="25" t="str">
        <x:v>Property-loan range, not a corporate-capital commitment</x:v>
      </x:c>
      <x:c r="R2396" s="25" t="str">
        <x:v>Private real-estate finance experience. Corporate working capital, minority equity or profit participation requires a separate agreement from a property loan.</x:v>
      </x:c>
      <x:c r="S2396" s="25"/>
      <x:c r="T2396" s="25" t="str">
        <x:v>Confirm direct principal versus broker, $100K-$500K appetite, and whether capital can fund the operating company without a property mortgage.</x:v>
      </x:c>
      <x:c r="U2396" s="25" t="str">
        <x:v>https://www.privatelendersdirectory.com/united-states/fullerton/top-level-category/asap-funding
https://asap-funding.com/</x:v>
      </x:c>
      <x:c r="V2396" s="26" t="d">
        <x:v>2026-10-02T00:00:00.000Z</x:v>
      </x:c>
      <x:c r="W2396" s="26" t="d">
        <x:v>2026-09-30T00:00:00.000Z</x:v>
      </x:c>
      <x:c r="X2396" s="25" t="str">
        <x:v>Saved public company, industry-directory or regulatory source; source date retained</x:v>
      </x:c>
      <x:c r="Y2396" s="25" t="str">
        <x:v>https://asap-funding.com/</x:v>
      </x:c>
      <x:c r="Z2396" s="25" t="str">
        <x:v>https://asap-funding.com/</x:v>
      </x:c>
      <x:c r="AA2396" s="25" t="str">
        <x:v>[]</x:v>
      </x:c>
      <x:c r="AB2396" s="3" t="str">
        <x:v>Existing CapitalForge research, newly screened for this campaign</x:v>
      </x:c>
      <x:c r="AC2396" s="3" t="str">
        <x:v>unverified</x:v>
      </x:c>
      <x:c r="AD2396" s="3" t="str">
        <x:v>Not contacted / unconfirmed</x:v>
      </x:c>
      <x:c r="AE2396" s="3" t="str">
        <x:v>No</x:v>
      </x:c>
      <x:c r="AF2396" s="3" t="str">
        <x:v>No</x:v>
      </x:c>
      <x:c r="AG2396" s="3"/>
      <x:c r="AH2396" s="3"/>
      <x:c r="AI2396" s="18"/>
      <x:c r="AJ2396" s="3" t="str">
        <x:v>CF2500-25756200E401</x:v>
      </x:c>
      <x:c r="AK2396" s="3" t="str">
        <x:v>private_real_estate_lender</x:v>
      </x:c>
      <x:c r="AL2396" s="19" t="n">
        <x:v>100000</x:v>
      </x:c>
      <x:c r="AM2396" s="19" t="n">
        <x:v>500000</x:v>
      </x:c>
      <x:c r="AN2396" s="3" t="str">
        <x:v>https://www.privatelendersdirectory.com/united-states/fullerton/top-level-category/asap-funding</x:v>
      </x:c>
      <x:c r="AO2396" s="3" t="str">
        <x:v>public_directory.jsonl</x:v>
      </x:c>
      <x:c r="AP2396" s="19"/>
    </x:row>
    <x:row r="2397" ht="36" customHeight="1">
      <x:c r="A2397" s="23" t="n">
        <x:v>2396</x:v>
      </x:c>
      <x:c r="B2397" s="15" t="str">
        <x:v>Ascent Developer Solutions</x:v>
      </x:c>
      <x:c r="C2397" s="15"/>
      <x:c r="D2397" s="15" t="str">
        <x:v>Property lender or directory member; operating-company capital unconfirmed</x:v>
      </x:c>
      <x:c r="E2397" s="15" t="str">
        <x:v>Property lender / private-money inquiry</x:v>
      </x:c>
      <x:c r="F2397" s="17" t="str">
        <x:v>New</x:v>
      </x:c>
      <x:c r="G2397" s="24" t="str">
        <x:v>theteam@ascentds.com</x:v>
      </x:c>
      <x:c r="H2397" s="24" t="str">
        <x:v>+18883414503</x:v>
      </x:c>
      <x:c r="I2397" s="24" t="str">
        <x:v>https://www.ascentds.com/?utm_source=private-lender-link</x:v>
      </x:c>
      <x:c r="J2397" s="16" t="str">
        <x:v>CA</x:v>
      </x:c>
      <x:c r="K2397" s="16" t="str">
        <x:v>Encino</x:v>
      </x:c>
      <x:c r="L2397" s="16" t="str">
        <x:v>firm_business_routing</x:v>
      </x:c>
      <x:c r="M2397" s="16" t="str">
        <x:v>https://www.ascentds.com/?utm_source=private-lender-link</x:v>
      </x:c>
      <x:c r="N2397" s="16" t="str">
        <x:v>$100K-$500K ticket not published / unconfirmed</x:v>
      </x:c>
      <x:c r="O2397" s="20"/>
      <x:c r="P2397" s="20"/>
      <x:c r="Q2397" s="25" t="str">
        <x:v>Property-loan range, not a corporate-capital commitment</x:v>
      </x:c>
      <x:c r="R2397" s="25" t="str">
        <x:v>Private real-estate finance experience. Corporate working capital, minority equity or profit participation requires a separate agreement from a property loan.</x:v>
      </x:c>
      <x:c r="S2397" s="25"/>
      <x:c r="T2397" s="25" t="str">
        <x:v>Confirm direct principal versus broker, $100K-$500K appetite, and whether capital can fund the operating company without a property mortgage.</x:v>
      </x:c>
      <x:c r="U2397" s="25" t="str">
        <x:v>https://privatelenderlink.com/profile/ascent-developer-solutions/
https://www.ascentds.com/?utm_source=private-lender-link</x:v>
      </x:c>
      <x:c r="V2397" s="26" t="d">
        <x:v>2026-10-02T00:00:00.000Z</x:v>
      </x:c>
      <x:c r="W2397" s="26" t="d">
        <x:v>2026-09-30T00:00:00.000Z</x:v>
      </x:c>
      <x:c r="X2397" s="25" t="str">
        <x:v>Saved public company, industry-directory or regulatory source; source date retained</x:v>
      </x:c>
      <x:c r="Y2397" s="25" t="str">
        <x:v>https://www.ascentds.com/?utm_source=private-lender-link</x:v>
      </x:c>
      <x:c r="Z2397" s="25" t="str">
        <x:v>https://privatelenderlink.com/profile/ascent-developer-solutions/</x:v>
      </x:c>
      <x:c r="AA2397" s="25" t="str">
        <x:v>[]</x:v>
      </x:c>
      <x:c r="AB2397" s="3" t="str">
        <x:v>Existing CapitalForge research, newly screened for this campaign</x:v>
      </x:c>
      <x:c r="AC2397" s="3" t="str">
        <x:v>unverified</x:v>
      </x:c>
      <x:c r="AD2397" s="3" t="str">
        <x:v>Not contacted / unconfirmed</x:v>
      </x:c>
      <x:c r="AE2397" s="3" t="str">
        <x:v>No</x:v>
      </x:c>
      <x:c r="AF2397" s="3" t="str">
        <x:v>No</x:v>
      </x:c>
      <x:c r="AG2397" s="3"/>
      <x:c r="AH2397" s="3"/>
      <x:c r="AI2397" s="18"/>
      <x:c r="AJ2397" s="3" t="str">
        <x:v>CF2500-B8BD9B7C3786</x:v>
      </x:c>
      <x:c r="AK2397" s="3" t="str">
        <x:v>private_real_estate_lender</x:v>
      </x:c>
      <x:c r="AL2397" s="19" t="n">
        <x:v>100000</x:v>
      </x:c>
      <x:c r="AM2397" s="19" t="n">
        <x:v>500000</x:v>
      </x:c>
      <x:c r="AN2397" s="3" t="str">
        <x:v>https://privatelenderlink.com/profile/ascent-developer-solutions/</x:v>
      </x:c>
      <x:c r="AO2397" s="3" t="str">
        <x:v>public_directory.jsonl</x:v>
      </x:c>
      <x:c r="AP2397" s="19"/>
    </x:row>
    <x:row r="2398" ht="36" customHeight="1">
      <x:c r="A2398" s="23" t="n">
        <x:v>2397</x:v>
      </x:c>
      <x:c r="B2398" s="15" t="str">
        <x:v>ASCENT EQUITY GROUP</x:v>
      </x:c>
      <x:c r="C2398" s="15"/>
      <x:c r="D2398" s="15" t="str">
        <x:v>Property lender or directory member; operating-company capital unconfirmed</x:v>
      </x:c>
      <x:c r="E2398" s="15" t="str">
        <x:v>Property lender / private-money inquiry</x:v>
      </x:c>
      <x:c r="F2398" s="17" t="str">
        <x:v>New</x:v>
      </x:c>
      <x:c r="G2398" s="24" t="str">
        <x:v>info@ascentequitygroup.com</x:v>
      </x:c>
      <x:c r="H2398" s="24" t="str">
        <x:v>+16056463286</x:v>
      </x:c>
      <x:c r="I2398" s="24" t="str">
        <x:v>https://ascentequitygroup.com/</x:v>
      </x:c>
      <x:c r="J2398" s="16" t="str">
        <x:v>WY</x:v>
      </x:c>
      <x:c r="K2398" s="16" t="str">
        <x:v>Cheyenne</x:v>
      </x:c>
      <x:c r="L2398" s="16" t="str">
        <x:v>firm_business_routing</x:v>
      </x:c>
      <x:c r="M2398" s="16" t="str">
        <x:v>https://ascentequitygroup.com/</x:v>
      </x:c>
      <x:c r="N2398" s="16" t="str">
        <x:v>$100K-$500K ticket not published / unconfirmed</x:v>
      </x:c>
      <x:c r="O2398" s="20"/>
      <x:c r="P2398" s="20"/>
      <x:c r="Q2398" s="25" t="str">
        <x:v>Property-loan range, not a corporate-capital commitment</x:v>
      </x:c>
      <x:c r="R2398" s="25" t="str">
        <x:v>Private real-estate finance experience. Corporate working capital, minority equity or profit participation requires a separate agreement from a property loan.</x:v>
      </x:c>
      <x:c r="S2398" s="25"/>
      <x:c r="T2398" s="25" t="str">
        <x:v>Confirm direct principal versus broker, $100K-$500K appetite, and whether capital can fund the operating company without a property mortgage.</x:v>
      </x:c>
      <x:c r="U2398" s="25" t="str">
        <x:v>https://www.privatelendersdirectory.com/united-states/cheyenne/top-level-category/ascent-equity-group
https://ascentequitygroup.com/</x:v>
      </x:c>
      <x:c r="V2398" s="26" t="d">
        <x:v>2026-10-02T00:00:00.000Z</x:v>
      </x:c>
      <x:c r="W2398" s="26" t="d">
        <x:v>2026-09-30T00:00:00.000Z</x:v>
      </x:c>
      <x:c r="X2398" s="25" t="str">
        <x:v>Saved public company, industry-directory or regulatory source; source date retained</x:v>
      </x:c>
      <x:c r="Y2398" s="25" t="str">
        <x:v>https://ascentequitygroup.com/</x:v>
      </x:c>
      <x:c r="Z2398" s="25" t="str">
        <x:v>https://ascentequitygroup.com/</x:v>
      </x:c>
      <x:c r="AA2398" s="25" t="str">
        <x:v>[]</x:v>
      </x:c>
      <x:c r="AB2398" s="3" t="str">
        <x:v>Existing CapitalForge research, newly screened for this campaign</x:v>
      </x:c>
      <x:c r="AC2398" s="3" t="str">
        <x:v>unverified</x:v>
      </x:c>
      <x:c r="AD2398" s="3" t="str">
        <x:v>Not contacted / unconfirmed</x:v>
      </x:c>
      <x:c r="AE2398" s="3" t="str">
        <x:v>No</x:v>
      </x:c>
      <x:c r="AF2398" s="3" t="str">
        <x:v>No</x:v>
      </x:c>
      <x:c r="AG2398" s="3"/>
      <x:c r="AH2398" s="3"/>
      <x:c r="AI2398" s="18"/>
      <x:c r="AJ2398" s="3" t="str">
        <x:v>CF2500-08EBFB56209B</x:v>
      </x:c>
      <x:c r="AK2398" s="3" t="str">
        <x:v>private_real_estate_lender</x:v>
      </x:c>
      <x:c r="AL2398" s="19" t="n">
        <x:v>100000</x:v>
      </x:c>
      <x:c r="AM2398" s="19" t="n">
        <x:v>500000</x:v>
      </x:c>
      <x:c r="AN2398" s="3" t="str">
        <x:v>https://www.privatelendersdirectory.com/united-states/cheyenne/top-level-category/ascent-equity-group</x:v>
      </x:c>
      <x:c r="AO2398" s="3" t="str">
        <x:v>public_directory.jsonl</x:v>
      </x:c>
      <x:c r="AP2398" s="19"/>
    </x:row>
    <x:row r="2399" ht="36" customHeight="1">
      <x:c r="A2399" s="23" t="n">
        <x:v>2398</x:v>
      </x:c>
      <x:c r="B2399" s="15" t="str">
        <x:v>Asteris Lending</x:v>
      </x:c>
      <x:c r="C2399" s="15" t="str">
        <x:v>Asteris Lending</x:v>
      </x:c>
      <x:c r="D2399" s="15" t="str">
        <x:v>Property lender or directory member; operating-company capital unconfirmed</x:v>
      </x:c>
      <x:c r="E2399" s="15" t="str">
        <x:v>Property lender / private-money inquiry</x:v>
      </x:c>
      <x:c r="F2399" s="17" t="str">
        <x:v>New</x:v>
      </x:c>
      <x:c r="G2399" s="24" t="str">
        <x:v>info@asterislending.com</x:v>
      </x:c>
      <x:c r="H2399" s="24" t="str">
        <x:v>+18889801809</x:v>
      </x:c>
      <x:c r="I2399" s="24" t="str">
        <x:v>https://asterislending.com</x:v>
      </x:c>
      <x:c r="J2399" s="16"/>
      <x:c r="K2399" s="16"/>
      <x:c r="L2399" s="16" t="str">
        <x:v>published_professional_contact_directness_unconfirmed</x:v>
      </x:c>
      <x:c r="M2399" s="16" t="str">
        <x:v>https://asterislending.com</x:v>
      </x:c>
      <x:c r="N2399" s="16" t="str">
        <x:v>$100K-$500K ticket not published / unconfirmed</x:v>
      </x:c>
      <x:c r="O2399" s="20"/>
      <x:c r="P2399" s="20"/>
      <x:c r="Q2399" s="25" t="str">
        <x:v>Property-loan range, not a corporate-capital commitment</x:v>
      </x:c>
      <x:c r="R2399" s="25" t="str">
        <x:v>Private real-estate finance experience. Corporate working capital, minority equity or profit participation requires a separate agreement from a property loan.</x:v>
      </x:c>
      <x:c r="S2399" s="25"/>
      <x:c r="T2399" s="25" t="str">
        <x:v>Confirm direct principal versus broker, $100K-$500K appetite, and whether capital can fund the operating company without a property mortgage.</x:v>
      </x:c>
      <x:c r="U2399" s="25" t="str">
        <x:v>https://nplaconference.com/private-lending-directory/page/2/
https://asterislending.com</x:v>
      </x:c>
      <x:c r="V2399" s="26" t="d">
        <x:v>2026-10-02T00:00:00.000Z</x:v>
      </x:c>
      <x:c r="W2399" s="26" t="d">
        <x:v>2026-09-30T00:00:00.000Z</x:v>
      </x:c>
      <x:c r="X2399" s="25" t="str">
        <x:v>Saved public company, industry-directory or regulatory source; source date retained</x:v>
      </x:c>
      <x:c r="Y2399" s="25" t="str">
        <x:v>https://asterislending.com</x:v>
      </x:c>
      <x:c r="Z2399" s="25" t="str">
        <x:v>https://asterislending.com</x:v>
      </x:c>
      <x:c r="AA2399" s="25" t="str">
        <x:v>[]</x:v>
      </x:c>
      <x:c r="AB2399" s="3" t="str">
        <x:v>Existing CapitalForge research, newly screened for this campaign</x:v>
      </x:c>
      <x:c r="AC2399" s="3" t="str">
        <x:v>unverified</x:v>
      </x:c>
      <x:c r="AD2399" s="3" t="str">
        <x:v>Not contacted / unconfirmed</x:v>
      </x:c>
      <x:c r="AE2399" s="3" t="str">
        <x:v>No</x:v>
      </x:c>
      <x:c r="AF2399" s="3" t="str">
        <x:v>No</x:v>
      </x:c>
      <x:c r="AG2399" s="3"/>
      <x:c r="AH2399" s="3"/>
      <x:c r="AI2399" s="18"/>
      <x:c r="AJ2399" s="3" t="str">
        <x:v>CF2500-80DD6851FCC1</x:v>
      </x:c>
      <x:c r="AK2399" s="3" t="str">
        <x:v>property_secured_lender</x:v>
      </x:c>
      <x:c r="AL2399" s="19" t="n">
        <x:v>100000</x:v>
      </x:c>
      <x:c r="AM2399" s="19" t="n">
        <x:v>500000</x:v>
      </x:c>
      <x:c r="AN2399" s="3" t="str">
        <x:v>https://nplaconference.com/private-lending-directory/page/2/</x:v>
      </x:c>
      <x:c r="AO2399" s="3" t="str">
        <x:v>public_directory.jsonl</x:v>
      </x:c>
      <x:c r="AP2399" s="19"/>
    </x:row>
    <x:row r="2400" ht="36" customHeight="1">
      <x:c r="A2400" s="23" t="n">
        <x:v>2399</x:v>
      </x:c>
      <x:c r="B2400" s="15" t="str">
        <x:v>Atlas Invest</x:v>
      </x:c>
      <x:c r="C2400" s="15" t="str">
        <x:v>Atlas Invest</x:v>
      </x:c>
      <x:c r="D2400" s="15" t="str">
        <x:v>Property lender or directory member; operating-company capital unconfirmed</x:v>
      </x:c>
      <x:c r="E2400" s="15" t="str">
        <x:v>Property lender / private-money inquiry</x:v>
      </x:c>
      <x:c r="F2400" s="17" t="str">
        <x:v>New</x:v>
      </x:c>
      <x:c r="G2400" s="24" t="str">
        <x:v>info@atlas-invest.co</x:v>
      </x:c>
      <x:c r="H2400" s="24" t="str">
        <x:v>+12122357310</x:v>
      </x:c>
      <x:c r="I2400" s="24" t="str">
        <x:v>https://www.atlas-invest.co/</x:v>
      </x:c>
      <x:c r="J2400" s="16"/>
      <x:c r="K2400" s="16"/>
      <x:c r="L2400" s="16" t="str">
        <x:v>published_professional_contact_directness_unconfirmed</x:v>
      </x:c>
      <x:c r="M2400" s="16" t="str">
        <x:v>https://www.atlas-invest.co/</x:v>
      </x:c>
      <x:c r="N2400" s="16" t="str">
        <x:v>$100K-$500K ticket not published / unconfirmed</x:v>
      </x:c>
      <x:c r="O2400" s="20"/>
      <x:c r="P2400" s="20"/>
      <x:c r="Q2400" s="25" t="str">
        <x:v>Property-loan range, not a corporate-capital commitment</x:v>
      </x:c>
      <x:c r="R2400" s="25" t="str">
        <x:v>Private real-estate finance experience. Corporate working capital, minority equity or profit participation requires a separate agreement from a property loan.</x:v>
      </x:c>
      <x:c r="S2400" s="25"/>
      <x:c r="T2400" s="25" t="str">
        <x:v>Confirm direct principal versus broker, $100K-$500K appetite, and whether capital can fund the operating company without a property mortgage.</x:v>
      </x:c>
      <x:c r="U2400" s="25" t="str">
        <x:v>https://nplaconference.com/private-lending-directory/page/2/
https://www.atlas-invest.co/</x:v>
      </x:c>
      <x:c r="V2400" s="26" t="d">
        <x:v>2026-10-02T00:00:00.000Z</x:v>
      </x:c>
      <x:c r="W2400" s="26" t="d">
        <x:v>2026-09-30T00:00:00.000Z</x:v>
      </x:c>
      <x:c r="X2400" s="25" t="str">
        <x:v>Saved public company, industry-directory or regulatory source; source date retained</x:v>
      </x:c>
      <x:c r="Y2400" s="25" t="str">
        <x:v>https://www.atlas-invest.co/</x:v>
      </x:c>
      <x:c r="Z2400" s="25" t="str">
        <x:v>https://www.atlas-invest.co/</x:v>
      </x:c>
      <x:c r="AA2400" s="25" t="str">
        <x:v>[]</x:v>
      </x:c>
      <x:c r="AB2400" s="3" t="str">
        <x:v>Existing CapitalForge research, newly screened for this campaign</x:v>
      </x:c>
      <x:c r="AC2400" s="3" t="str">
        <x:v>unverified</x:v>
      </x:c>
      <x:c r="AD2400" s="3" t="str">
        <x:v>Not contacted / unconfirmed</x:v>
      </x:c>
      <x:c r="AE2400" s="3" t="str">
        <x:v>No</x:v>
      </x:c>
      <x:c r="AF2400" s="3" t="str">
        <x:v>No</x:v>
      </x:c>
      <x:c r="AG2400" s="3"/>
      <x:c r="AH2400" s="3"/>
      <x:c r="AI2400" s="18"/>
      <x:c r="AJ2400" s="3" t="str">
        <x:v>CF2500-D2494773B20F</x:v>
      </x:c>
      <x:c r="AK2400" s="3" t="str">
        <x:v>property_secured_lender</x:v>
      </x:c>
      <x:c r="AL2400" s="19" t="n">
        <x:v>100000</x:v>
      </x:c>
      <x:c r="AM2400" s="19" t="n">
        <x:v>500000</x:v>
      </x:c>
      <x:c r="AN2400" s="3" t="str">
        <x:v>https://nplaconference.com/private-lending-directory/page/2/</x:v>
      </x:c>
      <x:c r="AO2400" s="3" t="str">
        <x:v>public_directory.jsonl</x:v>
      </x:c>
      <x:c r="AP2400" s="19"/>
    </x:row>
    <x:row r="2401" ht="36" customHeight="1">
      <x:c r="A2401" s="23" t="n">
        <x:v>2400</x:v>
      </x:c>
      <x:c r="B2401" s="15" t="str">
        <x:v>ATTLER CAPITAL</x:v>
      </x:c>
      <x:c r="C2401" s="15"/>
      <x:c r="D2401" s="15" t="str">
        <x:v>Property lender or directory member; operating-company capital unconfirmed</x:v>
      </x:c>
      <x:c r="E2401" s="15" t="str">
        <x:v>Property lender / private-money inquiry</x:v>
      </x:c>
      <x:c r="F2401" s="17" t="str">
        <x:v>New</x:v>
      </x:c>
      <x:c r="G2401" s="24" t="str">
        <x:v>info@attlercap.com</x:v>
      </x:c>
      <x:c r="H2401" s="24" t="str">
        <x:v>+18185702040</x:v>
      </x:c>
      <x:c r="I2401" s="24" t="str">
        <x:v>http://www.attlercap.com/</x:v>
      </x:c>
      <x:c r="J2401" s="16" t="str">
        <x:v>CA</x:v>
      </x:c>
      <x:c r="K2401" s="16" t="str">
        <x:v>Los Angeles</x:v>
      </x:c>
      <x:c r="L2401" s="16" t="str">
        <x:v>firm_business_routing</x:v>
      </x:c>
      <x:c r="M2401" s="16" t="str">
        <x:v>http://www.attlercap.com/</x:v>
      </x:c>
      <x:c r="N2401" s="16" t="str">
        <x:v>$100K-$500K ticket not published / unconfirmed</x:v>
      </x:c>
      <x:c r="O2401" s="20"/>
      <x:c r="P2401" s="20"/>
      <x:c r="Q2401" s="25" t="str">
        <x:v>Property-loan range, not a corporate-capital commitment</x:v>
      </x:c>
      <x:c r="R2401" s="25" t="str">
        <x:v>Private real-estate finance experience. Corporate working capital, minority equity or profit participation requires a separate agreement from a property loan.</x:v>
      </x:c>
      <x:c r="S2401" s="25"/>
      <x:c r="T2401" s="25" t="str">
        <x:v>Confirm direct principal versus broker, $100K-$500K appetite, and whether capital can fund the operating company without a property mortgage.</x:v>
      </x:c>
      <x:c r="U2401" s="25" t="str">
        <x:v>https://www.privatelendersdirectory.com/united-states/los-angeles/top-level-category/attler-capital
https://www.attlercap.com/</x:v>
      </x:c>
      <x:c r="V2401" s="26" t="d">
        <x:v>2026-10-02T00:00:00.000Z</x:v>
      </x:c>
      <x:c r="W2401" s="26" t="d">
        <x:v>2026-09-30T00:00:00.000Z</x:v>
      </x:c>
      <x:c r="X2401" s="25" t="str">
        <x:v>Saved public company, industry-directory or regulatory source; source date retained</x:v>
      </x:c>
      <x:c r="Y2401" s="25" t="str">
        <x:v>https://www.attlercap.com/</x:v>
      </x:c>
      <x:c r="Z2401" s="25" t="str">
        <x:v>https://www.attlercap.com/</x:v>
      </x:c>
      <x:c r="AA2401" s="25" t="str">
        <x:v>[]</x:v>
      </x:c>
      <x:c r="AB2401" s="3" t="str">
        <x:v>Existing CapitalForge research, newly screened for this campaign</x:v>
      </x:c>
      <x:c r="AC2401" s="3" t="str">
        <x:v>unverified</x:v>
      </x:c>
      <x:c r="AD2401" s="3" t="str">
        <x:v>Not contacted / unconfirmed</x:v>
      </x:c>
      <x:c r="AE2401" s="3" t="str">
        <x:v>No</x:v>
      </x:c>
      <x:c r="AF2401" s="3" t="str">
        <x:v>No</x:v>
      </x:c>
      <x:c r="AG2401" s="3"/>
      <x:c r="AH2401" s="3"/>
      <x:c r="AI2401" s="18"/>
      <x:c r="AJ2401" s="3" t="str">
        <x:v>CF2500-6563C5AED9FA</x:v>
      </x:c>
      <x:c r="AK2401" s="3" t="str">
        <x:v>private_real_estate_lender</x:v>
      </x:c>
      <x:c r="AL2401" s="19" t="n">
        <x:v>100000</x:v>
      </x:c>
      <x:c r="AM2401" s="19" t="n">
        <x:v>500000</x:v>
      </x:c>
      <x:c r="AN2401" s="3" t="str">
        <x:v>https://www.privatelendersdirectory.com/united-states/los-angeles/top-level-category/attler-capital</x:v>
      </x:c>
      <x:c r="AO2401" s="3" t="str">
        <x:v>public_directory.jsonl</x:v>
      </x:c>
      <x:c r="AP2401" s="19"/>
    </x:row>
    <x:row r="2402" ht="36" customHeight="1">
      <x:c r="A2402" s="23" t="n">
        <x:v>2401</x:v>
      </x:c>
      <x:c r="B2402" s="15" t="str">
        <x:v>AUSTIN FINANCIAL SERVICES</x:v>
      </x:c>
      <x:c r="C2402" s="15"/>
      <x:c r="D2402" s="15" t="str">
        <x:v>Property lender or directory member; operating-company capital unconfirmed</x:v>
      </x:c>
      <x:c r="E2402" s="15" t="str">
        <x:v>Property lender / private-money inquiry</x:v>
      </x:c>
      <x:c r="F2402" s="17" t="str">
        <x:v>New</x:v>
      </x:c>
      <x:c r="G2402" s="24" t="str">
        <x:v>inquiries@austinfinancial.com</x:v>
      </x:c>
      <x:c r="H2402" s="24" t="str">
        <x:v>+13104447939</x:v>
      </x:c>
      <x:c r="I2402" s="24" t="str">
        <x:v>https://austinfinancial.com/</x:v>
      </x:c>
      <x:c r="J2402" s="16" t="str">
        <x:v>CA</x:v>
      </x:c>
      <x:c r="K2402" s="16" t="str">
        <x:v>Los Angeles</x:v>
      </x:c>
      <x:c r="L2402" s="16" t="str">
        <x:v>firm_business_routing</x:v>
      </x:c>
      <x:c r="M2402" s="16" t="str">
        <x:v>https://austinfinancial.com/</x:v>
      </x:c>
      <x:c r="N2402" s="16" t="str">
        <x:v>$100K-$500K ticket not published / unconfirmed</x:v>
      </x:c>
      <x:c r="O2402" s="20"/>
      <x:c r="P2402" s="20"/>
      <x:c r="Q2402" s="25" t="str">
        <x:v>Property-loan range, not a corporate-capital commitment</x:v>
      </x:c>
      <x:c r="R2402" s="25" t="str">
        <x:v>Private real-estate finance experience. Corporate working capital, minority equity or profit participation requires a separate agreement from a property loan.</x:v>
      </x:c>
      <x:c r="S2402" s="25"/>
      <x:c r="T2402" s="25" t="str">
        <x:v>Confirm direct principal versus broker, $100K-$500K appetite, and whether capital can fund the operating company without a property mortgage.</x:v>
      </x:c>
      <x:c r="U2402" s="25" t="str">
        <x:v>https://www.privatelendersdirectory.com/united-states/los-angeles/top-level-category/austin-financial-services
https://austinfinancial.com/</x:v>
      </x:c>
      <x:c r="V2402" s="26" t="d">
        <x:v>2026-10-02T00:00:00.000Z</x:v>
      </x:c>
      <x:c r="W2402" s="26" t="d">
        <x:v>2026-09-30T00:00:00.000Z</x:v>
      </x:c>
      <x:c r="X2402" s="25" t="str">
        <x:v>Saved public company, industry-directory or regulatory source; source date retained</x:v>
      </x:c>
      <x:c r="Y2402" s="25" t="str">
        <x:v>https://austinfinancial.com/</x:v>
      </x:c>
      <x:c r="Z2402" s="25" t="str">
        <x:v>https://austinfinancial.com/</x:v>
      </x:c>
      <x:c r="AA2402" s="25" t="str">
        <x:v>[]</x:v>
      </x:c>
      <x:c r="AB2402" s="3" t="str">
        <x:v>Existing CapitalForge research, newly screened for this campaign</x:v>
      </x:c>
      <x:c r="AC2402" s="3" t="str">
        <x:v>unverified</x:v>
      </x:c>
      <x:c r="AD2402" s="3" t="str">
        <x:v>Not contacted / unconfirmed</x:v>
      </x:c>
      <x:c r="AE2402" s="3" t="str">
        <x:v>No</x:v>
      </x:c>
      <x:c r="AF2402" s="3" t="str">
        <x:v>No</x:v>
      </x:c>
      <x:c r="AG2402" s="3"/>
      <x:c r="AH2402" s="3"/>
      <x:c r="AI2402" s="18"/>
      <x:c r="AJ2402" s="3" t="str">
        <x:v>CF2500-4FEBBCB4F051</x:v>
      </x:c>
      <x:c r="AK2402" s="3" t="str">
        <x:v>private_real_estate_lender</x:v>
      </x:c>
      <x:c r="AL2402" s="19" t="n">
        <x:v>100000</x:v>
      </x:c>
      <x:c r="AM2402" s="19" t="n">
        <x:v>500000</x:v>
      </x:c>
      <x:c r="AN2402" s="3" t="str">
        <x:v>https://www.privatelendersdirectory.com/united-states/los-angeles/top-level-category/austin-financial-services</x:v>
      </x:c>
      <x:c r="AO2402" s="3" t="str">
        <x:v>public_directory.jsonl</x:v>
      </x:c>
      <x:c r="AP2402" s="19"/>
    </x:row>
    <x:row r="2403" ht="36" customHeight="1">
      <x:c r="A2403" s="23" t="n">
        <x:v>2402</x:v>
      </x:c>
      <x:c r="B2403" s="15" t="str">
        <x:v>Avatar Financial Group</x:v>
      </x:c>
      <x:c r="C2403" s="15" t="str">
        <x:v>RYAN CRONIN-PRATHER</x:v>
      </x:c>
      <x:c r="D2403" s="15" t="str">
        <x:v>Property lender or directory member; operating-company capital unconfirmed</x:v>
      </x:c>
      <x:c r="E2403" s="15" t="str">
        <x:v>Property lender / private-money inquiry</x:v>
      </x:c>
      <x:c r="F2403" s="17" t="str">
        <x:v>New</x:v>
      </x:c>
      <x:c r="G2403" s="24" t="str">
        <x:v>mark@avatarfinancial.com</x:v>
      </x:c>
      <x:c r="H2403" s="24" t="str">
        <x:v>+12065086139</x:v>
      </x:c>
      <x:c r="I2403" s="24" t="str">
        <x:v>https://www.avatarfinancial.com/</x:v>
      </x:c>
      <x:c r="J2403" s="16" t="str">
        <x:v>Washington</x:v>
      </x:c>
      <x:c r="K2403" s="16" t="str">
        <x:v>Seattle</x:v>
      </x:c>
      <x:c r="L2403" s="16" t="str">
        <x:v>published_professional_contact_directness_unconfirmed</x:v>
      </x:c>
      <x:c r="M2403" s="16" t="str">
        <x:v>https://www.avatarfinancial.com/</x:v>
      </x:c>
      <x:c r="N2403" s="16" t="str">
        <x:v>$100K-$500K ticket not published / unconfirmed</x:v>
      </x:c>
      <x:c r="O2403" s="20"/>
      <x:c r="P2403" s="20"/>
      <x:c r="Q2403" s="25" t="str">
        <x:v>Property-loan range, not a corporate-capital commitment</x:v>
      </x:c>
      <x:c r="R2403" s="25" t="str">
        <x:v>Private real-estate finance experience. Corporate working capital, minority equity or profit participation requires a separate agreement from a property loan.</x:v>
      </x:c>
      <x:c r="S2403" s="25"/>
      <x:c r="T2403" s="25" t="str">
        <x:v>Confirm direct principal versus broker, $100K-$500K appetite, and whether capital can fund the operating company without a property mortgage.</x:v>
      </x:c>
      <x:c r="U2403" s="25" t="str">
        <x:v>https://privatelenderlink.com/profile/avatar-financial-group/
https://adviserinfo.sec.gov/firm/summary/330793
https://reports.adviserinfo.sec.gov/reports/CompilationReports/IA_FIRM_SEC_Feed_09_29_2026.xml.gz
https://www.avatarfinancial.com/
https://reports.adviserinfo.sec.gov/reports/foia/advFilingData/2026/ADV_Filing_Data_20260301_20260331.zip
https://www.privatelendersdirectory.com/united-states/seattle/top-level-category/avatar-financial</x:v>
      </x:c>
      <x:c r="V2403" s="26" t="d">
        <x:v>2026-10-02T00:00:00.000Z</x:v>
      </x:c>
      <x:c r="W2403" s="26" t="d">
        <x:v>2026-09-30T00:00:00.000Z</x:v>
      </x:c>
      <x:c r="X2403" s="25" t="str">
        <x:v>Saved public company, industry-directory or regulatory source; source date retained</x:v>
      </x:c>
      <x:c r="Y2403" s="25" t="str">
        <x:v>https://privatelenderlink.com/profile/avatar-financial-group/</x:v>
      </x:c>
      <x:c r="Z2403" s="25" t="str">
        <x:v>https://privatelenderlink.com/profile/avatar-financial-group/</x:v>
      </x:c>
      <x:c r="AA2403" s="25" t="str">
        <x:v>[]</x:v>
      </x:c>
      <x:c r="AB2403" s="3" t="str">
        <x:v>Existing CapitalForge research, newly screened for this campaign</x:v>
      </x:c>
      <x:c r="AC2403" s="3" t="str">
        <x:v>unverified</x:v>
      </x:c>
      <x:c r="AD2403" s="3" t="str">
        <x:v>Not contacted / unconfirmed</x:v>
      </x:c>
      <x:c r="AE2403" s="3" t="str">
        <x:v>No</x:v>
      </x:c>
      <x:c r="AF2403" s="3" t="str">
        <x:v>No</x:v>
      </x:c>
      <x:c r="AG2403" s="3"/>
      <x:c r="AH2403" s="3"/>
      <x:c r="AI2403" s="18"/>
      <x:c r="AJ2403" s="3" t="str">
        <x:v>CF2500-7789681C4895</x:v>
      </x:c>
      <x:c r="AK2403" s="3" t="str">
        <x:v>private_real_estate_lender</x:v>
      </x:c>
      <x:c r="AL2403" s="19" t="n">
        <x:v>100000</x:v>
      </x:c>
      <x:c r="AM2403" s="19" t="n">
        <x:v>500000</x:v>
      </x:c>
      <x:c r="AN2403" s="3" t="str">
        <x:v>https://privatelenderlink.com/profile/avatar-financial-group/</x:v>
      </x:c>
      <x:c r="AO2403" s="3" t="str">
        <x:v>public_directory.jsonl</x:v>
      </x:c>
      <x:c r="AP2403" s="19"/>
    </x:row>
    <x:row r="2404" ht="36" customHeight="1">
      <x:c r="A2404" s="23" t="n">
        <x:v>2403</x:v>
      </x:c>
      <x:c r="B2404" s="15" t="str">
        <x:v>AX Capital LLC</x:v>
      </x:c>
      <x:c r="C2404" s="15"/>
      <x:c r="D2404" s="15" t="str">
        <x:v>Property lender or directory member; operating-company capital unconfirmed</x:v>
      </x:c>
      <x:c r="E2404" s="15" t="str">
        <x:v>Property lender / private-money inquiry</x:v>
      </x:c>
      <x:c r="F2404" s="17" t="str">
        <x:v>New</x:v>
      </x:c>
      <x:c r="G2404" s="24" t="str">
        <x:v>info@axcapitalgroup.com</x:v>
      </x:c>
      <x:c r="H2404" s="24" t="str">
        <x:v>+12677560226</x:v>
      </x:c>
      <x:c r="I2404" s="24" t="str">
        <x:v>https://axcapitalgroup.com/?utm_source=private-lender-link</x:v>
      </x:c>
      <x:c r="J2404" s="16" t="str">
        <x:v>PA</x:v>
      </x:c>
      <x:c r="K2404" s="16" t="str">
        <x:v>Feasterville</x:v>
      </x:c>
      <x:c r="L2404" s="16" t="str">
        <x:v>firm_business_routing</x:v>
      </x:c>
      <x:c r="M2404" s="16" t="str">
        <x:v>https://axcapitalgroup.com/?utm_source=private-lender-link</x:v>
      </x:c>
      <x:c r="N2404" s="16" t="str">
        <x:v>$100K-$500K ticket not published / unconfirmed</x:v>
      </x:c>
      <x:c r="O2404" s="20"/>
      <x:c r="P2404" s="20"/>
      <x:c r="Q2404" s="25" t="str">
        <x:v>Property-loan range, not a corporate-capital commitment</x:v>
      </x:c>
      <x:c r="R2404" s="25" t="str">
        <x:v>Private real-estate finance experience. Corporate working capital, minority equity or profit participation requires a separate agreement from a property loan.</x:v>
      </x:c>
      <x:c r="S2404" s="25"/>
      <x:c r="T2404" s="25" t="str">
        <x:v>Confirm direct principal versus broker, $100K-$500K appetite, and whether capital can fund the operating company without a property mortgage.</x:v>
      </x:c>
      <x:c r="U2404" s="25" t="str">
        <x:v>https://privatelenderlink.com/profile/ax-capital-llc/</x:v>
      </x:c>
      <x:c r="V2404" s="26" t="d">
        <x:v>2026-10-02T00:00:00.000Z</x:v>
      </x:c>
      <x:c r="W2404" s="26" t="d">
        <x:v>2026-09-30T00:00:00.000Z</x:v>
      </x:c>
      <x:c r="X2404" s="25" t="str">
        <x:v>Saved public company, industry-directory or regulatory source; source date retained</x:v>
      </x:c>
      <x:c r="Y2404" s="25" t="str">
        <x:v>https://privatelenderlink.com/profile/ax-capital-llc/</x:v>
      </x:c>
      <x:c r="Z2404" s="25" t="str">
        <x:v>https://privatelenderlink.com/profile/ax-capital-llc/</x:v>
      </x:c>
      <x:c r="AA2404" s="25" t="str">
        <x:v>[]</x:v>
      </x:c>
      <x:c r="AB2404" s="3" t="str">
        <x:v>Existing CapitalForge research, newly screened for this campaign</x:v>
      </x:c>
      <x:c r="AC2404" s="3" t="str">
        <x:v>unverified</x:v>
      </x:c>
      <x:c r="AD2404" s="3" t="str">
        <x:v>Not contacted / unconfirmed</x:v>
      </x:c>
      <x:c r="AE2404" s="3" t="str">
        <x:v>No</x:v>
      </x:c>
      <x:c r="AF2404" s="3" t="str">
        <x:v>No</x:v>
      </x:c>
      <x:c r="AG2404" s="3"/>
      <x:c r="AH2404" s="3"/>
      <x:c r="AI2404" s="18"/>
      <x:c r="AJ2404" s="3" t="str">
        <x:v>CF2500-57A582E91BC6</x:v>
      </x:c>
      <x:c r="AK2404" s="3" t="str">
        <x:v>private_real_estate_lender</x:v>
      </x:c>
      <x:c r="AL2404" s="19" t="n">
        <x:v>100000</x:v>
      </x:c>
      <x:c r="AM2404" s="19" t="n">
        <x:v>500000</x:v>
      </x:c>
      <x:c r="AN2404" s="3" t="str">
        <x:v>https://privatelenderlink.com/profile/ax-capital-llc/</x:v>
      </x:c>
      <x:c r="AO2404" s="3" t="str">
        <x:v>public_directory.jsonl</x:v>
      </x:c>
      <x:c r="AP2404" s="19"/>
    </x:row>
    <x:row r="2405" ht="36" customHeight="1">
      <x:c r="A2405" s="23" t="n">
        <x:v>2404</x:v>
      </x:c>
      <x:c r="B2405" s="15" t="str">
        <x:v>BANROCK</x:v>
      </x:c>
      <x:c r="C2405" s="15"/>
      <x:c r="D2405" s="15" t="str">
        <x:v>Property lender or directory member; operating-company capital unconfirmed</x:v>
      </x:c>
      <x:c r="E2405" s="15" t="str">
        <x:v>Property lender / private-money inquiry</x:v>
      </x:c>
      <x:c r="F2405" s="17" t="str">
        <x:v>New</x:v>
      </x:c>
      <x:c r="G2405" s="24" t="str">
        <x:v>info@banrock.com</x:v>
      </x:c>
      <x:c r="H2405" s="24" t="str">
        <x:v>+18184829212</x:v>
      </x:c>
      <x:c r="I2405" s="24" t="str">
        <x:v>https://banrock.com/</x:v>
      </x:c>
      <x:c r="J2405" s="16" t="str">
        <x:v>CA</x:v>
      </x:c>
      <x:c r="K2405" s="16" t="str">
        <x:v>Glendale</x:v>
      </x:c>
      <x:c r="L2405" s="16" t="str">
        <x:v>firm_business_routing</x:v>
      </x:c>
      <x:c r="M2405" s="16" t="str">
        <x:v>https://banrock.com/</x:v>
      </x:c>
      <x:c r="N2405" s="16" t="str">
        <x:v>$100K-$500K ticket not published / unconfirmed</x:v>
      </x:c>
      <x:c r="O2405" s="20"/>
      <x:c r="P2405" s="20"/>
      <x:c r="Q2405" s="25" t="str">
        <x:v>Property-loan range, not a corporate-capital commitment</x:v>
      </x:c>
      <x:c r="R2405" s="25" t="str">
        <x:v>Private real-estate finance experience. Corporate working capital, minority equity or profit participation requires a separate agreement from a property loan.</x:v>
      </x:c>
      <x:c r="S2405" s="25"/>
      <x:c r="T2405" s="25" t="str">
        <x:v>Confirm direct principal versus broker, $100K-$500K appetite, and whether capital can fund the operating company without a property mortgage.</x:v>
      </x:c>
      <x:c r="U2405" s="25" t="str">
        <x:v>https://www.privatelendersdirectory.com/united-states/glendale/top-level-category/banrock
https://banrock.com/
https://banrock.com/contact-us/</x:v>
      </x:c>
      <x:c r="V2405" s="26" t="d">
        <x:v>2026-10-02T00:00:00.000Z</x:v>
      </x:c>
      <x:c r="W2405" s="26" t="d">
        <x:v>2026-09-30T00:00:00.000Z</x:v>
      </x:c>
      <x:c r="X2405" s="25" t="str">
        <x:v>Saved public company, industry-directory or regulatory source; source date retained</x:v>
      </x:c>
      <x:c r="Y2405" s="25" t="str">
        <x:v>https://banrock.com/</x:v>
      </x:c>
      <x:c r="Z2405" s="25" t="str">
        <x:v>https://banrock.com/contact-us/</x:v>
      </x:c>
      <x:c r="AA2405" s="25" t="str">
        <x:v>[]</x:v>
      </x:c>
      <x:c r="AB2405" s="3" t="str">
        <x:v>Existing CapitalForge research, newly screened for this campaign</x:v>
      </x:c>
      <x:c r="AC2405" s="3" t="str">
        <x:v>unverified</x:v>
      </x:c>
      <x:c r="AD2405" s="3" t="str">
        <x:v>Not contacted / unconfirmed</x:v>
      </x:c>
      <x:c r="AE2405" s="3" t="str">
        <x:v>No</x:v>
      </x:c>
      <x:c r="AF2405" s="3" t="str">
        <x:v>No</x:v>
      </x:c>
      <x:c r="AG2405" s="3"/>
      <x:c r="AH2405" s="3"/>
      <x:c r="AI2405" s="18"/>
      <x:c r="AJ2405" s="3" t="str">
        <x:v>CF2500-7A70F0EFE6B4</x:v>
      </x:c>
      <x:c r="AK2405" s="3" t="str">
        <x:v>private_real_estate_lender</x:v>
      </x:c>
      <x:c r="AL2405" s="19" t="n">
        <x:v>100000</x:v>
      </x:c>
      <x:c r="AM2405" s="19" t="n">
        <x:v>500000</x:v>
      </x:c>
      <x:c r="AN2405" s="3" t="str">
        <x:v>https://www.privatelendersdirectory.com/united-states/glendale/top-level-category/banrock</x:v>
      </x:c>
      <x:c r="AO2405" s="3" t="str">
        <x:v>public_directory.jsonl</x:v>
      </x:c>
      <x:c r="AP2405" s="19"/>
    </x:row>
    <x:row r="2406" ht="36" customHeight="1">
      <x:c r="A2406" s="23" t="n">
        <x:v>2405</x:v>
      </x:c>
      <x:c r="B2406" s="15" t="str">
        <x:v>Battalion Lending LLC</x:v>
      </x:c>
      <x:c r="C2406" s="15"/>
      <x:c r="D2406" s="15" t="str">
        <x:v>Property lender or directory member; operating-company capital unconfirmed</x:v>
      </x:c>
      <x:c r="E2406" s="15" t="str">
        <x:v>Property lender / private-money inquiry</x:v>
      </x:c>
      <x:c r="F2406" s="17" t="str">
        <x:v>New</x:v>
      </x:c>
      <x:c r="G2406" s="24" t="str">
        <x:v>info@battalion.com</x:v>
      </x:c>
      <x:c r="H2406" s="24" t="str">
        <x:v>+17182082000</x:v>
      </x:c>
      <x:c r="I2406" s="24" t="str">
        <x:v>https://www.battalion.com/?utm_source=private-lender-link</x:v>
      </x:c>
      <x:c r="J2406" s="16" t="str">
        <x:v>New York</x:v>
      </x:c>
      <x:c r="K2406" s="16" t="str">
        <x:v>Brooklyn</x:v>
      </x:c>
      <x:c r="L2406" s="16" t="str">
        <x:v>firm_business_routing</x:v>
      </x:c>
      <x:c r="M2406" s="16" t="str">
        <x:v>https://www.battalion.com/?utm_source=private-lender-link</x:v>
      </x:c>
      <x:c r="N2406" s="16" t="str">
        <x:v>$100K-$500K ticket not published / unconfirmed</x:v>
      </x:c>
      <x:c r="O2406" s="20"/>
      <x:c r="P2406" s="20"/>
      <x:c r="Q2406" s="25" t="str">
        <x:v>Property-loan range, not a corporate-capital commitment</x:v>
      </x:c>
      <x:c r="R2406" s="25" t="str">
        <x:v>Private real-estate finance experience. Corporate working capital, minority equity or profit participation requires a separate agreement from a property loan.</x:v>
      </x:c>
      <x:c r="S2406" s="25"/>
      <x:c r="T2406" s="25" t="str">
        <x:v>Confirm direct principal versus broker, $100K-$500K appetite, and whether capital can fund the operating company without a property mortgage.</x:v>
      </x:c>
      <x:c r="U2406" s="25" t="str">
        <x:v>https://privatelenderlink.com/profile/battalion-lending-llc/</x:v>
      </x:c>
      <x:c r="V2406" s="26" t="d">
        <x:v>2026-10-02T00:00:00.000Z</x:v>
      </x:c>
      <x:c r="W2406" s="26" t="d">
        <x:v>2026-09-30T00:00:00.000Z</x:v>
      </x:c>
      <x:c r="X2406" s="25" t="str">
        <x:v>Saved public company, industry-directory or regulatory source; source date retained</x:v>
      </x:c>
      <x:c r="Y2406" s="25" t="str">
        <x:v>https://privatelenderlink.com/profile/battalion-lending-llc/</x:v>
      </x:c>
      <x:c r="Z2406" s="25" t="str">
        <x:v>https://privatelenderlink.com/profile/battalion-lending-llc/</x:v>
      </x:c>
      <x:c r="AA2406" s="25" t="str">
        <x:v>[]</x:v>
      </x:c>
      <x:c r="AB2406" s="3" t="str">
        <x:v>Existing CapitalForge research, newly screened for this campaign</x:v>
      </x:c>
      <x:c r="AC2406" s="3" t="str">
        <x:v>unverified</x:v>
      </x:c>
      <x:c r="AD2406" s="3" t="str">
        <x:v>Not contacted / unconfirmed</x:v>
      </x:c>
      <x:c r="AE2406" s="3" t="str">
        <x:v>No</x:v>
      </x:c>
      <x:c r="AF2406" s="3" t="str">
        <x:v>No</x:v>
      </x:c>
      <x:c r="AG2406" s="3"/>
      <x:c r="AH2406" s="3"/>
      <x:c r="AI2406" s="18"/>
      <x:c r="AJ2406" s="3" t="str">
        <x:v>CF2500-E61574C545DF</x:v>
      </x:c>
      <x:c r="AK2406" s="3" t="str">
        <x:v>private_real_estate_lender</x:v>
      </x:c>
      <x:c r="AL2406" s="19" t="n">
        <x:v>100000</x:v>
      </x:c>
      <x:c r="AM2406" s="19" t="n">
        <x:v>500000</x:v>
      </x:c>
      <x:c r="AN2406" s="3" t="str">
        <x:v>https://privatelenderlink.com/profile/battalion-lending-llc/</x:v>
      </x:c>
      <x:c r="AO2406" s="3" t="str">
        <x:v>public_directory.jsonl</x:v>
      </x:c>
      <x:c r="AP2406" s="19"/>
    </x:row>
    <x:row r="2407" ht="36" customHeight="1">
      <x:c r="A2407" s="23" t="n">
        <x:v>2406</x:v>
      </x:c>
      <x:c r="B2407" s="15" t="str">
        <x:v>BATTLE BORN CAPITAL</x:v>
      </x:c>
      <x:c r="C2407" s="15"/>
      <x:c r="D2407" s="15" t="str">
        <x:v>Property lender or directory member; operating-company capital unconfirmed</x:v>
      </x:c>
      <x:c r="E2407" s="15" t="str">
        <x:v>Property lender / private-money inquiry</x:v>
      </x:c>
      <x:c r="F2407" s="17" t="str">
        <x:v>New</x:v>
      </x:c>
      <x:c r="G2407" s="24" t="str">
        <x:v>info@battleborncap.com</x:v>
      </x:c>
      <x:c r="H2407" s="24" t="str">
        <x:v>+17029120118</x:v>
      </x:c>
      <x:c r="I2407" s="24" t="str">
        <x:v>https://battleborncap.com/</x:v>
      </x:c>
      <x:c r="J2407" s="16" t="str">
        <x:v>NV</x:v>
      </x:c>
      <x:c r="K2407" s="16" t="str">
        <x:v>Las Vegas</x:v>
      </x:c>
      <x:c r="L2407" s="16" t="str">
        <x:v>firm_business_routing</x:v>
      </x:c>
      <x:c r="M2407" s="16" t="str">
        <x:v>https://battleborncap.com/</x:v>
      </x:c>
      <x:c r="N2407" s="16" t="str">
        <x:v>$100K-$500K ticket not published / unconfirmed</x:v>
      </x:c>
      <x:c r="O2407" s="20"/>
      <x:c r="P2407" s="20"/>
      <x:c r="Q2407" s="25" t="str">
        <x:v>Property-loan range, not a corporate-capital commitment</x:v>
      </x:c>
      <x:c r="R2407" s="25" t="str">
        <x:v>Private real-estate finance experience. Corporate working capital, minority equity or profit participation requires a separate agreement from a property loan.</x:v>
      </x:c>
      <x:c r="S2407" s="25"/>
      <x:c r="T2407" s="25" t="str">
        <x:v>Confirm direct principal versus broker, $100K-$500K appetite, and whether capital can fund the operating company without a property mortgage.</x:v>
      </x:c>
      <x:c r="U2407" s="25" t="str">
        <x:v>https://www.privatelendersdirectory.com/united-states/las-vegas/real-estate-investment-lending/battle-born-capital
https://battleborncap.com/
https://battleborncap.com/contact-us/</x:v>
      </x:c>
      <x:c r="V2407" s="26" t="d">
        <x:v>2026-10-02T00:00:00.000Z</x:v>
      </x:c>
      <x:c r="W2407" s="26" t="d">
        <x:v>2026-09-30T00:00:00.000Z</x:v>
      </x:c>
      <x:c r="X2407" s="25" t="str">
        <x:v>Saved public company, industry-directory or regulatory source; source date retained</x:v>
      </x:c>
      <x:c r="Y2407" s="25" t="str">
        <x:v>https://battleborncap.com/</x:v>
      </x:c>
      <x:c r="Z2407" s="25" t="str">
        <x:v>https://battleborncap.com/contact-us/</x:v>
      </x:c>
      <x:c r="AA2407" s="25" t="str">
        <x:v>[]</x:v>
      </x:c>
      <x:c r="AB2407" s="3" t="str">
        <x:v>Existing CapitalForge research, newly screened for this campaign</x:v>
      </x:c>
      <x:c r="AC2407" s="3" t="str">
        <x:v>unverified</x:v>
      </x:c>
      <x:c r="AD2407" s="3" t="str">
        <x:v>Not contacted / unconfirmed</x:v>
      </x:c>
      <x:c r="AE2407" s="3" t="str">
        <x:v>No</x:v>
      </x:c>
      <x:c r="AF2407" s="3" t="str">
        <x:v>No</x:v>
      </x:c>
      <x:c r="AG2407" s="3"/>
      <x:c r="AH2407" s="3"/>
      <x:c r="AI2407" s="18"/>
      <x:c r="AJ2407" s="3" t="str">
        <x:v>CF2500-6F72E04A5FEA</x:v>
      </x:c>
      <x:c r="AK2407" s="3" t="str">
        <x:v>private_real_estate_lender</x:v>
      </x:c>
      <x:c r="AL2407" s="19" t="n">
        <x:v>100000</x:v>
      </x:c>
      <x:c r="AM2407" s="19" t="n">
        <x:v>500000</x:v>
      </x:c>
      <x:c r="AN2407" s="3" t="str">
        <x:v>https://www.privatelendersdirectory.com/united-states/las-vegas/real-estate-investment-lending/battle-born-capital</x:v>
      </x:c>
      <x:c r="AO2407" s="3" t="str">
        <x:v>public_directory.jsonl</x:v>
      </x:c>
      <x:c r="AP2407" s="19"/>
    </x:row>
    <x:row r="2408" ht="36" customHeight="1">
      <x:c r="A2408" s="23" t="n">
        <x:v>2407</x:v>
      </x:c>
      <x:c r="B2408" s="15" t="str">
        <x:v>BAY PRIVATE CAPITAL</x:v>
      </x:c>
      <x:c r="C2408" s="15"/>
      <x:c r="D2408" s="15" t="str">
        <x:v>Property lender or directory member; operating-company capital unconfirmed</x:v>
      </x:c>
      <x:c r="E2408" s="15" t="str">
        <x:v>Property lender / private-money inquiry</x:v>
      </x:c>
      <x:c r="F2408" s="17" t="str">
        <x:v>New</x:v>
      </x:c>
      <x:c r="G2408" s="24" t="str">
        <x:v>ben@bpcloans.com</x:v>
      </x:c>
      <x:c r="H2408" s="24" t="str">
        <x:v>+13018025576</x:v>
      </x:c>
      <x:c r="I2408" s="24" t="str">
        <x:v>https://www.bpcloans.com/</x:v>
      </x:c>
      <x:c r="J2408" s="16" t="str">
        <x:v>MD</x:v>
      </x:c>
      <x:c r="K2408" s="16" t="str">
        <x:v>Annapolis</x:v>
      </x:c>
      <x:c r="L2408" s="16" t="str">
        <x:v>firm_business_routing</x:v>
      </x:c>
      <x:c r="M2408" s="16" t="str">
        <x:v>https://www.bpcloans.com/</x:v>
      </x:c>
      <x:c r="N2408" s="16" t="str">
        <x:v>$100K-$500K ticket not published / unconfirmed</x:v>
      </x:c>
      <x:c r="O2408" s="20"/>
      <x:c r="P2408" s="20"/>
      <x:c r="Q2408" s="25" t="str">
        <x:v>Property-loan range, not a corporate-capital commitment</x:v>
      </x:c>
      <x:c r="R2408" s="25" t="str">
        <x:v>Private real-estate finance experience. Corporate working capital, minority equity or profit participation requires a separate agreement from a property loan.</x:v>
      </x:c>
      <x:c r="S2408" s="25"/>
      <x:c r="T2408" s="25" t="str">
        <x:v>Confirm direct principal versus broker, $100K-$500K appetite, and whether capital can fund the operating company without a property mortgage.</x:v>
      </x:c>
      <x:c r="U2408" s="25" t="str">
        <x:v>https://www.privatelendersdirectory.com/united-states/annapolis/top-level-category/bay-private-capital
https://bpcloans.com/</x:v>
      </x:c>
      <x:c r="V2408" s="26" t="d">
        <x:v>2026-10-02T00:00:00.000Z</x:v>
      </x:c>
      <x:c r="W2408" s="26" t="d">
        <x:v>2026-09-30T00:00:00.000Z</x:v>
      </x:c>
      <x:c r="X2408" s="25" t="str">
        <x:v>Saved public company, industry-directory or regulatory source; source date retained</x:v>
      </x:c>
      <x:c r="Y2408" s="25" t="str">
        <x:v>https://bpcloans.com/</x:v>
      </x:c>
      <x:c r="Z2408" s="25" t="str">
        <x:v>https://bpcloans.com/</x:v>
      </x:c>
      <x:c r="AA2408" s="25" t="str">
        <x:v>[]</x:v>
      </x:c>
      <x:c r="AB2408" s="3" t="str">
        <x:v>Existing CapitalForge research, newly screened for this campaign</x:v>
      </x:c>
      <x:c r="AC2408" s="3" t="str">
        <x:v>unverified</x:v>
      </x:c>
      <x:c r="AD2408" s="3" t="str">
        <x:v>Not contacted / unconfirmed</x:v>
      </x:c>
      <x:c r="AE2408" s="3" t="str">
        <x:v>No</x:v>
      </x:c>
      <x:c r="AF2408" s="3" t="str">
        <x:v>No</x:v>
      </x:c>
      <x:c r="AG2408" s="3"/>
      <x:c r="AH2408" s="3"/>
      <x:c r="AI2408" s="18"/>
      <x:c r="AJ2408" s="3" t="str">
        <x:v>CF2500-67E7FDBBC34D</x:v>
      </x:c>
      <x:c r="AK2408" s="3" t="str">
        <x:v>private_real_estate_lender</x:v>
      </x:c>
      <x:c r="AL2408" s="19" t="n">
        <x:v>100000</x:v>
      </x:c>
      <x:c r="AM2408" s="19" t="n">
        <x:v>500000</x:v>
      </x:c>
      <x:c r="AN2408" s="3" t="str">
        <x:v>https://www.privatelendersdirectory.com/united-states/annapolis/top-level-category/bay-private-capital</x:v>
      </x:c>
      <x:c r="AO2408" s="3" t="str">
        <x:v>public_directory.jsonl</x:v>
      </x:c>
      <x:c r="AP2408" s="19"/>
    </x:row>
    <x:row r="2409" ht="36" customHeight="1">
      <x:c r="A2409" s="23" t="n">
        <x:v>2408</x:v>
      </x:c>
      <x:c r="B2409" s="15" t="str">
        <x:v>BAY VIEW FUNDING</x:v>
      </x:c>
      <x:c r="C2409" s="15"/>
      <x:c r="D2409" s="15" t="str">
        <x:v>Property lender or directory member; operating-company capital unconfirmed</x:v>
      </x:c>
      <x:c r="E2409" s="15" t="str">
        <x:v>Property lender / private-money inquiry</x:v>
      </x:c>
      <x:c r="F2409" s="17" t="str">
        <x:v>New</x:v>
      </x:c>
      <x:c r="G2409" s="24" t="str">
        <x:v>info@bayviewfunding.com</x:v>
      </x:c>
      <x:c r="H2409" s="24" t="str">
        <x:v>+18882299993</x:v>
      </x:c>
      <x:c r="I2409" s="24" t="str">
        <x:v>https://www.bayviewfunding.com/</x:v>
      </x:c>
      <x:c r="J2409" s="16" t="str">
        <x:v>CA</x:v>
      </x:c>
      <x:c r="K2409" s="16" t="str">
        <x:v>San Jose</x:v>
      </x:c>
      <x:c r="L2409" s="16" t="str">
        <x:v>firm_business_routing</x:v>
      </x:c>
      <x:c r="M2409" s="16" t="str">
        <x:v>https://www.bayviewfunding.com/</x:v>
      </x:c>
      <x:c r="N2409" s="16" t="str">
        <x:v>$100K-$500K ticket not published / unconfirmed</x:v>
      </x:c>
      <x:c r="O2409" s="20"/>
      <x:c r="P2409" s="20"/>
      <x:c r="Q2409" s="25" t="str">
        <x:v>Property-loan range, not a corporate-capital commitment</x:v>
      </x:c>
      <x:c r="R2409" s="25" t="str">
        <x:v>Private real-estate finance experience. Corporate working capital, minority equity or profit participation requires a separate agreement from a property loan.</x:v>
      </x:c>
      <x:c r="S2409" s="25"/>
      <x:c r="T2409" s="25" t="str">
        <x:v>Confirm direct principal versus broker, $100K-$500K appetite, and whether capital can fund the operating company without a property mortgage.</x:v>
      </x:c>
      <x:c r="U2409" s="25" t="str">
        <x:v>https://www.privatelendersdirectory.com/united-states/san-jose/top-level-category/bay-view-funding
https://www.bayviewfunding.com/
https://www.bayviewfunding.com/contact</x:v>
      </x:c>
      <x:c r="V2409" s="26" t="d">
        <x:v>2026-10-02T00:00:00.000Z</x:v>
      </x:c>
      <x:c r="W2409" s="26" t="d">
        <x:v>2026-09-30T00:00:00.000Z</x:v>
      </x:c>
      <x:c r="X2409" s="25" t="str">
        <x:v>Saved public company, industry-directory or regulatory source; source date retained</x:v>
      </x:c>
      <x:c r="Y2409" s="25" t="str">
        <x:v>https://www.bayviewfunding.com/contact</x:v>
      </x:c>
      <x:c r="Z2409" s="25" t="str">
        <x:v>https://www.bayviewfunding.com/</x:v>
      </x:c>
      <x:c r="AA2409" s="25" t="str">
        <x:v>[]</x:v>
      </x:c>
      <x:c r="AB2409" s="3" t="str">
        <x:v>Existing CapitalForge research, newly screened for this campaign</x:v>
      </x:c>
      <x:c r="AC2409" s="3" t="str">
        <x:v>unverified</x:v>
      </x:c>
      <x:c r="AD2409" s="3" t="str">
        <x:v>Not contacted / unconfirmed</x:v>
      </x:c>
      <x:c r="AE2409" s="3" t="str">
        <x:v>No</x:v>
      </x:c>
      <x:c r="AF2409" s="3" t="str">
        <x:v>No</x:v>
      </x:c>
      <x:c r="AG2409" s="3"/>
      <x:c r="AH2409" s="3"/>
      <x:c r="AI2409" s="18"/>
      <x:c r="AJ2409" s="3" t="str">
        <x:v>CF2500-561F6489BB4C</x:v>
      </x:c>
      <x:c r="AK2409" s="3" t="str">
        <x:v>private_real_estate_lender</x:v>
      </x:c>
      <x:c r="AL2409" s="19" t="n">
        <x:v>100000</x:v>
      </x:c>
      <x:c r="AM2409" s="19" t="n">
        <x:v>500000</x:v>
      </x:c>
      <x:c r="AN2409" s="3" t="str">
        <x:v>https://www.privatelendersdirectory.com/united-states/san-jose/top-level-category/bay-view-funding</x:v>
      </x:c>
      <x:c r="AO2409" s="3" t="str">
        <x:v>public_directory.jsonl</x:v>
      </x:c>
      <x:c r="AP2409" s="19"/>
    </x:row>
    <x:row r="2410" ht="36" customHeight="1">
      <x:c r="A2410" s="23" t="n">
        <x:v>2409</x:v>
      </x:c>
      <x:c r="B2410" s="15" t="str">
        <x:v>Bayport Funding</x:v>
      </x:c>
      <x:c r="C2410" s="15"/>
      <x:c r="D2410" s="15" t="str">
        <x:v>Property lender or directory member; operating-company capital unconfirmed</x:v>
      </x:c>
      <x:c r="E2410" s="15" t="str">
        <x:v>Property lender / private-money inquiry</x:v>
      </x:c>
      <x:c r="F2410" s="17" t="str">
        <x:v>New</x:v>
      </x:c>
      <x:c r="G2410" s="24" t="str">
        <x:v>marketing@bayportfunding.com</x:v>
      </x:c>
      <x:c r="H2410" s="24" t="str">
        <x:v>+18006097707</x:v>
      </x:c>
      <x:c r="I2410" s="24" t="str">
        <x:v>https://bayportfunding.com</x:v>
      </x:c>
      <x:c r="J2410" s="16" t="str">
        <x:v>New York</x:v>
      </x:c>
      <x:c r="K2410" s="16" t="str">
        <x:v>Great Neck</x:v>
      </x:c>
      <x:c r="L2410" s="16" t="str">
        <x:v>firm_business_routing</x:v>
      </x:c>
      <x:c r="M2410" s="16" t="str">
        <x:v>https://bayportfunding.com</x:v>
      </x:c>
      <x:c r="N2410" s="16" t="str">
        <x:v>$100K-$500K ticket not published / unconfirmed</x:v>
      </x:c>
      <x:c r="O2410" s="20"/>
      <x:c r="P2410" s="20"/>
      <x:c r="Q2410" s="25" t="str">
        <x:v>Property-loan range, not a corporate-capital commitment</x:v>
      </x:c>
      <x:c r="R2410" s="25" t="str">
        <x:v>Private real-estate finance experience. Corporate working capital, minority equity or profit participation requires a separate agreement from a property loan.</x:v>
      </x:c>
      <x:c r="S2410" s="25"/>
      <x:c r="T2410" s="25" t="str">
        <x:v>Confirm direct principal versus broker, $100K-$500K appetite, and whether capital can fund the operating company without a property mortgage.</x:v>
      </x:c>
      <x:c r="U2410" s="25" t="str">
        <x:v>https://privatelenderlink.com/profile/bayport-funding/
https://bayportfunding.com
https://www.privatelendersdirectory.com/united-states/great-neck-plaza/top-level-category/bayport-funding
https://bayportfunding.com/</x:v>
      </x:c>
      <x:c r="V2410" s="26" t="d">
        <x:v>2026-10-02T00:00:00.000Z</x:v>
      </x:c>
      <x:c r="W2410" s="26" t="d">
        <x:v>2026-09-30T00:00:00.000Z</x:v>
      </x:c>
      <x:c r="X2410" s="25" t="str">
        <x:v>Saved public company, industry-directory or regulatory source; source date retained</x:v>
      </x:c>
      <x:c r="Y2410" s="25" t="str">
        <x:v>https://privatelenderlink.com/profile/bayport-funding/</x:v>
      </x:c>
      <x:c r="Z2410" s="25" t="str">
        <x:v>https://bayportfunding.com</x:v>
      </x:c>
      <x:c r="AA2410" s="25" t="str">
        <x:v>[]</x:v>
      </x:c>
      <x:c r="AB2410" s="3" t="str">
        <x:v>Existing CapitalForge research, newly screened for this campaign</x:v>
      </x:c>
      <x:c r="AC2410" s="3" t="str">
        <x:v>unverified</x:v>
      </x:c>
      <x:c r="AD2410" s="3" t="str">
        <x:v>Not contacted / unconfirmed</x:v>
      </x:c>
      <x:c r="AE2410" s="3" t="str">
        <x:v>No</x:v>
      </x:c>
      <x:c r="AF2410" s="3" t="str">
        <x:v>No</x:v>
      </x:c>
      <x:c r="AG2410" s="3"/>
      <x:c r="AH2410" s="3"/>
      <x:c r="AI2410" s="18"/>
      <x:c r="AJ2410" s="3" t="str">
        <x:v>CF2500-1CB730A5422B</x:v>
      </x:c>
      <x:c r="AK2410" s="3" t="str">
        <x:v>private_real_estate_lender</x:v>
      </x:c>
      <x:c r="AL2410" s="19" t="n">
        <x:v>100000</x:v>
      </x:c>
      <x:c r="AM2410" s="19" t="n">
        <x:v>500000</x:v>
      </x:c>
      <x:c r="AN2410" s="3" t="str">
        <x:v>https://privatelenderlink.com/profile/bayport-funding/</x:v>
      </x:c>
      <x:c r="AO2410" s="3" t="str">
        <x:v>public_directory.jsonl</x:v>
      </x:c>
      <x:c r="AP2410" s="19"/>
    </x:row>
    <x:row r="2411" ht="36" customHeight="1">
      <x:c r="A2411" s="23" t="n">
        <x:v>2410</x:v>
      </x:c>
      <x:c r="B2411" s="15" t="str">
        <x:v>BaySierra Financial, Inc.</x:v>
      </x:c>
      <x:c r="C2411" s="15"/>
      <x:c r="D2411" s="15" t="str">
        <x:v>Property lender or directory member; operating-company capital unconfirmed</x:v>
      </x:c>
      <x:c r="E2411" s="15" t="str">
        <x:v>Property lender / private-money inquiry</x:v>
      </x:c>
      <x:c r="F2411" s="17" t="str">
        <x:v>New</x:v>
      </x:c>
      <x:c r="G2411" s="24" t="str">
        <x:v>britter@baysierra.com</x:v>
      </x:c>
      <x:c r="H2411" s="24" t="str">
        <x:v>+17075445696</x:v>
      </x:c>
      <x:c r="I2411" s="24" t="str">
        <x:v>https://baysierra.com/?utm_source=lender-link</x:v>
      </x:c>
      <x:c r="J2411" s="16" t="str">
        <x:v>California</x:v>
      </x:c>
      <x:c r="K2411" s="16" t="str">
        <x:v>Santa Rosa</x:v>
      </x:c>
      <x:c r="L2411" s="16" t="str">
        <x:v>firm_business_routing</x:v>
      </x:c>
      <x:c r="M2411" s="16" t="str">
        <x:v>https://baysierra.com/?utm_source=lender-link</x:v>
      </x:c>
      <x:c r="N2411" s="16" t="str">
        <x:v>$100K-$500K ticket not published / unconfirmed</x:v>
      </x:c>
      <x:c r="O2411" s="20"/>
      <x:c r="P2411" s="20"/>
      <x:c r="Q2411" s="25" t="str">
        <x:v>Property-loan range, not a corporate-capital commitment</x:v>
      </x:c>
      <x:c r="R2411" s="25" t="str">
        <x:v>Private real-estate finance experience. Corporate working capital, minority equity or profit participation requires a separate agreement from a property loan.</x:v>
      </x:c>
      <x:c r="S2411" s="25"/>
      <x:c r="T2411" s="25" t="str">
        <x:v>Confirm direct principal versus broker, $100K-$500K appetite, and whether capital can fund the operating company without a property mortgage.</x:v>
      </x:c>
      <x:c r="U2411" s="25" t="str">
        <x:v>https://privatelenderlink.com/profile/baysierra-financial/
https://baysierra.com/?utm_source=lender-link</x:v>
      </x:c>
      <x:c r="V2411" s="26" t="d">
        <x:v>2026-10-02T00:00:00.000Z</x:v>
      </x:c>
      <x:c r="W2411" s="26" t="d">
        <x:v>2026-09-30T00:00:00.000Z</x:v>
      </x:c>
      <x:c r="X2411" s="25" t="str">
        <x:v>Saved public company, industry-directory or regulatory source; source date retained</x:v>
      </x:c>
      <x:c r="Y2411" s="25" t="str">
        <x:v>https://privatelenderlink.com/profile/baysierra-financial/</x:v>
      </x:c>
      <x:c r="Z2411" s="25" t="str">
        <x:v>https://baysierra.com/?utm_source=lender-link</x:v>
      </x:c>
      <x:c r="AA2411" s="25" t="str">
        <x:v>[]</x:v>
      </x:c>
      <x:c r="AB2411" s="3" t="str">
        <x:v>Existing CapitalForge research, newly screened for this campaign</x:v>
      </x:c>
      <x:c r="AC2411" s="3" t="str">
        <x:v>unverified</x:v>
      </x:c>
      <x:c r="AD2411" s="3" t="str">
        <x:v>Not contacted / unconfirmed</x:v>
      </x:c>
      <x:c r="AE2411" s="3" t="str">
        <x:v>No</x:v>
      </x:c>
      <x:c r="AF2411" s="3" t="str">
        <x:v>No</x:v>
      </x:c>
      <x:c r="AG2411" s="3"/>
      <x:c r="AH2411" s="3"/>
      <x:c r="AI2411" s="18"/>
      <x:c r="AJ2411" s="3" t="str">
        <x:v>CF2500-66B8D4A7DF77</x:v>
      </x:c>
      <x:c r="AK2411" s="3" t="str">
        <x:v>private_real_estate_lender</x:v>
      </x:c>
      <x:c r="AL2411" s="19" t="n">
        <x:v>100000</x:v>
      </x:c>
      <x:c r="AM2411" s="19" t="n">
        <x:v>500000</x:v>
      </x:c>
      <x:c r="AN2411" s="3" t="str">
        <x:v>https://privatelenderlink.com/profile/baysierra-financial/</x:v>
      </x:c>
      <x:c r="AO2411" s="3" t="str">
        <x:v>public_directory.jsonl</x:v>
      </x:c>
      <x:c r="AP2411" s="19"/>
    </x:row>
    <x:row r="2412" ht="36" customHeight="1">
      <x:c r="A2412" s="23" t="n">
        <x:v>2411</x:v>
      </x:c>
      <x:c r="B2412" s="15" t="str">
        <x:v>BEDFORD LENDING</x:v>
      </x:c>
      <x:c r="C2412" s="15"/>
      <x:c r="D2412" s="15" t="str">
        <x:v>Property lender or directory member; operating-company capital unconfirmed</x:v>
      </x:c>
      <x:c r="E2412" s="15" t="str">
        <x:v>Property lender / private-money inquiry</x:v>
      </x:c>
      <x:c r="F2412" s="17" t="str">
        <x:v>New</x:v>
      </x:c>
      <x:c r="G2412" s="24" t="str">
        <x:v>kylej@bedfordlending.com</x:v>
      </x:c>
      <x:c r="H2412" s="24" t="str">
        <x:v>+16036474646</x:v>
      </x:c>
      <x:c r="I2412" s="24" t="str">
        <x:v>https://www.bedfordlending.com/</x:v>
      </x:c>
      <x:c r="J2412" s="16" t="str">
        <x:v>NH</x:v>
      </x:c>
      <x:c r="K2412" s="16" t="str">
        <x:v>Londonderry</x:v>
      </x:c>
      <x:c r="L2412" s="16" t="str">
        <x:v>firm_business_routing</x:v>
      </x:c>
      <x:c r="M2412" s="16" t="str">
        <x:v>https://www.bedfordlending.com/</x:v>
      </x:c>
      <x:c r="N2412" s="16" t="str">
        <x:v>$100K-$500K ticket not published / unconfirmed</x:v>
      </x:c>
      <x:c r="O2412" s="20"/>
      <x:c r="P2412" s="20"/>
      <x:c r="Q2412" s="25" t="str">
        <x:v>Property-loan range, not a corporate-capital commitment</x:v>
      </x:c>
      <x:c r="R2412" s="25" t="str">
        <x:v>Private real-estate finance experience. Corporate working capital, minority equity or profit participation requires a separate agreement from a property loan.</x:v>
      </x:c>
      <x:c r="S2412" s="25"/>
      <x:c r="T2412" s="25" t="str">
        <x:v>Confirm direct principal versus broker, $100K-$500K appetite, and whether capital can fund the operating company without a property mortgage.</x:v>
      </x:c>
      <x:c r="U2412" s="25" t="str">
        <x:v>https://www.privatelendersdirectory.com/united-states/londonderry/top-level-category/bedford-lending
https://www.bedfordlending.com/</x:v>
      </x:c>
      <x:c r="V2412" s="26" t="d">
        <x:v>2026-10-02T00:00:00.000Z</x:v>
      </x:c>
      <x:c r="W2412" s="26" t="d">
        <x:v>2026-09-30T00:00:00.000Z</x:v>
      </x:c>
      <x:c r="X2412" s="25" t="str">
        <x:v>Saved public company, industry-directory or regulatory source; source date retained</x:v>
      </x:c>
      <x:c r="Y2412" s="25" t="str">
        <x:v>https://www.bedfordlending.com/</x:v>
      </x:c>
      <x:c r="Z2412" s="25" t="str">
        <x:v>https://www.bedfordlending.com/</x:v>
      </x:c>
      <x:c r="AA2412" s="25" t="str">
        <x:v>[]</x:v>
      </x:c>
      <x:c r="AB2412" s="3" t="str">
        <x:v>Existing CapitalForge research, newly screened for this campaign</x:v>
      </x:c>
      <x:c r="AC2412" s="3" t="str">
        <x:v>unverified</x:v>
      </x:c>
      <x:c r="AD2412" s="3" t="str">
        <x:v>Not contacted / unconfirmed</x:v>
      </x:c>
      <x:c r="AE2412" s="3" t="str">
        <x:v>No</x:v>
      </x:c>
      <x:c r="AF2412" s="3" t="str">
        <x:v>No</x:v>
      </x:c>
      <x:c r="AG2412" s="3"/>
      <x:c r="AH2412" s="3"/>
      <x:c r="AI2412" s="18"/>
      <x:c r="AJ2412" s="3" t="str">
        <x:v>CF2500-333FD1EAAADD</x:v>
      </x:c>
      <x:c r="AK2412" s="3" t="str">
        <x:v>private_real_estate_lender</x:v>
      </x:c>
      <x:c r="AL2412" s="19" t="n">
        <x:v>100000</x:v>
      </x:c>
      <x:c r="AM2412" s="19" t="n">
        <x:v>500000</x:v>
      </x:c>
      <x:c r="AN2412" s="3" t="str">
        <x:v>https://www.privatelendersdirectory.com/united-states/londonderry/top-level-category/bedford-lending</x:v>
      </x:c>
      <x:c r="AO2412" s="3" t="str">
        <x:v>public_directory.jsonl</x:v>
      </x:c>
      <x:c r="AP2412" s="19"/>
    </x:row>
    <x:row r="2413" ht="36" customHeight="1">
      <x:c r="A2413" s="23" t="n">
        <x:v>2412</x:v>
      </x:c>
      <x:c r="B2413" s="15" t="str">
        <x:v>BELLEVUE CAPITAL GROUP</x:v>
      </x:c>
      <x:c r="C2413" s="15"/>
      <x:c r="D2413" s="15" t="str">
        <x:v>Property lender or directory member; operating-company capital unconfirmed</x:v>
      </x:c>
      <x:c r="E2413" s="15" t="str">
        <x:v>Property lender / private-money inquiry</x:v>
      </x:c>
      <x:c r="F2413" s="17" t="str">
        <x:v>New</x:v>
      </x:c>
      <x:c r="G2413" s="24" t="str">
        <x:v>contactus@bellevuecapitalgroup.com</x:v>
      </x:c>
      <x:c r="H2413" s="24" t="str">
        <x:v>+18447399226</x:v>
      </x:c>
      <x:c r="I2413" s="24" t="str">
        <x:v>https://bellevuecapitalgroup.com/</x:v>
      </x:c>
      <x:c r="J2413" s="16" t="str">
        <x:v>WA</x:v>
      </x:c>
      <x:c r="K2413" s="16" t="str">
        <x:v>Bellevue</x:v>
      </x:c>
      <x:c r="L2413" s="16" t="str">
        <x:v>firm_business_routing</x:v>
      </x:c>
      <x:c r="M2413" s="16" t="str">
        <x:v>https://bellevuecapitalgroup.com/</x:v>
      </x:c>
      <x:c r="N2413" s="16" t="str">
        <x:v>$100K-$500K ticket not published / unconfirmed</x:v>
      </x:c>
      <x:c r="O2413" s="20"/>
      <x:c r="P2413" s="20"/>
      <x:c r="Q2413" s="25" t="str">
        <x:v>Property-loan range, not a corporate-capital commitment</x:v>
      </x:c>
      <x:c r="R2413" s="25" t="str">
        <x:v>Private real-estate finance experience. Corporate working capital, minority equity or profit participation requires a separate agreement from a property loan.</x:v>
      </x:c>
      <x:c r="S2413" s="25"/>
      <x:c r="T2413" s="25" t="str">
        <x:v>Confirm direct principal versus broker, $100K-$500K appetite, and whether capital can fund the operating company without a property mortgage.</x:v>
      </x:c>
      <x:c r="U2413" s="25" t="str">
        <x:v>https://www.privatelendersdirectory.com/united-states/bellevue/real-estate-investment-lending/bellevue-capital-group
https://bellevuecapitalgroup.com/</x:v>
      </x:c>
      <x:c r="V2413" s="26" t="d">
        <x:v>2026-10-02T00:00:00.000Z</x:v>
      </x:c>
      <x:c r="W2413" s="26" t="d">
        <x:v>2026-09-30T00:00:00.000Z</x:v>
      </x:c>
      <x:c r="X2413" s="25" t="str">
        <x:v>Saved public company, industry-directory or regulatory source; source date retained</x:v>
      </x:c>
      <x:c r="Y2413" s="25" t="str">
        <x:v>https://bellevuecapitalgroup.com/</x:v>
      </x:c>
      <x:c r="Z2413" s="25" t="str">
        <x:v>https://bellevuecapitalgroup.com/</x:v>
      </x:c>
      <x:c r="AA2413" s="25" t="str">
        <x:v>[]</x:v>
      </x:c>
      <x:c r="AB2413" s="3" t="str">
        <x:v>Existing CapitalForge research, newly screened for this campaign</x:v>
      </x:c>
      <x:c r="AC2413" s="3" t="str">
        <x:v>unverified</x:v>
      </x:c>
      <x:c r="AD2413" s="3" t="str">
        <x:v>Not contacted / unconfirmed</x:v>
      </x:c>
      <x:c r="AE2413" s="3" t="str">
        <x:v>No</x:v>
      </x:c>
      <x:c r="AF2413" s="3" t="str">
        <x:v>No</x:v>
      </x:c>
      <x:c r="AG2413" s="3"/>
      <x:c r="AH2413" s="3"/>
      <x:c r="AI2413" s="18"/>
      <x:c r="AJ2413" s="3" t="str">
        <x:v>CF2500-5D84279C415F</x:v>
      </x:c>
      <x:c r="AK2413" s="3" t="str">
        <x:v>private_real_estate_lender</x:v>
      </x:c>
      <x:c r="AL2413" s="19" t="n">
        <x:v>100000</x:v>
      </x:c>
      <x:c r="AM2413" s="19" t="n">
        <x:v>500000</x:v>
      </x:c>
      <x:c r="AN2413" s="3" t="str">
        <x:v>https://www.privatelendersdirectory.com/united-states/bellevue/real-estate-investment-lending/bellevue-capital-group</x:v>
      </x:c>
      <x:c r="AO2413" s="3" t="str">
        <x:v>public_directory.jsonl</x:v>
      </x:c>
      <x:c r="AP2413" s="19"/>
    </x:row>
    <x:row r="2414" ht="36" customHeight="1">
      <x:c r="A2414" s="23" t="n">
        <x:v>2413</x:v>
      </x:c>
      <x:c r="B2414" s="15" t="str">
        <x:v>Bellevue Funding LLC</x:v>
      </x:c>
      <x:c r="C2414" s="15"/>
      <x:c r="D2414" s="15" t="str">
        <x:v>Property lender or directory member; operating-company capital unconfirmed</x:v>
      </x:c>
      <x:c r="E2414" s="15" t="str">
        <x:v>Property lender / private-money inquiry</x:v>
      </x:c>
      <x:c r="F2414" s="17" t="str">
        <x:v>New</x:v>
      </x:c>
      <x:c r="G2414" s="24" t="str">
        <x:v>sales@bellevuelending.com</x:v>
      </x:c>
      <x:c r="H2414" s="24" t="str">
        <x:v>+14259994480</x:v>
      </x:c>
      <x:c r="I2414" s="24" t="str">
        <x:v>https://www.bellevuelending.com/?utm_source=private-lender-link</x:v>
      </x:c>
      <x:c r="J2414" s="16" t="str">
        <x:v>WA</x:v>
      </x:c>
      <x:c r="K2414" s="16" t="str">
        <x:v>Bellevue</x:v>
      </x:c>
      <x:c r="L2414" s="16" t="str">
        <x:v>firm_business_routing</x:v>
      </x:c>
      <x:c r="M2414" s="16" t="str">
        <x:v>https://www.bellevuelending.com/?utm_source=private-lender-link</x:v>
      </x:c>
      <x:c r="N2414" s="16" t="str">
        <x:v>$100K-$500K ticket not published / unconfirmed</x:v>
      </x:c>
      <x:c r="O2414" s="20"/>
      <x:c r="P2414" s="20"/>
      <x:c r="Q2414" s="25" t="str">
        <x:v>Property-loan range, not a corporate-capital commitment</x:v>
      </x:c>
      <x:c r="R2414" s="25" t="str">
        <x:v>Private real-estate finance experience. Corporate working capital, minority equity or profit participation requires a separate agreement from a property loan.</x:v>
      </x:c>
      <x:c r="S2414" s="25"/>
      <x:c r="T2414" s="25" t="str">
        <x:v>Confirm direct principal versus broker, $100K-$500K appetite, and whether capital can fund the operating company without a property mortgage.</x:v>
      </x:c>
      <x:c r="U2414" s="25" t="str">
        <x:v>https://privatelenderlink.com/profile/bellevue-funding-llc/
https://www.bellevuelending.com/?utm_source=private-lender-link
https://www.bellevuelending.com/contactus</x:v>
      </x:c>
      <x:c r="V2414" s="26" t="d">
        <x:v>2026-10-02T00:00:00.000Z</x:v>
      </x:c>
      <x:c r="W2414" s="26" t="d">
        <x:v>2026-09-30T00:00:00.000Z</x:v>
      </x:c>
      <x:c r="X2414" s="25" t="str">
        <x:v>Saved public company, industry-directory or regulatory source; source date retained</x:v>
      </x:c>
      <x:c r="Y2414" s="25" t="str">
        <x:v>https://www.bellevuelending.com/contactus</x:v>
      </x:c>
      <x:c r="Z2414" s="25" t="str">
        <x:v>https://www.bellevuelending.com/?utm_source=private-lender-link</x:v>
      </x:c>
      <x:c r="AA2414" s="25" t="str">
        <x:v>[]</x:v>
      </x:c>
      <x:c r="AB2414" s="3" t="str">
        <x:v>Existing CapitalForge research, newly screened for this campaign</x:v>
      </x:c>
      <x:c r="AC2414" s="3" t="str">
        <x:v>unverified</x:v>
      </x:c>
      <x:c r="AD2414" s="3" t="str">
        <x:v>Not contacted / unconfirmed</x:v>
      </x:c>
      <x:c r="AE2414" s="3" t="str">
        <x:v>No</x:v>
      </x:c>
      <x:c r="AF2414" s="3" t="str">
        <x:v>No</x:v>
      </x:c>
      <x:c r="AG2414" s="3"/>
      <x:c r="AH2414" s="3"/>
      <x:c r="AI2414" s="18"/>
      <x:c r="AJ2414" s="3" t="str">
        <x:v>CF2500-BAF765F83C16</x:v>
      </x:c>
      <x:c r="AK2414" s="3" t="str">
        <x:v>private_real_estate_lender</x:v>
      </x:c>
      <x:c r="AL2414" s="19" t="n">
        <x:v>100000</x:v>
      </x:c>
      <x:c r="AM2414" s="19" t="n">
        <x:v>500000</x:v>
      </x:c>
      <x:c r="AN2414" s="3" t="str">
        <x:v>https://privatelenderlink.com/profile/bellevue-funding-llc/</x:v>
      </x:c>
      <x:c r="AO2414" s="3" t="str">
        <x:v>public_directory.jsonl</x:v>
      </x:c>
      <x:c r="AP2414" s="19"/>
    </x:row>
    <x:row r="2415" ht="36" customHeight="1">
      <x:c r="A2415" s="23" t="n">
        <x:v>2414</x:v>
      </x:c>
      <x:c r="B2415" s="15" t="str">
        <x:v>Bellwether Funding</x:v>
      </x:c>
      <x:c r="C2415" s="15"/>
      <x:c r="D2415" s="15" t="str">
        <x:v>Property lender or directory member; operating-company capital unconfirmed</x:v>
      </x:c>
      <x:c r="E2415" s="15" t="str">
        <x:v>Property lender / private-money inquiry</x:v>
      </x:c>
      <x:c r="F2415" s="17" t="str">
        <x:v>New</x:v>
      </x:c>
      <x:c r="G2415" s="24" t="str">
        <x:v>bill@bellwetherfunding.com</x:v>
      </x:c>
      <x:c r="H2415" s="24" t="str">
        <x:v>+14142170369</x:v>
      </x:c>
      <x:c r="I2415" s="24" t="str">
        <x:v>https://www.bellwetherfunding.com/</x:v>
      </x:c>
      <x:c r="J2415" s="16" t="str">
        <x:v>WI</x:v>
      </x:c>
      <x:c r="K2415" s="16" t="str">
        <x:v>Waukesha</x:v>
      </x:c>
      <x:c r="L2415" s="16" t="str">
        <x:v>firm_business_routing</x:v>
      </x:c>
      <x:c r="M2415" s="16" t="str">
        <x:v>https://www.bellwetherfunding.com/</x:v>
      </x:c>
      <x:c r="N2415" s="16" t="str">
        <x:v>$100K-$500K ticket not published / unconfirmed</x:v>
      </x:c>
      <x:c r="O2415" s="20"/>
      <x:c r="P2415" s="20"/>
      <x:c r="Q2415" s="25" t="str">
        <x:v>Property-loan range, not a corporate-capital commitment</x:v>
      </x:c>
      <x:c r="R2415" s="25" t="str">
        <x:v>Private real-estate finance experience. Corporate working capital, minority equity or profit participation requires a separate agreement from a property loan.</x:v>
      </x:c>
      <x:c r="S2415" s="25"/>
      <x:c r="T2415" s="25" t="str">
        <x:v>Confirm direct principal versus broker, $100K-$500K appetite, and whether capital can fund the operating company without a property mortgage.</x:v>
      </x:c>
      <x:c r="U2415" s="25" t="str">
        <x:v>https://www.hardmoneyhome.com/lenders/view/bellwether-funding
https://www.bellwetherfunding.com/
https://www.privatelendersdirectory.com/united-states/waukesha/real-estate-investment-lending/bellwether-funding
https://bellwetherfunding.com/</x:v>
      </x:c>
      <x:c r="V2415" s="26" t="d">
        <x:v>2026-10-02T00:00:00.000Z</x:v>
      </x:c>
      <x:c r="W2415" s="26" t="d">
        <x:v>2026-09-30T00:00:00.000Z</x:v>
      </x:c>
      <x:c r="X2415" s="25" t="str">
        <x:v>Saved public company, industry-directory or regulatory source; source date retained</x:v>
      </x:c>
      <x:c r="Y2415" s="25" t="str">
        <x:v>https://www.bellwetherfunding.com/</x:v>
      </x:c>
      <x:c r="Z2415" s="25" t="str">
        <x:v>https://www.hardmoneyhome.com/lenders/view/bellwether-funding</x:v>
      </x:c>
      <x:c r="AA2415" s="25" t="str">
        <x:v>[]</x:v>
      </x:c>
      <x:c r="AB2415" s="3" t="str">
        <x:v>Existing CapitalForge research, newly screened for this campaign</x:v>
      </x:c>
      <x:c r="AC2415" s="3" t="str">
        <x:v>unverified</x:v>
      </x:c>
      <x:c r="AD2415" s="3" t="str">
        <x:v>Not contacted / unconfirmed</x:v>
      </x:c>
      <x:c r="AE2415" s="3" t="str">
        <x:v>No</x:v>
      </x:c>
      <x:c r="AF2415" s="3" t="str">
        <x:v>No</x:v>
      </x:c>
      <x:c r="AG2415" s="3"/>
      <x:c r="AH2415" s="3"/>
      <x:c r="AI2415" s="18"/>
      <x:c r="AJ2415" s="3" t="str">
        <x:v>CF2500-5F9C75E6645C</x:v>
      </x:c>
      <x:c r="AK2415" s="3" t="str">
        <x:v>private_real_estate_lender</x:v>
      </x:c>
      <x:c r="AL2415" s="19" t="n">
        <x:v>100000</x:v>
      </x:c>
      <x:c r="AM2415" s="19" t="n">
        <x:v>500000</x:v>
      </x:c>
      <x:c r="AN2415" s="3" t="str">
        <x:v>https://www.hardmoneyhome.com/lenders/view/bellwether-funding</x:v>
      </x:c>
      <x:c r="AO2415" s="3" t="str">
        <x:v>public_directory.jsonl</x:v>
      </x:c>
      <x:c r="AP2415" s="19"/>
    </x:row>
    <x:row r="2416" ht="36" customHeight="1">
      <x:c r="A2416" s="23" t="n">
        <x:v>2415</x:v>
      </x:c>
      <x:c r="B2416" s="15" t="str">
        <x:v>Bench Equity LLC</x:v>
      </x:c>
      <x:c r="C2416" s="15"/>
      <x:c r="D2416" s="15" t="str">
        <x:v>Property lender or directory member; operating-company capital unconfirmed</x:v>
      </x:c>
      <x:c r="E2416" s="15" t="str">
        <x:v>Property lender / private-money inquiry</x:v>
      </x:c>
      <x:c r="F2416" s="17" t="str">
        <x:v>New</x:v>
      </x:c>
      <x:c r="G2416" s="24" t="str">
        <x:v>info@benchequity.com</x:v>
      </x:c>
      <x:c r="H2416" s="24" t="str">
        <x:v>+14808960585</x:v>
      </x:c>
      <x:c r="I2416" s="24" t="str">
        <x:v>https://benchequity.com/?utm_source=private-lender-link</x:v>
      </x:c>
      <x:c r="J2416" s="16" t="str">
        <x:v>Arizona</x:v>
      </x:c>
      <x:c r="K2416" s="16" t="str">
        <x:v>Mesa</x:v>
      </x:c>
      <x:c r="L2416" s="16" t="str">
        <x:v>firm_business_routing</x:v>
      </x:c>
      <x:c r="M2416" s="16" t="str">
        <x:v>https://benchequity.com/?utm_source=private-lender-link</x:v>
      </x:c>
      <x:c r="N2416" s="16" t="str">
        <x:v>$100K-$500K ticket not published / unconfirmed</x:v>
      </x:c>
      <x:c r="O2416" s="20"/>
      <x:c r="P2416" s="20"/>
      <x:c r="Q2416" s="25" t="str">
        <x:v>Property-loan range, not a corporate-capital commitment</x:v>
      </x:c>
      <x:c r="R2416" s="25" t="str">
        <x:v>Private real-estate finance experience. Corporate working capital, minority equity or profit participation requires a separate agreement from a property loan.</x:v>
      </x:c>
      <x:c r="S2416" s="25"/>
      <x:c r="T2416" s="25" t="str">
        <x:v>Confirm direct principal versus broker, $100K-$500K appetite, and whether capital can fund the operating company without a property mortgage.</x:v>
      </x:c>
      <x:c r="U2416" s="25" t="str">
        <x:v>https://privatelenderlink.com/profile/bench-equity-llc/
https://benchequity.com/?utm_source=private-lender-link
https://www.privatelendersdirectory.com/united-states/mesa/top-level-category/bench-equity
https://benchequity.com/</x:v>
      </x:c>
      <x:c r="V2416" s="26" t="d">
        <x:v>2026-10-02T00:00:00.000Z</x:v>
      </x:c>
      <x:c r="W2416" s="26" t="d">
        <x:v>2026-09-30T00:00:00.000Z</x:v>
      </x:c>
      <x:c r="X2416" s="25" t="str">
        <x:v>Saved public company, industry-directory or regulatory source; source date retained</x:v>
      </x:c>
      <x:c r="Y2416" s="25" t="str">
        <x:v>https://privatelenderlink.com/profile/bench-equity-llc/</x:v>
      </x:c>
      <x:c r="Z2416" s="25" t="str">
        <x:v>https://benchequity.com/?utm_source=private-lender-link</x:v>
      </x:c>
      <x:c r="AA2416" s="25" t="str">
        <x:v>[]</x:v>
      </x:c>
      <x:c r="AB2416" s="3" t="str">
        <x:v>Existing CapitalForge research, newly screened for this campaign</x:v>
      </x:c>
      <x:c r="AC2416" s="3" t="str">
        <x:v>unverified</x:v>
      </x:c>
      <x:c r="AD2416" s="3" t="str">
        <x:v>Not contacted / unconfirmed</x:v>
      </x:c>
      <x:c r="AE2416" s="3" t="str">
        <x:v>No</x:v>
      </x:c>
      <x:c r="AF2416" s="3" t="str">
        <x:v>No</x:v>
      </x:c>
      <x:c r="AG2416" s="3"/>
      <x:c r="AH2416" s="3"/>
      <x:c r="AI2416" s="18"/>
      <x:c r="AJ2416" s="3" t="str">
        <x:v>CF2500-B495D13BA7B2</x:v>
      </x:c>
      <x:c r="AK2416" s="3" t="str">
        <x:v>private_real_estate_lender</x:v>
      </x:c>
      <x:c r="AL2416" s="19" t="n">
        <x:v>100000</x:v>
      </x:c>
      <x:c r="AM2416" s="19" t="n">
        <x:v>500000</x:v>
      </x:c>
      <x:c r="AN2416" s="3" t="str">
        <x:v>https://privatelenderlink.com/profile/bench-equity-llc/</x:v>
      </x:c>
      <x:c r="AO2416" s="3" t="str">
        <x:v>public_directory.jsonl</x:v>
      </x:c>
      <x:c r="AP2416" s="19"/>
    </x:row>
    <x:row r="2417" ht="36" customHeight="1">
      <x:c r="A2417" s="23" t="n">
        <x:v>2416</x:v>
      </x:c>
      <x:c r="B2417" s="15" t="str">
        <x:v>Bespoke Financial</x:v>
      </x:c>
      <x:c r="C2417" s="15" t="str">
        <x:v>Bespoke Financial</x:v>
      </x:c>
      <x:c r="D2417" s="15" t="str">
        <x:v>Property lender or directory member; operating-company capital unconfirmed</x:v>
      </x:c>
      <x:c r="E2417" s="15" t="str">
        <x:v>Property lender / private-money inquiry</x:v>
      </x:c>
      <x:c r="F2417" s="17" t="str">
        <x:v>New</x:v>
      </x:c>
      <x:c r="G2417" s="24" t="str">
        <x:v>ng@bespokefinancialinc.com</x:v>
      </x:c>
      <x:c r="H2417" s="24" t="str">
        <x:v>+12167129909</x:v>
      </x:c>
      <x:c r="I2417" s="24" t="str">
        <x:v>https://www.bespokefinancialinc.com</x:v>
      </x:c>
      <x:c r="J2417" s="16"/>
      <x:c r="K2417" s="16"/>
      <x:c r="L2417" s="16" t="str">
        <x:v>published_professional_contact_directness_unconfirmed</x:v>
      </x:c>
      <x:c r="M2417" s="16" t="str">
        <x:v>https://www.bespokefinancialinc.com</x:v>
      </x:c>
      <x:c r="N2417" s="16" t="str">
        <x:v>$100K-$500K ticket not published / unconfirmed</x:v>
      </x:c>
      <x:c r="O2417" s="20"/>
      <x:c r="P2417" s="20"/>
      <x:c r="Q2417" s="25" t="str">
        <x:v>Property-loan range, not a corporate-capital commitment</x:v>
      </x:c>
      <x:c r="R2417" s="25" t="str">
        <x:v>Private real-estate finance experience. Corporate working capital, minority equity or profit participation requires a separate agreement from a property loan.</x:v>
      </x:c>
      <x:c r="S2417" s="25"/>
      <x:c r="T2417" s="25" t="str">
        <x:v>Confirm direct principal versus broker, $100K-$500K appetite, and whether capital can fund the operating company without a property mortgage.</x:v>
      </x:c>
      <x:c r="U2417" s="25" t="str">
        <x:v>https://nplaconference.com/private-lending-directory/page/3/
https://www.bespokefinancialinc.com/contact</x:v>
      </x:c>
      <x:c r="V2417" s="26" t="d">
        <x:v>2026-10-02T00:00:00.000Z</x:v>
      </x:c>
      <x:c r="W2417" s="26" t="d">
        <x:v>2026-09-30T00:00:00.000Z</x:v>
      </x:c>
      <x:c r="X2417" s="25" t="str">
        <x:v>Saved public company, industry-directory or regulatory source; source date retained</x:v>
      </x:c>
      <x:c r="Y2417" s="25" t="str">
        <x:v>https://www.bespokefinancialinc.com/contact</x:v>
      </x:c>
      <x:c r="Z2417" s="25" t="str">
        <x:v>https://www.bespokefinancialinc.com/contact</x:v>
      </x:c>
      <x:c r="AA2417" s="25" t="str">
        <x:v>[]</x:v>
      </x:c>
      <x:c r="AB2417" s="3" t="str">
        <x:v>Existing CapitalForge research, newly screened for this campaign</x:v>
      </x:c>
      <x:c r="AC2417" s="3" t="str">
        <x:v>unverified</x:v>
      </x:c>
      <x:c r="AD2417" s="3" t="str">
        <x:v>Not contacted / unconfirmed</x:v>
      </x:c>
      <x:c r="AE2417" s="3" t="str">
        <x:v>No</x:v>
      </x:c>
      <x:c r="AF2417" s="3" t="str">
        <x:v>No</x:v>
      </x:c>
      <x:c r="AG2417" s="3"/>
      <x:c r="AH2417" s="3"/>
      <x:c r="AI2417" s="18"/>
      <x:c r="AJ2417" s="3" t="str">
        <x:v>CF2500-4E9B5E249F52</x:v>
      </x:c>
      <x:c r="AK2417" s="3" t="str">
        <x:v>private_real_estate_or_finance_directory_member</x:v>
      </x:c>
      <x:c r="AL2417" s="19" t="n">
        <x:v>100000</x:v>
      </x:c>
      <x:c r="AM2417" s="19" t="n">
        <x:v>500000</x:v>
      </x:c>
      <x:c r="AN2417" s="3" t="str">
        <x:v>https://nplaconference.com/private-lending-directory/page/3/</x:v>
      </x:c>
      <x:c r="AO2417" s="3" t="str">
        <x:v>public_directory.jsonl</x:v>
      </x:c>
      <x:c r="AP2417" s="19"/>
    </x:row>
    <x:row r="2418" ht="36" customHeight="1">
      <x:c r="A2418" s="23" t="n">
        <x:v>2417</x:v>
      </x:c>
      <x:c r="B2418" s="15" t="str">
        <x:v>Best Lending Co</x:v>
      </x:c>
      <x:c r="C2418" s="15"/>
      <x:c r="D2418" s="15" t="str">
        <x:v>Property lender or directory member; operating-company capital unconfirmed</x:v>
      </x:c>
      <x:c r="E2418" s="15" t="str">
        <x:v>Property lender / private-money inquiry</x:v>
      </x:c>
      <x:c r="F2418" s="17" t="str">
        <x:v>New</x:v>
      </x:c>
      <x:c r="G2418" s="24" t="str">
        <x:v>sarah@bestlendingco.com</x:v>
      </x:c>
      <x:c r="H2418" s="24" t="str">
        <x:v>+18449191415</x:v>
      </x:c>
      <x:c r="I2418" s="24" t="str">
        <x:v>http://www.bestlendingco.com</x:v>
      </x:c>
      <x:c r="J2418" s="16" t="str">
        <x:v>California</x:v>
      </x:c>
      <x:c r="K2418" s="16" t="str">
        <x:v>San Diego</x:v>
      </x:c>
      <x:c r="L2418" s="16" t="str">
        <x:v>firm_business_routing</x:v>
      </x:c>
      <x:c r="M2418" s="16" t="str">
        <x:v>http://www.bestlendingco.com</x:v>
      </x:c>
      <x:c r="N2418" s="16" t="str">
        <x:v>$100K-$500K ticket not published / unconfirmed</x:v>
      </x:c>
      <x:c r="O2418" s="20"/>
      <x:c r="P2418" s="20"/>
      <x:c r="Q2418" s="25" t="str">
        <x:v>Property-loan range, not a corporate-capital commitment</x:v>
      </x:c>
      <x:c r="R2418" s="25" t="str">
        <x:v>Private real-estate finance experience. Corporate working capital, minority equity or profit participation requires a separate agreement from a property loan.</x:v>
      </x:c>
      <x:c r="S2418" s="25"/>
      <x:c r="T2418" s="25" t="str">
        <x:v>Confirm direct principal versus broker, $100K-$500K appetite, and whether capital can fund the operating company without a property mortgage.</x:v>
      </x:c>
      <x:c r="U2418" s="25" t="str">
        <x:v>https://privatelenderlink.com/profile/best-lending-co/
https://bestlendingco.com/contact/
https://www.privatelendersdirectory.com/united-states/san-diego/top-level-category/best-lending
https://www.privatelendersdirectory.com/united-states/san-diego/top-level-category/best-lending-co</x:v>
      </x:c>
      <x:c r="V2418" s="26" t="d">
        <x:v>2026-10-02T00:00:00.000Z</x:v>
      </x:c>
      <x:c r="W2418" s="26" t="d">
        <x:v>2026-09-30T00:00:00.000Z</x:v>
      </x:c>
      <x:c r="X2418" s="25" t="str">
        <x:v>Saved public company, industry-directory or regulatory source; source date retained</x:v>
      </x:c>
      <x:c r="Y2418" s="25" t="str">
        <x:v>https://privatelenderlink.com/profile/best-lending-co/</x:v>
      </x:c>
      <x:c r="Z2418" s="25" t="str">
        <x:v>https://bestlendingco.com/contact/</x:v>
      </x:c>
      <x:c r="AA2418" s="25" t="str">
        <x:v>[]</x:v>
      </x:c>
      <x:c r="AB2418" s="3" t="str">
        <x:v>Existing CapitalForge research, newly screened for this campaign</x:v>
      </x:c>
      <x:c r="AC2418" s="3" t="str">
        <x:v>unverified</x:v>
      </x:c>
      <x:c r="AD2418" s="3" t="str">
        <x:v>Not contacted / unconfirmed</x:v>
      </x:c>
      <x:c r="AE2418" s="3" t="str">
        <x:v>No</x:v>
      </x:c>
      <x:c r="AF2418" s="3" t="str">
        <x:v>No</x:v>
      </x:c>
      <x:c r="AG2418" s="3"/>
      <x:c r="AH2418" s="3"/>
      <x:c r="AI2418" s="18"/>
      <x:c r="AJ2418" s="3" t="str">
        <x:v>CF2500-E6CC4B3DAABA</x:v>
      </x:c>
      <x:c r="AK2418" s="3" t="str">
        <x:v>private_real_estate_lender</x:v>
      </x:c>
      <x:c r="AL2418" s="19" t="n">
        <x:v>100000</x:v>
      </x:c>
      <x:c r="AM2418" s="19" t="n">
        <x:v>500000</x:v>
      </x:c>
      <x:c r="AN2418" s="3" t="str">
        <x:v>https://privatelenderlink.com/profile/best-lending-co/</x:v>
      </x:c>
      <x:c r="AO2418" s="3" t="str">
        <x:v>public_directory.jsonl</x:v>
      </x:c>
      <x:c r="AP2418" s="19"/>
    </x:row>
    <x:row r="2419" ht="36" customHeight="1">
      <x:c r="A2419" s="23" t="n">
        <x:v>2418</x:v>
      </x:c>
      <x:c r="B2419" s="15" t="str">
        <x:v>BEST REI FUNDING</x:v>
      </x:c>
      <x:c r="C2419" s="15"/>
      <x:c r="D2419" s="15" t="str">
        <x:v>Property lender or directory member; operating-company capital unconfirmed</x:v>
      </x:c>
      <x:c r="E2419" s="15" t="str">
        <x:v>Property lender / private-money inquiry</x:v>
      </x:c>
      <x:c r="F2419" s="17" t="str">
        <x:v>New</x:v>
      </x:c>
      <x:c r="G2419" s="24" t="str">
        <x:v>closings@bestreifunding.com</x:v>
      </x:c>
      <x:c r="H2419" s="24" t="str">
        <x:v>+19203418580</x:v>
      </x:c>
      <x:c r="I2419" s="24" t="str">
        <x:v>https://bestreifunding.com/</x:v>
      </x:c>
      <x:c r="J2419" s="16" t="str">
        <x:v>WI</x:v>
      </x:c>
      <x:c r="K2419" s="16" t="str">
        <x:v>Green Bay</x:v>
      </x:c>
      <x:c r="L2419" s="16" t="str">
        <x:v>firm_business_routing</x:v>
      </x:c>
      <x:c r="M2419" s="16" t="str">
        <x:v>https://bestreifunding.com/</x:v>
      </x:c>
      <x:c r="N2419" s="16" t="str">
        <x:v>$100K-$500K ticket not published / unconfirmed</x:v>
      </x:c>
      <x:c r="O2419" s="20"/>
      <x:c r="P2419" s="20"/>
      <x:c r="Q2419" s="25" t="str">
        <x:v>Property-loan range, not a corporate-capital commitment</x:v>
      </x:c>
      <x:c r="R2419" s="25" t="str">
        <x:v>Private real-estate finance experience. Corporate working capital, minority equity or profit participation requires a separate agreement from a property loan.</x:v>
      </x:c>
      <x:c r="S2419" s="25"/>
      <x:c r="T2419" s="25" t="str">
        <x:v>Confirm direct principal versus broker, $100K-$500K appetite, and whether capital can fund the operating company without a property mortgage.</x:v>
      </x:c>
      <x:c r="U2419" s="25" t="str">
        <x:v>https://www.privatelendersdirectory.com/united-states/green-bay/top-level-category/best-rei-funding
https://bestreifunding.com/
https://bestreifunding.com/Contact</x:v>
      </x:c>
      <x:c r="V2419" s="26" t="d">
        <x:v>2026-10-02T00:00:00.000Z</x:v>
      </x:c>
      <x:c r="W2419" s="26" t="d">
        <x:v>2026-09-30T00:00:00.000Z</x:v>
      </x:c>
      <x:c r="X2419" s="25" t="str">
        <x:v>Saved public company, industry-directory or regulatory source; source date retained</x:v>
      </x:c>
      <x:c r="Y2419" s="25" t="str">
        <x:v>https://bestreifunding.com/Contact</x:v>
      </x:c>
      <x:c r="Z2419" s="25" t="str">
        <x:v>https://bestreifunding.com/</x:v>
      </x:c>
      <x:c r="AA2419" s="25" t="str">
        <x:v>[]</x:v>
      </x:c>
      <x:c r="AB2419" s="3" t="str">
        <x:v>Existing CapitalForge research, newly screened for this campaign</x:v>
      </x:c>
      <x:c r="AC2419" s="3" t="str">
        <x:v>unverified</x:v>
      </x:c>
      <x:c r="AD2419" s="3" t="str">
        <x:v>Not contacted / unconfirmed</x:v>
      </x:c>
      <x:c r="AE2419" s="3" t="str">
        <x:v>No</x:v>
      </x:c>
      <x:c r="AF2419" s="3" t="str">
        <x:v>No</x:v>
      </x:c>
      <x:c r="AG2419" s="3"/>
      <x:c r="AH2419" s="3"/>
      <x:c r="AI2419" s="18"/>
      <x:c r="AJ2419" s="3" t="str">
        <x:v>CF2500-A50673A0CAD2</x:v>
      </x:c>
      <x:c r="AK2419" s="3" t="str">
        <x:v>private_real_estate_lender</x:v>
      </x:c>
      <x:c r="AL2419" s="19" t="n">
        <x:v>100000</x:v>
      </x:c>
      <x:c r="AM2419" s="19" t="n">
        <x:v>500000</x:v>
      </x:c>
      <x:c r="AN2419" s="3" t="str">
        <x:v>https://www.privatelendersdirectory.com/united-states/green-bay/top-level-category/best-rei-funding</x:v>
      </x:c>
      <x:c r="AO2419" s="3" t="str">
        <x:v>public_directory.jsonl</x:v>
      </x:c>
      <x:c r="AP2419" s="19"/>
    </x:row>
    <x:row r="2420" ht="36" customHeight="1">
      <x:c r="A2420" s="23" t="n">
        <x:v>2419</x:v>
      </x:c>
      <x:c r="B2420" s="15" t="str">
        <x:v>Better Capital Fund</x:v>
      </x:c>
      <x:c r="C2420" s="15"/>
      <x:c r="D2420" s="15" t="str">
        <x:v>Property lender or directory member; operating-company capital unconfirmed</x:v>
      </x:c>
      <x:c r="E2420" s="15" t="str">
        <x:v>Property lender / private-money inquiry</x:v>
      </x:c>
      <x:c r="F2420" s="17" t="str">
        <x:v>New</x:v>
      </x:c>
      <x:c r="G2420" s="24" t="str">
        <x:v>bobby@bettercapitalfund.com</x:v>
      </x:c>
      <x:c r="H2420" s="24" t="str">
        <x:v>+19258864968</x:v>
      </x:c>
      <x:c r="I2420" s="24" t="str">
        <x:v>https://bettercapitalfund.com/?utm_source=private-lender-link</x:v>
      </x:c>
      <x:c r="J2420" s="16" t="str">
        <x:v>Alabama, Birmingham, Huntsville, Mobile, Montgomery, Arkansas, Florida, Fort Myers, Gainesville, Jacksonville, Key West, Lakeland, Miami, Ocala, Orlando, Palm Bay, Palm Beach County, Pensacola, Port Charlotte, Port St. Lucie, Sarasota, Tallahassee, Tampa, Volusia County, Georgia, Albany, Athens, Atlanta, Augusta, Columbus, Dalton, Macon, Rome, Savannah, Valdosta, Michigan, Detroit, Missouri, Columbia, Joplin, Kansas City, Springfield, St Louis, St. Joseph, New Mexico, Oklahoma, Tennessee, Chattanooga, Clarksville, Gatlinburg, Knoxville, Memphis, Nashville, Texas, Austin, Beaumont, Corpus Christi, Dallas, El Paso, Houston, Laredo, Rio Grande Valley, San Antonio, Waco</x:v>
      </x:c>
      <x:c r="K2420" s="16" t="str">
        <x:v>Tiburon</x:v>
      </x:c>
      <x:c r="L2420" s="16" t="str">
        <x:v>firm_business_routing</x:v>
      </x:c>
      <x:c r="M2420" s="16" t="str">
        <x:v>https://bettercapitalfund.com/?utm_source=private-lender-link</x:v>
      </x:c>
      <x:c r="N2420" s="16" t="str">
        <x:v>$100K-$500K ticket not published / unconfirmed</x:v>
      </x:c>
      <x:c r="O2420" s="20"/>
      <x:c r="P2420" s="20"/>
      <x:c r="Q2420" s="25" t="str">
        <x:v>Property-loan range, not a corporate-capital commitment</x:v>
      </x:c>
      <x:c r="R2420" s="25" t="str">
        <x:v>Private real-estate finance experience. Corporate working capital, minority equity or profit participation requires a separate agreement from a property loan.</x:v>
      </x:c>
      <x:c r="S2420" s="25"/>
      <x:c r="T2420" s="25" t="str">
        <x:v>Confirm direct principal versus broker, $100K-$500K appetite, and whether capital can fund the operating company without a property mortgage.</x:v>
      </x:c>
      <x:c r="U2420" s="25" t="str">
        <x:v>https://privatelenderlink.com/profile/better-capital-fund/
https://bettercapitalfund.com/?utm_source=private-lender-link
https://www.privatelendersdirectory.com/united-states/tiburon/top-level-category/better-capital-fund</x:v>
      </x:c>
      <x:c r="V2420" s="26" t="d">
        <x:v>2026-10-02T00:00:00.000Z</x:v>
      </x:c>
      <x:c r="W2420" s="26" t="d">
        <x:v>2026-09-30T00:00:00.000Z</x:v>
      </x:c>
      <x:c r="X2420" s="25" t="str">
        <x:v>Saved public company, industry-directory or regulatory source; source date retained</x:v>
      </x:c>
      <x:c r="Y2420" s="25" t="str">
        <x:v>https://bettercapitalfund.com/?utm_source=private-lender-link</x:v>
      </x:c>
      <x:c r="Z2420" s="25" t="str">
        <x:v>https://privatelenderlink.com/profile/better-capital-fund/</x:v>
      </x:c>
      <x:c r="AA2420" s="25" t="str">
        <x:v>[]</x:v>
      </x:c>
      <x:c r="AB2420" s="3" t="str">
        <x:v>Existing CapitalForge research, newly screened for this campaign</x:v>
      </x:c>
      <x:c r="AC2420" s="3" t="str">
        <x:v>unverified</x:v>
      </x:c>
      <x:c r="AD2420" s="3" t="str">
        <x:v>Not contacted / unconfirmed</x:v>
      </x:c>
      <x:c r="AE2420" s="3" t="str">
        <x:v>No</x:v>
      </x:c>
      <x:c r="AF2420" s="3" t="str">
        <x:v>No</x:v>
      </x:c>
      <x:c r="AG2420" s="3"/>
      <x:c r="AH2420" s="3"/>
      <x:c r="AI2420" s="18"/>
      <x:c r="AJ2420" s="3" t="str">
        <x:v>CF2500-61FAFB4F4B1B</x:v>
      </x:c>
      <x:c r="AK2420" s="3" t="str">
        <x:v>private_real_estate_lender</x:v>
      </x:c>
      <x:c r="AL2420" s="19" t="n">
        <x:v>100000</x:v>
      </x:c>
      <x:c r="AM2420" s="19" t="n">
        <x:v>500000</x:v>
      </x:c>
      <x:c r="AN2420" s="3" t="str">
        <x:v>https://privatelenderlink.com/profile/better-capital-fund/</x:v>
      </x:c>
      <x:c r="AO2420" s="3" t="str">
        <x:v>public_directory.jsonl</x:v>
      </x:c>
      <x:c r="AP2420" s="19"/>
    </x:row>
    <x:row r="2421" ht="36" customHeight="1">
      <x:c r="A2421" s="23" t="n">
        <x:v>2420</x:v>
      </x:c>
      <x:c r="B2421" s="15" t="str">
        <x:v>BETTER LOANS</x:v>
      </x:c>
      <x:c r="C2421" s="15"/>
      <x:c r="D2421" s="15" t="str">
        <x:v>Property lender or directory member; operating-company capital unconfirmed</x:v>
      </x:c>
      <x:c r="E2421" s="15" t="str">
        <x:v>Property lender / private-money inquiry</x:v>
      </x:c>
      <x:c r="F2421" s="17" t="str">
        <x:v>New</x:v>
      </x:c>
      <x:c r="G2421" s="24" t="str">
        <x:v>sal@betterloans.net</x:v>
      </x:c>
      <x:c r="H2421" s="24" t="str">
        <x:v>+17184574444</x:v>
      </x:c>
      <x:c r="I2421" s="24" t="str">
        <x:v>https://www.betterloans.net/</x:v>
      </x:c>
      <x:c r="J2421" s="16" t="str">
        <x:v>NY</x:v>
      </x:c>
      <x:c r="K2421" s="16" t="str">
        <x:v>Queens</x:v>
      </x:c>
      <x:c r="L2421" s="16" t="str">
        <x:v>firm_business_routing</x:v>
      </x:c>
      <x:c r="M2421" s="16" t="str">
        <x:v>https://www.betterloans.net/</x:v>
      </x:c>
      <x:c r="N2421" s="16" t="str">
        <x:v>$100K-$500K ticket not published / unconfirmed</x:v>
      </x:c>
      <x:c r="O2421" s="20"/>
      <x:c r="P2421" s="20"/>
      <x:c r="Q2421" s="25" t="str">
        <x:v>Property-loan range, not a corporate-capital commitment</x:v>
      </x:c>
      <x:c r="R2421" s="25" t="str">
        <x:v>Private real-estate finance experience. Corporate working capital, minority equity or profit participation requires a separate agreement from a property loan.</x:v>
      </x:c>
      <x:c r="S2421" s="25"/>
      <x:c r="T2421" s="25" t="str">
        <x:v>Confirm direct principal versus broker, $100K-$500K appetite, and whether capital can fund the operating company without a property mortgage.</x:v>
      </x:c>
      <x:c r="U2421" s="25" t="str">
        <x:v>https://www.privatelendersdirectory.com/united-states/queens/top-level-category/better-loans
https://www.betterloans.net/
https://www.betterloans.net/about/</x:v>
      </x:c>
      <x:c r="V2421" s="26" t="d">
        <x:v>2026-10-02T00:00:00.000Z</x:v>
      </x:c>
      <x:c r="W2421" s="26" t="d">
        <x:v>2026-09-30T00:00:00.000Z</x:v>
      </x:c>
      <x:c r="X2421" s="25" t="str">
        <x:v>Saved public company, industry-directory or regulatory source; source date retained</x:v>
      </x:c>
      <x:c r="Y2421" s="25" t="str">
        <x:v>https://www.betterloans.net/about/</x:v>
      </x:c>
      <x:c r="Z2421" s="25" t="str">
        <x:v>https://www.betterloans.net/</x:v>
      </x:c>
      <x:c r="AA2421" s="25" t="str">
        <x:v>[]</x:v>
      </x:c>
      <x:c r="AB2421" s="3" t="str">
        <x:v>Existing CapitalForge research, newly screened for this campaign</x:v>
      </x:c>
      <x:c r="AC2421" s="3" t="str">
        <x:v>unverified</x:v>
      </x:c>
      <x:c r="AD2421" s="3" t="str">
        <x:v>Not contacted / unconfirmed</x:v>
      </x:c>
      <x:c r="AE2421" s="3" t="str">
        <x:v>No</x:v>
      </x:c>
      <x:c r="AF2421" s="3" t="str">
        <x:v>No</x:v>
      </x:c>
      <x:c r="AG2421" s="3"/>
      <x:c r="AH2421" s="3"/>
      <x:c r="AI2421" s="18"/>
      <x:c r="AJ2421" s="3" t="str">
        <x:v>CF2500-F80CDF825C54</x:v>
      </x:c>
      <x:c r="AK2421" s="3" t="str">
        <x:v>private_real_estate_lender</x:v>
      </x:c>
      <x:c r="AL2421" s="19" t="n">
        <x:v>100000</x:v>
      </x:c>
      <x:c r="AM2421" s="19" t="n">
        <x:v>500000</x:v>
      </x:c>
      <x:c r="AN2421" s="3" t="str">
        <x:v>https://www.privatelendersdirectory.com/united-states/queens/top-level-category/better-loans</x:v>
      </x:c>
      <x:c r="AO2421" s="3" t="str">
        <x:v>public_directory.jsonl</x:v>
      </x:c>
      <x:c r="AP2421" s="19"/>
    </x:row>
    <x:row r="2422" ht="36" customHeight="1">
      <x:c r="A2422" s="23" t="n">
        <x:v>2421</x:v>
      </x:c>
      <x:c r="B2422" s="15" t="str">
        <x:v>BEVERLY HILLS FUNDING GROUP</x:v>
      </x:c>
      <x:c r="C2422" s="15"/>
      <x:c r="D2422" s="15" t="str">
        <x:v>Property lender or directory member; operating-company capital unconfirmed</x:v>
      </x:c>
      <x:c r="E2422" s="15" t="str">
        <x:v>Property lender / private-money inquiry</x:v>
      </x:c>
      <x:c r="F2422" s="17" t="str">
        <x:v>New</x:v>
      </x:c>
      <x:c r="G2422" s="24" t="str">
        <x:v>david@beverlyhillsfundinggroup.com</x:v>
      </x:c>
      <x:c r="H2422" s="24" t="str">
        <x:v>+18888958728</x:v>
      </x:c>
      <x:c r="I2422" s="24" t="str">
        <x:v>https://www.beverlyhillsfundinggroup.com/</x:v>
      </x:c>
      <x:c r="J2422" s="16" t="str">
        <x:v>CA</x:v>
      </x:c>
      <x:c r="K2422" s="16" t="str">
        <x:v>Irvine</x:v>
      </x:c>
      <x:c r="L2422" s="16" t="str">
        <x:v>firm_business_routing</x:v>
      </x:c>
      <x:c r="M2422" s="16" t="str">
        <x:v>https://www.beverlyhillsfundinggroup.com/</x:v>
      </x:c>
      <x:c r="N2422" s="16" t="str">
        <x:v>$100K-$500K ticket not published / unconfirmed</x:v>
      </x:c>
      <x:c r="O2422" s="20"/>
      <x:c r="P2422" s="20"/>
      <x:c r="Q2422" s="25" t="str">
        <x:v>Property-loan range, not a corporate-capital commitment</x:v>
      </x:c>
      <x:c r="R2422" s="25" t="str">
        <x:v>Private real-estate finance experience. Corporate working capital, minority equity or profit participation requires a separate agreement from a property loan.</x:v>
      </x:c>
      <x:c r="S2422" s="25"/>
      <x:c r="T2422" s="25" t="str">
        <x:v>Confirm direct principal versus broker, $100K-$500K appetite, and whether capital can fund the operating company without a property mortgage.</x:v>
      </x:c>
      <x:c r="U2422" s="25" t="str">
        <x:v>https://www.privatelendersdirectory.com/united-states/irvine/top-level-category/beverly-hills-funding-group
https://www.beverlyhillsfundinggroup.com/</x:v>
      </x:c>
      <x:c r="V2422" s="26" t="d">
        <x:v>2026-10-02T00:00:00.000Z</x:v>
      </x:c>
      <x:c r="W2422" s="26" t="d">
        <x:v>2026-09-30T00:00:00.000Z</x:v>
      </x:c>
      <x:c r="X2422" s="25" t="str">
        <x:v>Saved public company, industry-directory or regulatory source; source date retained</x:v>
      </x:c>
      <x:c r="Y2422" s="25" t="str">
        <x:v>https://www.beverlyhillsfundinggroup.com/</x:v>
      </x:c>
      <x:c r="Z2422" s="25" t="str">
        <x:v>https://www.beverlyhillsfundinggroup.com/</x:v>
      </x:c>
      <x:c r="AA2422" s="25" t="str">
        <x:v>[]</x:v>
      </x:c>
      <x:c r="AB2422" s="3" t="str">
        <x:v>Existing CapitalForge research, newly screened for this campaign</x:v>
      </x:c>
      <x:c r="AC2422" s="3" t="str">
        <x:v>unverified</x:v>
      </x:c>
      <x:c r="AD2422" s="3" t="str">
        <x:v>Not contacted / unconfirmed</x:v>
      </x:c>
      <x:c r="AE2422" s="3" t="str">
        <x:v>No</x:v>
      </x:c>
      <x:c r="AF2422" s="3" t="str">
        <x:v>No</x:v>
      </x:c>
      <x:c r="AG2422" s="3"/>
      <x:c r="AH2422" s="3"/>
      <x:c r="AI2422" s="18"/>
      <x:c r="AJ2422" s="3" t="str">
        <x:v>CF2500-57F38E6D7E3A</x:v>
      </x:c>
      <x:c r="AK2422" s="3" t="str">
        <x:v>private_real_estate_lender</x:v>
      </x:c>
      <x:c r="AL2422" s="19" t="n">
        <x:v>100000</x:v>
      </x:c>
      <x:c r="AM2422" s="19" t="n">
        <x:v>500000</x:v>
      </x:c>
      <x:c r="AN2422" s="3" t="str">
        <x:v>https://www.privatelendersdirectory.com/united-states/irvine/top-level-category/beverly-hills-funding-group</x:v>
      </x:c>
      <x:c r="AO2422" s="3" t="str">
        <x:v>public_directory.jsonl</x:v>
      </x:c>
      <x:c r="AP2422" s="19"/>
    </x:row>
    <x:row r="2423" ht="36" customHeight="1">
      <x:c r="A2423" s="23" t="n">
        <x:v>2422</x:v>
      </x:c>
      <x:c r="B2423" s="15" t="str">
        <x:v>BILLBOARD LOANS FUND THREE</x:v>
      </x:c>
      <x:c r="C2423" s="15"/>
      <x:c r="D2423" s="15" t="str">
        <x:v>Property lender or directory member; operating-company capital unconfirmed</x:v>
      </x:c>
      <x:c r="E2423" s="15" t="str">
        <x:v>Property lender / private-money inquiry</x:v>
      </x:c>
      <x:c r="F2423" s="17" t="str">
        <x:v>New</x:v>
      </x:c>
      <x:c r="G2423" s="24" t="str">
        <x:v>kenaltena@billboardloans.com</x:v>
      </x:c>
      <x:c r="H2423" s="24" t="str">
        <x:v>+12066368478</x:v>
      </x:c>
      <x:c r="I2423" s="24" t="str">
        <x:v>https://billboardloans.com/</x:v>
      </x:c>
      <x:c r="J2423" s="16" t="str">
        <x:v>WA</x:v>
      </x:c>
      <x:c r="K2423" s="16" t="str">
        <x:v>Kirkland</x:v>
      </x:c>
      <x:c r="L2423" s="16" t="str">
        <x:v>firm_business_routing</x:v>
      </x:c>
      <x:c r="M2423" s="16" t="str">
        <x:v>https://billboardloans.com/</x:v>
      </x:c>
      <x:c r="N2423" s="16" t="str">
        <x:v>$100K-$500K ticket not published / unconfirmed</x:v>
      </x:c>
      <x:c r="O2423" s="20"/>
      <x:c r="P2423" s="20"/>
      <x:c r="Q2423" s="25" t="str">
        <x:v>Property-loan range, not a corporate-capital commitment</x:v>
      </x:c>
      <x:c r="R2423" s="25" t="str">
        <x:v>Private real-estate finance experience. Corporate working capital, minority equity or profit participation requires a separate agreement from a property loan.</x:v>
      </x:c>
      <x:c r="S2423" s="25"/>
      <x:c r="T2423" s="25" t="str">
        <x:v>Confirm direct principal versus broker, $100K-$500K appetite, and whether capital can fund the operating company without a property mortgage.</x:v>
      </x:c>
      <x:c r="U2423" s="25" t="str">
        <x:v>https://www.privatelendersdirectory.com/united-states/kirkland/real-estate-investment-lending/billboard-loans-fund-three
https://billboardloans.com/</x:v>
      </x:c>
      <x:c r="V2423" s="26" t="d">
        <x:v>2026-10-02T00:00:00.000Z</x:v>
      </x:c>
      <x:c r="W2423" s="26" t="d">
        <x:v>2026-09-30T00:00:00.000Z</x:v>
      </x:c>
      <x:c r="X2423" s="25" t="str">
        <x:v>Saved public company, industry-directory or regulatory source; source date retained</x:v>
      </x:c>
      <x:c r="Y2423" s="25" t="str">
        <x:v>https://billboardloans.com/</x:v>
      </x:c>
      <x:c r="Z2423" s="25" t="str">
        <x:v>https://billboardloans.com/</x:v>
      </x:c>
      <x:c r="AA2423" s="25" t="str">
        <x:v>[]</x:v>
      </x:c>
      <x:c r="AB2423" s="3" t="str">
        <x:v>Existing CapitalForge research, newly screened for this campaign</x:v>
      </x:c>
      <x:c r="AC2423" s="3" t="str">
        <x:v>unverified</x:v>
      </x:c>
      <x:c r="AD2423" s="3" t="str">
        <x:v>Not contacted / unconfirmed</x:v>
      </x:c>
      <x:c r="AE2423" s="3" t="str">
        <x:v>No</x:v>
      </x:c>
      <x:c r="AF2423" s="3" t="str">
        <x:v>No</x:v>
      </x:c>
      <x:c r="AG2423" s="3"/>
      <x:c r="AH2423" s="3"/>
      <x:c r="AI2423" s="18"/>
      <x:c r="AJ2423" s="3" t="str">
        <x:v>CF2500-D865D6483FFA</x:v>
      </x:c>
      <x:c r="AK2423" s="3" t="str">
        <x:v>private_real_estate_lender</x:v>
      </x:c>
      <x:c r="AL2423" s="19" t="n">
        <x:v>100000</x:v>
      </x:c>
      <x:c r="AM2423" s="19" t="n">
        <x:v>500000</x:v>
      </x:c>
      <x:c r="AN2423" s="3" t="str">
        <x:v>https://www.privatelendersdirectory.com/united-states/kirkland/real-estate-investment-lending/billboard-loans-fund-three</x:v>
      </x:c>
      <x:c r="AO2423" s="3" t="str">
        <x:v>public_directory.jsonl</x:v>
      </x:c>
      <x:c r="AP2423" s="19"/>
    </x:row>
    <x:row r="2424" ht="36" customHeight="1">
      <x:c r="A2424" s="23" t="n">
        <x:v>2423</x:v>
      </x:c>
      <x:c r="B2424" s="15" t="str">
        <x:v>Blackburne &amp;amp; Sons</x:v>
      </x:c>
      <x:c r="C2424" s="15"/>
      <x:c r="D2424" s="15" t="str">
        <x:v>Property lender or directory member; operating-company capital unconfirmed</x:v>
      </x:c>
      <x:c r="E2424" s="15" t="str">
        <x:v>Property lender / private-money inquiry</x:v>
      </x:c>
      <x:c r="F2424" s="17" t="str">
        <x:v>New</x:v>
      </x:c>
      <x:c r="G2424" s="24" t="str">
        <x:v>gandy@blackburne.com</x:v>
      </x:c>
      <x:c r="H2424" s="24" t="str">
        <x:v>+19163383232</x:v>
      </x:c>
      <x:c r="I2424" s="24" t="str">
        <x:v>https://www.blackburneandsons.com/</x:v>
      </x:c>
      <x:c r="J2424" s="16" t="str">
        <x:v>California</x:v>
      </x:c>
      <x:c r="K2424" s="16" t="str">
        <x:v>Sacramento</x:v>
      </x:c>
      <x:c r="L2424" s="16" t="str">
        <x:v>firm_business_routing</x:v>
      </x:c>
      <x:c r="M2424" s="16" t="str">
        <x:v>https://www.blackburneandsons.com/</x:v>
      </x:c>
      <x:c r="N2424" s="16" t="str">
        <x:v>$100K-$500K ticket not published / unconfirmed</x:v>
      </x:c>
      <x:c r="O2424" s="20"/>
      <x:c r="P2424" s="20"/>
      <x:c r="Q2424" s="25" t="str">
        <x:v>Property-loan range, not a corporate-capital commitment</x:v>
      </x:c>
      <x:c r="R2424" s="25" t="str">
        <x:v>Private real-estate finance experience. Corporate working capital, minority equity or profit participation requires a separate agreement from a property loan.</x:v>
      </x:c>
      <x:c r="S2424" s="25"/>
      <x:c r="T2424" s="25" t="str">
        <x:v>Confirm direct principal versus broker, $100K-$500K appetite, and whether capital can fund the operating company without a property mortgage.</x:v>
      </x:c>
      <x:c r="U2424" s="25" t="str">
        <x:v>https://privatelenderlink.com/profile/blackburne-and-sons-realty-capital-corp/
https://www.blackburneandsons.com/</x:v>
      </x:c>
      <x:c r="V2424" s="26" t="d">
        <x:v>2026-10-02T00:00:00.000Z</x:v>
      </x:c>
      <x:c r="W2424" s="26" t="d">
        <x:v>2026-09-30T00:00:00.000Z</x:v>
      </x:c>
      <x:c r="X2424" s="25" t="str">
        <x:v>Saved public company, industry-directory or regulatory source; source date retained</x:v>
      </x:c>
      <x:c r="Y2424" s="25" t="str">
        <x:v>https://privatelenderlink.com/profile/blackburne-and-sons-realty-capital-corp/</x:v>
      </x:c>
      <x:c r="Z2424" s="25" t="str">
        <x:v>https://www.blackburneandsons.com/</x:v>
      </x:c>
      <x:c r="AA2424" s="25" t="str">
        <x:v>[]</x:v>
      </x:c>
      <x:c r="AB2424" s="3" t="str">
        <x:v>Existing CapitalForge research, newly screened for this campaign</x:v>
      </x:c>
      <x:c r="AC2424" s="3" t="str">
        <x:v>unverified</x:v>
      </x:c>
      <x:c r="AD2424" s="3" t="str">
        <x:v>Not contacted / unconfirmed</x:v>
      </x:c>
      <x:c r="AE2424" s="3" t="str">
        <x:v>No</x:v>
      </x:c>
      <x:c r="AF2424" s="3" t="str">
        <x:v>No</x:v>
      </x:c>
      <x:c r="AG2424" s="3"/>
      <x:c r="AH2424" s="3"/>
      <x:c r="AI2424" s="18"/>
      <x:c r="AJ2424" s="3" t="str">
        <x:v>CF2500-23EBA5AA867C</x:v>
      </x:c>
      <x:c r="AK2424" s="3" t="str">
        <x:v>private_real_estate_lender</x:v>
      </x:c>
      <x:c r="AL2424" s="19" t="n">
        <x:v>100000</x:v>
      </x:c>
      <x:c r="AM2424" s="19" t="n">
        <x:v>500000</x:v>
      </x:c>
      <x:c r="AN2424" s="3" t="str">
        <x:v>https://privatelenderlink.com/profile/blackburne-and-sons-realty-capital-corp/</x:v>
      </x:c>
      <x:c r="AO2424" s="3" t="str">
        <x:v>public_directory.jsonl</x:v>
      </x:c>
      <x:c r="AP2424" s="19"/>
    </x:row>
    <x:row r="2425" ht="36" customHeight="1">
      <x:c r="A2425" s="23" t="n">
        <x:v>2424</x:v>
      </x:c>
      <x:c r="B2425" s="15" t="str">
        <x:v>BLOCK LENDING</x:v>
      </x:c>
      <x:c r="C2425" s="15"/>
      <x:c r="D2425" s="15" t="str">
        <x:v>Property lender or directory member; operating-company capital unconfirmed</x:v>
      </x:c>
      <x:c r="E2425" s="15" t="str">
        <x:v>Property lender / private-money inquiry</x:v>
      </x:c>
      <x:c r="F2425" s="17" t="str">
        <x:v>New</x:v>
      </x:c>
      <x:c r="G2425" s="24" t="str">
        <x:v>info@blocklending.com</x:v>
      </x:c>
      <x:c r="H2425" s="24" t="str">
        <x:v>+12129330157</x:v>
      </x:c>
      <x:c r="I2425" s="24" t="str">
        <x:v>https://www.blocklending.com/</x:v>
      </x:c>
      <x:c r="J2425" s="16" t="str">
        <x:v>NY</x:v>
      </x:c>
      <x:c r="K2425" s="16" t="str">
        <x:v>New York</x:v>
      </x:c>
      <x:c r="L2425" s="16" t="str">
        <x:v>firm_business_routing</x:v>
      </x:c>
      <x:c r="M2425" s="16" t="str">
        <x:v>https://www.blocklending.com/</x:v>
      </x:c>
      <x:c r="N2425" s="16" t="str">
        <x:v>$100K-$500K ticket not published / unconfirmed</x:v>
      </x:c>
      <x:c r="O2425" s="20"/>
      <x:c r="P2425" s="20"/>
      <x:c r="Q2425" s="25" t="str">
        <x:v>Property-loan range, not a corporate-capital commitment</x:v>
      </x:c>
      <x:c r="R2425" s="25" t="str">
        <x:v>Private real-estate finance experience. Corporate working capital, minority equity or profit participation requires a separate agreement from a property loan.</x:v>
      </x:c>
      <x:c r="S2425" s="25"/>
      <x:c r="T2425" s="25" t="str">
        <x:v>Confirm direct principal versus broker, $100K-$500K appetite, and whether capital can fund the operating company without a property mortgage.</x:v>
      </x:c>
      <x:c r="U2425" s="25" t="str">
        <x:v>https://www.privatelendersdirectory.com/united-states/new-york/top-level-category/block-lending
https://www.blocklending.com/</x:v>
      </x:c>
      <x:c r="V2425" s="26" t="d">
        <x:v>2026-10-02T00:00:00.000Z</x:v>
      </x:c>
      <x:c r="W2425" s="26" t="d">
        <x:v>2026-09-30T00:00:00.000Z</x:v>
      </x:c>
      <x:c r="X2425" s="25" t="str">
        <x:v>Saved public company, industry-directory or regulatory source; source date retained</x:v>
      </x:c>
      <x:c r="Y2425" s="25" t="str">
        <x:v>https://www.blocklending.com/</x:v>
      </x:c>
      <x:c r="Z2425" s="25" t="str">
        <x:v>https://www.blocklending.com/</x:v>
      </x:c>
      <x:c r="AA2425" s="25" t="str">
        <x:v>[]</x:v>
      </x:c>
      <x:c r="AB2425" s="3" t="str">
        <x:v>Existing CapitalForge research, newly screened for this campaign</x:v>
      </x:c>
      <x:c r="AC2425" s="3" t="str">
        <x:v>unverified</x:v>
      </x:c>
      <x:c r="AD2425" s="3" t="str">
        <x:v>Not contacted / unconfirmed</x:v>
      </x:c>
      <x:c r="AE2425" s="3" t="str">
        <x:v>No</x:v>
      </x:c>
      <x:c r="AF2425" s="3" t="str">
        <x:v>No</x:v>
      </x:c>
      <x:c r="AG2425" s="3"/>
      <x:c r="AH2425" s="3"/>
      <x:c r="AI2425" s="18"/>
      <x:c r="AJ2425" s="3" t="str">
        <x:v>CF2500-67F74AB86707</x:v>
      </x:c>
      <x:c r="AK2425" s="3" t="str">
        <x:v>private_real_estate_lender</x:v>
      </x:c>
      <x:c r="AL2425" s="19" t="n">
        <x:v>100000</x:v>
      </x:c>
      <x:c r="AM2425" s="19" t="n">
        <x:v>500000</x:v>
      </x:c>
      <x:c r="AN2425" s="3" t="str">
        <x:v>https://www.privatelendersdirectory.com/united-states/new-york/top-level-category/block-lending</x:v>
      </x:c>
      <x:c r="AO2425" s="3" t="str">
        <x:v>public_directory.jsonl</x:v>
      </x:c>
      <x:c r="AP2425" s="19"/>
    </x:row>
    <x:row r="2426" ht="36" customHeight="1">
      <x:c r="A2426" s="23" t="n">
        <x:v>2425</x:v>
      </x:c>
      <x:c r="B2426" s="15" t="str">
        <x:v>Blue-inc. Capital</x:v>
      </x:c>
      <x:c r="C2426" s="15"/>
      <x:c r="D2426" s="15" t="str">
        <x:v>Property lender or directory member; operating-company capital unconfirmed</x:v>
      </x:c>
      <x:c r="E2426" s="15" t="str">
        <x:v>Property lender / private-money inquiry</x:v>
      </x:c>
      <x:c r="F2426" s="17" t="str">
        <x:v>New</x:v>
      </x:c>
      <x:c r="G2426" s="24" t="str">
        <x:v>matt@blue-inc.com</x:v>
      </x:c>
      <x:c r="H2426" s="24" t="str">
        <x:v>+15418027899</x:v>
      </x:c>
      <x:c r="I2426" s="24" t="str">
        <x:v>http://www.blue-inc.com</x:v>
      </x:c>
      <x:c r="J2426" s="16" t="str">
        <x:v>Oregon, Bend, Corvallis, Eugene, Grants Pass, Klamath Falls, Medford, Portland, Salem</x:v>
      </x:c>
      <x:c r="K2426" s="16" t="str">
        <x:v>Eugene</x:v>
      </x:c>
      <x:c r="L2426" s="16" t="str">
        <x:v>firm_business_routing</x:v>
      </x:c>
      <x:c r="M2426" s="16" t="str">
        <x:v>http://www.blue-inc.com</x:v>
      </x:c>
      <x:c r="N2426" s="16" t="str">
        <x:v>$100K-$500K ticket not published / unconfirmed</x:v>
      </x:c>
      <x:c r="O2426" s="20"/>
      <x:c r="P2426" s="20"/>
      <x:c r="Q2426" s="25" t="str">
        <x:v>Property-loan range, not a corporate-capital commitment</x:v>
      </x:c>
      <x:c r="R2426" s="25" t="str">
        <x:v>Private real-estate finance experience. Corporate working capital, minority equity or profit participation requires a separate agreement from a property loan.</x:v>
      </x:c>
      <x:c r="S2426" s="25"/>
      <x:c r="T2426" s="25" t="str">
        <x:v>Confirm direct principal versus broker, $100K-$500K appetite, and whether capital can fund the operating company without a property mortgage.</x:v>
      </x:c>
      <x:c r="U2426" s="25" t="str">
        <x:v>https://privatelenderlink.com/profile/blue-inc-capital/
https://www.privatelendersdirectory.com/united-states/eugene/top-level-category/blue-inc-capital
https://blue-inc.com/</x:v>
      </x:c>
      <x:c r="V2426" s="26" t="d">
        <x:v>2026-10-02T00:00:00.000Z</x:v>
      </x:c>
      <x:c r="W2426" s="26" t="d">
        <x:v>2026-09-30T00:00:00.000Z</x:v>
      </x:c>
      <x:c r="X2426" s="25" t="str">
        <x:v>Saved public company, industry-directory or regulatory source; source date retained</x:v>
      </x:c>
      <x:c r="Y2426" s="25" t="str">
        <x:v>https://privatelenderlink.com/profile/blue-inc-capital/</x:v>
      </x:c>
      <x:c r="Z2426" s="25" t="str">
        <x:v>https://privatelenderlink.com/profile/blue-inc-capital/</x:v>
      </x:c>
      <x:c r="AA2426" s="25" t="str">
        <x:v>[]</x:v>
      </x:c>
      <x:c r="AB2426" s="3" t="str">
        <x:v>Existing CapitalForge research, newly screened for this campaign</x:v>
      </x:c>
      <x:c r="AC2426" s="3" t="str">
        <x:v>unverified</x:v>
      </x:c>
      <x:c r="AD2426" s="3" t="str">
        <x:v>Not contacted / unconfirmed</x:v>
      </x:c>
      <x:c r="AE2426" s="3" t="str">
        <x:v>No</x:v>
      </x:c>
      <x:c r="AF2426" s="3" t="str">
        <x:v>No</x:v>
      </x:c>
      <x:c r="AG2426" s="3"/>
      <x:c r="AH2426" s="3"/>
      <x:c r="AI2426" s="18"/>
      <x:c r="AJ2426" s="3" t="str">
        <x:v>CF2500-DE078E420455</x:v>
      </x:c>
      <x:c r="AK2426" s="3" t="str">
        <x:v>private_real_estate_lender</x:v>
      </x:c>
      <x:c r="AL2426" s="19" t="n">
        <x:v>100000</x:v>
      </x:c>
      <x:c r="AM2426" s="19" t="n">
        <x:v>500000</x:v>
      </x:c>
      <x:c r="AN2426" s="3" t="str">
        <x:v>https://privatelenderlink.com/profile/blue-inc-capital/</x:v>
      </x:c>
      <x:c r="AO2426" s="3" t="str">
        <x:v>public_directory.jsonl</x:v>
      </x:c>
      <x:c r="AP2426" s="19"/>
    </x:row>
    <x:row r="2427" ht="36" customHeight="1">
      <x:c r="A2427" s="23" t="n">
        <x:v>2426</x:v>
      </x:c>
      <x:c r="B2427" s="15" t="str">
        <x:v>BLUE CAY CAPITAL</x:v>
      </x:c>
      <x:c r="C2427" s="15"/>
      <x:c r="D2427" s="15" t="str">
        <x:v>Property lender or directory member; operating-company capital unconfirmed</x:v>
      </x:c>
      <x:c r="E2427" s="15" t="str">
        <x:v>Property lender / private-money inquiry</x:v>
      </x:c>
      <x:c r="F2427" s="17" t="str">
        <x:v>New</x:v>
      </x:c>
      <x:c r="G2427" s="24" t="str">
        <x:v>info@bluecaycapital.com</x:v>
      </x:c>
      <x:c r="H2427" s="24" t="str">
        <x:v>+12032538835</x:v>
      </x:c>
      <x:c r="I2427" s="24" t="str">
        <x:v>http://bluecaycapital.com/</x:v>
      </x:c>
      <x:c r="J2427" s="16" t="str">
        <x:v>CT</x:v>
      </x:c>
      <x:c r="K2427" s="16" t="str">
        <x:v>Fairfield</x:v>
      </x:c>
      <x:c r="L2427" s="16" t="str">
        <x:v>firm_business_routing</x:v>
      </x:c>
      <x:c r="M2427" s="16" t="str">
        <x:v>http://bluecaycapital.com/</x:v>
      </x:c>
      <x:c r="N2427" s="16" t="str">
        <x:v>$100K-$500K ticket not published / unconfirmed</x:v>
      </x:c>
      <x:c r="O2427" s="20"/>
      <x:c r="P2427" s="20"/>
      <x:c r="Q2427" s="25" t="str">
        <x:v>Property-loan range, not a corporate-capital commitment</x:v>
      </x:c>
      <x:c r="R2427" s="25" t="str">
        <x:v>Private real-estate finance experience. Corporate working capital, minority equity or profit participation requires a separate agreement from a property loan.</x:v>
      </x:c>
      <x:c r="S2427" s="25"/>
      <x:c r="T2427" s="25" t="str">
        <x:v>Confirm direct principal versus broker, $100K-$500K appetite, and whether capital can fund the operating company without a property mortgage.</x:v>
      </x:c>
      <x:c r="U2427" s="25" t="str">
        <x:v>https://www.privatelendersdirectory.com/united-states/fairfield/top-level-category/blue-cay-capital
https://bluecaycapital.com/contact.html</x:v>
      </x:c>
      <x:c r="V2427" s="26" t="d">
        <x:v>2026-10-02T00:00:00.000Z</x:v>
      </x:c>
      <x:c r="W2427" s="26" t="d">
        <x:v>2026-09-30T00:00:00.000Z</x:v>
      </x:c>
      <x:c r="X2427" s="25" t="str">
        <x:v>Saved public company, industry-directory or regulatory source; source date retained</x:v>
      </x:c>
      <x:c r="Y2427" s="25" t="str">
        <x:v>https://bluecaycapital.com/contact.html</x:v>
      </x:c>
      <x:c r="Z2427" s="25" t="str">
        <x:v>https://bluecaycapital.com/contact.html</x:v>
      </x:c>
      <x:c r="AA2427" s="25" t="str">
        <x:v>[]</x:v>
      </x:c>
      <x:c r="AB2427" s="3" t="str">
        <x:v>Existing CapitalForge research, newly screened for this campaign</x:v>
      </x:c>
      <x:c r="AC2427" s="3" t="str">
        <x:v>unverified</x:v>
      </x:c>
      <x:c r="AD2427" s="3" t="str">
        <x:v>Not contacted / unconfirmed</x:v>
      </x:c>
      <x:c r="AE2427" s="3" t="str">
        <x:v>No</x:v>
      </x:c>
      <x:c r="AF2427" s="3" t="str">
        <x:v>No</x:v>
      </x:c>
      <x:c r="AG2427" s="3"/>
      <x:c r="AH2427" s="3"/>
      <x:c r="AI2427" s="18"/>
      <x:c r="AJ2427" s="3" t="str">
        <x:v>CF2500-81BD5EC8BA17</x:v>
      </x:c>
      <x:c r="AK2427" s="3" t="str">
        <x:v>private_real_estate_lender</x:v>
      </x:c>
      <x:c r="AL2427" s="19" t="n">
        <x:v>100000</x:v>
      </x:c>
      <x:c r="AM2427" s="19" t="n">
        <x:v>500000</x:v>
      </x:c>
      <x:c r="AN2427" s="3" t="str">
        <x:v>https://www.privatelendersdirectory.com/united-states/fairfield/top-level-category/blue-cay-capital</x:v>
      </x:c>
      <x:c r="AO2427" s="3" t="str">
        <x:v>public_directory.jsonl</x:v>
      </x:c>
      <x:c r="AP2427" s="19"/>
    </x:row>
    <x:row r="2428" ht="36" customHeight="1">
      <x:c r="A2428" s="23" t="n">
        <x:v>2427</x:v>
      </x:c>
      <x:c r="B2428" s="15" t="str">
        <x:v>Blue Gate Capital</x:v>
      </x:c>
      <x:c r="C2428" s="15"/>
      <x:c r="D2428" s="15" t="str">
        <x:v>Property lender or directory member; operating-company capital unconfirmed</x:v>
      </x:c>
      <x:c r="E2428" s="15" t="str">
        <x:v>Property lender / private-money inquiry</x:v>
      </x:c>
      <x:c r="F2428" s="17" t="str">
        <x:v>New</x:v>
      </x:c>
      <x:c r="G2428" s="24" t="str">
        <x:v>info@bluegatecap.com</x:v>
      </x:c>
      <x:c r="H2428" s="24" t="str">
        <x:v>+16462907272</x:v>
      </x:c>
      <x:c r="I2428" s="24" t="str">
        <x:v>https://bluegatecap.com/?utm_source=private-lender-link</x:v>
      </x:c>
      <x:c r="J2428" s="16" t="str">
        <x:v>NY</x:v>
      </x:c>
      <x:c r="K2428" s="16" t="str">
        <x:v>New York</x:v>
      </x:c>
      <x:c r="L2428" s="16" t="str">
        <x:v>firm_business_routing</x:v>
      </x:c>
      <x:c r="M2428" s="16" t="str">
        <x:v>https://bluegatecap.com/?utm_source=private-lender-link</x:v>
      </x:c>
      <x:c r="N2428" s="16" t="str">
        <x:v>$100K-$500K ticket not published / unconfirmed</x:v>
      </x:c>
      <x:c r="O2428" s="20"/>
      <x:c r="P2428" s="20"/>
      <x:c r="Q2428" s="25" t="str">
        <x:v>Property-loan range, not a corporate-capital commitment</x:v>
      </x:c>
      <x:c r="R2428" s="25" t="str">
        <x:v>Private real-estate finance experience. Corporate working capital, minority equity or profit participation requires a separate agreement from a property loan.</x:v>
      </x:c>
      <x:c r="S2428" s="25"/>
      <x:c r="T2428" s="25" t="str">
        <x:v>Confirm direct principal versus broker, $100K-$500K appetite, and whether capital can fund the operating company without a property mortgage.</x:v>
      </x:c>
      <x:c r="U2428" s="25" t="str">
        <x:v>https://privatelenderlink.com/profile/blue-gate-capital/
https://nplaconference.com/private-lending-directory/page/3/
https://bluegatecap.com/</x:v>
      </x:c>
      <x:c r="V2428" s="26" t="d">
        <x:v>2026-10-02T00:00:00.000Z</x:v>
      </x:c>
      <x:c r="W2428" s="26" t="d">
        <x:v>2026-09-30T00:00:00.000Z</x:v>
      </x:c>
      <x:c r="X2428" s="25" t="str">
        <x:v>Saved public company, industry-directory or regulatory source; source date retained</x:v>
      </x:c>
      <x:c r="Y2428" s="25" t="str">
        <x:v>https://privatelenderlink.com/profile/blue-gate-capital/</x:v>
      </x:c>
      <x:c r="Z2428" s="25" t="str">
        <x:v>https://privatelenderlink.com/profile/blue-gate-capital/</x:v>
      </x:c>
      <x:c r="AA2428" s="25" t="str">
        <x:v>[]</x:v>
      </x:c>
      <x:c r="AB2428" s="3" t="str">
        <x:v>Existing CapitalForge research, newly screened for this campaign</x:v>
      </x:c>
      <x:c r="AC2428" s="3" t="str">
        <x:v>unverified</x:v>
      </x:c>
      <x:c r="AD2428" s="3" t="str">
        <x:v>Not contacted / unconfirmed</x:v>
      </x:c>
      <x:c r="AE2428" s="3" t="str">
        <x:v>No</x:v>
      </x:c>
      <x:c r="AF2428" s="3" t="str">
        <x:v>No</x:v>
      </x:c>
      <x:c r="AG2428" s="3"/>
      <x:c r="AH2428" s="3"/>
      <x:c r="AI2428" s="18"/>
      <x:c r="AJ2428" s="3" t="str">
        <x:v>CF2500-412D3CDA1878</x:v>
      </x:c>
      <x:c r="AK2428" s="3" t="str">
        <x:v>private_real_estate_lender</x:v>
      </x:c>
      <x:c r="AL2428" s="19" t="n">
        <x:v>100000</x:v>
      </x:c>
      <x:c r="AM2428" s="19" t="n">
        <x:v>500000</x:v>
      </x:c>
      <x:c r="AN2428" s="3" t="str">
        <x:v>https://privatelenderlink.com/profile/blue-gate-capital/</x:v>
      </x:c>
      <x:c r="AO2428" s="3" t="str">
        <x:v>public_directory.jsonl</x:v>
      </x:c>
      <x:c r="AP2428" s="19"/>
    </x:row>
    <x:row r="2429" ht="36" customHeight="1">
      <x:c r="A2429" s="23" t="n">
        <x:v>2428</x:v>
      </x:c>
      <x:c r="B2429" s="15" t="str">
        <x:v>Blue Hub Capital</x:v>
      </x:c>
      <x:c r="C2429" s="15" t="str">
        <x:v>Blue Hub Capital</x:v>
      </x:c>
      <x:c r="D2429" s="15" t="str">
        <x:v>Property lender or directory member; operating-company capital unconfirmed</x:v>
      </x:c>
      <x:c r="E2429" s="15" t="str">
        <x:v>Property lender / private-money inquiry</x:v>
      </x:c>
      <x:c r="F2429" s="17" t="str">
        <x:v>New</x:v>
      </x:c>
      <x:c r="G2429" s="24" t="str">
        <x:v>info@bluehubcapital.org</x:v>
      </x:c>
      <x:c r="H2429" s="24" t="str">
        <x:v>+16174278600</x:v>
      </x:c>
      <x:c r="I2429" s="24" t="str">
        <x:v>https://bluehubcapital.org/</x:v>
      </x:c>
      <x:c r="J2429" s="16"/>
      <x:c r="K2429" s="16"/>
      <x:c r="L2429" s="16" t="str">
        <x:v>published_professional_contact_directness_unconfirmed</x:v>
      </x:c>
      <x:c r="M2429" s="16" t="str">
        <x:v>https://bluehubcapital.org/</x:v>
      </x:c>
      <x:c r="N2429" s="16" t="str">
        <x:v>$100K-$500K ticket not published / unconfirmed</x:v>
      </x:c>
      <x:c r="O2429" s="20"/>
      <x:c r="P2429" s="20"/>
      <x:c r="Q2429" s="25" t="str">
        <x:v>Property-loan range, not a corporate-capital commitment</x:v>
      </x:c>
      <x:c r="R2429" s="25" t="str">
        <x:v>Private real-estate finance experience. Corporate working capital, minority equity or profit participation requires a separate agreement from a property loan.</x:v>
      </x:c>
      <x:c r="S2429" s="25"/>
      <x:c r="T2429" s="25" t="str">
        <x:v>Confirm direct principal versus broker, $100K-$500K appetite, and whether capital can fund the operating company without a property mortgage.</x:v>
      </x:c>
      <x:c r="U2429" s="25" t="str">
        <x:v>https://nplaconference.com/private-lending-directory/page/3/
https://bluehubcapital.org/</x:v>
      </x:c>
      <x:c r="V2429" s="26" t="d">
        <x:v>2026-10-02T00:00:00.000Z</x:v>
      </x:c>
      <x:c r="W2429" s="26" t="d">
        <x:v>2026-09-30T00:00:00.000Z</x:v>
      </x:c>
      <x:c r="X2429" s="25" t="str">
        <x:v>Saved public company, industry-directory or regulatory source; source date retained</x:v>
      </x:c>
      <x:c r="Y2429" s="25" t="str">
        <x:v>https://bluehubcapital.org/</x:v>
      </x:c>
      <x:c r="Z2429" s="25" t="str">
        <x:v>https://bluehubcapital.org/</x:v>
      </x:c>
      <x:c r="AA2429" s="25" t="str">
        <x:v>[]</x:v>
      </x:c>
      <x:c r="AB2429" s="3" t="str">
        <x:v>Existing CapitalForge research, newly screened for this campaign</x:v>
      </x:c>
      <x:c r="AC2429" s="3" t="str">
        <x:v>unverified</x:v>
      </x:c>
      <x:c r="AD2429" s="3" t="str">
        <x:v>Not contacted / unconfirmed</x:v>
      </x:c>
      <x:c r="AE2429" s="3" t="str">
        <x:v>No</x:v>
      </x:c>
      <x:c r="AF2429" s="3" t="str">
        <x:v>No</x:v>
      </x:c>
      <x:c r="AG2429" s="3"/>
      <x:c r="AH2429" s="3"/>
      <x:c r="AI2429" s="18"/>
      <x:c r="AJ2429" s="3" t="str">
        <x:v>CF2500-5929A69F68B1</x:v>
      </x:c>
      <x:c r="AK2429" s="3" t="str">
        <x:v>private_real_estate_or_finance_directory_member</x:v>
      </x:c>
      <x:c r="AL2429" s="19" t="n">
        <x:v>100000</x:v>
      </x:c>
      <x:c r="AM2429" s="19" t="n">
        <x:v>500000</x:v>
      </x:c>
      <x:c r="AN2429" s="3" t="str">
        <x:v>https://nplaconference.com/private-lending-directory/page/3/</x:v>
      </x:c>
      <x:c r="AO2429" s="3" t="str">
        <x:v>public_directory.jsonl</x:v>
      </x:c>
      <x:c r="AP2429" s="19"/>
    </x:row>
    <x:row r="2430" ht="36" customHeight="1">
      <x:c r="A2430" s="23" t="n">
        <x:v>2429</x:v>
      </x:c>
      <x:c r="B2430" s="15" t="str">
        <x:v>Bluebird Lending LLC</x:v>
      </x:c>
      <x:c r="C2430" s="15"/>
      <x:c r="D2430" s="15" t="str">
        <x:v>Property lender or directory member; operating-company capital unconfirmed</x:v>
      </x:c>
      <x:c r="E2430" s="15" t="str">
        <x:v>Property lender / private-money inquiry</x:v>
      </x:c>
      <x:c r="F2430" s="17" t="str">
        <x:v>New</x:v>
      </x:c>
      <x:c r="G2430" s="24" t="str">
        <x:v>info@bluebirdlending.com</x:v>
      </x:c>
      <x:c r="H2430" s="24" t="str">
        <x:v>+12155155000</x:v>
      </x:c>
      <x:c r="I2430" s="24" t="str">
        <x:v>https://bluebirdlending.com/?utm_source=private-lender-link</x:v>
      </x:c>
      <x:c r="J2430" s="16" t="str">
        <x:v>PA</x:v>
      </x:c>
      <x:c r="K2430" s="16" t="str">
        <x:v>Bala Cynwyd</x:v>
      </x:c>
      <x:c r="L2430" s="16" t="str">
        <x:v>firm_business_routing</x:v>
      </x:c>
      <x:c r="M2430" s="16" t="str">
        <x:v>https://bluebirdlending.com/?utm_source=private-lender-link</x:v>
      </x:c>
      <x:c r="N2430" s="16" t="str">
        <x:v>$100K-$500K ticket not published / unconfirmed</x:v>
      </x:c>
      <x:c r="O2430" s="20"/>
      <x:c r="P2430" s="20"/>
      <x:c r="Q2430" s="25" t="str">
        <x:v>Property-loan range, not a corporate-capital commitment</x:v>
      </x:c>
      <x:c r="R2430" s="25" t="str">
        <x:v>Private real-estate finance experience. Corporate working capital, minority equity or profit participation requires a separate agreement from a property loan.</x:v>
      </x:c>
      <x:c r="S2430" s="25"/>
      <x:c r="T2430" s="25" t="str">
        <x:v>Confirm direct principal versus broker, $100K-$500K appetite, and whether capital can fund the operating company without a property mortgage.</x:v>
      </x:c>
      <x:c r="U2430" s="25" t="str">
        <x:v>https://privatelenderlink.com/profile/bluebird-lending-llc/
https://www.privatelendersdirectory.com/united-states/philadelphia/top-level-category/bluebird-lending
https://bluebirdlending.com/</x:v>
      </x:c>
      <x:c r="V2430" s="26" t="d">
        <x:v>2026-10-02T00:00:00.000Z</x:v>
      </x:c>
      <x:c r="W2430" s="26" t="d">
        <x:v>2026-09-30T00:00:00.000Z</x:v>
      </x:c>
      <x:c r="X2430" s="25" t="str">
        <x:v>Saved public company, industry-directory or regulatory source; source date retained</x:v>
      </x:c>
      <x:c r="Y2430" s="25" t="str">
        <x:v>https://privatelenderlink.com/profile/bluebird-lending-llc/</x:v>
      </x:c>
      <x:c r="Z2430" s="25" t="str">
        <x:v>https://privatelenderlink.com/profile/bluebird-lending-llc/</x:v>
      </x:c>
      <x:c r="AA2430" s="25" t="str">
        <x:v>[]</x:v>
      </x:c>
      <x:c r="AB2430" s="3" t="str">
        <x:v>Existing CapitalForge research, newly screened for this campaign</x:v>
      </x:c>
      <x:c r="AC2430" s="3" t="str">
        <x:v>unverified</x:v>
      </x:c>
      <x:c r="AD2430" s="3" t="str">
        <x:v>Not contacted / unconfirmed</x:v>
      </x:c>
      <x:c r="AE2430" s="3" t="str">
        <x:v>No</x:v>
      </x:c>
      <x:c r="AF2430" s="3" t="str">
        <x:v>No</x:v>
      </x:c>
      <x:c r="AG2430" s="3"/>
      <x:c r="AH2430" s="3"/>
      <x:c r="AI2430" s="18"/>
      <x:c r="AJ2430" s="3" t="str">
        <x:v>CF2500-AC6C583F84CC</x:v>
      </x:c>
      <x:c r="AK2430" s="3" t="str">
        <x:v>private_real_estate_lender</x:v>
      </x:c>
      <x:c r="AL2430" s="19" t="n">
        <x:v>100000</x:v>
      </x:c>
      <x:c r="AM2430" s="19" t="n">
        <x:v>500000</x:v>
      </x:c>
      <x:c r="AN2430" s="3" t="str">
        <x:v>https://privatelenderlink.com/profile/bluebird-lending-llc/</x:v>
      </x:c>
      <x:c r="AO2430" s="3" t="str">
        <x:v>public_directory.jsonl</x:v>
      </x:c>
      <x:c r="AP2430" s="19"/>
    </x:row>
    <x:row r="2431" ht="36" customHeight="1">
      <x:c r="A2431" s="23" t="n">
        <x:v>2430</x:v>
      </x:c>
      <x:c r="B2431" s="15" t="str">
        <x:v>Bluedog Capital Partners LLC</x:v>
      </x:c>
      <x:c r="C2431" s="15"/>
      <x:c r="D2431" s="15" t="str">
        <x:v>Property lender or directory member; operating-company capital unconfirmed</x:v>
      </x:c>
      <x:c r="E2431" s="15" t="str">
        <x:v>Property lender / private-money inquiry</x:v>
      </x:c>
      <x:c r="F2431" s="17" t="str">
        <x:v>New</x:v>
      </x:c>
      <x:c r="G2431" s="24" t="str">
        <x:v>info@bluedogcap.com</x:v>
      </x:c>
      <x:c r="H2431" s="24" t="str">
        <x:v>+14014219200</x:v>
      </x:c>
      <x:c r="I2431" s="24" t="str">
        <x:v>https://www.bluedogcap.com/?utm_source=private-lender-link</x:v>
      </x:c>
      <x:c r="J2431" s="16" t="str">
        <x:v>RI</x:v>
      </x:c>
      <x:c r="K2431" s="16" t="str">
        <x:v>Providence</x:v>
      </x:c>
      <x:c r="L2431" s="16" t="str">
        <x:v>firm_business_routing</x:v>
      </x:c>
      <x:c r="M2431" s="16" t="str">
        <x:v>https://www.bluedogcap.com/?utm_source=private-lender-link</x:v>
      </x:c>
      <x:c r="N2431" s="16" t="str">
        <x:v>$100K-$500K ticket not published / unconfirmed</x:v>
      </x:c>
      <x:c r="O2431" s="20"/>
      <x:c r="P2431" s="20"/>
      <x:c r="Q2431" s="25" t="str">
        <x:v>Property-loan range, not a corporate-capital commitment</x:v>
      </x:c>
      <x:c r="R2431" s="25" t="str">
        <x:v>Private real-estate finance experience. Corporate working capital, minority equity or profit participation requires a separate agreement from a property loan.</x:v>
      </x:c>
      <x:c r="S2431" s="25"/>
      <x:c r="T2431" s="25" t="str">
        <x:v>Confirm direct principal versus broker, $100K-$500K appetite, and whether capital can fund the operating company without a property mortgage.</x:v>
      </x:c>
      <x:c r="U2431" s="25" t="str">
        <x:v>https://privatelenderlink.com/profile/bluedog-capital-partners-llc/
https://www.bluedogcap.com/?utm_source=private-lender-link</x:v>
      </x:c>
      <x:c r="V2431" s="26" t="d">
        <x:v>2026-10-02T00:00:00.000Z</x:v>
      </x:c>
      <x:c r="W2431" s="26" t="d">
        <x:v>2026-09-30T00:00:00.000Z</x:v>
      </x:c>
      <x:c r="X2431" s="25" t="str">
        <x:v>Saved public company, industry-directory or regulatory source; source date retained</x:v>
      </x:c>
      <x:c r="Y2431" s="25" t="str">
        <x:v>https://www.bluedogcap.com/?utm_source=private-lender-link</x:v>
      </x:c>
      <x:c r="Z2431" s="25" t="str">
        <x:v>https://www.bluedogcap.com/?utm_source=private-lender-link</x:v>
      </x:c>
      <x:c r="AA2431" s="25" t="str">
        <x:v>[]</x:v>
      </x:c>
      <x:c r="AB2431" s="3" t="str">
        <x:v>Existing CapitalForge research, newly screened for this campaign</x:v>
      </x:c>
      <x:c r="AC2431" s="3" t="str">
        <x:v>unverified</x:v>
      </x:c>
      <x:c r="AD2431" s="3" t="str">
        <x:v>Not contacted / unconfirmed</x:v>
      </x:c>
      <x:c r="AE2431" s="3" t="str">
        <x:v>No</x:v>
      </x:c>
      <x:c r="AF2431" s="3" t="str">
        <x:v>No</x:v>
      </x:c>
      <x:c r="AG2431" s="3"/>
      <x:c r="AH2431" s="3"/>
      <x:c r="AI2431" s="18"/>
      <x:c r="AJ2431" s="3" t="str">
        <x:v>CF2500-2C71A2B49226</x:v>
      </x:c>
      <x:c r="AK2431" s="3" t="str">
        <x:v>private_real_estate_lender</x:v>
      </x:c>
      <x:c r="AL2431" s="19" t="n">
        <x:v>100000</x:v>
      </x:c>
      <x:c r="AM2431" s="19" t="n">
        <x:v>500000</x:v>
      </x:c>
      <x:c r="AN2431" s="3" t="str">
        <x:v>https://privatelenderlink.com/profile/bluedog-capital-partners-llc/</x:v>
      </x:c>
      <x:c r="AO2431" s="3" t="str">
        <x:v>public_directory.jsonl</x:v>
      </x:c>
      <x:c r="AP2431" s="19"/>
    </x:row>
    <x:row r="2432" ht="36" customHeight="1">
      <x:c r="A2432" s="23" t="n">
        <x:v>2431</x:v>
      </x:c>
      <x:c r="B2432" s="15" t="str">
        <x:v>Blueprint Capital</x:v>
      </x:c>
      <x:c r="C2432" s="15" t="str">
        <x:v>CHRISTINA OWENS</x:v>
      </x:c>
      <x:c r="D2432" s="15" t="str">
        <x:v>Property lender or directory member; operating-company capital unconfirmed</x:v>
      </x:c>
      <x:c r="E2432" s="15" t="str">
        <x:v>Property lender / private-money inquiry</x:v>
      </x:c>
      <x:c r="F2432" s="17" t="str">
        <x:v>New</x:v>
      </x:c>
      <x:c r="G2432" s="24" t="str">
        <x:v>contact@blueprintcap.com</x:v>
      </x:c>
      <x:c r="H2432" s="24" t="str">
        <x:v>+12062585000</x:v>
      </x:c>
      <x:c r="I2432" s="24" t="str">
        <x:v>https://www.blueprintcap.com/?utm_source=private-lender-link</x:v>
      </x:c>
      <x:c r="J2432" s="16"/>
      <x:c r="K2432" s="16"/>
      <x:c r="L2432" s="16" t="str">
        <x:v>published_professional_contact_directness_unconfirmed</x:v>
      </x:c>
      <x:c r="M2432" s="16" t="str">
        <x:v>https://www.blueprintcap.com/?utm_source=private-lender-link</x:v>
      </x:c>
      <x:c r="N2432" s="16" t="str">
        <x:v>$100K-$500K ticket not published / unconfirmed</x:v>
      </x:c>
      <x:c r="O2432" s="20"/>
      <x:c r="P2432" s="20"/>
      <x:c r="Q2432" s="25" t="str">
        <x:v>Property-loan range, not a corporate-capital commitment</x:v>
      </x:c>
      <x:c r="R2432" s="25" t="str">
        <x:v>Private real-estate finance experience. Corporate working capital, minority equity or profit participation requires a separate agreement from a property loan.</x:v>
      </x:c>
      <x:c r="S2432" s="25"/>
      <x:c r="T2432" s="25" t="str">
        <x:v>Confirm direct principal versus broker, $100K-$500K appetite, and whether capital can fund the operating company without a property mortgage.</x:v>
      </x:c>
      <x:c r="U2432" s="25" t="str">
        <x:v>https://privatelenderlink.com/profile/blueprint-capital/
https://www.blueprintcap.com/?utm_source=private-lender-link
https://adviserinfo.sec.gov/firm/summary/108601
https://reports.adviserinfo.sec.gov/reports/CompilationReports/IA_FIRM_SEC_Feed_09_29_2026.xml.gz
https://reports.adviserinfo.sec.gov/reports/foia/advFilingData/2026/ADV_Filing_Data_20260701_20260731.zip</x:v>
      </x:c>
      <x:c r="V2432" s="26" t="d">
        <x:v>2026-10-02T00:00:00.000Z</x:v>
      </x:c>
      <x:c r="W2432" s="26" t="d">
        <x:v>2026-09-30T00:00:00.000Z</x:v>
      </x:c>
      <x:c r="X2432" s="25" t="str">
        <x:v>Saved public company, industry-directory or regulatory source; source date retained</x:v>
      </x:c>
      <x:c r="Y2432" s="25" t="str">
        <x:v>https://www.blueprintcap.com/?utm_source=private-lender-link</x:v>
      </x:c>
      <x:c r="Z2432" s="25" t="str">
        <x:v>https://privatelenderlink.com/profile/blueprint-capital/</x:v>
      </x:c>
      <x:c r="AA2432" s="25" t="str">
        <x:v>[]</x:v>
      </x:c>
      <x:c r="AB2432" s="3" t="str">
        <x:v>Existing CapitalForge research, newly screened for this campaign</x:v>
      </x:c>
      <x:c r="AC2432" s="3" t="str">
        <x:v>unverified</x:v>
      </x:c>
      <x:c r="AD2432" s="3" t="str">
        <x:v>Not contacted / unconfirmed</x:v>
      </x:c>
      <x:c r="AE2432" s="3" t="str">
        <x:v>No</x:v>
      </x:c>
      <x:c r="AF2432" s="3" t="str">
        <x:v>No</x:v>
      </x:c>
      <x:c r="AG2432" s="3"/>
      <x:c r="AH2432" s="3"/>
      <x:c r="AI2432" s="18"/>
      <x:c r="AJ2432" s="3" t="str">
        <x:v>CF2500-C620BF46C01C</x:v>
      </x:c>
      <x:c r="AK2432" s="3" t="str">
        <x:v>private_real_estate_lender</x:v>
      </x:c>
      <x:c r="AL2432" s="19" t="n">
        <x:v>100000</x:v>
      </x:c>
      <x:c r="AM2432" s="19" t="n">
        <x:v>500000</x:v>
      </x:c>
      <x:c r="AN2432" s="3" t="str">
        <x:v>https://privatelenderlink.com/profile/blueprint-capital/</x:v>
      </x:c>
      <x:c r="AO2432" s="3" t="str">
        <x:v>public_directory.jsonl</x:v>
      </x:c>
      <x:c r="AP2432" s="19"/>
    </x:row>
    <x:row r="2433" ht="36" customHeight="1">
      <x:c r="A2433" s="23" t="n">
        <x:v>2432</x:v>
      </x:c>
      <x:c r="B2433" s="15" t="str">
        <x:v>BLUPRINT HOME LOANS</x:v>
      </x:c>
      <x:c r="C2433" s="15"/>
      <x:c r="D2433" s="15" t="str">
        <x:v>Property lender or directory member; operating-company capital unconfirmed</x:v>
      </x:c>
      <x:c r="E2433" s="15" t="str">
        <x:v>Property lender / private-money inquiry</x:v>
      </x:c>
      <x:c r="F2433" s="17" t="str">
        <x:v>New</x:v>
      </x:c>
      <x:c r="G2433" s="24" t="str">
        <x:v>hello@bluprinthomeloans.com</x:v>
      </x:c>
      <x:c r="H2433" s="24" t="str">
        <x:v>+16195673330</x:v>
      </x:c>
      <x:c r="I2433" s="24" t="str">
        <x:v>https://bluprinthomeloans.com/</x:v>
      </x:c>
      <x:c r="J2433" s="16" t="str">
        <x:v>CA</x:v>
      </x:c>
      <x:c r="K2433" s="16" t="str">
        <x:v>Long Beach</x:v>
      </x:c>
      <x:c r="L2433" s="16" t="str">
        <x:v>firm_business_routing</x:v>
      </x:c>
      <x:c r="M2433" s="16" t="str">
        <x:v>https://bluprinthomeloans.com/</x:v>
      </x:c>
      <x:c r="N2433" s="16" t="str">
        <x:v>$100K-$500K ticket not published / unconfirmed</x:v>
      </x:c>
      <x:c r="O2433" s="20"/>
      <x:c r="P2433" s="20"/>
      <x:c r="Q2433" s="25" t="str">
        <x:v>Property-loan range, not a corporate-capital commitment</x:v>
      </x:c>
      <x:c r="R2433" s="25" t="str">
        <x:v>Private real-estate finance experience. Corporate working capital, minority equity or profit participation requires a separate agreement from a property loan.</x:v>
      </x:c>
      <x:c r="S2433" s="25"/>
      <x:c r="T2433" s="25" t="str">
        <x:v>Confirm direct principal versus broker, $100K-$500K appetite, and whether capital can fund the operating company without a property mortgage.</x:v>
      </x:c>
      <x:c r="U2433" s="25" t="str">
        <x:v>https://www.privatelendersdirectory.com/united-states/long-beach/real-estate-investment-lending/bluprint-home-loans
https://bluprinthomeloans.com/</x:v>
      </x:c>
      <x:c r="V2433" s="26" t="d">
        <x:v>2026-10-02T00:00:00.000Z</x:v>
      </x:c>
      <x:c r="W2433" s="26" t="d">
        <x:v>2026-09-30T00:00:00.000Z</x:v>
      </x:c>
      <x:c r="X2433" s="25" t="str">
        <x:v>Saved public company, industry-directory or regulatory source; source date retained</x:v>
      </x:c>
      <x:c r="Y2433" s="25" t="str">
        <x:v>https://bluprinthomeloans.com/</x:v>
      </x:c>
      <x:c r="Z2433" s="25" t="str">
        <x:v>https://bluprinthomeloans.com/</x:v>
      </x:c>
      <x:c r="AA2433" s="25" t="str">
        <x:v>[]</x:v>
      </x:c>
      <x:c r="AB2433" s="3" t="str">
        <x:v>Existing CapitalForge research, newly screened for this campaign</x:v>
      </x:c>
      <x:c r="AC2433" s="3" t="str">
        <x:v>unverified</x:v>
      </x:c>
      <x:c r="AD2433" s="3" t="str">
        <x:v>Not contacted / unconfirmed</x:v>
      </x:c>
      <x:c r="AE2433" s="3" t="str">
        <x:v>No</x:v>
      </x:c>
      <x:c r="AF2433" s="3" t="str">
        <x:v>No</x:v>
      </x:c>
      <x:c r="AG2433" s="3"/>
      <x:c r="AH2433" s="3"/>
      <x:c r="AI2433" s="18"/>
      <x:c r="AJ2433" s="3" t="str">
        <x:v>CF2500-0BD66407F597</x:v>
      </x:c>
      <x:c r="AK2433" s="3" t="str">
        <x:v>private_real_estate_lender</x:v>
      </x:c>
      <x:c r="AL2433" s="19" t="n">
        <x:v>100000</x:v>
      </x:c>
      <x:c r="AM2433" s="19" t="n">
        <x:v>500000</x:v>
      </x:c>
      <x:c r="AN2433" s="3" t="str">
        <x:v>https://www.privatelendersdirectory.com/united-states/long-beach/real-estate-investment-lending/bluprint-home-loans</x:v>
      </x:c>
      <x:c r="AO2433" s="3" t="str">
        <x:v>public_directory.jsonl</x:v>
      </x:c>
      <x:c r="AP2433" s="19"/>
    </x:row>
    <x:row r="2434" ht="36" customHeight="1">
      <x:c r="A2434" s="23" t="n">
        <x:v>2433</x:v>
      </x:c>
      <x:c r="B2434" s="15" t="str">
        <x:v>Boardwalk Capital</x:v>
      </x:c>
      <x:c r="C2434" s="15" t="str">
        <x:v>Boardwalk Capital</x:v>
      </x:c>
      <x:c r="D2434" s="15" t="str">
        <x:v>Property lender or directory member; operating-company capital unconfirmed</x:v>
      </x:c>
      <x:c r="E2434" s="15" t="str">
        <x:v>Property lender / private-money inquiry</x:v>
      </x:c>
      <x:c r="F2434" s="17" t="str">
        <x:v>New</x:v>
      </x:c>
      <x:c r="G2434" s="24" t="str">
        <x:v>info@boardwalkch.com</x:v>
      </x:c>
      <x:c r="H2434" s="24" t="str">
        <x:v>+13123139000</x:v>
      </x:c>
      <x:c r="I2434" s="24" t="str">
        <x:v>https://boardwalkch.com/</x:v>
      </x:c>
      <x:c r="J2434" s="16"/>
      <x:c r="K2434" s="16"/>
      <x:c r="L2434" s="16" t="str">
        <x:v>published_professional_contact_directness_unconfirmed</x:v>
      </x:c>
      <x:c r="M2434" s="16" t="str">
        <x:v>https://boardwalkch.com/</x:v>
      </x:c>
      <x:c r="N2434" s="16" t="str">
        <x:v>$100K-$500K ticket not published / unconfirmed</x:v>
      </x:c>
      <x:c r="O2434" s="20"/>
      <x:c r="P2434" s="20"/>
      <x:c r="Q2434" s="25" t="str">
        <x:v>Property-loan range, not a corporate-capital commitment</x:v>
      </x:c>
      <x:c r="R2434" s="25" t="str">
        <x:v>Private real-estate finance experience. Corporate working capital, minority equity or profit participation requires a separate agreement from a property loan.</x:v>
      </x:c>
      <x:c r="S2434" s="25"/>
      <x:c r="T2434" s="25" t="str">
        <x:v>Confirm direct principal versus broker, $100K-$500K appetite, and whether capital can fund the operating company without a property mortgage.</x:v>
      </x:c>
      <x:c r="U2434" s="25" t="str">
        <x:v>https://nplaconference.com/private-lending-directory/page/3/
https://boardwalkch.com/contact-us/
https://boardwalkch.com/
https://www.privatelendersdirectory.com/united-states/boston/top-level-category/boardwalk-capital</x:v>
      </x:c>
      <x:c r="V2434" s="26" t="d">
        <x:v>2026-10-02T00:00:00.000Z</x:v>
      </x:c>
      <x:c r="W2434" s="26" t="d">
        <x:v>2026-09-30T00:00:00.000Z</x:v>
      </x:c>
      <x:c r="X2434" s="25" t="str">
        <x:v>Saved public company, industry-directory or regulatory source; source date retained</x:v>
      </x:c>
      <x:c r="Y2434" s="25" t="str">
        <x:v>https://boardwalkch.com/</x:v>
      </x:c>
      <x:c r="Z2434" s="25" t="str">
        <x:v>https://boardwalkch.com/contact-us/</x:v>
      </x:c>
      <x:c r="AA2434" s="25" t="str">
        <x:v>[]</x:v>
      </x:c>
      <x:c r="AB2434" s="3" t="str">
        <x:v>Existing CapitalForge research, newly screened for this campaign</x:v>
      </x:c>
      <x:c r="AC2434" s="3" t="str">
        <x:v>unverified</x:v>
      </x:c>
      <x:c r="AD2434" s="3" t="str">
        <x:v>Not contacted / unconfirmed</x:v>
      </x:c>
      <x:c r="AE2434" s="3" t="str">
        <x:v>No</x:v>
      </x:c>
      <x:c r="AF2434" s="3" t="str">
        <x:v>No</x:v>
      </x:c>
      <x:c r="AG2434" s="3"/>
      <x:c r="AH2434" s="3"/>
      <x:c r="AI2434" s="18"/>
      <x:c r="AJ2434" s="3" t="str">
        <x:v>CF2500-277F1E0E25CC</x:v>
      </x:c>
      <x:c r="AK2434" s="3" t="str">
        <x:v>private_real_estate_or_finance_directory_member</x:v>
      </x:c>
      <x:c r="AL2434" s="19" t="n">
        <x:v>100000</x:v>
      </x:c>
      <x:c r="AM2434" s="19" t="n">
        <x:v>500000</x:v>
      </x:c>
      <x:c r="AN2434" s="3" t="str">
        <x:v>https://nplaconference.com/private-lending-directory/page/3/</x:v>
      </x:c>
      <x:c r="AO2434" s="3" t="str">
        <x:v>public_directory.jsonl</x:v>
      </x:c>
      <x:c r="AP2434" s="19"/>
    </x:row>
    <x:row r="2435" ht="36" customHeight="1">
      <x:c r="A2435" s="23" t="n">
        <x:v>2434</x:v>
      </x:c>
      <x:c r="B2435" s="15" t="str">
        <x:v>BOSTON NOTE</x:v>
      </x:c>
      <x:c r="C2435" s="15"/>
      <x:c r="D2435" s="15" t="str">
        <x:v>Property lender or directory member; operating-company capital unconfirmed</x:v>
      </x:c>
      <x:c r="E2435" s="15" t="str">
        <x:v>Property lender / private-money inquiry</x:v>
      </x:c>
      <x:c r="F2435" s="17" t="str">
        <x:v>New</x:v>
      </x:c>
      <x:c r="G2435" s="24" t="str">
        <x:v>mail@bostonnote.com</x:v>
      </x:c>
      <x:c r="H2435" s="24" t="str">
        <x:v>+18009328933</x:v>
      </x:c>
      <x:c r="I2435" s="24" t="str">
        <x:v>https://www.bostonnote.com/</x:v>
      </x:c>
      <x:c r="J2435" s="16" t="str">
        <x:v>MA</x:v>
      </x:c>
      <x:c r="K2435" s="16" t="str">
        <x:v>Westford</x:v>
      </x:c>
      <x:c r="L2435" s="16" t="str">
        <x:v>firm_business_routing</x:v>
      </x:c>
      <x:c r="M2435" s="16" t="str">
        <x:v>https://www.bostonnote.com/</x:v>
      </x:c>
      <x:c r="N2435" s="16" t="str">
        <x:v>$100K-$500K ticket not published / unconfirmed</x:v>
      </x:c>
      <x:c r="O2435" s="20"/>
      <x:c r="P2435" s="20"/>
      <x:c r="Q2435" s="25" t="str">
        <x:v>Property-loan range, not a corporate-capital commitment</x:v>
      </x:c>
      <x:c r="R2435" s="25" t="str">
        <x:v>Private real-estate finance experience. Corporate working capital, minority equity or profit participation requires a separate agreement from a property loan.</x:v>
      </x:c>
      <x:c r="S2435" s="25"/>
      <x:c r="T2435" s="25" t="str">
        <x:v>Confirm direct principal versus broker, $100K-$500K appetite, and whether capital can fund the operating company without a property mortgage.</x:v>
      </x:c>
      <x:c r="U2435" s="25" t="str">
        <x:v>https://www.privatelendersdirectory.com/united-states/westford/top-level-category/boston-note
https://www.bostonnote.com/</x:v>
      </x:c>
      <x:c r="V2435" s="26" t="d">
        <x:v>2026-10-02T00:00:00.000Z</x:v>
      </x:c>
      <x:c r="W2435" s="26" t="d">
        <x:v>2026-09-30T00:00:00.000Z</x:v>
      </x:c>
      <x:c r="X2435" s="25" t="str">
        <x:v>Saved public company, industry-directory or regulatory source; source date retained</x:v>
      </x:c>
      <x:c r="Y2435" s="25" t="str">
        <x:v>https://www.bostonnote.com/</x:v>
      </x:c>
      <x:c r="Z2435" s="25" t="str">
        <x:v>https://www.bostonnote.com/</x:v>
      </x:c>
      <x:c r="AA2435" s="25" t="str">
        <x:v>[]</x:v>
      </x:c>
      <x:c r="AB2435" s="3" t="str">
        <x:v>Existing CapitalForge research, newly screened for this campaign</x:v>
      </x:c>
      <x:c r="AC2435" s="3" t="str">
        <x:v>unverified</x:v>
      </x:c>
      <x:c r="AD2435" s="3" t="str">
        <x:v>Not contacted / unconfirmed</x:v>
      </x:c>
      <x:c r="AE2435" s="3" t="str">
        <x:v>No</x:v>
      </x:c>
      <x:c r="AF2435" s="3" t="str">
        <x:v>No</x:v>
      </x:c>
      <x:c r="AG2435" s="3"/>
      <x:c r="AH2435" s="3"/>
      <x:c r="AI2435" s="18"/>
      <x:c r="AJ2435" s="3" t="str">
        <x:v>CF2500-C7061C159A12</x:v>
      </x:c>
      <x:c r="AK2435" s="3" t="str">
        <x:v>private_real_estate_lender</x:v>
      </x:c>
      <x:c r="AL2435" s="19" t="n">
        <x:v>100000</x:v>
      </x:c>
      <x:c r="AM2435" s="19" t="n">
        <x:v>500000</x:v>
      </x:c>
      <x:c r="AN2435" s="3" t="str">
        <x:v>https://www.privatelendersdirectory.com/united-states/westford/top-level-category/boston-note</x:v>
      </x:c>
      <x:c r="AO2435" s="3" t="str">
        <x:v>public_directory.jsonl</x:v>
      </x:c>
      <x:c r="AP2435" s="19"/>
    </x:row>
    <x:row r="2436" ht="36" customHeight="1">
      <x:c r="A2436" s="23" t="n">
        <x:v>2435</x:v>
      </x:c>
      <x:c r="B2436" s="15" t="str">
        <x:v>BOSTON PRIVATE</x:v>
      </x:c>
      <x:c r="C2436" s="15"/>
      <x:c r="D2436" s="15" t="str">
        <x:v>Property lender or directory member; operating-company capital unconfirmed</x:v>
      </x:c>
      <x:c r="E2436" s="15" t="str">
        <x:v>Property lender / private-money inquiry</x:v>
      </x:c>
      <x:c r="F2436" s="17" t="str">
        <x:v>New</x:v>
      </x:c>
      <x:c r="G2436" s="24" t="str">
        <x:v>blake.taylor@firstcitizens.com</x:v>
      </x:c>
      <x:c r="H2436" s="24" t="str">
        <x:v>+18883234732</x:v>
      </x:c>
      <x:c r="I2436" s="24" t="str">
        <x:v>https://www.svb.com/private-bank</x:v>
      </x:c>
      <x:c r="J2436" s="16" t="str">
        <x:v>MA</x:v>
      </x:c>
      <x:c r="K2436" s="16" t="str">
        <x:v>Boston</x:v>
      </x:c>
      <x:c r="L2436" s="16" t="str">
        <x:v>firm_business_routing</x:v>
      </x:c>
      <x:c r="M2436" s="16" t="str">
        <x:v>https://www.svb.com/private-bank</x:v>
      </x:c>
      <x:c r="N2436" s="16" t="str">
        <x:v>$100K-$500K ticket not published / unconfirmed</x:v>
      </x:c>
      <x:c r="O2436" s="20"/>
      <x:c r="P2436" s="20"/>
      <x:c r="Q2436" s="25" t="str">
        <x:v>Property-loan range, not a corporate-capital commitment</x:v>
      </x:c>
      <x:c r="R2436" s="25" t="str">
        <x:v>Private real-estate finance experience. Corporate working capital, minority equity or profit participation requires a separate agreement from a property loan.</x:v>
      </x:c>
      <x:c r="S2436" s="25"/>
      <x:c r="T2436" s="25" t="str">
        <x:v>Confirm direct principal versus broker, $100K-$500K appetite, and whether capital can fund the operating company without a property mortgage.</x:v>
      </x:c>
      <x:c r="U2436" s="25" t="str">
        <x:v>https://www.privatelendersdirectory.com/united-states/boston/real-estate-investment-lending/boston-private
https://www.firstcitizens.com/wealth</x:v>
      </x:c>
      <x:c r="V2436" s="26" t="d">
        <x:v>2026-10-02T00:00:00.000Z</x:v>
      </x:c>
      <x:c r="W2436" s="26" t="d">
        <x:v>2026-09-30T00:00:00.000Z</x:v>
      </x:c>
      <x:c r="X2436" s="25" t="str">
        <x:v>Saved public company, industry-directory or regulatory source; source date retained</x:v>
      </x:c>
      <x:c r="Y2436" s="25" t="str">
        <x:v>https://www.firstcitizens.com/wealth</x:v>
      </x:c>
      <x:c r="Z2436" s="25" t="str">
        <x:v>https://www.firstcitizens.com/wealth</x:v>
      </x:c>
      <x:c r="AA2436" s="25" t="str">
        <x:v>[]</x:v>
      </x:c>
      <x:c r="AB2436" s="3" t="str">
        <x:v>Existing CapitalForge research, newly screened for this campaign</x:v>
      </x:c>
      <x:c r="AC2436" s="3" t="str">
        <x:v>unverified</x:v>
      </x:c>
      <x:c r="AD2436" s="3" t="str">
        <x:v>Not contacted / unconfirmed</x:v>
      </x:c>
      <x:c r="AE2436" s="3" t="str">
        <x:v>No</x:v>
      </x:c>
      <x:c r="AF2436" s="3" t="str">
        <x:v>No</x:v>
      </x:c>
      <x:c r="AG2436" s="3"/>
      <x:c r="AH2436" s="3"/>
      <x:c r="AI2436" s="18"/>
      <x:c r="AJ2436" s="3" t="str">
        <x:v>CF2500-4607CC7F7CDF</x:v>
      </x:c>
      <x:c r="AK2436" s="3" t="str">
        <x:v>private_real_estate_lender</x:v>
      </x:c>
      <x:c r="AL2436" s="19" t="n">
        <x:v>100000</x:v>
      </x:c>
      <x:c r="AM2436" s="19" t="n">
        <x:v>500000</x:v>
      </x:c>
      <x:c r="AN2436" s="3" t="str">
        <x:v>https://www.privatelendersdirectory.com/united-states/boston/real-estate-investment-lending/boston-private</x:v>
      </x:c>
      <x:c r="AO2436" s="3" t="str">
        <x:v>public_directory.jsonl</x:v>
      </x:c>
      <x:c r="AP2436" s="19"/>
    </x:row>
    <x:row r="2437" ht="36" customHeight="1">
      <x:c r="A2437" s="23" t="n">
        <x:v>2436</x:v>
      </x:c>
      <x:c r="B2437" s="15" t="str">
        <x:v>Branch Lending LLC</x:v>
      </x:c>
      <x:c r="C2437" s="15"/>
      <x:c r="D2437" s="15" t="str">
        <x:v>Property lender or directory member; operating-company capital unconfirmed</x:v>
      </x:c>
      <x:c r="E2437" s="15" t="str">
        <x:v>Property lender / private-money inquiry</x:v>
      </x:c>
      <x:c r="F2437" s="17" t="str">
        <x:v>New</x:v>
      </x:c>
      <x:c r="G2437" s="24" t="str">
        <x:v>info@branchlending.com</x:v>
      </x:c>
      <x:c r="H2437" s="24" t="str">
        <x:v>+12122070026</x:v>
      </x:c>
      <x:c r="I2437" s="24" t="str">
        <x:v>https://branchlending.com/?utm_source=private-lender-link</x:v>
      </x:c>
      <x:c r="J2437" s="16" t="str">
        <x:v>New York</x:v>
      </x:c>
      <x:c r="K2437" s="16" t="str">
        <x:v>Great Neck</x:v>
      </x:c>
      <x:c r="L2437" s="16" t="str">
        <x:v>firm_business_routing</x:v>
      </x:c>
      <x:c r="M2437" s="16" t="str">
        <x:v>https://branchlending.com/?utm_source=private-lender-link</x:v>
      </x:c>
      <x:c r="N2437" s="16" t="str">
        <x:v>$100K-$500K ticket not published / unconfirmed</x:v>
      </x:c>
      <x:c r="O2437" s="20"/>
      <x:c r="P2437" s="20"/>
      <x:c r="Q2437" s="25" t="str">
        <x:v>Property-loan range, not a corporate-capital commitment</x:v>
      </x:c>
      <x:c r="R2437" s="25" t="str">
        <x:v>Private real-estate finance experience. Corporate working capital, minority equity or profit participation requires a separate agreement from a property loan.</x:v>
      </x:c>
      <x:c r="S2437" s="25"/>
      <x:c r="T2437" s="25" t="str">
        <x:v>Confirm direct principal versus broker, $100K-$500K appetite, and whether capital can fund the operating company without a property mortgage.</x:v>
      </x:c>
      <x:c r="U2437" s="25" t="str">
        <x:v>https://privatelenderlink.com/profile/branch-lending-llc/</x:v>
      </x:c>
      <x:c r="V2437" s="26" t="d">
        <x:v>2026-10-02T00:00:00.000Z</x:v>
      </x:c>
      <x:c r="W2437" s="26" t="d">
        <x:v>2026-09-30T00:00:00.000Z</x:v>
      </x:c>
      <x:c r="X2437" s="25" t="str">
        <x:v>Saved public company, industry-directory or regulatory source; source date retained</x:v>
      </x:c>
      <x:c r="Y2437" s="25" t="str">
        <x:v>https://privatelenderlink.com/profile/branch-lending-llc/</x:v>
      </x:c>
      <x:c r="Z2437" s="25" t="str">
        <x:v>https://privatelenderlink.com/profile/branch-lending-llc/</x:v>
      </x:c>
      <x:c r="AA2437" s="25" t="str">
        <x:v>[]</x:v>
      </x:c>
      <x:c r="AB2437" s="3" t="str">
        <x:v>Existing CapitalForge research, newly screened for this campaign</x:v>
      </x:c>
      <x:c r="AC2437" s="3" t="str">
        <x:v>unverified</x:v>
      </x:c>
      <x:c r="AD2437" s="3" t="str">
        <x:v>Not contacted / unconfirmed</x:v>
      </x:c>
      <x:c r="AE2437" s="3" t="str">
        <x:v>No</x:v>
      </x:c>
      <x:c r="AF2437" s="3" t="str">
        <x:v>No</x:v>
      </x:c>
      <x:c r="AG2437" s="3"/>
      <x:c r="AH2437" s="3"/>
      <x:c r="AI2437" s="18"/>
      <x:c r="AJ2437" s="3" t="str">
        <x:v>CF2500-D655EFEAFE31</x:v>
      </x:c>
      <x:c r="AK2437" s="3" t="str">
        <x:v>private_real_estate_lender</x:v>
      </x:c>
      <x:c r="AL2437" s="19" t="n">
        <x:v>100000</x:v>
      </x:c>
      <x:c r="AM2437" s="19" t="n">
        <x:v>500000</x:v>
      </x:c>
      <x:c r="AN2437" s="3" t="str">
        <x:v>https://privatelenderlink.com/profile/branch-lending-llc/</x:v>
      </x:c>
      <x:c r="AO2437" s="3" t="str">
        <x:v>public_directory.jsonl</x:v>
      </x:c>
      <x:c r="AP2437" s="19"/>
    </x:row>
    <x:row r="2438" ht="36" customHeight="1">
      <x:c r="A2438" s="23" t="n">
        <x:v>2437</x:v>
      </x:c>
      <x:c r="B2438" s="15" t="str">
        <x:v>Brass Financial Group</x:v>
      </x:c>
      <x:c r="C2438" s="15" t="str">
        <x:v>Brass Financial Group</x:v>
      </x:c>
      <x:c r="D2438" s="15" t="str">
        <x:v>Property lender or directory member; operating-company capital unconfirmed</x:v>
      </x:c>
      <x:c r="E2438" s="15" t="str">
        <x:v>Property lender / private-money inquiry</x:v>
      </x:c>
      <x:c r="F2438" s="17" t="str">
        <x:v>New</x:v>
      </x:c>
      <x:c r="G2438" s="24" t="str">
        <x:v>lending@brassfinancialgroup.com</x:v>
      </x:c>
      <x:c r="H2438" s="24" t="str">
        <x:v>+16098003863</x:v>
      </x:c>
      <x:c r="I2438" s="24" t="str">
        <x:v>https://brassfinancialgroup.com/</x:v>
      </x:c>
      <x:c r="J2438" s="16"/>
      <x:c r="K2438" s="16"/>
      <x:c r="L2438" s="16" t="str">
        <x:v>published_professional_contact_directness_unconfirmed</x:v>
      </x:c>
      <x:c r="M2438" s="16" t="str">
        <x:v>https://brassfinancialgroup.com/</x:v>
      </x:c>
      <x:c r="N2438" s="16" t="str">
        <x:v>$100K-$500K ticket not published / unconfirmed</x:v>
      </x:c>
      <x:c r="O2438" s="20"/>
      <x:c r="P2438" s="20"/>
      <x:c r="Q2438" s="25" t="str">
        <x:v>Property-loan range, not a corporate-capital commitment</x:v>
      </x:c>
      <x:c r="R2438" s="25" t="str">
        <x:v>Private real-estate finance experience. Corporate working capital, minority equity or profit participation requires a separate agreement from a property loan.</x:v>
      </x:c>
      <x:c r="S2438" s="25"/>
      <x:c r="T2438" s="25" t="str">
        <x:v>Confirm direct principal versus broker, $100K-$500K appetite, and whether capital can fund the operating company without a property mortgage.</x:v>
      </x:c>
      <x:c r="U2438" s="25" t="str">
        <x:v>https://nplaconference.com/private-lending-directory/page/3/
https://brassfinancialgroup.com/
https://www.privatelendersdirectory.com/united-states/ocean-city/top-level-category/brass-financial
https://www.privatelendersdirectory.com/united-states/ocean-city/real-estate-investment-lending/brass-financial-group</x:v>
      </x:c>
      <x:c r="V2438" s="26" t="d">
        <x:v>2026-10-02T00:00:00.000Z</x:v>
      </x:c>
      <x:c r="W2438" s="26" t="d">
        <x:v>2026-09-30T00:00:00.000Z</x:v>
      </x:c>
      <x:c r="X2438" s="25" t="str">
        <x:v>Saved public company, industry-directory or regulatory source; source date retained</x:v>
      </x:c>
      <x:c r="Y2438" s="25" t="str">
        <x:v>https://brassfinancialgroup.com/</x:v>
      </x:c>
      <x:c r="Z2438" s="25" t="str">
        <x:v>https://brassfinancialgroup.com/</x:v>
      </x:c>
      <x:c r="AA2438" s="25" t="str">
        <x:v>[]</x:v>
      </x:c>
      <x:c r="AB2438" s="3" t="str">
        <x:v>Existing CapitalForge research, newly screened for this campaign</x:v>
      </x:c>
      <x:c r="AC2438" s="3" t="str">
        <x:v>unverified</x:v>
      </x:c>
      <x:c r="AD2438" s="3" t="str">
        <x:v>Not contacted / unconfirmed</x:v>
      </x:c>
      <x:c r="AE2438" s="3" t="str">
        <x:v>No</x:v>
      </x:c>
      <x:c r="AF2438" s="3" t="str">
        <x:v>No</x:v>
      </x:c>
      <x:c r="AG2438" s="3"/>
      <x:c r="AH2438" s="3"/>
      <x:c r="AI2438" s="18"/>
      <x:c r="AJ2438" s="3" t="str">
        <x:v>CF2500-F6B4C3A0AFCE</x:v>
      </x:c>
      <x:c r="AK2438" s="3" t="str">
        <x:v>property_secured_lender</x:v>
      </x:c>
      <x:c r="AL2438" s="19" t="n">
        <x:v>100000</x:v>
      </x:c>
      <x:c r="AM2438" s="19" t="n">
        <x:v>500000</x:v>
      </x:c>
      <x:c r="AN2438" s="3" t="str">
        <x:v>https://nplaconference.com/private-lending-directory/page/3/</x:v>
      </x:c>
      <x:c r="AO2438" s="3" t="str">
        <x:v>public_directory.jsonl</x:v>
      </x:c>
      <x:c r="AP2438" s="19"/>
    </x:row>
    <x:row r="2439" ht="36" customHeight="1">
      <x:c r="A2439" s="23" t="n">
        <x:v>2438</x:v>
      </x:c>
      <x:c r="B2439" s="15" t="str">
        <x:v>Brazington Mortgage</x:v>
      </x:c>
      <x:c r="C2439" s="15"/>
      <x:c r="D2439" s="15" t="str">
        <x:v>Property lender or directory member; operating-company capital unconfirmed</x:v>
      </x:c>
      <x:c r="E2439" s="15" t="str">
        <x:v>Property lender / private-money inquiry</x:v>
      </x:c>
      <x:c r="F2439" s="17" t="str">
        <x:v>New</x:v>
      </x:c>
      <x:c r="G2439" s="24" t="str">
        <x:v>stanbrazington@gmail.com</x:v>
      </x:c>
      <x:c r="H2439" s="24" t="str">
        <x:v>+15099224560</x:v>
      </x:c>
      <x:c r="I2439" s="24" t="str">
        <x:v>http://www.stanbrazington.com</x:v>
      </x:c>
      <x:c r="J2439" s="16" t="str">
        <x:v>WA</x:v>
      </x:c>
      <x:c r="K2439" s="16" t="str">
        <x:v>Spokane Valley</x:v>
      </x:c>
      <x:c r="L2439" s="16" t="str">
        <x:v>firm_business_routing</x:v>
      </x:c>
      <x:c r="M2439" s="16" t="str">
        <x:v>http://www.stanbrazington.com</x:v>
      </x:c>
      <x:c r="N2439" s="16" t="str">
        <x:v>$100K-$500K ticket not published / unconfirmed</x:v>
      </x:c>
      <x:c r="O2439" s="20"/>
      <x:c r="P2439" s="20"/>
      <x:c r="Q2439" s="25" t="str">
        <x:v>Property-loan range, not a corporate-capital commitment</x:v>
      </x:c>
      <x:c r="R2439" s="25" t="str">
        <x:v>Private real-estate finance experience. Corporate working capital, minority equity or profit participation requires a separate agreement from a property loan.</x:v>
      </x:c>
      <x:c r="S2439" s="25"/>
      <x:c r="T2439" s="25" t="str">
        <x:v>Confirm direct principal versus broker, $100K-$500K appetite, and whether capital can fund the operating company without a property mortgage.</x:v>
      </x:c>
      <x:c r="U2439" s="25" t="str">
        <x:v>https://www.hardmoneyhome.com/lenders/view/brazington-mortgage
https://www.stanbrazington.com</x:v>
      </x:c>
      <x:c r="V2439" s="26" t="d">
        <x:v>2026-10-02T00:00:00.000Z</x:v>
      </x:c>
      <x:c r="W2439" s="26" t="d">
        <x:v>2026-09-30T00:00:00.000Z</x:v>
      </x:c>
      <x:c r="X2439" s="25" t="str">
        <x:v>Saved public company, industry-directory or regulatory source; source date retained</x:v>
      </x:c>
      <x:c r="Y2439" s="25" t="str">
        <x:v>https://www.stanbrazington.com</x:v>
      </x:c>
      <x:c r="Z2439" s="25" t="str">
        <x:v>https://www.hardmoneyhome.com/lenders/view/brazington-mortgage</x:v>
      </x:c>
      <x:c r="AA2439" s="25" t="str">
        <x:v>[]</x:v>
      </x:c>
      <x:c r="AB2439" s="3" t="str">
        <x:v>Existing CapitalForge research, newly screened for this campaign</x:v>
      </x:c>
      <x:c r="AC2439" s="3" t="str">
        <x:v>unverified</x:v>
      </x:c>
      <x:c r="AD2439" s="3" t="str">
        <x:v>Not contacted / unconfirmed</x:v>
      </x:c>
      <x:c r="AE2439" s="3" t="str">
        <x:v>No</x:v>
      </x:c>
      <x:c r="AF2439" s="3" t="str">
        <x:v>No</x:v>
      </x:c>
      <x:c r="AG2439" s="3"/>
      <x:c r="AH2439" s="3"/>
      <x:c r="AI2439" s="18"/>
      <x:c r="AJ2439" s="3" t="str">
        <x:v>CF2500-EE45CEDFC103</x:v>
      </x:c>
      <x:c r="AK2439" s="3" t="str">
        <x:v>private_real_estate_lender</x:v>
      </x:c>
      <x:c r="AL2439" s="19" t="n">
        <x:v>100000</x:v>
      </x:c>
      <x:c r="AM2439" s="19" t="n">
        <x:v>500000</x:v>
      </x:c>
      <x:c r="AN2439" s="3" t="str">
        <x:v>https://www.hardmoneyhome.com/lenders/view/brazington-mortgage</x:v>
      </x:c>
      <x:c r="AO2439" s="3" t="str">
        <x:v>public_directory.jsonl</x:v>
      </x:c>
      <x:c r="AP2439" s="19"/>
    </x:row>
    <x:row r="2440" ht="36" customHeight="1">
      <x:c r="A2440" s="23" t="n">
        <x:v>2439</x:v>
      </x:c>
      <x:c r="B2440" s="15" t="str">
        <x:v>BRC LENDING</x:v>
      </x:c>
      <x:c r="C2440" s="15"/>
      <x:c r="D2440" s="15" t="str">
        <x:v>Property lender or directory member; operating-company capital unconfirmed</x:v>
      </x:c>
      <x:c r="E2440" s="15" t="str">
        <x:v>Property lender / private-money inquiry</x:v>
      </x:c>
      <x:c r="F2440" s="17" t="str">
        <x:v>New</x:v>
      </x:c>
      <x:c r="G2440" s="24" t="str">
        <x:v>david@brcloans.com</x:v>
      </x:c>
      <x:c r="H2440" s="24" t="str">
        <x:v>+12132268702</x:v>
      </x:c>
      <x:c r="I2440" s="24" t="str">
        <x:v>https://www.brcloans.com/</x:v>
      </x:c>
      <x:c r="J2440" s="16" t="str">
        <x:v>CA</x:v>
      </x:c>
      <x:c r="K2440" s="16" t="str">
        <x:v>Redondo Beach</x:v>
      </x:c>
      <x:c r="L2440" s="16" t="str">
        <x:v>firm_business_routing</x:v>
      </x:c>
      <x:c r="M2440" s="16" t="str">
        <x:v>https://www.brcloans.com/</x:v>
      </x:c>
      <x:c r="N2440" s="16" t="str">
        <x:v>$100K-$500K ticket not published / unconfirmed</x:v>
      </x:c>
      <x:c r="O2440" s="20"/>
      <x:c r="P2440" s="20"/>
      <x:c r="Q2440" s="25" t="str">
        <x:v>Property-loan range, not a corporate-capital commitment</x:v>
      </x:c>
      <x:c r="R2440" s="25" t="str">
        <x:v>Private real-estate finance experience. Corporate working capital, minority equity or profit participation requires a separate agreement from a property loan.</x:v>
      </x:c>
      <x:c r="S2440" s="25"/>
      <x:c r="T2440" s="25" t="str">
        <x:v>Confirm direct principal versus broker, $100K-$500K appetite, and whether capital can fund the operating company without a property mortgage.</x:v>
      </x:c>
      <x:c r="U2440" s="25" t="str">
        <x:v>https://www.privatelendersdirectory.com/united-states/redondo-beach/top-level-category/brc-lending
https://www.brcloans.com/
https://www.privatelendersdirectory.com/united-states/redondo-beach/real-estate-investment-lending/brc-loans</x:v>
      </x:c>
      <x:c r="V2440" s="26" t="d">
        <x:v>2026-10-02T00:00:00.000Z</x:v>
      </x:c>
      <x:c r="W2440" s="26" t="d">
        <x:v>2026-09-30T00:00:00.000Z</x:v>
      </x:c>
      <x:c r="X2440" s="25" t="str">
        <x:v>Saved public company, industry-directory or regulatory source; source date retained</x:v>
      </x:c>
      <x:c r="Y2440" s="25" t="str">
        <x:v>https://www.brcloans.com/</x:v>
      </x:c>
      <x:c r="Z2440" s="25" t="str">
        <x:v>https://www.brcloans.com/</x:v>
      </x:c>
      <x:c r="AA2440" s="25" t="str">
        <x:v>[]</x:v>
      </x:c>
      <x:c r="AB2440" s="3" t="str">
        <x:v>Existing CapitalForge research, newly screened for this campaign</x:v>
      </x:c>
      <x:c r="AC2440" s="3" t="str">
        <x:v>unverified</x:v>
      </x:c>
      <x:c r="AD2440" s="3" t="str">
        <x:v>Not contacted / unconfirmed</x:v>
      </x:c>
      <x:c r="AE2440" s="3" t="str">
        <x:v>No</x:v>
      </x:c>
      <x:c r="AF2440" s="3" t="str">
        <x:v>No</x:v>
      </x:c>
      <x:c r="AG2440" s="3"/>
      <x:c r="AH2440" s="3"/>
      <x:c r="AI2440" s="18"/>
      <x:c r="AJ2440" s="3" t="str">
        <x:v>CF2500-EE70D2196DE1</x:v>
      </x:c>
      <x:c r="AK2440" s="3" t="str">
        <x:v>private_real_estate_lender</x:v>
      </x:c>
      <x:c r="AL2440" s="19" t="n">
        <x:v>100000</x:v>
      </x:c>
      <x:c r="AM2440" s="19" t="n">
        <x:v>500000</x:v>
      </x:c>
      <x:c r="AN2440" s="3" t="str">
        <x:v>https://www.privatelendersdirectory.com/united-states/redondo-beach/top-level-category/brc-lending</x:v>
      </x:c>
      <x:c r="AO2440" s="3" t="str">
        <x:v>public_directory.jsonl</x:v>
      </x:c>
      <x:c r="AP2440" s="19"/>
    </x:row>
    <x:row r="2441" ht="36" customHeight="1">
      <x:c r="A2441" s="23" t="n">
        <x:v>2440</x:v>
      </x:c>
      <x:c r="B2441" s="15" t="str">
        <x:v>BRENANCE</x:v>
      </x:c>
      <x:c r="C2441" s="15"/>
      <x:c r="D2441" s="15" t="str">
        <x:v>Property lender or directory member; operating-company capital unconfirmed</x:v>
      </x:c>
      <x:c r="E2441" s="15" t="str">
        <x:v>Property lender / private-money inquiry</x:v>
      </x:c>
      <x:c r="F2441" s="17" t="str">
        <x:v>New</x:v>
      </x:c>
      <x:c r="G2441" s="24" t="str">
        <x:v>info@brenance.com</x:v>
      </x:c>
      <x:c r="H2441" s="24" t="str">
        <x:v>+18588868821</x:v>
      </x:c>
      <x:c r="I2441" s="24" t="str">
        <x:v>https://www.brenance.com/</x:v>
      </x:c>
      <x:c r="J2441" s="16" t="str">
        <x:v>CA</x:v>
      </x:c>
      <x:c r="K2441" s="16" t="str">
        <x:v>Murrieta</x:v>
      </x:c>
      <x:c r="L2441" s="16" t="str">
        <x:v>firm_business_routing</x:v>
      </x:c>
      <x:c r="M2441" s="16" t="str">
        <x:v>https://www.brenance.com/</x:v>
      </x:c>
      <x:c r="N2441" s="16" t="str">
        <x:v>$100K-$500K ticket not published / unconfirmed</x:v>
      </x:c>
      <x:c r="O2441" s="20"/>
      <x:c r="P2441" s="20"/>
      <x:c r="Q2441" s="25" t="str">
        <x:v>Property-loan range, not a corporate-capital commitment</x:v>
      </x:c>
      <x:c r="R2441" s="25" t="str">
        <x:v>Private real-estate finance experience. Corporate working capital, minority equity or profit participation requires a separate agreement from a property loan.</x:v>
      </x:c>
      <x:c r="S2441" s="25"/>
      <x:c r="T2441" s="25" t="str">
        <x:v>Confirm direct principal versus broker, $100K-$500K appetite, and whether capital can fund the operating company without a property mortgage.</x:v>
      </x:c>
      <x:c r="U2441" s="25" t="str">
        <x:v>https://www.privatelendersdirectory.com/united-states/murrieta/top-level-category/brenance
https://www.brenance.com/</x:v>
      </x:c>
      <x:c r="V2441" s="26" t="d">
        <x:v>2026-10-02T00:00:00.000Z</x:v>
      </x:c>
      <x:c r="W2441" s="26" t="d">
        <x:v>2026-09-30T00:00:00.000Z</x:v>
      </x:c>
      <x:c r="X2441" s="25" t="str">
        <x:v>Saved public company, industry-directory or regulatory source; source date retained</x:v>
      </x:c>
      <x:c r="Y2441" s="25" t="str">
        <x:v>https://www.brenance.com/</x:v>
      </x:c>
      <x:c r="Z2441" s="25" t="str">
        <x:v>https://www.brenance.com/</x:v>
      </x:c>
      <x:c r="AA2441" s="25" t="str">
        <x:v>[]</x:v>
      </x:c>
      <x:c r="AB2441" s="3" t="str">
        <x:v>Existing CapitalForge research, newly screened for this campaign</x:v>
      </x:c>
      <x:c r="AC2441" s="3" t="str">
        <x:v>unverified</x:v>
      </x:c>
      <x:c r="AD2441" s="3" t="str">
        <x:v>Not contacted / unconfirmed</x:v>
      </x:c>
      <x:c r="AE2441" s="3" t="str">
        <x:v>No</x:v>
      </x:c>
      <x:c r="AF2441" s="3" t="str">
        <x:v>No</x:v>
      </x:c>
      <x:c r="AG2441" s="3"/>
      <x:c r="AH2441" s="3"/>
      <x:c r="AI2441" s="18"/>
      <x:c r="AJ2441" s="3" t="str">
        <x:v>CF2500-C2EAF12BC76E</x:v>
      </x:c>
      <x:c r="AK2441" s="3" t="str">
        <x:v>private_real_estate_lender</x:v>
      </x:c>
      <x:c r="AL2441" s="19" t="n">
        <x:v>100000</x:v>
      </x:c>
      <x:c r="AM2441" s="19" t="n">
        <x:v>500000</x:v>
      </x:c>
      <x:c r="AN2441" s="3" t="str">
        <x:v>https://www.privatelendersdirectory.com/united-states/murrieta/top-level-category/brenance</x:v>
      </x:c>
      <x:c r="AO2441" s="3" t="str">
        <x:v>public_directory.jsonl</x:v>
      </x:c>
      <x:c r="AP2441" s="19"/>
    </x:row>
    <x:row r="2442" ht="36" customHeight="1">
      <x:c r="A2442" s="23" t="n">
        <x:v>2441</x:v>
      </x:c>
      <x:c r="B2442" s="15" t="str">
        <x:v>Briar Cliff Financial Services</x:v>
      </x:c>
      <x:c r="C2442" s="15"/>
      <x:c r="D2442" s="15" t="str">
        <x:v>Property lender or directory member; operating-company capital unconfirmed</x:v>
      </x:c>
      <x:c r="E2442" s="15" t="str">
        <x:v>Property lender / private-money inquiry</x:v>
      </x:c>
      <x:c r="F2442" s="17" t="str">
        <x:v>New</x:v>
      </x:c>
      <x:c r="G2442" s="24" t="str">
        <x:v>info@bcfsllc.com</x:v>
      </x:c>
      <x:c r="H2442" s="24" t="str">
        <x:v>+14128504522</x:v>
      </x:c>
      <x:c r="I2442" s="24" t="str">
        <x:v>https://www.bcfsllc.com/?utm_source=private-lender-link</x:v>
      </x:c>
      <x:c r="J2442" s="16" t="str">
        <x:v>Ohio, Pennsylvania, Allentown, Harrisburg, Philadelphia, Pittsburgh, West Virginia</x:v>
      </x:c>
      <x:c r="K2442" s="16" t="str">
        <x:v>Sewickley</x:v>
      </x:c>
      <x:c r="L2442" s="16" t="str">
        <x:v>firm_business_routing</x:v>
      </x:c>
      <x:c r="M2442" s="16" t="str">
        <x:v>https://www.bcfsllc.com/?utm_source=private-lender-link</x:v>
      </x:c>
      <x:c r="N2442" s="16" t="str">
        <x:v>$100K-$500K ticket not published / unconfirmed</x:v>
      </x:c>
      <x:c r="O2442" s="20"/>
      <x:c r="P2442" s="20"/>
      <x:c r="Q2442" s="25" t="str">
        <x:v>Property-loan range, not a corporate-capital commitment</x:v>
      </x:c>
      <x:c r="R2442" s="25" t="str">
        <x:v>Private real-estate finance experience. Corporate working capital, minority equity or profit participation requires a separate agreement from a property loan.</x:v>
      </x:c>
      <x:c r="S2442" s="25"/>
      <x:c r="T2442" s="25" t="str">
        <x:v>Confirm direct principal versus broker, $100K-$500K appetite, and whether capital can fund the operating company without a property mortgage.</x:v>
      </x:c>
      <x:c r="U2442" s="25" t="str">
        <x:v>https://privatelenderlink.com/profile/briar-cliff-financial-services/
https://www.bcfsllc.com/?utm_source=private-lender-link</x:v>
      </x:c>
      <x:c r="V2442" s="26" t="d">
        <x:v>2026-10-02T00:00:00.000Z</x:v>
      </x:c>
      <x:c r="W2442" s="26" t="d">
        <x:v>2026-09-30T00:00:00.000Z</x:v>
      </x:c>
      <x:c r="X2442" s="25" t="str">
        <x:v>Saved public company, industry-directory or regulatory source; source date retained</x:v>
      </x:c>
      <x:c r="Y2442" s="25" t="str">
        <x:v>https://www.bcfsllc.com/?utm_source=private-lender-link</x:v>
      </x:c>
      <x:c r="Z2442" s="25" t="str">
        <x:v>https://privatelenderlink.com/profile/briar-cliff-financial-services/</x:v>
      </x:c>
      <x:c r="AA2442" s="25" t="str">
        <x:v>[]</x:v>
      </x:c>
      <x:c r="AB2442" s="3" t="str">
        <x:v>Existing CapitalForge research, newly screened for this campaign</x:v>
      </x:c>
      <x:c r="AC2442" s="3" t="str">
        <x:v>unverified</x:v>
      </x:c>
      <x:c r="AD2442" s="3" t="str">
        <x:v>Not contacted / unconfirmed</x:v>
      </x:c>
      <x:c r="AE2442" s="3" t="str">
        <x:v>No</x:v>
      </x:c>
      <x:c r="AF2442" s="3" t="str">
        <x:v>No</x:v>
      </x:c>
      <x:c r="AG2442" s="3"/>
      <x:c r="AH2442" s="3"/>
      <x:c r="AI2442" s="18"/>
      <x:c r="AJ2442" s="3" t="str">
        <x:v>CF2500-83313622E298</x:v>
      </x:c>
      <x:c r="AK2442" s="3" t="str">
        <x:v>private_real_estate_lender</x:v>
      </x:c>
      <x:c r="AL2442" s="19" t="n">
        <x:v>100000</x:v>
      </x:c>
      <x:c r="AM2442" s="19" t="n">
        <x:v>500000</x:v>
      </x:c>
      <x:c r="AN2442" s="3" t="str">
        <x:v>https://privatelenderlink.com/profile/briar-cliff-financial-services/</x:v>
      </x:c>
      <x:c r="AO2442" s="3" t="str">
        <x:v>public_directory.jsonl</x:v>
      </x:c>
      <x:c r="AP2442" s="19"/>
    </x:row>
    <x:row r="2443" ht="36" customHeight="1">
      <x:c r="A2443" s="23" t="n">
        <x:v>2442</x:v>
      </x:c>
      <x:c r="B2443" s="15" t="str">
        <x:v>Brick City Capital</x:v>
      </x:c>
      <x:c r="C2443" s="15"/>
      <x:c r="D2443" s="15" t="str">
        <x:v>Property lender or directory member; operating-company capital unconfirmed</x:v>
      </x:c>
      <x:c r="E2443" s="15" t="str">
        <x:v>Property lender / private-money inquiry</x:v>
      </x:c>
      <x:c r="F2443" s="17" t="str">
        <x:v>New</x:v>
      </x:c>
      <x:c r="G2443" s="24" t="str">
        <x:v>jvaskis@brkcty.com</x:v>
      </x:c>
      <x:c r="H2443" s="24" t="str">
        <x:v>+19738789884</x:v>
      </x:c>
      <x:c r="I2443" s="24" t="str">
        <x:v>https://www.brkcty.com/?utm_source=private-lender-link</x:v>
      </x:c>
      <x:c r="J2443" s="16" t="str">
        <x:v>NJ</x:v>
      </x:c>
      <x:c r="K2443" s="16" t="str">
        <x:v>Newark</x:v>
      </x:c>
      <x:c r="L2443" s="16" t="str">
        <x:v>firm_business_routing</x:v>
      </x:c>
      <x:c r="M2443" s="16" t="str">
        <x:v>https://www.brkcty.com/?utm_source=private-lender-link</x:v>
      </x:c>
      <x:c r="N2443" s="16" t="str">
        <x:v>$100K-$500K ticket not published / unconfirmed</x:v>
      </x:c>
      <x:c r="O2443" s="20"/>
      <x:c r="P2443" s="20"/>
      <x:c r="Q2443" s="25" t="str">
        <x:v>Property-loan range, not a corporate-capital commitment</x:v>
      </x:c>
      <x:c r="R2443" s="25" t="str">
        <x:v>Private real-estate finance experience. Corporate working capital, minority equity or profit participation requires a separate agreement from a property loan.</x:v>
      </x:c>
      <x:c r="S2443" s="25"/>
      <x:c r="T2443" s="25" t="str">
        <x:v>Confirm direct principal versus broker, $100K-$500K appetite, and whether capital can fund the operating company without a property mortgage.</x:v>
      </x:c>
      <x:c r="U2443" s="25" t="str">
        <x:v>https://privatelenderlink.com/profile/brick-city-capital/
https://www.brkcty.com/?utm_source=private-lender-link</x:v>
      </x:c>
      <x:c r="V2443" s="26" t="d">
        <x:v>2026-10-02T00:00:00.000Z</x:v>
      </x:c>
      <x:c r="W2443" s="26" t="d">
        <x:v>2026-09-30T00:00:00.000Z</x:v>
      </x:c>
      <x:c r="X2443" s="25" t="str">
        <x:v>Saved public company, industry-directory or regulatory source; source date retained</x:v>
      </x:c>
      <x:c r="Y2443" s="25" t="str">
        <x:v>https://privatelenderlink.com/profile/brick-city-capital/</x:v>
      </x:c>
      <x:c r="Z2443" s="25" t="str">
        <x:v>https://www.brkcty.com/?utm_source=private-lender-link</x:v>
      </x:c>
      <x:c r="AA2443" s="25" t="str">
        <x:v>[]</x:v>
      </x:c>
      <x:c r="AB2443" s="3" t="str">
        <x:v>Existing CapitalForge research, newly screened for this campaign</x:v>
      </x:c>
      <x:c r="AC2443" s="3" t="str">
        <x:v>unverified</x:v>
      </x:c>
      <x:c r="AD2443" s="3" t="str">
        <x:v>Not contacted / unconfirmed</x:v>
      </x:c>
      <x:c r="AE2443" s="3" t="str">
        <x:v>No</x:v>
      </x:c>
      <x:c r="AF2443" s="3" t="str">
        <x:v>No</x:v>
      </x:c>
      <x:c r="AG2443" s="3"/>
      <x:c r="AH2443" s="3"/>
      <x:c r="AI2443" s="18"/>
      <x:c r="AJ2443" s="3" t="str">
        <x:v>CF2500-28683F53821D</x:v>
      </x:c>
      <x:c r="AK2443" s="3" t="str">
        <x:v>private_real_estate_lender</x:v>
      </x:c>
      <x:c r="AL2443" s="19" t="n">
        <x:v>100000</x:v>
      </x:c>
      <x:c r="AM2443" s="19" t="n">
        <x:v>500000</x:v>
      </x:c>
      <x:c r="AN2443" s="3" t="str">
        <x:v>https://privatelenderlink.com/profile/brick-city-capital/</x:v>
      </x:c>
      <x:c r="AO2443" s="3" t="str">
        <x:v>public_directory.jsonl</x:v>
      </x:c>
      <x:c r="AP2443" s="19"/>
    </x:row>
    <x:row r="2444" ht="36" customHeight="1">
      <x:c r="A2444" s="23" t="n">
        <x:v>2443</x:v>
      </x:c>
      <x:c r="B2444" s="15" t="str">
        <x:v>Bridge Commercial Capital, LLC</x:v>
      </x:c>
      <x:c r="C2444" s="15"/>
      <x:c r="D2444" s="15" t="str">
        <x:v>Property lender or directory member; operating-company capital unconfirmed</x:v>
      </x:c>
      <x:c r="E2444" s="15" t="str">
        <x:v>Property lender / private-money inquiry</x:v>
      </x:c>
      <x:c r="F2444" s="17" t="str">
        <x:v>New</x:v>
      </x:c>
      <x:c r="G2444" s="24" t="str">
        <x:v>team@bridgecommercialcapital.com</x:v>
      </x:c>
      <x:c r="H2444" s="24" t="str">
        <x:v>+12147645758</x:v>
      </x:c>
      <x:c r="I2444" s="24" t="str">
        <x:v>https://bridgecommercialcapital.com/?utm_source=lender-link</x:v>
      </x:c>
      <x:c r="J2444" s="16" t="str">
        <x:v>Texas</x:v>
      </x:c>
      <x:c r="K2444" s="16" t="str">
        <x:v>Rockwall</x:v>
      </x:c>
      <x:c r="L2444" s="16" t="str">
        <x:v>firm_business_routing</x:v>
      </x:c>
      <x:c r="M2444" s="16" t="str">
        <x:v>https://bridgecommercialcapital.com/?utm_source=lender-link</x:v>
      </x:c>
      <x:c r="N2444" s="16" t="str">
        <x:v>$100K-$500K ticket not published / unconfirmed</x:v>
      </x:c>
      <x:c r="O2444" s="20"/>
      <x:c r="P2444" s="20"/>
      <x:c r="Q2444" s="25" t="str">
        <x:v>Property-loan range, not a corporate-capital commitment</x:v>
      </x:c>
      <x:c r="R2444" s="25" t="str">
        <x:v>Private real-estate finance experience. Corporate working capital, minority equity or profit participation requires a separate agreement from a property loan.</x:v>
      </x:c>
      <x:c r="S2444" s="25"/>
      <x:c r="T2444" s="25" t="str">
        <x:v>Confirm direct principal versus broker, $100K-$500K appetite, and whether capital can fund the operating company without a property mortgage.</x:v>
      </x:c>
      <x:c r="U2444" s="25" t="str">
        <x:v>https://privatelenderlink.com/profile/bridge-commercial-capital-llc/
https://bridgecommercialcapital.com/?utm_source=lender-link</x:v>
      </x:c>
      <x:c r="V2444" s="26" t="d">
        <x:v>2026-10-02T00:00:00.000Z</x:v>
      </x:c>
      <x:c r="W2444" s="26" t="d">
        <x:v>2026-09-30T00:00:00.000Z</x:v>
      </x:c>
      <x:c r="X2444" s="25" t="str">
        <x:v>Saved public company, industry-directory or regulatory source; source date retained</x:v>
      </x:c>
      <x:c r="Y2444" s="25" t="str">
        <x:v>https://privatelenderlink.com/profile/bridge-commercial-capital-llc/</x:v>
      </x:c>
      <x:c r="Z2444" s="25" t="str">
        <x:v>https://bridgecommercialcapital.com/?utm_source=lender-link</x:v>
      </x:c>
      <x:c r="AA2444" s="25" t="str">
        <x:v>[]</x:v>
      </x:c>
      <x:c r="AB2444" s="3" t="str">
        <x:v>Existing CapitalForge research, newly screened for this campaign</x:v>
      </x:c>
      <x:c r="AC2444" s="3" t="str">
        <x:v>unverified</x:v>
      </x:c>
      <x:c r="AD2444" s="3" t="str">
        <x:v>Not contacted / unconfirmed</x:v>
      </x:c>
      <x:c r="AE2444" s="3" t="str">
        <x:v>No</x:v>
      </x:c>
      <x:c r="AF2444" s="3" t="str">
        <x:v>No</x:v>
      </x:c>
      <x:c r="AG2444" s="3"/>
      <x:c r="AH2444" s="3"/>
      <x:c r="AI2444" s="18"/>
      <x:c r="AJ2444" s="3" t="str">
        <x:v>CF2500-FFE0D36B98BC</x:v>
      </x:c>
      <x:c r="AK2444" s="3" t="str">
        <x:v>private_real_estate_lender</x:v>
      </x:c>
      <x:c r="AL2444" s="19" t="n">
        <x:v>100000</x:v>
      </x:c>
      <x:c r="AM2444" s="19" t="n">
        <x:v>500000</x:v>
      </x:c>
      <x:c r="AN2444" s="3" t="str">
        <x:v>https://privatelenderlink.com/profile/bridge-commercial-capital-llc/</x:v>
      </x:c>
      <x:c r="AO2444" s="3" t="str">
        <x:v>public_directory.jsonl</x:v>
      </x:c>
      <x:c r="AP2444" s="19"/>
    </x:row>
    <x:row r="2445" ht="36" customHeight="1">
      <x:c r="A2445" s="23" t="n">
        <x:v>2444</x:v>
      </x:c>
      <x:c r="B2445" s="15" t="str">
        <x:v>Bridge Financing Group</x:v>
      </x:c>
      <x:c r="C2445" s="15"/>
      <x:c r="D2445" s="15" t="str">
        <x:v>Property lender or directory member; operating-company capital unconfirmed</x:v>
      </x:c>
      <x:c r="E2445" s="15" t="str">
        <x:v>Property lender / private-money inquiry</x:v>
      </x:c>
      <x:c r="F2445" s="17" t="str">
        <x:v>New</x:v>
      </x:c>
      <x:c r="G2445" s="24" t="str">
        <x:v>patrick@bfgdirect.com</x:v>
      </x:c>
      <x:c r="H2445" s="24" t="str">
        <x:v>+18452161228</x:v>
      </x:c>
      <x:c r="I2445" s="24" t="str">
        <x:v>https://www.bfgdirect.com</x:v>
      </x:c>
      <x:c r="J2445" s="16" t="str">
        <x:v>New York</x:v>
      </x:c>
      <x:c r="K2445" s="16" t="str">
        <x:v>Garrison</x:v>
      </x:c>
      <x:c r="L2445" s="16" t="str">
        <x:v>firm_business_routing</x:v>
      </x:c>
      <x:c r="M2445" s="16" t="str">
        <x:v>https://www.bfgdirect.com</x:v>
      </x:c>
      <x:c r="N2445" s="16" t="str">
        <x:v>$100K-$500K ticket not published / unconfirmed</x:v>
      </x:c>
      <x:c r="O2445" s="20"/>
      <x:c r="P2445" s="20"/>
      <x:c r="Q2445" s="25" t="str">
        <x:v>Property-loan range, not a corporate-capital commitment</x:v>
      </x:c>
      <x:c r="R2445" s="25" t="str">
        <x:v>Private real-estate finance experience. Corporate working capital, minority equity or profit participation requires a separate agreement from a property loan.</x:v>
      </x:c>
      <x:c r="S2445" s="25"/>
      <x:c r="T2445" s="25" t="str">
        <x:v>Confirm direct principal versus broker, $100K-$500K appetite, and whether capital can fund the operating company without a property mortgage.</x:v>
      </x:c>
      <x:c r="U2445" s="25" t="str">
        <x:v>https://privatelenderlink.com/profile/bridge-financing-group/
https://www.bfgdirect.com</x:v>
      </x:c>
      <x:c r="V2445" s="26" t="d">
        <x:v>2026-10-02T00:00:00.000Z</x:v>
      </x:c>
      <x:c r="W2445" s="26" t="d">
        <x:v>2026-09-30T00:00:00.000Z</x:v>
      </x:c>
      <x:c r="X2445" s="25" t="str">
        <x:v>Saved public company, industry-directory or regulatory source; source date retained</x:v>
      </x:c>
      <x:c r="Y2445" s="25" t="str">
        <x:v>https://privatelenderlink.com/profile/bridge-financing-group/</x:v>
      </x:c>
      <x:c r="Z2445" s="25" t="str">
        <x:v>https://www.bfgdirect.com</x:v>
      </x:c>
      <x:c r="AA2445" s="25" t="str">
        <x:v>[]</x:v>
      </x:c>
      <x:c r="AB2445" s="3" t="str">
        <x:v>Existing CapitalForge research, newly screened for this campaign</x:v>
      </x:c>
      <x:c r="AC2445" s="3" t="str">
        <x:v>unverified</x:v>
      </x:c>
      <x:c r="AD2445" s="3" t="str">
        <x:v>Not contacted / unconfirmed</x:v>
      </x:c>
      <x:c r="AE2445" s="3" t="str">
        <x:v>No</x:v>
      </x:c>
      <x:c r="AF2445" s="3" t="str">
        <x:v>No</x:v>
      </x:c>
      <x:c r="AG2445" s="3"/>
      <x:c r="AH2445" s="3"/>
      <x:c r="AI2445" s="18"/>
      <x:c r="AJ2445" s="3" t="str">
        <x:v>CF2500-B4C0CC15619D</x:v>
      </x:c>
      <x:c r="AK2445" s="3" t="str">
        <x:v>private_real_estate_lender</x:v>
      </x:c>
      <x:c r="AL2445" s="19" t="n">
        <x:v>100000</x:v>
      </x:c>
      <x:c r="AM2445" s="19" t="n">
        <x:v>500000</x:v>
      </x:c>
      <x:c r="AN2445" s="3" t="str">
        <x:v>https://privatelenderlink.com/profile/bridge-financing-group/</x:v>
      </x:c>
      <x:c r="AO2445" s="3" t="str">
        <x:v>public_directory.jsonl</x:v>
      </x:c>
      <x:c r="AP2445" s="19"/>
    </x:row>
    <x:row r="2446" ht="36" customHeight="1">
      <x:c r="A2446" s="23" t="n">
        <x:v>2445</x:v>
      </x:c>
      <x:c r="B2446" s="15" t="str">
        <x:v>BRIDGE LOANS BROOKLYN</x:v>
      </x:c>
      <x:c r="C2446" s="15"/>
      <x:c r="D2446" s="15" t="str">
        <x:v>Property lender or directory member; operating-company capital unconfirmed</x:v>
      </x:c>
      <x:c r="E2446" s="15" t="str">
        <x:v>Property lender / private-money inquiry</x:v>
      </x:c>
      <x:c r="F2446" s="17" t="str">
        <x:v>New</x:v>
      </x:c>
      <x:c r="G2446" s="24" t="str">
        <x:v>john@bridgeloansbrooklyn.com</x:v>
      </x:c>
      <x:c r="H2446" s="24" t="str">
        <x:v>+17185934420</x:v>
      </x:c>
      <x:c r="I2446" s="24" t="str">
        <x:v>https://www.bridgeloansbrooklyn.com/</x:v>
      </x:c>
      <x:c r="J2446" s="16" t="str">
        <x:v>NY</x:v>
      </x:c>
      <x:c r="K2446" s="16" t="str">
        <x:v>Brooklyn</x:v>
      </x:c>
      <x:c r="L2446" s="16" t="str">
        <x:v>firm_business_routing</x:v>
      </x:c>
      <x:c r="M2446" s="16" t="str">
        <x:v>https://www.bridgeloansbrooklyn.com/</x:v>
      </x:c>
      <x:c r="N2446" s="16" t="str">
        <x:v>$100K-$500K ticket not published / unconfirmed</x:v>
      </x:c>
      <x:c r="O2446" s="20"/>
      <x:c r="P2446" s="20"/>
      <x:c r="Q2446" s="25" t="str">
        <x:v>Property-loan range, not a corporate-capital commitment</x:v>
      </x:c>
      <x:c r="R2446" s="25" t="str">
        <x:v>Private real-estate finance experience. Corporate working capital, minority equity or profit participation requires a separate agreement from a property loan.</x:v>
      </x:c>
      <x:c r="S2446" s="25"/>
      <x:c r="T2446" s="25" t="str">
        <x:v>Confirm direct principal versus broker, $100K-$500K appetite, and whether capital can fund the operating company without a property mortgage.</x:v>
      </x:c>
      <x:c r="U2446" s="25" t="str">
        <x:v>https://www.privatelendersdirectory.com/united-states/brooklyn/top-level-category/bridge-loans-brooklyn
https://www.bridgeloansbrooklyn.com/</x:v>
      </x:c>
      <x:c r="V2446" s="26" t="d">
        <x:v>2026-10-02T00:00:00.000Z</x:v>
      </x:c>
      <x:c r="W2446" s="26" t="d">
        <x:v>2026-09-30T00:00:00.000Z</x:v>
      </x:c>
      <x:c r="X2446" s="25" t="str">
        <x:v>Saved public company, industry-directory or regulatory source; source date retained</x:v>
      </x:c>
      <x:c r="Y2446" s="25" t="str">
        <x:v>https://www.bridgeloansbrooklyn.com/</x:v>
      </x:c>
      <x:c r="Z2446" s="25" t="str">
        <x:v>https://www.bridgeloansbrooklyn.com/</x:v>
      </x:c>
      <x:c r="AA2446" s="25" t="str">
        <x:v>[]</x:v>
      </x:c>
      <x:c r="AB2446" s="3" t="str">
        <x:v>Existing CapitalForge research, newly screened for this campaign</x:v>
      </x:c>
      <x:c r="AC2446" s="3" t="str">
        <x:v>unverified</x:v>
      </x:c>
      <x:c r="AD2446" s="3" t="str">
        <x:v>Not contacted / unconfirmed</x:v>
      </x:c>
      <x:c r="AE2446" s="3" t="str">
        <x:v>No</x:v>
      </x:c>
      <x:c r="AF2446" s="3" t="str">
        <x:v>No</x:v>
      </x:c>
      <x:c r="AG2446" s="3"/>
      <x:c r="AH2446" s="3"/>
      <x:c r="AI2446" s="18"/>
      <x:c r="AJ2446" s="3" t="str">
        <x:v>CF2500-7DB1B02EE17A</x:v>
      </x:c>
      <x:c r="AK2446" s="3" t="str">
        <x:v>private_real_estate_lender</x:v>
      </x:c>
      <x:c r="AL2446" s="19" t="n">
        <x:v>100000</x:v>
      </x:c>
      <x:c r="AM2446" s="19" t="n">
        <x:v>500000</x:v>
      </x:c>
      <x:c r="AN2446" s="3" t="str">
        <x:v>https://www.privatelendersdirectory.com/united-states/brooklyn/top-level-category/bridge-loans-brooklyn</x:v>
      </x:c>
      <x:c r="AO2446" s="3" t="str">
        <x:v>public_directory.jsonl</x:v>
      </x:c>
      <x:c r="AP2446" s="19"/>
    </x:row>
    <x:row r="2447" ht="36" customHeight="1">
      <x:c r="A2447" s="23" t="n">
        <x:v>2446</x:v>
      </x:c>
      <x:c r="B2447" s="15" t="str">
        <x:v>Bridgehaven Homes</x:v>
      </x:c>
      <x:c r="C2447" s="15"/>
      <x:c r="D2447" s="15" t="str">
        <x:v>Property lender or directory member; operating-company capital unconfirmed</x:v>
      </x:c>
      <x:c r="E2447" s="15" t="str">
        <x:v>Property lender / private-money inquiry</x:v>
      </x:c>
      <x:c r="F2447" s="17" t="str">
        <x:v>New</x:v>
      </x:c>
      <x:c r="G2447" s="24" t="str">
        <x:v>info@bridgehavenhomes.com</x:v>
      </x:c>
      <x:c r="H2447" s="24" t="str">
        <x:v>+19164149997</x:v>
      </x:c>
      <x:c r="I2447" s="24" t="str">
        <x:v>https://bridgehavenhomes.com/</x:v>
      </x:c>
      <x:c r="J2447" s="16" t="str">
        <x:v>CA</x:v>
      </x:c>
      <x:c r="K2447" s="16" t="str">
        <x:v>Rocklin</x:v>
      </x:c>
      <x:c r="L2447" s="16" t="str">
        <x:v>firm_business_routing</x:v>
      </x:c>
      <x:c r="M2447" s="16" t="str">
        <x:v>https://bridgehavenhomes.com/</x:v>
      </x:c>
      <x:c r="N2447" s="16" t="str">
        <x:v>$100K-$500K ticket not published / unconfirmed</x:v>
      </x:c>
      <x:c r="O2447" s="20"/>
      <x:c r="P2447" s="20"/>
      <x:c r="Q2447" s="25" t="str">
        <x:v>Property-loan range, not a corporate-capital commitment</x:v>
      </x:c>
      <x:c r="R2447" s="25" t="str">
        <x:v>Private real-estate finance experience. Corporate working capital, minority equity or profit participation requires a separate agreement from a property loan.</x:v>
      </x:c>
      <x:c r="S2447" s="25"/>
      <x:c r="T2447" s="25" t="str">
        <x:v>Confirm direct principal versus broker, $100K-$500K appetite, and whether capital can fund the operating company without a property mortgage.</x:v>
      </x:c>
      <x:c r="U2447" s="25" t="str">
        <x:v>https://www.privatelendersdirectory.com/united-states/rocklin/top-level-category/bridgehaven-homes
https://bridgehavenhomes.com/</x:v>
      </x:c>
      <x:c r="V2447" s="26" t="d">
        <x:v>2026-10-02T00:00:00.000Z</x:v>
      </x:c>
      <x:c r="W2447" s="26" t="d">
        <x:v>2026-09-30T00:00:00.000Z</x:v>
      </x:c>
      <x:c r="X2447" s="25" t="str">
        <x:v>Saved public company, industry-directory or regulatory source; source date retained</x:v>
      </x:c>
      <x:c r="Y2447" s="25" t="str">
        <x:v>https://bridgehavenhomes.com/</x:v>
      </x:c>
      <x:c r="Z2447" s="25" t="str">
        <x:v>https://bridgehavenhomes.com/</x:v>
      </x:c>
      <x:c r="AA2447" s="25" t="str">
        <x:v>[]</x:v>
      </x:c>
      <x:c r="AB2447" s="3" t="str">
        <x:v>Existing CapitalForge research, newly screened for this campaign</x:v>
      </x:c>
      <x:c r="AC2447" s="3" t="str">
        <x:v>unverified</x:v>
      </x:c>
      <x:c r="AD2447" s="3" t="str">
        <x:v>Not contacted / unconfirmed</x:v>
      </x:c>
      <x:c r="AE2447" s="3" t="str">
        <x:v>No</x:v>
      </x:c>
      <x:c r="AF2447" s="3" t="str">
        <x:v>No</x:v>
      </x:c>
      <x:c r="AG2447" s="3"/>
      <x:c r="AH2447" s="3"/>
      <x:c r="AI2447" s="18"/>
      <x:c r="AJ2447" s="3" t="str">
        <x:v>CF2500-059A4E0D517B</x:v>
      </x:c>
      <x:c r="AK2447" s="3" t="str">
        <x:v>private_real_estate_lender</x:v>
      </x:c>
      <x:c r="AL2447" s="19" t="n">
        <x:v>100000</x:v>
      </x:c>
      <x:c r="AM2447" s="19" t="n">
        <x:v>500000</x:v>
      </x:c>
      <x:c r="AN2447" s="3" t="str">
        <x:v>https://www.privatelendersdirectory.com/united-states/rocklin/top-level-category/bridgehaven-homes</x:v>
      </x:c>
      <x:c r="AO2447" s="3" t="str">
        <x:v>public_directory.jsonl</x:v>
      </x:c>
      <x:c r="AP2447" s="19"/>
    </x:row>
    <x:row r="2448" ht="36" customHeight="1">
      <x:c r="A2448" s="23" t="n">
        <x:v>2447</x:v>
      </x:c>
      <x:c r="B2448" s="15" t="str">
        <x:v>BridgeInvest</x:v>
      </x:c>
      <x:c r="C2448" s="15" t="str">
        <x:v>DANIEL STAHL</x:v>
      </x:c>
      <x:c r="D2448" s="15" t="str">
        <x:v>Property lender or directory member; operating-company capital unconfirmed</x:v>
      </x:c>
      <x:c r="E2448" s="15" t="str">
        <x:v>Property lender / private-money inquiry</x:v>
      </x:c>
      <x:c r="F2448" s="17" t="str">
        <x:v>New</x:v>
      </x:c>
      <x:c r="G2448" s="24" t="str">
        <x:v>info@bridgeinvest.com</x:v>
      </x:c>
      <x:c r="H2448" s="24" t="str">
        <x:v>+13057499887</x:v>
      </x:c>
      <x:c r="I2448" s="24" t="str">
        <x:v>https://bridgeinvest.com/?utm_source=private-lender-link</x:v>
      </x:c>
      <x:c r="J2448" s="16" t="str">
        <x:v>Florida</x:v>
      </x:c>
      <x:c r="K2448" s="16" t="str">
        <x:v>Miami</x:v>
      </x:c>
      <x:c r="L2448" s="16" t="str">
        <x:v>published_professional_contact_directness_unconfirmed</x:v>
      </x:c>
      <x:c r="M2448" s="16" t="str">
        <x:v>https://bridgeinvest.com/?utm_source=private-lender-link</x:v>
      </x:c>
      <x:c r="N2448" s="16" t="str">
        <x:v>$100K-$500K ticket not published / unconfirmed</x:v>
      </x:c>
      <x:c r="O2448" s="20"/>
      <x:c r="P2448" s="20"/>
      <x:c r="Q2448" s="25" t="str">
        <x:v>Property-loan range, not a corporate-capital commitment</x:v>
      </x:c>
      <x:c r="R2448" s="25" t="str">
        <x:v>Private real-estate finance experience. Corporate working capital, minority equity or profit participation requires a separate agreement from a property loan.</x:v>
      </x:c>
      <x:c r="S2448" s="25"/>
      <x:c r="T2448" s="25" t="str">
        <x:v>Confirm direct principal versus broker, $100K-$500K appetite, and whether capital can fund the operating company without a property mortgage.</x:v>
      </x:c>
      <x:c r="U2448" s="25" t="str">
        <x:v>https://privatelenderlink.com/profile/bridgeinvest/
https://adviserinfo.sec.gov/firm/summary/307343
https://reports.adviserinfo.sec.gov/reports/CompilationReports/IA_FIRM_SEC_Feed_09_29_2026.xml.gz
https://bridgeinvest.com/
https://reports.adviserinfo.sec.gov/reports/foia/advFilingData/2026/ADV_Filing_Data_20260301_20260331.zip
https://www.privatelendersdirectory.com/united-states/miami/top-level-category/bridge-invest</x:v>
      </x:c>
      <x:c r="V2448" s="26" t="d">
        <x:v>2026-10-02T00:00:00.000Z</x:v>
      </x:c>
      <x:c r="W2448" s="26" t="d">
        <x:v>2026-09-30T00:00:00.000Z</x:v>
      </x:c>
      <x:c r="X2448" s="25" t="str">
        <x:v>Saved public company, industry-directory or regulatory source; source date retained</x:v>
      </x:c>
      <x:c r="Y2448" s="25" t="str">
        <x:v>https://privatelenderlink.com/profile/bridgeinvest/</x:v>
      </x:c>
      <x:c r="Z2448" s="25" t="str">
        <x:v>https://privatelenderlink.com/profile/bridgeinvest/</x:v>
      </x:c>
      <x:c r="AA2448" s="25" t="str">
        <x:v>[]</x:v>
      </x:c>
      <x:c r="AB2448" s="3" t="str">
        <x:v>Existing CapitalForge research, newly screened for this campaign</x:v>
      </x:c>
      <x:c r="AC2448" s="3" t="str">
        <x:v>unverified</x:v>
      </x:c>
      <x:c r="AD2448" s="3" t="str">
        <x:v>Not contacted / unconfirmed</x:v>
      </x:c>
      <x:c r="AE2448" s="3" t="str">
        <x:v>No</x:v>
      </x:c>
      <x:c r="AF2448" s="3" t="str">
        <x:v>No</x:v>
      </x:c>
      <x:c r="AG2448" s="3"/>
      <x:c r="AH2448" s="3"/>
      <x:c r="AI2448" s="18"/>
      <x:c r="AJ2448" s="3" t="str">
        <x:v>CF2500-0EDC921D51D1</x:v>
      </x:c>
      <x:c r="AK2448" s="3" t="str">
        <x:v>private_real_estate_lender</x:v>
      </x:c>
      <x:c r="AL2448" s="19" t="n">
        <x:v>100000</x:v>
      </x:c>
      <x:c r="AM2448" s="19" t="n">
        <x:v>500000</x:v>
      </x:c>
      <x:c r="AN2448" s="3" t="str">
        <x:v>https://privatelenderlink.com/profile/bridgeinvest/</x:v>
      </x:c>
      <x:c r="AO2448" s="3" t="str">
        <x:v>public_directory.jsonl</x:v>
      </x:c>
      <x:c r="AP2448" s="19"/>
    </x:row>
    <x:row r="2449" ht="36" customHeight="1">
      <x:c r="A2449" s="23" t="n">
        <x:v>2448</x:v>
      </x:c>
      <x:c r="B2449" s="15" t="str">
        <x:v>BROKERS FIRST FUNDING</x:v>
      </x:c>
      <x:c r="C2449" s="15"/>
      <x:c r="D2449" s="15" t="str">
        <x:v>Property lender or directory member; operating-company capital unconfirmed</x:v>
      </x:c>
      <x:c r="E2449" s="15" t="str">
        <x:v>Property lender / private-money inquiry</x:v>
      </x:c>
      <x:c r="F2449" s="17" t="str">
        <x:v>New</x:v>
      </x:c>
      <x:c r="G2449" s="24" t="str">
        <x:v>info@bffws.com</x:v>
      </x:c>
      <x:c r="H2449" s="24" t="str">
        <x:v>+18662262205</x:v>
      </x:c>
      <x:c r="I2449" s="24" t="str">
        <x:v>https://bffws.com/</x:v>
      </x:c>
      <x:c r="J2449" s="16" t="str">
        <x:v>CA</x:v>
      </x:c>
      <x:c r="K2449" s="16" t="str">
        <x:v>Costa Mesa</x:v>
      </x:c>
      <x:c r="L2449" s="16" t="str">
        <x:v>firm_business_routing</x:v>
      </x:c>
      <x:c r="M2449" s="16" t="str">
        <x:v>https://bffws.com/</x:v>
      </x:c>
      <x:c r="N2449" s="16" t="str">
        <x:v>$100K-$500K ticket not published / unconfirmed</x:v>
      </x:c>
      <x:c r="O2449" s="20"/>
      <x:c r="P2449" s="20"/>
      <x:c r="Q2449" s="25" t="str">
        <x:v>Property-loan range, not a corporate-capital commitment</x:v>
      </x:c>
      <x:c r="R2449" s="25" t="str">
        <x:v>Private real-estate finance experience. Corporate working capital, minority equity or profit participation requires a separate agreement from a property loan.</x:v>
      </x:c>
      <x:c r="S2449" s="25"/>
      <x:c r="T2449" s="25" t="str">
        <x:v>Confirm direct principal versus broker, $100K-$500K appetite, and whether capital can fund the operating company without a property mortgage.</x:v>
      </x:c>
      <x:c r="U2449" s="25" t="str">
        <x:v>https://www.privatelendersdirectory.com/united-states/costa-mesa/top-level-category/brokers-first-funding
https://www.bffws.com/</x:v>
      </x:c>
      <x:c r="V2449" s="26" t="d">
        <x:v>2026-10-02T00:00:00.000Z</x:v>
      </x:c>
      <x:c r="W2449" s="26" t="d">
        <x:v>2026-09-30T00:00:00.000Z</x:v>
      </x:c>
      <x:c r="X2449" s="25" t="str">
        <x:v>Saved public company, industry-directory or regulatory source; source date retained</x:v>
      </x:c>
      <x:c r="Y2449" s="25" t="str">
        <x:v>https://www.bffws.com/</x:v>
      </x:c>
      <x:c r="Z2449" s="25" t="str">
        <x:v>https://www.bffws.com/</x:v>
      </x:c>
      <x:c r="AA2449" s="25" t="str">
        <x:v>[]</x:v>
      </x:c>
      <x:c r="AB2449" s="3" t="str">
        <x:v>Existing CapitalForge research, newly screened for this campaign</x:v>
      </x:c>
      <x:c r="AC2449" s="3" t="str">
        <x:v>unverified</x:v>
      </x:c>
      <x:c r="AD2449" s="3" t="str">
        <x:v>Not contacted / unconfirmed</x:v>
      </x:c>
      <x:c r="AE2449" s="3" t="str">
        <x:v>No</x:v>
      </x:c>
      <x:c r="AF2449" s="3" t="str">
        <x:v>No</x:v>
      </x:c>
      <x:c r="AG2449" s="3"/>
      <x:c r="AH2449" s="3"/>
      <x:c r="AI2449" s="18"/>
      <x:c r="AJ2449" s="3" t="str">
        <x:v>CF2500-D3CB0529CFFD</x:v>
      </x:c>
      <x:c r="AK2449" s="3" t="str">
        <x:v>private_real_estate_lender</x:v>
      </x:c>
      <x:c r="AL2449" s="19" t="n">
        <x:v>100000</x:v>
      </x:c>
      <x:c r="AM2449" s="19" t="n">
        <x:v>500000</x:v>
      </x:c>
      <x:c r="AN2449" s="3" t="str">
        <x:v>https://www.privatelendersdirectory.com/united-states/costa-mesa/top-level-category/brokers-first-funding</x:v>
      </x:c>
      <x:c r="AO2449" s="3" t="str">
        <x:v>public_directory.jsonl</x:v>
      </x:c>
      <x:c r="AP2449" s="19"/>
    </x:row>
    <x:row r="2450" ht="36" customHeight="1">
      <x:c r="A2450" s="23" t="n">
        <x:v>2449</x:v>
      </x:c>
      <x:c r="B2450" s="15" t="str">
        <x:v>Brrrr Loans</x:v>
      </x:c>
      <x:c r="C2450" s="15"/>
      <x:c r="D2450" s="15" t="str">
        <x:v>Property lender or directory member; operating-company capital unconfirmed</x:v>
      </x:c>
      <x:c r="E2450" s="15" t="str">
        <x:v>Property lender / private-money inquiry</x:v>
      </x:c>
      <x:c r="F2450" s="17" t="str">
        <x:v>New</x:v>
      </x:c>
      <x:c r="G2450" s="24" t="str">
        <x:v>dealteam@brrrr.com</x:v>
      </x:c>
      <x:c r="H2450" s="24" t="str">
        <x:v>+17328516900</x:v>
      </x:c>
      <x:c r="I2450" s="24" t="str">
        <x:v>https://www.brrrr.com/</x:v>
      </x:c>
      <x:c r="J2450" s="16" t="str">
        <x:v>NJ</x:v>
      </x:c>
      <x:c r="K2450" s="16" t="str">
        <x:v>Freehold</x:v>
      </x:c>
      <x:c r="L2450" s="16" t="str">
        <x:v>firm_business_routing</x:v>
      </x:c>
      <x:c r="M2450" s="16" t="str">
        <x:v>https://www.brrrr.com/</x:v>
      </x:c>
      <x:c r="N2450" s="16" t="str">
        <x:v>$100K-$500K ticket not published / unconfirmed</x:v>
      </x:c>
      <x:c r="O2450" s="20"/>
      <x:c r="P2450" s="20"/>
      <x:c r="Q2450" s="25" t="str">
        <x:v>Property-loan range, not a corporate-capital commitment</x:v>
      </x:c>
      <x:c r="R2450" s="25" t="str">
        <x:v>Private real-estate finance experience. Corporate working capital, minority equity or profit participation requires a separate agreement from a property loan.</x:v>
      </x:c>
      <x:c r="S2450" s="25"/>
      <x:c r="T2450" s="25" t="str">
        <x:v>Confirm direct principal versus broker, $100K-$500K appetite, and whether capital can fund the operating company without a property mortgage.</x:v>
      </x:c>
      <x:c r="U2450" s="25" t="str">
        <x:v>https://privatelenderlink.com/profile/brrrr-loans/
https://www.privatelendersdirectory.com/united-states/englishtown/top-level-category/brrrr-loans
https://www.brrrr.com/</x:v>
      </x:c>
      <x:c r="V2450" s="26" t="d">
        <x:v>2026-10-02T00:00:00.000Z</x:v>
      </x:c>
      <x:c r="W2450" s="26" t="d">
        <x:v>2026-09-30T00:00:00.000Z</x:v>
      </x:c>
      <x:c r="X2450" s="25" t="str">
        <x:v>Saved public company, industry-directory or regulatory source; source date retained</x:v>
      </x:c>
      <x:c r="Y2450" s="25" t="str">
        <x:v>https://privatelenderlink.com/profile/brrrr-loans/</x:v>
      </x:c>
      <x:c r="Z2450" s="25" t="str">
        <x:v>https://privatelenderlink.com/profile/brrrr-loans/</x:v>
      </x:c>
      <x:c r="AA2450" s="25" t="str">
        <x:v>[]</x:v>
      </x:c>
      <x:c r="AB2450" s="3" t="str">
        <x:v>Existing CapitalForge research, newly screened for this campaign</x:v>
      </x:c>
      <x:c r="AC2450" s="3" t="str">
        <x:v>unverified</x:v>
      </x:c>
      <x:c r="AD2450" s="3" t="str">
        <x:v>Not contacted / unconfirmed</x:v>
      </x:c>
      <x:c r="AE2450" s="3" t="str">
        <x:v>No</x:v>
      </x:c>
      <x:c r="AF2450" s="3" t="str">
        <x:v>No</x:v>
      </x:c>
      <x:c r="AG2450" s="3"/>
      <x:c r="AH2450" s="3"/>
      <x:c r="AI2450" s="18"/>
      <x:c r="AJ2450" s="3" t="str">
        <x:v>CF2500-AF94134B05AA</x:v>
      </x:c>
      <x:c r="AK2450" s="3" t="str">
        <x:v>private_real_estate_lender</x:v>
      </x:c>
      <x:c r="AL2450" s="19" t="n">
        <x:v>100000</x:v>
      </x:c>
      <x:c r="AM2450" s="19" t="n">
        <x:v>500000</x:v>
      </x:c>
      <x:c r="AN2450" s="3" t="str">
        <x:v>https://privatelenderlink.com/profile/brrrr-loans/</x:v>
      </x:c>
      <x:c r="AO2450" s="3" t="str">
        <x:v>public_directory.jsonl</x:v>
      </x:c>
      <x:c r="AP2450" s="19"/>
    </x:row>
    <x:row r="2451" ht="36" customHeight="1">
      <x:c r="A2451" s="23" t="n">
        <x:v>2450</x:v>
      </x:c>
      <x:c r="B2451" s="15" t="str">
        <x:v>Builder Finance Inc.</x:v>
      </x:c>
      <x:c r="C2451" s="15"/>
      <x:c r="D2451" s="15" t="str">
        <x:v>Property lender or directory member; operating-company capital unconfirmed</x:v>
      </x:c>
      <x:c r="E2451" s="15" t="str">
        <x:v>Property lender / private-money inquiry</x:v>
      </x:c>
      <x:c r="F2451" s="17" t="str">
        <x:v>New</x:v>
      </x:c>
      <x:c r="G2451" s="24" t="str">
        <x:v>team@builderfinance.com</x:v>
      </x:c>
      <x:c r="H2451" s="24" t="str">
        <x:v>+18007520401</x:v>
      </x:c>
      <x:c r="I2451" s="24" t="str">
        <x:v>https://www.builderfinance.com/?utm_source=private-lender-link</x:v>
      </x:c>
      <x:c r="J2451" s="16" t="str">
        <x:v>SD</x:v>
      </x:c>
      <x:c r="K2451" s="16" t="str">
        <x:v>Sioux Falls</x:v>
      </x:c>
      <x:c r="L2451" s="16" t="str">
        <x:v>firm_business_routing</x:v>
      </x:c>
      <x:c r="M2451" s="16" t="str">
        <x:v>https://www.builderfinance.com/?utm_source=private-lender-link</x:v>
      </x:c>
      <x:c r="N2451" s="16" t="str">
        <x:v>$100K-$500K ticket not published / unconfirmed</x:v>
      </x:c>
      <x:c r="O2451" s="20"/>
      <x:c r="P2451" s="20"/>
      <x:c r="Q2451" s="25" t="str">
        <x:v>Property-loan range, not a corporate-capital commitment</x:v>
      </x:c>
      <x:c r="R2451" s="25" t="str">
        <x:v>Private real-estate finance experience. Corporate working capital, minority equity or profit participation requires a separate agreement from a property loan.</x:v>
      </x:c>
      <x:c r="S2451" s="25"/>
      <x:c r="T2451" s="25" t="str">
        <x:v>Confirm direct principal versus broker, $100K-$500K appetite, and whether capital can fund the operating company without a property mortgage.</x:v>
      </x:c>
      <x:c r="U2451" s="25" t="str">
        <x:v>https://privatelenderlink.com/profile/builder-finance-inc/
https://www.builderfinance.com/?utm_source=private-lender-link
https://www.privatelendersdirectory.com/united-states/sioux-falls/top-level-category/builder-finance
https://www.builderfinance.com/</x:v>
      </x:c>
      <x:c r="V2451" s="26" t="d">
        <x:v>2026-10-02T00:00:00.000Z</x:v>
      </x:c>
      <x:c r="W2451" s="26" t="d">
        <x:v>2026-09-30T00:00:00.000Z</x:v>
      </x:c>
      <x:c r="X2451" s="25" t="str">
        <x:v>Saved public company, industry-directory or regulatory source; source date retained</x:v>
      </x:c>
      <x:c r="Y2451" s="25" t="str">
        <x:v>https://www.builderfinance.com/?utm_source=private-lender-link</x:v>
      </x:c>
      <x:c r="Z2451" s="25" t="str">
        <x:v>https://privatelenderlink.com/profile/builder-finance-inc/</x:v>
      </x:c>
      <x:c r="AA2451" s="25" t="str">
        <x:v>[]</x:v>
      </x:c>
      <x:c r="AB2451" s="3" t="str">
        <x:v>Existing CapitalForge research, newly screened for this campaign</x:v>
      </x:c>
      <x:c r="AC2451" s="3" t="str">
        <x:v>unverified</x:v>
      </x:c>
      <x:c r="AD2451" s="3" t="str">
        <x:v>Not contacted / unconfirmed</x:v>
      </x:c>
      <x:c r="AE2451" s="3" t="str">
        <x:v>No</x:v>
      </x:c>
      <x:c r="AF2451" s="3" t="str">
        <x:v>No</x:v>
      </x:c>
      <x:c r="AG2451" s="3"/>
      <x:c r="AH2451" s="3"/>
      <x:c r="AI2451" s="18"/>
      <x:c r="AJ2451" s="3" t="str">
        <x:v>CF2500-2042769481F8</x:v>
      </x:c>
      <x:c r="AK2451" s="3" t="str">
        <x:v>private_real_estate_lender</x:v>
      </x:c>
      <x:c r="AL2451" s="19" t="n">
        <x:v>100000</x:v>
      </x:c>
      <x:c r="AM2451" s="19" t="n">
        <x:v>500000</x:v>
      </x:c>
      <x:c r="AN2451" s="3" t="str">
        <x:v>https://privatelenderlink.com/profile/builder-finance-inc/</x:v>
      </x:c>
      <x:c r="AO2451" s="3" t="str">
        <x:v>public_directory.jsonl</x:v>
      </x:c>
      <x:c r="AP2451" s="19"/>
    </x:row>
    <x:row r="2452" ht="36" customHeight="1">
      <x:c r="A2452" s="23" t="n">
        <x:v>2451</x:v>
      </x:c>
      <x:c r="B2452" s="15" t="str">
        <x:v>BUKH CAPITAL GROUP</x:v>
      </x:c>
      <x:c r="C2452" s="15"/>
      <x:c r="D2452" s="15" t="str">
        <x:v>Property lender or directory member; operating-company capital unconfirmed</x:v>
      </x:c>
      <x:c r="E2452" s="15" t="str">
        <x:v>Property lender / private-money inquiry</x:v>
      </x:c>
      <x:c r="F2452" s="17" t="str">
        <x:v>New</x:v>
      </x:c>
      <x:c r="G2452" s="24" t="str">
        <x:v>eugene@bukhcapital.com</x:v>
      </x:c>
      <x:c r="H2452" s="24" t="str">
        <x:v>+12154359989</x:v>
      </x:c>
      <x:c r="I2452" s="24" t="str">
        <x:v>https://bukhcapital.com/</x:v>
      </x:c>
      <x:c r="J2452" s="16" t="str">
        <x:v>PA</x:v>
      </x:c>
      <x:c r="K2452" s="16" t="str">
        <x:v>Newtown</x:v>
      </x:c>
      <x:c r="L2452" s="16" t="str">
        <x:v>firm_business_routing</x:v>
      </x:c>
      <x:c r="M2452" s="16" t="str">
        <x:v>https://bukhcapital.com/</x:v>
      </x:c>
      <x:c r="N2452" s="16" t="str">
        <x:v>$100K-$500K ticket not published / unconfirmed</x:v>
      </x:c>
      <x:c r="O2452" s="20"/>
      <x:c r="P2452" s="20"/>
      <x:c r="Q2452" s="25" t="str">
        <x:v>Property-loan range, not a corporate-capital commitment</x:v>
      </x:c>
      <x:c r="R2452" s="25" t="str">
        <x:v>Private real-estate finance experience. Corporate working capital, minority equity or profit participation requires a separate agreement from a property loan.</x:v>
      </x:c>
      <x:c r="S2452" s="25"/>
      <x:c r="T2452" s="25" t="str">
        <x:v>Confirm direct principal versus broker, $100K-$500K appetite, and whether capital can fund the operating company without a property mortgage.</x:v>
      </x:c>
      <x:c r="U2452" s="25" t="str">
        <x:v>https://www.privatelendersdirectory.com/united-states/newtown/real-estate-investment-lending/bukh-capital-group
https://bukhcapital.com/</x:v>
      </x:c>
      <x:c r="V2452" s="26" t="d">
        <x:v>2026-10-02T00:00:00.000Z</x:v>
      </x:c>
      <x:c r="W2452" s="26" t="d">
        <x:v>2026-09-30T00:00:00.000Z</x:v>
      </x:c>
      <x:c r="X2452" s="25" t="str">
        <x:v>Saved public company, industry-directory or regulatory source; source date retained</x:v>
      </x:c>
      <x:c r="Y2452" s="25" t="str">
        <x:v>https://bukhcapital.com/</x:v>
      </x:c>
      <x:c r="Z2452" s="25" t="str">
        <x:v>https://bukhcapital.com/</x:v>
      </x:c>
      <x:c r="AA2452" s="25" t="str">
        <x:v>[]</x:v>
      </x:c>
      <x:c r="AB2452" s="3" t="str">
        <x:v>Existing CapitalForge research, newly screened for this campaign</x:v>
      </x:c>
      <x:c r="AC2452" s="3" t="str">
        <x:v>unverified</x:v>
      </x:c>
      <x:c r="AD2452" s="3" t="str">
        <x:v>Not contacted / unconfirmed</x:v>
      </x:c>
      <x:c r="AE2452" s="3" t="str">
        <x:v>No</x:v>
      </x:c>
      <x:c r="AF2452" s="3" t="str">
        <x:v>No</x:v>
      </x:c>
      <x:c r="AG2452" s="3"/>
      <x:c r="AH2452" s="3"/>
      <x:c r="AI2452" s="18"/>
      <x:c r="AJ2452" s="3" t="str">
        <x:v>CF2500-74FBB1F60428</x:v>
      </x:c>
      <x:c r="AK2452" s="3" t="str">
        <x:v>private_real_estate_lender</x:v>
      </x:c>
      <x:c r="AL2452" s="19" t="n">
        <x:v>100000</x:v>
      </x:c>
      <x:c r="AM2452" s="19" t="n">
        <x:v>500000</x:v>
      </x:c>
      <x:c r="AN2452" s="3" t="str">
        <x:v>https://www.privatelendersdirectory.com/united-states/newtown/real-estate-investment-lending/bukh-capital-group</x:v>
      </x:c>
      <x:c r="AO2452" s="3" t="str">
        <x:v>public_directory.jsonl</x:v>
      </x:c>
      <x:c r="AP2452" s="19"/>
    </x:row>
    <x:row r="2453" ht="36" customHeight="1">
      <x:c r="A2453" s="23" t="n">
        <x:v>2452</x:v>
      </x:c>
      <x:c r="B2453" s="15" t="str">
        <x:v>Bull Venture Capital</x:v>
      </x:c>
      <x:c r="C2453" s="15"/>
      <x:c r="D2453" s="15" t="str">
        <x:v>Property lender or directory member; operating-company capital unconfirmed</x:v>
      </x:c>
      <x:c r="E2453" s="15" t="str">
        <x:v>Property lender / private-money inquiry</x:v>
      </x:c>
      <x:c r="F2453" s="17" t="str">
        <x:v>New</x:v>
      </x:c>
      <x:c r="G2453" s="24" t="str">
        <x:v>info@bullventurecapital.com</x:v>
      </x:c>
      <x:c r="H2453" s="24" t="str">
        <x:v>+19493867737</x:v>
      </x:c>
      <x:c r="I2453" s="24" t="str">
        <x:v>https://www.bullventurecapital.com</x:v>
      </x:c>
      <x:c r="J2453" s="16" t="str">
        <x:v>WY</x:v>
      </x:c>
      <x:c r="K2453" s="16" t="str">
        <x:v>N/A</x:v>
      </x:c>
      <x:c r="L2453" s="16" t="str">
        <x:v>firm_business_routing</x:v>
      </x:c>
      <x:c r="M2453" s="16" t="str">
        <x:v>https://www.bullventurecapital.com</x:v>
      </x:c>
      <x:c r="N2453" s="16" t="str">
        <x:v>$100K-$500K ticket not published / unconfirmed</x:v>
      </x:c>
      <x:c r="O2453" s="20"/>
      <x:c r="P2453" s="20"/>
      <x:c r="Q2453" s="25" t="str">
        <x:v>Property-loan range, not a corporate-capital commitment</x:v>
      </x:c>
      <x:c r="R2453" s="25" t="str">
        <x:v>Private real-estate finance experience. Corporate working capital, minority equity or profit participation requires a separate agreement from a property loan.</x:v>
      </x:c>
      <x:c r="S2453" s="25"/>
      <x:c r="T2453" s="25" t="str">
        <x:v>Confirm direct principal versus broker, $100K-$500K appetite, and whether capital can fund the operating company without a property mortgage.</x:v>
      </x:c>
      <x:c r="U2453" s="25" t="str">
        <x:v>https://www.privatelendersdirectory.com/united-states/real-estate-investment-lending/bull-venture-capital
https://www.bullventurecapital.com/</x:v>
      </x:c>
      <x:c r="V2453" s="26" t="d">
        <x:v>2026-10-02T00:00:00.000Z</x:v>
      </x:c>
      <x:c r="W2453" s="26" t="d">
        <x:v>2026-09-30T00:00:00.000Z</x:v>
      </x:c>
      <x:c r="X2453" s="25" t="str">
        <x:v>Saved public company, industry-directory or regulatory source; source date retained</x:v>
      </x:c>
      <x:c r="Y2453" s="25" t="str">
        <x:v>https://www.bullventurecapital.com/</x:v>
      </x:c>
      <x:c r="Z2453" s="25" t="str">
        <x:v>https://www.bullventurecapital.com/</x:v>
      </x:c>
      <x:c r="AA2453" s="25" t="str">
        <x:v>[]</x:v>
      </x:c>
      <x:c r="AB2453" s="3" t="str">
        <x:v>Existing CapitalForge research, newly screened for this campaign</x:v>
      </x:c>
      <x:c r="AC2453" s="3" t="str">
        <x:v>unverified</x:v>
      </x:c>
      <x:c r="AD2453" s="3" t="str">
        <x:v>Not contacted / unconfirmed</x:v>
      </x:c>
      <x:c r="AE2453" s="3" t="str">
        <x:v>No</x:v>
      </x:c>
      <x:c r="AF2453" s="3" t="str">
        <x:v>No</x:v>
      </x:c>
      <x:c r="AG2453" s="3"/>
      <x:c r="AH2453" s="3"/>
      <x:c r="AI2453" s="18"/>
      <x:c r="AJ2453" s="3" t="str">
        <x:v>CF2500-95B560029778</x:v>
      </x:c>
      <x:c r="AK2453" s="3" t="str">
        <x:v>private_real_estate_lender</x:v>
      </x:c>
      <x:c r="AL2453" s="19" t="n">
        <x:v>100000</x:v>
      </x:c>
      <x:c r="AM2453" s="19" t="n">
        <x:v>500000</x:v>
      </x:c>
      <x:c r="AN2453" s="3" t="str">
        <x:v>https://www.privatelendersdirectory.com/united-states/real-estate-investment-lending/bull-venture-capital</x:v>
      </x:c>
      <x:c r="AO2453" s="3" t="str">
        <x:v>public_directory.jsonl</x:v>
      </x:c>
      <x:c r="AP2453" s="19"/>
    </x:row>
    <x:row r="2454" ht="36" customHeight="1">
      <x:c r="A2454" s="23" t="n">
        <x:v>2453</x:v>
      </x:c>
      <x:c r="B2454" s="15" t="str">
        <x:v>C&amp;S CALIFORNIA CAPITAL</x:v>
      </x:c>
      <x:c r="C2454" s="15"/>
      <x:c r="D2454" s="15" t="str">
        <x:v>Property lender or directory member; operating-company capital unconfirmed</x:v>
      </x:c>
      <x:c r="E2454" s="15" t="str">
        <x:v>Property lender / private-money inquiry</x:v>
      </x:c>
      <x:c r="F2454" s="17" t="str">
        <x:v>New</x:v>
      </x:c>
      <x:c r="G2454" s="24" t="str">
        <x:v>decychner@cscaliforniacapital.com</x:v>
      </x:c>
      <x:c r="H2454" s="24" t="str">
        <x:v>+16266531800</x:v>
      </x:c>
      <x:c r="I2454" s="24" t="str">
        <x:v>https://www.cscaliforniacapital.com/</x:v>
      </x:c>
      <x:c r="J2454" s="16" t="str">
        <x:v>CA</x:v>
      </x:c>
      <x:c r="K2454" s="16" t="str">
        <x:v>Covina</x:v>
      </x:c>
      <x:c r="L2454" s="16" t="str">
        <x:v>firm_business_routing</x:v>
      </x:c>
      <x:c r="M2454" s="16" t="str">
        <x:v>https://www.cscaliforniacapital.com/</x:v>
      </x:c>
      <x:c r="N2454" s="16" t="str">
        <x:v>$100K-$500K ticket not published / unconfirmed</x:v>
      </x:c>
      <x:c r="O2454" s="20"/>
      <x:c r="P2454" s="20"/>
      <x:c r="Q2454" s="25" t="str">
        <x:v>Property-loan range, not a corporate-capital commitment</x:v>
      </x:c>
      <x:c r="R2454" s="25" t="str">
        <x:v>Private real-estate finance experience. Corporate working capital, minority equity or profit participation requires a separate agreement from a property loan.</x:v>
      </x:c>
      <x:c r="S2454" s="25"/>
      <x:c r="T2454" s="25" t="str">
        <x:v>Confirm direct principal versus broker, $100K-$500K appetite, and whether capital can fund the operating company without a property mortgage.</x:v>
      </x:c>
      <x:c r="U2454" s="25" t="str">
        <x:v>https://www.privatelendersdirectory.com/united-states/covina/top-level-category/c-s-california-capital
https://www.cscaliforniacapital.com/</x:v>
      </x:c>
      <x:c r="V2454" s="26" t="d">
        <x:v>2026-10-02T00:00:00.000Z</x:v>
      </x:c>
      <x:c r="W2454" s="26" t="d">
        <x:v>2026-09-30T00:00:00.000Z</x:v>
      </x:c>
      <x:c r="X2454" s="25" t="str">
        <x:v>Saved public company, industry-directory or regulatory source; source date retained</x:v>
      </x:c>
      <x:c r="Y2454" s="25" t="str">
        <x:v>https://www.cscaliforniacapital.com/</x:v>
      </x:c>
      <x:c r="Z2454" s="25" t="str">
        <x:v>https://www.cscaliforniacapital.com/</x:v>
      </x:c>
      <x:c r="AA2454" s="25" t="str">
        <x:v>[]</x:v>
      </x:c>
      <x:c r="AB2454" s="3" t="str">
        <x:v>Existing CapitalForge research, newly screened for this campaign</x:v>
      </x:c>
      <x:c r="AC2454" s="3" t="str">
        <x:v>unverified</x:v>
      </x:c>
      <x:c r="AD2454" s="3" t="str">
        <x:v>Not contacted / unconfirmed</x:v>
      </x:c>
      <x:c r="AE2454" s="3" t="str">
        <x:v>No</x:v>
      </x:c>
      <x:c r="AF2454" s="3" t="str">
        <x:v>No</x:v>
      </x:c>
      <x:c r="AG2454" s="3"/>
      <x:c r="AH2454" s="3"/>
      <x:c r="AI2454" s="18"/>
      <x:c r="AJ2454" s="3" t="str">
        <x:v>CF2500-419E7A993A51</x:v>
      </x:c>
      <x:c r="AK2454" s="3" t="str">
        <x:v>private_real_estate_lender</x:v>
      </x:c>
      <x:c r="AL2454" s="19" t="n">
        <x:v>100000</x:v>
      </x:c>
      <x:c r="AM2454" s="19" t="n">
        <x:v>500000</x:v>
      </x:c>
      <x:c r="AN2454" s="3" t="str">
        <x:v>https://www.privatelendersdirectory.com/united-states/covina/top-level-category/c-s-california-capital</x:v>
      </x:c>
      <x:c r="AO2454" s="3" t="str">
        <x:v>public_directory.jsonl</x:v>
      </x:c>
      <x:c r="AP2454" s="19"/>
    </x:row>
    <x:row r="2455" ht="36" customHeight="1">
      <x:c r="A2455" s="23" t="n">
        <x:v>2454</x:v>
      </x:c>
      <x:c r="B2455" s="15" t="str">
        <x:v>C2 Financial Corporation</x:v>
      </x:c>
      <x:c r="C2455" s="15"/>
      <x:c r="D2455" s="15" t="str">
        <x:v>Property lender or directory member; operating-company capital unconfirmed</x:v>
      </x:c>
      <x:c r="E2455" s="15" t="str">
        <x:v>Property lender / private-money inquiry</x:v>
      </x:c>
      <x:c r="F2455" s="17" t="str">
        <x:v>New</x:v>
      </x:c>
      <x:c r="G2455" s="24" t="str">
        <x:v>help@c2financial.com</x:v>
      </x:c>
      <x:c r="H2455" s="24" t="str">
        <x:v>+18318010646</x:v>
      </x:c>
      <x:c r="I2455" s="24" t="str">
        <x:v>https://www.c2financialcorp.com</x:v>
      </x:c>
      <x:c r="J2455" s="16" t="str">
        <x:v>CA</x:v>
      </x:c>
      <x:c r="K2455" s="16" t="str">
        <x:v>Carmel</x:v>
      </x:c>
      <x:c r="L2455" s="16" t="str">
        <x:v>firm_business_routing</x:v>
      </x:c>
      <x:c r="M2455" s="16" t="str">
        <x:v>https://www.c2financialcorp.com</x:v>
      </x:c>
      <x:c r="N2455" s="16" t="str">
        <x:v>$100K-$500K ticket not published / unconfirmed</x:v>
      </x:c>
      <x:c r="O2455" s="20"/>
      <x:c r="P2455" s="20"/>
      <x:c r="Q2455" s="25" t="str">
        <x:v>Property-loan range, not a corporate-capital commitment</x:v>
      </x:c>
      <x:c r="R2455" s="25" t="str">
        <x:v>Private real-estate finance experience. Corporate working capital, minority equity or profit participation requires a separate agreement from a property loan.</x:v>
      </x:c>
      <x:c r="S2455" s="25"/>
      <x:c r="T2455" s="25" t="str">
        <x:v>Confirm direct principal versus broker, $100K-$500K appetite, and whether capital can fund the operating company without a property mortgage.</x:v>
      </x:c>
      <x:c r="U2455" s="25" t="str">
        <x:v>https://www.hardmoneyhome.com/lenders/view/c2-financial-corporation
https://www.privatelendersdirectory.com/united-states/san-diego/real-estate-investment-lending/c2-financial
https://c2financial.com/</x:v>
      </x:c>
      <x:c r="V2455" s="26" t="d">
        <x:v>2026-10-02T00:00:00.000Z</x:v>
      </x:c>
      <x:c r="W2455" s="26" t="d">
        <x:v>2026-09-30T00:00:00.000Z</x:v>
      </x:c>
      <x:c r="X2455" s="25" t="str">
        <x:v>Saved public company, industry-directory or regulatory source; source date retained</x:v>
      </x:c>
      <x:c r="Y2455" s="25" t="str">
        <x:v>https://c2financial.com/</x:v>
      </x:c>
      <x:c r="Z2455" s="25" t="str">
        <x:v>https://www.hardmoneyhome.com/lenders/view/c2-financial-corporation</x:v>
      </x:c>
      <x:c r="AA2455" s="25" t="str">
        <x:v>[]</x:v>
      </x:c>
      <x:c r="AB2455" s="3" t="str">
        <x:v>Existing CapitalForge research, newly screened for this campaign</x:v>
      </x:c>
      <x:c r="AC2455" s="3" t="str">
        <x:v>unverified</x:v>
      </x:c>
      <x:c r="AD2455" s="3" t="str">
        <x:v>Not contacted / unconfirmed</x:v>
      </x:c>
      <x:c r="AE2455" s="3" t="str">
        <x:v>No</x:v>
      </x:c>
      <x:c r="AF2455" s="3" t="str">
        <x:v>No</x:v>
      </x:c>
      <x:c r="AG2455" s="3"/>
      <x:c r="AH2455" s="3"/>
      <x:c r="AI2455" s="18"/>
      <x:c r="AJ2455" s="3" t="str">
        <x:v>CF2500-34263D543FA3</x:v>
      </x:c>
      <x:c r="AK2455" s="3" t="str">
        <x:v>private_real_estate_lender</x:v>
      </x:c>
      <x:c r="AL2455" s="19" t="n">
        <x:v>100000</x:v>
      </x:c>
      <x:c r="AM2455" s="19" t="n">
        <x:v>500000</x:v>
      </x:c>
      <x:c r="AN2455" s="3" t="str">
        <x:v>https://www.hardmoneyhome.com/lenders/view/c2-financial-corporation</x:v>
      </x:c>
      <x:c r="AO2455" s="3" t="str">
        <x:v>public_directory.jsonl</x:v>
      </x:c>
      <x:c r="AP2455" s="19"/>
    </x:row>
    <x:row r="2456" ht="36" customHeight="1">
      <x:c r="A2456" s="23" t="n">
        <x:v>2455</x:v>
      </x:c>
      <x:c r="B2456" s="15" t="str">
        <x:v>CAL UNION FUNDING</x:v>
      </x:c>
      <x:c r="C2456" s="15"/>
      <x:c r="D2456" s="15" t="str">
        <x:v>Property lender or directory member; operating-company capital unconfirmed</x:v>
      </x:c>
      <x:c r="E2456" s="15" t="str">
        <x:v>Property lender / private-money inquiry</x:v>
      </x:c>
      <x:c r="F2456" s="17" t="str">
        <x:v>New</x:v>
      </x:c>
      <x:c r="G2456" s="24" t="str">
        <x:v>info@calunionfunding.com</x:v>
      </x:c>
      <x:c r="H2456" s="24" t="str">
        <x:v>+18186275363</x:v>
      </x:c>
      <x:c r="I2456" s="24" t="str">
        <x:v>https://www.calunionfunding.com/</x:v>
      </x:c>
      <x:c r="J2456" s="16" t="str">
        <x:v>CA</x:v>
      </x:c>
      <x:c r="K2456" s="16" t="str">
        <x:v>Los Angeles</x:v>
      </x:c>
      <x:c r="L2456" s="16" t="str">
        <x:v>firm_business_routing</x:v>
      </x:c>
      <x:c r="M2456" s="16" t="str">
        <x:v>https://www.calunionfunding.com/</x:v>
      </x:c>
      <x:c r="N2456" s="16" t="str">
        <x:v>$100K-$500K ticket not published / unconfirmed</x:v>
      </x:c>
      <x:c r="O2456" s="20"/>
      <x:c r="P2456" s="20"/>
      <x:c r="Q2456" s="25" t="str">
        <x:v>Property-loan range, not a corporate-capital commitment</x:v>
      </x:c>
      <x:c r="R2456" s="25" t="str">
        <x:v>Private real-estate finance experience. Corporate working capital, minority equity or profit participation requires a separate agreement from a property loan.</x:v>
      </x:c>
      <x:c r="S2456" s="25"/>
      <x:c r="T2456" s="25" t="str">
        <x:v>Confirm direct principal versus broker, $100K-$500K appetite, and whether capital can fund the operating company without a property mortgage.</x:v>
      </x:c>
      <x:c r="U2456" s="25" t="str">
        <x:v>https://www.privatelendersdirectory.com/united-states/los-angeles/top-level-category/cal-union-funding
https://www.calunionfunding.com/
https://www.calunionfunding.com/contactus</x:v>
      </x:c>
      <x:c r="V2456" s="26" t="d">
        <x:v>2026-10-02T00:00:00.000Z</x:v>
      </x:c>
      <x:c r="W2456" s="26" t="d">
        <x:v>2026-09-30T00:00:00.000Z</x:v>
      </x:c>
      <x:c r="X2456" s="25" t="str">
        <x:v>Saved public company, industry-directory or regulatory source; source date retained</x:v>
      </x:c>
      <x:c r="Y2456" s="25" t="str">
        <x:v>https://www.calunionfunding.com/contactus</x:v>
      </x:c>
      <x:c r="Z2456" s="25" t="str">
        <x:v>https://www.calunionfunding.com/</x:v>
      </x:c>
      <x:c r="AA2456" s="25" t="str">
        <x:v>[]</x:v>
      </x:c>
      <x:c r="AB2456" s="3" t="str">
        <x:v>Existing CapitalForge research, newly screened for this campaign</x:v>
      </x:c>
      <x:c r="AC2456" s="3" t="str">
        <x:v>unverified</x:v>
      </x:c>
      <x:c r="AD2456" s="3" t="str">
        <x:v>Not contacted / unconfirmed</x:v>
      </x:c>
      <x:c r="AE2456" s="3" t="str">
        <x:v>No</x:v>
      </x:c>
      <x:c r="AF2456" s="3" t="str">
        <x:v>No</x:v>
      </x:c>
      <x:c r="AG2456" s="3"/>
      <x:c r="AH2456" s="3"/>
      <x:c r="AI2456" s="18"/>
      <x:c r="AJ2456" s="3" t="str">
        <x:v>CF2500-2266C4B07585</x:v>
      </x:c>
      <x:c r="AK2456" s="3" t="str">
        <x:v>private_real_estate_lender</x:v>
      </x:c>
      <x:c r="AL2456" s="19" t="n">
        <x:v>100000</x:v>
      </x:c>
      <x:c r="AM2456" s="19" t="n">
        <x:v>500000</x:v>
      </x:c>
      <x:c r="AN2456" s="3" t="str">
        <x:v>https://www.privatelendersdirectory.com/united-states/los-angeles/top-level-category/cal-union-funding</x:v>
      </x:c>
      <x:c r="AO2456" s="3" t="str">
        <x:v>public_directory.jsonl</x:v>
      </x:c>
      <x:c r="AP2456" s="19"/>
    </x:row>
    <x:row r="2457" ht="36" customHeight="1">
      <x:c r="A2457" s="23" t="n">
        <x:v>2456</x:v>
      </x:c>
      <x:c r="B2457" s="15" t="str">
        <x:v>CALIFORNIA FINANCIAL</x:v>
      </x:c>
      <x:c r="C2457" s="15"/>
      <x:c r="D2457" s="15" t="str">
        <x:v>Property lender or directory member; operating-company capital unconfirmed</x:v>
      </x:c>
      <x:c r="E2457" s="15" t="str">
        <x:v>Property lender / private-money inquiry</x:v>
      </x:c>
      <x:c r="F2457" s="17" t="str">
        <x:v>New</x:v>
      </x:c>
      <x:c r="G2457" s="24" t="str">
        <x:v>calfin@calfininc.com</x:v>
      </x:c>
      <x:c r="H2457" s="24" t="str">
        <x:v>+17148464882</x:v>
      </x:c>
      <x:c r="I2457" s="24" t="str">
        <x:v>https://www.calfininc.com/</x:v>
      </x:c>
      <x:c r="J2457" s="16" t="str">
        <x:v>CA</x:v>
      </x:c>
      <x:c r="K2457" s="16" t="str">
        <x:v>Huntington Beach</x:v>
      </x:c>
      <x:c r="L2457" s="16" t="str">
        <x:v>firm_business_routing</x:v>
      </x:c>
      <x:c r="M2457" s="16" t="str">
        <x:v>https://www.calfininc.com/</x:v>
      </x:c>
      <x:c r="N2457" s="16" t="str">
        <x:v>$100K-$500K ticket not published / unconfirmed</x:v>
      </x:c>
      <x:c r="O2457" s="20"/>
      <x:c r="P2457" s="20"/>
      <x:c r="Q2457" s="25" t="str">
        <x:v>Property-loan range, not a corporate-capital commitment</x:v>
      </x:c>
      <x:c r="R2457" s="25" t="str">
        <x:v>Private real-estate finance experience. Corporate working capital, minority equity or profit participation requires a separate agreement from a property loan.</x:v>
      </x:c>
      <x:c r="S2457" s="25"/>
      <x:c r="T2457" s="25" t="str">
        <x:v>Confirm direct principal versus broker, $100K-$500K appetite, and whether capital can fund the operating company without a property mortgage.</x:v>
      </x:c>
      <x:c r="U2457" s="25" t="str">
        <x:v>https://www.privatelendersdirectory.com/united-states/huntington-beach/top-level-category/california-financial
https://calfininc.com/</x:v>
      </x:c>
      <x:c r="V2457" s="26" t="d">
        <x:v>2026-10-02T00:00:00.000Z</x:v>
      </x:c>
      <x:c r="W2457" s="26" t="d">
        <x:v>2026-09-30T00:00:00.000Z</x:v>
      </x:c>
      <x:c r="X2457" s="25" t="str">
        <x:v>Saved public company, industry-directory or regulatory source; source date retained</x:v>
      </x:c>
      <x:c r="Y2457" s="25" t="str">
        <x:v>https://calfininc.com/</x:v>
      </x:c>
      <x:c r="Z2457" s="25" t="str">
        <x:v>https://calfininc.com/</x:v>
      </x:c>
      <x:c r="AA2457" s="25" t="str">
        <x:v>[]</x:v>
      </x:c>
      <x:c r="AB2457" s="3" t="str">
        <x:v>Existing CapitalForge research, newly screened for this campaign</x:v>
      </x:c>
      <x:c r="AC2457" s="3" t="str">
        <x:v>unverified</x:v>
      </x:c>
      <x:c r="AD2457" s="3" t="str">
        <x:v>Not contacted / unconfirmed</x:v>
      </x:c>
      <x:c r="AE2457" s="3" t="str">
        <x:v>No</x:v>
      </x:c>
      <x:c r="AF2457" s="3" t="str">
        <x:v>No</x:v>
      </x:c>
      <x:c r="AG2457" s="3"/>
      <x:c r="AH2457" s="3"/>
      <x:c r="AI2457" s="18"/>
      <x:c r="AJ2457" s="3" t="str">
        <x:v>CF2500-EEF7E45239D3</x:v>
      </x:c>
      <x:c r="AK2457" s="3" t="str">
        <x:v>private_real_estate_lender</x:v>
      </x:c>
      <x:c r="AL2457" s="19" t="n">
        <x:v>100000</x:v>
      </x:c>
      <x:c r="AM2457" s="19" t="n">
        <x:v>500000</x:v>
      </x:c>
      <x:c r="AN2457" s="3" t="str">
        <x:v>https://www.privatelendersdirectory.com/united-states/huntington-beach/top-level-category/california-financial</x:v>
      </x:c>
      <x:c r="AO2457" s="3" t="str">
        <x:v>public_directory.jsonl</x:v>
      </x:c>
      <x:c r="AP2457" s="19"/>
    </x:row>
    <x:row r="2458" ht="36" customHeight="1">
      <x:c r="A2458" s="23" t="n">
        <x:v>2457</x:v>
      </x:c>
      <x:c r="B2458" s="15" t="str">
        <x:v>California Home Solutions</x:v>
      </x:c>
      <x:c r="C2458" s="15"/>
      <x:c r="D2458" s="15" t="str">
        <x:v>Property lender or directory member; operating-company capital unconfirmed</x:v>
      </x:c>
      <x:c r="E2458" s="15" t="str">
        <x:v>Property lender / private-money inquiry</x:v>
      </x:c>
      <x:c r="F2458" s="17" t="str">
        <x:v>New</x:v>
      </x:c>
      <x:c r="G2458" s="24" t="str">
        <x:v>loan@cahomesolution.com</x:v>
      </x:c>
      <x:c r="H2458" s="24" t="str">
        <x:v>+18189996070</x:v>
      </x:c>
      <x:c r="I2458" s="24" t="str">
        <x:v>http://www.cahomesolution.com/</x:v>
      </x:c>
      <x:c r="J2458" s="16" t="str">
        <x:v>CA</x:v>
      </x:c>
      <x:c r="K2458" s="16" t="str">
        <x:v>Woodland Hills</x:v>
      </x:c>
      <x:c r="L2458" s="16" t="str">
        <x:v>firm_business_routing</x:v>
      </x:c>
      <x:c r="M2458" s="16" t="str">
        <x:v>http://www.cahomesolution.com/</x:v>
      </x:c>
      <x:c r="N2458" s="16" t="str">
        <x:v>$100K-$500K ticket not published / unconfirmed</x:v>
      </x:c>
      <x:c r="O2458" s="20"/>
      <x:c r="P2458" s="20"/>
      <x:c r="Q2458" s="25" t="str">
        <x:v>Property-loan range, not a corporate-capital commitment</x:v>
      </x:c>
      <x:c r="R2458" s="25" t="str">
        <x:v>Private real-estate finance experience. Corporate working capital, minority equity or profit participation requires a separate agreement from a property loan.</x:v>
      </x:c>
      <x:c r="S2458" s="25"/>
      <x:c r="T2458" s="25" t="str">
        <x:v>Confirm direct principal versus broker, $100K-$500K appetite, and whether capital can fund the operating company without a property mortgage.</x:v>
      </x:c>
      <x:c r="U2458" s="25" t="str">
        <x:v>https://www.hardmoneyhome.com/lenders/view/california-home-solutions
https://www.cahomesolution.com/
https://www.privatelendersdirectory.com/united-states/los-angeles/top-level-category/california-home-solutions</x:v>
      </x:c>
      <x:c r="V2458" s="26" t="d">
        <x:v>2026-10-02T00:00:00.000Z</x:v>
      </x:c>
      <x:c r="W2458" s="26" t="d">
        <x:v>2026-09-30T00:00:00.000Z</x:v>
      </x:c>
      <x:c r="X2458" s="25" t="str">
        <x:v>Saved public company, industry-directory or regulatory source; source date retained</x:v>
      </x:c>
      <x:c r="Y2458" s="25" t="str">
        <x:v>https://www.cahomesolution.com/</x:v>
      </x:c>
      <x:c r="Z2458" s="25" t="str">
        <x:v>https://www.hardmoneyhome.com/lenders/view/california-home-solutions</x:v>
      </x:c>
      <x:c r="AA2458" s="25" t="str">
        <x:v>[]</x:v>
      </x:c>
      <x:c r="AB2458" s="3" t="str">
        <x:v>Existing CapitalForge research, newly screened for this campaign</x:v>
      </x:c>
      <x:c r="AC2458" s="3" t="str">
        <x:v>unverified</x:v>
      </x:c>
      <x:c r="AD2458" s="3" t="str">
        <x:v>Not contacted / unconfirmed</x:v>
      </x:c>
      <x:c r="AE2458" s="3" t="str">
        <x:v>No</x:v>
      </x:c>
      <x:c r="AF2458" s="3" t="str">
        <x:v>No</x:v>
      </x:c>
      <x:c r="AG2458" s="3"/>
      <x:c r="AH2458" s="3"/>
      <x:c r="AI2458" s="18"/>
      <x:c r="AJ2458" s="3" t="str">
        <x:v>CF2500-514342649E99</x:v>
      </x:c>
      <x:c r="AK2458" s="3" t="str">
        <x:v>private_real_estate_lender</x:v>
      </x:c>
      <x:c r="AL2458" s="19" t="n">
        <x:v>100000</x:v>
      </x:c>
      <x:c r="AM2458" s="19" t="n">
        <x:v>500000</x:v>
      </x:c>
      <x:c r="AN2458" s="3" t="str">
        <x:v>https://www.hardmoneyhome.com/lenders/view/california-home-solutions</x:v>
      </x:c>
      <x:c r="AO2458" s="3" t="str">
        <x:v>public_directory.jsonl</x:v>
      </x:c>
      <x:c r="AP2458" s="19"/>
    </x:row>
    <x:row r="2459" ht="36" customHeight="1">
      <x:c r="A2459" s="23" t="n">
        <x:v>2458</x:v>
      </x:c>
      <x:c r="B2459" s="15" t="str">
        <x:v>CALIFORNIA PRIVATE LENDERS</x:v>
      </x:c>
      <x:c r="C2459" s="15"/>
      <x:c r="D2459" s="15" t="str">
        <x:v>Property lender or directory member; operating-company capital unconfirmed</x:v>
      </x:c>
      <x:c r="E2459" s="15" t="str">
        <x:v>Property lender / private-money inquiry</x:v>
      </x:c>
      <x:c r="F2459" s="17" t="str">
        <x:v>New</x:v>
      </x:c>
      <x:c r="G2459" s="24" t="str">
        <x:v>info@cplenders.com</x:v>
      </x:c>
      <x:c r="H2459" s="24" t="str">
        <x:v>+18185842320</x:v>
      </x:c>
      <x:c r="I2459" s="24" t="str">
        <x:v>https://cplenders.com/contact/</x:v>
      </x:c>
      <x:c r="J2459" s="16" t="str">
        <x:v>CA</x:v>
      </x:c>
      <x:c r="K2459" s="16" t="str">
        <x:v>Calabasas</x:v>
      </x:c>
      <x:c r="L2459" s="16" t="str">
        <x:v>firm_business_routing</x:v>
      </x:c>
      <x:c r="M2459" s="16" t="str">
        <x:v>https://cplenders.com/contact/</x:v>
      </x:c>
      <x:c r="N2459" s="16" t="str">
        <x:v>$100K-$500K ticket not published / unconfirmed</x:v>
      </x:c>
      <x:c r="O2459" s="20"/>
      <x:c r="P2459" s="20"/>
      <x:c r="Q2459" s="25" t="str">
        <x:v>Property-loan range, not a corporate-capital commitment</x:v>
      </x:c>
      <x:c r="R2459" s="25" t="str">
        <x:v>Private real-estate finance experience. Corporate working capital, minority equity or profit participation requires a separate agreement from a property loan.</x:v>
      </x:c>
      <x:c r="S2459" s="25"/>
      <x:c r="T2459" s="25" t="str">
        <x:v>Confirm direct principal versus broker, $100K-$500K appetite, and whether capital can fund the operating company without a property mortgage.</x:v>
      </x:c>
      <x:c r="U2459" s="25" t="str">
        <x:v>https://www.privatelendersdirectory.com/united-states/calabasas/top-level-category/california-private-lenders
https://cplenders.com/contact/</x:v>
      </x:c>
      <x:c r="V2459" s="26" t="d">
        <x:v>2026-10-02T00:00:00.000Z</x:v>
      </x:c>
      <x:c r="W2459" s="26" t="d">
        <x:v>2026-09-30T00:00:00.000Z</x:v>
      </x:c>
      <x:c r="X2459" s="25" t="str">
        <x:v>Saved public company, industry-directory or regulatory source; source date retained</x:v>
      </x:c>
      <x:c r="Y2459" s="25" t="str">
        <x:v>https://cplenders.com/contact/</x:v>
      </x:c>
      <x:c r="Z2459" s="25" t="str">
        <x:v>https://cplenders.com/contact/</x:v>
      </x:c>
      <x:c r="AA2459" s="25" t="str">
        <x:v>[]</x:v>
      </x:c>
      <x:c r="AB2459" s="3" t="str">
        <x:v>Existing CapitalForge research, newly screened for this campaign</x:v>
      </x:c>
      <x:c r="AC2459" s="3" t="str">
        <x:v>unverified</x:v>
      </x:c>
      <x:c r="AD2459" s="3" t="str">
        <x:v>Not contacted / unconfirmed</x:v>
      </x:c>
      <x:c r="AE2459" s="3" t="str">
        <x:v>No</x:v>
      </x:c>
      <x:c r="AF2459" s="3" t="str">
        <x:v>No</x:v>
      </x:c>
      <x:c r="AG2459" s="3"/>
      <x:c r="AH2459" s="3"/>
      <x:c r="AI2459" s="18"/>
      <x:c r="AJ2459" s="3" t="str">
        <x:v>CF2500-A2C5FD4CF1B6</x:v>
      </x:c>
      <x:c r="AK2459" s="3" t="str">
        <x:v>private_real_estate_lender</x:v>
      </x:c>
      <x:c r="AL2459" s="19" t="n">
        <x:v>100000</x:v>
      </x:c>
      <x:c r="AM2459" s="19" t="n">
        <x:v>500000</x:v>
      </x:c>
      <x:c r="AN2459" s="3" t="str">
        <x:v>https://www.privatelendersdirectory.com/united-states/calabasas/top-level-category/california-private-lenders</x:v>
      </x:c>
      <x:c r="AO2459" s="3" t="str">
        <x:v>public_directory.jsonl</x:v>
      </x:c>
      <x:c r="AP2459" s="19"/>
    </x:row>
    <x:row r="2460" ht="36" customHeight="1">
      <x:c r="A2460" s="23" t="n">
        <x:v>2459</x:v>
      </x:c>
      <x:c r="B2460" s="15" t="str">
        <x:v>CALIFORNIA TD FUNDING, INC</x:v>
      </x:c>
      <x:c r="C2460" s="15"/>
      <x:c r="D2460" s="15" t="str">
        <x:v>Property lender or directory member; operating-company capital unconfirmed</x:v>
      </x:c>
      <x:c r="E2460" s="15" t="str">
        <x:v>Property lender / private-money inquiry</x:v>
      </x:c>
      <x:c r="F2460" s="17" t="str">
        <x:v>New</x:v>
      </x:c>
      <x:c r="G2460" s="24" t="str">
        <x:v>info@catrustdeeds.com</x:v>
      </x:c>
      <x:c r="H2460" s="24" t="str">
        <x:v>+19494920400</x:v>
      </x:c>
      <x:c r="I2460" s="24" t="str">
        <x:v>https://catrustdeeds.com/</x:v>
      </x:c>
      <x:c r="J2460" s="16" t="str">
        <x:v>CA</x:v>
      </x:c>
      <x:c r="K2460" s="16" t="str">
        <x:v>San Clemente</x:v>
      </x:c>
      <x:c r="L2460" s="16" t="str">
        <x:v>firm_business_routing</x:v>
      </x:c>
      <x:c r="M2460" s="16" t="str">
        <x:v>https://catrustdeeds.com/</x:v>
      </x:c>
      <x:c r="N2460" s="16" t="str">
        <x:v>$100K-$500K ticket not published / unconfirmed</x:v>
      </x:c>
      <x:c r="O2460" s="20"/>
      <x:c r="P2460" s="20"/>
      <x:c r="Q2460" s="25" t="str">
        <x:v>Property-loan range, not a corporate-capital commitment</x:v>
      </x:c>
      <x:c r="R2460" s="25" t="str">
        <x:v>Private real-estate finance experience. Corporate working capital, minority equity or profit participation requires a separate agreement from a property loan.</x:v>
      </x:c>
      <x:c r="S2460" s="25"/>
      <x:c r="T2460" s="25" t="str">
        <x:v>Confirm direct principal versus broker, $100K-$500K appetite, and whether capital can fund the operating company without a property mortgage.</x:v>
      </x:c>
      <x:c r="U2460" s="25" t="str">
        <x:v>https://www.privatelendersdirectory.com/united-states/san-clemente/real-estate-investment-lending/california-td-funding-inc
https://catrustdeeds.com/
https://www.privatelendersdirectory.com/united-states/san-clemente/top-level-category/california-trust-deeds</x:v>
      </x:c>
      <x:c r="V2460" s="26" t="d">
        <x:v>2026-10-02T00:00:00.000Z</x:v>
      </x:c>
      <x:c r="W2460" s="26" t="d">
        <x:v>2026-09-30T00:00:00.000Z</x:v>
      </x:c>
      <x:c r="X2460" s="25" t="str">
        <x:v>Saved public company, industry-directory or regulatory source; source date retained</x:v>
      </x:c>
      <x:c r="Y2460" s="25" t="str">
        <x:v>https://catrustdeeds.com/</x:v>
      </x:c>
      <x:c r="Z2460" s="25" t="str">
        <x:v>https://catrustdeeds.com/</x:v>
      </x:c>
      <x:c r="AA2460" s="25" t="str">
        <x:v>[]</x:v>
      </x:c>
      <x:c r="AB2460" s="3" t="str">
        <x:v>Existing CapitalForge research, newly screened for this campaign</x:v>
      </x:c>
      <x:c r="AC2460" s="3" t="str">
        <x:v>unverified</x:v>
      </x:c>
      <x:c r="AD2460" s="3" t="str">
        <x:v>Not contacted / unconfirmed</x:v>
      </x:c>
      <x:c r="AE2460" s="3" t="str">
        <x:v>No</x:v>
      </x:c>
      <x:c r="AF2460" s="3" t="str">
        <x:v>No</x:v>
      </x:c>
      <x:c r="AG2460" s="3"/>
      <x:c r="AH2460" s="3"/>
      <x:c r="AI2460" s="18"/>
      <x:c r="AJ2460" s="3" t="str">
        <x:v>CF2500-015DCF2C7516</x:v>
      </x:c>
      <x:c r="AK2460" s="3" t="str">
        <x:v>private_real_estate_lender</x:v>
      </x:c>
      <x:c r="AL2460" s="19" t="n">
        <x:v>100000</x:v>
      </x:c>
      <x:c r="AM2460" s="19" t="n">
        <x:v>500000</x:v>
      </x:c>
      <x:c r="AN2460" s="3" t="str">
        <x:v>https://www.privatelendersdirectory.com/united-states/san-clemente/real-estate-investment-lending/california-td-funding-inc</x:v>
      </x:c>
      <x:c r="AO2460" s="3" t="str">
        <x:v>public_directory.jsonl</x:v>
      </x:c>
      <x:c r="AP2460" s="19"/>
    </x:row>
    <x:row r="2461" ht="36" customHeight="1">
      <x:c r="A2461" s="23" t="n">
        <x:v>2460</x:v>
      </x:c>
      <x:c r="B2461" s="15" t="str">
        <x:v>CAMPOS CAPITAL</x:v>
      </x:c>
      <x:c r="C2461" s="15"/>
      <x:c r="D2461" s="15" t="str">
        <x:v>Property lender or directory member; operating-company capital unconfirmed</x:v>
      </x:c>
      <x:c r="E2461" s="15" t="str">
        <x:v>Property lender / private-money inquiry</x:v>
      </x:c>
      <x:c r="F2461" s="17" t="str">
        <x:v>New</x:v>
      </x:c>
      <x:c r="G2461" s="24" t="str">
        <x:v>info@camposcapitalgroup.com</x:v>
      </x:c>
      <x:c r="H2461" s="24" t="str">
        <x:v>+13014470766</x:v>
      </x:c>
      <x:c r="I2461" s="24" t="str">
        <x:v>https://camposcapitalgroup.com/</x:v>
      </x:c>
      <x:c r="J2461" s="16" t="str">
        <x:v>MD</x:v>
      </x:c>
      <x:c r="K2461" s="16" t="str">
        <x:v>Kent Narrows</x:v>
      </x:c>
      <x:c r="L2461" s="16" t="str">
        <x:v>firm_business_routing</x:v>
      </x:c>
      <x:c r="M2461" s="16" t="str">
        <x:v>https://camposcapitalgroup.com/</x:v>
      </x:c>
      <x:c r="N2461" s="16" t="str">
        <x:v>$100K-$500K ticket not published / unconfirmed</x:v>
      </x:c>
      <x:c r="O2461" s="20"/>
      <x:c r="P2461" s="20"/>
      <x:c r="Q2461" s="25" t="str">
        <x:v>Property-loan range, not a corporate-capital commitment</x:v>
      </x:c>
      <x:c r="R2461" s="25" t="str">
        <x:v>Private real-estate finance experience. Corporate working capital, minority equity or profit participation requires a separate agreement from a property loan.</x:v>
      </x:c>
      <x:c r="S2461" s="25"/>
      <x:c r="T2461" s="25" t="str">
        <x:v>Confirm direct principal versus broker, $100K-$500K appetite, and whether capital can fund the operating company without a property mortgage.</x:v>
      </x:c>
      <x:c r="U2461" s="25" t="str">
        <x:v>https://www.privatelendersdirectory.com/united-states/kent-narrows/real-estate-investment-lending/campos-capital
https://camposcapitalgroup.com/</x:v>
      </x:c>
      <x:c r="V2461" s="26" t="d">
        <x:v>2026-10-02T00:00:00.000Z</x:v>
      </x:c>
      <x:c r="W2461" s="26" t="d">
        <x:v>2026-09-30T00:00:00.000Z</x:v>
      </x:c>
      <x:c r="X2461" s="25" t="str">
        <x:v>Saved public company, industry-directory or regulatory source; source date retained</x:v>
      </x:c>
      <x:c r="Y2461" s="25" t="str">
        <x:v>https://camposcapitalgroup.com/</x:v>
      </x:c>
      <x:c r="Z2461" s="25" t="str">
        <x:v>https://camposcapitalgroup.com/</x:v>
      </x:c>
      <x:c r="AA2461" s="25" t="str">
        <x:v>[]</x:v>
      </x:c>
      <x:c r="AB2461" s="3" t="str">
        <x:v>Existing CapitalForge research, newly screened for this campaign</x:v>
      </x:c>
      <x:c r="AC2461" s="3" t="str">
        <x:v>unverified</x:v>
      </x:c>
      <x:c r="AD2461" s="3" t="str">
        <x:v>Not contacted / unconfirmed</x:v>
      </x:c>
      <x:c r="AE2461" s="3" t="str">
        <x:v>No</x:v>
      </x:c>
      <x:c r="AF2461" s="3" t="str">
        <x:v>No</x:v>
      </x:c>
      <x:c r="AG2461" s="3"/>
      <x:c r="AH2461" s="3"/>
      <x:c r="AI2461" s="18"/>
      <x:c r="AJ2461" s="3" t="str">
        <x:v>CF2500-C02E5AA56F08</x:v>
      </x:c>
      <x:c r="AK2461" s="3" t="str">
        <x:v>private_real_estate_lender</x:v>
      </x:c>
      <x:c r="AL2461" s="19" t="n">
        <x:v>100000</x:v>
      </x:c>
      <x:c r="AM2461" s="19" t="n">
        <x:v>500000</x:v>
      </x:c>
      <x:c r="AN2461" s="3" t="str">
        <x:v>https://www.privatelendersdirectory.com/united-states/kent-narrows/real-estate-investment-lending/campos-capital</x:v>
      </x:c>
      <x:c r="AO2461" s="3" t="str">
        <x:v>public_directory.jsonl</x:v>
      </x:c>
      <x:c r="AP2461" s="19"/>
    </x:row>
    <x:row r="2462" ht="36" customHeight="1">
      <x:c r="A2462" s="23" t="n">
        <x:v>2461</x:v>
      </x:c>
      <x:c r="B2462" s="15" t="str">
        <x:v>Canning Capital</x:v>
      </x:c>
      <x:c r="C2462" s="15"/>
      <x:c r="D2462" s="15" t="str">
        <x:v>Property lender or directory member; operating-company capital unconfirmed</x:v>
      </x:c>
      <x:c r="E2462" s="15" t="str">
        <x:v>Property lender / private-money inquiry</x:v>
      </x:c>
      <x:c r="F2462" s="17" t="str">
        <x:v>New</x:v>
      </x:c>
      <x:c r="G2462" s="24" t="str">
        <x:v>info@canningcap.com</x:v>
      </x:c>
      <x:c r="H2462" s="24" t="str">
        <x:v>+14015916628</x:v>
      </x:c>
      <x:c r="I2462" s="24" t="str">
        <x:v>https://canningcap.com/?utm_source=private-lender-link</x:v>
      </x:c>
      <x:c r="J2462" s="16" t="str">
        <x:v>RI</x:v>
      </x:c>
      <x:c r="K2462" s="16" t="str">
        <x:v>Cranston</x:v>
      </x:c>
      <x:c r="L2462" s="16" t="str">
        <x:v>firm_business_routing</x:v>
      </x:c>
      <x:c r="M2462" s="16" t="str">
        <x:v>https://canningcap.com/?utm_source=private-lender-link</x:v>
      </x:c>
      <x:c r="N2462" s="16" t="str">
        <x:v>$100K-$500K ticket not published / unconfirmed</x:v>
      </x:c>
      <x:c r="O2462" s="20"/>
      <x:c r="P2462" s="20"/>
      <x:c r="Q2462" s="25" t="str">
        <x:v>Property-loan range, not a corporate-capital commitment</x:v>
      </x:c>
      <x:c r="R2462" s="25" t="str">
        <x:v>Private real-estate finance experience. Corporate working capital, minority equity or profit participation requires a separate agreement from a property loan.</x:v>
      </x:c>
      <x:c r="S2462" s="25"/>
      <x:c r="T2462" s="25" t="str">
        <x:v>Confirm direct principal versus broker, $100K-$500K appetite, and whether capital can fund the operating company without a property mortgage.</x:v>
      </x:c>
      <x:c r="U2462" s="25" t="str">
        <x:v>https://privatelenderlink.com/profile/canning-capital/
https://canningcap.com/?utm_source=private-lender-link</x:v>
      </x:c>
      <x:c r="V2462" s="26" t="d">
        <x:v>2026-10-02T00:00:00.000Z</x:v>
      </x:c>
      <x:c r="W2462" s="26" t="d">
        <x:v>2026-09-30T00:00:00.000Z</x:v>
      </x:c>
      <x:c r="X2462" s="25" t="str">
        <x:v>Saved public company, industry-directory or regulatory source; source date retained</x:v>
      </x:c>
      <x:c r="Y2462" s="25" t="str">
        <x:v>https://canningcap.com/?utm_source=private-lender-link</x:v>
      </x:c>
      <x:c r="Z2462" s="25" t="str">
        <x:v>https://canningcap.com/?utm_source=private-lender-link</x:v>
      </x:c>
      <x:c r="AA2462" s="25" t="str">
        <x:v>[]</x:v>
      </x:c>
      <x:c r="AB2462" s="3" t="str">
        <x:v>Existing CapitalForge research, newly screened for this campaign</x:v>
      </x:c>
      <x:c r="AC2462" s="3" t="str">
        <x:v>unverified</x:v>
      </x:c>
      <x:c r="AD2462" s="3" t="str">
        <x:v>Not contacted / unconfirmed</x:v>
      </x:c>
      <x:c r="AE2462" s="3" t="str">
        <x:v>No</x:v>
      </x:c>
      <x:c r="AF2462" s="3" t="str">
        <x:v>No</x:v>
      </x:c>
      <x:c r="AG2462" s="3"/>
      <x:c r="AH2462" s="3"/>
      <x:c r="AI2462" s="18"/>
      <x:c r="AJ2462" s="3" t="str">
        <x:v>CF2500-1E72B340D3BF</x:v>
      </x:c>
      <x:c r="AK2462" s="3" t="str">
        <x:v>private_real_estate_lender</x:v>
      </x:c>
      <x:c r="AL2462" s="19" t="n">
        <x:v>100000</x:v>
      </x:c>
      <x:c r="AM2462" s="19" t="n">
        <x:v>500000</x:v>
      </x:c>
      <x:c r="AN2462" s="3" t="str">
        <x:v>https://privatelenderlink.com/profile/canning-capital/</x:v>
      </x:c>
      <x:c r="AO2462" s="3" t="str">
        <x:v>public_directory.jsonl</x:v>
      </x:c>
      <x:c r="AP2462" s="19"/>
    </x:row>
    <x:row r="2463" ht="36" customHeight="1">
      <x:c r="A2463" s="23" t="n">
        <x:v>2462</x:v>
      </x:c>
      <x:c r="B2463" s="15" t="str">
        <x:v>Capella Mortgage</x:v>
      </x:c>
      <x:c r="C2463" s="15"/>
      <x:c r="D2463" s="15" t="str">
        <x:v>Property lender or directory member; operating-company capital unconfirmed</x:v>
      </x:c>
      <x:c r="E2463" s="15" t="str">
        <x:v>Property lender / private-money inquiry</x:v>
      </x:c>
      <x:c r="F2463" s="17" t="str">
        <x:v>New</x:v>
      </x:c>
      <x:c r="G2463" s="24" t="str">
        <x:v>matt@capellamail.com</x:v>
      </x:c>
      <x:c r="H2463" s="24" t="str">
        <x:v>+17022144700</x:v>
      </x:c>
      <x:c r="I2463" s="24" t="str">
        <x:v>https://www.capellamortgage.com/</x:v>
      </x:c>
      <x:c r="J2463" s="16" t="str">
        <x:v>NV</x:v>
      </x:c>
      <x:c r="K2463" s="16" t="str">
        <x:v>Las Vegas</x:v>
      </x:c>
      <x:c r="L2463" s="16" t="str">
        <x:v>firm_business_routing</x:v>
      </x:c>
      <x:c r="M2463" s="16" t="str">
        <x:v>https://www.capellamortgage.com/</x:v>
      </x:c>
      <x:c r="N2463" s="16" t="str">
        <x:v>$100K-$500K ticket not published / unconfirmed</x:v>
      </x:c>
      <x:c r="O2463" s="20"/>
      <x:c r="P2463" s="20"/>
      <x:c r="Q2463" s="25" t="str">
        <x:v>Property-loan range, not a corporate-capital commitment</x:v>
      </x:c>
      <x:c r="R2463" s="25" t="str">
        <x:v>Private real-estate finance experience. Corporate working capital, minority equity or profit participation requires a separate agreement from a property loan.</x:v>
      </x:c>
      <x:c r="S2463" s="25"/>
      <x:c r="T2463" s="25" t="str">
        <x:v>Confirm direct principal versus broker, $100K-$500K appetite, and whether capital can fund the operating company without a property mortgage.</x:v>
      </x:c>
      <x:c r="U2463" s="25" t="str">
        <x:v>https://www.hardmoneyhome.com/lenders/view/capella-mortgage
https://privatelenderlink.com/profile/capella-mortgage-corp/</x:v>
      </x:c>
      <x:c r="V2463" s="26" t="d">
        <x:v>2026-10-02T00:00:00.000Z</x:v>
      </x:c>
      <x:c r="W2463" s="26" t="d">
        <x:v>2026-09-30T00:00:00.000Z</x:v>
      </x:c>
      <x:c r="X2463" s="25" t="str">
        <x:v>Saved public company, industry-directory or regulatory source; source date retained</x:v>
      </x:c>
      <x:c r="Y2463" s="25" t="str">
        <x:v>https://privatelenderlink.com/profile/capella-mortgage-corp/</x:v>
      </x:c>
      <x:c r="Z2463" s="25" t="str">
        <x:v>https://www.hardmoneyhome.com/lenders/view/capella-mortgage</x:v>
      </x:c>
      <x:c r="AA2463" s="25" t="str">
        <x:v>[]</x:v>
      </x:c>
      <x:c r="AB2463" s="3" t="str">
        <x:v>Existing CapitalForge research, newly screened for this campaign</x:v>
      </x:c>
      <x:c r="AC2463" s="3" t="str">
        <x:v>unverified</x:v>
      </x:c>
      <x:c r="AD2463" s="3" t="str">
        <x:v>Not contacted / unconfirmed</x:v>
      </x:c>
      <x:c r="AE2463" s="3" t="str">
        <x:v>No</x:v>
      </x:c>
      <x:c r="AF2463" s="3" t="str">
        <x:v>No</x:v>
      </x:c>
      <x:c r="AG2463" s="3"/>
      <x:c r="AH2463" s="3"/>
      <x:c r="AI2463" s="18"/>
      <x:c r="AJ2463" s="3" t="str">
        <x:v>CF2500-1571F535BD39</x:v>
      </x:c>
      <x:c r="AK2463" s="3" t="str">
        <x:v>private_real_estate_lender</x:v>
      </x:c>
      <x:c r="AL2463" s="19" t="n">
        <x:v>100000</x:v>
      </x:c>
      <x:c r="AM2463" s="19" t="n">
        <x:v>500000</x:v>
      </x:c>
      <x:c r="AN2463" s="3" t="str">
        <x:v>https://www.hardmoneyhome.com/lenders/view/capella-mortgage</x:v>
      </x:c>
      <x:c r="AO2463" s="3" t="str">
        <x:v>public_directory.jsonl</x:v>
      </x:c>
      <x:c r="AP2463" s="19"/>
    </x:row>
    <x:row r="2464" ht="36" customHeight="1">
      <x:c r="A2464" s="23" t="n">
        <x:v>2463</x:v>
      </x:c>
      <x:c r="B2464" s="15" t="str">
        <x:v>CAPITAL BRIDGE PARTNERS</x:v>
      </x:c>
      <x:c r="C2464" s="15"/>
      <x:c r="D2464" s="15" t="str">
        <x:v>Property lender or directory member; operating-company capital unconfirmed</x:v>
      </x:c>
      <x:c r="E2464" s="15" t="str">
        <x:v>Property lender / private-money inquiry</x:v>
      </x:c>
      <x:c r="F2464" s="17" t="str">
        <x:v>New</x:v>
      </x:c>
      <x:c r="G2464" s="24" t="str">
        <x:v>info@capbridgepartners.com</x:v>
      </x:c>
      <x:c r="H2464" s="24" t="str">
        <x:v>+14158204770</x:v>
      </x:c>
      <x:c r="I2464" s="24" t="str">
        <x:v>https://www.capbridgepartners.com/</x:v>
      </x:c>
      <x:c r="J2464" s="16" t="str">
        <x:v>CA</x:v>
      </x:c>
      <x:c r="K2464" s="16" t="str">
        <x:v>San Francisco</x:v>
      </x:c>
      <x:c r="L2464" s="16" t="str">
        <x:v>firm_business_routing</x:v>
      </x:c>
      <x:c r="M2464" s="16" t="str">
        <x:v>https://www.capbridgepartners.com/</x:v>
      </x:c>
      <x:c r="N2464" s="16" t="str">
        <x:v>$100K-$500K ticket not published / unconfirmed</x:v>
      </x:c>
      <x:c r="O2464" s="20"/>
      <x:c r="P2464" s="20"/>
      <x:c r="Q2464" s="25" t="str">
        <x:v>Property-loan range, not a corporate-capital commitment</x:v>
      </x:c>
      <x:c r="R2464" s="25" t="str">
        <x:v>Private real-estate finance experience. Corporate working capital, minority equity or profit participation requires a separate agreement from a property loan.</x:v>
      </x:c>
      <x:c r="S2464" s="25"/>
      <x:c r="T2464" s="25" t="str">
        <x:v>Confirm direct principal versus broker, $100K-$500K appetite, and whether capital can fund the operating company without a property mortgage.</x:v>
      </x:c>
      <x:c r="U2464" s="25" t="str">
        <x:v>https://www.privatelendersdirectory.com/united-states/san-francisco/top-level-category/capital-bridge-partners
https://www.capbridgepartners.com/</x:v>
      </x:c>
      <x:c r="V2464" s="26" t="d">
        <x:v>2026-10-02T00:00:00.000Z</x:v>
      </x:c>
      <x:c r="W2464" s="26" t="d">
        <x:v>2026-09-30T00:00:00.000Z</x:v>
      </x:c>
      <x:c r="X2464" s="25" t="str">
        <x:v>Saved public company, industry-directory or regulatory source; source date retained</x:v>
      </x:c>
      <x:c r="Y2464" s="25" t="str">
        <x:v>https://www.capbridgepartners.com/</x:v>
      </x:c>
      <x:c r="Z2464" s="25" t="str">
        <x:v>https://www.capbridgepartners.com/</x:v>
      </x:c>
      <x:c r="AA2464" s="25" t="str">
        <x:v>[]</x:v>
      </x:c>
      <x:c r="AB2464" s="3" t="str">
        <x:v>Existing CapitalForge research, newly screened for this campaign</x:v>
      </x:c>
      <x:c r="AC2464" s="3" t="str">
        <x:v>unverified</x:v>
      </x:c>
      <x:c r="AD2464" s="3" t="str">
        <x:v>Not contacted / unconfirmed</x:v>
      </x:c>
      <x:c r="AE2464" s="3" t="str">
        <x:v>No</x:v>
      </x:c>
      <x:c r="AF2464" s="3" t="str">
        <x:v>No</x:v>
      </x:c>
      <x:c r="AG2464" s="3"/>
      <x:c r="AH2464" s="3"/>
      <x:c r="AI2464" s="18"/>
      <x:c r="AJ2464" s="3" t="str">
        <x:v>CF2500-8306F0D2B736</x:v>
      </x:c>
      <x:c r="AK2464" s="3" t="str">
        <x:v>private_real_estate_lender</x:v>
      </x:c>
      <x:c r="AL2464" s="19" t="n">
        <x:v>100000</x:v>
      </x:c>
      <x:c r="AM2464" s="19" t="n">
        <x:v>500000</x:v>
      </x:c>
      <x:c r="AN2464" s="3" t="str">
        <x:v>https://www.privatelendersdirectory.com/united-states/san-francisco/top-level-category/capital-bridge-partners</x:v>
      </x:c>
      <x:c r="AO2464" s="3" t="str">
        <x:v>public_directory.jsonl</x:v>
      </x:c>
      <x:c r="AP2464" s="19"/>
    </x:row>
    <x:row r="2465" ht="36" customHeight="1">
      <x:c r="A2465" s="23" t="n">
        <x:v>2464</x:v>
      </x:c>
      <x:c r="B2465" s="15" t="str">
        <x:v>CAPITAL DIRECT FUNDING</x:v>
      </x:c>
      <x:c r="C2465" s="15"/>
      <x:c r="D2465" s="15" t="str">
        <x:v>Property lender or directory member; operating-company capital unconfirmed</x:v>
      </x:c>
      <x:c r="E2465" s="15" t="str">
        <x:v>Property lender / private-money inquiry</x:v>
      </x:c>
      <x:c r="F2465" s="17" t="str">
        <x:v>New</x:v>
      </x:c>
      <x:c r="G2465" s="24" t="str">
        <x:v>info@capitaldf.com</x:v>
      </x:c>
      <x:c r="H2465" s="24" t="str">
        <x:v>+16267961680</x:v>
      </x:c>
      <x:c r="I2465" s="24" t="str">
        <x:v>https://www.capitaldf.com/</x:v>
      </x:c>
      <x:c r="J2465" s="16" t="str">
        <x:v>CA</x:v>
      </x:c>
      <x:c r="K2465" s="16" t="str">
        <x:v>West Covina</x:v>
      </x:c>
      <x:c r="L2465" s="16" t="str">
        <x:v>firm_business_routing</x:v>
      </x:c>
      <x:c r="M2465" s="16" t="str">
        <x:v>https://www.capitaldf.com/</x:v>
      </x:c>
      <x:c r="N2465" s="16" t="str">
        <x:v>$100K-$500K ticket not published / unconfirmed</x:v>
      </x:c>
      <x:c r="O2465" s="20"/>
      <x:c r="P2465" s="20"/>
      <x:c r="Q2465" s="25" t="str">
        <x:v>Property-loan range, not a corporate-capital commitment</x:v>
      </x:c>
      <x:c r="R2465" s="25" t="str">
        <x:v>Private real-estate finance experience. Corporate working capital, minority equity or profit participation requires a separate agreement from a property loan.</x:v>
      </x:c>
      <x:c r="S2465" s="25"/>
      <x:c r="T2465" s="25" t="str">
        <x:v>Confirm direct principal versus broker, $100K-$500K appetite, and whether capital can fund the operating company without a property mortgage.</x:v>
      </x:c>
      <x:c r="U2465" s="25" t="str">
        <x:v>https://www.privatelendersdirectory.com/united-states/west-covina/top-level-category/capital-direct-funding
https://www.capitaldf.com/</x:v>
      </x:c>
      <x:c r="V2465" s="26" t="d">
        <x:v>2026-10-02T00:00:00.000Z</x:v>
      </x:c>
      <x:c r="W2465" s="26" t="d">
        <x:v>2026-09-30T00:00:00.000Z</x:v>
      </x:c>
      <x:c r="X2465" s="25" t="str">
        <x:v>Saved public company, industry-directory or regulatory source; source date retained</x:v>
      </x:c>
      <x:c r="Y2465" s="25" t="str">
        <x:v>https://www.capitaldf.com/</x:v>
      </x:c>
      <x:c r="Z2465" s="25" t="str">
        <x:v>https://www.capitaldf.com/</x:v>
      </x:c>
      <x:c r="AA2465" s="25" t="str">
        <x:v>[]</x:v>
      </x:c>
      <x:c r="AB2465" s="3" t="str">
        <x:v>Existing CapitalForge research, newly screened for this campaign</x:v>
      </x:c>
      <x:c r="AC2465" s="3" t="str">
        <x:v>unverified</x:v>
      </x:c>
      <x:c r="AD2465" s="3" t="str">
        <x:v>Not contacted / unconfirmed</x:v>
      </x:c>
      <x:c r="AE2465" s="3" t="str">
        <x:v>No</x:v>
      </x:c>
      <x:c r="AF2465" s="3" t="str">
        <x:v>No</x:v>
      </x:c>
      <x:c r="AG2465" s="3"/>
      <x:c r="AH2465" s="3"/>
      <x:c r="AI2465" s="18"/>
      <x:c r="AJ2465" s="3" t="str">
        <x:v>CF2500-8BD24C052A45</x:v>
      </x:c>
      <x:c r="AK2465" s="3" t="str">
        <x:v>private_real_estate_lender</x:v>
      </x:c>
      <x:c r="AL2465" s="19" t="n">
        <x:v>100000</x:v>
      </x:c>
      <x:c r="AM2465" s="19" t="n">
        <x:v>500000</x:v>
      </x:c>
      <x:c r="AN2465" s="3" t="str">
        <x:v>https://www.privatelendersdirectory.com/united-states/west-covina/top-level-category/capital-direct-funding</x:v>
      </x:c>
      <x:c r="AO2465" s="3" t="str">
        <x:v>public_directory.jsonl</x:v>
      </x:c>
      <x:c r="AP2465" s="19"/>
    </x:row>
    <x:row r="2466" ht="36" customHeight="1">
      <x:c r="A2466" s="23" t="n">
        <x:v>2465</x:v>
      </x:c>
      <x:c r="B2466" s="15" t="str">
        <x:v>CAPITAL GURUS</x:v>
      </x:c>
      <x:c r="C2466" s="15"/>
      <x:c r="D2466" s="15" t="str">
        <x:v>Property lender or directory member; operating-company capital unconfirmed</x:v>
      </x:c>
      <x:c r="E2466" s="15" t="str">
        <x:v>Property lender / private-money inquiry</x:v>
      </x:c>
      <x:c r="F2466" s="17" t="str">
        <x:v>New</x:v>
      </x:c>
      <x:c r="G2466" s="24" t="str">
        <x:v>info@capitalgurus.com</x:v>
      </x:c>
      <x:c r="H2466" s="24" t="str">
        <x:v>+17254254307</x:v>
      </x:c>
      <x:c r="I2466" s="24" t="str">
        <x:v>https://capitalgurus.com/</x:v>
      </x:c>
      <x:c r="J2466" s="16" t="str">
        <x:v>NV</x:v>
      </x:c>
      <x:c r="K2466" s="16" t="str">
        <x:v>Las Vegas</x:v>
      </x:c>
      <x:c r="L2466" s="16" t="str">
        <x:v>firm_business_routing</x:v>
      </x:c>
      <x:c r="M2466" s="16" t="str">
        <x:v>https://capitalgurus.com/</x:v>
      </x:c>
      <x:c r="N2466" s="16" t="str">
        <x:v>$100K-$500K ticket not published / unconfirmed</x:v>
      </x:c>
      <x:c r="O2466" s="20"/>
      <x:c r="P2466" s="20"/>
      <x:c r="Q2466" s="25" t="str">
        <x:v>Property-loan range, not a corporate-capital commitment</x:v>
      </x:c>
      <x:c r="R2466" s="25" t="str">
        <x:v>Private real-estate finance experience. Corporate working capital, minority equity or profit participation requires a separate agreement from a property loan.</x:v>
      </x:c>
      <x:c r="S2466" s="25"/>
      <x:c r="T2466" s="25" t="str">
        <x:v>Confirm direct principal versus broker, $100K-$500K appetite, and whether capital can fund the operating company without a property mortgage.</x:v>
      </x:c>
      <x:c r="U2466" s="25" t="str">
        <x:v>https://www.privatelendersdirectory.com/united-states/las-vegas/top-level-category/capital-gurus
https://capitalgurus.com/
https://capitalgurus.com/contacts/</x:v>
      </x:c>
      <x:c r="V2466" s="26" t="d">
        <x:v>2026-10-02T00:00:00.000Z</x:v>
      </x:c>
      <x:c r="W2466" s="26" t="d">
        <x:v>2026-09-30T00:00:00.000Z</x:v>
      </x:c>
      <x:c r="X2466" s="25" t="str">
        <x:v>Saved public company, industry-directory or regulatory source; source date retained</x:v>
      </x:c>
      <x:c r="Y2466" s="25" t="str">
        <x:v>https://capitalgurus.com/contacts/</x:v>
      </x:c>
      <x:c r="Z2466" s="25" t="str">
        <x:v>https://capitalgurus.com/</x:v>
      </x:c>
      <x:c r="AA2466" s="25" t="str">
        <x:v>[]</x:v>
      </x:c>
      <x:c r="AB2466" s="3" t="str">
        <x:v>Existing CapitalForge research, newly screened for this campaign</x:v>
      </x:c>
      <x:c r="AC2466" s="3" t="str">
        <x:v>unverified</x:v>
      </x:c>
      <x:c r="AD2466" s="3" t="str">
        <x:v>Not contacted / unconfirmed</x:v>
      </x:c>
      <x:c r="AE2466" s="3" t="str">
        <x:v>No</x:v>
      </x:c>
      <x:c r="AF2466" s="3" t="str">
        <x:v>No</x:v>
      </x:c>
      <x:c r="AG2466" s="3"/>
      <x:c r="AH2466" s="3"/>
      <x:c r="AI2466" s="18"/>
      <x:c r="AJ2466" s="3" t="str">
        <x:v>CF2500-24A7EBA0FFCC</x:v>
      </x:c>
      <x:c r="AK2466" s="3" t="str">
        <x:v>private_real_estate_lender</x:v>
      </x:c>
      <x:c r="AL2466" s="19" t="n">
        <x:v>100000</x:v>
      </x:c>
      <x:c r="AM2466" s="19" t="n">
        <x:v>500000</x:v>
      </x:c>
      <x:c r="AN2466" s="3" t="str">
        <x:v>https://www.privatelendersdirectory.com/united-states/las-vegas/top-level-category/capital-gurus</x:v>
      </x:c>
      <x:c r="AO2466" s="3" t="str">
        <x:v>public_directory.jsonl</x:v>
      </x:c>
      <x:c r="AP2466" s="19"/>
    </x:row>
    <x:row r="2467" ht="36" customHeight="1">
      <x:c r="A2467" s="23" t="n">
        <x:v>2466</x:v>
      </x:c>
      <x:c r="B2467" s="15" t="str">
        <x:v>CAPITAL INSIGHT</x:v>
      </x:c>
      <x:c r="C2467" s="15"/>
      <x:c r="D2467" s="15" t="str">
        <x:v>Property lender or directory member; operating-company capital unconfirmed</x:v>
      </x:c>
      <x:c r="E2467" s="15" t="str">
        <x:v>Property lender / private-money inquiry</x:v>
      </x:c>
      <x:c r="F2467" s="17" t="str">
        <x:v>New</x:v>
      </x:c>
      <x:c r="G2467" s="24" t="str">
        <x:v>brett@capitalinsightllc.com</x:v>
      </x:c>
      <x:c r="H2467" s="24" t="str">
        <x:v>+18582994269</x:v>
      </x:c>
      <x:c r="I2467" s="24" t="str">
        <x:v>https://www.capitalinsightllc.com/</x:v>
      </x:c>
      <x:c r="J2467" s="16" t="str">
        <x:v>CA</x:v>
      </x:c>
      <x:c r="K2467" s="16" t="str">
        <x:v>Solana Beach</x:v>
      </x:c>
      <x:c r="L2467" s="16" t="str">
        <x:v>firm_business_routing</x:v>
      </x:c>
      <x:c r="M2467" s="16" t="str">
        <x:v>https://www.capitalinsightllc.com/</x:v>
      </x:c>
      <x:c r="N2467" s="16" t="str">
        <x:v>$100K-$500K ticket not published / unconfirmed</x:v>
      </x:c>
      <x:c r="O2467" s="20"/>
      <x:c r="P2467" s="20"/>
      <x:c r="Q2467" s="25" t="str">
        <x:v>Property-loan range, not a corporate-capital commitment</x:v>
      </x:c>
      <x:c r="R2467" s="25" t="str">
        <x:v>Private real-estate finance experience. Corporate working capital, minority equity or profit participation requires a separate agreement from a property loan.</x:v>
      </x:c>
      <x:c r="S2467" s="25"/>
      <x:c r="T2467" s="25" t="str">
        <x:v>Confirm direct principal versus broker, $100K-$500K appetite, and whether capital can fund the operating company without a property mortgage.</x:v>
      </x:c>
      <x:c r="U2467" s="25" t="str">
        <x:v>https://www.privatelendersdirectory.com/united-states/solana-beach/real-estate-investment-lending/capital-insight
https://www.capitalinsightllc.com/
https://www.capitalinsightllc.com/contact</x:v>
      </x:c>
      <x:c r="V2467" s="26" t="d">
        <x:v>2026-10-02T00:00:00.000Z</x:v>
      </x:c>
      <x:c r="W2467" s="26" t="d">
        <x:v>2026-09-30T00:00:00.000Z</x:v>
      </x:c>
      <x:c r="X2467" s="25" t="str">
        <x:v>Saved public company, industry-directory or regulatory source; source date retained</x:v>
      </x:c>
      <x:c r="Y2467" s="25" t="str">
        <x:v>https://www.capitalinsightllc.com/</x:v>
      </x:c>
      <x:c r="Z2467" s="25" t="str">
        <x:v>https://www.capitalinsightllc.com/contact</x:v>
      </x:c>
      <x:c r="AA2467" s="25" t="str">
        <x:v>[]</x:v>
      </x:c>
      <x:c r="AB2467" s="3" t="str">
        <x:v>Existing CapitalForge research, newly screened for this campaign</x:v>
      </x:c>
      <x:c r="AC2467" s="3" t="str">
        <x:v>unverified</x:v>
      </x:c>
      <x:c r="AD2467" s="3" t="str">
        <x:v>Not contacted / unconfirmed</x:v>
      </x:c>
      <x:c r="AE2467" s="3" t="str">
        <x:v>No</x:v>
      </x:c>
      <x:c r="AF2467" s="3" t="str">
        <x:v>No</x:v>
      </x:c>
      <x:c r="AG2467" s="3"/>
      <x:c r="AH2467" s="3"/>
      <x:c r="AI2467" s="18"/>
      <x:c r="AJ2467" s="3" t="str">
        <x:v>CF2500-863E7A9D8F7A</x:v>
      </x:c>
      <x:c r="AK2467" s="3" t="str">
        <x:v>private_real_estate_lender</x:v>
      </x:c>
      <x:c r="AL2467" s="19" t="n">
        <x:v>100000</x:v>
      </x:c>
      <x:c r="AM2467" s="19" t="n">
        <x:v>500000</x:v>
      </x:c>
      <x:c r="AN2467" s="3" t="str">
        <x:v>https://www.privatelendersdirectory.com/united-states/solana-beach/real-estate-investment-lending/capital-insight</x:v>
      </x:c>
      <x:c r="AO2467" s="3" t="str">
        <x:v>public_directory.jsonl</x:v>
      </x:c>
      <x:c r="AP2467" s="19"/>
    </x:row>
    <x:row r="2468" ht="36" customHeight="1">
      <x:c r="A2468" s="23" t="n">
        <x:v>2467</x:v>
      </x:c>
      <x:c r="B2468" s="15" t="str">
        <x:v>CAPITAL TRUST</x:v>
      </x:c>
      <x:c r="C2468" s="15"/>
      <x:c r="D2468" s="15" t="str">
        <x:v>Property lender or directory member; operating-company capital unconfirmed</x:v>
      </x:c>
      <x:c r="E2468" s="15" t="str">
        <x:v>Property lender / private-money inquiry</x:v>
      </x:c>
      <x:c r="F2468" s="17" t="str">
        <x:v>New</x:v>
      </x:c>
      <x:c r="G2468" s="24" t="str">
        <x:v>corey@capitaltrust.boston</x:v>
      </x:c>
      <x:c r="H2468" s="24" t="str">
        <x:v>+16177528000</x:v>
      </x:c>
      <x:c r="I2468" s="24" t="str">
        <x:v>https://capitaltrust.boston</x:v>
      </x:c>
      <x:c r="J2468" s="16" t="str">
        <x:v>MA</x:v>
      </x:c>
      <x:c r="K2468" s="16" t="str">
        <x:v>Boston</x:v>
      </x:c>
      <x:c r="L2468" s="16" t="str">
        <x:v>firm_business_routing</x:v>
      </x:c>
      <x:c r="M2468" s="16" t="str">
        <x:v>https://capitaltrust.boston</x:v>
      </x:c>
      <x:c r="N2468" s="16" t="str">
        <x:v>$100K-$500K ticket not published / unconfirmed</x:v>
      </x:c>
      <x:c r="O2468" s="20"/>
      <x:c r="P2468" s="20"/>
      <x:c r="Q2468" s="25" t="str">
        <x:v>Property-loan range, not a corporate-capital commitment</x:v>
      </x:c>
      <x:c r="R2468" s="25" t="str">
        <x:v>Private real-estate finance experience. Corporate working capital, minority equity or profit participation requires a separate agreement from a property loan.</x:v>
      </x:c>
      <x:c r="S2468" s="25"/>
      <x:c r="T2468" s="25" t="str">
        <x:v>Confirm direct principal versus broker, $100K-$500K appetite, and whether capital can fund the operating company without a property mortgage.</x:v>
      </x:c>
      <x:c r="U2468" s="25" t="str">
        <x:v>https://www.privatelendersdirectory.com/united-states/boston/top-level-category/capital-trust
https://www.capitaltrust.boston/</x:v>
      </x:c>
      <x:c r="V2468" s="26" t="d">
        <x:v>2026-10-02T00:00:00.000Z</x:v>
      </x:c>
      <x:c r="W2468" s="26" t="d">
        <x:v>2026-09-30T00:00:00.000Z</x:v>
      </x:c>
      <x:c r="X2468" s="25" t="str">
        <x:v>Saved public company, industry-directory or regulatory source; source date retained</x:v>
      </x:c>
      <x:c r="Y2468" s="25" t="str">
        <x:v>https://www.capitaltrust.boston/</x:v>
      </x:c>
      <x:c r="Z2468" s="25" t="str">
        <x:v>https://www.capitaltrust.boston/</x:v>
      </x:c>
      <x:c r="AA2468" s="25" t="str">
        <x:v>[]</x:v>
      </x:c>
      <x:c r="AB2468" s="3" t="str">
        <x:v>Existing CapitalForge research, newly screened for this campaign</x:v>
      </x:c>
      <x:c r="AC2468" s="3" t="str">
        <x:v>unverified</x:v>
      </x:c>
      <x:c r="AD2468" s="3" t="str">
        <x:v>Not contacted / unconfirmed</x:v>
      </x:c>
      <x:c r="AE2468" s="3" t="str">
        <x:v>No</x:v>
      </x:c>
      <x:c r="AF2468" s="3" t="str">
        <x:v>No</x:v>
      </x:c>
      <x:c r="AG2468" s="3"/>
      <x:c r="AH2468" s="3"/>
      <x:c r="AI2468" s="18"/>
      <x:c r="AJ2468" s="3" t="str">
        <x:v>CF2500-1C9AB13649EA</x:v>
      </x:c>
      <x:c r="AK2468" s="3" t="str">
        <x:v>private_real_estate_lender</x:v>
      </x:c>
      <x:c r="AL2468" s="19" t="n">
        <x:v>100000</x:v>
      </x:c>
      <x:c r="AM2468" s="19" t="n">
        <x:v>500000</x:v>
      </x:c>
      <x:c r="AN2468" s="3" t="str">
        <x:v>https://www.privatelendersdirectory.com/united-states/boston/top-level-category/capital-trust</x:v>
      </x:c>
      <x:c r="AO2468" s="3" t="str">
        <x:v>public_directory.jsonl</x:v>
      </x:c>
      <x:c r="AP2468" s="19"/>
    </x:row>
    <x:row r="2469" ht="36" customHeight="1">
      <x:c r="A2469" s="23" t="n">
        <x:v>2468</x:v>
      </x:c>
      <x:c r="B2469" s="15" t="str">
        <x:v>Capstone Financial</x:v>
      </x:c>
      <x:c r="C2469" s="15"/>
      <x:c r="D2469" s="15" t="str">
        <x:v>Property lender or directory member; operating-company capital unconfirmed</x:v>
      </x:c>
      <x:c r="E2469" s="15" t="str">
        <x:v>Property lender / private-money inquiry</x:v>
      </x:c>
      <x:c r="F2469" s="17" t="str">
        <x:v>New</x:v>
      </x:c>
      <x:c r="G2469" s="24" t="str">
        <x:v>info@capstonefi.com</x:v>
      </x:c>
      <x:c r="H2469" s="24" t="str">
        <x:v>+14803362828</x:v>
      </x:c>
      <x:c r="I2469" s="24" t="str">
        <x:v>http://www.capstonefi.com</x:v>
      </x:c>
      <x:c r="J2469" s="16" t="str">
        <x:v>Arizona</x:v>
      </x:c>
      <x:c r="K2469" s="16" t="str">
        <x:v>Scottsdale</x:v>
      </x:c>
      <x:c r="L2469" s="16" t="str">
        <x:v>firm_business_routing</x:v>
      </x:c>
      <x:c r="M2469" s="16" t="str">
        <x:v>http://www.capstonefi.com</x:v>
      </x:c>
      <x:c r="N2469" s="16" t="str">
        <x:v>$100K-$500K ticket not published / unconfirmed</x:v>
      </x:c>
      <x:c r="O2469" s="20"/>
      <x:c r="P2469" s="20"/>
      <x:c r="Q2469" s="25" t="str">
        <x:v>Property-loan range, not a corporate-capital commitment</x:v>
      </x:c>
      <x:c r="R2469" s="25" t="str">
        <x:v>Private real-estate finance experience. Corporate working capital, minority equity or profit participation requires a separate agreement from a property loan.</x:v>
      </x:c>
      <x:c r="S2469" s="25"/>
      <x:c r="T2469" s="25" t="str">
        <x:v>Confirm direct principal versus broker, $100K-$500K appetite, and whether capital can fund the operating company without a property mortgage.</x:v>
      </x:c>
      <x:c r="U2469" s="25" t="str">
        <x:v>https://privatelenderlink.com/profile/capstone-financial/
https://www.capstonefi.com
https://www.privatelendersdirectory.com/united-states/scottsdale/top-level-category/capstone-financial
https://www.capstonefi.com/</x:v>
      </x:c>
      <x:c r="V2469" s="26" t="d">
        <x:v>2026-10-02T00:00:00.000Z</x:v>
      </x:c>
      <x:c r="W2469" s="26" t="d">
        <x:v>2026-09-30T00:00:00.000Z</x:v>
      </x:c>
      <x:c r="X2469" s="25" t="str">
        <x:v>Saved public company, industry-directory or regulatory source; source date retained</x:v>
      </x:c>
      <x:c r="Y2469" s="25" t="str">
        <x:v>https://privatelenderlink.com/profile/capstone-financial/</x:v>
      </x:c>
      <x:c r="Z2469" s="25" t="str">
        <x:v>https://www.capstonefi.com</x:v>
      </x:c>
      <x:c r="AA2469" s="25" t="str">
        <x:v>[]</x:v>
      </x:c>
      <x:c r="AB2469" s="3" t="str">
        <x:v>Existing CapitalForge research, newly screened for this campaign</x:v>
      </x:c>
      <x:c r="AC2469" s="3" t="str">
        <x:v>unverified</x:v>
      </x:c>
      <x:c r="AD2469" s="3" t="str">
        <x:v>Not contacted / unconfirmed</x:v>
      </x:c>
      <x:c r="AE2469" s="3" t="str">
        <x:v>No</x:v>
      </x:c>
      <x:c r="AF2469" s="3" t="str">
        <x:v>No</x:v>
      </x:c>
      <x:c r="AG2469" s="3"/>
      <x:c r="AH2469" s="3"/>
      <x:c r="AI2469" s="18"/>
      <x:c r="AJ2469" s="3" t="str">
        <x:v>CF2500-95B1D82CBED2</x:v>
      </x:c>
      <x:c r="AK2469" s="3" t="str">
        <x:v>private_real_estate_lender</x:v>
      </x:c>
      <x:c r="AL2469" s="19" t="n">
        <x:v>100000</x:v>
      </x:c>
      <x:c r="AM2469" s="19" t="n">
        <x:v>500000</x:v>
      </x:c>
      <x:c r="AN2469" s="3" t="str">
        <x:v>https://privatelenderlink.com/profile/capstone-financial/</x:v>
      </x:c>
      <x:c r="AO2469" s="3" t="str">
        <x:v>public_directory.jsonl</x:v>
      </x:c>
      <x:c r="AP2469" s="19"/>
    </x:row>
    <x:row r="2470" ht="36" customHeight="1">
      <x:c r="A2470" s="23" t="n">
        <x:v>2469</x:v>
      </x:c>
      <x:c r="B2470" s="15" t="str">
        <x:v>Cardinal Capital Group</x:v>
      </x:c>
      <x:c r="C2470" s="15"/>
      <x:c r="D2470" s="15" t="str">
        <x:v>Property lender or directory member; operating-company capital unconfirmed</x:v>
      </x:c>
      <x:c r="E2470" s="15" t="str">
        <x:v>Property lender / private-money inquiry</x:v>
      </x:c>
      <x:c r="F2470" s="17" t="str">
        <x:v>New</x:v>
      </x:c>
      <x:c r="G2470" s="24" t="str">
        <x:v>lending@ccgloans.com</x:v>
      </x:c>
      <x:c r="H2470" s="24" t="str">
        <x:v>+18577677414</x:v>
      </x:c>
      <x:c r="I2470" s="24" t="str">
        <x:v>https://ccgloans.com/?utm_source=private-lender-link</x:v>
      </x:c>
      <x:c r="J2470" s="16" t="str">
        <x:v>Connecticut, Fairfield County, Hartford, New Haven, New London, Maine, Massachusetts, Boston, Bristol County, Cape Cod, Plymouth County, Western Mass, Worcester, New Hampshire, New Jersey, Atlantic City, Camden, Newark, Rhode Island, Vermont</x:v>
      </x:c>
      <x:c r="K2470" s="16" t="str">
        <x:v>Boston</x:v>
      </x:c>
      <x:c r="L2470" s="16" t="str">
        <x:v>firm_business_routing</x:v>
      </x:c>
      <x:c r="M2470" s="16" t="str">
        <x:v>https://ccgloans.com/?utm_source=private-lender-link</x:v>
      </x:c>
      <x:c r="N2470" s="16" t="str">
        <x:v>$100K-$500K ticket not published / unconfirmed</x:v>
      </x:c>
      <x:c r="O2470" s="20"/>
      <x:c r="P2470" s="20"/>
      <x:c r="Q2470" s="25" t="str">
        <x:v>Property-loan range, not a corporate-capital commitment</x:v>
      </x:c>
      <x:c r="R2470" s="25" t="str">
        <x:v>Private real-estate finance experience. Corporate working capital, minority equity or profit participation requires a separate agreement from a property loan.</x:v>
      </x:c>
      <x:c r="S2470" s="25"/>
      <x:c r="T2470" s="25" t="str">
        <x:v>Confirm direct principal versus broker, $100K-$500K appetite, and whether capital can fund the operating company without a property mortgage.</x:v>
      </x:c>
      <x:c r="U2470" s="25" t="str">
        <x:v>https://privatelenderlink.com/profile/cardinal-capital-group/
https://www.privatelendersdirectory.com/united-states/boston/top-level-category/cardinal-capital
https://www.privatelendersdirectory.com/massachusetts/brookline/top-level-category/cardinal-capital-group</x:v>
      </x:c>
      <x:c r="V2470" s="26" t="d">
        <x:v>2026-10-02T00:00:00.000Z</x:v>
      </x:c>
      <x:c r="W2470" s="26" t="d">
        <x:v>2026-09-30T00:00:00.000Z</x:v>
      </x:c>
      <x:c r="X2470" s="25" t="str">
        <x:v>Saved public company, industry-directory or regulatory source; source date retained</x:v>
      </x:c>
      <x:c r="Y2470" s="25" t="str">
        <x:v>https://privatelenderlink.com/profile/cardinal-capital-group/</x:v>
      </x:c>
      <x:c r="Z2470" s="25" t="str">
        <x:v>https://privatelenderlink.com/profile/cardinal-capital-group/</x:v>
      </x:c>
      <x:c r="AA2470" s="25" t="str">
        <x:v>[]</x:v>
      </x:c>
      <x:c r="AB2470" s="3" t="str">
        <x:v>Existing CapitalForge research, newly screened for this campaign</x:v>
      </x:c>
      <x:c r="AC2470" s="3" t="str">
        <x:v>unverified</x:v>
      </x:c>
      <x:c r="AD2470" s="3" t="str">
        <x:v>Not contacted / unconfirmed</x:v>
      </x:c>
      <x:c r="AE2470" s="3" t="str">
        <x:v>No</x:v>
      </x:c>
      <x:c r="AF2470" s="3" t="str">
        <x:v>No</x:v>
      </x:c>
      <x:c r="AG2470" s="3"/>
      <x:c r="AH2470" s="3"/>
      <x:c r="AI2470" s="18"/>
      <x:c r="AJ2470" s="3" t="str">
        <x:v>CF2500-144EEA5B008F</x:v>
      </x:c>
      <x:c r="AK2470" s="3" t="str">
        <x:v>private_real_estate_lender</x:v>
      </x:c>
      <x:c r="AL2470" s="19" t="n">
        <x:v>100000</x:v>
      </x:c>
      <x:c r="AM2470" s="19" t="n">
        <x:v>500000</x:v>
      </x:c>
      <x:c r="AN2470" s="3" t="str">
        <x:v>https://privatelenderlink.com/profile/cardinal-capital-group/</x:v>
      </x:c>
      <x:c r="AO2470" s="3" t="str">
        <x:v>public_directory.jsonl</x:v>
      </x:c>
      <x:c r="AP2470" s="19"/>
    </x:row>
    <x:row r="2471" ht="36" customHeight="1">
      <x:c r="A2471" s="23" t="n">
        <x:v>2470</x:v>
      </x:c>
      <x:c r="B2471" s="15" t="str">
        <x:v>Casa Lending</x:v>
      </x:c>
      <x:c r="C2471" s="15"/>
      <x:c r="D2471" s="15" t="str">
        <x:v>Property lender or directory member; operating-company capital unconfirmed</x:v>
      </x:c>
      <x:c r="E2471" s="15" t="str">
        <x:v>Property lender / private-money inquiry</x:v>
      </x:c>
      <x:c r="F2471" s="17" t="str">
        <x:v>New</x:v>
      </x:c>
      <x:c r="G2471" s="24" t="str">
        <x:v>info@casalending.com</x:v>
      </x:c>
      <x:c r="H2471" s="24" t="str">
        <x:v>+12163953762</x:v>
      </x:c>
      <x:c r="I2471" s="24" t="str">
        <x:v>https://www.casalending.com/?utm_source=lender-link</x:v>
      </x:c>
      <x:c r="J2471" s="16" t="str">
        <x:v>Alabama, Birmingham, Huntsville, Mobile, Montgomery, Alaska, Arizona, La Paz County, Maricopa County, Phoenix, Pima County, Pinal County, California, Bakersfield, Central Coast, Central Valley, Fresno, Lake Tahoe, Los Angeles, Monterey Bay, Orange County, Riverside County, Sacramento, San Bernardino County, San Diego, Santa Barbara, SF Bay Area, Sierra Nevada, Ventura, Colorado, Denver, Connecticut, Fairfield County, Hartford, New Haven, New London, Delaware, Florida, Fort Myers, Gainesville, Jacksonville, Miami, Orlando, Palm Bay, Palm Beach County, Pensacola, Port Charlotte, Port St. Lucie, Sarasota, Tallahassee, Tampa, Volusia County, Georgia, Albany, Athens, Atlanta, Augusta, Columbus, Dalton, Macon, Rome, Savannah, Valdosta, Hawaii, Idaho, Boise, Pocatello, Twin Falls, Illinois, Chicago, Peoria, Rockford, Indiana, Evansville, Fort Wayne, Indianapolis, Jeffersonville, Kokomo, Lafayette, Lake and Porter County, South Bend, Terre Haute, Iowa, Kansas, Kentucky, Louisiana, Maine, Maryland, Annapolis, Baltimore, Frederick, Hagerstown, Montgomery County, Massachusetts, Boston, Bristol County, Cape Cod, Plymouth County, Western Mass, Worcester, Michigan, Minnesota, Mississippi, Missouri, Columbia, Joplin, Kansas City, Springfield, St Louis, St. Joseph, Montana, Billings, Bozeman, Missoula, Nebraska, New Hampshire, New Jersey, Atlantic City, Camden, Newark, New Mexico, New York, Buffalo, New York City, Rochester, North Carolina, Asheville, Charlotte, Fayetteville, Greensboro, Greenville, Hickory, New Bern, Raleigh, Rocky Mount, Sanford, Wilmington, Wilson, Winston-Salem, Ohio, Oklahoma, Oregon, Bend, Corvallis, Eugene, Grants Pass, Klamath Falls, Medford, Portland, Salem, Pennsylvania, Allentown, Harrisburg, Philadelphia, Pittsburgh, Rhode Island, South Carolina, Augusta-Richmond County, Charleston, Florence, Hilton Head Island, Myrtle Beach, Sumter, York County, Tennessee, Chattanooga, Clarksville, Gatlinburg, Knoxville, Memphis, Nashville, Texas, Austin, Beaumont, Corpus Christi, Dallas, El Paso, Houston, Laredo, Rio Grande Valley, San Antonio, Waco, Utah, Cache County, Iron County, Salt Lake City, St. George, Virginia, Charlottesville, Harrisonburg, NOVA, Richmond, Virginia Beach, Washington, Columbia Basin, Seattle, Spokane, Vancouver, Washington DC, West Virginia, Wisconsin, Wyoming</x:v>
      </x:c>
      <x:c r="K2471" s="16" t="str">
        <x:v>Cleveland</x:v>
      </x:c>
      <x:c r="L2471" s="16" t="str">
        <x:v>firm_business_routing</x:v>
      </x:c>
      <x:c r="M2471" s="16" t="str">
        <x:v>https://www.casalending.com/?utm_source=lender-link</x:v>
      </x:c>
      <x:c r="N2471" s="16" t="str">
        <x:v>$100K-$500K ticket not published / unconfirmed</x:v>
      </x:c>
      <x:c r="O2471" s="20"/>
      <x:c r="P2471" s="20"/>
      <x:c r="Q2471" s="25" t="str">
        <x:v>Property-loan range, not a corporate-capital commitment</x:v>
      </x:c>
      <x:c r="R2471" s="25" t="str">
        <x:v>Private real-estate finance experience. Corporate working capital, minority equity or profit participation requires a separate agreement from a property loan.</x:v>
      </x:c>
      <x:c r="S2471" s="25"/>
      <x:c r="T2471" s="25" t="str">
        <x:v>Confirm direct principal versus broker, $100K-$500K appetite, and whether capital can fund the operating company without a property mortgage.</x:v>
      </x:c>
      <x:c r="U2471" s="25" t="str">
        <x:v>https://privatelenderlink.com/profile/casa-lending/
https://www.casalending.com/?utm_source=lender-link</x:v>
      </x:c>
      <x:c r="V2471" s="26" t="d">
        <x:v>2026-10-02T00:00:00.000Z</x:v>
      </x:c>
      <x:c r="W2471" s="26" t="d">
        <x:v>2026-09-30T00:00:00.000Z</x:v>
      </x:c>
      <x:c r="X2471" s="25" t="str">
        <x:v>Saved public company, industry-directory or regulatory source; source date retained</x:v>
      </x:c>
      <x:c r="Y2471" s="25" t="str">
        <x:v>https://www.casalending.com/?utm_source=lender-link</x:v>
      </x:c>
      <x:c r="Z2471" s="25" t="str">
        <x:v>https://privatelenderlink.com/profile/casa-lending/</x:v>
      </x:c>
      <x:c r="AA2471" s="25" t="str">
        <x:v>[]</x:v>
      </x:c>
      <x:c r="AB2471" s="3" t="str">
        <x:v>Existing CapitalForge research, newly screened for this campaign</x:v>
      </x:c>
      <x:c r="AC2471" s="3" t="str">
        <x:v>unverified</x:v>
      </x:c>
      <x:c r="AD2471" s="3" t="str">
        <x:v>Not contacted / unconfirmed</x:v>
      </x:c>
      <x:c r="AE2471" s="3" t="str">
        <x:v>No</x:v>
      </x:c>
      <x:c r="AF2471" s="3" t="str">
        <x:v>No</x:v>
      </x:c>
      <x:c r="AG2471" s="3"/>
      <x:c r="AH2471" s="3"/>
      <x:c r="AI2471" s="18"/>
      <x:c r="AJ2471" s="3" t="str">
        <x:v>CF2500-FE4E9764638A</x:v>
      </x:c>
      <x:c r="AK2471" s="3" t="str">
        <x:v>private_real_estate_lender</x:v>
      </x:c>
      <x:c r="AL2471" s="19" t="n">
        <x:v>100000</x:v>
      </x:c>
      <x:c r="AM2471" s="19" t="n">
        <x:v>500000</x:v>
      </x:c>
      <x:c r="AN2471" s="3" t="str">
        <x:v>https://privatelenderlink.com/profile/casa-lending/</x:v>
      </x:c>
      <x:c r="AO2471" s="3" t="str">
        <x:v>public_directory.jsonl</x:v>
      </x:c>
      <x:c r="AP2471" s="19"/>
    </x:row>
    <x:row r="2472" ht="36" customHeight="1">
      <x:c r="A2472" s="23" t="n">
        <x:v>2471</x:v>
      </x:c>
      <x:c r="B2472" s="15" t="str">
        <x:v>CASH CALL MORTGAGE</x:v>
      </x:c>
      <x:c r="C2472" s="15"/>
      <x:c r="D2472" s="15" t="str">
        <x:v>Property lender or directory member; operating-company capital unconfirmed</x:v>
      </x:c>
      <x:c r="E2472" s="15" t="str">
        <x:v>Property lender / private-money inquiry</x:v>
      </x:c>
      <x:c r="F2472" s="17" t="str">
        <x:v>New</x:v>
      </x:c>
      <x:c r="G2472" s="24" t="str">
        <x:v>info@cashcallmortgage.com</x:v>
      </x:c>
      <x:c r="H2472" s="24" t="str">
        <x:v>+18667085626</x:v>
      </x:c>
      <x:c r="I2472" s="24" t="str">
        <x:v>https://cashcallmortgage.com/</x:v>
      </x:c>
      <x:c r="J2472" s="16" t="str">
        <x:v>CA</x:v>
      </x:c>
      <x:c r="K2472" s="16" t="str">
        <x:v>Newport Beach</x:v>
      </x:c>
      <x:c r="L2472" s="16" t="str">
        <x:v>firm_business_routing</x:v>
      </x:c>
      <x:c r="M2472" s="16" t="str">
        <x:v>https://cashcallmortgage.com/</x:v>
      </x:c>
      <x:c r="N2472" s="16" t="str">
        <x:v>$100K-$500K ticket not published / unconfirmed</x:v>
      </x:c>
      <x:c r="O2472" s="20"/>
      <x:c r="P2472" s="20"/>
      <x:c r="Q2472" s="25" t="str">
        <x:v>Property-loan range, not a corporate-capital commitment</x:v>
      </x:c>
      <x:c r="R2472" s="25" t="str">
        <x:v>Private real-estate finance experience. Corporate working capital, minority equity or profit participation requires a separate agreement from a property loan.</x:v>
      </x:c>
      <x:c r="S2472" s="25"/>
      <x:c r="T2472" s="25" t="str">
        <x:v>Confirm direct principal versus broker, $100K-$500K appetite, and whether capital can fund the operating company without a property mortgage.</x:v>
      </x:c>
      <x:c r="U2472" s="25" t="str">
        <x:v>https://www.privatelendersdirectory.com/united-states/newport-beach/top-level-category/cash-call-mortgage
https://cashcallmortgage.com/</x:v>
      </x:c>
      <x:c r="V2472" s="26" t="d">
        <x:v>2026-10-02T00:00:00.000Z</x:v>
      </x:c>
      <x:c r="W2472" s="26" t="d">
        <x:v>2026-09-30T00:00:00.000Z</x:v>
      </x:c>
      <x:c r="X2472" s="25" t="str">
        <x:v>Saved public company, industry-directory or regulatory source; source date retained</x:v>
      </x:c>
      <x:c r="Y2472" s="25" t="str">
        <x:v>https://cashcallmortgage.com/</x:v>
      </x:c>
      <x:c r="Z2472" s="25" t="str">
        <x:v>https://cashcallmortgage.com/</x:v>
      </x:c>
      <x:c r="AA2472" s="25" t="str">
        <x:v>[]</x:v>
      </x:c>
      <x:c r="AB2472" s="3" t="str">
        <x:v>Existing CapitalForge research, newly screened for this campaign</x:v>
      </x:c>
      <x:c r="AC2472" s="3" t="str">
        <x:v>unverified</x:v>
      </x:c>
      <x:c r="AD2472" s="3" t="str">
        <x:v>Not contacted / unconfirmed</x:v>
      </x:c>
      <x:c r="AE2472" s="3" t="str">
        <x:v>No</x:v>
      </x:c>
      <x:c r="AF2472" s="3" t="str">
        <x:v>No</x:v>
      </x:c>
      <x:c r="AG2472" s="3"/>
      <x:c r="AH2472" s="3"/>
      <x:c r="AI2472" s="18"/>
      <x:c r="AJ2472" s="3" t="str">
        <x:v>CF2500-870D36A3013B</x:v>
      </x:c>
      <x:c r="AK2472" s="3" t="str">
        <x:v>private_real_estate_lender</x:v>
      </x:c>
      <x:c r="AL2472" s="19" t="n">
        <x:v>100000</x:v>
      </x:c>
      <x:c r="AM2472" s="19" t="n">
        <x:v>500000</x:v>
      </x:c>
      <x:c r="AN2472" s="3" t="str">
        <x:v>https://www.privatelendersdirectory.com/united-states/newport-beach/top-level-category/cash-call-mortgage</x:v>
      </x:c>
      <x:c r="AO2472" s="3" t="str">
        <x:v>public_directory.jsonl</x:v>
      </x:c>
      <x:c r="AP2472" s="19"/>
    </x:row>
    <x:row r="2473" ht="36" customHeight="1">
      <x:c r="A2473" s="23" t="n">
        <x:v>2472</x:v>
      </x:c>
      <x:c r="B2473" s="15" t="str">
        <x:v>Cbizcapital</x:v>
      </x:c>
      <x:c r="C2473" s="15" t="str">
        <x:v>Cbizcapital</x:v>
      </x:c>
      <x:c r="D2473" s="15" t="str">
        <x:v>Property lender or directory member; operating-company capital unconfirmed</x:v>
      </x:c>
      <x:c r="E2473" s="15" t="str">
        <x:v>Property lender / private-money inquiry</x:v>
      </x:c>
      <x:c r="F2473" s="17" t="str">
        <x:v>New</x:v>
      </x:c>
      <x:c r="G2473" s="24" t="str">
        <x:v>info@cbizcapital.com</x:v>
      </x:c>
      <x:c r="H2473" s="24" t="str">
        <x:v>+12156543075</x:v>
      </x:c>
      <x:c r="I2473" s="24" t="str">
        <x:v>https://cbizcapital.com/</x:v>
      </x:c>
      <x:c r="J2473" s="16"/>
      <x:c r="K2473" s="16"/>
      <x:c r="L2473" s="16" t="str">
        <x:v>published_professional_contact_directness_unconfirmed</x:v>
      </x:c>
      <x:c r="M2473" s="16" t="str">
        <x:v>https://cbizcapital.com/</x:v>
      </x:c>
      <x:c r="N2473" s="16" t="str">
        <x:v>$100K-$500K ticket not published / unconfirmed</x:v>
      </x:c>
      <x:c r="O2473" s="20"/>
      <x:c r="P2473" s="20"/>
      <x:c r="Q2473" s="25" t="str">
        <x:v>Property-loan range, not a corporate-capital commitment</x:v>
      </x:c>
      <x:c r="R2473" s="25" t="str">
        <x:v>Private real-estate finance experience. Corporate working capital, minority equity or profit participation requires a separate agreement from a property loan.</x:v>
      </x:c>
      <x:c r="S2473" s="25"/>
      <x:c r="T2473" s="25" t="str">
        <x:v>Confirm direct principal versus broker, $100K-$500K appetite, and whether capital can fund the operating company without a property mortgage.</x:v>
      </x:c>
      <x:c r="U2473" s="25" t="str">
        <x:v>https://nplaconference.com/private-lending-directory/page/4/
https://cbizcapital.com/</x:v>
      </x:c>
      <x:c r="V2473" s="26" t="d">
        <x:v>2026-10-02T00:00:00.000Z</x:v>
      </x:c>
      <x:c r="W2473" s="26" t="d">
        <x:v>2026-09-30T00:00:00.000Z</x:v>
      </x:c>
      <x:c r="X2473" s="25" t="str">
        <x:v>Saved public company, industry-directory or regulatory source; source date retained</x:v>
      </x:c>
      <x:c r="Y2473" s="25" t="str">
        <x:v>https://cbizcapital.com/</x:v>
      </x:c>
      <x:c r="Z2473" s="25" t="str">
        <x:v>https://cbizcapital.com/</x:v>
      </x:c>
      <x:c r="AA2473" s="25" t="str">
        <x:v>[]</x:v>
      </x:c>
      <x:c r="AB2473" s="3" t="str">
        <x:v>Existing CapitalForge research, newly screened for this campaign</x:v>
      </x:c>
      <x:c r="AC2473" s="3" t="str">
        <x:v>unverified</x:v>
      </x:c>
      <x:c r="AD2473" s="3" t="str">
        <x:v>Not contacted / unconfirmed</x:v>
      </x:c>
      <x:c r="AE2473" s="3" t="str">
        <x:v>No</x:v>
      </x:c>
      <x:c r="AF2473" s="3" t="str">
        <x:v>No</x:v>
      </x:c>
      <x:c r="AG2473" s="3"/>
      <x:c r="AH2473" s="3"/>
      <x:c r="AI2473" s="18"/>
      <x:c r="AJ2473" s="3" t="str">
        <x:v>CF2500-964E1D8906B5</x:v>
      </x:c>
      <x:c r="AK2473" s="3" t="str">
        <x:v>property_secured_lender</x:v>
      </x:c>
      <x:c r="AL2473" s="19" t="n">
        <x:v>100000</x:v>
      </x:c>
      <x:c r="AM2473" s="19" t="n">
        <x:v>500000</x:v>
      </x:c>
      <x:c r="AN2473" s="3" t="str">
        <x:v>https://nplaconference.com/private-lending-directory/page/4/</x:v>
      </x:c>
      <x:c r="AO2473" s="3" t="str">
        <x:v>public_directory.jsonl</x:v>
      </x:c>
      <x:c r="AP2473" s="19"/>
    </x:row>
    <x:row r="2474" ht="36" customHeight="1">
      <x:c r="A2474" s="23" t="n">
        <x:v>2473</x:v>
      </x:c>
      <x:c r="B2474" s="15" t="str">
        <x:v>CCM Finance</x:v>
      </x:c>
      <x:c r="C2474" s="15"/>
      <x:c r="D2474" s="15" t="str">
        <x:v>Property lender or directory member; operating-company capital unconfirmed</x:v>
      </x:c>
      <x:c r="E2474" s="15" t="str">
        <x:v>Property lender / private-money inquiry</x:v>
      </x:c>
      <x:c r="F2474" s="17" t="str">
        <x:v>New</x:v>
      </x:c>
      <x:c r="G2474" s="24" t="str">
        <x:v>info@ccm-finance.com</x:v>
      </x:c>
      <x:c r="H2474" s="24" t="str">
        <x:v>+16122540025</x:v>
      </x:c>
      <x:c r="I2474" s="24" t="str">
        <x:v>https://ccm-finance.com/</x:v>
      </x:c>
      <x:c r="J2474" s="16" t="str">
        <x:v>MN</x:v>
      </x:c>
      <x:c r="K2474" s="16" t="str">
        <x:v>Minneapolis</x:v>
      </x:c>
      <x:c r="L2474" s="16" t="str">
        <x:v>firm_business_routing</x:v>
      </x:c>
      <x:c r="M2474" s="16" t="str">
        <x:v>https://ccm-finance.com/</x:v>
      </x:c>
      <x:c r="N2474" s="16" t="str">
        <x:v>$100K-$500K ticket not published / unconfirmed</x:v>
      </x:c>
      <x:c r="O2474" s="20"/>
      <x:c r="P2474" s="20"/>
      <x:c r="Q2474" s="25" t="str">
        <x:v>Property-loan range, not a corporate-capital commitment</x:v>
      </x:c>
      <x:c r="R2474" s="25" t="str">
        <x:v>Private real-estate finance experience. Corporate working capital, minority equity or profit participation requires a separate agreement from a property loan.</x:v>
      </x:c>
      <x:c r="S2474" s="25"/>
      <x:c r="T2474" s="25" t="str">
        <x:v>Confirm direct principal versus broker, $100K-$500K appetite, and whether capital can fund the operating company without a property mortgage.</x:v>
      </x:c>
      <x:c r="U2474" s="25" t="str">
        <x:v>https://www.hardmoneyhome.com/lenders/view/ccm-finance
https://ccm-finance.com/</x:v>
      </x:c>
      <x:c r="V2474" s="26" t="d">
        <x:v>2026-10-02T00:00:00.000Z</x:v>
      </x:c>
      <x:c r="W2474" s="26" t="d">
        <x:v>2026-09-30T00:00:00.000Z</x:v>
      </x:c>
      <x:c r="X2474" s="25" t="str">
        <x:v>Saved public company, industry-directory or regulatory source; source date retained</x:v>
      </x:c>
      <x:c r="Y2474" s="25" t="str">
        <x:v>https://ccm-finance.com/</x:v>
      </x:c>
      <x:c r="Z2474" s="25" t="str">
        <x:v>https://www.hardmoneyhome.com/lenders/view/ccm-finance</x:v>
      </x:c>
      <x:c r="AA2474" s="25" t="str">
        <x:v>[]</x:v>
      </x:c>
      <x:c r="AB2474" s="3" t="str">
        <x:v>Existing CapitalForge research, newly screened for this campaign</x:v>
      </x:c>
      <x:c r="AC2474" s="3" t="str">
        <x:v>unverified</x:v>
      </x:c>
      <x:c r="AD2474" s="3" t="str">
        <x:v>Not contacted / unconfirmed</x:v>
      </x:c>
      <x:c r="AE2474" s="3" t="str">
        <x:v>No</x:v>
      </x:c>
      <x:c r="AF2474" s="3" t="str">
        <x:v>No</x:v>
      </x:c>
      <x:c r="AG2474" s="3"/>
      <x:c r="AH2474" s="3"/>
      <x:c r="AI2474" s="18"/>
      <x:c r="AJ2474" s="3" t="str">
        <x:v>CF2500-2F5D3BC82109</x:v>
      </x:c>
      <x:c r="AK2474" s="3" t="str">
        <x:v>private_real_estate_lender</x:v>
      </x:c>
      <x:c r="AL2474" s="19" t="n">
        <x:v>100000</x:v>
      </x:c>
      <x:c r="AM2474" s="19" t="n">
        <x:v>500000</x:v>
      </x:c>
      <x:c r="AN2474" s="3" t="str">
        <x:v>https://www.hardmoneyhome.com/lenders/view/ccm-finance</x:v>
      </x:c>
      <x:c r="AO2474" s="3" t="str">
        <x:v>public_directory.jsonl</x:v>
      </x:c>
      <x:c r="AP2474" s="19"/>
    </x:row>
    <x:row r="2475" ht="36" customHeight="1">
      <x:c r="A2475" s="23" t="n">
        <x:v>2474</x:v>
      </x:c>
      <x:c r="B2475" s="15" t="str">
        <x:v>CENTRA CAPITAL INVESTMENTS</x:v>
      </x:c>
      <x:c r="C2475" s="15"/>
      <x:c r="D2475" s="15" t="str">
        <x:v>Property lender or directory member; operating-company capital unconfirmed</x:v>
      </x:c>
      <x:c r="E2475" s="15" t="str">
        <x:v>Property lender / private-money inquiry</x:v>
      </x:c>
      <x:c r="F2475" s="17" t="str">
        <x:v>New</x:v>
      </x:c>
      <x:c r="G2475" s="24" t="str">
        <x:v>info@ccpinvestments.com</x:v>
      </x:c>
      <x:c r="H2475" s="24" t="str">
        <x:v>+18556064999</x:v>
      </x:c>
      <x:c r="I2475" s="24" t="str">
        <x:v>https://ccpinvestments.com/</x:v>
      </x:c>
      <x:c r="J2475" s="16" t="str">
        <x:v>NJ</x:v>
      </x:c>
      <x:c r="K2475" s="16" t="str">
        <x:v>Rochelle Park</x:v>
      </x:c>
      <x:c r="L2475" s="16" t="str">
        <x:v>firm_business_routing</x:v>
      </x:c>
      <x:c r="M2475" s="16" t="str">
        <x:v>https://ccpinvestments.com/</x:v>
      </x:c>
      <x:c r="N2475" s="16" t="str">
        <x:v>$100K-$500K ticket not published / unconfirmed</x:v>
      </x:c>
      <x:c r="O2475" s="20"/>
      <x:c r="P2475" s="20"/>
      <x:c r="Q2475" s="25" t="str">
        <x:v>Property-loan range, not a corporate-capital commitment</x:v>
      </x:c>
      <x:c r="R2475" s="25" t="str">
        <x:v>Private real-estate finance experience. Corporate working capital, minority equity or profit participation requires a separate agreement from a property loan.</x:v>
      </x:c>
      <x:c r="S2475" s="25"/>
      <x:c r="T2475" s="25" t="str">
        <x:v>Confirm direct principal versus broker, $100K-$500K appetite, and whether capital can fund the operating company without a property mortgage.</x:v>
      </x:c>
      <x:c r="U2475" s="25" t="str">
        <x:v>https://www.privatelendersdirectory.com/united-states/rochelle-park/top-level-category/centra-capital-investments
https://ccpinvestments.com/
https://ccpinvestments.com/contact/</x:v>
      </x:c>
      <x:c r="V2475" s="26" t="d">
        <x:v>2026-10-02T00:00:00.000Z</x:v>
      </x:c>
      <x:c r="W2475" s="26" t="d">
        <x:v>2026-09-30T00:00:00.000Z</x:v>
      </x:c>
      <x:c r="X2475" s="25" t="str">
        <x:v>Saved public company, industry-directory or regulatory source; source date retained</x:v>
      </x:c>
      <x:c r="Y2475" s="25" t="str">
        <x:v>https://ccpinvestments.com/contact/</x:v>
      </x:c>
      <x:c r="Z2475" s="25" t="str">
        <x:v>https://ccpinvestments.com/</x:v>
      </x:c>
      <x:c r="AA2475" s="25" t="str">
        <x:v>[]</x:v>
      </x:c>
      <x:c r="AB2475" s="3" t="str">
        <x:v>Existing CapitalForge research, newly screened for this campaign</x:v>
      </x:c>
      <x:c r="AC2475" s="3" t="str">
        <x:v>unverified</x:v>
      </x:c>
      <x:c r="AD2475" s="3" t="str">
        <x:v>Not contacted / unconfirmed</x:v>
      </x:c>
      <x:c r="AE2475" s="3" t="str">
        <x:v>No</x:v>
      </x:c>
      <x:c r="AF2475" s="3" t="str">
        <x:v>No</x:v>
      </x:c>
      <x:c r="AG2475" s="3"/>
      <x:c r="AH2475" s="3"/>
      <x:c r="AI2475" s="18"/>
      <x:c r="AJ2475" s="3" t="str">
        <x:v>CF2500-A81C254AC172</x:v>
      </x:c>
      <x:c r="AK2475" s="3" t="str">
        <x:v>private_real_estate_lender</x:v>
      </x:c>
      <x:c r="AL2475" s="19" t="n">
        <x:v>100000</x:v>
      </x:c>
      <x:c r="AM2475" s="19" t="n">
        <x:v>500000</x:v>
      </x:c>
      <x:c r="AN2475" s="3" t="str">
        <x:v>https://www.privatelendersdirectory.com/united-states/rochelle-park/top-level-category/centra-capital-investments</x:v>
      </x:c>
      <x:c r="AO2475" s="3" t="str">
        <x:v>public_directory.jsonl</x:v>
      </x:c>
      <x:c r="AP2475" s="19"/>
    </x:row>
    <x:row r="2476" ht="36" customHeight="1">
      <x:c r="A2476" s="23" t="n">
        <x:v>2475</x:v>
      </x:c>
      <x:c r="B2476" s="15" t="str">
        <x:v>Central Lending</x:v>
      </x:c>
      <x:c r="C2476" s="15"/>
      <x:c r="D2476" s="15" t="str">
        <x:v>Property lender or directory member; operating-company capital unconfirmed</x:v>
      </x:c>
      <x:c r="E2476" s="15" t="str">
        <x:v>Property lender / private-money inquiry</x:v>
      </x:c>
      <x:c r="F2476" s="17" t="str">
        <x:v>New</x:v>
      </x:c>
      <x:c r="G2476" s="24" t="str">
        <x:v>nicole@centrallending.com</x:v>
      </x:c>
      <x:c r="H2476" s="24" t="str">
        <x:v>+18634561294</x:v>
      </x:c>
      <x:c r="I2476" s="24" t="str">
        <x:v>https://centrallending.com/?utm_source=private-lender-link</x:v>
      </x:c>
      <x:c r="J2476" s="16" t="str">
        <x:v>Alabama, Birmingham, Huntsville, Mobile, Montgomery, Arkansas, Connecticut, Fairfield County, Hartford, New Haven, New London, Delaware, Florida, Fort Myers, Gainesville, Jacksonville, Key West, Lakeland, Miami, Ocala, Orlando, Palm Bay, Palm Beach County, Pensacola, Port Charlotte, Port St. Lucie, Sarasota, Tallahassee, Tampa, Volusia County, Georgia, Albany, Athens, Atlanta, Augusta, Columbus, Dalton, Macon, Rome, Savannah, Valdosta, Illinois, Chicago, Peoria, Rockford, Indiana, Evansville, Fort Wayne, Indianapolis, Jeffersonville, Kokomo, Lafayette, Lake and Porter County, South Bend, Terre Haute, Iowa, Kansas, Kentucky, Louisiana, Maine, Maryland, Annapolis, Baltimore, Frederick, Hagerstown, Montgomery County, Massachusetts, Boston, Bristol County, Cape Cod, Plymouth County, Western Mass, Worcester, Michigan, Mississippi, Missouri, Columbia, Joplin, Kansas City, Springfield, St Louis, St. Joseph, New Hampshire, New Jersey, Atlantic City, Camden, Newark, New York, Buffalo, New York City, Rochester, North Carolina, Asheville, Charlotte, Fayetteville, Greensboro, Greenville, Hickory, New Bern, Raleigh, Rocky Mount, Sanford, Wilmington, Wilson, Winston-Salem, Ohio, Oklahoma, Pennsylvania, Allentown, Harrisburg, Philadelphia, Pittsburgh, Rhode Island, South Carolina, Augusta-Richmond County, Charleston, Florence, Hilton Head Island, Myrtle Beach, Sumter, York County, Tennessee, Chattanooga, Clarksville, Gatlinburg, Knoxville, Memphis, Nashville, Texas, Austin, Beaumont, Corpus Christi, Dallas, El Paso, Houston, Laredo, Rio Grande Valley, San Antonio, Waco, Virginia, Charlottesville, Danville, Fredericksburg, Harrisonburg, Lynchburg, NOVA, Richmond, Roanoke, Virginia Beach, Winchester, Washington DC, West Virginia, Wisconsin</x:v>
      </x:c>
      <x:c r="K2476" s="16" t="str">
        <x:v>Lakeland</x:v>
      </x:c>
      <x:c r="L2476" s="16" t="str">
        <x:v>firm_business_routing</x:v>
      </x:c>
      <x:c r="M2476" s="16" t="str">
        <x:v>https://centrallending.com/?utm_source=private-lender-link</x:v>
      </x:c>
      <x:c r="N2476" s="16" t="str">
        <x:v>$100K-$500K ticket not published / unconfirmed</x:v>
      </x:c>
      <x:c r="O2476" s="20"/>
      <x:c r="P2476" s="20"/>
      <x:c r="Q2476" s="25" t="str">
        <x:v>Property-loan range, not a corporate-capital commitment</x:v>
      </x:c>
      <x:c r="R2476" s="25" t="str">
        <x:v>Private real-estate finance experience. Corporate working capital, minority equity or profit participation requires a separate agreement from a property loan.</x:v>
      </x:c>
      <x:c r="S2476" s="25"/>
      <x:c r="T2476" s="25" t="str">
        <x:v>Confirm direct principal versus broker, $100K-$500K appetite, and whether capital can fund the operating company without a property mortgage.</x:v>
      </x:c>
      <x:c r="U2476" s="25" t="str">
        <x:v>https://privatelenderlink.com/profile/central-lending/
https://www.privatelendersdirectory.com/united-states/lakeland/top-level-category/central-lending
https://centrallending.com/</x:v>
      </x:c>
      <x:c r="V2476" s="26" t="d">
        <x:v>2026-10-02T00:00:00.000Z</x:v>
      </x:c>
      <x:c r="W2476" s="26" t="d">
        <x:v>2026-09-30T00:00:00.000Z</x:v>
      </x:c>
      <x:c r="X2476" s="25" t="str">
        <x:v>Saved public company, industry-directory or regulatory source; source date retained</x:v>
      </x:c>
      <x:c r="Y2476" s="25" t="str">
        <x:v>https://privatelenderlink.com/profile/central-lending/</x:v>
      </x:c>
      <x:c r="Z2476" s="25" t="str">
        <x:v>https://privatelenderlink.com/profile/central-lending/</x:v>
      </x:c>
      <x:c r="AA2476" s="25" t="str">
        <x:v>[]</x:v>
      </x:c>
      <x:c r="AB2476" s="3" t="str">
        <x:v>Existing CapitalForge research, newly screened for this campaign</x:v>
      </x:c>
      <x:c r="AC2476" s="3" t="str">
        <x:v>unverified</x:v>
      </x:c>
      <x:c r="AD2476" s="3" t="str">
        <x:v>Not contacted / unconfirmed</x:v>
      </x:c>
      <x:c r="AE2476" s="3" t="str">
        <x:v>No</x:v>
      </x:c>
      <x:c r="AF2476" s="3" t="str">
        <x:v>No</x:v>
      </x:c>
      <x:c r="AG2476" s="3"/>
      <x:c r="AH2476" s="3"/>
      <x:c r="AI2476" s="18"/>
      <x:c r="AJ2476" s="3" t="str">
        <x:v>CF2500-C1380AC2E4B3</x:v>
      </x:c>
      <x:c r="AK2476" s="3" t="str">
        <x:v>private_real_estate_lender</x:v>
      </x:c>
      <x:c r="AL2476" s="19" t="n">
        <x:v>100000</x:v>
      </x:c>
      <x:c r="AM2476" s="19" t="n">
        <x:v>500000</x:v>
      </x:c>
      <x:c r="AN2476" s="3" t="str">
        <x:v>https://privatelenderlink.com/profile/central-lending/</x:v>
      </x:c>
      <x:c r="AO2476" s="3" t="str">
        <x:v>public_directory.jsonl</x:v>
      </x:c>
      <x:c r="AP2476" s="19"/>
    </x:row>
    <x:row r="2477" ht="36" customHeight="1">
      <x:c r="A2477" s="23" t="n">
        <x:v>2476</x:v>
      </x:c>
      <x:c r="B2477" s="15" t="str">
        <x:v>Certain Lending</x:v>
      </x:c>
      <x:c r="C2477" s="15"/>
      <x:c r="D2477" s="15" t="str">
        <x:v>Property lender or directory member; operating-company capital unconfirmed</x:v>
      </x:c>
      <x:c r="E2477" s="15" t="str">
        <x:v>Property lender / private-money inquiry</x:v>
      </x:c>
      <x:c r="F2477" s="17" t="str">
        <x:v>New</x:v>
      </x:c>
      <x:c r="G2477" s="24" t="str">
        <x:v>leads@certainlending.com</x:v>
      </x:c>
      <x:c r="H2477" s="24" t="str">
        <x:v>+12064511455</x:v>
      </x:c>
      <x:c r="I2477" s="24" t="str">
        <x:v>https://www.certainlending.com/?utm_source=lender-link</x:v>
      </x:c>
      <x:c r="J2477" s="16" t="str">
        <x:v>Alabama, Birmingham, Huntsville, Mobile, Montgomery, Alaska, Arizona, Apache County, Cochise County, Coconino County, Gila County, Graham County, La Paz County, Maricopa County, Mohave County, Navajo County, Pima County, Pinal County, Yavapai County, Yuma County, Arkansas, California, Bakersfield, Central Coast, Central Valley, Desert Region, Far North, Fresno, Lake Tahoe, Los Angeles, Monterey Bay, North Coast, Orange County, Riverside County, Sacramento, San Bernardino County, San Diego, Santa Barbara, SF Bay Area, Sierra Nevada, Ventura, Colorado, Denver, High Country, Western Slope, Connecticut, Fairfield County, Hartford, New Haven, New London, Delaware, Florida, Fort Myers, Gainesville, Jacksonville, Key West, Lakeland, Miami, Ocala, Orlando, Palm Bay, Palm Beach County, Pensacola, Port Charlotte, Port St. Lucie, Sarasota, Tallahassee, Tampa, Volusia County, Georgia, Albany, Athens, Atlanta, Augusta, Columbus, Dalton, Macon, Rome, Savannah, Valdosta, Idaho, Boise, Pocatello, Twin Falls, Indiana, Evansville, Fort Wayne, Indianapolis, Jeffersonville, Kokomo, Lafayette, Lake and Porter County, South Bend, Terre Haute, Iowa, Kansas, Kentucky, Louisiana, Maine, Maryland, Annapolis, Baltimore, Frederick, Hagerstown, Montgomery County, Massachusetts, Boston, Bristol County, Cape Cod, Plymouth County, Western Mass, Worcester, Michigan, Minnesota, Mississippi, Missouri, Columbia, Joplin, Kansas City, Springfield, St Louis, St. Joseph, Montana, Billings, Bozeman, Great Falls, Kalispell, Missoula, Nebraska, New Hampshire, New Jersey, Atlantic City, Camden, Newark, New Mexico, New York, Buffalo, New York City, Rochester, North Carolina, Asheville, Charlotte, Fayetteville, Greensboro, Greenville, Hickory, New Bern, Raleigh, Rocky Mount, Sanford, Wilmington, Wilson, Winston-Salem, Ohio, Oklahoma, Oregon, Bend, Corvallis, Eugene, Grants Pass, Klamath Falls, Medford, Portland, Salem, Pennsylvania, Allentown, Harrisburg, Philadelphia, Pittsburgh, Rhode Island, South Carolina, Augusta-Richmond County, Charleston, Florence, Hilton Head Island, Myrtle Beach, Sumter, York County, Tennessee, Chattanooga, Clarksville, Gatlinburg, Knoxville, Memphis, Nashville, Texas, Austin, Beaumont, Corpus Christi, Dallas, El Paso, Houston, Laredo, Rio Grande Valley, San Antonio, Waco, Utah, Cache County, Iron County, Salt Lake City, St. George, Virginia, Charlottesville, Danville, Fredericksburg, Harrisonburg, Lynchburg, NOVA, Richmond, Roanoke, Virginia Beach, Winchester, Washington, Cascades, Columbia Basin, Seattle, Spokane, Vancouver, Washington DC, Wisconsin, Wyoming</x:v>
      </x:c>
      <x:c r="K2477" s="16" t="str">
        <x:v>Seattle</x:v>
      </x:c>
      <x:c r="L2477" s="16" t="str">
        <x:v>firm_business_routing</x:v>
      </x:c>
      <x:c r="M2477" s="16" t="str">
        <x:v>https://www.certainlending.com/?utm_source=lender-link</x:v>
      </x:c>
      <x:c r="N2477" s="16" t="str">
        <x:v>$100K-$500K ticket not published / unconfirmed</x:v>
      </x:c>
      <x:c r="O2477" s="20"/>
      <x:c r="P2477" s="20"/>
      <x:c r="Q2477" s="25" t="str">
        <x:v>Property-loan range, not a corporate-capital commitment</x:v>
      </x:c>
      <x:c r="R2477" s="25" t="str">
        <x:v>Private real-estate finance experience. Corporate working capital, minority equity or profit participation requires a separate agreement from a property loan.</x:v>
      </x:c>
      <x:c r="S2477" s="25"/>
      <x:c r="T2477" s="25" t="str">
        <x:v>Confirm direct principal versus broker, $100K-$500K appetite, and whether capital can fund the operating company without a property mortgage.</x:v>
      </x:c>
      <x:c r="U2477" s="25" t="str">
        <x:v>https://privatelenderlink.com/profile/certain-lending/
https://www.privatelendersdirectory.com/united-states/seattle/top-level-category/certain-capital
https://www.certainlending.com/</x:v>
      </x:c>
      <x:c r="V2477" s="26" t="d">
        <x:v>2026-10-02T00:00:00.000Z</x:v>
      </x:c>
      <x:c r="W2477" s="26" t="d">
        <x:v>2026-09-30T00:00:00.000Z</x:v>
      </x:c>
      <x:c r="X2477" s="25" t="str">
        <x:v>Saved public company, industry-directory or regulatory source; source date retained</x:v>
      </x:c>
      <x:c r="Y2477" s="25" t="str">
        <x:v>https://privatelenderlink.com/profile/certain-lending/</x:v>
      </x:c>
      <x:c r="Z2477" s="25" t="str">
        <x:v>https://privatelenderlink.com/profile/certain-lending/</x:v>
      </x:c>
      <x:c r="AA2477" s="25" t="str">
        <x:v>[]</x:v>
      </x:c>
      <x:c r="AB2477" s="3" t="str">
        <x:v>Existing CapitalForge research, newly screened for this campaign</x:v>
      </x:c>
      <x:c r="AC2477" s="3" t="str">
        <x:v>unverified</x:v>
      </x:c>
      <x:c r="AD2477" s="3" t="str">
        <x:v>Not contacted / unconfirmed</x:v>
      </x:c>
      <x:c r="AE2477" s="3" t="str">
        <x:v>No</x:v>
      </x:c>
      <x:c r="AF2477" s="3" t="str">
        <x:v>No</x:v>
      </x:c>
      <x:c r="AG2477" s="3"/>
      <x:c r="AH2477" s="3"/>
      <x:c r="AI2477" s="18"/>
      <x:c r="AJ2477" s="3" t="str">
        <x:v>CF2500-7D11E68970E2</x:v>
      </x:c>
      <x:c r="AK2477" s="3" t="str">
        <x:v>private_real_estate_lender</x:v>
      </x:c>
      <x:c r="AL2477" s="19" t="n">
        <x:v>100000</x:v>
      </x:c>
      <x:c r="AM2477" s="19" t="n">
        <x:v>500000</x:v>
      </x:c>
      <x:c r="AN2477" s="3" t="str">
        <x:v>https://privatelenderlink.com/profile/certain-lending/</x:v>
      </x:c>
      <x:c r="AO2477" s="3" t="str">
        <x:v>public_directory.jsonl</x:v>
      </x:c>
      <x:c r="AP2477" s="19"/>
    </x:row>
    <x:row r="2478" ht="36" customHeight="1">
      <x:c r="A2478" s="23" t="n">
        <x:v>2477</x:v>
      </x:c>
      <x:c r="B2478" s="15" t="str">
        <x:v>Cetan Funds, LLC</x:v>
      </x:c>
      <x:c r="C2478" s="15"/>
      <x:c r="D2478" s="15" t="str">
        <x:v>Property lender or directory member; operating-company capital unconfirmed</x:v>
      </x:c>
      <x:c r="E2478" s="15" t="str">
        <x:v>Property lender / private-money inquiry</x:v>
      </x:c>
      <x:c r="F2478" s="17" t="str">
        <x:v>New</x:v>
      </x:c>
      <x:c r="G2478" s="24" t="str">
        <x:v>loanops@cetanfunds.com</x:v>
      </x:c>
      <x:c r="H2478" s="24" t="str">
        <x:v>+15418027883</x:v>
      </x:c>
      <x:c r="I2478" s="24" t="str">
        <x:v>https://cetanfunds.com/?utm_source=private-lender-link</x:v>
      </x:c>
      <x:c r="J2478" s="16" t="str">
        <x:v>Oregon, Bend, Corvallis, Eugene, Grants Pass, Klamath Falls, Medford, Portland, Salem</x:v>
      </x:c>
      <x:c r="K2478" s="16" t="str">
        <x:v>Eugene</x:v>
      </x:c>
      <x:c r="L2478" s="16" t="str">
        <x:v>firm_business_routing</x:v>
      </x:c>
      <x:c r="M2478" s="16" t="str">
        <x:v>https://cetanfunds.com/?utm_source=private-lender-link</x:v>
      </x:c>
      <x:c r="N2478" s="16" t="str">
        <x:v>$100K-$500K ticket not published / unconfirmed</x:v>
      </x:c>
      <x:c r="O2478" s="20"/>
      <x:c r="P2478" s="20"/>
      <x:c r="Q2478" s="25" t="str">
        <x:v>Property-loan range, not a corporate-capital commitment</x:v>
      </x:c>
      <x:c r="R2478" s="25" t="str">
        <x:v>Private real-estate finance experience. Corporate working capital, minority equity or profit participation requires a separate agreement from a property loan.</x:v>
      </x:c>
      <x:c r="S2478" s="25"/>
      <x:c r="T2478" s="25" t="str">
        <x:v>Confirm direct principal versus broker, $100K-$500K appetite, and whether capital can fund the operating company without a property mortgage.</x:v>
      </x:c>
      <x:c r="U2478" s="25" t="str">
        <x:v>https://privatelenderlink.com/profile/cetan-funds/</x:v>
      </x:c>
      <x:c r="V2478" s="26" t="d">
        <x:v>2026-10-02T00:00:00.000Z</x:v>
      </x:c>
      <x:c r="W2478" s="26" t="d">
        <x:v>2026-09-30T00:00:00.000Z</x:v>
      </x:c>
      <x:c r="X2478" s="25" t="str">
        <x:v>Saved public company, industry-directory or regulatory source; source date retained</x:v>
      </x:c>
      <x:c r="Y2478" s="25" t="str">
        <x:v>https://privatelenderlink.com/profile/cetan-funds/</x:v>
      </x:c>
      <x:c r="Z2478" s="25" t="str">
        <x:v>https://privatelenderlink.com/profile/cetan-funds/</x:v>
      </x:c>
      <x:c r="AA2478" s="25" t="str">
        <x:v>[]</x:v>
      </x:c>
      <x:c r="AB2478" s="3" t="str">
        <x:v>Existing CapitalForge research, newly screened for this campaign</x:v>
      </x:c>
      <x:c r="AC2478" s="3" t="str">
        <x:v>unverified</x:v>
      </x:c>
      <x:c r="AD2478" s="3" t="str">
        <x:v>Not contacted / unconfirmed</x:v>
      </x:c>
      <x:c r="AE2478" s="3" t="str">
        <x:v>No</x:v>
      </x:c>
      <x:c r="AF2478" s="3" t="str">
        <x:v>No</x:v>
      </x:c>
      <x:c r="AG2478" s="3"/>
      <x:c r="AH2478" s="3"/>
      <x:c r="AI2478" s="18"/>
      <x:c r="AJ2478" s="3" t="str">
        <x:v>CF2500-62E204702B47</x:v>
      </x:c>
      <x:c r="AK2478" s="3" t="str">
        <x:v>private_real_estate_lender</x:v>
      </x:c>
      <x:c r="AL2478" s="19" t="n">
        <x:v>100000</x:v>
      </x:c>
      <x:c r="AM2478" s="19" t="n">
        <x:v>500000</x:v>
      </x:c>
      <x:c r="AN2478" s="3" t="str">
        <x:v>https://privatelenderlink.com/profile/cetan-funds/</x:v>
      </x:c>
      <x:c r="AO2478" s="3" t="str">
        <x:v>public_directory.jsonl</x:v>
      </x:c>
      <x:c r="AP2478" s="19"/>
    </x:row>
    <x:row r="2479" ht="36" customHeight="1">
      <x:c r="A2479" s="23" t="n">
        <x:v>2478</x:v>
      </x:c>
      <x:c r="B2479" s="15" t="str">
        <x:v>CFG FUNDS</x:v>
      </x:c>
      <x:c r="C2479" s="15"/>
      <x:c r="D2479" s="15" t="str">
        <x:v>Property lender or directory member; operating-company capital unconfirmed</x:v>
      </x:c>
      <x:c r="E2479" s="15" t="str">
        <x:v>Property lender / private-money inquiry</x:v>
      </x:c>
      <x:c r="F2479" s="17" t="str">
        <x:v>New</x:v>
      </x:c>
      <x:c r="G2479" s="24" t="str">
        <x:v>newloans1@cfgfunds.com</x:v>
      </x:c>
      <x:c r="H2479" s="24" t="str">
        <x:v>+14085725672</x:v>
      </x:c>
      <x:c r="I2479" s="24" t="str">
        <x:v>https://www.cfgfunds.com/</x:v>
      </x:c>
      <x:c r="J2479" s="16" t="str">
        <x:v>CA</x:v>
      </x:c>
      <x:c r="K2479" s="16" t="str">
        <x:v>San Jose</x:v>
      </x:c>
      <x:c r="L2479" s="16" t="str">
        <x:v>firm_business_routing</x:v>
      </x:c>
      <x:c r="M2479" s="16" t="str">
        <x:v>https://www.cfgfunds.com/</x:v>
      </x:c>
      <x:c r="N2479" s="16" t="str">
        <x:v>$100K-$500K ticket not published / unconfirmed</x:v>
      </x:c>
      <x:c r="O2479" s="20"/>
      <x:c r="P2479" s="20"/>
      <x:c r="Q2479" s="25" t="str">
        <x:v>Property-loan range, not a corporate-capital commitment</x:v>
      </x:c>
      <x:c r="R2479" s="25" t="str">
        <x:v>Private real-estate finance experience. Corporate working capital, minority equity or profit participation requires a separate agreement from a property loan.</x:v>
      </x:c>
      <x:c r="S2479" s="25"/>
      <x:c r="T2479" s="25" t="str">
        <x:v>Confirm direct principal versus broker, $100K-$500K appetite, and whether capital can fund the operating company without a property mortgage.</x:v>
      </x:c>
      <x:c r="U2479" s="25" t="str">
        <x:v>https://www.privatelendersdirectory.com/united-states/san-jose/top-level-category/cfg-funds
https://www.cfgfunds.com/</x:v>
      </x:c>
      <x:c r="V2479" s="26" t="d">
        <x:v>2026-10-02T00:00:00.000Z</x:v>
      </x:c>
      <x:c r="W2479" s="26" t="d">
        <x:v>2026-09-30T00:00:00.000Z</x:v>
      </x:c>
      <x:c r="X2479" s="25" t="str">
        <x:v>Saved public company, industry-directory or regulatory source; source date retained</x:v>
      </x:c>
      <x:c r="Y2479" s="25" t="str">
        <x:v>https://www.cfgfunds.com/</x:v>
      </x:c>
      <x:c r="Z2479" s="25" t="str">
        <x:v>https://www.cfgfunds.com/</x:v>
      </x:c>
      <x:c r="AA2479" s="25" t="str">
        <x:v>[]</x:v>
      </x:c>
      <x:c r="AB2479" s="3" t="str">
        <x:v>Existing CapitalForge research, newly screened for this campaign</x:v>
      </x:c>
      <x:c r="AC2479" s="3" t="str">
        <x:v>unverified</x:v>
      </x:c>
      <x:c r="AD2479" s="3" t="str">
        <x:v>Not contacted / unconfirmed</x:v>
      </x:c>
      <x:c r="AE2479" s="3" t="str">
        <x:v>No</x:v>
      </x:c>
      <x:c r="AF2479" s="3" t="str">
        <x:v>No</x:v>
      </x:c>
      <x:c r="AG2479" s="3"/>
      <x:c r="AH2479" s="3"/>
      <x:c r="AI2479" s="18"/>
      <x:c r="AJ2479" s="3" t="str">
        <x:v>CF2500-62A55F72D842</x:v>
      </x:c>
      <x:c r="AK2479" s="3" t="str">
        <x:v>private_real_estate_lender</x:v>
      </x:c>
      <x:c r="AL2479" s="19" t="n">
        <x:v>100000</x:v>
      </x:c>
      <x:c r="AM2479" s="19" t="n">
        <x:v>500000</x:v>
      </x:c>
      <x:c r="AN2479" s="3" t="str">
        <x:v>https://www.privatelendersdirectory.com/united-states/san-jose/top-level-category/cfg-funds</x:v>
      </x:c>
      <x:c r="AO2479" s="3" t="str">
        <x:v>public_directory.jsonl</x:v>
      </x:c>
      <x:c r="AP2479" s="19"/>
    </x:row>
    <x:row r="2480" ht="36" customHeight="1">
      <x:c r="A2480" s="23" t="n">
        <x:v>2479</x:v>
      </x:c>
      <x:c r="B2480" s="15" t="str">
        <x:v>CHANGE HOME MORTGAGE</x:v>
      </x:c>
      <x:c r="C2480" s="15"/>
      <x:c r="D2480" s="15" t="str">
        <x:v>Property lender or directory member; operating-company capital unconfirmed</x:v>
      </x:c>
      <x:c r="E2480" s="15" t="str">
        <x:v>Property lender / private-money inquiry</x:v>
      </x:c>
      <x:c r="F2480" s="17" t="str">
        <x:v>New</x:v>
      </x:c>
      <x:c r="G2480" s="24" t="str">
        <x:v>info@changemtg.com</x:v>
      </x:c>
      <x:c r="H2480" s="24" t="str">
        <x:v>+18332460123</x:v>
      </x:c>
      <x:c r="I2480" s="24" t="str">
        <x:v>https://www.changemtg.com/</x:v>
      </x:c>
      <x:c r="J2480" s="16" t="str">
        <x:v>CA</x:v>
      </x:c>
      <x:c r="K2480" s="16" t="str">
        <x:v>Anaheim</x:v>
      </x:c>
      <x:c r="L2480" s="16" t="str">
        <x:v>firm_business_routing</x:v>
      </x:c>
      <x:c r="M2480" s="16" t="str">
        <x:v>https://www.changemtg.com/</x:v>
      </x:c>
      <x:c r="N2480" s="16" t="str">
        <x:v>$100K-$500K ticket not published / unconfirmed</x:v>
      </x:c>
      <x:c r="O2480" s="20"/>
      <x:c r="P2480" s="20"/>
      <x:c r="Q2480" s="25" t="str">
        <x:v>Property-loan range, not a corporate-capital commitment</x:v>
      </x:c>
      <x:c r="R2480" s="25" t="str">
        <x:v>Private real-estate finance experience. Corporate working capital, minority equity or profit participation requires a separate agreement from a property loan.</x:v>
      </x:c>
      <x:c r="S2480" s="25"/>
      <x:c r="T2480" s="25" t="str">
        <x:v>Confirm direct principal versus broker, $100K-$500K appetite, and whether capital can fund the operating company without a property mortgage.</x:v>
      </x:c>
      <x:c r="U2480" s="25" t="str">
        <x:v>https://www.privatelendersdirectory.com/united-states/anaheim/top-level-category/change-home-mortgage
https://www.changemtg.com/</x:v>
      </x:c>
      <x:c r="V2480" s="26" t="d">
        <x:v>2026-10-02T00:00:00.000Z</x:v>
      </x:c>
      <x:c r="W2480" s="26" t="d">
        <x:v>2026-09-30T00:00:00.000Z</x:v>
      </x:c>
      <x:c r="X2480" s="25" t="str">
        <x:v>Saved public company, industry-directory or regulatory source; source date retained</x:v>
      </x:c>
      <x:c r="Y2480" s="25" t="str">
        <x:v>https://www.changemtg.com/</x:v>
      </x:c>
      <x:c r="Z2480" s="25" t="str">
        <x:v>https://www.changemtg.com/</x:v>
      </x:c>
      <x:c r="AA2480" s="25" t="str">
        <x:v>[]</x:v>
      </x:c>
      <x:c r="AB2480" s="3" t="str">
        <x:v>Existing CapitalForge research, newly screened for this campaign</x:v>
      </x:c>
      <x:c r="AC2480" s="3" t="str">
        <x:v>unverified</x:v>
      </x:c>
      <x:c r="AD2480" s="3" t="str">
        <x:v>Not contacted / unconfirmed</x:v>
      </x:c>
      <x:c r="AE2480" s="3" t="str">
        <x:v>No</x:v>
      </x:c>
      <x:c r="AF2480" s="3" t="str">
        <x:v>No</x:v>
      </x:c>
      <x:c r="AG2480" s="3"/>
      <x:c r="AH2480" s="3"/>
      <x:c r="AI2480" s="18"/>
      <x:c r="AJ2480" s="3" t="str">
        <x:v>CF2500-737140247021</x:v>
      </x:c>
      <x:c r="AK2480" s="3" t="str">
        <x:v>private_real_estate_lender</x:v>
      </x:c>
      <x:c r="AL2480" s="19" t="n">
        <x:v>100000</x:v>
      </x:c>
      <x:c r="AM2480" s="19" t="n">
        <x:v>500000</x:v>
      </x:c>
      <x:c r="AN2480" s="3" t="str">
        <x:v>https://www.privatelendersdirectory.com/united-states/anaheim/top-level-category/change-home-mortgage</x:v>
      </x:c>
      <x:c r="AO2480" s="3" t="str">
        <x:v>public_directory.jsonl</x:v>
      </x:c>
      <x:c r="AP2480" s="19"/>
    </x:row>
    <x:row r="2481" ht="36" customHeight="1">
      <x:c r="A2481" s="23" t="n">
        <x:v>2480</x:v>
      </x:c>
      <x:c r="B2481" s="15" t="str">
        <x:v>CHAVEZ CAPITAL</x:v>
      </x:c>
      <x:c r="C2481" s="15"/>
      <x:c r="D2481" s="15" t="str">
        <x:v>Property lender or directory member; operating-company capital unconfirmed</x:v>
      </x:c>
      <x:c r="E2481" s="15" t="str">
        <x:v>Property lender / private-money inquiry</x:v>
      </x:c>
      <x:c r="F2481" s="17" t="str">
        <x:v>New</x:v>
      </x:c>
      <x:c r="G2481" s="24" t="str">
        <x:v>info@chavez.capital</x:v>
      </x:c>
      <x:c r="H2481" s="24" t="str">
        <x:v>+18887041629</x:v>
      </x:c>
      <x:c r="I2481" s="24" t="str">
        <x:v>https://chavez.capital/</x:v>
      </x:c>
      <x:c r="J2481" s="16" t="str">
        <x:v>WA</x:v>
      </x:c>
      <x:c r="K2481" s="16" t="str">
        <x:v>Spokane</x:v>
      </x:c>
      <x:c r="L2481" s="16" t="str">
        <x:v>firm_business_routing</x:v>
      </x:c>
      <x:c r="M2481" s="16" t="str">
        <x:v>https://chavez.capital/</x:v>
      </x:c>
      <x:c r="N2481" s="16" t="str">
        <x:v>$100K-$500K ticket not published / unconfirmed</x:v>
      </x:c>
      <x:c r="O2481" s="20"/>
      <x:c r="P2481" s="20"/>
      <x:c r="Q2481" s="25" t="str">
        <x:v>Property-loan range, not a corporate-capital commitment</x:v>
      </x:c>
      <x:c r="R2481" s="25" t="str">
        <x:v>Private real-estate finance experience. Corporate working capital, minority equity or profit participation requires a separate agreement from a property loan.</x:v>
      </x:c>
      <x:c r="S2481" s="25"/>
      <x:c r="T2481" s="25" t="str">
        <x:v>Confirm direct principal versus broker, $100K-$500K appetite, and whether capital can fund the operating company without a property mortgage.</x:v>
      </x:c>
      <x:c r="U2481" s="25" t="str">
        <x:v>https://www.privatelendersdirectory.com/united-states/spokane/top-level-category/chavez-capital
https://chavez.capital/</x:v>
      </x:c>
      <x:c r="V2481" s="26" t="d">
        <x:v>2026-10-02T00:00:00.000Z</x:v>
      </x:c>
      <x:c r="W2481" s="26" t="d">
        <x:v>2026-09-30T00:00:00.000Z</x:v>
      </x:c>
      <x:c r="X2481" s="25" t="str">
        <x:v>Saved public company, industry-directory or regulatory source; source date retained</x:v>
      </x:c>
      <x:c r="Y2481" s="25" t="str">
        <x:v>https://chavez.capital/</x:v>
      </x:c>
      <x:c r="Z2481" s="25" t="str">
        <x:v>https://chavez.capital/</x:v>
      </x:c>
      <x:c r="AA2481" s="25" t="str">
        <x:v>[]</x:v>
      </x:c>
      <x:c r="AB2481" s="3" t="str">
        <x:v>Existing CapitalForge research, newly screened for this campaign</x:v>
      </x:c>
      <x:c r="AC2481" s="3" t="str">
        <x:v>unverified</x:v>
      </x:c>
      <x:c r="AD2481" s="3" t="str">
        <x:v>Not contacted / unconfirmed</x:v>
      </x:c>
      <x:c r="AE2481" s="3" t="str">
        <x:v>No</x:v>
      </x:c>
      <x:c r="AF2481" s="3" t="str">
        <x:v>No</x:v>
      </x:c>
      <x:c r="AG2481" s="3"/>
      <x:c r="AH2481" s="3"/>
      <x:c r="AI2481" s="18"/>
      <x:c r="AJ2481" s="3" t="str">
        <x:v>CF2500-6CE91BE5C13C</x:v>
      </x:c>
      <x:c r="AK2481" s="3" t="str">
        <x:v>private_real_estate_lender</x:v>
      </x:c>
      <x:c r="AL2481" s="19" t="n">
        <x:v>100000</x:v>
      </x:c>
      <x:c r="AM2481" s="19" t="n">
        <x:v>500000</x:v>
      </x:c>
      <x:c r="AN2481" s="3" t="str">
        <x:v>https://www.privatelendersdirectory.com/united-states/spokane/top-level-category/chavez-capital</x:v>
      </x:c>
      <x:c r="AO2481" s="3" t="str">
        <x:v>public_directory.jsonl</x:v>
      </x:c>
      <x:c r="AP2481" s="19"/>
    </x:row>
    <x:row r="2482" ht="36" customHeight="1">
      <x:c r="A2482" s="23" t="n">
        <x:v>2481</x:v>
      </x:c>
      <x:c r="B2482" s="15" t="str">
        <x:v>Christiansen Capital</x:v>
      </x:c>
      <x:c r="C2482" s="15"/>
      <x:c r="D2482" s="15" t="str">
        <x:v>Property lender or directory member; operating-company capital unconfirmed</x:v>
      </x:c>
      <x:c r="E2482" s="15" t="str">
        <x:v>Property lender / private-money inquiry</x:v>
      </x:c>
      <x:c r="F2482" s="17" t="str">
        <x:v>New</x:v>
      </x:c>
      <x:c r="G2482" s="24" t="str">
        <x:v>jason@christiansencapital.com</x:v>
      </x:c>
      <x:c r="H2482" s="24" t="str">
        <x:v>+18007608680</x:v>
      </x:c>
      <x:c r="I2482" s="24" t="str">
        <x:v>http://www.christiansencapital.com/</x:v>
      </x:c>
      <x:c r="J2482" s="16" t="str">
        <x:v>CA</x:v>
      </x:c>
      <x:c r="K2482" s="16" t="str">
        <x:v>Murrieta</x:v>
      </x:c>
      <x:c r="L2482" s="16" t="str">
        <x:v>firm_business_routing</x:v>
      </x:c>
      <x:c r="M2482" s="16" t="str">
        <x:v>http://www.christiansencapital.com/</x:v>
      </x:c>
      <x:c r="N2482" s="16" t="str">
        <x:v>$100K-$500K ticket not published / unconfirmed</x:v>
      </x:c>
      <x:c r="O2482" s="20"/>
      <x:c r="P2482" s="20"/>
      <x:c r="Q2482" s="25" t="str">
        <x:v>Property-loan range, not a corporate-capital commitment</x:v>
      </x:c>
      <x:c r="R2482" s="25" t="str">
        <x:v>Private real-estate finance experience. Corporate working capital, minority equity or profit participation requires a separate agreement from a property loan.</x:v>
      </x:c>
      <x:c r="S2482" s="25"/>
      <x:c r="T2482" s="25" t="str">
        <x:v>Confirm direct principal versus broker, $100K-$500K appetite, and whether capital can fund the operating company without a property mortgage.</x:v>
      </x:c>
      <x:c r="U2482" s="25" t="str">
        <x:v>https://www.hardmoneyhome.com/lenders/view/christiansen-capital
https://www.christiansencapital.com/</x:v>
      </x:c>
      <x:c r="V2482" s="26" t="d">
        <x:v>2026-10-02T00:00:00.000Z</x:v>
      </x:c>
      <x:c r="W2482" s="26" t="d">
        <x:v>2026-09-30T00:00:00.000Z</x:v>
      </x:c>
      <x:c r="X2482" s="25" t="str">
        <x:v>Saved public company, industry-directory or regulatory source; source date retained</x:v>
      </x:c>
      <x:c r="Y2482" s="25" t="str">
        <x:v>https://www.christiansencapital.com/</x:v>
      </x:c>
      <x:c r="Z2482" s="25" t="str">
        <x:v>https://www.hardmoneyhome.com/lenders/view/christiansen-capital</x:v>
      </x:c>
      <x:c r="AA2482" s="25" t="str">
        <x:v>[]</x:v>
      </x:c>
      <x:c r="AB2482" s="3" t="str">
        <x:v>Existing CapitalForge research, newly screened for this campaign</x:v>
      </x:c>
      <x:c r="AC2482" s="3" t="str">
        <x:v>unverified</x:v>
      </x:c>
      <x:c r="AD2482" s="3" t="str">
        <x:v>Not contacted / unconfirmed</x:v>
      </x:c>
      <x:c r="AE2482" s="3" t="str">
        <x:v>No</x:v>
      </x:c>
      <x:c r="AF2482" s="3" t="str">
        <x:v>No</x:v>
      </x:c>
      <x:c r="AG2482" s="3"/>
      <x:c r="AH2482" s="3"/>
      <x:c r="AI2482" s="18"/>
      <x:c r="AJ2482" s="3" t="str">
        <x:v>CF2500-9BC666176027</x:v>
      </x:c>
      <x:c r="AK2482" s="3" t="str">
        <x:v>private_real_estate_lender</x:v>
      </x:c>
      <x:c r="AL2482" s="19" t="n">
        <x:v>100000</x:v>
      </x:c>
      <x:c r="AM2482" s="19" t="n">
        <x:v>500000</x:v>
      </x:c>
      <x:c r="AN2482" s="3" t="str">
        <x:v>https://www.hardmoneyhome.com/lenders/view/christiansen-capital</x:v>
      </x:c>
      <x:c r="AO2482" s="3" t="str">
        <x:v>public_directory.jsonl</x:v>
      </x:c>
      <x:c r="AP2482" s="19"/>
    </x:row>
    <x:row r="2483" ht="36" customHeight="1">
      <x:c r="A2483" s="23" t="n">
        <x:v>2482</x:v>
      </x:c>
      <x:c r="B2483" s="15" t="str">
        <x:v>CHURCHILL COMMERCIAL FUNDING</x:v>
      </x:c>
      <x:c r="C2483" s="15"/>
      <x:c r="D2483" s="15" t="str">
        <x:v>Property lender or directory member; operating-company capital unconfirmed</x:v>
      </x:c>
      <x:c r="E2483" s="15" t="str">
        <x:v>Property lender / private-money inquiry</x:v>
      </x:c>
      <x:c r="F2483" s="17" t="str">
        <x:v>New</x:v>
      </x:c>
      <x:c r="G2483" s="24" t="str">
        <x:v>info@churchillcf.com</x:v>
      </x:c>
      <x:c r="H2483" s="24" t="str">
        <x:v>+17343681339</x:v>
      </x:c>
      <x:c r="I2483" s="24" t="str">
        <x:v>https://churchillcf.com/</x:v>
      </x:c>
      <x:c r="J2483" s="16" t="str">
        <x:v>MI</x:v>
      </x:c>
      <x:c r="K2483" s="16" t="str">
        <x:v>Detroit</x:v>
      </x:c>
      <x:c r="L2483" s="16" t="str">
        <x:v>firm_business_routing</x:v>
      </x:c>
      <x:c r="M2483" s="16" t="str">
        <x:v>https://churchillcf.com/</x:v>
      </x:c>
      <x:c r="N2483" s="16" t="str">
        <x:v>$100K-$500K ticket not published / unconfirmed</x:v>
      </x:c>
      <x:c r="O2483" s="20"/>
      <x:c r="P2483" s="20"/>
      <x:c r="Q2483" s="25" t="str">
        <x:v>Property-loan range, not a corporate-capital commitment</x:v>
      </x:c>
      <x:c r="R2483" s="25" t="str">
        <x:v>Private real-estate finance experience. Corporate working capital, minority equity or profit participation requires a separate agreement from a property loan.</x:v>
      </x:c>
      <x:c r="S2483" s="25"/>
      <x:c r="T2483" s="25" t="str">
        <x:v>Confirm direct principal versus broker, $100K-$500K appetite, and whether capital can fund the operating company without a property mortgage.</x:v>
      </x:c>
      <x:c r="U2483" s="25" t="str">
        <x:v>https://www.privatelendersdirectory.com/united-states/detroit/top-level-category/churchill-commercial-funding
https://churchillcf.com/</x:v>
      </x:c>
      <x:c r="V2483" s="26" t="d">
        <x:v>2026-10-02T00:00:00.000Z</x:v>
      </x:c>
      <x:c r="W2483" s="26" t="d">
        <x:v>2026-09-30T00:00:00.000Z</x:v>
      </x:c>
      <x:c r="X2483" s="25" t="str">
        <x:v>Saved public company, industry-directory or regulatory source; source date retained</x:v>
      </x:c>
      <x:c r="Y2483" s="25" t="str">
        <x:v>https://churchillcf.com/</x:v>
      </x:c>
      <x:c r="Z2483" s="25" t="str">
        <x:v>https://churchillcf.com/</x:v>
      </x:c>
      <x:c r="AA2483" s="25" t="str">
        <x:v>[]</x:v>
      </x:c>
      <x:c r="AB2483" s="3" t="str">
        <x:v>Existing CapitalForge research, newly screened for this campaign</x:v>
      </x:c>
      <x:c r="AC2483" s="3" t="str">
        <x:v>unverified</x:v>
      </x:c>
      <x:c r="AD2483" s="3" t="str">
        <x:v>Not contacted / unconfirmed</x:v>
      </x:c>
      <x:c r="AE2483" s="3" t="str">
        <x:v>No</x:v>
      </x:c>
      <x:c r="AF2483" s="3" t="str">
        <x:v>No</x:v>
      </x:c>
      <x:c r="AG2483" s="3"/>
      <x:c r="AH2483" s="3"/>
      <x:c r="AI2483" s="18"/>
      <x:c r="AJ2483" s="3" t="str">
        <x:v>CF2500-6CEBA571D10B</x:v>
      </x:c>
      <x:c r="AK2483" s="3" t="str">
        <x:v>private_real_estate_lender</x:v>
      </x:c>
      <x:c r="AL2483" s="19" t="n">
        <x:v>100000</x:v>
      </x:c>
      <x:c r="AM2483" s="19" t="n">
        <x:v>500000</x:v>
      </x:c>
      <x:c r="AN2483" s="3" t="str">
        <x:v>https://www.privatelendersdirectory.com/united-states/detroit/top-level-category/churchill-commercial-funding</x:v>
      </x:c>
      <x:c r="AO2483" s="3" t="str">
        <x:v>public_directory.jsonl</x:v>
      </x:c>
      <x:c r="AP2483" s="19"/>
    </x:row>
    <x:row r="2484" ht="36" customHeight="1">
      <x:c r="A2484" s="23" t="n">
        <x:v>2483</x:v>
      </x:c>
      <x:c r="B2484" s="15" t="str">
        <x:v>CIRIUS PACIFIC FUND</x:v>
      </x:c>
      <x:c r="C2484" s="15"/>
      <x:c r="D2484" s="15" t="str">
        <x:v>Property lender or directory member; operating-company capital unconfirmed</x:v>
      </x:c>
      <x:c r="E2484" s="15" t="str">
        <x:v>Property lender / private-money inquiry</x:v>
      </x:c>
      <x:c r="F2484" s="17" t="str">
        <x:v>New</x:v>
      </x:c>
      <x:c r="G2484" s="24" t="str">
        <x:v>john@ciriuspacific.com</x:v>
      </x:c>
      <x:c r="H2484" s="24" t="str">
        <x:v>+14083143815</x:v>
      </x:c>
      <x:c r="I2484" s="24" t="str">
        <x:v>https://ciriuspacific.com/</x:v>
      </x:c>
      <x:c r="J2484" s="16" t="str">
        <x:v>CA</x:v>
      </x:c>
      <x:c r="K2484" s="16" t="str">
        <x:v>Los Gatos</x:v>
      </x:c>
      <x:c r="L2484" s="16" t="str">
        <x:v>firm_business_routing</x:v>
      </x:c>
      <x:c r="M2484" s="16" t="str">
        <x:v>https://ciriuspacific.com/</x:v>
      </x:c>
      <x:c r="N2484" s="16" t="str">
        <x:v>$100K-$500K ticket not published / unconfirmed</x:v>
      </x:c>
      <x:c r="O2484" s="20"/>
      <x:c r="P2484" s="20"/>
      <x:c r="Q2484" s="25" t="str">
        <x:v>Property-loan range, not a corporate-capital commitment</x:v>
      </x:c>
      <x:c r="R2484" s="25" t="str">
        <x:v>Private real-estate finance experience. Corporate working capital, minority equity or profit participation requires a separate agreement from a property loan.</x:v>
      </x:c>
      <x:c r="S2484" s="25"/>
      <x:c r="T2484" s="25" t="str">
        <x:v>Confirm direct principal versus broker, $100K-$500K appetite, and whether capital can fund the operating company without a property mortgage.</x:v>
      </x:c>
      <x:c r="U2484" s="25" t="str">
        <x:v>https://www.privatelendersdirectory.com/united-states/los-gatos/top-level-category/cirius-pacific-fund
https://ciriuspacific.com/contact/</x:v>
      </x:c>
      <x:c r="V2484" s="26" t="d">
        <x:v>2026-10-02T00:00:00.000Z</x:v>
      </x:c>
      <x:c r="W2484" s="26" t="d">
        <x:v>2026-09-30T00:00:00.000Z</x:v>
      </x:c>
      <x:c r="X2484" s="25" t="str">
        <x:v>Saved public company, industry-directory or regulatory source; source date retained</x:v>
      </x:c>
      <x:c r="Y2484" s="25" t="str">
        <x:v>https://ciriuspacific.com/contact/</x:v>
      </x:c>
      <x:c r="Z2484" s="25" t="str">
        <x:v>https://ciriuspacific.com/contact/</x:v>
      </x:c>
      <x:c r="AA2484" s="25" t="str">
        <x:v>[]</x:v>
      </x:c>
      <x:c r="AB2484" s="3" t="str">
        <x:v>Existing CapitalForge research, newly screened for this campaign</x:v>
      </x:c>
      <x:c r="AC2484" s="3" t="str">
        <x:v>unverified</x:v>
      </x:c>
      <x:c r="AD2484" s="3" t="str">
        <x:v>Not contacted / unconfirmed</x:v>
      </x:c>
      <x:c r="AE2484" s="3" t="str">
        <x:v>No</x:v>
      </x:c>
      <x:c r="AF2484" s="3" t="str">
        <x:v>No</x:v>
      </x:c>
      <x:c r="AG2484" s="3"/>
      <x:c r="AH2484" s="3"/>
      <x:c r="AI2484" s="18"/>
      <x:c r="AJ2484" s="3" t="str">
        <x:v>CF2500-ED3B7B193DE1</x:v>
      </x:c>
      <x:c r="AK2484" s="3" t="str">
        <x:v>private_real_estate_lender</x:v>
      </x:c>
      <x:c r="AL2484" s="19" t="n">
        <x:v>100000</x:v>
      </x:c>
      <x:c r="AM2484" s="19" t="n">
        <x:v>500000</x:v>
      </x:c>
      <x:c r="AN2484" s="3" t="str">
        <x:v>https://www.privatelendersdirectory.com/united-states/los-gatos/top-level-category/cirius-pacific-fund</x:v>
      </x:c>
      <x:c r="AO2484" s="3" t="str">
        <x:v>public_directory.jsonl</x:v>
      </x:c>
      <x:c r="AP2484" s="19"/>
    </x:row>
    <x:row r="2485" ht="36" customHeight="1">
      <x:c r="A2485" s="23" t="n">
        <x:v>2484</x:v>
      </x:c>
      <x:c r="B2485" s="15" t="str">
        <x:v>CLARIFY CAPITAL</x:v>
      </x:c>
      <x:c r="C2485" s="15"/>
      <x:c r="D2485" s="15" t="str">
        <x:v>Property lender or directory member; operating-company capital unconfirmed</x:v>
      </x:c>
      <x:c r="E2485" s="15" t="str">
        <x:v>Property lender / private-money inquiry</x:v>
      </x:c>
      <x:c r="F2485" s="17" t="str">
        <x:v>New</x:v>
      </x:c>
      <x:c r="G2485" s="24" t="str">
        <x:v>inquiries@clarifycapital.com</x:v>
      </x:c>
      <x:c r="H2485" s="24" t="str">
        <x:v>+18778383919</x:v>
      </x:c>
      <x:c r="I2485" s="24" t="str">
        <x:v>https://clarifycapital.com/</x:v>
      </x:c>
      <x:c r="J2485" s="16" t="str">
        <x:v>NY</x:v>
      </x:c>
      <x:c r="K2485" s="16" t="str">
        <x:v>New York</x:v>
      </x:c>
      <x:c r="L2485" s="16" t="str">
        <x:v>firm_business_routing</x:v>
      </x:c>
      <x:c r="M2485" s="16" t="str">
        <x:v>https://clarifycapital.com/</x:v>
      </x:c>
      <x:c r="N2485" s="16" t="str">
        <x:v>$100K-$500K ticket not published / unconfirmed</x:v>
      </x:c>
      <x:c r="O2485" s="20"/>
      <x:c r="P2485" s="20"/>
      <x:c r="Q2485" s="25" t="str">
        <x:v>Property-loan range, not a corporate-capital commitment</x:v>
      </x:c>
      <x:c r="R2485" s="25" t="str">
        <x:v>Private real-estate finance experience. Corporate working capital, minority equity or profit participation requires a separate agreement from a property loan.</x:v>
      </x:c>
      <x:c r="S2485" s="25"/>
      <x:c r="T2485" s="25" t="str">
        <x:v>Confirm direct principal versus broker, $100K-$500K appetite, and whether capital can fund the operating company without a property mortgage.</x:v>
      </x:c>
      <x:c r="U2485" s="25" t="str">
        <x:v>https://www.privatelendersdirectory.com/united-states/new-york/top-level-category/clarify-capital
https://clarifycapital.com/</x:v>
      </x:c>
      <x:c r="V2485" s="26" t="d">
        <x:v>2026-10-02T00:00:00.000Z</x:v>
      </x:c>
      <x:c r="W2485" s="26" t="d">
        <x:v>2026-09-30T00:00:00.000Z</x:v>
      </x:c>
      <x:c r="X2485" s="25" t="str">
        <x:v>Saved public company, industry-directory or regulatory source; source date retained</x:v>
      </x:c>
      <x:c r="Y2485" s="25" t="str">
        <x:v>https://clarifycapital.com/</x:v>
      </x:c>
      <x:c r="Z2485" s="25" t="str">
        <x:v>https://clarifycapital.com/</x:v>
      </x:c>
      <x:c r="AA2485" s="25" t="str">
        <x:v>[]</x:v>
      </x:c>
      <x:c r="AB2485" s="3" t="str">
        <x:v>Existing CapitalForge research, newly screened for this campaign</x:v>
      </x:c>
      <x:c r="AC2485" s="3" t="str">
        <x:v>unverified</x:v>
      </x:c>
      <x:c r="AD2485" s="3" t="str">
        <x:v>Not contacted / unconfirmed</x:v>
      </x:c>
      <x:c r="AE2485" s="3" t="str">
        <x:v>No</x:v>
      </x:c>
      <x:c r="AF2485" s="3" t="str">
        <x:v>No</x:v>
      </x:c>
      <x:c r="AG2485" s="3"/>
      <x:c r="AH2485" s="3"/>
      <x:c r="AI2485" s="18"/>
      <x:c r="AJ2485" s="3" t="str">
        <x:v>CF2500-99E35FF6E3A9</x:v>
      </x:c>
      <x:c r="AK2485" s="3" t="str">
        <x:v>private_real_estate_lender</x:v>
      </x:c>
      <x:c r="AL2485" s="19" t="n">
        <x:v>100000</x:v>
      </x:c>
      <x:c r="AM2485" s="19" t="n">
        <x:v>500000</x:v>
      </x:c>
      <x:c r="AN2485" s="3" t="str">
        <x:v>https://www.privatelendersdirectory.com/united-states/new-york/top-level-category/clarify-capital</x:v>
      </x:c>
      <x:c r="AO2485" s="3" t="str">
        <x:v>public_directory.jsonl</x:v>
      </x:c>
      <x:c r="AP2485" s="19"/>
    </x:row>
    <x:row r="2486" ht="36" customHeight="1">
      <x:c r="A2486" s="23" t="n">
        <x:v>2485</x:v>
      </x:c>
      <x:c r="B2486" s="15" t="str">
        <x:v>CLARK CAPITAL MANAGEMENT</x:v>
      </x:c>
      <x:c r="C2486" s="15"/>
      <x:c r="D2486" s="15" t="str">
        <x:v>Property lender or directory member; operating-company capital unconfirmed</x:v>
      </x:c>
      <x:c r="E2486" s="15" t="str">
        <x:v>Property lender / private-money inquiry</x:v>
      </x:c>
      <x:c r="F2486" s="17" t="str">
        <x:v>New</x:v>
      </x:c>
      <x:c r="G2486" s="24" t="str">
        <x:v>callen@ccmg.com</x:v>
      </x:c>
      <x:c r="H2486" s="24" t="str">
        <x:v>+18007662264</x:v>
      </x:c>
      <x:c r="I2486" s="24" t="str">
        <x:v>https://www.ccmg.com/</x:v>
      </x:c>
      <x:c r="J2486" s="16" t="str">
        <x:v>PA</x:v>
      </x:c>
      <x:c r="K2486" s="16" t="str">
        <x:v>Philadelphia</x:v>
      </x:c>
      <x:c r="L2486" s="16" t="str">
        <x:v>firm_business_routing</x:v>
      </x:c>
      <x:c r="M2486" s="16" t="str">
        <x:v>https://www.ccmg.com/</x:v>
      </x:c>
      <x:c r="N2486" s="16" t="str">
        <x:v>$100K-$500K ticket not published / unconfirmed</x:v>
      </x:c>
      <x:c r="O2486" s="20"/>
      <x:c r="P2486" s="20"/>
      <x:c r="Q2486" s="25" t="str">
        <x:v>Property-loan range, not a corporate-capital commitment</x:v>
      </x:c>
      <x:c r="R2486" s="25" t="str">
        <x:v>Private real-estate finance experience. Corporate working capital, minority equity or profit participation requires a separate agreement from a property loan.</x:v>
      </x:c>
      <x:c r="S2486" s="25"/>
      <x:c r="T2486" s="25" t="str">
        <x:v>Confirm direct principal versus broker, $100K-$500K appetite, and whether capital can fund the operating company without a property mortgage.</x:v>
      </x:c>
      <x:c r="U2486" s="25" t="str">
        <x:v>https://www.privatelendersdirectory.com/united-states/philadelphia/top-level-category/clark-capital-management
https://ccmg.com/
https://ccmg.com/contact-us/</x:v>
      </x:c>
      <x:c r="V2486" s="26" t="d">
        <x:v>2026-10-02T00:00:00.000Z</x:v>
      </x:c>
      <x:c r="W2486" s="26" t="d">
        <x:v>2026-09-30T00:00:00.000Z</x:v>
      </x:c>
      <x:c r="X2486" s="25" t="str">
        <x:v>Saved public company, industry-directory or regulatory source; source date retained</x:v>
      </x:c>
      <x:c r="Y2486" s="25" t="str">
        <x:v>https://ccmg.com/contact-us/</x:v>
      </x:c>
      <x:c r="Z2486" s="25" t="str">
        <x:v>https://ccmg.com/</x:v>
      </x:c>
      <x:c r="AA2486" s="25" t="str">
        <x:v>[]</x:v>
      </x:c>
      <x:c r="AB2486" s="3" t="str">
        <x:v>Existing CapitalForge research, newly screened for this campaign</x:v>
      </x:c>
      <x:c r="AC2486" s="3" t="str">
        <x:v>unverified</x:v>
      </x:c>
      <x:c r="AD2486" s="3" t="str">
        <x:v>Not contacted / unconfirmed</x:v>
      </x:c>
      <x:c r="AE2486" s="3" t="str">
        <x:v>No</x:v>
      </x:c>
      <x:c r="AF2486" s="3" t="str">
        <x:v>No</x:v>
      </x:c>
      <x:c r="AG2486" s="3"/>
      <x:c r="AH2486" s="3"/>
      <x:c r="AI2486" s="18"/>
      <x:c r="AJ2486" s="3" t="str">
        <x:v>CF2500-21FBB91CB8B3</x:v>
      </x:c>
      <x:c r="AK2486" s="3" t="str">
        <x:v>private_real_estate_lender</x:v>
      </x:c>
      <x:c r="AL2486" s="19" t="n">
        <x:v>100000</x:v>
      </x:c>
      <x:c r="AM2486" s="19" t="n">
        <x:v>500000</x:v>
      </x:c>
      <x:c r="AN2486" s="3" t="str">
        <x:v>https://www.privatelendersdirectory.com/united-states/philadelphia/top-level-category/clark-capital-management</x:v>
      </x:c>
      <x:c r="AO2486" s="3" t="str">
        <x:v>public_directory.jsonl</x:v>
      </x:c>
      <x:c r="AP2486" s="19"/>
    </x:row>
    <x:row r="2487" ht="36" customHeight="1">
      <x:c r="A2487" s="23" t="n">
        <x:v>2486</x:v>
      </x:c>
      <x:c r="B2487" s="15" t="str">
        <x:v>Clear Sky Financial</x:v>
      </x:c>
      <x:c r="C2487" s="15"/>
      <x:c r="D2487" s="15" t="str">
        <x:v>Property lender or directory member; operating-company capital unconfirmed</x:v>
      </x:c>
      <x:c r="E2487" s="15" t="str">
        <x:v>Property lender / private-money inquiry</x:v>
      </x:c>
      <x:c r="F2487" s="17" t="str">
        <x:v>New</x:v>
      </x:c>
      <x:c r="G2487" s="24" t="str">
        <x:v>charlie@cskyfinancial.com</x:v>
      </x:c>
      <x:c r="H2487" s="24" t="str">
        <x:v>+15714270367</x:v>
      </x:c>
      <x:c r="I2487" s="24" t="str">
        <x:v>https://www.cskyfinancial.com/?utm_source=private-lender-link</x:v>
      </x:c>
      <x:c r="J2487" s="16" t="str">
        <x:v>Maryland, Annapolis, Baltimore, Frederick, Hagerstown, Montgomery County, Virginia, Charlottesville, Danville, Fredericksburg, Harrisonburg, Lynchburg, NOVA, Richmond, Roanoke, Virginia Beach, Winchester, Washington DC</x:v>
      </x:c>
      <x:c r="K2487" s="16" t="str">
        <x:v>Burke</x:v>
      </x:c>
      <x:c r="L2487" s="16" t="str">
        <x:v>firm_business_routing</x:v>
      </x:c>
      <x:c r="M2487" s="16" t="str">
        <x:v>https://www.cskyfinancial.com/?utm_source=private-lender-link</x:v>
      </x:c>
      <x:c r="N2487" s="16" t="str">
        <x:v>$100K-$500K ticket not published / unconfirmed</x:v>
      </x:c>
      <x:c r="O2487" s="20"/>
      <x:c r="P2487" s="20"/>
      <x:c r="Q2487" s="25" t="str">
        <x:v>Property-loan range, not a corporate-capital commitment</x:v>
      </x:c>
      <x:c r="R2487" s="25" t="str">
        <x:v>Private real-estate finance experience. Corporate working capital, minority equity or profit participation requires a separate agreement from a property loan.</x:v>
      </x:c>
      <x:c r="S2487" s="25"/>
      <x:c r="T2487" s="25" t="str">
        <x:v>Confirm direct principal versus broker, $100K-$500K appetite, and whether capital can fund the operating company without a property mortgage.</x:v>
      </x:c>
      <x:c r="U2487" s="25" t="str">
        <x:v>https://privatelenderlink.com/profile/clear-sky-financial/</x:v>
      </x:c>
      <x:c r="V2487" s="26" t="d">
        <x:v>2026-10-02T00:00:00.000Z</x:v>
      </x:c>
      <x:c r="W2487" s="26" t="d">
        <x:v>2026-09-30T00:00:00.000Z</x:v>
      </x:c>
      <x:c r="X2487" s="25" t="str">
        <x:v>Saved public company, industry-directory or regulatory source; source date retained</x:v>
      </x:c>
      <x:c r="Y2487" s="25" t="str">
        <x:v>https://privatelenderlink.com/profile/clear-sky-financial/</x:v>
      </x:c>
      <x:c r="Z2487" s="25" t="str">
        <x:v>https://privatelenderlink.com/profile/clear-sky-financial/</x:v>
      </x:c>
      <x:c r="AA2487" s="25" t="str">
        <x:v>[]</x:v>
      </x:c>
      <x:c r="AB2487" s="3" t="str">
        <x:v>Existing CapitalForge research, newly screened for this campaign</x:v>
      </x:c>
      <x:c r="AC2487" s="3" t="str">
        <x:v>unverified</x:v>
      </x:c>
      <x:c r="AD2487" s="3" t="str">
        <x:v>Not contacted / unconfirmed</x:v>
      </x:c>
      <x:c r="AE2487" s="3" t="str">
        <x:v>No</x:v>
      </x:c>
      <x:c r="AF2487" s="3" t="str">
        <x:v>No</x:v>
      </x:c>
      <x:c r="AG2487" s="3"/>
      <x:c r="AH2487" s="3"/>
      <x:c r="AI2487" s="18"/>
      <x:c r="AJ2487" s="3" t="str">
        <x:v>CF2500-D1CF5136327E</x:v>
      </x:c>
      <x:c r="AK2487" s="3" t="str">
        <x:v>private_real_estate_lender</x:v>
      </x:c>
      <x:c r="AL2487" s="19" t="n">
        <x:v>100000</x:v>
      </x:c>
      <x:c r="AM2487" s="19" t="n">
        <x:v>500000</x:v>
      </x:c>
      <x:c r="AN2487" s="3" t="str">
        <x:v>https://privatelenderlink.com/profile/clear-sky-financial/</x:v>
      </x:c>
      <x:c r="AO2487" s="3" t="str">
        <x:v>public_directory.jsonl</x:v>
      </x:c>
      <x:c r="AP2487" s="19"/>
    </x:row>
    <x:row r="2488" ht="36" customHeight="1">
      <x:c r="A2488" s="23" t="n">
        <x:v>2487</x:v>
      </x:c>
      <x:c r="B2488" s="15" t="str">
        <x:v>ClearEdge Commercial</x:v>
      </x:c>
      <x:c r="C2488" s="15"/>
      <x:c r="D2488" s="15" t="str">
        <x:v>Property lender or directory member; operating-company capital unconfirmed</x:v>
      </x:c>
      <x:c r="E2488" s="15" t="str">
        <x:v>Property lender / private-money inquiry</x:v>
      </x:c>
      <x:c r="F2488" s="17" t="str">
        <x:v>New</x:v>
      </x:c>
      <x:c r="G2488" s="24" t="str">
        <x:v>jcrump@clearedgelending.com</x:v>
      </x:c>
      <x:c r="H2488" s="24" t="str">
        <x:v>+16788328372</x:v>
      </x:c>
      <x:c r="I2488" s="24" t="str">
        <x:v>https://www.clearedgecommercial.com/</x:v>
      </x:c>
      <x:c r="J2488" s="16" t="str">
        <x:v>California</x:v>
      </x:c>
      <x:c r="K2488" s="16" t="str">
        <x:v>Irvine</x:v>
      </x:c>
      <x:c r="L2488" s="16" t="str">
        <x:v>firm_business_routing</x:v>
      </x:c>
      <x:c r="M2488" s="16" t="str">
        <x:v>https://www.clearedgecommercial.com/</x:v>
      </x:c>
      <x:c r="N2488" s="16" t="str">
        <x:v>$100K-$500K ticket not published / unconfirmed</x:v>
      </x:c>
      <x:c r="O2488" s="20"/>
      <x:c r="P2488" s="20"/>
      <x:c r="Q2488" s="25" t="str">
        <x:v>Property-loan range, not a corporate-capital commitment</x:v>
      </x:c>
      <x:c r="R2488" s="25" t="str">
        <x:v>Private real-estate finance experience. Corporate working capital, minority equity or profit participation requires a separate agreement from a property loan.</x:v>
      </x:c>
      <x:c r="S2488" s="25"/>
      <x:c r="T2488" s="25" t="str">
        <x:v>Confirm direct principal versus broker, $100K-$500K appetite, and whether capital can fund the operating company without a property mortgage.</x:v>
      </x:c>
      <x:c r="U2488" s="25" t="str">
        <x:v>https://privatelenderlink.com/profile/clearedge-commercial/
https://www.clearedgecommercial.com/
https://www.privatelendersdirectory.com/united-states/aliso-viejo/top-level-category/clearedge-commercial</x:v>
      </x:c>
      <x:c r="V2488" s="26" t="d">
        <x:v>2026-10-02T00:00:00.000Z</x:v>
      </x:c>
      <x:c r="W2488" s="26" t="d">
        <x:v>2026-09-30T00:00:00.000Z</x:v>
      </x:c>
      <x:c r="X2488" s="25" t="str">
        <x:v>Saved public company, industry-directory or regulatory source; source date retained</x:v>
      </x:c>
      <x:c r="Y2488" s="25" t="str">
        <x:v>https://privatelenderlink.com/profile/clearedge-commercial/</x:v>
      </x:c>
      <x:c r="Z2488" s="25" t="str">
        <x:v>https://www.clearedgecommercial.com/</x:v>
      </x:c>
      <x:c r="AA2488" s="25" t="str">
        <x:v>[]</x:v>
      </x:c>
      <x:c r="AB2488" s="3" t="str">
        <x:v>Existing CapitalForge research, newly screened for this campaign</x:v>
      </x:c>
      <x:c r="AC2488" s="3" t="str">
        <x:v>unverified</x:v>
      </x:c>
      <x:c r="AD2488" s="3" t="str">
        <x:v>Not contacted / unconfirmed</x:v>
      </x:c>
      <x:c r="AE2488" s="3" t="str">
        <x:v>No</x:v>
      </x:c>
      <x:c r="AF2488" s="3" t="str">
        <x:v>No</x:v>
      </x:c>
      <x:c r="AG2488" s="3"/>
      <x:c r="AH2488" s="3"/>
      <x:c r="AI2488" s="18"/>
      <x:c r="AJ2488" s="3" t="str">
        <x:v>CF2500-3E7B3B9E8420</x:v>
      </x:c>
      <x:c r="AK2488" s="3" t="str">
        <x:v>private_real_estate_lender</x:v>
      </x:c>
      <x:c r="AL2488" s="19" t="n">
        <x:v>100000</x:v>
      </x:c>
      <x:c r="AM2488" s="19" t="n">
        <x:v>500000</x:v>
      </x:c>
      <x:c r="AN2488" s="3" t="str">
        <x:v>https://privatelenderlink.com/profile/clearedge-commercial/</x:v>
      </x:c>
      <x:c r="AO2488" s="3" t="str">
        <x:v>public_directory.jsonl</x:v>
      </x:c>
      <x:c r="AP2488" s="19"/>
    </x:row>
    <x:row r="2489" ht="36" customHeight="1">
      <x:c r="A2489" s="23" t="n">
        <x:v>2488</x:v>
      </x:c>
      <x:c r="B2489" s="15" t="str">
        <x:v>Client First Lending</x:v>
      </x:c>
      <x:c r="C2489" s="15"/>
      <x:c r="D2489" s="15" t="str">
        <x:v>Property lender or directory member; operating-company capital unconfirmed</x:v>
      </x:c>
      <x:c r="E2489" s="15" t="str">
        <x:v>Property lender / private-money inquiry</x:v>
      </x:c>
      <x:c r="F2489" s="17" t="str">
        <x:v>New</x:v>
      </x:c>
      <x:c r="G2489" s="24" t="str">
        <x:v>rwessels@threedoors.com</x:v>
      </x:c>
      <x:c r="H2489" s="24" t="str">
        <x:v>+13145719225</x:v>
      </x:c>
      <x:c r="I2489" s="24" t="str">
        <x:v>https://clientfirstlending.com/</x:v>
      </x:c>
      <x:c r="J2489" s="16" t="str">
        <x:v>Missouri, Kansas City, St Louis</x:v>
      </x:c>
      <x:c r="K2489" s="16" t="str">
        <x:v>Richmond Heights</x:v>
      </x:c>
      <x:c r="L2489" s="16" t="str">
        <x:v>firm_business_routing</x:v>
      </x:c>
      <x:c r="M2489" s="16" t="str">
        <x:v>https://clientfirstlending.com/</x:v>
      </x:c>
      <x:c r="N2489" s="16" t="str">
        <x:v>$100K-$500K ticket not published / unconfirmed</x:v>
      </x:c>
      <x:c r="O2489" s="20"/>
      <x:c r="P2489" s="20"/>
      <x:c r="Q2489" s="25" t="str">
        <x:v>Property-loan range, not a corporate-capital commitment</x:v>
      </x:c>
      <x:c r="R2489" s="25" t="str">
        <x:v>Private real-estate finance experience. Corporate working capital, minority equity or profit participation requires a separate agreement from a property loan.</x:v>
      </x:c>
      <x:c r="S2489" s="25"/>
      <x:c r="T2489" s="25" t="str">
        <x:v>Confirm direct principal versus broker, $100K-$500K appetite, and whether capital can fund the operating company without a property mortgage.</x:v>
      </x:c>
      <x:c r="U2489" s="25" t="str">
        <x:v>https://privatelenderlink.com/profile/client-first-lending/
https://clientfirstlending.com/
https://adviserinfo.sec.gov/firm/summary/323875
https://reports.adviserinfo.sec.gov/reports/CompilationReports/IA_FIRM_SEC_Feed_09_29_2026.xml.gz
https://reports.adviserinfo.sec.gov/reports/foia/advFilingData/2026/ADV_Filing_Data_20260301_20260331.zip</x:v>
      </x:c>
      <x:c r="V2489" s="26" t="d">
        <x:v>2026-10-02T00:00:00.000Z</x:v>
      </x:c>
      <x:c r="W2489" s="26" t="d">
        <x:v>2026-09-30T00:00:00.000Z</x:v>
      </x:c>
      <x:c r="X2489" s="25" t="str">
        <x:v>Saved public company, industry-directory or regulatory source; source date retained</x:v>
      </x:c>
      <x:c r="Y2489" s="25" t="str">
        <x:v>https://privatelenderlink.com/profile/client-first-lending/</x:v>
      </x:c>
      <x:c r="Z2489" s="25" t="str">
        <x:v>https://clientfirstlending.com/</x:v>
      </x:c>
      <x:c r="AA2489" s="25" t="str">
        <x:v>[]</x:v>
      </x:c>
      <x:c r="AB2489" s="3" t="str">
        <x:v>Existing CapitalForge research, newly screened for this campaign</x:v>
      </x:c>
      <x:c r="AC2489" s="3" t="str">
        <x:v>unverified</x:v>
      </x:c>
      <x:c r="AD2489" s="3" t="str">
        <x:v>Not contacted / unconfirmed</x:v>
      </x:c>
      <x:c r="AE2489" s="3" t="str">
        <x:v>No</x:v>
      </x:c>
      <x:c r="AF2489" s="3" t="str">
        <x:v>No</x:v>
      </x:c>
      <x:c r="AG2489" s="3" t="str">
        <x:v>JAMES MANNING</x:v>
      </x:c>
      <x:c r="AH2489" s="3" t="str">
        <x:v>DOORWAY PROPERTY GP, LLC</x:v>
      </x:c>
      <x:c r="AI2489" s="18"/>
      <x:c r="AJ2489" s="3" t="str">
        <x:v>CF2500-8A6A8CA442F8</x:v>
      </x:c>
      <x:c r="AK2489" s="3" t="str">
        <x:v>private_real_estate_lender</x:v>
      </x:c>
      <x:c r="AL2489" s="19" t="n">
        <x:v>100000</x:v>
      </x:c>
      <x:c r="AM2489" s="19" t="n">
        <x:v>500000</x:v>
      </x:c>
      <x:c r="AN2489" s="3" t="str">
        <x:v>https://privatelenderlink.com/profile/client-first-lending/</x:v>
      </x:c>
      <x:c r="AO2489" s="3" t="str">
        <x:v>public_directory.jsonl</x:v>
      </x:c>
      <x:c r="AP2489" s="19"/>
    </x:row>
    <x:row r="2490" ht="36" customHeight="1">
      <x:c r="A2490" s="23" t="n">
        <x:v>2489</x:v>
      </x:c>
      <x:c r="B2490" s="15" t="str">
        <x:v>CLOUT WMB</x:v>
      </x:c>
      <x:c r="C2490" s="15"/>
      <x:c r="D2490" s="15" t="str">
        <x:v>Property lender or directory member; operating-company capital unconfirmed</x:v>
      </x:c>
      <x:c r="E2490" s="15" t="str">
        <x:v>Property lender / private-money inquiry</x:v>
      </x:c>
      <x:c r="F2490" s="17" t="str">
        <x:v>New</x:v>
      </x:c>
      <x:c r="G2490" s="24" t="str">
        <x:v>powerup@cloutwmb.com</x:v>
      </x:c>
      <x:c r="H2490" s="24" t="str">
        <x:v>+18444773111</x:v>
      </x:c>
      <x:c r="I2490" s="24" t="str">
        <x:v>https://www.cloutwmb.com/</x:v>
      </x:c>
      <x:c r="J2490" s="16" t="str">
        <x:v>NY</x:v>
      </x:c>
      <x:c r="K2490" s="16" t="str">
        <x:v>Uniondale</x:v>
      </x:c>
      <x:c r="L2490" s="16" t="str">
        <x:v>firm_business_routing</x:v>
      </x:c>
      <x:c r="M2490" s="16" t="str">
        <x:v>https://www.cloutwmb.com/</x:v>
      </x:c>
      <x:c r="N2490" s="16" t="str">
        <x:v>$100K-$500K ticket not published / unconfirmed</x:v>
      </x:c>
      <x:c r="O2490" s="20"/>
      <x:c r="P2490" s="20"/>
      <x:c r="Q2490" s="25" t="str">
        <x:v>Property-loan range, not a corporate-capital commitment</x:v>
      </x:c>
      <x:c r="R2490" s="25" t="str">
        <x:v>Private real-estate finance experience. Corporate working capital, minority equity or profit participation requires a separate agreement from a property loan.</x:v>
      </x:c>
      <x:c r="S2490" s="25"/>
      <x:c r="T2490" s="25" t="str">
        <x:v>Confirm direct principal versus broker, $100K-$500K appetite, and whether capital can fund the operating company without a property mortgage.</x:v>
      </x:c>
      <x:c r="U2490" s="25" t="str">
        <x:v>https://www.privatelendersdirectory.com/united-states/uniondale/top-level-category/clout-wmb
https://www.cloutwmb.com/</x:v>
      </x:c>
      <x:c r="V2490" s="26" t="d">
        <x:v>2026-10-02T00:00:00.000Z</x:v>
      </x:c>
      <x:c r="W2490" s="26" t="d">
        <x:v>2026-09-30T00:00:00.000Z</x:v>
      </x:c>
      <x:c r="X2490" s="25" t="str">
        <x:v>Saved public company, industry-directory or regulatory source; source date retained</x:v>
      </x:c>
      <x:c r="Y2490" s="25" t="str">
        <x:v>https://www.cloutwmb.com/</x:v>
      </x:c>
      <x:c r="Z2490" s="25" t="str">
        <x:v>https://www.cloutwmb.com/</x:v>
      </x:c>
      <x:c r="AA2490" s="25" t="str">
        <x:v>[]</x:v>
      </x:c>
      <x:c r="AB2490" s="3" t="str">
        <x:v>Existing CapitalForge research, newly screened for this campaign</x:v>
      </x:c>
      <x:c r="AC2490" s="3" t="str">
        <x:v>unverified</x:v>
      </x:c>
      <x:c r="AD2490" s="3" t="str">
        <x:v>Not contacted / unconfirmed</x:v>
      </x:c>
      <x:c r="AE2490" s="3" t="str">
        <x:v>No</x:v>
      </x:c>
      <x:c r="AF2490" s="3" t="str">
        <x:v>No</x:v>
      </x:c>
      <x:c r="AG2490" s="3"/>
      <x:c r="AH2490" s="3"/>
      <x:c r="AI2490" s="18"/>
      <x:c r="AJ2490" s="3" t="str">
        <x:v>CF2500-EFCC0E59E757</x:v>
      </x:c>
      <x:c r="AK2490" s="3" t="str">
        <x:v>private_real_estate_lender</x:v>
      </x:c>
      <x:c r="AL2490" s="19" t="n">
        <x:v>100000</x:v>
      </x:c>
      <x:c r="AM2490" s="19" t="n">
        <x:v>500000</x:v>
      </x:c>
      <x:c r="AN2490" s="3" t="str">
        <x:v>https://www.privatelendersdirectory.com/united-states/uniondale/top-level-category/clout-wmb</x:v>
      </x:c>
      <x:c r="AO2490" s="3" t="str">
        <x:v>public_directory.jsonl</x:v>
      </x:c>
      <x:c r="AP2490" s="19"/>
    </x:row>
    <x:row r="2491" ht="36" customHeight="1">
      <x:c r="A2491" s="23" t="n">
        <x:v>2490</x:v>
      </x:c>
      <x:c r="B2491" s="15" t="str">
        <x:v>CLS Capital</x:v>
      </x:c>
      <x:c r="C2491" s="15" t="str">
        <x:v>CLS Capital</x:v>
      </x:c>
      <x:c r="D2491" s="15" t="str">
        <x:v>Property lender or directory member; operating-company capital unconfirmed</x:v>
      </x:c>
      <x:c r="E2491" s="15" t="str">
        <x:v>Property lender / private-money inquiry</x:v>
      </x:c>
      <x:c r="F2491" s="17" t="str">
        <x:v>New</x:v>
      </x:c>
      <x:c r="G2491" s="24" t="str">
        <x:v>info@capitalcls.com</x:v>
      </x:c>
      <x:c r="H2491" s="24" t="str">
        <x:v>+19192752521</x:v>
      </x:c>
      <x:c r="I2491" s="24" t="str">
        <x:v>https://capitalcls.com/</x:v>
      </x:c>
      <x:c r="J2491" s="16"/>
      <x:c r="K2491" s="16"/>
      <x:c r="L2491" s="16" t="str">
        <x:v>published_professional_contact_directness_unconfirmed</x:v>
      </x:c>
      <x:c r="M2491" s="16" t="str">
        <x:v>https://capitalcls.com/</x:v>
      </x:c>
      <x:c r="N2491" s="16" t="str">
        <x:v>$100K-$500K ticket not published / unconfirmed</x:v>
      </x:c>
      <x:c r="O2491" s="20"/>
      <x:c r="P2491" s="20"/>
      <x:c r="Q2491" s="25" t="str">
        <x:v>Property-loan range, not a corporate-capital commitment</x:v>
      </x:c>
      <x:c r="R2491" s="25" t="str">
        <x:v>Private real-estate finance experience. Corporate working capital, minority equity or profit participation requires a separate agreement from a property loan.</x:v>
      </x:c>
      <x:c r="S2491" s="25"/>
      <x:c r="T2491" s="25" t="str">
        <x:v>Confirm direct principal versus broker, $100K-$500K appetite, and whether capital can fund the operating company without a property mortgage.</x:v>
      </x:c>
      <x:c r="U2491" s="25" t="str">
        <x:v>https://nplaconference.com/private-lending-directory/page/4/
https://capitalcls.com/</x:v>
      </x:c>
      <x:c r="V2491" s="26" t="d">
        <x:v>2026-10-02T00:00:00.000Z</x:v>
      </x:c>
      <x:c r="W2491" s="26" t="d">
        <x:v>2026-09-30T00:00:00.000Z</x:v>
      </x:c>
      <x:c r="X2491" s="25" t="str">
        <x:v>Saved public company, industry-directory or regulatory source; source date retained</x:v>
      </x:c>
      <x:c r="Y2491" s="25" t="str">
        <x:v>https://capitalcls.com/</x:v>
      </x:c>
      <x:c r="Z2491" s="25" t="str">
        <x:v>https://capitalcls.com/</x:v>
      </x:c>
      <x:c r="AA2491" s="25" t="str">
        <x:v>[]</x:v>
      </x:c>
      <x:c r="AB2491" s="3" t="str">
        <x:v>Existing CapitalForge research, newly screened for this campaign</x:v>
      </x:c>
      <x:c r="AC2491" s="3" t="str">
        <x:v>unverified</x:v>
      </x:c>
      <x:c r="AD2491" s="3" t="str">
        <x:v>Not contacted / unconfirmed</x:v>
      </x:c>
      <x:c r="AE2491" s="3" t="str">
        <x:v>No</x:v>
      </x:c>
      <x:c r="AF2491" s="3" t="str">
        <x:v>No</x:v>
      </x:c>
      <x:c r="AG2491" s="3"/>
      <x:c r="AH2491" s="3"/>
      <x:c r="AI2491" s="18"/>
      <x:c r="AJ2491" s="3" t="str">
        <x:v>CF2500-109EC0AEA338</x:v>
      </x:c>
      <x:c r="AK2491" s="3" t="str">
        <x:v>property_secured_lender</x:v>
      </x:c>
      <x:c r="AL2491" s="19" t="n">
        <x:v>100000</x:v>
      </x:c>
      <x:c r="AM2491" s="19" t="n">
        <x:v>500000</x:v>
      </x:c>
      <x:c r="AN2491" s="3" t="str">
        <x:v>https://nplaconference.com/private-lending-directory/page/4/</x:v>
      </x:c>
      <x:c r="AO2491" s="3" t="str">
        <x:v>public_directory.jsonl</x:v>
      </x:c>
      <x:c r="AP2491" s="19"/>
    </x:row>
    <x:row r="2492" ht="36" customHeight="1">
      <x:c r="A2492" s="23" t="n">
        <x:v>2491</x:v>
      </x:c>
      <x:c r="B2492" s="15" t="str">
        <x:v>COASTAL CAPITAL FUNDING</x:v>
      </x:c>
      <x:c r="C2492" s="15"/>
      <x:c r="D2492" s="15" t="str">
        <x:v>Property lender or directory member; operating-company capital unconfirmed</x:v>
      </x:c>
      <x:c r="E2492" s="15" t="str">
        <x:v>Property lender / private-money inquiry</x:v>
      </x:c>
      <x:c r="F2492" s="17" t="str">
        <x:v>New</x:v>
      </x:c>
      <x:c r="G2492" s="24" t="str">
        <x:v>info@coastalcapitalfunding.com</x:v>
      </x:c>
      <x:c r="H2492" s="24" t="str">
        <x:v>+17573334663</x:v>
      </x:c>
      <x:c r="I2492" s="24" t="str">
        <x:v>https://coastalcapitalfunding.com/</x:v>
      </x:c>
      <x:c r="J2492" s="16" t="str">
        <x:v>VA</x:v>
      </x:c>
      <x:c r="K2492" s="16" t="str">
        <x:v>Virginia Beach</x:v>
      </x:c>
      <x:c r="L2492" s="16" t="str">
        <x:v>firm_business_routing</x:v>
      </x:c>
      <x:c r="M2492" s="16" t="str">
        <x:v>https://coastalcapitalfunding.com/</x:v>
      </x:c>
      <x:c r="N2492" s="16" t="str">
        <x:v>$100K-$500K ticket not published / unconfirmed</x:v>
      </x:c>
      <x:c r="O2492" s="20"/>
      <x:c r="P2492" s="20"/>
      <x:c r="Q2492" s="25" t="str">
        <x:v>Property-loan range, not a corporate-capital commitment</x:v>
      </x:c>
      <x:c r="R2492" s="25" t="str">
        <x:v>Private real-estate finance experience. Corporate working capital, minority equity or profit participation requires a separate agreement from a property loan.</x:v>
      </x:c>
      <x:c r="S2492" s="25"/>
      <x:c r="T2492" s="25" t="str">
        <x:v>Confirm direct principal versus broker, $100K-$500K appetite, and whether capital can fund the operating company without a property mortgage.</x:v>
      </x:c>
      <x:c r="U2492" s="25" t="str">
        <x:v>https://www.privatelendersdirectory.com/united-states/virginia-beach/top-level-category/coastal-capital-funding
https://coastalcapitalfunding.com/pdf-build-your-investor-team/</x:v>
      </x:c>
      <x:c r="V2492" s="26" t="d">
        <x:v>2026-10-02T00:00:00.000Z</x:v>
      </x:c>
      <x:c r="W2492" s="26" t="d">
        <x:v>2026-09-30T00:00:00.000Z</x:v>
      </x:c>
      <x:c r="X2492" s="25" t="str">
        <x:v>Saved public company, industry-directory or regulatory source; source date retained</x:v>
      </x:c>
      <x:c r="Y2492" s="25" t="str">
        <x:v>https://coastalcapitalfunding.com/pdf-build-your-investor-team/</x:v>
      </x:c>
      <x:c r="Z2492" s="25" t="str">
        <x:v>https://coastalcapitalfunding.com/pdf-build-your-investor-team/</x:v>
      </x:c>
      <x:c r="AA2492" s="25" t="str">
        <x:v>[]</x:v>
      </x:c>
      <x:c r="AB2492" s="3" t="str">
        <x:v>Existing CapitalForge research, newly screened for this campaign</x:v>
      </x:c>
      <x:c r="AC2492" s="3" t="str">
        <x:v>unverified</x:v>
      </x:c>
      <x:c r="AD2492" s="3" t="str">
        <x:v>Not contacted / unconfirmed</x:v>
      </x:c>
      <x:c r="AE2492" s="3" t="str">
        <x:v>No</x:v>
      </x:c>
      <x:c r="AF2492" s="3" t="str">
        <x:v>No</x:v>
      </x:c>
      <x:c r="AG2492" s="3"/>
      <x:c r="AH2492" s="3"/>
      <x:c r="AI2492" s="18"/>
      <x:c r="AJ2492" s="3" t="str">
        <x:v>CF2500-58F1ABED4965</x:v>
      </x:c>
      <x:c r="AK2492" s="3" t="str">
        <x:v>private_real_estate_lender</x:v>
      </x:c>
      <x:c r="AL2492" s="19" t="n">
        <x:v>100000</x:v>
      </x:c>
      <x:c r="AM2492" s="19" t="n">
        <x:v>500000</x:v>
      </x:c>
      <x:c r="AN2492" s="3" t="str">
        <x:v>https://www.privatelendersdirectory.com/united-states/virginia-beach/top-level-category/coastal-capital-funding</x:v>
      </x:c>
      <x:c r="AO2492" s="3" t="str">
        <x:v>public_directory.jsonl</x:v>
      </x:c>
      <x:c r="AP2492" s="19"/>
    </x:row>
    <x:row r="2493" ht="36" customHeight="1">
      <x:c r="A2493" s="23" t="n">
        <x:v>2492</x:v>
      </x:c>
      <x:c r="B2493" s="15" t="str">
        <x:v>Coastal Equity Group</x:v>
      </x:c>
      <x:c r="C2493" s="15"/>
      <x:c r="D2493" s="15" t="str">
        <x:v>Property lender or directory member; operating-company capital unconfirmed</x:v>
      </x:c>
      <x:c r="E2493" s="15" t="str">
        <x:v>Property lender / private-money inquiry</x:v>
      </x:c>
      <x:c r="F2493" s="17" t="str">
        <x:v>New</x:v>
      </x:c>
      <x:c r="G2493" s="24" t="str">
        <x:v>info@coastalequitygroup.com</x:v>
      </x:c>
      <x:c r="H2493" s="24" t="str">
        <x:v>+18437370182</x:v>
      </x:c>
      <x:c r="I2493" s="24" t="str">
        <x:v>https://coastalequitygroup.com/?utm_source=private-lender-link</x:v>
      </x:c>
      <x:c r="J2493" s="16" t="str">
        <x:v>Alabama, Florida, Fort Myers, Jacksonville, Miami, Orlando, Palm Beach County, Pensacola, Tallahassee, Tampa, Georgia, Kentucky, North Carolina, South Carolina, Tennessee, Memphis, Nashville</x:v>
      </x:c>
      <x:c r="K2493" s="16" t="str">
        <x:v>Charleston</x:v>
      </x:c>
      <x:c r="L2493" s="16" t="str">
        <x:v>firm_business_routing</x:v>
      </x:c>
      <x:c r="M2493" s="16" t="str">
        <x:v>https://coastalequitygroup.com/?utm_source=private-lender-link</x:v>
      </x:c>
      <x:c r="N2493" s="16" t="str">
        <x:v>$100K-$500K ticket not published / unconfirmed</x:v>
      </x:c>
      <x:c r="O2493" s="20"/>
      <x:c r="P2493" s="20"/>
      <x:c r="Q2493" s="25" t="str">
        <x:v>Property-loan range, not a corporate-capital commitment</x:v>
      </x:c>
      <x:c r="R2493" s="25" t="str">
        <x:v>Private real-estate finance experience. Corporate working capital, minority equity or profit participation requires a separate agreement from a property loan.</x:v>
      </x:c>
      <x:c r="S2493" s="25"/>
      <x:c r="T2493" s="25" t="str">
        <x:v>Confirm direct principal versus broker, $100K-$500K appetite, and whether capital can fund the operating company without a property mortgage.</x:v>
      </x:c>
      <x:c r="U2493" s="25" t="str">
        <x:v>https://privatelenderlink.com/profile/coastal-equity-group/
https://www.privatelendersdirectory.com/united-states/charleston/top-level-category/coastal-equity-group
https://coastalequitygroup.com/</x:v>
      </x:c>
      <x:c r="V2493" s="26" t="d">
        <x:v>2026-10-02T00:00:00.000Z</x:v>
      </x:c>
      <x:c r="W2493" s="26" t="d">
        <x:v>2026-09-30T00:00:00.000Z</x:v>
      </x:c>
      <x:c r="X2493" s="25" t="str">
        <x:v>Saved public company, industry-directory or regulatory source; source date retained</x:v>
      </x:c>
      <x:c r="Y2493" s="25" t="str">
        <x:v>https://privatelenderlink.com/profile/coastal-equity-group/</x:v>
      </x:c>
      <x:c r="Z2493" s="25" t="str">
        <x:v>https://privatelenderlink.com/profile/coastal-equity-group/</x:v>
      </x:c>
      <x:c r="AA2493" s="25" t="str">
        <x:v>[]</x:v>
      </x:c>
      <x:c r="AB2493" s="3" t="str">
        <x:v>Existing CapitalForge research, newly screened for this campaign</x:v>
      </x:c>
      <x:c r="AC2493" s="3" t="str">
        <x:v>unverified</x:v>
      </x:c>
      <x:c r="AD2493" s="3" t="str">
        <x:v>Not contacted / unconfirmed</x:v>
      </x:c>
      <x:c r="AE2493" s="3" t="str">
        <x:v>No</x:v>
      </x:c>
      <x:c r="AF2493" s="3" t="str">
        <x:v>No</x:v>
      </x:c>
      <x:c r="AG2493" s="3"/>
      <x:c r="AH2493" s="3"/>
      <x:c r="AI2493" s="18"/>
      <x:c r="AJ2493" s="3" t="str">
        <x:v>CF2500-4FA6F9924600</x:v>
      </x:c>
      <x:c r="AK2493" s="3" t="str">
        <x:v>private_real_estate_lender</x:v>
      </x:c>
      <x:c r="AL2493" s="19" t="n">
        <x:v>100000</x:v>
      </x:c>
      <x:c r="AM2493" s="19" t="n">
        <x:v>500000</x:v>
      </x:c>
      <x:c r="AN2493" s="3" t="str">
        <x:v>https://privatelenderlink.com/profile/coastal-equity-group/</x:v>
      </x:c>
      <x:c r="AO2493" s="3" t="str">
        <x:v>public_directory.jsonl</x:v>
      </x:c>
      <x:c r="AP2493" s="19"/>
    </x:row>
    <x:row r="2494" ht="36" customHeight="1">
      <x:c r="A2494" s="23" t="n">
        <x:v>2493</x:v>
      </x:c>
      <x:c r="B2494" s="15" t="str">
        <x:v>Coastal Private Lending</x:v>
      </x:c>
      <x:c r="C2494" s="15"/>
      <x:c r="D2494" s="15" t="str">
        <x:v>Property lender or directory member; operating-company capital unconfirmed</x:v>
      </x:c>
      <x:c r="E2494" s="15" t="str">
        <x:v>Property lender / private-money inquiry</x:v>
      </x:c>
      <x:c r="F2494" s="17" t="str">
        <x:v>New</x:v>
      </x:c>
      <x:c r="G2494" s="24" t="str">
        <x:v>todd@coastalprivatelending.com</x:v>
      </x:c>
      <x:c r="H2494" s="24" t="str">
        <x:v>+14104044875</x:v>
      </x:c>
      <x:c r="I2494" s="24" t="str">
        <x:v>https://coastalprivatelending.com/?utm_source=private-lender-link</x:v>
      </x:c>
      <x:c r="J2494" s="16" t="str">
        <x:v>MD</x:v>
      </x:c>
      <x:c r="K2494" s="16" t="str">
        <x:v>Timonium</x:v>
      </x:c>
      <x:c r="L2494" s="16" t="str">
        <x:v>firm_business_routing</x:v>
      </x:c>
      <x:c r="M2494" s="16" t="str">
        <x:v>https://coastalprivatelending.com/?utm_source=private-lender-link</x:v>
      </x:c>
      <x:c r="N2494" s="16" t="str">
        <x:v>$100K-$500K ticket not published / unconfirmed</x:v>
      </x:c>
      <x:c r="O2494" s="20"/>
      <x:c r="P2494" s="20"/>
      <x:c r="Q2494" s="25" t="str">
        <x:v>Property-loan range, not a corporate-capital commitment</x:v>
      </x:c>
      <x:c r="R2494" s="25" t="str">
        <x:v>Private real-estate finance experience. Corporate working capital, minority equity or profit participation requires a separate agreement from a property loan.</x:v>
      </x:c>
      <x:c r="S2494" s="25"/>
      <x:c r="T2494" s="25" t="str">
        <x:v>Confirm direct principal versus broker, $100K-$500K appetite, and whether capital can fund the operating company without a property mortgage.</x:v>
      </x:c>
      <x:c r="U2494" s="25" t="str">
        <x:v>https://privatelenderlink.com/profile/coastal-private-lending/</x:v>
      </x:c>
      <x:c r="V2494" s="26" t="d">
        <x:v>2026-10-02T00:00:00.000Z</x:v>
      </x:c>
      <x:c r="W2494" s="26" t="d">
        <x:v>2026-09-30T00:00:00.000Z</x:v>
      </x:c>
      <x:c r="X2494" s="25" t="str">
        <x:v>Saved public company, industry-directory or regulatory source; source date retained</x:v>
      </x:c>
      <x:c r="Y2494" s="25" t="str">
        <x:v>https://privatelenderlink.com/profile/coastal-private-lending/</x:v>
      </x:c>
      <x:c r="Z2494" s="25" t="str">
        <x:v>https://privatelenderlink.com/profile/coastal-private-lending/</x:v>
      </x:c>
      <x:c r="AA2494" s="25" t="str">
        <x:v>[]</x:v>
      </x:c>
      <x:c r="AB2494" s="3" t="str">
        <x:v>Existing CapitalForge research, newly screened for this campaign</x:v>
      </x:c>
      <x:c r="AC2494" s="3" t="str">
        <x:v>unverified</x:v>
      </x:c>
      <x:c r="AD2494" s="3" t="str">
        <x:v>Not contacted / unconfirmed</x:v>
      </x:c>
      <x:c r="AE2494" s="3" t="str">
        <x:v>No</x:v>
      </x:c>
      <x:c r="AF2494" s="3" t="str">
        <x:v>No</x:v>
      </x:c>
      <x:c r="AG2494" s="3"/>
      <x:c r="AH2494" s="3"/>
      <x:c r="AI2494" s="18"/>
      <x:c r="AJ2494" s="3" t="str">
        <x:v>CF2500-7895D51376AB</x:v>
      </x:c>
      <x:c r="AK2494" s="3" t="str">
        <x:v>private_real_estate_lender</x:v>
      </x:c>
      <x:c r="AL2494" s="19" t="n">
        <x:v>100000</x:v>
      </x:c>
      <x:c r="AM2494" s="19" t="n">
        <x:v>500000</x:v>
      </x:c>
      <x:c r="AN2494" s="3" t="str">
        <x:v>https://privatelenderlink.com/profile/coastal-private-lending/</x:v>
      </x:c>
      <x:c r="AO2494" s="3" t="str">
        <x:v>public_directory.jsonl</x:v>
      </x:c>
      <x:c r="AP2494" s="19"/>
    </x:row>
    <x:row r="2495" ht="36" customHeight="1">
      <x:c r="A2495" s="23" t="n">
        <x:v>2494</x:v>
      </x:c>
      <x:c r="B2495" s="15" t="str">
        <x:v>COASTAL VIRGINIA FUNDING</x:v>
      </x:c>
      <x:c r="C2495" s="15"/>
      <x:c r="D2495" s="15" t="str">
        <x:v>Property lender or directory member; operating-company capital unconfirmed</x:v>
      </x:c>
      <x:c r="E2495" s="15" t="str">
        <x:v>Property lender / private-money inquiry</x:v>
      </x:c>
      <x:c r="F2495" s="17" t="str">
        <x:v>New</x:v>
      </x:c>
      <x:c r="G2495" s="24" t="str">
        <x:v>scott@coastalvirginiafunding.com</x:v>
      </x:c>
      <x:c r="H2495" s="24" t="str">
        <x:v>+17576525745</x:v>
      </x:c>
      <x:c r="I2495" s="24" t="str">
        <x:v>https://coastalvirginiafunding.com/</x:v>
      </x:c>
      <x:c r="J2495" s="16" t="str">
        <x:v>VA</x:v>
      </x:c>
      <x:c r="K2495" s="16" t="str">
        <x:v>Virginia Beach</x:v>
      </x:c>
      <x:c r="L2495" s="16" t="str">
        <x:v>firm_business_routing</x:v>
      </x:c>
      <x:c r="M2495" s="16" t="str">
        <x:v>https://coastalvirginiafunding.com/</x:v>
      </x:c>
      <x:c r="N2495" s="16" t="str">
        <x:v>$100K-$500K ticket not published / unconfirmed</x:v>
      </x:c>
      <x:c r="O2495" s="20"/>
      <x:c r="P2495" s="20"/>
      <x:c r="Q2495" s="25" t="str">
        <x:v>Property-loan range, not a corporate-capital commitment</x:v>
      </x:c>
      <x:c r="R2495" s="25" t="str">
        <x:v>Private real-estate finance experience. Corporate working capital, minority equity or profit participation requires a separate agreement from a property loan.</x:v>
      </x:c>
      <x:c r="S2495" s="25"/>
      <x:c r="T2495" s="25" t="str">
        <x:v>Confirm direct principal versus broker, $100K-$500K appetite, and whether capital can fund the operating company without a property mortgage.</x:v>
      </x:c>
      <x:c r="U2495" s="25" t="str">
        <x:v>https://www.privatelendersdirectory.com/united-states/virginia-beach/top-level-category/coastal-virginia-funding
https://coastalvirginiafunding.com/</x:v>
      </x:c>
      <x:c r="V2495" s="26" t="d">
        <x:v>2026-10-02T00:00:00.000Z</x:v>
      </x:c>
      <x:c r="W2495" s="26" t="d">
        <x:v>2026-09-30T00:00:00.000Z</x:v>
      </x:c>
      <x:c r="X2495" s="25" t="str">
        <x:v>Saved public company, industry-directory or regulatory source; source date retained</x:v>
      </x:c>
      <x:c r="Y2495" s="25" t="str">
        <x:v>https://coastalvirginiafunding.com/</x:v>
      </x:c>
      <x:c r="Z2495" s="25" t="str">
        <x:v>https://coastalvirginiafunding.com/</x:v>
      </x:c>
      <x:c r="AA2495" s="25" t="str">
        <x:v>[]</x:v>
      </x:c>
      <x:c r="AB2495" s="3" t="str">
        <x:v>Existing CapitalForge research, newly screened for this campaign</x:v>
      </x:c>
      <x:c r="AC2495" s="3" t="str">
        <x:v>unverified</x:v>
      </x:c>
      <x:c r="AD2495" s="3" t="str">
        <x:v>Not contacted / unconfirmed</x:v>
      </x:c>
      <x:c r="AE2495" s="3" t="str">
        <x:v>No</x:v>
      </x:c>
      <x:c r="AF2495" s="3" t="str">
        <x:v>No</x:v>
      </x:c>
      <x:c r="AG2495" s="3"/>
      <x:c r="AH2495" s="3"/>
      <x:c r="AI2495" s="18"/>
      <x:c r="AJ2495" s="3" t="str">
        <x:v>CF2500-36A90810524B</x:v>
      </x:c>
      <x:c r="AK2495" s="3" t="str">
        <x:v>private_real_estate_lender</x:v>
      </x:c>
      <x:c r="AL2495" s="19" t="n">
        <x:v>100000</x:v>
      </x:c>
      <x:c r="AM2495" s="19" t="n">
        <x:v>500000</x:v>
      </x:c>
      <x:c r="AN2495" s="3" t="str">
        <x:v>https://www.privatelendersdirectory.com/united-states/virginia-beach/top-level-category/coastal-virginia-funding</x:v>
      </x:c>
      <x:c r="AO2495" s="3" t="str">
        <x:v>public_directory.jsonl</x:v>
      </x:c>
      <x:c r="AP2495" s="19"/>
    </x:row>
    <x:row r="2496" ht="36" customHeight="1">
      <x:c r="A2496" s="23" t="n">
        <x:v>2495</x:v>
      </x:c>
      <x:c r="B2496" s="15" t="str">
        <x:v>COASTLINE LENDING GROUP</x:v>
      </x:c>
      <x:c r="C2496" s="15"/>
      <x:c r="D2496" s="15" t="str">
        <x:v>Property lender or directory member; operating-company capital unconfirmed</x:v>
      </x:c>
      <x:c r="E2496" s="15" t="str">
        <x:v>Property lender / private-money inquiry</x:v>
      </x:c>
      <x:c r="F2496" s="17" t="str">
        <x:v>New</x:v>
      </x:c>
      <x:c r="G2496" s="24" t="str">
        <x:v>jeff@coastlinelg.com</x:v>
      </x:c>
      <x:c r="H2496" s="24" t="str">
        <x:v>+13102304111</x:v>
      </x:c>
      <x:c r="I2496" s="24" t="str">
        <x:v>https://coastlinelg.com/</x:v>
      </x:c>
      <x:c r="J2496" s="16" t="str">
        <x:v>CA</x:v>
      </x:c>
      <x:c r="K2496" s="16" t="str">
        <x:v>Los Angeles</x:v>
      </x:c>
      <x:c r="L2496" s="16" t="str">
        <x:v>firm_business_routing</x:v>
      </x:c>
      <x:c r="M2496" s="16" t="str">
        <x:v>https://coastlinelg.com/</x:v>
      </x:c>
      <x:c r="N2496" s="16" t="str">
        <x:v>$100K-$500K ticket not published / unconfirmed</x:v>
      </x:c>
      <x:c r="O2496" s="20"/>
      <x:c r="P2496" s="20"/>
      <x:c r="Q2496" s="25" t="str">
        <x:v>Property-loan range, not a corporate-capital commitment</x:v>
      </x:c>
      <x:c r="R2496" s="25" t="str">
        <x:v>Private real-estate finance experience. Corporate working capital, minority equity or profit participation requires a separate agreement from a property loan.</x:v>
      </x:c>
      <x:c r="S2496" s="25"/>
      <x:c r="T2496" s="25" t="str">
        <x:v>Confirm direct principal versus broker, $100K-$500K appetite, and whether capital can fund the operating company without a property mortgage.</x:v>
      </x:c>
      <x:c r="U2496" s="25" t="str">
        <x:v>https://www.privatelendersdirectory.com/united-states/los-angeles/top-level-category/coastline-lending-group
https://coastlinelg.com/</x:v>
      </x:c>
      <x:c r="V2496" s="26" t="d">
        <x:v>2026-10-02T00:00:00.000Z</x:v>
      </x:c>
      <x:c r="W2496" s="26" t="d">
        <x:v>2026-09-30T00:00:00.000Z</x:v>
      </x:c>
      <x:c r="X2496" s="25" t="str">
        <x:v>Saved public company, industry-directory or regulatory source; source date retained</x:v>
      </x:c>
      <x:c r="Y2496" s="25" t="str">
        <x:v>https://coastlinelg.com/</x:v>
      </x:c>
      <x:c r="Z2496" s="25" t="str">
        <x:v>https://coastlinelg.com/</x:v>
      </x:c>
      <x:c r="AA2496" s="25" t="str">
        <x:v>[]</x:v>
      </x:c>
      <x:c r="AB2496" s="3" t="str">
        <x:v>Existing CapitalForge research, newly screened for this campaign</x:v>
      </x:c>
      <x:c r="AC2496" s="3" t="str">
        <x:v>unverified</x:v>
      </x:c>
      <x:c r="AD2496" s="3" t="str">
        <x:v>Not contacted / unconfirmed</x:v>
      </x:c>
      <x:c r="AE2496" s="3" t="str">
        <x:v>No</x:v>
      </x:c>
      <x:c r="AF2496" s="3" t="str">
        <x:v>No</x:v>
      </x:c>
      <x:c r="AG2496" s="3"/>
      <x:c r="AH2496" s="3"/>
      <x:c r="AI2496" s="18"/>
      <x:c r="AJ2496" s="3" t="str">
        <x:v>CF2500-D3CDE8347227</x:v>
      </x:c>
      <x:c r="AK2496" s="3" t="str">
        <x:v>private_real_estate_lender</x:v>
      </x:c>
      <x:c r="AL2496" s="19" t="n">
        <x:v>100000</x:v>
      </x:c>
      <x:c r="AM2496" s="19" t="n">
        <x:v>500000</x:v>
      </x:c>
      <x:c r="AN2496" s="3" t="str">
        <x:v>https://www.privatelendersdirectory.com/united-states/los-angeles/top-level-category/coastline-lending-group</x:v>
      </x:c>
      <x:c r="AO2496" s="3" t="str">
        <x:v>public_directory.jsonl</x:v>
      </x:c>
      <x:c r="AP2496" s="19"/>
    </x:row>
    <x:row r="2497" ht="36" customHeight="1">
      <x:c r="A2497" s="23" t="n">
        <x:v>2496</x:v>
      </x:c>
      <x:c r="B2497" s="15" t="str">
        <x:v>CoFi Lending</x:v>
      </x:c>
      <x:c r="C2497" s="15"/>
      <x:c r="D2497" s="15" t="str">
        <x:v>Property lender or directory member; operating-company capital unconfirmed</x:v>
      </x:c>
      <x:c r="E2497" s="15" t="str">
        <x:v>Property lender / private-money inquiry</x:v>
      </x:c>
      <x:c r="F2497" s="17" t="str">
        <x:v>New</x:v>
      </x:c>
      <x:c r="G2497" s="24" t="str">
        <x:v>kreiner@cofilending.com</x:v>
      </x:c>
      <x:c r="H2497" s="24" t="str">
        <x:v>+14355570412</x:v>
      </x:c>
      <x:c r="I2497" s="24" t="str">
        <x:v>https://cofilending.com/?utm_source=private-lender-link</x:v>
      </x:c>
      <x:c r="J2497" s="16"/>
      <x:c r="K2497" s="16"/>
      <x:c r="L2497" s="16" t="str">
        <x:v>firm_business_routing</x:v>
      </x:c>
      <x:c r="M2497" s="16" t="str">
        <x:v>https://cofilending.com/?utm_source=private-lender-link</x:v>
      </x:c>
      <x:c r="N2497" s="16" t="str">
        <x:v>$100K-$500K ticket not published / unconfirmed</x:v>
      </x:c>
      <x:c r="O2497" s="20"/>
      <x:c r="P2497" s="20"/>
      <x:c r="Q2497" s="25" t="str">
        <x:v>Property-loan range, not a corporate-capital commitment</x:v>
      </x:c>
      <x:c r="R2497" s="25" t="str">
        <x:v>Private real-estate finance experience. Corporate working capital, minority equity or profit participation requires a separate agreement from a property loan.</x:v>
      </x:c>
      <x:c r="S2497" s="25"/>
      <x:c r="T2497" s="25" t="str">
        <x:v>Confirm direct principal versus broker, $100K-$500K appetite, and whether capital can fund the operating company without a property mortgage.</x:v>
      </x:c>
      <x:c r="U2497" s="25" t="str">
        <x:v>https://privatelenderlink.com/profile/cofi-lending/
https://cofilending.com/?utm_source=private-lender-link</x:v>
      </x:c>
      <x:c r="V2497" s="26" t="d">
        <x:v>2026-10-02T00:00:00.000Z</x:v>
      </x:c>
      <x:c r="W2497" s="26" t="d">
        <x:v>2026-09-30T00:00:00.000Z</x:v>
      </x:c>
      <x:c r="X2497" s="25" t="str">
        <x:v>Saved public company, industry-directory or regulatory source; source date retained</x:v>
      </x:c>
      <x:c r="Y2497" s="25" t="str">
        <x:v>https://cofilending.com/?utm_source=private-lender-link</x:v>
      </x:c>
      <x:c r="Z2497" s="25" t="str">
        <x:v>https://privatelenderlink.com/profile/cofi-lending/</x:v>
      </x:c>
      <x:c r="AA2497" s="25" t="str">
        <x:v>[]</x:v>
      </x:c>
      <x:c r="AB2497" s="3" t="str">
        <x:v>Existing CapitalForge research, newly screened for this campaign</x:v>
      </x:c>
      <x:c r="AC2497" s="3" t="str">
        <x:v>unverified</x:v>
      </x:c>
      <x:c r="AD2497" s="3" t="str">
        <x:v>Not contacted / unconfirmed</x:v>
      </x:c>
      <x:c r="AE2497" s="3" t="str">
        <x:v>No</x:v>
      </x:c>
      <x:c r="AF2497" s="3" t="str">
        <x:v>No</x:v>
      </x:c>
      <x:c r="AG2497" s="3"/>
      <x:c r="AH2497" s="3"/>
      <x:c r="AI2497" s="18"/>
      <x:c r="AJ2497" s="3" t="str">
        <x:v>CF2500-ACB6D2E1D901</x:v>
      </x:c>
      <x:c r="AK2497" s="3" t="str">
        <x:v>private_real_estate_lender</x:v>
      </x:c>
      <x:c r="AL2497" s="19" t="n">
        <x:v>100000</x:v>
      </x:c>
      <x:c r="AM2497" s="19" t="n">
        <x:v>500000</x:v>
      </x:c>
      <x:c r="AN2497" s="3" t="str">
        <x:v>https://privatelenderlink.com/profile/cofi-lending/</x:v>
      </x:c>
      <x:c r="AO2497" s="3" t="str">
        <x:v>public_directory.jsonl</x:v>
      </x:c>
      <x:c r="AP2497" s="19"/>
    </x:row>
    <x:row r="2498" ht="36" customHeight="1">
      <x:c r="A2498" s="23" t="n">
        <x:v>2497</x:v>
      </x:c>
      <x:c r="B2498" s="15" t="str">
        <x:v>COGO Capital</x:v>
      </x:c>
      <x:c r="C2498" s="15"/>
      <x:c r="D2498" s="15" t="str">
        <x:v>Property lender or directory member; operating-company capital unconfirmed</x:v>
      </x:c>
      <x:c r="E2498" s="15" t="str">
        <x:v>Property lender / private-money inquiry</x:v>
      </x:c>
      <x:c r="F2498" s="17" t="str">
        <x:v>New</x:v>
      </x:c>
      <x:c r="G2498" s="24" t="str">
        <x:v>cs@cogocapital.com</x:v>
      </x:c>
      <x:c r="H2498" s="24" t="str">
        <x:v>+18007471104</x:v>
      </x:c>
      <x:c r="I2498" s="24" t="str">
        <x:v>http://www.cogocapital.com</x:v>
      </x:c>
      <x:c r="J2498" s="16" t="str">
        <x:v>IA</x:v>
      </x:c>
      <x:c r="K2498" s="16" t="str">
        <x:v>Coeur d'Alene</x:v>
      </x:c>
      <x:c r="L2498" s="16" t="str">
        <x:v>firm_business_routing</x:v>
      </x:c>
      <x:c r="M2498" s="16" t="str">
        <x:v>http://www.cogocapital.com</x:v>
      </x:c>
      <x:c r="N2498" s="16" t="str">
        <x:v>$100K-$500K ticket not published / unconfirmed</x:v>
      </x:c>
      <x:c r="O2498" s="20"/>
      <x:c r="P2498" s="20"/>
      <x:c r="Q2498" s="25" t="str">
        <x:v>Property-loan range, not a corporate-capital commitment</x:v>
      </x:c>
      <x:c r="R2498" s="25" t="str">
        <x:v>Private real-estate finance experience. Corporate working capital, minority equity or profit participation requires a separate agreement from a property loan.</x:v>
      </x:c>
      <x:c r="S2498" s="25"/>
      <x:c r="T2498" s="25" t="str">
        <x:v>Confirm direct principal versus broker, $100K-$500K appetite, and whether capital can fund the operating company without a property mortgage.</x:v>
      </x:c>
      <x:c r="U2498" s="25" t="str">
        <x:v>https://www.hardmoneyhome.com/lenders/view/cogo-capital
https://privatelenderlink.com/profile/cogo-capital/
https://www.privatelendersdirectory.com/united-states/coeur-d-alene/real-estate-investment-lending/cogo-capital</x:v>
      </x:c>
      <x:c r="V2498" s="26" t="d">
        <x:v>2026-10-02T00:00:00.000Z</x:v>
      </x:c>
      <x:c r="W2498" s="26" t="d">
        <x:v>2026-09-30T00:00:00.000Z</x:v>
      </x:c>
      <x:c r="X2498" s="25" t="str">
        <x:v>Saved public company, industry-directory or regulatory source; source date retained</x:v>
      </x:c>
      <x:c r="Y2498" s="25" t="str">
        <x:v>https://privatelenderlink.com/profile/cogo-capital/</x:v>
      </x:c>
      <x:c r="Z2498" s="25" t="str">
        <x:v>https://www.hardmoneyhome.com/lenders/view/cogo-capital</x:v>
      </x:c>
      <x:c r="AA2498" s="25" t="str">
        <x:v>[]</x:v>
      </x:c>
      <x:c r="AB2498" s="3" t="str">
        <x:v>Existing CapitalForge research, newly screened for this campaign</x:v>
      </x:c>
      <x:c r="AC2498" s="3" t="str">
        <x:v>unverified</x:v>
      </x:c>
      <x:c r="AD2498" s="3" t="str">
        <x:v>Not contacted / unconfirmed</x:v>
      </x:c>
      <x:c r="AE2498" s="3" t="str">
        <x:v>No</x:v>
      </x:c>
      <x:c r="AF2498" s="3" t="str">
        <x:v>No</x:v>
      </x:c>
      <x:c r="AG2498" s="3"/>
      <x:c r="AH2498" s="3"/>
      <x:c r="AI2498" s="18"/>
      <x:c r="AJ2498" s="3" t="str">
        <x:v>CF2500-2EAE83E5F543</x:v>
      </x:c>
      <x:c r="AK2498" s="3" t="str">
        <x:v>private_real_estate_lender</x:v>
      </x:c>
      <x:c r="AL2498" s="19" t="n">
        <x:v>100000</x:v>
      </x:c>
      <x:c r="AM2498" s="19" t="n">
        <x:v>500000</x:v>
      </x:c>
      <x:c r="AN2498" s="3" t="str">
        <x:v>https://www.hardmoneyhome.com/lenders/view/cogo-capital</x:v>
      </x:c>
      <x:c r="AO2498" s="3" t="str">
        <x:v>public_directory.jsonl</x:v>
      </x:c>
      <x:c r="AP2498" s="19"/>
    </x:row>
    <x:row r="2499" ht="36" customHeight="1">
      <x:c r="A2499" s="23" t="n">
        <x:v>2498</x:v>
      </x:c>
      <x:c r="B2499" s="15" t="str">
        <x:v>COLDESINA CAPITAL</x:v>
      </x:c>
      <x:c r="C2499" s="15"/>
      <x:c r="D2499" s="15" t="str">
        <x:v>Property lender or directory member; operating-company capital unconfirmed</x:v>
      </x:c>
      <x:c r="E2499" s="15" t="str">
        <x:v>Property lender / private-money inquiry</x:v>
      </x:c>
      <x:c r="F2499" s="17" t="str">
        <x:v>New</x:v>
      </x:c>
      <x:c r="G2499" s="24" t="str">
        <x:v>info@coldesinacapital.com</x:v>
      </x:c>
      <x:c r="H2499" s="24" t="str">
        <x:v>+19497761939</x:v>
      </x:c>
      <x:c r="I2499" s="24" t="str">
        <x:v>https://www.coldesinacapital.com/</x:v>
      </x:c>
      <x:c r="J2499" s="16" t="str">
        <x:v>CA</x:v>
      </x:c>
      <x:c r="K2499" s="16" t="str">
        <x:v>San Clemente</x:v>
      </x:c>
      <x:c r="L2499" s="16" t="str">
        <x:v>firm_business_routing</x:v>
      </x:c>
      <x:c r="M2499" s="16" t="str">
        <x:v>https://www.coldesinacapital.com/</x:v>
      </x:c>
      <x:c r="N2499" s="16" t="str">
        <x:v>$100K-$500K ticket not published / unconfirmed</x:v>
      </x:c>
      <x:c r="O2499" s="20"/>
      <x:c r="P2499" s="20"/>
      <x:c r="Q2499" s="25" t="str">
        <x:v>Property-loan range, not a corporate-capital commitment</x:v>
      </x:c>
      <x:c r="R2499" s="25" t="str">
        <x:v>Private real-estate finance experience. Corporate working capital, minority equity or profit participation requires a separate agreement from a property loan.</x:v>
      </x:c>
      <x:c r="S2499" s="25"/>
      <x:c r="T2499" s="25" t="str">
        <x:v>Confirm direct principal versus broker, $100K-$500K appetite, and whether capital can fund the operating company without a property mortgage.</x:v>
      </x:c>
      <x:c r="U2499" s="25" t="str">
        <x:v>https://www.privatelendersdirectory.com/united-states/san-clemente/top-level-category/coldesina-capital
https://www.coldesinacapital.com/
https://www.coldesinacapital.com/about-us</x:v>
      </x:c>
      <x:c r="V2499" s="26" t="d">
        <x:v>2026-10-02T00:00:00.000Z</x:v>
      </x:c>
      <x:c r="W2499" s="26" t="d">
        <x:v>2026-09-30T00:00:00.000Z</x:v>
      </x:c>
      <x:c r="X2499" s="25" t="str">
        <x:v>Saved public company, industry-directory or regulatory source; source date retained</x:v>
      </x:c>
      <x:c r="Y2499" s="25" t="str">
        <x:v>https://www.coldesinacapital.com/</x:v>
      </x:c>
      <x:c r="Z2499" s="25" t="str">
        <x:v>https://www.coldesinacapital.com/about-us</x:v>
      </x:c>
      <x:c r="AA2499" s="25" t="str">
        <x:v>[]</x:v>
      </x:c>
      <x:c r="AB2499" s="3" t="str">
        <x:v>Existing CapitalForge research, newly screened for this campaign</x:v>
      </x:c>
      <x:c r="AC2499" s="3" t="str">
        <x:v>unverified</x:v>
      </x:c>
      <x:c r="AD2499" s="3" t="str">
        <x:v>Not contacted / unconfirmed</x:v>
      </x:c>
      <x:c r="AE2499" s="3" t="str">
        <x:v>No</x:v>
      </x:c>
      <x:c r="AF2499" s="3" t="str">
        <x:v>No</x:v>
      </x:c>
      <x:c r="AG2499" s="3"/>
      <x:c r="AH2499" s="3"/>
      <x:c r="AI2499" s="18"/>
      <x:c r="AJ2499" s="3" t="str">
        <x:v>CF2500-E4AA95E1AE64</x:v>
      </x:c>
      <x:c r="AK2499" s="3" t="str">
        <x:v>private_real_estate_lender</x:v>
      </x:c>
      <x:c r="AL2499" s="19" t="n">
        <x:v>100000</x:v>
      </x:c>
      <x:c r="AM2499" s="19" t="n">
        <x:v>500000</x:v>
      </x:c>
      <x:c r="AN2499" s="3" t="str">
        <x:v>https://www.privatelendersdirectory.com/united-states/san-clemente/top-level-category/coldesina-capital</x:v>
      </x:c>
      <x:c r="AO2499" s="3" t="str">
        <x:v>public_directory.jsonl</x:v>
      </x:c>
      <x:c r="AP2499" s="19"/>
    </x:row>
    <x:row r="2500" ht="36" customHeight="1">
      <x:c r="A2500" s="23" t="n">
        <x:v>2499</x:v>
      </x:c>
      <x:c r="B2500" s="15" t="str">
        <x:v>Columbia Pacific Advisors</x:v>
      </x:c>
      <x:c r="C2500" s="15" t="str">
        <x:v>CHERYLL J. CALAGUIO</x:v>
      </x:c>
      <x:c r="D2500" s="15" t="str">
        <x:v>Property lender or directory member; operating-company capital unconfirmed</x:v>
      </x:c>
      <x:c r="E2500" s="15" t="str">
        <x:v>Property lender / private-money inquiry</x:v>
      </x:c>
      <x:c r="F2500" s="17" t="str">
        <x:v>New</x:v>
      </x:c>
      <x:c r="G2500" s="24" t="str">
        <x:v>willn@columbiapacific.com</x:v>
      </x:c>
      <x:c r="H2500" s="24" t="str">
        <x:v>+12067289063</x:v>
      </x:c>
      <x:c r="I2500" s="24" t="str">
        <x:v>https://columbiapacific.com/</x:v>
      </x:c>
      <x:c r="J2500" s="16" t="str">
        <x:v>Washington</x:v>
      </x:c>
      <x:c r="K2500" s="16" t="str">
        <x:v>Seattle</x:v>
      </x:c>
      <x:c r="L2500" s="16" t="str">
        <x:v>published_professional_contact_directness_unconfirmed</x:v>
      </x:c>
      <x:c r="M2500" s="16" t="str">
        <x:v>https://columbiapacific.com/</x:v>
      </x:c>
      <x:c r="N2500" s="16" t="str">
        <x:v>$100K-$500K ticket not published / unconfirmed</x:v>
      </x:c>
      <x:c r="O2500" s="20"/>
      <x:c r="P2500" s="20"/>
      <x:c r="Q2500" s="25" t="str">
        <x:v>Property-loan range, not a corporate-capital commitment</x:v>
      </x:c>
      <x:c r="R2500" s="25" t="str">
        <x:v>Private real-estate finance experience. Corporate working capital, minority equity or profit participation requires a separate agreement from a property loan.</x:v>
      </x:c>
      <x:c r="S2500" s="25"/>
      <x:c r="T2500" s="25" t="str">
        <x:v>Confirm direct principal versus broker, $100K-$500K appetite, and whether capital can fund the operating company without a property mortgage.</x:v>
      </x:c>
      <x:c r="U2500" s="25" t="str">
        <x:v>https://privatelenderlink.com/profile/columbia-pacific-advisors/
https://adviserinfo.sec.gov/firm/summary/142725
https://reports.adviserinfo.sec.gov/reports/CompilationReports/IA_FIRM_SEC_Feed_09_29_2026.xml.gz
https://columbiapacific.com/
https://reports.adviserinfo.sec.gov/reports/foia/advFilingData/2026/ADV_Filing_Data_20260701_20260731.zip
https://www.privatelendersdirectory.com/united-states/seattle/top-level-category/columbia-pacific
https://www.privatelendersdirectory.com/united-states/seattle/real-estate-investment-lending/columbia-pacific-advisors</x:v>
      </x:c>
      <x:c r="V2500" s="26" t="d">
        <x:v>2026-10-02T00:00:00.000Z</x:v>
      </x:c>
      <x:c r="W2500" s="26" t="d">
        <x:v>2026-09-30T00:00:00.000Z</x:v>
      </x:c>
      <x:c r="X2500" s="25" t="str">
        <x:v>Saved public company, industry-directory or regulatory source; source date retained</x:v>
      </x:c>
      <x:c r="Y2500" s="25" t="str">
        <x:v>https://privatelenderlink.com/profile/columbia-pacific-advisors/</x:v>
      </x:c>
      <x:c r="Z2500" s="25" t="str">
        <x:v>https://privatelenderlink.com/profile/columbia-pacific-advisors/</x:v>
      </x:c>
      <x:c r="AA2500" s="25" t="str">
        <x:v>[]</x:v>
      </x:c>
      <x:c r="AB2500" s="3" t="str">
        <x:v>Existing CapitalForge research, newly screened for this campaign</x:v>
      </x:c>
      <x:c r="AC2500" s="3" t="str">
        <x:v>unverified</x:v>
      </x:c>
      <x:c r="AD2500" s="3" t="str">
        <x:v>Not contacted / unconfirmed</x:v>
      </x:c>
      <x:c r="AE2500" s="3" t="str">
        <x:v>No</x:v>
      </x:c>
      <x:c r="AF2500" s="3" t="str">
        <x:v>No</x:v>
      </x:c>
      <x:c r="AG2500" s="3"/>
      <x:c r="AH2500" s="3"/>
      <x:c r="AI2500" s="18"/>
      <x:c r="AJ2500" s="3" t="str">
        <x:v>CF2500-493648844AFB</x:v>
      </x:c>
      <x:c r="AK2500" s="3" t="str">
        <x:v>private_real_estate_lender</x:v>
      </x:c>
      <x:c r="AL2500" s="19" t="n">
        <x:v>100000</x:v>
      </x:c>
      <x:c r="AM2500" s="19" t="n">
        <x:v>500000</x:v>
      </x:c>
      <x:c r="AN2500" s="3" t="str">
        <x:v>https://privatelenderlink.com/profile/columbia-pacific-advisors/</x:v>
      </x:c>
      <x:c r="AO2500" s="3" t="str">
        <x:v>public_directory.jsonl</x:v>
      </x:c>
      <x:c r="AP2500" s="19"/>
    </x:row>
    <x:row r="2501" ht="36" customHeight="1">
      <x:c r="A2501" s="23" t="n">
        <x:v>2500</x:v>
      </x:c>
      <x:c r="B2501" s="15" t="str">
        <x:v>Commercial Capital BIDCO</x:v>
      </x:c>
      <x:c r="C2501" s="15"/>
      <x:c r="D2501" s="15" t="str">
        <x:v>Property lender or directory member; operating-company capital unconfirmed</x:v>
      </x:c>
      <x:c r="E2501" s="15" t="str">
        <x:v>Property lender / private-money inquiry</x:v>
      </x:c>
      <x:c r="F2501" s="17" t="str">
        <x:v>New</x:v>
      </x:c>
      <x:c r="G2501" s="24" t="str">
        <x:v>jeff@acstn.net</x:v>
      </x:c>
      <x:c r="H2501" s="24" t="str">
        <x:v>+16293069146</x:v>
      </x:c>
      <x:c r="I2501" s="24" t="str">
        <x:v>https://commercialcapitalbidco.com/?utm_source=private-lender-link</x:v>
      </x:c>
      <x:c r="J2501" s="16" t="str">
        <x:v>Alabama, Birmingham, Huntsville, Mobile, Montgomery, Alaska, Arizona, Apache County, Cochise County, Coconino County, Gila County, Graham County, La Paz County, Maricopa County, Mohave County, Navajo County, Pima County, Pinal County, Yavapai County, Yuma County, Arkansas, Colorado, Denver, High Country, Western Slope, Connecticut, Fairfield County, Hartford, New Haven, New London, Delaware, Florida, Fort Myers, Gainesville, Jacksonville, Key West, Lakeland, Miami, Ocala, Orlando, Palm Bay, Palm Beach County, Pensacola, Port Charlotte, Port St. Lucie, Sarasota, Tallahassee, Tampa, Volusia County, Georgia, Albany, Athens, Atlanta, Augusta, Columbus, Dalton, Macon, Rome, Savannah, Valdosta, Hawaii, Idaho, Boise, Pocatello, Twin Falls, Illinois, Chicago, Peoria, Rockford, Indiana, Evansville, Fort Wayne, Indianapolis, Jeffersonville, Kokomo, Lafayette, Lake and Porter County, South Bend, Terre Haute, Iowa, Kansas, Kentucky, Louisiana, Maine, Maryland, Annapolis, Baltimore, Frederick, Hagerstown, Montgomery County, Massachusetts, Boston, Bristol County, Cape Cod, Plymouth County, Western Mass, Worcester, Michigan, Minnesota, Mississippi, Missouri, Columbia, Joplin, Kansas City, Springfield, St Louis, St. Joseph, Montana, Billings, Bozeman, Great Falls, Kalispell, Missoula, Nebraska, Nevada, Las Vegas, Reno, New Hampshire, New Jersey, Atlantic City, Camden, Newark, New Mexico, New York, Buffalo, New York City, Rochester, North Carolina, Asheville, Charlotte, Fayetteville, Greensboro, Greenville, Hickory, New Bern, Raleigh, Rocky Mount, Sanford, Wilmington, Wilson, Winston-Salem, North Dakota, Ohio, Oklahoma, Oregon, Bend, Corvallis, Eugene, Grants Pass, Klamath Falls, Medford, Portland, Salem, Pennsylvania, Allentown, Harrisburg, Philadelphia, Pittsburgh, Rhode Island, South Carolina, Augusta-Richmond County, Charleston, Florence, Hilton Head Island, Myrtle Beach, Sumter, York County, South Dakota, Tennessee, Chattanooga, Clarksville, Gatlinburg, Knoxville, Memphis, Nashville, Texas, Austin, Beaumont, Corpus Christi, Dallas, El Paso, Houston, Laredo, Rio Grande Valley, San Antonio, Waco, Utah, Cache County, Iron County, Salt Lake City, St. George, Vermont, Virginia, Charlottesville, Danville, Fredericksburg, Harrisonburg, Lynchburg, NOVA, Richmond, Roanoke, Virginia Beach, Winchester, Washington, Cascades, Columbia Basin, Seattle, Spokane, Vancouver, Washington DC, West Virginia, Wisconsin, Wyoming</x:v>
      </x:c>
      <x:c r="K2501" s="16" t="str">
        <x:v>Franklin</x:v>
      </x:c>
      <x:c r="L2501" s="16" t="str">
        <x:v>firm_business_routing</x:v>
      </x:c>
      <x:c r="M2501" s="16" t="str">
        <x:v>https://commercialcapitalbidco.com/?utm_source=private-lender-link</x:v>
      </x:c>
      <x:c r="N2501" s="16" t="str">
        <x:v>$100K-$500K ticket not published / unconfirmed</x:v>
      </x:c>
      <x:c r="O2501" s="20"/>
      <x:c r="P2501" s="20"/>
      <x:c r="Q2501" s="25" t="str">
        <x:v>Property-loan range, not a corporate-capital commitment</x:v>
      </x:c>
      <x:c r="R2501" s="25" t="str">
        <x:v>Private real-estate finance experience. Corporate working capital, minority equity or profit participation requires a separate agreement from a property loan.</x:v>
      </x:c>
      <x:c r="S2501" s="25"/>
      <x:c r="T2501" s="25" t="str">
        <x:v>Confirm direct principal versus broker, $100K-$500K appetite, and whether capital can fund the operating company without a property mortgage.</x:v>
      </x:c>
      <x:c r="U2501" s="25" t="str">
        <x:v>https://privatelenderlink.com/profile/commercial-capital-bidco/
https://www.privatelendersdirectory.com/united-states/franklin/top-level-category/commercial-capital-bidco</x:v>
      </x:c>
      <x:c r="V2501" s="26" t="d">
        <x:v>2026-10-02T00:00:00.000Z</x:v>
      </x:c>
      <x:c r="W2501" s="26" t="d">
        <x:v>2026-09-30T00:00:00.000Z</x:v>
      </x:c>
      <x:c r="X2501" s="25" t="str">
        <x:v>Saved public company, industry-directory or regulatory source; source date retained</x:v>
      </x:c>
      <x:c r="Y2501" s="25" t="str">
        <x:v>https://privatelenderlink.com/profile/commercial-capital-bidco/</x:v>
      </x:c>
      <x:c r="Z2501" s="25" t="str">
        <x:v>https://privatelenderlink.com/profile/commercial-capital-bidco/</x:v>
      </x:c>
      <x:c r="AA2501" s="25" t="str">
        <x:v>[]</x:v>
      </x:c>
      <x:c r="AB2501" s="3" t="str">
        <x:v>Existing CapitalForge research, newly screened for this campaign</x:v>
      </x:c>
      <x:c r="AC2501" s="3" t="str">
        <x:v>unverified</x:v>
      </x:c>
      <x:c r="AD2501" s="3" t="str">
        <x:v>Not contacted / unconfirmed</x:v>
      </x:c>
      <x:c r="AE2501" s="3" t="str">
        <x:v>No</x:v>
      </x:c>
      <x:c r="AF2501" s="3" t="str">
        <x:v>No</x:v>
      </x:c>
      <x:c r="AG2501" s="3"/>
      <x:c r="AH2501" s="3"/>
      <x:c r="AI2501" s="18"/>
      <x:c r="AJ2501" s="3" t="str">
        <x:v>CF2500-D53AD679683B</x:v>
      </x:c>
      <x:c r="AK2501" s="3" t="str">
        <x:v>private_real_estate_lender</x:v>
      </x:c>
      <x:c r="AL2501" s="19" t="n">
        <x:v>100000</x:v>
      </x:c>
      <x:c r="AM2501" s="19" t="n">
        <x:v>500000</x:v>
      </x:c>
      <x:c r="AN2501" s="3" t="str">
        <x:v>https://privatelenderlink.com/profile/commercial-capital-bidco/</x:v>
      </x:c>
      <x:c r="AO2501" s="3" t="str">
        <x:v>public_directory.jsonl</x:v>
      </x:c>
      <x:c r="AP2501" s="19"/>
    </x:row>
  </x:sheetData>
  <x:dataValidations count="1">
    <x:dataValidation type="list" sqref="F2:F2501">
      <x:formula1>"New,Reviewing,Contacted,Due diligence,Terms,Passed"</x:formula1>
    </x:dataValidation>
  </x:dataValidations>
  <x:pageMargins left="0.7" right="0.7" top="0.75" bottom="0.75" header="0.3" footer="0.3"/>
  <x:tableParts count="1">
    <x:tablePart xmlns:r="http://schemas.openxmlformats.org/officeDocument/2006/relationships" r:id="Rcc61a940d3544bbb"/>
  </x:tableParts>
</x:worksheet>
</file>